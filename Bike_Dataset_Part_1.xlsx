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Final\"/>
    </mc:Choice>
  </mc:AlternateContent>
  <xr:revisionPtr revIDLastSave="0" documentId="13_ncr:1_{38BC9E34-774B-4450-9561-18184C0AEBE0}" xr6:coauthVersionLast="47" xr6:coauthVersionMax="47" xr10:uidLastSave="{00000000-0000-0000-0000-000000000000}"/>
  <bookViews>
    <workbookView xWindow="-108" yWindow="-108" windowWidth="23256" windowHeight="12456" activeTab="3" xr2:uid="{00000000-000D-0000-FFFF-FFFF00000000}"/>
  </bookViews>
  <sheets>
    <sheet name="Dataset_4" sheetId="2" r:id="rId1"/>
    <sheet name="Modified_Dataset_4" sheetId="1" r:id="rId2"/>
    <sheet name="Statistics" sheetId="3" r:id="rId3"/>
    <sheet name="Forecast" sheetId="4" r:id="rId4"/>
  </sheets>
  <definedNames>
    <definedName name="ExternalData_2" localSheetId="0" hidden="1">Dataset_4!$A$1:$N$611</definedName>
    <definedName name="ExternalData_2" localSheetId="1" hidden="1">Modified_Dataset_4!$A$1:$N$611</definedName>
    <definedName name="Slicer_dat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4" l="1"/>
  <c r="C59" i="4"/>
  <c r="C52" i="4"/>
  <c r="C53" i="4"/>
  <c r="C54" i="4"/>
  <c r="C62" i="4"/>
  <c r="C55" i="4"/>
  <c r="C63" i="4"/>
  <c r="C64" i="4"/>
  <c r="C56" i="4"/>
  <c r="C57" i="4"/>
  <c r="C58" i="4"/>
  <c r="C60" i="4"/>
  <c r="C61" i="4"/>
  <c r="E61" i="4" l="1"/>
  <c r="D56" i="4"/>
  <c r="D62" i="4"/>
  <c r="E59" i="4"/>
  <c r="D60" i="4"/>
  <c r="E54" i="4"/>
  <c r="D51" i="4"/>
  <c r="E63" i="4"/>
  <c r="E55" i="4"/>
  <c r="D55" i="4"/>
  <c r="D59" i="4"/>
  <c r="E60" i="4"/>
  <c r="D64" i="4"/>
  <c r="D54" i="4"/>
  <c r="E51" i="4"/>
  <c r="E64" i="4"/>
  <c r="E58" i="4"/>
  <c r="D53" i="4"/>
  <c r="E52" i="4"/>
  <c r="E56" i="4"/>
  <c r="D58" i="4"/>
  <c r="D63" i="4"/>
  <c r="E53" i="4"/>
  <c r="D57" i="4"/>
  <c r="D52" i="4"/>
  <c r="E62" i="4"/>
  <c r="E57" i="4"/>
  <c r="D61"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77363F3-9102-4474-8826-AD8AE1201FF2}" keepAlive="1" name="Query - dataset_1" description="Connection to the 'dataset_1' query in the workbook." type="5" refreshedVersion="0" background="1">
    <dbPr connection="Provider=Microsoft.Mashup.OleDb.1;Data Source=$Workbook$;Location=dataset_1;Extended Properties=&quot;&quot;" command="SELECT * FROM [dataset_1]"/>
  </connection>
  <connection id="2" xr16:uid="{FCF6E407-FA66-48D4-B3C2-1D1FE893E5E8}" keepAlive="1" name="Query - dataset_2" description="Connection to the 'dataset_2' query in the workbook." type="5" refreshedVersion="0" background="1">
    <dbPr connection="Provider=Microsoft.Mashup.OleDb.1;Data Source=$Workbook$;Location=dataset_2;Extended Properties=&quot;&quot;" command="SELECT * FROM [dataset_2]"/>
  </connection>
  <connection id="3" xr16:uid="{3FFFED17-5FD4-4A05-B3D0-5118C5B51208}" keepAlive="1" name="Query - Merge1" description="Connection to the 'Merge1' query in the workbook." type="5" refreshedVersion="8" background="1" saveData="1">
    <dbPr connection="Provider=Microsoft.Mashup.OleDb.1;Data Source=$Workbook$;Location=Merge1;Extended Properties=&quot;&quot;" command="SELECT * FROM [Merge1]"/>
  </connection>
</connections>
</file>

<file path=xl/sharedStrings.xml><?xml version="1.0" encoding="utf-8"?>
<sst xmlns="http://schemas.openxmlformats.org/spreadsheetml/2006/main" count="7386" uniqueCount="74">
  <si>
    <t>instant</t>
  </si>
  <si>
    <t>date</t>
  </si>
  <si>
    <t>season</t>
  </si>
  <si>
    <t>hour</t>
  </si>
  <si>
    <t>holiday</t>
  </si>
  <si>
    <t>weekday</t>
  </si>
  <si>
    <t>weather_situation</t>
  </si>
  <si>
    <t>temperature</t>
  </si>
  <si>
    <t>assumed_temperature</t>
  </si>
  <si>
    <t>humidity</t>
  </si>
  <si>
    <t>windspeed</t>
  </si>
  <si>
    <t>casual_customer</t>
  </si>
  <si>
    <t>registered_customer</t>
  </si>
  <si>
    <t>total_customer</t>
  </si>
  <si>
    <t>Season_Name</t>
  </si>
  <si>
    <t>Weekday_Name</t>
  </si>
  <si>
    <t>Weather_Description</t>
  </si>
  <si>
    <t>Time_of_Day</t>
  </si>
  <si>
    <t>Temperature_Level</t>
  </si>
  <si>
    <t>Humidity_Level</t>
  </si>
  <si>
    <t>Wind_Level</t>
  </si>
  <si>
    <t>Day_Type</t>
  </si>
  <si>
    <t>Customer_Type</t>
  </si>
  <si>
    <t>Casual_Percentage</t>
  </si>
  <si>
    <t>Registered_Percentage</t>
  </si>
  <si>
    <t>Rush_Hour</t>
  </si>
  <si>
    <t>Demand_Level</t>
  </si>
  <si>
    <t>Weekend</t>
  </si>
  <si>
    <t>Feels_Like_Difference</t>
  </si>
  <si>
    <t>Spring</t>
  </si>
  <si>
    <t>Saturday</t>
  </si>
  <si>
    <t>Clear</t>
  </si>
  <si>
    <t>Night</t>
  </si>
  <si>
    <t>Cold</t>
  </si>
  <si>
    <t>High</t>
  </si>
  <si>
    <t>Calm</t>
  </si>
  <si>
    <t>Working Day</t>
  </si>
  <si>
    <t>Mostly Registered</t>
  </si>
  <si>
    <t>No</t>
  </si>
  <si>
    <t>Low</t>
  </si>
  <si>
    <t>Yes</t>
  </si>
  <si>
    <t>Mist/Cloudy</t>
  </si>
  <si>
    <t>Morning</t>
  </si>
  <si>
    <t>Mostly Casual</t>
  </si>
  <si>
    <t>Mild</t>
  </si>
  <si>
    <t>Warm</t>
  </si>
  <si>
    <t>Moderate</t>
  </si>
  <si>
    <t>Afternoon</t>
  </si>
  <si>
    <t>Hot</t>
  </si>
  <si>
    <t>Medium</t>
  </si>
  <si>
    <t>Evening</t>
  </si>
  <si>
    <t>Light Rain/Snow</t>
  </si>
  <si>
    <t>Sunday</t>
  </si>
  <si>
    <t>Windy</t>
  </si>
  <si>
    <t>Monday</t>
  </si>
  <si>
    <t>Very Cold</t>
  </si>
  <si>
    <t>Tuesday</t>
  </si>
  <si>
    <t>Wednesday</t>
  </si>
  <si>
    <t>Thursday</t>
  </si>
  <si>
    <t>Friday</t>
  </si>
  <si>
    <t>Holiday</t>
  </si>
  <si>
    <t>Heavy Rain/Storm</t>
  </si>
  <si>
    <t>Row Labels</t>
  </si>
  <si>
    <t>Grand Total</t>
  </si>
  <si>
    <t>Average of humidity</t>
  </si>
  <si>
    <t>Sum of total_customer</t>
  </si>
  <si>
    <t>Average of windspeed</t>
  </si>
  <si>
    <t>Average of temperature</t>
  </si>
  <si>
    <t>Average of assumed_temperature</t>
  </si>
  <si>
    <t>Sum of casual_customer</t>
  </si>
  <si>
    <t>Sum of registered_customer</t>
  </si>
  <si>
    <t>Forecast(total_customer)</t>
  </si>
  <si>
    <t>Lower Confidence Bound(total_customer)</t>
  </si>
  <si>
    <t>Upper Confidence Bound(total_customer)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</si>
</sst>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14" fontId="0" fillId="2" borderId="0" xfId="0" applyNumberFormat="1" applyFill="1" applyAlignment="1">
      <alignment horizontal="left"/>
    </xf>
    <xf numFmtId="164" fontId="0" fillId="2" borderId="0" xfId="0" applyNumberFormat="1" applyFill="1"/>
    <xf numFmtId="0" fontId="0" fillId="2" borderId="0" xfId="0" applyFill="1" applyAlignment="1">
      <alignment horizontal="left"/>
    </xf>
    <xf numFmtId="2" fontId="0" fillId="0" borderId="0" xfId="0" applyNumberFormat="1"/>
  </cellXfs>
  <cellStyles count="1">
    <cellStyle name="Normal" xfId="0" builtinId="0"/>
  </cellStyles>
  <dxfs count="26">
    <dxf>
      <numFmt numFmtId="2" formatCode="0.00"/>
    </dxf>
    <dxf>
      <numFmt numFmtId="2" formatCode="0.00"/>
    </dxf>
    <dxf>
      <numFmt numFmtId="19" formatCode="dd/mm/yyyy"/>
    </dxf>
    <dxf>
      <numFmt numFmtId="19" formatCode="dd/mm/yyyy"/>
    </dxf>
    <dxf>
      <numFmt numFmtId="19" formatCode="dd/mm/yyyy"/>
    </dxf>
    <dxf>
      <numFmt numFmtId="0" formatCode="Genera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numFmt numFmtId="164" formatCode="0.000"/>
    </dxf>
    <dxf>
      <numFmt numFmtId="164" formatCode="0.000"/>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[Bike_Dataset_Part_1.xlsx]Statistics!PivotTable12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Weather</a:t>
            </a:r>
            <a:r>
              <a:rPr lang="en-IN" baseline="0"/>
              <a:t> Condition by Date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Statistics!$B$45</c:f>
              <c:strCache>
                <c:ptCount val="1"/>
                <c:pt idx="0">
                  <c:v>Average of humidity</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Statistics!$A$46:$A$74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Statistics!$B$46:$B$74</c:f>
              <c:numCache>
                <c:formatCode>0.000</c:formatCode>
                <c:ptCount val="28"/>
                <c:pt idx="0">
                  <c:v>0.80583333333333351</c:v>
                </c:pt>
                <c:pt idx="1">
                  <c:v>0.69608695652173924</c:v>
                </c:pt>
                <c:pt idx="2">
                  <c:v>0.43727272727272726</c:v>
                </c:pt>
                <c:pt idx="3">
                  <c:v>0.59043478260869575</c:v>
                </c:pt>
                <c:pt idx="4">
                  <c:v>0.43695652173913052</c:v>
                </c:pt>
                <c:pt idx="5">
                  <c:v>0.51826086956521744</c:v>
                </c:pt>
                <c:pt idx="6">
                  <c:v>0.4986956521739131</c:v>
                </c:pt>
                <c:pt idx="7">
                  <c:v>0.53583333333333327</c:v>
                </c:pt>
                <c:pt idx="8">
                  <c:v>0.43416666666666681</c:v>
                </c:pt>
                <c:pt idx="9">
                  <c:v>0.48291666666666672</c:v>
                </c:pt>
                <c:pt idx="10">
                  <c:v>0.68636363636363618</c:v>
                </c:pt>
                <c:pt idx="11">
                  <c:v>0.59954545454545471</c:v>
                </c:pt>
                <c:pt idx="12">
                  <c:v>0.47041666666666687</c:v>
                </c:pt>
                <c:pt idx="13">
                  <c:v>0.53782608695652179</c:v>
                </c:pt>
                <c:pt idx="14">
                  <c:v>0.49874999999999997</c:v>
                </c:pt>
                <c:pt idx="15">
                  <c:v>0.48375000000000012</c:v>
                </c:pt>
                <c:pt idx="16">
                  <c:v>0.53749999999999998</c:v>
                </c:pt>
                <c:pt idx="17">
                  <c:v>0.86166666666666669</c:v>
                </c:pt>
                <c:pt idx="18">
                  <c:v>0.74173913043478235</c:v>
                </c:pt>
                <c:pt idx="19">
                  <c:v>0.53833333333333344</c:v>
                </c:pt>
                <c:pt idx="20">
                  <c:v>0.45708333333333345</c:v>
                </c:pt>
                <c:pt idx="21">
                  <c:v>0.39999999999999997</c:v>
                </c:pt>
                <c:pt idx="22">
                  <c:v>0.43652173913043485</c:v>
                </c:pt>
                <c:pt idx="23">
                  <c:v>0.49173913043478273</c:v>
                </c:pt>
                <c:pt idx="24">
                  <c:v>0.61695652173913051</c:v>
                </c:pt>
                <c:pt idx="25">
                  <c:v>0.86249999999999982</c:v>
                </c:pt>
                <c:pt idx="26">
                  <c:v>0.6875</c:v>
                </c:pt>
                <c:pt idx="27">
                  <c:v>0.83266666666666667</c:v>
                </c:pt>
              </c:numCache>
            </c:numRef>
          </c:val>
          <c:extLst>
            <c:ext xmlns:c16="http://schemas.microsoft.com/office/drawing/2014/chart" uri="{C3380CC4-5D6E-409C-BE32-E72D297353CC}">
              <c16:uniqueId val="{00000000-BD1C-4385-9065-127D8DF71B2E}"/>
            </c:ext>
          </c:extLst>
        </c:ser>
        <c:ser>
          <c:idx val="1"/>
          <c:order val="1"/>
          <c:tx>
            <c:strRef>
              <c:f>Statistics!$C$45</c:f>
              <c:strCache>
                <c:ptCount val="1"/>
                <c:pt idx="0">
                  <c:v>Average of windspeed</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Statistics!$A$46:$A$74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Statistics!$C$46:$C$74</c:f>
              <c:numCache>
                <c:formatCode>0.000</c:formatCode>
                <c:ptCount val="28"/>
                <c:pt idx="0">
                  <c:v>0.16044583333333329</c:v>
                </c:pt>
                <c:pt idx="1">
                  <c:v>0.24853913043478262</c:v>
                </c:pt>
                <c:pt idx="2">
                  <c:v>0.24830909090909081</c:v>
                </c:pt>
                <c:pt idx="3">
                  <c:v>0.16029565217391301</c:v>
                </c:pt>
                <c:pt idx="4">
                  <c:v>0.18690000000000001</c:v>
                </c:pt>
                <c:pt idx="5">
                  <c:v>8.9565217391304353E-2</c:v>
                </c:pt>
                <c:pt idx="6">
                  <c:v>0.16872608695652172</c:v>
                </c:pt>
                <c:pt idx="7">
                  <c:v>0.26680416666666668</c:v>
                </c:pt>
                <c:pt idx="8">
                  <c:v>0.36195000000000005</c:v>
                </c:pt>
                <c:pt idx="9">
                  <c:v>0.22326666666666661</c:v>
                </c:pt>
                <c:pt idx="10">
                  <c:v>0.12213181818181815</c:v>
                </c:pt>
                <c:pt idx="11">
                  <c:v>0.3046272727272728</c:v>
                </c:pt>
                <c:pt idx="12">
                  <c:v>0.30099999999999999</c:v>
                </c:pt>
                <c:pt idx="13">
                  <c:v>0.12654782608695653</c:v>
                </c:pt>
                <c:pt idx="14">
                  <c:v>0.15796249999999995</c:v>
                </c:pt>
                <c:pt idx="15">
                  <c:v>0.18843333333333331</c:v>
                </c:pt>
                <c:pt idx="16">
                  <c:v>0.19401666666666664</c:v>
                </c:pt>
                <c:pt idx="17">
                  <c:v>0.14677500000000002</c:v>
                </c:pt>
                <c:pt idx="18">
                  <c:v>0.20831739130434784</c:v>
                </c:pt>
                <c:pt idx="19">
                  <c:v>0.19590416666666666</c:v>
                </c:pt>
                <c:pt idx="20">
                  <c:v>0.35324166666666668</c:v>
                </c:pt>
                <c:pt idx="21">
                  <c:v>0.17196956521739129</c:v>
                </c:pt>
                <c:pt idx="22">
                  <c:v>0.24660000000000004</c:v>
                </c:pt>
                <c:pt idx="23">
                  <c:v>0.15833043478260866</c:v>
                </c:pt>
                <c:pt idx="24">
                  <c:v>0.12979565217391303</c:v>
                </c:pt>
                <c:pt idx="25">
                  <c:v>0.29385000000000006</c:v>
                </c:pt>
                <c:pt idx="26">
                  <c:v>0.11383750000000001</c:v>
                </c:pt>
                <c:pt idx="27">
                  <c:v>9.7526666666666678E-2</c:v>
                </c:pt>
              </c:numCache>
            </c:numRef>
          </c:val>
          <c:extLst>
            <c:ext xmlns:c16="http://schemas.microsoft.com/office/drawing/2014/chart" uri="{C3380CC4-5D6E-409C-BE32-E72D297353CC}">
              <c16:uniqueId val="{00000001-BD1C-4385-9065-127D8DF71B2E}"/>
            </c:ext>
          </c:extLst>
        </c:ser>
        <c:ser>
          <c:idx val="2"/>
          <c:order val="2"/>
          <c:tx>
            <c:strRef>
              <c:f>Statistics!$D$45</c:f>
              <c:strCache>
                <c:ptCount val="1"/>
                <c:pt idx="0">
                  <c:v>Average of temperature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Statistics!$A$46:$A$74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Statistics!$D$46:$D$74</c:f>
              <c:numCache>
                <c:formatCode>0.000</c:formatCode>
                <c:ptCount val="28"/>
                <c:pt idx="0">
                  <c:v>0.34416666666666673</c:v>
                </c:pt>
                <c:pt idx="1">
                  <c:v>0.36347826086956525</c:v>
                </c:pt>
                <c:pt idx="2">
                  <c:v>0.19636363636363632</c:v>
                </c:pt>
                <c:pt idx="3">
                  <c:v>0.19999999999999998</c:v>
                </c:pt>
                <c:pt idx="4">
                  <c:v>0.22695652173913042</c:v>
                </c:pt>
                <c:pt idx="5">
                  <c:v>0.20434782608695654</c:v>
                </c:pt>
                <c:pt idx="6">
                  <c:v>0.19652173913043483</c:v>
                </c:pt>
                <c:pt idx="7">
                  <c:v>0.16500000000000006</c:v>
                </c:pt>
                <c:pt idx="8">
                  <c:v>0.13833333333333339</c:v>
                </c:pt>
                <c:pt idx="9">
                  <c:v>0.1508333333333334</c:v>
                </c:pt>
                <c:pt idx="10">
                  <c:v>0.16909090909090915</c:v>
                </c:pt>
                <c:pt idx="11">
                  <c:v>0.17272727272727278</c:v>
                </c:pt>
                <c:pt idx="12">
                  <c:v>0.16500000000000006</c:v>
                </c:pt>
                <c:pt idx="13">
                  <c:v>0.16086956521739135</c:v>
                </c:pt>
                <c:pt idx="14">
                  <c:v>0.23333333333333331</c:v>
                </c:pt>
                <c:pt idx="15">
                  <c:v>0.23166666666666669</c:v>
                </c:pt>
                <c:pt idx="16">
                  <c:v>0.1758333333333334</c:v>
                </c:pt>
                <c:pt idx="17">
                  <c:v>0.2166666666666667</c:v>
                </c:pt>
                <c:pt idx="18">
                  <c:v>0.29217391304347828</c:v>
                </c:pt>
                <c:pt idx="19">
                  <c:v>0.26166666666666666</c:v>
                </c:pt>
                <c:pt idx="20">
                  <c:v>0.17750000000000002</c:v>
                </c:pt>
                <c:pt idx="21">
                  <c:v>5.9130434782608703E-2</c:v>
                </c:pt>
                <c:pt idx="22">
                  <c:v>9.6521739130434797E-2</c:v>
                </c:pt>
                <c:pt idx="23">
                  <c:v>9.7391304347826113E-2</c:v>
                </c:pt>
                <c:pt idx="24">
                  <c:v>0.22347826086956515</c:v>
                </c:pt>
                <c:pt idx="25">
                  <c:v>0.21750000000000005</c:v>
                </c:pt>
                <c:pt idx="26">
                  <c:v>0.19499999999999998</c:v>
                </c:pt>
                <c:pt idx="27">
                  <c:v>0.18666666666666668</c:v>
                </c:pt>
              </c:numCache>
            </c:numRef>
          </c:val>
          <c:extLst>
            <c:ext xmlns:c16="http://schemas.microsoft.com/office/drawing/2014/chart" uri="{C3380CC4-5D6E-409C-BE32-E72D297353CC}">
              <c16:uniqueId val="{00000002-BD1C-4385-9065-127D8DF71B2E}"/>
            </c:ext>
          </c:extLst>
        </c:ser>
        <c:ser>
          <c:idx val="3"/>
          <c:order val="3"/>
          <c:tx>
            <c:strRef>
              <c:f>Statistics!$E$45</c:f>
              <c:strCache>
                <c:ptCount val="1"/>
                <c:pt idx="0">
                  <c:v>Average of assumed_temperature</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Statistics!$A$46:$A$74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Statistics!$E$46:$E$74</c:f>
              <c:numCache>
                <c:formatCode>0.000</c:formatCode>
                <c:ptCount val="28"/>
                <c:pt idx="0">
                  <c:v>0.35983750000000003</c:v>
                </c:pt>
                <c:pt idx="1">
                  <c:v>0.35506086956521743</c:v>
                </c:pt>
                <c:pt idx="2">
                  <c:v>0.19215909090909095</c:v>
                </c:pt>
                <c:pt idx="3">
                  <c:v>0.2134391304347826</c:v>
                </c:pt>
                <c:pt idx="4">
                  <c:v>0.22926956521739131</c:v>
                </c:pt>
                <c:pt idx="5">
                  <c:v>0.23320869565217398</c:v>
                </c:pt>
                <c:pt idx="6">
                  <c:v>0.20883913043478261</c:v>
                </c:pt>
                <c:pt idx="7">
                  <c:v>0.16225416666666667</c:v>
                </c:pt>
                <c:pt idx="8">
                  <c:v>0.11617500000000003</c:v>
                </c:pt>
                <c:pt idx="9">
                  <c:v>0.15088750000000001</c:v>
                </c:pt>
                <c:pt idx="10">
                  <c:v>0.19146363636363636</c:v>
                </c:pt>
                <c:pt idx="11">
                  <c:v>0.16047272727272729</c:v>
                </c:pt>
                <c:pt idx="12">
                  <c:v>0.15088333333333334</c:v>
                </c:pt>
                <c:pt idx="13">
                  <c:v>0.18841304347826088</c:v>
                </c:pt>
                <c:pt idx="14">
                  <c:v>0.24811249999999999</c:v>
                </c:pt>
                <c:pt idx="15">
                  <c:v>0.23421666666666671</c:v>
                </c:pt>
                <c:pt idx="16">
                  <c:v>0.17677083333333335</c:v>
                </c:pt>
                <c:pt idx="17">
                  <c:v>0.23233333333333336</c:v>
                </c:pt>
                <c:pt idx="18">
                  <c:v>0.29842173913043479</c:v>
                </c:pt>
                <c:pt idx="19">
                  <c:v>0.25505</c:v>
                </c:pt>
                <c:pt idx="20">
                  <c:v>0.15783333333333335</c:v>
                </c:pt>
                <c:pt idx="21">
                  <c:v>7.9069565217391308E-2</c:v>
                </c:pt>
                <c:pt idx="22">
                  <c:v>9.8839130434782624E-2</c:v>
                </c:pt>
                <c:pt idx="23">
                  <c:v>0.11793043478260871</c:v>
                </c:pt>
                <c:pt idx="24">
                  <c:v>0.23452608695652166</c:v>
                </c:pt>
                <c:pt idx="25">
                  <c:v>0.2036</c:v>
                </c:pt>
                <c:pt idx="26">
                  <c:v>0.21970000000000001</c:v>
                </c:pt>
                <c:pt idx="27">
                  <c:v>0.21716666666666667</c:v>
                </c:pt>
              </c:numCache>
            </c:numRef>
          </c:val>
          <c:extLst>
            <c:ext xmlns:c16="http://schemas.microsoft.com/office/drawing/2014/chart" uri="{C3380CC4-5D6E-409C-BE32-E72D297353CC}">
              <c16:uniqueId val="{00000003-BD1C-4385-9065-127D8DF71B2E}"/>
            </c:ext>
          </c:extLst>
        </c:ser>
        <c:dLbls>
          <c:dLblPos val="outEnd"/>
          <c:showLegendKey val="0"/>
          <c:showVal val="1"/>
          <c:showCatName val="0"/>
          <c:showSerName val="0"/>
          <c:showPercent val="0"/>
          <c:showBubbleSize val="0"/>
        </c:dLbls>
        <c:gapWidth val="219"/>
        <c:overlap val="-27"/>
        <c:axId val="1972759328"/>
        <c:axId val="1972759808"/>
      </c:barChart>
      <c:catAx>
        <c:axId val="1972759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59808"/>
        <c:crosses val="autoZero"/>
        <c:auto val="1"/>
        <c:lblAlgn val="ctr"/>
        <c:lblOffset val="100"/>
        <c:noMultiLvlLbl val="0"/>
      </c:catAx>
      <c:valAx>
        <c:axId val="1972759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Weather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5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[Bike_Dataset_Part_1.xlsx]Statistics!PivotTable14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Casual</a:t>
            </a:r>
            <a:r>
              <a:rPr lang="en-IN" baseline="0"/>
              <a:t> , Registered &amp; Total Customers by Date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Statistics!$H$45</c:f>
              <c:strCache>
                <c:ptCount val="1"/>
                <c:pt idx="0">
                  <c:v>Sum of casual_customer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Statistics!$G$46:$G$74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Statistics!$H$46:$H$74</c:f>
              <c:numCache>
                <c:formatCode>General</c:formatCode>
                <c:ptCount val="28"/>
                <c:pt idx="0">
                  <c:v>331</c:v>
                </c:pt>
                <c:pt idx="1">
                  <c:v>131</c:v>
                </c:pt>
                <c:pt idx="2">
                  <c:v>120</c:v>
                </c:pt>
                <c:pt idx="3">
                  <c:v>108</c:v>
                </c:pt>
                <c:pt idx="4">
                  <c:v>82</c:v>
                </c:pt>
                <c:pt idx="5">
                  <c:v>88</c:v>
                </c:pt>
                <c:pt idx="6">
                  <c:v>148</c:v>
                </c:pt>
                <c:pt idx="7">
                  <c:v>68</c:v>
                </c:pt>
                <c:pt idx="8">
                  <c:v>54</c:v>
                </c:pt>
                <c:pt idx="9">
                  <c:v>41</c:v>
                </c:pt>
                <c:pt idx="10">
                  <c:v>43</c:v>
                </c:pt>
                <c:pt idx="11">
                  <c:v>25</c:v>
                </c:pt>
                <c:pt idx="12">
                  <c:v>38</c:v>
                </c:pt>
                <c:pt idx="13">
                  <c:v>54</c:v>
                </c:pt>
                <c:pt idx="14">
                  <c:v>222</c:v>
                </c:pt>
                <c:pt idx="15">
                  <c:v>251</c:v>
                </c:pt>
                <c:pt idx="16">
                  <c:v>117</c:v>
                </c:pt>
                <c:pt idx="17">
                  <c:v>9</c:v>
                </c:pt>
                <c:pt idx="18">
                  <c:v>78</c:v>
                </c:pt>
                <c:pt idx="19">
                  <c:v>83</c:v>
                </c:pt>
                <c:pt idx="20">
                  <c:v>75</c:v>
                </c:pt>
                <c:pt idx="21">
                  <c:v>93</c:v>
                </c:pt>
                <c:pt idx="22">
                  <c:v>150</c:v>
                </c:pt>
                <c:pt idx="23">
                  <c:v>86</c:v>
                </c:pt>
                <c:pt idx="24">
                  <c:v>186</c:v>
                </c:pt>
                <c:pt idx="25">
                  <c:v>34</c:v>
                </c:pt>
                <c:pt idx="26">
                  <c:v>15</c:v>
                </c:pt>
                <c:pt idx="27">
                  <c:v>16</c:v>
                </c:pt>
              </c:numCache>
            </c:numRef>
          </c:val>
          <c:extLst>
            <c:ext xmlns:c16="http://schemas.microsoft.com/office/drawing/2014/chart" uri="{C3380CC4-5D6E-409C-BE32-E72D297353CC}">
              <c16:uniqueId val="{00000000-2436-492E-9FC8-EFF7DD853363}"/>
            </c:ext>
          </c:extLst>
        </c:ser>
        <c:ser>
          <c:idx val="1"/>
          <c:order val="1"/>
          <c:tx>
            <c:strRef>
              <c:f>Statistics!$I$45</c:f>
              <c:strCache>
                <c:ptCount val="1"/>
                <c:pt idx="0">
                  <c:v>Sum of registered_customer</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Statistics!$G$46:$G$74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Statistics!$I$46:$I$74</c:f>
              <c:numCache>
                <c:formatCode>General</c:formatCode>
                <c:ptCount val="28"/>
                <c:pt idx="0">
                  <c:v>654</c:v>
                </c:pt>
                <c:pt idx="1">
                  <c:v>670</c:v>
                </c:pt>
                <c:pt idx="2">
                  <c:v>1229</c:v>
                </c:pt>
                <c:pt idx="3">
                  <c:v>1454</c:v>
                </c:pt>
                <c:pt idx="4">
                  <c:v>1518</c:v>
                </c:pt>
                <c:pt idx="5">
                  <c:v>1518</c:v>
                </c:pt>
                <c:pt idx="6">
                  <c:v>1362</c:v>
                </c:pt>
                <c:pt idx="7">
                  <c:v>891</c:v>
                </c:pt>
                <c:pt idx="8">
                  <c:v>768</c:v>
                </c:pt>
                <c:pt idx="9">
                  <c:v>1280</c:v>
                </c:pt>
                <c:pt idx="10">
                  <c:v>1220</c:v>
                </c:pt>
                <c:pt idx="11">
                  <c:v>1137</c:v>
                </c:pt>
                <c:pt idx="12">
                  <c:v>1368</c:v>
                </c:pt>
                <c:pt idx="13">
                  <c:v>1367</c:v>
                </c:pt>
                <c:pt idx="14">
                  <c:v>1026</c:v>
                </c:pt>
                <c:pt idx="15">
                  <c:v>953</c:v>
                </c:pt>
                <c:pt idx="16">
                  <c:v>883</c:v>
                </c:pt>
                <c:pt idx="17">
                  <c:v>674</c:v>
                </c:pt>
                <c:pt idx="18">
                  <c:v>1572</c:v>
                </c:pt>
                <c:pt idx="19">
                  <c:v>1844</c:v>
                </c:pt>
                <c:pt idx="20">
                  <c:v>1468</c:v>
                </c:pt>
                <c:pt idx="21">
                  <c:v>888</c:v>
                </c:pt>
                <c:pt idx="22">
                  <c:v>836</c:v>
                </c:pt>
                <c:pt idx="23">
                  <c:v>1330</c:v>
                </c:pt>
                <c:pt idx="24">
                  <c:v>1799</c:v>
                </c:pt>
                <c:pt idx="25">
                  <c:v>472</c:v>
                </c:pt>
                <c:pt idx="26">
                  <c:v>416</c:v>
                </c:pt>
                <c:pt idx="27">
                  <c:v>555</c:v>
                </c:pt>
              </c:numCache>
            </c:numRef>
          </c:val>
          <c:extLst>
            <c:ext xmlns:c16="http://schemas.microsoft.com/office/drawing/2014/chart" uri="{C3380CC4-5D6E-409C-BE32-E72D297353CC}">
              <c16:uniqueId val="{00000001-2436-492E-9FC8-EFF7DD853363}"/>
            </c:ext>
          </c:extLst>
        </c:ser>
        <c:ser>
          <c:idx val="2"/>
          <c:order val="2"/>
          <c:tx>
            <c:strRef>
              <c:f>Statistics!$J$45</c:f>
              <c:strCache>
                <c:ptCount val="1"/>
                <c:pt idx="0">
                  <c:v>Sum of total_customer</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Statistics!$G$46:$G$74</c:f>
              <c:strCache>
                <c:ptCount val="28"/>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strCache>
            </c:strRef>
          </c:cat>
          <c:val>
            <c:numRef>
              <c:f>Statistics!$J$46:$J$74</c:f>
              <c:numCache>
                <c:formatCode>General</c:formatCode>
                <c:ptCount val="28"/>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571</c:v>
                </c:pt>
              </c:numCache>
            </c:numRef>
          </c:val>
          <c:extLst>
            <c:ext xmlns:c16="http://schemas.microsoft.com/office/drawing/2014/chart" uri="{C3380CC4-5D6E-409C-BE32-E72D297353CC}">
              <c16:uniqueId val="{00000002-2436-492E-9FC8-EFF7DD853363}"/>
            </c:ext>
          </c:extLst>
        </c:ser>
        <c:dLbls>
          <c:dLblPos val="outEnd"/>
          <c:showLegendKey val="0"/>
          <c:showVal val="1"/>
          <c:showCatName val="0"/>
          <c:showSerName val="0"/>
          <c:showPercent val="0"/>
          <c:showBubbleSize val="0"/>
        </c:dLbls>
        <c:gapWidth val="219"/>
        <c:overlap val="-27"/>
        <c:axId val="1972848608"/>
        <c:axId val="1972852448"/>
      </c:barChart>
      <c:catAx>
        <c:axId val="19728486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852448"/>
        <c:crosses val="autoZero"/>
        <c:auto val="1"/>
        <c:lblAlgn val="ctr"/>
        <c:lblOffset val="100"/>
        <c:noMultiLvlLbl val="0"/>
      </c:catAx>
      <c:valAx>
        <c:axId val="19728524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Customer</a:t>
                </a:r>
                <a:r>
                  <a:rPr lang="en-IN" baseline="0"/>
                  <a:t> Count</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8486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[Bike_Dataset_Part_1.xlsx]Statistics!PivotTable17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Total Customers</a:t>
            </a:r>
            <a:r>
              <a:rPr lang="en-US" baseline="0">
                <a:solidFill>
                  <a:sysClr val="windowText" lastClr="000000"/>
                </a:solidFill>
              </a:rPr>
              <a:t> by Time of the Day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234099710311507"/>
              <c:y val="-0.1188251750451014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1777684222093768"/>
                  <c:h val="0.16478398476700207"/>
                </c:manualLayout>
              </c15:layout>
            </c:ext>
          </c:extLst>
        </c:dLbl>
      </c:pivotFmt>
      <c:pivotFmt>
        <c:idx val="2"/>
        <c:spPr>
          <a:solidFill>
            <a:schemeClr val="accent1"/>
          </a:solidFill>
          <a:ln w="19050">
            <a:solidFill>
              <a:schemeClr val="lt1"/>
            </a:solidFill>
          </a:ln>
          <a:effectLst/>
        </c:spPr>
        <c:dLbl>
          <c:idx val="0"/>
          <c:layout>
            <c:manualLayout>
              <c:x val="-3.0555555555555555E-2"/>
              <c:y val="-0.111111111111111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0219287840768226"/>
              <c:y val="-0.15449892356911887"/>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22317262917088485"/>
              <c:y val="3.66733425394619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Statistics!$B$77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F1DA-4872-A70B-BC35169328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F1DA-4872-A70B-BC35169328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F1DA-4872-A70B-BC35169328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F1DA-4872-A70B-BC35169328CE}"/>
              </c:ext>
            </c:extLst>
          </c:dPt>
          <c:dLbls>
            <c:dLbl>
              <c:idx val="0"/>
              <c:layout>
                <c:manualLayout>
                  <c:x val="0.1234099710311507"/>
                  <c:y val="-0.11882517504510148"/>
                </c:manualLayout>
              </c:layout>
              <c:showLegendKey val="0"/>
              <c:showVal val="0"/>
              <c:showCatName val="1"/>
              <c:showSerName val="0"/>
              <c:showPercent val="1"/>
              <c:showBubbleSize val="0"/>
              <c:extLst>
                <c:ext xmlns:c15="http://schemas.microsoft.com/office/drawing/2012/chart" uri="{CE6537A1-D6FC-4f65-9D91-7224C49458BB}">
                  <c15:layout>
                    <c:manualLayout>
                      <c:w val="0.21777684222093768"/>
                      <c:h val="0.16478398476700207"/>
                    </c:manualLayout>
                  </c15:layout>
                </c:ext>
                <c:ext xmlns:c16="http://schemas.microsoft.com/office/drawing/2014/chart" uri="{C3380CC4-5D6E-409C-BE32-E72D297353CC}">
                  <c16:uniqueId val="{00000002-F1DA-4872-A70B-BC35169328CE}"/>
                </c:ext>
              </c:extLst>
            </c:dLbl>
            <c:dLbl>
              <c:idx val="1"/>
              <c:layout>
                <c:manualLayout>
                  <c:x val="0.22317262917088485"/>
                  <c:y val="3.66733425394619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1DA-4872-A70B-BC35169328CE}"/>
                </c:ext>
              </c:extLst>
            </c:dLbl>
            <c:dLbl>
              <c:idx val="2"/>
              <c:layout>
                <c:manualLayout>
                  <c:x val="-0.10219287840768226"/>
                  <c:y val="-0.1544989235691188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F1DA-4872-A70B-BC35169328CE}"/>
                </c:ext>
              </c:extLst>
            </c:dLbl>
            <c:dLbl>
              <c:idx val="3"/>
              <c:layout>
                <c:manualLayout>
                  <c:x val="-3.0555555555555555E-2"/>
                  <c:y val="-0.111111111111111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1DA-4872-A70B-BC35169328C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Statistics!$A$78:$A$82</c:f>
              <c:strCache>
                <c:ptCount val="4"/>
                <c:pt idx="0">
                  <c:v>Afternoon</c:v>
                </c:pt>
                <c:pt idx="1">
                  <c:v>Evening</c:v>
                </c:pt>
                <c:pt idx="2">
                  <c:v>Morning</c:v>
                </c:pt>
                <c:pt idx="3">
                  <c:v>Night</c:v>
                </c:pt>
              </c:strCache>
            </c:strRef>
          </c:cat>
          <c:val>
            <c:numRef>
              <c:f>Statistics!$B$78:$B$82</c:f>
              <c:numCache>
                <c:formatCode>General</c:formatCode>
                <c:ptCount val="4"/>
                <c:pt idx="0">
                  <c:v>9912</c:v>
                </c:pt>
                <c:pt idx="1">
                  <c:v>10386</c:v>
                </c:pt>
                <c:pt idx="2">
                  <c:v>10139</c:v>
                </c:pt>
                <c:pt idx="3">
                  <c:v>3461</c:v>
                </c:pt>
              </c:numCache>
            </c:numRef>
          </c:val>
          <c:extLst>
            <c:ext xmlns:c16="http://schemas.microsoft.com/office/drawing/2014/chart" uri="{C3380CC4-5D6E-409C-BE32-E72D297353CC}">
              <c16:uniqueId val="{00000000-F1DA-4872-A70B-BC35169328CE}"/>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Forecast!$B$22</c:f>
              <c:strCache>
                <c:ptCount val="1"/>
                <c:pt idx="0">
                  <c:v>total_customer</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val>
            <c:numRef>
              <c:f>Forecast!$B$23:$B$64</c:f>
              <c:numCache>
                <c:formatCode>0.00</c:formatCode>
                <c:ptCount val="42"/>
                <c:pt idx="0">
                  <c:v>41.041666666666664</c:v>
                </c:pt>
                <c:pt idx="1">
                  <c:v>34.826086956521742</c:v>
                </c:pt>
                <c:pt idx="2">
                  <c:v>61.31818181818182</c:v>
                </c:pt>
                <c:pt idx="3">
                  <c:v>67.913043478260875</c:v>
                </c:pt>
                <c:pt idx="4">
                  <c:v>69.565217391304344</c:v>
                </c:pt>
                <c:pt idx="5">
                  <c:v>69.826086956521735</c:v>
                </c:pt>
                <c:pt idx="6">
                  <c:v>65.652173913043484</c:v>
                </c:pt>
                <c:pt idx="7">
                  <c:v>39.958333333333336</c:v>
                </c:pt>
                <c:pt idx="8">
                  <c:v>34.25</c:v>
                </c:pt>
                <c:pt idx="9">
                  <c:v>55.041666666666664</c:v>
                </c:pt>
                <c:pt idx="10">
                  <c:v>57.409090909090907</c:v>
                </c:pt>
                <c:pt idx="11">
                  <c:v>52.81818181818182</c:v>
                </c:pt>
                <c:pt idx="12">
                  <c:v>58.583333333333336</c:v>
                </c:pt>
                <c:pt idx="13">
                  <c:v>61.782608695652172</c:v>
                </c:pt>
                <c:pt idx="14">
                  <c:v>52</c:v>
                </c:pt>
                <c:pt idx="15">
                  <c:v>50.166666666666664</c:v>
                </c:pt>
                <c:pt idx="16">
                  <c:v>41.666666666666664</c:v>
                </c:pt>
                <c:pt idx="17">
                  <c:v>56.916666666666664</c:v>
                </c:pt>
                <c:pt idx="18">
                  <c:v>71.739130434782609</c:v>
                </c:pt>
                <c:pt idx="19">
                  <c:v>80.291666666666671</c:v>
                </c:pt>
                <c:pt idx="20">
                  <c:v>64.291666666666671</c:v>
                </c:pt>
                <c:pt idx="21">
                  <c:v>42.652173913043477</c:v>
                </c:pt>
                <c:pt idx="22">
                  <c:v>42.869565217391305</c:v>
                </c:pt>
                <c:pt idx="23">
                  <c:v>61.565217391304351</c:v>
                </c:pt>
                <c:pt idx="24">
                  <c:v>86.304347826086953</c:v>
                </c:pt>
                <c:pt idx="25">
                  <c:v>31.625</c:v>
                </c:pt>
                <c:pt idx="26">
                  <c:v>53.875</c:v>
                </c:pt>
                <c:pt idx="27">
                  <c:v>38.06666666666667</c:v>
                </c:pt>
              </c:numCache>
            </c:numRef>
          </c:val>
          <c:smooth val="0"/>
          <c:extLst>
            <c:ext xmlns:c16="http://schemas.microsoft.com/office/drawing/2014/chart" uri="{C3380CC4-5D6E-409C-BE32-E72D297353CC}">
              <c16:uniqueId val="{00000000-D119-460A-9F37-9518E5D317DF}"/>
            </c:ext>
          </c:extLst>
        </c:ser>
        <c:ser>
          <c:idx val="1"/>
          <c:order val="1"/>
          <c:tx>
            <c:strRef>
              <c:f>Forecast!$C$22</c:f>
              <c:strCache>
                <c:ptCount val="1"/>
                <c:pt idx="0">
                  <c:v>Forecast(total_customer)</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Forecast!$A$23:$A$64</c:f>
              <c:numCache>
                <c:formatCode>m/d/yyyy</c:formatCode>
                <c:ptCount val="42"/>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numCache>
            </c:numRef>
          </c:cat>
          <c:val>
            <c:numRef>
              <c:f>Forecast!$C$23:$C$64</c:f>
              <c:numCache>
                <c:formatCode>General</c:formatCode>
                <c:ptCount val="42"/>
                <c:pt idx="27" formatCode="0.00">
                  <c:v>38.06666666666667</c:v>
                </c:pt>
                <c:pt idx="28" formatCode="0.00">
                  <c:v>40.024790724090145</c:v>
                </c:pt>
                <c:pt idx="29" formatCode="0.00">
                  <c:v>35.874001603077829</c:v>
                </c:pt>
                <c:pt idx="30" formatCode="0.00">
                  <c:v>52.697995185828823</c:v>
                </c:pt>
                <c:pt idx="31" formatCode="0.00">
                  <c:v>56.548798521377336</c:v>
                </c:pt>
                <c:pt idx="32" formatCode="0.00">
                  <c:v>54.010119527889771</c:v>
                </c:pt>
                <c:pt idx="33" formatCode="0.00">
                  <c:v>57.339428082721284</c:v>
                </c:pt>
                <c:pt idx="34" formatCode="0.00">
                  <c:v>56.006038105996709</c:v>
                </c:pt>
                <c:pt idx="35" formatCode="0.00">
                  <c:v>38.785363455111067</c:v>
                </c:pt>
                <c:pt idx="36" formatCode="0.00">
                  <c:v>34.634574334098751</c:v>
                </c:pt>
                <c:pt idx="37" formatCode="0.00">
                  <c:v>51.458567916849738</c:v>
                </c:pt>
                <c:pt idx="38" formatCode="0.00">
                  <c:v>55.30937125239825</c:v>
                </c:pt>
                <c:pt idx="39" formatCode="0.00">
                  <c:v>52.770692258910692</c:v>
                </c:pt>
                <c:pt idx="40" formatCode="0.00">
                  <c:v>56.100000813742206</c:v>
                </c:pt>
                <c:pt idx="41" formatCode="0.00">
                  <c:v>54.76661083701763</c:v>
                </c:pt>
              </c:numCache>
            </c:numRef>
          </c:val>
          <c:smooth val="0"/>
          <c:extLst>
            <c:ext xmlns:c16="http://schemas.microsoft.com/office/drawing/2014/chart" uri="{C3380CC4-5D6E-409C-BE32-E72D297353CC}">
              <c16:uniqueId val="{00000001-D119-460A-9F37-9518E5D317DF}"/>
            </c:ext>
          </c:extLst>
        </c:ser>
        <c:ser>
          <c:idx val="2"/>
          <c:order val="2"/>
          <c:tx>
            <c:strRef>
              <c:f>Forecast!$D$22</c:f>
              <c:strCache>
                <c:ptCount val="1"/>
                <c:pt idx="0">
                  <c:v>Lower Confidence Bound(total_customer)</c:v>
                </c:pt>
              </c:strCache>
            </c:strRef>
          </c:tx>
          <c:spPr>
            <a:ln w="22225" cap="rnd">
              <a:solidFill>
                <a:schemeClr val="accent3"/>
              </a:solidFill>
              <a:round/>
            </a:ln>
            <a:effectLst/>
          </c:spPr>
          <c:marker>
            <c:symbol val="triangle"/>
            <c:size val="6"/>
            <c:spPr>
              <a:solidFill>
                <a:schemeClr val="accent3"/>
              </a:solidFill>
              <a:ln w="9525">
                <a:solidFill>
                  <a:schemeClr val="accent3"/>
                </a:solidFill>
                <a:round/>
              </a:ln>
              <a:effectLst/>
            </c:spPr>
          </c:marker>
          <c:cat>
            <c:numRef>
              <c:f>Forecast!$A$23:$A$64</c:f>
              <c:numCache>
                <c:formatCode>m/d/yyyy</c:formatCode>
                <c:ptCount val="42"/>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numCache>
            </c:numRef>
          </c:cat>
          <c:val>
            <c:numRef>
              <c:f>Forecast!$D$23:$D$64</c:f>
              <c:numCache>
                <c:formatCode>General</c:formatCode>
                <c:ptCount val="42"/>
                <c:pt idx="27" formatCode="0.00">
                  <c:v>38.06666666666667</c:v>
                </c:pt>
                <c:pt idx="28" formatCode="0.00">
                  <c:v>17.444044283269577</c:v>
                </c:pt>
                <c:pt idx="29" formatCode="0.00">
                  <c:v>13.111881152513643</c:v>
                </c:pt>
                <c:pt idx="30" formatCode="0.00">
                  <c:v>29.753101048671443</c:v>
                </c:pt>
                <c:pt idx="31" formatCode="0.00">
                  <c:v>33.419742157510029</c:v>
                </c:pt>
                <c:pt idx="32" formatCode="0.00">
                  <c:v>30.695523431474395</c:v>
                </c:pt>
                <c:pt idx="33" formatCode="0.00">
                  <c:v>33.837925677264572</c:v>
                </c:pt>
                <c:pt idx="34" formatCode="0.00">
                  <c:v>32.316273637195593</c:v>
                </c:pt>
                <c:pt idx="35" formatCode="0.00">
                  <c:v>14.9031414605126</c:v>
                </c:pt>
                <c:pt idx="36" formatCode="0.00">
                  <c:v>10.561433404604443</c:v>
                </c:pt>
                <c:pt idx="37" formatCode="0.00">
                  <c:v>27.193183900460301</c:v>
                </c:pt>
                <c:pt idx="38" formatCode="0.00">
                  <c:v>30.850430373158115</c:v>
                </c:pt>
                <c:pt idx="39" formatCode="0.00">
                  <c:v>28.116891002198518</c:v>
                </c:pt>
                <c:pt idx="40" formatCode="0.00">
                  <c:v>31.250045810624734</c:v>
                </c:pt>
                <c:pt idx="41" formatCode="0.00">
                  <c:v>29.719218747842262</c:v>
                </c:pt>
              </c:numCache>
            </c:numRef>
          </c:val>
          <c:smooth val="0"/>
          <c:extLst>
            <c:ext xmlns:c16="http://schemas.microsoft.com/office/drawing/2014/chart" uri="{C3380CC4-5D6E-409C-BE32-E72D297353CC}">
              <c16:uniqueId val="{00000002-D119-460A-9F37-9518E5D317DF}"/>
            </c:ext>
          </c:extLst>
        </c:ser>
        <c:ser>
          <c:idx val="3"/>
          <c:order val="3"/>
          <c:tx>
            <c:strRef>
              <c:f>Forecast!$E$22</c:f>
              <c:strCache>
                <c:ptCount val="1"/>
                <c:pt idx="0">
                  <c:v>Upper Confidence Bound(total_customer)</c:v>
                </c:pt>
              </c:strCache>
            </c:strRef>
          </c:tx>
          <c:spPr>
            <a:ln w="22225" cap="rnd">
              <a:solidFill>
                <a:schemeClr val="accent4"/>
              </a:solidFill>
              <a:round/>
            </a:ln>
            <a:effectLst/>
          </c:spPr>
          <c:marker>
            <c:symbol val="x"/>
            <c:size val="6"/>
            <c:spPr>
              <a:noFill/>
              <a:ln w="9525">
                <a:solidFill>
                  <a:schemeClr val="accent4"/>
                </a:solidFill>
                <a:round/>
              </a:ln>
              <a:effectLst/>
            </c:spPr>
          </c:marker>
          <c:cat>
            <c:numRef>
              <c:f>Forecast!$A$23:$A$64</c:f>
              <c:numCache>
                <c:formatCode>m/d/yyyy</c:formatCode>
                <c:ptCount val="42"/>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numCache>
            </c:numRef>
          </c:cat>
          <c:val>
            <c:numRef>
              <c:f>Forecast!$E$23:$E$64</c:f>
              <c:numCache>
                <c:formatCode>General</c:formatCode>
                <c:ptCount val="42"/>
                <c:pt idx="27" formatCode="0.00">
                  <c:v>38.06666666666667</c:v>
                </c:pt>
                <c:pt idx="28" formatCode="0.00">
                  <c:v>62.605537164910714</c:v>
                </c:pt>
                <c:pt idx="29" formatCode="0.00">
                  <c:v>58.636122053642012</c:v>
                </c:pt>
                <c:pt idx="30" formatCode="0.00">
                  <c:v>75.642889322986207</c:v>
                </c:pt>
                <c:pt idx="31" formatCode="0.00">
                  <c:v>79.677854885244642</c:v>
                </c:pt>
                <c:pt idx="32" formatCode="0.00">
                  <c:v>77.324715624305142</c:v>
                </c:pt>
                <c:pt idx="33" formatCode="0.00">
                  <c:v>80.840930488178003</c:v>
                </c:pt>
                <c:pt idx="34" formatCode="0.00">
                  <c:v>79.695802574797824</c:v>
                </c:pt>
                <c:pt idx="35" formatCode="0.00">
                  <c:v>62.667585449709534</c:v>
                </c:pt>
                <c:pt idx="36" formatCode="0.00">
                  <c:v>58.707715263593059</c:v>
                </c:pt>
                <c:pt idx="37" formatCode="0.00">
                  <c:v>75.723951933239178</c:v>
                </c:pt>
                <c:pt idx="38" formatCode="0.00">
                  <c:v>79.768312131638382</c:v>
                </c:pt>
                <c:pt idx="39" formatCode="0.00">
                  <c:v>77.424493515622871</c:v>
                </c:pt>
                <c:pt idx="40" formatCode="0.00">
                  <c:v>80.949955816859671</c:v>
                </c:pt>
                <c:pt idx="41" formatCode="0.00">
                  <c:v>79.814002926192998</c:v>
                </c:pt>
              </c:numCache>
            </c:numRef>
          </c:val>
          <c:smooth val="0"/>
          <c:extLst>
            <c:ext xmlns:c16="http://schemas.microsoft.com/office/drawing/2014/chart" uri="{C3380CC4-5D6E-409C-BE32-E72D297353CC}">
              <c16:uniqueId val="{00000003-D119-460A-9F37-9518E5D317DF}"/>
            </c:ext>
          </c:extLst>
        </c:ser>
        <c:dLbls>
          <c:showLegendKey val="0"/>
          <c:showVal val="0"/>
          <c:showCatName val="0"/>
          <c:showSerName val="0"/>
          <c:showPercent val="0"/>
          <c:showBubbleSize val="0"/>
        </c:dLbls>
        <c:marker val="1"/>
        <c:smooth val="0"/>
        <c:axId val="1427013840"/>
        <c:axId val="1427014320"/>
      </c:lineChart>
      <c:catAx>
        <c:axId val="1427013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date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427014320"/>
        <c:crosses val="autoZero"/>
        <c:auto val="1"/>
        <c:lblAlgn val="ctr"/>
        <c:lblOffset val="100"/>
        <c:noMultiLvlLbl val="0"/>
      </c:catAx>
      <c:valAx>
        <c:axId val="1427014320"/>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Total customer</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7013840"/>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265813</xdr:colOff>
      <xdr:row>15</xdr:row>
      <xdr:rowOff>145551</xdr:rowOff>
    </xdr:to>
    <xdr:graphicFrame macro="">
      <xdr:nvGraphicFramePr>
        <xdr:cNvPr id="4" name="Chart 3">
          <a:extLst>
            <a:ext uri="{FF2B5EF4-FFF2-40B4-BE49-F238E27FC236}">
              <a16:creationId xmlns:a16="http://schemas.microsoft.com/office/drawing/2014/main" id="{BAB9EBEE-8969-C34F-D732-CB3075FEC2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16</xdr:row>
      <xdr:rowOff>32536</xdr:rowOff>
    </xdr:from>
    <xdr:to>
      <xdr:col>10</xdr:col>
      <xdr:colOff>43296</xdr:colOff>
      <xdr:row>31</xdr:row>
      <xdr:rowOff>35443</xdr:rowOff>
    </xdr:to>
    <xdr:graphicFrame macro="">
      <xdr:nvGraphicFramePr>
        <xdr:cNvPr id="5" name="Chart 4">
          <a:extLst>
            <a:ext uri="{FF2B5EF4-FFF2-40B4-BE49-F238E27FC236}">
              <a16:creationId xmlns:a16="http://schemas.microsoft.com/office/drawing/2014/main" id="{AC046901-5272-C643-B586-3AF892000B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79743</xdr:colOff>
      <xdr:row>16</xdr:row>
      <xdr:rowOff>37214</xdr:rowOff>
    </xdr:from>
    <xdr:to>
      <xdr:col>14</xdr:col>
      <xdr:colOff>327837</xdr:colOff>
      <xdr:row>31</xdr:row>
      <xdr:rowOff>44303</xdr:rowOff>
    </xdr:to>
    <xdr:graphicFrame macro="">
      <xdr:nvGraphicFramePr>
        <xdr:cNvPr id="8" name="Chart 7">
          <a:extLst>
            <a:ext uri="{FF2B5EF4-FFF2-40B4-BE49-F238E27FC236}">
              <a16:creationId xmlns:a16="http://schemas.microsoft.com/office/drawing/2014/main" id="{D91E3A5C-B956-64DD-4AE9-E941581D7B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324824</xdr:colOff>
      <xdr:row>0</xdr:row>
      <xdr:rowOff>5670</xdr:rowOff>
    </xdr:from>
    <xdr:to>
      <xdr:col>14</xdr:col>
      <xdr:colOff>319507</xdr:colOff>
      <xdr:row>15</xdr:row>
      <xdr:rowOff>159488</xdr:rowOff>
    </xdr:to>
    <mc:AlternateContent xmlns:mc="http://schemas.openxmlformats.org/markup-compatibility/2006" xmlns:a14="http://schemas.microsoft.com/office/drawing/2010/main">
      <mc:Choice Requires="a14">
        <xdr:graphicFrame macro="">
          <xdr:nvGraphicFramePr>
            <xdr:cNvPr id="9" name="date">
              <a:extLst>
                <a:ext uri="{FF2B5EF4-FFF2-40B4-BE49-F238E27FC236}">
                  <a16:creationId xmlns:a16="http://schemas.microsoft.com/office/drawing/2014/main" id="{38822DFB-A464-6E59-F246-88595C5B61B6}"/>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4811684" y="5670"/>
              <a:ext cx="1828800" cy="29448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22860</xdr:colOff>
      <xdr:row>20</xdr:row>
      <xdr:rowOff>106680</xdr:rowOff>
    </xdr:to>
    <xdr:graphicFrame macro="">
      <xdr:nvGraphicFramePr>
        <xdr:cNvPr id="2" name="Chart 1">
          <a:extLst>
            <a:ext uri="{FF2B5EF4-FFF2-40B4-BE49-F238E27FC236}">
              <a16:creationId xmlns:a16="http://schemas.microsoft.com/office/drawing/2014/main" id="{66476CDA-7102-5446-5BA6-AA63F012A9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6.499651388891" createdVersion="8" refreshedVersion="8" minRefreshableVersion="3" recordCount="610" xr:uid="{2D0599B9-8D05-453B-BB9E-19BDED2C158C}">
  <cacheSource type="worksheet">
    <worksheetSource name="Table1"/>
  </cacheSource>
  <cacheFields count="29">
    <cacheField name="instant" numFmtId="0">
      <sharedItems containsSemiMixedTypes="0" containsString="0" containsNumber="1" containsInteger="1" minValue="1" maxValue="610"/>
    </cacheField>
    <cacheField name="date" numFmtId="14">
      <sharedItems containsSemiMixedTypes="0" containsNonDate="0" containsDate="1" containsString="0" minDate="2011-01-01T00:00:00" maxDate="2011-01-29T00:00:00" count="28">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sharedItems>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acheField>
    <cacheField name="holiday" numFmtId="0">
      <sharedItems/>
    </cacheField>
    <cacheField name="weekday" numFmtId="0">
      <sharedItems containsSemiMixedTypes="0" containsString="0" containsNumber="1" containsInteger="1" minValue="0" maxValue="6"/>
    </cacheField>
    <cacheField name="weather_situation" numFmtId="0">
      <sharedItems containsSemiMixedTypes="0" containsString="0" containsNumber="1" containsInteger="1" minValue="1" maxValue="4"/>
    </cacheField>
    <cacheField name="temperature" numFmtId="0">
      <sharedItems containsSemiMixedTypes="0" containsString="0" containsNumber="1" minValue="0.02" maxValue="0.46"/>
    </cacheField>
    <cacheField name="assumed_temperature" numFmtId="0">
      <sharedItems containsSemiMixedTypes="0" containsString="0" containsNumber="1" minValue="0" maxValue="0.45450000000000002" count="29">
        <n v="0.28789999999999999"/>
        <n v="0.2727"/>
        <n v="0.2576"/>
        <n v="0.34849999999999998"/>
        <n v="0.39389999999999997"/>
        <n v="0.33329999999999999"/>
        <n v="0.42420000000000002"/>
        <n v="0.45450000000000002"/>
        <n v="0.43940000000000001"/>
        <n v="0.40910000000000002"/>
        <n v="0.2273"/>
        <n v="0.21210000000000001"/>
        <n v="0.19700000000000001"/>
        <n v="0.13639999999999999"/>
        <n v="0.1061"/>
        <n v="0.1212"/>
        <n v="0.16669999999999999"/>
        <n v="0.18179999999999999"/>
        <n v="0.2424"/>
        <n v="0.1515"/>
        <n v="0.31819999999999998"/>
        <n v="6.0600000000000001E-2"/>
        <n v="7.5800000000000006E-2"/>
        <n v="9.0899999999999995E-2"/>
        <n v="0.30299999999999999"/>
        <n v="3.0300000000000001E-2"/>
        <n v="4.5499999999999999E-2"/>
        <n v="0"/>
        <n v="1.52E-2"/>
      </sharedItems>
    </cacheField>
    <cacheField name="humidity"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_customer" numFmtId="0">
      <sharedItems containsSemiMixedTypes="0" containsString="0" containsNumber="1" containsInteger="1" minValue="0" maxValue="47"/>
    </cacheField>
    <cacheField name="registered_customer" numFmtId="0">
      <sharedItems containsSemiMixedTypes="0" containsString="0" containsNumber="1" containsInteger="1" minValue="0" maxValue="247"/>
    </cacheField>
    <cacheField name="total_customer" numFmtId="0">
      <sharedItems containsSemiMixedTypes="0" containsString="0" containsNumber="1" containsInteger="1" minValue="1" maxValue="249"/>
    </cacheField>
    <cacheField name="Season_Name" numFmtId="0">
      <sharedItems/>
    </cacheField>
    <cacheField name="Weekday_Name" numFmtId="0">
      <sharedItems/>
    </cacheField>
    <cacheField name="Weather_Description" numFmtId="0">
      <sharedItems/>
    </cacheField>
    <cacheField name="Time_of_Day" numFmtId="0">
      <sharedItems count="4">
        <s v="Night"/>
        <s v="Morning"/>
        <s v="Afternoon"/>
        <s v="Evening"/>
      </sharedItems>
    </cacheField>
    <cacheField name="Temperature_Level" numFmtId="0">
      <sharedItems/>
    </cacheField>
    <cacheField name="Humidity_Level" numFmtId="0">
      <sharedItems/>
    </cacheField>
    <cacheField name="Wind_Level" numFmtId="0">
      <sharedItems/>
    </cacheField>
    <cacheField name="Day_Type" numFmtId="0">
      <sharedItems/>
    </cacheField>
    <cacheField name="Customer_Type" numFmtId="0">
      <sharedItems/>
    </cacheField>
    <cacheField name="Casual_Percentage" numFmtId="0">
      <sharedItems containsSemiMixedTypes="0" containsString="0" containsNumber="1" minValue="0" maxValue="100"/>
    </cacheField>
    <cacheField name="Registered_Percentage" numFmtId="0">
      <sharedItems containsSemiMixedTypes="0" containsString="0" containsNumber="1" minValue="0" maxValue="100"/>
    </cacheField>
    <cacheField name="Rush_Hour" numFmtId="0">
      <sharedItems/>
    </cacheField>
    <cacheField name="Demand_Level" numFmtId="0">
      <sharedItems/>
    </cacheField>
    <cacheField name="Weekend" numFmtId="0">
      <sharedItems/>
    </cacheField>
    <cacheField name="Feels_Like_Difference" numFmtId="0">
      <sharedItems containsSemiMixedTypes="0" containsString="0" containsNumber="1" minValue="-5.0900000000000001E-2" maxValue="0.1012"/>
    </cacheField>
  </cacheFields>
  <extLst>
    <ext xmlns:x14="http://schemas.microsoft.com/office/spreadsheetml/2009/9/main" uri="{725AE2AE-9491-48be-B2B4-4EB974FC3084}">
      <x14:pivotCacheDefinition pivotCacheId="2872510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0">
  <r>
    <n v="1"/>
    <x v="0"/>
    <n v="1"/>
    <n v="0"/>
    <b v="0"/>
    <n v="6"/>
    <n v="1"/>
    <n v="0.24"/>
    <x v="0"/>
    <n v="0.81"/>
    <n v="0"/>
    <n v="3"/>
    <n v="13"/>
    <n v="16"/>
    <s v="Spring"/>
    <s v="Saturday"/>
    <s v="Clear"/>
    <x v="0"/>
    <s v="Cold"/>
    <s v="High"/>
    <s v="Calm"/>
    <s v="Working Day"/>
    <s v="Mostly Registered"/>
    <n v="18.75"/>
    <n v="81.25"/>
    <s v="No"/>
    <s v="Low"/>
    <s v="Yes"/>
    <n v="4.7899999999999998E-2"/>
  </r>
  <r>
    <n v="2"/>
    <x v="0"/>
    <n v="1"/>
    <n v="1"/>
    <b v="0"/>
    <n v="6"/>
    <n v="1"/>
    <n v="0.22"/>
    <x v="1"/>
    <n v="0.8"/>
    <n v="0"/>
    <n v="8"/>
    <n v="32"/>
    <n v="40"/>
    <s v="Spring"/>
    <s v="Saturday"/>
    <s v="Clear"/>
    <x v="0"/>
    <s v="Cold"/>
    <s v="High"/>
    <s v="Calm"/>
    <s v="Working Day"/>
    <s v="Mostly Registered"/>
    <n v="20"/>
    <n v="80"/>
    <s v="No"/>
    <s v="Low"/>
    <s v="Yes"/>
    <n v="5.2699999999999997E-2"/>
  </r>
  <r>
    <n v="3"/>
    <x v="0"/>
    <n v="1"/>
    <n v="2"/>
    <b v="0"/>
    <n v="6"/>
    <n v="1"/>
    <n v="0.22"/>
    <x v="1"/>
    <n v="0.8"/>
    <n v="0"/>
    <n v="5"/>
    <n v="27"/>
    <n v="32"/>
    <s v="Spring"/>
    <s v="Saturday"/>
    <s v="Clear"/>
    <x v="0"/>
    <s v="Cold"/>
    <s v="High"/>
    <s v="Calm"/>
    <s v="Working Day"/>
    <s v="Mostly Registered"/>
    <n v="15.625"/>
    <n v="84.375"/>
    <s v="No"/>
    <s v="Low"/>
    <s v="Yes"/>
    <n v="5.2699999999999997E-2"/>
  </r>
  <r>
    <n v="4"/>
    <x v="0"/>
    <n v="1"/>
    <n v="3"/>
    <b v="0"/>
    <n v="6"/>
    <n v="1"/>
    <n v="0.24"/>
    <x v="0"/>
    <n v="0.75"/>
    <n v="0"/>
    <n v="3"/>
    <n v="10"/>
    <n v="13"/>
    <s v="Spring"/>
    <s v="Saturday"/>
    <s v="Clear"/>
    <x v="0"/>
    <s v="Cold"/>
    <s v="High"/>
    <s v="Calm"/>
    <s v="Working Day"/>
    <s v="Mostly Registered"/>
    <n v="23.07692307692308"/>
    <n v="76.923076923076934"/>
    <s v="No"/>
    <s v="Low"/>
    <s v="Yes"/>
    <n v="4.7899999999999998E-2"/>
  </r>
  <r>
    <n v="5"/>
    <x v="0"/>
    <n v="1"/>
    <n v="4"/>
    <b v="0"/>
    <n v="6"/>
    <n v="1"/>
    <n v="0.24"/>
    <x v="0"/>
    <n v="0.75"/>
    <n v="0"/>
    <n v="0"/>
    <n v="1"/>
    <n v="1"/>
    <s v="Spring"/>
    <s v="Saturday"/>
    <s v="Clear"/>
    <x v="0"/>
    <s v="Cold"/>
    <s v="High"/>
    <s v="Calm"/>
    <s v="Working Day"/>
    <s v="Mostly Registered"/>
    <n v="0"/>
    <n v="100"/>
    <s v="No"/>
    <s v="Low"/>
    <s v="Yes"/>
    <n v="4.7899999999999998E-2"/>
  </r>
  <r>
    <n v="6"/>
    <x v="0"/>
    <n v="1"/>
    <n v="5"/>
    <b v="0"/>
    <n v="6"/>
    <n v="2"/>
    <n v="0.24"/>
    <x v="2"/>
    <n v="0.75"/>
    <n v="8.9599999999999999E-2"/>
    <n v="0"/>
    <n v="1"/>
    <n v="1"/>
    <s v="Spring"/>
    <s v="Saturday"/>
    <s v="Mist/Cloudy"/>
    <x v="0"/>
    <s v="Cold"/>
    <s v="High"/>
    <s v="Calm"/>
    <s v="Working Day"/>
    <s v="Mostly Registered"/>
    <n v="0"/>
    <n v="100"/>
    <s v="No"/>
    <s v="Low"/>
    <s v="Yes"/>
    <n v="1.7600000000000001E-2"/>
  </r>
  <r>
    <n v="7"/>
    <x v="0"/>
    <n v="1"/>
    <n v="6"/>
    <b v="0"/>
    <n v="6"/>
    <n v="1"/>
    <n v="0.22"/>
    <x v="1"/>
    <n v="0.8"/>
    <n v="0"/>
    <n v="2"/>
    <n v="0"/>
    <n v="2"/>
    <s v="Spring"/>
    <s v="Saturday"/>
    <s v="Clear"/>
    <x v="1"/>
    <s v="Cold"/>
    <s v="High"/>
    <s v="Calm"/>
    <s v="Working Day"/>
    <s v="Mostly Casual"/>
    <n v="100"/>
    <n v="0"/>
    <s v="No"/>
    <s v="Low"/>
    <s v="Yes"/>
    <n v="5.2699999999999997E-2"/>
  </r>
  <r>
    <n v="8"/>
    <x v="0"/>
    <n v="1"/>
    <n v="7"/>
    <b v="0"/>
    <n v="6"/>
    <n v="1"/>
    <n v="0.2"/>
    <x v="2"/>
    <n v="0.86"/>
    <n v="0"/>
    <n v="1"/>
    <n v="2"/>
    <n v="3"/>
    <s v="Spring"/>
    <s v="Saturday"/>
    <s v="Clear"/>
    <x v="1"/>
    <s v="Cold"/>
    <s v="High"/>
    <s v="Calm"/>
    <s v="Working Day"/>
    <s v="Mostly Registered"/>
    <n v="33.333333333333329"/>
    <n v="66.666666666666657"/>
    <s v="Yes"/>
    <s v="Low"/>
    <s v="Yes"/>
    <n v="5.7599999999999978E-2"/>
  </r>
  <r>
    <n v="9"/>
    <x v="0"/>
    <n v="1"/>
    <n v="8"/>
    <b v="0"/>
    <n v="6"/>
    <n v="1"/>
    <n v="0.24"/>
    <x v="2"/>
    <n v="0.75"/>
    <n v="0"/>
    <n v="1"/>
    <n v="7"/>
    <n v="8"/>
    <s v="Spring"/>
    <s v="Saturday"/>
    <s v="Clear"/>
    <x v="1"/>
    <s v="Cold"/>
    <s v="High"/>
    <s v="Calm"/>
    <s v="Working Day"/>
    <s v="Mostly Registered"/>
    <n v="12.5"/>
    <n v="87.5"/>
    <s v="Yes"/>
    <s v="Low"/>
    <s v="Yes"/>
    <n v="1.7600000000000001E-2"/>
  </r>
  <r>
    <n v="10"/>
    <x v="0"/>
    <n v="1"/>
    <n v="9"/>
    <b v="0"/>
    <n v="6"/>
    <n v="1"/>
    <n v="0.32"/>
    <x v="3"/>
    <n v="0.76"/>
    <n v="0"/>
    <n v="8"/>
    <n v="6"/>
    <n v="14"/>
    <s v="Spring"/>
    <s v="Saturday"/>
    <s v="Clear"/>
    <x v="1"/>
    <s v="Mild"/>
    <s v="High"/>
    <s v="Calm"/>
    <s v="Working Day"/>
    <s v="Mostly Casual"/>
    <n v="57.142857142857139"/>
    <n v="42.857142857142847"/>
    <s v="Yes"/>
    <s v="Low"/>
    <s v="Yes"/>
    <n v="2.849999999999997E-2"/>
  </r>
  <r>
    <n v="11"/>
    <x v="0"/>
    <n v="1"/>
    <n v="10"/>
    <b v="0"/>
    <n v="6"/>
    <n v="1"/>
    <n v="0.38"/>
    <x v="4"/>
    <n v="0.76"/>
    <n v="0.25369999999999998"/>
    <n v="12"/>
    <n v="24"/>
    <n v="36"/>
    <s v="Spring"/>
    <s v="Saturday"/>
    <s v="Clear"/>
    <x v="1"/>
    <s v="Warm"/>
    <s v="High"/>
    <s v="Moderate"/>
    <s v="Working Day"/>
    <s v="Mostly Registered"/>
    <n v="33.333333333333329"/>
    <n v="66.666666666666657"/>
    <s v="No"/>
    <s v="Low"/>
    <s v="Yes"/>
    <n v="1.389999999999997E-2"/>
  </r>
  <r>
    <n v="12"/>
    <x v="0"/>
    <n v="1"/>
    <n v="11"/>
    <b v="0"/>
    <n v="6"/>
    <n v="1"/>
    <n v="0.36"/>
    <x v="5"/>
    <n v="0.81"/>
    <n v="0.28360000000000002"/>
    <n v="26"/>
    <n v="30"/>
    <n v="56"/>
    <s v="Spring"/>
    <s v="Saturday"/>
    <s v="Clear"/>
    <x v="1"/>
    <s v="Warm"/>
    <s v="High"/>
    <s v="Moderate"/>
    <s v="Working Day"/>
    <s v="Mostly Registered"/>
    <n v="46.428571428571431"/>
    <n v="53.571428571428569"/>
    <s v="No"/>
    <s v="Low"/>
    <s v="Yes"/>
    <n v="-2.6700000000000002E-2"/>
  </r>
  <r>
    <n v="13"/>
    <x v="0"/>
    <n v="1"/>
    <n v="12"/>
    <b v="0"/>
    <n v="6"/>
    <n v="1"/>
    <n v="0.42"/>
    <x v="6"/>
    <n v="0.77"/>
    <n v="0.28360000000000002"/>
    <n v="29"/>
    <n v="55"/>
    <n v="84"/>
    <s v="Spring"/>
    <s v="Saturday"/>
    <s v="Clear"/>
    <x v="2"/>
    <s v="Warm"/>
    <s v="High"/>
    <s v="Moderate"/>
    <s v="Working Day"/>
    <s v="Mostly Registered"/>
    <n v="34.523809523809533"/>
    <n v="65.476190476190482"/>
    <s v="No"/>
    <s v="Low"/>
    <s v="Yes"/>
    <n v="4.200000000000037E-3"/>
  </r>
  <r>
    <n v="14"/>
    <x v="0"/>
    <n v="1"/>
    <n v="13"/>
    <b v="0"/>
    <n v="6"/>
    <n v="2"/>
    <n v="0.46"/>
    <x v="7"/>
    <n v="0.72"/>
    <n v="0.29849999999999999"/>
    <n v="47"/>
    <n v="47"/>
    <n v="94"/>
    <s v="Spring"/>
    <s v="Saturday"/>
    <s v="Mist/Cloudy"/>
    <x v="2"/>
    <s v="Hot"/>
    <s v="High"/>
    <s v="Moderate"/>
    <s v="Working Day"/>
    <s v="Mostly Registered"/>
    <n v="50"/>
    <n v="50"/>
    <s v="No"/>
    <s v="Low"/>
    <s v="Yes"/>
    <n v="-5.5000000000000049E-3"/>
  </r>
  <r>
    <n v="15"/>
    <x v="0"/>
    <n v="1"/>
    <n v="14"/>
    <b v="0"/>
    <n v="6"/>
    <n v="2"/>
    <n v="0.46"/>
    <x v="7"/>
    <n v="0.72"/>
    <n v="0.28360000000000002"/>
    <n v="35"/>
    <n v="71"/>
    <n v="106"/>
    <s v="Spring"/>
    <s v="Saturday"/>
    <s v="Mist/Cloudy"/>
    <x v="2"/>
    <s v="Hot"/>
    <s v="High"/>
    <s v="Moderate"/>
    <s v="Working Day"/>
    <s v="Mostly Registered"/>
    <n v="33.018867924528301"/>
    <n v="66.981132075471692"/>
    <s v="No"/>
    <s v="Medium"/>
    <s v="Yes"/>
    <n v="-5.5000000000000049E-3"/>
  </r>
  <r>
    <n v="16"/>
    <x v="0"/>
    <n v="1"/>
    <n v="15"/>
    <b v="0"/>
    <n v="6"/>
    <n v="2"/>
    <n v="0.44"/>
    <x v="8"/>
    <n v="0.77"/>
    <n v="0.29849999999999999"/>
    <n v="40"/>
    <n v="70"/>
    <n v="110"/>
    <s v="Spring"/>
    <s v="Saturday"/>
    <s v="Mist/Cloudy"/>
    <x v="2"/>
    <s v="Warm"/>
    <s v="High"/>
    <s v="Moderate"/>
    <s v="Working Day"/>
    <s v="Mostly Registered"/>
    <n v="36.363636363636367"/>
    <n v="63.636363636363633"/>
    <s v="No"/>
    <s v="Medium"/>
    <s v="Yes"/>
    <n v="-5.9999999999998943E-4"/>
  </r>
  <r>
    <n v="17"/>
    <x v="0"/>
    <n v="1"/>
    <n v="16"/>
    <b v="0"/>
    <n v="6"/>
    <n v="2"/>
    <n v="0.42"/>
    <x v="6"/>
    <n v="0.82"/>
    <n v="0.29849999999999999"/>
    <n v="41"/>
    <n v="52"/>
    <n v="93"/>
    <s v="Spring"/>
    <s v="Saturday"/>
    <s v="Mist/Cloudy"/>
    <x v="2"/>
    <s v="Warm"/>
    <s v="High"/>
    <s v="Moderate"/>
    <s v="Working Day"/>
    <s v="Mostly Registered"/>
    <n v="44.086021505376337"/>
    <n v="55.913978494623649"/>
    <s v="No"/>
    <s v="Low"/>
    <s v="Yes"/>
    <n v="4.200000000000037E-3"/>
  </r>
  <r>
    <n v="18"/>
    <x v="0"/>
    <n v="1"/>
    <n v="17"/>
    <b v="0"/>
    <n v="6"/>
    <n v="2"/>
    <n v="0.44"/>
    <x v="6"/>
    <n v="0.82"/>
    <n v="0.28360000000000002"/>
    <n v="15"/>
    <n v="52"/>
    <n v="67"/>
    <s v="Spring"/>
    <s v="Saturday"/>
    <s v="Mist/Cloudy"/>
    <x v="3"/>
    <s v="Warm"/>
    <s v="High"/>
    <s v="Moderate"/>
    <s v="Working Day"/>
    <s v="Mostly Registered"/>
    <n v="22.388059701492541"/>
    <n v="77.611940298507463"/>
    <s v="Yes"/>
    <s v="Low"/>
    <s v="Yes"/>
    <n v="-1.5799999999999981E-2"/>
  </r>
  <r>
    <n v="19"/>
    <x v="0"/>
    <n v="1"/>
    <n v="18"/>
    <b v="0"/>
    <n v="6"/>
    <n v="3"/>
    <n v="0.42"/>
    <x v="6"/>
    <n v="0.88"/>
    <n v="0.25369999999999998"/>
    <n v="9"/>
    <n v="26"/>
    <n v="35"/>
    <s v="Spring"/>
    <s v="Saturday"/>
    <s v="Light Rain/Snow"/>
    <x v="3"/>
    <s v="Warm"/>
    <s v="High"/>
    <s v="Moderate"/>
    <s v="Working Day"/>
    <s v="Mostly Registered"/>
    <n v="25.714285714285712"/>
    <n v="74.285714285714292"/>
    <s v="Yes"/>
    <s v="Low"/>
    <s v="Yes"/>
    <n v="4.200000000000037E-3"/>
  </r>
  <r>
    <n v="20"/>
    <x v="0"/>
    <n v="1"/>
    <n v="19"/>
    <b v="0"/>
    <n v="6"/>
    <n v="3"/>
    <n v="0.42"/>
    <x v="6"/>
    <n v="0.88"/>
    <n v="0.25369999999999998"/>
    <n v="6"/>
    <n v="31"/>
    <n v="37"/>
    <s v="Spring"/>
    <s v="Saturday"/>
    <s v="Light Rain/Snow"/>
    <x v="3"/>
    <s v="Warm"/>
    <s v="High"/>
    <s v="Moderate"/>
    <s v="Working Day"/>
    <s v="Mostly Registered"/>
    <n v="16.216216216216221"/>
    <n v="83.78378378378379"/>
    <s v="Yes"/>
    <s v="Low"/>
    <s v="Yes"/>
    <n v="4.200000000000037E-3"/>
  </r>
  <r>
    <n v="21"/>
    <x v="0"/>
    <n v="1"/>
    <n v="20"/>
    <b v="0"/>
    <n v="6"/>
    <n v="2"/>
    <n v="0.4"/>
    <x v="9"/>
    <n v="0.87"/>
    <n v="0.25369999999999998"/>
    <n v="11"/>
    <n v="25"/>
    <n v="36"/>
    <s v="Spring"/>
    <s v="Saturday"/>
    <s v="Mist/Cloudy"/>
    <x v="3"/>
    <s v="Warm"/>
    <s v="High"/>
    <s v="Moderate"/>
    <s v="Working Day"/>
    <s v="Mostly Registered"/>
    <n v="30.555555555555561"/>
    <n v="69.444444444444443"/>
    <s v="No"/>
    <s v="Low"/>
    <s v="Yes"/>
    <n v="9.099999999999997E-3"/>
  </r>
  <r>
    <n v="22"/>
    <x v="0"/>
    <n v="1"/>
    <n v="21"/>
    <b v="0"/>
    <n v="6"/>
    <n v="2"/>
    <n v="0.4"/>
    <x v="9"/>
    <n v="0.87"/>
    <n v="0.19400000000000001"/>
    <n v="3"/>
    <n v="31"/>
    <n v="34"/>
    <s v="Spring"/>
    <s v="Saturday"/>
    <s v="Mist/Cloudy"/>
    <x v="0"/>
    <s v="Warm"/>
    <s v="High"/>
    <s v="Moderate"/>
    <s v="Working Day"/>
    <s v="Mostly Registered"/>
    <n v="8.8235294117647065"/>
    <n v="91.17647058823529"/>
    <s v="No"/>
    <s v="Low"/>
    <s v="Yes"/>
    <n v="9.099999999999997E-3"/>
  </r>
  <r>
    <n v="23"/>
    <x v="0"/>
    <n v="1"/>
    <n v="22"/>
    <b v="0"/>
    <n v="6"/>
    <n v="2"/>
    <n v="0.4"/>
    <x v="9"/>
    <n v="0.94"/>
    <n v="0.22389999999999999"/>
    <n v="11"/>
    <n v="17"/>
    <n v="28"/>
    <s v="Spring"/>
    <s v="Saturday"/>
    <s v="Mist/Cloudy"/>
    <x v="0"/>
    <s v="Warm"/>
    <s v="High"/>
    <s v="Moderate"/>
    <s v="Working Day"/>
    <s v="Mostly Registered"/>
    <n v="39.285714285714278"/>
    <n v="60.714285714285708"/>
    <s v="No"/>
    <s v="Low"/>
    <s v="Yes"/>
    <n v="9.099999999999997E-3"/>
  </r>
  <r>
    <n v="24"/>
    <x v="0"/>
    <n v="1"/>
    <n v="23"/>
    <b v="0"/>
    <n v="6"/>
    <n v="2"/>
    <n v="0.46"/>
    <x v="9"/>
    <n v="0.88"/>
    <n v="0.29849999999999999"/>
    <n v="15"/>
    <n v="24"/>
    <n v="39"/>
    <s v="Spring"/>
    <s v="Saturday"/>
    <s v="Mist/Cloudy"/>
    <x v="0"/>
    <s v="Hot"/>
    <s v="High"/>
    <s v="Moderate"/>
    <s v="Working Day"/>
    <s v="Mostly Registered"/>
    <n v="38.461538461538467"/>
    <n v="61.53846153846154"/>
    <s v="No"/>
    <s v="Low"/>
    <s v="Yes"/>
    <n v="-5.0900000000000001E-2"/>
  </r>
  <r>
    <n v="25"/>
    <x v="1"/>
    <n v="1"/>
    <n v="0"/>
    <b v="0"/>
    <n v="0"/>
    <n v="2"/>
    <n v="0.46"/>
    <x v="7"/>
    <n v="0.88"/>
    <n v="0.29849999999999999"/>
    <n v="4"/>
    <n v="13"/>
    <n v="17"/>
    <s v="Spring"/>
    <s v="Sunday"/>
    <s v="Mist/Cloudy"/>
    <x v="0"/>
    <s v="Hot"/>
    <s v="High"/>
    <s v="Moderate"/>
    <s v="Working Day"/>
    <s v="Mostly Registered"/>
    <n v="23.52941176470588"/>
    <n v="76.470588235294116"/>
    <s v="No"/>
    <s v="Low"/>
    <s v="Yes"/>
    <n v="-5.5000000000000049E-3"/>
  </r>
  <r>
    <n v="26"/>
    <x v="1"/>
    <n v="1"/>
    <n v="1"/>
    <b v="0"/>
    <n v="0"/>
    <n v="2"/>
    <n v="0.44"/>
    <x v="8"/>
    <n v="0.94"/>
    <n v="0.25369999999999998"/>
    <n v="1"/>
    <n v="16"/>
    <n v="17"/>
    <s v="Spring"/>
    <s v="Sunday"/>
    <s v="Mist/Cloudy"/>
    <x v="0"/>
    <s v="Warm"/>
    <s v="High"/>
    <s v="Moderate"/>
    <s v="Working Day"/>
    <s v="Mostly Registered"/>
    <n v="5.8823529411764701"/>
    <n v="94.117647058823522"/>
    <s v="No"/>
    <s v="Low"/>
    <s v="Yes"/>
    <n v="-5.9999999999998943E-4"/>
  </r>
  <r>
    <n v="27"/>
    <x v="1"/>
    <n v="1"/>
    <n v="2"/>
    <b v="0"/>
    <n v="0"/>
    <n v="2"/>
    <n v="0.42"/>
    <x v="6"/>
    <n v="1"/>
    <n v="0.28360000000000002"/>
    <n v="1"/>
    <n v="8"/>
    <n v="9"/>
    <s v="Spring"/>
    <s v="Sunday"/>
    <s v="Mist/Cloudy"/>
    <x v="0"/>
    <s v="Warm"/>
    <s v="High"/>
    <s v="Moderate"/>
    <s v="Working Day"/>
    <s v="Mostly Registered"/>
    <n v="11.111111111111111"/>
    <n v="88.888888888888886"/>
    <s v="No"/>
    <s v="Low"/>
    <s v="Yes"/>
    <n v="4.200000000000037E-3"/>
  </r>
  <r>
    <n v="28"/>
    <x v="1"/>
    <n v="1"/>
    <n v="3"/>
    <b v="0"/>
    <n v="0"/>
    <n v="2"/>
    <n v="0.46"/>
    <x v="7"/>
    <n v="0.94"/>
    <n v="0.19400000000000001"/>
    <n v="2"/>
    <n v="4"/>
    <n v="6"/>
    <s v="Spring"/>
    <s v="Sunday"/>
    <s v="Mist/Cloudy"/>
    <x v="0"/>
    <s v="Hot"/>
    <s v="High"/>
    <s v="Moderate"/>
    <s v="Working Day"/>
    <s v="Mostly Registered"/>
    <n v="33.333333333333329"/>
    <n v="66.666666666666657"/>
    <s v="No"/>
    <s v="Low"/>
    <s v="Yes"/>
    <n v="-5.5000000000000049E-3"/>
  </r>
  <r>
    <n v="29"/>
    <x v="1"/>
    <n v="1"/>
    <n v="4"/>
    <b v="0"/>
    <n v="0"/>
    <n v="2"/>
    <n v="0.46"/>
    <x v="7"/>
    <n v="0.94"/>
    <n v="0.19400000000000001"/>
    <n v="2"/>
    <n v="1"/>
    <n v="3"/>
    <s v="Spring"/>
    <s v="Sunday"/>
    <s v="Mist/Cloudy"/>
    <x v="0"/>
    <s v="Hot"/>
    <s v="High"/>
    <s v="Moderate"/>
    <s v="Working Day"/>
    <s v="Mostly Casual"/>
    <n v="66.666666666666657"/>
    <n v="33.333333333333329"/>
    <s v="No"/>
    <s v="Low"/>
    <s v="Yes"/>
    <n v="-5.5000000000000049E-3"/>
  </r>
  <r>
    <n v="30"/>
    <x v="1"/>
    <n v="1"/>
    <n v="6"/>
    <b v="0"/>
    <n v="0"/>
    <n v="3"/>
    <n v="0.42"/>
    <x v="6"/>
    <n v="0.77"/>
    <n v="0.29849999999999999"/>
    <n v="0"/>
    <n v="2"/>
    <n v="2"/>
    <s v="Spring"/>
    <s v="Sunday"/>
    <s v="Light Rain/Snow"/>
    <x v="1"/>
    <s v="Warm"/>
    <s v="High"/>
    <s v="Moderate"/>
    <s v="Working Day"/>
    <s v="Mostly Registered"/>
    <n v="0"/>
    <n v="100"/>
    <s v="No"/>
    <s v="Low"/>
    <s v="Yes"/>
    <n v="4.200000000000037E-3"/>
  </r>
  <r>
    <n v="31"/>
    <x v="1"/>
    <n v="1"/>
    <n v="7"/>
    <b v="0"/>
    <n v="0"/>
    <n v="2"/>
    <n v="0.4"/>
    <x v="9"/>
    <n v="0.76"/>
    <n v="0.19400000000000001"/>
    <n v="0"/>
    <n v="1"/>
    <n v="1"/>
    <s v="Spring"/>
    <s v="Sunday"/>
    <s v="Mist/Cloudy"/>
    <x v="1"/>
    <s v="Warm"/>
    <s v="High"/>
    <s v="Moderate"/>
    <s v="Working Day"/>
    <s v="Mostly Registered"/>
    <n v="0"/>
    <n v="100"/>
    <s v="Yes"/>
    <s v="Low"/>
    <s v="Yes"/>
    <n v="9.099999999999997E-3"/>
  </r>
  <r>
    <n v="32"/>
    <x v="1"/>
    <n v="1"/>
    <n v="8"/>
    <b v="0"/>
    <n v="0"/>
    <n v="3"/>
    <n v="0.4"/>
    <x v="9"/>
    <n v="0.71"/>
    <n v="0.22389999999999999"/>
    <n v="0"/>
    <n v="8"/>
    <n v="8"/>
    <s v="Spring"/>
    <s v="Sunday"/>
    <s v="Light Rain/Snow"/>
    <x v="1"/>
    <s v="Warm"/>
    <s v="High"/>
    <s v="Moderate"/>
    <s v="Working Day"/>
    <s v="Mostly Registered"/>
    <n v="0"/>
    <n v="100"/>
    <s v="Yes"/>
    <s v="Low"/>
    <s v="Yes"/>
    <n v="9.099999999999997E-3"/>
  </r>
  <r>
    <n v="33"/>
    <x v="1"/>
    <n v="1"/>
    <n v="9"/>
    <b v="0"/>
    <n v="0"/>
    <n v="2"/>
    <n v="0.38"/>
    <x v="9"/>
    <n v="0.76"/>
    <n v="0.22389999999999999"/>
    <n v="1"/>
    <n v="19"/>
    <n v="20"/>
    <s v="Spring"/>
    <s v="Sunday"/>
    <s v="Mist/Cloudy"/>
    <x v="1"/>
    <s v="Warm"/>
    <s v="High"/>
    <s v="Moderate"/>
    <s v="Working Day"/>
    <s v="Mostly Registered"/>
    <n v="5"/>
    <n v="95"/>
    <s v="Yes"/>
    <s v="Low"/>
    <s v="Yes"/>
    <n v="2.9100000000000011E-2"/>
  </r>
  <r>
    <n v="34"/>
    <x v="1"/>
    <n v="1"/>
    <n v="10"/>
    <b v="0"/>
    <n v="0"/>
    <n v="2"/>
    <n v="0.36"/>
    <x v="3"/>
    <n v="0.81"/>
    <n v="0.22389999999999999"/>
    <n v="7"/>
    <n v="46"/>
    <n v="53"/>
    <s v="Spring"/>
    <s v="Sunday"/>
    <s v="Mist/Cloudy"/>
    <x v="1"/>
    <s v="Warm"/>
    <s v="High"/>
    <s v="Moderate"/>
    <s v="Working Day"/>
    <s v="Mostly Registered"/>
    <n v="13.20754716981132"/>
    <n v="86.79245283018868"/>
    <s v="No"/>
    <s v="Low"/>
    <s v="Yes"/>
    <n v="-1.150000000000001E-2"/>
  </r>
  <r>
    <n v="35"/>
    <x v="1"/>
    <n v="1"/>
    <n v="11"/>
    <b v="0"/>
    <n v="0"/>
    <n v="2"/>
    <n v="0.36"/>
    <x v="5"/>
    <n v="0.71"/>
    <n v="0.25369999999999998"/>
    <n v="16"/>
    <n v="54"/>
    <n v="70"/>
    <s v="Spring"/>
    <s v="Sunday"/>
    <s v="Mist/Cloudy"/>
    <x v="1"/>
    <s v="Warm"/>
    <s v="High"/>
    <s v="Moderate"/>
    <s v="Working Day"/>
    <s v="Mostly Registered"/>
    <n v="22.857142857142861"/>
    <n v="77.142857142857153"/>
    <s v="No"/>
    <s v="Low"/>
    <s v="Yes"/>
    <n v="-2.6700000000000002E-2"/>
  </r>
  <r>
    <n v="36"/>
    <x v="1"/>
    <n v="1"/>
    <n v="12"/>
    <b v="0"/>
    <n v="0"/>
    <n v="2"/>
    <n v="0.36"/>
    <x v="5"/>
    <n v="0.66"/>
    <n v="0.29849999999999999"/>
    <n v="20"/>
    <n v="73"/>
    <n v="93"/>
    <s v="Spring"/>
    <s v="Sunday"/>
    <s v="Mist/Cloudy"/>
    <x v="2"/>
    <s v="Warm"/>
    <s v="Medium"/>
    <s v="Moderate"/>
    <s v="Working Day"/>
    <s v="Mostly Registered"/>
    <n v="21.50537634408602"/>
    <n v="78.494623655913969"/>
    <s v="No"/>
    <s v="Low"/>
    <s v="Yes"/>
    <n v="-2.6700000000000002E-2"/>
  </r>
  <r>
    <n v="37"/>
    <x v="1"/>
    <n v="1"/>
    <n v="13"/>
    <b v="0"/>
    <n v="0"/>
    <n v="2"/>
    <n v="0.36"/>
    <x v="3"/>
    <n v="0.66"/>
    <n v="0.1343"/>
    <n v="11"/>
    <n v="64"/>
    <n v="75"/>
    <s v="Spring"/>
    <s v="Sunday"/>
    <s v="Mist/Cloudy"/>
    <x v="2"/>
    <s v="Warm"/>
    <s v="Medium"/>
    <s v="Calm"/>
    <s v="Working Day"/>
    <s v="Mostly Registered"/>
    <n v="14.66666666666667"/>
    <n v="85.333333333333343"/>
    <s v="No"/>
    <s v="Low"/>
    <s v="Yes"/>
    <n v="-1.150000000000001E-2"/>
  </r>
  <r>
    <n v="38"/>
    <x v="1"/>
    <n v="1"/>
    <n v="14"/>
    <b v="0"/>
    <n v="0"/>
    <n v="3"/>
    <n v="0.36"/>
    <x v="3"/>
    <n v="0.76"/>
    <n v="0.19400000000000001"/>
    <n v="4"/>
    <n v="55"/>
    <n v="59"/>
    <s v="Spring"/>
    <s v="Sunday"/>
    <s v="Light Rain/Snow"/>
    <x v="2"/>
    <s v="Warm"/>
    <s v="High"/>
    <s v="Moderate"/>
    <s v="Working Day"/>
    <s v="Mostly Registered"/>
    <n v="6.7796610169491522"/>
    <n v="93.220338983050837"/>
    <s v="No"/>
    <s v="Low"/>
    <s v="Yes"/>
    <n v="-1.150000000000001E-2"/>
  </r>
  <r>
    <n v="39"/>
    <x v="1"/>
    <n v="1"/>
    <n v="15"/>
    <b v="0"/>
    <n v="0"/>
    <n v="3"/>
    <n v="0.34"/>
    <x v="5"/>
    <n v="0.81"/>
    <n v="0.16420000000000001"/>
    <n v="19"/>
    <n v="55"/>
    <n v="74"/>
    <s v="Spring"/>
    <s v="Sunday"/>
    <s v="Light Rain/Snow"/>
    <x v="2"/>
    <s v="Mild"/>
    <s v="High"/>
    <s v="Moderate"/>
    <s v="Working Day"/>
    <s v="Mostly Registered"/>
    <n v="25.67567567567567"/>
    <n v="74.324324324324323"/>
    <s v="No"/>
    <s v="Low"/>
    <s v="Yes"/>
    <n v="-6.7000000000000393E-3"/>
  </r>
  <r>
    <n v="40"/>
    <x v="1"/>
    <n v="1"/>
    <n v="16"/>
    <b v="0"/>
    <n v="0"/>
    <n v="3"/>
    <n v="0.34"/>
    <x v="5"/>
    <n v="0.71"/>
    <n v="0.16420000000000001"/>
    <n v="9"/>
    <n v="67"/>
    <n v="76"/>
    <s v="Spring"/>
    <s v="Sunday"/>
    <s v="Light Rain/Snow"/>
    <x v="2"/>
    <s v="Mild"/>
    <s v="High"/>
    <s v="Moderate"/>
    <s v="Working Day"/>
    <s v="Mostly Registered"/>
    <n v="11.84210526315789"/>
    <n v="88.157894736842096"/>
    <s v="No"/>
    <s v="Low"/>
    <s v="Yes"/>
    <n v="-6.7000000000000393E-3"/>
  </r>
  <r>
    <n v="41"/>
    <x v="1"/>
    <n v="1"/>
    <n v="17"/>
    <b v="0"/>
    <n v="0"/>
    <n v="1"/>
    <n v="0.34"/>
    <x v="5"/>
    <n v="0.56999999999999995"/>
    <n v="0.19400000000000001"/>
    <n v="7"/>
    <n v="58"/>
    <n v="65"/>
    <s v="Spring"/>
    <s v="Sunday"/>
    <s v="Clear"/>
    <x v="3"/>
    <s v="Mild"/>
    <s v="Medium"/>
    <s v="Moderate"/>
    <s v="Working Day"/>
    <s v="Mostly Registered"/>
    <n v="10.76923076923077"/>
    <n v="89.230769230769241"/>
    <s v="Yes"/>
    <s v="Low"/>
    <s v="Yes"/>
    <n v="-6.7000000000000393E-3"/>
  </r>
  <r>
    <n v="42"/>
    <x v="1"/>
    <n v="1"/>
    <n v="18"/>
    <b v="0"/>
    <n v="0"/>
    <n v="2"/>
    <n v="0.36"/>
    <x v="5"/>
    <n v="0.46"/>
    <n v="0.32840000000000003"/>
    <n v="10"/>
    <n v="43"/>
    <n v="53"/>
    <s v="Spring"/>
    <s v="Sunday"/>
    <s v="Mist/Cloudy"/>
    <x v="3"/>
    <s v="Warm"/>
    <s v="Medium"/>
    <s v="Windy"/>
    <s v="Working Day"/>
    <s v="Mostly Registered"/>
    <n v="18.867924528301891"/>
    <n v="81.132075471698116"/>
    <s v="Yes"/>
    <s v="Low"/>
    <s v="Yes"/>
    <n v="-2.6700000000000002E-2"/>
  </r>
  <r>
    <n v="43"/>
    <x v="1"/>
    <n v="1"/>
    <n v="19"/>
    <b v="0"/>
    <n v="0"/>
    <n v="1"/>
    <n v="0.32"/>
    <x v="0"/>
    <n v="0.42"/>
    <n v="0.44779999999999998"/>
    <n v="1"/>
    <n v="29"/>
    <n v="30"/>
    <s v="Spring"/>
    <s v="Sunday"/>
    <s v="Clear"/>
    <x v="3"/>
    <s v="Mild"/>
    <s v="Medium"/>
    <s v="Windy"/>
    <s v="Working Day"/>
    <s v="Mostly Registered"/>
    <n v="3.333333333333333"/>
    <n v="96.666666666666671"/>
    <s v="Yes"/>
    <s v="Low"/>
    <s v="Yes"/>
    <n v="-3.2100000000000017E-2"/>
  </r>
  <r>
    <n v="44"/>
    <x v="1"/>
    <n v="1"/>
    <n v="20"/>
    <b v="0"/>
    <n v="0"/>
    <n v="1"/>
    <n v="0.3"/>
    <x v="0"/>
    <n v="0.39"/>
    <n v="0.35820000000000002"/>
    <n v="5"/>
    <n v="17"/>
    <n v="22"/>
    <s v="Spring"/>
    <s v="Sunday"/>
    <s v="Clear"/>
    <x v="3"/>
    <s v="Mild"/>
    <s v="Low"/>
    <s v="Windy"/>
    <s v="Working Day"/>
    <s v="Mostly Registered"/>
    <n v="22.72727272727273"/>
    <n v="77.272727272727266"/>
    <s v="No"/>
    <s v="Low"/>
    <s v="Yes"/>
    <n v="-1.21E-2"/>
  </r>
  <r>
    <n v="45"/>
    <x v="1"/>
    <n v="1"/>
    <n v="21"/>
    <b v="0"/>
    <n v="0"/>
    <n v="1"/>
    <n v="0.26"/>
    <x v="10"/>
    <n v="0.44"/>
    <n v="0.32840000000000003"/>
    <n v="11"/>
    <n v="20"/>
    <n v="31"/>
    <s v="Spring"/>
    <s v="Sunday"/>
    <s v="Clear"/>
    <x v="0"/>
    <s v="Mild"/>
    <s v="Medium"/>
    <s v="Windy"/>
    <s v="Working Day"/>
    <s v="Mostly Registered"/>
    <n v="35.483870967741943"/>
    <n v="64.516129032258064"/>
    <s v="No"/>
    <s v="Low"/>
    <s v="Yes"/>
    <n v="-3.2700000000000007E-2"/>
  </r>
  <r>
    <n v="46"/>
    <x v="1"/>
    <n v="1"/>
    <n v="22"/>
    <b v="0"/>
    <n v="0"/>
    <n v="1"/>
    <n v="0.24"/>
    <x v="11"/>
    <n v="0.44"/>
    <n v="0.29849999999999999"/>
    <n v="0"/>
    <n v="9"/>
    <n v="9"/>
    <s v="Spring"/>
    <s v="Sunday"/>
    <s v="Clear"/>
    <x v="0"/>
    <s v="Cold"/>
    <s v="Medium"/>
    <s v="Moderate"/>
    <s v="Working Day"/>
    <s v="Mostly Registered"/>
    <n v="0"/>
    <n v="100"/>
    <s v="No"/>
    <s v="Low"/>
    <s v="Yes"/>
    <n v="-2.789999999999998E-2"/>
  </r>
  <r>
    <n v="47"/>
    <x v="1"/>
    <n v="1"/>
    <n v="23"/>
    <b v="0"/>
    <n v="0"/>
    <n v="1"/>
    <n v="0.22"/>
    <x v="10"/>
    <n v="0.47"/>
    <n v="0.16420000000000001"/>
    <n v="0"/>
    <n v="8"/>
    <n v="8"/>
    <s v="Spring"/>
    <s v="Sunday"/>
    <s v="Clear"/>
    <x v="0"/>
    <s v="Cold"/>
    <s v="Medium"/>
    <s v="Moderate"/>
    <s v="Working Day"/>
    <s v="Mostly Registered"/>
    <n v="0"/>
    <n v="100"/>
    <s v="No"/>
    <s v="Low"/>
    <s v="Yes"/>
    <n v="7.3000000000000009E-3"/>
  </r>
  <r>
    <n v="48"/>
    <x v="2"/>
    <n v="1"/>
    <n v="0"/>
    <b v="0"/>
    <n v="1"/>
    <n v="1"/>
    <n v="0.22"/>
    <x v="12"/>
    <n v="0.44"/>
    <n v="0.35820000000000002"/>
    <n v="0"/>
    <n v="5"/>
    <n v="5"/>
    <s v="Spring"/>
    <s v="Monday"/>
    <s v="Clear"/>
    <x v="0"/>
    <s v="Cold"/>
    <s v="Medium"/>
    <s v="Windy"/>
    <s v="Working Day"/>
    <s v="Mostly Registered"/>
    <n v="0"/>
    <n v="100"/>
    <s v="No"/>
    <s v="Low"/>
    <s v="No"/>
    <n v="-2.2999999999999989E-2"/>
  </r>
  <r>
    <n v="49"/>
    <x v="2"/>
    <n v="1"/>
    <n v="1"/>
    <b v="0"/>
    <n v="1"/>
    <n v="1"/>
    <n v="0.2"/>
    <x v="12"/>
    <n v="0.44"/>
    <n v="0.41789999999999999"/>
    <n v="0"/>
    <n v="2"/>
    <n v="2"/>
    <s v="Spring"/>
    <s v="Monday"/>
    <s v="Clear"/>
    <x v="0"/>
    <s v="Cold"/>
    <s v="Medium"/>
    <s v="Windy"/>
    <s v="Working Day"/>
    <s v="Mostly Registered"/>
    <n v="0"/>
    <n v="100"/>
    <s v="No"/>
    <s v="Low"/>
    <s v="No"/>
    <n v="-3.0000000000000031E-3"/>
  </r>
  <r>
    <n v="50"/>
    <x v="2"/>
    <n v="1"/>
    <n v="4"/>
    <b v="0"/>
    <n v="1"/>
    <n v="1"/>
    <n v="0.16"/>
    <x v="13"/>
    <n v="0.47"/>
    <n v="0.3881"/>
    <n v="0"/>
    <n v="1"/>
    <n v="1"/>
    <s v="Spring"/>
    <s v="Monday"/>
    <s v="Clear"/>
    <x v="0"/>
    <s v="Cold"/>
    <s v="Medium"/>
    <s v="Windy"/>
    <s v="Working Day"/>
    <s v="Mostly Registered"/>
    <n v="0"/>
    <n v="100"/>
    <s v="No"/>
    <s v="Low"/>
    <s v="No"/>
    <n v="-2.360000000000001E-2"/>
  </r>
  <r>
    <n v="51"/>
    <x v="2"/>
    <n v="1"/>
    <n v="5"/>
    <b v="0"/>
    <n v="1"/>
    <n v="1"/>
    <n v="0.16"/>
    <x v="13"/>
    <n v="0.47"/>
    <n v="0.28360000000000002"/>
    <n v="0"/>
    <n v="3"/>
    <n v="3"/>
    <s v="Spring"/>
    <s v="Monday"/>
    <s v="Clear"/>
    <x v="0"/>
    <s v="Cold"/>
    <s v="Medium"/>
    <s v="Moderate"/>
    <s v="Working Day"/>
    <s v="Mostly Registered"/>
    <n v="0"/>
    <n v="100"/>
    <s v="No"/>
    <s v="Low"/>
    <s v="No"/>
    <n v="-2.360000000000001E-2"/>
  </r>
  <r>
    <n v="52"/>
    <x v="2"/>
    <n v="1"/>
    <n v="6"/>
    <b v="0"/>
    <n v="1"/>
    <n v="1"/>
    <n v="0.14000000000000001"/>
    <x v="14"/>
    <n v="0.5"/>
    <n v="0.3881"/>
    <n v="0"/>
    <n v="30"/>
    <n v="30"/>
    <s v="Spring"/>
    <s v="Monday"/>
    <s v="Clear"/>
    <x v="1"/>
    <s v="Very Cold"/>
    <s v="Medium"/>
    <s v="Windy"/>
    <s v="Working Day"/>
    <s v="Mostly Registered"/>
    <n v="0"/>
    <n v="100"/>
    <s v="No"/>
    <s v="Low"/>
    <s v="No"/>
    <n v="-3.3900000000000013E-2"/>
  </r>
  <r>
    <n v="53"/>
    <x v="2"/>
    <n v="1"/>
    <n v="7"/>
    <b v="0"/>
    <n v="1"/>
    <n v="1"/>
    <n v="0.14000000000000001"/>
    <x v="13"/>
    <n v="0.5"/>
    <n v="0.19400000000000001"/>
    <n v="1"/>
    <n v="63"/>
    <n v="64"/>
    <s v="Spring"/>
    <s v="Monday"/>
    <s v="Clear"/>
    <x v="1"/>
    <s v="Very Cold"/>
    <s v="Medium"/>
    <s v="Moderate"/>
    <s v="Working Day"/>
    <s v="Mostly Registered"/>
    <n v="1.5625"/>
    <n v="98.4375"/>
    <s v="Yes"/>
    <s v="Low"/>
    <s v="No"/>
    <n v="-3.6000000000000199E-3"/>
  </r>
  <r>
    <n v="54"/>
    <x v="2"/>
    <n v="1"/>
    <n v="8"/>
    <b v="0"/>
    <n v="1"/>
    <n v="1"/>
    <n v="0.14000000000000001"/>
    <x v="15"/>
    <n v="0.5"/>
    <n v="0.28360000000000002"/>
    <n v="1"/>
    <n v="153"/>
    <n v="154"/>
    <s v="Spring"/>
    <s v="Monday"/>
    <s v="Clear"/>
    <x v="1"/>
    <s v="Very Cold"/>
    <s v="Medium"/>
    <s v="Moderate"/>
    <s v="Working Day"/>
    <s v="Mostly Registered"/>
    <n v="0.64935064935064934"/>
    <n v="99.350649350649363"/>
    <s v="Yes"/>
    <s v="Medium"/>
    <s v="No"/>
    <n v="-1.8800000000000011E-2"/>
  </r>
  <r>
    <n v="55"/>
    <x v="2"/>
    <n v="1"/>
    <n v="9"/>
    <b v="0"/>
    <n v="1"/>
    <n v="1"/>
    <n v="0.16"/>
    <x v="13"/>
    <n v="0.43"/>
    <n v="0.3881"/>
    <n v="7"/>
    <n v="81"/>
    <n v="88"/>
    <s v="Spring"/>
    <s v="Monday"/>
    <s v="Clear"/>
    <x v="1"/>
    <s v="Cold"/>
    <s v="Medium"/>
    <s v="Windy"/>
    <s v="Working Day"/>
    <s v="Mostly Registered"/>
    <n v="7.9545454545454541"/>
    <n v="92.045454545454547"/>
    <s v="Yes"/>
    <s v="Low"/>
    <s v="No"/>
    <n v="-2.360000000000001E-2"/>
  </r>
  <r>
    <n v="56"/>
    <x v="2"/>
    <n v="1"/>
    <n v="10"/>
    <b v="0"/>
    <n v="1"/>
    <n v="1"/>
    <n v="0.18"/>
    <x v="16"/>
    <n v="0.43"/>
    <n v="0.25369999999999998"/>
    <n v="11"/>
    <n v="33"/>
    <n v="44"/>
    <s v="Spring"/>
    <s v="Monday"/>
    <s v="Clear"/>
    <x v="1"/>
    <s v="Cold"/>
    <s v="Medium"/>
    <s v="Moderate"/>
    <s v="Working Day"/>
    <s v="Mostly Registered"/>
    <n v="25"/>
    <n v="75"/>
    <s v="No"/>
    <s v="Low"/>
    <s v="No"/>
    <n v="-1.330000000000001E-2"/>
  </r>
  <r>
    <n v="57"/>
    <x v="2"/>
    <n v="1"/>
    <n v="11"/>
    <b v="0"/>
    <n v="1"/>
    <n v="1"/>
    <n v="0.2"/>
    <x v="17"/>
    <n v="0.4"/>
    <n v="0.32840000000000003"/>
    <n v="10"/>
    <n v="41"/>
    <n v="51"/>
    <s v="Spring"/>
    <s v="Monday"/>
    <s v="Clear"/>
    <x v="1"/>
    <s v="Cold"/>
    <s v="Medium"/>
    <s v="Windy"/>
    <s v="Working Day"/>
    <s v="Mostly Registered"/>
    <n v="19.6078431372549"/>
    <n v="80.392156862745097"/>
    <s v="No"/>
    <s v="Low"/>
    <s v="No"/>
    <n v="-1.8200000000000022E-2"/>
  </r>
  <r>
    <n v="58"/>
    <x v="2"/>
    <n v="1"/>
    <n v="12"/>
    <b v="0"/>
    <n v="1"/>
    <n v="1"/>
    <n v="0.22"/>
    <x v="11"/>
    <n v="0.35"/>
    <n v="0.29849999999999999"/>
    <n v="13"/>
    <n v="48"/>
    <n v="61"/>
    <s v="Spring"/>
    <s v="Monday"/>
    <s v="Clear"/>
    <x v="2"/>
    <s v="Cold"/>
    <s v="Low"/>
    <s v="Moderate"/>
    <s v="Working Day"/>
    <s v="Mostly Registered"/>
    <n v="21.31147540983606"/>
    <n v="78.688524590163937"/>
    <s v="No"/>
    <s v="Low"/>
    <s v="No"/>
    <n v="-7.8999999999999904E-3"/>
  </r>
  <r>
    <n v="59"/>
    <x v="2"/>
    <n v="1"/>
    <n v="13"/>
    <b v="0"/>
    <n v="1"/>
    <n v="1"/>
    <n v="0.24"/>
    <x v="11"/>
    <n v="0.35"/>
    <n v="0.28360000000000002"/>
    <n v="8"/>
    <n v="53"/>
    <n v="61"/>
    <s v="Spring"/>
    <s v="Monday"/>
    <s v="Clear"/>
    <x v="2"/>
    <s v="Cold"/>
    <s v="Low"/>
    <s v="Moderate"/>
    <s v="Working Day"/>
    <s v="Mostly Registered"/>
    <n v="13.11475409836066"/>
    <n v="86.885245901639337"/>
    <s v="No"/>
    <s v="Low"/>
    <s v="No"/>
    <n v="-2.789999999999998E-2"/>
  </r>
  <r>
    <n v="60"/>
    <x v="2"/>
    <n v="1"/>
    <n v="14"/>
    <b v="0"/>
    <n v="1"/>
    <n v="1"/>
    <n v="0.26"/>
    <x v="18"/>
    <n v="0.3"/>
    <n v="0.28360000000000002"/>
    <n v="11"/>
    <n v="66"/>
    <n v="77"/>
    <s v="Spring"/>
    <s v="Monday"/>
    <s v="Clear"/>
    <x v="2"/>
    <s v="Mild"/>
    <s v="Low"/>
    <s v="Moderate"/>
    <s v="Working Day"/>
    <s v="Mostly Registered"/>
    <n v="14.285714285714279"/>
    <n v="85.714285714285708"/>
    <s v="No"/>
    <s v="Low"/>
    <s v="No"/>
    <n v="-1.7600000000000001E-2"/>
  </r>
  <r>
    <n v="61"/>
    <x v="2"/>
    <n v="1"/>
    <n v="15"/>
    <b v="0"/>
    <n v="1"/>
    <n v="1"/>
    <n v="0.26"/>
    <x v="18"/>
    <n v="0.3"/>
    <n v="0.25369999999999998"/>
    <n v="14"/>
    <n v="58"/>
    <n v="72"/>
    <s v="Spring"/>
    <s v="Monday"/>
    <s v="Clear"/>
    <x v="2"/>
    <s v="Mild"/>
    <s v="Low"/>
    <s v="Moderate"/>
    <s v="Working Day"/>
    <s v="Mostly Registered"/>
    <n v="19.44444444444445"/>
    <n v="80.555555555555557"/>
    <s v="No"/>
    <s v="Low"/>
    <s v="No"/>
    <n v="-1.7600000000000001E-2"/>
  </r>
  <r>
    <n v="62"/>
    <x v="2"/>
    <n v="1"/>
    <n v="16"/>
    <b v="0"/>
    <n v="1"/>
    <n v="1"/>
    <n v="0.26"/>
    <x v="18"/>
    <n v="0.3"/>
    <n v="0.25369999999999998"/>
    <n v="9"/>
    <n v="67"/>
    <n v="76"/>
    <s v="Spring"/>
    <s v="Monday"/>
    <s v="Clear"/>
    <x v="2"/>
    <s v="Mild"/>
    <s v="Low"/>
    <s v="Moderate"/>
    <s v="Working Day"/>
    <s v="Mostly Registered"/>
    <n v="11.84210526315789"/>
    <n v="88.157894736842096"/>
    <s v="No"/>
    <s v="Low"/>
    <s v="No"/>
    <n v="-1.7600000000000001E-2"/>
  </r>
  <r>
    <n v="63"/>
    <x v="2"/>
    <n v="1"/>
    <n v="17"/>
    <b v="0"/>
    <n v="1"/>
    <n v="1"/>
    <n v="0.24"/>
    <x v="10"/>
    <n v="0.3"/>
    <n v="0.22389999999999999"/>
    <n v="11"/>
    <n v="146"/>
    <n v="157"/>
    <s v="Spring"/>
    <s v="Monday"/>
    <s v="Clear"/>
    <x v="3"/>
    <s v="Cold"/>
    <s v="Low"/>
    <s v="Moderate"/>
    <s v="Working Day"/>
    <s v="Mostly Registered"/>
    <n v="7.0063694267515926"/>
    <n v="92.99363057324841"/>
    <s v="Yes"/>
    <s v="Medium"/>
    <s v="No"/>
    <n v="-1.2699999999999991E-2"/>
  </r>
  <r>
    <n v="64"/>
    <x v="2"/>
    <n v="1"/>
    <n v="18"/>
    <b v="0"/>
    <n v="1"/>
    <n v="1"/>
    <n v="0.24"/>
    <x v="2"/>
    <n v="0.32"/>
    <n v="0.1045"/>
    <n v="9"/>
    <n v="148"/>
    <n v="157"/>
    <s v="Spring"/>
    <s v="Monday"/>
    <s v="Clear"/>
    <x v="3"/>
    <s v="Cold"/>
    <s v="Low"/>
    <s v="Calm"/>
    <s v="Working Day"/>
    <s v="Mostly Registered"/>
    <n v="5.7324840764331224"/>
    <n v="94.267515923566876"/>
    <s v="Yes"/>
    <s v="Medium"/>
    <s v="No"/>
    <n v="1.7600000000000001E-2"/>
  </r>
  <r>
    <n v="65"/>
    <x v="2"/>
    <n v="1"/>
    <n v="19"/>
    <b v="0"/>
    <n v="1"/>
    <n v="1"/>
    <n v="0.2"/>
    <x v="2"/>
    <n v="0.47"/>
    <n v="0"/>
    <n v="8"/>
    <n v="102"/>
    <n v="110"/>
    <s v="Spring"/>
    <s v="Monday"/>
    <s v="Clear"/>
    <x v="3"/>
    <s v="Cold"/>
    <s v="Medium"/>
    <s v="Calm"/>
    <s v="Working Day"/>
    <s v="Mostly Registered"/>
    <n v="7.2727272727272716"/>
    <n v="92.72727272727272"/>
    <s v="Yes"/>
    <s v="Medium"/>
    <s v="No"/>
    <n v="5.7599999999999978E-2"/>
  </r>
  <r>
    <n v="66"/>
    <x v="2"/>
    <n v="1"/>
    <n v="20"/>
    <b v="0"/>
    <n v="1"/>
    <n v="1"/>
    <n v="0.2"/>
    <x v="2"/>
    <n v="0.47"/>
    <n v="0.1045"/>
    <n v="3"/>
    <n v="49"/>
    <n v="52"/>
    <s v="Spring"/>
    <s v="Monday"/>
    <s v="Clear"/>
    <x v="3"/>
    <s v="Cold"/>
    <s v="Medium"/>
    <s v="Calm"/>
    <s v="Working Day"/>
    <s v="Mostly Registered"/>
    <n v="5.7692307692307692"/>
    <n v="94.230769230769226"/>
    <s v="No"/>
    <s v="Low"/>
    <s v="No"/>
    <n v="5.7599999999999978E-2"/>
  </r>
  <r>
    <n v="67"/>
    <x v="2"/>
    <n v="1"/>
    <n v="21"/>
    <b v="0"/>
    <n v="1"/>
    <n v="1"/>
    <n v="0.18"/>
    <x v="12"/>
    <n v="0.64"/>
    <n v="0.1343"/>
    <n v="3"/>
    <n v="49"/>
    <n v="52"/>
    <s v="Spring"/>
    <s v="Monday"/>
    <s v="Clear"/>
    <x v="0"/>
    <s v="Cold"/>
    <s v="Medium"/>
    <s v="Calm"/>
    <s v="Working Day"/>
    <s v="Mostly Registered"/>
    <n v="5.7692307692307692"/>
    <n v="94.230769230769226"/>
    <s v="No"/>
    <s v="Low"/>
    <s v="No"/>
    <n v="1.7000000000000019E-2"/>
  </r>
  <r>
    <n v="68"/>
    <x v="2"/>
    <n v="1"/>
    <n v="22"/>
    <b v="0"/>
    <n v="1"/>
    <n v="1"/>
    <n v="0.14000000000000001"/>
    <x v="19"/>
    <n v="0.69"/>
    <n v="0.1343"/>
    <n v="0"/>
    <n v="20"/>
    <n v="20"/>
    <s v="Spring"/>
    <s v="Monday"/>
    <s v="Clear"/>
    <x v="0"/>
    <s v="Very Cold"/>
    <s v="Medium"/>
    <s v="Calm"/>
    <s v="Working Day"/>
    <s v="Mostly Registered"/>
    <n v="0"/>
    <n v="100"/>
    <s v="No"/>
    <s v="Low"/>
    <s v="No"/>
    <n v="1.1499999999999981E-2"/>
  </r>
  <r>
    <n v="69"/>
    <x v="2"/>
    <n v="1"/>
    <n v="23"/>
    <b v="0"/>
    <n v="1"/>
    <n v="1"/>
    <n v="0.18"/>
    <x v="11"/>
    <n v="0.55000000000000004"/>
    <n v="0.1045"/>
    <n v="1"/>
    <n v="11"/>
    <n v="12"/>
    <s v="Spring"/>
    <s v="Monday"/>
    <s v="Clear"/>
    <x v="0"/>
    <s v="Cold"/>
    <s v="Medium"/>
    <s v="Calm"/>
    <s v="Working Day"/>
    <s v="Mostly Registered"/>
    <n v="8.3333333333333321"/>
    <n v="91.666666666666657"/>
    <s v="No"/>
    <s v="Low"/>
    <s v="No"/>
    <n v="3.2100000000000017E-2"/>
  </r>
  <r>
    <n v="70"/>
    <x v="3"/>
    <n v="1"/>
    <n v="0"/>
    <b v="0"/>
    <n v="2"/>
    <n v="1"/>
    <n v="0.16"/>
    <x v="11"/>
    <n v="0.55000000000000004"/>
    <n v="0.1045"/>
    <n v="0"/>
    <n v="5"/>
    <n v="5"/>
    <s v="Spring"/>
    <s v="Tuesday"/>
    <s v="Clear"/>
    <x v="0"/>
    <s v="Cold"/>
    <s v="Medium"/>
    <s v="Calm"/>
    <s v="Working Day"/>
    <s v="Mostly Registered"/>
    <n v="0"/>
    <n v="100"/>
    <s v="No"/>
    <s v="Low"/>
    <s v="No"/>
    <n v="5.2100000000000007E-2"/>
  </r>
  <r>
    <n v="71"/>
    <x v="3"/>
    <n v="1"/>
    <n v="1"/>
    <b v="0"/>
    <n v="2"/>
    <n v="1"/>
    <n v="0.16"/>
    <x v="17"/>
    <n v="0.59"/>
    <n v="0.1045"/>
    <n v="0"/>
    <n v="2"/>
    <n v="2"/>
    <s v="Spring"/>
    <s v="Tuesday"/>
    <s v="Clear"/>
    <x v="0"/>
    <s v="Cold"/>
    <s v="Medium"/>
    <s v="Calm"/>
    <s v="Working Day"/>
    <s v="Mostly Registered"/>
    <n v="0"/>
    <n v="100"/>
    <s v="No"/>
    <s v="Low"/>
    <s v="No"/>
    <n v="2.179999999999999E-2"/>
  </r>
  <r>
    <n v="72"/>
    <x v="3"/>
    <n v="1"/>
    <n v="2"/>
    <b v="0"/>
    <n v="2"/>
    <n v="1"/>
    <n v="0.14000000000000001"/>
    <x v="19"/>
    <n v="0.63"/>
    <n v="0.1343"/>
    <n v="0"/>
    <n v="1"/>
    <n v="1"/>
    <s v="Spring"/>
    <s v="Tuesday"/>
    <s v="Clear"/>
    <x v="0"/>
    <s v="Very Cold"/>
    <s v="Medium"/>
    <s v="Calm"/>
    <s v="Working Day"/>
    <s v="Mostly Registered"/>
    <n v="0"/>
    <n v="100"/>
    <s v="No"/>
    <s v="Low"/>
    <s v="No"/>
    <n v="1.1499999999999981E-2"/>
  </r>
  <r>
    <n v="73"/>
    <x v="3"/>
    <n v="1"/>
    <n v="4"/>
    <b v="0"/>
    <n v="2"/>
    <n v="1"/>
    <n v="0.14000000000000001"/>
    <x v="17"/>
    <n v="0.63"/>
    <n v="8.9599999999999999E-2"/>
    <n v="0"/>
    <n v="2"/>
    <n v="2"/>
    <s v="Spring"/>
    <s v="Tuesday"/>
    <s v="Clear"/>
    <x v="0"/>
    <s v="Very Cold"/>
    <s v="Medium"/>
    <s v="Calm"/>
    <s v="Working Day"/>
    <s v="Mostly Registered"/>
    <n v="0"/>
    <n v="100"/>
    <s v="No"/>
    <s v="Low"/>
    <s v="No"/>
    <n v="4.1799999999999983E-2"/>
  </r>
  <r>
    <n v="74"/>
    <x v="3"/>
    <n v="1"/>
    <n v="5"/>
    <b v="0"/>
    <n v="2"/>
    <n v="1"/>
    <n v="0.12"/>
    <x v="19"/>
    <n v="0.68"/>
    <n v="0.1045"/>
    <n v="0"/>
    <n v="4"/>
    <n v="4"/>
    <s v="Spring"/>
    <s v="Tuesday"/>
    <s v="Clear"/>
    <x v="0"/>
    <s v="Very Cold"/>
    <s v="Medium"/>
    <s v="Calm"/>
    <s v="Working Day"/>
    <s v="Mostly Registered"/>
    <n v="0"/>
    <n v="100"/>
    <s v="No"/>
    <s v="Low"/>
    <s v="No"/>
    <n v="3.15E-2"/>
  </r>
  <r>
    <n v="75"/>
    <x v="3"/>
    <n v="1"/>
    <n v="6"/>
    <b v="0"/>
    <n v="2"/>
    <n v="1"/>
    <n v="0.12"/>
    <x v="19"/>
    <n v="0.74"/>
    <n v="0.1045"/>
    <n v="0"/>
    <n v="36"/>
    <n v="36"/>
    <s v="Spring"/>
    <s v="Tuesday"/>
    <s v="Clear"/>
    <x v="1"/>
    <s v="Very Cold"/>
    <s v="High"/>
    <s v="Calm"/>
    <s v="Working Day"/>
    <s v="Mostly Registered"/>
    <n v="0"/>
    <n v="100"/>
    <s v="No"/>
    <s v="Low"/>
    <s v="No"/>
    <n v="3.15E-2"/>
  </r>
  <r>
    <n v="76"/>
    <x v="3"/>
    <n v="1"/>
    <n v="7"/>
    <b v="0"/>
    <n v="2"/>
    <n v="1"/>
    <n v="0.12"/>
    <x v="19"/>
    <n v="0.74"/>
    <n v="0.1343"/>
    <n v="2"/>
    <n v="92"/>
    <n v="94"/>
    <s v="Spring"/>
    <s v="Tuesday"/>
    <s v="Clear"/>
    <x v="1"/>
    <s v="Very Cold"/>
    <s v="High"/>
    <s v="Calm"/>
    <s v="Working Day"/>
    <s v="Mostly Registered"/>
    <n v="2.1276595744680851"/>
    <n v="97.872340425531917"/>
    <s v="Yes"/>
    <s v="Low"/>
    <s v="No"/>
    <n v="3.15E-2"/>
  </r>
  <r>
    <n v="77"/>
    <x v="3"/>
    <n v="1"/>
    <n v="8"/>
    <b v="0"/>
    <n v="2"/>
    <n v="1"/>
    <n v="0.14000000000000001"/>
    <x v="19"/>
    <n v="0.69"/>
    <n v="0.16420000000000001"/>
    <n v="2"/>
    <n v="177"/>
    <n v="179"/>
    <s v="Spring"/>
    <s v="Tuesday"/>
    <s v="Clear"/>
    <x v="1"/>
    <s v="Very Cold"/>
    <s v="Medium"/>
    <s v="Moderate"/>
    <s v="Working Day"/>
    <s v="Mostly Registered"/>
    <n v="1.1173184357541901"/>
    <n v="98.882681564245814"/>
    <s v="Yes"/>
    <s v="Medium"/>
    <s v="No"/>
    <n v="1.1499999999999981E-2"/>
  </r>
  <r>
    <n v="78"/>
    <x v="3"/>
    <n v="1"/>
    <n v="9"/>
    <b v="0"/>
    <n v="2"/>
    <n v="1"/>
    <n v="0.16"/>
    <x v="19"/>
    <n v="0.64"/>
    <n v="0.22389999999999999"/>
    <n v="2"/>
    <n v="98"/>
    <n v="100"/>
    <s v="Spring"/>
    <s v="Tuesday"/>
    <s v="Clear"/>
    <x v="1"/>
    <s v="Cold"/>
    <s v="Medium"/>
    <s v="Moderate"/>
    <s v="Working Day"/>
    <s v="Mostly Registered"/>
    <n v="2"/>
    <n v="98"/>
    <s v="Yes"/>
    <s v="Medium"/>
    <s v="No"/>
    <n v="-8.5000000000000075E-3"/>
  </r>
  <r>
    <n v="79"/>
    <x v="3"/>
    <n v="1"/>
    <n v="10"/>
    <b v="0"/>
    <n v="2"/>
    <n v="2"/>
    <n v="0.16"/>
    <x v="13"/>
    <n v="0.69"/>
    <n v="0.32840000000000003"/>
    <n v="5"/>
    <n v="37"/>
    <n v="42"/>
    <s v="Spring"/>
    <s v="Tuesday"/>
    <s v="Mist/Cloudy"/>
    <x v="1"/>
    <s v="Cold"/>
    <s v="Medium"/>
    <s v="Windy"/>
    <s v="Working Day"/>
    <s v="Mostly Registered"/>
    <n v="11.9047619047619"/>
    <n v="88.095238095238088"/>
    <s v="No"/>
    <s v="Low"/>
    <s v="No"/>
    <n v="-2.360000000000001E-2"/>
  </r>
  <r>
    <n v="80"/>
    <x v="3"/>
    <n v="1"/>
    <n v="11"/>
    <b v="0"/>
    <n v="2"/>
    <n v="1"/>
    <n v="0.22"/>
    <x v="11"/>
    <n v="0.51"/>
    <n v="0.29849999999999999"/>
    <n v="7"/>
    <n v="50"/>
    <n v="57"/>
    <s v="Spring"/>
    <s v="Tuesday"/>
    <s v="Clear"/>
    <x v="1"/>
    <s v="Cold"/>
    <s v="Medium"/>
    <s v="Moderate"/>
    <s v="Working Day"/>
    <s v="Mostly Registered"/>
    <n v="12.28070175438596"/>
    <n v="87.719298245614027"/>
    <s v="No"/>
    <s v="Low"/>
    <s v="No"/>
    <n v="-7.8999999999999904E-3"/>
  </r>
  <r>
    <n v="81"/>
    <x v="3"/>
    <n v="1"/>
    <n v="12"/>
    <b v="0"/>
    <n v="2"/>
    <n v="1"/>
    <n v="0.22"/>
    <x v="10"/>
    <n v="0.51"/>
    <n v="0.16420000000000001"/>
    <n v="12"/>
    <n v="66"/>
    <n v="78"/>
    <s v="Spring"/>
    <s v="Tuesday"/>
    <s v="Clear"/>
    <x v="2"/>
    <s v="Cold"/>
    <s v="Medium"/>
    <s v="Moderate"/>
    <s v="Working Day"/>
    <s v="Mostly Registered"/>
    <n v="15.38461538461539"/>
    <n v="84.615384615384613"/>
    <s v="No"/>
    <s v="Low"/>
    <s v="No"/>
    <n v="7.3000000000000009E-3"/>
  </r>
  <r>
    <n v="82"/>
    <x v="3"/>
    <n v="1"/>
    <n v="13"/>
    <b v="0"/>
    <n v="2"/>
    <n v="1"/>
    <n v="0.24"/>
    <x v="10"/>
    <n v="0.56000000000000005"/>
    <n v="0.19400000000000001"/>
    <n v="18"/>
    <n v="79"/>
    <n v="97"/>
    <s v="Spring"/>
    <s v="Tuesday"/>
    <s v="Clear"/>
    <x v="2"/>
    <s v="Cold"/>
    <s v="Medium"/>
    <s v="Moderate"/>
    <s v="Working Day"/>
    <s v="Mostly Registered"/>
    <n v="18.55670103092784"/>
    <n v="81.44329896907216"/>
    <s v="No"/>
    <s v="Low"/>
    <s v="No"/>
    <n v="-1.2699999999999991E-2"/>
  </r>
  <r>
    <n v="83"/>
    <x v="3"/>
    <n v="1"/>
    <n v="14"/>
    <b v="0"/>
    <n v="2"/>
    <n v="1"/>
    <n v="0.26"/>
    <x v="2"/>
    <n v="0.52"/>
    <n v="0.22389999999999999"/>
    <n v="9"/>
    <n v="54"/>
    <n v="63"/>
    <s v="Spring"/>
    <s v="Tuesday"/>
    <s v="Clear"/>
    <x v="2"/>
    <s v="Mild"/>
    <s v="Medium"/>
    <s v="Moderate"/>
    <s v="Working Day"/>
    <s v="Mostly Registered"/>
    <n v="14.285714285714279"/>
    <n v="85.714285714285708"/>
    <s v="No"/>
    <s v="Low"/>
    <s v="No"/>
    <n v="-2.4000000000000128E-3"/>
  </r>
  <r>
    <n v="84"/>
    <x v="3"/>
    <n v="1"/>
    <n v="15"/>
    <b v="0"/>
    <n v="2"/>
    <n v="1"/>
    <n v="0.28000000000000003"/>
    <x v="1"/>
    <n v="0.52"/>
    <n v="0.25369999999999998"/>
    <n v="17"/>
    <n v="48"/>
    <n v="65"/>
    <s v="Spring"/>
    <s v="Tuesday"/>
    <s v="Clear"/>
    <x v="2"/>
    <s v="Mild"/>
    <s v="Medium"/>
    <s v="Moderate"/>
    <s v="Working Day"/>
    <s v="Mostly Registered"/>
    <n v="26.15384615384616"/>
    <n v="73.846153846153854"/>
    <s v="No"/>
    <s v="Low"/>
    <s v="No"/>
    <n v="-7.3000000000000287E-3"/>
  </r>
  <r>
    <n v="85"/>
    <x v="3"/>
    <n v="1"/>
    <n v="16"/>
    <b v="0"/>
    <n v="2"/>
    <n v="1"/>
    <n v="0.3"/>
    <x v="0"/>
    <n v="0.49"/>
    <n v="0.25369999999999998"/>
    <n v="15"/>
    <n v="68"/>
    <n v="83"/>
    <s v="Spring"/>
    <s v="Tuesday"/>
    <s v="Clear"/>
    <x v="2"/>
    <s v="Mild"/>
    <s v="Medium"/>
    <s v="Moderate"/>
    <s v="Working Day"/>
    <s v="Mostly Registered"/>
    <n v="18.07228915662651"/>
    <n v="81.92771084337349"/>
    <s v="No"/>
    <s v="Low"/>
    <s v="No"/>
    <n v="-1.21E-2"/>
  </r>
  <r>
    <n v="86"/>
    <x v="3"/>
    <n v="1"/>
    <n v="17"/>
    <b v="0"/>
    <n v="2"/>
    <n v="1"/>
    <n v="0.28000000000000003"/>
    <x v="1"/>
    <n v="0.48"/>
    <n v="0.22389999999999999"/>
    <n v="10"/>
    <n v="202"/>
    <n v="212"/>
    <s v="Spring"/>
    <s v="Tuesday"/>
    <s v="Clear"/>
    <x v="3"/>
    <s v="Mild"/>
    <s v="Medium"/>
    <s v="Moderate"/>
    <s v="Working Day"/>
    <s v="Mostly Registered"/>
    <n v="4.716981132075472"/>
    <n v="95.283018867924525"/>
    <s v="Yes"/>
    <s v="Medium"/>
    <s v="No"/>
    <n v="-7.3000000000000287E-3"/>
  </r>
  <r>
    <n v="87"/>
    <x v="3"/>
    <n v="1"/>
    <n v="18"/>
    <b v="0"/>
    <n v="2"/>
    <n v="1"/>
    <n v="0.26"/>
    <x v="2"/>
    <n v="0.48"/>
    <n v="0.19400000000000001"/>
    <n v="3"/>
    <n v="179"/>
    <n v="182"/>
    <s v="Spring"/>
    <s v="Tuesday"/>
    <s v="Clear"/>
    <x v="3"/>
    <s v="Mild"/>
    <s v="Medium"/>
    <s v="Moderate"/>
    <s v="Working Day"/>
    <s v="Mostly Registered"/>
    <n v="1.648351648351648"/>
    <n v="98.35164835164835"/>
    <s v="Yes"/>
    <s v="Medium"/>
    <s v="No"/>
    <n v="-2.4000000000000128E-3"/>
  </r>
  <r>
    <n v="88"/>
    <x v="3"/>
    <n v="1"/>
    <n v="19"/>
    <b v="0"/>
    <n v="2"/>
    <n v="1"/>
    <n v="0.24"/>
    <x v="2"/>
    <n v="0.48"/>
    <n v="0.1045"/>
    <n v="2"/>
    <n v="110"/>
    <n v="112"/>
    <s v="Spring"/>
    <s v="Tuesday"/>
    <s v="Clear"/>
    <x v="3"/>
    <s v="Cold"/>
    <s v="Medium"/>
    <s v="Calm"/>
    <s v="Working Day"/>
    <s v="Mostly Registered"/>
    <n v="1.785714285714286"/>
    <n v="98.214285714285708"/>
    <s v="Yes"/>
    <s v="Medium"/>
    <s v="No"/>
    <n v="1.7600000000000001E-2"/>
  </r>
  <r>
    <n v="89"/>
    <x v="3"/>
    <n v="1"/>
    <n v="20"/>
    <b v="0"/>
    <n v="2"/>
    <n v="1"/>
    <n v="0.24"/>
    <x v="2"/>
    <n v="0.48"/>
    <n v="0.1045"/>
    <n v="1"/>
    <n v="53"/>
    <n v="54"/>
    <s v="Spring"/>
    <s v="Tuesday"/>
    <s v="Clear"/>
    <x v="3"/>
    <s v="Cold"/>
    <s v="Medium"/>
    <s v="Calm"/>
    <s v="Working Day"/>
    <s v="Mostly Registered"/>
    <n v="1.8518518518518521"/>
    <n v="98.148148148148152"/>
    <s v="No"/>
    <s v="Low"/>
    <s v="No"/>
    <n v="1.7600000000000001E-2"/>
  </r>
  <r>
    <n v="90"/>
    <x v="3"/>
    <n v="1"/>
    <n v="21"/>
    <b v="0"/>
    <n v="2"/>
    <n v="1"/>
    <n v="0.22"/>
    <x v="1"/>
    <n v="0.64"/>
    <n v="0"/>
    <n v="0"/>
    <n v="48"/>
    <n v="48"/>
    <s v="Spring"/>
    <s v="Tuesday"/>
    <s v="Clear"/>
    <x v="0"/>
    <s v="Cold"/>
    <s v="Medium"/>
    <s v="Calm"/>
    <s v="Working Day"/>
    <s v="Mostly Registered"/>
    <n v="0"/>
    <n v="100"/>
    <s v="No"/>
    <s v="Low"/>
    <s v="No"/>
    <n v="5.2699999999999997E-2"/>
  </r>
  <r>
    <n v="91"/>
    <x v="3"/>
    <n v="1"/>
    <n v="22"/>
    <b v="0"/>
    <n v="2"/>
    <n v="1"/>
    <n v="0.22"/>
    <x v="2"/>
    <n v="0.64"/>
    <n v="8.9599999999999999E-2"/>
    <n v="1"/>
    <n v="34"/>
    <n v="35"/>
    <s v="Spring"/>
    <s v="Tuesday"/>
    <s v="Clear"/>
    <x v="0"/>
    <s v="Cold"/>
    <s v="Medium"/>
    <s v="Calm"/>
    <s v="Working Day"/>
    <s v="Mostly Registered"/>
    <n v="2.8571428571428572"/>
    <n v="97.142857142857139"/>
    <s v="No"/>
    <s v="Low"/>
    <s v="No"/>
    <n v="3.7599999999999988E-2"/>
  </r>
  <r>
    <n v="92"/>
    <x v="3"/>
    <n v="1"/>
    <n v="23"/>
    <b v="0"/>
    <n v="2"/>
    <n v="1"/>
    <n v="0.2"/>
    <x v="10"/>
    <n v="0.69"/>
    <n v="8.9599999999999999E-2"/>
    <n v="2"/>
    <n v="9"/>
    <n v="11"/>
    <s v="Spring"/>
    <s v="Tuesday"/>
    <s v="Clear"/>
    <x v="0"/>
    <s v="Cold"/>
    <s v="Medium"/>
    <s v="Calm"/>
    <s v="Working Day"/>
    <s v="Mostly Registered"/>
    <n v="18.18181818181818"/>
    <n v="81.818181818181827"/>
    <s v="No"/>
    <s v="Low"/>
    <s v="No"/>
    <n v="2.7299999999999991E-2"/>
  </r>
  <r>
    <n v="93"/>
    <x v="4"/>
    <n v="1"/>
    <n v="0"/>
    <b v="0"/>
    <n v="3"/>
    <n v="1"/>
    <n v="0.2"/>
    <x v="2"/>
    <n v="0.64"/>
    <n v="0"/>
    <n v="0"/>
    <n v="6"/>
    <n v="6"/>
    <s v="Spring"/>
    <s v="Wednesday"/>
    <s v="Clear"/>
    <x v="0"/>
    <s v="Cold"/>
    <s v="Medium"/>
    <s v="Calm"/>
    <s v="Working Day"/>
    <s v="Mostly Registered"/>
    <n v="0"/>
    <n v="100"/>
    <s v="No"/>
    <s v="Low"/>
    <s v="No"/>
    <n v="5.7599999999999978E-2"/>
  </r>
  <r>
    <n v="94"/>
    <x v="4"/>
    <n v="1"/>
    <n v="1"/>
    <b v="0"/>
    <n v="3"/>
    <n v="1"/>
    <n v="0.16"/>
    <x v="12"/>
    <n v="0.74"/>
    <n v="8.9599999999999999E-2"/>
    <n v="0"/>
    <n v="6"/>
    <n v="6"/>
    <s v="Spring"/>
    <s v="Wednesday"/>
    <s v="Clear"/>
    <x v="0"/>
    <s v="Cold"/>
    <s v="High"/>
    <s v="Calm"/>
    <s v="Working Day"/>
    <s v="Mostly Registered"/>
    <n v="0"/>
    <n v="100"/>
    <s v="No"/>
    <s v="Low"/>
    <s v="No"/>
    <n v="3.7000000000000012E-2"/>
  </r>
  <r>
    <n v="95"/>
    <x v="4"/>
    <n v="1"/>
    <n v="2"/>
    <b v="0"/>
    <n v="3"/>
    <n v="1"/>
    <n v="0.16"/>
    <x v="12"/>
    <n v="0.74"/>
    <n v="8.9599999999999999E-2"/>
    <n v="0"/>
    <n v="2"/>
    <n v="2"/>
    <s v="Spring"/>
    <s v="Wednesday"/>
    <s v="Clear"/>
    <x v="0"/>
    <s v="Cold"/>
    <s v="High"/>
    <s v="Calm"/>
    <s v="Working Day"/>
    <s v="Mostly Registered"/>
    <n v="0"/>
    <n v="100"/>
    <s v="No"/>
    <s v="Low"/>
    <s v="No"/>
    <n v="3.7000000000000012E-2"/>
  </r>
  <r>
    <n v="96"/>
    <x v="4"/>
    <n v="1"/>
    <n v="4"/>
    <b v="0"/>
    <n v="3"/>
    <n v="1"/>
    <n v="0.24"/>
    <x v="10"/>
    <n v="0.48"/>
    <n v="0.22389999999999999"/>
    <n v="0"/>
    <n v="2"/>
    <n v="2"/>
    <s v="Spring"/>
    <s v="Wednesday"/>
    <s v="Clear"/>
    <x v="0"/>
    <s v="Cold"/>
    <s v="Medium"/>
    <s v="Moderate"/>
    <s v="Working Day"/>
    <s v="Mostly Registered"/>
    <n v="0"/>
    <n v="100"/>
    <s v="No"/>
    <s v="Low"/>
    <s v="No"/>
    <n v="-1.2699999999999991E-2"/>
  </r>
  <r>
    <n v="97"/>
    <x v="4"/>
    <n v="1"/>
    <n v="5"/>
    <b v="0"/>
    <n v="3"/>
    <n v="1"/>
    <n v="0.22"/>
    <x v="10"/>
    <n v="0.47"/>
    <n v="0.16420000000000001"/>
    <n v="0"/>
    <n v="3"/>
    <n v="3"/>
    <s v="Spring"/>
    <s v="Wednesday"/>
    <s v="Clear"/>
    <x v="0"/>
    <s v="Cold"/>
    <s v="Medium"/>
    <s v="Moderate"/>
    <s v="Working Day"/>
    <s v="Mostly Registered"/>
    <n v="0"/>
    <n v="100"/>
    <s v="No"/>
    <s v="Low"/>
    <s v="No"/>
    <n v="7.3000000000000009E-3"/>
  </r>
  <r>
    <n v="98"/>
    <x v="4"/>
    <n v="1"/>
    <n v="6"/>
    <b v="0"/>
    <n v="3"/>
    <n v="1"/>
    <n v="0.2"/>
    <x v="12"/>
    <n v="0.47"/>
    <n v="0.22389999999999999"/>
    <n v="0"/>
    <n v="33"/>
    <n v="33"/>
    <s v="Spring"/>
    <s v="Wednesday"/>
    <s v="Clear"/>
    <x v="1"/>
    <s v="Cold"/>
    <s v="Medium"/>
    <s v="Moderate"/>
    <s v="Working Day"/>
    <s v="Mostly Registered"/>
    <n v="0"/>
    <n v="100"/>
    <s v="No"/>
    <s v="Low"/>
    <s v="No"/>
    <n v="-3.0000000000000031E-3"/>
  </r>
  <r>
    <n v="99"/>
    <x v="4"/>
    <n v="1"/>
    <n v="7"/>
    <b v="0"/>
    <n v="3"/>
    <n v="1"/>
    <n v="0.18"/>
    <x v="17"/>
    <n v="0.43"/>
    <n v="0.19400000000000001"/>
    <n v="1"/>
    <n v="87"/>
    <n v="88"/>
    <s v="Spring"/>
    <s v="Wednesday"/>
    <s v="Clear"/>
    <x v="1"/>
    <s v="Cold"/>
    <s v="Medium"/>
    <s v="Moderate"/>
    <s v="Working Day"/>
    <s v="Mostly Registered"/>
    <n v="1.136363636363636"/>
    <n v="98.86363636363636"/>
    <s v="Yes"/>
    <s v="Low"/>
    <s v="No"/>
    <n v="1.799999999999996E-3"/>
  </r>
  <r>
    <n v="100"/>
    <x v="4"/>
    <n v="1"/>
    <n v="8"/>
    <b v="0"/>
    <n v="3"/>
    <n v="1"/>
    <n v="0.2"/>
    <x v="17"/>
    <n v="0.4"/>
    <n v="0.29849999999999999"/>
    <n v="3"/>
    <n v="192"/>
    <n v="195"/>
    <s v="Spring"/>
    <s v="Wednesday"/>
    <s v="Clear"/>
    <x v="1"/>
    <s v="Cold"/>
    <s v="Medium"/>
    <s v="Moderate"/>
    <s v="Working Day"/>
    <s v="Mostly Registered"/>
    <n v="1.538461538461539"/>
    <n v="98.461538461538467"/>
    <s v="Yes"/>
    <s v="Medium"/>
    <s v="No"/>
    <n v="-1.8200000000000022E-2"/>
  </r>
  <r>
    <n v="101"/>
    <x v="4"/>
    <n v="1"/>
    <n v="9"/>
    <b v="0"/>
    <n v="3"/>
    <n v="1"/>
    <n v="0.22"/>
    <x v="12"/>
    <n v="0.37"/>
    <n v="0.32840000000000003"/>
    <n v="6"/>
    <n v="109"/>
    <n v="115"/>
    <s v="Spring"/>
    <s v="Wednesday"/>
    <s v="Clear"/>
    <x v="1"/>
    <s v="Cold"/>
    <s v="Low"/>
    <s v="Windy"/>
    <s v="Working Day"/>
    <s v="Mostly Registered"/>
    <n v="5.2173913043478262"/>
    <n v="94.782608695652172"/>
    <s v="Yes"/>
    <s v="Medium"/>
    <s v="No"/>
    <n v="-2.2999999999999989E-2"/>
  </r>
  <r>
    <n v="102"/>
    <x v="4"/>
    <n v="1"/>
    <n v="10"/>
    <b v="0"/>
    <n v="3"/>
    <n v="1"/>
    <n v="0.22"/>
    <x v="12"/>
    <n v="0.37"/>
    <n v="0.32840000000000003"/>
    <n v="4"/>
    <n v="53"/>
    <n v="57"/>
    <s v="Spring"/>
    <s v="Wednesday"/>
    <s v="Clear"/>
    <x v="1"/>
    <s v="Cold"/>
    <s v="Low"/>
    <s v="Windy"/>
    <s v="Working Day"/>
    <s v="Mostly Registered"/>
    <n v="7.0175438596491224"/>
    <n v="92.982456140350877"/>
    <s v="No"/>
    <s v="Low"/>
    <s v="No"/>
    <n v="-2.2999999999999989E-2"/>
  </r>
  <r>
    <n v="103"/>
    <x v="4"/>
    <n v="1"/>
    <n v="11"/>
    <b v="0"/>
    <n v="3"/>
    <n v="1"/>
    <n v="0.26"/>
    <x v="10"/>
    <n v="0.33"/>
    <n v="0.32840000000000003"/>
    <n v="12"/>
    <n v="34"/>
    <n v="46"/>
    <s v="Spring"/>
    <s v="Wednesday"/>
    <s v="Clear"/>
    <x v="1"/>
    <s v="Mild"/>
    <s v="Low"/>
    <s v="Windy"/>
    <s v="Working Day"/>
    <s v="Mostly Registered"/>
    <n v="26.086956521739129"/>
    <n v="73.91304347826086"/>
    <s v="No"/>
    <s v="Low"/>
    <s v="No"/>
    <n v="-3.2700000000000007E-2"/>
  </r>
  <r>
    <n v="104"/>
    <x v="4"/>
    <n v="1"/>
    <n v="12"/>
    <b v="0"/>
    <n v="3"/>
    <n v="1"/>
    <n v="0.26"/>
    <x v="10"/>
    <n v="0.33"/>
    <n v="0.32840000000000003"/>
    <n v="5"/>
    <n v="74"/>
    <n v="79"/>
    <s v="Spring"/>
    <s v="Wednesday"/>
    <s v="Clear"/>
    <x v="2"/>
    <s v="Mild"/>
    <s v="Low"/>
    <s v="Windy"/>
    <s v="Working Day"/>
    <s v="Mostly Registered"/>
    <n v="6.3291139240506329"/>
    <n v="93.670886075949369"/>
    <s v="No"/>
    <s v="Low"/>
    <s v="No"/>
    <n v="-3.2700000000000007E-2"/>
  </r>
  <r>
    <n v="105"/>
    <x v="4"/>
    <n v="1"/>
    <n v="13"/>
    <b v="0"/>
    <n v="3"/>
    <n v="1"/>
    <n v="0.28000000000000003"/>
    <x v="2"/>
    <n v="0.3"/>
    <n v="0.29849999999999999"/>
    <n v="6"/>
    <n v="65"/>
    <n v="71"/>
    <s v="Spring"/>
    <s v="Wednesday"/>
    <s v="Clear"/>
    <x v="2"/>
    <s v="Mild"/>
    <s v="Low"/>
    <s v="Moderate"/>
    <s v="Working Day"/>
    <s v="Mostly Registered"/>
    <n v="8.4507042253521121"/>
    <n v="91.549295774647888"/>
    <s v="No"/>
    <s v="Low"/>
    <s v="No"/>
    <n v="-2.2400000000000031E-2"/>
  </r>
  <r>
    <n v="106"/>
    <x v="4"/>
    <n v="1"/>
    <n v="14"/>
    <b v="0"/>
    <n v="3"/>
    <n v="1"/>
    <n v="0.3"/>
    <x v="0"/>
    <n v="0.28000000000000003"/>
    <n v="0.19400000000000001"/>
    <n v="10"/>
    <n v="52"/>
    <n v="62"/>
    <s v="Spring"/>
    <s v="Wednesday"/>
    <s v="Clear"/>
    <x v="2"/>
    <s v="Mild"/>
    <s v="Low"/>
    <s v="Moderate"/>
    <s v="Working Day"/>
    <s v="Mostly Registered"/>
    <n v="16.12903225806452"/>
    <n v="83.870967741935488"/>
    <s v="No"/>
    <s v="Low"/>
    <s v="No"/>
    <n v="-1.21E-2"/>
  </r>
  <r>
    <n v="107"/>
    <x v="4"/>
    <n v="1"/>
    <n v="15"/>
    <b v="0"/>
    <n v="3"/>
    <n v="1"/>
    <n v="0.3"/>
    <x v="0"/>
    <n v="0.28000000000000003"/>
    <n v="0.19400000000000001"/>
    <n v="7"/>
    <n v="55"/>
    <n v="62"/>
    <s v="Spring"/>
    <s v="Wednesday"/>
    <s v="Clear"/>
    <x v="2"/>
    <s v="Mild"/>
    <s v="Low"/>
    <s v="Moderate"/>
    <s v="Working Day"/>
    <s v="Mostly Registered"/>
    <n v="11.29032258064516"/>
    <n v="88.709677419354833"/>
    <s v="No"/>
    <s v="Low"/>
    <s v="No"/>
    <n v="-1.21E-2"/>
  </r>
  <r>
    <n v="108"/>
    <x v="4"/>
    <n v="1"/>
    <n v="16"/>
    <b v="0"/>
    <n v="3"/>
    <n v="1"/>
    <n v="0.3"/>
    <x v="20"/>
    <n v="0.28000000000000003"/>
    <n v="8.9599999999999999E-2"/>
    <n v="4"/>
    <n v="85"/>
    <n v="89"/>
    <s v="Spring"/>
    <s v="Wednesday"/>
    <s v="Clear"/>
    <x v="2"/>
    <s v="Mild"/>
    <s v="Low"/>
    <s v="Calm"/>
    <s v="Working Day"/>
    <s v="Mostly Registered"/>
    <n v="4.4943820224719104"/>
    <n v="95.50561797752809"/>
    <s v="No"/>
    <s v="Low"/>
    <s v="No"/>
    <n v="1.819999999999999E-2"/>
  </r>
  <r>
    <n v="109"/>
    <x v="4"/>
    <n v="1"/>
    <n v="17"/>
    <b v="0"/>
    <n v="3"/>
    <n v="1"/>
    <n v="0.24"/>
    <x v="10"/>
    <n v="0.38"/>
    <n v="0.19400000000000001"/>
    <n v="4"/>
    <n v="186"/>
    <n v="190"/>
    <s v="Spring"/>
    <s v="Wednesday"/>
    <s v="Clear"/>
    <x v="3"/>
    <s v="Cold"/>
    <s v="Low"/>
    <s v="Moderate"/>
    <s v="Working Day"/>
    <s v="Mostly Registered"/>
    <n v="2.1052631578947372"/>
    <n v="97.894736842105274"/>
    <s v="Yes"/>
    <s v="Medium"/>
    <s v="No"/>
    <n v="-1.2699999999999991E-2"/>
  </r>
  <r>
    <n v="110"/>
    <x v="4"/>
    <n v="1"/>
    <n v="18"/>
    <b v="0"/>
    <n v="3"/>
    <n v="1"/>
    <n v="0.24"/>
    <x v="18"/>
    <n v="0.38"/>
    <n v="0.1343"/>
    <n v="3"/>
    <n v="166"/>
    <n v="169"/>
    <s v="Spring"/>
    <s v="Wednesday"/>
    <s v="Clear"/>
    <x v="3"/>
    <s v="Cold"/>
    <s v="Low"/>
    <s v="Calm"/>
    <s v="Working Day"/>
    <s v="Mostly Registered"/>
    <n v="1.775147928994083"/>
    <n v="98.224852071005913"/>
    <s v="Yes"/>
    <s v="Medium"/>
    <s v="No"/>
    <n v="2.4000000000000128E-3"/>
  </r>
  <r>
    <n v="111"/>
    <x v="4"/>
    <n v="1"/>
    <n v="19"/>
    <b v="0"/>
    <n v="3"/>
    <n v="1"/>
    <n v="0.24"/>
    <x v="2"/>
    <n v="0.38"/>
    <n v="0.1045"/>
    <n v="5"/>
    <n v="127"/>
    <n v="132"/>
    <s v="Spring"/>
    <s v="Wednesday"/>
    <s v="Clear"/>
    <x v="3"/>
    <s v="Cold"/>
    <s v="Low"/>
    <s v="Calm"/>
    <s v="Working Day"/>
    <s v="Mostly Registered"/>
    <n v="3.7878787878787881"/>
    <n v="96.212121212121218"/>
    <s v="Yes"/>
    <s v="Medium"/>
    <s v="No"/>
    <n v="1.7600000000000001E-2"/>
  </r>
  <r>
    <n v="112"/>
    <x v="4"/>
    <n v="1"/>
    <n v="20"/>
    <b v="0"/>
    <n v="3"/>
    <n v="1"/>
    <n v="0.22"/>
    <x v="10"/>
    <n v="0.47"/>
    <n v="0.16420000000000001"/>
    <n v="7"/>
    <n v="82"/>
    <n v="89"/>
    <s v="Spring"/>
    <s v="Wednesday"/>
    <s v="Clear"/>
    <x v="3"/>
    <s v="Cold"/>
    <s v="Medium"/>
    <s v="Moderate"/>
    <s v="Working Day"/>
    <s v="Mostly Registered"/>
    <n v="7.8651685393258424"/>
    <n v="92.134831460674164"/>
    <s v="No"/>
    <s v="Low"/>
    <s v="No"/>
    <n v="7.3000000000000009E-3"/>
  </r>
  <r>
    <n v="113"/>
    <x v="4"/>
    <n v="1"/>
    <n v="21"/>
    <b v="0"/>
    <n v="3"/>
    <n v="1"/>
    <n v="0.2"/>
    <x v="12"/>
    <n v="0.51"/>
    <n v="0.19400000000000001"/>
    <n v="3"/>
    <n v="40"/>
    <n v="43"/>
    <s v="Spring"/>
    <s v="Wednesday"/>
    <s v="Clear"/>
    <x v="0"/>
    <s v="Cold"/>
    <s v="Medium"/>
    <s v="Moderate"/>
    <s v="Working Day"/>
    <s v="Mostly Registered"/>
    <n v="6.9767441860465116"/>
    <n v="93.023255813953483"/>
    <s v="No"/>
    <s v="Low"/>
    <s v="No"/>
    <n v="-3.0000000000000031E-3"/>
  </r>
  <r>
    <n v="114"/>
    <x v="4"/>
    <n v="1"/>
    <n v="22"/>
    <b v="0"/>
    <n v="3"/>
    <n v="1"/>
    <n v="0.18"/>
    <x v="12"/>
    <n v="0.55000000000000004"/>
    <n v="0.1343"/>
    <n v="1"/>
    <n v="41"/>
    <n v="42"/>
    <s v="Spring"/>
    <s v="Wednesday"/>
    <s v="Clear"/>
    <x v="0"/>
    <s v="Cold"/>
    <s v="Medium"/>
    <s v="Calm"/>
    <s v="Working Day"/>
    <s v="Mostly Registered"/>
    <n v="2.3809523809523809"/>
    <n v="97.61904761904762"/>
    <s v="No"/>
    <s v="Low"/>
    <s v="No"/>
    <n v="1.7000000000000019E-2"/>
  </r>
  <r>
    <n v="115"/>
    <x v="4"/>
    <n v="1"/>
    <n v="23"/>
    <b v="0"/>
    <n v="3"/>
    <n v="1"/>
    <n v="0.2"/>
    <x v="2"/>
    <n v="0.47"/>
    <n v="0"/>
    <n v="1"/>
    <n v="18"/>
    <n v="19"/>
    <s v="Spring"/>
    <s v="Wednesday"/>
    <s v="Clear"/>
    <x v="0"/>
    <s v="Cold"/>
    <s v="Medium"/>
    <s v="Calm"/>
    <s v="Working Day"/>
    <s v="Mostly Registered"/>
    <n v="5.2631578947368416"/>
    <n v="94.73684210526315"/>
    <s v="No"/>
    <s v="Low"/>
    <s v="No"/>
    <n v="5.7599999999999978E-2"/>
  </r>
  <r>
    <n v="116"/>
    <x v="5"/>
    <n v="1"/>
    <n v="0"/>
    <b v="0"/>
    <n v="4"/>
    <n v="1"/>
    <n v="0.18"/>
    <x v="18"/>
    <n v="0.55000000000000004"/>
    <n v="0"/>
    <n v="0"/>
    <n v="11"/>
    <n v="11"/>
    <s v="Spring"/>
    <s v="Thursday"/>
    <s v="Clear"/>
    <x v="0"/>
    <s v="Cold"/>
    <s v="Medium"/>
    <s v="Calm"/>
    <s v="Working Day"/>
    <s v="Mostly Registered"/>
    <n v="0"/>
    <n v="100"/>
    <s v="No"/>
    <s v="Low"/>
    <s v="No"/>
    <n v="6.2400000000000011E-2"/>
  </r>
  <r>
    <n v="117"/>
    <x v="5"/>
    <n v="1"/>
    <n v="1"/>
    <b v="0"/>
    <n v="4"/>
    <n v="1"/>
    <n v="0.16"/>
    <x v="10"/>
    <n v="0.64"/>
    <n v="0"/>
    <n v="0"/>
    <n v="4"/>
    <n v="4"/>
    <s v="Spring"/>
    <s v="Thursday"/>
    <s v="Clear"/>
    <x v="0"/>
    <s v="Cold"/>
    <s v="Medium"/>
    <s v="Calm"/>
    <s v="Working Day"/>
    <s v="Mostly Registered"/>
    <n v="0"/>
    <n v="100"/>
    <s v="No"/>
    <s v="Low"/>
    <s v="No"/>
    <n v="6.7299999999999999E-2"/>
  </r>
  <r>
    <n v="118"/>
    <x v="5"/>
    <n v="1"/>
    <n v="2"/>
    <b v="0"/>
    <n v="4"/>
    <n v="1"/>
    <n v="0.16"/>
    <x v="10"/>
    <n v="0.64"/>
    <n v="0"/>
    <n v="0"/>
    <n v="2"/>
    <n v="2"/>
    <s v="Spring"/>
    <s v="Thursday"/>
    <s v="Clear"/>
    <x v="0"/>
    <s v="Cold"/>
    <s v="Medium"/>
    <s v="Calm"/>
    <s v="Working Day"/>
    <s v="Mostly Registered"/>
    <n v="0"/>
    <n v="100"/>
    <s v="No"/>
    <s v="Low"/>
    <s v="No"/>
    <n v="6.7299999999999999E-2"/>
  </r>
  <r>
    <n v="119"/>
    <x v="5"/>
    <n v="1"/>
    <n v="4"/>
    <b v="0"/>
    <n v="4"/>
    <n v="2"/>
    <n v="0.16"/>
    <x v="12"/>
    <n v="0.64"/>
    <n v="8.9599999999999999E-2"/>
    <n v="0"/>
    <n v="1"/>
    <n v="1"/>
    <s v="Spring"/>
    <s v="Thursday"/>
    <s v="Mist/Cloudy"/>
    <x v="0"/>
    <s v="Cold"/>
    <s v="Medium"/>
    <s v="Calm"/>
    <s v="Working Day"/>
    <s v="Mostly Registered"/>
    <n v="0"/>
    <n v="100"/>
    <s v="No"/>
    <s v="Low"/>
    <s v="No"/>
    <n v="3.7000000000000012E-2"/>
  </r>
  <r>
    <n v="120"/>
    <x v="5"/>
    <n v="1"/>
    <n v="5"/>
    <b v="0"/>
    <n v="4"/>
    <n v="2"/>
    <n v="0.14000000000000001"/>
    <x v="17"/>
    <n v="0.69"/>
    <n v="8.9599999999999999E-2"/>
    <n v="0"/>
    <n v="4"/>
    <n v="4"/>
    <s v="Spring"/>
    <s v="Thursday"/>
    <s v="Mist/Cloudy"/>
    <x v="0"/>
    <s v="Very Cold"/>
    <s v="Medium"/>
    <s v="Calm"/>
    <s v="Working Day"/>
    <s v="Mostly Registered"/>
    <n v="0"/>
    <n v="100"/>
    <s v="No"/>
    <s v="Low"/>
    <s v="No"/>
    <n v="4.1799999999999983E-2"/>
  </r>
  <r>
    <n v="121"/>
    <x v="5"/>
    <n v="1"/>
    <n v="6"/>
    <b v="0"/>
    <n v="4"/>
    <n v="2"/>
    <n v="0.14000000000000001"/>
    <x v="16"/>
    <n v="0.63"/>
    <n v="0.1045"/>
    <n v="0"/>
    <n v="36"/>
    <n v="36"/>
    <s v="Spring"/>
    <s v="Thursday"/>
    <s v="Mist/Cloudy"/>
    <x v="1"/>
    <s v="Very Cold"/>
    <s v="Medium"/>
    <s v="Calm"/>
    <s v="Working Day"/>
    <s v="Mostly Registered"/>
    <n v="0"/>
    <n v="100"/>
    <s v="No"/>
    <s v="Low"/>
    <s v="No"/>
    <n v="2.669999999999997E-2"/>
  </r>
  <r>
    <n v="122"/>
    <x v="5"/>
    <n v="1"/>
    <n v="7"/>
    <b v="0"/>
    <n v="4"/>
    <n v="2"/>
    <n v="0.16"/>
    <x v="10"/>
    <n v="0.59"/>
    <n v="0"/>
    <n v="0"/>
    <n v="95"/>
    <n v="95"/>
    <s v="Spring"/>
    <s v="Thursday"/>
    <s v="Mist/Cloudy"/>
    <x v="1"/>
    <s v="Cold"/>
    <s v="Medium"/>
    <s v="Calm"/>
    <s v="Working Day"/>
    <s v="Mostly Registered"/>
    <n v="0"/>
    <n v="100"/>
    <s v="Yes"/>
    <s v="Low"/>
    <s v="No"/>
    <n v="6.7299999999999999E-2"/>
  </r>
  <r>
    <n v="123"/>
    <x v="5"/>
    <n v="1"/>
    <n v="8"/>
    <b v="0"/>
    <n v="4"/>
    <n v="1"/>
    <n v="0.16"/>
    <x v="10"/>
    <n v="0.59"/>
    <n v="0"/>
    <n v="3"/>
    <n v="216"/>
    <n v="219"/>
    <s v="Spring"/>
    <s v="Thursday"/>
    <s v="Clear"/>
    <x v="1"/>
    <s v="Cold"/>
    <s v="Medium"/>
    <s v="Calm"/>
    <s v="Working Day"/>
    <s v="Mostly Registered"/>
    <n v="1.3698630136986301"/>
    <n v="98.630136986301366"/>
    <s v="Yes"/>
    <s v="Medium"/>
    <s v="No"/>
    <n v="6.7299999999999999E-2"/>
  </r>
  <r>
    <n v="124"/>
    <x v="5"/>
    <n v="1"/>
    <n v="9"/>
    <b v="0"/>
    <n v="4"/>
    <n v="2"/>
    <n v="0.18"/>
    <x v="18"/>
    <n v="0.51"/>
    <n v="0"/>
    <n v="6"/>
    <n v="116"/>
    <n v="122"/>
    <s v="Spring"/>
    <s v="Thursday"/>
    <s v="Mist/Cloudy"/>
    <x v="1"/>
    <s v="Cold"/>
    <s v="Medium"/>
    <s v="Calm"/>
    <s v="Working Day"/>
    <s v="Mostly Registered"/>
    <n v="4.918032786885246"/>
    <n v="95.081967213114751"/>
    <s v="Yes"/>
    <s v="Medium"/>
    <s v="No"/>
    <n v="6.2400000000000011E-2"/>
  </r>
  <r>
    <n v="125"/>
    <x v="5"/>
    <n v="1"/>
    <n v="10"/>
    <b v="0"/>
    <n v="4"/>
    <n v="1"/>
    <n v="0.2"/>
    <x v="2"/>
    <n v="0.47"/>
    <n v="0"/>
    <n v="3"/>
    <n v="42"/>
    <n v="45"/>
    <s v="Spring"/>
    <s v="Thursday"/>
    <s v="Clear"/>
    <x v="1"/>
    <s v="Cold"/>
    <s v="Medium"/>
    <s v="Calm"/>
    <s v="Working Day"/>
    <s v="Mostly Registered"/>
    <n v="6.666666666666667"/>
    <n v="93.333333333333329"/>
    <s v="No"/>
    <s v="Low"/>
    <s v="No"/>
    <n v="5.7599999999999978E-2"/>
  </r>
  <r>
    <n v="126"/>
    <x v="5"/>
    <n v="1"/>
    <n v="11"/>
    <b v="0"/>
    <n v="4"/>
    <n v="1"/>
    <n v="0.22"/>
    <x v="2"/>
    <n v="0.44"/>
    <n v="8.9599999999999999E-2"/>
    <n v="2"/>
    <n v="57"/>
    <n v="59"/>
    <s v="Spring"/>
    <s v="Thursday"/>
    <s v="Clear"/>
    <x v="1"/>
    <s v="Cold"/>
    <s v="Medium"/>
    <s v="Calm"/>
    <s v="Working Day"/>
    <s v="Mostly Registered"/>
    <n v="3.3898305084745761"/>
    <n v="96.610169491525426"/>
    <s v="No"/>
    <s v="Low"/>
    <s v="No"/>
    <n v="3.7599999999999988E-2"/>
  </r>
  <r>
    <n v="127"/>
    <x v="5"/>
    <n v="1"/>
    <n v="12"/>
    <b v="0"/>
    <n v="4"/>
    <n v="1"/>
    <n v="0.26"/>
    <x v="0"/>
    <n v="0.35"/>
    <n v="0"/>
    <n v="6"/>
    <n v="78"/>
    <n v="84"/>
    <s v="Spring"/>
    <s v="Thursday"/>
    <s v="Clear"/>
    <x v="2"/>
    <s v="Mild"/>
    <s v="Low"/>
    <s v="Calm"/>
    <s v="Working Day"/>
    <s v="Mostly Registered"/>
    <n v="7.1428571428571423"/>
    <n v="92.857142857142861"/>
    <s v="No"/>
    <s v="Low"/>
    <s v="No"/>
    <n v="2.789999999999998E-2"/>
  </r>
  <r>
    <n v="128"/>
    <x v="5"/>
    <n v="1"/>
    <n v="13"/>
    <b v="0"/>
    <n v="4"/>
    <n v="1"/>
    <n v="0.26"/>
    <x v="1"/>
    <n v="0.35"/>
    <n v="0.1045"/>
    <n v="12"/>
    <n v="55"/>
    <n v="67"/>
    <s v="Spring"/>
    <s v="Thursday"/>
    <s v="Clear"/>
    <x v="2"/>
    <s v="Mild"/>
    <s v="Low"/>
    <s v="Calm"/>
    <s v="Working Day"/>
    <s v="Mostly Registered"/>
    <n v="17.910447761194028"/>
    <n v="82.089552238805979"/>
    <s v="No"/>
    <s v="Low"/>
    <s v="No"/>
    <n v="1.2699999999999991E-2"/>
  </r>
  <r>
    <n v="129"/>
    <x v="5"/>
    <n v="1"/>
    <n v="14"/>
    <b v="0"/>
    <n v="4"/>
    <n v="1"/>
    <n v="0.28000000000000003"/>
    <x v="1"/>
    <n v="0.36"/>
    <n v="0.16420000000000001"/>
    <n v="11"/>
    <n v="59"/>
    <n v="70"/>
    <s v="Spring"/>
    <s v="Thursday"/>
    <s v="Clear"/>
    <x v="2"/>
    <s v="Mild"/>
    <s v="Low"/>
    <s v="Moderate"/>
    <s v="Working Day"/>
    <s v="Mostly Registered"/>
    <n v="15.71428571428571"/>
    <n v="84.285714285714292"/>
    <s v="No"/>
    <s v="Low"/>
    <s v="No"/>
    <n v="-7.3000000000000287E-3"/>
  </r>
  <r>
    <n v="130"/>
    <x v="5"/>
    <n v="1"/>
    <n v="15"/>
    <b v="0"/>
    <n v="4"/>
    <n v="1"/>
    <n v="0.28000000000000003"/>
    <x v="1"/>
    <n v="0.36"/>
    <n v="0"/>
    <n v="8"/>
    <n v="54"/>
    <n v="62"/>
    <s v="Spring"/>
    <s v="Thursday"/>
    <s v="Clear"/>
    <x v="2"/>
    <s v="Mild"/>
    <s v="Low"/>
    <s v="Calm"/>
    <s v="Working Day"/>
    <s v="Mostly Registered"/>
    <n v="12.90322580645161"/>
    <n v="87.096774193548384"/>
    <s v="No"/>
    <s v="Low"/>
    <s v="No"/>
    <n v="-7.3000000000000287E-3"/>
  </r>
  <r>
    <n v="131"/>
    <x v="5"/>
    <n v="1"/>
    <n v="16"/>
    <b v="0"/>
    <n v="4"/>
    <n v="1"/>
    <n v="0.26"/>
    <x v="2"/>
    <n v="0.38"/>
    <n v="0.16420000000000001"/>
    <n v="12"/>
    <n v="74"/>
    <n v="86"/>
    <s v="Spring"/>
    <s v="Thursday"/>
    <s v="Clear"/>
    <x v="2"/>
    <s v="Mild"/>
    <s v="Low"/>
    <s v="Moderate"/>
    <s v="Working Day"/>
    <s v="Mostly Registered"/>
    <n v="13.95348837209302"/>
    <n v="86.04651162790698"/>
    <s v="No"/>
    <s v="Low"/>
    <s v="No"/>
    <n v="-2.4000000000000128E-3"/>
  </r>
  <r>
    <n v="132"/>
    <x v="5"/>
    <n v="1"/>
    <n v="17"/>
    <b v="0"/>
    <n v="4"/>
    <n v="1"/>
    <n v="0.22"/>
    <x v="10"/>
    <n v="0.51"/>
    <n v="0.16420000000000001"/>
    <n v="9"/>
    <n v="163"/>
    <n v="172"/>
    <s v="Spring"/>
    <s v="Thursday"/>
    <s v="Clear"/>
    <x v="3"/>
    <s v="Cold"/>
    <s v="Medium"/>
    <s v="Moderate"/>
    <s v="Working Day"/>
    <s v="Mostly Registered"/>
    <n v="5.2325581395348841"/>
    <n v="94.767441860465112"/>
    <s v="Yes"/>
    <s v="Medium"/>
    <s v="No"/>
    <n v="7.3000000000000009E-3"/>
  </r>
  <r>
    <n v="133"/>
    <x v="5"/>
    <n v="1"/>
    <n v="18"/>
    <b v="0"/>
    <n v="4"/>
    <n v="1"/>
    <n v="0.22"/>
    <x v="10"/>
    <n v="0.51"/>
    <n v="0.1343"/>
    <n v="5"/>
    <n v="158"/>
    <n v="163"/>
    <s v="Spring"/>
    <s v="Thursday"/>
    <s v="Clear"/>
    <x v="3"/>
    <s v="Cold"/>
    <s v="Medium"/>
    <s v="Calm"/>
    <s v="Working Day"/>
    <s v="Mostly Registered"/>
    <n v="3.0674846625766872"/>
    <n v="96.932515337423311"/>
    <s v="Yes"/>
    <s v="Medium"/>
    <s v="No"/>
    <n v="7.3000000000000009E-3"/>
  </r>
  <r>
    <n v="134"/>
    <x v="5"/>
    <n v="1"/>
    <n v="19"/>
    <b v="0"/>
    <n v="4"/>
    <n v="1"/>
    <n v="0.22"/>
    <x v="2"/>
    <n v="0.55000000000000004"/>
    <n v="8.9599999999999999E-2"/>
    <n v="3"/>
    <n v="109"/>
    <n v="112"/>
    <s v="Spring"/>
    <s v="Thursday"/>
    <s v="Clear"/>
    <x v="3"/>
    <s v="Cold"/>
    <s v="Medium"/>
    <s v="Calm"/>
    <s v="Working Day"/>
    <s v="Mostly Registered"/>
    <n v="2.6785714285714279"/>
    <n v="97.321428571428569"/>
    <s v="Yes"/>
    <s v="Medium"/>
    <s v="No"/>
    <n v="3.7599999999999988E-2"/>
  </r>
  <r>
    <n v="135"/>
    <x v="5"/>
    <n v="1"/>
    <n v="20"/>
    <b v="0"/>
    <n v="4"/>
    <n v="1"/>
    <n v="0.2"/>
    <x v="11"/>
    <n v="0.51"/>
    <n v="0.16420000000000001"/>
    <n v="3"/>
    <n v="66"/>
    <n v="69"/>
    <s v="Spring"/>
    <s v="Thursday"/>
    <s v="Clear"/>
    <x v="3"/>
    <s v="Cold"/>
    <s v="Medium"/>
    <s v="Moderate"/>
    <s v="Working Day"/>
    <s v="Mostly Registered"/>
    <n v="4.3478260869565224"/>
    <n v="95.652173913043484"/>
    <s v="No"/>
    <s v="Low"/>
    <s v="No"/>
    <n v="1.21E-2"/>
  </r>
  <r>
    <n v="136"/>
    <x v="5"/>
    <n v="1"/>
    <n v="21"/>
    <b v="0"/>
    <n v="4"/>
    <n v="2"/>
    <n v="0.22"/>
    <x v="11"/>
    <n v="0.55000000000000004"/>
    <n v="0.22389999999999999"/>
    <n v="0"/>
    <n v="48"/>
    <n v="48"/>
    <s v="Spring"/>
    <s v="Thursday"/>
    <s v="Mist/Cloudy"/>
    <x v="0"/>
    <s v="Cold"/>
    <s v="Medium"/>
    <s v="Moderate"/>
    <s v="Working Day"/>
    <s v="Mostly Registered"/>
    <n v="0"/>
    <n v="100"/>
    <s v="No"/>
    <s v="Low"/>
    <s v="No"/>
    <n v="-7.8999999999999904E-3"/>
  </r>
  <r>
    <n v="137"/>
    <x v="5"/>
    <n v="1"/>
    <n v="22"/>
    <b v="0"/>
    <n v="4"/>
    <n v="2"/>
    <n v="0.22"/>
    <x v="11"/>
    <n v="0.51"/>
    <n v="0.28360000000000002"/>
    <n v="1"/>
    <n v="51"/>
    <n v="52"/>
    <s v="Spring"/>
    <s v="Thursday"/>
    <s v="Mist/Cloudy"/>
    <x v="0"/>
    <s v="Cold"/>
    <s v="Medium"/>
    <s v="Moderate"/>
    <s v="Working Day"/>
    <s v="Mostly Registered"/>
    <n v="1.9230769230769229"/>
    <n v="98.076923076923066"/>
    <s v="No"/>
    <s v="Low"/>
    <s v="No"/>
    <n v="-7.8999999999999904E-3"/>
  </r>
  <r>
    <n v="138"/>
    <x v="5"/>
    <n v="1"/>
    <n v="23"/>
    <b v="0"/>
    <n v="4"/>
    <n v="2"/>
    <n v="0.2"/>
    <x v="12"/>
    <n v="0.59"/>
    <n v="0.19400000000000001"/>
    <n v="4"/>
    <n v="19"/>
    <n v="23"/>
    <s v="Spring"/>
    <s v="Thursday"/>
    <s v="Mist/Cloudy"/>
    <x v="0"/>
    <s v="Cold"/>
    <s v="Medium"/>
    <s v="Moderate"/>
    <s v="Working Day"/>
    <s v="Mostly Registered"/>
    <n v="17.39130434782609"/>
    <n v="82.608695652173907"/>
    <s v="No"/>
    <s v="Low"/>
    <s v="No"/>
    <n v="-3.0000000000000031E-3"/>
  </r>
  <r>
    <n v="139"/>
    <x v="6"/>
    <n v="1"/>
    <n v="0"/>
    <b v="0"/>
    <n v="5"/>
    <n v="2"/>
    <n v="0.2"/>
    <x v="12"/>
    <n v="0.64"/>
    <n v="0.19400000000000001"/>
    <n v="4"/>
    <n v="13"/>
    <n v="17"/>
    <s v="Spring"/>
    <s v="Friday"/>
    <s v="Mist/Cloudy"/>
    <x v="0"/>
    <s v="Cold"/>
    <s v="Medium"/>
    <s v="Moderate"/>
    <s v="Working Day"/>
    <s v="Mostly Registered"/>
    <n v="23.52941176470588"/>
    <n v="76.470588235294116"/>
    <s v="No"/>
    <s v="Low"/>
    <s v="No"/>
    <n v="-3.0000000000000031E-3"/>
  </r>
  <r>
    <n v="140"/>
    <x v="6"/>
    <n v="1"/>
    <n v="1"/>
    <b v="0"/>
    <n v="5"/>
    <n v="2"/>
    <n v="0.2"/>
    <x v="12"/>
    <n v="0.69"/>
    <n v="0.22389999999999999"/>
    <n v="2"/>
    <n v="5"/>
    <n v="7"/>
    <s v="Spring"/>
    <s v="Friday"/>
    <s v="Mist/Cloudy"/>
    <x v="0"/>
    <s v="Cold"/>
    <s v="Medium"/>
    <s v="Moderate"/>
    <s v="Working Day"/>
    <s v="Mostly Registered"/>
    <n v="28.571428571428569"/>
    <n v="71.428571428571431"/>
    <s v="No"/>
    <s v="Low"/>
    <s v="No"/>
    <n v="-3.0000000000000031E-3"/>
  </r>
  <r>
    <n v="141"/>
    <x v="6"/>
    <n v="1"/>
    <n v="2"/>
    <b v="0"/>
    <n v="5"/>
    <n v="2"/>
    <n v="0.2"/>
    <x v="12"/>
    <n v="0.69"/>
    <n v="0.22389999999999999"/>
    <n v="0"/>
    <n v="1"/>
    <n v="1"/>
    <s v="Spring"/>
    <s v="Friday"/>
    <s v="Mist/Cloudy"/>
    <x v="0"/>
    <s v="Cold"/>
    <s v="Medium"/>
    <s v="Moderate"/>
    <s v="Working Day"/>
    <s v="Mostly Registered"/>
    <n v="0"/>
    <n v="100"/>
    <s v="No"/>
    <s v="Low"/>
    <s v="No"/>
    <n v="-3.0000000000000031E-3"/>
  </r>
  <r>
    <n v="142"/>
    <x v="6"/>
    <n v="1"/>
    <n v="4"/>
    <b v="0"/>
    <n v="5"/>
    <n v="2"/>
    <n v="0.2"/>
    <x v="11"/>
    <n v="0.69"/>
    <n v="0.1343"/>
    <n v="0"/>
    <n v="1"/>
    <n v="1"/>
    <s v="Spring"/>
    <s v="Friday"/>
    <s v="Mist/Cloudy"/>
    <x v="0"/>
    <s v="Cold"/>
    <s v="Medium"/>
    <s v="Calm"/>
    <s v="Working Day"/>
    <s v="Mostly Registered"/>
    <n v="0"/>
    <n v="100"/>
    <s v="No"/>
    <s v="Low"/>
    <s v="No"/>
    <n v="1.21E-2"/>
  </r>
  <r>
    <n v="143"/>
    <x v="6"/>
    <n v="1"/>
    <n v="5"/>
    <b v="0"/>
    <n v="5"/>
    <n v="3"/>
    <n v="0.22"/>
    <x v="1"/>
    <n v="0.55000000000000004"/>
    <n v="0"/>
    <n v="0"/>
    <n v="5"/>
    <n v="5"/>
    <s v="Spring"/>
    <s v="Friday"/>
    <s v="Light Rain/Snow"/>
    <x v="0"/>
    <s v="Cold"/>
    <s v="Medium"/>
    <s v="Calm"/>
    <s v="Working Day"/>
    <s v="Mostly Registered"/>
    <n v="0"/>
    <n v="100"/>
    <s v="No"/>
    <s v="Low"/>
    <s v="No"/>
    <n v="5.2699999999999997E-2"/>
  </r>
  <r>
    <n v="144"/>
    <x v="6"/>
    <n v="1"/>
    <n v="6"/>
    <b v="0"/>
    <n v="5"/>
    <n v="2"/>
    <n v="0.2"/>
    <x v="2"/>
    <n v="0.69"/>
    <n v="0"/>
    <n v="8"/>
    <n v="26"/>
    <n v="34"/>
    <s v="Spring"/>
    <s v="Friday"/>
    <s v="Mist/Cloudy"/>
    <x v="1"/>
    <s v="Cold"/>
    <s v="Medium"/>
    <s v="Calm"/>
    <s v="Working Day"/>
    <s v="Mostly Registered"/>
    <n v="23.52941176470588"/>
    <n v="76.470588235294116"/>
    <s v="No"/>
    <s v="Low"/>
    <s v="No"/>
    <n v="5.7599999999999978E-2"/>
  </r>
  <r>
    <n v="145"/>
    <x v="6"/>
    <n v="1"/>
    <n v="7"/>
    <b v="0"/>
    <n v="5"/>
    <n v="1"/>
    <n v="0.2"/>
    <x v="11"/>
    <n v="0.69"/>
    <n v="0.1343"/>
    <n v="8"/>
    <n v="76"/>
    <n v="84"/>
    <s v="Spring"/>
    <s v="Friday"/>
    <s v="Clear"/>
    <x v="1"/>
    <s v="Cold"/>
    <s v="Medium"/>
    <s v="Calm"/>
    <s v="Working Day"/>
    <s v="Mostly Registered"/>
    <n v="9.5238095238095237"/>
    <n v="90.476190476190482"/>
    <s v="Yes"/>
    <s v="Low"/>
    <s v="No"/>
    <n v="1.21E-2"/>
  </r>
  <r>
    <n v="146"/>
    <x v="6"/>
    <n v="1"/>
    <n v="8"/>
    <b v="0"/>
    <n v="5"/>
    <n v="1"/>
    <n v="0.2"/>
    <x v="12"/>
    <n v="0.51"/>
    <n v="0.25369999999999998"/>
    <n v="20"/>
    <n v="190"/>
    <n v="210"/>
    <s v="Spring"/>
    <s v="Friday"/>
    <s v="Clear"/>
    <x v="1"/>
    <s v="Cold"/>
    <s v="Medium"/>
    <s v="Moderate"/>
    <s v="Working Day"/>
    <s v="Mostly Registered"/>
    <n v="9.5238095238095237"/>
    <n v="90.476190476190482"/>
    <s v="Yes"/>
    <s v="Medium"/>
    <s v="No"/>
    <n v="-3.0000000000000031E-3"/>
  </r>
  <r>
    <n v="147"/>
    <x v="6"/>
    <n v="1"/>
    <n v="9"/>
    <b v="0"/>
    <n v="5"/>
    <n v="1"/>
    <n v="0.2"/>
    <x v="17"/>
    <n v="0.47"/>
    <n v="0.29849999999999999"/>
    <n v="9"/>
    <n v="125"/>
    <n v="134"/>
    <s v="Spring"/>
    <s v="Friday"/>
    <s v="Clear"/>
    <x v="1"/>
    <s v="Cold"/>
    <s v="Medium"/>
    <s v="Moderate"/>
    <s v="Working Day"/>
    <s v="Mostly Registered"/>
    <n v="6.7164179104477606"/>
    <n v="93.28358208955224"/>
    <s v="Yes"/>
    <s v="Medium"/>
    <s v="No"/>
    <n v="-1.8200000000000022E-2"/>
  </r>
  <r>
    <n v="148"/>
    <x v="6"/>
    <n v="1"/>
    <n v="10"/>
    <b v="0"/>
    <n v="5"/>
    <n v="1"/>
    <n v="0.22"/>
    <x v="12"/>
    <n v="0.37"/>
    <n v="0.32840000000000003"/>
    <n v="16"/>
    <n v="47"/>
    <n v="63"/>
    <s v="Spring"/>
    <s v="Friday"/>
    <s v="Clear"/>
    <x v="1"/>
    <s v="Cold"/>
    <s v="Low"/>
    <s v="Windy"/>
    <s v="Working Day"/>
    <s v="Mostly Registered"/>
    <n v="25.396825396825399"/>
    <n v="74.603174603174608"/>
    <s v="No"/>
    <s v="Low"/>
    <s v="No"/>
    <n v="-2.2999999999999989E-2"/>
  </r>
  <r>
    <n v="149"/>
    <x v="6"/>
    <n v="1"/>
    <n v="11"/>
    <b v="0"/>
    <n v="5"/>
    <n v="2"/>
    <n v="0.2"/>
    <x v="12"/>
    <n v="0.4"/>
    <n v="0.22389999999999999"/>
    <n v="19"/>
    <n v="48"/>
    <n v="67"/>
    <s v="Spring"/>
    <s v="Friday"/>
    <s v="Mist/Cloudy"/>
    <x v="1"/>
    <s v="Cold"/>
    <s v="Medium"/>
    <s v="Moderate"/>
    <s v="Working Day"/>
    <s v="Mostly Registered"/>
    <n v="28.35820895522388"/>
    <n v="71.641791044776113"/>
    <s v="No"/>
    <s v="Low"/>
    <s v="No"/>
    <n v="-3.0000000000000031E-3"/>
  </r>
  <r>
    <n v="150"/>
    <x v="6"/>
    <n v="1"/>
    <n v="12"/>
    <b v="0"/>
    <n v="5"/>
    <n v="2"/>
    <n v="0.2"/>
    <x v="12"/>
    <n v="0.37"/>
    <n v="0.25369999999999998"/>
    <n v="9"/>
    <n v="50"/>
    <n v="59"/>
    <s v="Spring"/>
    <s v="Friday"/>
    <s v="Mist/Cloudy"/>
    <x v="2"/>
    <s v="Cold"/>
    <s v="Low"/>
    <s v="Moderate"/>
    <s v="Working Day"/>
    <s v="Mostly Registered"/>
    <n v="15.25423728813559"/>
    <n v="84.745762711864401"/>
    <s v="No"/>
    <s v="Low"/>
    <s v="No"/>
    <n v="-3.0000000000000031E-3"/>
  </r>
  <r>
    <n v="151"/>
    <x v="6"/>
    <n v="1"/>
    <n v="13"/>
    <b v="0"/>
    <n v="5"/>
    <n v="2"/>
    <n v="0.2"/>
    <x v="17"/>
    <n v="0.37"/>
    <n v="0.28360000000000002"/>
    <n v="9"/>
    <n v="64"/>
    <n v="73"/>
    <s v="Spring"/>
    <s v="Friday"/>
    <s v="Mist/Cloudy"/>
    <x v="2"/>
    <s v="Cold"/>
    <s v="Low"/>
    <s v="Moderate"/>
    <s v="Working Day"/>
    <s v="Mostly Registered"/>
    <n v="12.328767123287671"/>
    <n v="87.671232876712324"/>
    <s v="No"/>
    <s v="Low"/>
    <s v="No"/>
    <n v="-1.8200000000000022E-2"/>
  </r>
  <r>
    <n v="152"/>
    <x v="6"/>
    <n v="1"/>
    <n v="14"/>
    <b v="0"/>
    <n v="5"/>
    <n v="2"/>
    <n v="0.2"/>
    <x v="12"/>
    <n v="0.4"/>
    <n v="0.25369999999999998"/>
    <n v="7"/>
    <n v="43"/>
    <n v="50"/>
    <s v="Spring"/>
    <s v="Friday"/>
    <s v="Mist/Cloudy"/>
    <x v="2"/>
    <s v="Cold"/>
    <s v="Medium"/>
    <s v="Moderate"/>
    <s v="Working Day"/>
    <s v="Mostly Registered"/>
    <n v="14"/>
    <n v="86"/>
    <s v="No"/>
    <s v="Low"/>
    <s v="No"/>
    <n v="-3.0000000000000031E-3"/>
  </r>
  <r>
    <n v="153"/>
    <x v="6"/>
    <n v="1"/>
    <n v="15"/>
    <b v="0"/>
    <n v="5"/>
    <n v="2"/>
    <n v="0.2"/>
    <x v="11"/>
    <n v="0.37"/>
    <n v="0.16420000000000001"/>
    <n v="9"/>
    <n v="63"/>
    <n v="72"/>
    <s v="Spring"/>
    <s v="Friday"/>
    <s v="Mist/Cloudy"/>
    <x v="2"/>
    <s v="Cold"/>
    <s v="Low"/>
    <s v="Moderate"/>
    <s v="Working Day"/>
    <s v="Mostly Registered"/>
    <n v="12.5"/>
    <n v="87.5"/>
    <s v="No"/>
    <s v="Low"/>
    <s v="No"/>
    <n v="1.21E-2"/>
  </r>
  <r>
    <n v="154"/>
    <x v="6"/>
    <n v="1"/>
    <n v="16"/>
    <b v="0"/>
    <n v="5"/>
    <n v="2"/>
    <n v="0.2"/>
    <x v="11"/>
    <n v="0.37"/>
    <n v="0.16420000000000001"/>
    <n v="5"/>
    <n v="82"/>
    <n v="87"/>
    <s v="Spring"/>
    <s v="Friday"/>
    <s v="Mist/Cloudy"/>
    <x v="2"/>
    <s v="Cold"/>
    <s v="Low"/>
    <s v="Moderate"/>
    <s v="Working Day"/>
    <s v="Mostly Registered"/>
    <n v="5.7471264367816088"/>
    <n v="94.252873563218387"/>
    <s v="No"/>
    <s v="Low"/>
    <s v="No"/>
    <n v="1.21E-2"/>
  </r>
  <r>
    <n v="155"/>
    <x v="6"/>
    <n v="1"/>
    <n v="17"/>
    <b v="0"/>
    <n v="5"/>
    <n v="2"/>
    <n v="0.2"/>
    <x v="2"/>
    <n v="0.37"/>
    <n v="0"/>
    <n v="9"/>
    <n v="178"/>
    <n v="187"/>
    <s v="Spring"/>
    <s v="Friday"/>
    <s v="Mist/Cloudy"/>
    <x v="3"/>
    <s v="Cold"/>
    <s v="Low"/>
    <s v="Calm"/>
    <s v="Working Day"/>
    <s v="Mostly Registered"/>
    <n v="4.8128342245989302"/>
    <n v="95.18716577540107"/>
    <s v="Yes"/>
    <s v="Medium"/>
    <s v="No"/>
    <n v="5.7599999999999978E-2"/>
  </r>
  <r>
    <n v="156"/>
    <x v="6"/>
    <n v="1"/>
    <n v="18"/>
    <b v="0"/>
    <n v="5"/>
    <n v="1"/>
    <n v="0.2"/>
    <x v="10"/>
    <n v="0.4"/>
    <n v="8.9599999999999999E-2"/>
    <n v="7"/>
    <n v="116"/>
    <n v="123"/>
    <s v="Spring"/>
    <s v="Friday"/>
    <s v="Clear"/>
    <x v="3"/>
    <s v="Cold"/>
    <s v="Medium"/>
    <s v="Calm"/>
    <s v="Working Day"/>
    <s v="Mostly Registered"/>
    <n v="5.6910569105691051"/>
    <n v="94.308943089430898"/>
    <s v="Yes"/>
    <s v="Medium"/>
    <s v="No"/>
    <n v="2.7299999999999991E-2"/>
  </r>
  <r>
    <n v="157"/>
    <x v="6"/>
    <n v="1"/>
    <n v="19"/>
    <b v="0"/>
    <n v="5"/>
    <n v="1"/>
    <n v="0.16"/>
    <x v="12"/>
    <n v="0.55000000000000004"/>
    <n v="8.9599999999999999E-2"/>
    <n v="3"/>
    <n v="92"/>
    <n v="95"/>
    <s v="Spring"/>
    <s v="Friday"/>
    <s v="Clear"/>
    <x v="3"/>
    <s v="Cold"/>
    <s v="Medium"/>
    <s v="Calm"/>
    <s v="Working Day"/>
    <s v="Mostly Registered"/>
    <n v="3.1578947368421049"/>
    <n v="96.84210526315789"/>
    <s v="Yes"/>
    <s v="Low"/>
    <s v="No"/>
    <n v="3.7000000000000012E-2"/>
  </r>
  <r>
    <n v="158"/>
    <x v="6"/>
    <n v="1"/>
    <n v="20"/>
    <b v="0"/>
    <n v="5"/>
    <n v="1"/>
    <n v="0.18"/>
    <x v="11"/>
    <n v="0.47"/>
    <n v="0.1045"/>
    <n v="1"/>
    <n v="50"/>
    <n v="51"/>
    <s v="Spring"/>
    <s v="Friday"/>
    <s v="Clear"/>
    <x v="3"/>
    <s v="Cold"/>
    <s v="Medium"/>
    <s v="Calm"/>
    <s v="Working Day"/>
    <s v="Mostly Registered"/>
    <n v="1.9607843137254899"/>
    <n v="98.039215686274503"/>
    <s v="No"/>
    <s v="Low"/>
    <s v="No"/>
    <n v="3.2100000000000017E-2"/>
  </r>
  <r>
    <n v="159"/>
    <x v="6"/>
    <n v="1"/>
    <n v="21"/>
    <b v="0"/>
    <n v="5"/>
    <n v="1"/>
    <n v="0.18"/>
    <x v="12"/>
    <n v="0.47"/>
    <n v="0.1343"/>
    <n v="0"/>
    <n v="39"/>
    <n v="39"/>
    <s v="Spring"/>
    <s v="Friday"/>
    <s v="Clear"/>
    <x v="0"/>
    <s v="Cold"/>
    <s v="Medium"/>
    <s v="Calm"/>
    <s v="Working Day"/>
    <s v="Mostly Registered"/>
    <n v="0"/>
    <n v="100"/>
    <s v="No"/>
    <s v="Low"/>
    <s v="No"/>
    <n v="1.7000000000000019E-2"/>
  </r>
  <r>
    <n v="160"/>
    <x v="6"/>
    <n v="1"/>
    <n v="22"/>
    <b v="0"/>
    <n v="5"/>
    <n v="2"/>
    <n v="0.18"/>
    <x v="12"/>
    <n v="0.43"/>
    <n v="0.16420000000000001"/>
    <n v="2"/>
    <n v="34"/>
    <n v="36"/>
    <s v="Spring"/>
    <s v="Friday"/>
    <s v="Mist/Cloudy"/>
    <x v="0"/>
    <s v="Cold"/>
    <s v="Medium"/>
    <s v="Moderate"/>
    <s v="Working Day"/>
    <s v="Mostly Registered"/>
    <n v="5.5555555555555554"/>
    <n v="94.444444444444443"/>
    <s v="No"/>
    <s v="Low"/>
    <s v="No"/>
    <n v="1.7000000000000019E-2"/>
  </r>
  <r>
    <n v="161"/>
    <x v="6"/>
    <n v="1"/>
    <n v="23"/>
    <b v="0"/>
    <n v="5"/>
    <n v="2"/>
    <n v="0.18"/>
    <x v="12"/>
    <n v="0.51"/>
    <n v="0.16420000000000001"/>
    <n v="1"/>
    <n v="14"/>
    <n v="15"/>
    <s v="Spring"/>
    <s v="Friday"/>
    <s v="Mist/Cloudy"/>
    <x v="0"/>
    <s v="Cold"/>
    <s v="Medium"/>
    <s v="Moderate"/>
    <s v="Working Day"/>
    <s v="Mostly Registered"/>
    <n v="6.666666666666667"/>
    <n v="93.333333333333329"/>
    <s v="No"/>
    <s v="Low"/>
    <s v="No"/>
    <n v="1.7000000000000019E-2"/>
  </r>
  <r>
    <n v="162"/>
    <x v="7"/>
    <n v="1"/>
    <n v="0"/>
    <b v="0"/>
    <n v="6"/>
    <n v="2"/>
    <n v="0.18"/>
    <x v="12"/>
    <n v="0.51"/>
    <n v="0.16420000000000001"/>
    <n v="1"/>
    <n v="24"/>
    <n v="25"/>
    <s v="Spring"/>
    <s v="Saturday"/>
    <s v="Mist/Cloudy"/>
    <x v="0"/>
    <s v="Cold"/>
    <s v="Medium"/>
    <s v="Moderate"/>
    <s v="Working Day"/>
    <s v="Mostly Registered"/>
    <n v="4"/>
    <n v="96"/>
    <s v="No"/>
    <s v="Low"/>
    <s v="Yes"/>
    <n v="1.7000000000000019E-2"/>
  </r>
  <r>
    <n v="163"/>
    <x v="7"/>
    <n v="1"/>
    <n v="1"/>
    <b v="0"/>
    <n v="6"/>
    <n v="2"/>
    <n v="0.18"/>
    <x v="11"/>
    <n v="0.55000000000000004"/>
    <n v="8.9599999999999999E-2"/>
    <n v="1"/>
    <n v="15"/>
    <n v="16"/>
    <s v="Spring"/>
    <s v="Saturday"/>
    <s v="Mist/Cloudy"/>
    <x v="0"/>
    <s v="Cold"/>
    <s v="Medium"/>
    <s v="Calm"/>
    <s v="Working Day"/>
    <s v="Mostly Registered"/>
    <n v="6.25"/>
    <n v="93.75"/>
    <s v="No"/>
    <s v="Low"/>
    <s v="Yes"/>
    <n v="3.2100000000000017E-2"/>
  </r>
  <r>
    <n v="164"/>
    <x v="7"/>
    <n v="1"/>
    <n v="2"/>
    <b v="0"/>
    <n v="6"/>
    <n v="2"/>
    <n v="0.18"/>
    <x v="18"/>
    <n v="0.55000000000000004"/>
    <n v="0"/>
    <n v="3"/>
    <n v="13"/>
    <n v="16"/>
    <s v="Spring"/>
    <s v="Saturday"/>
    <s v="Mist/Cloudy"/>
    <x v="0"/>
    <s v="Cold"/>
    <s v="Medium"/>
    <s v="Calm"/>
    <s v="Working Day"/>
    <s v="Mostly Registered"/>
    <n v="18.75"/>
    <n v="81.25"/>
    <s v="No"/>
    <s v="Low"/>
    <s v="Yes"/>
    <n v="6.2400000000000011E-2"/>
  </r>
  <r>
    <n v="165"/>
    <x v="7"/>
    <n v="1"/>
    <n v="3"/>
    <b v="0"/>
    <n v="6"/>
    <n v="3"/>
    <n v="0.18"/>
    <x v="12"/>
    <n v="0.55000000000000004"/>
    <n v="0.16420000000000001"/>
    <n v="0"/>
    <n v="7"/>
    <n v="7"/>
    <s v="Spring"/>
    <s v="Saturday"/>
    <s v="Light Rain/Snow"/>
    <x v="0"/>
    <s v="Cold"/>
    <s v="Medium"/>
    <s v="Moderate"/>
    <s v="Working Day"/>
    <s v="Mostly Registered"/>
    <n v="0"/>
    <n v="100"/>
    <s v="No"/>
    <s v="Low"/>
    <s v="Yes"/>
    <n v="1.7000000000000019E-2"/>
  </r>
  <r>
    <n v="166"/>
    <x v="7"/>
    <n v="1"/>
    <n v="4"/>
    <b v="0"/>
    <n v="6"/>
    <n v="3"/>
    <n v="0.18"/>
    <x v="12"/>
    <n v="0.55000000000000004"/>
    <n v="0.16420000000000001"/>
    <n v="0"/>
    <n v="1"/>
    <n v="1"/>
    <s v="Spring"/>
    <s v="Saturday"/>
    <s v="Light Rain/Snow"/>
    <x v="0"/>
    <s v="Cold"/>
    <s v="Medium"/>
    <s v="Moderate"/>
    <s v="Working Day"/>
    <s v="Mostly Registered"/>
    <n v="0"/>
    <n v="100"/>
    <s v="No"/>
    <s v="Low"/>
    <s v="Yes"/>
    <n v="1.7000000000000019E-2"/>
  </r>
  <r>
    <n v="167"/>
    <x v="7"/>
    <n v="1"/>
    <n v="5"/>
    <b v="0"/>
    <n v="6"/>
    <n v="2"/>
    <n v="0.16"/>
    <x v="16"/>
    <n v="0.74"/>
    <n v="0.16420000000000001"/>
    <n v="0"/>
    <n v="5"/>
    <n v="5"/>
    <s v="Spring"/>
    <s v="Saturday"/>
    <s v="Mist/Cloudy"/>
    <x v="0"/>
    <s v="Cold"/>
    <s v="High"/>
    <s v="Moderate"/>
    <s v="Working Day"/>
    <s v="Mostly Registered"/>
    <n v="0"/>
    <n v="100"/>
    <s v="No"/>
    <s v="Low"/>
    <s v="Yes"/>
    <n v="6.6999999999999837E-3"/>
  </r>
  <r>
    <n v="168"/>
    <x v="7"/>
    <n v="1"/>
    <n v="6"/>
    <b v="0"/>
    <n v="6"/>
    <n v="2"/>
    <n v="0.16"/>
    <x v="16"/>
    <n v="0.74"/>
    <n v="0.16420000000000001"/>
    <n v="0"/>
    <n v="2"/>
    <n v="2"/>
    <s v="Spring"/>
    <s v="Saturday"/>
    <s v="Mist/Cloudy"/>
    <x v="1"/>
    <s v="Cold"/>
    <s v="High"/>
    <s v="Moderate"/>
    <s v="Working Day"/>
    <s v="Mostly Registered"/>
    <n v="0"/>
    <n v="100"/>
    <s v="No"/>
    <s v="Low"/>
    <s v="Yes"/>
    <n v="6.6999999999999837E-3"/>
  </r>
  <r>
    <n v="169"/>
    <x v="7"/>
    <n v="1"/>
    <n v="7"/>
    <b v="0"/>
    <n v="6"/>
    <n v="2"/>
    <n v="0.16"/>
    <x v="17"/>
    <n v="0.74"/>
    <n v="0.1045"/>
    <n v="1"/>
    <n v="8"/>
    <n v="9"/>
    <s v="Spring"/>
    <s v="Saturday"/>
    <s v="Mist/Cloudy"/>
    <x v="1"/>
    <s v="Cold"/>
    <s v="High"/>
    <s v="Calm"/>
    <s v="Working Day"/>
    <s v="Mostly Registered"/>
    <n v="11.111111111111111"/>
    <n v="88.888888888888886"/>
    <s v="Yes"/>
    <s v="Low"/>
    <s v="Yes"/>
    <n v="2.179999999999999E-2"/>
  </r>
  <r>
    <n v="170"/>
    <x v="7"/>
    <n v="1"/>
    <n v="8"/>
    <b v="0"/>
    <n v="6"/>
    <n v="3"/>
    <n v="0.16"/>
    <x v="17"/>
    <n v="0.93"/>
    <n v="0.1045"/>
    <n v="0"/>
    <n v="15"/>
    <n v="15"/>
    <s v="Spring"/>
    <s v="Saturday"/>
    <s v="Light Rain/Snow"/>
    <x v="1"/>
    <s v="Cold"/>
    <s v="High"/>
    <s v="Calm"/>
    <s v="Working Day"/>
    <s v="Mostly Registered"/>
    <n v="0"/>
    <n v="100"/>
    <s v="Yes"/>
    <s v="Low"/>
    <s v="Yes"/>
    <n v="2.179999999999999E-2"/>
  </r>
  <r>
    <n v="171"/>
    <x v="7"/>
    <n v="1"/>
    <n v="9"/>
    <b v="0"/>
    <n v="6"/>
    <n v="3"/>
    <n v="0.16"/>
    <x v="17"/>
    <n v="0.93"/>
    <n v="0.1045"/>
    <n v="0"/>
    <n v="20"/>
    <n v="20"/>
    <s v="Spring"/>
    <s v="Saturday"/>
    <s v="Light Rain/Snow"/>
    <x v="1"/>
    <s v="Cold"/>
    <s v="High"/>
    <s v="Calm"/>
    <s v="Working Day"/>
    <s v="Mostly Registered"/>
    <n v="0"/>
    <n v="100"/>
    <s v="Yes"/>
    <s v="Low"/>
    <s v="Yes"/>
    <n v="2.179999999999999E-2"/>
  </r>
  <r>
    <n v="172"/>
    <x v="7"/>
    <n v="1"/>
    <n v="10"/>
    <b v="0"/>
    <n v="6"/>
    <n v="2"/>
    <n v="0.18"/>
    <x v="12"/>
    <n v="0.8"/>
    <n v="0.16420000000000001"/>
    <n v="5"/>
    <n v="56"/>
    <n v="61"/>
    <s v="Spring"/>
    <s v="Saturday"/>
    <s v="Mist/Cloudy"/>
    <x v="1"/>
    <s v="Cold"/>
    <s v="High"/>
    <s v="Moderate"/>
    <s v="Working Day"/>
    <s v="Mostly Registered"/>
    <n v="8.1967213114754092"/>
    <n v="91.803278688524586"/>
    <s v="No"/>
    <s v="Low"/>
    <s v="Yes"/>
    <n v="1.7000000000000019E-2"/>
  </r>
  <r>
    <n v="173"/>
    <x v="7"/>
    <n v="1"/>
    <n v="11"/>
    <b v="0"/>
    <n v="6"/>
    <n v="2"/>
    <n v="0.2"/>
    <x v="17"/>
    <n v="0.69"/>
    <n v="0.3881"/>
    <n v="2"/>
    <n v="60"/>
    <n v="62"/>
    <s v="Spring"/>
    <s v="Saturday"/>
    <s v="Mist/Cloudy"/>
    <x v="1"/>
    <s v="Cold"/>
    <s v="Medium"/>
    <s v="Windy"/>
    <s v="Working Day"/>
    <s v="Mostly Registered"/>
    <n v="3.225806451612903"/>
    <n v="96.774193548387103"/>
    <s v="No"/>
    <s v="Low"/>
    <s v="Yes"/>
    <n v="-1.8200000000000022E-2"/>
  </r>
  <r>
    <n v="174"/>
    <x v="7"/>
    <n v="1"/>
    <n v="12"/>
    <b v="0"/>
    <n v="6"/>
    <n v="2"/>
    <n v="0.2"/>
    <x v="17"/>
    <n v="0.59"/>
    <n v="0.35820000000000002"/>
    <n v="8"/>
    <n v="90"/>
    <n v="98"/>
    <s v="Spring"/>
    <s v="Saturday"/>
    <s v="Mist/Cloudy"/>
    <x v="2"/>
    <s v="Cold"/>
    <s v="Medium"/>
    <s v="Windy"/>
    <s v="Working Day"/>
    <s v="Mostly Registered"/>
    <n v="8.1632653061224492"/>
    <n v="91.83673469387756"/>
    <s v="No"/>
    <s v="Low"/>
    <s v="Yes"/>
    <n v="-1.8200000000000022E-2"/>
  </r>
  <r>
    <n v="175"/>
    <x v="7"/>
    <n v="1"/>
    <n v="13"/>
    <b v="0"/>
    <n v="6"/>
    <n v="1"/>
    <n v="0.2"/>
    <x v="17"/>
    <n v="0.44"/>
    <n v="0.32840000000000003"/>
    <n v="7"/>
    <n v="95"/>
    <n v="102"/>
    <s v="Spring"/>
    <s v="Saturday"/>
    <s v="Clear"/>
    <x v="2"/>
    <s v="Cold"/>
    <s v="Medium"/>
    <s v="Windy"/>
    <s v="Working Day"/>
    <s v="Mostly Registered"/>
    <n v="6.8627450980392162"/>
    <n v="93.137254901960787"/>
    <s v="No"/>
    <s v="Medium"/>
    <s v="Yes"/>
    <n v="-1.8200000000000022E-2"/>
  </r>
  <r>
    <n v="176"/>
    <x v="7"/>
    <n v="1"/>
    <n v="14"/>
    <b v="0"/>
    <n v="6"/>
    <n v="1"/>
    <n v="0.2"/>
    <x v="16"/>
    <n v="0.32"/>
    <n v="0.49249999999999999"/>
    <n v="12"/>
    <n v="83"/>
    <n v="95"/>
    <s v="Spring"/>
    <s v="Saturday"/>
    <s v="Clear"/>
    <x v="2"/>
    <s v="Cold"/>
    <s v="Low"/>
    <s v="Windy"/>
    <s v="Working Day"/>
    <s v="Mostly Registered"/>
    <n v="12.631578947368419"/>
    <n v="87.368421052631589"/>
    <s v="No"/>
    <s v="Low"/>
    <s v="Yes"/>
    <n v="-3.3300000000000017E-2"/>
  </r>
  <r>
    <n v="177"/>
    <x v="7"/>
    <n v="1"/>
    <n v="15"/>
    <b v="0"/>
    <n v="6"/>
    <n v="1"/>
    <n v="0.2"/>
    <x v="16"/>
    <n v="0.32"/>
    <n v="0.44779999999999998"/>
    <n v="5"/>
    <n v="69"/>
    <n v="74"/>
    <s v="Spring"/>
    <s v="Saturday"/>
    <s v="Clear"/>
    <x v="2"/>
    <s v="Cold"/>
    <s v="Low"/>
    <s v="Windy"/>
    <s v="Working Day"/>
    <s v="Mostly Registered"/>
    <n v="6.756756756756757"/>
    <n v="93.243243243243242"/>
    <s v="No"/>
    <s v="Low"/>
    <s v="Yes"/>
    <n v="-3.3300000000000017E-2"/>
  </r>
  <r>
    <n v="178"/>
    <x v="7"/>
    <n v="1"/>
    <n v="16"/>
    <b v="0"/>
    <n v="6"/>
    <n v="1"/>
    <n v="0.18"/>
    <x v="13"/>
    <n v="0.28999999999999998"/>
    <n v="0.44779999999999998"/>
    <n v="8"/>
    <n v="68"/>
    <n v="76"/>
    <s v="Spring"/>
    <s v="Saturday"/>
    <s v="Clear"/>
    <x v="2"/>
    <s v="Cold"/>
    <s v="Low"/>
    <s v="Windy"/>
    <s v="Working Day"/>
    <s v="Mostly Registered"/>
    <n v="10.52631578947368"/>
    <n v="89.473684210526315"/>
    <s v="No"/>
    <s v="Low"/>
    <s v="Yes"/>
    <n v="-4.36E-2"/>
  </r>
  <r>
    <n v="179"/>
    <x v="7"/>
    <n v="1"/>
    <n v="17"/>
    <b v="0"/>
    <n v="6"/>
    <n v="1"/>
    <n v="0.16"/>
    <x v="15"/>
    <n v="0.37"/>
    <n v="0.55220000000000002"/>
    <n v="5"/>
    <n v="64"/>
    <n v="69"/>
    <s v="Spring"/>
    <s v="Saturday"/>
    <s v="Clear"/>
    <x v="3"/>
    <s v="Cold"/>
    <s v="Low"/>
    <s v="Windy"/>
    <s v="Working Day"/>
    <s v="Mostly Registered"/>
    <n v="7.2463768115942031"/>
    <n v="92.753623188405797"/>
    <s v="Yes"/>
    <s v="Low"/>
    <s v="Yes"/>
    <n v="-3.8800000000000001E-2"/>
  </r>
  <r>
    <n v="180"/>
    <x v="7"/>
    <n v="1"/>
    <n v="18"/>
    <b v="0"/>
    <n v="6"/>
    <n v="1"/>
    <n v="0.14000000000000001"/>
    <x v="15"/>
    <n v="0.39"/>
    <n v="0.29849999999999999"/>
    <n v="3"/>
    <n v="52"/>
    <n v="55"/>
    <s v="Spring"/>
    <s v="Saturday"/>
    <s v="Clear"/>
    <x v="3"/>
    <s v="Very Cold"/>
    <s v="Low"/>
    <s v="Moderate"/>
    <s v="Working Day"/>
    <s v="Mostly Registered"/>
    <n v="5.4545454545454541"/>
    <n v="94.545454545454547"/>
    <s v="Yes"/>
    <s v="Low"/>
    <s v="Yes"/>
    <n v="-1.8800000000000011E-2"/>
  </r>
  <r>
    <n v="181"/>
    <x v="7"/>
    <n v="1"/>
    <n v="19"/>
    <b v="0"/>
    <n v="6"/>
    <n v="1"/>
    <n v="0.14000000000000001"/>
    <x v="15"/>
    <n v="0.36"/>
    <n v="0.25369999999999998"/>
    <n v="4"/>
    <n v="26"/>
    <n v="30"/>
    <s v="Spring"/>
    <s v="Saturday"/>
    <s v="Clear"/>
    <x v="3"/>
    <s v="Very Cold"/>
    <s v="Low"/>
    <s v="Moderate"/>
    <s v="Working Day"/>
    <s v="Mostly Registered"/>
    <n v="13.33333333333333"/>
    <n v="86.666666666666671"/>
    <s v="Yes"/>
    <s v="Low"/>
    <s v="Yes"/>
    <n v="-1.8800000000000011E-2"/>
  </r>
  <r>
    <n v="182"/>
    <x v="7"/>
    <n v="1"/>
    <n v="20"/>
    <b v="0"/>
    <n v="6"/>
    <n v="1"/>
    <n v="0.12"/>
    <x v="15"/>
    <n v="0.36"/>
    <n v="0.25369999999999998"/>
    <n v="0"/>
    <n v="28"/>
    <n v="28"/>
    <s v="Spring"/>
    <s v="Saturday"/>
    <s v="Clear"/>
    <x v="3"/>
    <s v="Very Cold"/>
    <s v="Low"/>
    <s v="Moderate"/>
    <s v="Working Day"/>
    <s v="Mostly Registered"/>
    <n v="0"/>
    <n v="100"/>
    <s v="No"/>
    <s v="Low"/>
    <s v="Yes"/>
    <n v="1.2000000000000071E-3"/>
  </r>
  <r>
    <n v="183"/>
    <x v="7"/>
    <n v="1"/>
    <n v="21"/>
    <b v="0"/>
    <n v="6"/>
    <n v="1"/>
    <n v="0.12"/>
    <x v="14"/>
    <n v="0.39"/>
    <n v="0.35820000000000002"/>
    <n v="2"/>
    <n v="35"/>
    <n v="37"/>
    <s v="Spring"/>
    <s v="Saturday"/>
    <s v="Clear"/>
    <x v="0"/>
    <s v="Very Cold"/>
    <s v="Low"/>
    <s v="Windy"/>
    <s v="Working Day"/>
    <s v="Mostly Registered"/>
    <n v="5.4054054054054053"/>
    <n v="94.594594594594597"/>
    <s v="No"/>
    <s v="Low"/>
    <s v="Yes"/>
    <n v="-1.3899999999999999E-2"/>
  </r>
  <r>
    <n v="184"/>
    <x v="7"/>
    <n v="1"/>
    <n v="22"/>
    <b v="0"/>
    <n v="6"/>
    <n v="1"/>
    <n v="0.12"/>
    <x v="14"/>
    <n v="0.36"/>
    <n v="0.3881"/>
    <n v="1"/>
    <n v="33"/>
    <n v="34"/>
    <s v="Spring"/>
    <s v="Saturday"/>
    <s v="Clear"/>
    <x v="0"/>
    <s v="Very Cold"/>
    <s v="Low"/>
    <s v="Windy"/>
    <s v="Working Day"/>
    <s v="Mostly Registered"/>
    <n v="2.9411764705882351"/>
    <n v="97.058823529411768"/>
    <s v="No"/>
    <s v="Low"/>
    <s v="Yes"/>
    <n v="-1.3899999999999999E-2"/>
  </r>
  <r>
    <n v="185"/>
    <x v="7"/>
    <n v="1"/>
    <n v="23"/>
    <b v="0"/>
    <n v="6"/>
    <n v="1"/>
    <n v="0.1"/>
    <x v="21"/>
    <n v="0.39"/>
    <n v="0.44779999999999998"/>
    <n v="0"/>
    <n v="22"/>
    <n v="22"/>
    <s v="Spring"/>
    <s v="Saturday"/>
    <s v="Clear"/>
    <x v="0"/>
    <s v="Very Cold"/>
    <s v="Low"/>
    <s v="Windy"/>
    <s v="Working Day"/>
    <s v="Mostly Registered"/>
    <n v="0"/>
    <n v="100"/>
    <s v="No"/>
    <s v="Low"/>
    <s v="Yes"/>
    <n v="-3.9399999999999998E-2"/>
  </r>
  <r>
    <n v="186"/>
    <x v="8"/>
    <n v="1"/>
    <n v="0"/>
    <b v="0"/>
    <n v="0"/>
    <n v="1"/>
    <n v="0.1"/>
    <x v="22"/>
    <n v="0.42"/>
    <n v="0.3881"/>
    <n v="1"/>
    <n v="24"/>
    <n v="25"/>
    <s v="Spring"/>
    <s v="Sunday"/>
    <s v="Clear"/>
    <x v="0"/>
    <s v="Very Cold"/>
    <s v="Medium"/>
    <s v="Windy"/>
    <s v="Working Day"/>
    <s v="Mostly Registered"/>
    <n v="4"/>
    <n v="96"/>
    <s v="No"/>
    <s v="Low"/>
    <s v="Yes"/>
    <n v="-2.4199999999999999E-2"/>
  </r>
  <r>
    <n v="187"/>
    <x v="8"/>
    <n v="1"/>
    <n v="1"/>
    <b v="0"/>
    <n v="0"/>
    <n v="1"/>
    <n v="0.1"/>
    <x v="21"/>
    <n v="0.42"/>
    <n v="0.4627"/>
    <n v="0"/>
    <n v="12"/>
    <n v="12"/>
    <s v="Spring"/>
    <s v="Sunday"/>
    <s v="Clear"/>
    <x v="0"/>
    <s v="Very Cold"/>
    <s v="Medium"/>
    <s v="Windy"/>
    <s v="Working Day"/>
    <s v="Mostly Registered"/>
    <n v="0"/>
    <n v="100"/>
    <s v="No"/>
    <s v="Low"/>
    <s v="Yes"/>
    <n v="-3.9399999999999998E-2"/>
  </r>
  <r>
    <n v="188"/>
    <x v="8"/>
    <n v="1"/>
    <n v="2"/>
    <b v="0"/>
    <n v="0"/>
    <n v="1"/>
    <n v="0.1"/>
    <x v="21"/>
    <n v="0.46"/>
    <n v="0.4627"/>
    <n v="0"/>
    <n v="11"/>
    <n v="11"/>
    <s v="Spring"/>
    <s v="Sunday"/>
    <s v="Clear"/>
    <x v="0"/>
    <s v="Very Cold"/>
    <s v="Medium"/>
    <s v="Windy"/>
    <s v="Working Day"/>
    <s v="Mostly Registered"/>
    <n v="0"/>
    <n v="100"/>
    <s v="No"/>
    <s v="Low"/>
    <s v="Yes"/>
    <n v="-3.9399999999999998E-2"/>
  </r>
  <r>
    <n v="189"/>
    <x v="8"/>
    <n v="1"/>
    <n v="3"/>
    <b v="0"/>
    <n v="0"/>
    <n v="1"/>
    <n v="0.1"/>
    <x v="22"/>
    <n v="0.46"/>
    <n v="0.41789999999999999"/>
    <n v="0"/>
    <n v="4"/>
    <n v="4"/>
    <s v="Spring"/>
    <s v="Sunday"/>
    <s v="Clear"/>
    <x v="0"/>
    <s v="Very Cold"/>
    <s v="Medium"/>
    <s v="Windy"/>
    <s v="Working Day"/>
    <s v="Mostly Registered"/>
    <n v="0"/>
    <n v="100"/>
    <s v="No"/>
    <s v="Low"/>
    <s v="Yes"/>
    <n v="-2.4199999999999999E-2"/>
  </r>
  <r>
    <n v="190"/>
    <x v="8"/>
    <n v="1"/>
    <n v="4"/>
    <b v="0"/>
    <n v="0"/>
    <n v="1"/>
    <n v="0.08"/>
    <x v="23"/>
    <n v="0.53"/>
    <n v="0.19400000000000001"/>
    <n v="0"/>
    <n v="1"/>
    <n v="1"/>
    <s v="Spring"/>
    <s v="Sunday"/>
    <s v="Clear"/>
    <x v="0"/>
    <s v="Very Cold"/>
    <s v="Medium"/>
    <s v="Moderate"/>
    <s v="Working Day"/>
    <s v="Mostly Registered"/>
    <n v="0"/>
    <n v="100"/>
    <s v="No"/>
    <s v="Low"/>
    <s v="Yes"/>
    <n v="1.089999999999999E-2"/>
  </r>
  <r>
    <n v="191"/>
    <x v="8"/>
    <n v="1"/>
    <n v="5"/>
    <b v="0"/>
    <n v="0"/>
    <n v="1"/>
    <n v="0.08"/>
    <x v="23"/>
    <n v="0.53"/>
    <n v="0.19400000000000001"/>
    <n v="0"/>
    <n v="1"/>
    <n v="1"/>
    <s v="Spring"/>
    <s v="Sunday"/>
    <s v="Clear"/>
    <x v="0"/>
    <s v="Very Cold"/>
    <s v="Medium"/>
    <s v="Moderate"/>
    <s v="Working Day"/>
    <s v="Mostly Registered"/>
    <n v="0"/>
    <n v="100"/>
    <s v="No"/>
    <s v="Low"/>
    <s v="Yes"/>
    <n v="1.089999999999999E-2"/>
  </r>
  <r>
    <n v="192"/>
    <x v="8"/>
    <n v="1"/>
    <n v="6"/>
    <b v="0"/>
    <n v="0"/>
    <n v="1"/>
    <n v="0.1"/>
    <x v="23"/>
    <n v="0.49"/>
    <n v="0.28360000000000002"/>
    <n v="0"/>
    <n v="1"/>
    <n v="1"/>
    <s v="Spring"/>
    <s v="Sunday"/>
    <s v="Clear"/>
    <x v="1"/>
    <s v="Very Cold"/>
    <s v="Medium"/>
    <s v="Moderate"/>
    <s v="Working Day"/>
    <s v="Mostly Registered"/>
    <n v="0"/>
    <n v="100"/>
    <s v="No"/>
    <s v="Low"/>
    <s v="Yes"/>
    <n v="-9.1000000000000109E-3"/>
  </r>
  <r>
    <n v="193"/>
    <x v="8"/>
    <n v="1"/>
    <n v="7"/>
    <b v="0"/>
    <n v="0"/>
    <n v="1"/>
    <n v="0.08"/>
    <x v="23"/>
    <n v="0.53"/>
    <n v="0.19400000000000001"/>
    <n v="1"/>
    <n v="5"/>
    <n v="6"/>
    <s v="Spring"/>
    <s v="Sunday"/>
    <s v="Clear"/>
    <x v="1"/>
    <s v="Very Cold"/>
    <s v="Medium"/>
    <s v="Moderate"/>
    <s v="Working Day"/>
    <s v="Mostly Registered"/>
    <n v="16.666666666666661"/>
    <n v="83.333333333333343"/>
    <s v="Yes"/>
    <s v="Low"/>
    <s v="Yes"/>
    <n v="1.089999999999999E-2"/>
  </r>
  <r>
    <n v="194"/>
    <x v="8"/>
    <n v="1"/>
    <n v="8"/>
    <b v="0"/>
    <n v="0"/>
    <n v="1"/>
    <n v="0.1"/>
    <x v="23"/>
    <n v="0.49"/>
    <n v="0.28360000000000002"/>
    <n v="0"/>
    <n v="10"/>
    <n v="10"/>
    <s v="Spring"/>
    <s v="Sunday"/>
    <s v="Clear"/>
    <x v="1"/>
    <s v="Very Cold"/>
    <s v="Medium"/>
    <s v="Moderate"/>
    <s v="Working Day"/>
    <s v="Mostly Registered"/>
    <n v="0"/>
    <n v="100"/>
    <s v="Yes"/>
    <s v="Low"/>
    <s v="Yes"/>
    <n v="-9.1000000000000109E-3"/>
  </r>
  <r>
    <n v="195"/>
    <x v="8"/>
    <n v="1"/>
    <n v="9"/>
    <b v="0"/>
    <n v="0"/>
    <n v="1"/>
    <n v="0.12"/>
    <x v="22"/>
    <n v="0.46"/>
    <n v="0.52239999999999998"/>
    <n v="0"/>
    <n v="19"/>
    <n v="19"/>
    <s v="Spring"/>
    <s v="Sunday"/>
    <s v="Clear"/>
    <x v="1"/>
    <s v="Very Cold"/>
    <s v="Medium"/>
    <s v="Windy"/>
    <s v="Working Day"/>
    <s v="Mostly Registered"/>
    <n v="0"/>
    <n v="100"/>
    <s v="Yes"/>
    <s v="Low"/>
    <s v="Yes"/>
    <n v="-4.4199999999999989E-2"/>
  </r>
  <r>
    <n v="196"/>
    <x v="8"/>
    <n v="1"/>
    <n v="10"/>
    <b v="0"/>
    <n v="0"/>
    <n v="1"/>
    <n v="0.14000000000000001"/>
    <x v="14"/>
    <n v="0.43"/>
    <n v="0.3881"/>
    <n v="0"/>
    <n v="49"/>
    <n v="49"/>
    <s v="Spring"/>
    <s v="Sunday"/>
    <s v="Clear"/>
    <x v="1"/>
    <s v="Very Cold"/>
    <s v="Medium"/>
    <s v="Windy"/>
    <s v="Working Day"/>
    <s v="Mostly Registered"/>
    <n v="0"/>
    <n v="100"/>
    <s v="No"/>
    <s v="Low"/>
    <s v="Yes"/>
    <n v="-3.3900000000000013E-2"/>
  </r>
  <r>
    <n v="197"/>
    <x v="8"/>
    <n v="1"/>
    <n v="11"/>
    <b v="0"/>
    <n v="0"/>
    <n v="1"/>
    <n v="0.16"/>
    <x v="15"/>
    <n v="0.4"/>
    <n v="0.52239999999999998"/>
    <n v="2"/>
    <n v="47"/>
    <n v="49"/>
    <s v="Spring"/>
    <s v="Sunday"/>
    <s v="Clear"/>
    <x v="1"/>
    <s v="Cold"/>
    <s v="Medium"/>
    <s v="Windy"/>
    <s v="Working Day"/>
    <s v="Mostly Registered"/>
    <n v="4.0816326530612246"/>
    <n v="95.918367346938766"/>
    <s v="No"/>
    <s v="Low"/>
    <s v="Yes"/>
    <n v="-3.8800000000000001E-2"/>
  </r>
  <r>
    <n v="198"/>
    <x v="8"/>
    <n v="1"/>
    <n v="12"/>
    <b v="0"/>
    <n v="0"/>
    <n v="1"/>
    <n v="0.18"/>
    <x v="13"/>
    <n v="0.37"/>
    <n v="0.44779999999999998"/>
    <n v="4"/>
    <n v="79"/>
    <n v="83"/>
    <s v="Spring"/>
    <s v="Sunday"/>
    <s v="Clear"/>
    <x v="2"/>
    <s v="Cold"/>
    <s v="Low"/>
    <s v="Windy"/>
    <s v="Working Day"/>
    <s v="Mostly Registered"/>
    <n v="4.8192771084337354"/>
    <n v="95.180722891566262"/>
    <s v="No"/>
    <s v="Low"/>
    <s v="Yes"/>
    <n v="-4.36E-2"/>
  </r>
  <r>
    <n v="199"/>
    <x v="8"/>
    <n v="1"/>
    <n v="13"/>
    <b v="0"/>
    <n v="0"/>
    <n v="1"/>
    <n v="0.2"/>
    <x v="16"/>
    <n v="0.34"/>
    <n v="0.44779999999999998"/>
    <n v="6"/>
    <n v="69"/>
    <n v="75"/>
    <s v="Spring"/>
    <s v="Sunday"/>
    <s v="Clear"/>
    <x v="2"/>
    <s v="Cold"/>
    <s v="Low"/>
    <s v="Windy"/>
    <s v="Working Day"/>
    <s v="Mostly Registered"/>
    <n v="8"/>
    <n v="92"/>
    <s v="No"/>
    <s v="Low"/>
    <s v="Yes"/>
    <n v="-3.3300000000000017E-2"/>
  </r>
  <r>
    <n v="200"/>
    <x v="8"/>
    <n v="1"/>
    <n v="14"/>
    <b v="0"/>
    <n v="0"/>
    <n v="1"/>
    <n v="0.22"/>
    <x v="17"/>
    <n v="0.32"/>
    <n v="0.4627"/>
    <n v="8"/>
    <n v="64"/>
    <n v="72"/>
    <s v="Spring"/>
    <s v="Sunday"/>
    <s v="Clear"/>
    <x v="2"/>
    <s v="Cold"/>
    <s v="Low"/>
    <s v="Windy"/>
    <s v="Working Day"/>
    <s v="Mostly Registered"/>
    <n v="11.111111111111111"/>
    <n v="88.888888888888886"/>
    <s v="No"/>
    <s v="Low"/>
    <s v="Yes"/>
    <n v="-3.8200000000000012E-2"/>
  </r>
  <r>
    <n v="201"/>
    <x v="8"/>
    <n v="1"/>
    <n v="15"/>
    <b v="0"/>
    <n v="0"/>
    <n v="1"/>
    <n v="0.22"/>
    <x v="12"/>
    <n v="0.35"/>
    <n v="0.35820000000000002"/>
    <n v="5"/>
    <n v="77"/>
    <n v="82"/>
    <s v="Spring"/>
    <s v="Sunday"/>
    <s v="Clear"/>
    <x v="2"/>
    <s v="Cold"/>
    <s v="Low"/>
    <s v="Windy"/>
    <s v="Working Day"/>
    <s v="Mostly Registered"/>
    <n v="6.0975609756097562"/>
    <n v="93.902439024390233"/>
    <s v="No"/>
    <s v="Low"/>
    <s v="Yes"/>
    <n v="-2.2999999999999989E-2"/>
  </r>
  <r>
    <n v="202"/>
    <x v="8"/>
    <n v="1"/>
    <n v="16"/>
    <b v="0"/>
    <n v="0"/>
    <n v="1"/>
    <n v="0.2"/>
    <x v="16"/>
    <n v="0.34"/>
    <n v="0.44779999999999998"/>
    <n v="13"/>
    <n v="79"/>
    <n v="92"/>
    <s v="Spring"/>
    <s v="Sunday"/>
    <s v="Clear"/>
    <x v="2"/>
    <s v="Cold"/>
    <s v="Low"/>
    <s v="Windy"/>
    <s v="Working Day"/>
    <s v="Mostly Registered"/>
    <n v="14.130434782608701"/>
    <n v="85.869565217391312"/>
    <s v="No"/>
    <s v="Low"/>
    <s v="Yes"/>
    <n v="-3.3300000000000017E-2"/>
  </r>
  <r>
    <n v="203"/>
    <x v="8"/>
    <n v="1"/>
    <n v="17"/>
    <b v="0"/>
    <n v="0"/>
    <n v="1"/>
    <n v="0.18"/>
    <x v="19"/>
    <n v="0.37"/>
    <n v="0.3881"/>
    <n v="3"/>
    <n v="59"/>
    <n v="62"/>
    <s v="Spring"/>
    <s v="Sunday"/>
    <s v="Clear"/>
    <x v="3"/>
    <s v="Cold"/>
    <s v="Low"/>
    <s v="Windy"/>
    <s v="Working Day"/>
    <s v="Mostly Registered"/>
    <n v="4.838709677419355"/>
    <n v="95.161290322580655"/>
    <s v="Yes"/>
    <s v="Low"/>
    <s v="Yes"/>
    <n v="-2.8500000000000001E-2"/>
  </r>
  <r>
    <n v="204"/>
    <x v="8"/>
    <n v="1"/>
    <n v="18"/>
    <b v="0"/>
    <n v="0"/>
    <n v="1"/>
    <n v="0.16"/>
    <x v="13"/>
    <n v="0.4"/>
    <n v="0.32840000000000003"/>
    <n v="4"/>
    <n v="44"/>
    <n v="48"/>
    <s v="Spring"/>
    <s v="Sunday"/>
    <s v="Clear"/>
    <x v="3"/>
    <s v="Cold"/>
    <s v="Medium"/>
    <s v="Windy"/>
    <s v="Working Day"/>
    <s v="Mostly Registered"/>
    <n v="8.3333333333333321"/>
    <n v="91.666666666666657"/>
    <s v="Yes"/>
    <s v="Low"/>
    <s v="Yes"/>
    <n v="-2.360000000000001E-2"/>
  </r>
  <r>
    <n v="205"/>
    <x v="8"/>
    <n v="1"/>
    <n v="19"/>
    <b v="0"/>
    <n v="0"/>
    <n v="1"/>
    <n v="0.16"/>
    <x v="13"/>
    <n v="0.43"/>
    <n v="0.32840000000000003"/>
    <n v="1"/>
    <n v="40"/>
    <n v="41"/>
    <s v="Spring"/>
    <s v="Sunday"/>
    <s v="Clear"/>
    <x v="3"/>
    <s v="Cold"/>
    <s v="Medium"/>
    <s v="Windy"/>
    <s v="Working Day"/>
    <s v="Mostly Registered"/>
    <n v="2.4390243902439019"/>
    <n v="97.560975609756099"/>
    <s v="Yes"/>
    <s v="Low"/>
    <s v="Yes"/>
    <n v="-2.360000000000001E-2"/>
  </r>
  <r>
    <n v="206"/>
    <x v="8"/>
    <n v="1"/>
    <n v="20"/>
    <b v="0"/>
    <n v="0"/>
    <n v="1"/>
    <n v="0.14000000000000001"/>
    <x v="15"/>
    <n v="0.46"/>
    <n v="0.25369999999999998"/>
    <n v="0"/>
    <n v="38"/>
    <n v="38"/>
    <s v="Spring"/>
    <s v="Sunday"/>
    <s v="Clear"/>
    <x v="3"/>
    <s v="Very Cold"/>
    <s v="Medium"/>
    <s v="Moderate"/>
    <s v="Working Day"/>
    <s v="Mostly Registered"/>
    <n v="0"/>
    <n v="100"/>
    <s v="No"/>
    <s v="Low"/>
    <s v="Yes"/>
    <n v="-1.8800000000000011E-2"/>
  </r>
  <r>
    <n v="207"/>
    <x v="8"/>
    <n v="1"/>
    <n v="21"/>
    <b v="0"/>
    <n v="0"/>
    <n v="1"/>
    <n v="0.14000000000000001"/>
    <x v="14"/>
    <n v="0.46"/>
    <n v="0.41789999999999999"/>
    <n v="1"/>
    <n v="19"/>
    <n v="20"/>
    <s v="Spring"/>
    <s v="Sunday"/>
    <s v="Clear"/>
    <x v="0"/>
    <s v="Very Cold"/>
    <s v="Medium"/>
    <s v="Windy"/>
    <s v="Working Day"/>
    <s v="Mostly Registered"/>
    <n v="5"/>
    <n v="95"/>
    <s v="No"/>
    <s v="Low"/>
    <s v="Yes"/>
    <n v="-3.3900000000000013E-2"/>
  </r>
  <r>
    <n v="208"/>
    <x v="8"/>
    <n v="1"/>
    <n v="22"/>
    <b v="0"/>
    <n v="0"/>
    <n v="1"/>
    <n v="0.14000000000000001"/>
    <x v="15"/>
    <n v="0.46"/>
    <n v="0.29849999999999999"/>
    <n v="5"/>
    <n v="10"/>
    <n v="15"/>
    <s v="Spring"/>
    <s v="Sunday"/>
    <s v="Clear"/>
    <x v="0"/>
    <s v="Very Cold"/>
    <s v="Medium"/>
    <s v="Moderate"/>
    <s v="Working Day"/>
    <s v="Mostly Registered"/>
    <n v="33.333333333333329"/>
    <n v="66.666666666666657"/>
    <s v="No"/>
    <s v="Low"/>
    <s v="Yes"/>
    <n v="-1.8800000000000011E-2"/>
  </r>
  <r>
    <n v="209"/>
    <x v="8"/>
    <n v="1"/>
    <n v="23"/>
    <b v="0"/>
    <n v="0"/>
    <n v="1"/>
    <n v="0.12"/>
    <x v="13"/>
    <n v="0.5"/>
    <n v="0.19400000000000001"/>
    <n v="0"/>
    <n v="6"/>
    <n v="6"/>
    <s v="Spring"/>
    <s v="Sunday"/>
    <s v="Clear"/>
    <x v="0"/>
    <s v="Very Cold"/>
    <s v="Medium"/>
    <s v="Moderate"/>
    <s v="Working Day"/>
    <s v="Mostly Registered"/>
    <n v="0"/>
    <n v="100"/>
    <s v="No"/>
    <s v="Low"/>
    <s v="Yes"/>
    <n v="1.6400000000000001E-2"/>
  </r>
  <r>
    <n v="210"/>
    <x v="9"/>
    <n v="1"/>
    <n v="0"/>
    <b v="0"/>
    <n v="1"/>
    <n v="1"/>
    <n v="0.12"/>
    <x v="15"/>
    <n v="0.5"/>
    <n v="0.28360000000000002"/>
    <n v="2"/>
    <n v="3"/>
    <n v="5"/>
    <s v="Spring"/>
    <s v="Monday"/>
    <s v="Clear"/>
    <x v="0"/>
    <s v="Very Cold"/>
    <s v="Medium"/>
    <s v="Moderate"/>
    <s v="Working Day"/>
    <s v="Mostly Registered"/>
    <n v="40"/>
    <n v="60"/>
    <s v="No"/>
    <s v="Low"/>
    <s v="No"/>
    <n v="1.2000000000000071E-3"/>
  </r>
  <r>
    <n v="211"/>
    <x v="9"/>
    <n v="1"/>
    <n v="1"/>
    <b v="0"/>
    <n v="1"/>
    <n v="1"/>
    <n v="0.12"/>
    <x v="15"/>
    <n v="0.5"/>
    <n v="0.28360000000000002"/>
    <n v="1"/>
    <n v="0"/>
    <n v="1"/>
    <s v="Spring"/>
    <s v="Monday"/>
    <s v="Clear"/>
    <x v="0"/>
    <s v="Very Cold"/>
    <s v="Medium"/>
    <s v="Moderate"/>
    <s v="Working Day"/>
    <s v="Mostly Casual"/>
    <n v="100"/>
    <n v="0"/>
    <s v="No"/>
    <s v="Low"/>
    <s v="No"/>
    <n v="1.2000000000000071E-3"/>
  </r>
  <r>
    <n v="212"/>
    <x v="9"/>
    <n v="1"/>
    <n v="2"/>
    <b v="0"/>
    <n v="1"/>
    <n v="1"/>
    <n v="0.12"/>
    <x v="15"/>
    <n v="0.5"/>
    <n v="0.22389999999999999"/>
    <n v="0"/>
    <n v="3"/>
    <n v="3"/>
    <s v="Spring"/>
    <s v="Monday"/>
    <s v="Clear"/>
    <x v="0"/>
    <s v="Very Cold"/>
    <s v="Medium"/>
    <s v="Moderate"/>
    <s v="Working Day"/>
    <s v="Mostly Registered"/>
    <n v="0"/>
    <n v="100"/>
    <s v="No"/>
    <s v="Low"/>
    <s v="No"/>
    <n v="1.2000000000000071E-3"/>
  </r>
  <r>
    <n v="213"/>
    <x v="9"/>
    <n v="1"/>
    <n v="3"/>
    <b v="0"/>
    <n v="1"/>
    <n v="1"/>
    <n v="0.12"/>
    <x v="15"/>
    <n v="0.5"/>
    <n v="0.22389999999999999"/>
    <n v="0"/>
    <n v="1"/>
    <n v="1"/>
    <s v="Spring"/>
    <s v="Monday"/>
    <s v="Clear"/>
    <x v="0"/>
    <s v="Very Cold"/>
    <s v="Medium"/>
    <s v="Moderate"/>
    <s v="Working Day"/>
    <s v="Mostly Registered"/>
    <n v="0"/>
    <n v="100"/>
    <s v="No"/>
    <s v="Low"/>
    <s v="No"/>
    <n v="1.2000000000000071E-3"/>
  </r>
  <r>
    <n v="214"/>
    <x v="9"/>
    <n v="1"/>
    <n v="4"/>
    <b v="0"/>
    <n v="1"/>
    <n v="1"/>
    <n v="0.1"/>
    <x v="15"/>
    <n v="0.54"/>
    <n v="0.1343"/>
    <n v="1"/>
    <n v="2"/>
    <n v="3"/>
    <s v="Spring"/>
    <s v="Monday"/>
    <s v="Clear"/>
    <x v="0"/>
    <s v="Very Cold"/>
    <s v="Medium"/>
    <s v="Calm"/>
    <s v="Working Day"/>
    <s v="Mostly Registered"/>
    <n v="33.333333333333329"/>
    <n v="66.666666666666657"/>
    <s v="No"/>
    <s v="Low"/>
    <s v="No"/>
    <n v="2.12E-2"/>
  </r>
  <r>
    <n v="215"/>
    <x v="9"/>
    <n v="1"/>
    <n v="5"/>
    <b v="0"/>
    <n v="1"/>
    <n v="1"/>
    <n v="0.1"/>
    <x v="14"/>
    <n v="0.54"/>
    <n v="0.25369999999999998"/>
    <n v="0"/>
    <n v="3"/>
    <n v="3"/>
    <s v="Spring"/>
    <s v="Monday"/>
    <s v="Clear"/>
    <x v="0"/>
    <s v="Very Cold"/>
    <s v="Medium"/>
    <s v="Moderate"/>
    <s v="Working Day"/>
    <s v="Mostly Registered"/>
    <n v="0"/>
    <n v="100"/>
    <s v="No"/>
    <s v="Low"/>
    <s v="No"/>
    <n v="6.0999999999999943E-3"/>
  </r>
  <r>
    <n v="216"/>
    <x v="9"/>
    <n v="1"/>
    <n v="6"/>
    <b v="0"/>
    <n v="1"/>
    <n v="1"/>
    <n v="0.12"/>
    <x v="15"/>
    <n v="0.5"/>
    <n v="0.28360000000000002"/>
    <n v="0"/>
    <n v="31"/>
    <n v="31"/>
    <s v="Spring"/>
    <s v="Monday"/>
    <s v="Clear"/>
    <x v="1"/>
    <s v="Very Cold"/>
    <s v="Medium"/>
    <s v="Moderate"/>
    <s v="Working Day"/>
    <s v="Mostly Registered"/>
    <n v="0"/>
    <n v="100"/>
    <s v="No"/>
    <s v="Low"/>
    <s v="No"/>
    <n v="1.2000000000000071E-3"/>
  </r>
  <r>
    <n v="217"/>
    <x v="9"/>
    <n v="1"/>
    <n v="7"/>
    <b v="0"/>
    <n v="1"/>
    <n v="1"/>
    <n v="0.12"/>
    <x v="15"/>
    <n v="0.5"/>
    <n v="0.22389999999999999"/>
    <n v="2"/>
    <n v="75"/>
    <n v="77"/>
    <s v="Spring"/>
    <s v="Monday"/>
    <s v="Clear"/>
    <x v="1"/>
    <s v="Very Cold"/>
    <s v="Medium"/>
    <s v="Moderate"/>
    <s v="Working Day"/>
    <s v="Mostly Registered"/>
    <n v="2.5974025974025969"/>
    <n v="97.402597402597408"/>
    <s v="Yes"/>
    <s v="Low"/>
    <s v="No"/>
    <n v="1.2000000000000071E-3"/>
  </r>
  <r>
    <n v="218"/>
    <x v="9"/>
    <n v="1"/>
    <n v="8"/>
    <b v="0"/>
    <n v="1"/>
    <n v="2"/>
    <n v="0.12"/>
    <x v="15"/>
    <n v="0.5"/>
    <n v="0.28360000000000002"/>
    <n v="4"/>
    <n v="184"/>
    <n v="188"/>
    <s v="Spring"/>
    <s v="Monday"/>
    <s v="Mist/Cloudy"/>
    <x v="1"/>
    <s v="Very Cold"/>
    <s v="Medium"/>
    <s v="Moderate"/>
    <s v="Working Day"/>
    <s v="Mostly Registered"/>
    <n v="2.1276595744680851"/>
    <n v="97.872340425531917"/>
    <s v="Yes"/>
    <s v="Medium"/>
    <s v="No"/>
    <n v="1.2000000000000071E-3"/>
  </r>
  <r>
    <n v="219"/>
    <x v="9"/>
    <n v="1"/>
    <n v="9"/>
    <b v="0"/>
    <n v="1"/>
    <n v="2"/>
    <n v="0.14000000000000001"/>
    <x v="15"/>
    <n v="0.5"/>
    <n v="0.25369999999999998"/>
    <n v="2"/>
    <n v="92"/>
    <n v="94"/>
    <s v="Spring"/>
    <s v="Monday"/>
    <s v="Mist/Cloudy"/>
    <x v="1"/>
    <s v="Very Cold"/>
    <s v="Medium"/>
    <s v="Moderate"/>
    <s v="Working Day"/>
    <s v="Mostly Registered"/>
    <n v="2.1276595744680851"/>
    <n v="97.872340425531917"/>
    <s v="Yes"/>
    <s v="Low"/>
    <s v="No"/>
    <n v="-1.8800000000000011E-2"/>
  </r>
  <r>
    <n v="220"/>
    <x v="9"/>
    <n v="1"/>
    <n v="10"/>
    <b v="0"/>
    <n v="1"/>
    <n v="2"/>
    <n v="0.14000000000000001"/>
    <x v="15"/>
    <n v="0.5"/>
    <n v="0.29849999999999999"/>
    <n v="0"/>
    <n v="31"/>
    <n v="31"/>
    <s v="Spring"/>
    <s v="Monday"/>
    <s v="Mist/Cloudy"/>
    <x v="1"/>
    <s v="Very Cold"/>
    <s v="Medium"/>
    <s v="Moderate"/>
    <s v="Working Day"/>
    <s v="Mostly Registered"/>
    <n v="0"/>
    <n v="100"/>
    <s v="No"/>
    <s v="Low"/>
    <s v="No"/>
    <n v="-1.8800000000000011E-2"/>
  </r>
  <r>
    <n v="221"/>
    <x v="9"/>
    <n v="1"/>
    <n v="11"/>
    <b v="0"/>
    <n v="1"/>
    <n v="2"/>
    <n v="0.16"/>
    <x v="13"/>
    <n v="0.47"/>
    <n v="0.28360000000000002"/>
    <n v="2"/>
    <n v="28"/>
    <n v="30"/>
    <s v="Spring"/>
    <s v="Monday"/>
    <s v="Mist/Cloudy"/>
    <x v="1"/>
    <s v="Cold"/>
    <s v="Medium"/>
    <s v="Moderate"/>
    <s v="Working Day"/>
    <s v="Mostly Registered"/>
    <n v="6.666666666666667"/>
    <n v="93.333333333333329"/>
    <s v="No"/>
    <s v="Low"/>
    <s v="No"/>
    <n v="-2.360000000000001E-2"/>
  </r>
  <r>
    <n v="222"/>
    <x v="9"/>
    <n v="1"/>
    <n v="12"/>
    <b v="0"/>
    <n v="1"/>
    <n v="2"/>
    <n v="0.2"/>
    <x v="17"/>
    <n v="0.4"/>
    <n v="0.28360000000000002"/>
    <n v="5"/>
    <n v="47"/>
    <n v="52"/>
    <s v="Spring"/>
    <s v="Monday"/>
    <s v="Mist/Cloudy"/>
    <x v="2"/>
    <s v="Cold"/>
    <s v="Medium"/>
    <s v="Moderate"/>
    <s v="Working Day"/>
    <s v="Mostly Registered"/>
    <n v="9.6153846153846168"/>
    <n v="90.384615384615387"/>
    <s v="No"/>
    <s v="Low"/>
    <s v="No"/>
    <n v="-1.8200000000000022E-2"/>
  </r>
  <r>
    <n v="223"/>
    <x v="9"/>
    <n v="1"/>
    <n v="13"/>
    <b v="0"/>
    <n v="1"/>
    <n v="2"/>
    <n v="0.2"/>
    <x v="17"/>
    <n v="0.4"/>
    <n v="0.28360000000000002"/>
    <n v="4"/>
    <n v="50"/>
    <n v="54"/>
    <s v="Spring"/>
    <s v="Monday"/>
    <s v="Mist/Cloudy"/>
    <x v="2"/>
    <s v="Cold"/>
    <s v="Medium"/>
    <s v="Moderate"/>
    <s v="Working Day"/>
    <s v="Mostly Registered"/>
    <n v="7.4074074074074074"/>
    <n v="92.592592592592595"/>
    <s v="No"/>
    <s v="Low"/>
    <s v="No"/>
    <n v="-1.8200000000000022E-2"/>
  </r>
  <r>
    <n v="224"/>
    <x v="9"/>
    <n v="1"/>
    <n v="14"/>
    <b v="0"/>
    <n v="1"/>
    <n v="2"/>
    <n v="0.2"/>
    <x v="12"/>
    <n v="0.4"/>
    <n v="0.22389999999999999"/>
    <n v="0"/>
    <n v="47"/>
    <n v="47"/>
    <s v="Spring"/>
    <s v="Monday"/>
    <s v="Mist/Cloudy"/>
    <x v="2"/>
    <s v="Cold"/>
    <s v="Medium"/>
    <s v="Moderate"/>
    <s v="Working Day"/>
    <s v="Mostly Registered"/>
    <n v="0"/>
    <n v="100"/>
    <s v="No"/>
    <s v="Low"/>
    <s v="No"/>
    <n v="-3.0000000000000031E-3"/>
  </r>
  <r>
    <n v="225"/>
    <x v="9"/>
    <n v="1"/>
    <n v="15"/>
    <b v="0"/>
    <n v="1"/>
    <n v="2"/>
    <n v="0.2"/>
    <x v="12"/>
    <n v="0.4"/>
    <n v="0.22389999999999999"/>
    <n v="2"/>
    <n v="43"/>
    <n v="45"/>
    <s v="Spring"/>
    <s v="Monday"/>
    <s v="Mist/Cloudy"/>
    <x v="2"/>
    <s v="Cold"/>
    <s v="Medium"/>
    <s v="Moderate"/>
    <s v="Working Day"/>
    <s v="Mostly Registered"/>
    <n v="4.4444444444444446"/>
    <n v="95.555555555555557"/>
    <s v="No"/>
    <s v="Low"/>
    <s v="No"/>
    <n v="-3.0000000000000031E-3"/>
  </r>
  <r>
    <n v="226"/>
    <x v="9"/>
    <n v="1"/>
    <n v="16"/>
    <b v="0"/>
    <n v="1"/>
    <n v="1"/>
    <n v="0.2"/>
    <x v="11"/>
    <n v="0.4"/>
    <n v="0.1343"/>
    <n v="4"/>
    <n v="70"/>
    <n v="74"/>
    <s v="Spring"/>
    <s v="Monday"/>
    <s v="Clear"/>
    <x v="2"/>
    <s v="Cold"/>
    <s v="Medium"/>
    <s v="Calm"/>
    <s v="Working Day"/>
    <s v="Mostly Registered"/>
    <n v="5.4054054054054053"/>
    <n v="94.594594594594597"/>
    <s v="No"/>
    <s v="Low"/>
    <s v="No"/>
    <n v="1.21E-2"/>
  </r>
  <r>
    <n v="227"/>
    <x v="9"/>
    <n v="1"/>
    <n v="17"/>
    <b v="0"/>
    <n v="1"/>
    <n v="1"/>
    <n v="0.2"/>
    <x v="10"/>
    <n v="0.4"/>
    <n v="0.1045"/>
    <n v="4"/>
    <n v="174"/>
    <n v="178"/>
    <s v="Spring"/>
    <s v="Monday"/>
    <s v="Clear"/>
    <x v="3"/>
    <s v="Cold"/>
    <s v="Medium"/>
    <s v="Calm"/>
    <s v="Working Day"/>
    <s v="Mostly Registered"/>
    <n v="2.2471910112359552"/>
    <n v="97.752808988764045"/>
    <s v="Yes"/>
    <s v="Medium"/>
    <s v="No"/>
    <n v="2.7299999999999991E-2"/>
  </r>
  <r>
    <n v="228"/>
    <x v="9"/>
    <n v="1"/>
    <n v="18"/>
    <b v="0"/>
    <n v="1"/>
    <n v="1"/>
    <n v="0.2"/>
    <x v="12"/>
    <n v="0.4"/>
    <n v="0.22389999999999999"/>
    <n v="1"/>
    <n v="154"/>
    <n v="155"/>
    <s v="Spring"/>
    <s v="Monday"/>
    <s v="Clear"/>
    <x v="3"/>
    <s v="Cold"/>
    <s v="Medium"/>
    <s v="Moderate"/>
    <s v="Working Day"/>
    <s v="Mostly Registered"/>
    <n v="0.64516129032258063"/>
    <n v="99.354838709677423"/>
    <s v="Yes"/>
    <s v="Medium"/>
    <s v="No"/>
    <n v="-3.0000000000000031E-3"/>
  </r>
  <r>
    <n v="229"/>
    <x v="9"/>
    <n v="1"/>
    <n v="19"/>
    <b v="0"/>
    <n v="1"/>
    <n v="1"/>
    <n v="0.16"/>
    <x v="16"/>
    <n v="0.47"/>
    <n v="0.16420000000000001"/>
    <n v="3"/>
    <n v="92"/>
    <n v="95"/>
    <s v="Spring"/>
    <s v="Monday"/>
    <s v="Clear"/>
    <x v="3"/>
    <s v="Cold"/>
    <s v="Medium"/>
    <s v="Moderate"/>
    <s v="Working Day"/>
    <s v="Mostly Registered"/>
    <n v="3.1578947368421049"/>
    <n v="96.84210526315789"/>
    <s v="Yes"/>
    <s v="Low"/>
    <s v="No"/>
    <n v="6.6999999999999837E-3"/>
  </r>
  <r>
    <n v="230"/>
    <x v="9"/>
    <n v="1"/>
    <n v="20"/>
    <b v="0"/>
    <n v="1"/>
    <n v="1"/>
    <n v="0.16"/>
    <x v="16"/>
    <n v="0.5"/>
    <n v="0.16420000000000001"/>
    <n v="1"/>
    <n v="73"/>
    <n v="74"/>
    <s v="Spring"/>
    <s v="Monday"/>
    <s v="Clear"/>
    <x v="3"/>
    <s v="Cold"/>
    <s v="Medium"/>
    <s v="Moderate"/>
    <s v="Working Day"/>
    <s v="Mostly Registered"/>
    <n v="1.3513513513513511"/>
    <n v="98.648648648648646"/>
    <s v="No"/>
    <s v="Low"/>
    <s v="No"/>
    <n v="6.6999999999999837E-3"/>
  </r>
  <r>
    <n v="231"/>
    <x v="9"/>
    <n v="1"/>
    <n v="21"/>
    <b v="0"/>
    <n v="1"/>
    <n v="1"/>
    <n v="0.14000000000000001"/>
    <x v="13"/>
    <n v="0.59"/>
    <n v="0.19400000000000001"/>
    <n v="1"/>
    <n v="37"/>
    <n v="38"/>
    <s v="Spring"/>
    <s v="Monday"/>
    <s v="Clear"/>
    <x v="0"/>
    <s v="Very Cold"/>
    <s v="Medium"/>
    <s v="Moderate"/>
    <s v="Working Day"/>
    <s v="Mostly Registered"/>
    <n v="2.6315789473684208"/>
    <n v="97.368421052631575"/>
    <s v="No"/>
    <s v="Low"/>
    <s v="No"/>
    <n v="-3.6000000000000199E-3"/>
  </r>
  <r>
    <n v="232"/>
    <x v="9"/>
    <n v="1"/>
    <n v="22"/>
    <b v="0"/>
    <n v="1"/>
    <n v="1"/>
    <n v="0.14000000000000001"/>
    <x v="19"/>
    <n v="0.59"/>
    <n v="0.16420000000000001"/>
    <n v="2"/>
    <n v="22"/>
    <n v="24"/>
    <s v="Spring"/>
    <s v="Monday"/>
    <s v="Clear"/>
    <x v="0"/>
    <s v="Very Cold"/>
    <s v="Medium"/>
    <s v="Moderate"/>
    <s v="Working Day"/>
    <s v="Mostly Registered"/>
    <n v="8.3333333333333321"/>
    <n v="91.666666666666657"/>
    <s v="No"/>
    <s v="Low"/>
    <s v="No"/>
    <n v="1.1499999999999981E-2"/>
  </r>
  <r>
    <n v="233"/>
    <x v="9"/>
    <n v="1"/>
    <n v="23"/>
    <b v="0"/>
    <n v="1"/>
    <n v="1"/>
    <n v="0.14000000000000001"/>
    <x v="19"/>
    <n v="0.59"/>
    <n v="0.16420000000000001"/>
    <n v="0"/>
    <n v="18"/>
    <n v="18"/>
    <s v="Spring"/>
    <s v="Monday"/>
    <s v="Clear"/>
    <x v="0"/>
    <s v="Very Cold"/>
    <s v="Medium"/>
    <s v="Moderate"/>
    <s v="Working Day"/>
    <s v="Mostly Registered"/>
    <n v="0"/>
    <n v="100"/>
    <s v="No"/>
    <s v="Low"/>
    <s v="No"/>
    <n v="1.1499999999999981E-2"/>
  </r>
  <r>
    <n v="234"/>
    <x v="10"/>
    <n v="1"/>
    <n v="0"/>
    <b v="0"/>
    <n v="2"/>
    <n v="1"/>
    <n v="0.14000000000000001"/>
    <x v="16"/>
    <n v="0.59"/>
    <n v="0.1045"/>
    <n v="2"/>
    <n v="10"/>
    <n v="12"/>
    <s v="Spring"/>
    <s v="Tuesday"/>
    <s v="Clear"/>
    <x v="0"/>
    <s v="Very Cold"/>
    <s v="Medium"/>
    <s v="Calm"/>
    <s v="Working Day"/>
    <s v="Mostly Registered"/>
    <n v="16.666666666666661"/>
    <n v="83.333333333333343"/>
    <s v="No"/>
    <s v="Low"/>
    <s v="No"/>
    <n v="2.669999999999997E-2"/>
  </r>
  <r>
    <n v="235"/>
    <x v="10"/>
    <n v="1"/>
    <n v="1"/>
    <b v="0"/>
    <n v="2"/>
    <n v="1"/>
    <n v="0.14000000000000001"/>
    <x v="19"/>
    <n v="0.59"/>
    <n v="0.16420000000000001"/>
    <n v="0"/>
    <n v="3"/>
    <n v="3"/>
    <s v="Spring"/>
    <s v="Tuesday"/>
    <s v="Clear"/>
    <x v="0"/>
    <s v="Very Cold"/>
    <s v="Medium"/>
    <s v="Moderate"/>
    <s v="Working Day"/>
    <s v="Mostly Registered"/>
    <n v="0"/>
    <n v="100"/>
    <s v="No"/>
    <s v="Low"/>
    <s v="No"/>
    <n v="1.1499999999999981E-2"/>
  </r>
  <r>
    <n v="236"/>
    <x v="10"/>
    <n v="1"/>
    <n v="2"/>
    <b v="0"/>
    <n v="2"/>
    <n v="2"/>
    <n v="0.16"/>
    <x v="19"/>
    <n v="0.55000000000000004"/>
    <n v="0.19400000000000001"/>
    <n v="0"/>
    <n v="3"/>
    <n v="3"/>
    <s v="Spring"/>
    <s v="Tuesday"/>
    <s v="Mist/Cloudy"/>
    <x v="0"/>
    <s v="Cold"/>
    <s v="Medium"/>
    <s v="Moderate"/>
    <s v="Working Day"/>
    <s v="Mostly Registered"/>
    <n v="0"/>
    <n v="100"/>
    <s v="No"/>
    <s v="Low"/>
    <s v="No"/>
    <n v="-8.5000000000000075E-3"/>
  </r>
  <r>
    <n v="237"/>
    <x v="10"/>
    <n v="1"/>
    <n v="5"/>
    <b v="0"/>
    <n v="2"/>
    <n v="2"/>
    <n v="0.16"/>
    <x v="17"/>
    <n v="0.55000000000000004"/>
    <n v="0.1343"/>
    <n v="0"/>
    <n v="6"/>
    <n v="6"/>
    <s v="Spring"/>
    <s v="Tuesday"/>
    <s v="Mist/Cloudy"/>
    <x v="0"/>
    <s v="Cold"/>
    <s v="Medium"/>
    <s v="Calm"/>
    <s v="Working Day"/>
    <s v="Mostly Registered"/>
    <n v="0"/>
    <n v="100"/>
    <s v="No"/>
    <s v="Low"/>
    <s v="No"/>
    <n v="2.179999999999999E-2"/>
  </r>
  <r>
    <n v="238"/>
    <x v="10"/>
    <n v="1"/>
    <n v="6"/>
    <b v="0"/>
    <n v="2"/>
    <n v="2"/>
    <n v="0.16"/>
    <x v="17"/>
    <n v="0.55000000000000004"/>
    <n v="0.1343"/>
    <n v="0"/>
    <n v="27"/>
    <n v="27"/>
    <s v="Spring"/>
    <s v="Tuesday"/>
    <s v="Mist/Cloudy"/>
    <x v="1"/>
    <s v="Cold"/>
    <s v="Medium"/>
    <s v="Calm"/>
    <s v="Working Day"/>
    <s v="Mostly Registered"/>
    <n v="0"/>
    <n v="100"/>
    <s v="No"/>
    <s v="Low"/>
    <s v="No"/>
    <n v="2.179999999999999E-2"/>
  </r>
  <r>
    <n v="239"/>
    <x v="10"/>
    <n v="1"/>
    <n v="7"/>
    <b v="0"/>
    <n v="2"/>
    <n v="2"/>
    <n v="0.16"/>
    <x v="10"/>
    <n v="0.55000000000000004"/>
    <n v="0"/>
    <n v="2"/>
    <n v="97"/>
    <n v="99"/>
    <s v="Spring"/>
    <s v="Tuesday"/>
    <s v="Mist/Cloudy"/>
    <x v="1"/>
    <s v="Cold"/>
    <s v="Medium"/>
    <s v="Calm"/>
    <s v="Working Day"/>
    <s v="Mostly Registered"/>
    <n v="2.0202020202020199"/>
    <n v="97.979797979797979"/>
    <s v="Yes"/>
    <s v="Low"/>
    <s v="No"/>
    <n v="6.7299999999999999E-2"/>
  </r>
  <r>
    <n v="240"/>
    <x v="10"/>
    <n v="1"/>
    <n v="8"/>
    <b v="0"/>
    <n v="2"/>
    <n v="2"/>
    <n v="0.18"/>
    <x v="11"/>
    <n v="0.51"/>
    <n v="8.9599999999999999E-2"/>
    <n v="3"/>
    <n v="214"/>
    <n v="217"/>
    <s v="Spring"/>
    <s v="Tuesday"/>
    <s v="Mist/Cloudy"/>
    <x v="1"/>
    <s v="Cold"/>
    <s v="Medium"/>
    <s v="Calm"/>
    <s v="Working Day"/>
    <s v="Mostly Registered"/>
    <n v="1.382488479262673"/>
    <n v="98.617511520737324"/>
    <s v="Yes"/>
    <s v="Medium"/>
    <s v="No"/>
    <n v="3.2100000000000017E-2"/>
  </r>
  <r>
    <n v="241"/>
    <x v="10"/>
    <n v="1"/>
    <n v="9"/>
    <b v="0"/>
    <n v="2"/>
    <n v="2"/>
    <n v="0.18"/>
    <x v="12"/>
    <n v="0.51"/>
    <n v="0.16420000000000001"/>
    <n v="3"/>
    <n v="127"/>
    <n v="130"/>
    <s v="Spring"/>
    <s v="Tuesday"/>
    <s v="Mist/Cloudy"/>
    <x v="1"/>
    <s v="Cold"/>
    <s v="Medium"/>
    <s v="Moderate"/>
    <s v="Working Day"/>
    <s v="Mostly Registered"/>
    <n v="2.3076923076923079"/>
    <n v="97.692307692307693"/>
    <s v="Yes"/>
    <s v="Medium"/>
    <s v="No"/>
    <n v="1.7000000000000019E-2"/>
  </r>
  <r>
    <n v="242"/>
    <x v="10"/>
    <n v="1"/>
    <n v="10"/>
    <b v="0"/>
    <n v="2"/>
    <n v="2"/>
    <n v="0.2"/>
    <x v="11"/>
    <n v="0.51"/>
    <n v="0.16420000000000001"/>
    <n v="3"/>
    <n v="51"/>
    <n v="54"/>
    <s v="Spring"/>
    <s v="Tuesday"/>
    <s v="Mist/Cloudy"/>
    <x v="1"/>
    <s v="Cold"/>
    <s v="Medium"/>
    <s v="Moderate"/>
    <s v="Working Day"/>
    <s v="Mostly Registered"/>
    <n v="5.5555555555555554"/>
    <n v="94.444444444444443"/>
    <s v="No"/>
    <s v="Low"/>
    <s v="No"/>
    <n v="1.21E-2"/>
  </r>
  <r>
    <n v="243"/>
    <x v="10"/>
    <n v="1"/>
    <n v="11"/>
    <b v="0"/>
    <n v="2"/>
    <n v="2"/>
    <n v="0.2"/>
    <x v="11"/>
    <n v="0.47"/>
    <n v="0.1343"/>
    <n v="4"/>
    <n v="31"/>
    <n v="35"/>
    <s v="Spring"/>
    <s v="Tuesday"/>
    <s v="Mist/Cloudy"/>
    <x v="1"/>
    <s v="Cold"/>
    <s v="Medium"/>
    <s v="Calm"/>
    <s v="Working Day"/>
    <s v="Mostly Registered"/>
    <n v="11.428571428571431"/>
    <n v="88.571428571428569"/>
    <s v="No"/>
    <s v="Low"/>
    <s v="No"/>
    <n v="1.21E-2"/>
  </r>
  <r>
    <n v="244"/>
    <x v="10"/>
    <n v="1"/>
    <n v="12"/>
    <b v="0"/>
    <n v="2"/>
    <n v="2"/>
    <n v="0.2"/>
    <x v="10"/>
    <n v="0.51"/>
    <n v="0.1045"/>
    <n v="2"/>
    <n v="55"/>
    <n v="57"/>
    <s v="Spring"/>
    <s v="Tuesday"/>
    <s v="Mist/Cloudy"/>
    <x v="2"/>
    <s v="Cold"/>
    <s v="Medium"/>
    <s v="Calm"/>
    <s v="Working Day"/>
    <s v="Mostly Registered"/>
    <n v="3.5087719298245612"/>
    <n v="96.491228070175438"/>
    <s v="No"/>
    <s v="Low"/>
    <s v="No"/>
    <n v="2.7299999999999991E-2"/>
  </r>
  <r>
    <n v="245"/>
    <x v="10"/>
    <n v="1"/>
    <n v="13"/>
    <b v="0"/>
    <n v="2"/>
    <n v="2"/>
    <n v="0.2"/>
    <x v="10"/>
    <n v="0.59"/>
    <n v="8.9599999999999999E-2"/>
    <n v="6"/>
    <n v="46"/>
    <n v="52"/>
    <s v="Spring"/>
    <s v="Tuesday"/>
    <s v="Mist/Cloudy"/>
    <x v="2"/>
    <s v="Cold"/>
    <s v="Medium"/>
    <s v="Calm"/>
    <s v="Working Day"/>
    <s v="Mostly Registered"/>
    <n v="11.53846153846154"/>
    <n v="88.461538461538453"/>
    <s v="No"/>
    <s v="Low"/>
    <s v="No"/>
    <n v="2.7299999999999991E-2"/>
  </r>
  <r>
    <n v="246"/>
    <x v="10"/>
    <n v="1"/>
    <n v="14"/>
    <b v="0"/>
    <n v="2"/>
    <n v="2"/>
    <n v="0.2"/>
    <x v="10"/>
    <n v="0.59"/>
    <n v="8.9599999999999999E-2"/>
    <n v="3"/>
    <n v="60"/>
    <n v="63"/>
    <s v="Spring"/>
    <s v="Tuesday"/>
    <s v="Mist/Cloudy"/>
    <x v="2"/>
    <s v="Cold"/>
    <s v="Medium"/>
    <s v="Calm"/>
    <s v="Working Day"/>
    <s v="Mostly Registered"/>
    <n v="4.7619047619047619"/>
    <n v="95.238095238095227"/>
    <s v="No"/>
    <s v="Low"/>
    <s v="No"/>
    <n v="2.7299999999999991E-2"/>
  </r>
  <r>
    <n v="247"/>
    <x v="10"/>
    <n v="1"/>
    <n v="15"/>
    <b v="0"/>
    <n v="2"/>
    <n v="2"/>
    <n v="0.16"/>
    <x v="12"/>
    <n v="0.8"/>
    <n v="8.9599999999999999E-2"/>
    <n v="2"/>
    <n v="45"/>
    <n v="47"/>
    <s v="Spring"/>
    <s v="Tuesday"/>
    <s v="Mist/Cloudy"/>
    <x v="2"/>
    <s v="Cold"/>
    <s v="High"/>
    <s v="Calm"/>
    <s v="Working Day"/>
    <s v="Mostly Registered"/>
    <n v="4.2553191489361701"/>
    <n v="95.744680851063833"/>
    <s v="No"/>
    <s v="Low"/>
    <s v="No"/>
    <n v="3.7000000000000012E-2"/>
  </r>
  <r>
    <n v="248"/>
    <x v="10"/>
    <n v="1"/>
    <n v="16"/>
    <b v="0"/>
    <n v="2"/>
    <n v="2"/>
    <n v="0.16"/>
    <x v="19"/>
    <n v="0.86"/>
    <n v="0.22389999999999999"/>
    <n v="4"/>
    <n v="72"/>
    <n v="76"/>
    <s v="Spring"/>
    <s v="Tuesday"/>
    <s v="Mist/Cloudy"/>
    <x v="2"/>
    <s v="Cold"/>
    <s v="High"/>
    <s v="Moderate"/>
    <s v="Working Day"/>
    <s v="Mostly Registered"/>
    <n v="5.2631578947368416"/>
    <n v="94.73684210526315"/>
    <s v="No"/>
    <s v="Low"/>
    <s v="No"/>
    <n v="-8.5000000000000075E-3"/>
  </r>
  <r>
    <n v="249"/>
    <x v="10"/>
    <n v="1"/>
    <n v="17"/>
    <b v="0"/>
    <n v="2"/>
    <n v="2"/>
    <n v="0.16"/>
    <x v="19"/>
    <n v="0.86"/>
    <n v="0.22389999999999999"/>
    <n v="6"/>
    <n v="130"/>
    <n v="136"/>
    <s v="Spring"/>
    <s v="Tuesday"/>
    <s v="Mist/Cloudy"/>
    <x v="3"/>
    <s v="Cold"/>
    <s v="High"/>
    <s v="Moderate"/>
    <s v="Working Day"/>
    <s v="Mostly Registered"/>
    <n v="4.4117647058823533"/>
    <n v="95.588235294117652"/>
    <s v="Yes"/>
    <s v="Medium"/>
    <s v="No"/>
    <n v="-8.5000000000000075E-3"/>
  </r>
  <r>
    <n v="250"/>
    <x v="10"/>
    <n v="1"/>
    <n v="18"/>
    <b v="0"/>
    <n v="2"/>
    <n v="3"/>
    <n v="0.16"/>
    <x v="17"/>
    <n v="0.93"/>
    <n v="0.1045"/>
    <n v="1"/>
    <n v="94"/>
    <n v="95"/>
    <s v="Spring"/>
    <s v="Tuesday"/>
    <s v="Light Rain/Snow"/>
    <x v="3"/>
    <s v="Cold"/>
    <s v="High"/>
    <s v="Calm"/>
    <s v="Working Day"/>
    <s v="Mostly Registered"/>
    <n v="1.0526315789473679"/>
    <n v="98.94736842105263"/>
    <s v="Yes"/>
    <s v="Low"/>
    <s v="No"/>
    <n v="2.179999999999999E-2"/>
  </r>
  <r>
    <n v="251"/>
    <x v="10"/>
    <n v="1"/>
    <n v="19"/>
    <b v="0"/>
    <n v="2"/>
    <n v="3"/>
    <n v="0.16"/>
    <x v="10"/>
    <n v="0.93"/>
    <n v="0"/>
    <n v="0"/>
    <n v="51"/>
    <n v="51"/>
    <s v="Spring"/>
    <s v="Tuesday"/>
    <s v="Light Rain/Snow"/>
    <x v="3"/>
    <s v="Cold"/>
    <s v="High"/>
    <s v="Calm"/>
    <s v="Working Day"/>
    <s v="Mostly Registered"/>
    <n v="0"/>
    <n v="100"/>
    <s v="Yes"/>
    <s v="Low"/>
    <s v="No"/>
    <n v="6.7299999999999999E-2"/>
  </r>
  <r>
    <n v="252"/>
    <x v="10"/>
    <n v="1"/>
    <n v="20"/>
    <b v="0"/>
    <n v="2"/>
    <n v="3"/>
    <n v="0.16"/>
    <x v="19"/>
    <n v="0.93"/>
    <n v="0.19400000000000001"/>
    <n v="0"/>
    <n v="32"/>
    <n v="32"/>
    <s v="Spring"/>
    <s v="Tuesday"/>
    <s v="Light Rain/Snow"/>
    <x v="3"/>
    <s v="Cold"/>
    <s v="High"/>
    <s v="Moderate"/>
    <s v="Working Day"/>
    <s v="Mostly Registered"/>
    <n v="0"/>
    <n v="100"/>
    <s v="No"/>
    <s v="Low"/>
    <s v="No"/>
    <n v="-8.5000000000000075E-3"/>
  </r>
  <r>
    <n v="253"/>
    <x v="10"/>
    <n v="1"/>
    <n v="21"/>
    <b v="0"/>
    <n v="2"/>
    <n v="3"/>
    <n v="0.16"/>
    <x v="12"/>
    <n v="0.86"/>
    <n v="8.9599999999999999E-2"/>
    <n v="0"/>
    <n v="20"/>
    <n v="20"/>
    <s v="Spring"/>
    <s v="Tuesday"/>
    <s v="Light Rain/Snow"/>
    <x v="0"/>
    <s v="Cold"/>
    <s v="High"/>
    <s v="Calm"/>
    <s v="Working Day"/>
    <s v="Mostly Registered"/>
    <n v="0"/>
    <n v="100"/>
    <s v="No"/>
    <s v="Low"/>
    <s v="No"/>
    <n v="3.7000000000000012E-2"/>
  </r>
  <r>
    <n v="254"/>
    <x v="10"/>
    <n v="1"/>
    <n v="22"/>
    <b v="0"/>
    <n v="2"/>
    <n v="3"/>
    <n v="0.16"/>
    <x v="17"/>
    <n v="0.93"/>
    <n v="0.1045"/>
    <n v="1"/>
    <n v="28"/>
    <n v="29"/>
    <s v="Spring"/>
    <s v="Tuesday"/>
    <s v="Light Rain/Snow"/>
    <x v="0"/>
    <s v="Cold"/>
    <s v="High"/>
    <s v="Calm"/>
    <s v="Working Day"/>
    <s v="Mostly Registered"/>
    <n v="3.4482758620689649"/>
    <n v="96.551724137931032"/>
    <s v="No"/>
    <s v="Low"/>
    <s v="No"/>
    <n v="2.179999999999999E-2"/>
  </r>
  <r>
    <n v="255"/>
    <x v="10"/>
    <n v="1"/>
    <n v="23"/>
    <b v="0"/>
    <n v="2"/>
    <n v="3"/>
    <n v="0.16"/>
    <x v="12"/>
    <n v="0.93"/>
    <n v="8.9599999999999999E-2"/>
    <n v="1"/>
    <n v="18"/>
    <n v="19"/>
    <s v="Spring"/>
    <s v="Tuesday"/>
    <s v="Light Rain/Snow"/>
    <x v="0"/>
    <s v="Cold"/>
    <s v="High"/>
    <s v="Calm"/>
    <s v="Working Day"/>
    <s v="Mostly Registered"/>
    <n v="5.2631578947368416"/>
    <n v="94.73684210526315"/>
    <s v="No"/>
    <s v="Low"/>
    <s v="No"/>
    <n v="3.7000000000000012E-2"/>
  </r>
  <r>
    <n v="256"/>
    <x v="11"/>
    <n v="1"/>
    <n v="0"/>
    <b v="0"/>
    <n v="3"/>
    <n v="2"/>
    <n v="0.16"/>
    <x v="12"/>
    <n v="0.86"/>
    <n v="8.9599999999999999E-2"/>
    <n v="0"/>
    <n v="7"/>
    <n v="7"/>
    <s v="Spring"/>
    <s v="Wednesday"/>
    <s v="Mist/Cloudy"/>
    <x v="0"/>
    <s v="Cold"/>
    <s v="High"/>
    <s v="Calm"/>
    <s v="Working Day"/>
    <s v="Mostly Registered"/>
    <n v="0"/>
    <n v="100"/>
    <s v="No"/>
    <s v="Low"/>
    <s v="No"/>
    <n v="3.7000000000000012E-2"/>
  </r>
  <r>
    <n v="257"/>
    <x v="11"/>
    <n v="1"/>
    <n v="1"/>
    <b v="0"/>
    <n v="3"/>
    <n v="2"/>
    <n v="0.16"/>
    <x v="17"/>
    <n v="0.86"/>
    <n v="0.1045"/>
    <n v="0"/>
    <n v="6"/>
    <n v="6"/>
    <s v="Spring"/>
    <s v="Wednesday"/>
    <s v="Mist/Cloudy"/>
    <x v="0"/>
    <s v="Cold"/>
    <s v="High"/>
    <s v="Calm"/>
    <s v="Working Day"/>
    <s v="Mostly Registered"/>
    <n v="0"/>
    <n v="100"/>
    <s v="No"/>
    <s v="Low"/>
    <s v="No"/>
    <n v="2.179999999999999E-2"/>
  </r>
  <r>
    <n v="258"/>
    <x v="11"/>
    <n v="1"/>
    <n v="2"/>
    <b v="0"/>
    <n v="3"/>
    <n v="1"/>
    <n v="0.14000000000000001"/>
    <x v="19"/>
    <n v="0.86"/>
    <n v="0.1343"/>
    <n v="0"/>
    <n v="1"/>
    <n v="1"/>
    <s v="Spring"/>
    <s v="Wednesday"/>
    <s v="Clear"/>
    <x v="0"/>
    <s v="Very Cold"/>
    <s v="High"/>
    <s v="Calm"/>
    <s v="Working Day"/>
    <s v="Mostly Registered"/>
    <n v="0"/>
    <n v="100"/>
    <s v="No"/>
    <s v="Low"/>
    <s v="No"/>
    <n v="1.1499999999999981E-2"/>
  </r>
  <r>
    <n v="259"/>
    <x v="11"/>
    <n v="1"/>
    <n v="5"/>
    <b v="0"/>
    <n v="3"/>
    <n v="1"/>
    <n v="0.14000000000000001"/>
    <x v="19"/>
    <n v="0.86"/>
    <n v="0.16420000000000001"/>
    <n v="0"/>
    <n v="5"/>
    <n v="5"/>
    <s v="Spring"/>
    <s v="Wednesday"/>
    <s v="Clear"/>
    <x v="0"/>
    <s v="Very Cold"/>
    <s v="High"/>
    <s v="Moderate"/>
    <s v="Working Day"/>
    <s v="Mostly Registered"/>
    <n v="0"/>
    <n v="100"/>
    <s v="No"/>
    <s v="Low"/>
    <s v="No"/>
    <n v="1.1499999999999981E-2"/>
  </r>
  <r>
    <n v="260"/>
    <x v="11"/>
    <n v="1"/>
    <n v="6"/>
    <b v="0"/>
    <n v="3"/>
    <n v="1"/>
    <n v="0.12"/>
    <x v="19"/>
    <n v="0.93"/>
    <n v="0.1343"/>
    <n v="0"/>
    <n v="16"/>
    <n v="16"/>
    <s v="Spring"/>
    <s v="Wednesday"/>
    <s v="Clear"/>
    <x v="1"/>
    <s v="Very Cold"/>
    <s v="High"/>
    <s v="Calm"/>
    <s v="Working Day"/>
    <s v="Mostly Registered"/>
    <n v="0"/>
    <n v="100"/>
    <s v="No"/>
    <s v="Low"/>
    <s v="No"/>
    <n v="3.15E-2"/>
  </r>
  <r>
    <n v="261"/>
    <x v="11"/>
    <n v="1"/>
    <n v="7"/>
    <b v="0"/>
    <n v="3"/>
    <n v="1"/>
    <n v="0.14000000000000001"/>
    <x v="19"/>
    <n v="0.69"/>
    <n v="0.1343"/>
    <n v="0"/>
    <n v="54"/>
    <n v="54"/>
    <s v="Spring"/>
    <s v="Wednesday"/>
    <s v="Clear"/>
    <x v="1"/>
    <s v="Very Cold"/>
    <s v="Medium"/>
    <s v="Calm"/>
    <s v="Working Day"/>
    <s v="Mostly Registered"/>
    <n v="0"/>
    <n v="100"/>
    <s v="Yes"/>
    <s v="Low"/>
    <s v="No"/>
    <n v="1.1499999999999981E-2"/>
  </r>
  <r>
    <n v="262"/>
    <x v="11"/>
    <n v="1"/>
    <n v="8"/>
    <b v="0"/>
    <n v="3"/>
    <n v="1"/>
    <n v="0.16"/>
    <x v="16"/>
    <n v="0.59"/>
    <n v="0.16420000000000001"/>
    <n v="3"/>
    <n v="125"/>
    <n v="128"/>
    <s v="Spring"/>
    <s v="Wednesday"/>
    <s v="Clear"/>
    <x v="1"/>
    <s v="Cold"/>
    <s v="Medium"/>
    <s v="Moderate"/>
    <s v="Working Day"/>
    <s v="Mostly Registered"/>
    <n v="2.34375"/>
    <n v="97.65625"/>
    <s v="Yes"/>
    <s v="Medium"/>
    <s v="No"/>
    <n v="6.6999999999999837E-3"/>
  </r>
  <r>
    <n v="263"/>
    <x v="11"/>
    <n v="1"/>
    <n v="9"/>
    <b v="0"/>
    <n v="3"/>
    <n v="1"/>
    <n v="0.16"/>
    <x v="13"/>
    <n v="0.59"/>
    <n v="0.32840000000000003"/>
    <n v="3"/>
    <n v="78"/>
    <n v="81"/>
    <s v="Spring"/>
    <s v="Wednesday"/>
    <s v="Clear"/>
    <x v="1"/>
    <s v="Cold"/>
    <s v="Medium"/>
    <s v="Windy"/>
    <s v="Working Day"/>
    <s v="Mostly Registered"/>
    <n v="3.7037037037037028"/>
    <n v="96.296296296296291"/>
    <s v="Yes"/>
    <s v="Low"/>
    <s v="No"/>
    <n v="-2.360000000000001E-2"/>
  </r>
  <r>
    <n v="264"/>
    <x v="11"/>
    <n v="1"/>
    <n v="10"/>
    <b v="0"/>
    <n v="3"/>
    <n v="1"/>
    <n v="0.18"/>
    <x v="17"/>
    <n v="0.55000000000000004"/>
    <n v="0.22389999999999999"/>
    <n v="0"/>
    <n v="39"/>
    <n v="39"/>
    <s v="Spring"/>
    <s v="Wednesday"/>
    <s v="Clear"/>
    <x v="1"/>
    <s v="Cold"/>
    <s v="Medium"/>
    <s v="Moderate"/>
    <s v="Working Day"/>
    <s v="Mostly Registered"/>
    <n v="0"/>
    <n v="100"/>
    <s v="No"/>
    <s v="Low"/>
    <s v="No"/>
    <n v="1.799999999999996E-3"/>
  </r>
  <r>
    <n v="265"/>
    <x v="11"/>
    <n v="1"/>
    <n v="11"/>
    <b v="0"/>
    <n v="3"/>
    <n v="1"/>
    <n v="0.2"/>
    <x v="17"/>
    <n v="0.51"/>
    <n v="0.3881"/>
    <n v="3"/>
    <n v="32"/>
    <n v="35"/>
    <s v="Spring"/>
    <s v="Wednesday"/>
    <s v="Clear"/>
    <x v="1"/>
    <s v="Cold"/>
    <s v="Medium"/>
    <s v="Windy"/>
    <s v="Working Day"/>
    <s v="Mostly Registered"/>
    <n v="8.5714285714285712"/>
    <n v="91.428571428571431"/>
    <s v="No"/>
    <s v="Low"/>
    <s v="No"/>
    <n v="-1.8200000000000022E-2"/>
  </r>
  <r>
    <n v="266"/>
    <x v="11"/>
    <n v="1"/>
    <n v="12"/>
    <b v="0"/>
    <n v="3"/>
    <n v="1"/>
    <n v="0.2"/>
    <x v="19"/>
    <n v="0.47"/>
    <n v="0.58209999999999995"/>
    <n v="3"/>
    <n v="52"/>
    <n v="55"/>
    <s v="Spring"/>
    <s v="Wednesday"/>
    <s v="Clear"/>
    <x v="2"/>
    <s v="Cold"/>
    <s v="Medium"/>
    <s v="Windy"/>
    <s v="Working Day"/>
    <s v="Mostly Registered"/>
    <n v="5.4545454545454541"/>
    <n v="94.545454545454547"/>
    <s v="No"/>
    <s v="Low"/>
    <s v="No"/>
    <n v="-4.8500000000000022E-2"/>
  </r>
  <r>
    <n v="267"/>
    <x v="11"/>
    <n v="1"/>
    <n v="13"/>
    <b v="0"/>
    <n v="3"/>
    <n v="1"/>
    <n v="0.22"/>
    <x v="12"/>
    <n v="0.44"/>
    <n v="0.35820000000000002"/>
    <n v="0"/>
    <n v="49"/>
    <n v="49"/>
    <s v="Spring"/>
    <s v="Wednesday"/>
    <s v="Clear"/>
    <x v="2"/>
    <s v="Cold"/>
    <s v="Medium"/>
    <s v="Windy"/>
    <s v="Working Day"/>
    <s v="Mostly Registered"/>
    <n v="0"/>
    <n v="100"/>
    <s v="No"/>
    <s v="Low"/>
    <s v="No"/>
    <n v="-2.2999999999999989E-2"/>
  </r>
  <r>
    <n v="268"/>
    <x v="11"/>
    <n v="1"/>
    <n v="14"/>
    <b v="0"/>
    <n v="3"/>
    <n v="1"/>
    <n v="0.2"/>
    <x v="17"/>
    <n v="0.47"/>
    <n v="0.32840000000000003"/>
    <n v="0"/>
    <n v="44"/>
    <n v="44"/>
    <s v="Spring"/>
    <s v="Wednesday"/>
    <s v="Clear"/>
    <x v="2"/>
    <s v="Cold"/>
    <s v="Medium"/>
    <s v="Windy"/>
    <s v="Working Day"/>
    <s v="Mostly Registered"/>
    <n v="0"/>
    <n v="100"/>
    <s v="No"/>
    <s v="Low"/>
    <s v="No"/>
    <n v="-1.8200000000000022E-2"/>
  </r>
  <r>
    <n v="269"/>
    <x v="11"/>
    <n v="1"/>
    <n v="15"/>
    <b v="0"/>
    <n v="3"/>
    <n v="1"/>
    <n v="0.2"/>
    <x v="16"/>
    <n v="0.47"/>
    <n v="0.41789999999999999"/>
    <n v="1"/>
    <n v="48"/>
    <n v="49"/>
    <s v="Spring"/>
    <s v="Wednesday"/>
    <s v="Clear"/>
    <x v="2"/>
    <s v="Cold"/>
    <s v="Medium"/>
    <s v="Windy"/>
    <s v="Working Day"/>
    <s v="Mostly Registered"/>
    <n v="2.0408163265306118"/>
    <n v="97.959183673469383"/>
    <s v="No"/>
    <s v="Low"/>
    <s v="No"/>
    <n v="-3.3300000000000017E-2"/>
  </r>
  <r>
    <n v="270"/>
    <x v="11"/>
    <n v="1"/>
    <n v="16"/>
    <b v="0"/>
    <n v="3"/>
    <n v="1"/>
    <n v="0.22"/>
    <x v="12"/>
    <n v="0.44"/>
    <n v="0.32840000000000003"/>
    <n v="5"/>
    <n v="63"/>
    <n v="68"/>
    <s v="Spring"/>
    <s v="Wednesday"/>
    <s v="Clear"/>
    <x v="2"/>
    <s v="Cold"/>
    <s v="Medium"/>
    <s v="Windy"/>
    <s v="Working Day"/>
    <s v="Mostly Registered"/>
    <n v="7.3529411764705888"/>
    <n v="92.64705882352942"/>
    <s v="No"/>
    <s v="Low"/>
    <s v="No"/>
    <n v="-2.2999999999999989E-2"/>
  </r>
  <r>
    <n v="271"/>
    <x v="11"/>
    <n v="1"/>
    <n v="17"/>
    <b v="0"/>
    <n v="3"/>
    <n v="1"/>
    <n v="0.2"/>
    <x v="17"/>
    <n v="0.47"/>
    <n v="0.35820000000000002"/>
    <n v="0"/>
    <n v="139"/>
    <n v="139"/>
    <s v="Spring"/>
    <s v="Wednesday"/>
    <s v="Clear"/>
    <x v="3"/>
    <s v="Cold"/>
    <s v="Medium"/>
    <s v="Windy"/>
    <s v="Working Day"/>
    <s v="Mostly Registered"/>
    <n v="0"/>
    <n v="100"/>
    <s v="Yes"/>
    <s v="Medium"/>
    <s v="No"/>
    <n v="-1.8200000000000022E-2"/>
  </r>
  <r>
    <n v="272"/>
    <x v="11"/>
    <n v="1"/>
    <n v="18"/>
    <b v="0"/>
    <n v="3"/>
    <n v="1"/>
    <n v="0.2"/>
    <x v="19"/>
    <n v="0.47"/>
    <n v="0.52239999999999998"/>
    <n v="2"/>
    <n v="135"/>
    <n v="137"/>
    <s v="Spring"/>
    <s v="Wednesday"/>
    <s v="Clear"/>
    <x v="3"/>
    <s v="Cold"/>
    <s v="Medium"/>
    <s v="Windy"/>
    <s v="Working Day"/>
    <s v="Mostly Registered"/>
    <n v="1.4598540145985399"/>
    <n v="98.540145985401466"/>
    <s v="Yes"/>
    <s v="Medium"/>
    <s v="No"/>
    <n v="-4.8500000000000022E-2"/>
  </r>
  <r>
    <n v="273"/>
    <x v="11"/>
    <n v="1"/>
    <n v="19"/>
    <b v="0"/>
    <n v="3"/>
    <n v="1"/>
    <n v="0.18"/>
    <x v="19"/>
    <n v="0.47"/>
    <n v="0.41789999999999999"/>
    <n v="1"/>
    <n v="82"/>
    <n v="83"/>
    <s v="Spring"/>
    <s v="Wednesday"/>
    <s v="Clear"/>
    <x v="3"/>
    <s v="Cold"/>
    <s v="Medium"/>
    <s v="Windy"/>
    <s v="Working Day"/>
    <s v="Mostly Registered"/>
    <n v="1.2048192771084341"/>
    <n v="98.795180722891558"/>
    <s v="Yes"/>
    <s v="Low"/>
    <s v="No"/>
    <n v="-2.8500000000000001E-2"/>
  </r>
  <r>
    <n v="274"/>
    <x v="11"/>
    <n v="1"/>
    <n v="20"/>
    <b v="0"/>
    <n v="3"/>
    <n v="1"/>
    <n v="0.16"/>
    <x v="13"/>
    <n v="0.5"/>
    <n v="0.32840000000000003"/>
    <n v="2"/>
    <n v="54"/>
    <n v="56"/>
    <s v="Spring"/>
    <s v="Wednesday"/>
    <s v="Clear"/>
    <x v="3"/>
    <s v="Cold"/>
    <s v="Medium"/>
    <s v="Windy"/>
    <s v="Working Day"/>
    <s v="Mostly Registered"/>
    <n v="3.5714285714285712"/>
    <n v="96.428571428571431"/>
    <s v="No"/>
    <s v="Low"/>
    <s v="No"/>
    <n v="-2.360000000000001E-2"/>
  </r>
  <r>
    <n v="275"/>
    <x v="11"/>
    <n v="1"/>
    <n v="21"/>
    <b v="0"/>
    <n v="3"/>
    <n v="1"/>
    <n v="0.16"/>
    <x v="13"/>
    <n v="0.55000000000000004"/>
    <n v="0.32840000000000003"/>
    <n v="0"/>
    <n v="57"/>
    <n v="57"/>
    <s v="Spring"/>
    <s v="Wednesday"/>
    <s v="Clear"/>
    <x v="0"/>
    <s v="Cold"/>
    <s v="Medium"/>
    <s v="Windy"/>
    <s v="Working Day"/>
    <s v="Mostly Registered"/>
    <n v="0"/>
    <n v="100"/>
    <s v="No"/>
    <s v="Low"/>
    <s v="No"/>
    <n v="-2.360000000000001E-2"/>
  </r>
  <r>
    <n v="276"/>
    <x v="11"/>
    <n v="1"/>
    <n v="22"/>
    <b v="0"/>
    <n v="3"/>
    <n v="1"/>
    <n v="0.16"/>
    <x v="15"/>
    <n v="0.55000000000000004"/>
    <n v="0.44779999999999998"/>
    <n v="1"/>
    <n v="32"/>
    <n v="33"/>
    <s v="Spring"/>
    <s v="Wednesday"/>
    <s v="Clear"/>
    <x v="0"/>
    <s v="Cold"/>
    <s v="Medium"/>
    <s v="Windy"/>
    <s v="Working Day"/>
    <s v="Mostly Registered"/>
    <n v="3.0303030303030298"/>
    <n v="96.969696969696969"/>
    <s v="No"/>
    <s v="Low"/>
    <s v="No"/>
    <n v="-3.8800000000000001E-2"/>
  </r>
  <r>
    <n v="277"/>
    <x v="11"/>
    <n v="1"/>
    <n v="23"/>
    <b v="0"/>
    <n v="3"/>
    <n v="1"/>
    <n v="0.14000000000000001"/>
    <x v="14"/>
    <n v="0.59"/>
    <n v="0.41789999999999999"/>
    <n v="1"/>
    <n v="19"/>
    <n v="20"/>
    <s v="Spring"/>
    <s v="Wednesday"/>
    <s v="Clear"/>
    <x v="0"/>
    <s v="Very Cold"/>
    <s v="Medium"/>
    <s v="Windy"/>
    <s v="Working Day"/>
    <s v="Mostly Registered"/>
    <n v="5"/>
    <n v="95"/>
    <s v="No"/>
    <s v="Low"/>
    <s v="No"/>
    <n v="-3.3900000000000013E-2"/>
  </r>
  <r>
    <n v="278"/>
    <x v="12"/>
    <n v="1"/>
    <n v="0"/>
    <b v="0"/>
    <n v="4"/>
    <n v="1"/>
    <n v="0.14000000000000001"/>
    <x v="15"/>
    <n v="0.59"/>
    <n v="0.28360000000000002"/>
    <n v="1"/>
    <n v="6"/>
    <n v="7"/>
    <s v="Spring"/>
    <s v="Thursday"/>
    <s v="Clear"/>
    <x v="0"/>
    <s v="Very Cold"/>
    <s v="Medium"/>
    <s v="Moderate"/>
    <s v="Working Day"/>
    <s v="Mostly Registered"/>
    <n v="14.285714285714279"/>
    <n v="85.714285714285708"/>
    <s v="No"/>
    <s v="Low"/>
    <s v="No"/>
    <n v="-1.8800000000000011E-2"/>
  </r>
  <r>
    <n v="279"/>
    <x v="12"/>
    <n v="1"/>
    <n v="1"/>
    <b v="0"/>
    <n v="4"/>
    <n v="1"/>
    <n v="0.14000000000000001"/>
    <x v="15"/>
    <n v="0.5"/>
    <n v="0.28360000000000002"/>
    <n v="0"/>
    <n v="2"/>
    <n v="2"/>
    <s v="Spring"/>
    <s v="Thursday"/>
    <s v="Clear"/>
    <x v="0"/>
    <s v="Very Cold"/>
    <s v="Medium"/>
    <s v="Moderate"/>
    <s v="Working Day"/>
    <s v="Mostly Registered"/>
    <n v="0"/>
    <n v="100"/>
    <s v="No"/>
    <s v="Low"/>
    <s v="No"/>
    <n v="-1.8800000000000011E-2"/>
  </r>
  <r>
    <n v="280"/>
    <x v="12"/>
    <n v="1"/>
    <n v="2"/>
    <b v="0"/>
    <n v="4"/>
    <n v="1"/>
    <n v="0.14000000000000001"/>
    <x v="15"/>
    <n v="0.5"/>
    <n v="0.35820000000000002"/>
    <n v="0"/>
    <n v="2"/>
    <n v="2"/>
    <s v="Spring"/>
    <s v="Thursday"/>
    <s v="Clear"/>
    <x v="0"/>
    <s v="Very Cold"/>
    <s v="Medium"/>
    <s v="Windy"/>
    <s v="Working Day"/>
    <s v="Mostly Registered"/>
    <n v="0"/>
    <n v="100"/>
    <s v="No"/>
    <s v="Low"/>
    <s v="No"/>
    <n v="-1.8800000000000011E-2"/>
  </r>
  <r>
    <n v="281"/>
    <x v="12"/>
    <n v="1"/>
    <n v="3"/>
    <b v="0"/>
    <n v="4"/>
    <n v="1"/>
    <n v="0.14000000000000001"/>
    <x v="15"/>
    <n v="0.5"/>
    <n v="0.32840000000000003"/>
    <n v="0"/>
    <n v="3"/>
    <n v="3"/>
    <s v="Spring"/>
    <s v="Thursday"/>
    <s v="Clear"/>
    <x v="0"/>
    <s v="Very Cold"/>
    <s v="Medium"/>
    <s v="Windy"/>
    <s v="Working Day"/>
    <s v="Mostly Registered"/>
    <n v="0"/>
    <n v="100"/>
    <s v="No"/>
    <s v="Low"/>
    <s v="No"/>
    <n v="-1.8800000000000011E-2"/>
  </r>
  <r>
    <n v="282"/>
    <x v="12"/>
    <n v="1"/>
    <n v="4"/>
    <b v="0"/>
    <n v="4"/>
    <n v="1"/>
    <n v="0.14000000000000001"/>
    <x v="15"/>
    <n v="0.5"/>
    <n v="0.25369999999999998"/>
    <n v="0"/>
    <n v="4"/>
    <n v="4"/>
    <s v="Spring"/>
    <s v="Thursday"/>
    <s v="Clear"/>
    <x v="0"/>
    <s v="Very Cold"/>
    <s v="Medium"/>
    <s v="Moderate"/>
    <s v="Working Day"/>
    <s v="Mostly Registered"/>
    <n v="0"/>
    <n v="100"/>
    <s v="No"/>
    <s v="Low"/>
    <s v="No"/>
    <n v="-1.8800000000000011E-2"/>
  </r>
  <r>
    <n v="283"/>
    <x v="12"/>
    <n v="1"/>
    <n v="5"/>
    <b v="0"/>
    <n v="4"/>
    <n v="1"/>
    <n v="0.14000000000000001"/>
    <x v="15"/>
    <n v="0.5"/>
    <n v="0.29849999999999999"/>
    <n v="0"/>
    <n v="3"/>
    <n v="3"/>
    <s v="Spring"/>
    <s v="Thursday"/>
    <s v="Clear"/>
    <x v="0"/>
    <s v="Very Cold"/>
    <s v="Medium"/>
    <s v="Moderate"/>
    <s v="Working Day"/>
    <s v="Mostly Registered"/>
    <n v="0"/>
    <n v="100"/>
    <s v="No"/>
    <s v="Low"/>
    <s v="No"/>
    <n v="-1.8800000000000011E-2"/>
  </r>
  <r>
    <n v="284"/>
    <x v="12"/>
    <n v="1"/>
    <n v="6"/>
    <b v="0"/>
    <n v="4"/>
    <n v="1"/>
    <n v="0.12"/>
    <x v="19"/>
    <n v="0.54"/>
    <n v="0.1343"/>
    <n v="0"/>
    <n v="28"/>
    <n v="28"/>
    <s v="Spring"/>
    <s v="Thursday"/>
    <s v="Clear"/>
    <x v="1"/>
    <s v="Very Cold"/>
    <s v="Medium"/>
    <s v="Calm"/>
    <s v="Working Day"/>
    <s v="Mostly Registered"/>
    <n v="0"/>
    <n v="100"/>
    <s v="No"/>
    <s v="Low"/>
    <s v="No"/>
    <n v="3.15E-2"/>
  </r>
  <r>
    <n v="285"/>
    <x v="12"/>
    <n v="1"/>
    <n v="7"/>
    <b v="0"/>
    <n v="4"/>
    <n v="1"/>
    <n v="0.12"/>
    <x v="19"/>
    <n v="0.54"/>
    <n v="0.1343"/>
    <n v="0"/>
    <n v="72"/>
    <n v="72"/>
    <s v="Spring"/>
    <s v="Thursday"/>
    <s v="Clear"/>
    <x v="1"/>
    <s v="Very Cold"/>
    <s v="Medium"/>
    <s v="Calm"/>
    <s v="Working Day"/>
    <s v="Mostly Registered"/>
    <n v="0"/>
    <n v="100"/>
    <s v="Yes"/>
    <s v="Low"/>
    <s v="No"/>
    <n v="3.15E-2"/>
  </r>
  <r>
    <n v="286"/>
    <x v="12"/>
    <n v="1"/>
    <n v="8"/>
    <b v="0"/>
    <n v="4"/>
    <n v="1"/>
    <n v="0.14000000000000001"/>
    <x v="13"/>
    <n v="0.5"/>
    <n v="0.19400000000000001"/>
    <n v="5"/>
    <n v="197"/>
    <n v="202"/>
    <s v="Spring"/>
    <s v="Thursday"/>
    <s v="Clear"/>
    <x v="1"/>
    <s v="Very Cold"/>
    <s v="Medium"/>
    <s v="Moderate"/>
    <s v="Working Day"/>
    <s v="Mostly Registered"/>
    <n v="2.4752475247524748"/>
    <n v="97.524752475247524"/>
    <s v="Yes"/>
    <s v="Medium"/>
    <s v="No"/>
    <n v="-3.6000000000000199E-3"/>
  </r>
  <r>
    <n v="287"/>
    <x v="12"/>
    <n v="1"/>
    <n v="9"/>
    <b v="0"/>
    <n v="4"/>
    <n v="1"/>
    <n v="0.14000000000000001"/>
    <x v="15"/>
    <n v="0.5"/>
    <n v="0.32840000000000003"/>
    <n v="2"/>
    <n v="137"/>
    <n v="139"/>
    <s v="Spring"/>
    <s v="Thursday"/>
    <s v="Clear"/>
    <x v="1"/>
    <s v="Very Cold"/>
    <s v="Medium"/>
    <s v="Windy"/>
    <s v="Working Day"/>
    <s v="Mostly Registered"/>
    <n v="1.43884892086331"/>
    <n v="98.561151079136692"/>
    <s v="Yes"/>
    <s v="Medium"/>
    <s v="No"/>
    <n v="-1.8800000000000011E-2"/>
  </r>
  <r>
    <n v="288"/>
    <x v="12"/>
    <n v="1"/>
    <n v="10"/>
    <b v="0"/>
    <n v="4"/>
    <n v="2"/>
    <n v="0.16"/>
    <x v="13"/>
    <n v="0.5"/>
    <n v="0.35820000000000002"/>
    <n v="2"/>
    <n v="36"/>
    <n v="38"/>
    <s v="Spring"/>
    <s v="Thursday"/>
    <s v="Mist/Cloudy"/>
    <x v="1"/>
    <s v="Cold"/>
    <s v="Medium"/>
    <s v="Windy"/>
    <s v="Working Day"/>
    <s v="Mostly Registered"/>
    <n v="5.2631578947368416"/>
    <n v="94.73684210526315"/>
    <s v="No"/>
    <s v="Low"/>
    <s v="No"/>
    <n v="-2.360000000000001E-2"/>
  </r>
  <r>
    <n v="289"/>
    <x v="12"/>
    <n v="1"/>
    <n v="11"/>
    <b v="0"/>
    <n v="4"/>
    <n v="2"/>
    <n v="0.2"/>
    <x v="16"/>
    <n v="0.44"/>
    <n v="0.44779999999999998"/>
    <n v="4"/>
    <n v="33"/>
    <n v="37"/>
    <s v="Spring"/>
    <s v="Thursday"/>
    <s v="Mist/Cloudy"/>
    <x v="1"/>
    <s v="Cold"/>
    <s v="Medium"/>
    <s v="Windy"/>
    <s v="Working Day"/>
    <s v="Mostly Registered"/>
    <n v="10.810810810810811"/>
    <n v="89.189189189189193"/>
    <s v="No"/>
    <s v="Low"/>
    <s v="No"/>
    <n v="-3.3300000000000017E-2"/>
  </r>
  <r>
    <n v="290"/>
    <x v="12"/>
    <n v="1"/>
    <n v="12"/>
    <b v="0"/>
    <n v="4"/>
    <n v="1"/>
    <n v="0.2"/>
    <x v="16"/>
    <n v="0.44"/>
    <n v="0.41789999999999999"/>
    <n v="3"/>
    <n v="49"/>
    <n v="52"/>
    <s v="Spring"/>
    <s v="Thursday"/>
    <s v="Clear"/>
    <x v="2"/>
    <s v="Cold"/>
    <s v="Medium"/>
    <s v="Windy"/>
    <s v="Working Day"/>
    <s v="Mostly Registered"/>
    <n v="5.7692307692307692"/>
    <n v="94.230769230769226"/>
    <s v="No"/>
    <s v="Low"/>
    <s v="No"/>
    <n v="-3.3300000000000017E-2"/>
  </r>
  <r>
    <n v="291"/>
    <x v="12"/>
    <n v="1"/>
    <n v="13"/>
    <b v="0"/>
    <n v="4"/>
    <n v="1"/>
    <n v="0.22"/>
    <x v="12"/>
    <n v="0.41"/>
    <n v="0.44779999999999998"/>
    <n v="2"/>
    <n v="81"/>
    <n v="83"/>
    <s v="Spring"/>
    <s v="Thursday"/>
    <s v="Clear"/>
    <x v="2"/>
    <s v="Cold"/>
    <s v="Medium"/>
    <s v="Windy"/>
    <s v="Working Day"/>
    <s v="Mostly Registered"/>
    <n v="2.4096385542168681"/>
    <n v="97.590361445783131"/>
    <s v="No"/>
    <s v="Low"/>
    <s v="No"/>
    <n v="-2.2999999999999989E-2"/>
  </r>
  <r>
    <n v="292"/>
    <x v="12"/>
    <n v="1"/>
    <n v="14"/>
    <b v="0"/>
    <n v="4"/>
    <n v="1"/>
    <n v="0.22"/>
    <x v="12"/>
    <n v="0.41"/>
    <n v="0.3881"/>
    <n v="3"/>
    <n v="39"/>
    <n v="42"/>
    <s v="Spring"/>
    <s v="Thursday"/>
    <s v="Clear"/>
    <x v="2"/>
    <s v="Cold"/>
    <s v="Medium"/>
    <s v="Windy"/>
    <s v="Working Day"/>
    <s v="Mostly Registered"/>
    <n v="7.1428571428571423"/>
    <n v="92.857142857142861"/>
    <s v="No"/>
    <s v="Low"/>
    <s v="No"/>
    <n v="-2.2999999999999989E-2"/>
  </r>
  <r>
    <n v="293"/>
    <x v="12"/>
    <n v="1"/>
    <n v="15"/>
    <b v="0"/>
    <n v="4"/>
    <n v="1"/>
    <n v="0.24"/>
    <x v="11"/>
    <n v="0.38"/>
    <n v="0.29849999999999999"/>
    <n v="5"/>
    <n v="55"/>
    <n v="60"/>
    <s v="Spring"/>
    <s v="Thursday"/>
    <s v="Clear"/>
    <x v="2"/>
    <s v="Cold"/>
    <s v="Low"/>
    <s v="Moderate"/>
    <s v="Working Day"/>
    <s v="Mostly Registered"/>
    <n v="8.3333333333333321"/>
    <n v="91.666666666666657"/>
    <s v="No"/>
    <s v="Low"/>
    <s v="No"/>
    <n v="-2.789999999999998E-2"/>
  </r>
  <r>
    <n v="294"/>
    <x v="12"/>
    <n v="1"/>
    <n v="16"/>
    <b v="0"/>
    <n v="4"/>
    <n v="1"/>
    <n v="0.24"/>
    <x v="11"/>
    <n v="0.38"/>
    <n v="0.35820000000000002"/>
    <n v="2"/>
    <n v="76"/>
    <n v="78"/>
    <s v="Spring"/>
    <s v="Thursday"/>
    <s v="Clear"/>
    <x v="2"/>
    <s v="Cold"/>
    <s v="Low"/>
    <s v="Windy"/>
    <s v="Working Day"/>
    <s v="Mostly Registered"/>
    <n v="2.5641025641025639"/>
    <n v="97.435897435897431"/>
    <s v="No"/>
    <s v="Low"/>
    <s v="No"/>
    <n v="-2.789999999999998E-2"/>
  </r>
  <r>
    <n v="295"/>
    <x v="12"/>
    <n v="1"/>
    <n v="17"/>
    <b v="0"/>
    <n v="4"/>
    <n v="1"/>
    <n v="0.2"/>
    <x v="17"/>
    <n v="0.4"/>
    <n v="0.28360000000000002"/>
    <n v="4"/>
    <n v="158"/>
    <n v="162"/>
    <s v="Spring"/>
    <s v="Thursday"/>
    <s v="Clear"/>
    <x v="3"/>
    <s v="Cold"/>
    <s v="Medium"/>
    <s v="Moderate"/>
    <s v="Working Day"/>
    <s v="Mostly Registered"/>
    <n v="2.4691358024691361"/>
    <n v="97.53086419753086"/>
    <s v="Yes"/>
    <s v="Medium"/>
    <s v="No"/>
    <n v="-1.8200000000000022E-2"/>
  </r>
  <r>
    <n v="296"/>
    <x v="12"/>
    <n v="1"/>
    <n v="18"/>
    <b v="0"/>
    <n v="4"/>
    <n v="1"/>
    <n v="0.2"/>
    <x v="17"/>
    <n v="0.4"/>
    <n v="0.32840000000000003"/>
    <n v="3"/>
    <n v="141"/>
    <n v="144"/>
    <s v="Spring"/>
    <s v="Thursday"/>
    <s v="Clear"/>
    <x v="3"/>
    <s v="Cold"/>
    <s v="Medium"/>
    <s v="Windy"/>
    <s v="Working Day"/>
    <s v="Mostly Registered"/>
    <n v="2.083333333333333"/>
    <n v="97.916666666666657"/>
    <s v="Yes"/>
    <s v="Medium"/>
    <s v="No"/>
    <n v="-1.8200000000000022E-2"/>
  </r>
  <r>
    <n v="297"/>
    <x v="12"/>
    <n v="1"/>
    <n v="19"/>
    <b v="0"/>
    <n v="4"/>
    <n v="1"/>
    <n v="0.16"/>
    <x v="19"/>
    <n v="0.47"/>
    <n v="0.25369999999999998"/>
    <n v="1"/>
    <n v="98"/>
    <n v="99"/>
    <s v="Spring"/>
    <s v="Thursday"/>
    <s v="Clear"/>
    <x v="3"/>
    <s v="Cold"/>
    <s v="Medium"/>
    <s v="Moderate"/>
    <s v="Working Day"/>
    <s v="Mostly Registered"/>
    <n v="1.0101010101010099"/>
    <n v="98.98989898989899"/>
    <s v="Yes"/>
    <s v="Low"/>
    <s v="No"/>
    <n v="-8.5000000000000075E-3"/>
  </r>
  <r>
    <n v="298"/>
    <x v="12"/>
    <n v="1"/>
    <n v="20"/>
    <b v="0"/>
    <n v="4"/>
    <n v="1"/>
    <n v="0.16"/>
    <x v="19"/>
    <n v="0.47"/>
    <n v="0.22389999999999999"/>
    <n v="0"/>
    <n v="64"/>
    <n v="64"/>
    <s v="Spring"/>
    <s v="Thursday"/>
    <s v="Clear"/>
    <x v="3"/>
    <s v="Cold"/>
    <s v="Medium"/>
    <s v="Moderate"/>
    <s v="Working Day"/>
    <s v="Mostly Registered"/>
    <n v="0"/>
    <n v="100"/>
    <s v="No"/>
    <s v="Low"/>
    <s v="No"/>
    <n v="-8.5000000000000075E-3"/>
  </r>
  <r>
    <n v="299"/>
    <x v="12"/>
    <n v="1"/>
    <n v="21"/>
    <b v="0"/>
    <n v="4"/>
    <n v="1"/>
    <n v="0.14000000000000001"/>
    <x v="15"/>
    <n v="0.46"/>
    <n v="0.29849999999999999"/>
    <n v="0"/>
    <n v="40"/>
    <n v="40"/>
    <s v="Spring"/>
    <s v="Thursday"/>
    <s v="Clear"/>
    <x v="0"/>
    <s v="Very Cold"/>
    <s v="Medium"/>
    <s v="Moderate"/>
    <s v="Working Day"/>
    <s v="Mostly Registered"/>
    <n v="0"/>
    <n v="100"/>
    <s v="No"/>
    <s v="Low"/>
    <s v="No"/>
    <n v="-1.8800000000000011E-2"/>
  </r>
  <r>
    <n v="300"/>
    <x v="12"/>
    <n v="1"/>
    <n v="22"/>
    <b v="0"/>
    <n v="4"/>
    <n v="1"/>
    <n v="0.14000000000000001"/>
    <x v="15"/>
    <n v="0.46"/>
    <n v="0.32840000000000003"/>
    <n v="0"/>
    <n v="30"/>
    <n v="30"/>
    <s v="Spring"/>
    <s v="Thursday"/>
    <s v="Clear"/>
    <x v="0"/>
    <s v="Very Cold"/>
    <s v="Medium"/>
    <s v="Windy"/>
    <s v="Working Day"/>
    <s v="Mostly Registered"/>
    <n v="0"/>
    <n v="100"/>
    <s v="No"/>
    <s v="Low"/>
    <s v="No"/>
    <n v="-1.8800000000000011E-2"/>
  </r>
  <r>
    <n v="301"/>
    <x v="12"/>
    <n v="1"/>
    <n v="23"/>
    <b v="0"/>
    <n v="4"/>
    <n v="1"/>
    <n v="0.12"/>
    <x v="13"/>
    <n v="0.5"/>
    <n v="0.19400000000000001"/>
    <n v="1"/>
    <n v="14"/>
    <n v="15"/>
    <s v="Spring"/>
    <s v="Thursday"/>
    <s v="Clear"/>
    <x v="0"/>
    <s v="Very Cold"/>
    <s v="Medium"/>
    <s v="Moderate"/>
    <s v="Working Day"/>
    <s v="Mostly Registered"/>
    <n v="6.666666666666667"/>
    <n v="93.333333333333329"/>
    <s v="No"/>
    <s v="Low"/>
    <s v="No"/>
    <n v="1.6400000000000001E-2"/>
  </r>
  <r>
    <n v="302"/>
    <x v="13"/>
    <n v="1"/>
    <n v="0"/>
    <b v="0"/>
    <n v="5"/>
    <n v="1"/>
    <n v="0.12"/>
    <x v="13"/>
    <n v="0.5"/>
    <n v="0.19400000000000001"/>
    <n v="0"/>
    <n v="14"/>
    <n v="14"/>
    <s v="Spring"/>
    <s v="Friday"/>
    <s v="Clear"/>
    <x v="0"/>
    <s v="Very Cold"/>
    <s v="Medium"/>
    <s v="Moderate"/>
    <s v="Working Day"/>
    <s v="Mostly Registered"/>
    <n v="0"/>
    <n v="100"/>
    <s v="No"/>
    <s v="Low"/>
    <s v="No"/>
    <n v="1.6400000000000001E-2"/>
  </r>
  <r>
    <n v="303"/>
    <x v="13"/>
    <n v="1"/>
    <n v="1"/>
    <b v="0"/>
    <n v="5"/>
    <n v="1"/>
    <n v="0.1"/>
    <x v="15"/>
    <n v="0.54"/>
    <n v="0.16420000000000001"/>
    <n v="0"/>
    <n v="5"/>
    <n v="5"/>
    <s v="Spring"/>
    <s v="Friday"/>
    <s v="Clear"/>
    <x v="0"/>
    <s v="Very Cold"/>
    <s v="Medium"/>
    <s v="Moderate"/>
    <s v="Working Day"/>
    <s v="Mostly Registered"/>
    <n v="0"/>
    <n v="100"/>
    <s v="No"/>
    <s v="Low"/>
    <s v="No"/>
    <n v="2.12E-2"/>
  </r>
  <r>
    <n v="304"/>
    <x v="13"/>
    <n v="1"/>
    <n v="2"/>
    <b v="0"/>
    <n v="5"/>
    <n v="1"/>
    <n v="0.1"/>
    <x v="15"/>
    <n v="0.54"/>
    <n v="0.1343"/>
    <n v="0"/>
    <n v="1"/>
    <n v="1"/>
    <s v="Spring"/>
    <s v="Friday"/>
    <s v="Clear"/>
    <x v="0"/>
    <s v="Very Cold"/>
    <s v="Medium"/>
    <s v="Calm"/>
    <s v="Working Day"/>
    <s v="Mostly Registered"/>
    <n v="0"/>
    <n v="100"/>
    <s v="No"/>
    <s v="Low"/>
    <s v="No"/>
    <n v="2.12E-2"/>
  </r>
  <r>
    <n v="305"/>
    <x v="13"/>
    <n v="1"/>
    <n v="3"/>
    <b v="0"/>
    <n v="5"/>
    <n v="1"/>
    <n v="0.1"/>
    <x v="13"/>
    <n v="0.54"/>
    <n v="0.1045"/>
    <n v="0"/>
    <n v="1"/>
    <n v="1"/>
    <s v="Spring"/>
    <s v="Friday"/>
    <s v="Clear"/>
    <x v="0"/>
    <s v="Very Cold"/>
    <s v="Medium"/>
    <s v="Calm"/>
    <s v="Working Day"/>
    <s v="Mostly Registered"/>
    <n v="0"/>
    <n v="100"/>
    <s v="No"/>
    <s v="Low"/>
    <s v="No"/>
    <n v="3.6399999999999988E-2"/>
  </r>
  <r>
    <n v="306"/>
    <x v="13"/>
    <n v="1"/>
    <n v="5"/>
    <b v="0"/>
    <n v="5"/>
    <n v="1"/>
    <n v="0.1"/>
    <x v="13"/>
    <n v="0.54"/>
    <n v="8.9599999999999999E-2"/>
    <n v="0"/>
    <n v="8"/>
    <n v="8"/>
    <s v="Spring"/>
    <s v="Friday"/>
    <s v="Clear"/>
    <x v="0"/>
    <s v="Very Cold"/>
    <s v="Medium"/>
    <s v="Calm"/>
    <s v="Working Day"/>
    <s v="Mostly Registered"/>
    <n v="0"/>
    <n v="100"/>
    <s v="No"/>
    <s v="Low"/>
    <s v="No"/>
    <n v="3.6399999999999988E-2"/>
  </r>
  <r>
    <n v="307"/>
    <x v="13"/>
    <n v="1"/>
    <n v="6"/>
    <b v="0"/>
    <n v="5"/>
    <n v="1"/>
    <n v="0.1"/>
    <x v="17"/>
    <n v="0.54"/>
    <n v="0"/>
    <n v="0"/>
    <n v="17"/>
    <n v="17"/>
    <s v="Spring"/>
    <s v="Friday"/>
    <s v="Clear"/>
    <x v="1"/>
    <s v="Very Cold"/>
    <s v="Medium"/>
    <s v="Calm"/>
    <s v="Working Day"/>
    <s v="Mostly Registered"/>
    <n v="0"/>
    <n v="100"/>
    <s v="No"/>
    <s v="Low"/>
    <s v="No"/>
    <n v="8.1799999999999984E-2"/>
  </r>
  <r>
    <n v="308"/>
    <x v="13"/>
    <n v="1"/>
    <n v="7"/>
    <b v="0"/>
    <n v="5"/>
    <n v="1"/>
    <n v="0.1"/>
    <x v="15"/>
    <n v="0.74"/>
    <n v="0.16420000000000001"/>
    <n v="0"/>
    <n v="70"/>
    <n v="70"/>
    <s v="Spring"/>
    <s v="Friday"/>
    <s v="Clear"/>
    <x v="1"/>
    <s v="Very Cold"/>
    <s v="High"/>
    <s v="Moderate"/>
    <s v="Working Day"/>
    <s v="Mostly Registered"/>
    <n v="0"/>
    <n v="100"/>
    <s v="Yes"/>
    <s v="Low"/>
    <s v="No"/>
    <n v="2.12E-2"/>
  </r>
  <r>
    <n v="309"/>
    <x v="13"/>
    <n v="1"/>
    <n v="8"/>
    <b v="0"/>
    <n v="5"/>
    <n v="1"/>
    <n v="0.12"/>
    <x v="16"/>
    <n v="0.68"/>
    <n v="0"/>
    <n v="2"/>
    <n v="156"/>
    <n v="158"/>
    <s v="Spring"/>
    <s v="Friday"/>
    <s v="Clear"/>
    <x v="1"/>
    <s v="Very Cold"/>
    <s v="Medium"/>
    <s v="Calm"/>
    <s v="Working Day"/>
    <s v="Mostly Registered"/>
    <n v="1.2658227848101271"/>
    <n v="98.734177215189874"/>
    <s v="Yes"/>
    <s v="Medium"/>
    <s v="No"/>
    <n v="4.6699999999999992E-2"/>
  </r>
  <r>
    <n v="310"/>
    <x v="13"/>
    <n v="1"/>
    <n v="9"/>
    <b v="0"/>
    <n v="5"/>
    <n v="1"/>
    <n v="0.14000000000000001"/>
    <x v="19"/>
    <n v="0.69"/>
    <n v="0.1343"/>
    <n v="0"/>
    <n v="117"/>
    <n v="117"/>
    <s v="Spring"/>
    <s v="Friday"/>
    <s v="Clear"/>
    <x v="1"/>
    <s v="Very Cold"/>
    <s v="Medium"/>
    <s v="Calm"/>
    <s v="Working Day"/>
    <s v="Mostly Registered"/>
    <n v="0"/>
    <n v="100"/>
    <s v="Yes"/>
    <s v="Medium"/>
    <s v="No"/>
    <n v="1.1499999999999981E-2"/>
  </r>
  <r>
    <n v="311"/>
    <x v="13"/>
    <n v="1"/>
    <n v="10"/>
    <b v="0"/>
    <n v="5"/>
    <n v="1"/>
    <n v="0.18"/>
    <x v="17"/>
    <n v="0.55000000000000004"/>
    <n v="0.19400000000000001"/>
    <n v="4"/>
    <n v="40"/>
    <n v="44"/>
    <s v="Spring"/>
    <s v="Friday"/>
    <s v="Clear"/>
    <x v="1"/>
    <s v="Cold"/>
    <s v="Medium"/>
    <s v="Moderate"/>
    <s v="Working Day"/>
    <s v="Mostly Registered"/>
    <n v="9.0909090909090917"/>
    <n v="90.909090909090907"/>
    <s v="No"/>
    <s v="Low"/>
    <s v="No"/>
    <n v="1.799999999999996E-3"/>
  </r>
  <r>
    <n v="312"/>
    <x v="13"/>
    <n v="1"/>
    <n v="11"/>
    <b v="0"/>
    <n v="5"/>
    <n v="1"/>
    <n v="0.18"/>
    <x v="16"/>
    <n v="0.51"/>
    <n v="0.28360000000000002"/>
    <n v="6"/>
    <n v="47"/>
    <n v="53"/>
    <s v="Spring"/>
    <s v="Friday"/>
    <s v="Clear"/>
    <x v="1"/>
    <s v="Cold"/>
    <s v="Medium"/>
    <s v="Moderate"/>
    <s v="Working Day"/>
    <s v="Mostly Registered"/>
    <n v="11.32075471698113"/>
    <n v="88.679245283018872"/>
    <s v="No"/>
    <s v="Low"/>
    <s v="No"/>
    <n v="-1.330000000000001E-2"/>
  </r>
  <r>
    <n v="313"/>
    <x v="13"/>
    <n v="1"/>
    <n v="12"/>
    <b v="0"/>
    <n v="5"/>
    <n v="1"/>
    <n v="0.2"/>
    <x v="12"/>
    <n v="0.44"/>
    <n v="0.25369999999999998"/>
    <n v="2"/>
    <n v="59"/>
    <n v="61"/>
    <s v="Spring"/>
    <s v="Friday"/>
    <s v="Clear"/>
    <x v="2"/>
    <s v="Cold"/>
    <s v="Medium"/>
    <s v="Moderate"/>
    <s v="Working Day"/>
    <s v="Mostly Registered"/>
    <n v="3.278688524590164"/>
    <n v="96.721311475409834"/>
    <s v="No"/>
    <s v="Low"/>
    <s v="No"/>
    <n v="-3.0000000000000031E-3"/>
  </r>
  <r>
    <n v="314"/>
    <x v="13"/>
    <n v="1"/>
    <n v="13"/>
    <b v="0"/>
    <n v="5"/>
    <n v="1"/>
    <n v="0.22"/>
    <x v="12"/>
    <n v="0.37"/>
    <n v="0.3881"/>
    <n v="4"/>
    <n v="73"/>
    <n v="77"/>
    <s v="Spring"/>
    <s v="Friday"/>
    <s v="Clear"/>
    <x v="2"/>
    <s v="Cold"/>
    <s v="Low"/>
    <s v="Windy"/>
    <s v="Working Day"/>
    <s v="Mostly Registered"/>
    <n v="5.1948051948051948"/>
    <n v="94.805194805194802"/>
    <s v="No"/>
    <s v="Low"/>
    <s v="No"/>
    <n v="-2.2999999999999989E-2"/>
  </r>
  <r>
    <n v="315"/>
    <x v="13"/>
    <n v="1"/>
    <n v="14"/>
    <b v="0"/>
    <n v="5"/>
    <n v="1"/>
    <n v="0.22"/>
    <x v="11"/>
    <n v="0.41"/>
    <n v="0.28360000000000002"/>
    <n v="5"/>
    <n v="59"/>
    <n v="64"/>
    <s v="Spring"/>
    <s v="Friday"/>
    <s v="Clear"/>
    <x v="2"/>
    <s v="Cold"/>
    <s v="Medium"/>
    <s v="Moderate"/>
    <s v="Working Day"/>
    <s v="Mostly Registered"/>
    <n v="7.8125"/>
    <n v="92.1875"/>
    <s v="No"/>
    <s v="Low"/>
    <s v="No"/>
    <n v="-7.8999999999999904E-3"/>
  </r>
  <r>
    <n v="316"/>
    <x v="13"/>
    <n v="1"/>
    <n v="15"/>
    <b v="0"/>
    <n v="5"/>
    <n v="1"/>
    <n v="0.24"/>
    <x v="18"/>
    <n v="0.38"/>
    <n v="0.16420000000000001"/>
    <n v="9"/>
    <n v="59"/>
    <n v="68"/>
    <s v="Spring"/>
    <s v="Friday"/>
    <s v="Clear"/>
    <x v="2"/>
    <s v="Cold"/>
    <s v="Low"/>
    <s v="Moderate"/>
    <s v="Working Day"/>
    <s v="Mostly Registered"/>
    <n v="13.23529411764706"/>
    <n v="86.764705882352942"/>
    <s v="No"/>
    <s v="Low"/>
    <s v="No"/>
    <n v="2.4000000000000128E-3"/>
  </r>
  <r>
    <n v="317"/>
    <x v="13"/>
    <n v="1"/>
    <n v="16"/>
    <b v="0"/>
    <n v="5"/>
    <n v="1"/>
    <n v="0.22"/>
    <x v="18"/>
    <n v="0.41"/>
    <n v="0.1045"/>
    <n v="3"/>
    <n v="87"/>
    <n v="90"/>
    <s v="Spring"/>
    <s v="Friday"/>
    <s v="Clear"/>
    <x v="2"/>
    <s v="Cold"/>
    <s v="Medium"/>
    <s v="Calm"/>
    <s v="Working Day"/>
    <s v="Mostly Registered"/>
    <n v="3.333333333333333"/>
    <n v="96.666666666666671"/>
    <s v="No"/>
    <s v="Low"/>
    <s v="No"/>
    <n v="2.24E-2"/>
  </r>
  <r>
    <n v="318"/>
    <x v="13"/>
    <n v="1"/>
    <n v="17"/>
    <b v="0"/>
    <n v="5"/>
    <n v="1"/>
    <n v="0.22"/>
    <x v="10"/>
    <n v="0.41"/>
    <n v="0.16420000000000001"/>
    <n v="4"/>
    <n v="155"/>
    <n v="159"/>
    <s v="Spring"/>
    <s v="Friday"/>
    <s v="Clear"/>
    <x v="3"/>
    <s v="Cold"/>
    <s v="Medium"/>
    <s v="Moderate"/>
    <s v="Working Day"/>
    <s v="Mostly Registered"/>
    <n v="2.5157232704402519"/>
    <n v="97.484276729559753"/>
    <s v="Yes"/>
    <s v="Medium"/>
    <s v="No"/>
    <n v="7.3000000000000009E-3"/>
  </r>
  <r>
    <n v="319"/>
    <x v="13"/>
    <n v="1"/>
    <n v="18"/>
    <b v="0"/>
    <n v="5"/>
    <n v="1"/>
    <n v="0.2"/>
    <x v="2"/>
    <n v="0.47"/>
    <n v="0"/>
    <n v="5"/>
    <n v="134"/>
    <n v="139"/>
    <s v="Spring"/>
    <s v="Friday"/>
    <s v="Clear"/>
    <x v="3"/>
    <s v="Cold"/>
    <s v="Medium"/>
    <s v="Calm"/>
    <s v="Working Day"/>
    <s v="Mostly Registered"/>
    <n v="3.5971223021582732"/>
    <n v="96.402877697841731"/>
    <s v="Yes"/>
    <s v="Medium"/>
    <s v="No"/>
    <n v="5.7599999999999978E-2"/>
  </r>
  <r>
    <n v="320"/>
    <x v="13"/>
    <n v="1"/>
    <n v="19"/>
    <b v="0"/>
    <n v="5"/>
    <n v="1"/>
    <n v="0.16"/>
    <x v="12"/>
    <n v="0.59"/>
    <n v="8.9599999999999999E-2"/>
    <n v="3"/>
    <n v="89"/>
    <n v="92"/>
    <s v="Spring"/>
    <s v="Friday"/>
    <s v="Clear"/>
    <x v="3"/>
    <s v="Cold"/>
    <s v="Medium"/>
    <s v="Calm"/>
    <s v="Working Day"/>
    <s v="Mostly Registered"/>
    <n v="3.2608695652173911"/>
    <n v="96.739130434782609"/>
    <s v="Yes"/>
    <s v="Low"/>
    <s v="No"/>
    <n v="3.7000000000000012E-2"/>
  </r>
  <r>
    <n v="321"/>
    <x v="13"/>
    <n v="1"/>
    <n v="20"/>
    <b v="0"/>
    <n v="5"/>
    <n v="1"/>
    <n v="0.18"/>
    <x v="18"/>
    <n v="0.59"/>
    <n v="0"/>
    <n v="0"/>
    <n v="68"/>
    <n v="68"/>
    <s v="Spring"/>
    <s v="Friday"/>
    <s v="Clear"/>
    <x v="3"/>
    <s v="Cold"/>
    <s v="Medium"/>
    <s v="Calm"/>
    <s v="Working Day"/>
    <s v="Mostly Registered"/>
    <n v="0"/>
    <n v="100"/>
    <s v="No"/>
    <s v="Low"/>
    <s v="No"/>
    <n v="6.2400000000000011E-2"/>
  </r>
  <r>
    <n v="322"/>
    <x v="13"/>
    <n v="1"/>
    <n v="21"/>
    <b v="0"/>
    <n v="5"/>
    <n v="1"/>
    <n v="0.16"/>
    <x v="10"/>
    <n v="0.69"/>
    <n v="0"/>
    <n v="4"/>
    <n v="48"/>
    <n v="52"/>
    <s v="Spring"/>
    <s v="Friday"/>
    <s v="Clear"/>
    <x v="0"/>
    <s v="Cold"/>
    <s v="Medium"/>
    <s v="Calm"/>
    <s v="Working Day"/>
    <s v="Mostly Registered"/>
    <n v="7.6923076923076934"/>
    <n v="92.307692307692307"/>
    <s v="No"/>
    <s v="Low"/>
    <s v="No"/>
    <n v="6.7299999999999999E-2"/>
  </r>
  <r>
    <n v="323"/>
    <x v="13"/>
    <n v="1"/>
    <n v="22"/>
    <b v="0"/>
    <n v="5"/>
    <n v="2"/>
    <n v="0.16"/>
    <x v="10"/>
    <n v="0.69"/>
    <n v="0"/>
    <n v="2"/>
    <n v="34"/>
    <n v="36"/>
    <s v="Spring"/>
    <s v="Friday"/>
    <s v="Mist/Cloudy"/>
    <x v="0"/>
    <s v="Cold"/>
    <s v="Medium"/>
    <s v="Calm"/>
    <s v="Working Day"/>
    <s v="Mostly Registered"/>
    <n v="5.5555555555555554"/>
    <n v="94.444444444444443"/>
    <s v="No"/>
    <s v="Low"/>
    <s v="No"/>
    <n v="6.7299999999999999E-2"/>
  </r>
  <r>
    <n v="324"/>
    <x v="13"/>
    <n v="1"/>
    <n v="23"/>
    <b v="0"/>
    <n v="5"/>
    <n v="2"/>
    <n v="0.18"/>
    <x v="18"/>
    <n v="0.55000000000000004"/>
    <n v="0"/>
    <n v="1"/>
    <n v="26"/>
    <n v="27"/>
    <s v="Spring"/>
    <s v="Friday"/>
    <s v="Mist/Cloudy"/>
    <x v="0"/>
    <s v="Cold"/>
    <s v="Medium"/>
    <s v="Calm"/>
    <s v="Working Day"/>
    <s v="Mostly Registered"/>
    <n v="3.7037037037037028"/>
    <n v="96.296296296296291"/>
    <s v="No"/>
    <s v="Low"/>
    <s v="No"/>
    <n v="6.2400000000000011E-2"/>
  </r>
  <r>
    <n v="325"/>
    <x v="14"/>
    <n v="1"/>
    <n v="0"/>
    <b v="0"/>
    <n v="6"/>
    <n v="1"/>
    <n v="0.18"/>
    <x v="18"/>
    <n v="0.55000000000000004"/>
    <n v="0"/>
    <n v="3"/>
    <n v="25"/>
    <n v="28"/>
    <s v="Spring"/>
    <s v="Saturday"/>
    <s v="Clear"/>
    <x v="0"/>
    <s v="Cold"/>
    <s v="Medium"/>
    <s v="Calm"/>
    <s v="Working Day"/>
    <s v="Mostly Registered"/>
    <n v="10.71428571428571"/>
    <n v="89.285714285714292"/>
    <s v="No"/>
    <s v="Low"/>
    <s v="Yes"/>
    <n v="6.2400000000000011E-2"/>
  </r>
  <r>
    <n v="326"/>
    <x v="14"/>
    <n v="1"/>
    <n v="1"/>
    <b v="0"/>
    <n v="6"/>
    <n v="2"/>
    <n v="0.16"/>
    <x v="12"/>
    <n v="0.59"/>
    <n v="8.9599999999999999E-2"/>
    <n v="2"/>
    <n v="18"/>
    <n v="20"/>
    <s v="Spring"/>
    <s v="Saturday"/>
    <s v="Mist/Cloudy"/>
    <x v="0"/>
    <s v="Cold"/>
    <s v="Medium"/>
    <s v="Calm"/>
    <s v="Working Day"/>
    <s v="Mostly Registered"/>
    <n v="10"/>
    <n v="90"/>
    <s v="No"/>
    <s v="Low"/>
    <s v="Yes"/>
    <n v="3.7000000000000012E-2"/>
  </r>
  <r>
    <n v="327"/>
    <x v="14"/>
    <n v="1"/>
    <n v="2"/>
    <b v="0"/>
    <n v="6"/>
    <n v="2"/>
    <n v="0.16"/>
    <x v="12"/>
    <n v="0.59"/>
    <n v="8.9599999999999999E-2"/>
    <n v="0"/>
    <n v="12"/>
    <n v="12"/>
    <s v="Spring"/>
    <s v="Saturday"/>
    <s v="Mist/Cloudy"/>
    <x v="0"/>
    <s v="Cold"/>
    <s v="Medium"/>
    <s v="Calm"/>
    <s v="Working Day"/>
    <s v="Mostly Registered"/>
    <n v="0"/>
    <n v="100"/>
    <s v="No"/>
    <s v="Low"/>
    <s v="Yes"/>
    <n v="3.7000000000000012E-2"/>
  </r>
  <r>
    <n v="328"/>
    <x v="14"/>
    <n v="1"/>
    <n v="3"/>
    <b v="0"/>
    <n v="6"/>
    <n v="2"/>
    <n v="0.16"/>
    <x v="10"/>
    <n v="0.59"/>
    <n v="0"/>
    <n v="1"/>
    <n v="7"/>
    <n v="8"/>
    <s v="Spring"/>
    <s v="Saturday"/>
    <s v="Mist/Cloudy"/>
    <x v="0"/>
    <s v="Cold"/>
    <s v="Medium"/>
    <s v="Calm"/>
    <s v="Working Day"/>
    <s v="Mostly Registered"/>
    <n v="12.5"/>
    <n v="87.5"/>
    <s v="No"/>
    <s v="Low"/>
    <s v="Yes"/>
    <n v="6.7299999999999999E-2"/>
  </r>
  <r>
    <n v="329"/>
    <x v="14"/>
    <n v="1"/>
    <n v="4"/>
    <b v="0"/>
    <n v="6"/>
    <n v="2"/>
    <n v="0.16"/>
    <x v="10"/>
    <n v="0.59"/>
    <n v="0"/>
    <n v="0"/>
    <n v="5"/>
    <n v="5"/>
    <s v="Spring"/>
    <s v="Saturday"/>
    <s v="Mist/Cloudy"/>
    <x v="0"/>
    <s v="Cold"/>
    <s v="Medium"/>
    <s v="Calm"/>
    <s v="Working Day"/>
    <s v="Mostly Registered"/>
    <n v="0"/>
    <n v="100"/>
    <s v="No"/>
    <s v="Low"/>
    <s v="Yes"/>
    <n v="6.7299999999999999E-2"/>
  </r>
  <r>
    <n v="330"/>
    <x v="14"/>
    <n v="1"/>
    <n v="5"/>
    <b v="0"/>
    <n v="6"/>
    <n v="1"/>
    <n v="0.16"/>
    <x v="10"/>
    <n v="0.59"/>
    <n v="0"/>
    <n v="0"/>
    <n v="1"/>
    <n v="1"/>
    <s v="Spring"/>
    <s v="Saturday"/>
    <s v="Clear"/>
    <x v="0"/>
    <s v="Cold"/>
    <s v="Medium"/>
    <s v="Calm"/>
    <s v="Working Day"/>
    <s v="Mostly Registered"/>
    <n v="0"/>
    <n v="100"/>
    <s v="No"/>
    <s v="Low"/>
    <s v="Yes"/>
    <n v="6.7299999999999999E-2"/>
  </r>
  <r>
    <n v="331"/>
    <x v="14"/>
    <n v="1"/>
    <n v="6"/>
    <b v="0"/>
    <n v="6"/>
    <n v="1"/>
    <n v="0.14000000000000001"/>
    <x v="16"/>
    <n v="0.63"/>
    <n v="0.1045"/>
    <n v="1"/>
    <n v="2"/>
    <n v="3"/>
    <s v="Spring"/>
    <s v="Saturday"/>
    <s v="Clear"/>
    <x v="1"/>
    <s v="Very Cold"/>
    <s v="Medium"/>
    <s v="Calm"/>
    <s v="Working Day"/>
    <s v="Mostly Registered"/>
    <n v="33.333333333333329"/>
    <n v="66.666666666666657"/>
    <s v="No"/>
    <s v="Low"/>
    <s v="Yes"/>
    <n v="2.669999999999997E-2"/>
  </r>
  <r>
    <n v="332"/>
    <x v="14"/>
    <n v="1"/>
    <n v="7"/>
    <b v="0"/>
    <n v="6"/>
    <n v="1"/>
    <n v="0.14000000000000001"/>
    <x v="11"/>
    <n v="0.63"/>
    <n v="0"/>
    <n v="1"/>
    <n v="9"/>
    <n v="10"/>
    <s v="Spring"/>
    <s v="Saturday"/>
    <s v="Clear"/>
    <x v="1"/>
    <s v="Very Cold"/>
    <s v="Medium"/>
    <s v="Calm"/>
    <s v="Working Day"/>
    <s v="Mostly Registered"/>
    <n v="10"/>
    <n v="90"/>
    <s v="Yes"/>
    <s v="Low"/>
    <s v="Yes"/>
    <n v="7.2099999999999997E-2"/>
  </r>
  <r>
    <n v="333"/>
    <x v="14"/>
    <n v="1"/>
    <n v="8"/>
    <b v="0"/>
    <n v="6"/>
    <n v="1"/>
    <n v="0.14000000000000001"/>
    <x v="19"/>
    <n v="0.63"/>
    <n v="0.1343"/>
    <n v="1"/>
    <n v="22"/>
    <n v="23"/>
    <s v="Spring"/>
    <s v="Saturday"/>
    <s v="Clear"/>
    <x v="1"/>
    <s v="Very Cold"/>
    <s v="Medium"/>
    <s v="Calm"/>
    <s v="Working Day"/>
    <s v="Mostly Registered"/>
    <n v="4.3478260869565224"/>
    <n v="95.652173913043484"/>
    <s v="Yes"/>
    <s v="Low"/>
    <s v="Yes"/>
    <n v="1.1499999999999981E-2"/>
  </r>
  <r>
    <n v="334"/>
    <x v="14"/>
    <n v="1"/>
    <n v="9"/>
    <b v="0"/>
    <n v="6"/>
    <n v="1"/>
    <n v="0.16"/>
    <x v="17"/>
    <n v="0.64"/>
    <n v="0.1343"/>
    <n v="2"/>
    <n v="31"/>
    <n v="33"/>
    <s v="Spring"/>
    <s v="Saturday"/>
    <s v="Clear"/>
    <x v="1"/>
    <s v="Cold"/>
    <s v="Medium"/>
    <s v="Calm"/>
    <s v="Working Day"/>
    <s v="Mostly Registered"/>
    <n v="6.0606060606060614"/>
    <n v="93.939393939393938"/>
    <s v="Yes"/>
    <s v="Low"/>
    <s v="Yes"/>
    <n v="2.179999999999999E-2"/>
  </r>
  <r>
    <n v="335"/>
    <x v="14"/>
    <n v="1"/>
    <n v="10"/>
    <b v="0"/>
    <n v="6"/>
    <n v="1"/>
    <n v="0.18"/>
    <x v="12"/>
    <n v="0.59"/>
    <n v="0.16420000000000001"/>
    <n v="2"/>
    <n v="57"/>
    <n v="59"/>
    <s v="Spring"/>
    <s v="Saturday"/>
    <s v="Clear"/>
    <x v="1"/>
    <s v="Cold"/>
    <s v="Medium"/>
    <s v="Moderate"/>
    <s v="Working Day"/>
    <s v="Mostly Registered"/>
    <n v="3.3898305084745761"/>
    <n v="96.610169491525426"/>
    <s v="No"/>
    <s v="Low"/>
    <s v="Yes"/>
    <n v="1.7000000000000019E-2"/>
  </r>
  <r>
    <n v="336"/>
    <x v="14"/>
    <n v="1"/>
    <n v="11"/>
    <b v="0"/>
    <n v="6"/>
    <n v="1"/>
    <n v="0.2"/>
    <x v="12"/>
    <n v="0.55000000000000004"/>
    <n v="0.22389999999999999"/>
    <n v="18"/>
    <n v="54"/>
    <n v="72"/>
    <s v="Spring"/>
    <s v="Saturday"/>
    <s v="Clear"/>
    <x v="1"/>
    <s v="Cold"/>
    <s v="Medium"/>
    <s v="Moderate"/>
    <s v="Working Day"/>
    <s v="Mostly Registered"/>
    <n v="25"/>
    <n v="75"/>
    <s v="No"/>
    <s v="Low"/>
    <s v="Yes"/>
    <n v="-3.0000000000000031E-3"/>
  </r>
  <r>
    <n v="337"/>
    <x v="14"/>
    <n v="1"/>
    <n v="12"/>
    <b v="0"/>
    <n v="6"/>
    <n v="1"/>
    <n v="0.24"/>
    <x v="10"/>
    <n v="0.48"/>
    <n v="0.22389999999999999"/>
    <n v="15"/>
    <n v="74"/>
    <n v="89"/>
    <s v="Spring"/>
    <s v="Saturday"/>
    <s v="Clear"/>
    <x v="2"/>
    <s v="Cold"/>
    <s v="Medium"/>
    <s v="Moderate"/>
    <s v="Working Day"/>
    <s v="Mostly Registered"/>
    <n v="16.853932584269661"/>
    <n v="83.146067415730343"/>
    <s v="No"/>
    <s v="Low"/>
    <s v="Yes"/>
    <n v="-1.2699999999999991E-2"/>
  </r>
  <r>
    <n v="338"/>
    <x v="14"/>
    <n v="1"/>
    <n v="13"/>
    <b v="0"/>
    <n v="6"/>
    <n v="1"/>
    <n v="0.28000000000000003"/>
    <x v="2"/>
    <n v="0.38"/>
    <n v="0.29849999999999999"/>
    <n v="21"/>
    <n v="80"/>
    <n v="101"/>
    <s v="Spring"/>
    <s v="Saturday"/>
    <s v="Clear"/>
    <x v="2"/>
    <s v="Mild"/>
    <s v="Low"/>
    <s v="Moderate"/>
    <s v="Working Day"/>
    <s v="Mostly Registered"/>
    <n v="20.792079207920789"/>
    <n v="79.207920792079207"/>
    <s v="No"/>
    <s v="Medium"/>
    <s v="Yes"/>
    <n v="-2.2400000000000031E-2"/>
  </r>
  <r>
    <n v="339"/>
    <x v="14"/>
    <n v="1"/>
    <n v="14"/>
    <b v="0"/>
    <n v="6"/>
    <n v="1"/>
    <n v="0.3"/>
    <x v="0"/>
    <n v="0.39"/>
    <n v="0.28360000000000002"/>
    <n v="26"/>
    <n v="92"/>
    <n v="118"/>
    <s v="Spring"/>
    <s v="Saturday"/>
    <s v="Clear"/>
    <x v="2"/>
    <s v="Mild"/>
    <s v="Low"/>
    <s v="Moderate"/>
    <s v="Working Day"/>
    <s v="Mostly Registered"/>
    <n v="22.03389830508474"/>
    <n v="77.966101694915253"/>
    <s v="No"/>
    <s v="Medium"/>
    <s v="Yes"/>
    <n v="-1.21E-2"/>
  </r>
  <r>
    <n v="340"/>
    <x v="14"/>
    <n v="1"/>
    <n v="15"/>
    <b v="0"/>
    <n v="6"/>
    <n v="2"/>
    <n v="0.32"/>
    <x v="20"/>
    <n v="0.36"/>
    <n v="0.19400000000000001"/>
    <n v="21"/>
    <n v="108"/>
    <n v="129"/>
    <s v="Spring"/>
    <s v="Saturday"/>
    <s v="Mist/Cloudy"/>
    <x v="2"/>
    <s v="Mild"/>
    <s v="Low"/>
    <s v="Moderate"/>
    <s v="Working Day"/>
    <s v="Mostly Registered"/>
    <n v="16.279069767441861"/>
    <n v="83.720930232558146"/>
    <s v="No"/>
    <s v="Medium"/>
    <s v="Yes"/>
    <n v="-1.800000000000024E-3"/>
  </r>
  <r>
    <n v="341"/>
    <x v="14"/>
    <n v="1"/>
    <n v="16"/>
    <b v="0"/>
    <n v="6"/>
    <n v="2"/>
    <n v="0.34"/>
    <x v="5"/>
    <n v="0.34"/>
    <n v="0.19400000000000001"/>
    <n v="33"/>
    <n v="95"/>
    <n v="128"/>
    <s v="Spring"/>
    <s v="Saturday"/>
    <s v="Mist/Cloudy"/>
    <x v="2"/>
    <s v="Mild"/>
    <s v="Low"/>
    <s v="Moderate"/>
    <s v="Working Day"/>
    <s v="Mostly Registered"/>
    <n v="25.78125"/>
    <n v="74.21875"/>
    <s v="No"/>
    <s v="Medium"/>
    <s v="Yes"/>
    <n v="-6.7000000000000393E-3"/>
  </r>
  <r>
    <n v="342"/>
    <x v="14"/>
    <n v="1"/>
    <n v="17"/>
    <b v="0"/>
    <n v="6"/>
    <n v="2"/>
    <n v="0.32"/>
    <x v="24"/>
    <n v="0.36"/>
    <n v="0.28360000000000002"/>
    <n v="29"/>
    <n v="54"/>
    <n v="83"/>
    <s v="Spring"/>
    <s v="Saturday"/>
    <s v="Mist/Cloudy"/>
    <x v="3"/>
    <s v="Mild"/>
    <s v="Low"/>
    <s v="Moderate"/>
    <s v="Working Day"/>
    <s v="Mostly Registered"/>
    <n v="34.939759036144579"/>
    <n v="65.060240963855421"/>
    <s v="Yes"/>
    <s v="Low"/>
    <s v="Yes"/>
    <n v="-1.7000000000000019E-2"/>
  </r>
  <r>
    <n v="343"/>
    <x v="14"/>
    <n v="1"/>
    <n v="18"/>
    <b v="0"/>
    <n v="6"/>
    <n v="2"/>
    <n v="0.3"/>
    <x v="0"/>
    <n v="0.45"/>
    <n v="0.25369999999999998"/>
    <n v="15"/>
    <n v="69"/>
    <n v="84"/>
    <s v="Spring"/>
    <s v="Saturday"/>
    <s v="Mist/Cloudy"/>
    <x v="3"/>
    <s v="Mild"/>
    <s v="Medium"/>
    <s v="Moderate"/>
    <s v="Working Day"/>
    <s v="Mostly Registered"/>
    <n v="17.857142857142861"/>
    <n v="82.142857142857139"/>
    <s v="Yes"/>
    <s v="Low"/>
    <s v="Yes"/>
    <n v="-1.21E-2"/>
  </r>
  <r>
    <n v="344"/>
    <x v="14"/>
    <n v="1"/>
    <n v="19"/>
    <b v="0"/>
    <n v="6"/>
    <n v="2"/>
    <n v="0.32"/>
    <x v="24"/>
    <n v="0.39"/>
    <n v="0.25369999999999998"/>
    <n v="14"/>
    <n v="60"/>
    <n v="74"/>
    <s v="Spring"/>
    <s v="Saturday"/>
    <s v="Mist/Cloudy"/>
    <x v="3"/>
    <s v="Mild"/>
    <s v="Low"/>
    <s v="Moderate"/>
    <s v="Working Day"/>
    <s v="Mostly Registered"/>
    <n v="18.918918918918919"/>
    <n v="81.081081081081081"/>
    <s v="Yes"/>
    <s v="Low"/>
    <s v="Yes"/>
    <n v="-1.7000000000000019E-2"/>
  </r>
  <r>
    <n v="345"/>
    <x v="14"/>
    <n v="1"/>
    <n v="20"/>
    <b v="0"/>
    <n v="6"/>
    <n v="2"/>
    <n v="0.32"/>
    <x v="24"/>
    <n v="0.39"/>
    <n v="0.25369999999999998"/>
    <n v="6"/>
    <n v="35"/>
    <n v="41"/>
    <s v="Spring"/>
    <s v="Saturday"/>
    <s v="Mist/Cloudy"/>
    <x v="3"/>
    <s v="Mild"/>
    <s v="Low"/>
    <s v="Moderate"/>
    <s v="Working Day"/>
    <s v="Mostly Registered"/>
    <n v="14.63414634146341"/>
    <n v="85.365853658536579"/>
    <s v="No"/>
    <s v="Low"/>
    <s v="Yes"/>
    <n v="-1.7000000000000019E-2"/>
  </r>
  <r>
    <n v="346"/>
    <x v="14"/>
    <n v="1"/>
    <n v="21"/>
    <b v="0"/>
    <n v="6"/>
    <n v="2"/>
    <n v="0.32"/>
    <x v="24"/>
    <n v="0.39"/>
    <n v="0.22389999999999999"/>
    <n v="6"/>
    <n v="51"/>
    <n v="57"/>
    <s v="Spring"/>
    <s v="Saturday"/>
    <s v="Mist/Cloudy"/>
    <x v="0"/>
    <s v="Mild"/>
    <s v="Low"/>
    <s v="Moderate"/>
    <s v="Working Day"/>
    <s v="Mostly Registered"/>
    <n v="10.52631578947368"/>
    <n v="89.473684210526315"/>
    <s v="No"/>
    <s v="Low"/>
    <s v="Yes"/>
    <n v="-1.7000000000000019E-2"/>
  </r>
  <r>
    <n v="347"/>
    <x v="14"/>
    <n v="1"/>
    <n v="22"/>
    <b v="0"/>
    <n v="6"/>
    <n v="2"/>
    <n v="0.3"/>
    <x v="20"/>
    <n v="0.42"/>
    <n v="0.1045"/>
    <n v="0"/>
    <n v="26"/>
    <n v="26"/>
    <s v="Spring"/>
    <s v="Saturday"/>
    <s v="Mist/Cloudy"/>
    <x v="0"/>
    <s v="Mild"/>
    <s v="Medium"/>
    <s v="Calm"/>
    <s v="Working Day"/>
    <s v="Mostly Registered"/>
    <n v="0"/>
    <n v="100"/>
    <s v="No"/>
    <s v="Low"/>
    <s v="Yes"/>
    <n v="1.819999999999999E-2"/>
  </r>
  <r>
    <n v="348"/>
    <x v="14"/>
    <n v="1"/>
    <n v="23"/>
    <b v="0"/>
    <n v="6"/>
    <n v="1"/>
    <n v="0.3"/>
    <x v="0"/>
    <n v="0.45"/>
    <n v="0.28360000000000002"/>
    <n v="5"/>
    <n v="39"/>
    <n v="44"/>
    <s v="Spring"/>
    <s v="Saturday"/>
    <s v="Clear"/>
    <x v="0"/>
    <s v="Mild"/>
    <s v="Medium"/>
    <s v="Moderate"/>
    <s v="Working Day"/>
    <s v="Mostly Registered"/>
    <n v="11.36363636363636"/>
    <n v="88.63636363636364"/>
    <s v="No"/>
    <s v="Low"/>
    <s v="Yes"/>
    <n v="-1.21E-2"/>
  </r>
  <r>
    <n v="349"/>
    <x v="15"/>
    <n v="1"/>
    <n v="0"/>
    <b v="0"/>
    <n v="0"/>
    <n v="1"/>
    <n v="0.26"/>
    <x v="24"/>
    <n v="0.56000000000000005"/>
    <n v="0"/>
    <n v="6"/>
    <n v="33"/>
    <n v="39"/>
    <s v="Spring"/>
    <s v="Sunday"/>
    <s v="Clear"/>
    <x v="0"/>
    <s v="Mild"/>
    <s v="Medium"/>
    <s v="Calm"/>
    <s v="Working Day"/>
    <s v="Mostly Registered"/>
    <n v="15.38461538461539"/>
    <n v="84.615384615384613"/>
    <s v="No"/>
    <s v="Low"/>
    <s v="Yes"/>
    <n v="4.2999999999999983E-2"/>
  </r>
  <r>
    <n v="350"/>
    <x v="15"/>
    <n v="1"/>
    <n v="1"/>
    <b v="0"/>
    <n v="0"/>
    <n v="1"/>
    <n v="0.26"/>
    <x v="1"/>
    <n v="0.56000000000000005"/>
    <n v="0.1343"/>
    <n v="4"/>
    <n v="19"/>
    <n v="23"/>
    <s v="Spring"/>
    <s v="Sunday"/>
    <s v="Clear"/>
    <x v="0"/>
    <s v="Mild"/>
    <s v="Medium"/>
    <s v="Calm"/>
    <s v="Working Day"/>
    <s v="Mostly Registered"/>
    <n v="17.39130434782609"/>
    <n v="82.608695652173907"/>
    <s v="No"/>
    <s v="Low"/>
    <s v="Yes"/>
    <n v="1.2699999999999991E-2"/>
  </r>
  <r>
    <n v="351"/>
    <x v="15"/>
    <n v="1"/>
    <n v="2"/>
    <b v="0"/>
    <n v="0"/>
    <n v="1"/>
    <n v="0.26"/>
    <x v="0"/>
    <n v="0.56000000000000005"/>
    <n v="8.9599999999999999E-2"/>
    <n v="3"/>
    <n v="13"/>
    <n v="16"/>
    <s v="Spring"/>
    <s v="Sunday"/>
    <s v="Clear"/>
    <x v="0"/>
    <s v="Mild"/>
    <s v="Medium"/>
    <s v="Calm"/>
    <s v="Working Day"/>
    <s v="Mostly Registered"/>
    <n v="18.75"/>
    <n v="81.25"/>
    <s v="No"/>
    <s v="Low"/>
    <s v="Yes"/>
    <n v="2.789999999999998E-2"/>
  </r>
  <r>
    <n v="352"/>
    <x v="15"/>
    <n v="1"/>
    <n v="3"/>
    <b v="0"/>
    <n v="0"/>
    <n v="1"/>
    <n v="0.22"/>
    <x v="1"/>
    <n v="0.69"/>
    <n v="0"/>
    <n v="9"/>
    <n v="6"/>
    <n v="15"/>
    <s v="Spring"/>
    <s v="Sunday"/>
    <s v="Clear"/>
    <x v="0"/>
    <s v="Cold"/>
    <s v="Medium"/>
    <s v="Calm"/>
    <s v="Working Day"/>
    <s v="Mostly Casual"/>
    <n v="60"/>
    <n v="40"/>
    <s v="No"/>
    <s v="Low"/>
    <s v="Yes"/>
    <n v="5.2699999999999997E-2"/>
  </r>
  <r>
    <n v="353"/>
    <x v="15"/>
    <n v="1"/>
    <n v="4"/>
    <b v="0"/>
    <n v="0"/>
    <n v="1"/>
    <n v="0.26"/>
    <x v="2"/>
    <n v="0.56000000000000005"/>
    <n v="0.16420000000000001"/>
    <n v="0"/>
    <n v="1"/>
    <n v="1"/>
    <s v="Spring"/>
    <s v="Sunday"/>
    <s v="Clear"/>
    <x v="0"/>
    <s v="Mild"/>
    <s v="Medium"/>
    <s v="Moderate"/>
    <s v="Working Day"/>
    <s v="Mostly Registered"/>
    <n v="0"/>
    <n v="100"/>
    <s v="No"/>
    <s v="Low"/>
    <s v="Yes"/>
    <n v="-2.4000000000000128E-3"/>
  </r>
  <r>
    <n v="354"/>
    <x v="15"/>
    <n v="1"/>
    <n v="5"/>
    <b v="0"/>
    <n v="0"/>
    <n v="2"/>
    <n v="0.26"/>
    <x v="2"/>
    <n v="0.56000000000000005"/>
    <n v="0.16420000000000001"/>
    <n v="1"/>
    <n v="1"/>
    <n v="2"/>
    <s v="Spring"/>
    <s v="Sunday"/>
    <s v="Mist/Cloudy"/>
    <x v="0"/>
    <s v="Mild"/>
    <s v="Medium"/>
    <s v="Moderate"/>
    <s v="Working Day"/>
    <s v="Mostly Registered"/>
    <n v="50"/>
    <n v="50"/>
    <s v="No"/>
    <s v="Low"/>
    <s v="Yes"/>
    <n v="-2.4000000000000128E-3"/>
  </r>
  <r>
    <n v="355"/>
    <x v="15"/>
    <n v="1"/>
    <n v="6"/>
    <b v="0"/>
    <n v="0"/>
    <n v="2"/>
    <n v="0.26"/>
    <x v="2"/>
    <n v="0.56000000000000005"/>
    <n v="0.16420000000000001"/>
    <n v="0"/>
    <n v="1"/>
    <n v="1"/>
    <s v="Spring"/>
    <s v="Sunday"/>
    <s v="Mist/Cloudy"/>
    <x v="1"/>
    <s v="Mild"/>
    <s v="Medium"/>
    <s v="Moderate"/>
    <s v="Working Day"/>
    <s v="Mostly Registered"/>
    <n v="0"/>
    <n v="100"/>
    <s v="No"/>
    <s v="Low"/>
    <s v="Yes"/>
    <n v="-2.4000000000000128E-3"/>
  </r>
  <r>
    <n v="356"/>
    <x v="15"/>
    <n v="1"/>
    <n v="7"/>
    <b v="0"/>
    <n v="0"/>
    <n v="2"/>
    <n v="0.24"/>
    <x v="11"/>
    <n v="0.56000000000000005"/>
    <n v="0.29849999999999999"/>
    <n v="0"/>
    <n v="3"/>
    <n v="3"/>
    <s v="Spring"/>
    <s v="Sunday"/>
    <s v="Mist/Cloudy"/>
    <x v="1"/>
    <s v="Cold"/>
    <s v="Medium"/>
    <s v="Moderate"/>
    <s v="Working Day"/>
    <s v="Mostly Registered"/>
    <n v="0"/>
    <n v="100"/>
    <s v="Yes"/>
    <s v="Low"/>
    <s v="Yes"/>
    <n v="-2.789999999999998E-2"/>
  </r>
  <r>
    <n v="357"/>
    <x v="15"/>
    <n v="1"/>
    <n v="8"/>
    <b v="0"/>
    <n v="0"/>
    <n v="1"/>
    <n v="0.22"/>
    <x v="11"/>
    <n v="0.55000000000000004"/>
    <n v="0.28360000000000002"/>
    <n v="0"/>
    <n v="18"/>
    <n v="18"/>
    <s v="Spring"/>
    <s v="Sunday"/>
    <s v="Clear"/>
    <x v="1"/>
    <s v="Cold"/>
    <s v="Medium"/>
    <s v="Moderate"/>
    <s v="Working Day"/>
    <s v="Mostly Registered"/>
    <n v="0"/>
    <n v="100"/>
    <s v="Yes"/>
    <s v="Low"/>
    <s v="Yes"/>
    <n v="-7.8999999999999904E-3"/>
  </r>
  <r>
    <n v="358"/>
    <x v="15"/>
    <n v="1"/>
    <n v="9"/>
    <b v="0"/>
    <n v="0"/>
    <n v="1"/>
    <n v="0.22"/>
    <x v="11"/>
    <n v="0.51"/>
    <n v="0.25369999999999998"/>
    <n v="3"/>
    <n v="29"/>
    <n v="32"/>
    <s v="Spring"/>
    <s v="Sunday"/>
    <s v="Clear"/>
    <x v="1"/>
    <s v="Cold"/>
    <s v="Medium"/>
    <s v="Moderate"/>
    <s v="Working Day"/>
    <s v="Mostly Registered"/>
    <n v="9.375"/>
    <n v="90.625"/>
    <s v="Yes"/>
    <s v="Low"/>
    <s v="Yes"/>
    <n v="-7.8999999999999904E-3"/>
  </r>
  <r>
    <n v="359"/>
    <x v="15"/>
    <n v="1"/>
    <n v="10"/>
    <b v="0"/>
    <n v="0"/>
    <n v="1"/>
    <n v="0.22"/>
    <x v="11"/>
    <n v="0.51"/>
    <n v="0.28360000000000002"/>
    <n v="8"/>
    <n v="71"/>
    <n v="79"/>
    <s v="Spring"/>
    <s v="Sunday"/>
    <s v="Clear"/>
    <x v="1"/>
    <s v="Cold"/>
    <s v="Medium"/>
    <s v="Moderate"/>
    <s v="Working Day"/>
    <s v="Mostly Registered"/>
    <n v="10.12658227848101"/>
    <n v="89.87341772151899"/>
    <s v="No"/>
    <s v="Low"/>
    <s v="Yes"/>
    <n v="-7.8999999999999904E-3"/>
  </r>
  <r>
    <n v="360"/>
    <x v="15"/>
    <n v="1"/>
    <n v="11"/>
    <b v="0"/>
    <n v="0"/>
    <n v="1"/>
    <n v="0.24"/>
    <x v="10"/>
    <n v="0.44"/>
    <n v="0.25369999999999998"/>
    <n v="23"/>
    <n v="70"/>
    <n v="93"/>
    <s v="Spring"/>
    <s v="Sunday"/>
    <s v="Clear"/>
    <x v="1"/>
    <s v="Cold"/>
    <s v="Medium"/>
    <s v="Moderate"/>
    <s v="Working Day"/>
    <s v="Mostly Registered"/>
    <n v="24.731182795698921"/>
    <n v="75.268817204301072"/>
    <s v="No"/>
    <s v="Low"/>
    <s v="Yes"/>
    <n v="-1.2699999999999991E-2"/>
  </r>
  <r>
    <n v="361"/>
    <x v="15"/>
    <n v="1"/>
    <n v="12"/>
    <b v="0"/>
    <n v="0"/>
    <n v="1"/>
    <n v="0.24"/>
    <x v="11"/>
    <n v="0.41"/>
    <n v="0.28360000000000002"/>
    <n v="29"/>
    <n v="75"/>
    <n v="104"/>
    <s v="Spring"/>
    <s v="Sunday"/>
    <s v="Clear"/>
    <x v="2"/>
    <s v="Cold"/>
    <s v="Medium"/>
    <s v="Moderate"/>
    <s v="Working Day"/>
    <s v="Mostly Registered"/>
    <n v="27.88461538461539"/>
    <n v="72.115384615384613"/>
    <s v="No"/>
    <s v="Medium"/>
    <s v="Yes"/>
    <n v="-2.789999999999998E-2"/>
  </r>
  <r>
    <n v="362"/>
    <x v="15"/>
    <n v="1"/>
    <n v="13"/>
    <b v="0"/>
    <n v="0"/>
    <n v="1"/>
    <n v="0.26"/>
    <x v="10"/>
    <n v="0.35"/>
    <n v="0.29849999999999999"/>
    <n v="23"/>
    <n v="95"/>
    <n v="118"/>
    <s v="Spring"/>
    <s v="Sunday"/>
    <s v="Clear"/>
    <x v="2"/>
    <s v="Mild"/>
    <s v="Low"/>
    <s v="Moderate"/>
    <s v="Working Day"/>
    <s v="Mostly Registered"/>
    <n v="19.49152542372881"/>
    <n v="80.508474576271183"/>
    <s v="No"/>
    <s v="Medium"/>
    <s v="Yes"/>
    <n v="-3.2700000000000007E-2"/>
  </r>
  <r>
    <n v="363"/>
    <x v="15"/>
    <n v="1"/>
    <n v="14"/>
    <b v="0"/>
    <n v="0"/>
    <n v="1"/>
    <n v="0.28000000000000003"/>
    <x v="1"/>
    <n v="0.36"/>
    <n v="0.25369999999999998"/>
    <n v="22"/>
    <n v="69"/>
    <n v="91"/>
    <s v="Spring"/>
    <s v="Sunday"/>
    <s v="Clear"/>
    <x v="2"/>
    <s v="Mild"/>
    <s v="Low"/>
    <s v="Moderate"/>
    <s v="Working Day"/>
    <s v="Mostly Registered"/>
    <n v="24.175824175824179"/>
    <n v="75.824175824175825"/>
    <s v="No"/>
    <s v="Low"/>
    <s v="Yes"/>
    <n v="-7.3000000000000287E-3"/>
  </r>
  <r>
    <n v="364"/>
    <x v="15"/>
    <n v="1"/>
    <n v="15"/>
    <b v="0"/>
    <n v="0"/>
    <n v="1"/>
    <n v="0.26"/>
    <x v="18"/>
    <n v="0.38"/>
    <n v="0.25369999999999998"/>
    <n v="35"/>
    <n v="78"/>
    <n v="113"/>
    <s v="Spring"/>
    <s v="Sunday"/>
    <s v="Clear"/>
    <x v="2"/>
    <s v="Mild"/>
    <s v="Low"/>
    <s v="Moderate"/>
    <s v="Working Day"/>
    <s v="Mostly Registered"/>
    <n v="30.973451327433629"/>
    <n v="69.026548672566364"/>
    <s v="No"/>
    <s v="Medium"/>
    <s v="Yes"/>
    <n v="-1.7600000000000001E-2"/>
  </r>
  <r>
    <n v="365"/>
    <x v="15"/>
    <n v="1"/>
    <n v="16"/>
    <b v="0"/>
    <n v="0"/>
    <n v="1"/>
    <n v="0.24"/>
    <x v="10"/>
    <n v="0.38"/>
    <n v="0.22389999999999999"/>
    <n v="22"/>
    <n v="77"/>
    <n v="99"/>
    <s v="Spring"/>
    <s v="Sunday"/>
    <s v="Clear"/>
    <x v="2"/>
    <s v="Cold"/>
    <s v="Low"/>
    <s v="Moderate"/>
    <s v="Working Day"/>
    <s v="Mostly Registered"/>
    <n v="22.222222222222221"/>
    <n v="77.777777777777786"/>
    <s v="No"/>
    <s v="Low"/>
    <s v="Yes"/>
    <n v="-1.2699999999999991E-2"/>
  </r>
  <r>
    <n v="366"/>
    <x v="15"/>
    <n v="1"/>
    <n v="17"/>
    <b v="0"/>
    <n v="0"/>
    <n v="1"/>
    <n v="0.22"/>
    <x v="11"/>
    <n v="0.37"/>
    <n v="0.25369999999999998"/>
    <n v="23"/>
    <n v="82"/>
    <n v="105"/>
    <s v="Spring"/>
    <s v="Sunday"/>
    <s v="Clear"/>
    <x v="3"/>
    <s v="Cold"/>
    <s v="Low"/>
    <s v="Moderate"/>
    <s v="Working Day"/>
    <s v="Mostly Registered"/>
    <n v="21.904761904761909"/>
    <n v="78.095238095238102"/>
    <s v="Yes"/>
    <s v="Medium"/>
    <s v="Yes"/>
    <n v="-7.8999999999999904E-3"/>
  </r>
  <r>
    <n v="367"/>
    <x v="15"/>
    <n v="1"/>
    <n v="18"/>
    <b v="0"/>
    <n v="0"/>
    <n v="1"/>
    <n v="0.2"/>
    <x v="11"/>
    <n v="0.4"/>
    <n v="0.16420000000000001"/>
    <n v="11"/>
    <n v="56"/>
    <n v="67"/>
    <s v="Spring"/>
    <s v="Sunday"/>
    <s v="Clear"/>
    <x v="3"/>
    <s v="Cold"/>
    <s v="Medium"/>
    <s v="Moderate"/>
    <s v="Working Day"/>
    <s v="Mostly Registered"/>
    <n v="16.417910447761191"/>
    <n v="83.582089552238799"/>
    <s v="Yes"/>
    <s v="Low"/>
    <s v="Yes"/>
    <n v="1.21E-2"/>
  </r>
  <r>
    <n v="368"/>
    <x v="15"/>
    <n v="1"/>
    <n v="19"/>
    <b v="0"/>
    <n v="0"/>
    <n v="1"/>
    <n v="0.18"/>
    <x v="12"/>
    <n v="0.47"/>
    <n v="0.1343"/>
    <n v="14"/>
    <n v="47"/>
    <n v="61"/>
    <s v="Spring"/>
    <s v="Sunday"/>
    <s v="Clear"/>
    <x v="3"/>
    <s v="Cold"/>
    <s v="Medium"/>
    <s v="Calm"/>
    <s v="Working Day"/>
    <s v="Mostly Registered"/>
    <n v="22.95081967213115"/>
    <n v="77.049180327868854"/>
    <s v="Yes"/>
    <s v="Low"/>
    <s v="Yes"/>
    <n v="1.7000000000000019E-2"/>
  </r>
  <r>
    <n v="369"/>
    <x v="15"/>
    <n v="1"/>
    <n v="20"/>
    <b v="0"/>
    <n v="0"/>
    <n v="1"/>
    <n v="0.18"/>
    <x v="12"/>
    <n v="0.47"/>
    <n v="0.16420000000000001"/>
    <n v="7"/>
    <n v="50"/>
    <n v="57"/>
    <s v="Spring"/>
    <s v="Sunday"/>
    <s v="Clear"/>
    <x v="3"/>
    <s v="Cold"/>
    <s v="Medium"/>
    <s v="Moderate"/>
    <s v="Working Day"/>
    <s v="Mostly Registered"/>
    <n v="12.28070175438596"/>
    <n v="87.719298245614027"/>
    <s v="No"/>
    <s v="Low"/>
    <s v="Yes"/>
    <n v="1.7000000000000019E-2"/>
  </r>
  <r>
    <n v="370"/>
    <x v="15"/>
    <n v="1"/>
    <n v="21"/>
    <b v="0"/>
    <n v="0"/>
    <n v="1"/>
    <n v="0.18"/>
    <x v="12"/>
    <n v="0.51"/>
    <n v="0.16420000000000001"/>
    <n v="6"/>
    <n v="22"/>
    <n v="28"/>
    <s v="Spring"/>
    <s v="Sunday"/>
    <s v="Clear"/>
    <x v="0"/>
    <s v="Cold"/>
    <s v="Medium"/>
    <s v="Moderate"/>
    <s v="Working Day"/>
    <s v="Mostly Registered"/>
    <n v="21.428571428571431"/>
    <n v="78.571428571428569"/>
    <s v="No"/>
    <s v="Low"/>
    <s v="Yes"/>
    <n v="1.7000000000000019E-2"/>
  </r>
  <r>
    <n v="371"/>
    <x v="15"/>
    <n v="1"/>
    <n v="22"/>
    <b v="0"/>
    <n v="0"/>
    <n v="2"/>
    <n v="0.2"/>
    <x v="11"/>
    <n v="0.49"/>
    <n v="0.1343"/>
    <n v="2"/>
    <n v="19"/>
    <n v="21"/>
    <s v="Spring"/>
    <s v="Sunday"/>
    <s v="Mist/Cloudy"/>
    <x v="0"/>
    <s v="Cold"/>
    <s v="Medium"/>
    <s v="Calm"/>
    <s v="Working Day"/>
    <s v="Mostly Registered"/>
    <n v="9.5238095238095237"/>
    <n v="90.476190476190482"/>
    <s v="No"/>
    <s v="Low"/>
    <s v="Yes"/>
    <n v="1.21E-2"/>
  </r>
  <r>
    <n v="372"/>
    <x v="15"/>
    <n v="1"/>
    <n v="23"/>
    <b v="0"/>
    <n v="0"/>
    <n v="2"/>
    <n v="0.2"/>
    <x v="10"/>
    <n v="0.4"/>
    <n v="0.1045"/>
    <n v="0"/>
    <n v="18"/>
    <n v="18"/>
    <s v="Spring"/>
    <s v="Sunday"/>
    <s v="Mist/Cloudy"/>
    <x v="0"/>
    <s v="Cold"/>
    <s v="Medium"/>
    <s v="Calm"/>
    <s v="Working Day"/>
    <s v="Mostly Registered"/>
    <n v="0"/>
    <n v="100"/>
    <s v="No"/>
    <s v="Low"/>
    <s v="Yes"/>
    <n v="2.7299999999999991E-2"/>
  </r>
  <r>
    <n v="373"/>
    <x v="16"/>
    <n v="1"/>
    <n v="0"/>
    <b v="1"/>
    <n v="1"/>
    <n v="2"/>
    <n v="0.2"/>
    <x v="12"/>
    <n v="0.47"/>
    <n v="0.22389999999999999"/>
    <n v="1"/>
    <n v="16"/>
    <n v="17"/>
    <s v="Spring"/>
    <s v="Monday"/>
    <s v="Mist/Cloudy"/>
    <x v="0"/>
    <s v="Cold"/>
    <s v="Medium"/>
    <s v="Moderate"/>
    <s v="Holiday"/>
    <s v="Mostly Registered"/>
    <n v="5.8823529411764701"/>
    <n v="94.117647058823522"/>
    <s v="No"/>
    <s v="Low"/>
    <s v="No"/>
    <n v="-3.0000000000000031E-3"/>
  </r>
  <r>
    <n v="374"/>
    <x v="16"/>
    <n v="1"/>
    <n v="1"/>
    <b v="1"/>
    <n v="1"/>
    <n v="2"/>
    <n v="0.2"/>
    <x v="12"/>
    <n v="0.44"/>
    <n v="0.19400000000000001"/>
    <n v="1"/>
    <n v="15"/>
    <n v="16"/>
    <s v="Spring"/>
    <s v="Monday"/>
    <s v="Mist/Cloudy"/>
    <x v="0"/>
    <s v="Cold"/>
    <s v="Medium"/>
    <s v="Moderate"/>
    <s v="Holiday"/>
    <s v="Mostly Registered"/>
    <n v="6.25"/>
    <n v="93.75"/>
    <s v="No"/>
    <s v="Low"/>
    <s v="No"/>
    <n v="-3.0000000000000031E-3"/>
  </r>
  <r>
    <n v="375"/>
    <x v="16"/>
    <n v="1"/>
    <n v="2"/>
    <b v="1"/>
    <n v="1"/>
    <n v="2"/>
    <n v="0.18"/>
    <x v="16"/>
    <n v="0.43"/>
    <n v="0.25369999999999998"/>
    <n v="0"/>
    <n v="8"/>
    <n v="8"/>
    <s v="Spring"/>
    <s v="Monday"/>
    <s v="Mist/Cloudy"/>
    <x v="0"/>
    <s v="Cold"/>
    <s v="Medium"/>
    <s v="Moderate"/>
    <s v="Holiday"/>
    <s v="Mostly Registered"/>
    <n v="0"/>
    <n v="100"/>
    <s v="No"/>
    <s v="Low"/>
    <s v="No"/>
    <n v="-1.330000000000001E-2"/>
  </r>
  <r>
    <n v="376"/>
    <x v="16"/>
    <n v="1"/>
    <n v="3"/>
    <b v="1"/>
    <n v="1"/>
    <n v="2"/>
    <n v="0.18"/>
    <x v="17"/>
    <n v="0.43"/>
    <n v="0.19400000000000001"/>
    <n v="0"/>
    <n v="2"/>
    <n v="2"/>
    <s v="Spring"/>
    <s v="Monday"/>
    <s v="Mist/Cloudy"/>
    <x v="0"/>
    <s v="Cold"/>
    <s v="Medium"/>
    <s v="Moderate"/>
    <s v="Holiday"/>
    <s v="Mostly Registered"/>
    <n v="0"/>
    <n v="100"/>
    <s v="No"/>
    <s v="Low"/>
    <s v="No"/>
    <n v="1.799999999999996E-3"/>
  </r>
  <r>
    <n v="377"/>
    <x v="16"/>
    <n v="1"/>
    <n v="4"/>
    <b v="1"/>
    <n v="1"/>
    <n v="2"/>
    <n v="0.18"/>
    <x v="12"/>
    <n v="0.43"/>
    <n v="0.1343"/>
    <n v="1"/>
    <n v="2"/>
    <n v="3"/>
    <s v="Spring"/>
    <s v="Monday"/>
    <s v="Mist/Cloudy"/>
    <x v="0"/>
    <s v="Cold"/>
    <s v="Medium"/>
    <s v="Calm"/>
    <s v="Holiday"/>
    <s v="Mostly Registered"/>
    <n v="33.333333333333329"/>
    <n v="66.666666666666657"/>
    <s v="No"/>
    <s v="Low"/>
    <s v="No"/>
    <n v="1.7000000000000019E-2"/>
  </r>
  <r>
    <n v="378"/>
    <x v="16"/>
    <n v="1"/>
    <n v="5"/>
    <b v="1"/>
    <n v="1"/>
    <n v="2"/>
    <n v="0.18"/>
    <x v="12"/>
    <n v="0.43"/>
    <n v="0.16420000000000001"/>
    <n v="0"/>
    <n v="1"/>
    <n v="1"/>
    <s v="Spring"/>
    <s v="Monday"/>
    <s v="Mist/Cloudy"/>
    <x v="0"/>
    <s v="Cold"/>
    <s v="Medium"/>
    <s v="Moderate"/>
    <s v="Holiday"/>
    <s v="Mostly Registered"/>
    <n v="0"/>
    <n v="100"/>
    <s v="No"/>
    <s v="Low"/>
    <s v="No"/>
    <n v="1.7000000000000019E-2"/>
  </r>
  <r>
    <n v="379"/>
    <x v="16"/>
    <n v="1"/>
    <n v="6"/>
    <b v="1"/>
    <n v="1"/>
    <n v="2"/>
    <n v="0.18"/>
    <x v="17"/>
    <n v="0.43"/>
    <n v="0.19400000000000001"/>
    <n v="0"/>
    <n v="5"/>
    <n v="5"/>
    <s v="Spring"/>
    <s v="Monday"/>
    <s v="Mist/Cloudy"/>
    <x v="1"/>
    <s v="Cold"/>
    <s v="Medium"/>
    <s v="Moderate"/>
    <s v="Holiday"/>
    <s v="Mostly Registered"/>
    <n v="0"/>
    <n v="100"/>
    <s v="No"/>
    <s v="Low"/>
    <s v="No"/>
    <n v="1.799999999999996E-3"/>
  </r>
  <r>
    <n v="380"/>
    <x v="16"/>
    <n v="1"/>
    <n v="7"/>
    <b v="1"/>
    <n v="1"/>
    <n v="2"/>
    <n v="0.16"/>
    <x v="17"/>
    <n v="0.5"/>
    <n v="0.1343"/>
    <n v="4"/>
    <n v="9"/>
    <n v="13"/>
    <s v="Spring"/>
    <s v="Monday"/>
    <s v="Mist/Cloudy"/>
    <x v="1"/>
    <s v="Cold"/>
    <s v="Medium"/>
    <s v="Calm"/>
    <s v="Holiday"/>
    <s v="Mostly Registered"/>
    <n v="30.76923076923077"/>
    <n v="69.230769230769226"/>
    <s v="Yes"/>
    <s v="Low"/>
    <s v="No"/>
    <n v="2.179999999999999E-2"/>
  </r>
  <r>
    <n v="381"/>
    <x v="16"/>
    <n v="1"/>
    <n v="8"/>
    <b v="1"/>
    <n v="1"/>
    <n v="2"/>
    <n v="0.16"/>
    <x v="19"/>
    <n v="0.47"/>
    <n v="0.22389999999999999"/>
    <n v="3"/>
    <n v="30"/>
    <n v="33"/>
    <s v="Spring"/>
    <s v="Monday"/>
    <s v="Mist/Cloudy"/>
    <x v="1"/>
    <s v="Cold"/>
    <s v="Medium"/>
    <s v="Moderate"/>
    <s v="Holiday"/>
    <s v="Mostly Registered"/>
    <n v="9.0909090909090917"/>
    <n v="90.909090909090907"/>
    <s v="Yes"/>
    <s v="Low"/>
    <s v="No"/>
    <n v="-8.5000000000000075E-3"/>
  </r>
  <r>
    <n v="382"/>
    <x v="16"/>
    <n v="1"/>
    <n v="9"/>
    <b v="1"/>
    <n v="1"/>
    <n v="2"/>
    <n v="0.16"/>
    <x v="19"/>
    <n v="0.47"/>
    <n v="0.22389999999999999"/>
    <n v="8"/>
    <n v="39"/>
    <n v="47"/>
    <s v="Spring"/>
    <s v="Monday"/>
    <s v="Mist/Cloudy"/>
    <x v="1"/>
    <s v="Cold"/>
    <s v="Medium"/>
    <s v="Moderate"/>
    <s v="Holiday"/>
    <s v="Mostly Registered"/>
    <n v="17.021276595744681"/>
    <n v="82.978723404255319"/>
    <s v="Yes"/>
    <s v="Low"/>
    <s v="No"/>
    <n v="-8.5000000000000075E-3"/>
  </r>
  <r>
    <n v="383"/>
    <x v="16"/>
    <n v="1"/>
    <n v="10"/>
    <b v="1"/>
    <n v="1"/>
    <n v="2"/>
    <n v="0.16"/>
    <x v="19"/>
    <n v="0.5"/>
    <n v="0.25369999999999998"/>
    <n v="7"/>
    <n v="50"/>
    <n v="57"/>
    <s v="Spring"/>
    <s v="Monday"/>
    <s v="Mist/Cloudy"/>
    <x v="1"/>
    <s v="Cold"/>
    <s v="Medium"/>
    <s v="Moderate"/>
    <s v="Holiday"/>
    <s v="Mostly Registered"/>
    <n v="12.28070175438596"/>
    <n v="87.719298245614027"/>
    <s v="No"/>
    <s v="Low"/>
    <s v="No"/>
    <n v="-8.5000000000000075E-3"/>
  </r>
  <r>
    <n v="384"/>
    <x v="16"/>
    <n v="1"/>
    <n v="11"/>
    <b v="1"/>
    <n v="1"/>
    <n v="2"/>
    <n v="0.16"/>
    <x v="19"/>
    <n v="0.55000000000000004"/>
    <n v="0.19400000000000001"/>
    <n v="9"/>
    <n v="55"/>
    <n v="64"/>
    <s v="Spring"/>
    <s v="Monday"/>
    <s v="Mist/Cloudy"/>
    <x v="1"/>
    <s v="Cold"/>
    <s v="Medium"/>
    <s v="Moderate"/>
    <s v="Holiday"/>
    <s v="Mostly Registered"/>
    <n v="14.0625"/>
    <n v="85.9375"/>
    <s v="No"/>
    <s v="Low"/>
    <s v="No"/>
    <n v="-8.5000000000000075E-3"/>
  </r>
  <r>
    <n v="385"/>
    <x v="16"/>
    <n v="1"/>
    <n v="12"/>
    <b v="1"/>
    <n v="1"/>
    <n v="2"/>
    <n v="0.18"/>
    <x v="12"/>
    <n v="0.47"/>
    <n v="0.1343"/>
    <n v="10"/>
    <n v="70"/>
    <n v="80"/>
    <s v="Spring"/>
    <s v="Monday"/>
    <s v="Mist/Cloudy"/>
    <x v="2"/>
    <s v="Cold"/>
    <s v="Medium"/>
    <s v="Calm"/>
    <s v="Holiday"/>
    <s v="Mostly Registered"/>
    <n v="12.5"/>
    <n v="87.5"/>
    <s v="No"/>
    <s v="Low"/>
    <s v="No"/>
    <n v="1.7000000000000019E-2"/>
  </r>
  <r>
    <n v="386"/>
    <x v="16"/>
    <n v="1"/>
    <n v="13"/>
    <b v="1"/>
    <n v="1"/>
    <n v="2"/>
    <n v="0.18"/>
    <x v="12"/>
    <n v="0.47"/>
    <n v="0.1343"/>
    <n v="13"/>
    <n v="80"/>
    <n v="93"/>
    <s v="Spring"/>
    <s v="Monday"/>
    <s v="Mist/Cloudy"/>
    <x v="2"/>
    <s v="Cold"/>
    <s v="Medium"/>
    <s v="Calm"/>
    <s v="Holiday"/>
    <s v="Mostly Registered"/>
    <n v="13.97849462365591"/>
    <n v="86.021505376344081"/>
    <s v="No"/>
    <s v="Low"/>
    <s v="No"/>
    <n v="1.7000000000000019E-2"/>
  </r>
  <r>
    <n v="387"/>
    <x v="16"/>
    <n v="1"/>
    <n v="14"/>
    <b v="1"/>
    <n v="1"/>
    <n v="2"/>
    <n v="0.18"/>
    <x v="11"/>
    <n v="0.43"/>
    <n v="0.1045"/>
    <n v="12"/>
    <n v="74"/>
    <n v="86"/>
    <s v="Spring"/>
    <s v="Monday"/>
    <s v="Mist/Cloudy"/>
    <x v="2"/>
    <s v="Cold"/>
    <s v="Medium"/>
    <s v="Calm"/>
    <s v="Holiday"/>
    <s v="Mostly Registered"/>
    <n v="13.95348837209302"/>
    <n v="86.04651162790698"/>
    <s v="No"/>
    <s v="Low"/>
    <s v="No"/>
    <n v="3.2100000000000017E-2"/>
  </r>
  <r>
    <n v="388"/>
    <x v="16"/>
    <n v="1"/>
    <n v="15"/>
    <b v="1"/>
    <n v="1"/>
    <n v="2"/>
    <n v="0.2"/>
    <x v="11"/>
    <n v="0.47"/>
    <n v="0.16420000000000001"/>
    <n v="21"/>
    <n v="72"/>
    <n v="93"/>
    <s v="Spring"/>
    <s v="Monday"/>
    <s v="Mist/Cloudy"/>
    <x v="2"/>
    <s v="Cold"/>
    <s v="Medium"/>
    <s v="Moderate"/>
    <s v="Holiday"/>
    <s v="Mostly Registered"/>
    <n v="22.58064516129032"/>
    <n v="77.41935483870968"/>
    <s v="No"/>
    <s v="Low"/>
    <s v="No"/>
    <n v="1.21E-2"/>
  </r>
  <r>
    <n v="389"/>
    <x v="16"/>
    <n v="1"/>
    <n v="16"/>
    <b v="1"/>
    <n v="1"/>
    <n v="2"/>
    <n v="0.2"/>
    <x v="11"/>
    <n v="0.47"/>
    <n v="0.16420000000000001"/>
    <n v="6"/>
    <n v="76"/>
    <n v="82"/>
    <s v="Spring"/>
    <s v="Monday"/>
    <s v="Mist/Cloudy"/>
    <x v="2"/>
    <s v="Cold"/>
    <s v="Medium"/>
    <s v="Moderate"/>
    <s v="Holiday"/>
    <s v="Mostly Registered"/>
    <n v="7.3170731707317067"/>
    <n v="92.682926829268297"/>
    <s v="No"/>
    <s v="Low"/>
    <s v="No"/>
    <n v="1.21E-2"/>
  </r>
  <r>
    <n v="390"/>
    <x v="16"/>
    <n v="1"/>
    <n v="17"/>
    <b v="1"/>
    <n v="1"/>
    <n v="1"/>
    <n v="0.2"/>
    <x v="12"/>
    <n v="0.51"/>
    <n v="0.19400000000000001"/>
    <n v="4"/>
    <n v="67"/>
    <n v="71"/>
    <s v="Spring"/>
    <s v="Monday"/>
    <s v="Clear"/>
    <x v="3"/>
    <s v="Cold"/>
    <s v="Medium"/>
    <s v="Moderate"/>
    <s v="Holiday"/>
    <s v="Mostly Registered"/>
    <n v="5.6338028169014089"/>
    <n v="94.366197183098592"/>
    <s v="Yes"/>
    <s v="Low"/>
    <s v="No"/>
    <n v="-3.0000000000000031E-3"/>
  </r>
  <r>
    <n v="391"/>
    <x v="16"/>
    <n v="1"/>
    <n v="18"/>
    <b v="1"/>
    <n v="1"/>
    <n v="2"/>
    <n v="0.18"/>
    <x v="16"/>
    <n v="0.55000000000000004"/>
    <n v="0.25369999999999998"/>
    <n v="7"/>
    <n v="85"/>
    <n v="92"/>
    <s v="Spring"/>
    <s v="Monday"/>
    <s v="Mist/Cloudy"/>
    <x v="3"/>
    <s v="Cold"/>
    <s v="Medium"/>
    <s v="Moderate"/>
    <s v="Holiday"/>
    <s v="Mostly Registered"/>
    <n v="7.608695652173914"/>
    <n v="92.391304347826093"/>
    <s v="Yes"/>
    <s v="Low"/>
    <s v="No"/>
    <n v="-1.330000000000001E-2"/>
  </r>
  <r>
    <n v="392"/>
    <x v="16"/>
    <n v="1"/>
    <n v="19"/>
    <b v="1"/>
    <n v="1"/>
    <n v="3"/>
    <n v="0.18"/>
    <x v="17"/>
    <n v="0.59"/>
    <n v="0.19400000000000001"/>
    <n v="2"/>
    <n v="58"/>
    <n v="60"/>
    <s v="Spring"/>
    <s v="Monday"/>
    <s v="Light Rain/Snow"/>
    <x v="3"/>
    <s v="Cold"/>
    <s v="Medium"/>
    <s v="Moderate"/>
    <s v="Holiday"/>
    <s v="Mostly Registered"/>
    <n v="3.333333333333333"/>
    <n v="96.666666666666671"/>
    <s v="Yes"/>
    <s v="Low"/>
    <s v="No"/>
    <n v="1.799999999999996E-3"/>
  </r>
  <r>
    <n v="393"/>
    <x v="16"/>
    <n v="1"/>
    <n v="20"/>
    <b v="1"/>
    <n v="1"/>
    <n v="3"/>
    <n v="0.16"/>
    <x v="19"/>
    <n v="0.8"/>
    <n v="0.19400000000000001"/>
    <n v="4"/>
    <n v="29"/>
    <n v="33"/>
    <s v="Spring"/>
    <s v="Monday"/>
    <s v="Light Rain/Snow"/>
    <x v="3"/>
    <s v="Cold"/>
    <s v="High"/>
    <s v="Moderate"/>
    <s v="Holiday"/>
    <s v="Mostly Registered"/>
    <n v="12.121212121212119"/>
    <n v="87.878787878787875"/>
    <s v="No"/>
    <s v="Low"/>
    <s v="No"/>
    <n v="-8.5000000000000075E-3"/>
  </r>
  <r>
    <n v="394"/>
    <x v="16"/>
    <n v="1"/>
    <n v="21"/>
    <b v="1"/>
    <n v="1"/>
    <n v="3"/>
    <n v="0.16"/>
    <x v="19"/>
    <n v="0.8"/>
    <n v="0.19400000000000001"/>
    <n v="3"/>
    <n v="24"/>
    <n v="27"/>
    <s v="Spring"/>
    <s v="Monday"/>
    <s v="Light Rain/Snow"/>
    <x v="0"/>
    <s v="Cold"/>
    <s v="High"/>
    <s v="Moderate"/>
    <s v="Holiday"/>
    <s v="Mostly Registered"/>
    <n v="11.111111111111111"/>
    <n v="88.888888888888886"/>
    <s v="No"/>
    <s v="Low"/>
    <s v="No"/>
    <n v="-8.5000000000000075E-3"/>
  </r>
  <r>
    <n v="395"/>
    <x v="16"/>
    <n v="1"/>
    <n v="22"/>
    <b v="1"/>
    <n v="1"/>
    <n v="3"/>
    <n v="0.14000000000000001"/>
    <x v="15"/>
    <n v="0.93"/>
    <n v="0.25369999999999998"/>
    <n v="0"/>
    <n v="13"/>
    <n v="13"/>
    <s v="Spring"/>
    <s v="Monday"/>
    <s v="Light Rain/Snow"/>
    <x v="0"/>
    <s v="Very Cold"/>
    <s v="High"/>
    <s v="Moderate"/>
    <s v="Holiday"/>
    <s v="Mostly Registered"/>
    <n v="0"/>
    <n v="100"/>
    <s v="No"/>
    <s v="Low"/>
    <s v="No"/>
    <n v="-1.8800000000000011E-2"/>
  </r>
  <r>
    <n v="396"/>
    <x v="16"/>
    <n v="1"/>
    <n v="23"/>
    <b v="1"/>
    <n v="1"/>
    <n v="3"/>
    <n v="0.16"/>
    <x v="13"/>
    <n v="0.86"/>
    <n v="0.28360000000000002"/>
    <n v="1"/>
    <n v="3"/>
    <n v="4"/>
    <s v="Spring"/>
    <s v="Monday"/>
    <s v="Light Rain/Snow"/>
    <x v="0"/>
    <s v="Cold"/>
    <s v="High"/>
    <s v="Moderate"/>
    <s v="Holiday"/>
    <s v="Mostly Registered"/>
    <n v="25"/>
    <n v="75"/>
    <s v="No"/>
    <s v="Low"/>
    <s v="No"/>
    <n v="-2.360000000000001E-2"/>
  </r>
  <r>
    <n v="397"/>
    <x v="17"/>
    <n v="1"/>
    <n v="12"/>
    <b v="0"/>
    <n v="2"/>
    <n v="2"/>
    <n v="0.2"/>
    <x v="17"/>
    <n v="0.86"/>
    <n v="0.32840000000000003"/>
    <n v="0"/>
    <n v="3"/>
    <n v="3"/>
    <s v="Spring"/>
    <s v="Tuesday"/>
    <s v="Mist/Cloudy"/>
    <x v="2"/>
    <s v="Cold"/>
    <s v="High"/>
    <s v="Windy"/>
    <s v="Working Day"/>
    <s v="Mostly Registered"/>
    <n v="0"/>
    <n v="100"/>
    <s v="No"/>
    <s v="Low"/>
    <s v="No"/>
    <n v="-1.8200000000000022E-2"/>
  </r>
  <r>
    <n v="398"/>
    <x v="17"/>
    <n v="1"/>
    <n v="13"/>
    <b v="0"/>
    <n v="2"/>
    <n v="2"/>
    <n v="0.2"/>
    <x v="12"/>
    <n v="0.86"/>
    <n v="0.22389999999999999"/>
    <n v="0"/>
    <n v="22"/>
    <n v="22"/>
    <s v="Spring"/>
    <s v="Tuesday"/>
    <s v="Mist/Cloudy"/>
    <x v="2"/>
    <s v="Cold"/>
    <s v="High"/>
    <s v="Moderate"/>
    <s v="Working Day"/>
    <s v="Mostly Registered"/>
    <n v="0"/>
    <n v="100"/>
    <s v="No"/>
    <s v="Low"/>
    <s v="No"/>
    <n v="-3.0000000000000031E-3"/>
  </r>
  <r>
    <n v="399"/>
    <x v="17"/>
    <n v="1"/>
    <n v="14"/>
    <b v="0"/>
    <n v="2"/>
    <n v="2"/>
    <n v="0.22"/>
    <x v="10"/>
    <n v="0.8"/>
    <n v="0.16420000000000001"/>
    <n v="2"/>
    <n v="26"/>
    <n v="28"/>
    <s v="Spring"/>
    <s v="Tuesday"/>
    <s v="Mist/Cloudy"/>
    <x v="2"/>
    <s v="Cold"/>
    <s v="High"/>
    <s v="Moderate"/>
    <s v="Working Day"/>
    <s v="Mostly Registered"/>
    <n v="7.1428571428571423"/>
    <n v="92.857142857142861"/>
    <s v="No"/>
    <s v="Low"/>
    <s v="No"/>
    <n v="7.3000000000000009E-3"/>
  </r>
  <r>
    <n v="400"/>
    <x v="17"/>
    <n v="1"/>
    <n v="15"/>
    <b v="0"/>
    <n v="2"/>
    <n v="2"/>
    <n v="0.22"/>
    <x v="10"/>
    <n v="0.87"/>
    <n v="0.16420000000000001"/>
    <n v="3"/>
    <n v="32"/>
    <n v="35"/>
    <s v="Spring"/>
    <s v="Tuesday"/>
    <s v="Mist/Cloudy"/>
    <x v="2"/>
    <s v="Cold"/>
    <s v="High"/>
    <s v="Moderate"/>
    <s v="Working Day"/>
    <s v="Mostly Registered"/>
    <n v="8.5714285714285712"/>
    <n v="91.428571428571431"/>
    <s v="No"/>
    <s v="Low"/>
    <s v="No"/>
    <n v="7.3000000000000009E-3"/>
  </r>
  <r>
    <n v="401"/>
    <x v="17"/>
    <n v="1"/>
    <n v="16"/>
    <b v="0"/>
    <n v="2"/>
    <n v="2"/>
    <n v="0.22"/>
    <x v="10"/>
    <n v="0.87"/>
    <n v="0.19400000000000001"/>
    <n v="0"/>
    <n v="61"/>
    <n v="61"/>
    <s v="Spring"/>
    <s v="Tuesday"/>
    <s v="Mist/Cloudy"/>
    <x v="2"/>
    <s v="Cold"/>
    <s v="High"/>
    <s v="Moderate"/>
    <s v="Working Day"/>
    <s v="Mostly Registered"/>
    <n v="0"/>
    <n v="100"/>
    <s v="No"/>
    <s v="Low"/>
    <s v="No"/>
    <n v="7.3000000000000009E-3"/>
  </r>
  <r>
    <n v="402"/>
    <x v="17"/>
    <n v="1"/>
    <n v="17"/>
    <b v="0"/>
    <n v="2"/>
    <n v="2"/>
    <n v="0.22"/>
    <x v="10"/>
    <n v="0.82"/>
    <n v="0.19400000000000001"/>
    <n v="1"/>
    <n v="124"/>
    <n v="125"/>
    <s v="Spring"/>
    <s v="Tuesday"/>
    <s v="Mist/Cloudy"/>
    <x v="3"/>
    <s v="Cold"/>
    <s v="High"/>
    <s v="Moderate"/>
    <s v="Working Day"/>
    <s v="Mostly Registered"/>
    <n v="0.8"/>
    <n v="99.2"/>
    <s v="Yes"/>
    <s v="Medium"/>
    <s v="No"/>
    <n v="7.3000000000000009E-3"/>
  </r>
  <r>
    <n v="403"/>
    <x v="17"/>
    <n v="1"/>
    <n v="18"/>
    <b v="0"/>
    <n v="2"/>
    <n v="2"/>
    <n v="0.22"/>
    <x v="10"/>
    <n v="0.8"/>
    <n v="0.16420000000000001"/>
    <n v="1"/>
    <n v="132"/>
    <n v="133"/>
    <s v="Spring"/>
    <s v="Tuesday"/>
    <s v="Mist/Cloudy"/>
    <x v="3"/>
    <s v="Cold"/>
    <s v="High"/>
    <s v="Moderate"/>
    <s v="Working Day"/>
    <s v="Mostly Registered"/>
    <n v="0.75187969924812026"/>
    <n v="99.248120300751879"/>
    <s v="Yes"/>
    <s v="Medium"/>
    <s v="No"/>
    <n v="7.3000000000000009E-3"/>
  </r>
  <r>
    <n v="404"/>
    <x v="17"/>
    <n v="1"/>
    <n v="19"/>
    <b v="0"/>
    <n v="2"/>
    <n v="2"/>
    <n v="0.22"/>
    <x v="10"/>
    <n v="0.8"/>
    <n v="0.1343"/>
    <n v="1"/>
    <n v="98"/>
    <n v="99"/>
    <s v="Spring"/>
    <s v="Tuesday"/>
    <s v="Mist/Cloudy"/>
    <x v="3"/>
    <s v="Cold"/>
    <s v="High"/>
    <s v="Calm"/>
    <s v="Working Day"/>
    <s v="Mostly Registered"/>
    <n v="1.0101010101010099"/>
    <n v="98.98989898989899"/>
    <s v="Yes"/>
    <s v="Low"/>
    <s v="No"/>
    <n v="7.3000000000000009E-3"/>
  </r>
  <r>
    <n v="405"/>
    <x v="17"/>
    <n v="1"/>
    <n v="20"/>
    <b v="0"/>
    <n v="2"/>
    <n v="2"/>
    <n v="0.22"/>
    <x v="1"/>
    <n v="0.87"/>
    <n v="0"/>
    <n v="0"/>
    <n v="83"/>
    <n v="83"/>
    <s v="Spring"/>
    <s v="Tuesday"/>
    <s v="Mist/Cloudy"/>
    <x v="3"/>
    <s v="Cold"/>
    <s v="High"/>
    <s v="Calm"/>
    <s v="Working Day"/>
    <s v="Mostly Registered"/>
    <n v="0"/>
    <n v="100"/>
    <s v="No"/>
    <s v="Low"/>
    <s v="No"/>
    <n v="5.2699999999999997E-2"/>
  </r>
  <r>
    <n v="406"/>
    <x v="17"/>
    <n v="1"/>
    <n v="21"/>
    <b v="0"/>
    <n v="2"/>
    <n v="2"/>
    <n v="0.22"/>
    <x v="18"/>
    <n v="0.93"/>
    <n v="0.1045"/>
    <n v="0"/>
    <n v="41"/>
    <n v="41"/>
    <s v="Spring"/>
    <s v="Tuesday"/>
    <s v="Mist/Cloudy"/>
    <x v="0"/>
    <s v="Cold"/>
    <s v="High"/>
    <s v="Calm"/>
    <s v="Working Day"/>
    <s v="Mostly Registered"/>
    <n v="0"/>
    <n v="100"/>
    <s v="No"/>
    <s v="Low"/>
    <s v="No"/>
    <n v="2.24E-2"/>
  </r>
  <r>
    <n v="407"/>
    <x v="17"/>
    <n v="1"/>
    <n v="22"/>
    <b v="0"/>
    <n v="2"/>
    <n v="2"/>
    <n v="0.22"/>
    <x v="2"/>
    <n v="0.93"/>
    <n v="8.9599999999999999E-2"/>
    <n v="0"/>
    <n v="33"/>
    <n v="33"/>
    <s v="Spring"/>
    <s v="Tuesday"/>
    <s v="Mist/Cloudy"/>
    <x v="0"/>
    <s v="Cold"/>
    <s v="High"/>
    <s v="Calm"/>
    <s v="Working Day"/>
    <s v="Mostly Registered"/>
    <n v="0"/>
    <n v="100"/>
    <s v="No"/>
    <s v="Low"/>
    <s v="No"/>
    <n v="3.7599999999999988E-2"/>
  </r>
  <r>
    <n v="408"/>
    <x v="17"/>
    <n v="1"/>
    <n v="23"/>
    <b v="0"/>
    <n v="2"/>
    <n v="2"/>
    <n v="0.22"/>
    <x v="1"/>
    <n v="0.93"/>
    <n v="0"/>
    <n v="1"/>
    <n v="19"/>
    <n v="20"/>
    <s v="Spring"/>
    <s v="Tuesday"/>
    <s v="Mist/Cloudy"/>
    <x v="0"/>
    <s v="Cold"/>
    <s v="High"/>
    <s v="Calm"/>
    <s v="Working Day"/>
    <s v="Mostly Registered"/>
    <n v="5"/>
    <n v="95"/>
    <s v="No"/>
    <s v="Low"/>
    <s v="No"/>
    <n v="5.2699999999999997E-2"/>
  </r>
  <r>
    <n v="409"/>
    <x v="18"/>
    <n v="1"/>
    <n v="0"/>
    <b v="0"/>
    <n v="3"/>
    <n v="2"/>
    <n v="0.22"/>
    <x v="1"/>
    <n v="0.93"/>
    <n v="0"/>
    <n v="0"/>
    <n v="3"/>
    <n v="3"/>
    <s v="Spring"/>
    <s v="Wednesday"/>
    <s v="Mist/Cloudy"/>
    <x v="0"/>
    <s v="Cold"/>
    <s v="High"/>
    <s v="Calm"/>
    <s v="Working Day"/>
    <s v="Mostly Registered"/>
    <n v="0"/>
    <n v="100"/>
    <s v="No"/>
    <s v="Low"/>
    <s v="No"/>
    <n v="5.2699999999999997E-2"/>
  </r>
  <r>
    <n v="410"/>
    <x v="18"/>
    <n v="1"/>
    <n v="1"/>
    <b v="0"/>
    <n v="3"/>
    <n v="3"/>
    <n v="0.22"/>
    <x v="10"/>
    <n v="0.93"/>
    <n v="0.1343"/>
    <n v="1"/>
    <n v="6"/>
    <n v="7"/>
    <s v="Spring"/>
    <s v="Wednesday"/>
    <s v="Light Rain/Snow"/>
    <x v="0"/>
    <s v="Cold"/>
    <s v="High"/>
    <s v="Calm"/>
    <s v="Working Day"/>
    <s v="Mostly Registered"/>
    <n v="14.285714285714279"/>
    <n v="85.714285714285708"/>
    <s v="No"/>
    <s v="Low"/>
    <s v="No"/>
    <n v="7.3000000000000009E-3"/>
  </r>
  <r>
    <n v="411"/>
    <x v="18"/>
    <n v="1"/>
    <n v="2"/>
    <b v="0"/>
    <n v="3"/>
    <n v="3"/>
    <n v="0.22"/>
    <x v="10"/>
    <n v="0.93"/>
    <n v="0.1343"/>
    <n v="0"/>
    <n v="3"/>
    <n v="3"/>
    <s v="Spring"/>
    <s v="Wednesday"/>
    <s v="Light Rain/Snow"/>
    <x v="0"/>
    <s v="Cold"/>
    <s v="High"/>
    <s v="Calm"/>
    <s v="Working Day"/>
    <s v="Mostly Registered"/>
    <n v="0"/>
    <n v="100"/>
    <s v="No"/>
    <s v="Low"/>
    <s v="No"/>
    <n v="7.3000000000000009E-3"/>
  </r>
  <r>
    <n v="412"/>
    <x v="18"/>
    <n v="1"/>
    <n v="4"/>
    <b v="0"/>
    <n v="3"/>
    <n v="3"/>
    <n v="0.22"/>
    <x v="10"/>
    <n v="0.93"/>
    <n v="0.1343"/>
    <n v="1"/>
    <n v="1"/>
    <n v="2"/>
    <s v="Spring"/>
    <s v="Wednesday"/>
    <s v="Light Rain/Snow"/>
    <x v="0"/>
    <s v="Cold"/>
    <s v="High"/>
    <s v="Calm"/>
    <s v="Working Day"/>
    <s v="Mostly Registered"/>
    <n v="50"/>
    <n v="50"/>
    <s v="No"/>
    <s v="Low"/>
    <s v="No"/>
    <n v="7.3000000000000009E-3"/>
  </r>
  <r>
    <n v="413"/>
    <x v="18"/>
    <n v="1"/>
    <n v="5"/>
    <b v="0"/>
    <n v="3"/>
    <n v="2"/>
    <n v="0.22"/>
    <x v="2"/>
    <n v="0.93"/>
    <n v="8.9599999999999999E-2"/>
    <n v="0"/>
    <n v="7"/>
    <n v="7"/>
    <s v="Spring"/>
    <s v="Wednesday"/>
    <s v="Mist/Cloudy"/>
    <x v="0"/>
    <s v="Cold"/>
    <s v="High"/>
    <s v="Calm"/>
    <s v="Working Day"/>
    <s v="Mostly Registered"/>
    <n v="0"/>
    <n v="100"/>
    <s v="No"/>
    <s v="Low"/>
    <s v="No"/>
    <n v="3.7599999999999988E-2"/>
  </r>
  <r>
    <n v="414"/>
    <x v="18"/>
    <n v="1"/>
    <n v="6"/>
    <b v="0"/>
    <n v="3"/>
    <n v="2"/>
    <n v="0.22"/>
    <x v="2"/>
    <n v="0.93"/>
    <n v="8.9599999999999999E-2"/>
    <n v="0"/>
    <n v="32"/>
    <n v="32"/>
    <s v="Spring"/>
    <s v="Wednesday"/>
    <s v="Mist/Cloudy"/>
    <x v="1"/>
    <s v="Cold"/>
    <s v="High"/>
    <s v="Calm"/>
    <s v="Working Day"/>
    <s v="Mostly Registered"/>
    <n v="0"/>
    <n v="100"/>
    <s v="No"/>
    <s v="Low"/>
    <s v="No"/>
    <n v="3.7599999999999988E-2"/>
  </r>
  <r>
    <n v="415"/>
    <x v="18"/>
    <n v="1"/>
    <n v="7"/>
    <b v="0"/>
    <n v="3"/>
    <n v="2"/>
    <n v="0.24"/>
    <x v="2"/>
    <n v="0.92"/>
    <n v="0.1045"/>
    <n v="1"/>
    <n v="89"/>
    <n v="90"/>
    <s v="Spring"/>
    <s v="Wednesday"/>
    <s v="Mist/Cloudy"/>
    <x v="1"/>
    <s v="Cold"/>
    <s v="High"/>
    <s v="Calm"/>
    <s v="Working Day"/>
    <s v="Mostly Registered"/>
    <n v="1.1111111111111109"/>
    <n v="98.888888888888886"/>
    <s v="Yes"/>
    <s v="Low"/>
    <s v="No"/>
    <n v="1.7600000000000001E-2"/>
  </r>
  <r>
    <n v="416"/>
    <x v="18"/>
    <n v="1"/>
    <n v="8"/>
    <b v="0"/>
    <n v="3"/>
    <n v="2"/>
    <n v="0.24"/>
    <x v="2"/>
    <n v="0.93"/>
    <n v="0.1045"/>
    <n v="1"/>
    <n v="196"/>
    <n v="197"/>
    <s v="Spring"/>
    <s v="Wednesday"/>
    <s v="Mist/Cloudy"/>
    <x v="1"/>
    <s v="Cold"/>
    <s v="High"/>
    <s v="Calm"/>
    <s v="Working Day"/>
    <s v="Mostly Registered"/>
    <n v="0.50761421319796951"/>
    <n v="99.492385786802032"/>
    <s v="Yes"/>
    <s v="Medium"/>
    <s v="No"/>
    <n v="1.7600000000000001E-2"/>
  </r>
  <r>
    <n v="417"/>
    <x v="18"/>
    <n v="1"/>
    <n v="9"/>
    <b v="0"/>
    <n v="3"/>
    <n v="2"/>
    <n v="0.24"/>
    <x v="2"/>
    <n v="0.93"/>
    <n v="0.1045"/>
    <n v="2"/>
    <n v="107"/>
    <n v="109"/>
    <s v="Spring"/>
    <s v="Wednesday"/>
    <s v="Mist/Cloudy"/>
    <x v="1"/>
    <s v="Cold"/>
    <s v="High"/>
    <s v="Calm"/>
    <s v="Working Day"/>
    <s v="Mostly Registered"/>
    <n v="1.834862385321101"/>
    <n v="98.165137614678898"/>
    <s v="Yes"/>
    <s v="Medium"/>
    <s v="No"/>
    <n v="1.7600000000000001E-2"/>
  </r>
  <r>
    <n v="418"/>
    <x v="18"/>
    <n v="1"/>
    <n v="10"/>
    <b v="0"/>
    <n v="3"/>
    <n v="2"/>
    <n v="0.26"/>
    <x v="1"/>
    <n v="0.93"/>
    <n v="0.1343"/>
    <n v="1"/>
    <n v="46"/>
    <n v="47"/>
    <s v="Spring"/>
    <s v="Wednesday"/>
    <s v="Mist/Cloudy"/>
    <x v="1"/>
    <s v="Mild"/>
    <s v="High"/>
    <s v="Calm"/>
    <s v="Working Day"/>
    <s v="Mostly Registered"/>
    <n v="2.1276595744680851"/>
    <n v="97.872340425531917"/>
    <s v="No"/>
    <s v="Low"/>
    <s v="No"/>
    <n v="1.2699999999999991E-2"/>
  </r>
  <r>
    <n v="419"/>
    <x v="18"/>
    <n v="1"/>
    <n v="11"/>
    <b v="0"/>
    <n v="3"/>
    <n v="2"/>
    <n v="0.28000000000000003"/>
    <x v="24"/>
    <n v="0.87"/>
    <n v="8.9599999999999999E-2"/>
    <n v="5"/>
    <n v="47"/>
    <n v="52"/>
    <s v="Spring"/>
    <s v="Wednesday"/>
    <s v="Mist/Cloudy"/>
    <x v="1"/>
    <s v="Mild"/>
    <s v="High"/>
    <s v="Calm"/>
    <s v="Working Day"/>
    <s v="Mostly Registered"/>
    <n v="9.6153846153846168"/>
    <n v="90.384615384615387"/>
    <s v="No"/>
    <s v="Low"/>
    <s v="No"/>
    <n v="2.2999999999999961E-2"/>
  </r>
  <r>
    <n v="420"/>
    <x v="18"/>
    <n v="1"/>
    <n v="12"/>
    <b v="0"/>
    <n v="3"/>
    <n v="2"/>
    <n v="0.3"/>
    <x v="20"/>
    <n v="0.81"/>
    <n v="8.9599999999999999E-2"/>
    <n v="5"/>
    <n v="65"/>
    <n v="70"/>
    <s v="Spring"/>
    <s v="Wednesday"/>
    <s v="Mist/Cloudy"/>
    <x v="2"/>
    <s v="Mild"/>
    <s v="High"/>
    <s v="Calm"/>
    <s v="Working Day"/>
    <s v="Mostly Registered"/>
    <n v="7.1428571428571423"/>
    <n v="92.857142857142861"/>
    <s v="No"/>
    <s v="Low"/>
    <s v="No"/>
    <n v="1.819999999999999E-2"/>
  </r>
  <r>
    <n v="421"/>
    <x v="18"/>
    <n v="1"/>
    <n v="13"/>
    <b v="0"/>
    <n v="3"/>
    <n v="1"/>
    <n v="0.4"/>
    <x v="9"/>
    <n v="0.62"/>
    <n v="0.28360000000000002"/>
    <n v="11"/>
    <n v="67"/>
    <n v="78"/>
    <s v="Spring"/>
    <s v="Wednesday"/>
    <s v="Clear"/>
    <x v="2"/>
    <s v="Warm"/>
    <s v="Medium"/>
    <s v="Moderate"/>
    <s v="Working Day"/>
    <s v="Mostly Registered"/>
    <n v="14.1025641025641"/>
    <n v="85.897435897435898"/>
    <s v="No"/>
    <s v="Low"/>
    <s v="No"/>
    <n v="9.099999999999997E-3"/>
  </r>
  <r>
    <n v="422"/>
    <x v="18"/>
    <n v="1"/>
    <n v="14"/>
    <b v="0"/>
    <n v="3"/>
    <n v="1"/>
    <n v="0.4"/>
    <x v="9"/>
    <n v="0.57999999999999996"/>
    <n v="0.25369999999999998"/>
    <n v="7"/>
    <n v="68"/>
    <n v="75"/>
    <s v="Spring"/>
    <s v="Wednesday"/>
    <s v="Clear"/>
    <x v="2"/>
    <s v="Warm"/>
    <s v="Medium"/>
    <s v="Moderate"/>
    <s v="Working Day"/>
    <s v="Mostly Registered"/>
    <n v="9.3333333333333339"/>
    <n v="90.666666666666657"/>
    <s v="No"/>
    <s v="Low"/>
    <s v="No"/>
    <n v="9.099999999999997E-3"/>
  </r>
  <r>
    <n v="423"/>
    <x v="18"/>
    <n v="1"/>
    <n v="15"/>
    <b v="0"/>
    <n v="3"/>
    <n v="1"/>
    <n v="0.4"/>
    <x v="9"/>
    <n v="0.54"/>
    <n v="0.28360000000000002"/>
    <n v="4"/>
    <n v="78"/>
    <n v="82"/>
    <s v="Spring"/>
    <s v="Wednesday"/>
    <s v="Clear"/>
    <x v="2"/>
    <s v="Warm"/>
    <s v="Medium"/>
    <s v="Moderate"/>
    <s v="Working Day"/>
    <s v="Mostly Registered"/>
    <n v="4.8780487804878048"/>
    <n v="95.121951219512198"/>
    <s v="No"/>
    <s v="Low"/>
    <s v="No"/>
    <n v="9.099999999999997E-3"/>
  </r>
  <r>
    <n v="424"/>
    <x v="18"/>
    <n v="1"/>
    <n v="16"/>
    <b v="0"/>
    <n v="3"/>
    <n v="1"/>
    <n v="0.38"/>
    <x v="4"/>
    <n v="0.57999999999999996"/>
    <n v="0.3881"/>
    <n v="10"/>
    <n v="94"/>
    <n v="104"/>
    <s v="Spring"/>
    <s v="Wednesday"/>
    <s v="Clear"/>
    <x v="2"/>
    <s v="Warm"/>
    <s v="Medium"/>
    <s v="Windy"/>
    <s v="Working Day"/>
    <s v="Mostly Registered"/>
    <n v="9.6153846153846168"/>
    <n v="90.384615384615387"/>
    <s v="No"/>
    <s v="Medium"/>
    <s v="No"/>
    <n v="1.389999999999997E-2"/>
  </r>
  <r>
    <n v="425"/>
    <x v="18"/>
    <n v="1"/>
    <n v="17"/>
    <b v="0"/>
    <n v="3"/>
    <n v="1"/>
    <n v="0.36"/>
    <x v="5"/>
    <n v="0.56999999999999995"/>
    <n v="0.32840000000000003"/>
    <n v="7"/>
    <n v="190"/>
    <n v="197"/>
    <s v="Spring"/>
    <s v="Wednesday"/>
    <s v="Clear"/>
    <x v="3"/>
    <s v="Warm"/>
    <s v="Medium"/>
    <s v="Windy"/>
    <s v="Working Day"/>
    <s v="Mostly Registered"/>
    <n v="3.5532994923857868"/>
    <n v="96.44670050761421"/>
    <s v="Yes"/>
    <s v="Medium"/>
    <s v="No"/>
    <n v="-2.6700000000000002E-2"/>
  </r>
  <r>
    <n v="426"/>
    <x v="18"/>
    <n v="1"/>
    <n v="18"/>
    <b v="0"/>
    <n v="3"/>
    <n v="1"/>
    <n v="0.34"/>
    <x v="20"/>
    <n v="0.61"/>
    <n v="0.28360000000000002"/>
    <n v="5"/>
    <n v="156"/>
    <n v="161"/>
    <s v="Spring"/>
    <s v="Wednesday"/>
    <s v="Clear"/>
    <x v="3"/>
    <s v="Mild"/>
    <s v="Medium"/>
    <s v="Moderate"/>
    <s v="Working Day"/>
    <s v="Mostly Registered"/>
    <n v="3.1055900621118009"/>
    <n v="96.894409937888199"/>
    <s v="Yes"/>
    <s v="Medium"/>
    <s v="No"/>
    <n v="-2.1800000000000042E-2"/>
  </r>
  <r>
    <n v="427"/>
    <x v="18"/>
    <n v="1"/>
    <n v="19"/>
    <b v="0"/>
    <n v="3"/>
    <n v="1"/>
    <n v="0.32"/>
    <x v="0"/>
    <n v="0.56999999999999995"/>
    <n v="0.41789999999999999"/>
    <n v="4"/>
    <n v="108"/>
    <n v="112"/>
    <s v="Spring"/>
    <s v="Wednesday"/>
    <s v="Clear"/>
    <x v="3"/>
    <s v="Mild"/>
    <s v="Medium"/>
    <s v="Windy"/>
    <s v="Working Day"/>
    <s v="Mostly Registered"/>
    <n v="3.5714285714285712"/>
    <n v="96.428571428571431"/>
    <s v="Yes"/>
    <s v="Medium"/>
    <s v="No"/>
    <n v="-3.2100000000000017E-2"/>
  </r>
  <r>
    <n v="428"/>
    <x v="18"/>
    <n v="1"/>
    <n v="20"/>
    <b v="0"/>
    <n v="3"/>
    <n v="1"/>
    <n v="0.32"/>
    <x v="24"/>
    <n v="0.49"/>
    <n v="0.29849999999999999"/>
    <n v="2"/>
    <n v="74"/>
    <n v="76"/>
    <s v="Spring"/>
    <s v="Wednesday"/>
    <s v="Clear"/>
    <x v="3"/>
    <s v="Mild"/>
    <s v="Medium"/>
    <s v="Moderate"/>
    <s v="Working Day"/>
    <s v="Mostly Registered"/>
    <n v="2.6315789473684208"/>
    <n v="97.368421052631575"/>
    <s v="No"/>
    <s v="Low"/>
    <s v="No"/>
    <n v="-1.7000000000000019E-2"/>
  </r>
  <r>
    <n v="429"/>
    <x v="18"/>
    <n v="1"/>
    <n v="21"/>
    <b v="0"/>
    <n v="3"/>
    <n v="1"/>
    <n v="0.32"/>
    <x v="0"/>
    <n v="0.49"/>
    <n v="0.41789999999999999"/>
    <n v="4"/>
    <n v="55"/>
    <n v="59"/>
    <s v="Spring"/>
    <s v="Wednesday"/>
    <s v="Clear"/>
    <x v="0"/>
    <s v="Mild"/>
    <s v="Medium"/>
    <s v="Windy"/>
    <s v="Working Day"/>
    <s v="Mostly Registered"/>
    <n v="6.7796610169491522"/>
    <n v="93.220338983050837"/>
    <s v="No"/>
    <s v="Low"/>
    <s v="No"/>
    <n v="-3.2100000000000017E-2"/>
  </r>
  <r>
    <n v="430"/>
    <x v="18"/>
    <n v="1"/>
    <n v="22"/>
    <b v="0"/>
    <n v="3"/>
    <n v="1"/>
    <n v="0.3"/>
    <x v="24"/>
    <n v="0.52"/>
    <n v="0.16420000000000001"/>
    <n v="6"/>
    <n v="53"/>
    <n v="59"/>
    <s v="Spring"/>
    <s v="Wednesday"/>
    <s v="Clear"/>
    <x v="0"/>
    <s v="Mild"/>
    <s v="Medium"/>
    <s v="Moderate"/>
    <s v="Working Day"/>
    <s v="Mostly Registered"/>
    <n v="10.16949152542373"/>
    <n v="89.830508474576277"/>
    <s v="No"/>
    <s v="Low"/>
    <s v="No"/>
    <n v="3.0000000000000031E-3"/>
  </r>
  <r>
    <n v="431"/>
    <x v="18"/>
    <n v="1"/>
    <n v="23"/>
    <b v="0"/>
    <n v="3"/>
    <n v="1"/>
    <n v="0.3"/>
    <x v="1"/>
    <n v="0.52"/>
    <n v="0.4627"/>
    <n v="1"/>
    <n v="27"/>
    <n v="28"/>
    <s v="Spring"/>
    <s v="Wednesday"/>
    <s v="Clear"/>
    <x v="0"/>
    <s v="Mild"/>
    <s v="Medium"/>
    <s v="Windy"/>
    <s v="Working Day"/>
    <s v="Mostly Registered"/>
    <n v="3.5714285714285712"/>
    <n v="96.428571428571431"/>
    <s v="No"/>
    <s v="Low"/>
    <s v="No"/>
    <n v="-2.7299999999999991E-2"/>
  </r>
  <r>
    <n v="432"/>
    <x v="19"/>
    <n v="1"/>
    <n v="0"/>
    <b v="0"/>
    <n v="4"/>
    <n v="1"/>
    <n v="0.26"/>
    <x v="10"/>
    <n v="0.56000000000000005"/>
    <n v="0.3881"/>
    <n v="5"/>
    <n v="8"/>
    <n v="13"/>
    <s v="Spring"/>
    <s v="Thursday"/>
    <s v="Clear"/>
    <x v="0"/>
    <s v="Mild"/>
    <s v="Medium"/>
    <s v="Windy"/>
    <s v="Working Day"/>
    <s v="Mostly Registered"/>
    <n v="38.461538461538467"/>
    <n v="61.53846153846154"/>
    <s v="No"/>
    <s v="Low"/>
    <s v="No"/>
    <n v="-3.2700000000000007E-2"/>
  </r>
  <r>
    <n v="433"/>
    <x v="19"/>
    <n v="1"/>
    <n v="1"/>
    <b v="0"/>
    <n v="4"/>
    <n v="1"/>
    <n v="0.26"/>
    <x v="1"/>
    <n v="0.56000000000000005"/>
    <n v="0"/>
    <n v="2"/>
    <n v="3"/>
    <n v="5"/>
    <s v="Spring"/>
    <s v="Thursday"/>
    <s v="Clear"/>
    <x v="0"/>
    <s v="Mild"/>
    <s v="Medium"/>
    <s v="Calm"/>
    <s v="Working Day"/>
    <s v="Mostly Registered"/>
    <n v="40"/>
    <n v="60"/>
    <s v="No"/>
    <s v="Low"/>
    <s v="No"/>
    <n v="1.2699999999999991E-2"/>
  </r>
  <r>
    <n v="434"/>
    <x v="19"/>
    <n v="1"/>
    <n v="2"/>
    <b v="0"/>
    <n v="4"/>
    <n v="1"/>
    <n v="0.26"/>
    <x v="1"/>
    <n v="0.56000000000000005"/>
    <n v="0"/>
    <n v="0"/>
    <n v="2"/>
    <n v="2"/>
    <s v="Spring"/>
    <s v="Thursday"/>
    <s v="Clear"/>
    <x v="0"/>
    <s v="Mild"/>
    <s v="Medium"/>
    <s v="Calm"/>
    <s v="Working Day"/>
    <s v="Mostly Registered"/>
    <n v="0"/>
    <n v="100"/>
    <s v="No"/>
    <s v="Low"/>
    <s v="No"/>
    <n v="1.2699999999999991E-2"/>
  </r>
  <r>
    <n v="435"/>
    <x v="19"/>
    <n v="1"/>
    <n v="3"/>
    <b v="0"/>
    <n v="4"/>
    <n v="1"/>
    <n v="0.26"/>
    <x v="2"/>
    <n v="0.56000000000000005"/>
    <n v="0.16420000000000001"/>
    <n v="0"/>
    <n v="1"/>
    <n v="1"/>
    <s v="Spring"/>
    <s v="Thursday"/>
    <s v="Clear"/>
    <x v="0"/>
    <s v="Mild"/>
    <s v="Medium"/>
    <s v="Moderate"/>
    <s v="Working Day"/>
    <s v="Mostly Registered"/>
    <n v="0"/>
    <n v="100"/>
    <s v="No"/>
    <s v="Low"/>
    <s v="No"/>
    <n v="-2.4000000000000128E-3"/>
  </r>
  <r>
    <n v="436"/>
    <x v="19"/>
    <n v="1"/>
    <n v="4"/>
    <b v="0"/>
    <n v="4"/>
    <n v="1"/>
    <n v="0.26"/>
    <x v="2"/>
    <n v="0.56000000000000005"/>
    <n v="0.16420000000000001"/>
    <n v="0"/>
    <n v="1"/>
    <n v="1"/>
    <s v="Spring"/>
    <s v="Thursday"/>
    <s v="Clear"/>
    <x v="0"/>
    <s v="Mild"/>
    <s v="Medium"/>
    <s v="Moderate"/>
    <s v="Working Day"/>
    <s v="Mostly Registered"/>
    <n v="0"/>
    <n v="100"/>
    <s v="No"/>
    <s v="Low"/>
    <s v="No"/>
    <n v="-2.4000000000000128E-3"/>
  </r>
  <r>
    <n v="437"/>
    <x v="19"/>
    <n v="1"/>
    <n v="5"/>
    <b v="0"/>
    <n v="4"/>
    <n v="1"/>
    <n v="0.24"/>
    <x v="10"/>
    <n v="0.6"/>
    <n v="0.22389999999999999"/>
    <n v="0"/>
    <n v="6"/>
    <n v="6"/>
    <s v="Spring"/>
    <s v="Thursday"/>
    <s v="Clear"/>
    <x v="0"/>
    <s v="Cold"/>
    <s v="Medium"/>
    <s v="Moderate"/>
    <s v="Working Day"/>
    <s v="Mostly Registered"/>
    <n v="0"/>
    <n v="100"/>
    <s v="No"/>
    <s v="Low"/>
    <s v="No"/>
    <n v="-1.2699999999999991E-2"/>
  </r>
  <r>
    <n v="438"/>
    <x v="19"/>
    <n v="1"/>
    <n v="6"/>
    <b v="0"/>
    <n v="4"/>
    <n v="1"/>
    <n v="0.22"/>
    <x v="11"/>
    <n v="0.6"/>
    <n v="0.22389999999999999"/>
    <n v="0"/>
    <n v="35"/>
    <n v="35"/>
    <s v="Spring"/>
    <s v="Thursday"/>
    <s v="Clear"/>
    <x v="1"/>
    <s v="Cold"/>
    <s v="Medium"/>
    <s v="Moderate"/>
    <s v="Working Day"/>
    <s v="Mostly Registered"/>
    <n v="0"/>
    <n v="100"/>
    <s v="No"/>
    <s v="Low"/>
    <s v="No"/>
    <n v="-7.8999999999999904E-3"/>
  </r>
  <r>
    <n v="439"/>
    <x v="19"/>
    <n v="1"/>
    <n v="7"/>
    <b v="0"/>
    <n v="4"/>
    <n v="1"/>
    <n v="0.22"/>
    <x v="11"/>
    <n v="0.55000000000000004"/>
    <n v="0.22389999999999999"/>
    <n v="1"/>
    <n v="100"/>
    <n v="101"/>
    <s v="Spring"/>
    <s v="Thursday"/>
    <s v="Clear"/>
    <x v="1"/>
    <s v="Cold"/>
    <s v="Medium"/>
    <s v="Moderate"/>
    <s v="Working Day"/>
    <s v="Mostly Registered"/>
    <n v="0.99009900990099009"/>
    <n v="99.009900990099013"/>
    <s v="Yes"/>
    <s v="Medium"/>
    <s v="No"/>
    <n v="-7.8999999999999904E-3"/>
  </r>
  <r>
    <n v="440"/>
    <x v="19"/>
    <n v="1"/>
    <n v="8"/>
    <b v="0"/>
    <n v="4"/>
    <n v="1"/>
    <n v="0.22"/>
    <x v="11"/>
    <n v="0.55000000000000004"/>
    <n v="0.28360000000000002"/>
    <n v="2"/>
    <n v="247"/>
    <n v="249"/>
    <s v="Spring"/>
    <s v="Thursday"/>
    <s v="Clear"/>
    <x v="1"/>
    <s v="Cold"/>
    <s v="Medium"/>
    <s v="Moderate"/>
    <s v="Working Day"/>
    <s v="Mostly Registered"/>
    <n v="0.80321285140562237"/>
    <n v="99.196787148594382"/>
    <s v="Yes"/>
    <s v="Medium"/>
    <s v="No"/>
    <n v="-7.8999999999999904E-3"/>
  </r>
  <r>
    <n v="441"/>
    <x v="19"/>
    <n v="1"/>
    <n v="9"/>
    <b v="0"/>
    <n v="4"/>
    <n v="2"/>
    <n v="0.24"/>
    <x v="10"/>
    <n v="0.52"/>
    <n v="0.22389999999999999"/>
    <n v="3"/>
    <n v="140"/>
    <n v="143"/>
    <s v="Spring"/>
    <s v="Thursday"/>
    <s v="Mist/Cloudy"/>
    <x v="1"/>
    <s v="Cold"/>
    <s v="Medium"/>
    <s v="Moderate"/>
    <s v="Working Day"/>
    <s v="Mostly Registered"/>
    <n v="2.0979020979020979"/>
    <n v="97.902097902097907"/>
    <s v="Yes"/>
    <s v="Medium"/>
    <s v="No"/>
    <n v="-1.2699999999999991E-2"/>
  </r>
  <r>
    <n v="442"/>
    <x v="19"/>
    <n v="1"/>
    <n v="10"/>
    <b v="0"/>
    <n v="4"/>
    <n v="1"/>
    <n v="0.26"/>
    <x v="10"/>
    <n v="0.48"/>
    <n v="0.29849999999999999"/>
    <n v="1"/>
    <n v="56"/>
    <n v="57"/>
    <s v="Spring"/>
    <s v="Thursday"/>
    <s v="Clear"/>
    <x v="1"/>
    <s v="Mild"/>
    <s v="Medium"/>
    <s v="Moderate"/>
    <s v="Working Day"/>
    <s v="Mostly Registered"/>
    <n v="1.754385964912281"/>
    <n v="98.245614035087712"/>
    <s v="No"/>
    <s v="Low"/>
    <s v="No"/>
    <n v="-3.2700000000000007E-2"/>
  </r>
  <r>
    <n v="443"/>
    <x v="19"/>
    <n v="1"/>
    <n v="11"/>
    <b v="0"/>
    <n v="4"/>
    <n v="2"/>
    <n v="0.28000000000000003"/>
    <x v="1"/>
    <n v="0.45"/>
    <n v="0.16420000000000001"/>
    <n v="5"/>
    <n v="63"/>
    <n v="68"/>
    <s v="Spring"/>
    <s v="Thursday"/>
    <s v="Mist/Cloudy"/>
    <x v="1"/>
    <s v="Mild"/>
    <s v="Medium"/>
    <s v="Moderate"/>
    <s v="Working Day"/>
    <s v="Mostly Registered"/>
    <n v="7.3529411764705888"/>
    <n v="92.64705882352942"/>
    <s v="No"/>
    <s v="Low"/>
    <s v="No"/>
    <n v="-7.3000000000000287E-3"/>
  </r>
  <r>
    <n v="444"/>
    <x v="19"/>
    <n v="1"/>
    <n v="12"/>
    <b v="0"/>
    <n v="4"/>
    <n v="2"/>
    <n v="0.3"/>
    <x v="5"/>
    <n v="0.42"/>
    <n v="0"/>
    <n v="7"/>
    <n v="77"/>
    <n v="84"/>
    <s v="Spring"/>
    <s v="Thursday"/>
    <s v="Mist/Cloudy"/>
    <x v="2"/>
    <s v="Mild"/>
    <s v="Medium"/>
    <s v="Calm"/>
    <s v="Working Day"/>
    <s v="Mostly Registered"/>
    <n v="8.3333333333333321"/>
    <n v="91.666666666666657"/>
    <s v="No"/>
    <s v="Low"/>
    <s v="No"/>
    <n v="3.3300000000000003E-2"/>
  </r>
  <r>
    <n v="445"/>
    <x v="19"/>
    <n v="1"/>
    <n v="13"/>
    <b v="0"/>
    <n v="4"/>
    <n v="2"/>
    <n v="0.28000000000000003"/>
    <x v="0"/>
    <n v="0.45"/>
    <n v="0.1045"/>
    <n v="12"/>
    <n v="86"/>
    <n v="98"/>
    <s v="Spring"/>
    <s v="Thursday"/>
    <s v="Mist/Cloudy"/>
    <x v="2"/>
    <s v="Mild"/>
    <s v="Medium"/>
    <s v="Calm"/>
    <s v="Working Day"/>
    <s v="Mostly Registered"/>
    <n v="12.244897959183669"/>
    <n v="87.755102040816325"/>
    <s v="No"/>
    <s v="Low"/>
    <s v="No"/>
    <n v="7.8999999999999626E-3"/>
  </r>
  <r>
    <n v="446"/>
    <x v="19"/>
    <n v="1"/>
    <n v="14"/>
    <b v="0"/>
    <n v="4"/>
    <n v="2"/>
    <n v="0.3"/>
    <x v="24"/>
    <n v="0.45"/>
    <n v="0.1343"/>
    <n v="6"/>
    <n v="75"/>
    <n v="81"/>
    <s v="Spring"/>
    <s v="Thursday"/>
    <s v="Mist/Cloudy"/>
    <x v="2"/>
    <s v="Mild"/>
    <s v="Medium"/>
    <s v="Calm"/>
    <s v="Working Day"/>
    <s v="Mostly Registered"/>
    <n v="7.4074074074074074"/>
    <n v="92.592592592592595"/>
    <s v="No"/>
    <s v="Low"/>
    <s v="No"/>
    <n v="3.0000000000000031E-3"/>
  </r>
  <r>
    <n v="447"/>
    <x v="19"/>
    <n v="1"/>
    <n v="15"/>
    <b v="0"/>
    <n v="4"/>
    <n v="2"/>
    <n v="0.32"/>
    <x v="20"/>
    <n v="0.45"/>
    <n v="0.19400000000000001"/>
    <n v="8"/>
    <n v="62"/>
    <n v="70"/>
    <s v="Spring"/>
    <s v="Thursday"/>
    <s v="Mist/Cloudy"/>
    <x v="2"/>
    <s v="Mild"/>
    <s v="Medium"/>
    <s v="Moderate"/>
    <s v="Working Day"/>
    <s v="Mostly Registered"/>
    <n v="11.428571428571431"/>
    <n v="88.571428571428569"/>
    <s v="No"/>
    <s v="Low"/>
    <s v="No"/>
    <n v="-1.800000000000024E-3"/>
  </r>
  <r>
    <n v="448"/>
    <x v="19"/>
    <n v="1"/>
    <n v="16"/>
    <b v="0"/>
    <n v="4"/>
    <n v="2"/>
    <n v="0.3"/>
    <x v="24"/>
    <n v="0.49"/>
    <n v="0.1343"/>
    <n v="8"/>
    <n v="83"/>
    <n v="91"/>
    <s v="Spring"/>
    <s v="Thursday"/>
    <s v="Mist/Cloudy"/>
    <x v="2"/>
    <s v="Mild"/>
    <s v="Medium"/>
    <s v="Calm"/>
    <s v="Working Day"/>
    <s v="Mostly Registered"/>
    <n v="8.791208791208792"/>
    <n v="91.208791208791212"/>
    <s v="No"/>
    <s v="Low"/>
    <s v="No"/>
    <n v="3.0000000000000031E-3"/>
  </r>
  <r>
    <n v="449"/>
    <x v="19"/>
    <n v="1"/>
    <n v="17"/>
    <b v="0"/>
    <n v="4"/>
    <n v="2"/>
    <n v="0.3"/>
    <x v="20"/>
    <n v="0.49"/>
    <n v="0.1045"/>
    <n v="8"/>
    <n v="207"/>
    <n v="215"/>
    <s v="Spring"/>
    <s v="Thursday"/>
    <s v="Mist/Cloudy"/>
    <x v="3"/>
    <s v="Mild"/>
    <s v="Medium"/>
    <s v="Calm"/>
    <s v="Working Day"/>
    <s v="Mostly Registered"/>
    <n v="3.720930232558139"/>
    <n v="96.279069767441854"/>
    <s v="Yes"/>
    <s v="Medium"/>
    <s v="No"/>
    <n v="1.819999999999999E-2"/>
  </r>
  <r>
    <n v="450"/>
    <x v="19"/>
    <n v="1"/>
    <n v="18"/>
    <b v="0"/>
    <n v="4"/>
    <n v="2"/>
    <n v="0.26"/>
    <x v="2"/>
    <n v="0.56000000000000005"/>
    <n v="0.19400000000000001"/>
    <n v="1"/>
    <n v="184"/>
    <n v="185"/>
    <s v="Spring"/>
    <s v="Thursday"/>
    <s v="Mist/Cloudy"/>
    <x v="3"/>
    <s v="Mild"/>
    <s v="Medium"/>
    <s v="Moderate"/>
    <s v="Working Day"/>
    <s v="Mostly Registered"/>
    <n v="0.54054054054054057"/>
    <n v="99.459459459459467"/>
    <s v="Yes"/>
    <s v="Medium"/>
    <s v="No"/>
    <n v="-2.4000000000000128E-3"/>
  </r>
  <r>
    <n v="451"/>
    <x v="19"/>
    <n v="1"/>
    <n v="19"/>
    <b v="0"/>
    <n v="4"/>
    <n v="1"/>
    <n v="0.26"/>
    <x v="10"/>
    <n v="0.56000000000000005"/>
    <n v="0.32840000000000003"/>
    <n v="6"/>
    <n v="146"/>
    <n v="152"/>
    <s v="Spring"/>
    <s v="Thursday"/>
    <s v="Clear"/>
    <x v="3"/>
    <s v="Mild"/>
    <s v="Medium"/>
    <s v="Windy"/>
    <s v="Working Day"/>
    <s v="Mostly Registered"/>
    <n v="3.947368421052631"/>
    <n v="96.05263157894737"/>
    <s v="Yes"/>
    <s v="Medium"/>
    <s v="No"/>
    <n v="-3.2700000000000007E-2"/>
  </r>
  <r>
    <n v="452"/>
    <x v="19"/>
    <n v="1"/>
    <n v="20"/>
    <b v="0"/>
    <n v="4"/>
    <n v="2"/>
    <n v="0.26"/>
    <x v="18"/>
    <n v="0.6"/>
    <n v="0.28360000000000002"/>
    <n v="2"/>
    <n v="124"/>
    <n v="126"/>
    <s v="Spring"/>
    <s v="Thursday"/>
    <s v="Mist/Cloudy"/>
    <x v="3"/>
    <s v="Mild"/>
    <s v="Medium"/>
    <s v="Moderate"/>
    <s v="Working Day"/>
    <s v="Mostly Registered"/>
    <n v="1.587301587301587"/>
    <n v="98.412698412698404"/>
    <s v="No"/>
    <s v="Medium"/>
    <s v="No"/>
    <n v="-1.7600000000000001E-2"/>
  </r>
  <r>
    <n v="453"/>
    <x v="19"/>
    <n v="1"/>
    <n v="21"/>
    <b v="0"/>
    <n v="4"/>
    <n v="2"/>
    <n v="0.24"/>
    <x v="10"/>
    <n v="0.6"/>
    <n v="0.25369999999999998"/>
    <n v="3"/>
    <n v="54"/>
    <n v="57"/>
    <s v="Spring"/>
    <s v="Thursday"/>
    <s v="Mist/Cloudy"/>
    <x v="0"/>
    <s v="Cold"/>
    <s v="Medium"/>
    <s v="Moderate"/>
    <s v="Working Day"/>
    <s v="Mostly Registered"/>
    <n v="5.2631578947368416"/>
    <n v="94.73684210526315"/>
    <s v="No"/>
    <s v="Low"/>
    <s v="No"/>
    <n v="-1.2699999999999991E-2"/>
  </r>
  <r>
    <n v="454"/>
    <x v="19"/>
    <n v="1"/>
    <n v="22"/>
    <b v="0"/>
    <n v="4"/>
    <n v="2"/>
    <n v="0.24"/>
    <x v="11"/>
    <n v="0.65"/>
    <n v="0.28360000000000002"/>
    <n v="0"/>
    <n v="56"/>
    <n v="56"/>
    <s v="Spring"/>
    <s v="Thursday"/>
    <s v="Mist/Cloudy"/>
    <x v="0"/>
    <s v="Cold"/>
    <s v="Medium"/>
    <s v="Moderate"/>
    <s v="Working Day"/>
    <s v="Mostly Registered"/>
    <n v="0"/>
    <n v="100"/>
    <s v="No"/>
    <s v="Low"/>
    <s v="No"/>
    <n v="-2.789999999999998E-2"/>
  </r>
  <r>
    <n v="455"/>
    <x v="19"/>
    <n v="1"/>
    <n v="23"/>
    <b v="0"/>
    <n v="4"/>
    <n v="2"/>
    <n v="0.24"/>
    <x v="11"/>
    <n v="0.65"/>
    <n v="0.32840000000000003"/>
    <n v="3"/>
    <n v="28"/>
    <n v="31"/>
    <s v="Spring"/>
    <s v="Thursday"/>
    <s v="Mist/Cloudy"/>
    <x v="0"/>
    <s v="Cold"/>
    <s v="Medium"/>
    <s v="Windy"/>
    <s v="Working Day"/>
    <s v="Mostly Registered"/>
    <n v="9.67741935483871"/>
    <n v="90.322580645161281"/>
    <s v="No"/>
    <s v="Low"/>
    <s v="No"/>
    <n v="-2.789999999999998E-2"/>
  </r>
  <r>
    <n v="456"/>
    <x v="20"/>
    <n v="1"/>
    <n v="0"/>
    <b v="0"/>
    <n v="5"/>
    <n v="2"/>
    <n v="0.24"/>
    <x v="10"/>
    <n v="0.7"/>
    <n v="0.25369999999999998"/>
    <n v="1"/>
    <n v="20"/>
    <n v="21"/>
    <s v="Spring"/>
    <s v="Friday"/>
    <s v="Mist/Cloudy"/>
    <x v="0"/>
    <s v="Cold"/>
    <s v="High"/>
    <s v="Moderate"/>
    <s v="Working Day"/>
    <s v="Mostly Registered"/>
    <n v="4.7619047619047619"/>
    <n v="95.238095238095227"/>
    <s v="No"/>
    <s v="Low"/>
    <s v="No"/>
    <n v="-1.2699999999999991E-2"/>
  </r>
  <r>
    <n v="457"/>
    <x v="20"/>
    <n v="1"/>
    <n v="1"/>
    <b v="0"/>
    <n v="5"/>
    <n v="2"/>
    <n v="0.24"/>
    <x v="10"/>
    <n v="0.7"/>
    <n v="0.25369999999999998"/>
    <n v="0"/>
    <n v="6"/>
    <n v="6"/>
    <s v="Spring"/>
    <s v="Friday"/>
    <s v="Mist/Cloudy"/>
    <x v="0"/>
    <s v="Cold"/>
    <s v="High"/>
    <s v="Moderate"/>
    <s v="Working Day"/>
    <s v="Mostly Registered"/>
    <n v="0"/>
    <n v="100"/>
    <s v="No"/>
    <s v="Low"/>
    <s v="No"/>
    <n v="-1.2699999999999991E-2"/>
  </r>
  <r>
    <n v="458"/>
    <x v="20"/>
    <n v="1"/>
    <n v="2"/>
    <b v="0"/>
    <n v="5"/>
    <n v="3"/>
    <n v="0.24"/>
    <x v="18"/>
    <n v="0.75"/>
    <n v="0.16420000000000001"/>
    <n v="0"/>
    <n v="2"/>
    <n v="2"/>
    <s v="Spring"/>
    <s v="Friday"/>
    <s v="Light Rain/Snow"/>
    <x v="0"/>
    <s v="Cold"/>
    <s v="High"/>
    <s v="Moderate"/>
    <s v="Working Day"/>
    <s v="Mostly Registered"/>
    <n v="0"/>
    <n v="100"/>
    <s v="No"/>
    <s v="Low"/>
    <s v="No"/>
    <n v="2.4000000000000128E-3"/>
  </r>
  <r>
    <n v="459"/>
    <x v="20"/>
    <n v="1"/>
    <n v="3"/>
    <b v="0"/>
    <n v="5"/>
    <n v="3"/>
    <n v="0.22"/>
    <x v="11"/>
    <n v="0.8"/>
    <n v="0.29849999999999999"/>
    <n v="0"/>
    <n v="1"/>
    <n v="1"/>
    <s v="Spring"/>
    <s v="Friday"/>
    <s v="Light Rain/Snow"/>
    <x v="0"/>
    <s v="Cold"/>
    <s v="High"/>
    <s v="Moderate"/>
    <s v="Working Day"/>
    <s v="Mostly Registered"/>
    <n v="0"/>
    <n v="100"/>
    <s v="No"/>
    <s v="Low"/>
    <s v="No"/>
    <n v="-7.8999999999999904E-3"/>
  </r>
  <r>
    <n v="460"/>
    <x v="20"/>
    <n v="1"/>
    <n v="4"/>
    <b v="0"/>
    <n v="5"/>
    <n v="2"/>
    <n v="0.22"/>
    <x v="2"/>
    <n v="0.87"/>
    <n v="8.9599999999999999E-2"/>
    <n v="0"/>
    <n v="1"/>
    <n v="1"/>
    <s v="Spring"/>
    <s v="Friday"/>
    <s v="Mist/Cloudy"/>
    <x v="0"/>
    <s v="Cold"/>
    <s v="High"/>
    <s v="Calm"/>
    <s v="Working Day"/>
    <s v="Mostly Registered"/>
    <n v="0"/>
    <n v="100"/>
    <s v="No"/>
    <s v="Low"/>
    <s v="No"/>
    <n v="3.7599999999999988E-2"/>
  </r>
  <r>
    <n v="461"/>
    <x v="20"/>
    <n v="1"/>
    <n v="5"/>
    <b v="0"/>
    <n v="5"/>
    <n v="1"/>
    <n v="0.24"/>
    <x v="12"/>
    <n v="0.6"/>
    <n v="0.41789999999999999"/>
    <n v="1"/>
    <n v="4"/>
    <n v="5"/>
    <s v="Spring"/>
    <s v="Friday"/>
    <s v="Clear"/>
    <x v="0"/>
    <s v="Cold"/>
    <s v="Medium"/>
    <s v="Windy"/>
    <s v="Working Day"/>
    <s v="Mostly Registered"/>
    <n v="20"/>
    <n v="80"/>
    <s v="No"/>
    <s v="Low"/>
    <s v="No"/>
    <n v="-4.2999999999999983E-2"/>
  </r>
  <r>
    <n v="462"/>
    <x v="20"/>
    <n v="1"/>
    <n v="6"/>
    <b v="0"/>
    <n v="5"/>
    <n v="1"/>
    <n v="0.22"/>
    <x v="11"/>
    <n v="0.55000000000000004"/>
    <n v="0.25369999999999998"/>
    <n v="0"/>
    <n v="27"/>
    <n v="27"/>
    <s v="Spring"/>
    <s v="Friday"/>
    <s v="Clear"/>
    <x v="1"/>
    <s v="Cold"/>
    <s v="Medium"/>
    <s v="Moderate"/>
    <s v="Working Day"/>
    <s v="Mostly Registered"/>
    <n v="0"/>
    <n v="100"/>
    <s v="No"/>
    <s v="Low"/>
    <s v="No"/>
    <n v="-7.8999999999999904E-3"/>
  </r>
  <r>
    <n v="463"/>
    <x v="20"/>
    <n v="1"/>
    <n v="7"/>
    <b v="0"/>
    <n v="5"/>
    <n v="1"/>
    <n v="0.2"/>
    <x v="17"/>
    <n v="0.51"/>
    <n v="0.28360000000000002"/>
    <n v="2"/>
    <n v="66"/>
    <n v="68"/>
    <s v="Spring"/>
    <s v="Friday"/>
    <s v="Clear"/>
    <x v="1"/>
    <s v="Cold"/>
    <s v="Medium"/>
    <s v="Moderate"/>
    <s v="Working Day"/>
    <s v="Mostly Registered"/>
    <n v="2.9411764705882351"/>
    <n v="97.058823529411768"/>
    <s v="Yes"/>
    <s v="Low"/>
    <s v="No"/>
    <n v="-1.8200000000000022E-2"/>
  </r>
  <r>
    <n v="464"/>
    <x v="20"/>
    <n v="1"/>
    <n v="8"/>
    <b v="0"/>
    <n v="5"/>
    <n v="1"/>
    <n v="0.2"/>
    <x v="17"/>
    <n v="0.47"/>
    <n v="0.32840000000000003"/>
    <n v="7"/>
    <n v="210"/>
    <n v="217"/>
    <s v="Spring"/>
    <s v="Friday"/>
    <s v="Clear"/>
    <x v="1"/>
    <s v="Cold"/>
    <s v="Medium"/>
    <s v="Windy"/>
    <s v="Working Day"/>
    <s v="Mostly Registered"/>
    <n v="3.225806451612903"/>
    <n v="96.774193548387103"/>
    <s v="Yes"/>
    <s v="Medium"/>
    <s v="No"/>
    <n v="-1.8200000000000022E-2"/>
  </r>
  <r>
    <n v="465"/>
    <x v="20"/>
    <n v="1"/>
    <n v="9"/>
    <b v="0"/>
    <n v="5"/>
    <n v="1"/>
    <n v="0.2"/>
    <x v="17"/>
    <n v="0.51"/>
    <n v="0.35820000000000002"/>
    <n v="7"/>
    <n v="159"/>
    <n v="166"/>
    <s v="Spring"/>
    <s v="Friday"/>
    <s v="Clear"/>
    <x v="1"/>
    <s v="Cold"/>
    <s v="Medium"/>
    <s v="Windy"/>
    <s v="Working Day"/>
    <s v="Mostly Registered"/>
    <n v="4.2168674698795181"/>
    <n v="95.783132530120483"/>
    <s v="Yes"/>
    <s v="Medium"/>
    <s v="No"/>
    <n v="-1.8200000000000022E-2"/>
  </r>
  <r>
    <n v="466"/>
    <x v="20"/>
    <n v="1"/>
    <n v="10"/>
    <b v="0"/>
    <n v="5"/>
    <n v="1"/>
    <n v="0.2"/>
    <x v="16"/>
    <n v="0.47"/>
    <n v="0.4627"/>
    <n v="6"/>
    <n v="57"/>
    <n v="63"/>
    <s v="Spring"/>
    <s v="Friday"/>
    <s v="Clear"/>
    <x v="1"/>
    <s v="Cold"/>
    <s v="Medium"/>
    <s v="Windy"/>
    <s v="Working Day"/>
    <s v="Mostly Registered"/>
    <n v="9.5238095238095237"/>
    <n v="90.476190476190482"/>
    <s v="No"/>
    <s v="Low"/>
    <s v="No"/>
    <n v="-3.3300000000000017E-2"/>
  </r>
  <r>
    <n v="467"/>
    <x v="20"/>
    <n v="1"/>
    <n v="11"/>
    <b v="0"/>
    <n v="5"/>
    <n v="1"/>
    <n v="0.22"/>
    <x v="17"/>
    <n v="0.41"/>
    <n v="0.4627"/>
    <n v="6"/>
    <n v="53"/>
    <n v="59"/>
    <s v="Spring"/>
    <s v="Friday"/>
    <s v="Clear"/>
    <x v="1"/>
    <s v="Cold"/>
    <s v="Medium"/>
    <s v="Windy"/>
    <s v="Working Day"/>
    <s v="Mostly Registered"/>
    <n v="10.16949152542373"/>
    <n v="89.830508474576277"/>
    <s v="No"/>
    <s v="Low"/>
    <s v="No"/>
    <n v="-3.8200000000000012E-2"/>
  </r>
  <r>
    <n v="468"/>
    <x v="20"/>
    <n v="1"/>
    <n v="12"/>
    <b v="0"/>
    <n v="5"/>
    <n v="1"/>
    <n v="0.22"/>
    <x v="17"/>
    <n v="0.27"/>
    <n v="0.58209999999999995"/>
    <n v="11"/>
    <n v="67"/>
    <n v="78"/>
    <s v="Spring"/>
    <s v="Friday"/>
    <s v="Clear"/>
    <x v="2"/>
    <s v="Cold"/>
    <s v="Low"/>
    <s v="Windy"/>
    <s v="Working Day"/>
    <s v="Mostly Registered"/>
    <n v="14.1025641025641"/>
    <n v="85.897435897435898"/>
    <s v="No"/>
    <s v="Low"/>
    <s v="No"/>
    <n v="-3.8200000000000012E-2"/>
  </r>
  <r>
    <n v="469"/>
    <x v="20"/>
    <n v="1"/>
    <n v="13"/>
    <b v="0"/>
    <n v="5"/>
    <n v="1"/>
    <n v="0.2"/>
    <x v="19"/>
    <n v="0.21"/>
    <n v="0.58209999999999995"/>
    <n v="8"/>
    <n v="65"/>
    <n v="73"/>
    <s v="Spring"/>
    <s v="Friday"/>
    <s v="Clear"/>
    <x v="2"/>
    <s v="Cold"/>
    <s v="Low"/>
    <s v="Windy"/>
    <s v="Working Day"/>
    <s v="Mostly Registered"/>
    <n v="10.95890410958904"/>
    <n v="89.041095890410958"/>
    <s v="No"/>
    <s v="Low"/>
    <s v="No"/>
    <n v="-4.8500000000000022E-2"/>
  </r>
  <r>
    <n v="470"/>
    <x v="20"/>
    <n v="1"/>
    <n v="14"/>
    <b v="0"/>
    <n v="5"/>
    <n v="1"/>
    <n v="0.2"/>
    <x v="19"/>
    <n v="0.25"/>
    <n v="0.52239999999999998"/>
    <n v="6"/>
    <n v="56"/>
    <n v="62"/>
    <s v="Spring"/>
    <s v="Friday"/>
    <s v="Clear"/>
    <x v="2"/>
    <s v="Cold"/>
    <s v="Low"/>
    <s v="Windy"/>
    <s v="Working Day"/>
    <s v="Mostly Registered"/>
    <n v="9.67741935483871"/>
    <n v="90.322580645161281"/>
    <s v="No"/>
    <s v="Low"/>
    <s v="No"/>
    <n v="-4.8500000000000022E-2"/>
  </r>
  <r>
    <n v="471"/>
    <x v="20"/>
    <n v="1"/>
    <n v="15"/>
    <b v="0"/>
    <n v="5"/>
    <n v="1"/>
    <n v="0.16"/>
    <x v="15"/>
    <n v="0.26"/>
    <n v="0.44779999999999998"/>
    <n v="4"/>
    <n v="61"/>
    <n v="65"/>
    <s v="Spring"/>
    <s v="Friday"/>
    <s v="Clear"/>
    <x v="2"/>
    <s v="Cold"/>
    <s v="Low"/>
    <s v="Windy"/>
    <s v="Working Day"/>
    <s v="Mostly Registered"/>
    <n v="6.1538461538461542"/>
    <n v="93.84615384615384"/>
    <s v="No"/>
    <s v="Low"/>
    <s v="No"/>
    <n v="-3.8800000000000001E-2"/>
  </r>
  <r>
    <n v="472"/>
    <x v="20"/>
    <n v="1"/>
    <n v="16"/>
    <b v="0"/>
    <n v="5"/>
    <n v="1"/>
    <n v="0.16"/>
    <x v="13"/>
    <n v="0.26"/>
    <n v="0.35820000000000002"/>
    <n v="0"/>
    <n v="97"/>
    <n v="97"/>
    <s v="Spring"/>
    <s v="Friday"/>
    <s v="Clear"/>
    <x v="2"/>
    <s v="Cold"/>
    <s v="Low"/>
    <s v="Windy"/>
    <s v="Working Day"/>
    <s v="Mostly Registered"/>
    <n v="0"/>
    <n v="100"/>
    <s v="No"/>
    <s v="Low"/>
    <s v="No"/>
    <n v="-2.360000000000001E-2"/>
  </r>
  <r>
    <n v="473"/>
    <x v="20"/>
    <n v="1"/>
    <n v="17"/>
    <b v="0"/>
    <n v="5"/>
    <n v="1"/>
    <n v="0.14000000000000001"/>
    <x v="15"/>
    <n v="0.28000000000000003"/>
    <n v="0.35820000000000002"/>
    <n v="10"/>
    <n v="151"/>
    <n v="161"/>
    <s v="Spring"/>
    <s v="Friday"/>
    <s v="Clear"/>
    <x v="3"/>
    <s v="Very Cold"/>
    <s v="Low"/>
    <s v="Windy"/>
    <s v="Working Day"/>
    <s v="Mostly Registered"/>
    <n v="6.2111801242236027"/>
    <n v="93.788819875776397"/>
    <s v="Yes"/>
    <s v="Medium"/>
    <s v="No"/>
    <n v="-1.8800000000000011E-2"/>
  </r>
  <r>
    <n v="474"/>
    <x v="20"/>
    <n v="1"/>
    <n v="18"/>
    <b v="0"/>
    <n v="5"/>
    <n v="1"/>
    <n v="0.12"/>
    <x v="15"/>
    <n v="0.3"/>
    <n v="0.25369999999999998"/>
    <n v="1"/>
    <n v="119"/>
    <n v="120"/>
    <s v="Spring"/>
    <s v="Friday"/>
    <s v="Clear"/>
    <x v="3"/>
    <s v="Very Cold"/>
    <s v="Low"/>
    <s v="Moderate"/>
    <s v="Working Day"/>
    <s v="Mostly Registered"/>
    <n v="0.83333333333333337"/>
    <n v="99.166666666666671"/>
    <s v="Yes"/>
    <s v="Medium"/>
    <s v="No"/>
    <n v="1.2000000000000071E-3"/>
  </r>
  <r>
    <n v="475"/>
    <x v="20"/>
    <n v="1"/>
    <n v="19"/>
    <b v="0"/>
    <n v="5"/>
    <n v="1"/>
    <n v="0.12"/>
    <x v="14"/>
    <n v="0.3"/>
    <n v="0.32840000000000003"/>
    <n v="3"/>
    <n v="93"/>
    <n v="96"/>
    <s v="Spring"/>
    <s v="Friday"/>
    <s v="Clear"/>
    <x v="3"/>
    <s v="Very Cold"/>
    <s v="Low"/>
    <s v="Windy"/>
    <s v="Working Day"/>
    <s v="Mostly Registered"/>
    <n v="3.125"/>
    <n v="96.875"/>
    <s v="Yes"/>
    <s v="Low"/>
    <s v="No"/>
    <n v="-1.3899999999999999E-2"/>
  </r>
  <r>
    <n v="476"/>
    <x v="20"/>
    <n v="1"/>
    <n v="20"/>
    <b v="0"/>
    <n v="5"/>
    <n v="1"/>
    <n v="0.1"/>
    <x v="22"/>
    <n v="0.33"/>
    <n v="0.41789999999999999"/>
    <n v="1"/>
    <n v="52"/>
    <n v="53"/>
    <s v="Spring"/>
    <s v="Friday"/>
    <s v="Clear"/>
    <x v="3"/>
    <s v="Very Cold"/>
    <s v="Low"/>
    <s v="Windy"/>
    <s v="Working Day"/>
    <s v="Mostly Registered"/>
    <n v="1.8867924528301889"/>
    <n v="98.113207547169807"/>
    <s v="No"/>
    <s v="Low"/>
    <s v="No"/>
    <n v="-2.4199999999999999E-2"/>
  </r>
  <r>
    <n v="477"/>
    <x v="20"/>
    <n v="1"/>
    <n v="21"/>
    <b v="0"/>
    <n v="5"/>
    <n v="1"/>
    <n v="0.08"/>
    <x v="22"/>
    <n v="0.38"/>
    <n v="0.28360000000000002"/>
    <n v="0"/>
    <n v="41"/>
    <n v="41"/>
    <s v="Spring"/>
    <s v="Friday"/>
    <s v="Clear"/>
    <x v="0"/>
    <s v="Very Cold"/>
    <s v="Low"/>
    <s v="Moderate"/>
    <s v="Working Day"/>
    <s v="Mostly Registered"/>
    <n v="0"/>
    <n v="100"/>
    <s v="No"/>
    <s v="Low"/>
    <s v="No"/>
    <n v="-4.1999999999999954E-3"/>
  </r>
  <r>
    <n v="478"/>
    <x v="20"/>
    <n v="1"/>
    <n v="22"/>
    <b v="0"/>
    <n v="5"/>
    <n v="1"/>
    <n v="0.06"/>
    <x v="25"/>
    <n v="0.41"/>
    <n v="0.3881"/>
    <n v="1"/>
    <n v="33"/>
    <n v="34"/>
    <s v="Spring"/>
    <s v="Friday"/>
    <s v="Clear"/>
    <x v="0"/>
    <s v="Very Cold"/>
    <s v="Medium"/>
    <s v="Windy"/>
    <s v="Working Day"/>
    <s v="Mostly Registered"/>
    <n v="2.9411764705882351"/>
    <n v="97.058823529411768"/>
    <s v="No"/>
    <s v="Low"/>
    <s v="No"/>
    <n v="-2.9700000000000001E-2"/>
  </r>
  <r>
    <n v="479"/>
    <x v="20"/>
    <n v="1"/>
    <n v="23"/>
    <b v="0"/>
    <n v="5"/>
    <n v="1"/>
    <n v="0.06"/>
    <x v="26"/>
    <n v="0.38"/>
    <n v="0.32840000000000003"/>
    <n v="0"/>
    <n v="27"/>
    <n v="27"/>
    <s v="Spring"/>
    <s v="Friday"/>
    <s v="Clear"/>
    <x v="0"/>
    <s v="Very Cold"/>
    <s v="Low"/>
    <s v="Windy"/>
    <s v="Working Day"/>
    <s v="Mostly Registered"/>
    <n v="0"/>
    <n v="100"/>
    <s v="No"/>
    <s v="Low"/>
    <s v="No"/>
    <n v="-1.4500000000000001E-2"/>
  </r>
  <r>
    <n v="480"/>
    <x v="21"/>
    <n v="1"/>
    <n v="0"/>
    <b v="0"/>
    <n v="6"/>
    <n v="1"/>
    <n v="0.04"/>
    <x v="25"/>
    <n v="0.45"/>
    <n v="0.25369999999999998"/>
    <n v="0"/>
    <n v="13"/>
    <n v="13"/>
    <s v="Spring"/>
    <s v="Saturday"/>
    <s v="Clear"/>
    <x v="0"/>
    <s v="Very Cold"/>
    <s v="Medium"/>
    <s v="Moderate"/>
    <s v="Working Day"/>
    <s v="Mostly Registered"/>
    <n v="0"/>
    <n v="100"/>
    <s v="No"/>
    <s v="Low"/>
    <s v="Yes"/>
    <n v="-9.7000000000000003E-3"/>
  </r>
  <r>
    <n v="481"/>
    <x v="21"/>
    <n v="1"/>
    <n v="1"/>
    <b v="0"/>
    <n v="6"/>
    <n v="2"/>
    <n v="0.04"/>
    <x v="27"/>
    <n v="0.41"/>
    <n v="0.3881"/>
    <n v="3"/>
    <n v="9"/>
    <n v="12"/>
    <s v="Spring"/>
    <s v="Saturday"/>
    <s v="Mist/Cloudy"/>
    <x v="0"/>
    <s v="Very Cold"/>
    <s v="Medium"/>
    <s v="Windy"/>
    <s v="Working Day"/>
    <s v="Mostly Registered"/>
    <n v="25"/>
    <n v="75"/>
    <s v="No"/>
    <s v="Low"/>
    <s v="Yes"/>
    <n v="-0.04"/>
  </r>
  <r>
    <n v="482"/>
    <x v="21"/>
    <n v="1"/>
    <n v="2"/>
    <b v="0"/>
    <n v="6"/>
    <n v="2"/>
    <n v="0.04"/>
    <x v="25"/>
    <n v="0.41"/>
    <n v="0.25369999999999998"/>
    <n v="0"/>
    <n v="11"/>
    <n v="11"/>
    <s v="Spring"/>
    <s v="Saturday"/>
    <s v="Mist/Cloudy"/>
    <x v="0"/>
    <s v="Very Cold"/>
    <s v="Medium"/>
    <s v="Moderate"/>
    <s v="Working Day"/>
    <s v="Mostly Registered"/>
    <n v="0"/>
    <n v="100"/>
    <s v="No"/>
    <s v="Low"/>
    <s v="Yes"/>
    <n v="-9.7000000000000003E-3"/>
  </r>
  <r>
    <n v="483"/>
    <x v="21"/>
    <n v="1"/>
    <n v="3"/>
    <b v="0"/>
    <n v="6"/>
    <n v="2"/>
    <n v="0.04"/>
    <x v="25"/>
    <n v="0.41"/>
    <n v="0.28360000000000002"/>
    <n v="1"/>
    <n v="6"/>
    <n v="7"/>
    <s v="Spring"/>
    <s v="Saturday"/>
    <s v="Mist/Cloudy"/>
    <x v="0"/>
    <s v="Very Cold"/>
    <s v="Medium"/>
    <s v="Moderate"/>
    <s v="Working Day"/>
    <s v="Mostly Registered"/>
    <n v="14.285714285714279"/>
    <n v="85.714285714285708"/>
    <s v="No"/>
    <s v="Low"/>
    <s v="Yes"/>
    <n v="-9.7000000000000003E-3"/>
  </r>
  <r>
    <n v="484"/>
    <x v="21"/>
    <n v="1"/>
    <n v="4"/>
    <b v="0"/>
    <n v="6"/>
    <n v="2"/>
    <n v="0.02"/>
    <x v="28"/>
    <n v="0.48"/>
    <n v="0.29849999999999999"/>
    <n v="0"/>
    <n v="3"/>
    <n v="3"/>
    <s v="Spring"/>
    <s v="Saturday"/>
    <s v="Mist/Cloudy"/>
    <x v="0"/>
    <s v="Very Cold"/>
    <s v="Medium"/>
    <s v="Moderate"/>
    <s v="Working Day"/>
    <s v="Mostly Registered"/>
    <n v="0"/>
    <n v="100"/>
    <s v="No"/>
    <s v="Low"/>
    <s v="Yes"/>
    <n v="-4.7999999999999996E-3"/>
  </r>
  <r>
    <n v="485"/>
    <x v="21"/>
    <n v="1"/>
    <n v="6"/>
    <b v="0"/>
    <n v="6"/>
    <n v="2"/>
    <n v="0.02"/>
    <x v="25"/>
    <n v="0.44"/>
    <n v="0.22389999999999999"/>
    <n v="0"/>
    <n v="2"/>
    <n v="2"/>
    <s v="Spring"/>
    <s v="Saturday"/>
    <s v="Mist/Cloudy"/>
    <x v="1"/>
    <s v="Very Cold"/>
    <s v="Medium"/>
    <s v="Moderate"/>
    <s v="Working Day"/>
    <s v="Mostly Registered"/>
    <n v="0"/>
    <n v="100"/>
    <s v="No"/>
    <s v="Low"/>
    <s v="Yes"/>
    <n v="1.03E-2"/>
  </r>
  <r>
    <n v="486"/>
    <x v="21"/>
    <n v="1"/>
    <n v="7"/>
    <b v="0"/>
    <n v="6"/>
    <n v="1"/>
    <n v="0.02"/>
    <x v="28"/>
    <n v="0.44"/>
    <n v="0.28360000000000002"/>
    <n v="0"/>
    <n v="8"/>
    <n v="8"/>
    <s v="Spring"/>
    <s v="Saturday"/>
    <s v="Clear"/>
    <x v="1"/>
    <s v="Very Cold"/>
    <s v="Medium"/>
    <s v="Moderate"/>
    <s v="Working Day"/>
    <s v="Mostly Registered"/>
    <n v="0"/>
    <n v="100"/>
    <s v="Yes"/>
    <s v="Low"/>
    <s v="Yes"/>
    <n v="-4.7999999999999996E-3"/>
  </r>
  <r>
    <n v="487"/>
    <x v="21"/>
    <n v="1"/>
    <n v="8"/>
    <b v="0"/>
    <n v="6"/>
    <n v="1"/>
    <n v="0.02"/>
    <x v="27"/>
    <n v="0.44"/>
    <n v="0.32840000000000003"/>
    <n v="1"/>
    <n v="26"/>
    <n v="27"/>
    <s v="Spring"/>
    <s v="Saturday"/>
    <s v="Clear"/>
    <x v="1"/>
    <s v="Very Cold"/>
    <s v="Medium"/>
    <s v="Windy"/>
    <s v="Working Day"/>
    <s v="Mostly Registered"/>
    <n v="3.7037037037037028"/>
    <n v="96.296296296296291"/>
    <s v="Yes"/>
    <s v="Low"/>
    <s v="Yes"/>
    <n v="-0.02"/>
  </r>
  <r>
    <n v="488"/>
    <x v="21"/>
    <n v="1"/>
    <n v="9"/>
    <b v="0"/>
    <n v="6"/>
    <n v="1"/>
    <n v="0.04"/>
    <x v="25"/>
    <n v="0.41"/>
    <n v="0.25369999999999998"/>
    <n v="3"/>
    <n v="37"/>
    <n v="40"/>
    <s v="Spring"/>
    <s v="Saturday"/>
    <s v="Clear"/>
    <x v="1"/>
    <s v="Very Cold"/>
    <s v="Medium"/>
    <s v="Moderate"/>
    <s v="Working Day"/>
    <s v="Mostly Registered"/>
    <n v="7.5"/>
    <n v="92.5"/>
    <s v="Yes"/>
    <s v="Low"/>
    <s v="Yes"/>
    <n v="-9.7000000000000003E-3"/>
  </r>
  <r>
    <n v="489"/>
    <x v="21"/>
    <n v="1"/>
    <n v="10"/>
    <b v="0"/>
    <n v="6"/>
    <n v="2"/>
    <n v="0.04"/>
    <x v="21"/>
    <n v="0.41"/>
    <n v="0.16420000000000001"/>
    <n v="3"/>
    <n v="50"/>
    <n v="53"/>
    <s v="Spring"/>
    <s v="Saturday"/>
    <s v="Mist/Cloudy"/>
    <x v="1"/>
    <s v="Very Cold"/>
    <s v="Medium"/>
    <s v="Moderate"/>
    <s v="Working Day"/>
    <s v="Mostly Registered"/>
    <n v="5.6603773584905666"/>
    <n v="94.339622641509436"/>
    <s v="No"/>
    <s v="Low"/>
    <s v="Yes"/>
    <n v="2.06E-2"/>
  </r>
  <r>
    <n v="490"/>
    <x v="21"/>
    <n v="1"/>
    <n v="11"/>
    <b v="0"/>
    <n v="6"/>
    <n v="2"/>
    <n v="0.06"/>
    <x v="22"/>
    <n v="0.38"/>
    <n v="0.1343"/>
    <n v="4"/>
    <n v="59"/>
    <n v="63"/>
    <s v="Spring"/>
    <s v="Saturday"/>
    <s v="Mist/Cloudy"/>
    <x v="1"/>
    <s v="Very Cold"/>
    <s v="Low"/>
    <s v="Calm"/>
    <s v="Working Day"/>
    <s v="Mostly Registered"/>
    <n v="6.3492063492063489"/>
    <n v="93.650793650793645"/>
    <s v="No"/>
    <s v="Low"/>
    <s v="Yes"/>
    <n v="1.5800000000000008E-2"/>
  </r>
  <r>
    <n v="491"/>
    <x v="21"/>
    <n v="1"/>
    <n v="12"/>
    <b v="0"/>
    <n v="6"/>
    <n v="2"/>
    <n v="0.06"/>
    <x v="14"/>
    <n v="0.38"/>
    <n v="0.1045"/>
    <n v="10"/>
    <n v="60"/>
    <n v="70"/>
    <s v="Spring"/>
    <s v="Saturday"/>
    <s v="Mist/Cloudy"/>
    <x v="2"/>
    <s v="Very Cold"/>
    <s v="Low"/>
    <s v="Calm"/>
    <s v="Working Day"/>
    <s v="Mostly Registered"/>
    <n v="14.285714285714279"/>
    <n v="85.714285714285708"/>
    <s v="No"/>
    <s v="Low"/>
    <s v="Yes"/>
    <n v="4.6100000000000002E-2"/>
  </r>
  <r>
    <n v="492"/>
    <x v="21"/>
    <n v="1"/>
    <n v="13"/>
    <b v="0"/>
    <n v="6"/>
    <n v="1"/>
    <n v="0.08"/>
    <x v="16"/>
    <n v="0.35"/>
    <n v="0"/>
    <n v="12"/>
    <n v="72"/>
    <n v="84"/>
    <s v="Spring"/>
    <s v="Saturday"/>
    <s v="Clear"/>
    <x v="2"/>
    <s v="Very Cold"/>
    <s v="Low"/>
    <s v="Calm"/>
    <s v="Working Day"/>
    <s v="Mostly Registered"/>
    <n v="14.285714285714279"/>
    <n v="85.714285714285708"/>
    <s v="No"/>
    <s v="Low"/>
    <s v="Yes"/>
    <n v="8.6699999999999985E-2"/>
  </r>
  <r>
    <n v="493"/>
    <x v="21"/>
    <n v="1"/>
    <n v="14"/>
    <b v="0"/>
    <n v="6"/>
    <n v="1"/>
    <n v="0.1"/>
    <x v="13"/>
    <n v="0.33"/>
    <n v="0.1045"/>
    <n v="11"/>
    <n v="64"/>
    <n v="75"/>
    <s v="Spring"/>
    <s v="Saturday"/>
    <s v="Clear"/>
    <x v="2"/>
    <s v="Very Cold"/>
    <s v="Low"/>
    <s v="Calm"/>
    <s v="Working Day"/>
    <s v="Mostly Registered"/>
    <n v="14.66666666666667"/>
    <n v="85.333333333333343"/>
    <s v="No"/>
    <s v="Low"/>
    <s v="Yes"/>
    <n v="3.6399999999999988E-2"/>
  </r>
  <r>
    <n v="494"/>
    <x v="21"/>
    <n v="1"/>
    <n v="15"/>
    <b v="0"/>
    <n v="6"/>
    <n v="1"/>
    <n v="0.12"/>
    <x v="19"/>
    <n v="0.28000000000000003"/>
    <n v="0"/>
    <n v="10"/>
    <n v="93"/>
    <n v="103"/>
    <s v="Spring"/>
    <s v="Saturday"/>
    <s v="Clear"/>
    <x v="2"/>
    <s v="Very Cold"/>
    <s v="Low"/>
    <s v="Calm"/>
    <s v="Working Day"/>
    <s v="Mostly Registered"/>
    <n v="9.7087378640776691"/>
    <n v="90.291262135922338"/>
    <s v="No"/>
    <s v="Medium"/>
    <s v="Yes"/>
    <n v="3.15E-2"/>
  </r>
  <r>
    <n v="495"/>
    <x v="21"/>
    <n v="1"/>
    <n v="16"/>
    <b v="0"/>
    <n v="6"/>
    <n v="1"/>
    <n v="0.12"/>
    <x v="13"/>
    <n v="0.28000000000000003"/>
    <n v="0.19400000000000001"/>
    <n v="11"/>
    <n v="72"/>
    <n v="83"/>
    <s v="Spring"/>
    <s v="Saturday"/>
    <s v="Clear"/>
    <x v="2"/>
    <s v="Very Cold"/>
    <s v="Low"/>
    <s v="Moderate"/>
    <s v="Working Day"/>
    <s v="Mostly Registered"/>
    <n v="13.253012048192771"/>
    <n v="86.746987951807228"/>
    <s v="No"/>
    <s v="Low"/>
    <s v="Yes"/>
    <n v="1.6400000000000001E-2"/>
  </r>
  <r>
    <n v="496"/>
    <x v="21"/>
    <n v="1"/>
    <n v="17"/>
    <b v="0"/>
    <n v="6"/>
    <n v="1"/>
    <n v="0.12"/>
    <x v="12"/>
    <n v="0.28000000000000003"/>
    <n v="0"/>
    <n v="8"/>
    <n v="59"/>
    <n v="67"/>
    <s v="Spring"/>
    <s v="Saturday"/>
    <s v="Clear"/>
    <x v="3"/>
    <s v="Very Cold"/>
    <s v="Low"/>
    <s v="Calm"/>
    <s v="Working Day"/>
    <s v="Mostly Registered"/>
    <n v="11.940298507462691"/>
    <n v="88.059701492537314"/>
    <s v="Yes"/>
    <s v="Low"/>
    <s v="Yes"/>
    <n v="7.7000000000000013E-2"/>
  </r>
  <r>
    <n v="497"/>
    <x v="21"/>
    <n v="1"/>
    <n v="18"/>
    <b v="0"/>
    <n v="6"/>
    <n v="1"/>
    <n v="0.08"/>
    <x v="23"/>
    <n v="0.35"/>
    <n v="0.19400000000000001"/>
    <n v="0"/>
    <n v="54"/>
    <n v="54"/>
    <s v="Spring"/>
    <s v="Saturday"/>
    <s v="Clear"/>
    <x v="3"/>
    <s v="Very Cold"/>
    <s v="Low"/>
    <s v="Moderate"/>
    <s v="Working Day"/>
    <s v="Mostly Registered"/>
    <n v="0"/>
    <n v="100"/>
    <s v="Yes"/>
    <s v="Low"/>
    <s v="Yes"/>
    <n v="1.089999999999999E-2"/>
  </r>
  <r>
    <n v="498"/>
    <x v="21"/>
    <n v="1"/>
    <n v="19"/>
    <b v="0"/>
    <n v="6"/>
    <n v="1"/>
    <n v="0.08"/>
    <x v="14"/>
    <n v="0.35"/>
    <n v="0.1343"/>
    <n v="6"/>
    <n v="53"/>
    <n v="59"/>
    <s v="Spring"/>
    <s v="Saturday"/>
    <s v="Clear"/>
    <x v="3"/>
    <s v="Very Cold"/>
    <s v="Low"/>
    <s v="Calm"/>
    <s v="Working Day"/>
    <s v="Mostly Registered"/>
    <n v="10.16949152542373"/>
    <n v="89.830508474576277"/>
    <s v="Yes"/>
    <s v="Low"/>
    <s v="Yes"/>
    <n v="2.6100000000000002E-2"/>
  </r>
  <r>
    <n v="499"/>
    <x v="21"/>
    <n v="1"/>
    <n v="20"/>
    <b v="0"/>
    <n v="6"/>
    <n v="1"/>
    <n v="0.06"/>
    <x v="22"/>
    <n v="0.45"/>
    <n v="0.16420000000000001"/>
    <n v="1"/>
    <n v="44"/>
    <n v="45"/>
    <s v="Spring"/>
    <s v="Saturday"/>
    <s v="Clear"/>
    <x v="3"/>
    <s v="Very Cold"/>
    <s v="Medium"/>
    <s v="Moderate"/>
    <s v="Working Day"/>
    <s v="Mostly Registered"/>
    <n v="2.2222222222222219"/>
    <n v="97.777777777777771"/>
    <s v="No"/>
    <s v="Low"/>
    <s v="Yes"/>
    <n v="1.5800000000000008E-2"/>
  </r>
  <r>
    <n v="500"/>
    <x v="21"/>
    <n v="1"/>
    <n v="21"/>
    <b v="0"/>
    <n v="6"/>
    <n v="1"/>
    <n v="0.06"/>
    <x v="14"/>
    <n v="0.41"/>
    <n v="8.9599999999999999E-2"/>
    <n v="0"/>
    <n v="39"/>
    <n v="39"/>
    <s v="Spring"/>
    <s v="Saturday"/>
    <s v="Clear"/>
    <x v="0"/>
    <s v="Very Cold"/>
    <s v="Medium"/>
    <s v="Calm"/>
    <s v="Working Day"/>
    <s v="Mostly Registered"/>
    <n v="0"/>
    <n v="100"/>
    <s v="No"/>
    <s v="Low"/>
    <s v="Yes"/>
    <n v="4.6100000000000002E-2"/>
  </r>
  <r>
    <n v="501"/>
    <x v="21"/>
    <n v="1"/>
    <n v="22"/>
    <b v="0"/>
    <n v="6"/>
    <n v="1"/>
    <n v="0.06"/>
    <x v="19"/>
    <n v="0.49"/>
    <n v="0"/>
    <n v="7"/>
    <n v="23"/>
    <n v="30"/>
    <s v="Spring"/>
    <s v="Saturday"/>
    <s v="Clear"/>
    <x v="0"/>
    <s v="Very Cold"/>
    <s v="Medium"/>
    <s v="Calm"/>
    <s v="Working Day"/>
    <s v="Mostly Registered"/>
    <n v="23.333333333333329"/>
    <n v="76.666666666666671"/>
    <s v="No"/>
    <s v="Low"/>
    <s v="Yes"/>
    <n v="9.1499999999999998E-2"/>
  </r>
  <r>
    <n v="502"/>
    <x v="21"/>
    <n v="1"/>
    <n v="23"/>
    <b v="0"/>
    <n v="6"/>
    <n v="1"/>
    <n v="0.04"/>
    <x v="22"/>
    <n v="0.56999999999999995"/>
    <n v="0.1045"/>
    <n v="2"/>
    <n v="31"/>
    <n v="33"/>
    <s v="Spring"/>
    <s v="Saturday"/>
    <s v="Clear"/>
    <x v="0"/>
    <s v="Very Cold"/>
    <s v="Medium"/>
    <s v="Calm"/>
    <s v="Working Day"/>
    <s v="Mostly Registered"/>
    <n v="6.0606060606060614"/>
    <n v="93.939393939393938"/>
    <s v="No"/>
    <s v="Low"/>
    <s v="Yes"/>
    <n v="3.5800000000000012E-2"/>
  </r>
  <r>
    <n v="503"/>
    <x v="22"/>
    <n v="1"/>
    <n v="0"/>
    <b v="0"/>
    <n v="0"/>
    <n v="1"/>
    <n v="0.04"/>
    <x v="22"/>
    <n v="0.56999999999999995"/>
    <n v="0.1045"/>
    <n v="2"/>
    <n v="20"/>
    <n v="22"/>
    <s v="Spring"/>
    <s v="Sunday"/>
    <s v="Clear"/>
    <x v="0"/>
    <s v="Very Cold"/>
    <s v="Medium"/>
    <s v="Calm"/>
    <s v="Working Day"/>
    <s v="Mostly Registered"/>
    <n v="9.0909090909090917"/>
    <n v="90.909090909090907"/>
    <s v="No"/>
    <s v="Low"/>
    <s v="Yes"/>
    <n v="3.5800000000000012E-2"/>
  </r>
  <r>
    <n v="504"/>
    <x v="22"/>
    <n v="1"/>
    <n v="1"/>
    <b v="0"/>
    <n v="0"/>
    <n v="1"/>
    <n v="0.04"/>
    <x v="22"/>
    <n v="0.56999999999999995"/>
    <n v="0.1045"/>
    <n v="1"/>
    <n v="12"/>
    <n v="13"/>
    <s v="Spring"/>
    <s v="Sunday"/>
    <s v="Clear"/>
    <x v="0"/>
    <s v="Very Cold"/>
    <s v="Medium"/>
    <s v="Calm"/>
    <s v="Working Day"/>
    <s v="Mostly Registered"/>
    <n v="7.6923076923076934"/>
    <n v="92.307692307692307"/>
    <s v="No"/>
    <s v="Low"/>
    <s v="Yes"/>
    <n v="3.5800000000000012E-2"/>
  </r>
  <r>
    <n v="505"/>
    <x v="22"/>
    <n v="1"/>
    <n v="2"/>
    <b v="0"/>
    <n v="0"/>
    <n v="1"/>
    <n v="0.02"/>
    <x v="21"/>
    <n v="0.62"/>
    <n v="0.1343"/>
    <n v="3"/>
    <n v="15"/>
    <n v="18"/>
    <s v="Spring"/>
    <s v="Sunday"/>
    <s v="Clear"/>
    <x v="0"/>
    <s v="Very Cold"/>
    <s v="Medium"/>
    <s v="Calm"/>
    <s v="Working Day"/>
    <s v="Mostly Registered"/>
    <n v="16.666666666666661"/>
    <n v="83.333333333333343"/>
    <s v="No"/>
    <s v="Low"/>
    <s v="Yes"/>
    <n v="4.0599999999999997E-2"/>
  </r>
  <r>
    <n v="506"/>
    <x v="22"/>
    <n v="1"/>
    <n v="3"/>
    <b v="0"/>
    <n v="0"/>
    <n v="1"/>
    <n v="0.02"/>
    <x v="21"/>
    <n v="0.62"/>
    <n v="0.1343"/>
    <n v="1"/>
    <n v="4"/>
    <n v="5"/>
    <s v="Spring"/>
    <s v="Sunday"/>
    <s v="Clear"/>
    <x v="0"/>
    <s v="Very Cold"/>
    <s v="Medium"/>
    <s v="Calm"/>
    <s v="Working Day"/>
    <s v="Mostly Registered"/>
    <n v="20"/>
    <n v="80"/>
    <s v="No"/>
    <s v="Low"/>
    <s v="Yes"/>
    <n v="4.0599999999999997E-2"/>
  </r>
  <r>
    <n v="507"/>
    <x v="22"/>
    <n v="1"/>
    <n v="5"/>
    <b v="0"/>
    <n v="0"/>
    <n v="2"/>
    <n v="0.04"/>
    <x v="22"/>
    <n v="0.56999999999999995"/>
    <n v="0.1045"/>
    <n v="0"/>
    <n v="3"/>
    <n v="3"/>
    <s v="Spring"/>
    <s v="Sunday"/>
    <s v="Mist/Cloudy"/>
    <x v="0"/>
    <s v="Very Cold"/>
    <s v="Medium"/>
    <s v="Calm"/>
    <s v="Working Day"/>
    <s v="Mostly Registered"/>
    <n v="0"/>
    <n v="100"/>
    <s v="No"/>
    <s v="Low"/>
    <s v="Yes"/>
    <n v="3.5800000000000012E-2"/>
  </r>
  <r>
    <n v="508"/>
    <x v="22"/>
    <n v="1"/>
    <n v="6"/>
    <b v="0"/>
    <n v="0"/>
    <n v="2"/>
    <n v="0.04"/>
    <x v="22"/>
    <n v="0.56999999999999995"/>
    <n v="0.1045"/>
    <n v="0"/>
    <n v="1"/>
    <n v="1"/>
    <s v="Spring"/>
    <s v="Sunday"/>
    <s v="Mist/Cloudy"/>
    <x v="1"/>
    <s v="Very Cold"/>
    <s v="Medium"/>
    <s v="Calm"/>
    <s v="Working Day"/>
    <s v="Mostly Registered"/>
    <n v="0"/>
    <n v="100"/>
    <s v="No"/>
    <s v="Low"/>
    <s v="Yes"/>
    <n v="3.5800000000000012E-2"/>
  </r>
  <r>
    <n v="509"/>
    <x v="22"/>
    <n v="1"/>
    <n v="7"/>
    <b v="0"/>
    <n v="0"/>
    <n v="1"/>
    <n v="0.08"/>
    <x v="14"/>
    <n v="0.57999999999999996"/>
    <n v="0.16420000000000001"/>
    <n v="1"/>
    <n v="1"/>
    <n v="2"/>
    <s v="Spring"/>
    <s v="Sunday"/>
    <s v="Clear"/>
    <x v="1"/>
    <s v="Very Cold"/>
    <s v="Medium"/>
    <s v="Moderate"/>
    <s v="Working Day"/>
    <s v="Mostly Registered"/>
    <n v="50"/>
    <n v="50"/>
    <s v="Yes"/>
    <s v="Low"/>
    <s v="Yes"/>
    <n v="2.6100000000000002E-2"/>
  </r>
  <r>
    <n v="510"/>
    <x v="22"/>
    <n v="1"/>
    <n v="8"/>
    <b v="0"/>
    <n v="0"/>
    <n v="1"/>
    <n v="0.06"/>
    <x v="22"/>
    <n v="0.62"/>
    <n v="0.16420000000000001"/>
    <n v="2"/>
    <n v="17"/>
    <n v="19"/>
    <s v="Spring"/>
    <s v="Sunday"/>
    <s v="Clear"/>
    <x v="1"/>
    <s v="Very Cold"/>
    <s v="Medium"/>
    <s v="Moderate"/>
    <s v="Working Day"/>
    <s v="Mostly Registered"/>
    <n v="10.52631578947368"/>
    <n v="89.473684210526315"/>
    <s v="Yes"/>
    <s v="Low"/>
    <s v="Yes"/>
    <n v="1.5800000000000008E-2"/>
  </r>
  <r>
    <n v="511"/>
    <x v="22"/>
    <n v="1"/>
    <n v="9"/>
    <b v="0"/>
    <n v="0"/>
    <n v="1"/>
    <n v="0.1"/>
    <x v="22"/>
    <n v="0.54"/>
    <n v="0.35820000000000002"/>
    <n v="3"/>
    <n v="25"/>
    <n v="28"/>
    <s v="Spring"/>
    <s v="Sunday"/>
    <s v="Clear"/>
    <x v="1"/>
    <s v="Very Cold"/>
    <s v="Medium"/>
    <s v="Windy"/>
    <s v="Working Day"/>
    <s v="Mostly Registered"/>
    <n v="10.71428571428571"/>
    <n v="89.285714285714292"/>
    <s v="Yes"/>
    <s v="Low"/>
    <s v="Yes"/>
    <n v="-2.4199999999999999E-2"/>
  </r>
  <r>
    <n v="512"/>
    <x v="22"/>
    <n v="1"/>
    <n v="10"/>
    <b v="0"/>
    <n v="0"/>
    <n v="1"/>
    <n v="0.14000000000000001"/>
    <x v="14"/>
    <n v="0.46"/>
    <n v="0.3881"/>
    <n v="7"/>
    <n v="51"/>
    <n v="58"/>
    <s v="Spring"/>
    <s v="Sunday"/>
    <s v="Clear"/>
    <x v="1"/>
    <s v="Very Cold"/>
    <s v="Medium"/>
    <s v="Windy"/>
    <s v="Working Day"/>
    <s v="Mostly Registered"/>
    <n v="12.068965517241381"/>
    <n v="87.931034482758619"/>
    <s v="No"/>
    <s v="Low"/>
    <s v="Yes"/>
    <n v="-3.3900000000000013E-2"/>
  </r>
  <r>
    <n v="513"/>
    <x v="22"/>
    <n v="1"/>
    <n v="11"/>
    <b v="0"/>
    <n v="0"/>
    <n v="1"/>
    <n v="0.14000000000000001"/>
    <x v="13"/>
    <n v="0.43"/>
    <n v="0.22389999999999999"/>
    <n v="22"/>
    <n v="77"/>
    <n v="99"/>
    <s v="Spring"/>
    <s v="Sunday"/>
    <s v="Clear"/>
    <x v="1"/>
    <s v="Very Cold"/>
    <s v="Medium"/>
    <s v="Moderate"/>
    <s v="Working Day"/>
    <s v="Mostly Registered"/>
    <n v="22.222222222222221"/>
    <n v="77.777777777777786"/>
    <s v="No"/>
    <s v="Low"/>
    <s v="Yes"/>
    <n v="-3.6000000000000199E-3"/>
  </r>
  <r>
    <n v="514"/>
    <x v="22"/>
    <n v="1"/>
    <n v="12"/>
    <b v="0"/>
    <n v="0"/>
    <n v="1"/>
    <n v="0.16"/>
    <x v="15"/>
    <n v="0.37"/>
    <n v="0.4627"/>
    <n v="24"/>
    <n v="92"/>
    <n v="116"/>
    <s v="Spring"/>
    <s v="Sunday"/>
    <s v="Clear"/>
    <x v="2"/>
    <s v="Cold"/>
    <s v="Low"/>
    <s v="Windy"/>
    <s v="Working Day"/>
    <s v="Mostly Registered"/>
    <n v="20.68965517241379"/>
    <n v="79.310344827586206"/>
    <s v="No"/>
    <s v="Medium"/>
    <s v="Yes"/>
    <n v="-3.8800000000000001E-2"/>
  </r>
  <r>
    <n v="515"/>
    <x v="22"/>
    <n v="1"/>
    <n v="13"/>
    <b v="0"/>
    <n v="0"/>
    <n v="1"/>
    <n v="0.14000000000000001"/>
    <x v="14"/>
    <n v="0.33"/>
    <n v="0.3881"/>
    <n v="12"/>
    <n v="75"/>
    <n v="87"/>
    <s v="Spring"/>
    <s v="Sunday"/>
    <s v="Clear"/>
    <x v="2"/>
    <s v="Very Cold"/>
    <s v="Low"/>
    <s v="Windy"/>
    <s v="Working Day"/>
    <s v="Mostly Registered"/>
    <n v="13.793103448275859"/>
    <n v="86.206896551724128"/>
    <s v="No"/>
    <s v="Low"/>
    <s v="Yes"/>
    <n v="-3.3900000000000013E-2"/>
  </r>
  <r>
    <n v="516"/>
    <x v="22"/>
    <n v="1"/>
    <n v="14"/>
    <b v="0"/>
    <n v="0"/>
    <n v="1"/>
    <n v="0.16"/>
    <x v="13"/>
    <n v="0.28000000000000003"/>
    <n v="0.35820000000000002"/>
    <n v="17"/>
    <n v="93"/>
    <n v="110"/>
    <s v="Spring"/>
    <s v="Sunday"/>
    <s v="Clear"/>
    <x v="2"/>
    <s v="Cold"/>
    <s v="Low"/>
    <s v="Windy"/>
    <s v="Working Day"/>
    <s v="Mostly Registered"/>
    <n v="15.45454545454545"/>
    <n v="84.545454545454547"/>
    <s v="No"/>
    <s v="Medium"/>
    <s v="Yes"/>
    <n v="-2.360000000000001E-2"/>
  </r>
  <r>
    <n v="517"/>
    <x v="22"/>
    <n v="1"/>
    <n v="15"/>
    <b v="0"/>
    <n v="0"/>
    <n v="1"/>
    <n v="0.16"/>
    <x v="13"/>
    <n v="0.28000000000000003"/>
    <n v="0.35820000000000002"/>
    <n v="13"/>
    <n v="64"/>
    <n v="77"/>
    <s v="Spring"/>
    <s v="Sunday"/>
    <s v="Clear"/>
    <x v="2"/>
    <s v="Cold"/>
    <s v="Low"/>
    <s v="Windy"/>
    <s v="Working Day"/>
    <s v="Mostly Registered"/>
    <n v="16.88311688311688"/>
    <n v="83.116883116883116"/>
    <s v="No"/>
    <s v="Low"/>
    <s v="Yes"/>
    <n v="-2.360000000000001E-2"/>
  </r>
  <r>
    <n v="518"/>
    <x v="22"/>
    <n v="1"/>
    <n v="16"/>
    <b v="0"/>
    <n v="0"/>
    <n v="1"/>
    <n v="0.16"/>
    <x v="13"/>
    <n v="0.26"/>
    <n v="0.32840000000000003"/>
    <n v="9"/>
    <n v="56"/>
    <n v="65"/>
    <s v="Spring"/>
    <s v="Sunday"/>
    <s v="Clear"/>
    <x v="2"/>
    <s v="Cold"/>
    <s v="Low"/>
    <s v="Windy"/>
    <s v="Working Day"/>
    <s v="Mostly Registered"/>
    <n v="13.84615384615385"/>
    <n v="86.15384615384616"/>
    <s v="No"/>
    <s v="Low"/>
    <s v="Yes"/>
    <n v="-2.360000000000001E-2"/>
  </r>
  <r>
    <n v="519"/>
    <x v="22"/>
    <n v="1"/>
    <n v="17"/>
    <b v="0"/>
    <n v="0"/>
    <n v="1"/>
    <n v="0.14000000000000001"/>
    <x v="14"/>
    <n v="0.26"/>
    <n v="0.3881"/>
    <n v="5"/>
    <n v="50"/>
    <n v="55"/>
    <s v="Spring"/>
    <s v="Sunday"/>
    <s v="Clear"/>
    <x v="3"/>
    <s v="Very Cold"/>
    <s v="Low"/>
    <s v="Windy"/>
    <s v="Working Day"/>
    <s v="Mostly Registered"/>
    <n v="9.0909090909090917"/>
    <n v="90.909090909090907"/>
    <s v="Yes"/>
    <s v="Low"/>
    <s v="Yes"/>
    <n v="-3.3900000000000013E-2"/>
  </r>
  <r>
    <n v="520"/>
    <x v="22"/>
    <n v="1"/>
    <n v="18"/>
    <b v="0"/>
    <n v="0"/>
    <n v="1"/>
    <n v="0.12"/>
    <x v="15"/>
    <n v="0.3"/>
    <n v="0.25369999999999998"/>
    <n v="5"/>
    <n v="44"/>
    <n v="49"/>
    <s v="Spring"/>
    <s v="Sunday"/>
    <s v="Clear"/>
    <x v="3"/>
    <s v="Very Cold"/>
    <s v="Low"/>
    <s v="Moderate"/>
    <s v="Working Day"/>
    <s v="Mostly Registered"/>
    <n v="10.204081632653059"/>
    <n v="89.795918367346943"/>
    <s v="Yes"/>
    <s v="Low"/>
    <s v="Yes"/>
    <n v="1.2000000000000071E-3"/>
  </r>
  <r>
    <n v="521"/>
    <x v="22"/>
    <n v="1"/>
    <n v="19"/>
    <b v="0"/>
    <n v="0"/>
    <n v="1"/>
    <n v="0.12"/>
    <x v="15"/>
    <n v="0.3"/>
    <n v="0.28360000000000002"/>
    <n v="5"/>
    <n v="45"/>
    <n v="50"/>
    <s v="Spring"/>
    <s v="Sunday"/>
    <s v="Clear"/>
    <x v="3"/>
    <s v="Very Cold"/>
    <s v="Low"/>
    <s v="Moderate"/>
    <s v="Working Day"/>
    <s v="Mostly Registered"/>
    <n v="10"/>
    <n v="90"/>
    <s v="Yes"/>
    <s v="Low"/>
    <s v="Yes"/>
    <n v="1.2000000000000071E-3"/>
  </r>
  <r>
    <n v="522"/>
    <x v="22"/>
    <n v="1"/>
    <n v="20"/>
    <b v="0"/>
    <n v="0"/>
    <n v="1"/>
    <n v="0.1"/>
    <x v="14"/>
    <n v="0.36"/>
    <n v="0.25369999999999998"/>
    <n v="4"/>
    <n v="31"/>
    <n v="35"/>
    <s v="Spring"/>
    <s v="Sunday"/>
    <s v="Clear"/>
    <x v="3"/>
    <s v="Very Cold"/>
    <s v="Low"/>
    <s v="Moderate"/>
    <s v="Working Day"/>
    <s v="Mostly Registered"/>
    <n v="11.428571428571431"/>
    <n v="88.571428571428569"/>
    <s v="No"/>
    <s v="Low"/>
    <s v="Yes"/>
    <n v="6.0999999999999943E-3"/>
  </r>
  <r>
    <n v="523"/>
    <x v="22"/>
    <n v="1"/>
    <n v="21"/>
    <b v="0"/>
    <n v="0"/>
    <n v="1"/>
    <n v="0.1"/>
    <x v="14"/>
    <n v="0.36"/>
    <n v="0.19400000000000001"/>
    <n v="5"/>
    <n v="20"/>
    <n v="25"/>
    <s v="Spring"/>
    <s v="Sunday"/>
    <s v="Clear"/>
    <x v="0"/>
    <s v="Very Cold"/>
    <s v="Low"/>
    <s v="Moderate"/>
    <s v="Working Day"/>
    <s v="Mostly Registered"/>
    <n v="20"/>
    <n v="80"/>
    <s v="No"/>
    <s v="Low"/>
    <s v="Yes"/>
    <n v="6.0999999999999943E-3"/>
  </r>
  <r>
    <n v="524"/>
    <x v="22"/>
    <n v="1"/>
    <n v="22"/>
    <b v="0"/>
    <n v="0"/>
    <n v="1"/>
    <n v="0.08"/>
    <x v="23"/>
    <n v="0.38"/>
    <n v="0.19400000000000001"/>
    <n v="5"/>
    <n v="23"/>
    <n v="28"/>
    <s v="Spring"/>
    <s v="Sunday"/>
    <s v="Clear"/>
    <x v="0"/>
    <s v="Very Cold"/>
    <s v="Low"/>
    <s v="Moderate"/>
    <s v="Working Day"/>
    <s v="Mostly Registered"/>
    <n v="17.857142857142861"/>
    <n v="82.142857142857139"/>
    <s v="No"/>
    <s v="Low"/>
    <s v="Yes"/>
    <n v="1.089999999999999E-2"/>
  </r>
  <r>
    <n v="525"/>
    <x v="22"/>
    <n v="1"/>
    <n v="23"/>
    <b v="0"/>
    <n v="0"/>
    <n v="1"/>
    <n v="0.06"/>
    <x v="21"/>
    <n v="0.41"/>
    <n v="0.22389999999999999"/>
    <n v="4"/>
    <n v="17"/>
    <n v="21"/>
    <s v="Spring"/>
    <s v="Sunday"/>
    <s v="Clear"/>
    <x v="0"/>
    <s v="Very Cold"/>
    <s v="Medium"/>
    <s v="Moderate"/>
    <s v="Working Day"/>
    <s v="Mostly Registered"/>
    <n v="19.047619047619051"/>
    <n v="80.952380952380949"/>
    <s v="No"/>
    <s v="Low"/>
    <s v="Yes"/>
    <n v="6.0000000000000331E-4"/>
  </r>
  <r>
    <n v="526"/>
    <x v="23"/>
    <n v="1"/>
    <n v="0"/>
    <b v="0"/>
    <n v="1"/>
    <n v="1"/>
    <n v="0.06"/>
    <x v="21"/>
    <n v="0.41"/>
    <n v="0.19400000000000001"/>
    <n v="0"/>
    <n v="7"/>
    <n v="7"/>
    <s v="Spring"/>
    <s v="Monday"/>
    <s v="Clear"/>
    <x v="0"/>
    <s v="Very Cold"/>
    <s v="Medium"/>
    <s v="Moderate"/>
    <s v="Working Day"/>
    <s v="Mostly Registered"/>
    <n v="0"/>
    <n v="100"/>
    <s v="No"/>
    <s v="Low"/>
    <s v="No"/>
    <n v="6.0000000000000331E-4"/>
  </r>
  <r>
    <n v="527"/>
    <x v="23"/>
    <n v="1"/>
    <n v="1"/>
    <b v="0"/>
    <n v="1"/>
    <n v="1"/>
    <n v="0.04"/>
    <x v="26"/>
    <n v="0.45"/>
    <n v="0.19400000000000001"/>
    <n v="0"/>
    <n v="1"/>
    <n v="1"/>
    <s v="Spring"/>
    <s v="Monday"/>
    <s v="Clear"/>
    <x v="0"/>
    <s v="Very Cold"/>
    <s v="Medium"/>
    <s v="Moderate"/>
    <s v="Working Day"/>
    <s v="Mostly Registered"/>
    <n v="0"/>
    <n v="100"/>
    <s v="No"/>
    <s v="Low"/>
    <s v="No"/>
    <n v="5.4999999999999979E-3"/>
  </r>
  <r>
    <n v="528"/>
    <x v="23"/>
    <n v="1"/>
    <n v="3"/>
    <b v="0"/>
    <n v="1"/>
    <n v="1"/>
    <n v="0.04"/>
    <x v="25"/>
    <n v="0.45"/>
    <n v="0.25369999999999998"/>
    <n v="0"/>
    <n v="1"/>
    <n v="1"/>
    <s v="Spring"/>
    <s v="Monday"/>
    <s v="Clear"/>
    <x v="0"/>
    <s v="Very Cold"/>
    <s v="Medium"/>
    <s v="Moderate"/>
    <s v="Working Day"/>
    <s v="Mostly Registered"/>
    <n v="0"/>
    <n v="100"/>
    <s v="No"/>
    <s v="Low"/>
    <s v="No"/>
    <n v="-9.7000000000000003E-3"/>
  </r>
  <r>
    <n v="529"/>
    <x v="23"/>
    <n v="1"/>
    <n v="4"/>
    <b v="0"/>
    <n v="1"/>
    <n v="1"/>
    <n v="0.02"/>
    <x v="21"/>
    <n v="0.48"/>
    <n v="0.1343"/>
    <n v="0"/>
    <n v="1"/>
    <n v="1"/>
    <s v="Spring"/>
    <s v="Monday"/>
    <s v="Clear"/>
    <x v="0"/>
    <s v="Very Cold"/>
    <s v="Medium"/>
    <s v="Calm"/>
    <s v="Working Day"/>
    <s v="Mostly Registered"/>
    <n v="0"/>
    <n v="100"/>
    <s v="No"/>
    <s v="Low"/>
    <s v="No"/>
    <n v="4.0599999999999997E-2"/>
  </r>
  <r>
    <n v="530"/>
    <x v="23"/>
    <n v="1"/>
    <n v="5"/>
    <b v="0"/>
    <n v="1"/>
    <n v="1"/>
    <n v="0.02"/>
    <x v="21"/>
    <n v="0.48"/>
    <n v="0.1343"/>
    <n v="0"/>
    <n v="5"/>
    <n v="5"/>
    <s v="Spring"/>
    <s v="Monday"/>
    <s v="Clear"/>
    <x v="0"/>
    <s v="Very Cold"/>
    <s v="Medium"/>
    <s v="Calm"/>
    <s v="Working Day"/>
    <s v="Mostly Registered"/>
    <n v="0"/>
    <n v="100"/>
    <s v="No"/>
    <s v="Low"/>
    <s v="No"/>
    <n v="4.0599999999999997E-2"/>
  </r>
  <r>
    <n v="531"/>
    <x v="23"/>
    <n v="1"/>
    <n v="6"/>
    <b v="0"/>
    <n v="1"/>
    <n v="1"/>
    <n v="0.02"/>
    <x v="22"/>
    <n v="0.48"/>
    <n v="8.9599999999999999E-2"/>
    <n v="0"/>
    <n v="15"/>
    <n v="15"/>
    <s v="Spring"/>
    <s v="Monday"/>
    <s v="Clear"/>
    <x v="1"/>
    <s v="Very Cold"/>
    <s v="Medium"/>
    <s v="Calm"/>
    <s v="Working Day"/>
    <s v="Mostly Registered"/>
    <n v="0"/>
    <n v="100"/>
    <s v="No"/>
    <s v="Low"/>
    <s v="No"/>
    <n v="5.5800000000000002E-2"/>
  </r>
  <r>
    <n v="532"/>
    <x v="23"/>
    <n v="1"/>
    <n v="7"/>
    <b v="0"/>
    <n v="1"/>
    <n v="1"/>
    <n v="0.02"/>
    <x v="15"/>
    <n v="0.48"/>
    <n v="0"/>
    <n v="5"/>
    <n v="79"/>
    <n v="84"/>
    <s v="Spring"/>
    <s v="Monday"/>
    <s v="Clear"/>
    <x v="1"/>
    <s v="Very Cold"/>
    <s v="Medium"/>
    <s v="Calm"/>
    <s v="Working Day"/>
    <s v="Mostly Registered"/>
    <n v="5.9523809523809517"/>
    <n v="94.047619047619051"/>
    <s v="Yes"/>
    <s v="Low"/>
    <s v="No"/>
    <n v="0.1012"/>
  </r>
  <r>
    <n v="533"/>
    <x v="23"/>
    <n v="1"/>
    <n v="8"/>
    <b v="0"/>
    <n v="1"/>
    <n v="1"/>
    <n v="0.04"/>
    <x v="13"/>
    <n v="0.49"/>
    <n v="0"/>
    <n v="6"/>
    <n v="171"/>
    <n v="177"/>
    <s v="Spring"/>
    <s v="Monday"/>
    <s v="Clear"/>
    <x v="1"/>
    <s v="Very Cold"/>
    <s v="Medium"/>
    <s v="Calm"/>
    <s v="Working Day"/>
    <s v="Mostly Registered"/>
    <n v="3.3898305084745761"/>
    <n v="96.610169491525426"/>
    <s v="Yes"/>
    <s v="Medium"/>
    <s v="No"/>
    <n v="9.6399999999999986E-2"/>
  </r>
  <r>
    <n v="534"/>
    <x v="23"/>
    <n v="1"/>
    <n v="9"/>
    <b v="0"/>
    <n v="1"/>
    <n v="1"/>
    <n v="0.06"/>
    <x v="19"/>
    <n v="0.41"/>
    <n v="0"/>
    <n v="4"/>
    <n v="98"/>
    <n v="102"/>
    <s v="Spring"/>
    <s v="Monday"/>
    <s v="Clear"/>
    <x v="1"/>
    <s v="Very Cold"/>
    <s v="Medium"/>
    <s v="Calm"/>
    <s v="Working Day"/>
    <s v="Mostly Registered"/>
    <n v="3.9215686274509798"/>
    <n v="96.078431372549019"/>
    <s v="Yes"/>
    <s v="Medium"/>
    <s v="No"/>
    <n v="9.1499999999999998E-2"/>
  </r>
  <r>
    <n v="535"/>
    <x v="23"/>
    <n v="1"/>
    <n v="10"/>
    <b v="0"/>
    <n v="1"/>
    <n v="1"/>
    <n v="0.1"/>
    <x v="13"/>
    <n v="0.42"/>
    <n v="0"/>
    <n v="6"/>
    <n v="34"/>
    <n v="40"/>
    <s v="Spring"/>
    <s v="Monday"/>
    <s v="Clear"/>
    <x v="1"/>
    <s v="Very Cold"/>
    <s v="Medium"/>
    <s v="Calm"/>
    <s v="Working Day"/>
    <s v="Mostly Registered"/>
    <n v="15"/>
    <n v="85"/>
    <s v="No"/>
    <s v="Low"/>
    <s v="No"/>
    <n v="3.6399999999999988E-2"/>
  </r>
  <r>
    <n v="536"/>
    <x v="23"/>
    <n v="1"/>
    <n v="11"/>
    <b v="0"/>
    <n v="1"/>
    <n v="1"/>
    <n v="0.1"/>
    <x v="15"/>
    <n v="0.46"/>
    <n v="0.1343"/>
    <n v="3"/>
    <n v="43"/>
    <n v="46"/>
    <s v="Spring"/>
    <s v="Monday"/>
    <s v="Clear"/>
    <x v="1"/>
    <s v="Very Cold"/>
    <s v="Medium"/>
    <s v="Calm"/>
    <s v="Working Day"/>
    <s v="Mostly Registered"/>
    <n v="6.5217391304347823"/>
    <n v="93.478260869565219"/>
    <s v="No"/>
    <s v="Low"/>
    <s v="No"/>
    <n v="2.12E-2"/>
  </r>
  <r>
    <n v="537"/>
    <x v="23"/>
    <n v="1"/>
    <n v="12"/>
    <b v="0"/>
    <n v="1"/>
    <n v="2"/>
    <n v="0.12"/>
    <x v="13"/>
    <n v="0.42"/>
    <n v="0.19400000000000001"/>
    <n v="11"/>
    <n v="52"/>
    <n v="63"/>
    <s v="Spring"/>
    <s v="Monday"/>
    <s v="Mist/Cloudy"/>
    <x v="2"/>
    <s v="Very Cold"/>
    <s v="Medium"/>
    <s v="Moderate"/>
    <s v="Working Day"/>
    <s v="Mostly Registered"/>
    <n v="17.460317460317459"/>
    <n v="82.539682539682531"/>
    <s v="No"/>
    <s v="Low"/>
    <s v="No"/>
    <n v="1.6400000000000001E-2"/>
  </r>
  <r>
    <n v="538"/>
    <x v="23"/>
    <n v="1"/>
    <n v="13"/>
    <b v="0"/>
    <n v="1"/>
    <n v="2"/>
    <n v="0.14000000000000001"/>
    <x v="13"/>
    <n v="0.43"/>
    <n v="0.22389999999999999"/>
    <n v="6"/>
    <n v="54"/>
    <n v="60"/>
    <s v="Spring"/>
    <s v="Monday"/>
    <s v="Mist/Cloudy"/>
    <x v="2"/>
    <s v="Very Cold"/>
    <s v="Medium"/>
    <s v="Moderate"/>
    <s v="Working Day"/>
    <s v="Mostly Registered"/>
    <n v="10"/>
    <n v="90"/>
    <s v="No"/>
    <s v="Low"/>
    <s v="No"/>
    <n v="-3.6000000000000199E-3"/>
  </r>
  <r>
    <n v="539"/>
    <x v="23"/>
    <n v="1"/>
    <n v="14"/>
    <b v="0"/>
    <n v="1"/>
    <n v="2"/>
    <n v="0.14000000000000001"/>
    <x v="13"/>
    <n v="0.46"/>
    <n v="0.22389999999999999"/>
    <n v="2"/>
    <n v="43"/>
    <n v="45"/>
    <s v="Spring"/>
    <s v="Monday"/>
    <s v="Mist/Cloudy"/>
    <x v="2"/>
    <s v="Very Cold"/>
    <s v="Medium"/>
    <s v="Moderate"/>
    <s v="Working Day"/>
    <s v="Mostly Registered"/>
    <n v="4.4444444444444446"/>
    <n v="95.555555555555557"/>
    <s v="No"/>
    <s v="Low"/>
    <s v="No"/>
    <n v="-3.6000000000000199E-3"/>
  </r>
  <r>
    <n v="540"/>
    <x v="23"/>
    <n v="1"/>
    <n v="15"/>
    <b v="0"/>
    <n v="1"/>
    <n v="1"/>
    <n v="0.16"/>
    <x v="16"/>
    <n v="0.4"/>
    <n v="0.16420000000000001"/>
    <n v="7"/>
    <n v="50"/>
    <n v="57"/>
    <s v="Spring"/>
    <s v="Monday"/>
    <s v="Clear"/>
    <x v="2"/>
    <s v="Cold"/>
    <s v="Medium"/>
    <s v="Moderate"/>
    <s v="Working Day"/>
    <s v="Mostly Registered"/>
    <n v="12.28070175438596"/>
    <n v="87.719298245614027"/>
    <s v="No"/>
    <s v="Low"/>
    <s v="No"/>
    <n v="6.6999999999999837E-3"/>
  </r>
  <r>
    <n v="541"/>
    <x v="23"/>
    <n v="1"/>
    <n v="16"/>
    <b v="0"/>
    <n v="1"/>
    <n v="1"/>
    <n v="0.16"/>
    <x v="19"/>
    <n v="0.47"/>
    <n v="0.25369999999999998"/>
    <n v="4"/>
    <n v="66"/>
    <n v="70"/>
    <s v="Spring"/>
    <s v="Monday"/>
    <s v="Clear"/>
    <x v="2"/>
    <s v="Cold"/>
    <s v="Medium"/>
    <s v="Moderate"/>
    <s v="Working Day"/>
    <s v="Mostly Registered"/>
    <n v="5.7142857142857144"/>
    <n v="94.285714285714278"/>
    <s v="No"/>
    <s v="Low"/>
    <s v="No"/>
    <n v="-8.5000000000000075E-3"/>
  </r>
  <r>
    <n v="542"/>
    <x v="23"/>
    <n v="1"/>
    <n v="17"/>
    <b v="0"/>
    <n v="1"/>
    <n v="1"/>
    <n v="0.14000000000000001"/>
    <x v="15"/>
    <n v="0.5"/>
    <n v="0.25369999999999998"/>
    <n v="6"/>
    <n v="178"/>
    <n v="184"/>
    <s v="Spring"/>
    <s v="Monday"/>
    <s v="Clear"/>
    <x v="3"/>
    <s v="Very Cold"/>
    <s v="Medium"/>
    <s v="Moderate"/>
    <s v="Working Day"/>
    <s v="Mostly Registered"/>
    <n v="3.2608695652173911"/>
    <n v="96.739130434782609"/>
    <s v="Yes"/>
    <s v="Medium"/>
    <s v="No"/>
    <n v="-1.8800000000000011E-2"/>
  </r>
  <r>
    <n v="543"/>
    <x v="23"/>
    <n v="1"/>
    <n v="18"/>
    <b v="0"/>
    <n v="1"/>
    <n v="1"/>
    <n v="0.14000000000000001"/>
    <x v="13"/>
    <n v="0.59"/>
    <n v="0.19400000000000001"/>
    <n v="8"/>
    <n v="145"/>
    <n v="153"/>
    <s v="Spring"/>
    <s v="Monday"/>
    <s v="Clear"/>
    <x v="3"/>
    <s v="Very Cold"/>
    <s v="Medium"/>
    <s v="Moderate"/>
    <s v="Working Day"/>
    <s v="Mostly Registered"/>
    <n v="5.2287581699346406"/>
    <n v="94.77124183006535"/>
    <s v="Yes"/>
    <s v="Medium"/>
    <s v="No"/>
    <n v="-3.6000000000000199E-3"/>
  </r>
  <r>
    <n v="544"/>
    <x v="23"/>
    <n v="1"/>
    <n v="19"/>
    <b v="0"/>
    <n v="1"/>
    <n v="1"/>
    <n v="0.14000000000000001"/>
    <x v="19"/>
    <n v="0.54"/>
    <n v="0.16420000000000001"/>
    <n v="5"/>
    <n v="101"/>
    <n v="106"/>
    <s v="Spring"/>
    <s v="Monday"/>
    <s v="Clear"/>
    <x v="3"/>
    <s v="Very Cold"/>
    <s v="Medium"/>
    <s v="Moderate"/>
    <s v="Working Day"/>
    <s v="Mostly Registered"/>
    <n v="4.716981132075472"/>
    <n v="95.283018867924525"/>
    <s v="Yes"/>
    <s v="Medium"/>
    <s v="No"/>
    <n v="1.1499999999999981E-2"/>
  </r>
  <r>
    <n v="545"/>
    <x v="23"/>
    <n v="1"/>
    <n v="20"/>
    <b v="0"/>
    <n v="1"/>
    <n v="1"/>
    <n v="0.14000000000000001"/>
    <x v="13"/>
    <n v="0.59"/>
    <n v="0.19400000000000001"/>
    <n v="1"/>
    <n v="80"/>
    <n v="81"/>
    <s v="Spring"/>
    <s v="Monday"/>
    <s v="Clear"/>
    <x v="3"/>
    <s v="Very Cold"/>
    <s v="Medium"/>
    <s v="Moderate"/>
    <s v="Working Day"/>
    <s v="Mostly Registered"/>
    <n v="1.2345679012345681"/>
    <n v="98.76543209876543"/>
    <s v="No"/>
    <s v="Low"/>
    <s v="No"/>
    <n v="-3.6000000000000199E-3"/>
  </r>
  <r>
    <n v="546"/>
    <x v="23"/>
    <n v="1"/>
    <n v="21"/>
    <b v="0"/>
    <n v="1"/>
    <n v="1"/>
    <n v="0.14000000000000001"/>
    <x v="19"/>
    <n v="0.63"/>
    <n v="0.16420000000000001"/>
    <n v="6"/>
    <n v="53"/>
    <n v="59"/>
    <s v="Spring"/>
    <s v="Monday"/>
    <s v="Clear"/>
    <x v="0"/>
    <s v="Very Cold"/>
    <s v="Medium"/>
    <s v="Moderate"/>
    <s v="Working Day"/>
    <s v="Mostly Registered"/>
    <n v="10.16949152542373"/>
    <n v="89.830508474576277"/>
    <s v="No"/>
    <s v="Low"/>
    <s v="No"/>
    <n v="1.1499999999999981E-2"/>
  </r>
  <r>
    <n v="547"/>
    <x v="23"/>
    <n v="1"/>
    <n v="22"/>
    <b v="0"/>
    <n v="1"/>
    <n v="2"/>
    <n v="0.14000000000000001"/>
    <x v="13"/>
    <n v="0.63"/>
    <n v="0.22389999999999999"/>
    <n v="3"/>
    <n v="32"/>
    <n v="35"/>
    <s v="Spring"/>
    <s v="Monday"/>
    <s v="Mist/Cloudy"/>
    <x v="0"/>
    <s v="Very Cold"/>
    <s v="Medium"/>
    <s v="Moderate"/>
    <s v="Working Day"/>
    <s v="Mostly Registered"/>
    <n v="8.5714285714285712"/>
    <n v="91.428571428571431"/>
    <s v="No"/>
    <s v="Low"/>
    <s v="No"/>
    <n v="-3.6000000000000199E-3"/>
  </r>
  <r>
    <n v="548"/>
    <x v="23"/>
    <n v="1"/>
    <n v="23"/>
    <b v="0"/>
    <n v="1"/>
    <n v="2"/>
    <n v="0.16"/>
    <x v="19"/>
    <n v="0.64"/>
    <n v="0.25369999999999998"/>
    <n v="3"/>
    <n v="21"/>
    <n v="24"/>
    <s v="Spring"/>
    <s v="Monday"/>
    <s v="Mist/Cloudy"/>
    <x v="0"/>
    <s v="Cold"/>
    <s v="Medium"/>
    <s v="Moderate"/>
    <s v="Working Day"/>
    <s v="Mostly Registered"/>
    <n v="12.5"/>
    <n v="87.5"/>
    <s v="No"/>
    <s v="Low"/>
    <s v="No"/>
    <n v="-8.5000000000000075E-3"/>
  </r>
  <r>
    <n v="549"/>
    <x v="24"/>
    <n v="1"/>
    <n v="0"/>
    <b v="0"/>
    <n v="2"/>
    <n v="2"/>
    <n v="0.16"/>
    <x v="13"/>
    <n v="0.69"/>
    <n v="0.28360000000000002"/>
    <n v="3"/>
    <n v="6"/>
    <n v="9"/>
    <s v="Spring"/>
    <s v="Tuesday"/>
    <s v="Mist/Cloudy"/>
    <x v="0"/>
    <s v="Cold"/>
    <s v="Medium"/>
    <s v="Moderate"/>
    <s v="Working Day"/>
    <s v="Mostly Registered"/>
    <n v="33.333333333333329"/>
    <n v="66.666666666666657"/>
    <s v="No"/>
    <s v="Low"/>
    <s v="No"/>
    <n v="-2.360000000000001E-2"/>
  </r>
  <r>
    <n v="550"/>
    <x v="24"/>
    <n v="1"/>
    <n v="1"/>
    <b v="0"/>
    <n v="2"/>
    <n v="2"/>
    <n v="0.16"/>
    <x v="16"/>
    <n v="0.69"/>
    <n v="0.16420000000000001"/>
    <n v="0"/>
    <n v="5"/>
    <n v="5"/>
    <s v="Spring"/>
    <s v="Tuesday"/>
    <s v="Mist/Cloudy"/>
    <x v="0"/>
    <s v="Cold"/>
    <s v="Medium"/>
    <s v="Moderate"/>
    <s v="Working Day"/>
    <s v="Mostly Registered"/>
    <n v="0"/>
    <n v="100"/>
    <s v="No"/>
    <s v="Low"/>
    <s v="No"/>
    <n v="6.6999999999999837E-3"/>
  </r>
  <r>
    <n v="551"/>
    <x v="24"/>
    <n v="1"/>
    <n v="2"/>
    <b v="0"/>
    <n v="2"/>
    <n v="1"/>
    <n v="0.16"/>
    <x v="19"/>
    <n v="0.69"/>
    <n v="0.22389999999999999"/>
    <n v="0"/>
    <n v="2"/>
    <n v="2"/>
    <s v="Spring"/>
    <s v="Tuesday"/>
    <s v="Clear"/>
    <x v="0"/>
    <s v="Cold"/>
    <s v="Medium"/>
    <s v="Moderate"/>
    <s v="Working Day"/>
    <s v="Mostly Registered"/>
    <n v="0"/>
    <n v="100"/>
    <s v="No"/>
    <s v="Low"/>
    <s v="No"/>
    <n v="-8.5000000000000075E-3"/>
  </r>
  <r>
    <n v="552"/>
    <x v="24"/>
    <n v="1"/>
    <n v="4"/>
    <b v="0"/>
    <n v="2"/>
    <n v="1"/>
    <n v="0.14000000000000001"/>
    <x v="16"/>
    <n v="0.74"/>
    <n v="0.1045"/>
    <n v="0"/>
    <n v="1"/>
    <n v="1"/>
    <s v="Spring"/>
    <s v="Tuesday"/>
    <s v="Clear"/>
    <x v="0"/>
    <s v="Very Cold"/>
    <s v="High"/>
    <s v="Calm"/>
    <s v="Working Day"/>
    <s v="Mostly Registered"/>
    <n v="0"/>
    <n v="100"/>
    <s v="No"/>
    <s v="Low"/>
    <s v="No"/>
    <n v="2.669999999999997E-2"/>
  </r>
  <r>
    <n v="553"/>
    <x v="24"/>
    <n v="1"/>
    <n v="5"/>
    <b v="0"/>
    <n v="2"/>
    <n v="1"/>
    <n v="0.14000000000000001"/>
    <x v="13"/>
    <n v="0.74"/>
    <n v="0.22389999999999999"/>
    <n v="0"/>
    <n v="9"/>
    <n v="9"/>
    <s v="Spring"/>
    <s v="Tuesday"/>
    <s v="Clear"/>
    <x v="0"/>
    <s v="Very Cold"/>
    <s v="High"/>
    <s v="Moderate"/>
    <s v="Working Day"/>
    <s v="Mostly Registered"/>
    <n v="0"/>
    <n v="100"/>
    <s v="No"/>
    <s v="Low"/>
    <s v="No"/>
    <n v="-3.6000000000000199E-3"/>
  </r>
  <r>
    <n v="554"/>
    <x v="24"/>
    <n v="1"/>
    <n v="6"/>
    <b v="0"/>
    <n v="2"/>
    <n v="1"/>
    <n v="0.16"/>
    <x v="17"/>
    <n v="0.74"/>
    <n v="0.1045"/>
    <n v="1"/>
    <n v="35"/>
    <n v="36"/>
    <s v="Spring"/>
    <s v="Tuesday"/>
    <s v="Clear"/>
    <x v="1"/>
    <s v="Cold"/>
    <s v="High"/>
    <s v="Calm"/>
    <s v="Working Day"/>
    <s v="Mostly Registered"/>
    <n v="2.7777777777777781"/>
    <n v="97.222222222222214"/>
    <s v="No"/>
    <s v="Low"/>
    <s v="No"/>
    <n v="2.179999999999999E-2"/>
  </r>
  <r>
    <n v="555"/>
    <x v="24"/>
    <n v="1"/>
    <n v="7"/>
    <b v="0"/>
    <n v="2"/>
    <n v="1"/>
    <n v="0.16"/>
    <x v="19"/>
    <n v="0.74"/>
    <n v="0.22389999999999999"/>
    <n v="5"/>
    <n v="103"/>
    <n v="108"/>
    <s v="Spring"/>
    <s v="Tuesday"/>
    <s v="Clear"/>
    <x v="1"/>
    <s v="Cold"/>
    <s v="High"/>
    <s v="Moderate"/>
    <s v="Working Day"/>
    <s v="Mostly Registered"/>
    <n v="4.6296296296296298"/>
    <n v="95.370370370370367"/>
    <s v="Yes"/>
    <s v="Medium"/>
    <s v="No"/>
    <n v="-8.5000000000000075E-3"/>
  </r>
  <r>
    <n v="556"/>
    <x v="24"/>
    <n v="1"/>
    <n v="8"/>
    <b v="0"/>
    <n v="2"/>
    <n v="2"/>
    <n v="0.16"/>
    <x v="17"/>
    <n v="0.74"/>
    <n v="0.1343"/>
    <n v="5"/>
    <n v="233"/>
    <n v="238"/>
    <s v="Spring"/>
    <s v="Tuesday"/>
    <s v="Mist/Cloudy"/>
    <x v="1"/>
    <s v="Cold"/>
    <s v="High"/>
    <s v="Calm"/>
    <s v="Working Day"/>
    <s v="Mostly Registered"/>
    <n v="2.1008403361344539"/>
    <n v="97.899159663865547"/>
    <s v="Yes"/>
    <s v="Medium"/>
    <s v="No"/>
    <n v="2.179999999999999E-2"/>
  </r>
  <r>
    <n v="557"/>
    <x v="24"/>
    <n v="1"/>
    <n v="9"/>
    <b v="0"/>
    <n v="2"/>
    <n v="2"/>
    <n v="0.2"/>
    <x v="10"/>
    <n v="0.64"/>
    <n v="8.9599999999999999E-2"/>
    <n v="10"/>
    <n v="134"/>
    <n v="144"/>
    <s v="Spring"/>
    <s v="Tuesday"/>
    <s v="Mist/Cloudy"/>
    <x v="1"/>
    <s v="Cold"/>
    <s v="Medium"/>
    <s v="Calm"/>
    <s v="Working Day"/>
    <s v="Mostly Registered"/>
    <n v="6.9444444444444446"/>
    <n v="93.055555555555557"/>
    <s v="Yes"/>
    <s v="Medium"/>
    <s v="No"/>
    <n v="2.7299999999999991E-2"/>
  </r>
  <r>
    <n v="558"/>
    <x v="24"/>
    <n v="1"/>
    <n v="10"/>
    <b v="0"/>
    <n v="2"/>
    <n v="2"/>
    <n v="0.22"/>
    <x v="18"/>
    <n v="0.6"/>
    <n v="0.1045"/>
    <n v="6"/>
    <n v="49"/>
    <n v="55"/>
    <s v="Spring"/>
    <s v="Tuesday"/>
    <s v="Mist/Cloudy"/>
    <x v="1"/>
    <s v="Cold"/>
    <s v="Medium"/>
    <s v="Calm"/>
    <s v="Working Day"/>
    <s v="Mostly Registered"/>
    <n v="10.90909090909091"/>
    <n v="89.090909090909093"/>
    <s v="No"/>
    <s v="Low"/>
    <s v="No"/>
    <n v="2.24E-2"/>
  </r>
  <r>
    <n v="559"/>
    <x v="24"/>
    <n v="1"/>
    <n v="11"/>
    <b v="0"/>
    <n v="2"/>
    <n v="2"/>
    <n v="0.24"/>
    <x v="18"/>
    <n v="0.6"/>
    <n v="0.1343"/>
    <n v="6"/>
    <n v="55"/>
    <n v="61"/>
    <s v="Spring"/>
    <s v="Tuesday"/>
    <s v="Mist/Cloudy"/>
    <x v="1"/>
    <s v="Cold"/>
    <s v="Medium"/>
    <s v="Calm"/>
    <s v="Working Day"/>
    <s v="Mostly Registered"/>
    <n v="9.8360655737704921"/>
    <n v="90.163934426229503"/>
    <s v="No"/>
    <s v="Low"/>
    <s v="No"/>
    <n v="2.4000000000000128E-3"/>
  </r>
  <r>
    <n v="560"/>
    <x v="24"/>
    <n v="1"/>
    <n v="12"/>
    <b v="0"/>
    <n v="2"/>
    <n v="2"/>
    <n v="0.26"/>
    <x v="0"/>
    <n v="0.56000000000000005"/>
    <n v="8.9599999999999999E-2"/>
    <n v="21"/>
    <n v="85"/>
    <n v="106"/>
    <s v="Spring"/>
    <s v="Tuesday"/>
    <s v="Mist/Cloudy"/>
    <x v="2"/>
    <s v="Mild"/>
    <s v="Medium"/>
    <s v="Calm"/>
    <s v="Working Day"/>
    <s v="Mostly Registered"/>
    <n v="19.811320754716981"/>
    <n v="80.188679245283026"/>
    <s v="No"/>
    <s v="Medium"/>
    <s v="No"/>
    <n v="2.789999999999998E-2"/>
  </r>
  <r>
    <n v="561"/>
    <x v="24"/>
    <n v="1"/>
    <n v="13"/>
    <b v="0"/>
    <n v="2"/>
    <n v="2"/>
    <n v="0.26"/>
    <x v="1"/>
    <n v="0.56000000000000005"/>
    <n v="0.1343"/>
    <n v="21"/>
    <n v="72"/>
    <n v="93"/>
    <s v="Spring"/>
    <s v="Tuesday"/>
    <s v="Mist/Cloudy"/>
    <x v="2"/>
    <s v="Mild"/>
    <s v="Medium"/>
    <s v="Calm"/>
    <s v="Working Day"/>
    <s v="Mostly Registered"/>
    <n v="22.58064516129032"/>
    <n v="77.41935483870968"/>
    <s v="No"/>
    <s v="Low"/>
    <s v="No"/>
    <n v="1.2699999999999991E-2"/>
  </r>
  <r>
    <n v="562"/>
    <x v="24"/>
    <n v="1"/>
    <n v="14"/>
    <b v="0"/>
    <n v="2"/>
    <n v="2"/>
    <n v="0.3"/>
    <x v="5"/>
    <n v="0.45"/>
    <n v="0"/>
    <n v="11"/>
    <n v="57"/>
    <n v="68"/>
    <s v="Spring"/>
    <s v="Tuesday"/>
    <s v="Mist/Cloudy"/>
    <x v="2"/>
    <s v="Mild"/>
    <s v="Medium"/>
    <s v="Calm"/>
    <s v="Working Day"/>
    <s v="Mostly Registered"/>
    <n v="16.17647058823529"/>
    <n v="83.82352941176471"/>
    <s v="No"/>
    <s v="Low"/>
    <s v="No"/>
    <n v="3.3300000000000003E-2"/>
  </r>
  <r>
    <n v="563"/>
    <x v="24"/>
    <n v="1"/>
    <n v="15"/>
    <b v="0"/>
    <n v="2"/>
    <n v="2"/>
    <n v="0.32"/>
    <x v="3"/>
    <n v="0.42"/>
    <n v="0"/>
    <n v="21"/>
    <n v="63"/>
    <n v="84"/>
    <s v="Spring"/>
    <s v="Tuesday"/>
    <s v="Mist/Cloudy"/>
    <x v="2"/>
    <s v="Mild"/>
    <s v="Medium"/>
    <s v="Calm"/>
    <s v="Working Day"/>
    <s v="Mostly Registered"/>
    <n v="25"/>
    <n v="75"/>
    <s v="No"/>
    <s v="Low"/>
    <s v="No"/>
    <n v="2.849999999999997E-2"/>
  </r>
  <r>
    <n v="564"/>
    <x v="24"/>
    <n v="1"/>
    <n v="16"/>
    <b v="0"/>
    <n v="2"/>
    <n v="2"/>
    <n v="0.32"/>
    <x v="3"/>
    <n v="0.42"/>
    <n v="0"/>
    <n v="14"/>
    <n v="102"/>
    <n v="116"/>
    <s v="Spring"/>
    <s v="Tuesday"/>
    <s v="Mist/Cloudy"/>
    <x v="2"/>
    <s v="Mild"/>
    <s v="Medium"/>
    <s v="Calm"/>
    <s v="Working Day"/>
    <s v="Mostly Registered"/>
    <n v="12.068965517241381"/>
    <n v="87.931034482758619"/>
    <s v="No"/>
    <s v="Medium"/>
    <s v="No"/>
    <n v="2.849999999999997E-2"/>
  </r>
  <r>
    <n v="565"/>
    <x v="24"/>
    <n v="1"/>
    <n v="17"/>
    <b v="0"/>
    <n v="2"/>
    <n v="1"/>
    <n v="0.3"/>
    <x v="5"/>
    <n v="0.45"/>
    <n v="0"/>
    <n v="14"/>
    <n v="208"/>
    <n v="222"/>
    <s v="Spring"/>
    <s v="Tuesday"/>
    <s v="Clear"/>
    <x v="3"/>
    <s v="Mild"/>
    <s v="Medium"/>
    <s v="Calm"/>
    <s v="Working Day"/>
    <s v="Mostly Registered"/>
    <n v="6.3063063063063058"/>
    <n v="93.693693693693689"/>
    <s v="Yes"/>
    <s v="Medium"/>
    <s v="No"/>
    <n v="3.3300000000000003E-2"/>
  </r>
  <r>
    <n v="566"/>
    <x v="24"/>
    <n v="1"/>
    <n v="18"/>
    <b v="0"/>
    <n v="2"/>
    <n v="2"/>
    <n v="0.3"/>
    <x v="20"/>
    <n v="0.49"/>
    <n v="8.9599999999999999E-2"/>
    <n v="7"/>
    <n v="218"/>
    <n v="225"/>
    <s v="Spring"/>
    <s v="Tuesday"/>
    <s v="Mist/Cloudy"/>
    <x v="3"/>
    <s v="Mild"/>
    <s v="Medium"/>
    <s v="Calm"/>
    <s v="Working Day"/>
    <s v="Mostly Registered"/>
    <n v="3.1111111111111112"/>
    <n v="96.888888888888886"/>
    <s v="Yes"/>
    <s v="Medium"/>
    <s v="No"/>
    <n v="1.819999999999999E-2"/>
  </r>
  <r>
    <n v="567"/>
    <x v="24"/>
    <n v="1"/>
    <n v="19"/>
    <b v="0"/>
    <n v="2"/>
    <n v="2"/>
    <n v="0.26"/>
    <x v="2"/>
    <n v="0.65"/>
    <n v="0.16420000000000001"/>
    <n v="13"/>
    <n v="133"/>
    <n v="146"/>
    <s v="Spring"/>
    <s v="Tuesday"/>
    <s v="Mist/Cloudy"/>
    <x v="3"/>
    <s v="Mild"/>
    <s v="Medium"/>
    <s v="Moderate"/>
    <s v="Working Day"/>
    <s v="Mostly Registered"/>
    <n v="8.9041095890410951"/>
    <n v="91.095890410958901"/>
    <s v="Yes"/>
    <s v="Medium"/>
    <s v="No"/>
    <n v="-2.4000000000000128E-3"/>
  </r>
  <r>
    <n v="568"/>
    <x v="24"/>
    <n v="1"/>
    <n v="20"/>
    <b v="0"/>
    <n v="2"/>
    <n v="1"/>
    <n v="0.24"/>
    <x v="10"/>
    <n v="0.65"/>
    <n v="0.19400000000000001"/>
    <n v="16"/>
    <n v="103"/>
    <n v="119"/>
    <s v="Spring"/>
    <s v="Tuesday"/>
    <s v="Clear"/>
    <x v="3"/>
    <s v="Cold"/>
    <s v="Medium"/>
    <s v="Moderate"/>
    <s v="Working Day"/>
    <s v="Mostly Registered"/>
    <n v="13.445378151260501"/>
    <n v="86.554621848739501"/>
    <s v="No"/>
    <s v="Medium"/>
    <s v="No"/>
    <n v="-1.2699999999999991E-2"/>
  </r>
  <r>
    <n v="569"/>
    <x v="24"/>
    <n v="1"/>
    <n v="21"/>
    <b v="0"/>
    <n v="2"/>
    <n v="1"/>
    <n v="0.24"/>
    <x v="10"/>
    <n v="0.65"/>
    <n v="0.19400000000000001"/>
    <n v="5"/>
    <n v="40"/>
    <n v="45"/>
    <s v="Spring"/>
    <s v="Tuesday"/>
    <s v="Clear"/>
    <x v="0"/>
    <s v="Cold"/>
    <s v="Medium"/>
    <s v="Moderate"/>
    <s v="Working Day"/>
    <s v="Mostly Registered"/>
    <n v="11.111111111111111"/>
    <n v="88.888888888888886"/>
    <s v="No"/>
    <s v="Low"/>
    <s v="No"/>
    <n v="-1.2699999999999991E-2"/>
  </r>
  <r>
    <n v="570"/>
    <x v="24"/>
    <n v="1"/>
    <n v="22"/>
    <b v="0"/>
    <n v="2"/>
    <n v="1"/>
    <n v="0.22"/>
    <x v="10"/>
    <n v="0.64"/>
    <n v="0.16420000000000001"/>
    <n v="4"/>
    <n v="49"/>
    <n v="53"/>
    <s v="Spring"/>
    <s v="Tuesday"/>
    <s v="Clear"/>
    <x v="0"/>
    <s v="Cold"/>
    <s v="Medium"/>
    <s v="Moderate"/>
    <s v="Working Day"/>
    <s v="Mostly Registered"/>
    <n v="7.5471698113207548"/>
    <n v="92.452830188679243"/>
    <s v="No"/>
    <s v="Low"/>
    <s v="No"/>
    <n v="7.3000000000000009E-3"/>
  </r>
  <r>
    <n v="571"/>
    <x v="24"/>
    <n v="1"/>
    <n v="23"/>
    <b v="0"/>
    <n v="2"/>
    <n v="2"/>
    <n v="0.22"/>
    <x v="10"/>
    <n v="0.64"/>
    <n v="0.16420000000000001"/>
    <n v="3"/>
    <n v="37"/>
    <n v="40"/>
    <s v="Spring"/>
    <s v="Tuesday"/>
    <s v="Mist/Cloudy"/>
    <x v="0"/>
    <s v="Cold"/>
    <s v="Medium"/>
    <s v="Moderate"/>
    <s v="Working Day"/>
    <s v="Mostly Registered"/>
    <n v="7.5"/>
    <n v="92.5"/>
    <s v="No"/>
    <s v="Low"/>
    <s v="No"/>
    <n v="7.3000000000000009E-3"/>
  </r>
  <r>
    <n v="572"/>
    <x v="25"/>
    <n v="1"/>
    <n v="0"/>
    <b v="0"/>
    <n v="3"/>
    <n v="2"/>
    <n v="0.22"/>
    <x v="10"/>
    <n v="0.69"/>
    <n v="0.1343"/>
    <n v="3"/>
    <n v="14"/>
    <n v="17"/>
    <s v="Spring"/>
    <s v="Wednesday"/>
    <s v="Mist/Cloudy"/>
    <x v="0"/>
    <s v="Cold"/>
    <s v="Medium"/>
    <s v="Calm"/>
    <s v="Working Day"/>
    <s v="Mostly Registered"/>
    <n v="17.647058823529409"/>
    <n v="82.35294117647058"/>
    <s v="No"/>
    <s v="Low"/>
    <s v="No"/>
    <n v="7.3000000000000009E-3"/>
  </r>
  <r>
    <n v="573"/>
    <x v="25"/>
    <n v="1"/>
    <n v="1"/>
    <b v="0"/>
    <n v="3"/>
    <n v="2"/>
    <n v="0.24"/>
    <x v="18"/>
    <n v="0.65"/>
    <n v="0.1343"/>
    <n v="0"/>
    <n v="5"/>
    <n v="5"/>
    <s v="Spring"/>
    <s v="Wednesday"/>
    <s v="Mist/Cloudy"/>
    <x v="0"/>
    <s v="Cold"/>
    <s v="Medium"/>
    <s v="Calm"/>
    <s v="Working Day"/>
    <s v="Mostly Registered"/>
    <n v="0"/>
    <n v="100"/>
    <s v="No"/>
    <s v="Low"/>
    <s v="No"/>
    <n v="2.4000000000000128E-3"/>
  </r>
  <r>
    <n v="574"/>
    <x v="25"/>
    <n v="1"/>
    <n v="2"/>
    <b v="0"/>
    <n v="3"/>
    <n v="3"/>
    <n v="0.22"/>
    <x v="10"/>
    <n v="0.69"/>
    <n v="0.19400000000000001"/>
    <n v="3"/>
    <n v="7"/>
    <n v="10"/>
    <s v="Spring"/>
    <s v="Wednesday"/>
    <s v="Light Rain/Snow"/>
    <x v="0"/>
    <s v="Cold"/>
    <s v="Medium"/>
    <s v="Moderate"/>
    <s v="Working Day"/>
    <s v="Mostly Registered"/>
    <n v="30"/>
    <n v="70"/>
    <s v="No"/>
    <s v="Low"/>
    <s v="No"/>
    <n v="7.3000000000000009E-3"/>
  </r>
  <r>
    <n v="575"/>
    <x v="25"/>
    <n v="1"/>
    <n v="5"/>
    <b v="0"/>
    <n v="3"/>
    <n v="3"/>
    <n v="0.2"/>
    <x v="17"/>
    <n v="0.86"/>
    <n v="0.28360000000000002"/>
    <n v="0"/>
    <n v="1"/>
    <n v="1"/>
    <s v="Spring"/>
    <s v="Wednesday"/>
    <s v="Light Rain/Snow"/>
    <x v="0"/>
    <s v="Cold"/>
    <s v="High"/>
    <s v="Moderate"/>
    <s v="Working Day"/>
    <s v="Mostly Registered"/>
    <n v="0"/>
    <n v="100"/>
    <s v="No"/>
    <s v="Low"/>
    <s v="No"/>
    <n v="-1.8200000000000022E-2"/>
  </r>
  <r>
    <n v="576"/>
    <x v="25"/>
    <n v="1"/>
    <n v="6"/>
    <b v="0"/>
    <n v="3"/>
    <n v="3"/>
    <n v="0.2"/>
    <x v="17"/>
    <n v="0.86"/>
    <n v="0.28360000000000002"/>
    <n v="0"/>
    <n v="8"/>
    <n v="8"/>
    <s v="Spring"/>
    <s v="Wednesday"/>
    <s v="Light Rain/Snow"/>
    <x v="1"/>
    <s v="Cold"/>
    <s v="High"/>
    <s v="Moderate"/>
    <s v="Working Day"/>
    <s v="Mostly Registered"/>
    <n v="0"/>
    <n v="100"/>
    <s v="No"/>
    <s v="Low"/>
    <s v="No"/>
    <n v="-1.8200000000000022E-2"/>
  </r>
  <r>
    <n v="577"/>
    <x v="25"/>
    <n v="1"/>
    <n v="7"/>
    <b v="0"/>
    <n v="3"/>
    <n v="3"/>
    <n v="0.22"/>
    <x v="11"/>
    <n v="0.87"/>
    <n v="0.29849999999999999"/>
    <n v="1"/>
    <n v="29"/>
    <n v="30"/>
    <s v="Spring"/>
    <s v="Wednesday"/>
    <s v="Light Rain/Snow"/>
    <x v="1"/>
    <s v="Cold"/>
    <s v="High"/>
    <s v="Moderate"/>
    <s v="Working Day"/>
    <s v="Mostly Registered"/>
    <n v="3.333333333333333"/>
    <n v="96.666666666666671"/>
    <s v="Yes"/>
    <s v="Low"/>
    <s v="No"/>
    <n v="-7.8999999999999904E-3"/>
  </r>
  <r>
    <n v="578"/>
    <x v="25"/>
    <n v="1"/>
    <n v="8"/>
    <b v="0"/>
    <n v="3"/>
    <n v="3"/>
    <n v="0.22"/>
    <x v="11"/>
    <n v="0.87"/>
    <n v="0.29849999999999999"/>
    <n v="3"/>
    <n v="69"/>
    <n v="72"/>
    <s v="Spring"/>
    <s v="Wednesday"/>
    <s v="Light Rain/Snow"/>
    <x v="1"/>
    <s v="Cold"/>
    <s v="High"/>
    <s v="Moderate"/>
    <s v="Working Day"/>
    <s v="Mostly Registered"/>
    <n v="4.1666666666666661"/>
    <n v="95.833333333333343"/>
    <s v="Yes"/>
    <s v="Low"/>
    <s v="No"/>
    <n v="-7.8999999999999904E-3"/>
  </r>
  <r>
    <n v="579"/>
    <x v="25"/>
    <n v="1"/>
    <n v="9"/>
    <b v="0"/>
    <n v="3"/>
    <n v="3"/>
    <n v="0.22"/>
    <x v="11"/>
    <n v="0.87"/>
    <n v="0.29849999999999999"/>
    <n v="3"/>
    <n v="55"/>
    <n v="58"/>
    <s v="Spring"/>
    <s v="Wednesday"/>
    <s v="Light Rain/Snow"/>
    <x v="1"/>
    <s v="Cold"/>
    <s v="High"/>
    <s v="Moderate"/>
    <s v="Working Day"/>
    <s v="Mostly Registered"/>
    <n v="5.1724137931034484"/>
    <n v="94.827586206896555"/>
    <s v="Yes"/>
    <s v="Low"/>
    <s v="No"/>
    <n v="-7.8999999999999904E-3"/>
  </r>
  <r>
    <n v="580"/>
    <x v="25"/>
    <n v="1"/>
    <n v="10"/>
    <b v="0"/>
    <n v="3"/>
    <n v="3"/>
    <n v="0.22"/>
    <x v="11"/>
    <n v="0.93"/>
    <n v="0.28360000000000002"/>
    <n v="2"/>
    <n v="26"/>
    <n v="28"/>
    <s v="Spring"/>
    <s v="Wednesday"/>
    <s v="Light Rain/Snow"/>
    <x v="1"/>
    <s v="Cold"/>
    <s v="High"/>
    <s v="Moderate"/>
    <s v="Working Day"/>
    <s v="Mostly Registered"/>
    <n v="7.1428571428571423"/>
    <n v="92.857142857142861"/>
    <s v="No"/>
    <s v="Low"/>
    <s v="No"/>
    <n v="-7.8999999999999904E-3"/>
  </r>
  <r>
    <n v="581"/>
    <x v="25"/>
    <n v="1"/>
    <n v="11"/>
    <b v="0"/>
    <n v="3"/>
    <n v="3"/>
    <n v="0.22"/>
    <x v="12"/>
    <n v="0.93"/>
    <n v="0.32840000000000003"/>
    <n v="6"/>
    <n v="35"/>
    <n v="41"/>
    <s v="Spring"/>
    <s v="Wednesday"/>
    <s v="Light Rain/Snow"/>
    <x v="1"/>
    <s v="Cold"/>
    <s v="High"/>
    <s v="Windy"/>
    <s v="Working Day"/>
    <s v="Mostly Registered"/>
    <n v="14.63414634146341"/>
    <n v="85.365853658536579"/>
    <s v="No"/>
    <s v="Low"/>
    <s v="No"/>
    <n v="-2.2999999999999989E-2"/>
  </r>
  <r>
    <n v="582"/>
    <x v="25"/>
    <n v="1"/>
    <n v="12"/>
    <b v="0"/>
    <n v="3"/>
    <n v="3"/>
    <n v="0.22"/>
    <x v="12"/>
    <n v="0.93"/>
    <n v="0.32840000000000003"/>
    <n v="7"/>
    <n v="41"/>
    <n v="48"/>
    <s v="Spring"/>
    <s v="Wednesday"/>
    <s v="Light Rain/Snow"/>
    <x v="2"/>
    <s v="Cold"/>
    <s v="High"/>
    <s v="Windy"/>
    <s v="Working Day"/>
    <s v="Mostly Registered"/>
    <n v="14.58333333333333"/>
    <n v="85.416666666666657"/>
    <s v="No"/>
    <s v="Low"/>
    <s v="No"/>
    <n v="-2.2999999999999989E-2"/>
  </r>
  <r>
    <n v="583"/>
    <x v="25"/>
    <n v="1"/>
    <n v="13"/>
    <b v="0"/>
    <n v="3"/>
    <n v="3"/>
    <n v="0.22"/>
    <x v="12"/>
    <n v="0.93"/>
    <n v="0.32840000000000003"/>
    <n v="4"/>
    <n v="43"/>
    <n v="47"/>
    <s v="Spring"/>
    <s v="Wednesday"/>
    <s v="Light Rain/Snow"/>
    <x v="2"/>
    <s v="Cold"/>
    <s v="High"/>
    <s v="Windy"/>
    <s v="Working Day"/>
    <s v="Mostly Registered"/>
    <n v="8.5106382978723403"/>
    <n v="91.489361702127653"/>
    <s v="No"/>
    <s v="Low"/>
    <s v="No"/>
    <n v="-2.2999999999999989E-2"/>
  </r>
  <r>
    <n v="584"/>
    <x v="25"/>
    <n v="1"/>
    <n v="14"/>
    <b v="0"/>
    <n v="3"/>
    <n v="3"/>
    <n v="0.22"/>
    <x v="12"/>
    <n v="0.93"/>
    <n v="0.35820000000000002"/>
    <n v="0"/>
    <n v="36"/>
    <n v="36"/>
    <s v="Spring"/>
    <s v="Wednesday"/>
    <s v="Light Rain/Snow"/>
    <x v="2"/>
    <s v="Cold"/>
    <s v="High"/>
    <s v="Windy"/>
    <s v="Working Day"/>
    <s v="Mostly Registered"/>
    <n v="0"/>
    <n v="100"/>
    <s v="No"/>
    <s v="Low"/>
    <s v="No"/>
    <n v="-2.2999999999999989E-2"/>
  </r>
  <r>
    <n v="585"/>
    <x v="25"/>
    <n v="1"/>
    <n v="15"/>
    <b v="0"/>
    <n v="3"/>
    <n v="3"/>
    <n v="0.22"/>
    <x v="17"/>
    <n v="0.93"/>
    <n v="0.4627"/>
    <n v="1"/>
    <n v="42"/>
    <n v="43"/>
    <s v="Spring"/>
    <s v="Wednesday"/>
    <s v="Light Rain/Snow"/>
    <x v="2"/>
    <s v="Cold"/>
    <s v="High"/>
    <s v="Windy"/>
    <s v="Working Day"/>
    <s v="Mostly Registered"/>
    <n v="2.3255813953488369"/>
    <n v="97.674418604651152"/>
    <s v="No"/>
    <s v="Low"/>
    <s v="No"/>
    <n v="-3.8200000000000012E-2"/>
  </r>
  <r>
    <n v="586"/>
    <x v="25"/>
    <n v="1"/>
    <n v="16"/>
    <b v="0"/>
    <n v="3"/>
    <n v="4"/>
    <n v="0.22"/>
    <x v="12"/>
    <n v="0.93"/>
    <n v="0.32840000000000003"/>
    <n v="1"/>
    <n v="35"/>
    <n v="36"/>
    <s v="Spring"/>
    <s v="Wednesday"/>
    <s v="Heavy Rain/Storm"/>
    <x v="2"/>
    <s v="Cold"/>
    <s v="High"/>
    <s v="Windy"/>
    <s v="Working Day"/>
    <s v="Mostly Registered"/>
    <n v="2.7777777777777781"/>
    <n v="97.222222222222214"/>
    <s v="No"/>
    <s v="Low"/>
    <s v="No"/>
    <n v="-2.2999999999999989E-2"/>
  </r>
  <r>
    <n v="587"/>
    <x v="25"/>
    <n v="1"/>
    <n v="17"/>
    <b v="0"/>
    <n v="3"/>
    <n v="3"/>
    <n v="0.2"/>
    <x v="17"/>
    <n v="0.93"/>
    <n v="0.35820000000000002"/>
    <n v="0"/>
    <n v="26"/>
    <n v="26"/>
    <s v="Spring"/>
    <s v="Wednesday"/>
    <s v="Light Rain/Snow"/>
    <x v="3"/>
    <s v="Cold"/>
    <s v="High"/>
    <s v="Windy"/>
    <s v="Working Day"/>
    <s v="Mostly Registered"/>
    <n v="0"/>
    <n v="100"/>
    <s v="Yes"/>
    <s v="Low"/>
    <s v="No"/>
    <n v="-1.8200000000000022E-2"/>
  </r>
  <r>
    <n v="588"/>
    <x v="26"/>
    <n v="1"/>
    <n v="16"/>
    <b v="0"/>
    <n v="4"/>
    <n v="1"/>
    <n v="0.22"/>
    <x v="10"/>
    <n v="0.55000000000000004"/>
    <n v="0.19400000000000001"/>
    <n v="1"/>
    <n v="23"/>
    <n v="24"/>
    <s v="Spring"/>
    <s v="Thursday"/>
    <s v="Clear"/>
    <x v="2"/>
    <s v="Cold"/>
    <s v="Medium"/>
    <s v="Moderate"/>
    <s v="Working Day"/>
    <s v="Mostly Registered"/>
    <n v="4.1666666666666661"/>
    <n v="95.833333333333343"/>
    <s v="No"/>
    <s v="Low"/>
    <s v="No"/>
    <n v="7.3000000000000009E-3"/>
  </r>
  <r>
    <n v="589"/>
    <x v="26"/>
    <n v="1"/>
    <n v="17"/>
    <b v="0"/>
    <n v="4"/>
    <n v="1"/>
    <n v="0.22"/>
    <x v="18"/>
    <n v="0.55000000000000004"/>
    <n v="0.1045"/>
    <n v="2"/>
    <n v="82"/>
    <n v="84"/>
    <s v="Spring"/>
    <s v="Thursday"/>
    <s v="Clear"/>
    <x v="3"/>
    <s v="Cold"/>
    <s v="Medium"/>
    <s v="Calm"/>
    <s v="Working Day"/>
    <s v="Mostly Registered"/>
    <n v="2.3809523809523809"/>
    <n v="97.61904761904762"/>
    <s v="Yes"/>
    <s v="Low"/>
    <s v="No"/>
    <n v="2.24E-2"/>
  </r>
  <r>
    <n v="590"/>
    <x v="26"/>
    <n v="1"/>
    <n v="18"/>
    <b v="0"/>
    <n v="4"/>
    <n v="1"/>
    <n v="0.2"/>
    <x v="10"/>
    <n v="0.69"/>
    <n v="8.9599999999999999E-2"/>
    <n v="3"/>
    <n v="101"/>
    <n v="104"/>
    <s v="Spring"/>
    <s v="Thursday"/>
    <s v="Clear"/>
    <x v="3"/>
    <s v="Cold"/>
    <s v="Medium"/>
    <s v="Calm"/>
    <s v="Working Day"/>
    <s v="Mostly Registered"/>
    <n v="2.884615384615385"/>
    <n v="97.115384615384613"/>
    <s v="Yes"/>
    <s v="Medium"/>
    <s v="No"/>
    <n v="2.7299999999999991E-2"/>
  </r>
  <r>
    <n v="591"/>
    <x v="26"/>
    <n v="1"/>
    <n v="19"/>
    <b v="0"/>
    <n v="4"/>
    <n v="1"/>
    <n v="0.2"/>
    <x v="10"/>
    <n v="0.69"/>
    <n v="8.9599999999999999E-2"/>
    <n v="3"/>
    <n v="76"/>
    <n v="79"/>
    <s v="Spring"/>
    <s v="Thursday"/>
    <s v="Clear"/>
    <x v="3"/>
    <s v="Cold"/>
    <s v="Medium"/>
    <s v="Calm"/>
    <s v="Working Day"/>
    <s v="Mostly Registered"/>
    <n v="3.79746835443038"/>
    <n v="96.202531645569621"/>
    <s v="Yes"/>
    <s v="Low"/>
    <s v="No"/>
    <n v="2.7299999999999991E-2"/>
  </r>
  <r>
    <n v="592"/>
    <x v="26"/>
    <n v="1"/>
    <n v="20"/>
    <b v="0"/>
    <n v="4"/>
    <n v="1"/>
    <n v="0.18"/>
    <x v="11"/>
    <n v="0.74"/>
    <n v="8.9599999999999999E-2"/>
    <n v="4"/>
    <n v="55"/>
    <n v="59"/>
    <s v="Spring"/>
    <s v="Thursday"/>
    <s v="Clear"/>
    <x v="3"/>
    <s v="Cold"/>
    <s v="High"/>
    <s v="Calm"/>
    <s v="Working Day"/>
    <s v="Mostly Registered"/>
    <n v="6.7796610169491522"/>
    <n v="93.220338983050837"/>
    <s v="No"/>
    <s v="Low"/>
    <s v="No"/>
    <n v="3.2100000000000017E-2"/>
  </r>
  <r>
    <n v="593"/>
    <x v="26"/>
    <n v="1"/>
    <n v="21"/>
    <b v="0"/>
    <n v="4"/>
    <n v="1"/>
    <n v="0.18"/>
    <x v="11"/>
    <n v="0.74"/>
    <n v="8.9599999999999999E-2"/>
    <n v="2"/>
    <n v="36"/>
    <n v="38"/>
    <s v="Spring"/>
    <s v="Thursday"/>
    <s v="Clear"/>
    <x v="0"/>
    <s v="Cold"/>
    <s v="High"/>
    <s v="Calm"/>
    <s v="Working Day"/>
    <s v="Mostly Registered"/>
    <n v="5.2631578947368416"/>
    <n v="94.73684210526315"/>
    <s v="No"/>
    <s v="Low"/>
    <s v="No"/>
    <n v="3.2100000000000017E-2"/>
  </r>
  <r>
    <n v="594"/>
    <x v="26"/>
    <n v="1"/>
    <n v="22"/>
    <b v="0"/>
    <n v="4"/>
    <n v="1"/>
    <n v="0.18"/>
    <x v="11"/>
    <n v="0.74"/>
    <n v="8.9599999999999999E-2"/>
    <n v="0"/>
    <n v="27"/>
    <n v="27"/>
    <s v="Spring"/>
    <s v="Thursday"/>
    <s v="Clear"/>
    <x v="0"/>
    <s v="Cold"/>
    <s v="High"/>
    <s v="Calm"/>
    <s v="Working Day"/>
    <s v="Mostly Registered"/>
    <n v="0"/>
    <n v="100"/>
    <s v="No"/>
    <s v="Low"/>
    <s v="No"/>
    <n v="3.2100000000000017E-2"/>
  </r>
  <r>
    <n v="595"/>
    <x v="26"/>
    <n v="1"/>
    <n v="23"/>
    <b v="0"/>
    <n v="4"/>
    <n v="1"/>
    <n v="0.18"/>
    <x v="12"/>
    <n v="0.8"/>
    <n v="0.16420000000000001"/>
    <n v="0"/>
    <n v="16"/>
    <n v="16"/>
    <s v="Spring"/>
    <s v="Thursday"/>
    <s v="Clear"/>
    <x v="0"/>
    <s v="Cold"/>
    <s v="High"/>
    <s v="Moderate"/>
    <s v="Working Day"/>
    <s v="Mostly Registered"/>
    <n v="0"/>
    <n v="100"/>
    <s v="No"/>
    <s v="Low"/>
    <s v="No"/>
    <n v="1.7000000000000019E-2"/>
  </r>
  <r>
    <n v="596"/>
    <x v="27"/>
    <n v="1"/>
    <n v="0"/>
    <b v="0"/>
    <n v="5"/>
    <n v="2"/>
    <n v="0.2"/>
    <x v="11"/>
    <n v="0.75"/>
    <n v="0.1343"/>
    <n v="0"/>
    <n v="9"/>
    <n v="9"/>
    <s v="Spring"/>
    <s v="Friday"/>
    <s v="Mist/Cloudy"/>
    <x v="0"/>
    <s v="Cold"/>
    <s v="High"/>
    <s v="Calm"/>
    <s v="Working Day"/>
    <s v="Mostly Registered"/>
    <n v="0"/>
    <n v="100"/>
    <s v="No"/>
    <s v="Low"/>
    <s v="No"/>
    <n v="1.21E-2"/>
  </r>
  <r>
    <n v="597"/>
    <x v="27"/>
    <n v="1"/>
    <n v="1"/>
    <b v="0"/>
    <n v="5"/>
    <n v="2"/>
    <n v="0.2"/>
    <x v="11"/>
    <n v="0.75"/>
    <n v="0.1343"/>
    <n v="1"/>
    <n v="2"/>
    <n v="3"/>
    <s v="Spring"/>
    <s v="Friday"/>
    <s v="Mist/Cloudy"/>
    <x v="0"/>
    <s v="Cold"/>
    <s v="High"/>
    <s v="Calm"/>
    <s v="Working Day"/>
    <s v="Mostly Registered"/>
    <n v="33.333333333333329"/>
    <n v="66.666666666666657"/>
    <s v="No"/>
    <s v="Low"/>
    <s v="No"/>
    <n v="1.21E-2"/>
  </r>
  <r>
    <n v="598"/>
    <x v="27"/>
    <n v="1"/>
    <n v="2"/>
    <b v="0"/>
    <n v="5"/>
    <n v="2"/>
    <n v="0.2"/>
    <x v="11"/>
    <n v="0.75"/>
    <n v="0.16420000000000001"/>
    <n v="0"/>
    <n v="2"/>
    <n v="2"/>
    <s v="Spring"/>
    <s v="Friday"/>
    <s v="Mist/Cloudy"/>
    <x v="0"/>
    <s v="Cold"/>
    <s v="High"/>
    <s v="Moderate"/>
    <s v="Working Day"/>
    <s v="Mostly Registered"/>
    <n v="0"/>
    <n v="100"/>
    <s v="No"/>
    <s v="Low"/>
    <s v="No"/>
    <n v="1.21E-2"/>
  </r>
  <r>
    <n v="599"/>
    <x v="27"/>
    <n v="1"/>
    <n v="3"/>
    <b v="0"/>
    <n v="5"/>
    <n v="2"/>
    <n v="0.2"/>
    <x v="10"/>
    <n v="0.75"/>
    <n v="0.1045"/>
    <n v="1"/>
    <n v="0"/>
    <n v="1"/>
    <s v="Spring"/>
    <s v="Friday"/>
    <s v="Mist/Cloudy"/>
    <x v="0"/>
    <s v="Cold"/>
    <s v="High"/>
    <s v="Calm"/>
    <s v="Working Day"/>
    <s v="Mostly Casual"/>
    <n v="100"/>
    <n v="0"/>
    <s v="No"/>
    <s v="Low"/>
    <s v="No"/>
    <n v="2.7299999999999991E-2"/>
  </r>
  <r>
    <n v="600"/>
    <x v="27"/>
    <n v="1"/>
    <n v="5"/>
    <b v="0"/>
    <n v="5"/>
    <n v="2"/>
    <n v="0.18"/>
    <x v="11"/>
    <n v="0.8"/>
    <n v="0.1045"/>
    <n v="0"/>
    <n v="4"/>
    <n v="4"/>
    <s v="Spring"/>
    <s v="Friday"/>
    <s v="Mist/Cloudy"/>
    <x v="0"/>
    <s v="Cold"/>
    <s v="High"/>
    <s v="Calm"/>
    <s v="Working Day"/>
    <s v="Mostly Registered"/>
    <n v="0"/>
    <n v="100"/>
    <s v="No"/>
    <s v="Low"/>
    <s v="No"/>
    <n v="3.2100000000000017E-2"/>
  </r>
  <r>
    <n v="601"/>
    <x v="27"/>
    <n v="1"/>
    <n v="6"/>
    <b v="0"/>
    <n v="5"/>
    <n v="2"/>
    <n v="0.18"/>
    <x v="12"/>
    <n v="0.8"/>
    <n v="0.1343"/>
    <n v="0"/>
    <n v="16"/>
    <n v="16"/>
    <s v="Spring"/>
    <s v="Friday"/>
    <s v="Mist/Cloudy"/>
    <x v="1"/>
    <s v="Cold"/>
    <s v="High"/>
    <s v="Calm"/>
    <s v="Working Day"/>
    <s v="Mostly Registered"/>
    <n v="0"/>
    <n v="100"/>
    <s v="No"/>
    <s v="Low"/>
    <s v="No"/>
    <n v="1.7000000000000019E-2"/>
  </r>
  <r>
    <n v="602"/>
    <x v="27"/>
    <n v="1"/>
    <n v="7"/>
    <b v="0"/>
    <n v="5"/>
    <n v="2"/>
    <n v="0.16"/>
    <x v="12"/>
    <n v="0.86"/>
    <n v="8.9599999999999999E-2"/>
    <n v="2"/>
    <n v="58"/>
    <n v="60"/>
    <s v="Spring"/>
    <s v="Friday"/>
    <s v="Mist/Cloudy"/>
    <x v="1"/>
    <s v="Cold"/>
    <s v="High"/>
    <s v="Calm"/>
    <s v="Working Day"/>
    <s v="Mostly Registered"/>
    <n v="3.333333333333333"/>
    <n v="96.666666666666671"/>
    <s v="Yes"/>
    <s v="Low"/>
    <s v="No"/>
    <n v="3.7000000000000012E-2"/>
  </r>
  <r>
    <n v="603"/>
    <x v="27"/>
    <n v="1"/>
    <n v="8"/>
    <b v="0"/>
    <n v="5"/>
    <n v="2"/>
    <n v="0.16"/>
    <x v="12"/>
    <n v="0.86"/>
    <n v="8.9599999999999999E-2"/>
    <n v="2"/>
    <n v="155"/>
    <n v="157"/>
    <s v="Spring"/>
    <s v="Friday"/>
    <s v="Mist/Cloudy"/>
    <x v="1"/>
    <s v="Cold"/>
    <s v="High"/>
    <s v="Calm"/>
    <s v="Working Day"/>
    <s v="Mostly Registered"/>
    <n v="1.2738853503184711"/>
    <n v="98.726114649681534"/>
    <s v="Yes"/>
    <s v="Medium"/>
    <s v="No"/>
    <n v="3.7000000000000012E-2"/>
  </r>
  <r>
    <n v="604"/>
    <x v="27"/>
    <n v="1"/>
    <n v="9"/>
    <b v="0"/>
    <n v="5"/>
    <n v="3"/>
    <n v="0.18"/>
    <x v="11"/>
    <n v="0.86"/>
    <n v="8.9599999999999999E-2"/>
    <n v="6"/>
    <n v="95"/>
    <n v="101"/>
    <s v="Spring"/>
    <s v="Friday"/>
    <s v="Light Rain/Snow"/>
    <x v="1"/>
    <s v="Cold"/>
    <s v="High"/>
    <s v="Calm"/>
    <s v="Working Day"/>
    <s v="Mostly Registered"/>
    <n v="5.9405940594059414"/>
    <n v="94.059405940594047"/>
    <s v="Yes"/>
    <s v="Medium"/>
    <s v="No"/>
    <n v="3.2100000000000017E-2"/>
  </r>
  <r>
    <n v="605"/>
    <x v="27"/>
    <n v="1"/>
    <n v="10"/>
    <b v="0"/>
    <n v="5"/>
    <n v="3"/>
    <n v="0.18"/>
    <x v="11"/>
    <n v="0.86"/>
    <n v="0.1045"/>
    <n v="0"/>
    <n v="49"/>
    <n v="49"/>
    <s v="Spring"/>
    <s v="Friday"/>
    <s v="Light Rain/Snow"/>
    <x v="1"/>
    <s v="Cold"/>
    <s v="High"/>
    <s v="Calm"/>
    <s v="Working Day"/>
    <s v="Mostly Registered"/>
    <n v="0"/>
    <n v="100"/>
    <s v="No"/>
    <s v="Low"/>
    <s v="No"/>
    <n v="3.2100000000000017E-2"/>
  </r>
  <r>
    <n v="606"/>
    <x v="27"/>
    <n v="1"/>
    <n v="11"/>
    <b v="0"/>
    <n v="5"/>
    <n v="3"/>
    <n v="0.18"/>
    <x v="11"/>
    <n v="0.93"/>
    <n v="0.1045"/>
    <n v="0"/>
    <n v="30"/>
    <n v="30"/>
    <s v="Spring"/>
    <s v="Friday"/>
    <s v="Light Rain/Snow"/>
    <x v="1"/>
    <s v="Cold"/>
    <s v="High"/>
    <s v="Calm"/>
    <s v="Working Day"/>
    <s v="Mostly Registered"/>
    <n v="0"/>
    <n v="100"/>
    <s v="No"/>
    <s v="Low"/>
    <s v="No"/>
    <n v="3.2100000000000017E-2"/>
  </r>
  <r>
    <n v="607"/>
    <x v="27"/>
    <n v="1"/>
    <n v="12"/>
    <b v="0"/>
    <n v="5"/>
    <n v="3"/>
    <n v="0.18"/>
    <x v="11"/>
    <n v="0.93"/>
    <n v="0.1045"/>
    <n v="1"/>
    <n v="28"/>
    <n v="29"/>
    <s v="Spring"/>
    <s v="Friday"/>
    <s v="Light Rain/Snow"/>
    <x v="2"/>
    <s v="Cold"/>
    <s v="High"/>
    <s v="Calm"/>
    <s v="Working Day"/>
    <s v="Mostly Registered"/>
    <n v="3.4482758620689649"/>
    <n v="96.551724137931032"/>
    <s v="No"/>
    <s v="Low"/>
    <s v="No"/>
    <n v="3.2100000000000017E-2"/>
  </r>
  <r>
    <n v="608"/>
    <x v="27"/>
    <n v="1"/>
    <n v="13"/>
    <b v="0"/>
    <n v="5"/>
    <n v="3"/>
    <n v="0.18"/>
    <x v="11"/>
    <n v="0.93"/>
    <n v="0.1045"/>
    <n v="0"/>
    <n v="31"/>
    <n v="31"/>
    <s v="Spring"/>
    <s v="Friday"/>
    <s v="Light Rain/Snow"/>
    <x v="2"/>
    <s v="Cold"/>
    <s v="High"/>
    <s v="Calm"/>
    <s v="Working Day"/>
    <s v="Mostly Registered"/>
    <n v="0"/>
    <n v="100"/>
    <s v="No"/>
    <s v="Low"/>
    <s v="No"/>
    <n v="3.2100000000000017E-2"/>
  </r>
  <r>
    <n v="609"/>
    <x v="27"/>
    <n v="1"/>
    <n v="14"/>
    <b v="0"/>
    <n v="5"/>
    <n v="3"/>
    <n v="0.22"/>
    <x v="1"/>
    <n v="0.8"/>
    <n v="0"/>
    <n v="2"/>
    <n v="36"/>
    <n v="38"/>
    <s v="Spring"/>
    <s v="Friday"/>
    <s v="Light Rain/Snow"/>
    <x v="2"/>
    <s v="Cold"/>
    <s v="High"/>
    <s v="Calm"/>
    <s v="Working Day"/>
    <s v="Mostly Registered"/>
    <n v="5.2631578947368416"/>
    <n v="94.73684210526315"/>
    <s v="No"/>
    <s v="Low"/>
    <s v="No"/>
    <n v="5.2699999999999997E-2"/>
  </r>
  <r>
    <n v="610"/>
    <x v="27"/>
    <n v="1"/>
    <n v="15"/>
    <b v="0"/>
    <n v="5"/>
    <n v="2"/>
    <n v="0.2"/>
    <x v="2"/>
    <n v="0.86"/>
    <n v="0"/>
    <n v="1"/>
    <n v="40"/>
    <n v="41"/>
    <s v="Spring"/>
    <s v="Friday"/>
    <s v="Mist/Cloudy"/>
    <x v="2"/>
    <s v="Cold"/>
    <s v="High"/>
    <s v="Calm"/>
    <s v="Working Day"/>
    <s v="Mostly Registered"/>
    <n v="2.4390243902439019"/>
    <n v="97.560975609756099"/>
    <s v="No"/>
    <s v="Low"/>
    <s v="No"/>
    <n v="5.7599999999999978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5BE076-431A-43E6-A3D9-2BCC994DEE9D}"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45:J74" firstHeaderRow="0" firstDataRow="1" firstDataCol="1"/>
  <pivotFields count="29">
    <pivotField showAll="0"/>
    <pivotField axis="axisRow"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3">
    <i>
      <x/>
    </i>
    <i i="1">
      <x v="1"/>
    </i>
    <i i="2">
      <x v="2"/>
    </i>
  </colItems>
  <dataFields count="3">
    <dataField name="Sum of casual_customer" fld="11" baseField="0" baseItem="0"/>
    <dataField name="Sum of registered_customer" fld="12" baseField="0" baseItem="0"/>
    <dataField name="Sum of total_customer" fld="13" baseField="0" baseItem="0"/>
  </dataFields>
  <formats count="6">
    <format dxfId="11">
      <pivotArea type="all" dataOnly="0" outline="0" fieldPosition="0"/>
    </format>
    <format dxfId="10">
      <pivotArea outline="0" collapsedLevelsAreSubtotals="1" fieldPosition="0"/>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3">
            <x v="0"/>
            <x v="1"/>
            <x v="2"/>
          </reference>
        </references>
      </pivotArea>
    </format>
  </formats>
  <chartFormats count="3">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A83E5E-C1EA-428C-81AD-0993851C03D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5:E74" firstHeaderRow="0" firstDataRow="1" firstDataCol="1"/>
  <pivotFields count="29">
    <pivotField showAll="0"/>
    <pivotField axis="axisRow"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4">
    <i>
      <x/>
    </i>
    <i i="1">
      <x v="1"/>
    </i>
    <i i="2">
      <x v="2"/>
    </i>
    <i i="3">
      <x v="3"/>
    </i>
  </colItems>
  <dataFields count="4">
    <dataField name="Average of humidity" fld="9" subtotal="average" baseField="1" baseItem="0"/>
    <dataField name="Average of windspeed" fld="10" subtotal="average" baseField="1" baseItem="0"/>
    <dataField name="Average of temperature" fld="7" subtotal="average" baseField="1" baseItem="0"/>
    <dataField name="Average of assumed_temperature" fld="8" subtotal="average" baseField="1" baseItem="0"/>
  </dataFields>
  <formats count="8">
    <format dxfId="19">
      <pivotArea outline="0" collapsedLevelsAreSubtotals="1"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field="1" type="button" dataOnly="0" labelOnly="1" outline="0" axis="axisRow" fieldPosition="0"/>
    </format>
    <format dxfId="14">
      <pivotArea dataOnly="0" labelOnly="1" fieldPosition="0">
        <references count="1">
          <reference field="1" count="0"/>
        </references>
      </pivotArea>
    </format>
    <format dxfId="13">
      <pivotArea dataOnly="0" labelOnly="1" grandRow="1" outline="0" fieldPosition="0"/>
    </format>
    <format dxfId="12">
      <pivotArea dataOnly="0" labelOnly="1" outline="0" fieldPosition="0">
        <references count="1">
          <reference field="4294967294" count="4">
            <x v="0"/>
            <x v="1"/>
            <x v="2"/>
            <x v="3"/>
          </reference>
        </references>
      </pivotArea>
    </format>
  </format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2F133-3EB5-4BD0-A232-A629E989F1C2}"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7:B82" firstHeaderRow="1" firstDataRow="1" firstDataCol="1"/>
  <pivotFields count="29">
    <pivotField showAll="0"/>
    <pivotField numFmtId="14" showAll="0">
      <items count="29">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5">
        <item x="2"/>
        <item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5">
    <i>
      <x/>
    </i>
    <i>
      <x v="1"/>
    </i>
    <i>
      <x v="2"/>
    </i>
    <i>
      <x v="3"/>
    </i>
    <i t="grand">
      <x/>
    </i>
  </rowItems>
  <colItems count="1">
    <i/>
  </colItems>
  <dataFields count="1">
    <dataField name="Sum of total_customer" fld="13" baseField="0" baseItem="0"/>
  </dataFields>
  <formats count="6">
    <format dxfId="25">
      <pivotArea type="all" dataOnly="0" outline="0" fieldPosition="0"/>
    </format>
    <format dxfId="24">
      <pivotArea outline="0" collapsedLevelsAreSubtotals="1" fieldPosition="0"/>
    </format>
    <format dxfId="23">
      <pivotArea field="17" type="button" dataOnly="0" labelOnly="1" outline="0" axis="axisRow" fieldPosition="0"/>
    </format>
    <format dxfId="22">
      <pivotArea dataOnly="0" labelOnly="1" fieldPosition="0">
        <references count="1">
          <reference field="17" count="0"/>
        </references>
      </pivotArea>
    </format>
    <format dxfId="21">
      <pivotArea dataOnly="0" labelOnly="1" grandRow="1" outline="0" fieldPosition="0"/>
    </format>
    <format dxfId="20">
      <pivotArea dataOnly="0" labelOnly="1" outline="0" axis="axisValues" fieldPosition="0"/>
    </format>
  </formats>
  <chartFormats count="5">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7" count="1" selected="0">
            <x v="0"/>
          </reference>
        </references>
      </pivotArea>
    </chartFormat>
    <chartFormat chart="6" format="2">
      <pivotArea type="data" outline="0" fieldPosition="0">
        <references count="2">
          <reference field="4294967294" count="1" selected="0">
            <x v="0"/>
          </reference>
          <reference field="17" count="1" selected="0">
            <x v="3"/>
          </reference>
        </references>
      </pivotArea>
    </chartFormat>
    <chartFormat chart="6" format="3">
      <pivotArea type="data" outline="0" fieldPosition="0">
        <references count="2">
          <reference field="4294967294" count="1" selected="0">
            <x v="0"/>
          </reference>
          <reference field="17" count="1" selected="0">
            <x v="2"/>
          </reference>
        </references>
      </pivotArea>
    </chartFormat>
    <chartFormat chart="6" format="4">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87ACF919-B507-409B-8EDD-8E85D06BF51A}" autoFormatId="16" applyNumberFormats="0" applyBorderFormats="0" applyFontFormats="0" applyPatternFormats="0" applyAlignmentFormats="0" applyWidthHeightFormats="0">
  <queryTableRefresh nextId="36">
    <queryTableFields count="14">
      <queryTableField id="1" name="instant" tableColumnId="1"/>
      <queryTableField id="17" name="date" tableColumnId="2"/>
      <queryTableField id="3" name="season" tableColumnId="3"/>
      <queryTableField id="20" name="hour" tableColumnId="6"/>
      <queryTableField id="7" name="holiday" tableColumnId="7"/>
      <queryTableField id="8" name="weekday" tableColumnId="8"/>
      <queryTableField id="21" name="weather_situation" tableColumnId="9"/>
      <queryTableField id="22" name="temperature" tableColumnId="10"/>
      <queryTableField id="23" name="assumed_temperature" tableColumnId="11"/>
      <queryTableField id="24" name="humidity" tableColumnId="12"/>
      <queryTableField id="13" name="windspeed" tableColumnId="13"/>
      <queryTableField id="25" name="casual_customer" tableColumnId="14"/>
      <queryTableField id="26" name="registered_customer" tableColumnId="15"/>
      <queryTableField id="27" name="total_customer" tableColumnId="16"/>
    </queryTableFields>
    <queryTableDeletedFields count="2">
      <deletedField name="month"/>
      <deletedField name="year"/>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93F8C424-6523-4150-B92A-4102DA277FDF}" sourceName="date">
  <pivotTables>
    <pivotTable tabId="3" name="PivotTable12"/>
    <pivotTable tabId="3" name="PivotTable14"/>
    <pivotTable tabId="3" name="PivotTable17"/>
  </pivotTables>
  <data>
    <tabular pivotCacheId="287251013">
      <items count="28">
        <i x="0" s="1"/>
        <i x="1" s="1"/>
        <i x="2" s="1"/>
        <i x="3" s="1"/>
        <i x="4" s="1"/>
        <i x="5" s="1"/>
        <i x="6" s="1"/>
        <i x="7" s="1"/>
        <i x="8" s="1"/>
        <i x="9" s="1"/>
        <i x="10" s="1"/>
        <i x="11" s="1"/>
        <i x="12" s="1"/>
        <i x="13" s="1"/>
        <i x="14" s="1"/>
        <i x="15" s="1"/>
        <i x="16" s="1"/>
        <i x="17" s="1"/>
        <i x="18" s="1"/>
        <i x="19" s="1"/>
        <i x="20" s="1"/>
        <i x="21" s="1"/>
        <i x="22" s="1"/>
        <i x="23" s="1"/>
        <i x="24" s="1"/>
        <i x="25" s="1"/>
        <i x="26"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160364EB-C9A3-4977-8465-7CF1545429DE}" cache="Slicer_date" caption="dat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D15F95-1B16-4A19-8D49-9884CFED483C}" name="Merge1" displayName="Merge1" ref="A1:N611" tableType="queryTable" totalsRowShown="0">
  <autoFilter ref="A1:N611" xr:uid="{34D15F95-1B16-4A19-8D49-9884CFED483C}"/>
  <tableColumns count="14">
    <tableColumn id="1" xr3:uid="{FFD84A52-743A-4A2A-B1A3-08E335FE5246}" uniqueName="1" name="instant" queryTableFieldId="1" dataDxfId="5"/>
    <tableColumn id="2" xr3:uid="{332B0707-895B-4A5F-B475-3803CAD59AA7}" uniqueName="2" name="date" queryTableFieldId="17" dataDxfId="4"/>
    <tableColumn id="3" xr3:uid="{BD86DE04-4E7C-4D6D-93E3-1338E96B4E35}" uniqueName="3" name="season" queryTableFieldId="3"/>
    <tableColumn id="6" xr3:uid="{5C3BDE00-3647-434B-8119-C0D2245CF628}" uniqueName="6" name="hour" queryTableFieldId="20"/>
    <tableColumn id="7" xr3:uid="{3A3DA3EE-F944-48EA-8194-E8471901ED2B}" uniqueName="7" name="holiday" queryTableFieldId="7"/>
    <tableColumn id="8" xr3:uid="{E491CE0D-2D0B-4CE7-907D-F0A13B5AA7C7}" uniqueName="8" name="weekday" queryTableFieldId="8"/>
    <tableColumn id="9" xr3:uid="{B71CFF83-5CEB-48BE-88AA-116EA265652E}" uniqueName="9" name="weather_situation" queryTableFieldId="21"/>
    <tableColumn id="10" xr3:uid="{7B272654-57E6-4D8E-8ABE-4BD90B7E598C}" uniqueName="10" name="temperature" queryTableFieldId="22"/>
    <tableColumn id="11" xr3:uid="{ED3297F3-F27B-44E1-BC39-077C6F371F03}" uniqueName="11" name="assumed_temperature" queryTableFieldId="23"/>
    <tableColumn id="12" xr3:uid="{8DD8E897-F082-4860-9D75-E640B2545496}" uniqueName="12" name="humidity" queryTableFieldId="24"/>
    <tableColumn id="13" xr3:uid="{26ADF48F-3607-4E58-AEC4-03689A844B3B}" uniqueName="13" name="windspeed" queryTableFieldId="13"/>
    <tableColumn id="14" xr3:uid="{F5211D78-EBDB-4621-AA24-7DAAB184094D}" uniqueName="14" name="casual_customer" queryTableFieldId="25"/>
    <tableColumn id="15" xr3:uid="{B082B72C-5669-4E25-BDE8-0F327692EABC}" uniqueName="15" name="registered_customer" queryTableFieldId="26"/>
    <tableColumn id="16" xr3:uid="{41D10BB4-7F2E-4DF9-9A80-0C34DBB6A244}" uniqueName="16" name="total_customer" queryTableFieldId="2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B03E9C-4BD3-4556-8225-CA63CF7A32AD}" name="Table1" displayName="Table1" ref="A1:AC611" totalsRowShown="0">
  <autoFilter ref="A1:AC611" xr:uid="{94B03E9C-4BD3-4556-8225-CA63CF7A32AD}"/>
  <tableColumns count="29">
    <tableColumn id="1" xr3:uid="{10E2C05B-D013-4FD4-8A82-392BE764621B}" name="instant"/>
    <tableColumn id="2" xr3:uid="{D156BDB5-E029-4BD7-A79E-4D04385669DF}" name="date" dataDxfId="3"/>
    <tableColumn id="3" xr3:uid="{C71B3E34-C0E7-412C-9947-E25DA75C7BAA}" name="season"/>
    <tableColumn id="6" xr3:uid="{D750D384-D451-4BBB-BDBC-454A8283C03D}" name="hour"/>
    <tableColumn id="7" xr3:uid="{F52C44E2-BBCC-47D9-96BA-2C0EA8DDAB16}" name="holiday"/>
    <tableColumn id="8" xr3:uid="{240B992F-3C99-4C0B-8287-7129D0D92C9A}" name="weekday"/>
    <tableColumn id="9" xr3:uid="{A3DD2DCF-08E5-4454-A290-8B9EC6936229}" name="weather_situation"/>
    <tableColumn id="10" xr3:uid="{2BB1354F-4D8E-4F1C-9046-64B4B84E965B}" name="temperature"/>
    <tableColumn id="11" xr3:uid="{05126A2B-1D5F-427D-B8B3-EDB3EDBDE680}" name="assumed_temperature"/>
    <tableColumn id="12" xr3:uid="{1534C01A-C039-416F-9F63-32CAFD35CD21}" name="humidity"/>
    <tableColumn id="13" xr3:uid="{8721742D-C308-40F5-9A7B-FE5C1A0395C7}" name="windspeed"/>
    <tableColumn id="14" xr3:uid="{E2CB617C-8C81-49D6-8EEB-3021D15BE96C}" name="casual_customer"/>
    <tableColumn id="15" xr3:uid="{AA5BA1AA-41AC-4B0A-B0E9-5742A8E88B39}" name="registered_customer"/>
    <tableColumn id="16" xr3:uid="{2F6C7703-BECC-45E6-93B5-A96FA736DE16}" name="total_customer"/>
    <tableColumn id="17" xr3:uid="{F031A396-0ECB-4CB9-9501-D8DF82618BF1}" name="Season_Name"/>
    <tableColumn id="18" xr3:uid="{76BF822F-A23E-43FB-80F9-81D056264B5C}" name="Weekday_Name"/>
    <tableColumn id="19" xr3:uid="{BFD34E43-3A55-4B91-88EA-B1F20C3C28CF}" name="Weather_Description"/>
    <tableColumn id="20" xr3:uid="{428B71D9-0AE9-44F4-95BB-58E3918881C2}" name="Time_of_Day"/>
    <tableColumn id="21" xr3:uid="{EB0A7C2E-4954-4980-A385-BE1833F780ED}" name="Temperature_Level"/>
    <tableColumn id="22" xr3:uid="{3CA47026-EB1C-4796-81D0-77DC0DC49954}" name="Humidity_Level"/>
    <tableColumn id="23" xr3:uid="{5D855F39-1397-4BC2-80D5-8102B25795B1}" name="Wind_Level"/>
    <tableColumn id="24" xr3:uid="{3486FAC7-7351-4377-9C23-FBF6975A92D8}" name="Day_Type"/>
    <tableColumn id="25" xr3:uid="{6A6E7739-5F6C-4ED8-87AD-623B82355F48}" name="Customer_Type"/>
    <tableColumn id="26" xr3:uid="{91DC6F6C-466B-4057-8BEC-392AC8F449CE}" name="Casual_Percentage"/>
    <tableColumn id="27" xr3:uid="{16C0AB75-AC13-479D-A6B2-48D6B8277DAD}" name="Registered_Percentage"/>
    <tableColumn id="28" xr3:uid="{68C6FE6C-A23A-4DCD-974F-DD7D22CC141B}" name="Rush_Hour"/>
    <tableColumn id="29" xr3:uid="{5A51936B-E13F-4C6C-8801-CC1C9696566A}" name="Demand_Level"/>
    <tableColumn id="30" xr3:uid="{CF6CB290-46C2-4247-9F03-F82BCF490DF6}" name="Weekend"/>
    <tableColumn id="31" xr3:uid="{058FE38B-3FEF-42E8-8F76-71EE109EA492}" name="Feels_Like_Differe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257DFF7-287D-4EF6-B5F8-BFA253878818}" name="Table2" displayName="Table2" ref="A22:E64" totalsRowShown="0">
  <autoFilter ref="A22:E64" xr:uid="{1257DFF7-287D-4EF6-B5F8-BFA253878818}"/>
  <tableColumns count="5">
    <tableColumn id="1" xr3:uid="{F42F72EF-5A50-495C-AACC-7C5259B85F17}" name="date" dataDxfId="2"/>
    <tableColumn id="2" xr3:uid="{8D29A69E-6D80-477A-955D-9386742EB86D}" name="total_customer"/>
    <tableColumn id="3" xr3:uid="{85010749-CA5E-4A20-AA3D-F1A0070C4DC1}" name="Forecast(total_customer)">
      <calculatedColumnFormula>_xlfn.FORECAST.ETS(A23,$B$23:$B$50,$A$23:$A$50,1,1)</calculatedColumnFormula>
    </tableColumn>
    <tableColumn id="4" xr3:uid="{EBE2B274-3412-4880-9B1C-D845179640C5}" name="Lower Confidence Bound(total_customer)" dataDxfId="1">
      <calculatedColumnFormula>C23-_xlfn.FORECAST.ETS.CONFINT(A23,$B$23:$B$50,$A$23:$A$50,0.95,1,1)</calculatedColumnFormula>
    </tableColumn>
    <tableColumn id="5" xr3:uid="{6C227713-BB54-4F3B-9FC4-8E517C0C70BA}" name="Upper Confidence Bound(total_customer)" dataDxfId="0">
      <calculatedColumnFormula>C23+_xlfn.FORECAST.ETS.CONFINT(A23,$B$23:$B$50,$A$23:$A$50,0.95,1,1)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9D31D-B3FC-4E56-961A-F24DE9489B58}">
  <dimension ref="A1:N611"/>
  <sheetViews>
    <sheetView workbookViewId="0">
      <selection activeCell="G9" sqref="G9"/>
    </sheetView>
  </sheetViews>
  <sheetFormatPr defaultRowHeight="14.4" x14ac:dyDescent="0.3"/>
  <cols>
    <col min="1" max="1" width="9" bestFit="1" customWidth="1"/>
    <col min="2" max="2" width="10.33203125" bestFit="1" customWidth="1"/>
    <col min="3" max="3" width="9" bestFit="1" customWidth="1"/>
    <col min="4" max="4" width="7.21875" bestFit="1" customWidth="1"/>
    <col min="5" max="5" width="9.44140625" bestFit="1" customWidth="1"/>
    <col min="6" max="6" width="10.77734375" bestFit="1" customWidth="1"/>
    <col min="7" max="7" width="18.5546875" bestFit="1" customWidth="1"/>
    <col min="8" max="8" width="13.77734375" bestFit="1" customWidth="1"/>
    <col min="9" max="9" width="22.44140625" bestFit="1" customWidth="1"/>
    <col min="10" max="10" width="10.77734375" bestFit="1" customWidth="1"/>
    <col min="11" max="11" width="12.33203125" bestFit="1" customWidth="1"/>
    <col min="12" max="12" width="17.44140625" bestFit="1" customWidth="1"/>
    <col min="13" max="13" width="20.6640625" bestFit="1" customWidth="1"/>
    <col min="14" max="14" width="16.10937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v>1</v>
      </c>
      <c r="B2" s="1">
        <v>40544</v>
      </c>
      <c r="C2">
        <v>1</v>
      </c>
      <c r="D2">
        <v>0</v>
      </c>
      <c r="E2" t="b">
        <v>0</v>
      </c>
      <c r="F2">
        <v>6</v>
      </c>
      <c r="G2">
        <v>1</v>
      </c>
      <c r="H2">
        <v>0.24</v>
      </c>
      <c r="I2">
        <v>0.28789999999999999</v>
      </c>
      <c r="J2">
        <v>0.81</v>
      </c>
      <c r="K2">
        <v>0</v>
      </c>
      <c r="L2">
        <v>3</v>
      </c>
      <c r="M2">
        <v>13</v>
      </c>
      <c r="N2">
        <v>16</v>
      </c>
    </row>
    <row r="3" spans="1:14" x14ac:dyDescent="0.3">
      <c r="A3">
        <v>2</v>
      </c>
      <c r="B3" s="1">
        <v>40544</v>
      </c>
      <c r="C3">
        <v>1</v>
      </c>
      <c r="D3">
        <v>1</v>
      </c>
      <c r="E3" t="b">
        <v>0</v>
      </c>
      <c r="F3">
        <v>6</v>
      </c>
      <c r="G3">
        <v>1</v>
      </c>
      <c r="H3">
        <v>0.22</v>
      </c>
      <c r="I3">
        <v>0.2727</v>
      </c>
      <c r="J3">
        <v>0.8</v>
      </c>
      <c r="K3">
        <v>0</v>
      </c>
      <c r="L3">
        <v>8</v>
      </c>
      <c r="M3">
        <v>32</v>
      </c>
      <c r="N3">
        <v>40</v>
      </c>
    </row>
    <row r="4" spans="1:14" x14ac:dyDescent="0.3">
      <c r="A4">
        <v>3</v>
      </c>
      <c r="B4" s="1">
        <v>40544</v>
      </c>
      <c r="C4">
        <v>1</v>
      </c>
      <c r="D4">
        <v>2</v>
      </c>
      <c r="E4" t="b">
        <v>0</v>
      </c>
      <c r="F4">
        <v>6</v>
      </c>
      <c r="G4">
        <v>1</v>
      </c>
      <c r="H4">
        <v>0.22</v>
      </c>
      <c r="I4">
        <v>0.2727</v>
      </c>
      <c r="J4">
        <v>0.8</v>
      </c>
      <c r="K4">
        <v>0</v>
      </c>
      <c r="L4">
        <v>5</v>
      </c>
      <c r="M4">
        <v>27</v>
      </c>
      <c r="N4">
        <v>32</v>
      </c>
    </row>
    <row r="5" spans="1:14" x14ac:dyDescent="0.3">
      <c r="A5">
        <v>4</v>
      </c>
      <c r="B5" s="1">
        <v>40544</v>
      </c>
      <c r="C5">
        <v>1</v>
      </c>
      <c r="D5">
        <v>3</v>
      </c>
      <c r="E5" t="b">
        <v>0</v>
      </c>
      <c r="F5">
        <v>6</v>
      </c>
      <c r="G5">
        <v>1</v>
      </c>
      <c r="H5">
        <v>0.24</v>
      </c>
      <c r="I5">
        <v>0.28789999999999999</v>
      </c>
      <c r="J5">
        <v>0.75</v>
      </c>
      <c r="K5">
        <v>0</v>
      </c>
      <c r="L5">
        <v>3</v>
      </c>
      <c r="M5">
        <v>10</v>
      </c>
      <c r="N5">
        <v>13</v>
      </c>
    </row>
    <row r="6" spans="1:14" x14ac:dyDescent="0.3">
      <c r="A6">
        <v>5</v>
      </c>
      <c r="B6" s="1">
        <v>40544</v>
      </c>
      <c r="C6">
        <v>1</v>
      </c>
      <c r="D6">
        <v>4</v>
      </c>
      <c r="E6" t="b">
        <v>0</v>
      </c>
      <c r="F6">
        <v>6</v>
      </c>
      <c r="G6">
        <v>1</v>
      </c>
      <c r="H6">
        <v>0.24</v>
      </c>
      <c r="I6">
        <v>0.28789999999999999</v>
      </c>
      <c r="J6">
        <v>0.75</v>
      </c>
      <c r="K6">
        <v>0</v>
      </c>
      <c r="L6">
        <v>0</v>
      </c>
      <c r="M6">
        <v>1</v>
      </c>
      <c r="N6">
        <v>1</v>
      </c>
    </row>
    <row r="7" spans="1:14" x14ac:dyDescent="0.3">
      <c r="A7">
        <v>6</v>
      </c>
      <c r="B7" s="1">
        <v>40544</v>
      </c>
      <c r="C7">
        <v>1</v>
      </c>
      <c r="D7">
        <v>5</v>
      </c>
      <c r="E7" t="b">
        <v>0</v>
      </c>
      <c r="F7">
        <v>6</v>
      </c>
      <c r="G7">
        <v>2</v>
      </c>
      <c r="H7">
        <v>0.24</v>
      </c>
      <c r="I7">
        <v>0.2576</v>
      </c>
      <c r="J7">
        <v>0.75</v>
      </c>
      <c r="K7">
        <v>8.9599999999999999E-2</v>
      </c>
      <c r="L7">
        <v>0</v>
      </c>
      <c r="M7">
        <v>1</v>
      </c>
      <c r="N7">
        <v>1</v>
      </c>
    </row>
    <row r="8" spans="1:14" x14ac:dyDescent="0.3">
      <c r="A8">
        <v>7</v>
      </c>
      <c r="B8" s="1">
        <v>40544</v>
      </c>
      <c r="C8">
        <v>1</v>
      </c>
      <c r="D8">
        <v>6</v>
      </c>
      <c r="E8" t="b">
        <v>0</v>
      </c>
      <c r="F8">
        <v>6</v>
      </c>
      <c r="G8">
        <v>1</v>
      </c>
      <c r="H8">
        <v>0.22</v>
      </c>
      <c r="I8">
        <v>0.2727</v>
      </c>
      <c r="J8">
        <v>0.8</v>
      </c>
      <c r="K8">
        <v>0</v>
      </c>
      <c r="L8">
        <v>2</v>
      </c>
      <c r="M8">
        <v>0</v>
      </c>
      <c r="N8">
        <v>2</v>
      </c>
    </row>
    <row r="9" spans="1:14" x14ac:dyDescent="0.3">
      <c r="A9">
        <v>8</v>
      </c>
      <c r="B9" s="1">
        <v>40544</v>
      </c>
      <c r="C9">
        <v>1</v>
      </c>
      <c r="D9">
        <v>7</v>
      </c>
      <c r="E9" t="b">
        <v>0</v>
      </c>
      <c r="F9">
        <v>6</v>
      </c>
      <c r="G9">
        <v>1</v>
      </c>
      <c r="H9">
        <v>0.2</v>
      </c>
      <c r="I9">
        <v>0.2576</v>
      </c>
      <c r="J9">
        <v>0.86</v>
      </c>
      <c r="K9">
        <v>0</v>
      </c>
      <c r="L9">
        <v>1</v>
      </c>
      <c r="M9">
        <v>2</v>
      </c>
      <c r="N9">
        <v>3</v>
      </c>
    </row>
    <row r="10" spans="1:14" x14ac:dyDescent="0.3">
      <c r="A10">
        <v>9</v>
      </c>
      <c r="B10" s="1">
        <v>40544</v>
      </c>
      <c r="C10">
        <v>1</v>
      </c>
      <c r="D10">
        <v>8</v>
      </c>
      <c r="E10" t="b">
        <v>0</v>
      </c>
      <c r="F10">
        <v>6</v>
      </c>
      <c r="G10">
        <v>1</v>
      </c>
      <c r="H10">
        <v>0.24</v>
      </c>
      <c r="I10">
        <v>0.2576</v>
      </c>
      <c r="J10">
        <v>0.75</v>
      </c>
      <c r="K10">
        <v>0</v>
      </c>
      <c r="L10">
        <v>1</v>
      </c>
      <c r="M10">
        <v>7</v>
      </c>
      <c r="N10">
        <v>8</v>
      </c>
    </row>
    <row r="11" spans="1:14" x14ac:dyDescent="0.3">
      <c r="A11">
        <v>10</v>
      </c>
      <c r="B11" s="1">
        <v>40544</v>
      </c>
      <c r="C11">
        <v>1</v>
      </c>
      <c r="D11">
        <v>9</v>
      </c>
      <c r="E11" t="b">
        <v>0</v>
      </c>
      <c r="F11">
        <v>6</v>
      </c>
      <c r="G11">
        <v>1</v>
      </c>
      <c r="H11">
        <v>0.32</v>
      </c>
      <c r="I11">
        <v>0.34849999999999998</v>
      </c>
      <c r="J11">
        <v>0.76</v>
      </c>
      <c r="K11">
        <v>0</v>
      </c>
      <c r="L11">
        <v>8</v>
      </c>
      <c r="M11">
        <v>6</v>
      </c>
      <c r="N11">
        <v>14</v>
      </c>
    </row>
    <row r="12" spans="1:14" x14ac:dyDescent="0.3">
      <c r="A12">
        <v>11</v>
      </c>
      <c r="B12" s="1">
        <v>40544</v>
      </c>
      <c r="C12">
        <v>1</v>
      </c>
      <c r="D12">
        <v>10</v>
      </c>
      <c r="E12" t="b">
        <v>0</v>
      </c>
      <c r="F12">
        <v>6</v>
      </c>
      <c r="G12">
        <v>1</v>
      </c>
      <c r="H12">
        <v>0.38</v>
      </c>
      <c r="I12">
        <v>0.39389999999999997</v>
      </c>
      <c r="J12">
        <v>0.76</v>
      </c>
      <c r="K12">
        <v>0.25369999999999998</v>
      </c>
      <c r="L12">
        <v>12</v>
      </c>
      <c r="M12">
        <v>24</v>
      </c>
      <c r="N12">
        <v>36</v>
      </c>
    </row>
    <row r="13" spans="1:14" x14ac:dyDescent="0.3">
      <c r="A13">
        <v>12</v>
      </c>
      <c r="B13" s="1">
        <v>40544</v>
      </c>
      <c r="C13">
        <v>1</v>
      </c>
      <c r="D13">
        <v>11</v>
      </c>
      <c r="E13" t="b">
        <v>0</v>
      </c>
      <c r="F13">
        <v>6</v>
      </c>
      <c r="G13">
        <v>1</v>
      </c>
      <c r="H13">
        <v>0.36</v>
      </c>
      <c r="I13">
        <v>0.33329999999999999</v>
      </c>
      <c r="J13">
        <v>0.81</v>
      </c>
      <c r="K13">
        <v>0.28360000000000002</v>
      </c>
      <c r="L13">
        <v>26</v>
      </c>
      <c r="M13">
        <v>30</v>
      </c>
      <c r="N13">
        <v>56</v>
      </c>
    </row>
    <row r="14" spans="1:14" x14ac:dyDescent="0.3">
      <c r="A14">
        <v>13</v>
      </c>
      <c r="B14" s="1">
        <v>40544</v>
      </c>
      <c r="C14">
        <v>1</v>
      </c>
      <c r="D14">
        <v>12</v>
      </c>
      <c r="E14" t="b">
        <v>0</v>
      </c>
      <c r="F14">
        <v>6</v>
      </c>
      <c r="G14">
        <v>1</v>
      </c>
      <c r="H14">
        <v>0.42</v>
      </c>
      <c r="I14">
        <v>0.42420000000000002</v>
      </c>
      <c r="J14">
        <v>0.77</v>
      </c>
      <c r="K14">
        <v>0.28360000000000002</v>
      </c>
      <c r="L14">
        <v>29</v>
      </c>
      <c r="M14">
        <v>55</v>
      </c>
      <c r="N14">
        <v>84</v>
      </c>
    </row>
    <row r="15" spans="1:14" x14ac:dyDescent="0.3">
      <c r="A15">
        <v>14</v>
      </c>
      <c r="B15" s="1">
        <v>40544</v>
      </c>
      <c r="C15">
        <v>1</v>
      </c>
      <c r="D15">
        <v>13</v>
      </c>
      <c r="E15" t="b">
        <v>0</v>
      </c>
      <c r="F15">
        <v>6</v>
      </c>
      <c r="G15">
        <v>2</v>
      </c>
      <c r="H15">
        <v>0.46</v>
      </c>
      <c r="I15">
        <v>0.45450000000000002</v>
      </c>
      <c r="J15">
        <v>0.72</v>
      </c>
      <c r="K15">
        <v>0.29849999999999999</v>
      </c>
      <c r="L15">
        <v>47</v>
      </c>
      <c r="M15">
        <v>47</v>
      </c>
      <c r="N15">
        <v>94</v>
      </c>
    </row>
    <row r="16" spans="1:14" x14ac:dyDescent="0.3">
      <c r="A16">
        <v>15</v>
      </c>
      <c r="B16" s="1">
        <v>40544</v>
      </c>
      <c r="C16">
        <v>1</v>
      </c>
      <c r="D16">
        <v>14</v>
      </c>
      <c r="E16" t="b">
        <v>0</v>
      </c>
      <c r="F16">
        <v>6</v>
      </c>
      <c r="G16">
        <v>2</v>
      </c>
      <c r="H16">
        <v>0.46</v>
      </c>
      <c r="I16">
        <v>0.45450000000000002</v>
      </c>
      <c r="J16">
        <v>0.72</v>
      </c>
      <c r="K16">
        <v>0.28360000000000002</v>
      </c>
      <c r="L16">
        <v>35</v>
      </c>
      <c r="M16">
        <v>71</v>
      </c>
      <c r="N16">
        <v>106</v>
      </c>
    </row>
    <row r="17" spans="1:14" x14ac:dyDescent="0.3">
      <c r="A17">
        <v>16</v>
      </c>
      <c r="B17" s="1">
        <v>40544</v>
      </c>
      <c r="C17">
        <v>1</v>
      </c>
      <c r="D17">
        <v>15</v>
      </c>
      <c r="E17" t="b">
        <v>0</v>
      </c>
      <c r="F17">
        <v>6</v>
      </c>
      <c r="G17">
        <v>2</v>
      </c>
      <c r="H17">
        <v>0.44</v>
      </c>
      <c r="I17">
        <v>0.43940000000000001</v>
      </c>
      <c r="J17">
        <v>0.77</v>
      </c>
      <c r="K17">
        <v>0.29849999999999999</v>
      </c>
      <c r="L17">
        <v>40</v>
      </c>
      <c r="M17">
        <v>70</v>
      </c>
      <c r="N17">
        <v>110</v>
      </c>
    </row>
    <row r="18" spans="1:14" x14ac:dyDescent="0.3">
      <c r="A18">
        <v>17</v>
      </c>
      <c r="B18" s="1">
        <v>40544</v>
      </c>
      <c r="C18">
        <v>1</v>
      </c>
      <c r="D18">
        <v>16</v>
      </c>
      <c r="E18" t="b">
        <v>0</v>
      </c>
      <c r="F18">
        <v>6</v>
      </c>
      <c r="G18">
        <v>2</v>
      </c>
      <c r="H18">
        <v>0.42</v>
      </c>
      <c r="I18">
        <v>0.42420000000000002</v>
      </c>
      <c r="J18">
        <v>0.82</v>
      </c>
      <c r="K18">
        <v>0.29849999999999999</v>
      </c>
      <c r="L18">
        <v>41</v>
      </c>
      <c r="M18">
        <v>52</v>
      </c>
      <c r="N18">
        <v>93</v>
      </c>
    </row>
    <row r="19" spans="1:14" x14ac:dyDescent="0.3">
      <c r="A19">
        <v>18</v>
      </c>
      <c r="B19" s="1">
        <v>40544</v>
      </c>
      <c r="C19">
        <v>1</v>
      </c>
      <c r="D19">
        <v>17</v>
      </c>
      <c r="E19" t="b">
        <v>0</v>
      </c>
      <c r="F19">
        <v>6</v>
      </c>
      <c r="G19">
        <v>2</v>
      </c>
      <c r="H19">
        <v>0.44</v>
      </c>
      <c r="I19">
        <v>0.42420000000000002</v>
      </c>
      <c r="J19">
        <v>0.82</v>
      </c>
      <c r="K19">
        <v>0.28360000000000002</v>
      </c>
      <c r="L19">
        <v>15</v>
      </c>
      <c r="M19">
        <v>52</v>
      </c>
      <c r="N19">
        <v>67</v>
      </c>
    </row>
    <row r="20" spans="1:14" x14ac:dyDescent="0.3">
      <c r="A20">
        <v>19</v>
      </c>
      <c r="B20" s="1">
        <v>40544</v>
      </c>
      <c r="C20">
        <v>1</v>
      </c>
      <c r="D20">
        <v>18</v>
      </c>
      <c r="E20" t="b">
        <v>0</v>
      </c>
      <c r="F20">
        <v>6</v>
      </c>
      <c r="G20">
        <v>3</v>
      </c>
      <c r="H20">
        <v>0.42</v>
      </c>
      <c r="I20">
        <v>0.42420000000000002</v>
      </c>
      <c r="J20">
        <v>0.88</v>
      </c>
      <c r="K20">
        <v>0.25369999999999998</v>
      </c>
      <c r="L20">
        <v>9</v>
      </c>
      <c r="M20">
        <v>26</v>
      </c>
      <c r="N20">
        <v>35</v>
      </c>
    </row>
    <row r="21" spans="1:14" x14ac:dyDescent="0.3">
      <c r="A21">
        <v>20</v>
      </c>
      <c r="B21" s="1">
        <v>40544</v>
      </c>
      <c r="C21">
        <v>1</v>
      </c>
      <c r="D21">
        <v>19</v>
      </c>
      <c r="E21" t="b">
        <v>0</v>
      </c>
      <c r="F21">
        <v>6</v>
      </c>
      <c r="G21">
        <v>3</v>
      </c>
      <c r="H21">
        <v>0.42</v>
      </c>
      <c r="I21">
        <v>0.42420000000000002</v>
      </c>
      <c r="J21">
        <v>0.88</v>
      </c>
      <c r="K21">
        <v>0.25369999999999998</v>
      </c>
      <c r="L21">
        <v>6</v>
      </c>
      <c r="M21">
        <v>31</v>
      </c>
      <c r="N21">
        <v>37</v>
      </c>
    </row>
    <row r="22" spans="1:14" x14ac:dyDescent="0.3">
      <c r="A22">
        <v>21</v>
      </c>
      <c r="B22" s="1">
        <v>40544</v>
      </c>
      <c r="C22">
        <v>1</v>
      </c>
      <c r="D22">
        <v>20</v>
      </c>
      <c r="E22" t="b">
        <v>0</v>
      </c>
      <c r="F22">
        <v>6</v>
      </c>
      <c r="G22">
        <v>2</v>
      </c>
      <c r="H22">
        <v>0.4</v>
      </c>
      <c r="I22">
        <v>0.40910000000000002</v>
      </c>
      <c r="J22">
        <v>0.87</v>
      </c>
      <c r="K22">
        <v>0.25369999999999998</v>
      </c>
      <c r="L22">
        <v>11</v>
      </c>
      <c r="M22">
        <v>25</v>
      </c>
      <c r="N22">
        <v>36</v>
      </c>
    </row>
    <row r="23" spans="1:14" x14ac:dyDescent="0.3">
      <c r="A23">
        <v>22</v>
      </c>
      <c r="B23" s="1">
        <v>40544</v>
      </c>
      <c r="C23">
        <v>1</v>
      </c>
      <c r="D23">
        <v>21</v>
      </c>
      <c r="E23" t="b">
        <v>0</v>
      </c>
      <c r="F23">
        <v>6</v>
      </c>
      <c r="G23">
        <v>2</v>
      </c>
      <c r="H23">
        <v>0.4</v>
      </c>
      <c r="I23">
        <v>0.40910000000000002</v>
      </c>
      <c r="J23">
        <v>0.87</v>
      </c>
      <c r="K23">
        <v>0.19400000000000001</v>
      </c>
      <c r="L23">
        <v>3</v>
      </c>
      <c r="M23">
        <v>31</v>
      </c>
      <c r="N23">
        <v>34</v>
      </c>
    </row>
    <row r="24" spans="1:14" x14ac:dyDescent="0.3">
      <c r="A24">
        <v>23</v>
      </c>
      <c r="B24" s="1">
        <v>40544</v>
      </c>
      <c r="C24">
        <v>1</v>
      </c>
      <c r="D24">
        <v>22</v>
      </c>
      <c r="E24" t="b">
        <v>0</v>
      </c>
      <c r="F24">
        <v>6</v>
      </c>
      <c r="G24">
        <v>2</v>
      </c>
      <c r="H24">
        <v>0.4</v>
      </c>
      <c r="I24">
        <v>0.40910000000000002</v>
      </c>
      <c r="J24">
        <v>0.94</v>
      </c>
      <c r="K24">
        <v>0.22389999999999999</v>
      </c>
      <c r="L24">
        <v>11</v>
      </c>
      <c r="M24">
        <v>17</v>
      </c>
      <c r="N24">
        <v>28</v>
      </c>
    </row>
    <row r="25" spans="1:14" x14ac:dyDescent="0.3">
      <c r="A25">
        <v>24</v>
      </c>
      <c r="B25" s="1">
        <v>40544</v>
      </c>
      <c r="C25">
        <v>1</v>
      </c>
      <c r="D25">
        <v>23</v>
      </c>
      <c r="E25" t="b">
        <v>0</v>
      </c>
      <c r="F25">
        <v>6</v>
      </c>
      <c r="G25">
        <v>2</v>
      </c>
      <c r="H25">
        <v>0.46</v>
      </c>
      <c r="I25">
        <v>0.40910000000000002</v>
      </c>
      <c r="J25">
        <v>0.88</v>
      </c>
      <c r="K25">
        <v>0.29849999999999999</v>
      </c>
      <c r="L25">
        <v>15</v>
      </c>
      <c r="M25">
        <v>24</v>
      </c>
      <c r="N25">
        <v>39</v>
      </c>
    </row>
    <row r="26" spans="1:14" x14ac:dyDescent="0.3">
      <c r="A26">
        <v>25</v>
      </c>
      <c r="B26" s="1">
        <v>40545</v>
      </c>
      <c r="C26">
        <v>1</v>
      </c>
      <c r="D26">
        <v>0</v>
      </c>
      <c r="E26" t="b">
        <v>0</v>
      </c>
      <c r="F26">
        <v>0</v>
      </c>
      <c r="G26">
        <v>2</v>
      </c>
      <c r="H26">
        <v>0.46</v>
      </c>
      <c r="I26">
        <v>0.45450000000000002</v>
      </c>
      <c r="J26">
        <v>0.88</v>
      </c>
      <c r="K26">
        <v>0.29849999999999999</v>
      </c>
      <c r="L26">
        <v>4</v>
      </c>
      <c r="M26">
        <v>13</v>
      </c>
      <c r="N26">
        <v>17</v>
      </c>
    </row>
    <row r="27" spans="1:14" x14ac:dyDescent="0.3">
      <c r="A27">
        <v>26</v>
      </c>
      <c r="B27" s="1">
        <v>40545</v>
      </c>
      <c r="C27">
        <v>1</v>
      </c>
      <c r="D27">
        <v>1</v>
      </c>
      <c r="E27" t="b">
        <v>0</v>
      </c>
      <c r="F27">
        <v>0</v>
      </c>
      <c r="G27">
        <v>2</v>
      </c>
      <c r="H27">
        <v>0.44</v>
      </c>
      <c r="I27">
        <v>0.43940000000000001</v>
      </c>
      <c r="J27">
        <v>0.94</v>
      </c>
      <c r="K27">
        <v>0.25369999999999998</v>
      </c>
      <c r="L27">
        <v>1</v>
      </c>
      <c r="M27">
        <v>16</v>
      </c>
      <c r="N27">
        <v>17</v>
      </c>
    </row>
    <row r="28" spans="1:14" x14ac:dyDescent="0.3">
      <c r="A28">
        <v>27</v>
      </c>
      <c r="B28" s="1">
        <v>40545</v>
      </c>
      <c r="C28">
        <v>1</v>
      </c>
      <c r="D28">
        <v>2</v>
      </c>
      <c r="E28" t="b">
        <v>0</v>
      </c>
      <c r="F28">
        <v>0</v>
      </c>
      <c r="G28">
        <v>2</v>
      </c>
      <c r="H28">
        <v>0.42</v>
      </c>
      <c r="I28">
        <v>0.42420000000000002</v>
      </c>
      <c r="J28">
        <v>1</v>
      </c>
      <c r="K28">
        <v>0.28360000000000002</v>
      </c>
      <c r="L28">
        <v>1</v>
      </c>
      <c r="M28">
        <v>8</v>
      </c>
      <c r="N28">
        <v>9</v>
      </c>
    </row>
    <row r="29" spans="1:14" x14ac:dyDescent="0.3">
      <c r="A29">
        <v>28</v>
      </c>
      <c r="B29" s="1">
        <v>40545</v>
      </c>
      <c r="C29">
        <v>1</v>
      </c>
      <c r="D29">
        <v>3</v>
      </c>
      <c r="E29" t="b">
        <v>0</v>
      </c>
      <c r="F29">
        <v>0</v>
      </c>
      <c r="G29">
        <v>2</v>
      </c>
      <c r="H29">
        <v>0.46</v>
      </c>
      <c r="I29">
        <v>0.45450000000000002</v>
      </c>
      <c r="J29">
        <v>0.94</v>
      </c>
      <c r="K29">
        <v>0.19400000000000001</v>
      </c>
      <c r="L29">
        <v>2</v>
      </c>
      <c r="M29">
        <v>4</v>
      </c>
      <c r="N29">
        <v>6</v>
      </c>
    </row>
    <row r="30" spans="1:14" x14ac:dyDescent="0.3">
      <c r="A30">
        <v>29</v>
      </c>
      <c r="B30" s="1">
        <v>40545</v>
      </c>
      <c r="C30">
        <v>1</v>
      </c>
      <c r="D30">
        <v>4</v>
      </c>
      <c r="E30" t="b">
        <v>0</v>
      </c>
      <c r="F30">
        <v>0</v>
      </c>
      <c r="G30">
        <v>2</v>
      </c>
      <c r="H30">
        <v>0.46</v>
      </c>
      <c r="I30">
        <v>0.45450000000000002</v>
      </c>
      <c r="J30">
        <v>0.94</v>
      </c>
      <c r="K30">
        <v>0.19400000000000001</v>
      </c>
      <c r="L30">
        <v>2</v>
      </c>
      <c r="M30">
        <v>1</v>
      </c>
      <c r="N30">
        <v>3</v>
      </c>
    </row>
    <row r="31" spans="1:14" x14ac:dyDescent="0.3">
      <c r="A31">
        <v>30</v>
      </c>
      <c r="B31" s="1">
        <v>40545</v>
      </c>
      <c r="C31">
        <v>1</v>
      </c>
      <c r="D31">
        <v>6</v>
      </c>
      <c r="E31" t="b">
        <v>0</v>
      </c>
      <c r="F31">
        <v>0</v>
      </c>
      <c r="G31">
        <v>3</v>
      </c>
      <c r="H31">
        <v>0.42</v>
      </c>
      <c r="I31">
        <v>0.42420000000000002</v>
      </c>
      <c r="J31">
        <v>0.77</v>
      </c>
      <c r="K31">
        <v>0.29849999999999999</v>
      </c>
      <c r="L31">
        <v>0</v>
      </c>
      <c r="M31">
        <v>2</v>
      </c>
      <c r="N31">
        <v>2</v>
      </c>
    </row>
    <row r="32" spans="1:14" x14ac:dyDescent="0.3">
      <c r="A32">
        <v>31</v>
      </c>
      <c r="B32" s="1">
        <v>40545</v>
      </c>
      <c r="C32">
        <v>1</v>
      </c>
      <c r="D32">
        <v>7</v>
      </c>
      <c r="E32" t="b">
        <v>0</v>
      </c>
      <c r="F32">
        <v>0</v>
      </c>
      <c r="G32">
        <v>2</v>
      </c>
      <c r="H32">
        <v>0.4</v>
      </c>
      <c r="I32">
        <v>0.40910000000000002</v>
      </c>
      <c r="J32">
        <v>0.76</v>
      </c>
      <c r="K32">
        <v>0.19400000000000001</v>
      </c>
      <c r="L32">
        <v>0</v>
      </c>
      <c r="M32">
        <v>1</v>
      </c>
      <c r="N32">
        <v>1</v>
      </c>
    </row>
    <row r="33" spans="1:14" x14ac:dyDescent="0.3">
      <c r="A33">
        <v>32</v>
      </c>
      <c r="B33" s="1">
        <v>40545</v>
      </c>
      <c r="C33">
        <v>1</v>
      </c>
      <c r="D33">
        <v>8</v>
      </c>
      <c r="E33" t="b">
        <v>0</v>
      </c>
      <c r="F33">
        <v>0</v>
      </c>
      <c r="G33">
        <v>3</v>
      </c>
      <c r="H33">
        <v>0.4</v>
      </c>
      <c r="I33">
        <v>0.40910000000000002</v>
      </c>
      <c r="J33">
        <v>0.71</v>
      </c>
      <c r="K33">
        <v>0.22389999999999999</v>
      </c>
      <c r="L33">
        <v>0</v>
      </c>
      <c r="M33">
        <v>8</v>
      </c>
      <c r="N33">
        <v>8</v>
      </c>
    </row>
    <row r="34" spans="1:14" x14ac:dyDescent="0.3">
      <c r="A34">
        <v>33</v>
      </c>
      <c r="B34" s="1">
        <v>40545</v>
      </c>
      <c r="C34">
        <v>1</v>
      </c>
      <c r="D34">
        <v>9</v>
      </c>
      <c r="E34" t="b">
        <v>0</v>
      </c>
      <c r="F34">
        <v>0</v>
      </c>
      <c r="G34">
        <v>2</v>
      </c>
      <c r="H34">
        <v>0.38</v>
      </c>
      <c r="I34">
        <v>0.40910000000000002</v>
      </c>
      <c r="J34">
        <v>0.76</v>
      </c>
      <c r="K34">
        <v>0.22389999999999999</v>
      </c>
      <c r="L34">
        <v>1</v>
      </c>
      <c r="M34">
        <v>19</v>
      </c>
      <c r="N34">
        <v>20</v>
      </c>
    </row>
    <row r="35" spans="1:14" x14ac:dyDescent="0.3">
      <c r="A35">
        <v>34</v>
      </c>
      <c r="B35" s="1">
        <v>40545</v>
      </c>
      <c r="C35">
        <v>1</v>
      </c>
      <c r="D35">
        <v>10</v>
      </c>
      <c r="E35" t="b">
        <v>0</v>
      </c>
      <c r="F35">
        <v>0</v>
      </c>
      <c r="G35">
        <v>2</v>
      </c>
      <c r="H35">
        <v>0.36</v>
      </c>
      <c r="I35">
        <v>0.34849999999999998</v>
      </c>
      <c r="J35">
        <v>0.81</v>
      </c>
      <c r="K35">
        <v>0.22389999999999999</v>
      </c>
      <c r="L35">
        <v>7</v>
      </c>
      <c r="M35">
        <v>46</v>
      </c>
      <c r="N35">
        <v>53</v>
      </c>
    </row>
    <row r="36" spans="1:14" x14ac:dyDescent="0.3">
      <c r="A36">
        <v>35</v>
      </c>
      <c r="B36" s="1">
        <v>40545</v>
      </c>
      <c r="C36">
        <v>1</v>
      </c>
      <c r="D36">
        <v>11</v>
      </c>
      <c r="E36" t="b">
        <v>0</v>
      </c>
      <c r="F36">
        <v>0</v>
      </c>
      <c r="G36">
        <v>2</v>
      </c>
      <c r="H36">
        <v>0.36</v>
      </c>
      <c r="I36">
        <v>0.33329999999999999</v>
      </c>
      <c r="J36">
        <v>0.71</v>
      </c>
      <c r="K36">
        <v>0.25369999999999998</v>
      </c>
      <c r="L36">
        <v>16</v>
      </c>
      <c r="M36">
        <v>54</v>
      </c>
      <c r="N36">
        <v>70</v>
      </c>
    </row>
    <row r="37" spans="1:14" x14ac:dyDescent="0.3">
      <c r="A37">
        <v>36</v>
      </c>
      <c r="B37" s="1">
        <v>40545</v>
      </c>
      <c r="C37">
        <v>1</v>
      </c>
      <c r="D37">
        <v>12</v>
      </c>
      <c r="E37" t="b">
        <v>0</v>
      </c>
      <c r="F37">
        <v>0</v>
      </c>
      <c r="G37">
        <v>2</v>
      </c>
      <c r="H37">
        <v>0.36</v>
      </c>
      <c r="I37">
        <v>0.33329999999999999</v>
      </c>
      <c r="J37">
        <v>0.66</v>
      </c>
      <c r="K37">
        <v>0.29849999999999999</v>
      </c>
      <c r="L37">
        <v>20</v>
      </c>
      <c r="M37">
        <v>73</v>
      </c>
      <c r="N37">
        <v>93</v>
      </c>
    </row>
    <row r="38" spans="1:14" x14ac:dyDescent="0.3">
      <c r="A38">
        <v>37</v>
      </c>
      <c r="B38" s="1">
        <v>40545</v>
      </c>
      <c r="C38">
        <v>1</v>
      </c>
      <c r="D38">
        <v>13</v>
      </c>
      <c r="E38" t="b">
        <v>0</v>
      </c>
      <c r="F38">
        <v>0</v>
      </c>
      <c r="G38">
        <v>2</v>
      </c>
      <c r="H38">
        <v>0.36</v>
      </c>
      <c r="I38">
        <v>0.34849999999999998</v>
      </c>
      <c r="J38">
        <v>0.66</v>
      </c>
      <c r="K38">
        <v>0.1343</v>
      </c>
      <c r="L38">
        <v>11</v>
      </c>
      <c r="M38">
        <v>64</v>
      </c>
      <c r="N38">
        <v>75</v>
      </c>
    </row>
    <row r="39" spans="1:14" x14ac:dyDescent="0.3">
      <c r="A39">
        <v>38</v>
      </c>
      <c r="B39" s="1">
        <v>40545</v>
      </c>
      <c r="C39">
        <v>1</v>
      </c>
      <c r="D39">
        <v>14</v>
      </c>
      <c r="E39" t="b">
        <v>0</v>
      </c>
      <c r="F39">
        <v>0</v>
      </c>
      <c r="G39">
        <v>3</v>
      </c>
      <c r="H39">
        <v>0.36</v>
      </c>
      <c r="I39">
        <v>0.34849999999999998</v>
      </c>
      <c r="J39">
        <v>0.76</v>
      </c>
      <c r="K39">
        <v>0.19400000000000001</v>
      </c>
      <c r="L39">
        <v>4</v>
      </c>
      <c r="M39">
        <v>55</v>
      </c>
      <c r="N39">
        <v>59</v>
      </c>
    </row>
    <row r="40" spans="1:14" x14ac:dyDescent="0.3">
      <c r="A40">
        <v>39</v>
      </c>
      <c r="B40" s="1">
        <v>40545</v>
      </c>
      <c r="C40">
        <v>1</v>
      </c>
      <c r="D40">
        <v>15</v>
      </c>
      <c r="E40" t="b">
        <v>0</v>
      </c>
      <c r="F40">
        <v>0</v>
      </c>
      <c r="G40">
        <v>3</v>
      </c>
      <c r="H40">
        <v>0.34</v>
      </c>
      <c r="I40">
        <v>0.33329999999999999</v>
      </c>
      <c r="J40">
        <v>0.81</v>
      </c>
      <c r="K40">
        <v>0.16420000000000001</v>
      </c>
      <c r="L40">
        <v>19</v>
      </c>
      <c r="M40">
        <v>55</v>
      </c>
      <c r="N40">
        <v>74</v>
      </c>
    </row>
    <row r="41" spans="1:14" x14ac:dyDescent="0.3">
      <c r="A41">
        <v>40</v>
      </c>
      <c r="B41" s="1">
        <v>40545</v>
      </c>
      <c r="C41">
        <v>1</v>
      </c>
      <c r="D41">
        <v>16</v>
      </c>
      <c r="E41" t="b">
        <v>0</v>
      </c>
      <c r="F41">
        <v>0</v>
      </c>
      <c r="G41">
        <v>3</v>
      </c>
      <c r="H41">
        <v>0.34</v>
      </c>
      <c r="I41">
        <v>0.33329999999999999</v>
      </c>
      <c r="J41">
        <v>0.71</v>
      </c>
      <c r="K41">
        <v>0.16420000000000001</v>
      </c>
      <c r="L41">
        <v>9</v>
      </c>
      <c r="M41">
        <v>67</v>
      </c>
      <c r="N41">
        <v>76</v>
      </c>
    </row>
    <row r="42" spans="1:14" x14ac:dyDescent="0.3">
      <c r="A42">
        <v>41</v>
      </c>
      <c r="B42" s="1">
        <v>40545</v>
      </c>
      <c r="C42">
        <v>1</v>
      </c>
      <c r="D42">
        <v>17</v>
      </c>
      <c r="E42" t="b">
        <v>0</v>
      </c>
      <c r="F42">
        <v>0</v>
      </c>
      <c r="G42">
        <v>1</v>
      </c>
      <c r="H42">
        <v>0.34</v>
      </c>
      <c r="I42">
        <v>0.33329999999999999</v>
      </c>
      <c r="J42">
        <v>0.56999999999999995</v>
      </c>
      <c r="K42">
        <v>0.19400000000000001</v>
      </c>
      <c r="L42">
        <v>7</v>
      </c>
      <c r="M42">
        <v>58</v>
      </c>
      <c r="N42">
        <v>65</v>
      </c>
    </row>
    <row r="43" spans="1:14" x14ac:dyDescent="0.3">
      <c r="A43">
        <v>42</v>
      </c>
      <c r="B43" s="1">
        <v>40545</v>
      </c>
      <c r="C43">
        <v>1</v>
      </c>
      <c r="D43">
        <v>18</v>
      </c>
      <c r="E43" t="b">
        <v>0</v>
      </c>
      <c r="F43">
        <v>0</v>
      </c>
      <c r="G43">
        <v>2</v>
      </c>
      <c r="H43">
        <v>0.36</v>
      </c>
      <c r="I43">
        <v>0.33329999999999999</v>
      </c>
      <c r="J43">
        <v>0.46</v>
      </c>
      <c r="K43">
        <v>0.32840000000000003</v>
      </c>
      <c r="L43">
        <v>10</v>
      </c>
      <c r="M43">
        <v>43</v>
      </c>
      <c r="N43">
        <v>53</v>
      </c>
    </row>
    <row r="44" spans="1:14" x14ac:dyDescent="0.3">
      <c r="A44">
        <v>43</v>
      </c>
      <c r="B44" s="1">
        <v>40545</v>
      </c>
      <c r="C44">
        <v>1</v>
      </c>
      <c r="D44">
        <v>19</v>
      </c>
      <c r="E44" t="b">
        <v>0</v>
      </c>
      <c r="F44">
        <v>0</v>
      </c>
      <c r="G44">
        <v>1</v>
      </c>
      <c r="H44">
        <v>0.32</v>
      </c>
      <c r="I44">
        <v>0.28789999999999999</v>
      </c>
      <c r="J44">
        <v>0.42</v>
      </c>
      <c r="K44">
        <v>0.44779999999999998</v>
      </c>
      <c r="L44">
        <v>1</v>
      </c>
      <c r="M44">
        <v>29</v>
      </c>
      <c r="N44">
        <v>30</v>
      </c>
    </row>
    <row r="45" spans="1:14" x14ac:dyDescent="0.3">
      <c r="A45">
        <v>44</v>
      </c>
      <c r="B45" s="1">
        <v>40545</v>
      </c>
      <c r="C45">
        <v>1</v>
      </c>
      <c r="D45">
        <v>20</v>
      </c>
      <c r="E45" t="b">
        <v>0</v>
      </c>
      <c r="F45">
        <v>0</v>
      </c>
      <c r="G45">
        <v>1</v>
      </c>
      <c r="H45">
        <v>0.3</v>
      </c>
      <c r="I45">
        <v>0.28789999999999999</v>
      </c>
      <c r="J45">
        <v>0.39</v>
      </c>
      <c r="K45">
        <v>0.35820000000000002</v>
      </c>
      <c r="L45">
        <v>5</v>
      </c>
      <c r="M45">
        <v>17</v>
      </c>
      <c r="N45">
        <v>22</v>
      </c>
    </row>
    <row r="46" spans="1:14" x14ac:dyDescent="0.3">
      <c r="A46">
        <v>45</v>
      </c>
      <c r="B46" s="1">
        <v>40545</v>
      </c>
      <c r="C46">
        <v>1</v>
      </c>
      <c r="D46">
        <v>21</v>
      </c>
      <c r="E46" t="b">
        <v>0</v>
      </c>
      <c r="F46">
        <v>0</v>
      </c>
      <c r="G46">
        <v>1</v>
      </c>
      <c r="H46">
        <v>0.26</v>
      </c>
      <c r="I46">
        <v>0.2273</v>
      </c>
      <c r="J46">
        <v>0.44</v>
      </c>
      <c r="K46">
        <v>0.32840000000000003</v>
      </c>
      <c r="L46">
        <v>11</v>
      </c>
      <c r="M46">
        <v>20</v>
      </c>
      <c r="N46">
        <v>31</v>
      </c>
    </row>
    <row r="47" spans="1:14" x14ac:dyDescent="0.3">
      <c r="A47">
        <v>46</v>
      </c>
      <c r="B47" s="1">
        <v>40545</v>
      </c>
      <c r="C47">
        <v>1</v>
      </c>
      <c r="D47">
        <v>22</v>
      </c>
      <c r="E47" t="b">
        <v>0</v>
      </c>
      <c r="F47">
        <v>0</v>
      </c>
      <c r="G47">
        <v>1</v>
      </c>
      <c r="H47">
        <v>0.24</v>
      </c>
      <c r="I47">
        <v>0.21210000000000001</v>
      </c>
      <c r="J47">
        <v>0.44</v>
      </c>
      <c r="K47">
        <v>0.29849999999999999</v>
      </c>
      <c r="L47">
        <v>0</v>
      </c>
      <c r="M47">
        <v>9</v>
      </c>
      <c r="N47">
        <v>9</v>
      </c>
    </row>
    <row r="48" spans="1:14" x14ac:dyDescent="0.3">
      <c r="A48">
        <v>47</v>
      </c>
      <c r="B48" s="1">
        <v>40545</v>
      </c>
      <c r="C48">
        <v>1</v>
      </c>
      <c r="D48">
        <v>23</v>
      </c>
      <c r="E48" t="b">
        <v>0</v>
      </c>
      <c r="F48">
        <v>0</v>
      </c>
      <c r="G48">
        <v>1</v>
      </c>
      <c r="H48">
        <v>0.22</v>
      </c>
      <c r="I48">
        <v>0.2273</v>
      </c>
      <c r="J48">
        <v>0.47</v>
      </c>
      <c r="K48">
        <v>0.16420000000000001</v>
      </c>
      <c r="L48">
        <v>0</v>
      </c>
      <c r="M48">
        <v>8</v>
      </c>
      <c r="N48">
        <v>8</v>
      </c>
    </row>
    <row r="49" spans="1:14" x14ac:dyDescent="0.3">
      <c r="A49">
        <v>48</v>
      </c>
      <c r="B49" s="1">
        <v>40546</v>
      </c>
      <c r="C49">
        <v>1</v>
      </c>
      <c r="D49">
        <v>0</v>
      </c>
      <c r="E49" t="b">
        <v>0</v>
      </c>
      <c r="F49">
        <v>1</v>
      </c>
      <c r="G49">
        <v>1</v>
      </c>
      <c r="H49">
        <v>0.22</v>
      </c>
      <c r="I49">
        <v>0.19700000000000001</v>
      </c>
      <c r="J49">
        <v>0.44</v>
      </c>
      <c r="K49">
        <v>0.35820000000000002</v>
      </c>
      <c r="L49">
        <v>0</v>
      </c>
      <c r="M49">
        <v>5</v>
      </c>
      <c r="N49">
        <v>5</v>
      </c>
    </row>
    <row r="50" spans="1:14" x14ac:dyDescent="0.3">
      <c r="A50">
        <v>49</v>
      </c>
      <c r="B50" s="1">
        <v>40546</v>
      </c>
      <c r="C50">
        <v>1</v>
      </c>
      <c r="D50">
        <v>1</v>
      </c>
      <c r="E50" t="b">
        <v>0</v>
      </c>
      <c r="F50">
        <v>1</v>
      </c>
      <c r="G50">
        <v>1</v>
      </c>
      <c r="H50">
        <v>0.2</v>
      </c>
      <c r="I50">
        <v>0.19700000000000001</v>
      </c>
      <c r="J50">
        <v>0.44</v>
      </c>
      <c r="K50">
        <v>0.41789999999999999</v>
      </c>
      <c r="L50">
        <v>0</v>
      </c>
      <c r="M50">
        <v>2</v>
      </c>
      <c r="N50">
        <v>2</v>
      </c>
    </row>
    <row r="51" spans="1:14" x14ac:dyDescent="0.3">
      <c r="A51">
        <v>50</v>
      </c>
      <c r="B51" s="1">
        <v>40546</v>
      </c>
      <c r="C51">
        <v>1</v>
      </c>
      <c r="D51">
        <v>4</v>
      </c>
      <c r="E51" t="b">
        <v>0</v>
      </c>
      <c r="F51">
        <v>1</v>
      </c>
      <c r="G51">
        <v>1</v>
      </c>
      <c r="H51">
        <v>0.16</v>
      </c>
      <c r="I51">
        <v>0.13639999999999999</v>
      </c>
      <c r="J51">
        <v>0.47</v>
      </c>
      <c r="K51">
        <v>0.3881</v>
      </c>
      <c r="L51">
        <v>0</v>
      </c>
      <c r="M51">
        <v>1</v>
      </c>
      <c r="N51">
        <v>1</v>
      </c>
    </row>
    <row r="52" spans="1:14" x14ac:dyDescent="0.3">
      <c r="A52">
        <v>51</v>
      </c>
      <c r="B52" s="1">
        <v>40546</v>
      </c>
      <c r="C52">
        <v>1</v>
      </c>
      <c r="D52">
        <v>5</v>
      </c>
      <c r="E52" t="b">
        <v>0</v>
      </c>
      <c r="F52">
        <v>1</v>
      </c>
      <c r="G52">
        <v>1</v>
      </c>
      <c r="H52">
        <v>0.16</v>
      </c>
      <c r="I52">
        <v>0.13639999999999999</v>
      </c>
      <c r="J52">
        <v>0.47</v>
      </c>
      <c r="K52">
        <v>0.28360000000000002</v>
      </c>
      <c r="L52">
        <v>0</v>
      </c>
      <c r="M52">
        <v>3</v>
      </c>
      <c r="N52">
        <v>3</v>
      </c>
    </row>
    <row r="53" spans="1:14" x14ac:dyDescent="0.3">
      <c r="A53">
        <v>52</v>
      </c>
      <c r="B53" s="1">
        <v>40546</v>
      </c>
      <c r="C53">
        <v>1</v>
      </c>
      <c r="D53">
        <v>6</v>
      </c>
      <c r="E53" t="b">
        <v>0</v>
      </c>
      <c r="F53">
        <v>1</v>
      </c>
      <c r="G53">
        <v>1</v>
      </c>
      <c r="H53">
        <v>0.14000000000000001</v>
      </c>
      <c r="I53">
        <v>0.1061</v>
      </c>
      <c r="J53">
        <v>0.5</v>
      </c>
      <c r="K53">
        <v>0.3881</v>
      </c>
      <c r="L53">
        <v>0</v>
      </c>
      <c r="M53">
        <v>30</v>
      </c>
      <c r="N53">
        <v>30</v>
      </c>
    </row>
    <row r="54" spans="1:14" x14ac:dyDescent="0.3">
      <c r="A54">
        <v>53</v>
      </c>
      <c r="B54" s="1">
        <v>40546</v>
      </c>
      <c r="C54">
        <v>1</v>
      </c>
      <c r="D54">
        <v>7</v>
      </c>
      <c r="E54" t="b">
        <v>0</v>
      </c>
      <c r="F54">
        <v>1</v>
      </c>
      <c r="G54">
        <v>1</v>
      </c>
      <c r="H54">
        <v>0.14000000000000001</v>
      </c>
      <c r="I54">
        <v>0.13639999999999999</v>
      </c>
      <c r="J54">
        <v>0.5</v>
      </c>
      <c r="K54">
        <v>0.19400000000000001</v>
      </c>
      <c r="L54">
        <v>1</v>
      </c>
      <c r="M54">
        <v>63</v>
      </c>
      <c r="N54">
        <v>64</v>
      </c>
    </row>
    <row r="55" spans="1:14" x14ac:dyDescent="0.3">
      <c r="A55">
        <v>54</v>
      </c>
      <c r="B55" s="1">
        <v>40546</v>
      </c>
      <c r="C55">
        <v>1</v>
      </c>
      <c r="D55">
        <v>8</v>
      </c>
      <c r="E55" t="b">
        <v>0</v>
      </c>
      <c r="F55">
        <v>1</v>
      </c>
      <c r="G55">
        <v>1</v>
      </c>
      <c r="H55">
        <v>0.14000000000000001</v>
      </c>
      <c r="I55">
        <v>0.1212</v>
      </c>
      <c r="J55">
        <v>0.5</v>
      </c>
      <c r="K55">
        <v>0.28360000000000002</v>
      </c>
      <c r="L55">
        <v>1</v>
      </c>
      <c r="M55">
        <v>153</v>
      </c>
      <c r="N55">
        <v>154</v>
      </c>
    </row>
    <row r="56" spans="1:14" x14ac:dyDescent="0.3">
      <c r="A56">
        <v>55</v>
      </c>
      <c r="B56" s="1">
        <v>40546</v>
      </c>
      <c r="C56">
        <v>1</v>
      </c>
      <c r="D56">
        <v>9</v>
      </c>
      <c r="E56" t="b">
        <v>0</v>
      </c>
      <c r="F56">
        <v>1</v>
      </c>
      <c r="G56">
        <v>1</v>
      </c>
      <c r="H56">
        <v>0.16</v>
      </c>
      <c r="I56">
        <v>0.13639999999999999</v>
      </c>
      <c r="J56">
        <v>0.43</v>
      </c>
      <c r="K56">
        <v>0.3881</v>
      </c>
      <c r="L56">
        <v>7</v>
      </c>
      <c r="M56">
        <v>81</v>
      </c>
      <c r="N56">
        <v>88</v>
      </c>
    </row>
    <row r="57" spans="1:14" x14ac:dyDescent="0.3">
      <c r="A57">
        <v>56</v>
      </c>
      <c r="B57" s="1">
        <v>40546</v>
      </c>
      <c r="C57">
        <v>1</v>
      </c>
      <c r="D57">
        <v>10</v>
      </c>
      <c r="E57" t="b">
        <v>0</v>
      </c>
      <c r="F57">
        <v>1</v>
      </c>
      <c r="G57">
        <v>1</v>
      </c>
      <c r="H57">
        <v>0.18</v>
      </c>
      <c r="I57">
        <v>0.16669999999999999</v>
      </c>
      <c r="J57">
        <v>0.43</v>
      </c>
      <c r="K57">
        <v>0.25369999999999998</v>
      </c>
      <c r="L57">
        <v>11</v>
      </c>
      <c r="M57">
        <v>33</v>
      </c>
      <c r="N57">
        <v>44</v>
      </c>
    </row>
    <row r="58" spans="1:14" x14ac:dyDescent="0.3">
      <c r="A58">
        <v>57</v>
      </c>
      <c r="B58" s="1">
        <v>40546</v>
      </c>
      <c r="C58">
        <v>1</v>
      </c>
      <c r="D58">
        <v>11</v>
      </c>
      <c r="E58" t="b">
        <v>0</v>
      </c>
      <c r="F58">
        <v>1</v>
      </c>
      <c r="G58">
        <v>1</v>
      </c>
      <c r="H58">
        <v>0.2</v>
      </c>
      <c r="I58">
        <v>0.18179999999999999</v>
      </c>
      <c r="J58">
        <v>0.4</v>
      </c>
      <c r="K58">
        <v>0.32840000000000003</v>
      </c>
      <c r="L58">
        <v>10</v>
      </c>
      <c r="M58">
        <v>41</v>
      </c>
      <c r="N58">
        <v>51</v>
      </c>
    </row>
    <row r="59" spans="1:14" x14ac:dyDescent="0.3">
      <c r="A59">
        <v>58</v>
      </c>
      <c r="B59" s="1">
        <v>40546</v>
      </c>
      <c r="C59">
        <v>1</v>
      </c>
      <c r="D59">
        <v>12</v>
      </c>
      <c r="E59" t="b">
        <v>0</v>
      </c>
      <c r="F59">
        <v>1</v>
      </c>
      <c r="G59">
        <v>1</v>
      </c>
      <c r="H59">
        <v>0.22</v>
      </c>
      <c r="I59">
        <v>0.21210000000000001</v>
      </c>
      <c r="J59">
        <v>0.35</v>
      </c>
      <c r="K59">
        <v>0.29849999999999999</v>
      </c>
      <c r="L59">
        <v>13</v>
      </c>
      <c r="M59">
        <v>48</v>
      </c>
      <c r="N59">
        <v>61</v>
      </c>
    </row>
    <row r="60" spans="1:14" x14ac:dyDescent="0.3">
      <c r="A60">
        <v>59</v>
      </c>
      <c r="B60" s="1">
        <v>40546</v>
      </c>
      <c r="C60">
        <v>1</v>
      </c>
      <c r="D60">
        <v>13</v>
      </c>
      <c r="E60" t="b">
        <v>0</v>
      </c>
      <c r="F60">
        <v>1</v>
      </c>
      <c r="G60">
        <v>1</v>
      </c>
      <c r="H60">
        <v>0.24</v>
      </c>
      <c r="I60">
        <v>0.21210000000000001</v>
      </c>
      <c r="J60">
        <v>0.35</v>
      </c>
      <c r="K60">
        <v>0.28360000000000002</v>
      </c>
      <c r="L60">
        <v>8</v>
      </c>
      <c r="M60">
        <v>53</v>
      </c>
      <c r="N60">
        <v>61</v>
      </c>
    </row>
    <row r="61" spans="1:14" x14ac:dyDescent="0.3">
      <c r="A61">
        <v>60</v>
      </c>
      <c r="B61" s="1">
        <v>40546</v>
      </c>
      <c r="C61">
        <v>1</v>
      </c>
      <c r="D61">
        <v>14</v>
      </c>
      <c r="E61" t="b">
        <v>0</v>
      </c>
      <c r="F61">
        <v>1</v>
      </c>
      <c r="G61">
        <v>1</v>
      </c>
      <c r="H61">
        <v>0.26</v>
      </c>
      <c r="I61">
        <v>0.2424</v>
      </c>
      <c r="J61">
        <v>0.3</v>
      </c>
      <c r="K61">
        <v>0.28360000000000002</v>
      </c>
      <c r="L61">
        <v>11</v>
      </c>
      <c r="M61">
        <v>66</v>
      </c>
      <c r="N61">
        <v>77</v>
      </c>
    </row>
    <row r="62" spans="1:14" x14ac:dyDescent="0.3">
      <c r="A62">
        <v>61</v>
      </c>
      <c r="B62" s="1">
        <v>40546</v>
      </c>
      <c r="C62">
        <v>1</v>
      </c>
      <c r="D62">
        <v>15</v>
      </c>
      <c r="E62" t="b">
        <v>0</v>
      </c>
      <c r="F62">
        <v>1</v>
      </c>
      <c r="G62">
        <v>1</v>
      </c>
      <c r="H62">
        <v>0.26</v>
      </c>
      <c r="I62">
        <v>0.2424</v>
      </c>
      <c r="J62">
        <v>0.3</v>
      </c>
      <c r="K62">
        <v>0.25369999999999998</v>
      </c>
      <c r="L62">
        <v>14</v>
      </c>
      <c r="M62">
        <v>58</v>
      </c>
      <c r="N62">
        <v>72</v>
      </c>
    </row>
    <row r="63" spans="1:14" x14ac:dyDescent="0.3">
      <c r="A63">
        <v>62</v>
      </c>
      <c r="B63" s="1">
        <v>40546</v>
      </c>
      <c r="C63">
        <v>1</v>
      </c>
      <c r="D63">
        <v>16</v>
      </c>
      <c r="E63" t="b">
        <v>0</v>
      </c>
      <c r="F63">
        <v>1</v>
      </c>
      <c r="G63">
        <v>1</v>
      </c>
      <c r="H63">
        <v>0.26</v>
      </c>
      <c r="I63">
        <v>0.2424</v>
      </c>
      <c r="J63">
        <v>0.3</v>
      </c>
      <c r="K63">
        <v>0.25369999999999998</v>
      </c>
      <c r="L63">
        <v>9</v>
      </c>
      <c r="M63">
        <v>67</v>
      </c>
      <c r="N63">
        <v>76</v>
      </c>
    </row>
    <row r="64" spans="1:14" x14ac:dyDescent="0.3">
      <c r="A64">
        <v>63</v>
      </c>
      <c r="B64" s="1">
        <v>40546</v>
      </c>
      <c r="C64">
        <v>1</v>
      </c>
      <c r="D64">
        <v>17</v>
      </c>
      <c r="E64" t="b">
        <v>0</v>
      </c>
      <c r="F64">
        <v>1</v>
      </c>
      <c r="G64">
        <v>1</v>
      </c>
      <c r="H64">
        <v>0.24</v>
      </c>
      <c r="I64">
        <v>0.2273</v>
      </c>
      <c r="J64">
        <v>0.3</v>
      </c>
      <c r="K64">
        <v>0.22389999999999999</v>
      </c>
      <c r="L64">
        <v>11</v>
      </c>
      <c r="M64">
        <v>146</v>
      </c>
      <c r="N64">
        <v>157</v>
      </c>
    </row>
    <row r="65" spans="1:14" x14ac:dyDescent="0.3">
      <c r="A65">
        <v>64</v>
      </c>
      <c r="B65" s="1">
        <v>40546</v>
      </c>
      <c r="C65">
        <v>1</v>
      </c>
      <c r="D65">
        <v>18</v>
      </c>
      <c r="E65" t="b">
        <v>0</v>
      </c>
      <c r="F65">
        <v>1</v>
      </c>
      <c r="G65">
        <v>1</v>
      </c>
      <c r="H65">
        <v>0.24</v>
      </c>
      <c r="I65">
        <v>0.2576</v>
      </c>
      <c r="J65">
        <v>0.32</v>
      </c>
      <c r="K65">
        <v>0.1045</v>
      </c>
      <c r="L65">
        <v>9</v>
      </c>
      <c r="M65">
        <v>148</v>
      </c>
      <c r="N65">
        <v>157</v>
      </c>
    </row>
    <row r="66" spans="1:14" x14ac:dyDescent="0.3">
      <c r="A66">
        <v>65</v>
      </c>
      <c r="B66" s="1">
        <v>40546</v>
      </c>
      <c r="C66">
        <v>1</v>
      </c>
      <c r="D66">
        <v>19</v>
      </c>
      <c r="E66" t="b">
        <v>0</v>
      </c>
      <c r="F66">
        <v>1</v>
      </c>
      <c r="G66">
        <v>1</v>
      </c>
      <c r="H66">
        <v>0.2</v>
      </c>
      <c r="I66">
        <v>0.2576</v>
      </c>
      <c r="J66">
        <v>0.47</v>
      </c>
      <c r="K66">
        <v>0</v>
      </c>
      <c r="L66">
        <v>8</v>
      </c>
      <c r="M66">
        <v>102</v>
      </c>
      <c r="N66">
        <v>110</v>
      </c>
    </row>
    <row r="67" spans="1:14" x14ac:dyDescent="0.3">
      <c r="A67">
        <v>66</v>
      </c>
      <c r="B67" s="1">
        <v>40546</v>
      </c>
      <c r="C67">
        <v>1</v>
      </c>
      <c r="D67">
        <v>20</v>
      </c>
      <c r="E67" t="b">
        <v>0</v>
      </c>
      <c r="F67">
        <v>1</v>
      </c>
      <c r="G67">
        <v>1</v>
      </c>
      <c r="H67">
        <v>0.2</v>
      </c>
      <c r="I67">
        <v>0.2576</v>
      </c>
      <c r="J67">
        <v>0.47</v>
      </c>
      <c r="K67">
        <v>0.1045</v>
      </c>
      <c r="L67">
        <v>3</v>
      </c>
      <c r="M67">
        <v>49</v>
      </c>
      <c r="N67">
        <v>52</v>
      </c>
    </row>
    <row r="68" spans="1:14" x14ac:dyDescent="0.3">
      <c r="A68">
        <v>67</v>
      </c>
      <c r="B68" s="1">
        <v>40546</v>
      </c>
      <c r="C68">
        <v>1</v>
      </c>
      <c r="D68">
        <v>21</v>
      </c>
      <c r="E68" t="b">
        <v>0</v>
      </c>
      <c r="F68">
        <v>1</v>
      </c>
      <c r="G68">
        <v>1</v>
      </c>
      <c r="H68">
        <v>0.18</v>
      </c>
      <c r="I68">
        <v>0.19700000000000001</v>
      </c>
      <c r="J68">
        <v>0.64</v>
      </c>
      <c r="K68">
        <v>0.1343</v>
      </c>
      <c r="L68">
        <v>3</v>
      </c>
      <c r="M68">
        <v>49</v>
      </c>
      <c r="N68">
        <v>52</v>
      </c>
    </row>
    <row r="69" spans="1:14" x14ac:dyDescent="0.3">
      <c r="A69">
        <v>68</v>
      </c>
      <c r="B69" s="1">
        <v>40546</v>
      </c>
      <c r="C69">
        <v>1</v>
      </c>
      <c r="D69">
        <v>22</v>
      </c>
      <c r="E69" t="b">
        <v>0</v>
      </c>
      <c r="F69">
        <v>1</v>
      </c>
      <c r="G69">
        <v>1</v>
      </c>
      <c r="H69">
        <v>0.14000000000000001</v>
      </c>
      <c r="I69">
        <v>0.1515</v>
      </c>
      <c r="J69">
        <v>0.69</v>
      </c>
      <c r="K69">
        <v>0.1343</v>
      </c>
      <c r="L69">
        <v>0</v>
      </c>
      <c r="M69">
        <v>20</v>
      </c>
      <c r="N69">
        <v>20</v>
      </c>
    </row>
    <row r="70" spans="1:14" x14ac:dyDescent="0.3">
      <c r="A70">
        <v>69</v>
      </c>
      <c r="B70" s="1">
        <v>40546</v>
      </c>
      <c r="C70">
        <v>1</v>
      </c>
      <c r="D70">
        <v>23</v>
      </c>
      <c r="E70" t="b">
        <v>0</v>
      </c>
      <c r="F70">
        <v>1</v>
      </c>
      <c r="G70">
        <v>1</v>
      </c>
      <c r="H70">
        <v>0.18</v>
      </c>
      <c r="I70">
        <v>0.21210000000000001</v>
      </c>
      <c r="J70">
        <v>0.55000000000000004</v>
      </c>
      <c r="K70">
        <v>0.1045</v>
      </c>
      <c r="L70">
        <v>1</v>
      </c>
      <c r="M70">
        <v>11</v>
      </c>
      <c r="N70">
        <v>12</v>
      </c>
    </row>
    <row r="71" spans="1:14" x14ac:dyDescent="0.3">
      <c r="A71">
        <v>70</v>
      </c>
      <c r="B71" s="1">
        <v>40547</v>
      </c>
      <c r="C71">
        <v>1</v>
      </c>
      <c r="D71">
        <v>0</v>
      </c>
      <c r="E71" t="b">
        <v>0</v>
      </c>
      <c r="F71">
        <v>2</v>
      </c>
      <c r="G71">
        <v>1</v>
      </c>
      <c r="H71">
        <v>0.16</v>
      </c>
      <c r="I71">
        <v>0.21210000000000001</v>
      </c>
      <c r="J71">
        <v>0.55000000000000004</v>
      </c>
      <c r="K71">
        <v>0.1045</v>
      </c>
      <c r="L71">
        <v>0</v>
      </c>
      <c r="M71">
        <v>5</v>
      </c>
      <c r="N71">
        <v>5</v>
      </c>
    </row>
    <row r="72" spans="1:14" x14ac:dyDescent="0.3">
      <c r="A72">
        <v>71</v>
      </c>
      <c r="B72" s="1">
        <v>40547</v>
      </c>
      <c r="C72">
        <v>1</v>
      </c>
      <c r="D72">
        <v>1</v>
      </c>
      <c r="E72" t="b">
        <v>0</v>
      </c>
      <c r="F72">
        <v>2</v>
      </c>
      <c r="G72">
        <v>1</v>
      </c>
      <c r="H72">
        <v>0.16</v>
      </c>
      <c r="I72">
        <v>0.18179999999999999</v>
      </c>
      <c r="J72">
        <v>0.59</v>
      </c>
      <c r="K72">
        <v>0.1045</v>
      </c>
      <c r="L72">
        <v>0</v>
      </c>
      <c r="M72">
        <v>2</v>
      </c>
      <c r="N72">
        <v>2</v>
      </c>
    </row>
    <row r="73" spans="1:14" x14ac:dyDescent="0.3">
      <c r="A73">
        <v>72</v>
      </c>
      <c r="B73" s="1">
        <v>40547</v>
      </c>
      <c r="C73">
        <v>1</v>
      </c>
      <c r="D73">
        <v>2</v>
      </c>
      <c r="E73" t="b">
        <v>0</v>
      </c>
      <c r="F73">
        <v>2</v>
      </c>
      <c r="G73">
        <v>1</v>
      </c>
      <c r="H73">
        <v>0.14000000000000001</v>
      </c>
      <c r="I73">
        <v>0.1515</v>
      </c>
      <c r="J73">
        <v>0.63</v>
      </c>
      <c r="K73">
        <v>0.1343</v>
      </c>
      <c r="L73">
        <v>0</v>
      </c>
      <c r="M73">
        <v>1</v>
      </c>
      <c r="N73">
        <v>1</v>
      </c>
    </row>
    <row r="74" spans="1:14" x14ac:dyDescent="0.3">
      <c r="A74">
        <v>73</v>
      </c>
      <c r="B74" s="1">
        <v>40547</v>
      </c>
      <c r="C74">
        <v>1</v>
      </c>
      <c r="D74">
        <v>4</v>
      </c>
      <c r="E74" t="b">
        <v>0</v>
      </c>
      <c r="F74">
        <v>2</v>
      </c>
      <c r="G74">
        <v>1</v>
      </c>
      <c r="H74">
        <v>0.14000000000000001</v>
      </c>
      <c r="I74">
        <v>0.18179999999999999</v>
      </c>
      <c r="J74">
        <v>0.63</v>
      </c>
      <c r="K74">
        <v>8.9599999999999999E-2</v>
      </c>
      <c r="L74">
        <v>0</v>
      </c>
      <c r="M74">
        <v>2</v>
      </c>
      <c r="N74">
        <v>2</v>
      </c>
    </row>
    <row r="75" spans="1:14" x14ac:dyDescent="0.3">
      <c r="A75">
        <v>74</v>
      </c>
      <c r="B75" s="1">
        <v>40547</v>
      </c>
      <c r="C75">
        <v>1</v>
      </c>
      <c r="D75">
        <v>5</v>
      </c>
      <c r="E75" t="b">
        <v>0</v>
      </c>
      <c r="F75">
        <v>2</v>
      </c>
      <c r="G75">
        <v>1</v>
      </c>
      <c r="H75">
        <v>0.12</v>
      </c>
      <c r="I75">
        <v>0.1515</v>
      </c>
      <c r="J75">
        <v>0.68</v>
      </c>
      <c r="K75">
        <v>0.1045</v>
      </c>
      <c r="L75">
        <v>0</v>
      </c>
      <c r="M75">
        <v>4</v>
      </c>
      <c r="N75">
        <v>4</v>
      </c>
    </row>
    <row r="76" spans="1:14" x14ac:dyDescent="0.3">
      <c r="A76">
        <v>75</v>
      </c>
      <c r="B76" s="1">
        <v>40547</v>
      </c>
      <c r="C76">
        <v>1</v>
      </c>
      <c r="D76">
        <v>6</v>
      </c>
      <c r="E76" t="b">
        <v>0</v>
      </c>
      <c r="F76">
        <v>2</v>
      </c>
      <c r="G76">
        <v>1</v>
      </c>
      <c r="H76">
        <v>0.12</v>
      </c>
      <c r="I76">
        <v>0.1515</v>
      </c>
      <c r="J76">
        <v>0.74</v>
      </c>
      <c r="K76">
        <v>0.1045</v>
      </c>
      <c r="L76">
        <v>0</v>
      </c>
      <c r="M76">
        <v>36</v>
      </c>
      <c r="N76">
        <v>36</v>
      </c>
    </row>
    <row r="77" spans="1:14" x14ac:dyDescent="0.3">
      <c r="A77">
        <v>76</v>
      </c>
      <c r="B77" s="1">
        <v>40547</v>
      </c>
      <c r="C77">
        <v>1</v>
      </c>
      <c r="D77">
        <v>7</v>
      </c>
      <c r="E77" t="b">
        <v>0</v>
      </c>
      <c r="F77">
        <v>2</v>
      </c>
      <c r="G77">
        <v>1</v>
      </c>
      <c r="H77">
        <v>0.12</v>
      </c>
      <c r="I77">
        <v>0.1515</v>
      </c>
      <c r="J77">
        <v>0.74</v>
      </c>
      <c r="K77">
        <v>0.1343</v>
      </c>
      <c r="L77">
        <v>2</v>
      </c>
      <c r="M77">
        <v>92</v>
      </c>
      <c r="N77">
        <v>94</v>
      </c>
    </row>
    <row r="78" spans="1:14" x14ac:dyDescent="0.3">
      <c r="A78">
        <v>77</v>
      </c>
      <c r="B78" s="1">
        <v>40547</v>
      </c>
      <c r="C78">
        <v>1</v>
      </c>
      <c r="D78">
        <v>8</v>
      </c>
      <c r="E78" t="b">
        <v>0</v>
      </c>
      <c r="F78">
        <v>2</v>
      </c>
      <c r="G78">
        <v>1</v>
      </c>
      <c r="H78">
        <v>0.14000000000000001</v>
      </c>
      <c r="I78">
        <v>0.1515</v>
      </c>
      <c r="J78">
        <v>0.69</v>
      </c>
      <c r="K78">
        <v>0.16420000000000001</v>
      </c>
      <c r="L78">
        <v>2</v>
      </c>
      <c r="M78">
        <v>177</v>
      </c>
      <c r="N78">
        <v>179</v>
      </c>
    </row>
    <row r="79" spans="1:14" x14ac:dyDescent="0.3">
      <c r="A79">
        <v>78</v>
      </c>
      <c r="B79" s="1">
        <v>40547</v>
      </c>
      <c r="C79">
        <v>1</v>
      </c>
      <c r="D79">
        <v>9</v>
      </c>
      <c r="E79" t="b">
        <v>0</v>
      </c>
      <c r="F79">
        <v>2</v>
      </c>
      <c r="G79">
        <v>1</v>
      </c>
      <c r="H79">
        <v>0.16</v>
      </c>
      <c r="I79">
        <v>0.1515</v>
      </c>
      <c r="J79">
        <v>0.64</v>
      </c>
      <c r="K79">
        <v>0.22389999999999999</v>
      </c>
      <c r="L79">
        <v>2</v>
      </c>
      <c r="M79">
        <v>98</v>
      </c>
      <c r="N79">
        <v>100</v>
      </c>
    </row>
    <row r="80" spans="1:14" x14ac:dyDescent="0.3">
      <c r="A80">
        <v>79</v>
      </c>
      <c r="B80" s="1">
        <v>40547</v>
      </c>
      <c r="C80">
        <v>1</v>
      </c>
      <c r="D80">
        <v>10</v>
      </c>
      <c r="E80" t="b">
        <v>0</v>
      </c>
      <c r="F80">
        <v>2</v>
      </c>
      <c r="G80">
        <v>2</v>
      </c>
      <c r="H80">
        <v>0.16</v>
      </c>
      <c r="I80">
        <v>0.13639999999999999</v>
      </c>
      <c r="J80">
        <v>0.69</v>
      </c>
      <c r="K80">
        <v>0.32840000000000003</v>
      </c>
      <c r="L80">
        <v>5</v>
      </c>
      <c r="M80">
        <v>37</v>
      </c>
      <c r="N80">
        <v>42</v>
      </c>
    </row>
    <row r="81" spans="1:14" x14ac:dyDescent="0.3">
      <c r="A81">
        <v>80</v>
      </c>
      <c r="B81" s="1">
        <v>40547</v>
      </c>
      <c r="C81">
        <v>1</v>
      </c>
      <c r="D81">
        <v>11</v>
      </c>
      <c r="E81" t="b">
        <v>0</v>
      </c>
      <c r="F81">
        <v>2</v>
      </c>
      <c r="G81">
        <v>1</v>
      </c>
      <c r="H81">
        <v>0.22</v>
      </c>
      <c r="I81">
        <v>0.21210000000000001</v>
      </c>
      <c r="J81">
        <v>0.51</v>
      </c>
      <c r="K81">
        <v>0.29849999999999999</v>
      </c>
      <c r="L81">
        <v>7</v>
      </c>
      <c r="M81">
        <v>50</v>
      </c>
      <c r="N81">
        <v>57</v>
      </c>
    </row>
    <row r="82" spans="1:14" x14ac:dyDescent="0.3">
      <c r="A82">
        <v>81</v>
      </c>
      <c r="B82" s="1">
        <v>40547</v>
      </c>
      <c r="C82">
        <v>1</v>
      </c>
      <c r="D82">
        <v>12</v>
      </c>
      <c r="E82" t="b">
        <v>0</v>
      </c>
      <c r="F82">
        <v>2</v>
      </c>
      <c r="G82">
        <v>1</v>
      </c>
      <c r="H82">
        <v>0.22</v>
      </c>
      <c r="I82">
        <v>0.2273</v>
      </c>
      <c r="J82">
        <v>0.51</v>
      </c>
      <c r="K82">
        <v>0.16420000000000001</v>
      </c>
      <c r="L82">
        <v>12</v>
      </c>
      <c r="M82">
        <v>66</v>
      </c>
      <c r="N82">
        <v>78</v>
      </c>
    </row>
    <row r="83" spans="1:14" x14ac:dyDescent="0.3">
      <c r="A83">
        <v>82</v>
      </c>
      <c r="B83" s="1">
        <v>40547</v>
      </c>
      <c r="C83">
        <v>1</v>
      </c>
      <c r="D83">
        <v>13</v>
      </c>
      <c r="E83" t="b">
        <v>0</v>
      </c>
      <c r="F83">
        <v>2</v>
      </c>
      <c r="G83">
        <v>1</v>
      </c>
      <c r="H83">
        <v>0.24</v>
      </c>
      <c r="I83">
        <v>0.2273</v>
      </c>
      <c r="J83">
        <v>0.56000000000000005</v>
      </c>
      <c r="K83">
        <v>0.19400000000000001</v>
      </c>
      <c r="L83">
        <v>18</v>
      </c>
      <c r="M83">
        <v>79</v>
      </c>
      <c r="N83">
        <v>97</v>
      </c>
    </row>
    <row r="84" spans="1:14" x14ac:dyDescent="0.3">
      <c r="A84">
        <v>83</v>
      </c>
      <c r="B84" s="1">
        <v>40547</v>
      </c>
      <c r="C84">
        <v>1</v>
      </c>
      <c r="D84">
        <v>14</v>
      </c>
      <c r="E84" t="b">
        <v>0</v>
      </c>
      <c r="F84">
        <v>2</v>
      </c>
      <c r="G84">
        <v>1</v>
      </c>
      <c r="H84">
        <v>0.26</v>
      </c>
      <c r="I84">
        <v>0.2576</v>
      </c>
      <c r="J84">
        <v>0.52</v>
      </c>
      <c r="K84">
        <v>0.22389999999999999</v>
      </c>
      <c r="L84">
        <v>9</v>
      </c>
      <c r="M84">
        <v>54</v>
      </c>
      <c r="N84">
        <v>63</v>
      </c>
    </row>
    <row r="85" spans="1:14" x14ac:dyDescent="0.3">
      <c r="A85">
        <v>84</v>
      </c>
      <c r="B85" s="1">
        <v>40547</v>
      </c>
      <c r="C85">
        <v>1</v>
      </c>
      <c r="D85">
        <v>15</v>
      </c>
      <c r="E85" t="b">
        <v>0</v>
      </c>
      <c r="F85">
        <v>2</v>
      </c>
      <c r="G85">
        <v>1</v>
      </c>
      <c r="H85">
        <v>0.28000000000000003</v>
      </c>
      <c r="I85">
        <v>0.2727</v>
      </c>
      <c r="J85">
        <v>0.52</v>
      </c>
      <c r="K85">
        <v>0.25369999999999998</v>
      </c>
      <c r="L85">
        <v>17</v>
      </c>
      <c r="M85">
        <v>48</v>
      </c>
      <c r="N85">
        <v>65</v>
      </c>
    </row>
    <row r="86" spans="1:14" x14ac:dyDescent="0.3">
      <c r="A86">
        <v>85</v>
      </c>
      <c r="B86" s="1">
        <v>40547</v>
      </c>
      <c r="C86">
        <v>1</v>
      </c>
      <c r="D86">
        <v>16</v>
      </c>
      <c r="E86" t="b">
        <v>0</v>
      </c>
      <c r="F86">
        <v>2</v>
      </c>
      <c r="G86">
        <v>1</v>
      </c>
      <c r="H86">
        <v>0.3</v>
      </c>
      <c r="I86">
        <v>0.28789999999999999</v>
      </c>
      <c r="J86">
        <v>0.49</v>
      </c>
      <c r="K86">
        <v>0.25369999999999998</v>
      </c>
      <c r="L86">
        <v>15</v>
      </c>
      <c r="M86">
        <v>68</v>
      </c>
      <c r="N86">
        <v>83</v>
      </c>
    </row>
    <row r="87" spans="1:14" x14ac:dyDescent="0.3">
      <c r="A87">
        <v>86</v>
      </c>
      <c r="B87" s="1">
        <v>40547</v>
      </c>
      <c r="C87">
        <v>1</v>
      </c>
      <c r="D87">
        <v>17</v>
      </c>
      <c r="E87" t="b">
        <v>0</v>
      </c>
      <c r="F87">
        <v>2</v>
      </c>
      <c r="G87">
        <v>1</v>
      </c>
      <c r="H87">
        <v>0.28000000000000003</v>
      </c>
      <c r="I87">
        <v>0.2727</v>
      </c>
      <c r="J87">
        <v>0.48</v>
      </c>
      <c r="K87">
        <v>0.22389999999999999</v>
      </c>
      <c r="L87">
        <v>10</v>
      </c>
      <c r="M87">
        <v>202</v>
      </c>
      <c r="N87">
        <v>212</v>
      </c>
    </row>
    <row r="88" spans="1:14" x14ac:dyDescent="0.3">
      <c r="A88">
        <v>87</v>
      </c>
      <c r="B88" s="1">
        <v>40547</v>
      </c>
      <c r="C88">
        <v>1</v>
      </c>
      <c r="D88">
        <v>18</v>
      </c>
      <c r="E88" t="b">
        <v>0</v>
      </c>
      <c r="F88">
        <v>2</v>
      </c>
      <c r="G88">
        <v>1</v>
      </c>
      <c r="H88">
        <v>0.26</v>
      </c>
      <c r="I88">
        <v>0.2576</v>
      </c>
      <c r="J88">
        <v>0.48</v>
      </c>
      <c r="K88">
        <v>0.19400000000000001</v>
      </c>
      <c r="L88">
        <v>3</v>
      </c>
      <c r="M88">
        <v>179</v>
      </c>
      <c r="N88">
        <v>182</v>
      </c>
    </row>
    <row r="89" spans="1:14" x14ac:dyDescent="0.3">
      <c r="A89">
        <v>88</v>
      </c>
      <c r="B89" s="1">
        <v>40547</v>
      </c>
      <c r="C89">
        <v>1</v>
      </c>
      <c r="D89">
        <v>19</v>
      </c>
      <c r="E89" t="b">
        <v>0</v>
      </c>
      <c r="F89">
        <v>2</v>
      </c>
      <c r="G89">
        <v>1</v>
      </c>
      <c r="H89">
        <v>0.24</v>
      </c>
      <c r="I89">
        <v>0.2576</v>
      </c>
      <c r="J89">
        <v>0.48</v>
      </c>
      <c r="K89">
        <v>0.1045</v>
      </c>
      <c r="L89">
        <v>2</v>
      </c>
      <c r="M89">
        <v>110</v>
      </c>
      <c r="N89">
        <v>112</v>
      </c>
    </row>
    <row r="90" spans="1:14" x14ac:dyDescent="0.3">
      <c r="A90">
        <v>89</v>
      </c>
      <c r="B90" s="1">
        <v>40547</v>
      </c>
      <c r="C90">
        <v>1</v>
      </c>
      <c r="D90">
        <v>20</v>
      </c>
      <c r="E90" t="b">
        <v>0</v>
      </c>
      <c r="F90">
        <v>2</v>
      </c>
      <c r="G90">
        <v>1</v>
      </c>
      <c r="H90">
        <v>0.24</v>
      </c>
      <c r="I90">
        <v>0.2576</v>
      </c>
      <c r="J90">
        <v>0.48</v>
      </c>
      <c r="K90">
        <v>0.1045</v>
      </c>
      <c r="L90">
        <v>1</v>
      </c>
      <c r="M90">
        <v>53</v>
      </c>
      <c r="N90">
        <v>54</v>
      </c>
    </row>
    <row r="91" spans="1:14" x14ac:dyDescent="0.3">
      <c r="A91">
        <v>90</v>
      </c>
      <c r="B91" s="1">
        <v>40547</v>
      </c>
      <c r="C91">
        <v>1</v>
      </c>
      <c r="D91">
        <v>21</v>
      </c>
      <c r="E91" t="b">
        <v>0</v>
      </c>
      <c r="F91">
        <v>2</v>
      </c>
      <c r="G91">
        <v>1</v>
      </c>
      <c r="H91">
        <v>0.22</v>
      </c>
      <c r="I91">
        <v>0.2727</v>
      </c>
      <c r="J91">
        <v>0.64</v>
      </c>
      <c r="K91">
        <v>0</v>
      </c>
      <c r="L91">
        <v>0</v>
      </c>
      <c r="M91">
        <v>48</v>
      </c>
      <c r="N91">
        <v>48</v>
      </c>
    </row>
    <row r="92" spans="1:14" x14ac:dyDescent="0.3">
      <c r="A92">
        <v>91</v>
      </c>
      <c r="B92" s="1">
        <v>40547</v>
      </c>
      <c r="C92">
        <v>1</v>
      </c>
      <c r="D92">
        <v>22</v>
      </c>
      <c r="E92" t="b">
        <v>0</v>
      </c>
      <c r="F92">
        <v>2</v>
      </c>
      <c r="G92">
        <v>1</v>
      </c>
      <c r="H92">
        <v>0.22</v>
      </c>
      <c r="I92">
        <v>0.2576</v>
      </c>
      <c r="J92">
        <v>0.64</v>
      </c>
      <c r="K92">
        <v>8.9599999999999999E-2</v>
      </c>
      <c r="L92">
        <v>1</v>
      </c>
      <c r="M92">
        <v>34</v>
      </c>
      <c r="N92">
        <v>35</v>
      </c>
    </row>
    <row r="93" spans="1:14" x14ac:dyDescent="0.3">
      <c r="A93">
        <v>92</v>
      </c>
      <c r="B93" s="1">
        <v>40547</v>
      </c>
      <c r="C93">
        <v>1</v>
      </c>
      <c r="D93">
        <v>23</v>
      </c>
      <c r="E93" t="b">
        <v>0</v>
      </c>
      <c r="F93">
        <v>2</v>
      </c>
      <c r="G93">
        <v>1</v>
      </c>
      <c r="H93">
        <v>0.2</v>
      </c>
      <c r="I93">
        <v>0.2273</v>
      </c>
      <c r="J93">
        <v>0.69</v>
      </c>
      <c r="K93">
        <v>8.9599999999999999E-2</v>
      </c>
      <c r="L93">
        <v>2</v>
      </c>
      <c r="M93">
        <v>9</v>
      </c>
      <c r="N93">
        <v>11</v>
      </c>
    </row>
    <row r="94" spans="1:14" x14ac:dyDescent="0.3">
      <c r="A94">
        <v>93</v>
      </c>
      <c r="B94" s="1">
        <v>40548</v>
      </c>
      <c r="C94">
        <v>1</v>
      </c>
      <c r="D94">
        <v>0</v>
      </c>
      <c r="E94" t="b">
        <v>0</v>
      </c>
      <c r="F94">
        <v>3</v>
      </c>
      <c r="G94">
        <v>1</v>
      </c>
      <c r="H94">
        <v>0.2</v>
      </c>
      <c r="I94">
        <v>0.2576</v>
      </c>
      <c r="J94">
        <v>0.64</v>
      </c>
      <c r="K94">
        <v>0</v>
      </c>
      <c r="L94">
        <v>0</v>
      </c>
      <c r="M94">
        <v>6</v>
      </c>
      <c r="N94">
        <v>6</v>
      </c>
    </row>
    <row r="95" spans="1:14" x14ac:dyDescent="0.3">
      <c r="A95">
        <v>94</v>
      </c>
      <c r="B95" s="1">
        <v>40548</v>
      </c>
      <c r="C95">
        <v>1</v>
      </c>
      <c r="D95">
        <v>1</v>
      </c>
      <c r="E95" t="b">
        <v>0</v>
      </c>
      <c r="F95">
        <v>3</v>
      </c>
      <c r="G95">
        <v>1</v>
      </c>
      <c r="H95">
        <v>0.16</v>
      </c>
      <c r="I95">
        <v>0.19700000000000001</v>
      </c>
      <c r="J95">
        <v>0.74</v>
      </c>
      <c r="K95">
        <v>8.9599999999999999E-2</v>
      </c>
      <c r="L95">
        <v>0</v>
      </c>
      <c r="M95">
        <v>6</v>
      </c>
      <c r="N95">
        <v>6</v>
      </c>
    </row>
    <row r="96" spans="1:14" x14ac:dyDescent="0.3">
      <c r="A96">
        <v>95</v>
      </c>
      <c r="B96" s="1">
        <v>40548</v>
      </c>
      <c r="C96">
        <v>1</v>
      </c>
      <c r="D96">
        <v>2</v>
      </c>
      <c r="E96" t="b">
        <v>0</v>
      </c>
      <c r="F96">
        <v>3</v>
      </c>
      <c r="G96">
        <v>1</v>
      </c>
      <c r="H96">
        <v>0.16</v>
      </c>
      <c r="I96">
        <v>0.19700000000000001</v>
      </c>
      <c r="J96">
        <v>0.74</v>
      </c>
      <c r="K96">
        <v>8.9599999999999999E-2</v>
      </c>
      <c r="L96">
        <v>0</v>
      </c>
      <c r="M96">
        <v>2</v>
      </c>
      <c r="N96">
        <v>2</v>
      </c>
    </row>
    <row r="97" spans="1:14" x14ac:dyDescent="0.3">
      <c r="A97">
        <v>96</v>
      </c>
      <c r="B97" s="1">
        <v>40548</v>
      </c>
      <c r="C97">
        <v>1</v>
      </c>
      <c r="D97">
        <v>4</v>
      </c>
      <c r="E97" t="b">
        <v>0</v>
      </c>
      <c r="F97">
        <v>3</v>
      </c>
      <c r="G97">
        <v>1</v>
      </c>
      <c r="H97">
        <v>0.24</v>
      </c>
      <c r="I97">
        <v>0.2273</v>
      </c>
      <c r="J97">
        <v>0.48</v>
      </c>
      <c r="K97">
        <v>0.22389999999999999</v>
      </c>
      <c r="L97">
        <v>0</v>
      </c>
      <c r="M97">
        <v>2</v>
      </c>
      <c r="N97">
        <v>2</v>
      </c>
    </row>
    <row r="98" spans="1:14" x14ac:dyDescent="0.3">
      <c r="A98">
        <v>97</v>
      </c>
      <c r="B98" s="1">
        <v>40548</v>
      </c>
      <c r="C98">
        <v>1</v>
      </c>
      <c r="D98">
        <v>5</v>
      </c>
      <c r="E98" t="b">
        <v>0</v>
      </c>
      <c r="F98">
        <v>3</v>
      </c>
      <c r="G98">
        <v>1</v>
      </c>
      <c r="H98">
        <v>0.22</v>
      </c>
      <c r="I98">
        <v>0.2273</v>
      </c>
      <c r="J98">
        <v>0.47</v>
      </c>
      <c r="K98">
        <v>0.16420000000000001</v>
      </c>
      <c r="L98">
        <v>0</v>
      </c>
      <c r="M98">
        <v>3</v>
      </c>
      <c r="N98">
        <v>3</v>
      </c>
    </row>
    <row r="99" spans="1:14" x14ac:dyDescent="0.3">
      <c r="A99">
        <v>98</v>
      </c>
      <c r="B99" s="1">
        <v>40548</v>
      </c>
      <c r="C99">
        <v>1</v>
      </c>
      <c r="D99">
        <v>6</v>
      </c>
      <c r="E99" t="b">
        <v>0</v>
      </c>
      <c r="F99">
        <v>3</v>
      </c>
      <c r="G99">
        <v>1</v>
      </c>
      <c r="H99">
        <v>0.2</v>
      </c>
      <c r="I99">
        <v>0.19700000000000001</v>
      </c>
      <c r="J99">
        <v>0.47</v>
      </c>
      <c r="K99">
        <v>0.22389999999999999</v>
      </c>
      <c r="L99">
        <v>0</v>
      </c>
      <c r="M99">
        <v>33</v>
      </c>
      <c r="N99">
        <v>33</v>
      </c>
    </row>
    <row r="100" spans="1:14" x14ac:dyDescent="0.3">
      <c r="A100">
        <v>99</v>
      </c>
      <c r="B100" s="1">
        <v>40548</v>
      </c>
      <c r="C100">
        <v>1</v>
      </c>
      <c r="D100">
        <v>7</v>
      </c>
      <c r="E100" t="b">
        <v>0</v>
      </c>
      <c r="F100">
        <v>3</v>
      </c>
      <c r="G100">
        <v>1</v>
      </c>
      <c r="H100">
        <v>0.18</v>
      </c>
      <c r="I100">
        <v>0.18179999999999999</v>
      </c>
      <c r="J100">
        <v>0.43</v>
      </c>
      <c r="K100">
        <v>0.19400000000000001</v>
      </c>
      <c r="L100">
        <v>1</v>
      </c>
      <c r="M100">
        <v>87</v>
      </c>
      <c r="N100">
        <v>88</v>
      </c>
    </row>
    <row r="101" spans="1:14" x14ac:dyDescent="0.3">
      <c r="A101">
        <v>100</v>
      </c>
      <c r="B101" s="1">
        <v>40548</v>
      </c>
      <c r="C101">
        <v>1</v>
      </c>
      <c r="D101">
        <v>8</v>
      </c>
      <c r="E101" t="b">
        <v>0</v>
      </c>
      <c r="F101">
        <v>3</v>
      </c>
      <c r="G101">
        <v>1</v>
      </c>
      <c r="H101">
        <v>0.2</v>
      </c>
      <c r="I101">
        <v>0.18179999999999999</v>
      </c>
      <c r="J101">
        <v>0.4</v>
      </c>
      <c r="K101">
        <v>0.29849999999999999</v>
      </c>
      <c r="L101">
        <v>3</v>
      </c>
      <c r="M101">
        <v>192</v>
      </c>
      <c r="N101">
        <v>195</v>
      </c>
    </row>
    <row r="102" spans="1:14" x14ac:dyDescent="0.3">
      <c r="A102">
        <v>101</v>
      </c>
      <c r="B102" s="1">
        <v>40548</v>
      </c>
      <c r="C102">
        <v>1</v>
      </c>
      <c r="D102">
        <v>9</v>
      </c>
      <c r="E102" t="b">
        <v>0</v>
      </c>
      <c r="F102">
        <v>3</v>
      </c>
      <c r="G102">
        <v>1</v>
      </c>
      <c r="H102">
        <v>0.22</v>
      </c>
      <c r="I102">
        <v>0.19700000000000001</v>
      </c>
      <c r="J102">
        <v>0.37</v>
      </c>
      <c r="K102">
        <v>0.32840000000000003</v>
      </c>
      <c r="L102">
        <v>6</v>
      </c>
      <c r="M102">
        <v>109</v>
      </c>
      <c r="N102">
        <v>115</v>
      </c>
    </row>
    <row r="103" spans="1:14" x14ac:dyDescent="0.3">
      <c r="A103">
        <v>102</v>
      </c>
      <c r="B103" s="1">
        <v>40548</v>
      </c>
      <c r="C103">
        <v>1</v>
      </c>
      <c r="D103">
        <v>10</v>
      </c>
      <c r="E103" t="b">
        <v>0</v>
      </c>
      <c r="F103">
        <v>3</v>
      </c>
      <c r="G103">
        <v>1</v>
      </c>
      <c r="H103">
        <v>0.22</v>
      </c>
      <c r="I103">
        <v>0.19700000000000001</v>
      </c>
      <c r="J103">
        <v>0.37</v>
      </c>
      <c r="K103">
        <v>0.32840000000000003</v>
      </c>
      <c r="L103">
        <v>4</v>
      </c>
      <c r="M103">
        <v>53</v>
      </c>
      <c r="N103">
        <v>57</v>
      </c>
    </row>
    <row r="104" spans="1:14" x14ac:dyDescent="0.3">
      <c r="A104">
        <v>103</v>
      </c>
      <c r="B104" s="1">
        <v>40548</v>
      </c>
      <c r="C104">
        <v>1</v>
      </c>
      <c r="D104">
        <v>11</v>
      </c>
      <c r="E104" t="b">
        <v>0</v>
      </c>
      <c r="F104">
        <v>3</v>
      </c>
      <c r="G104">
        <v>1</v>
      </c>
      <c r="H104">
        <v>0.26</v>
      </c>
      <c r="I104">
        <v>0.2273</v>
      </c>
      <c r="J104">
        <v>0.33</v>
      </c>
      <c r="K104">
        <v>0.32840000000000003</v>
      </c>
      <c r="L104">
        <v>12</v>
      </c>
      <c r="M104">
        <v>34</v>
      </c>
      <c r="N104">
        <v>46</v>
      </c>
    </row>
    <row r="105" spans="1:14" x14ac:dyDescent="0.3">
      <c r="A105">
        <v>104</v>
      </c>
      <c r="B105" s="1">
        <v>40548</v>
      </c>
      <c r="C105">
        <v>1</v>
      </c>
      <c r="D105">
        <v>12</v>
      </c>
      <c r="E105" t="b">
        <v>0</v>
      </c>
      <c r="F105">
        <v>3</v>
      </c>
      <c r="G105">
        <v>1</v>
      </c>
      <c r="H105">
        <v>0.26</v>
      </c>
      <c r="I105">
        <v>0.2273</v>
      </c>
      <c r="J105">
        <v>0.33</v>
      </c>
      <c r="K105">
        <v>0.32840000000000003</v>
      </c>
      <c r="L105">
        <v>5</v>
      </c>
      <c r="M105">
        <v>74</v>
      </c>
      <c r="N105">
        <v>79</v>
      </c>
    </row>
    <row r="106" spans="1:14" x14ac:dyDescent="0.3">
      <c r="A106">
        <v>105</v>
      </c>
      <c r="B106" s="1">
        <v>40548</v>
      </c>
      <c r="C106">
        <v>1</v>
      </c>
      <c r="D106">
        <v>13</v>
      </c>
      <c r="E106" t="b">
        <v>0</v>
      </c>
      <c r="F106">
        <v>3</v>
      </c>
      <c r="G106">
        <v>1</v>
      </c>
      <c r="H106">
        <v>0.28000000000000003</v>
      </c>
      <c r="I106">
        <v>0.2576</v>
      </c>
      <c r="J106">
        <v>0.3</v>
      </c>
      <c r="K106">
        <v>0.29849999999999999</v>
      </c>
      <c r="L106">
        <v>6</v>
      </c>
      <c r="M106">
        <v>65</v>
      </c>
      <c r="N106">
        <v>71</v>
      </c>
    </row>
    <row r="107" spans="1:14" x14ac:dyDescent="0.3">
      <c r="A107">
        <v>106</v>
      </c>
      <c r="B107" s="1">
        <v>40548</v>
      </c>
      <c r="C107">
        <v>1</v>
      </c>
      <c r="D107">
        <v>14</v>
      </c>
      <c r="E107" t="b">
        <v>0</v>
      </c>
      <c r="F107">
        <v>3</v>
      </c>
      <c r="G107">
        <v>1</v>
      </c>
      <c r="H107">
        <v>0.3</v>
      </c>
      <c r="I107">
        <v>0.28789999999999999</v>
      </c>
      <c r="J107">
        <v>0.28000000000000003</v>
      </c>
      <c r="K107">
        <v>0.19400000000000001</v>
      </c>
      <c r="L107">
        <v>10</v>
      </c>
      <c r="M107">
        <v>52</v>
      </c>
      <c r="N107">
        <v>62</v>
      </c>
    </row>
    <row r="108" spans="1:14" x14ac:dyDescent="0.3">
      <c r="A108">
        <v>107</v>
      </c>
      <c r="B108" s="1">
        <v>40548</v>
      </c>
      <c r="C108">
        <v>1</v>
      </c>
      <c r="D108">
        <v>15</v>
      </c>
      <c r="E108" t="b">
        <v>0</v>
      </c>
      <c r="F108">
        <v>3</v>
      </c>
      <c r="G108">
        <v>1</v>
      </c>
      <c r="H108">
        <v>0.3</v>
      </c>
      <c r="I108">
        <v>0.28789999999999999</v>
      </c>
      <c r="J108">
        <v>0.28000000000000003</v>
      </c>
      <c r="K108">
        <v>0.19400000000000001</v>
      </c>
      <c r="L108">
        <v>7</v>
      </c>
      <c r="M108">
        <v>55</v>
      </c>
      <c r="N108">
        <v>62</v>
      </c>
    </row>
    <row r="109" spans="1:14" x14ac:dyDescent="0.3">
      <c r="A109">
        <v>108</v>
      </c>
      <c r="B109" s="1">
        <v>40548</v>
      </c>
      <c r="C109">
        <v>1</v>
      </c>
      <c r="D109">
        <v>16</v>
      </c>
      <c r="E109" t="b">
        <v>0</v>
      </c>
      <c r="F109">
        <v>3</v>
      </c>
      <c r="G109">
        <v>1</v>
      </c>
      <c r="H109">
        <v>0.3</v>
      </c>
      <c r="I109">
        <v>0.31819999999999998</v>
      </c>
      <c r="J109">
        <v>0.28000000000000003</v>
      </c>
      <c r="K109">
        <v>8.9599999999999999E-2</v>
      </c>
      <c r="L109">
        <v>4</v>
      </c>
      <c r="M109">
        <v>85</v>
      </c>
      <c r="N109">
        <v>89</v>
      </c>
    </row>
    <row r="110" spans="1:14" x14ac:dyDescent="0.3">
      <c r="A110">
        <v>109</v>
      </c>
      <c r="B110" s="1">
        <v>40548</v>
      </c>
      <c r="C110">
        <v>1</v>
      </c>
      <c r="D110">
        <v>17</v>
      </c>
      <c r="E110" t="b">
        <v>0</v>
      </c>
      <c r="F110">
        <v>3</v>
      </c>
      <c r="G110">
        <v>1</v>
      </c>
      <c r="H110">
        <v>0.24</v>
      </c>
      <c r="I110">
        <v>0.2273</v>
      </c>
      <c r="J110">
        <v>0.38</v>
      </c>
      <c r="K110">
        <v>0.19400000000000001</v>
      </c>
      <c r="L110">
        <v>4</v>
      </c>
      <c r="M110">
        <v>186</v>
      </c>
      <c r="N110">
        <v>190</v>
      </c>
    </row>
    <row r="111" spans="1:14" x14ac:dyDescent="0.3">
      <c r="A111">
        <v>110</v>
      </c>
      <c r="B111" s="1">
        <v>40548</v>
      </c>
      <c r="C111">
        <v>1</v>
      </c>
      <c r="D111">
        <v>18</v>
      </c>
      <c r="E111" t="b">
        <v>0</v>
      </c>
      <c r="F111">
        <v>3</v>
      </c>
      <c r="G111">
        <v>1</v>
      </c>
      <c r="H111">
        <v>0.24</v>
      </c>
      <c r="I111">
        <v>0.2424</v>
      </c>
      <c r="J111">
        <v>0.38</v>
      </c>
      <c r="K111">
        <v>0.1343</v>
      </c>
      <c r="L111">
        <v>3</v>
      </c>
      <c r="M111">
        <v>166</v>
      </c>
      <c r="N111">
        <v>169</v>
      </c>
    </row>
    <row r="112" spans="1:14" x14ac:dyDescent="0.3">
      <c r="A112">
        <v>111</v>
      </c>
      <c r="B112" s="1">
        <v>40548</v>
      </c>
      <c r="C112">
        <v>1</v>
      </c>
      <c r="D112">
        <v>19</v>
      </c>
      <c r="E112" t="b">
        <v>0</v>
      </c>
      <c r="F112">
        <v>3</v>
      </c>
      <c r="G112">
        <v>1</v>
      </c>
      <c r="H112">
        <v>0.24</v>
      </c>
      <c r="I112">
        <v>0.2576</v>
      </c>
      <c r="J112">
        <v>0.38</v>
      </c>
      <c r="K112">
        <v>0.1045</v>
      </c>
      <c r="L112">
        <v>5</v>
      </c>
      <c r="M112">
        <v>127</v>
      </c>
      <c r="N112">
        <v>132</v>
      </c>
    </row>
    <row r="113" spans="1:14" x14ac:dyDescent="0.3">
      <c r="A113">
        <v>112</v>
      </c>
      <c r="B113" s="1">
        <v>40548</v>
      </c>
      <c r="C113">
        <v>1</v>
      </c>
      <c r="D113">
        <v>20</v>
      </c>
      <c r="E113" t="b">
        <v>0</v>
      </c>
      <c r="F113">
        <v>3</v>
      </c>
      <c r="G113">
        <v>1</v>
      </c>
      <c r="H113">
        <v>0.22</v>
      </c>
      <c r="I113">
        <v>0.2273</v>
      </c>
      <c r="J113">
        <v>0.47</v>
      </c>
      <c r="K113">
        <v>0.16420000000000001</v>
      </c>
      <c r="L113">
        <v>7</v>
      </c>
      <c r="M113">
        <v>82</v>
      </c>
      <c r="N113">
        <v>89</v>
      </c>
    </row>
    <row r="114" spans="1:14" x14ac:dyDescent="0.3">
      <c r="A114">
        <v>113</v>
      </c>
      <c r="B114" s="1">
        <v>40548</v>
      </c>
      <c r="C114">
        <v>1</v>
      </c>
      <c r="D114">
        <v>21</v>
      </c>
      <c r="E114" t="b">
        <v>0</v>
      </c>
      <c r="F114">
        <v>3</v>
      </c>
      <c r="G114">
        <v>1</v>
      </c>
      <c r="H114">
        <v>0.2</v>
      </c>
      <c r="I114">
        <v>0.19700000000000001</v>
      </c>
      <c r="J114">
        <v>0.51</v>
      </c>
      <c r="K114">
        <v>0.19400000000000001</v>
      </c>
      <c r="L114">
        <v>3</v>
      </c>
      <c r="M114">
        <v>40</v>
      </c>
      <c r="N114">
        <v>43</v>
      </c>
    </row>
    <row r="115" spans="1:14" x14ac:dyDescent="0.3">
      <c r="A115">
        <v>114</v>
      </c>
      <c r="B115" s="1">
        <v>40548</v>
      </c>
      <c r="C115">
        <v>1</v>
      </c>
      <c r="D115">
        <v>22</v>
      </c>
      <c r="E115" t="b">
        <v>0</v>
      </c>
      <c r="F115">
        <v>3</v>
      </c>
      <c r="G115">
        <v>1</v>
      </c>
      <c r="H115">
        <v>0.18</v>
      </c>
      <c r="I115">
        <v>0.19700000000000001</v>
      </c>
      <c r="J115">
        <v>0.55000000000000004</v>
      </c>
      <c r="K115">
        <v>0.1343</v>
      </c>
      <c r="L115">
        <v>1</v>
      </c>
      <c r="M115">
        <v>41</v>
      </c>
      <c r="N115">
        <v>42</v>
      </c>
    </row>
    <row r="116" spans="1:14" x14ac:dyDescent="0.3">
      <c r="A116">
        <v>115</v>
      </c>
      <c r="B116" s="1">
        <v>40548</v>
      </c>
      <c r="C116">
        <v>1</v>
      </c>
      <c r="D116">
        <v>23</v>
      </c>
      <c r="E116" t="b">
        <v>0</v>
      </c>
      <c r="F116">
        <v>3</v>
      </c>
      <c r="G116">
        <v>1</v>
      </c>
      <c r="H116">
        <v>0.2</v>
      </c>
      <c r="I116">
        <v>0.2576</v>
      </c>
      <c r="J116">
        <v>0.47</v>
      </c>
      <c r="K116">
        <v>0</v>
      </c>
      <c r="L116">
        <v>1</v>
      </c>
      <c r="M116">
        <v>18</v>
      </c>
      <c r="N116">
        <v>19</v>
      </c>
    </row>
    <row r="117" spans="1:14" x14ac:dyDescent="0.3">
      <c r="A117">
        <v>116</v>
      </c>
      <c r="B117" s="1">
        <v>40549</v>
      </c>
      <c r="C117">
        <v>1</v>
      </c>
      <c r="D117">
        <v>0</v>
      </c>
      <c r="E117" t="b">
        <v>0</v>
      </c>
      <c r="F117">
        <v>4</v>
      </c>
      <c r="G117">
        <v>1</v>
      </c>
      <c r="H117">
        <v>0.18</v>
      </c>
      <c r="I117">
        <v>0.2424</v>
      </c>
      <c r="J117">
        <v>0.55000000000000004</v>
      </c>
      <c r="K117">
        <v>0</v>
      </c>
      <c r="L117">
        <v>0</v>
      </c>
      <c r="M117">
        <v>11</v>
      </c>
      <c r="N117">
        <v>11</v>
      </c>
    </row>
    <row r="118" spans="1:14" x14ac:dyDescent="0.3">
      <c r="A118">
        <v>117</v>
      </c>
      <c r="B118" s="1">
        <v>40549</v>
      </c>
      <c r="C118">
        <v>1</v>
      </c>
      <c r="D118">
        <v>1</v>
      </c>
      <c r="E118" t="b">
        <v>0</v>
      </c>
      <c r="F118">
        <v>4</v>
      </c>
      <c r="G118">
        <v>1</v>
      </c>
      <c r="H118">
        <v>0.16</v>
      </c>
      <c r="I118">
        <v>0.2273</v>
      </c>
      <c r="J118">
        <v>0.64</v>
      </c>
      <c r="K118">
        <v>0</v>
      </c>
      <c r="L118">
        <v>0</v>
      </c>
      <c r="M118">
        <v>4</v>
      </c>
      <c r="N118">
        <v>4</v>
      </c>
    </row>
    <row r="119" spans="1:14" x14ac:dyDescent="0.3">
      <c r="A119">
        <v>118</v>
      </c>
      <c r="B119" s="1">
        <v>40549</v>
      </c>
      <c r="C119">
        <v>1</v>
      </c>
      <c r="D119">
        <v>2</v>
      </c>
      <c r="E119" t="b">
        <v>0</v>
      </c>
      <c r="F119">
        <v>4</v>
      </c>
      <c r="G119">
        <v>1</v>
      </c>
      <c r="H119">
        <v>0.16</v>
      </c>
      <c r="I119">
        <v>0.2273</v>
      </c>
      <c r="J119">
        <v>0.64</v>
      </c>
      <c r="K119">
        <v>0</v>
      </c>
      <c r="L119">
        <v>0</v>
      </c>
      <c r="M119">
        <v>2</v>
      </c>
      <c r="N119">
        <v>2</v>
      </c>
    </row>
    <row r="120" spans="1:14" x14ac:dyDescent="0.3">
      <c r="A120">
        <v>119</v>
      </c>
      <c r="B120" s="1">
        <v>40549</v>
      </c>
      <c r="C120">
        <v>1</v>
      </c>
      <c r="D120">
        <v>4</v>
      </c>
      <c r="E120" t="b">
        <v>0</v>
      </c>
      <c r="F120">
        <v>4</v>
      </c>
      <c r="G120">
        <v>2</v>
      </c>
      <c r="H120">
        <v>0.16</v>
      </c>
      <c r="I120">
        <v>0.19700000000000001</v>
      </c>
      <c r="J120">
        <v>0.64</v>
      </c>
      <c r="K120">
        <v>8.9599999999999999E-2</v>
      </c>
      <c r="L120">
        <v>0</v>
      </c>
      <c r="M120">
        <v>1</v>
      </c>
      <c r="N120">
        <v>1</v>
      </c>
    </row>
    <row r="121" spans="1:14" x14ac:dyDescent="0.3">
      <c r="A121">
        <v>120</v>
      </c>
      <c r="B121" s="1">
        <v>40549</v>
      </c>
      <c r="C121">
        <v>1</v>
      </c>
      <c r="D121">
        <v>5</v>
      </c>
      <c r="E121" t="b">
        <v>0</v>
      </c>
      <c r="F121">
        <v>4</v>
      </c>
      <c r="G121">
        <v>2</v>
      </c>
      <c r="H121">
        <v>0.14000000000000001</v>
      </c>
      <c r="I121">
        <v>0.18179999999999999</v>
      </c>
      <c r="J121">
        <v>0.69</v>
      </c>
      <c r="K121">
        <v>8.9599999999999999E-2</v>
      </c>
      <c r="L121">
        <v>0</v>
      </c>
      <c r="M121">
        <v>4</v>
      </c>
      <c r="N121">
        <v>4</v>
      </c>
    </row>
    <row r="122" spans="1:14" x14ac:dyDescent="0.3">
      <c r="A122">
        <v>121</v>
      </c>
      <c r="B122" s="1">
        <v>40549</v>
      </c>
      <c r="C122">
        <v>1</v>
      </c>
      <c r="D122">
        <v>6</v>
      </c>
      <c r="E122" t="b">
        <v>0</v>
      </c>
      <c r="F122">
        <v>4</v>
      </c>
      <c r="G122">
        <v>2</v>
      </c>
      <c r="H122">
        <v>0.14000000000000001</v>
      </c>
      <c r="I122">
        <v>0.16669999999999999</v>
      </c>
      <c r="J122">
        <v>0.63</v>
      </c>
      <c r="K122">
        <v>0.1045</v>
      </c>
      <c r="L122">
        <v>0</v>
      </c>
      <c r="M122">
        <v>36</v>
      </c>
      <c r="N122">
        <v>36</v>
      </c>
    </row>
    <row r="123" spans="1:14" x14ac:dyDescent="0.3">
      <c r="A123">
        <v>122</v>
      </c>
      <c r="B123" s="1">
        <v>40549</v>
      </c>
      <c r="C123">
        <v>1</v>
      </c>
      <c r="D123">
        <v>7</v>
      </c>
      <c r="E123" t="b">
        <v>0</v>
      </c>
      <c r="F123">
        <v>4</v>
      </c>
      <c r="G123">
        <v>2</v>
      </c>
      <c r="H123">
        <v>0.16</v>
      </c>
      <c r="I123">
        <v>0.2273</v>
      </c>
      <c r="J123">
        <v>0.59</v>
      </c>
      <c r="K123">
        <v>0</v>
      </c>
      <c r="L123">
        <v>0</v>
      </c>
      <c r="M123">
        <v>95</v>
      </c>
      <c r="N123">
        <v>95</v>
      </c>
    </row>
    <row r="124" spans="1:14" x14ac:dyDescent="0.3">
      <c r="A124">
        <v>123</v>
      </c>
      <c r="B124" s="1">
        <v>40549</v>
      </c>
      <c r="C124">
        <v>1</v>
      </c>
      <c r="D124">
        <v>8</v>
      </c>
      <c r="E124" t="b">
        <v>0</v>
      </c>
      <c r="F124">
        <v>4</v>
      </c>
      <c r="G124">
        <v>1</v>
      </c>
      <c r="H124">
        <v>0.16</v>
      </c>
      <c r="I124">
        <v>0.2273</v>
      </c>
      <c r="J124">
        <v>0.59</v>
      </c>
      <c r="K124">
        <v>0</v>
      </c>
      <c r="L124">
        <v>3</v>
      </c>
      <c r="M124">
        <v>216</v>
      </c>
      <c r="N124">
        <v>219</v>
      </c>
    </row>
    <row r="125" spans="1:14" x14ac:dyDescent="0.3">
      <c r="A125">
        <v>124</v>
      </c>
      <c r="B125" s="1">
        <v>40549</v>
      </c>
      <c r="C125">
        <v>1</v>
      </c>
      <c r="D125">
        <v>9</v>
      </c>
      <c r="E125" t="b">
        <v>0</v>
      </c>
      <c r="F125">
        <v>4</v>
      </c>
      <c r="G125">
        <v>2</v>
      </c>
      <c r="H125">
        <v>0.18</v>
      </c>
      <c r="I125">
        <v>0.2424</v>
      </c>
      <c r="J125">
        <v>0.51</v>
      </c>
      <c r="K125">
        <v>0</v>
      </c>
      <c r="L125">
        <v>6</v>
      </c>
      <c r="M125">
        <v>116</v>
      </c>
      <c r="N125">
        <v>122</v>
      </c>
    </row>
    <row r="126" spans="1:14" x14ac:dyDescent="0.3">
      <c r="A126">
        <v>125</v>
      </c>
      <c r="B126" s="1">
        <v>40549</v>
      </c>
      <c r="C126">
        <v>1</v>
      </c>
      <c r="D126">
        <v>10</v>
      </c>
      <c r="E126" t="b">
        <v>0</v>
      </c>
      <c r="F126">
        <v>4</v>
      </c>
      <c r="G126">
        <v>1</v>
      </c>
      <c r="H126">
        <v>0.2</v>
      </c>
      <c r="I126">
        <v>0.2576</v>
      </c>
      <c r="J126">
        <v>0.47</v>
      </c>
      <c r="K126">
        <v>0</v>
      </c>
      <c r="L126">
        <v>3</v>
      </c>
      <c r="M126">
        <v>42</v>
      </c>
      <c r="N126">
        <v>45</v>
      </c>
    </row>
    <row r="127" spans="1:14" x14ac:dyDescent="0.3">
      <c r="A127">
        <v>126</v>
      </c>
      <c r="B127" s="1">
        <v>40549</v>
      </c>
      <c r="C127">
        <v>1</v>
      </c>
      <c r="D127">
        <v>11</v>
      </c>
      <c r="E127" t="b">
        <v>0</v>
      </c>
      <c r="F127">
        <v>4</v>
      </c>
      <c r="G127">
        <v>1</v>
      </c>
      <c r="H127">
        <v>0.22</v>
      </c>
      <c r="I127">
        <v>0.2576</v>
      </c>
      <c r="J127">
        <v>0.44</v>
      </c>
      <c r="K127">
        <v>8.9599999999999999E-2</v>
      </c>
      <c r="L127">
        <v>2</v>
      </c>
      <c r="M127">
        <v>57</v>
      </c>
      <c r="N127">
        <v>59</v>
      </c>
    </row>
    <row r="128" spans="1:14" x14ac:dyDescent="0.3">
      <c r="A128">
        <v>127</v>
      </c>
      <c r="B128" s="1">
        <v>40549</v>
      </c>
      <c r="C128">
        <v>1</v>
      </c>
      <c r="D128">
        <v>12</v>
      </c>
      <c r="E128" t="b">
        <v>0</v>
      </c>
      <c r="F128">
        <v>4</v>
      </c>
      <c r="G128">
        <v>1</v>
      </c>
      <c r="H128">
        <v>0.26</v>
      </c>
      <c r="I128">
        <v>0.28789999999999999</v>
      </c>
      <c r="J128">
        <v>0.35</v>
      </c>
      <c r="K128">
        <v>0</v>
      </c>
      <c r="L128">
        <v>6</v>
      </c>
      <c r="M128">
        <v>78</v>
      </c>
      <c r="N128">
        <v>84</v>
      </c>
    </row>
    <row r="129" spans="1:14" x14ac:dyDescent="0.3">
      <c r="A129">
        <v>128</v>
      </c>
      <c r="B129" s="1">
        <v>40549</v>
      </c>
      <c r="C129">
        <v>1</v>
      </c>
      <c r="D129">
        <v>13</v>
      </c>
      <c r="E129" t="b">
        <v>0</v>
      </c>
      <c r="F129">
        <v>4</v>
      </c>
      <c r="G129">
        <v>1</v>
      </c>
      <c r="H129">
        <v>0.26</v>
      </c>
      <c r="I129">
        <v>0.2727</v>
      </c>
      <c r="J129">
        <v>0.35</v>
      </c>
      <c r="K129">
        <v>0.1045</v>
      </c>
      <c r="L129">
        <v>12</v>
      </c>
      <c r="M129">
        <v>55</v>
      </c>
      <c r="N129">
        <v>67</v>
      </c>
    </row>
    <row r="130" spans="1:14" x14ac:dyDescent="0.3">
      <c r="A130">
        <v>129</v>
      </c>
      <c r="B130" s="1">
        <v>40549</v>
      </c>
      <c r="C130">
        <v>1</v>
      </c>
      <c r="D130">
        <v>14</v>
      </c>
      <c r="E130" t="b">
        <v>0</v>
      </c>
      <c r="F130">
        <v>4</v>
      </c>
      <c r="G130">
        <v>1</v>
      </c>
      <c r="H130">
        <v>0.28000000000000003</v>
      </c>
      <c r="I130">
        <v>0.2727</v>
      </c>
      <c r="J130">
        <v>0.36</v>
      </c>
      <c r="K130">
        <v>0.16420000000000001</v>
      </c>
      <c r="L130">
        <v>11</v>
      </c>
      <c r="M130">
        <v>59</v>
      </c>
      <c r="N130">
        <v>70</v>
      </c>
    </row>
    <row r="131" spans="1:14" x14ac:dyDescent="0.3">
      <c r="A131">
        <v>130</v>
      </c>
      <c r="B131" s="1">
        <v>40549</v>
      </c>
      <c r="C131">
        <v>1</v>
      </c>
      <c r="D131">
        <v>15</v>
      </c>
      <c r="E131" t="b">
        <v>0</v>
      </c>
      <c r="F131">
        <v>4</v>
      </c>
      <c r="G131">
        <v>1</v>
      </c>
      <c r="H131">
        <v>0.28000000000000003</v>
      </c>
      <c r="I131">
        <v>0.2727</v>
      </c>
      <c r="J131">
        <v>0.36</v>
      </c>
      <c r="K131">
        <v>0</v>
      </c>
      <c r="L131">
        <v>8</v>
      </c>
      <c r="M131">
        <v>54</v>
      </c>
      <c r="N131">
        <v>62</v>
      </c>
    </row>
    <row r="132" spans="1:14" x14ac:dyDescent="0.3">
      <c r="A132">
        <v>131</v>
      </c>
      <c r="B132" s="1">
        <v>40549</v>
      </c>
      <c r="C132">
        <v>1</v>
      </c>
      <c r="D132">
        <v>16</v>
      </c>
      <c r="E132" t="b">
        <v>0</v>
      </c>
      <c r="F132">
        <v>4</v>
      </c>
      <c r="G132">
        <v>1</v>
      </c>
      <c r="H132">
        <v>0.26</v>
      </c>
      <c r="I132">
        <v>0.2576</v>
      </c>
      <c r="J132">
        <v>0.38</v>
      </c>
      <c r="K132">
        <v>0.16420000000000001</v>
      </c>
      <c r="L132">
        <v>12</v>
      </c>
      <c r="M132">
        <v>74</v>
      </c>
      <c r="N132">
        <v>86</v>
      </c>
    </row>
    <row r="133" spans="1:14" x14ac:dyDescent="0.3">
      <c r="A133">
        <v>132</v>
      </c>
      <c r="B133" s="1">
        <v>40549</v>
      </c>
      <c r="C133">
        <v>1</v>
      </c>
      <c r="D133">
        <v>17</v>
      </c>
      <c r="E133" t="b">
        <v>0</v>
      </c>
      <c r="F133">
        <v>4</v>
      </c>
      <c r="G133">
        <v>1</v>
      </c>
      <c r="H133">
        <v>0.22</v>
      </c>
      <c r="I133">
        <v>0.2273</v>
      </c>
      <c r="J133">
        <v>0.51</v>
      </c>
      <c r="K133">
        <v>0.16420000000000001</v>
      </c>
      <c r="L133">
        <v>9</v>
      </c>
      <c r="M133">
        <v>163</v>
      </c>
      <c r="N133">
        <v>172</v>
      </c>
    </row>
    <row r="134" spans="1:14" x14ac:dyDescent="0.3">
      <c r="A134">
        <v>133</v>
      </c>
      <c r="B134" s="1">
        <v>40549</v>
      </c>
      <c r="C134">
        <v>1</v>
      </c>
      <c r="D134">
        <v>18</v>
      </c>
      <c r="E134" t="b">
        <v>0</v>
      </c>
      <c r="F134">
        <v>4</v>
      </c>
      <c r="G134">
        <v>1</v>
      </c>
      <c r="H134">
        <v>0.22</v>
      </c>
      <c r="I134">
        <v>0.2273</v>
      </c>
      <c r="J134">
        <v>0.51</v>
      </c>
      <c r="K134">
        <v>0.1343</v>
      </c>
      <c r="L134">
        <v>5</v>
      </c>
      <c r="M134">
        <v>158</v>
      </c>
      <c r="N134">
        <v>163</v>
      </c>
    </row>
    <row r="135" spans="1:14" x14ac:dyDescent="0.3">
      <c r="A135">
        <v>134</v>
      </c>
      <c r="B135" s="1">
        <v>40549</v>
      </c>
      <c r="C135">
        <v>1</v>
      </c>
      <c r="D135">
        <v>19</v>
      </c>
      <c r="E135" t="b">
        <v>0</v>
      </c>
      <c r="F135">
        <v>4</v>
      </c>
      <c r="G135">
        <v>1</v>
      </c>
      <c r="H135">
        <v>0.22</v>
      </c>
      <c r="I135">
        <v>0.2576</v>
      </c>
      <c r="J135">
        <v>0.55000000000000004</v>
      </c>
      <c r="K135">
        <v>8.9599999999999999E-2</v>
      </c>
      <c r="L135">
        <v>3</v>
      </c>
      <c r="M135">
        <v>109</v>
      </c>
      <c r="N135">
        <v>112</v>
      </c>
    </row>
    <row r="136" spans="1:14" x14ac:dyDescent="0.3">
      <c r="A136">
        <v>135</v>
      </c>
      <c r="B136" s="1">
        <v>40549</v>
      </c>
      <c r="C136">
        <v>1</v>
      </c>
      <c r="D136">
        <v>20</v>
      </c>
      <c r="E136" t="b">
        <v>0</v>
      </c>
      <c r="F136">
        <v>4</v>
      </c>
      <c r="G136">
        <v>1</v>
      </c>
      <c r="H136">
        <v>0.2</v>
      </c>
      <c r="I136">
        <v>0.21210000000000001</v>
      </c>
      <c r="J136">
        <v>0.51</v>
      </c>
      <c r="K136">
        <v>0.16420000000000001</v>
      </c>
      <c r="L136">
        <v>3</v>
      </c>
      <c r="M136">
        <v>66</v>
      </c>
      <c r="N136">
        <v>69</v>
      </c>
    </row>
    <row r="137" spans="1:14" x14ac:dyDescent="0.3">
      <c r="A137">
        <v>136</v>
      </c>
      <c r="B137" s="1">
        <v>40549</v>
      </c>
      <c r="C137">
        <v>1</v>
      </c>
      <c r="D137">
        <v>21</v>
      </c>
      <c r="E137" t="b">
        <v>0</v>
      </c>
      <c r="F137">
        <v>4</v>
      </c>
      <c r="G137">
        <v>2</v>
      </c>
      <c r="H137">
        <v>0.22</v>
      </c>
      <c r="I137">
        <v>0.21210000000000001</v>
      </c>
      <c r="J137">
        <v>0.55000000000000004</v>
      </c>
      <c r="K137">
        <v>0.22389999999999999</v>
      </c>
      <c r="L137">
        <v>0</v>
      </c>
      <c r="M137">
        <v>48</v>
      </c>
      <c r="N137">
        <v>48</v>
      </c>
    </row>
    <row r="138" spans="1:14" x14ac:dyDescent="0.3">
      <c r="A138">
        <v>137</v>
      </c>
      <c r="B138" s="1">
        <v>40549</v>
      </c>
      <c r="C138">
        <v>1</v>
      </c>
      <c r="D138">
        <v>22</v>
      </c>
      <c r="E138" t="b">
        <v>0</v>
      </c>
      <c r="F138">
        <v>4</v>
      </c>
      <c r="G138">
        <v>2</v>
      </c>
      <c r="H138">
        <v>0.22</v>
      </c>
      <c r="I138">
        <v>0.21210000000000001</v>
      </c>
      <c r="J138">
        <v>0.51</v>
      </c>
      <c r="K138">
        <v>0.28360000000000002</v>
      </c>
      <c r="L138">
        <v>1</v>
      </c>
      <c r="M138">
        <v>51</v>
      </c>
      <c r="N138">
        <v>52</v>
      </c>
    </row>
    <row r="139" spans="1:14" x14ac:dyDescent="0.3">
      <c r="A139">
        <v>138</v>
      </c>
      <c r="B139" s="1">
        <v>40549</v>
      </c>
      <c r="C139">
        <v>1</v>
      </c>
      <c r="D139">
        <v>23</v>
      </c>
      <c r="E139" t="b">
        <v>0</v>
      </c>
      <c r="F139">
        <v>4</v>
      </c>
      <c r="G139">
        <v>2</v>
      </c>
      <c r="H139">
        <v>0.2</v>
      </c>
      <c r="I139">
        <v>0.19700000000000001</v>
      </c>
      <c r="J139">
        <v>0.59</v>
      </c>
      <c r="K139">
        <v>0.19400000000000001</v>
      </c>
      <c r="L139">
        <v>4</v>
      </c>
      <c r="M139">
        <v>19</v>
      </c>
      <c r="N139">
        <v>23</v>
      </c>
    </row>
    <row r="140" spans="1:14" x14ac:dyDescent="0.3">
      <c r="A140">
        <v>139</v>
      </c>
      <c r="B140" s="1">
        <v>40550</v>
      </c>
      <c r="C140">
        <v>1</v>
      </c>
      <c r="D140">
        <v>0</v>
      </c>
      <c r="E140" t="b">
        <v>0</v>
      </c>
      <c r="F140">
        <v>5</v>
      </c>
      <c r="G140">
        <v>2</v>
      </c>
      <c r="H140">
        <v>0.2</v>
      </c>
      <c r="I140">
        <v>0.19700000000000001</v>
      </c>
      <c r="J140">
        <v>0.64</v>
      </c>
      <c r="K140">
        <v>0.19400000000000001</v>
      </c>
      <c r="L140">
        <v>4</v>
      </c>
      <c r="M140">
        <v>13</v>
      </c>
      <c r="N140">
        <v>17</v>
      </c>
    </row>
    <row r="141" spans="1:14" x14ac:dyDescent="0.3">
      <c r="A141">
        <v>140</v>
      </c>
      <c r="B141" s="1">
        <v>40550</v>
      </c>
      <c r="C141">
        <v>1</v>
      </c>
      <c r="D141">
        <v>1</v>
      </c>
      <c r="E141" t="b">
        <v>0</v>
      </c>
      <c r="F141">
        <v>5</v>
      </c>
      <c r="G141">
        <v>2</v>
      </c>
      <c r="H141">
        <v>0.2</v>
      </c>
      <c r="I141">
        <v>0.19700000000000001</v>
      </c>
      <c r="J141">
        <v>0.69</v>
      </c>
      <c r="K141">
        <v>0.22389999999999999</v>
      </c>
      <c r="L141">
        <v>2</v>
      </c>
      <c r="M141">
        <v>5</v>
      </c>
      <c r="N141">
        <v>7</v>
      </c>
    </row>
    <row r="142" spans="1:14" x14ac:dyDescent="0.3">
      <c r="A142">
        <v>141</v>
      </c>
      <c r="B142" s="1">
        <v>40550</v>
      </c>
      <c r="C142">
        <v>1</v>
      </c>
      <c r="D142">
        <v>2</v>
      </c>
      <c r="E142" t="b">
        <v>0</v>
      </c>
      <c r="F142">
        <v>5</v>
      </c>
      <c r="G142">
        <v>2</v>
      </c>
      <c r="H142">
        <v>0.2</v>
      </c>
      <c r="I142">
        <v>0.19700000000000001</v>
      </c>
      <c r="J142">
        <v>0.69</v>
      </c>
      <c r="K142">
        <v>0.22389999999999999</v>
      </c>
      <c r="L142">
        <v>0</v>
      </c>
      <c r="M142">
        <v>1</v>
      </c>
      <c r="N142">
        <v>1</v>
      </c>
    </row>
    <row r="143" spans="1:14" x14ac:dyDescent="0.3">
      <c r="A143">
        <v>142</v>
      </c>
      <c r="B143" s="1">
        <v>40550</v>
      </c>
      <c r="C143">
        <v>1</v>
      </c>
      <c r="D143">
        <v>4</v>
      </c>
      <c r="E143" t="b">
        <v>0</v>
      </c>
      <c r="F143">
        <v>5</v>
      </c>
      <c r="G143">
        <v>2</v>
      </c>
      <c r="H143">
        <v>0.2</v>
      </c>
      <c r="I143">
        <v>0.21210000000000001</v>
      </c>
      <c r="J143">
        <v>0.69</v>
      </c>
      <c r="K143">
        <v>0.1343</v>
      </c>
      <c r="L143">
        <v>0</v>
      </c>
      <c r="M143">
        <v>1</v>
      </c>
      <c r="N143">
        <v>1</v>
      </c>
    </row>
    <row r="144" spans="1:14" x14ac:dyDescent="0.3">
      <c r="A144">
        <v>143</v>
      </c>
      <c r="B144" s="1">
        <v>40550</v>
      </c>
      <c r="C144">
        <v>1</v>
      </c>
      <c r="D144">
        <v>5</v>
      </c>
      <c r="E144" t="b">
        <v>0</v>
      </c>
      <c r="F144">
        <v>5</v>
      </c>
      <c r="G144">
        <v>3</v>
      </c>
      <c r="H144">
        <v>0.22</v>
      </c>
      <c r="I144">
        <v>0.2727</v>
      </c>
      <c r="J144">
        <v>0.55000000000000004</v>
      </c>
      <c r="K144">
        <v>0</v>
      </c>
      <c r="L144">
        <v>0</v>
      </c>
      <c r="M144">
        <v>5</v>
      </c>
      <c r="N144">
        <v>5</v>
      </c>
    </row>
    <row r="145" spans="1:14" x14ac:dyDescent="0.3">
      <c r="A145">
        <v>144</v>
      </c>
      <c r="B145" s="1">
        <v>40550</v>
      </c>
      <c r="C145">
        <v>1</v>
      </c>
      <c r="D145">
        <v>6</v>
      </c>
      <c r="E145" t="b">
        <v>0</v>
      </c>
      <c r="F145">
        <v>5</v>
      </c>
      <c r="G145">
        <v>2</v>
      </c>
      <c r="H145">
        <v>0.2</v>
      </c>
      <c r="I145">
        <v>0.2576</v>
      </c>
      <c r="J145">
        <v>0.69</v>
      </c>
      <c r="K145">
        <v>0</v>
      </c>
      <c r="L145">
        <v>8</v>
      </c>
      <c r="M145">
        <v>26</v>
      </c>
      <c r="N145">
        <v>34</v>
      </c>
    </row>
    <row r="146" spans="1:14" x14ac:dyDescent="0.3">
      <c r="A146">
        <v>145</v>
      </c>
      <c r="B146" s="1">
        <v>40550</v>
      </c>
      <c r="C146">
        <v>1</v>
      </c>
      <c r="D146">
        <v>7</v>
      </c>
      <c r="E146" t="b">
        <v>0</v>
      </c>
      <c r="F146">
        <v>5</v>
      </c>
      <c r="G146">
        <v>1</v>
      </c>
      <c r="H146">
        <v>0.2</v>
      </c>
      <c r="I146">
        <v>0.21210000000000001</v>
      </c>
      <c r="J146">
        <v>0.69</v>
      </c>
      <c r="K146">
        <v>0.1343</v>
      </c>
      <c r="L146">
        <v>8</v>
      </c>
      <c r="M146">
        <v>76</v>
      </c>
      <c r="N146">
        <v>84</v>
      </c>
    </row>
    <row r="147" spans="1:14" x14ac:dyDescent="0.3">
      <c r="A147">
        <v>146</v>
      </c>
      <c r="B147" s="1">
        <v>40550</v>
      </c>
      <c r="C147">
        <v>1</v>
      </c>
      <c r="D147">
        <v>8</v>
      </c>
      <c r="E147" t="b">
        <v>0</v>
      </c>
      <c r="F147">
        <v>5</v>
      </c>
      <c r="G147">
        <v>1</v>
      </c>
      <c r="H147">
        <v>0.2</v>
      </c>
      <c r="I147">
        <v>0.19700000000000001</v>
      </c>
      <c r="J147">
        <v>0.51</v>
      </c>
      <c r="K147">
        <v>0.25369999999999998</v>
      </c>
      <c r="L147">
        <v>20</v>
      </c>
      <c r="M147">
        <v>190</v>
      </c>
      <c r="N147">
        <v>210</v>
      </c>
    </row>
    <row r="148" spans="1:14" x14ac:dyDescent="0.3">
      <c r="A148">
        <v>147</v>
      </c>
      <c r="B148" s="1">
        <v>40550</v>
      </c>
      <c r="C148">
        <v>1</v>
      </c>
      <c r="D148">
        <v>9</v>
      </c>
      <c r="E148" t="b">
        <v>0</v>
      </c>
      <c r="F148">
        <v>5</v>
      </c>
      <c r="G148">
        <v>1</v>
      </c>
      <c r="H148">
        <v>0.2</v>
      </c>
      <c r="I148">
        <v>0.18179999999999999</v>
      </c>
      <c r="J148">
        <v>0.47</v>
      </c>
      <c r="K148">
        <v>0.29849999999999999</v>
      </c>
      <c r="L148">
        <v>9</v>
      </c>
      <c r="M148">
        <v>125</v>
      </c>
      <c r="N148">
        <v>134</v>
      </c>
    </row>
    <row r="149" spans="1:14" x14ac:dyDescent="0.3">
      <c r="A149">
        <v>148</v>
      </c>
      <c r="B149" s="1">
        <v>40550</v>
      </c>
      <c r="C149">
        <v>1</v>
      </c>
      <c r="D149">
        <v>10</v>
      </c>
      <c r="E149" t="b">
        <v>0</v>
      </c>
      <c r="F149">
        <v>5</v>
      </c>
      <c r="G149">
        <v>1</v>
      </c>
      <c r="H149">
        <v>0.22</v>
      </c>
      <c r="I149">
        <v>0.19700000000000001</v>
      </c>
      <c r="J149">
        <v>0.37</v>
      </c>
      <c r="K149">
        <v>0.32840000000000003</v>
      </c>
      <c r="L149">
        <v>16</v>
      </c>
      <c r="M149">
        <v>47</v>
      </c>
      <c r="N149">
        <v>63</v>
      </c>
    </row>
    <row r="150" spans="1:14" x14ac:dyDescent="0.3">
      <c r="A150">
        <v>149</v>
      </c>
      <c r="B150" s="1">
        <v>40550</v>
      </c>
      <c r="C150">
        <v>1</v>
      </c>
      <c r="D150">
        <v>11</v>
      </c>
      <c r="E150" t="b">
        <v>0</v>
      </c>
      <c r="F150">
        <v>5</v>
      </c>
      <c r="G150">
        <v>2</v>
      </c>
      <c r="H150">
        <v>0.2</v>
      </c>
      <c r="I150">
        <v>0.19700000000000001</v>
      </c>
      <c r="J150">
        <v>0.4</v>
      </c>
      <c r="K150">
        <v>0.22389999999999999</v>
      </c>
      <c r="L150">
        <v>19</v>
      </c>
      <c r="M150">
        <v>48</v>
      </c>
      <c r="N150">
        <v>67</v>
      </c>
    </row>
    <row r="151" spans="1:14" x14ac:dyDescent="0.3">
      <c r="A151">
        <v>150</v>
      </c>
      <c r="B151" s="1">
        <v>40550</v>
      </c>
      <c r="C151">
        <v>1</v>
      </c>
      <c r="D151">
        <v>12</v>
      </c>
      <c r="E151" t="b">
        <v>0</v>
      </c>
      <c r="F151">
        <v>5</v>
      </c>
      <c r="G151">
        <v>2</v>
      </c>
      <c r="H151">
        <v>0.2</v>
      </c>
      <c r="I151">
        <v>0.19700000000000001</v>
      </c>
      <c r="J151">
        <v>0.37</v>
      </c>
      <c r="K151">
        <v>0.25369999999999998</v>
      </c>
      <c r="L151">
        <v>9</v>
      </c>
      <c r="M151">
        <v>50</v>
      </c>
      <c r="N151">
        <v>59</v>
      </c>
    </row>
    <row r="152" spans="1:14" x14ac:dyDescent="0.3">
      <c r="A152">
        <v>151</v>
      </c>
      <c r="B152" s="1">
        <v>40550</v>
      </c>
      <c r="C152">
        <v>1</v>
      </c>
      <c r="D152">
        <v>13</v>
      </c>
      <c r="E152" t="b">
        <v>0</v>
      </c>
      <c r="F152">
        <v>5</v>
      </c>
      <c r="G152">
        <v>2</v>
      </c>
      <c r="H152">
        <v>0.2</v>
      </c>
      <c r="I152">
        <v>0.18179999999999999</v>
      </c>
      <c r="J152">
        <v>0.37</v>
      </c>
      <c r="K152">
        <v>0.28360000000000002</v>
      </c>
      <c r="L152">
        <v>9</v>
      </c>
      <c r="M152">
        <v>64</v>
      </c>
      <c r="N152">
        <v>73</v>
      </c>
    </row>
    <row r="153" spans="1:14" x14ac:dyDescent="0.3">
      <c r="A153">
        <v>152</v>
      </c>
      <c r="B153" s="1">
        <v>40550</v>
      </c>
      <c r="C153">
        <v>1</v>
      </c>
      <c r="D153">
        <v>14</v>
      </c>
      <c r="E153" t="b">
        <v>0</v>
      </c>
      <c r="F153">
        <v>5</v>
      </c>
      <c r="G153">
        <v>2</v>
      </c>
      <c r="H153">
        <v>0.2</v>
      </c>
      <c r="I153">
        <v>0.19700000000000001</v>
      </c>
      <c r="J153">
        <v>0.4</v>
      </c>
      <c r="K153">
        <v>0.25369999999999998</v>
      </c>
      <c r="L153">
        <v>7</v>
      </c>
      <c r="M153">
        <v>43</v>
      </c>
      <c r="N153">
        <v>50</v>
      </c>
    </row>
    <row r="154" spans="1:14" x14ac:dyDescent="0.3">
      <c r="A154">
        <v>153</v>
      </c>
      <c r="B154" s="1">
        <v>40550</v>
      </c>
      <c r="C154">
        <v>1</v>
      </c>
      <c r="D154">
        <v>15</v>
      </c>
      <c r="E154" t="b">
        <v>0</v>
      </c>
      <c r="F154">
        <v>5</v>
      </c>
      <c r="G154">
        <v>2</v>
      </c>
      <c r="H154">
        <v>0.2</v>
      </c>
      <c r="I154">
        <v>0.21210000000000001</v>
      </c>
      <c r="J154">
        <v>0.37</v>
      </c>
      <c r="K154">
        <v>0.16420000000000001</v>
      </c>
      <c r="L154">
        <v>9</v>
      </c>
      <c r="M154">
        <v>63</v>
      </c>
      <c r="N154">
        <v>72</v>
      </c>
    </row>
    <row r="155" spans="1:14" x14ac:dyDescent="0.3">
      <c r="A155">
        <v>154</v>
      </c>
      <c r="B155" s="1">
        <v>40550</v>
      </c>
      <c r="C155">
        <v>1</v>
      </c>
      <c r="D155">
        <v>16</v>
      </c>
      <c r="E155" t="b">
        <v>0</v>
      </c>
      <c r="F155">
        <v>5</v>
      </c>
      <c r="G155">
        <v>2</v>
      </c>
      <c r="H155">
        <v>0.2</v>
      </c>
      <c r="I155">
        <v>0.21210000000000001</v>
      </c>
      <c r="J155">
        <v>0.37</v>
      </c>
      <c r="K155">
        <v>0.16420000000000001</v>
      </c>
      <c r="L155">
        <v>5</v>
      </c>
      <c r="M155">
        <v>82</v>
      </c>
      <c r="N155">
        <v>87</v>
      </c>
    </row>
    <row r="156" spans="1:14" x14ac:dyDescent="0.3">
      <c r="A156">
        <v>155</v>
      </c>
      <c r="B156" s="1">
        <v>40550</v>
      </c>
      <c r="C156">
        <v>1</v>
      </c>
      <c r="D156">
        <v>17</v>
      </c>
      <c r="E156" t="b">
        <v>0</v>
      </c>
      <c r="F156">
        <v>5</v>
      </c>
      <c r="G156">
        <v>2</v>
      </c>
      <c r="H156">
        <v>0.2</v>
      </c>
      <c r="I156">
        <v>0.2576</v>
      </c>
      <c r="J156">
        <v>0.37</v>
      </c>
      <c r="K156">
        <v>0</v>
      </c>
      <c r="L156">
        <v>9</v>
      </c>
      <c r="M156">
        <v>178</v>
      </c>
      <c r="N156">
        <v>187</v>
      </c>
    </row>
    <row r="157" spans="1:14" x14ac:dyDescent="0.3">
      <c r="A157">
        <v>156</v>
      </c>
      <c r="B157" s="1">
        <v>40550</v>
      </c>
      <c r="C157">
        <v>1</v>
      </c>
      <c r="D157">
        <v>18</v>
      </c>
      <c r="E157" t="b">
        <v>0</v>
      </c>
      <c r="F157">
        <v>5</v>
      </c>
      <c r="G157">
        <v>1</v>
      </c>
      <c r="H157">
        <v>0.2</v>
      </c>
      <c r="I157">
        <v>0.2273</v>
      </c>
      <c r="J157">
        <v>0.4</v>
      </c>
      <c r="K157">
        <v>8.9599999999999999E-2</v>
      </c>
      <c r="L157">
        <v>7</v>
      </c>
      <c r="M157">
        <v>116</v>
      </c>
      <c r="N157">
        <v>123</v>
      </c>
    </row>
    <row r="158" spans="1:14" x14ac:dyDescent="0.3">
      <c r="A158">
        <v>157</v>
      </c>
      <c r="B158" s="1">
        <v>40550</v>
      </c>
      <c r="C158">
        <v>1</v>
      </c>
      <c r="D158">
        <v>19</v>
      </c>
      <c r="E158" t="b">
        <v>0</v>
      </c>
      <c r="F158">
        <v>5</v>
      </c>
      <c r="G158">
        <v>1</v>
      </c>
      <c r="H158">
        <v>0.16</v>
      </c>
      <c r="I158">
        <v>0.19700000000000001</v>
      </c>
      <c r="J158">
        <v>0.55000000000000004</v>
      </c>
      <c r="K158">
        <v>8.9599999999999999E-2</v>
      </c>
      <c r="L158">
        <v>3</v>
      </c>
      <c r="M158">
        <v>92</v>
      </c>
      <c r="N158">
        <v>95</v>
      </c>
    </row>
    <row r="159" spans="1:14" x14ac:dyDescent="0.3">
      <c r="A159">
        <v>158</v>
      </c>
      <c r="B159" s="1">
        <v>40550</v>
      </c>
      <c r="C159">
        <v>1</v>
      </c>
      <c r="D159">
        <v>20</v>
      </c>
      <c r="E159" t="b">
        <v>0</v>
      </c>
      <c r="F159">
        <v>5</v>
      </c>
      <c r="G159">
        <v>1</v>
      </c>
      <c r="H159">
        <v>0.18</v>
      </c>
      <c r="I159">
        <v>0.21210000000000001</v>
      </c>
      <c r="J159">
        <v>0.47</v>
      </c>
      <c r="K159">
        <v>0.1045</v>
      </c>
      <c r="L159">
        <v>1</v>
      </c>
      <c r="M159">
        <v>50</v>
      </c>
      <c r="N159">
        <v>51</v>
      </c>
    </row>
    <row r="160" spans="1:14" x14ac:dyDescent="0.3">
      <c r="A160">
        <v>159</v>
      </c>
      <c r="B160" s="1">
        <v>40550</v>
      </c>
      <c r="C160">
        <v>1</v>
      </c>
      <c r="D160">
        <v>21</v>
      </c>
      <c r="E160" t="b">
        <v>0</v>
      </c>
      <c r="F160">
        <v>5</v>
      </c>
      <c r="G160">
        <v>1</v>
      </c>
      <c r="H160">
        <v>0.18</v>
      </c>
      <c r="I160">
        <v>0.19700000000000001</v>
      </c>
      <c r="J160">
        <v>0.47</v>
      </c>
      <c r="K160">
        <v>0.1343</v>
      </c>
      <c r="L160">
        <v>0</v>
      </c>
      <c r="M160">
        <v>39</v>
      </c>
      <c r="N160">
        <v>39</v>
      </c>
    </row>
    <row r="161" spans="1:14" x14ac:dyDescent="0.3">
      <c r="A161">
        <v>160</v>
      </c>
      <c r="B161" s="1">
        <v>40550</v>
      </c>
      <c r="C161">
        <v>1</v>
      </c>
      <c r="D161">
        <v>22</v>
      </c>
      <c r="E161" t="b">
        <v>0</v>
      </c>
      <c r="F161">
        <v>5</v>
      </c>
      <c r="G161">
        <v>2</v>
      </c>
      <c r="H161">
        <v>0.18</v>
      </c>
      <c r="I161">
        <v>0.19700000000000001</v>
      </c>
      <c r="J161">
        <v>0.43</v>
      </c>
      <c r="K161">
        <v>0.16420000000000001</v>
      </c>
      <c r="L161">
        <v>2</v>
      </c>
      <c r="M161">
        <v>34</v>
      </c>
      <c r="N161">
        <v>36</v>
      </c>
    </row>
    <row r="162" spans="1:14" x14ac:dyDescent="0.3">
      <c r="A162">
        <v>161</v>
      </c>
      <c r="B162" s="1">
        <v>40550</v>
      </c>
      <c r="C162">
        <v>1</v>
      </c>
      <c r="D162">
        <v>23</v>
      </c>
      <c r="E162" t="b">
        <v>0</v>
      </c>
      <c r="F162">
        <v>5</v>
      </c>
      <c r="G162">
        <v>2</v>
      </c>
      <c r="H162">
        <v>0.18</v>
      </c>
      <c r="I162">
        <v>0.19700000000000001</v>
      </c>
      <c r="J162">
        <v>0.51</v>
      </c>
      <c r="K162">
        <v>0.16420000000000001</v>
      </c>
      <c r="L162">
        <v>1</v>
      </c>
      <c r="M162">
        <v>14</v>
      </c>
      <c r="N162">
        <v>15</v>
      </c>
    </row>
    <row r="163" spans="1:14" x14ac:dyDescent="0.3">
      <c r="A163">
        <v>162</v>
      </c>
      <c r="B163" s="1">
        <v>40551</v>
      </c>
      <c r="C163">
        <v>1</v>
      </c>
      <c r="D163">
        <v>0</v>
      </c>
      <c r="E163" t="b">
        <v>0</v>
      </c>
      <c r="F163">
        <v>6</v>
      </c>
      <c r="G163">
        <v>2</v>
      </c>
      <c r="H163">
        <v>0.18</v>
      </c>
      <c r="I163">
        <v>0.19700000000000001</v>
      </c>
      <c r="J163">
        <v>0.51</v>
      </c>
      <c r="K163">
        <v>0.16420000000000001</v>
      </c>
      <c r="L163">
        <v>1</v>
      </c>
      <c r="M163">
        <v>24</v>
      </c>
      <c r="N163">
        <v>25</v>
      </c>
    </row>
    <row r="164" spans="1:14" x14ac:dyDescent="0.3">
      <c r="A164">
        <v>163</v>
      </c>
      <c r="B164" s="1">
        <v>40551</v>
      </c>
      <c r="C164">
        <v>1</v>
      </c>
      <c r="D164">
        <v>1</v>
      </c>
      <c r="E164" t="b">
        <v>0</v>
      </c>
      <c r="F164">
        <v>6</v>
      </c>
      <c r="G164">
        <v>2</v>
      </c>
      <c r="H164">
        <v>0.18</v>
      </c>
      <c r="I164">
        <v>0.21210000000000001</v>
      </c>
      <c r="J164">
        <v>0.55000000000000004</v>
      </c>
      <c r="K164">
        <v>8.9599999999999999E-2</v>
      </c>
      <c r="L164">
        <v>1</v>
      </c>
      <c r="M164">
        <v>15</v>
      </c>
      <c r="N164">
        <v>16</v>
      </c>
    </row>
    <row r="165" spans="1:14" x14ac:dyDescent="0.3">
      <c r="A165">
        <v>164</v>
      </c>
      <c r="B165" s="1">
        <v>40551</v>
      </c>
      <c r="C165">
        <v>1</v>
      </c>
      <c r="D165">
        <v>2</v>
      </c>
      <c r="E165" t="b">
        <v>0</v>
      </c>
      <c r="F165">
        <v>6</v>
      </c>
      <c r="G165">
        <v>2</v>
      </c>
      <c r="H165">
        <v>0.18</v>
      </c>
      <c r="I165">
        <v>0.2424</v>
      </c>
      <c r="J165">
        <v>0.55000000000000004</v>
      </c>
      <c r="K165">
        <v>0</v>
      </c>
      <c r="L165">
        <v>3</v>
      </c>
      <c r="M165">
        <v>13</v>
      </c>
      <c r="N165">
        <v>16</v>
      </c>
    </row>
    <row r="166" spans="1:14" x14ac:dyDescent="0.3">
      <c r="A166">
        <v>165</v>
      </c>
      <c r="B166" s="1">
        <v>40551</v>
      </c>
      <c r="C166">
        <v>1</v>
      </c>
      <c r="D166">
        <v>3</v>
      </c>
      <c r="E166" t="b">
        <v>0</v>
      </c>
      <c r="F166">
        <v>6</v>
      </c>
      <c r="G166">
        <v>3</v>
      </c>
      <c r="H166">
        <v>0.18</v>
      </c>
      <c r="I166">
        <v>0.19700000000000001</v>
      </c>
      <c r="J166">
        <v>0.55000000000000004</v>
      </c>
      <c r="K166">
        <v>0.16420000000000001</v>
      </c>
      <c r="L166">
        <v>0</v>
      </c>
      <c r="M166">
        <v>7</v>
      </c>
      <c r="N166">
        <v>7</v>
      </c>
    </row>
    <row r="167" spans="1:14" x14ac:dyDescent="0.3">
      <c r="A167">
        <v>166</v>
      </c>
      <c r="B167" s="1">
        <v>40551</v>
      </c>
      <c r="C167">
        <v>1</v>
      </c>
      <c r="D167">
        <v>4</v>
      </c>
      <c r="E167" t="b">
        <v>0</v>
      </c>
      <c r="F167">
        <v>6</v>
      </c>
      <c r="G167">
        <v>3</v>
      </c>
      <c r="H167">
        <v>0.18</v>
      </c>
      <c r="I167">
        <v>0.19700000000000001</v>
      </c>
      <c r="J167">
        <v>0.55000000000000004</v>
      </c>
      <c r="K167">
        <v>0.16420000000000001</v>
      </c>
      <c r="L167">
        <v>0</v>
      </c>
      <c r="M167">
        <v>1</v>
      </c>
      <c r="N167">
        <v>1</v>
      </c>
    </row>
    <row r="168" spans="1:14" x14ac:dyDescent="0.3">
      <c r="A168">
        <v>167</v>
      </c>
      <c r="B168" s="1">
        <v>40551</v>
      </c>
      <c r="C168">
        <v>1</v>
      </c>
      <c r="D168">
        <v>5</v>
      </c>
      <c r="E168" t="b">
        <v>0</v>
      </c>
      <c r="F168">
        <v>6</v>
      </c>
      <c r="G168">
        <v>2</v>
      </c>
      <c r="H168">
        <v>0.16</v>
      </c>
      <c r="I168">
        <v>0.16669999999999999</v>
      </c>
      <c r="J168">
        <v>0.74</v>
      </c>
      <c r="K168">
        <v>0.16420000000000001</v>
      </c>
      <c r="L168">
        <v>0</v>
      </c>
      <c r="M168">
        <v>5</v>
      </c>
      <c r="N168">
        <v>5</v>
      </c>
    </row>
    <row r="169" spans="1:14" x14ac:dyDescent="0.3">
      <c r="A169">
        <v>168</v>
      </c>
      <c r="B169" s="1">
        <v>40551</v>
      </c>
      <c r="C169">
        <v>1</v>
      </c>
      <c r="D169">
        <v>6</v>
      </c>
      <c r="E169" t="b">
        <v>0</v>
      </c>
      <c r="F169">
        <v>6</v>
      </c>
      <c r="G169">
        <v>2</v>
      </c>
      <c r="H169">
        <v>0.16</v>
      </c>
      <c r="I169">
        <v>0.16669999999999999</v>
      </c>
      <c r="J169">
        <v>0.74</v>
      </c>
      <c r="K169">
        <v>0.16420000000000001</v>
      </c>
      <c r="L169">
        <v>0</v>
      </c>
      <c r="M169">
        <v>2</v>
      </c>
      <c r="N169">
        <v>2</v>
      </c>
    </row>
    <row r="170" spans="1:14" x14ac:dyDescent="0.3">
      <c r="A170">
        <v>169</v>
      </c>
      <c r="B170" s="1">
        <v>40551</v>
      </c>
      <c r="C170">
        <v>1</v>
      </c>
      <c r="D170">
        <v>7</v>
      </c>
      <c r="E170" t="b">
        <v>0</v>
      </c>
      <c r="F170">
        <v>6</v>
      </c>
      <c r="G170">
        <v>2</v>
      </c>
      <c r="H170">
        <v>0.16</v>
      </c>
      <c r="I170">
        <v>0.18179999999999999</v>
      </c>
      <c r="J170">
        <v>0.74</v>
      </c>
      <c r="K170">
        <v>0.1045</v>
      </c>
      <c r="L170">
        <v>1</v>
      </c>
      <c r="M170">
        <v>8</v>
      </c>
      <c r="N170">
        <v>9</v>
      </c>
    </row>
    <row r="171" spans="1:14" x14ac:dyDescent="0.3">
      <c r="A171">
        <v>170</v>
      </c>
      <c r="B171" s="1">
        <v>40551</v>
      </c>
      <c r="C171">
        <v>1</v>
      </c>
      <c r="D171">
        <v>8</v>
      </c>
      <c r="E171" t="b">
        <v>0</v>
      </c>
      <c r="F171">
        <v>6</v>
      </c>
      <c r="G171">
        <v>3</v>
      </c>
      <c r="H171">
        <v>0.16</v>
      </c>
      <c r="I171">
        <v>0.18179999999999999</v>
      </c>
      <c r="J171">
        <v>0.93</v>
      </c>
      <c r="K171">
        <v>0.1045</v>
      </c>
      <c r="L171">
        <v>0</v>
      </c>
      <c r="M171">
        <v>15</v>
      </c>
      <c r="N171">
        <v>15</v>
      </c>
    </row>
    <row r="172" spans="1:14" x14ac:dyDescent="0.3">
      <c r="A172">
        <v>171</v>
      </c>
      <c r="B172" s="1">
        <v>40551</v>
      </c>
      <c r="C172">
        <v>1</v>
      </c>
      <c r="D172">
        <v>9</v>
      </c>
      <c r="E172" t="b">
        <v>0</v>
      </c>
      <c r="F172">
        <v>6</v>
      </c>
      <c r="G172">
        <v>3</v>
      </c>
      <c r="H172">
        <v>0.16</v>
      </c>
      <c r="I172">
        <v>0.18179999999999999</v>
      </c>
      <c r="J172">
        <v>0.93</v>
      </c>
      <c r="K172">
        <v>0.1045</v>
      </c>
      <c r="L172">
        <v>0</v>
      </c>
      <c r="M172">
        <v>20</v>
      </c>
      <c r="N172">
        <v>20</v>
      </c>
    </row>
    <row r="173" spans="1:14" x14ac:dyDescent="0.3">
      <c r="A173">
        <v>172</v>
      </c>
      <c r="B173" s="1">
        <v>40551</v>
      </c>
      <c r="C173">
        <v>1</v>
      </c>
      <c r="D173">
        <v>10</v>
      </c>
      <c r="E173" t="b">
        <v>0</v>
      </c>
      <c r="F173">
        <v>6</v>
      </c>
      <c r="G173">
        <v>2</v>
      </c>
      <c r="H173">
        <v>0.18</v>
      </c>
      <c r="I173">
        <v>0.19700000000000001</v>
      </c>
      <c r="J173">
        <v>0.8</v>
      </c>
      <c r="K173">
        <v>0.16420000000000001</v>
      </c>
      <c r="L173">
        <v>5</v>
      </c>
      <c r="M173">
        <v>56</v>
      </c>
      <c r="N173">
        <v>61</v>
      </c>
    </row>
    <row r="174" spans="1:14" x14ac:dyDescent="0.3">
      <c r="A174">
        <v>173</v>
      </c>
      <c r="B174" s="1">
        <v>40551</v>
      </c>
      <c r="C174">
        <v>1</v>
      </c>
      <c r="D174">
        <v>11</v>
      </c>
      <c r="E174" t="b">
        <v>0</v>
      </c>
      <c r="F174">
        <v>6</v>
      </c>
      <c r="G174">
        <v>2</v>
      </c>
      <c r="H174">
        <v>0.2</v>
      </c>
      <c r="I174">
        <v>0.18179999999999999</v>
      </c>
      <c r="J174">
        <v>0.69</v>
      </c>
      <c r="K174">
        <v>0.3881</v>
      </c>
      <c r="L174">
        <v>2</v>
      </c>
      <c r="M174">
        <v>60</v>
      </c>
      <c r="N174">
        <v>62</v>
      </c>
    </row>
    <row r="175" spans="1:14" x14ac:dyDescent="0.3">
      <c r="A175">
        <v>174</v>
      </c>
      <c r="B175" s="1">
        <v>40551</v>
      </c>
      <c r="C175">
        <v>1</v>
      </c>
      <c r="D175">
        <v>12</v>
      </c>
      <c r="E175" t="b">
        <v>0</v>
      </c>
      <c r="F175">
        <v>6</v>
      </c>
      <c r="G175">
        <v>2</v>
      </c>
      <c r="H175">
        <v>0.2</v>
      </c>
      <c r="I175">
        <v>0.18179999999999999</v>
      </c>
      <c r="J175">
        <v>0.59</v>
      </c>
      <c r="K175">
        <v>0.35820000000000002</v>
      </c>
      <c r="L175">
        <v>8</v>
      </c>
      <c r="M175">
        <v>90</v>
      </c>
      <c r="N175">
        <v>98</v>
      </c>
    </row>
    <row r="176" spans="1:14" x14ac:dyDescent="0.3">
      <c r="A176">
        <v>175</v>
      </c>
      <c r="B176" s="1">
        <v>40551</v>
      </c>
      <c r="C176">
        <v>1</v>
      </c>
      <c r="D176">
        <v>13</v>
      </c>
      <c r="E176" t="b">
        <v>0</v>
      </c>
      <c r="F176">
        <v>6</v>
      </c>
      <c r="G176">
        <v>1</v>
      </c>
      <c r="H176">
        <v>0.2</v>
      </c>
      <c r="I176">
        <v>0.18179999999999999</v>
      </c>
      <c r="J176">
        <v>0.44</v>
      </c>
      <c r="K176">
        <v>0.32840000000000003</v>
      </c>
      <c r="L176">
        <v>7</v>
      </c>
      <c r="M176">
        <v>95</v>
      </c>
      <c r="N176">
        <v>102</v>
      </c>
    </row>
    <row r="177" spans="1:14" x14ac:dyDescent="0.3">
      <c r="A177">
        <v>176</v>
      </c>
      <c r="B177" s="1">
        <v>40551</v>
      </c>
      <c r="C177">
        <v>1</v>
      </c>
      <c r="D177">
        <v>14</v>
      </c>
      <c r="E177" t="b">
        <v>0</v>
      </c>
      <c r="F177">
        <v>6</v>
      </c>
      <c r="G177">
        <v>1</v>
      </c>
      <c r="H177">
        <v>0.2</v>
      </c>
      <c r="I177">
        <v>0.16669999999999999</v>
      </c>
      <c r="J177">
        <v>0.32</v>
      </c>
      <c r="K177">
        <v>0.49249999999999999</v>
      </c>
      <c r="L177">
        <v>12</v>
      </c>
      <c r="M177">
        <v>83</v>
      </c>
      <c r="N177">
        <v>95</v>
      </c>
    </row>
    <row r="178" spans="1:14" x14ac:dyDescent="0.3">
      <c r="A178">
        <v>177</v>
      </c>
      <c r="B178" s="1">
        <v>40551</v>
      </c>
      <c r="C178">
        <v>1</v>
      </c>
      <c r="D178">
        <v>15</v>
      </c>
      <c r="E178" t="b">
        <v>0</v>
      </c>
      <c r="F178">
        <v>6</v>
      </c>
      <c r="G178">
        <v>1</v>
      </c>
      <c r="H178">
        <v>0.2</v>
      </c>
      <c r="I178">
        <v>0.16669999999999999</v>
      </c>
      <c r="J178">
        <v>0.32</v>
      </c>
      <c r="K178">
        <v>0.44779999999999998</v>
      </c>
      <c r="L178">
        <v>5</v>
      </c>
      <c r="M178">
        <v>69</v>
      </c>
      <c r="N178">
        <v>74</v>
      </c>
    </row>
    <row r="179" spans="1:14" x14ac:dyDescent="0.3">
      <c r="A179">
        <v>178</v>
      </c>
      <c r="B179" s="1">
        <v>40551</v>
      </c>
      <c r="C179">
        <v>1</v>
      </c>
      <c r="D179">
        <v>16</v>
      </c>
      <c r="E179" t="b">
        <v>0</v>
      </c>
      <c r="F179">
        <v>6</v>
      </c>
      <c r="G179">
        <v>1</v>
      </c>
      <c r="H179">
        <v>0.18</v>
      </c>
      <c r="I179">
        <v>0.13639999999999999</v>
      </c>
      <c r="J179">
        <v>0.28999999999999998</v>
      </c>
      <c r="K179">
        <v>0.44779999999999998</v>
      </c>
      <c r="L179">
        <v>8</v>
      </c>
      <c r="M179">
        <v>68</v>
      </c>
      <c r="N179">
        <v>76</v>
      </c>
    </row>
    <row r="180" spans="1:14" x14ac:dyDescent="0.3">
      <c r="A180">
        <v>179</v>
      </c>
      <c r="B180" s="1">
        <v>40551</v>
      </c>
      <c r="C180">
        <v>1</v>
      </c>
      <c r="D180">
        <v>17</v>
      </c>
      <c r="E180" t="b">
        <v>0</v>
      </c>
      <c r="F180">
        <v>6</v>
      </c>
      <c r="G180">
        <v>1</v>
      </c>
      <c r="H180">
        <v>0.16</v>
      </c>
      <c r="I180">
        <v>0.1212</v>
      </c>
      <c r="J180">
        <v>0.37</v>
      </c>
      <c r="K180">
        <v>0.55220000000000002</v>
      </c>
      <c r="L180">
        <v>5</v>
      </c>
      <c r="M180">
        <v>64</v>
      </c>
      <c r="N180">
        <v>69</v>
      </c>
    </row>
    <row r="181" spans="1:14" x14ac:dyDescent="0.3">
      <c r="A181">
        <v>180</v>
      </c>
      <c r="B181" s="1">
        <v>40551</v>
      </c>
      <c r="C181">
        <v>1</v>
      </c>
      <c r="D181">
        <v>18</v>
      </c>
      <c r="E181" t="b">
        <v>0</v>
      </c>
      <c r="F181">
        <v>6</v>
      </c>
      <c r="G181">
        <v>1</v>
      </c>
      <c r="H181">
        <v>0.14000000000000001</v>
      </c>
      <c r="I181">
        <v>0.1212</v>
      </c>
      <c r="J181">
        <v>0.39</v>
      </c>
      <c r="K181">
        <v>0.29849999999999999</v>
      </c>
      <c r="L181">
        <v>3</v>
      </c>
      <c r="M181">
        <v>52</v>
      </c>
      <c r="N181">
        <v>55</v>
      </c>
    </row>
    <row r="182" spans="1:14" x14ac:dyDescent="0.3">
      <c r="A182">
        <v>181</v>
      </c>
      <c r="B182" s="1">
        <v>40551</v>
      </c>
      <c r="C182">
        <v>1</v>
      </c>
      <c r="D182">
        <v>19</v>
      </c>
      <c r="E182" t="b">
        <v>0</v>
      </c>
      <c r="F182">
        <v>6</v>
      </c>
      <c r="G182">
        <v>1</v>
      </c>
      <c r="H182">
        <v>0.14000000000000001</v>
      </c>
      <c r="I182">
        <v>0.1212</v>
      </c>
      <c r="J182">
        <v>0.36</v>
      </c>
      <c r="K182">
        <v>0.25369999999999998</v>
      </c>
      <c r="L182">
        <v>4</v>
      </c>
      <c r="M182">
        <v>26</v>
      </c>
      <c r="N182">
        <v>30</v>
      </c>
    </row>
    <row r="183" spans="1:14" x14ac:dyDescent="0.3">
      <c r="A183">
        <v>182</v>
      </c>
      <c r="B183" s="1">
        <v>40551</v>
      </c>
      <c r="C183">
        <v>1</v>
      </c>
      <c r="D183">
        <v>20</v>
      </c>
      <c r="E183" t="b">
        <v>0</v>
      </c>
      <c r="F183">
        <v>6</v>
      </c>
      <c r="G183">
        <v>1</v>
      </c>
      <c r="H183">
        <v>0.12</v>
      </c>
      <c r="I183">
        <v>0.1212</v>
      </c>
      <c r="J183">
        <v>0.36</v>
      </c>
      <c r="K183">
        <v>0.25369999999999998</v>
      </c>
      <c r="L183">
        <v>0</v>
      </c>
      <c r="M183">
        <v>28</v>
      </c>
      <c r="N183">
        <v>28</v>
      </c>
    </row>
    <row r="184" spans="1:14" x14ac:dyDescent="0.3">
      <c r="A184">
        <v>183</v>
      </c>
      <c r="B184" s="1">
        <v>40551</v>
      </c>
      <c r="C184">
        <v>1</v>
      </c>
      <c r="D184">
        <v>21</v>
      </c>
      <c r="E184" t="b">
        <v>0</v>
      </c>
      <c r="F184">
        <v>6</v>
      </c>
      <c r="G184">
        <v>1</v>
      </c>
      <c r="H184">
        <v>0.12</v>
      </c>
      <c r="I184">
        <v>0.1061</v>
      </c>
      <c r="J184">
        <v>0.39</v>
      </c>
      <c r="K184">
        <v>0.35820000000000002</v>
      </c>
      <c r="L184">
        <v>2</v>
      </c>
      <c r="M184">
        <v>35</v>
      </c>
      <c r="N184">
        <v>37</v>
      </c>
    </row>
    <row r="185" spans="1:14" x14ac:dyDescent="0.3">
      <c r="A185">
        <v>184</v>
      </c>
      <c r="B185" s="1">
        <v>40551</v>
      </c>
      <c r="C185">
        <v>1</v>
      </c>
      <c r="D185">
        <v>22</v>
      </c>
      <c r="E185" t="b">
        <v>0</v>
      </c>
      <c r="F185">
        <v>6</v>
      </c>
      <c r="G185">
        <v>1</v>
      </c>
      <c r="H185">
        <v>0.12</v>
      </c>
      <c r="I185">
        <v>0.1061</v>
      </c>
      <c r="J185">
        <v>0.36</v>
      </c>
      <c r="K185">
        <v>0.3881</v>
      </c>
      <c r="L185">
        <v>1</v>
      </c>
      <c r="M185">
        <v>33</v>
      </c>
      <c r="N185">
        <v>34</v>
      </c>
    </row>
    <row r="186" spans="1:14" x14ac:dyDescent="0.3">
      <c r="A186">
        <v>185</v>
      </c>
      <c r="B186" s="1">
        <v>40551</v>
      </c>
      <c r="C186">
        <v>1</v>
      </c>
      <c r="D186">
        <v>23</v>
      </c>
      <c r="E186" t="b">
        <v>0</v>
      </c>
      <c r="F186">
        <v>6</v>
      </c>
      <c r="G186">
        <v>1</v>
      </c>
      <c r="H186">
        <v>0.1</v>
      </c>
      <c r="I186">
        <v>6.0600000000000001E-2</v>
      </c>
      <c r="J186">
        <v>0.39</v>
      </c>
      <c r="K186">
        <v>0.44779999999999998</v>
      </c>
      <c r="L186">
        <v>0</v>
      </c>
      <c r="M186">
        <v>22</v>
      </c>
      <c r="N186">
        <v>22</v>
      </c>
    </row>
    <row r="187" spans="1:14" x14ac:dyDescent="0.3">
      <c r="A187">
        <v>186</v>
      </c>
      <c r="B187" s="1">
        <v>40552</v>
      </c>
      <c r="C187">
        <v>1</v>
      </c>
      <c r="D187">
        <v>0</v>
      </c>
      <c r="E187" t="b">
        <v>0</v>
      </c>
      <c r="F187">
        <v>0</v>
      </c>
      <c r="G187">
        <v>1</v>
      </c>
      <c r="H187">
        <v>0.1</v>
      </c>
      <c r="I187">
        <v>7.5800000000000006E-2</v>
      </c>
      <c r="J187">
        <v>0.42</v>
      </c>
      <c r="K187">
        <v>0.3881</v>
      </c>
      <c r="L187">
        <v>1</v>
      </c>
      <c r="M187">
        <v>24</v>
      </c>
      <c r="N187">
        <v>25</v>
      </c>
    </row>
    <row r="188" spans="1:14" x14ac:dyDescent="0.3">
      <c r="A188">
        <v>187</v>
      </c>
      <c r="B188" s="1">
        <v>40552</v>
      </c>
      <c r="C188">
        <v>1</v>
      </c>
      <c r="D188">
        <v>1</v>
      </c>
      <c r="E188" t="b">
        <v>0</v>
      </c>
      <c r="F188">
        <v>0</v>
      </c>
      <c r="G188">
        <v>1</v>
      </c>
      <c r="H188">
        <v>0.1</v>
      </c>
      <c r="I188">
        <v>6.0600000000000001E-2</v>
      </c>
      <c r="J188">
        <v>0.42</v>
      </c>
      <c r="K188">
        <v>0.4627</v>
      </c>
      <c r="L188">
        <v>0</v>
      </c>
      <c r="M188">
        <v>12</v>
      </c>
      <c r="N188">
        <v>12</v>
      </c>
    </row>
    <row r="189" spans="1:14" x14ac:dyDescent="0.3">
      <c r="A189">
        <v>188</v>
      </c>
      <c r="B189" s="1">
        <v>40552</v>
      </c>
      <c r="C189">
        <v>1</v>
      </c>
      <c r="D189">
        <v>2</v>
      </c>
      <c r="E189" t="b">
        <v>0</v>
      </c>
      <c r="F189">
        <v>0</v>
      </c>
      <c r="G189">
        <v>1</v>
      </c>
      <c r="H189">
        <v>0.1</v>
      </c>
      <c r="I189">
        <v>6.0600000000000001E-2</v>
      </c>
      <c r="J189">
        <v>0.46</v>
      </c>
      <c r="K189">
        <v>0.4627</v>
      </c>
      <c r="L189">
        <v>0</v>
      </c>
      <c r="M189">
        <v>11</v>
      </c>
      <c r="N189">
        <v>11</v>
      </c>
    </row>
    <row r="190" spans="1:14" x14ac:dyDescent="0.3">
      <c r="A190">
        <v>189</v>
      </c>
      <c r="B190" s="1">
        <v>40552</v>
      </c>
      <c r="C190">
        <v>1</v>
      </c>
      <c r="D190">
        <v>3</v>
      </c>
      <c r="E190" t="b">
        <v>0</v>
      </c>
      <c r="F190">
        <v>0</v>
      </c>
      <c r="G190">
        <v>1</v>
      </c>
      <c r="H190">
        <v>0.1</v>
      </c>
      <c r="I190">
        <v>7.5800000000000006E-2</v>
      </c>
      <c r="J190">
        <v>0.46</v>
      </c>
      <c r="K190">
        <v>0.41789999999999999</v>
      </c>
      <c r="L190">
        <v>0</v>
      </c>
      <c r="M190">
        <v>4</v>
      </c>
      <c r="N190">
        <v>4</v>
      </c>
    </row>
    <row r="191" spans="1:14" x14ac:dyDescent="0.3">
      <c r="A191">
        <v>190</v>
      </c>
      <c r="B191" s="1">
        <v>40552</v>
      </c>
      <c r="C191">
        <v>1</v>
      </c>
      <c r="D191">
        <v>4</v>
      </c>
      <c r="E191" t="b">
        <v>0</v>
      </c>
      <c r="F191">
        <v>0</v>
      </c>
      <c r="G191">
        <v>1</v>
      </c>
      <c r="H191">
        <v>0.08</v>
      </c>
      <c r="I191">
        <v>9.0899999999999995E-2</v>
      </c>
      <c r="J191">
        <v>0.53</v>
      </c>
      <c r="K191">
        <v>0.19400000000000001</v>
      </c>
      <c r="L191">
        <v>0</v>
      </c>
      <c r="M191">
        <v>1</v>
      </c>
      <c r="N191">
        <v>1</v>
      </c>
    </row>
    <row r="192" spans="1:14" x14ac:dyDescent="0.3">
      <c r="A192">
        <v>191</v>
      </c>
      <c r="B192" s="1">
        <v>40552</v>
      </c>
      <c r="C192">
        <v>1</v>
      </c>
      <c r="D192">
        <v>5</v>
      </c>
      <c r="E192" t="b">
        <v>0</v>
      </c>
      <c r="F192">
        <v>0</v>
      </c>
      <c r="G192">
        <v>1</v>
      </c>
      <c r="H192">
        <v>0.08</v>
      </c>
      <c r="I192">
        <v>9.0899999999999995E-2</v>
      </c>
      <c r="J192">
        <v>0.53</v>
      </c>
      <c r="K192">
        <v>0.19400000000000001</v>
      </c>
      <c r="L192">
        <v>0</v>
      </c>
      <c r="M192">
        <v>1</v>
      </c>
      <c r="N192">
        <v>1</v>
      </c>
    </row>
    <row r="193" spans="1:14" x14ac:dyDescent="0.3">
      <c r="A193">
        <v>192</v>
      </c>
      <c r="B193" s="1">
        <v>40552</v>
      </c>
      <c r="C193">
        <v>1</v>
      </c>
      <c r="D193">
        <v>6</v>
      </c>
      <c r="E193" t="b">
        <v>0</v>
      </c>
      <c r="F193">
        <v>0</v>
      </c>
      <c r="G193">
        <v>1</v>
      </c>
      <c r="H193">
        <v>0.1</v>
      </c>
      <c r="I193">
        <v>9.0899999999999995E-2</v>
      </c>
      <c r="J193">
        <v>0.49</v>
      </c>
      <c r="K193">
        <v>0.28360000000000002</v>
      </c>
      <c r="L193">
        <v>0</v>
      </c>
      <c r="M193">
        <v>1</v>
      </c>
      <c r="N193">
        <v>1</v>
      </c>
    </row>
    <row r="194" spans="1:14" x14ac:dyDescent="0.3">
      <c r="A194">
        <v>193</v>
      </c>
      <c r="B194" s="1">
        <v>40552</v>
      </c>
      <c r="C194">
        <v>1</v>
      </c>
      <c r="D194">
        <v>7</v>
      </c>
      <c r="E194" t="b">
        <v>0</v>
      </c>
      <c r="F194">
        <v>0</v>
      </c>
      <c r="G194">
        <v>1</v>
      </c>
      <c r="H194">
        <v>0.08</v>
      </c>
      <c r="I194">
        <v>9.0899999999999995E-2</v>
      </c>
      <c r="J194">
        <v>0.53</v>
      </c>
      <c r="K194">
        <v>0.19400000000000001</v>
      </c>
      <c r="L194">
        <v>1</v>
      </c>
      <c r="M194">
        <v>5</v>
      </c>
      <c r="N194">
        <v>6</v>
      </c>
    </row>
    <row r="195" spans="1:14" x14ac:dyDescent="0.3">
      <c r="A195">
        <v>194</v>
      </c>
      <c r="B195" s="1">
        <v>40552</v>
      </c>
      <c r="C195">
        <v>1</v>
      </c>
      <c r="D195">
        <v>8</v>
      </c>
      <c r="E195" t="b">
        <v>0</v>
      </c>
      <c r="F195">
        <v>0</v>
      </c>
      <c r="G195">
        <v>1</v>
      </c>
      <c r="H195">
        <v>0.1</v>
      </c>
      <c r="I195">
        <v>9.0899999999999995E-2</v>
      </c>
      <c r="J195">
        <v>0.49</v>
      </c>
      <c r="K195">
        <v>0.28360000000000002</v>
      </c>
      <c r="L195">
        <v>0</v>
      </c>
      <c r="M195">
        <v>10</v>
      </c>
      <c r="N195">
        <v>10</v>
      </c>
    </row>
    <row r="196" spans="1:14" x14ac:dyDescent="0.3">
      <c r="A196">
        <v>195</v>
      </c>
      <c r="B196" s="1">
        <v>40552</v>
      </c>
      <c r="C196">
        <v>1</v>
      </c>
      <c r="D196">
        <v>9</v>
      </c>
      <c r="E196" t="b">
        <v>0</v>
      </c>
      <c r="F196">
        <v>0</v>
      </c>
      <c r="G196">
        <v>1</v>
      </c>
      <c r="H196">
        <v>0.12</v>
      </c>
      <c r="I196">
        <v>7.5800000000000006E-2</v>
      </c>
      <c r="J196">
        <v>0.46</v>
      </c>
      <c r="K196">
        <v>0.52239999999999998</v>
      </c>
      <c r="L196">
        <v>0</v>
      </c>
      <c r="M196">
        <v>19</v>
      </c>
      <c r="N196">
        <v>19</v>
      </c>
    </row>
    <row r="197" spans="1:14" x14ac:dyDescent="0.3">
      <c r="A197">
        <v>196</v>
      </c>
      <c r="B197" s="1">
        <v>40552</v>
      </c>
      <c r="C197">
        <v>1</v>
      </c>
      <c r="D197">
        <v>10</v>
      </c>
      <c r="E197" t="b">
        <v>0</v>
      </c>
      <c r="F197">
        <v>0</v>
      </c>
      <c r="G197">
        <v>1</v>
      </c>
      <c r="H197">
        <v>0.14000000000000001</v>
      </c>
      <c r="I197">
        <v>0.1061</v>
      </c>
      <c r="J197">
        <v>0.43</v>
      </c>
      <c r="K197">
        <v>0.3881</v>
      </c>
      <c r="L197">
        <v>0</v>
      </c>
      <c r="M197">
        <v>49</v>
      </c>
      <c r="N197">
        <v>49</v>
      </c>
    </row>
    <row r="198" spans="1:14" x14ac:dyDescent="0.3">
      <c r="A198">
        <v>197</v>
      </c>
      <c r="B198" s="1">
        <v>40552</v>
      </c>
      <c r="C198">
        <v>1</v>
      </c>
      <c r="D198">
        <v>11</v>
      </c>
      <c r="E198" t="b">
        <v>0</v>
      </c>
      <c r="F198">
        <v>0</v>
      </c>
      <c r="G198">
        <v>1</v>
      </c>
      <c r="H198">
        <v>0.16</v>
      </c>
      <c r="I198">
        <v>0.1212</v>
      </c>
      <c r="J198">
        <v>0.4</v>
      </c>
      <c r="K198">
        <v>0.52239999999999998</v>
      </c>
      <c r="L198">
        <v>2</v>
      </c>
      <c r="M198">
        <v>47</v>
      </c>
      <c r="N198">
        <v>49</v>
      </c>
    </row>
    <row r="199" spans="1:14" x14ac:dyDescent="0.3">
      <c r="A199">
        <v>198</v>
      </c>
      <c r="B199" s="1">
        <v>40552</v>
      </c>
      <c r="C199">
        <v>1</v>
      </c>
      <c r="D199">
        <v>12</v>
      </c>
      <c r="E199" t="b">
        <v>0</v>
      </c>
      <c r="F199">
        <v>0</v>
      </c>
      <c r="G199">
        <v>1</v>
      </c>
      <c r="H199">
        <v>0.18</v>
      </c>
      <c r="I199">
        <v>0.13639999999999999</v>
      </c>
      <c r="J199">
        <v>0.37</v>
      </c>
      <c r="K199">
        <v>0.44779999999999998</v>
      </c>
      <c r="L199">
        <v>4</v>
      </c>
      <c r="M199">
        <v>79</v>
      </c>
      <c r="N199">
        <v>83</v>
      </c>
    </row>
    <row r="200" spans="1:14" x14ac:dyDescent="0.3">
      <c r="A200">
        <v>199</v>
      </c>
      <c r="B200" s="1">
        <v>40552</v>
      </c>
      <c r="C200">
        <v>1</v>
      </c>
      <c r="D200">
        <v>13</v>
      </c>
      <c r="E200" t="b">
        <v>0</v>
      </c>
      <c r="F200">
        <v>0</v>
      </c>
      <c r="G200">
        <v>1</v>
      </c>
      <c r="H200">
        <v>0.2</v>
      </c>
      <c r="I200">
        <v>0.16669999999999999</v>
      </c>
      <c r="J200">
        <v>0.34</v>
      </c>
      <c r="K200">
        <v>0.44779999999999998</v>
      </c>
      <c r="L200">
        <v>6</v>
      </c>
      <c r="M200">
        <v>69</v>
      </c>
      <c r="N200">
        <v>75</v>
      </c>
    </row>
    <row r="201" spans="1:14" x14ac:dyDescent="0.3">
      <c r="A201">
        <v>200</v>
      </c>
      <c r="B201" s="1">
        <v>40552</v>
      </c>
      <c r="C201">
        <v>1</v>
      </c>
      <c r="D201">
        <v>14</v>
      </c>
      <c r="E201" t="b">
        <v>0</v>
      </c>
      <c r="F201">
        <v>0</v>
      </c>
      <c r="G201">
        <v>1</v>
      </c>
      <c r="H201">
        <v>0.22</v>
      </c>
      <c r="I201">
        <v>0.18179999999999999</v>
      </c>
      <c r="J201">
        <v>0.32</v>
      </c>
      <c r="K201">
        <v>0.4627</v>
      </c>
      <c r="L201">
        <v>8</v>
      </c>
      <c r="M201">
        <v>64</v>
      </c>
      <c r="N201">
        <v>72</v>
      </c>
    </row>
    <row r="202" spans="1:14" x14ac:dyDescent="0.3">
      <c r="A202">
        <v>201</v>
      </c>
      <c r="B202" s="1">
        <v>40552</v>
      </c>
      <c r="C202">
        <v>1</v>
      </c>
      <c r="D202">
        <v>15</v>
      </c>
      <c r="E202" t="b">
        <v>0</v>
      </c>
      <c r="F202">
        <v>0</v>
      </c>
      <c r="G202">
        <v>1</v>
      </c>
      <c r="H202">
        <v>0.22</v>
      </c>
      <c r="I202">
        <v>0.19700000000000001</v>
      </c>
      <c r="J202">
        <v>0.35</v>
      </c>
      <c r="K202">
        <v>0.35820000000000002</v>
      </c>
      <c r="L202">
        <v>5</v>
      </c>
      <c r="M202">
        <v>77</v>
      </c>
      <c r="N202">
        <v>82</v>
      </c>
    </row>
    <row r="203" spans="1:14" x14ac:dyDescent="0.3">
      <c r="A203">
        <v>202</v>
      </c>
      <c r="B203" s="1">
        <v>40552</v>
      </c>
      <c r="C203">
        <v>1</v>
      </c>
      <c r="D203">
        <v>16</v>
      </c>
      <c r="E203" t="b">
        <v>0</v>
      </c>
      <c r="F203">
        <v>0</v>
      </c>
      <c r="G203">
        <v>1</v>
      </c>
      <c r="H203">
        <v>0.2</v>
      </c>
      <c r="I203">
        <v>0.16669999999999999</v>
      </c>
      <c r="J203">
        <v>0.34</v>
      </c>
      <c r="K203">
        <v>0.44779999999999998</v>
      </c>
      <c r="L203">
        <v>13</v>
      </c>
      <c r="M203">
        <v>79</v>
      </c>
      <c r="N203">
        <v>92</v>
      </c>
    </row>
    <row r="204" spans="1:14" x14ac:dyDescent="0.3">
      <c r="A204">
        <v>203</v>
      </c>
      <c r="B204" s="1">
        <v>40552</v>
      </c>
      <c r="C204">
        <v>1</v>
      </c>
      <c r="D204">
        <v>17</v>
      </c>
      <c r="E204" t="b">
        <v>0</v>
      </c>
      <c r="F204">
        <v>0</v>
      </c>
      <c r="G204">
        <v>1</v>
      </c>
      <c r="H204">
        <v>0.18</v>
      </c>
      <c r="I204">
        <v>0.1515</v>
      </c>
      <c r="J204">
        <v>0.37</v>
      </c>
      <c r="K204">
        <v>0.3881</v>
      </c>
      <c r="L204">
        <v>3</v>
      </c>
      <c r="M204">
        <v>59</v>
      </c>
      <c r="N204">
        <v>62</v>
      </c>
    </row>
    <row r="205" spans="1:14" x14ac:dyDescent="0.3">
      <c r="A205">
        <v>204</v>
      </c>
      <c r="B205" s="1">
        <v>40552</v>
      </c>
      <c r="C205">
        <v>1</v>
      </c>
      <c r="D205">
        <v>18</v>
      </c>
      <c r="E205" t="b">
        <v>0</v>
      </c>
      <c r="F205">
        <v>0</v>
      </c>
      <c r="G205">
        <v>1</v>
      </c>
      <c r="H205">
        <v>0.16</v>
      </c>
      <c r="I205">
        <v>0.13639999999999999</v>
      </c>
      <c r="J205">
        <v>0.4</v>
      </c>
      <c r="K205">
        <v>0.32840000000000003</v>
      </c>
      <c r="L205">
        <v>4</v>
      </c>
      <c r="M205">
        <v>44</v>
      </c>
      <c r="N205">
        <v>48</v>
      </c>
    </row>
    <row r="206" spans="1:14" x14ac:dyDescent="0.3">
      <c r="A206">
        <v>205</v>
      </c>
      <c r="B206" s="1">
        <v>40552</v>
      </c>
      <c r="C206">
        <v>1</v>
      </c>
      <c r="D206">
        <v>19</v>
      </c>
      <c r="E206" t="b">
        <v>0</v>
      </c>
      <c r="F206">
        <v>0</v>
      </c>
      <c r="G206">
        <v>1</v>
      </c>
      <c r="H206">
        <v>0.16</v>
      </c>
      <c r="I206">
        <v>0.13639999999999999</v>
      </c>
      <c r="J206">
        <v>0.43</v>
      </c>
      <c r="K206">
        <v>0.32840000000000003</v>
      </c>
      <c r="L206">
        <v>1</v>
      </c>
      <c r="M206">
        <v>40</v>
      </c>
      <c r="N206">
        <v>41</v>
      </c>
    </row>
    <row r="207" spans="1:14" x14ac:dyDescent="0.3">
      <c r="A207">
        <v>206</v>
      </c>
      <c r="B207" s="1">
        <v>40552</v>
      </c>
      <c r="C207">
        <v>1</v>
      </c>
      <c r="D207">
        <v>20</v>
      </c>
      <c r="E207" t="b">
        <v>0</v>
      </c>
      <c r="F207">
        <v>0</v>
      </c>
      <c r="G207">
        <v>1</v>
      </c>
      <c r="H207">
        <v>0.14000000000000001</v>
      </c>
      <c r="I207">
        <v>0.1212</v>
      </c>
      <c r="J207">
        <v>0.46</v>
      </c>
      <c r="K207">
        <v>0.25369999999999998</v>
      </c>
      <c r="L207">
        <v>0</v>
      </c>
      <c r="M207">
        <v>38</v>
      </c>
      <c r="N207">
        <v>38</v>
      </c>
    </row>
    <row r="208" spans="1:14" x14ac:dyDescent="0.3">
      <c r="A208">
        <v>207</v>
      </c>
      <c r="B208" s="1">
        <v>40552</v>
      </c>
      <c r="C208">
        <v>1</v>
      </c>
      <c r="D208">
        <v>21</v>
      </c>
      <c r="E208" t="b">
        <v>0</v>
      </c>
      <c r="F208">
        <v>0</v>
      </c>
      <c r="G208">
        <v>1</v>
      </c>
      <c r="H208">
        <v>0.14000000000000001</v>
      </c>
      <c r="I208">
        <v>0.1061</v>
      </c>
      <c r="J208">
        <v>0.46</v>
      </c>
      <c r="K208">
        <v>0.41789999999999999</v>
      </c>
      <c r="L208">
        <v>1</v>
      </c>
      <c r="M208">
        <v>19</v>
      </c>
      <c r="N208">
        <v>20</v>
      </c>
    </row>
    <row r="209" spans="1:14" x14ac:dyDescent="0.3">
      <c r="A209">
        <v>208</v>
      </c>
      <c r="B209" s="1">
        <v>40552</v>
      </c>
      <c r="C209">
        <v>1</v>
      </c>
      <c r="D209">
        <v>22</v>
      </c>
      <c r="E209" t="b">
        <v>0</v>
      </c>
      <c r="F209">
        <v>0</v>
      </c>
      <c r="G209">
        <v>1</v>
      </c>
      <c r="H209">
        <v>0.14000000000000001</v>
      </c>
      <c r="I209">
        <v>0.1212</v>
      </c>
      <c r="J209">
        <v>0.46</v>
      </c>
      <c r="K209">
        <v>0.29849999999999999</v>
      </c>
      <c r="L209">
        <v>5</v>
      </c>
      <c r="M209">
        <v>10</v>
      </c>
      <c r="N209">
        <v>15</v>
      </c>
    </row>
    <row r="210" spans="1:14" x14ac:dyDescent="0.3">
      <c r="A210">
        <v>209</v>
      </c>
      <c r="B210" s="1">
        <v>40552</v>
      </c>
      <c r="C210">
        <v>1</v>
      </c>
      <c r="D210">
        <v>23</v>
      </c>
      <c r="E210" t="b">
        <v>0</v>
      </c>
      <c r="F210">
        <v>0</v>
      </c>
      <c r="G210">
        <v>1</v>
      </c>
      <c r="H210">
        <v>0.12</v>
      </c>
      <c r="I210">
        <v>0.13639999999999999</v>
      </c>
      <c r="J210">
        <v>0.5</v>
      </c>
      <c r="K210">
        <v>0.19400000000000001</v>
      </c>
      <c r="L210">
        <v>0</v>
      </c>
      <c r="M210">
        <v>6</v>
      </c>
      <c r="N210">
        <v>6</v>
      </c>
    </row>
    <row r="211" spans="1:14" x14ac:dyDescent="0.3">
      <c r="A211">
        <v>210</v>
      </c>
      <c r="B211" s="1">
        <v>40553</v>
      </c>
      <c r="C211">
        <v>1</v>
      </c>
      <c r="D211">
        <v>0</v>
      </c>
      <c r="E211" t="b">
        <v>0</v>
      </c>
      <c r="F211">
        <v>1</v>
      </c>
      <c r="G211">
        <v>1</v>
      </c>
      <c r="H211">
        <v>0.12</v>
      </c>
      <c r="I211">
        <v>0.1212</v>
      </c>
      <c r="J211">
        <v>0.5</v>
      </c>
      <c r="K211">
        <v>0.28360000000000002</v>
      </c>
      <c r="L211">
        <v>2</v>
      </c>
      <c r="M211">
        <v>3</v>
      </c>
      <c r="N211">
        <v>5</v>
      </c>
    </row>
    <row r="212" spans="1:14" x14ac:dyDescent="0.3">
      <c r="A212">
        <v>211</v>
      </c>
      <c r="B212" s="1">
        <v>40553</v>
      </c>
      <c r="C212">
        <v>1</v>
      </c>
      <c r="D212">
        <v>1</v>
      </c>
      <c r="E212" t="b">
        <v>0</v>
      </c>
      <c r="F212">
        <v>1</v>
      </c>
      <c r="G212">
        <v>1</v>
      </c>
      <c r="H212">
        <v>0.12</v>
      </c>
      <c r="I212">
        <v>0.1212</v>
      </c>
      <c r="J212">
        <v>0.5</v>
      </c>
      <c r="K212">
        <v>0.28360000000000002</v>
      </c>
      <c r="L212">
        <v>1</v>
      </c>
      <c r="M212">
        <v>0</v>
      </c>
      <c r="N212">
        <v>1</v>
      </c>
    </row>
    <row r="213" spans="1:14" x14ac:dyDescent="0.3">
      <c r="A213">
        <v>212</v>
      </c>
      <c r="B213" s="1">
        <v>40553</v>
      </c>
      <c r="C213">
        <v>1</v>
      </c>
      <c r="D213">
        <v>2</v>
      </c>
      <c r="E213" t="b">
        <v>0</v>
      </c>
      <c r="F213">
        <v>1</v>
      </c>
      <c r="G213">
        <v>1</v>
      </c>
      <c r="H213">
        <v>0.12</v>
      </c>
      <c r="I213">
        <v>0.1212</v>
      </c>
      <c r="J213">
        <v>0.5</v>
      </c>
      <c r="K213">
        <v>0.22389999999999999</v>
      </c>
      <c r="L213">
        <v>0</v>
      </c>
      <c r="M213">
        <v>3</v>
      </c>
      <c r="N213">
        <v>3</v>
      </c>
    </row>
    <row r="214" spans="1:14" x14ac:dyDescent="0.3">
      <c r="A214">
        <v>213</v>
      </c>
      <c r="B214" s="1">
        <v>40553</v>
      </c>
      <c r="C214">
        <v>1</v>
      </c>
      <c r="D214">
        <v>3</v>
      </c>
      <c r="E214" t="b">
        <v>0</v>
      </c>
      <c r="F214">
        <v>1</v>
      </c>
      <c r="G214">
        <v>1</v>
      </c>
      <c r="H214">
        <v>0.12</v>
      </c>
      <c r="I214">
        <v>0.1212</v>
      </c>
      <c r="J214">
        <v>0.5</v>
      </c>
      <c r="K214">
        <v>0.22389999999999999</v>
      </c>
      <c r="L214">
        <v>0</v>
      </c>
      <c r="M214">
        <v>1</v>
      </c>
      <c r="N214">
        <v>1</v>
      </c>
    </row>
    <row r="215" spans="1:14" x14ac:dyDescent="0.3">
      <c r="A215">
        <v>214</v>
      </c>
      <c r="B215" s="1">
        <v>40553</v>
      </c>
      <c r="C215">
        <v>1</v>
      </c>
      <c r="D215">
        <v>4</v>
      </c>
      <c r="E215" t="b">
        <v>0</v>
      </c>
      <c r="F215">
        <v>1</v>
      </c>
      <c r="G215">
        <v>1</v>
      </c>
      <c r="H215">
        <v>0.1</v>
      </c>
      <c r="I215">
        <v>0.1212</v>
      </c>
      <c r="J215">
        <v>0.54</v>
      </c>
      <c r="K215">
        <v>0.1343</v>
      </c>
      <c r="L215">
        <v>1</v>
      </c>
      <c r="M215">
        <v>2</v>
      </c>
      <c r="N215">
        <v>3</v>
      </c>
    </row>
    <row r="216" spans="1:14" x14ac:dyDescent="0.3">
      <c r="A216">
        <v>215</v>
      </c>
      <c r="B216" s="1">
        <v>40553</v>
      </c>
      <c r="C216">
        <v>1</v>
      </c>
      <c r="D216">
        <v>5</v>
      </c>
      <c r="E216" t="b">
        <v>0</v>
      </c>
      <c r="F216">
        <v>1</v>
      </c>
      <c r="G216">
        <v>1</v>
      </c>
      <c r="H216">
        <v>0.1</v>
      </c>
      <c r="I216">
        <v>0.1061</v>
      </c>
      <c r="J216">
        <v>0.54</v>
      </c>
      <c r="K216">
        <v>0.25369999999999998</v>
      </c>
      <c r="L216">
        <v>0</v>
      </c>
      <c r="M216">
        <v>3</v>
      </c>
      <c r="N216">
        <v>3</v>
      </c>
    </row>
    <row r="217" spans="1:14" x14ac:dyDescent="0.3">
      <c r="A217">
        <v>216</v>
      </c>
      <c r="B217" s="1">
        <v>40553</v>
      </c>
      <c r="C217">
        <v>1</v>
      </c>
      <c r="D217">
        <v>6</v>
      </c>
      <c r="E217" t="b">
        <v>0</v>
      </c>
      <c r="F217">
        <v>1</v>
      </c>
      <c r="G217">
        <v>1</v>
      </c>
      <c r="H217">
        <v>0.12</v>
      </c>
      <c r="I217">
        <v>0.1212</v>
      </c>
      <c r="J217">
        <v>0.5</v>
      </c>
      <c r="K217">
        <v>0.28360000000000002</v>
      </c>
      <c r="L217">
        <v>0</v>
      </c>
      <c r="M217">
        <v>31</v>
      </c>
      <c r="N217">
        <v>31</v>
      </c>
    </row>
    <row r="218" spans="1:14" x14ac:dyDescent="0.3">
      <c r="A218">
        <v>217</v>
      </c>
      <c r="B218" s="1">
        <v>40553</v>
      </c>
      <c r="C218">
        <v>1</v>
      </c>
      <c r="D218">
        <v>7</v>
      </c>
      <c r="E218" t="b">
        <v>0</v>
      </c>
      <c r="F218">
        <v>1</v>
      </c>
      <c r="G218">
        <v>1</v>
      </c>
      <c r="H218">
        <v>0.12</v>
      </c>
      <c r="I218">
        <v>0.1212</v>
      </c>
      <c r="J218">
        <v>0.5</v>
      </c>
      <c r="K218">
        <v>0.22389999999999999</v>
      </c>
      <c r="L218">
        <v>2</v>
      </c>
      <c r="M218">
        <v>75</v>
      </c>
      <c r="N218">
        <v>77</v>
      </c>
    </row>
    <row r="219" spans="1:14" x14ac:dyDescent="0.3">
      <c r="A219">
        <v>218</v>
      </c>
      <c r="B219" s="1">
        <v>40553</v>
      </c>
      <c r="C219">
        <v>1</v>
      </c>
      <c r="D219">
        <v>8</v>
      </c>
      <c r="E219" t="b">
        <v>0</v>
      </c>
      <c r="F219">
        <v>1</v>
      </c>
      <c r="G219">
        <v>2</v>
      </c>
      <c r="H219">
        <v>0.12</v>
      </c>
      <c r="I219">
        <v>0.1212</v>
      </c>
      <c r="J219">
        <v>0.5</v>
      </c>
      <c r="K219">
        <v>0.28360000000000002</v>
      </c>
      <c r="L219">
        <v>4</v>
      </c>
      <c r="M219">
        <v>184</v>
      </c>
      <c r="N219">
        <v>188</v>
      </c>
    </row>
    <row r="220" spans="1:14" x14ac:dyDescent="0.3">
      <c r="A220">
        <v>219</v>
      </c>
      <c r="B220" s="1">
        <v>40553</v>
      </c>
      <c r="C220">
        <v>1</v>
      </c>
      <c r="D220">
        <v>9</v>
      </c>
      <c r="E220" t="b">
        <v>0</v>
      </c>
      <c r="F220">
        <v>1</v>
      </c>
      <c r="G220">
        <v>2</v>
      </c>
      <c r="H220">
        <v>0.14000000000000001</v>
      </c>
      <c r="I220">
        <v>0.1212</v>
      </c>
      <c r="J220">
        <v>0.5</v>
      </c>
      <c r="K220">
        <v>0.25369999999999998</v>
      </c>
      <c r="L220">
        <v>2</v>
      </c>
      <c r="M220">
        <v>92</v>
      </c>
      <c r="N220">
        <v>94</v>
      </c>
    </row>
    <row r="221" spans="1:14" x14ac:dyDescent="0.3">
      <c r="A221">
        <v>220</v>
      </c>
      <c r="B221" s="1">
        <v>40553</v>
      </c>
      <c r="C221">
        <v>1</v>
      </c>
      <c r="D221">
        <v>10</v>
      </c>
      <c r="E221" t="b">
        <v>0</v>
      </c>
      <c r="F221">
        <v>1</v>
      </c>
      <c r="G221">
        <v>2</v>
      </c>
      <c r="H221">
        <v>0.14000000000000001</v>
      </c>
      <c r="I221">
        <v>0.1212</v>
      </c>
      <c r="J221">
        <v>0.5</v>
      </c>
      <c r="K221">
        <v>0.29849999999999999</v>
      </c>
      <c r="L221">
        <v>0</v>
      </c>
      <c r="M221">
        <v>31</v>
      </c>
      <c r="N221">
        <v>31</v>
      </c>
    </row>
    <row r="222" spans="1:14" x14ac:dyDescent="0.3">
      <c r="A222">
        <v>221</v>
      </c>
      <c r="B222" s="1">
        <v>40553</v>
      </c>
      <c r="C222">
        <v>1</v>
      </c>
      <c r="D222">
        <v>11</v>
      </c>
      <c r="E222" t="b">
        <v>0</v>
      </c>
      <c r="F222">
        <v>1</v>
      </c>
      <c r="G222">
        <v>2</v>
      </c>
      <c r="H222">
        <v>0.16</v>
      </c>
      <c r="I222">
        <v>0.13639999999999999</v>
      </c>
      <c r="J222">
        <v>0.47</v>
      </c>
      <c r="K222">
        <v>0.28360000000000002</v>
      </c>
      <c r="L222">
        <v>2</v>
      </c>
      <c r="M222">
        <v>28</v>
      </c>
      <c r="N222">
        <v>30</v>
      </c>
    </row>
    <row r="223" spans="1:14" x14ac:dyDescent="0.3">
      <c r="A223">
        <v>222</v>
      </c>
      <c r="B223" s="1">
        <v>40553</v>
      </c>
      <c r="C223">
        <v>1</v>
      </c>
      <c r="D223">
        <v>12</v>
      </c>
      <c r="E223" t="b">
        <v>0</v>
      </c>
      <c r="F223">
        <v>1</v>
      </c>
      <c r="G223">
        <v>2</v>
      </c>
      <c r="H223">
        <v>0.2</v>
      </c>
      <c r="I223">
        <v>0.18179999999999999</v>
      </c>
      <c r="J223">
        <v>0.4</v>
      </c>
      <c r="K223">
        <v>0.28360000000000002</v>
      </c>
      <c r="L223">
        <v>5</v>
      </c>
      <c r="M223">
        <v>47</v>
      </c>
      <c r="N223">
        <v>52</v>
      </c>
    </row>
    <row r="224" spans="1:14" x14ac:dyDescent="0.3">
      <c r="A224">
        <v>223</v>
      </c>
      <c r="B224" s="1">
        <v>40553</v>
      </c>
      <c r="C224">
        <v>1</v>
      </c>
      <c r="D224">
        <v>13</v>
      </c>
      <c r="E224" t="b">
        <v>0</v>
      </c>
      <c r="F224">
        <v>1</v>
      </c>
      <c r="G224">
        <v>2</v>
      </c>
      <c r="H224">
        <v>0.2</v>
      </c>
      <c r="I224">
        <v>0.18179999999999999</v>
      </c>
      <c r="J224">
        <v>0.4</v>
      </c>
      <c r="K224">
        <v>0.28360000000000002</v>
      </c>
      <c r="L224">
        <v>4</v>
      </c>
      <c r="M224">
        <v>50</v>
      </c>
      <c r="N224">
        <v>54</v>
      </c>
    </row>
    <row r="225" spans="1:14" x14ac:dyDescent="0.3">
      <c r="A225">
        <v>224</v>
      </c>
      <c r="B225" s="1">
        <v>40553</v>
      </c>
      <c r="C225">
        <v>1</v>
      </c>
      <c r="D225">
        <v>14</v>
      </c>
      <c r="E225" t="b">
        <v>0</v>
      </c>
      <c r="F225">
        <v>1</v>
      </c>
      <c r="G225">
        <v>2</v>
      </c>
      <c r="H225">
        <v>0.2</v>
      </c>
      <c r="I225">
        <v>0.19700000000000001</v>
      </c>
      <c r="J225">
        <v>0.4</v>
      </c>
      <c r="K225">
        <v>0.22389999999999999</v>
      </c>
      <c r="L225">
        <v>0</v>
      </c>
      <c r="M225">
        <v>47</v>
      </c>
      <c r="N225">
        <v>47</v>
      </c>
    </row>
    <row r="226" spans="1:14" x14ac:dyDescent="0.3">
      <c r="A226">
        <v>225</v>
      </c>
      <c r="B226" s="1">
        <v>40553</v>
      </c>
      <c r="C226">
        <v>1</v>
      </c>
      <c r="D226">
        <v>15</v>
      </c>
      <c r="E226" t="b">
        <v>0</v>
      </c>
      <c r="F226">
        <v>1</v>
      </c>
      <c r="G226">
        <v>2</v>
      </c>
      <c r="H226">
        <v>0.2</v>
      </c>
      <c r="I226">
        <v>0.19700000000000001</v>
      </c>
      <c r="J226">
        <v>0.4</v>
      </c>
      <c r="K226">
        <v>0.22389999999999999</v>
      </c>
      <c r="L226">
        <v>2</v>
      </c>
      <c r="M226">
        <v>43</v>
      </c>
      <c r="N226">
        <v>45</v>
      </c>
    </row>
    <row r="227" spans="1:14" x14ac:dyDescent="0.3">
      <c r="A227">
        <v>226</v>
      </c>
      <c r="B227" s="1">
        <v>40553</v>
      </c>
      <c r="C227">
        <v>1</v>
      </c>
      <c r="D227">
        <v>16</v>
      </c>
      <c r="E227" t="b">
        <v>0</v>
      </c>
      <c r="F227">
        <v>1</v>
      </c>
      <c r="G227">
        <v>1</v>
      </c>
      <c r="H227">
        <v>0.2</v>
      </c>
      <c r="I227">
        <v>0.21210000000000001</v>
      </c>
      <c r="J227">
        <v>0.4</v>
      </c>
      <c r="K227">
        <v>0.1343</v>
      </c>
      <c r="L227">
        <v>4</v>
      </c>
      <c r="M227">
        <v>70</v>
      </c>
      <c r="N227">
        <v>74</v>
      </c>
    </row>
    <row r="228" spans="1:14" x14ac:dyDescent="0.3">
      <c r="A228">
        <v>227</v>
      </c>
      <c r="B228" s="1">
        <v>40553</v>
      </c>
      <c r="C228">
        <v>1</v>
      </c>
      <c r="D228">
        <v>17</v>
      </c>
      <c r="E228" t="b">
        <v>0</v>
      </c>
      <c r="F228">
        <v>1</v>
      </c>
      <c r="G228">
        <v>1</v>
      </c>
      <c r="H228">
        <v>0.2</v>
      </c>
      <c r="I228">
        <v>0.2273</v>
      </c>
      <c r="J228">
        <v>0.4</v>
      </c>
      <c r="K228">
        <v>0.1045</v>
      </c>
      <c r="L228">
        <v>4</v>
      </c>
      <c r="M228">
        <v>174</v>
      </c>
      <c r="N228">
        <v>178</v>
      </c>
    </row>
    <row r="229" spans="1:14" x14ac:dyDescent="0.3">
      <c r="A229">
        <v>228</v>
      </c>
      <c r="B229" s="1">
        <v>40553</v>
      </c>
      <c r="C229">
        <v>1</v>
      </c>
      <c r="D229">
        <v>18</v>
      </c>
      <c r="E229" t="b">
        <v>0</v>
      </c>
      <c r="F229">
        <v>1</v>
      </c>
      <c r="G229">
        <v>1</v>
      </c>
      <c r="H229">
        <v>0.2</v>
      </c>
      <c r="I229">
        <v>0.19700000000000001</v>
      </c>
      <c r="J229">
        <v>0.4</v>
      </c>
      <c r="K229">
        <v>0.22389999999999999</v>
      </c>
      <c r="L229">
        <v>1</v>
      </c>
      <c r="M229">
        <v>154</v>
      </c>
      <c r="N229">
        <v>155</v>
      </c>
    </row>
    <row r="230" spans="1:14" x14ac:dyDescent="0.3">
      <c r="A230">
        <v>229</v>
      </c>
      <c r="B230" s="1">
        <v>40553</v>
      </c>
      <c r="C230">
        <v>1</v>
      </c>
      <c r="D230">
        <v>19</v>
      </c>
      <c r="E230" t="b">
        <v>0</v>
      </c>
      <c r="F230">
        <v>1</v>
      </c>
      <c r="G230">
        <v>1</v>
      </c>
      <c r="H230">
        <v>0.16</v>
      </c>
      <c r="I230">
        <v>0.16669999999999999</v>
      </c>
      <c r="J230">
        <v>0.47</v>
      </c>
      <c r="K230">
        <v>0.16420000000000001</v>
      </c>
      <c r="L230">
        <v>3</v>
      </c>
      <c r="M230">
        <v>92</v>
      </c>
      <c r="N230">
        <v>95</v>
      </c>
    </row>
    <row r="231" spans="1:14" x14ac:dyDescent="0.3">
      <c r="A231">
        <v>230</v>
      </c>
      <c r="B231" s="1">
        <v>40553</v>
      </c>
      <c r="C231">
        <v>1</v>
      </c>
      <c r="D231">
        <v>20</v>
      </c>
      <c r="E231" t="b">
        <v>0</v>
      </c>
      <c r="F231">
        <v>1</v>
      </c>
      <c r="G231">
        <v>1</v>
      </c>
      <c r="H231">
        <v>0.16</v>
      </c>
      <c r="I231">
        <v>0.16669999999999999</v>
      </c>
      <c r="J231">
        <v>0.5</v>
      </c>
      <c r="K231">
        <v>0.16420000000000001</v>
      </c>
      <c r="L231">
        <v>1</v>
      </c>
      <c r="M231">
        <v>73</v>
      </c>
      <c r="N231">
        <v>74</v>
      </c>
    </row>
    <row r="232" spans="1:14" x14ac:dyDescent="0.3">
      <c r="A232">
        <v>231</v>
      </c>
      <c r="B232" s="1">
        <v>40553</v>
      </c>
      <c r="C232">
        <v>1</v>
      </c>
      <c r="D232">
        <v>21</v>
      </c>
      <c r="E232" t="b">
        <v>0</v>
      </c>
      <c r="F232">
        <v>1</v>
      </c>
      <c r="G232">
        <v>1</v>
      </c>
      <c r="H232">
        <v>0.14000000000000001</v>
      </c>
      <c r="I232">
        <v>0.13639999999999999</v>
      </c>
      <c r="J232">
        <v>0.59</v>
      </c>
      <c r="K232">
        <v>0.19400000000000001</v>
      </c>
      <c r="L232">
        <v>1</v>
      </c>
      <c r="M232">
        <v>37</v>
      </c>
      <c r="N232">
        <v>38</v>
      </c>
    </row>
    <row r="233" spans="1:14" x14ac:dyDescent="0.3">
      <c r="A233">
        <v>232</v>
      </c>
      <c r="B233" s="1">
        <v>40553</v>
      </c>
      <c r="C233">
        <v>1</v>
      </c>
      <c r="D233">
        <v>22</v>
      </c>
      <c r="E233" t="b">
        <v>0</v>
      </c>
      <c r="F233">
        <v>1</v>
      </c>
      <c r="G233">
        <v>1</v>
      </c>
      <c r="H233">
        <v>0.14000000000000001</v>
      </c>
      <c r="I233">
        <v>0.1515</v>
      </c>
      <c r="J233">
        <v>0.59</v>
      </c>
      <c r="K233">
        <v>0.16420000000000001</v>
      </c>
      <c r="L233">
        <v>2</v>
      </c>
      <c r="M233">
        <v>22</v>
      </c>
      <c r="N233">
        <v>24</v>
      </c>
    </row>
    <row r="234" spans="1:14" x14ac:dyDescent="0.3">
      <c r="A234">
        <v>233</v>
      </c>
      <c r="B234" s="1">
        <v>40553</v>
      </c>
      <c r="C234">
        <v>1</v>
      </c>
      <c r="D234">
        <v>23</v>
      </c>
      <c r="E234" t="b">
        <v>0</v>
      </c>
      <c r="F234">
        <v>1</v>
      </c>
      <c r="G234">
        <v>1</v>
      </c>
      <c r="H234">
        <v>0.14000000000000001</v>
      </c>
      <c r="I234">
        <v>0.1515</v>
      </c>
      <c r="J234">
        <v>0.59</v>
      </c>
      <c r="K234">
        <v>0.16420000000000001</v>
      </c>
      <c r="L234">
        <v>0</v>
      </c>
      <c r="M234">
        <v>18</v>
      </c>
      <c r="N234">
        <v>18</v>
      </c>
    </row>
    <row r="235" spans="1:14" x14ac:dyDescent="0.3">
      <c r="A235">
        <v>234</v>
      </c>
      <c r="B235" s="1">
        <v>40554</v>
      </c>
      <c r="C235">
        <v>1</v>
      </c>
      <c r="D235">
        <v>0</v>
      </c>
      <c r="E235" t="b">
        <v>0</v>
      </c>
      <c r="F235">
        <v>2</v>
      </c>
      <c r="G235">
        <v>1</v>
      </c>
      <c r="H235">
        <v>0.14000000000000001</v>
      </c>
      <c r="I235">
        <v>0.16669999999999999</v>
      </c>
      <c r="J235">
        <v>0.59</v>
      </c>
      <c r="K235">
        <v>0.1045</v>
      </c>
      <c r="L235">
        <v>2</v>
      </c>
      <c r="M235">
        <v>10</v>
      </c>
      <c r="N235">
        <v>12</v>
      </c>
    </row>
    <row r="236" spans="1:14" x14ac:dyDescent="0.3">
      <c r="A236">
        <v>235</v>
      </c>
      <c r="B236" s="1">
        <v>40554</v>
      </c>
      <c r="C236">
        <v>1</v>
      </c>
      <c r="D236">
        <v>1</v>
      </c>
      <c r="E236" t="b">
        <v>0</v>
      </c>
      <c r="F236">
        <v>2</v>
      </c>
      <c r="G236">
        <v>1</v>
      </c>
      <c r="H236">
        <v>0.14000000000000001</v>
      </c>
      <c r="I236">
        <v>0.1515</v>
      </c>
      <c r="J236">
        <v>0.59</v>
      </c>
      <c r="K236">
        <v>0.16420000000000001</v>
      </c>
      <c r="L236">
        <v>0</v>
      </c>
      <c r="M236">
        <v>3</v>
      </c>
      <c r="N236">
        <v>3</v>
      </c>
    </row>
    <row r="237" spans="1:14" x14ac:dyDescent="0.3">
      <c r="A237">
        <v>236</v>
      </c>
      <c r="B237" s="1">
        <v>40554</v>
      </c>
      <c r="C237">
        <v>1</v>
      </c>
      <c r="D237">
        <v>2</v>
      </c>
      <c r="E237" t="b">
        <v>0</v>
      </c>
      <c r="F237">
        <v>2</v>
      </c>
      <c r="G237">
        <v>2</v>
      </c>
      <c r="H237">
        <v>0.16</v>
      </c>
      <c r="I237">
        <v>0.1515</v>
      </c>
      <c r="J237">
        <v>0.55000000000000004</v>
      </c>
      <c r="K237">
        <v>0.19400000000000001</v>
      </c>
      <c r="L237">
        <v>0</v>
      </c>
      <c r="M237">
        <v>3</v>
      </c>
      <c r="N237">
        <v>3</v>
      </c>
    </row>
    <row r="238" spans="1:14" x14ac:dyDescent="0.3">
      <c r="A238">
        <v>237</v>
      </c>
      <c r="B238" s="1">
        <v>40554</v>
      </c>
      <c r="C238">
        <v>1</v>
      </c>
      <c r="D238">
        <v>5</v>
      </c>
      <c r="E238" t="b">
        <v>0</v>
      </c>
      <c r="F238">
        <v>2</v>
      </c>
      <c r="G238">
        <v>2</v>
      </c>
      <c r="H238">
        <v>0.16</v>
      </c>
      <c r="I238">
        <v>0.18179999999999999</v>
      </c>
      <c r="J238">
        <v>0.55000000000000004</v>
      </c>
      <c r="K238">
        <v>0.1343</v>
      </c>
      <c r="L238">
        <v>0</v>
      </c>
      <c r="M238">
        <v>6</v>
      </c>
      <c r="N238">
        <v>6</v>
      </c>
    </row>
    <row r="239" spans="1:14" x14ac:dyDescent="0.3">
      <c r="A239">
        <v>238</v>
      </c>
      <c r="B239" s="1">
        <v>40554</v>
      </c>
      <c r="C239">
        <v>1</v>
      </c>
      <c r="D239">
        <v>6</v>
      </c>
      <c r="E239" t="b">
        <v>0</v>
      </c>
      <c r="F239">
        <v>2</v>
      </c>
      <c r="G239">
        <v>2</v>
      </c>
      <c r="H239">
        <v>0.16</v>
      </c>
      <c r="I239">
        <v>0.18179999999999999</v>
      </c>
      <c r="J239">
        <v>0.55000000000000004</v>
      </c>
      <c r="K239">
        <v>0.1343</v>
      </c>
      <c r="L239">
        <v>0</v>
      </c>
      <c r="M239">
        <v>27</v>
      </c>
      <c r="N239">
        <v>27</v>
      </c>
    </row>
    <row r="240" spans="1:14" x14ac:dyDescent="0.3">
      <c r="A240">
        <v>239</v>
      </c>
      <c r="B240" s="1">
        <v>40554</v>
      </c>
      <c r="C240">
        <v>1</v>
      </c>
      <c r="D240">
        <v>7</v>
      </c>
      <c r="E240" t="b">
        <v>0</v>
      </c>
      <c r="F240">
        <v>2</v>
      </c>
      <c r="G240">
        <v>2</v>
      </c>
      <c r="H240">
        <v>0.16</v>
      </c>
      <c r="I240">
        <v>0.2273</v>
      </c>
      <c r="J240">
        <v>0.55000000000000004</v>
      </c>
      <c r="K240">
        <v>0</v>
      </c>
      <c r="L240">
        <v>2</v>
      </c>
      <c r="M240">
        <v>97</v>
      </c>
      <c r="N240">
        <v>99</v>
      </c>
    </row>
    <row r="241" spans="1:14" x14ac:dyDescent="0.3">
      <c r="A241">
        <v>240</v>
      </c>
      <c r="B241" s="1">
        <v>40554</v>
      </c>
      <c r="C241">
        <v>1</v>
      </c>
      <c r="D241">
        <v>8</v>
      </c>
      <c r="E241" t="b">
        <v>0</v>
      </c>
      <c r="F241">
        <v>2</v>
      </c>
      <c r="G241">
        <v>2</v>
      </c>
      <c r="H241">
        <v>0.18</v>
      </c>
      <c r="I241">
        <v>0.21210000000000001</v>
      </c>
      <c r="J241">
        <v>0.51</v>
      </c>
      <c r="K241">
        <v>8.9599999999999999E-2</v>
      </c>
      <c r="L241">
        <v>3</v>
      </c>
      <c r="M241">
        <v>214</v>
      </c>
      <c r="N241">
        <v>217</v>
      </c>
    </row>
    <row r="242" spans="1:14" x14ac:dyDescent="0.3">
      <c r="A242">
        <v>241</v>
      </c>
      <c r="B242" s="1">
        <v>40554</v>
      </c>
      <c r="C242">
        <v>1</v>
      </c>
      <c r="D242">
        <v>9</v>
      </c>
      <c r="E242" t="b">
        <v>0</v>
      </c>
      <c r="F242">
        <v>2</v>
      </c>
      <c r="G242">
        <v>2</v>
      </c>
      <c r="H242">
        <v>0.18</v>
      </c>
      <c r="I242">
        <v>0.19700000000000001</v>
      </c>
      <c r="J242">
        <v>0.51</v>
      </c>
      <c r="K242">
        <v>0.16420000000000001</v>
      </c>
      <c r="L242">
        <v>3</v>
      </c>
      <c r="M242">
        <v>127</v>
      </c>
      <c r="N242">
        <v>130</v>
      </c>
    </row>
    <row r="243" spans="1:14" x14ac:dyDescent="0.3">
      <c r="A243">
        <v>242</v>
      </c>
      <c r="B243" s="1">
        <v>40554</v>
      </c>
      <c r="C243">
        <v>1</v>
      </c>
      <c r="D243">
        <v>10</v>
      </c>
      <c r="E243" t="b">
        <v>0</v>
      </c>
      <c r="F243">
        <v>2</v>
      </c>
      <c r="G243">
        <v>2</v>
      </c>
      <c r="H243">
        <v>0.2</v>
      </c>
      <c r="I243">
        <v>0.21210000000000001</v>
      </c>
      <c r="J243">
        <v>0.51</v>
      </c>
      <c r="K243">
        <v>0.16420000000000001</v>
      </c>
      <c r="L243">
        <v>3</v>
      </c>
      <c r="M243">
        <v>51</v>
      </c>
      <c r="N243">
        <v>54</v>
      </c>
    </row>
    <row r="244" spans="1:14" x14ac:dyDescent="0.3">
      <c r="A244">
        <v>243</v>
      </c>
      <c r="B244" s="1">
        <v>40554</v>
      </c>
      <c r="C244">
        <v>1</v>
      </c>
      <c r="D244">
        <v>11</v>
      </c>
      <c r="E244" t="b">
        <v>0</v>
      </c>
      <c r="F244">
        <v>2</v>
      </c>
      <c r="G244">
        <v>2</v>
      </c>
      <c r="H244">
        <v>0.2</v>
      </c>
      <c r="I244">
        <v>0.21210000000000001</v>
      </c>
      <c r="J244">
        <v>0.47</v>
      </c>
      <c r="K244">
        <v>0.1343</v>
      </c>
      <c r="L244">
        <v>4</v>
      </c>
      <c r="M244">
        <v>31</v>
      </c>
      <c r="N244">
        <v>35</v>
      </c>
    </row>
    <row r="245" spans="1:14" x14ac:dyDescent="0.3">
      <c r="A245">
        <v>244</v>
      </c>
      <c r="B245" s="1">
        <v>40554</v>
      </c>
      <c r="C245">
        <v>1</v>
      </c>
      <c r="D245">
        <v>12</v>
      </c>
      <c r="E245" t="b">
        <v>0</v>
      </c>
      <c r="F245">
        <v>2</v>
      </c>
      <c r="G245">
        <v>2</v>
      </c>
      <c r="H245">
        <v>0.2</v>
      </c>
      <c r="I245">
        <v>0.2273</v>
      </c>
      <c r="J245">
        <v>0.51</v>
      </c>
      <c r="K245">
        <v>0.1045</v>
      </c>
      <c r="L245">
        <v>2</v>
      </c>
      <c r="M245">
        <v>55</v>
      </c>
      <c r="N245">
        <v>57</v>
      </c>
    </row>
    <row r="246" spans="1:14" x14ac:dyDescent="0.3">
      <c r="A246">
        <v>245</v>
      </c>
      <c r="B246" s="1">
        <v>40554</v>
      </c>
      <c r="C246">
        <v>1</v>
      </c>
      <c r="D246">
        <v>13</v>
      </c>
      <c r="E246" t="b">
        <v>0</v>
      </c>
      <c r="F246">
        <v>2</v>
      </c>
      <c r="G246">
        <v>2</v>
      </c>
      <c r="H246">
        <v>0.2</v>
      </c>
      <c r="I246">
        <v>0.2273</v>
      </c>
      <c r="J246">
        <v>0.59</v>
      </c>
      <c r="K246">
        <v>8.9599999999999999E-2</v>
      </c>
      <c r="L246">
        <v>6</v>
      </c>
      <c r="M246">
        <v>46</v>
      </c>
      <c r="N246">
        <v>52</v>
      </c>
    </row>
    <row r="247" spans="1:14" x14ac:dyDescent="0.3">
      <c r="A247">
        <v>246</v>
      </c>
      <c r="B247" s="1">
        <v>40554</v>
      </c>
      <c r="C247">
        <v>1</v>
      </c>
      <c r="D247">
        <v>14</v>
      </c>
      <c r="E247" t="b">
        <v>0</v>
      </c>
      <c r="F247">
        <v>2</v>
      </c>
      <c r="G247">
        <v>2</v>
      </c>
      <c r="H247">
        <v>0.2</v>
      </c>
      <c r="I247">
        <v>0.2273</v>
      </c>
      <c r="J247">
        <v>0.59</v>
      </c>
      <c r="K247">
        <v>8.9599999999999999E-2</v>
      </c>
      <c r="L247">
        <v>3</v>
      </c>
      <c r="M247">
        <v>60</v>
      </c>
      <c r="N247">
        <v>63</v>
      </c>
    </row>
    <row r="248" spans="1:14" x14ac:dyDescent="0.3">
      <c r="A248">
        <v>247</v>
      </c>
      <c r="B248" s="1">
        <v>40554</v>
      </c>
      <c r="C248">
        <v>1</v>
      </c>
      <c r="D248">
        <v>15</v>
      </c>
      <c r="E248" t="b">
        <v>0</v>
      </c>
      <c r="F248">
        <v>2</v>
      </c>
      <c r="G248">
        <v>2</v>
      </c>
      <c r="H248">
        <v>0.16</v>
      </c>
      <c r="I248">
        <v>0.19700000000000001</v>
      </c>
      <c r="J248">
        <v>0.8</v>
      </c>
      <c r="K248">
        <v>8.9599999999999999E-2</v>
      </c>
      <c r="L248">
        <v>2</v>
      </c>
      <c r="M248">
        <v>45</v>
      </c>
      <c r="N248">
        <v>47</v>
      </c>
    </row>
    <row r="249" spans="1:14" x14ac:dyDescent="0.3">
      <c r="A249">
        <v>248</v>
      </c>
      <c r="B249" s="1">
        <v>40554</v>
      </c>
      <c r="C249">
        <v>1</v>
      </c>
      <c r="D249">
        <v>16</v>
      </c>
      <c r="E249" t="b">
        <v>0</v>
      </c>
      <c r="F249">
        <v>2</v>
      </c>
      <c r="G249">
        <v>2</v>
      </c>
      <c r="H249">
        <v>0.16</v>
      </c>
      <c r="I249">
        <v>0.1515</v>
      </c>
      <c r="J249">
        <v>0.86</v>
      </c>
      <c r="K249">
        <v>0.22389999999999999</v>
      </c>
      <c r="L249">
        <v>4</v>
      </c>
      <c r="M249">
        <v>72</v>
      </c>
      <c r="N249">
        <v>76</v>
      </c>
    </row>
    <row r="250" spans="1:14" x14ac:dyDescent="0.3">
      <c r="A250">
        <v>249</v>
      </c>
      <c r="B250" s="1">
        <v>40554</v>
      </c>
      <c r="C250">
        <v>1</v>
      </c>
      <c r="D250">
        <v>17</v>
      </c>
      <c r="E250" t="b">
        <v>0</v>
      </c>
      <c r="F250">
        <v>2</v>
      </c>
      <c r="G250">
        <v>2</v>
      </c>
      <c r="H250">
        <v>0.16</v>
      </c>
      <c r="I250">
        <v>0.1515</v>
      </c>
      <c r="J250">
        <v>0.86</v>
      </c>
      <c r="K250">
        <v>0.22389999999999999</v>
      </c>
      <c r="L250">
        <v>6</v>
      </c>
      <c r="M250">
        <v>130</v>
      </c>
      <c r="N250">
        <v>136</v>
      </c>
    </row>
    <row r="251" spans="1:14" x14ac:dyDescent="0.3">
      <c r="A251">
        <v>250</v>
      </c>
      <c r="B251" s="1">
        <v>40554</v>
      </c>
      <c r="C251">
        <v>1</v>
      </c>
      <c r="D251">
        <v>18</v>
      </c>
      <c r="E251" t="b">
        <v>0</v>
      </c>
      <c r="F251">
        <v>2</v>
      </c>
      <c r="G251">
        <v>3</v>
      </c>
      <c r="H251">
        <v>0.16</v>
      </c>
      <c r="I251">
        <v>0.18179999999999999</v>
      </c>
      <c r="J251">
        <v>0.93</v>
      </c>
      <c r="K251">
        <v>0.1045</v>
      </c>
      <c r="L251">
        <v>1</v>
      </c>
      <c r="M251">
        <v>94</v>
      </c>
      <c r="N251">
        <v>95</v>
      </c>
    </row>
    <row r="252" spans="1:14" x14ac:dyDescent="0.3">
      <c r="A252">
        <v>251</v>
      </c>
      <c r="B252" s="1">
        <v>40554</v>
      </c>
      <c r="C252">
        <v>1</v>
      </c>
      <c r="D252">
        <v>19</v>
      </c>
      <c r="E252" t="b">
        <v>0</v>
      </c>
      <c r="F252">
        <v>2</v>
      </c>
      <c r="G252">
        <v>3</v>
      </c>
      <c r="H252">
        <v>0.16</v>
      </c>
      <c r="I252">
        <v>0.2273</v>
      </c>
      <c r="J252">
        <v>0.93</v>
      </c>
      <c r="K252">
        <v>0</v>
      </c>
      <c r="L252">
        <v>0</v>
      </c>
      <c r="M252">
        <v>51</v>
      </c>
      <c r="N252">
        <v>51</v>
      </c>
    </row>
    <row r="253" spans="1:14" x14ac:dyDescent="0.3">
      <c r="A253">
        <v>252</v>
      </c>
      <c r="B253" s="1">
        <v>40554</v>
      </c>
      <c r="C253">
        <v>1</v>
      </c>
      <c r="D253">
        <v>20</v>
      </c>
      <c r="E253" t="b">
        <v>0</v>
      </c>
      <c r="F253">
        <v>2</v>
      </c>
      <c r="G253">
        <v>3</v>
      </c>
      <c r="H253">
        <v>0.16</v>
      </c>
      <c r="I253">
        <v>0.1515</v>
      </c>
      <c r="J253">
        <v>0.93</v>
      </c>
      <c r="K253">
        <v>0.19400000000000001</v>
      </c>
      <c r="L253">
        <v>0</v>
      </c>
      <c r="M253">
        <v>32</v>
      </c>
      <c r="N253">
        <v>32</v>
      </c>
    </row>
    <row r="254" spans="1:14" x14ac:dyDescent="0.3">
      <c r="A254">
        <v>253</v>
      </c>
      <c r="B254" s="1">
        <v>40554</v>
      </c>
      <c r="C254">
        <v>1</v>
      </c>
      <c r="D254">
        <v>21</v>
      </c>
      <c r="E254" t="b">
        <v>0</v>
      </c>
      <c r="F254">
        <v>2</v>
      </c>
      <c r="G254">
        <v>3</v>
      </c>
      <c r="H254">
        <v>0.16</v>
      </c>
      <c r="I254">
        <v>0.19700000000000001</v>
      </c>
      <c r="J254">
        <v>0.86</v>
      </c>
      <c r="K254">
        <v>8.9599999999999999E-2</v>
      </c>
      <c r="L254">
        <v>0</v>
      </c>
      <c r="M254">
        <v>20</v>
      </c>
      <c r="N254">
        <v>20</v>
      </c>
    </row>
    <row r="255" spans="1:14" x14ac:dyDescent="0.3">
      <c r="A255">
        <v>254</v>
      </c>
      <c r="B255" s="1">
        <v>40554</v>
      </c>
      <c r="C255">
        <v>1</v>
      </c>
      <c r="D255">
        <v>22</v>
      </c>
      <c r="E255" t="b">
        <v>0</v>
      </c>
      <c r="F255">
        <v>2</v>
      </c>
      <c r="G255">
        <v>3</v>
      </c>
      <c r="H255">
        <v>0.16</v>
      </c>
      <c r="I255">
        <v>0.18179999999999999</v>
      </c>
      <c r="J255">
        <v>0.93</v>
      </c>
      <c r="K255">
        <v>0.1045</v>
      </c>
      <c r="L255">
        <v>1</v>
      </c>
      <c r="M255">
        <v>28</v>
      </c>
      <c r="N255">
        <v>29</v>
      </c>
    </row>
    <row r="256" spans="1:14" x14ac:dyDescent="0.3">
      <c r="A256">
        <v>255</v>
      </c>
      <c r="B256" s="1">
        <v>40554</v>
      </c>
      <c r="C256">
        <v>1</v>
      </c>
      <c r="D256">
        <v>23</v>
      </c>
      <c r="E256" t="b">
        <v>0</v>
      </c>
      <c r="F256">
        <v>2</v>
      </c>
      <c r="G256">
        <v>3</v>
      </c>
      <c r="H256">
        <v>0.16</v>
      </c>
      <c r="I256">
        <v>0.19700000000000001</v>
      </c>
      <c r="J256">
        <v>0.93</v>
      </c>
      <c r="K256">
        <v>8.9599999999999999E-2</v>
      </c>
      <c r="L256">
        <v>1</v>
      </c>
      <c r="M256">
        <v>18</v>
      </c>
      <c r="N256">
        <v>19</v>
      </c>
    </row>
    <row r="257" spans="1:14" x14ac:dyDescent="0.3">
      <c r="A257">
        <v>256</v>
      </c>
      <c r="B257" s="1">
        <v>40555</v>
      </c>
      <c r="C257">
        <v>1</v>
      </c>
      <c r="D257">
        <v>0</v>
      </c>
      <c r="E257" t="b">
        <v>0</v>
      </c>
      <c r="F257">
        <v>3</v>
      </c>
      <c r="G257">
        <v>2</v>
      </c>
      <c r="H257">
        <v>0.16</v>
      </c>
      <c r="I257">
        <v>0.19700000000000001</v>
      </c>
      <c r="J257">
        <v>0.86</v>
      </c>
      <c r="K257">
        <v>8.9599999999999999E-2</v>
      </c>
      <c r="L257">
        <v>0</v>
      </c>
      <c r="M257">
        <v>7</v>
      </c>
      <c r="N257">
        <v>7</v>
      </c>
    </row>
    <row r="258" spans="1:14" x14ac:dyDescent="0.3">
      <c r="A258">
        <v>257</v>
      </c>
      <c r="B258" s="1">
        <v>40555</v>
      </c>
      <c r="C258">
        <v>1</v>
      </c>
      <c r="D258">
        <v>1</v>
      </c>
      <c r="E258" t="b">
        <v>0</v>
      </c>
      <c r="F258">
        <v>3</v>
      </c>
      <c r="G258">
        <v>2</v>
      </c>
      <c r="H258">
        <v>0.16</v>
      </c>
      <c r="I258">
        <v>0.18179999999999999</v>
      </c>
      <c r="J258">
        <v>0.86</v>
      </c>
      <c r="K258">
        <v>0.1045</v>
      </c>
      <c r="L258">
        <v>0</v>
      </c>
      <c r="M258">
        <v>6</v>
      </c>
      <c r="N258">
        <v>6</v>
      </c>
    </row>
    <row r="259" spans="1:14" x14ac:dyDescent="0.3">
      <c r="A259">
        <v>258</v>
      </c>
      <c r="B259" s="1">
        <v>40555</v>
      </c>
      <c r="C259">
        <v>1</v>
      </c>
      <c r="D259">
        <v>2</v>
      </c>
      <c r="E259" t="b">
        <v>0</v>
      </c>
      <c r="F259">
        <v>3</v>
      </c>
      <c r="G259">
        <v>1</v>
      </c>
      <c r="H259">
        <v>0.14000000000000001</v>
      </c>
      <c r="I259">
        <v>0.1515</v>
      </c>
      <c r="J259">
        <v>0.86</v>
      </c>
      <c r="K259">
        <v>0.1343</v>
      </c>
      <c r="L259">
        <v>0</v>
      </c>
      <c r="M259">
        <v>1</v>
      </c>
      <c r="N259">
        <v>1</v>
      </c>
    </row>
    <row r="260" spans="1:14" x14ac:dyDescent="0.3">
      <c r="A260">
        <v>259</v>
      </c>
      <c r="B260" s="1">
        <v>40555</v>
      </c>
      <c r="C260">
        <v>1</v>
      </c>
      <c r="D260">
        <v>5</v>
      </c>
      <c r="E260" t="b">
        <v>0</v>
      </c>
      <c r="F260">
        <v>3</v>
      </c>
      <c r="G260">
        <v>1</v>
      </c>
      <c r="H260">
        <v>0.14000000000000001</v>
      </c>
      <c r="I260">
        <v>0.1515</v>
      </c>
      <c r="J260">
        <v>0.86</v>
      </c>
      <c r="K260">
        <v>0.16420000000000001</v>
      </c>
      <c r="L260">
        <v>0</v>
      </c>
      <c r="M260">
        <v>5</v>
      </c>
      <c r="N260">
        <v>5</v>
      </c>
    </row>
    <row r="261" spans="1:14" x14ac:dyDescent="0.3">
      <c r="A261">
        <v>260</v>
      </c>
      <c r="B261" s="1">
        <v>40555</v>
      </c>
      <c r="C261">
        <v>1</v>
      </c>
      <c r="D261">
        <v>6</v>
      </c>
      <c r="E261" t="b">
        <v>0</v>
      </c>
      <c r="F261">
        <v>3</v>
      </c>
      <c r="G261">
        <v>1</v>
      </c>
      <c r="H261">
        <v>0.12</v>
      </c>
      <c r="I261">
        <v>0.1515</v>
      </c>
      <c r="J261">
        <v>0.93</v>
      </c>
      <c r="K261">
        <v>0.1343</v>
      </c>
      <c r="L261">
        <v>0</v>
      </c>
      <c r="M261">
        <v>16</v>
      </c>
      <c r="N261">
        <v>16</v>
      </c>
    </row>
    <row r="262" spans="1:14" x14ac:dyDescent="0.3">
      <c r="A262">
        <v>261</v>
      </c>
      <c r="B262" s="1">
        <v>40555</v>
      </c>
      <c r="C262">
        <v>1</v>
      </c>
      <c r="D262">
        <v>7</v>
      </c>
      <c r="E262" t="b">
        <v>0</v>
      </c>
      <c r="F262">
        <v>3</v>
      </c>
      <c r="G262">
        <v>1</v>
      </c>
      <c r="H262">
        <v>0.14000000000000001</v>
      </c>
      <c r="I262">
        <v>0.1515</v>
      </c>
      <c r="J262">
        <v>0.69</v>
      </c>
      <c r="K262">
        <v>0.1343</v>
      </c>
      <c r="L262">
        <v>0</v>
      </c>
      <c r="M262">
        <v>54</v>
      </c>
      <c r="N262">
        <v>54</v>
      </c>
    </row>
    <row r="263" spans="1:14" x14ac:dyDescent="0.3">
      <c r="A263">
        <v>262</v>
      </c>
      <c r="B263" s="1">
        <v>40555</v>
      </c>
      <c r="C263">
        <v>1</v>
      </c>
      <c r="D263">
        <v>8</v>
      </c>
      <c r="E263" t="b">
        <v>0</v>
      </c>
      <c r="F263">
        <v>3</v>
      </c>
      <c r="G263">
        <v>1</v>
      </c>
      <c r="H263">
        <v>0.16</v>
      </c>
      <c r="I263">
        <v>0.16669999999999999</v>
      </c>
      <c r="J263">
        <v>0.59</v>
      </c>
      <c r="K263">
        <v>0.16420000000000001</v>
      </c>
      <c r="L263">
        <v>3</v>
      </c>
      <c r="M263">
        <v>125</v>
      </c>
      <c r="N263">
        <v>128</v>
      </c>
    </row>
    <row r="264" spans="1:14" x14ac:dyDescent="0.3">
      <c r="A264">
        <v>263</v>
      </c>
      <c r="B264" s="1">
        <v>40555</v>
      </c>
      <c r="C264">
        <v>1</v>
      </c>
      <c r="D264">
        <v>9</v>
      </c>
      <c r="E264" t="b">
        <v>0</v>
      </c>
      <c r="F264">
        <v>3</v>
      </c>
      <c r="G264">
        <v>1</v>
      </c>
      <c r="H264">
        <v>0.16</v>
      </c>
      <c r="I264">
        <v>0.13639999999999999</v>
      </c>
      <c r="J264">
        <v>0.59</v>
      </c>
      <c r="K264">
        <v>0.32840000000000003</v>
      </c>
      <c r="L264">
        <v>3</v>
      </c>
      <c r="M264">
        <v>78</v>
      </c>
      <c r="N264">
        <v>81</v>
      </c>
    </row>
    <row r="265" spans="1:14" x14ac:dyDescent="0.3">
      <c r="A265">
        <v>264</v>
      </c>
      <c r="B265" s="1">
        <v>40555</v>
      </c>
      <c r="C265">
        <v>1</v>
      </c>
      <c r="D265">
        <v>10</v>
      </c>
      <c r="E265" t="b">
        <v>0</v>
      </c>
      <c r="F265">
        <v>3</v>
      </c>
      <c r="G265">
        <v>1</v>
      </c>
      <c r="H265">
        <v>0.18</v>
      </c>
      <c r="I265">
        <v>0.18179999999999999</v>
      </c>
      <c r="J265">
        <v>0.55000000000000004</v>
      </c>
      <c r="K265">
        <v>0.22389999999999999</v>
      </c>
      <c r="L265">
        <v>0</v>
      </c>
      <c r="M265">
        <v>39</v>
      </c>
      <c r="N265">
        <v>39</v>
      </c>
    </row>
    <row r="266" spans="1:14" x14ac:dyDescent="0.3">
      <c r="A266">
        <v>265</v>
      </c>
      <c r="B266" s="1">
        <v>40555</v>
      </c>
      <c r="C266">
        <v>1</v>
      </c>
      <c r="D266">
        <v>11</v>
      </c>
      <c r="E266" t="b">
        <v>0</v>
      </c>
      <c r="F266">
        <v>3</v>
      </c>
      <c r="G266">
        <v>1</v>
      </c>
      <c r="H266">
        <v>0.2</v>
      </c>
      <c r="I266">
        <v>0.18179999999999999</v>
      </c>
      <c r="J266">
        <v>0.51</v>
      </c>
      <c r="K266">
        <v>0.3881</v>
      </c>
      <c r="L266">
        <v>3</v>
      </c>
      <c r="M266">
        <v>32</v>
      </c>
      <c r="N266">
        <v>35</v>
      </c>
    </row>
    <row r="267" spans="1:14" x14ac:dyDescent="0.3">
      <c r="A267">
        <v>266</v>
      </c>
      <c r="B267" s="1">
        <v>40555</v>
      </c>
      <c r="C267">
        <v>1</v>
      </c>
      <c r="D267">
        <v>12</v>
      </c>
      <c r="E267" t="b">
        <v>0</v>
      </c>
      <c r="F267">
        <v>3</v>
      </c>
      <c r="G267">
        <v>1</v>
      </c>
      <c r="H267">
        <v>0.2</v>
      </c>
      <c r="I267">
        <v>0.1515</v>
      </c>
      <c r="J267">
        <v>0.47</v>
      </c>
      <c r="K267">
        <v>0.58209999999999995</v>
      </c>
      <c r="L267">
        <v>3</v>
      </c>
      <c r="M267">
        <v>52</v>
      </c>
      <c r="N267">
        <v>55</v>
      </c>
    </row>
    <row r="268" spans="1:14" x14ac:dyDescent="0.3">
      <c r="A268">
        <v>267</v>
      </c>
      <c r="B268" s="1">
        <v>40555</v>
      </c>
      <c r="C268">
        <v>1</v>
      </c>
      <c r="D268">
        <v>13</v>
      </c>
      <c r="E268" t="b">
        <v>0</v>
      </c>
      <c r="F268">
        <v>3</v>
      </c>
      <c r="G268">
        <v>1</v>
      </c>
      <c r="H268">
        <v>0.22</v>
      </c>
      <c r="I268">
        <v>0.19700000000000001</v>
      </c>
      <c r="J268">
        <v>0.44</v>
      </c>
      <c r="K268">
        <v>0.35820000000000002</v>
      </c>
      <c r="L268">
        <v>0</v>
      </c>
      <c r="M268">
        <v>49</v>
      </c>
      <c r="N268">
        <v>49</v>
      </c>
    </row>
    <row r="269" spans="1:14" x14ac:dyDescent="0.3">
      <c r="A269">
        <v>268</v>
      </c>
      <c r="B269" s="1">
        <v>40555</v>
      </c>
      <c r="C269">
        <v>1</v>
      </c>
      <c r="D269">
        <v>14</v>
      </c>
      <c r="E269" t="b">
        <v>0</v>
      </c>
      <c r="F269">
        <v>3</v>
      </c>
      <c r="G269">
        <v>1</v>
      </c>
      <c r="H269">
        <v>0.2</v>
      </c>
      <c r="I269">
        <v>0.18179999999999999</v>
      </c>
      <c r="J269">
        <v>0.47</v>
      </c>
      <c r="K269">
        <v>0.32840000000000003</v>
      </c>
      <c r="L269">
        <v>0</v>
      </c>
      <c r="M269">
        <v>44</v>
      </c>
      <c r="N269">
        <v>44</v>
      </c>
    </row>
    <row r="270" spans="1:14" x14ac:dyDescent="0.3">
      <c r="A270">
        <v>269</v>
      </c>
      <c r="B270" s="1">
        <v>40555</v>
      </c>
      <c r="C270">
        <v>1</v>
      </c>
      <c r="D270">
        <v>15</v>
      </c>
      <c r="E270" t="b">
        <v>0</v>
      </c>
      <c r="F270">
        <v>3</v>
      </c>
      <c r="G270">
        <v>1</v>
      </c>
      <c r="H270">
        <v>0.2</v>
      </c>
      <c r="I270">
        <v>0.16669999999999999</v>
      </c>
      <c r="J270">
        <v>0.47</v>
      </c>
      <c r="K270">
        <v>0.41789999999999999</v>
      </c>
      <c r="L270">
        <v>1</v>
      </c>
      <c r="M270">
        <v>48</v>
      </c>
      <c r="N270">
        <v>49</v>
      </c>
    </row>
    <row r="271" spans="1:14" x14ac:dyDescent="0.3">
      <c r="A271">
        <v>270</v>
      </c>
      <c r="B271" s="1">
        <v>40555</v>
      </c>
      <c r="C271">
        <v>1</v>
      </c>
      <c r="D271">
        <v>16</v>
      </c>
      <c r="E271" t="b">
        <v>0</v>
      </c>
      <c r="F271">
        <v>3</v>
      </c>
      <c r="G271">
        <v>1</v>
      </c>
      <c r="H271">
        <v>0.22</v>
      </c>
      <c r="I271">
        <v>0.19700000000000001</v>
      </c>
      <c r="J271">
        <v>0.44</v>
      </c>
      <c r="K271">
        <v>0.32840000000000003</v>
      </c>
      <c r="L271">
        <v>5</v>
      </c>
      <c r="M271">
        <v>63</v>
      </c>
      <c r="N271">
        <v>68</v>
      </c>
    </row>
    <row r="272" spans="1:14" x14ac:dyDescent="0.3">
      <c r="A272">
        <v>271</v>
      </c>
      <c r="B272" s="1">
        <v>40555</v>
      </c>
      <c r="C272">
        <v>1</v>
      </c>
      <c r="D272">
        <v>17</v>
      </c>
      <c r="E272" t="b">
        <v>0</v>
      </c>
      <c r="F272">
        <v>3</v>
      </c>
      <c r="G272">
        <v>1</v>
      </c>
      <c r="H272">
        <v>0.2</v>
      </c>
      <c r="I272">
        <v>0.18179999999999999</v>
      </c>
      <c r="J272">
        <v>0.47</v>
      </c>
      <c r="K272">
        <v>0.35820000000000002</v>
      </c>
      <c r="L272">
        <v>0</v>
      </c>
      <c r="M272">
        <v>139</v>
      </c>
      <c r="N272">
        <v>139</v>
      </c>
    </row>
    <row r="273" spans="1:14" x14ac:dyDescent="0.3">
      <c r="A273">
        <v>272</v>
      </c>
      <c r="B273" s="1">
        <v>40555</v>
      </c>
      <c r="C273">
        <v>1</v>
      </c>
      <c r="D273">
        <v>18</v>
      </c>
      <c r="E273" t="b">
        <v>0</v>
      </c>
      <c r="F273">
        <v>3</v>
      </c>
      <c r="G273">
        <v>1</v>
      </c>
      <c r="H273">
        <v>0.2</v>
      </c>
      <c r="I273">
        <v>0.1515</v>
      </c>
      <c r="J273">
        <v>0.47</v>
      </c>
      <c r="K273">
        <v>0.52239999999999998</v>
      </c>
      <c r="L273">
        <v>2</v>
      </c>
      <c r="M273">
        <v>135</v>
      </c>
      <c r="N273">
        <v>137</v>
      </c>
    </row>
    <row r="274" spans="1:14" x14ac:dyDescent="0.3">
      <c r="A274">
        <v>273</v>
      </c>
      <c r="B274" s="1">
        <v>40555</v>
      </c>
      <c r="C274">
        <v>1</v>
      </c>
      <c r="D274">
        <v>19</v>
      </c>
      <c r="E274" t="b">
        <v>0</v>
      </c>
      <c r="F274">
        <v>3</v>
      </c>
      <c r="G274">
        <v>1</v>
      </c>
      <c r="H274">
        <v>0.18</v>
      </c>
      <c r="I274">
        <v>0.1515</v>
      </c>
      <c r="J274">
        <v>0.47</v>
      </c>
      <c r="K274">
        <v>0.41789999999999999</v>
      </c>
      <c r="L274">
        <v>1</v>
      </c>
      <c r="M274">
        <v>82</v>
      </c>
      <c r="N274">
        <v>83</v>
      </c>
    </row>
    <row r="275" spans="1:14" x14ac:dyDescent="0.3">
      <c r="A275">
        <v>274</v>
      </c>
      <c r="B275" s="1">
        <v>40555</v>
      </c>
      <c r="C275">
        <v>1</v>
      </c>
      <c r="D275">
        <v>20</v>
      </c>
      <c r="E275" t="b">
        <v>0</v>
      </c>
      <c r="F275">
        <v>3</v>
      </c>
      <c r="G275">
        <v>1</v>
      </c>
      <c r="H275">
        <v>0.16</v>
      </c>
      <c r="I275">
        <v>0.13639999999999999</v>
      </c>
      <c r="J275">
        <v>0.5</v>
      </c>
      <c r="K275">
        <v>0.32840000000000003</v>
      </c>
      <c r="L275">
        <v>2</v>
      </c>
      <c r="M275">
        <v>54</v>
      </c>
      <c r="N275">
        <v>56</v>
      </c>
    </row>
    <row r="276" spans="1:14" x14ac:dyDescent="0.3">
      <c r="A276">
        <v>275</v>
      </c>
      <c r="B276" s="1">
        <v>40555</v>
      </c>
      <c r="C276">
        <v>1</v>
      </c>
      <c r="D276">
        <v>21</v>
      </c>
      <c r="E276" t="b">
        <v>0</v>
      </c>
      <c r="F276">
        <v>3</v>
      </c>
      <c r="G276">
        <v>1</v>
      </c>
      <c r="H276">
        <v>0.16</v>
      </c>
      <c r="I276">
        <v>0.13639999999999999</v>
      </c>
      <c r="J276">
        <v>0.55000000000000004</v>
      </c>
      <c r="K276">
        <v>0.32840000000000003</v>
      </c>
      <c r="L276">
        <v>0</v>
      </c>
      <c r="M276">
        <v>57</v>
      </c>
      <c r="N276">
        <v>57</v>
      </c>
    </row>
    <row r="277" spans="1:14" x14ac:dyDescent="0.3">
      <c r="A277">
        <v>276</v>
      </c>
      <c r="B277" s="1">
        <v>40555</v>
      </c>
      <c r="C277">
        <v>1</v>
      </c>
      <c r="D277">
        <v>22</v>
      </c>
      <c r="E277" t="b">
        <v>0</v>
      </c>
      <c r="F277">
        <v>3</v>
      </c>
      <c r="G277">
        <v>1</v>
      </c>
      <c r="H277">
        <v>0.16</v>
      </c>
      <c r="I277">
        <v>0.1212</v>
      </c>
      <c r="J277">
        <v>0.55000000000000004</v>
      </c>
      <c r="K277">
        <v>0.44779999999999998</v>
      </c>
      <c r="L277">
        <v>1</v>
      </c>
      <c r="M277">
        <v>32</v>
      </c>
      <c r="N277">
        <v>33</v>
      </c>
    </row>
    <row r="278" spans="1:14" x14ac:dyDescent="0.3">
      <c r="A278">
        <v>277</v>
      </c>
      <c r="B278" s="1">
        <v>40555</v>
      </c>
      <c r="C278">
        <v>1</v>
      </c>
      <c r="D278">
        <v>23</v>
      </c>
      <c r="E278" t="b">
        <v>0</v>
      </c>
      <c r="F278">
        <v>3</v>
      </c>
      <c r="G278">
        <v>1</v>
      </c>
      <c r="H278">
        <v>0.14000000000000001</v>
      </c>
      <c r="I278">
        <v>0.1061</v>
      </c>
      <c r="J278">
        <v>0.59</v>
      </c>
      <c r="K278">
        <v>0.41789999999999999</v>
      </c>
      <c r="L278">
        <v>1</v>
      </c>
      <c r="M278">
        <v>19</v>
      </c>
      <c r="N278">
        <v>20</v>
      </c>
    </row>
    <row r="279" spans="1:14" x14ac:dyDescent="0.3">
      <c r="A279">
        <v>278</v>
      </c>
      <c r="B279" s="1">
        <v>40556</v>
      </c>
      <c r="C279">
        <v>1</v>
      </c>
      <c r="D279">
        <v>0</v>
      </c>
      <c r="E279" t="b">
        <v>0</v>
      </c>
      <c r="F279">
        <v>4</v>
      </c>
      <c r="G279">
        <v>1</v>
      </c>
      <c r="H279">
        <v>0.14000000000000001</v>
      </c>
      <c r="I279">
        <v>0.1212</v>
      </c>
      <c r="J279">
        <v>0.59</v>
      </c>
      <c r="K279">
        <v>0.28360000000000002</v>
      </c>
      <c r="L279">
        <v>1</v>
      </c>
      <c r="M279">
        <v>6</v>
      </c>
      <c r="N279">
        <v>7</v>
      </c>
    </row>
    <row r="280" spans="1:14" x14ac:dyDescent="0.3">
      <c r="A280">
        <v>279</v>
      </c>
      <c r="B280" s="1">
        <v>40556</v>
      </c>
      <c r="C280">
        <v>1</v>
      </c>
      <c r="D280">
        <v>1</v>
      </c>
      <c r="E280" t="b">
        <v>0</v>
      </c>
      <c r="F280">
        <v>4</v>
      </c>
      <c r="G280">
        <v>1</v>
      </c>
      <c r="H280">
        <v>0.14000000000000001</v>
      </c>
      <c r="I280">
        <v>0.1212</v>
      </c>
      <c r="J280">
        <v>0.5</v>
      </c>
      <c r="K280">
        <v>0.28360000000000002</v>
      </c>
      <c r="L280">
        <v>0</v>
      </c>
      <c r="M280">
        <v>2</v>
      </c>
      <c r="N280">
        <v>2</v>
      </c>
    </row>
    <row r="281" spans="1:14" x14ac:dyDescent="0.3">
      <c r="A281">
        <v>280</v>
      </c>
      <c r="B281" s="1">
        <v>40556</v>
      </c>
      <c r="C281">
        <v>1</v>
      </c>
      <c r="D281">
        <v>2</v>
      </c>
      <c r="E281" t="b">
        <v>0</v>
      </c>
      <c r="F281">
        <v>4</v>
      </c>
      <c r="G281">
        <v>1</v>
      </c>
      <c r="H281">
        <v>0.14000000000000001</v>
      </c>
      <c r="I281">
        <v>0.1212</v>
      </c>
      <c r="J281">
        <v>0.5</v>
      </c>
      <c r="K281">
        <v>0.35820000000000002</v>
      </c>
      <c r="L281">
        <v>0</v>
      </c>
      <c r="M281">
        <v>2</v>
      </c>
      <c r="N281">
        <v>2</v>
      </c>
    </row>
    <row r="282" spans="1:14" x14ac:dyDescent="0.3">
      <c r="A282">
        <v>281</v>
      </c>
      <c r="B282" s="1">
        <v>40556</v>
      </c>
      <c r="C282">
        <v>1</v>
      </c>
      <c r="D282">
        <v>3</v>
      </c>
      <c r="E282" t="b">
        <v>0</v>
      </c>
      <c r="F282">
        <v>4</v>
      </c>
      <c r="G282">
        <v>1</v>
      </c>
      <c r="H282">
        <v>0.14000000000000001</v>
      </c>
      <c r="I282">
        <v>0.1212</v>
      </c>
      <c r="J282">
        <v>0.5</v>
      </c>
      <c r="K282">
        <v>0.32840000000000003</v>
      </c>
      <c r="L282">
        <v>0</v>
      </c>
      <c r="M282">
        <v>3</v>
      </c>
      <c r="N282">
        <v>3</v>
      </c>
    </row>
    <row r="283" spans="1:14" x14ac:dyDescent="0.3">
      <c r="A283">
        <v>282</v>
      </c>
      <c r="B283" s="1">
        <v>40556</v>
      </c>
      <c r="C283">
        <v>1</v>
      </c>
      <c r="D283">
        <v>4</v>
      </c>
      <c r="E283" t="b">
        <v>0</v>
      </c>
      <c r="F283">
        <v>4</v>
      </c>
      <c r="G283">
        <v>1</v>
      </c>
      <c r="H283">
        <v>0.14000000000000001</v>
      </c>
      <c r="I283">
        <v>0.1212</v>
      </c>
      <c r="J283">
        <v>0.5</v>
      </c>
      <c r="K283">
        <v>0.25369999999999998</v>
      </c>
      <c r="L283">
        <v>0</v>
      </c>
      <c r="M283">
        <v>4</v>
      </c>
      <c r="N283">
        <v>4</v>
      </c>
    </row>
    <row r="284" spans="1:14" x14ac:dyDescent="0.3">
      <c r="A284">
        <v>283</v>
      </c>
      <c r="B284" s="1">
        <v>40556</v>
      </c>
      <c r="C284">
        <v>1</v>
      </c>
      <c r="D284">
        <v>5</v>
      </c>
      <c r="E284" t="b">
        <v>0</v>
      </c>
      <c r="F284">
        <v>4</v>
      </c>
      <c r="G284">
        <v>1</v>
      </c>
      <c r="H284">
        <v>0.14000000000000001</v>
      </c>
      <c r="I284">
        <v>0.1212</v>
      </c>
      <c r="J284">
        <v>0.5</v>
      </c>
      <c r="K284">
        <v>0.29849999999999999</v>
      </c>
      <c r="L284">
        <v>0</v>
      </c>
      <c r="M284">
        <v>3</v>
      </c>
      <c r="N284">
        <v>3</v>
      </c>
    </row>
    <row r="285" spans="1:14" x14ac:dyDescent="0.3">
      <c r="A285">
        <v>284</v>
      </c>
      <c r="B285" s="1">
        <v>40556</v>
      </c>
      <c r="C285">
        <v>1</v>
      </c>
      <c r="D285">
        <v>6</v>
      </c>
      <c r="E285" t="b">
        <v>0</v>
      </c>
      <c r="F285">
        <v>4</v>
      </c>
      <c r="G285">
        <v>1</v>
      </c>
      <c r="H285">
        <v>0.12</v>
      </c>
      <c r="I285">
        <v>0.1515</v>
      </c>
      <c r="J285">
        <v>0.54</v>
      </c>
      <c r="K285">
        <v>0.1343</v>
      </c>
      <c r="L285">
        <v>0</v>
      </c>
      <c r="M285">
        <v>28</v>
      </c>
      <c r="N285">
        <v>28</v>
      </c>
    </row>
    <row r="286" spans="1:14" x14ac:dyDescent="0.3">
      <c r="A286">
        <v>285</v>
      </c>
      <c r="B286" s="1">
        <v>40556</v>
      </c>
      <c r="C286">
        <v>1</v>
      </c>
      <c r="D286">
        <v>7</v>
      </c>
      <c r="E286" t="b">
        <v>0</v>
      </c>
      <c r="F286">
        <v>4</v>
      </c>
      <c r="G286">
        <v>1</v>
      </c>
      <c r="H286">
        <v>0.12</v>
      </c>
      <c r="I286">
        <v>0.1515</v>
      </c>
      <c r="J286">
        <v>0.54</v>
      </c>
      <c r="K286">
        <v>0.1343</v>
      </c>
      <c r="L286">
        <v>0</v>
      </c>
      <c r="M286">
        <v>72</v>
      </c>
      <c r="N286">
        <v>72</v>
      </c>
    </row>
    <row r="287" spans="1:14" x14ac:dyDescent="0.3">
      <c r="A287">
        <v>286</v>
      </c>
      <c r="B287" s="1">
        <v>40556</v>
      </c>
      <c r="C287">
        <v>1</v>
      </c>
      <c r="D287">
        <v>8</v>
      </c>
      <c r="E287" t="b">
        <v>0</v>
      </c>
      <c r="F287">
        <v>4</v>
      </c>
      <c r="G287">
        <v>1</v>
      </c>
      <c r="H287">
        <v>0.14000000000000001</v>
      </c>
      <c r="I287">
        <v>0.13639999999999999</v>
      </c>
      <c r="J287">
        <v>0.5</v>
      </c>
      <c r="K287">
        <v>0.19400000000000001</v>
      </c>
      <c r="L287">
        <v>5</v>
      </c>
      <c r="M287">
        <v>197</v>
      </c>
      <c r="N287">
        <v>202</v>
      </c>
    </row>
    <row r="288" spans="1:14" x14ac:dyDescent="0.3">
      <c r="A288">
        <v>287</v>
      </c>
      <c r="B288" s="1">
        <v>40556</v>
      </c>
      <c r="C288">
        <v>1</v>
      </c>
      <c r="D288">
        <v>9</v>
      </c>
      <c r="E288" t="b">
        <v>0</v>
      </c>
      <c r="F288">
        <v>4</v>
      </c>
      <c r="G288">
        <v>1</v>
      </c>
      <c r="H288">
        <v>0.14000000000000001</v>
      </c>
      <c r="I288">
        <v>0.1212</v>
      </c>
      <c r="J288">
        <v>0.5</v>
      </c>
      <c r="K288">
        <v>0.32840000000000003</v>
      </c>
      <c r="L288">
        <v>2</v>
      </c>
      <c r="M288">
        <v>137</v>
      </c>
      <c r="N288">
        <v>139</v>
      </c>
    </row>
    <row r="289" spans="1:14" x14ac:dyDescent="0.3">
      <c r="A289">
        <v>288</v>
      </c>
      <c r="B289" s="1">
        <v>40556</v>
      </c>
      <c r="C289">
        <v>1</v>
      </c>
      <c r="D289">
        <v>10</v>
      </c>
      <c r="E289" t="b">
        <v>0</v>
      </c>
      <c r="F289">
        <v>4</v>
      </c>
      <c r="G289">
        <v>2</v>
      </c>
      <c r="H289">
        <v>0.16</v>
      </c>
      <c r="I289">
        <v>0.13639999999999999</v>
      </c>
      <c r="J289">
        <v>0.5</v>
      </c>
      <c r="K289">
        <v>0.35820000000000002</v>
      </c>
      <c r="L289">
        <v>2</v>
      </c>
      <c r="M289">
        <v>36</v>
      </c>
      <c r="N289">
        <v>38</v>
      </c>
    </row>
    <row r="290" spans="1:14" x14ac:dyDescent="0.3">
      <c r="A290">
        <v>289</v>
      </c>
      <c r="B290" s="1">
        <v>40556</v>
      </c>
      <c r="C290">
        <v>1</v>
      </c>
      <c r="D290">
        <v>11</v>
      </c>
      <c r="E290" t="b">
        <v>0</v>
      </c>
      <c r="F290">
        <v>4</v>
      </c>
      <c r="G290">
        <v>2</v>
      </c>
      <c r="H290">
        <v>0.2</v>
      </c>
      <c r="I290">
        <v>0.16669999999999999</v>
      </c>
      <c r="J290">
        <v>0.44</v>
      </c>
      <c r="K290">
        <v>0.44779999999999998</v>
      </c>
      <c r="L290">
        <v>4</v>
      </c>
      <c r="M290">
        <v>33</v>
      </c>
      <c r="N290">
        <v>37</v>
      </c>
    </row>
    <row r="291" spans="1:14" x14ac:dyDescent="0.3">
      <c r="A291">
        <v>290</v>
      </c>
      <c r="B291" s="1">
        <v>40556</v>
      </c>
      <c r="C291">
        <v>1</v>
      </c>
      <c r="D291">
        <v>12</v>
      </c>
      <c r="E291" t="b">
        <v>0</v>
      </c>
      <c r="F291">
        <v>4</v>
      </c>
      <c r="G291">
        <v>1</v>
      </c>
      <c r="H291">
        <v>0.2</v>
      </c>
      <c r="I291">
        <v>0.16669999999999999</v>
      </c>
      <c r="J291">
        <v>0.44</v>
      </c>
      <c r="K291">
        <v>0.41789999999999999</v>
      </c>
      <c r="L291">
        <v>3</v>
      </c>
      <c r="M291">
        <v>49</v>
      </c>
      <c r="N291">
        <v>52</v>
      </c>
    </row>
    <row r="292" spans="1:14" x14ac:dyDescent="0.3">
      <c r="A292">
        <v>291</v>
      </c>
      <c r="B292" s="1">
        <v>40556</v>
      </c>
      <c r="C292">
        <v>1</v>
      </c>
      <c r="D292">
        <v>13</v>
      </c>
      <c r="E292" t="b">
        <v>0</v>
      </c>
      <c r="F292">
        <v>4</v>
      </c>
      <c r="G292">
        <v>1</v>
      </c>
      <c r="H292">
        <v>0.22</v>
      </c>
      <c r="I292">
        <v>0.19700000000000001</v>
      </c>
      <c r="J292">
        <v>0.41</v>
      </c>
      <c r="K292">
        <v>0.44779999999999998</v>
      </c>
      <c r="L292">
        <v>2</v>
      </c>
      <c r="M292">
        <v>81</v>
      </c>
      <c r="N292">
        <v>83</v>
      </c>
    </row>
    <row r="293" spans="1:14" x14ac:dyDescent="0.3">
      <c r="A293">
        <v>292</v>
      </c>
      <c r="B293" s="1">
        <v>40556</v>
      </c>
      <c r="C293">
        <v>1</v>
      </c>
      <c r="D293">
        <v>14</v>
      </c>
      <c r="E293" t="b">
        <v>0</v>
      </c>
      <c r="F293">
        <v>4</v>
      </c>
      <c r="G293">
        <v>1</v>
      </c>
      <c r="H293">
        <v>0.22</v>
      </c>
      <c r="I293">
        <v>0.19700000000000001</v>
      </c>
      <c r="J293">
        <v>0.41</v>
      </c>
      <c r="K293">
        <v>0.3881</v>
      </c>
      <c r="L293">
        <v>3</v>
      </c>
      <c r="M293">
        <v>39</v>
      </c>
      <c r="N293">
        <v>42</v>
      </c>
    </row>
    <row r="294" spans="1:14" x14ac:dyDescent="0.3">
      <c r="A294">
        <v>293</v>
      </c>
      <c r="B294" s="1">
        <v>40556</v>
      </c>
      <c r="C294">
        <v>1</v>
      </c>
      <c r="D294">
        <v>15</v>
      </c>
      <c r="E294" t="b">
        <v>0</v>
      </c>
      <c r="F294">
        <v>4</v>
      </c>
      <c r="G294">
        <v>1</v>
      </c>
      <c r="H294">
        <v>0.24</v>
      </c>
      <c r="I294">
        <v>0.21210000000000001</v>
      </c>
      <c r="J294">
        <v>0.38</v>
      </c>
      <c r="K294">
        <v>0.29849999999999999</v>
      </c>
      <c r="L294">
        <v>5</v>
      </c>
      <c r="M294">
        <v>55</v>
      </c>
      <c r="N294">
        <v>60</v>
      </c>
    </row>
    <row r="295" spans="1:14" x14ac:dyDescent="0.3">
      <c r="A295">
        <v>294</v>
      </c>
      <c r="B295" s="1">
        <v>40556</v>
      </c>
      <c r="C295">
        <v>1</v>
      </c>
      <c r="D295">
        <v>16</v>
      </c>
      <c r="E295" t="b">
        <v>0</v>
      </c>
      <c r="F295">
        <v>4</v>
      </c>
      <c r="G295">
        <v>1</v>
      </c>
      <c r="H295">
        <v>0.24</v>
      </c>
      <c r="I295">
        <v>0.21210000000000001</v>
      </c>
      <c r="J295">
        <v>0.38</v>
      </c>
      <c r="K295">
        <v>0.35820000000000002</v>
      </c>
      <c r="L295">
        <v>2</v>
      </c>
      <c r="M295">
        <v>76</v>
      </c>
      <c r="N295">
        <v>78</v>
      </c>
    </row>
    <row r="296" spans="1:14" x14ac:dyDescent="0.3">
      <c r="A296">
        <v>295</v>
      </c>
      <c r="B296" s="1">
        <v>40556</v>
      </c>
      <c r="C296">
        <v>1</v>
      </c>
      <c r="D296">
        <v>17</v>
      </c>
      <c r="E296" t="b">
        <v>0</v>
      </c>
      <c r="F296">
        <v>4</v>
      </c>
      <c r="G296">
        <v>1</v>
      </c>
      <c r="H296">
        <v>0.2</v>
      </c>
      <c r="I296">
        <v>0.18179999999999999</v>
      </c>
      <c r="J296">
        <v>0.4</v>
      </c>
      <c r="K296">
        <v>0.28360000000000002</v>
      </c>
      <c r="L296">
        <v>4</v>
      </c>
      <c r="M296">
        <v>158</v>
      </c>
      <c r="N296">
        <v>162</v>
      </c>
    </row>
    <row r="297" spans="1:14" x14ac:dyDescent="0.3">
      <c r="A297">
        <v>296</v>
      </c>
      <c r="B297" s="1">
        <v>40556</v>
      </c>
      <c r="C297">
        <v>1</v>
      </c>
      <c r="D297">
        <v>18</v>
      </c>
      <c r="E297" t="b">
        <v>0</v>
      </c>
      <c r="F297">
        <v>4</v>
      </c>
      <c r="G297">
        <v>1</v>
      </c>
      <c r="H297">
        <v>0.2</v>
      </c>
      <c r="I297">
        <v>0.18179999999999999</v>
      </c>
      <c r="J297">
        <v>0.4</v>
      </c>
      <c r="K297">
        <v>0.32840000000000003</v>
      </c>
      <c r="L297">
        <v>3</v>
      </c>
      <c r="M297">
        <v>141</v>
      </c>
      <c r="N297">
        <v>144</v>
      </c>
    </row>
    <row r="298" spans="1:14" x14ac:dyDescent="0.3">
      <c r="A298">
        <v>297</v>
      </c>
      <c r="B298" s="1">
        <v>40556</v>
      </c>
      <c r="C298">
        <v>1</v>
      </c>
      <c r="D298">
        <v>19</v>
      </c>
      <c r="E298" t="b">
        <v>0</v>
      </c>
      <c r="F298">
        <v>4</v>
      </c>
      <c r="G298">
        <v>1</v>
      </c>
      <c r="H298">
        <v>0.16</v>
      </c>
      <c r="I298">
        <v>0.1515</v>
      </c>
      <c r="J298">
        <v>0.47</v>
      </c>
      <c r="K298">
        <v>0.25369999999999998</v>
      </c>
      <c r="L298">
        <v>1</v>
      </c>
      <c r="M298">
        <v>98</v>
      </c>
      <c r="N298">
        <v>99</v>
      </c>
    </row>
    <row r="299" spans="1:14" x14ac:dyDescent="0.3">
      <c r="A299">
        <v>298</v>
      </c>
      <c r="B299" s="1">
        <v>40556</v>
      </c>
      <c r="C299">
        <v>1</v>
      </c>
      <c r="D299">
        <v>20</v>
      </c>
      <c r="E299" t="b">
        <v>0</v>
      </c>
      <c r="F299">
        <v>4</v>
      </c>
      <c r="G299">
        <v>1</v>
      </c>
      <c r="H299">
        <v>0.16</v>
      </c>
      <c r="I299">
        <v>0.1515</v>
      </c>
      <c r="J299">
        <v>0.47</v>
      </c>
      <c r="K299">
        <v>0.22389999999999999</v>
      </c>
      <c r="L299">
        <v>0</v>
      </c>
      <c r="M299">
        <v>64</v>
      </c>
      <c r="N299">
        <v>64</v>
      </c>
    </row>
    <row r="300" spans="1:14" x14ac:dyDescent="0.3">
      <c r="A300">
        <v>299</v>
      </c>
      <c r="B300" s="1">
        <v>40556</v>
      </c>
      <c r="C300">
        <v>1</v>
      </c>
      <c r="D300">
        <v>21</v>
      </c>
      <c r="E300" t="b">
        <v>0</v>
      </c>
      <c r="F300">
        <v>4</v>
      </c>
      <c r="G300">
        <v>1</v>
      </c>
      <c r="H300">
        <v>0.14000000000000001</v>
      </c>
      <c r="I300">
        <v>0.1212</v>
      </c>
      <c r="J300">
        <v>0.46</v>
      </c>
      <c r="K300">
        <v>0.29849999999999999</v>
      </c>
      <c r="L300">
        <v>0</v>
      </c>
      <c r="M300">
        <v>40</v>
      </c>
      <c r="N300">
        <v>40</v>
      </c>
    </row>
    <row r="301" spans="1:14" x14ac:dyDescent="0.3">
      <c r="A301">
        <v>300</v>
      </c>
      <c r="B301" s="1">
        <v>40556</v>
      </c>
      <c r="C301">
        <v>1</v>
      </c>
      <c r="D301">
        <v>22</v>
      </c>
      <c r="E301" t="b">
        <v>0</v>
      </c>
      <c r="F301">
        <v>4</v>
      </c>
      <c r="G301">
        <v>1</v>
      </c>
      <c r="H301">
        <v>0.14000000000000001</v>
      </c>
      <c r="I301">
        <v>0.1212</v>
      </c>
      <c r="J301">
        <v>0.46</v>
      </c>
      <c r="K301">
        <v>0.32840000000000003</v>
      </c>
      <c r="L301">
        <v>0</v>
      </c>
      <c r="M301">
        <v>30</v>
      </c>
      <c r="N301">
        <v>30</v>
      </c>
    </row>
    <row r="302" spans="1:14" x14ac:dyDescent="0.3">
      <c r="A302">
        <v>301</v>
      </c>
      <c r="B302" s="1">
        <v>40556</v>
      </c>
      <c r="C302">
        <v>1</v>
      </c>
      <c r="D302">
        <v>23</v>
      </c>
      <c r="E302" t="b">
        <v>0</v>
      </c>
      <c r="F302">
        <v>4</v>
      </c>
      <c r="G302">
        <v>1</v>
      </c>
      <c r="H302">
        <v>0.12</v>
      </c>
      <c r="I302">
        <v>0.13639999999999999</v>
      </c>
      <c r="J302">
        <v>0.5</v>
      </c>
      <c r="K302">
        <v>0.19400000000000001</v>
      </c>
      <c r="L302">
        <v>1</v>
      </c>
      <c r="M302">
        <v>14</v>
      </c>
      <c r="N302">
        <v>15</v>
      </c>
    </row>
    <row r="303" spans="1:14" x14ac:dyDescent="0.3">
      <c r="A303">
        <v>302</v>
      </c>
      <c r="B303" s="1">
        <v>40557</v>
      </c>
      <c r="C303">
        <v>1</v>
      </c>
      <c r="D303">
        <v>0</v>
      </c>
      <c r="E303" t="b">
        <v>0</v>
      </c>
      <c r="F303">
        <v>5</v>
      </c>
      <c r="G303">
        <v>1</v>
      </c>
      <c r="H303">
        <v>0.12</v>
      </c>
      <c r="I303">
        <v>0.13639999999999999</v>
      </c>
      <c r="J303">
        <v>0.5</v>
      </c>
      <c r="K303">
        <v>0.19400000000000001</v>
      </c>
      <c r="L303">
        <v>0</v>
      </c>
      <c r="M303">
        <v>14</v>
      </c>
      <c r="N303">
        <v>14</v>
      </c>
    </row>
    <row r="304" spans="1:14" x14ac:dyDescent="0.3">
      <c r="A304">
        <v>303</v>
      </c>
      <c r="B304" s="1">
        <v>40557</v>
      </c>
      <c r="C304">
        <v>1</v>
      </c>
      <c r="D304">
        <v>1</v>
      </c>
      <c r="E304" t="b">
        <v>0</v>
      </c>
      <c r="F304">
        <v>5</v>
      </c>
      <c r="G304">
        <v>1</v>
      </c>
      <c r="H304">
        <v>0.1</v>
      </c>
      <c r="I304">
        <v>0.1212</v>
      </c>
      <c r="J304">
        <v>0.54</v>
      </c>
      <c r="K304">
        <v>0.16420000000000001</v>
      </c>
      <c r="L304">
        <v>0</v>
      </c>
      <c r="M304">
        <v>5</v>
      </c>
      <c r="N304">
        <v>5</v>
      </c>
    </row>
    <row r="305" spans="1:14" x14ac:dyDescent="0.3">
      <c r="A305">
        <v>304</v>
      </c>
      <c r="B305" s="1">
        <v>40557</v>
      </c>
      <c r="C305">
        <v>1</v>
      </c>
      <c r="D305">
        <v>2</v>
      </c>
      <c r="E305" t="b">
        <v>0</v>
      </c>
      <c r="F305">
        <v>5</v>
      </c>
      <c r="G305">
        <v>1</v>
      </c>
      <c r="H305">
        <v>0.1</v>
      </c>
      <c r="I305">
        <v>0.1212</v>
      </c>
      <c r="J305">
        <v>0.54</v>
      </c>
      <c r="K305">
        <v>0.1343</v>
      </c>
      <c r="L305">
        <v>0</v>
      </c>
      <c r="M305">
        <v>1</v>
      </c>
      <c r="N305">
        <v>1</v>
      </c>
    </row>
    <row r="306" spans="1:14" x14ac:dyDescent="0.3">
      <c r="A306">
        <v>305</v>
      </c>
      <c r="B306" s="1">
        <v>40557</v>
      </c>
      <c r="C306">
        <v>1</v>
      </c>
      <c r="D306">
        <v>3</v>
      </c>
      <c r="E306" t="b">
        <v>0</v>
      </c>
      <c r="F306">
        <v>5</v>
      </c>
      <c r="G306">
        <v>1</v>
      </c>
      <c r="H306">
        <v>0.1</v>
      </c>
      <c r="I306">
        <v>0.13639999999999999</v>
      </c>
      <c r="J306">
        <v>0.54</v>
      </c>
      <c r="K306">
        <v>0.1045</v>
      </c>
      <c r="L306">
        <v>0</v>
      </c>
      <c r="M306">
        <v>1</v>
      </c>
      <c r="N306">
        <v>1</v>
      </c>
    </row>
    <row r="307" spans="1:14" x14ac:dyDescent="0.3">
      <c r="A307">
        <v>306</v>
      </c>
      <c r="B307" s="1">
        <v>40557</v>
      </c>
      <c r="C307">
        <v>1</v>
      </c>
      <c r="D307">
        <v>5</v>
      </c>
      <c r="E307" t="b">
        <v>0</v>
      </c>
      <c r="F307">
        <v>5</v>
      </c>
      <c r="G307">
        <v>1</v>
      </c>
      <c r="H307">
        <v>0.1</v>
      </c>
      <c r="I307">
        <v>0.13639999999999999</v>
      </c>
      <c r="J307">
        <v>0.54</v>
      </c>
      <c r="K307">
        <v>8.9599999999999999E-2</v>
      </c>
      <c r="L307">
        <v>0</v>
      </c>
      <c r="M307">
        <v>8</v>
      </c>
      <c r="N307">
        <v>8</v>
      </c>
    </row>
    <row r="308" spans="1:14" x14ac:dyDescent="0.3">
      <c r="A308">
        <v>307</v>
      </c>
      <c r="B308" s="1">
        <v>40557</v>
      </c>
      <c r="C308">
        <v>1</v>
      </c>
      <c r="D308">
        <v>6</v>
      </c>
      <c r="E308" t="b">
        <v>0</v>
      </c>
      <c r="F308">
        <v>5</v>
      </c>
      <c r="G308">
        <v>1</v>
      </c>
      <c r="H308">
        <v>0.1</v>
      </c>
      <c r="I308">
        <v>0.18179999999999999</v>
      </c>
      <c r="J308">
        <v>0.54</v>
      </c>
      <c r="K308">
        <v>0</v>
      </c>
      <c r="L308">
        <v>0</v>
      </c>
      <c r="M308">
        <v>17</v>
      </c>
      <c r="N308">
        <v>17</v>
      </c>
    </row>
    <row r="309" spans="1:14" x14ac:dyDescent="0.3">
      <c r="A309">
        <v>308</v>
      </c>
      <c r="B309" s="1">
        <v>40557</v>
      </c>
      <c r="C309">
        <v>1</v>
      </c>
      <c r="D309">
        <v>7</v>
      </c>
      <c r="E309" t="b">
        <v>0</v>
      </c>
      <c r="F309">
        <v>5</v>
      </c>
      <c r="G309">
        <v>1</v>
      </c>
      <c r="H309">
        <v>0.1</v>
      </c>
      <c r="I309">
        <v>0.1212</v>
      </c>
      <c r="J309">
        <v>0.74</v>
      </c>
      <c r="K309">
        <v>0.16420000000000001</v>
      </c>
      <c r="L309">
        <v>0</v>
      </c>
      <c r="M309">
        <v>70</v>
      </c>
      <c r="N309">
        <v>70</v>
      </c>
    </row>
    <row r="310" spans="1:14" x14ac:dyDescent="0.3">
      <c r="A310">
        <v>309</v>
      </c>
      <c r="B310" s="1">
        <v>40557</v>
      </c>
      <c r="C310">
        <v>1</v>
      </c>
      <c r="D310">
        <v>8</v>
      </c>
      <c r="E310" t="b">
        <v>0</v>
      </c>
      <c r="F310">
        <v>5</v>
      </c>
      <c r="G310">
        <v>1</v>
      </c>
      <c r="H310">
        <v>0.12</v>
      </c>
      <c r="I310">
        <v>0.16669999999999999</v>
      </c>
      <c r="J310">
        <v>0.68</v>
      </c>
      <c r="K310">
        <v>0</v>
      </c>
      <c r="L310">
        <v>2</v>
      </c>
      <c r="M310">
        <v>156</v>
      </c>
      <c r="N310">
        <v>158</v>
      </c>
    </row>
    <row r="311" spans="1:14" x14ac:dyDescent="0.3">
      <c r="A311">
        <v>310</v>
      </c>
      <c r="B311" s="1">
        <v>40557</v>
      </c>
      <c r="C311">
        <v>1</v>
      </c>
      <c r="D311">
        <v>9</v>
      </c>
      <c r="E311" t="b">
        <v>0</v>
      </c>
      <c r="F311">
        <v>5</v>
      </c>
      <c r="G311">
        <v>1</v>
      </c>
      <c r="H311">
        <v>0.14000000000000001</v>
      </c>
      <c r="I311">
        <v>0.1515</v>
      </c>
      <c r="J311">
        <v>0.69</v>
      </c>
      <c r="K311">
        <v>0.1343</v>
      </c>
      <c r="L311">
        <v>0</v>
      </c>
      <c r="M311">
        <v>117</v>
      </c>
      <c r="N311">
        <v>117</v>
      </c>
    </row>
    <row r="312" spans="1:14" x14ac:dyDescent="0.3">
      <c r="A312">
        <v>311</v>
      </c>
      <c r="B312" s="1">
        <v>40557</v>
      </c>
      <c r="C312">
        <v>1</v>
      </c>
      <c r="D312">
        <v>10</v>
      </c>
      <c r="E312" t="b">
        <v>0</v>
      </c>
      <c r="F312">
        <v>5</v>
      </c>
      <c r="G312">
        <v>1</v>
      </c>
      <c r="H312">
        <v>0.18</v>
      </c>
      <c r="I312">
        <v>0.18179999999999999</v>
      </c>
      <c r="J312">
        <v>0.55000000000000004</v>
      </c>
      <c r="K312">
        <v>0.19400000000000001</v>
      </c>
      <c r="L312">
        <v>4</v>
      </c>
      <c r="M312">
        <v>40</v>
      </c>
      <c r="N312">
        <v>44</v>
      </c>
    </row>
    <row r="313" spans="1:14" x14ac:dyDescent="0.3">
      <c r="A313">
        <v>312</v>
      </c>
      <c r="B313" s="1">
        <v>40557</v>
      </c>
      <c r="C313">
        <v>1</v>
      </c>
      <c r="D313">
        <v>11</v>
      </c>
      <c r="E313" t="b">
        <v>0</v>
      </c>
      <c r="F313">
        <v>5</v>
      </c>
      <c r="G313">
        <v>1</v>
      </c>
      <c r="H313">
        <v>0.18</v>
      </c>
      <c r="I313">
        <v>0.16669999999999999</v>
      </c>
      <c r="J313">
        <v>0.51</v>
      </c>
      <c r="K313">
        <v>0.28360000000000002</v>
      </c>
      <c r="L313">
        <v>6</v>
      </c>
      <c r="M313">
        <v>47</v>
      </c>
      <c r="N313">
        <v>53</v>
      </c>
    </row>
    <row r="314" spans="1:14" x14ac:dyDescent="0.3">
      <c r="A314">
        <v>313</v>
      </c>
      <c r="B314" s="1">
        <v>40557</v>
      </c>
      <c r="C314">
        <v>1</v>
      </c>
      <c r="D314">
        <v>12</v>
      </c>
      <c r="E314" t="b">
        <v>0</v>
      </c>
      <c r="F314">
        <v>5</v>
      </c>
      <c r="G314">
        <v>1</v>
      </c>
      <c r="H314">
        <v>0.2</v>
      </c>
      <c r="I314">
        <v>0.19700000000000001</v>
      </c>
      <c r="J314">
        <v>0.44</v>
      </c>
      <c r="K314">
        <v>0.25369999999999998</v>
      </c>
      <c r="L314">
        <v>2</v>
      </c>
      <c r="M314">
        <v>59</v>
      </c>
      <c r="N314">
        <v>61</v>
      </c>
    </row>
    <row r="315" spans="1:14" x14ac:dyDescent="0.3">
      <c r="A315">
        <v>314</v>
      </c>
      <c r="B315" s="1">
        <v>40557</v>
      </c>
      <c r="C315">
        <v>1</v>
      </c>
      <c r="D315">
        <v>13</v>
      </c>
      <c r="E315" t="b">
        <v>0</v>
      </c>
      <c r="F315">
        <v>5</v>
      </c>
      <c r="G315">
        <v>1</v>
      </c>
      <c r="H315">
        <v>0.22</v>
      </c>
      <c r="I315">
        <v>0.19700000000000001</v>
      </c>
      <c r="J315">
        <v>0.37</v>
      </c>
      <c r="K315">
        <v>0.3881</v>
      </c>
      <c r="L315">
        <v>4</v>
      </c>
      <c r="M315">
        <v>73</v>
      </c>
      <c r="N315">
        <v>77</v>
      </c>
    </row>
    <row r="316" spans="1:14" x14ac:dyDescent="0.3">
      <c r="A316">
        <v>315</v>
      </c>
      <c r="B316" s="1">
        <v>40557</v>
      </c>
      <c r="C316">
        <v>1</v>
      </c>
      <c r="D316">
        <v>14</v>
      </c>
      <c r="E316" t="b">
        <v>0</v>
      </c>
      <c r="F316">
        <v>5</v>
      </c>
      <c r="G316">
        <v>1</v>
      </c>
      <c r="H316">
        <v>0.22</v>
      </c>
      <c r="I316">
        <v>0.21210000000000001</v>
      </c>
      <c r="J316">
        <v>0.41</v>
      </c>
      <c r="K316">
        <v>0.28360000000000002</v>
      </c>
      <c r="L316">
        <v>5</v>
      </c>
      <c r="M316">
        <v>59</v>
      </c>
      <c r="N316">
        <v>64</v>
      </c>
    </row>
    <row r="317" spans="1:14" x14ac:dyDescent="0.3">
      <c r="A317">
        <v>316</v>
      </c>
      <c r="B317" s="1">
        <v>40557</v>
      </c>
      <c r="C317">
        <v>1</v>
      </c>
      <c r="D317">
        <v>15</v>
      </c>
      <c r="E317" t="b">
        <v>0</v>
      </c>
      <c r="F317">
        <v>5</v>
      </c>
      <c r="G317">
        <v>1</v>
      </c>
      <c r="H317">
        <v>0.24</v>
      </c>
      <c r="I317">
        <v>0.2424</v>
      </c>
      <c r="J317">
        <v>0.38</v>
      </c>
      <c r="K317">
        <v>0.16420000000000001</v>
      </c>
      <c r="L317">
        <v>9</v>
      </c>
      <c r="M317">
        <v>59</v>
      </c>
      <c r="N317">
        <v>68</v>
      </c>
    </row>
    <row r="318" spans="1:14" x14ac:dyDescent="0.3">
      <c r="A318">
        <v>317</v>
      </c>
      <c r="B318" s="1">
        <v>40557</v>
      </c>
      <c r="C318">
        <v>1</v>
      </c>
      <c r="D318">
        <v>16</v>
      </c>
      <c r="E318" t="b">
        <v>0</v>
      </c>
      <c r="F318">
        <v>5</v>
      </c>
      <c r="G318">
        <v>1</v>
      </c>
      <c r="H318">
        <v>0.22</v>
      </c>
      <c r="I318">
        <v>0.2424</v>
      </c>
      <c r="J318">
        <v>0.41</v>
      </c>
      <c r="K318">
        <v>0.1045</v>
      </c>
      <c r="L318">
        <v>3</v>
      </c>
      <c r="M318">
        <v>87</v>
      </c>
      <c r="N318">
        <v>90</v>
      </c>
    </row>
    <row r="319" spans="1:14" x14ac:dyDescent="0.3">
      <c r="A319">
        <v>318</v>
      </c>
      <c r="B319" s="1">
        <v>40557</v>
      </c>
      <c r="C319">
        <v>1</v>
      </c>
      <c r="D319">
        <v>17</v>
      </c>
      <c r="E319" t="b">
        <v>0</v>
      </c>
      <c r="F319">
        <v>5</v>
      </c>
      <c r="G319">
        <v>1</v>
      </c>
      <c r="H319">
        <v>0.22</v>
      </c>
      <c r="I319">
        <v>0.2273</v>
      </c>
      <c r="J319">
        <v>0.41</v>
      </c>
      <c r="K319">
        <v>0.16420000000000001</v>
      </c>
      <c r="L319">
        <v>4</v>
      </c>
      <c r="M319">
        <v>155</v>
      </c>
      <c r="N319">
        <v>159</v>
      </c>
    </row>
    <row r="320" spans="1:14" x14ac:dyDescent="0.3">
      <c r="A320">
        <v>319</v>
      </c>
      <c r="B320" s="1">
        <v>40557</v>
      </c>
      <c r="C320">
        <v>1</v>
      </c>
      <c r="D320">
        <v>18</v>
      </c>
      <c r="E320" t="b">
        <v>0</v>
      </c>
      <c r="F320">
        <v>5</v>
      </c>
      <c r="G320">
        <v>1</v>
      </c>
      <c r="H320">
        <v>0.2</v>
      </c>
      <c r="I320">
        <v>0.2576</v>
      </c>
      <c r="J320">
        <v>0.47</v>
      </c>
      <c r="K320">
        <v>0</v>
      </c>
      <c r="L320">
        <v>5</v>
      </c>
      <c r="M320">
        <v>134</v>
      </c>
      <c r="N320">
        <v>139</v>
      </c>
    </row>
    <row r="321" spans="1:14" x14ac:dyDescent="0.3">
      <c r="A321">
        <v>320</v>
      </c>
      <c r="B321" s="1">
        <v>40557</v>
      </c>
      <c r="C321">
        <v>1</v>
      </c>
      <c r="D321">
        <v>19</v>
      </c>
      <c r="E321" t="b">
        <v>0</v>
      </c>
      <c r="F321">
        <v>5</v>
      </c>
      <c r="G321">
        <v>1</v>
      </c>
      <c r="H321">
        <v>0.16</v>
      </c>
      <c r="I321">
        <v>0.19700000000000001</v>
      </c>
      <c r="J321">
        <v>0.59</v>
      </c>
      <c r="K321">
        <v>8.9599999999999999E-2</v>
      </c>
      <c r="L321">
        <v>3</v>
      </c>
      <c r="M321">
        <v>89</v>
      </c>
      <c r="N321">
        <v>92</v>
      </c>
    </row>
    <row r="322" spans="1:14" x14ac:dyDescent="0.3">
      <c r="A322">
        <v>321</v>
      </c>
      <c r="B322" s="1">
        <v>40557</v>
      </c>
      <c r="C322">
        <v>1</v>
      </c>
      <c r="D322">
        <v>20</v>
      </c>
      <c r="E322" t="b">
        <v>0</v>
      </c>
      <c r="F322">
        <v>5</v>
      </c>
      <c r="G322">
        <v>1</v>
      </c>
      <c r="H322">
        <v>0.18</v>
      </c>
      <c r="I322">
        <v>0.2424</v>
      </c>
      <c r="J322">
        <v>0.59</v>
      </c>
      <c r="K322">
        <v>0</v>
      </c>
      <c r="L322">
        <v>0</v>
      </c>
      <c r="M322">
        <v>68</v>
      </c>
      <c r="N322">
        <v>68</v>
      </c>
    </row>
    <row r="323" spans="1:14" x14ac:dyDescent="0.3">
      <c r="A323">
        <v>322</v>
      </c>
      <c r="B323" s="1">
        <v>40557</v>
      </c>
      <c r="C323">
        <v>1</v>
      </c>
      <c r="D323">
        <v>21</v>
      </c>
      <c r="E323" t="b">
        <v>0</v>
      </c>
      <c r="F323">
        <v>5</v>
      </c>
      <c r="G323">
        <v>1</v>
      </c>
      <c r="H323">
        <v>0.16</v>
      </c>
      <c r="I323">
        <v>0.2273</v>
      </c>
      <c r="J323">
        <v>0.69</v>
      </c>
      <c r="K323">
        <v>0</v>
      </c>
      <c r="L323">
        <v>4</v>
      </c>
      <c r="M323">
        <v>48</v>
      </c>
      <c r="N323">
        <v>52</v>
      </c>
    </row>
    <row r="324" spans="1:14" x14ac:dyDescent="0.3">
      <c r="A324">
        <v>323</v>
      </c>
      <c r="B324" s="1">
        <v>40557</v>
      </c>
      <c r="C324">
        <v>1</v>
      </c>
      <c r="D324">
        <v>22</v>
      </c>
      <c r="E324" t="b">
        <v>0</v>
      </c>
      <c r="F324">
        <v>5</v>
      </c>
      <c r="G324">
        <v>2</v>
      </c>
      <c r="H324">
        <v>0.16</v>
      </c>
      <c r="I324">
        <v>0.2273</v>
      </c>
      <c r="J324">
        <v>0.69</v>
      </c>
      <c r="K324">
        <v>0</v>
      </c>
      <c r="L324">
        <v>2</v>
      </c>
      <c r="M324">
        <v>34</v>
      </c>
      <c r="N324">
        <v>36</v>
      </c>
    </row>
    <row r="325" spans="1:14" x14ac:dyDescent="0.3">
      <c r="A325">
        <v>324</v>
      </c>
      <c r="B325" s="1">
        <v>40557</v>
      </c>
      <c r="C325">
        <v>1</v>
      </c>
      <c r="D325">
        <v>23</v>
      </c>
      <c r="E325" t="b">
        <v>0</v>
      </c>
      <c r="F325">
        <v>5</v>
      </c>
      <c r="G325">
        <v>2</v>
      </c>
      <c r="H325">
        <v>0.18</v>
      </c>
      <c r="I325">
        <v>0.2424</v>
      </c>
      <c r="J325">
        <v>0.55000000000000004</v>
      </c>
      <c r="K325">
        <v>0</v>
      </c>
      <c r="L325">
        <v>1</v>
      </c>
      <c r="M325">
        <v>26</v>
      </c>
      <c r="N325">
        <v>27</v>
      </c>
    </row>
    <row r="326" spans="1:14" x14ac:dyDescent="0.3">
      <c r="A326">
        <v>325</v>
      </c>
      <c r="B326" s="1">
        <v>40558</v>
      </c>
      <c r="C326">
        <v>1</v>
      </c>
      <c r="D326">
        <v>0</v>
      </c>
      <c r="E326" t="b">
        <v>0</v>
      </c>
      <c r="F326">
        <v>6</v>
      </c>
      <c r="G326">
        <v>1</v>
      </c>
      <c r="H326">
        <v>0.18</v>
      </c>
      <c r="I326">
        <v>0.2424</v>
      </c>
      <c r="J326">
        <v>0.55000000000000004</v>
      </c>
      <c r="K326">
        <v>0</v>
      </c>
      <c r="L326">
        <v>3</v>
      </c>
      <c r="M326">
        <v>25</v>
      </c>
      <c r="N326">
        <v>28</v>
      </c>
    </row>
    <row r="327" spans="1:14" x14ac:dyDescent="0.3">
      <c r="A327">
        <v>326</v>
      </c>
      <c r="B327" s="1">
        <v>40558</v>
      </c>
      <c r="C327">
        <v>1</v>
      </c>
      <c r="D327">
        <v>1</v>
      </c>
      <c r="E327" t="b">
        <v>0</v>
      </c>
      <c r="F327">
        <v>6</v>
      </c>
      <c r="G327">
        <v>2</v>
      </c>
      <c r="H327">
        <v>0.16</v>
      </c>
      <c r="I327">
        <v>0.19700000000000001</v>
      </c>
      <c r="J327">
        <v>0.59</v>
      </c>
      <c r="K327">
        <v>8.9599999999999999E-2</v>
      </c>
      <c r="L327">
        <v>2</v>
      </c>
      <c r="M327">
        <v>18</v>
      </c>
      <c r="N327">
        <v>20</v>
      </c>
    </row>
    <row r="328" spans="1:14" x14ac:dyDescent="0.3">
      <c r="A328">
        <v>327</v>
      </c>
      <c r="B328" s="1">
        <v>40558</v>
      </c>
      <c r="C328">
        <v>1</v>
      </c>
      <c r="D328">
        <v>2</v>
      </c>
      <c r="E328" t="b">
        <v>0</v>
      </c>
      <c r="F328">
        <v>6</v>
      </c>
      <c r="G328">
        <v>2</v>
      </c>
      <c r="H328">
        <v>0.16</v>
      </c>
      <c r="I328">
        <v>0.19700000000000001</v>
      </c>
      <c r="J328">
        <v>0.59</v>
      </c>
      <c r="K328">
        <v>8.9599999999999999E-2</v>
      </c>
      <c r="L328">
        <v>0</v>
      </c>
      <c r="M328">
        <v>12</v>
      </c>
      <c r="N328">
        <v>12</v>
      </c>
    </row>
    <row r="329" spans="1:14" x14ac:dyDescent="0.3">
      <c r="A329">
        <v>328</v>
      </c>
      <c r="B329" s="1">
        <v>40558</v>
      </c>
      <c r="C329">
        <v>1</v>
      </c>
      <c r="D329">
        <v>3</v>
      </c>
      <c r="E329" t="b">
        <v>0</v>
      </c>
      <c r="F329">
        <v>6</v>
      </c>
      <c r="G329">
        <v>2</v>
      </c>
      <c r="H329">
        <v>0.16</v>
      </c>
      <c r="I329">
        <v>0.2273</v>
      </c>
      <c r="J329">
        <v>0.59</v>
      </c>
      <c r="K329">
        <v>0</v>
      </c>
      <c r="L329">
        <v>1</v>
      </c>
      <c r="M329">
        <v>7</v>
      </c>
      <c r="N329">
        <v>8</v>
      </c>
    </row>
    <row r="330" spans="1:14" x14ac:dyDescent="0.3">
      <c r="A330">
        <v>329</v>
      </c>
      <c r="B330" s="1">
        <v>40558</v>
      </c>
      <c r="C330">
        <v>1</v>
      </c>
      <c r="D330">
        <v>4</v>
      </c>
      <c r="E330" t="b">
        <v>0</v>
      </c>
      <c r="F330">
        <v>6</v>
      </c>
      <c r="G330">
        <v>2</v>
      </c>
      <c r="H330">
        <v>0.16</v>
      </c>
      <c r="I330">
        <v>0.2273</v>
      </c>
      <c r="J330">
        <v>0.59</v>
      </c>
      <c r="K330">
        <v>0</v>
      </c>
      <c r="L330">
        <v>0</v>
      </c>
      <c r="M330">
        <v>5</v>
      </c>
      <c r="N330">
        <v>5</v>
      </c>
    </row>
    <row r="331" spans="1:14" x14ac:dyDescent="0.3">
      <c r="A331">
        <v>330</v>
      </c>
      <c r="B331" s="1">
        <v>40558</v>
      </c>
      <c r="C331">
        <v>1</v>
      </c>
      <c r="D331">
        <v>5</v>
      </c>
      <c r="E331" t="b">
        <v>0</v>
      </c>
      <c r="F331">
        <v>6</v>
      </c>
      <c r="G331">
        <v>1</v>
      </c>
      <c r="H331">
        <v>0.16</v>
      </c>
      <c r="I331">
        <v>0.2273</v>
      </c>
      <c r="J331">
        <v>0.59</v>
      </c>
      <c r="K331">
        <v>0</v>
      </c>
      <c r="L331">
        <v>0</v>
      </c>
      <c r="M331">
        <v>1</v>
      </c>
      <c r="N331">
        <v>1</v>
      </c>
    </row>
    <row r="332" spans="1:14" x14ac:dyDescent="0.3">
      <c r="A332">
        <v>331</v>
      </c>
      <c r="B332" s="1">
        <v>40558</v>
      </c>
      <c r="C332">
        <v>1</v>
      </c>
      <c r="D332">
        <v>6</v>
      </c>
      <c r="E332" t="b">
        <v>0</v>
      </c>
      <c r="F332">
        <v>6</v>
      </c>
      <c r="G332">
        <v>1</v>
      </c>
      <c r="H332">
        <v>0.14000000000000001</v>
      </c>
      <c r="I332">
        <v>0.16669999999999999</v>
      </c>
      <c r="J332">
        <v>0.63</v>
      </c>
      <c r="K332">
        <v>0.1045</v>
      </c>
      <c r="L332">
        <v>1</v>
      </c>
      <c r="M332">
        <v>2</v>
      </c>
      <c r="N332">
        <v>3</v>
      </c>
    </row>
    <row r="333" spans="1:14" x14ac:dyDescent="0.3">
      <c r="A333">
        <v>332</v>
      </c>
      <c r="B333" s="1">
        <v>40558</v>
      </c>
      <c r="C333">
        <v>1</v>
      </c>
      <c r="D333">
        <v>7</v>
      </c>
      <c r="E333" t="b">
        <v>0</v>
      </c>
      <c r="F333">
        <v>6</v>
      </c>
      <c r="G333">
        <v>1</v>
      </c>
      <c r="H333">
        <v>0.14000000000000001</v>
      </c>
      <c r="I333">
        <v>0.21210000000000001</v>
      </c>
      <c r="J333">
        <v>0.63</v>
      </c>
      <c r="K333">
        <v>0</v>
      </c>
      <c r="L333">
        <v>1</v>
      </c>
      <c r="M333">
        <v>9</v>
      </c>
      <c r="N333">
        <v>10</v>
      </c>
    </row>
    <row r="334" spans="1:14" x14ac:dyDescent="0.3">
      <c r="A334">
        <v>333</v>
      </c>
      <c r="B334" s="1">
        <v>40558</v>
      </c>
      <c r="C334">
        <v>1</v>
      </c>
      <c r="D334">
        <v>8</v>
      </c>
      <c r="E334" t="b">
        <v>0</v>
      </c>
      <c r="F334">
        <v>6</v>
      </c>
      <c r="G334">
        <v>1</v>
      </c>
      <c r="H334">
        <v>0.14000000000000001</v>
      </c>
      <c r="I334">
        <v>0.1515</v>
      </c>
      <c r="J334">
        <v>0.63</v>
      </c>
      <c r="K334">
        <v>0.1343</v>
      </c>
      <c r="L334">
        <v>1</v>
      </c>
      <c r="M334">
        <v>22</v>
      </c>
      <c r="N334">
        <v>23</v>
      </c>
    </row>
    <row r="335" spans="1:14" x14ac:dyDescent="0.3">
      <c r="A335">
        <v>334</v>
      </c>
      <c r="B335" s="1">
        <v>40558</v>
      </c>
      <c r="C335">
        <v>1</v>
      </c>
      <c r="D335">
        <v>9</v>
      </c>
      <c r="E335" t="b">
        <v>0</v>
      </c>
      <c r="F335">
        <v>6</v>
      </c>
      <c r="G335">
        <v>1</v>
      </c>
      <c r="H335">
        <v>0.16</v>
      </c>
      <c r="I335">
        <v>0.18179999999999999</v>
      </c>
      <c r="J335">
        <v>0.64</v>
      </c>
      <c r="K335">
        <v>0.1343</v>
      </c>
      <c r="L335">
        <v>2</v>
      </c>
      <c r="M335">
        <v>31</v>
      </c>
      <c r="N335">
        <v>33</v>
      </c>
    </row>
    <row r="336" spans="1:14" x14ac:dyDescent="0.3">
      <c r="A336">
        <v>335</v>
      </c>
      <c r="B336" s="1">
        <v>40558</v>
      </c>
      <c r="C336">
        <v>1</v>
      </c>
      <c r="D336">
        <v>10</v>
      </c>
      <c r="E336" t="b">
        <v>0</v>
      </c>
      <c r="F336">
        <v>6</v>
      </c>
      <c r="G336">
        <v>1</v>
      </c>
      <c r="H336">
        <v>0.18</v>
      </c>
      <c r="I336">
        <v>0.19700000000000001</v>
      </c>
      <c r="J336">
        <v>0.59</v>
      </c>
      <c r="K336">
        <v>0.16420000000000001</v>
      </c>
      <c r="L336">
        <v>2</v>
      </c>
      <c r="M336">
        <v>57</v>
      </c>
      <c r="N336">
        <v>59</v>
      </c>
    </row>
    <row r="337" spans="1:14" x14ac:dyDescent="0.3">
      <c r="A337">
        <v>336</v>
      </c>
      <c r="B337" s="1">
        <v>40558</v>
      </c>
      <c r="C337">
        <v>1</v>
      </c>
      <c r="D337">
        <v>11</v>
      </c>
      <c r="E337" t="b">
        <v>0</v>
      </c>
      <c r="F337">
        <v>6</v>
      </c>
      <c r="G337">
        <v>1</v>
      </c>
      <c r="H337">
        <v>0.2</v>
      </c>
      <c r="I337">
        <v>0.19700000000000001</v>
      </c>
      <c r="J337">
        <v>0.55000000000000004</v>
      </c>
      <c r="K337">
        <v>0.22389999999999999</v>
      </c>
      <c r="L337">
        <v>18</v>
      </c>
      <c r="M337">
        <v>54</v>
      </c>
      <c r="N337">
        <v>72</v>
      </c>
    </row>
    <row r="338" spans="1:14" x14ac:dyDescent="0.3">
      <c r="A338">
        <v>337</v>
      </c>
      <c r="B338" s="1">
        <v>40558</v>
      </c>
      <c r="C338">
        <v>1</v>
      </c>
      <c r="D338">
        <v>12</v>
      </c>
      <c r="E338" t="b">
        <v>0</v>
      </c>
      <c r="F338">
        <v>6</v>
      </c>
      <c r="G338">
        <v>1</v>
      </c>
      <c r="H338">
        <v>0.24</v>
      </c>
      <c r="I338">
        <v>0.2273</v>
      </c>
      <c r="J338">
        <v>0.48</v>
      </c>
      <c r="K338">
        <v>0.22389999999999999</v>
      </c>
      <c r="L338">
        <v>15</v>
      </c>
      <c r="M338">
        <v>74</v>
      </c>
      <c r="N338">
        <v>89</v>
      </c>
    </row>
    <row r="339" spans="1:14" x14ac:dyDescent="0.3">
      <c r="A339">
        <v>338</v>
      </c>
      <c r="B339" s="1">
        <v>40558</v>
      </c>
      <c r="C339">
        <v>1</v>
      </c>
      <c r="D339">
        <v>13</v>
      </c>
      <c r="E339" t="b">
        <v>0</v>
      </c>
      <c r="F339">
        <v>6</v>
      </c>
      <c r="G339">
        <v>1</v>
      </c>
      <c r="H339">
        <v>0.28000000000000003</v>
      </c>
      <c r="I339">
        <v>0.2576</v>
      </c>
      <c r="J339">
        <v>0.38</v>
      </c>
      <c r="K339">
        <v>0.29849999999999999</v>
      </c>
      <c r="L339">
        <v>21</v>
      </c>
      <c r="M339">
        <v>80</v>
      </c>
      <c r="N339">
        <v>101</v>
      </c>
    </row>
    <row r="340" spans="1:14" x14ac:dyDescent="0.3">
      <c r="A340">
        <v>339</v>
      </c>
      <c r="B340" s="1">
        <v>40558</v>
      </c>
      <c r="C340">
        <v>1</v>
      </c>
      <c r="D340">
        <v>14</v>
      </c>
      <c r="E340" t="b">
        <v>0</v>
      </c>
      <c r="F340">
        <v>6</v>
      </c>
      <c r="G340">
        <v>1</v>
      </c>
      <c r="H340">
        <v>0.3</v>
      </c>
      <c r="I340">
        <v>0.28789999999999999</v>
      </c>
      <c r="J340">
        <v>0.39</v>
      </c>
      <c r="K340">
        <v>0.28360000000000002</v>
      </c>
      <c r="L340">
        <v>26</v>
      </c>
      <c r="M340">
        <v>92</v>
      </c>
      <c r="N340">
        <v>118</v>
      </c>
    </row>
    <row r="341" spans="1:14" x14ac:dyDescent="0.3">
      <c r="A341">
        <v>340</v>
      </c>
      <c r="B341" s="1">
        <v>40558</v>
      </c>
      <c r="C341">
        <v>1</v>
      </c>
      <c r="D341">
        <v>15</v>
      </c>
      <c r="E341" t="b">
        <v>0</v>
      </c>
      <c r="F341">
        <v>6</v>
      </c>
      <c r="G341">
        <v>2</v>
      </c>
      <c r="H341">
        <v>0.32</v>
      </c>
      <c r="I341">
        <v>0.31819999999999998</v>
      </c>
      <c r="J341">
        <v>0.36</v>
      </c>
      <c r="K341">
        <v>0.19400000000000001</v>
      </c>
      <c r="L341">
        <v>21</v>
      </c>
      <c r="M341">
        <v>108</v>
      </c>
      <c r="N341">
        <v>129</v>
      </c>
    </row>
    <row r="342" spans="1:14" x14ac:dyDescent="0.3">
      <c r="A342">
        <v>341</v>
      </c>
      <c r="B342" s="1">
        <v>40558</v>
      </c>
      <c r="C342">
        <v>1</v>
      </c>
      <c r="D342">
        <v>16</v>
      </c>
      <c r="E342" t="b">
        <v>0</v>
      </c>
      <c r="F342">
        <v>6</v>
      </c>
      <c r="G342">
        <v>2</v>
      </c>
      <c r="H342">
        <v>0.34</v>
      </c>
      <c r="I342">
        <v>0.33329999999999999</v>
      </c>
      <c r="J342">
        <v>0.34</v>
      </c>
      <c r="K342">
        <v>0.19400000000000001</v>
      </c>
      <c r="L342">
        <v>33</v>
      </c>
      <c r="M342">
        <v>95</v>
      </c>
      <c r="N342">
        <v>128</v>
      </c>
    </row>
    <row r="343" spans="1:14" x14ac:dyDescent="0.3">
      <c r="A343">
        <v>342</v>
      </c>
      <c r="B343" s="1">
        <v>40558</v>
      </c>
      <c r="C343">
        <v>1</v>
      </c>
      <c r="D343">
        <v>17</v>
      </c>
      <c r="E343" t="b">
        <v>0</v>
      </c>
      <c r="F343">
        <v>6</v>
      </c>
      <c r="G343">
        <v>2</v>
      </c>
      <c r="H343">
        <v>0.32</v>
      </c>
      <c r="I343">
        <v>0.30299999999999999</v>
      </c>
      <c r="J343">
        <v>0.36</v>
      </c>
      <c r="K343">
        <v>0.28360000000000002</v>
      </c>
      <c r="L343">
        <v>29</v>
      </c>
      <c r="M343">
        <v>54</v>
      </c>
      <c r="N343">
        <v>83</v>
      </c>
    </row>
    <row r="344" spans="1:14" x14ac:dyDescent="0.3">
      <c r="A344">
        <v>343</v>
      </c>
      <c r="B344" s="1">
        <v>40558</v>
      </c>
      <c r="C344">
        <v>1</v>
      </c>
      <c r="D344">
        <v>18</v>
      </c>
      <c r="E344" t="b">
        <v>0</v>
      </c>
      <c r="F344">
        <v>6</v>
      </c>
      <c r="G344">
        <v>2</v>
      </c>
      <c r="H344">
        <v>0.3</v>
      </c>
      <c r="I344">
        <v>0.28789999999999999</v>
      </c>
      <c r="J344">
        <v>0.45</v>
      </c>
      <c r="K344">
        <v>0.25369999999999998</v>
      </c>
      <c r="L344">
        <v>15</v>
      </c>
      <c r="M344">
        <v>69</v>
      </c>
      <c r="N344">
        <v>84</v>
      </c>
    </row>
    <row r="345" spans="1:14" x14ac:dyDescent="0.3">
      <c r="A345">
        <v>344</v>
      </c>
      <c r="B345" s="1">
        <v>40558</v>
      </c>
      <c r="C345">
        <v>1</v>
      </c>
      <c r="D345">
        <v>19</v>
      </c>
      <c r="E345" t="b">
        <v>0</v>
      </c>
      <c r="F345">
        <v>6</v>
      </c>
      <c r="G345">
        <v>2</v>
      </c>
      <c r="H345">
        <v>0.32</v>
      </c>
      <c r="I345">
        <v>0.30299999999999999</v>
      </c>
      <c r="J345">
        <v>0.39</v>
      </c>
      <c r="K345">
        <v>0.25369999999999998</v>
      </c>
      <c r="L345">
        <v>14</v>
      </c>
      <c r="M345">
        <v>60</v>
      </c>
      <c r="N345">
        <v>74</v>
      </c>
    </row>
    <row r="346" spans="1:14" x14ac:dyDescent="0.3">
      <c r="A346">
        <v>345</v>
      </c>
      <c r="B346" s="1">
        <v>40558</v>
      </c>
      <c r="C346">
        <v>1</v>
      </c>
      <c r="D346">
        <v>20</v>
      </c>
      <c r="E346" t="b">
        <v>0</v>
      </c>
      <c r="F346">
        <v>6</v>
      </c>
      <c r="G346">
        <v>2</v>
      </c>
      <c r="H346">
        <v>0.32</v>
      </c>
      <c r="I346">
        <v>0.30299999999999999</v>
      </c>
      <c r="J346">
        <v>0.39</v>
      </c>
      <c r="K346">
        <v>0.25369999999999998</v>
      </c>
      <c r="L346">
        <v>6</v>
      </c>
      <c r="M346">
        <v>35</v>
      </c>
      <c r="N346">
        <v>41</v>
      </c>
    </row>
    <row r="347" spans="1:14" x14ac:dyDescent="0.3">
      <c r="A347">
        <v>346</v>
      </c>
      <c r="B347" s="1">
        <v>40558</v>
      </c>
      <c r="C347">
        <v>1</v>
      </c>
      <c r="D347">
        <v>21</v>
      </c>
      <c r="E347" t="b">
        <v>0</v>
      </c>
      <c r="F347">
        <v>6</v>
      </c>
      <c r="G347">
        <v>2</v>
      </c>
      <c r="H347">
        <v>0.32</v>
      </c>
      <c r="I347">
        <v>0.30299999999999999</v>
      </c>
      <c r="J347">
        <v>0.39</v>
      </c>
      <c r="K347">
        <v>0.22389999999999999</v>
      </c>
      <c r="L347">
        <v>6</v>
      </c>
      <c r="M347">
        <v>51</v>
      </c>
      <c r="N347">
        <v>57</v>
      </c>
    </row>
    <row r="348" spans="1:14" x14ac:dyDescent="0.3">
      <c r="A348">
        <v>347</v>
      </c>
      <c r="B348" s="1">
        <v>40558</v>
      </c>
      <c r="C348">
        <v>1</v>
      </c>
      <c r="D348">
        <v>22</v>
      </c>
      <c r="E348" t="b">
        <v>0</v>
      </c>
      <c r="F348">
        <v>6</v>
      </c>
      <c r="G348">
        <v>2</v>
      </c>
      <c r="H348">
        <v>0.3</v>
      </c>
      <c r="I348">
        <v>0.31819999999999998</v>
      </c>
      <c r="J348">
        <v>0.42</v>
      </c>
      <c r="K348">
        <v>0.1045</v>
      </c>
      <c r="L348">
        <v>0</v>
      </c>
      <c r="M348">
        <v>26</v>
      </c>
      <c r="N348">
        <v>26</v>
      </c>
    </row>
    <row r="349" spans="1:14" x14ac:dyDescent="0.3">
      <c r="A349">
        <v>348</v>
      </c>
      <c r="B349" s="1">
        <v>40558</v>
      </c>
      <c r="C349">
        <v>1</v>
      </c>
      <c r="D349">
        <v>23</v>
      </c>
      <c r="E349" t="b">
        <v>0</v>
      </c>
      <c r="F349">
        <v>6</v>
      </c>
      <c r="G349">
        <v>1</v>
      </c>
      <c r="H349">
        <v>0.3</v>
      </c>
      <c r="I349">
        <v>0.28789999999999999</v>
      </c>
      <c r="J349">
        <v>0.45</v>
      </c>
      <c r="K349">
        <v>0.28360000000000002</v>
      </c>
      <c r="L349">
        <v>5</v>
      </c>
      <c r="M349">
        <v>39</v>
      </c>
      <c r="N349">
        <v>44</v>
      </c>
    </row>
    <row r="350" spans="1:14" x14ac:dyDescent="0.3">
      <c r="A350">
        <v>349</v>
      </c>
      <c r="B350" s="1">
        <v>40559</v>
      </c>
      <c r="C350">
        <v>1</v>
      </c>
      <c r="D350">
        <v>0</v>
      </c>
      <c r="E350" t="b">
        <v>0</v>
      </c>
      <c r="F350">
        <v>0</v>
      </c>
      <c r="G350">
        <v>1</v>
      </c>
      <c r="H350">
        <v>0.26</v>
      </c>
      <c r="I350">
        <v>0.30299999999999999</v>
      </c>
      <c r="J350">
        <v>0.56000000000000005</v>
      </c>
      <c r="K350">
        <v>0</v>
      </c>
      <c r="L350">
        <v>6</v>
      </c>
      <c r="M350">
        <v>33</v>
      </c>
      <c r="N350">
        <v>39</v>
      </c>
    </row>
    <row r="351" spans="1:14" x14ac:dyDescent="0.3">
      <c r="A351">
        <v>350</v>
      </c>
      <c r="B351" s="1">
        <v>40559</v>
      </c>
      <c r="C351">
        <v>1</v>
      </c>
      <c r="D351">
        <v>1</v>
      </c>
      <c r="E351" t="b">
        <v>0</v>
      </c>
      <c r="F351">
        <v>0</v>
      </c>
      <c r="G351">
        <v>1</v>
      </c>
      <c r="H351">
        <v>0.26</v>
      </c>
      <c r="I351">
        <v>0.2727</v>
      </c>
      <c r="J351">
        <v>0.56000000000000005</v>
      </c>
      <c r="K351">
        <v>0.1343</v>
      </c>
      <c r="L351">
        <v>4</v>
      </c>
      <c r="M351">
        <v>19</v>
      </c>
      <c r="N351">
        <v>23</v>
      </c>
    </row>
    <row r="352" spans="1:14" x14ac:dyDescent="0.3">
      <c r="A352">
        <v>351</v>
      </c>
      <c r="B352" s="1">
        <v>40559</v>
      </c>
      <c r="C352">
        <v>1</v>
      </c>
      <c r="D352">
        <v>2</v>
      </c>
      <c r="E352" t="b">
        <v>0</v>
      </c>
      <c r="F352">
        <v>0</v>
      </c>
      <c r="G352">
        <v>1</v>
      </c>
      <c r="H352">
        <v>0.26</v>
      </c>
      <c r="I352">
        <v>0.28789999999999999</v>
      </c>
      <c r="J352">
        <v>0.56000000000000005</v>
      </c>
      <c r="K352">
        <v>8.9599999999999999E-2</v>
      </c>
      <c r="L352">
        <v>3</v>
      </c>
      <c r="M352">
        <v>13</v>
      </c>
      <c r="N352">
        <v>16</v>
      </c>
    </row>
    <row r="353" spans="1:14" x14ac:dyDescent="0.3">
      <c r="A353">
        <v>352</v>
      </c>
      <c r="B353" s="1">
        <v>40559</v>
      </c>
      <c r="C353">
        <v>1</v>
      </c>
      <c r="D353">
        <v>3</v>
      </c>
      <c r="E353" t="b">
        <v>0</v>
      </c>
      <c r="F353">
        <v>0</v>
      </c>
      <c r="G353">
        <v>1</v>
      </c>
      <c r="H353">
        <v>0.22</v>
      </c>
      <c r="I353">
        <v>0.2727</v>
      </c>
      <c r="J353">
        <v>0.69</v>
      </c>
      <c r="K353">
        <v>0</v>
      </c>
      <c r="L353">
        <v>9</v>
      </c>
      <c r="M353">
        <v>6</v>
      </c>
      <c r="N353">
        <v>15</v>
      </c>
    </row>
    <row r="354" spans="1:14" x14ac:dyDescent="0.3">
      <c r="A354">
        <v>353</v>
      </c>
      <c r="B354" s="1">
        <v>40559</v>
      </c>
      <c r="C354">
        <v>1</v>
      </c>
      <c r="D354">
        <v>4</v>
      </c>
      <c r="E354" t="b">
        <v>0</v>
      </c>
      <c r="F354">
        <v>0</v>
      </c>
      <c r="G354">
        <v>1</v>
      </c>
      <c r="H354">
        <v>0.26</v>
      </c>
      <c r="I354">
        <v>0.2576</v>
      </c>
      <c r="J354">
        <v>0.56000000000000005</v>
      </c>
      <c r="K354">
        <v>0.16420000000000001</v>
      </c>
      <c r="L354">
        <v>0</v>
      </c>
      <c r="M354">
        <v>1</v>
      </c>
      <c r="N354">
        <v>1</v>
      </c>
    </row>
    <row r="355" spans="1:14" x14ac:dyDescent="0.3">
      <c r="A355">
        <v>354</v>
      </c>
      <c r="B355" s="1">
        <v>40559</v>
      </c>
      <c r="C355">
        <v>1</v>
      </c>
      <c r="D355">
        <v>5</v>
      </c>
      <c r="E355" t="b">
        <v>0</v>
      </c>
      <c r="F355">
        <v>0</v>
      </c>
      <c r="G355">
        <v>2</v>
      </c>
      <c r="H355">
        <v>0.26</v>
      </c>
      <c r="I355">
        <v>0.2576</v>
      </c>
      <c r="J355">
        <v>0.56000000000000005</v>
      </c>
      <c r="K355">
        <v>0.16420000000000001</v>
      </c>
      <c r="L355">
        <v>1</v>
      </c>
      <c r="M355">
        <v>1</v>
      </c>
      <c r="N355">
        <v>2</v>
      </c>
    </row>
    <row r="356" spans="1:14" x14ac:dyDescent="0.3">
      <c r="A356">
        <v>355</v>
      </c>
      <c r="B356" s="1">
        <v>40559</v>
      </c>
      <c r="C356">
        <v>1</v>
      </c>
      <c r="D356">
        <v>6</v>
      </c>
      <c r="E356" t="b">
        <v>0</v>
      </c>
      <c r="F356">
        <v>0</v>
      </c>
      <c r="G356">
        <v>2</v>
      </c>
      <c r="H356">
        <v>0.26</v>
      </c>
      <c r="I356">
        <v>0.2576</v>
      </c>
      <c r="J356">
        <v>0.56000000000000005</v>
      </c>
      <c r="K356">
        <v>0.16420000000000001</v>
      </c>
      <c r="L356">
        <v>0</v>
      </c>
      <c r="M356">
        <v>1</v>
      </c>
      <c r="N356">
        <v>1</v>
      </c>
    </row>
    <row r="357" spans="1:14" x14ac:dyDescent="0.3">
      <c r="A357">
        <v>356</v>
      </c>
      <c r="B357" s="1">
        <v>40559</v>
      </c>
      <c r="C357">
        <v>1</v>
      </c>
      <c r="D357">
        <v>7</v>
      </c>
      <c r="E357" t="b">
        <v>0</v>
      </c>
      <c r="F357">
        <v>0</v>
      </c>
      <c r="G357">
        <v>2</v>
      </c>
      <c r="H357">
        <v>0.24</v>
      </c>
      <c r="I357">
        <v>0.21210000000000001</v>
      </c>
      <c r="J357">
        <v>0.56000000000000005</v>
      </c>
      <c r="K357">
        <v>0.29849999999999999</v>
      </c>
      <c r="L357">
        <v>0</v>
      </c>
      <c r="M357">
        <v>3</v>
      </c>
      <c r="N357">
        <v>3</v>
      </c>
    </row>
    <row r="358" spans="1:14" x14ac:dyDescent="0.3">
      <c r="A358">
        <v>357</v>
      </c>
      <c r="B358" s="1">
        <v>40559</v>
      </c>
      <c r="C358">
        <v>1</v>
      </c>
      <c r="D358">
        <v>8</v>
      </c>
      <c r="E358" t="b">
        <v>0</v>
      </c>
      <c r="F358">
        <v>0</v>
      </c>
      <c r="G358">
        <v>1</v>
      </c>
      <c r="H358">
        <v>0.22</v>
      </c>
      <c r="I358">
        <v>0.21210000000000001</v>
      </c>
      <c r="J358">
        <v>0.55000000000000004</v>
      </c>
      <c r="K358">
        <v>0.28360000000000002</v>
      </c>
      <c r="L358">
        <v>0</v>
      </c>
      <c r="M358">
        <v>18</v>
      </c>
      <c r="N358">
        <v>18</v>
      </c>
    </row>
    <row r="359" spans="1:14" x14ac:dyDescent="0.3">
      <c r="A359">
        <v>358</v>
      </c>
      <c r="B359" s="1">
        <v>40559</v>
      </c>
      <c r="C359">
        <v>1</v>
      </c>
      <c r="D359">
        <v>9</v>
      </c>
      <c r="E359" t="b">
        <v>0</v>
      </c>
      <c r="F359">
        <v>0</v>
      </c>
      <c r="G359">
        <v>1</v>
      </c>
      <c r="H359">
        <v>0.22</v>
      </c>
      <c r="I359">
        <v>0.21210000000000001</v>
      </c>
      <c r="J359">
        <v>0.51</v>
      </c>
      <c r="K359">
        <v>0.25369999999999998</v>
      </c>
      <c r="L359">
        <v>3</v>
      </c>
      <c r="M359">
        <v>29</v>
      </c>
      <c r="N359">
        <v>32</v>
      </c>
    </row>
    <row r="360" spans="1:14" x14ac:dyDescent="0.3">
      <c r="A360">
        <v>359</v>
      </c>
      <c r="B360" s="1">
        <v>40559</v>
      </c>
      <c r="C360">
        <v>1</v>
      </c>
      <c r="D360">
        <v>10</v>
      </c>
      <c r="E360" t="b">
        <v>0</v>
      </c>
      <c r="F360">
        <v>0</v>
      </c>
      <c r="G360">
        <v>1</v>
      </c>
      <c r="H360">
        <v>0.22</v>
      </c>
      <c r="I360">
        <v>0.21210000000000001</v>
      </c>
      <c r="J360">
        <v>0.51</v>
      </c>
      <c r="K360">
        <v>0.28360000000000002</v>
      </c>
      <c r="L360">
        <v>8</v>
      </c>
      <c r="M360">
        <v>71</v>
      </c>
      <c r="N360">
        <v>79</v>
      </c>
    </row>
    <row r="361" spans="1:14" x14ac:dyDescent="0.3">
      <c r="A361">
        <v>360</v>
      </c>
      <c r="B361" s="1">
        <v>40559</v>
      </c>
      <c r="C361">
        <v>1</v>
      </c>
      <c r="D361">
        <v>11</v>
      </c>
      <c r="E361" t="b">
        <v>0</v>
      </c>
      <c r="F361">
        <v>0</v>
      </c>
      <c r="G361">
        <v>1</v>
      </c>
      <c r="H361">
        <v>0.24</v>
      </c>
      <c r="I361">
        <v>0.2273</v>
      </c>
      <c r="J361">
        <v>0.44</v>
      </c>
      <c r="K361">
        <v>0.25369999999999998</v>
      </c>
      <c r="L361">
        <v>23</v>
      </c>
      <c r="M361">
        <v>70</v>
      </c>
      <c r="N361">
        <v>93</v>
      </c>
    </row>
    <row r="362" spans="1:14" x14ac:dyDescent="0.3">
      <c r="A362">
        <v>361</v>
      </c>
      <c r="B362" s="1">
        <v>40559</v>
      </c>
      <c r="C362">
        <v>1</v>
      </c>
      <c r="D362">
        <v>12</v>
      </c>
      <c r="E362" t="b">
        <v>0</v>
      </c>
      <c r="F362">
        <v>0</v>
      </c>
      <c r="G362">
        <v>1</v>
      </c>
      <c r="H362">
        <v>0.24</v>
      </c>
      <c r="I362">
        <v>0.21210000000000001</v>
      </c>
      <c r="J362">
        <v>0.41</v>
      </c>
      <c r="K362">
        <v>0.28360000000000002</v>
      </c>
      <c r="L362">
        <v>29</v>
      </c>
      <c r="M362">
        <v>75</v>
      </c>
      <c r="N362">
        <v>104</v>
      </c>
    </row>
    <row r="363" spans="1:14" x14ac:dyDescent="0.3">
      <c r="A363">
        <v>362</v>
      </c>
      <c r="B363" s="1">
        <v>40559</v>
      </c>
      <c r="C363">
        <v>1</v>
      </c>
      <c r="D363">
        <v>13</v>
      </c>
      <c r="E363" t="b">
        <v>0</v>
      </c>
      <c r="F363">
        <v>0</v>
      </c>
      <c r="G363">
        <v>1</v>
      </c>
      <c r="H363">
        <v>0.26</v>
      </c>
      <c r="I363">
        <v>0.2273</v>
      </c>
      <c r="J363">
        <v>0.35</v>
      </c>
      <c r="K363">
        <v>0.29849999999999999</v>
      </c>
      <c r="L363">
        <v>23</v>
      </c>
      <c r="M363">
        <v>95</v>
      </c>
      <c r="N363">
        <v>118</v>
      </c>
    </row>
    <row r="364" spans="1:14" x14ac:dyDescent="0.3">
      <c r="A364">
        <v>363</v>
      </c>
      <c r="B364" s="1">
        <v>40559</v>
      </c>
      <c r="C364">
        <v>1</v>
      </c>
      <c r="D364">
        <v>14</v>
      </c>
      <c r="E364" t="b">
        <v>0</v>
      </c>
      <c r="F364">
        <v>0</v>
      </c>
      <c r="G364">
        <v>1</v>
      </c>
      <c r="H364">
        <v>0.28000000000000003</v>
      </c>
      <c r="I364">
        <v>0.2727</v>
      </c>
      <c r="J364">
        <v>0.36</v>
      </c>
      <c r="K364">
        <v>0.25369999999999998</v>
      </c>
      <c r="L364">
        <v>22</v>
      </c>
      <c r="M364">
        <v>69</v>
      </c>
      <c r="N364">
        <v>91</v>
      </c>
    </row>
    <row r="365" spans="1:14" x14ac:dyDescent="0.3">
      <c r="A365">
        <v>364</v>
      </c>
      <c r="B365" s="1">
        <v>40559</v>
      </c>
      <c r="C365">
        <v>1</v>
      </c>
      <c r="D365">
        <v>15</v>
      </c>
      <c r="E365" t="b">
        <v>0</v>
      </c>
      <c r="F365">
        <v>0</v>
      </c>
      <c r="G365">
        <v>1</v>
      </c>
      <c r="H365">
        <v>0.26</v>
      </c>
      <c r="I365">
        <v>0.2424</v>
      </c>
      <c r="J365">
        <v>0.38</v>
      </c>
      <c r="K365">
        <v>0.25369999999999998</v>
      </c>
      <c r="L365">
        <v>35</v>
      </c>
      <c r="M365">
        <v>78</v>
      </c>
      <c r="N365">
        <v>113</v>
      </c>
    </row>
    <row r="366" spans="1:14" x14ac:dyDescent="0.3">
      <c r="A366">
        <v>365</v>
      </c>
      <c r="B366" s="1">
        <v>40559</v>
      </c>
      <c r="C366">
        <v>1</v>
      </c>
      <c r="D366">
        <v>16</v>
      </c>
      <c r="E366" t="b">
        <v>0</v>
      </c>
      <c r="F366">
        <v>0</v>
      </c>
      <c r="G366">
        <v>1</v>
      </c>
      <c r="H366">
        <v>0.24</v>
      </c>
      <c r="I366">
        <v>0.2273</v>
      </c>
      <c r="J366">
        <v>0.38</v>
      </c>
      <c r="K366">
        <v>0.22389999999999999</v>
      </c>
      <c r="L366">
        <v>22</v>
      </c>
      <c r="M366">
        <v>77</v>
      </c>
      <c r="N366">
        <v>99</v>
      </c>
    </row>
    <row r="367" spans="1:14" x14ac:dyDescent="0.3">
      <c r="A367">
        <v>366</v>
      </c>
      <c r="B367" s="1">
        <v>40559</v>
      </c>
      <c r="C367">
        <v>1</v>
      </c>
      <c r="D367">
        <v>17</v>
      </c>
      <c r="E367" t="b">
        <v>0</v>
      </c>
      <c r="F367">
        <v>0</v>
      </c>
      <c r="G367">
        <v>1</v>
      </c>
      <c r="H367">
        <v>0.22</v>
      </c>
      <c r="I367">
        <v>0.21210000000000001</v>
      </c>
      <c r="J367">
        <v>0.37</v>
      </c>
      <c r="K367">
        <v>0.25369999999999998</v>
      </c>
      <c r="L367">
        <v>23</v>
      </c>
      <c r="M367">
        <v>82</v>
      </c>
      <c r="N367">
        <v>105</v>
      </c>
    </row>
    <row r="368" spans="1:14" x14ac:dyDescent="0.3">
      <c r="A368">
        <v>367</v>
      </c>
      <c r="B368" s="1">
        <v>40559</v>
      </c>
      <c r="C368">
        <v>1</v>
      </c>
      <c r="D368">
        <v>18</v>
      </c>
      <c r="E368" t="b">
        <v>0</v>
      </c>
      <c r="F368">
        <v>0</v>
      </c>
      <c r="G368">
        <v>1</v>
      </c>
      <c r="H368">
        <v>0.2</v>
      </c>
      <c r="I368">
        <v>0.21210000000000001</v>
      </c>
      <c r="J368">
        <v>0.4</v>
      </c>
      <c r="K368">
        <v>0.16420000000000001</v>
      </c>
      <c r="L368">
        <v>11</v>
      </c>
      <c r="M368">
        <v>56</v>
      </c>
      <c r="N368">
        <v>67</v>
      </c>
    </row>
    <row r="369" spans="1:14" x14ac:dyDescent="0.3">
      <c r="A369">
        <v>368</v>
      </c>
      <c r="B369" s="1">
        <v>40559</v>
      </c>
      <c r="C369">
        <v>1</v>
      </c>
      <c r="D369">
        <v>19</v>
      </c>
      <c r="E369" t="b">
        <v>0</v>
      </c>
      <c r="F369">
        <v>0</v>
      </c>
      <c r="G369">
        <v>1</v>
      </c>
      <c r="H369">
        <v>0.18</v>
      </c>
      <c r="I369">
        <v>0.19700000000000001</v>
      </c>
      <c r="J369">
        <v>0.47</v>
      </c>
      <c r="K369">
        <v>0.1343</v>
      </c>
      <c r="L369">
        <v>14</v>
      </c>
      <c r="M369">
        <v>47</v>
      </c>
      <c r="N369">
        <v>61</v>
      </c>
    </row>
    <row r="370" spans="1:14" x14ac:dyDescent="0.3">
      <c r="A370">
        <v>369</v>
      </c>
      <c r="B370" s="1">
        <v>40559</v>
      </c>
      <c r="C370">
        <v>1</v>
      </c>
      <c r="D370">
        <v>20</v>
      </c>
      <c r="E370" t="b">
        <v>0</v>
      </c>
      <c r="F370">
        <v>0</v>
      </c>
      <c r="G370">
        <v>1</v>
      </c>
      <c r="H370">
        <v>0.18</v>
      </c>
      <c r="I370">
        <v>0.19700000000000001</v>
      </c>
      <c r="J370">
        <v>0.47</v>
      </c>
      <c r="K370">
        <v>0.16420000000000001</v>
      </c>
      <c r="L370">
        <v>7</v>
      </c>
      <c r="M370">
        <v>50</v>
      </c>
      <c r="N370">
        <v>57</v>
      </c>
    </row>
    <row r="371" spans="1:14" x14ac:dyDescent="0.3">
      <c r="A371">
        <v>370</v>
      </c>
      <c r="B371" s="1">
        <v>40559</v>
      </c>
      <c r="C371">
        <v>1</v>
      </c>
      <c r="D371">
        <v>21</v>
      </c>
      <c r="E371" t="b">
        <v>0</v>
      </c>
      <c r="F371">
        <v>0</v>
      </c>
      <c r="G371">
        <v>1</v>
      </c>
      <c r="H371">
        <v>0.18</v>
      </c>
      <c r="I371">
        <v>0.19700000000000001</v>
      </c>
      <c r="J371">
        <v>0.51</v>
      </c>
      <c r="K371">
        <v>0.16420000000000001</v>
      </c>
      <c r="L371">
        <v>6</v>
      </c>
      <c r="M371">
        <v>22</v>
      </c>
      <c r="N371">
        <v>28</v>
      </c>
    </row>
    <row r="372" spans="1:14" x14ac:dyDescent="0.3">
      <c r="A372">
        <v>371</v>
      </c>
      <c r="B372" s="1">
        <v>40559</v>
      </c>
      <c r="C372">
        <v>1</v>
      </c>
      <c r="D372">
        <v>22</v>
      </c>
      <c r="E372" t="b">
        <v>0</v>
      </c>
      <c r="F372">
        <v>0</v>
      </c>
      <c r="G372">
        <v>2</v>
      </c>
      <c r="H372">
        <v>0.2</v>
      </c>
      <c r="I372">
        <v>0.21210000000000001</v>
      </c>
      <c r="J372">
        <v>0.49</v>
      </c>
      <c r="K372">
        <v>0.1343</v>
      </c>
      <c r="L372">
        <v>2</v>
      </c>
      <c r="M372">
        <v>19</v>
      </c>
      <c r="N372">
        <v>21</v>
      </c>
    </row>
    <row r="373" spans="1:14" x14ac:dyDescent="0.3">
      <c r="A373">
        <v>372</v>
      </c>
      <c r="B373" s="1">
        <v>40559</v>
      </c>
      <c r="C373">
        <v>1</v>
      </c>
      <c r="D373">
        <v>23</v>
      </c>
      <c r="E373" t="b">
        <v>0</v>
      </c>
      <c r="F373">
        <v>0</v>
      </c>
      <c r="G373">
        <v>2</v>
      </c>
      <c r="H373">
        <v>0.2</v>
      </c>
      <c r="I373">
        <v>0.2273</v>
      </c>
      <c r="J373">
        <v>0.4</v>
      </c>
      <c r="K373">
        <v>0.1045</v>
      </c>
      <c r="L373">
        <v>0</v>
      </c>
      <c r="M373">
        <v>18</v>
      </c>
      <c r="N373">
        <v>18</v>
      </c>
    </row>
    <row r="374" spans="1:14" x14ac:dyDescent="0.3">
      <c r="A374">
        <v>373</v>
      </c>
      <c r="B374" s="1">
        <v>40560</v>
      </c>
      <c r="C374">
        <v>1</v>
      </c>
      <c r="D374">
        <v>0</v>
      </c>
      <c r="E374" t="b">
        <v>1</v>
      </c>
      <c r="F374">
        <v>1</v>
      </c>
      <c r="G374">
        <v>2</v>
      </c>
      <c r="H374">
        <v>0.2</v>
      </c>
      <c r="I374">
        <v>0.19700000000000001</v>
      </c>
      <c r="J374">
        <v>0.47</v>
      </c>
      <c r="K374">
        <v>0.22389999999999999</v>
      </c>
      <c r="L374">
        <v>1</v>
      </c>
      <c r="M374">
        <v>16</v>
      </c>
      <c r="N374">
        <v>17</v>
      </c>
    </row>
    <row r="375" spans="1:14" x14ac:dyDescent="0.3">
      <c r="A375">
        <v>374</v>
      </c>
      <c r="B375" s="1">
        <v>40560</v>
      </c>
      <c r="C375">
        <v>1</v>
      </c>
      <c r="D375">
        <v>1</v>
      </c>
      <c r="E375" t="b">
        <v>1</v>
      </c>
      <c r="F375">
        <v>1</v>
      </c>
      <c r="G375">
        <v>2</v>
      </c>
      <c r="H375">
        <v>0.2</v>
      </c>
      <c r="I375">
        <v>0.19700000000000001</v>
      </c>
      <c r="J375">
        <v>0.44</v>
      </c>
      <c r="K375">
        <v>0.19400000000000001</v>
      </c>
      <c r="L375">
        <v>1</v>
      </c>
      <c r="M375">
        <v>15</v>
      </c>
      <c r="N375">
        <v>16</v>
      </c>
    </row>
    <row r="376" spans="1:14" x14ac:dyDescent="0.3">
      <c r="A376">
        <v>375</v>
      </c>
      <c r="B376" s="1">
        <v>40560</v>
      </c>
      <c r="C376">
        <v>1</v>
      </c>
      <c r="D376">
        <v>2</v>
      </c>
      <c r="E376" t="b">
        <v>1</v>
      </c>
      <c r="F376">
        <v>1</v>
      </c>
      <c r="G376">
        <v>2</v>
      </c>
      <c r="H376">
        <v>0.18</v>
      </c>
      <c r="I376">
        <v>0.16669999999999999</v>
      </c>
      <c r="J376">
        <v>0.43</v>
      </c>
      <c r="K376">
        <v>0.25369999999999998</v>
      </c>
      <c r="L376">
        <v>0</v>
      </c>
      <c r="M376">
        <v>8</v>
      </c>
      <c r="N376">
        <v>8</v>
      </c>
    </row>
    <row r="377" spans="1:14" x14ac:dyDescent="0.3">
      <c r="A377">
        <v>376</v>
      </c>
      <c r="B377" s="1">
        <v>40560</v>
      </c>
      <c r="C377">
        <v>1</v>
      </c>
      <c r="D377">
        <v>3</v>
      </c>
      <c r="E377" t="b">
        <v>1</v>
      </c>
      <c r="F377">
        <v>1</v>
      </c>
      <c r="G377">
        <v>2</v>
      </c>
      <c r="H377">
        <v>0.18</v>
      </c>
      <c r="I377">
        <v>0.18179999999999999</v>
      </c>
      <c r="J377">
        <v>0.43</v>
      </c>
      <c r="K377">
        <v>0.19400000000000001</v>
      </c>
      <c r="L377">
        <v>0</v>
      </c>
      <c r="M377">
        <v>2</v>
      </c>
      <c r="N377">
        <v>2</v>
      </c>
    </row>
    <row r="378" spans="1:14" x14ac:dyDescent="0.3">
      <c r="A378">
        <v>377</v>
      </c>
      <c r="B378" s="1">
        <v>40560</v>
      </c>
      <c r="C378">
        <v>1</v>
      </c>
      <c r="D378">
        <v>4</v>
      </c>
      <c r="E378" t="b">
        <v>1</v>
      </c>
      <c r="F378">
        <v>1</v>
      </c>
      <c r="G378">
        <v>2</v>
      </c>
      <c r="H378">
        <v>0.18</v>
      </c>
      <c r="I378">
        <v>0.19700000000000001</v>
      </c>
      <c r="J378">
        <v>0.43</v>
      </c>
      <c r="K378">
        <v>0.1343</v>
      </c>
      <c r="L378">
        <v>1</v>
      </c>
      <c r="M378">
        <v>2</v>
      </c>
      <c r="N378">
        <v>3</v>
      </c>
    </row>
    <row r="379" spans="1:14" x14ac:dyDescent="0.3">
      <c r="A379">
        <v>378</v>
      </c>
      <c r="B379" s="1">
        <v>40560</v>
      </c>
      <c r="C379">
        <v>1</v>
      </c>
      <c r="D379">
        <v>5</v>
      </c>
      <c r="E379" t="b">
        <v>1</v>
      </c>
      <c r="F379">
        <v>1</v>
      </c>
      <c r="G379">
        <v>2</v>
      </c>
      <c r="H379">
        <v>0.18</v>
      </c>
      <c r="I379">
        <v>0.19700000000000001</v>
      </c>
      <c r="J379">
        <v>0.43</v>
      </c>
      <c r="K379">
        <v>0.16420000000000001</v>
      </c>
      <c r="L379">
        <v>0</v>
      </c>
      <c r="M379">
        <v>1</v>
      </c>
      <c r="N379">
        <v>1</v>
      </c>
    </row>
    <row r="380" spans="1:14" x14ac:dyDescent="0.3">
      <c r="A380">
        <v>379</v>
      </c>
      <c r="B380" s="1">
        <v>40560</v>
      </c>
      <c r="C380">
        <v>1</v>
      </c>
      <c r="D380">
        <v>6</v>
      </c>
      <c r="E380" t="b">
        <v>1</v>
      </c>
      <c r="F380">
        <v>1</v>
      </c>
      <c r="G380">
        <v>2</v>
      </c>
      <c r="H380">
        <v>0.18</v>
      </c>
      <c r="I380">
        <v>0.18179999999999999</v>
      </c>
      <c r="J380">
        <v>0.43</v>
      </c>
      <c r="K380">
        <v>0.19400000000000001</v>
      </c>
      <c r="L380">
        <v>0</v>
      </c>
      <c r="M380">
        <v>5</v>
      </c>
      <c r="N380">
        <v>5</v>
      </c>
    </row>
    <row r="381" spans="1:14" x14ac:dyDescent="0.3">
      <c r="A381">
        <v>380</v>
      </c>
      <c r="B381" s="1">
        <v>40560</v>
      </c>
      <c r="C381">
        <v>1</v>
      </c>
      <c r="D381">
        <v>7</v>
      </c>
      <c r="E381" t="b">
        <v>1</v>
      </c>
      <c r="F381">
        <v>1</v>
      </c>
      <c r="G381">
        <v>2</v>
      </c>
      <c r="H381">
        <v>0.16</v>
      </c>
      <c r="I381">
        <v>0.18179999999999999</v>
      </c>
      <c r="J381">
        <v>0.5</v>
      </c>
      <c r="K381">
        <v>0.1343</v>
      </c>
      <c r="L381">
        <v>4</v>
      </c>
      <c r="M381">
        <v>9</v>
      </c>
      <c r="N381">
        <v>13</v>
      </c>
    </row>
    <row r="382" spans="1:14" x14ac:dyDescent="0.3">
      <c r="A382">
        <v>381</v>
      </c>
      <c r="B382" s="1">
        <v>40560</v>
      </c>
      <c r="C382">
        <v>1</v>
      </c>
      <c r="D382">
        <v>8</v>
      </c>
      <c r="E382" t="b">
        <v>1</v>
      </c>
      <c r="F382">
        <v>1</v>
      </c>
      <c r="G382">
        <v>2</v>
      </c>
      <c r="H382">
        <v>0.16</v>
      </c>
      <c r="I382">
        <v>0.1515</v>
      </c>
      <c r="J382">
        <v>0.47</v>
      </c>
      <c r="K382">
        <v>0.22389999999999999</v>
      </c>
      <c r="L382">
        <v>3</v>
      </c>
      <c r="M382">
        <v>30</v>
      </c>
      <c r="N382">
        <v>33</v>
      </c>
    </row>
    <row r="383" spans="1:14" x14ac:dyDescent="0.3">
      <c r="A383">
        <v>382</v>
      </c>
      <c r="B383" s="1">
        <v>40560</v>
      </c>
      <c r="C383">
        <v>1</v>
      </c>
      <c r="D383">
        <v>9</v>
      </c>
      <c r="E383" t="b">
        <v>1</v>
      </c>
      <c r="F383">
        <v>1</v>
      </c>
      <c r="G383">
        <v>2</v>
      </c>
      <c r="H383">
        <v>0.16</v>
      </c>
      <c r="I383">
        <v>0.1515</v>
      </c>
      <c r="J383">
        <v>0.47</v>
      </c>
      <c r="K383">
        <v>0.22389999999999999</v>
      </c>
      <c r="L383">
        <v>8</v>
      </c>
      <c r="M383">
        <v>39</v>
      </c>
      <c r="N383">
        <v>47</v>
      </c>
    </row>
    <row r="384" spans="1:14" x14ac:dyDescent="0.3">
      <c r="A384">
        <v>383</v>
      </c>
      <c r="B384" s="1">
        <v>40560</v>
      </c>
      <c r="C384">
        <v>1</v>
      </c>
      <c r="D384">
        <v>10</v>
      </c>
      <c r="E384" t="b">
        <v>1</v>
      </c>
      <c r="F384">
        <v>1</v>
      </c>
      <c r="G384">
        <v>2</v>
      </c>
      <c r="H384">
        <v>0.16</v>
      </c>
      <c r="I384">
        <v>0.1515</v>
      </c>
      <c r="J384">
        <v>0.5</v>
      </c>
      <c r="K384">
        <v>0.25369999999999998</v>
      </c>
      <c r="L384">
        <v>7</v>
      </c>
      <c r="M384">
        <v>50</v>
      </c>
      <c r="N384">
        <v>57</v>
      </c>
    </row>
    <row r="385" spans="1:14" x14ac:dyDescent="0.3">
      <c r="A385">
        <v>384</v>
      </c>
      <c r="B385" s="1">
        <v>40560</v>
      </c>
      <c r="C385">
        <v>1</v>
      </c>
      <c r="D385">
        <v>11</v>
      </c>
      <c r="E385" t="b">
        <v>1</v>
      </c>
      <c r="F385">
        <v>1</v>
      </c>
      <c r="G385">
        <v>2</v>
      </c>
      <c r="H385">
        <v>0.16</v>
      </c>
      <c r="I385">
        <v>0.1515</v>
      </c>
      <c r="J385">
        <v>0.55000000000000004</v>
      </c>
      <c r="K385">
        <v>0.19400000000000001</v>
      </c>
      <c r="L385">
        <v>9</v>
      </c>
      <c r="M385">
        <v>55</v>
      </c>
      <c r="N385">
        <v>64</v>
      </c>
    </row>
    <row r="386" spans="1:14" x14ac:dyDescent="0.3">
      <c r="A386">
        <v>385</v>
      </c>
      <c r="B386" s="1">
        <v>40560</v>
      </c>
      <c r="C386">
        <v>1</v>
      </c>
      <c r="D386">
        <v>12</v>
      </c>
      <c r="E386" t="b">
        <v>1</v>
      </c>
      <c r="F386">
        <v>1</v>
      </c>
      <c r="G386">
        <v>2</v>
      </c>
      <c r="H386">
        <v>0.18</v>
      </c>
      <c r="I386">
        <v>0.19700000000000001</v>
      </c>
      <c r="J386">
        <v>0.47</v>
      </c>
      <c r="K386">
        <v>0.1343</v>
      </c>
      <c r="L386">
        <v>10</v>
      </c>
      <c r="M386">
        <v>70</v>
      </c>
      <c r="N386">
        <v>80</v>
      </c>
    </row>
    <row r="387" spans="1:14" x14ac:dyDescent="0.3">
      <c r="A387">
        <v>386</v>
      </c>
      <c r="B387" s="1">
        <v>40560</v>
      </c>
      <c r="C387">
        <v>1</v>
      </c>
      <c r="D387">
        <v>13</v>
      </c>
      <c r="E387" t="b">
        <v>1</v>
      </c>
      <c r="F387">
        <v>1</v>
      </c>
      <c r="G387">
        <v>2</v>
      </c>
      <c r="H387">
        <v>0.18</v>
      </c>
      <c r="I387">
        <v>0.19700000000000001</v>
      </c>
      <c r="J387">
        <v>0.47</v>
      </c>
      <c r="K387">
        <v>0.1343</v>
      </c>
      <c r="L387">
        <v>13</v>
      </c>
      <c r="M387">
        <v>80</v>
      </c>
      <c r="N387">
        <v>93</v>
      </c>
    </row>
    <row r="388" spans="1:14" x14ac:dyDescent="0.3">
      <c r="A388">
        <v>387</v>
      </c>
      <c r="B388" s="1">
        <v>40560</v>
      </c>
      <c r="C388">
        <v>1</v>
      </c>
      <c r="D388">
        <v>14</v>
      </c>
      <c r="E388" t="b">
        <v>1</v>
      </c>
      <c r="F388">
        <v>1</v>
      </c>
      <c r="G388">
        <v>2</v>
      </c>
      <c r="H388">
        <v>0.18</v>
      </c>
      <c r="I388">
        <v>0.21210000000000001</v>
      </c>
      <c r="J388">
        <v>0.43</v>
      </c>
      <c r="K388">
        <v>0.1045</v>
      </c>
      <c r="L388">
        <v>12</v>
      </c>
      <c r="M388">
        <v>74</v>
      </c>
      <c r="N388">
        <v>86</v>
      </c>
    </row>
    <row r="389" spans="1:14" x14ac:dyDescent="0.3">
      <c r="A389">
        <v>388</v>
      </c>
      <c r="B389" s="1">
        <v>40560</v>
      </c>
      <c r="C389">
        <v>1</v>
      </c>
      <c r="D389">
        <v>15</v>
      </c>
      <c r="E389" t="b">
        <v>1</v>
      </c>
      <c r="F389">
        <v>1</v>
      </c>
      <c r="G389">
        <v>2</v>
      </c>
      <c r="H389">
        <v>0.2</v>
      </c>
      <c r="I389">
        <v>0.21210000000000001</v>
      </c>
      <c r="J389">
        <v>0.47</v>
      </c>
      <c r="K389">
        <v>0.16420000000000001</v>
      </c>
      <c r="L389">
        <v>21</v>
      </c>
      <c r="M389">
        <v>72</v>
      </c>
      <c r="N389">
        <v>93</v>
      </c>
    </row>
    <row r="390" spans="1:14" x14ac:dyDescent="0.3">
      <c r="A390">
        <v>389</v>
      </c>
      <c r="B390" s="1">
        <v>40560</v>
      </c>
      <c r="C390">
        <v>1</v>
      </c>
      <c r="D390">
        <v>16</v>
      </c>
      <c r="E390" t="b">
        <v>1</v>
      </c>
      <c r="F390">
        <v>1</v>
      </c>
      <c r="G390">
        <v>2</v>
      </c>
      <c r="H390">
        <v>0.2</v>
      </c>
      <c r="I390">
        <v>0.21210000000000001</v>
      </c>
      <c r="J390">
        <v>0.47</v>
      </c>
      <c r="K390">
        <v>0.16420000000000001</v>
      </c>
      <c r="L390">
        <v>6</v>
      </c>
      <c r="M390">
        <v>76</v>
      </c>
      <c r="N390">
        <v>82</v>
      </c>
    </row>
    <row r="391" spans="1:14" x14ac:dyDescent="0.3">
      <c r="A391">
        <v>390</v>
      </c>
      <c r="B391" s="1">
        <v>40560</v>
      </c>
      <c r="C391">
        <v>1</v>
      </c>
      <c r="D391">
        <v>17</v>
      </c>
      <c r="E391" t="b">
        <v>1</v>
      </c>
      <c r="F391">
        <v>1</v>
      </c>
      <c r="G391">
        <v>1</v>
      </c>
      <c r="H391">
        <v>0.2</v>
      </c>
      <c r="I391">
        <v>0.19700000000000001</v>
      </c>
      <c r="J391">
        <v>0.51</v>
      </c>
      <c r="K391">
        <v>0.19400000000000001</v>
      </c>
      <c r="L391">
        <v>4</v>
      </c>
      <c r="M391">
        <v>67</v>
      </c>
      <c r="N391">
        <v>71</v>
      </c>
    </row>
    <row r="392" spans="1:14" x14ac:dyDescent="0.3">
      <c r="A392">
        <v>391</v>
      </c>
      <c r="B392" s="1">
        <v>40560</v>
      </c>
      <c r="C392">
        <v>1</v>
      </c>
      <c r="D392">
        <v>18</v>
      </c>
      <c r="E392" t="b">
        <v>1</v>
      </c>
      <c r="F392">
        <v>1</v>
      </c>
      <c r="G392">
        <v>2</v>
      </c>
      <c r="H392">
        <v>0.18</v>
      </c>
      <c r="I392">
        <v>0.16669999999999999</v>
      </c>
      <c r="J392">
        <v>0.55000000000000004</v>
      </c>
      <c r="K392">
        <v>0.25369999999999998</v>
      </c>
      <c r="L392">
        <v>7</v>
      </c>
      <c r="M392">
        <v>85</v>
      </c>
      <c r="N392">
        <v>92</v>
      </c>
    </row>
    <row r="393" spans="1:14" x14ac:dyDescent="0.3">
      <c r="A393">
        <v>392</v>
      </c>
      <c r="B393" s="1">
        <v>40560</v>
      </c>
      <c r="C393">
        <v>1</v>
      </c>
      <c r="D393">
        <v>19</v>
      </c>
      <c r="E393" t="b">
        <v>1</v>
      </c>
      <c r="F393">
        <v>1</v>
      </c>
      <c r="G393">
        <v>3</v>
      </c>
      <c r="H393">
        <v>0.18</v>
      </c>
      <c r="I393">
        <v>0.18179999999999999</v>
      </c>
      <c r="J393">
        <v>0.59</v>
      </c>
      <c r="K393">
        <v>0.19400000000000001</v>
      </c>
      <c r="L393">
        <v>2</v>
      </c>
      <c r="M393">
        <v>58</v>
      </c>
      <c r="N393">
        <v>60</v>
      </c>
    </row>
    <row r="394" spans="1:14" x14ac:dyDescent="0.3">
      <c r="A394">
        <v>393</v>
      </c>
      <c r="B394" s="1">
        <v>40560</v>
      </c>
      <c r="C394">
        <v>1</v>
      </c>
      <c r="D394">
        <v>20</v>
      </c>
      <c r="E394" t="b">
        <v>1</v>
      </c>
      <c r="F394">
        <v>1</v>
      </c>
      <c r="G394">
        <v>3</v>
      </c>
      <c r="H394">
        <v>0.16</v>
      </c>
      <c r="I394">
        <v>0.1515</v>
      </c>
      <c r="J394">
        <v>0.8</v>
      </c>
      <c r="K394">
        <v>0.19400000000000001</v>
      </c>
      <c r="L394">
        <v>4</v>
      </c>
      <c r="M394">
        <v>29</v>
      </c>
      <c r="N394">
        <v>33</v>
      </c>
    </row>
    <row r="395" spans="1:14" x14ac:dyDescent="0.3">
      <c r="A395">
        <v>394</v>
      </c>
      <c r="B395" s="1">
        <v>40560</v>
      </c>
      <c r="C395">
        <v>1</v>
      </c>
      <c r="D395">
        <v>21</v>
      </c>
      <c r="E395" t="b">
        <v>1</v>
      </c>
      <c r="F395">
        <v>1</v>
      </c>
      <c r="G395">
        <v>3</v>
      </c>
      <c r="H395">
        <v>0.16</v>
      </c>
      <c r="I395">
        <v>0.1515</v>
      </c>
      <c r="J395">
        <v>0.8</v>
      </c>
      <c r="K395">
        <v>0.19400000000000001</v>
      </c>
      <c r="L395">
        <v>3</v>
      </c>
      <c r="M395">
        <v>24</v>
      </c>
      <c r="N395">
        <v>27</v>
      </c>
    </row>
    <row r="396" spans="1:14" x14ac:dyDescent="0.3">
      <c r="A396">
        <v>395</v>
      </c>
      <c r="B396" s="1">
        <v>40560</v>
      </c>
      <c r="C396">
        <v>1</v>
      </c>
      <c r="D396">
        <v>22</v>
      </c>
      <c r="E396" t="b">
        <v>1</v>
      </c>
      <c r="F396">
        <v>1</v>
      </c>
      <c r="G396">
        <v>3</v>
      </c>
      <c r="H396">
        <v>0.14000000000000001</v>
      </c>
      <c r="I396">
        <v>0.1212</v>
      </c>
      <c r="J396">
        <v>0.93</v>
      </c>
      <c r="K396">
        <v>0.25369999999999998</v>
      </c>
      <c r="L396">
        <v>0</v>
      </c>
      <c r="M396">
        <v>13</v>
      </c>
      <c r="N396">
        <v>13</v>
      </c>
    </row>
    <row r="397" spans="1:14" x14ac:dyDescent="0.3">
      <c r="A397">
        <v>396</v>
      </c>
      <c r="B397" s="1">
        <v>40560</v>
      </c>
      <c r="C397">
        <v>1</v>
      </c>
      <c r="D397">
        <v>23</v>
      </c>
      <c r="E397" t="b">
        <v>1</v>
      </c>
      <c r="F397">
        <v>1</v>
      </c>
      <c r="G397">
        <v>3</v>
      </c>
      <c r="H397">
        <v>0.16</v>
      </c>
      <c r="I397">
        <v>0.13639999999999999</v>
      </c>
      <c r="J397">
        <v>0.86</v>
      </c>
      <c r="K397">
        <v>0.28360000000000002</v>
      </c>
      <c r="L397">
        <v>1</v>
      </c>
      <c r="M397">
        <v>3</v>
      </c>
      <c r="N397">
        <v>4</v>
      </c>
    </row>
    <row r="398" spans="1:14" x14ac:dyDescent="0.3">
      <c r="A398">
        <v>397</v>
      </c>
      <c r="B398" s="1">
        <v>40561</v>
      </c>
      <c r="C398">
        <v>1</v>
      </c>
      <c r="D398">
        <v>12</v>
      </c>
      <c r="E398" t="b">
        <v>0</v>
      </c>
      <c r="F398">
        <v>2</v>
      </c>
      <c r="G398">
        <v>2</v>
      </c>
      <c r="H398">
        <v>0.2</v>
      </c>
      <c r="I398">
        <v>0.18179999999999999</v>
      </c>
      <c r="J398">
        <v>0.86</v>
      </c>
      <c r="K398">
        <v>0.32840000000000003</v>
      </c>
      <c r="L398">
        <v>0</v>
      </c>
      <c r="M398">
        <v>3</v>
      </c>
      <c r="N398">
        <v>3</v>
      </c>
    </row>
    <row r="399" spans="1:14" x14ac:dyDescent="0.3">
      <c r="A399">
        <v>398</v>
      </c>
      <c r="B399" s="1">
        <v>40561</v>
      </c>
      <c r="C399">
        <v>1</v>
      </c>
      <c r="D399">
        <v>13</v>
      </c>
      <c r="E399" t="b">
        <v>0</v>
      </c>
      <c r="F399">
        <v>2</v>
      </c>
      <c r="G399">
        <v>2</v>
      </c>
      <c r="H399">
        <v>0.2</v>
      </c>
      <c r="I399">
        <v>0.19700000000000001</v>
      </c>
      <c r="J399">
        <v>0.86</v>
      </c>
      <c r="K399">
        <v>0.22389999999999999</v>
      </c>
      <c r="L399">
        <v>0</v>
      </c>
      <c r="M399">
        <v>22</v>
      </c>
      <c r="N399">
        <v>22</v>
      </c>
    </row>
    <row r="400" spans="1:14" x14ac:dyDescent="0.3">
      <c r="A400">
        <v>399</v>
      </c>
      <c r="B400" s="1">
        <v>40561</v>
      </c>
      <c r="C400">
        <v>1</v>
      </c>
      <c r="D400">
        <v>14</v>
      </c>
      <c r="E400" t="b">
        <v>0</v>
      </c>
      <c r="F400">
        <v>2</v>
      </c>
      <c r="G400">
        <v>2</v>
      </c>
      <c r="H400">
        <v>0.22</v>
      </c>
      <c r="I400">
        <v>0.2273</v>
      </c>
      <c r="J400">
        <v>0.8</v>
      </c>
      <c r="K400">
        <v>0.16420000000000001</v>
      </c>
      <c r="L400">
        <v>2</v>
      </c>
      <c r="M400">
        <v>26</v>
      </c>
      <c r="N400">
        <v>28</v>
      </c>
    </row>
    <row r="401" spans="1:14" x14ac:dyDescent="0.3">
      <c r="A401">
        <v>400</v>
      </c>
      <c r="B401" s="1">
        <v>40561</v>
      </c>
      <c r="C401">
        <v>1</v>
      </c>
      <c r="D401">
        <v>15</v>
      </c>
      <c r="E401" t="b">
        <v>0</v>
      </c>
      <c r="F401">
        <v>2</v>
      </c>
      <c r="G401">
        <v>2</v>
      </c>
      <c r="H401">
        <v>0.22</v>
      </c>
      <c r="I401">
        <v>0.2273</v>
      </c>
      <c r="J401">
        <v>0.87</v>
      </c>
      <c r="K401">
        <v>0.16420000000000001</v>
      </c>
      <c r="L401">
        <v>3</v>
      </c>
      <c r="M401">
        <v>32</v>
      </c>
      <c r="N401">
        <v>35</v>
      </c>
    </row>
    <row r="402" spans="1:14" x14ac:dyDescent="0.3">
      <c r="A402">
        <v>401</v>
      </c>
      <c r="B402" s="1">
        <v>40561</v>
      </c>
      <c r="C402">
        <v>1</v>
      </c>
      <c r="D402">
        <v>16</v>
      </c>
      <c r="E402" t="b">
        <v>0</v>
      </c>
      <c r="F402">
        <v>2</v>
      </c>
      <c r="G402">
        <v>2</v>
      </c>
      <c r="H402">
        <v>0.22</v>
      </c>
      <c r="I402">
        <v>0.2273</v>
      </c>
      <c r="J402">
        <v>0.87</v>
      </c>
      <c r="K402">
        <v>0.19400000000000001</v>
      </c>
      <c r="L402">
        <v>0</v>
      </c>
      <c r="M402">
        <v>61</v>
      </c>
      <c r="N402">
        <v>61</v>
      </c>
    </row>
    <row r="403" spans="1:14" x14ac:dyDescent="0.3">
      <c r="A403">
        <v>402</v>
      </c>
      <c r="B403" s="1">
        <v>40561</v>
      </c>
      <c r="C403">
        <v>1</v>
      </c>
      <c r="D403">
        <v>17</v>
      </c>
      <c r="E403" t="b">
        <v>0</v>
      </c>
      <c r="F403">
        <v>2</v>
      </c>
      <c r="G403">
        <v>2</v>
      </c>
      <c r="H403">
        <v>0.22</v>
      </c>
      <c r="I403">
        <v>0.2273</v>
      </c>
      <c r="J403">
        <v>0.82</v>
      </c>
      <c r="K403">
        <v>0.19400000000000001</v>
      </c>
      <c r="L403">
        <v>1</v>
      </c>
      <c r="M403">
        <v>124</v>
      </c>
      <c r="N403">
        <v>125</v>
      </c>
    </row>
    <row r="404" spans="1:14" x14ac:dyDescent="0.3">
      <c r="A404">
        <v>403</v>
      </c>
      <c r="B404" s="1">
        <v>40561</v>
      </c>
      <c r="C404">
        <v>1</v>
      </c>
      <c r="D404">
        <v>18</v>
      </c>
      <c r="E404" t="b">
        <v>0</v>
      </c>
      <c r="F404">
        <v>2</v>
      </c>
      <c r="G404">
        <v>2</v>
      </c>
      <c r="H404">
        <v>0.22</v>
      </c>
      <c r="I404">
        <v>0.2273</v>
      </c>
      <c r="J404">
        <v>0.8</v>
      </c>
      <c r="K404">
        <v>0.16420000000000001</v>
      </c>
      <c r="L404">
        <v>1</v>
      </c>
      <c r="M404">
        <v>132</v>
      </c>
      <c r="N404">
        <v>133</v>
      </c>
    </row>
    <row r="405" spans="1:14" x14ac:dyDescent="0.3">
      <c r="A405">
        <v>404</v>
      </c>
      <c r="B405" s="1">
        <v>40561</v>
      </c>
      <c r="C405">
        <v>1</v>
      </c>
      <c r="D405">
        <v>19</v>
      </c>
      <c r="E405" t="b">
        <v>0</v>
      </c>
      <c r="F405">
        <v>2</v>
      </c>
      <c r="G405">
        <v>2</v>
      </c>
      <c r="H405">
        <v>0.22</v>
      </c>
      <c r="I405">
        <v>0.2273</v>
      </c>
      <c r="J405">
        <v>0.8</v>
      </c>
      <c r="K405">
        <v>0.1343</v>
      </c>
      <c r="L405">
        <v>1</v>
      </c>
      <c r="M405">
        <v>98</v>
      </c>
      <c r="N405">
        <v>99</v>
      </c>
    </row>
    <row r="406" spans="1:14" x14ac:dyDescent="0.3">
      <c r="A406">
        <v>405</v>
      </c>
      <c r="B406" s="1">
        <v>40561</v>
      </c>
      <c r="C406">
        <v>1</v>
      </c>
      <c r="D406">
        <v>20</v>
      </c>
      <c r="E406" t="b">
        <v>0</v>
      </c>
      <c r="F406">
        <v>2</v>
      </c>
      <c r="G406">
        <v>2</v>
      </c>
      <c r="H406">
        <v>0.22</v>
      </c>
      <c r="I406">
        <v>0.2727</v>
      </c>
      <c r="J406">
        <v>0.87</v>
      </c>
      <c r="K406">
        <v>0</v>
      </c>
      <c r="L406">
        <v>0</v>
      </c>
      <c r="M406">
        <v>83</v>
      </c>
      <c r="N406">
        <v>83</v>
      </c>
    </row>
    <row r="407" spans="1:14" x14ac:dyDescent="0.3">
      <c r="A407">
        <v>406</v>
      </c>
      <c r="B407" s="1">
        <v>40561</v>
      </c>
      <c r="C407">
        <v>1</v>
      </c>
      <c r="D407">
        <v>21</v>
      </c>
      <c r="E407" t="b">
        <v>0</v>
      </c>
      <c r="F407">
        <v>2</v>
      </c>
      <c r="G407">
        <v>2</v>
      </c>
      <c r="H407">
        <v>0.22</v>
      </c>
      <c r="I407">
        <v>0.2424</v>
      </c>
      <c r="J407">
        <v>0.93</v>
      </c>
      <c r="K407">
        <v>0.1045</v>
      </c>
      <c r="L407">
        <v>0</v>
      </c>
      <c r="M407">
        <v>41</v>
      </c>
      <c r="N407">
        <v>41</v>
      </c>
    </row>
    <row r="408" spans="1:14" x14ac:dyDescent="0.3">
      <c r="A408">
        <v>407</v>
      </c>
      <c r="B408" s="1">
        <v>40561</v>
      </c>
      <c r="C408">
        <v>1</v>
      </c>
      <c r="D408">
        <v>22</v>
      </c>
      <c r="E408" t="b">
        <v>0</v>
      </c>
      <c r="F408">
        <v>2</v>
      </c>
      <c r="G408">
        <v>2</v>
      </c>
      <c r="H408">
        <v>0.22</v>
      </c>
      <c r="I408">
        <v>0.2576</v>
      </c>
      <c r="J408">
        <v>0.93</v>
      </c>
      <c r="K408">
        <v>8.9599999999999999E-2</v>
      </c>
      <c r="L408">
        <v>0</v>
      </c>
      <c r="M408">
        <v>33</v>
      </c>
      <c r="N408">
        <v>33</v>
      </c>
    </row>
    <row r="409" spans="1:14" x14ac:dyDescent="0.3">
      <c r="A409">
        <v>408</v>
      </c>
      <c r="B409" s="1">
        <v>40561</v>
      </c>
      <c r="C409">
        <v>1</v>
      </c>
      <c r="D409">
        <v>23</v>
      </c>
      <c r="E409" t="b">
        <v>0</v>
      </c>
      <c r="F409">
        <v>2</v>
      </c>
      <c r="G409">
        <v>2</v>
      </c>
      <c r="H409">
        <v>0.22</v>
      </c>
      <c r="I409">
        <v>0.2727</v>
      </c>
      <c r="J409">
        <v>0.93</v>
      </c>
      <c r="K409">
        <v>0</v>
      </c>
      <c r="L409">
        <v>1</v>
      </c>
      <c r="M409">
        <v>19</v>
      </c>
      <c r="N409">
        <v>20</v>
      </c>
    </row>
    <row r="410" spans="1:14" x14ac:dyDescent="0.3">
      <c r="A410">
        <v>409</v>
      </c>
      <c r="B410" s="1">
        <v>40562</v>
      </c>
      <c r="C410">
        <v>1</v>
      </c>
      <c r="D410">
        <v>0</v>
      </c>
      <c r="E410" t="b">
        <v>0</v>
      </c>
      <c r="F410">
        <v>3</v>
      </c>
      <c r="G410">
        <v>2</v>
      </c>
      <c r="H410">
        <v>0.22</v>
      </c>
      <c r="I410">
        <v>0.2727</v>
      </c>
      <c r="J410">
        <v>0.93</v>
      </c>
      <c r="K410">
        <v>0</v>
      </c>
      <c r="L410">
        <v>0</v>
      </c>
      <c r="M410">
        <v>3</v>
      </c>
      <c r="N410">
        <v>3</v>
      </c>
    </row>
    <row r="411" spans="1:14" x14ac:dyDescent="0.3">
      <c r="A411">
        <v>410</v>
      </c>
      <c r="B411" s="1">
        <v>40562</v>
      </c>
      <c r="C411">
        <v>1</v>
      </c>
      <c r="D411">
        <v>1</v>
      </c>
      <c r="E411" t="b">
        <v>0</v>
      </c>
      <c r="F411">
        <v>3</v>
      </c>
      <c r="G411">
        <v>3</v>
      </c>
      <c r="H411">
        <v>0.22</v>
      </c>
      <c r="I411">
        <v>0.2273</v>
      </c>
      <c r="J411">
        <v>0.93</v>
      </c>
      <c r="K411">
        <v>0.1343</v>
      </c>
      <c r="L411">
        <v>1</v>
      </c>
      <c r="M411">
        <v>6</v>
      </c>
      <c r="N411">
        <v>7</v>
      </c>
    </row>
    <row r="412" spans="1:14" x14ac:dyDescent="0.3">
      <c r="A412">
        <v>411</v>
      </c>
      <c r="B412" s="1">
        <v>40562</v>
      </c>
      <c r="C412">
        <v>1</v>
      </c>
      <c r="D412">
        <v>2</v>
      </c>
      <c r="E412" t="b">
        <v>0</v>
      </c>
      <c r="F412">
        <v>3</v>
      </c>
      <c r="G412">
        <v>3</v>
      </c>
      <c r="H412">
        <v>0.22</v>
      </c>
      <c r="I412">
        <v>0.2273</v>
      </c>
      <c r="J412">
        <v>0.93</v>
      </c>
      <c r="K412">
        <v>0.1343</v>
      </c>
      <c r="L412">
        <v>0</v>
      </c>
      <c r="M412">
        <v>3</v>
      </c>
      <c r="N412">
        <v>3</v>
      </c>
    </row>
    <row r="413" spans="1:14" x14ac:dyDescent="0.3">
      <c r="A413">
        <v>412</v>
      </c>
      <c r="B413" s="1">
        <v>40562</v>
      </c>
      <c r="C413">
        <v>1</v>
      </c>
      <c r="D413">
        <v>4</v>
      </c>
      <c r="E413" t="b">
        <v>0</v>
      </c>
      <c r="F413">
        <v>3</v>
      </c>
      <c r="G413">
        <v>3</v>
      </c>
      <c r="H413">
        <v>0.22</v>
      </c>
      <c r="I413">
        <v>0.2273</v>
      </c>
      <c r="J413">
        <v>0.93</v>
      </c>
      <c r="K413">
        <v>0.1343</v>
      </c>
      <c r="L413">
        <v>1</v>
      </c>
      <c r="M413">
        <v>1</v>
      </c>
      <c r="N413">
        <v>2</v>
      </c>
    </row>
    <row r="414" spans="1:14" x14ac:dyDescent="0.3">
      <c r="A414">
        <v>413</v>
      </c>
      <c r="B414" s="1">
        <v>40562</v>
      </c>
      <c r="C414">
        <v>1</v>
      </c>
      <c r="D414">
        <v>5</v>
      </c>
      <c r="E414" t="b">
        <v>0</v>
      </c>
      <c r="F414">
        <v>3</v>
      </c>
      <c r="G414">
        <v>2</v>
      </c>
      <c r="H414">
        <v>0.22</v>
      </c>
      <c r="I414">
        <v>0.2576</v>
      </c>
      <c r="J414">
        <v>0.93</v>
      </c>
      <c r="K414">
        <v>8.9599999999999999E-2</v>
      </c>
      <c r="L414">
        <v>0</v>
      </c>
      <c r="M414">
        <v>7</v>
      </c>
      <c r="N414">
        <v>7</v>
      </c>
    </row>
    <row r="415" spans="1:14" x14ac:dyDescent="0.3">
      <c r="A415">
        <v>414</v>
      </c>
      <c r="B415" s="1">
        <v>40562</v>
      </c>
      <c r="C415">
        <v>1</v>
      </c>
      <c r="D415">
        <v>6</v>
      </c>
      <c r="E415" t="b">
        <v>0</v>
      </c>
      <c r="F415">
        <v>3</v>
      </c>
      <c r="G415">
        <v>2</v>
      </c>
      <c r="H415">
        <v>0.22</v>
      </c>
      <c r="I415">
        <v>0.2576</v>
      </c>
      <c r="J415">
        <v>0.93</v>
      </c>
      <c r="K415">
        <v>8.9599999999999999E-2</v>
      </c>
      <c r="L415">
        <v>0</v>
      </c>
      <c r="M415">
        <v>32</v>
      </c>
      <c r="N415">
        <v>32</v>
      </c>
    </row>
    <row r="416" spans="1:14" x14ac:dyDescent="0.3">
      <c r="A416">
        <v>415</v>
      </c>
      <c r="B416" s="1">
        <v>40562</v>
      </c>
      <c r="C416">
        <v>1</v>
      </c>
      <c r="D416">
        <v>7</v>
      </c>
      <c r="E416" t="b">
        <v>0</v>
      </c>
      <c r="F416">
        <v>3</v>
      </c>
      <c r="G416">
        <v>2</v>
      </c>
      <c r="H416">
        <v>0.24</v>
      </c>
      <c r="I416">
        <v>0.2576</v>
      </c>
      <c r="J416">
        <v>0.92</v>
      </c>
      <c r="K416">
        <v>0.1045</v>
      </c>
      <c r="L416">
        <v>1</v>
      </c>
      <c r="M416">
        <v>89</v>
      </c>
      <c r="N416">
        <v>90</v>
      </c>
    </row>
    <row r="417" spans="1:14" x14ac:dyDescent="0.3">
      <c r="A417">
        <v>416</v>
      </c>
      <c r="B417" s="1">
        <v>40562</v>
      </c>
      <c r="C417">
        <v>1</v>
      </c>
      <c r="D417">
        <v>8</v>
      </c>
      <c r="E417" t="b">
        <v>0</v>
      </c>
      <c r="F417">
        <v>3</v>
      </c>
      <c r="G417">
        <v>2</v>
      </c>
      <c r="H417">
        <v>0.24</v>
      </c>
      <c r="I417">
        <v>0.2576</v>
      </c>
      <c r="J417">
        <v>0.93</v>
      </c>
      <c r="K417">
        <v>0.1045</v>
      </c>
      <c r="L417">
        <v>1</v>
      </c>
      <c r="M417">
        <v>196</v>
      </c>
      <c r="N417">
        <v>197</v>
      </c>
    </row>
    <row r="418" spans="1:14" x14ac:dyDescent="0.3">
      <c r="A418">
        <v>417</v>
      </c>
      <c r="B418" s="1">
        <v>40562</v>
      </c>
      <c r="C418">
        <v>1</v>
      </c>
      <c r="D418">
        <v>9</v>
      </c>
      <c r="E418" t="b">
        <v>0</v>
      </c>
      <c r="F418">
        <v>3</v>
      </c>
      <c r="G418">
        <v>2</v>
      </c>
      <c r="H418">
        <v>0.24</v>
      </c>
      <c r="I418">
        <v>0.2576</v>
      </c>
      <c r="J418">
        <v>0.93</v>
      </c>
      <c r="K418">
        <v>0.1045</v>
      </c>
      <c r="L418">
        <v>2</v>
      </c>
      <c r="M418">
        <v>107</v>
      </c>
      <c r="N418">
        <v>109</v>
      </c>
    </row>
    <row r="419" spans="1:14" x14ac:dyDescent="0.3">
      <c r="A419">
        <v>418</v>
      </c>
      <c r="B419" s="1">
        <v>40562</v>
      </c>
      <c r="C419">
        <v>1</v>
      </c>
      <c r="D419">
        <v>10</v>
      </c>
      <c r="E419" t="b">
        <v>0</v>
      </c>
      <c r="F419">
        <v>3</v>
      </c>
      <c r="G419">
        <v>2</v>
      </c>
      <c r="H419">
        <v>0.26</v>
      </c>
      <c r="I419">
        <v>0.2727</v>
      </c>
      <c r="J419">
        <v>0.93</v>
      </c>
      <c r="K419">
        <v>0.1343</v>
      </c>
      <c r="L419">
        <v>1</v>
      </c>
      <c r="M419">
        <v>46</v>
      </c>
      <c r="N419">
        <v>47</v>
      </c>
    </row>
    <row r="420" spans="1:14" x14ac:dyDescent="0.3">
      <c r="A420">
        <v>419</v>
      </c>
      <c r="B420" s="1">
        <v>40562</v>
      </c>
      <c r="C420">
        <v>1</v>
      </c>
      <c r="D420">
        <v>11</v>
      </c>
      <c r="E420" t="b">
        <v>0</v>
      </c>
      <c r="F420">
        <v>3</v>
      </c>
      <c r="G420">
        <v>2</v>
      </c>
      <c r="H420">
        <v>0.28000000000000003</v>
      </c>
      <c r="I420">
        <v>0.30299999999999999</v>
      </c>
      <c r="J420">
        <v>0.87</v>
      </c>
      <c r="K420">
        <v>8.9599999999999999E-2</v>
      </c>
      <c r="L420">
        <v>5</v>
      </c>
      <c r="M420">
        <v>47</v>
      </c>
      <c r="N420">
        <v>52</v>
      </c>
    </row>
    <row r="421" spans="1:14" x14ac:dyDescent="0.3">
      <c r="A421">
        <v>420</v>
      </c>
      <c r="B421" s="1">
        <v>40562</v>
      </c>
      <c r="C421">
        <v>1</v>
      </c>
      <c r="D421">
        <v>12</v>
      </c>
      <c r="E421" t="b">
        <v>0</v>
      </c>
      <c r="F421">
        <v>3</v>
      </c>
      <c r="G421">
        <v>2</v>
      </c>
      <c r="H421">
        <v>0.3</v>
      </c>
      <c r="I421">
        <v>0.31819999999999998</v>
      </c>
      <c r="J421">
        <v>0.81</v>
      </c>
      <c r="K421">
        <v>8.9599999999999999E-2</v>
      </c>
      <c r="L421">
        <v>5</v>
      </c>
      <c r="M421">
        <v>65</v>
      </c>
      <c r="N421">
        <v>70</v>
      </c>
    </row>
    <row r="422" spans="1:14" x14ac:dyDescent="0.3">
      <c r="A422">
        <v>421</v>
      </c>
      <c r="B422" s="1">
        <v>40562</v>
      </c>
      <c r="C422">
        <v>1</v>
      </c>
      <c r="D422">
        <v>13</v>
      </c>
      <c r="E422" t="b">
        <v>0</v>
      </c>
      <c r="F422">
        <v>3</v>
      </c>
      <c r="G422">
        <v>1</v>
      </c>
      <c r="H422">
        <v>0.4</v>
      </c>
      <c r="I422">
        <v>0.40910000000000002</v>
      </c>
      <c r="J422">
        <v>0.62</v>
      </c>
      <c r="K422">
        <v>0.28360000000000002</v>
      </c>
      <c r="L422">
        <v>11</v>
      </c>
      <c r="M422">
        <v>67</v>
      </c>
      <c r="N422">
        <v>78</v>
      </c>
    </row>
    <row r="423" spans="1:14" x14ac:dyDescent="0.3">
      <c r="A423">
        <v>422</v>
      </c>
      <c r="B423" s="1">
        <v>40562</v>
      </c>
      <c r="C423">
        <v>1</v>
      </c>
      <c r="D423">
        <v>14</v>
      </c>
      <c r="E423" t="b">
        <v>0</v>
      </c>
      <c r="F423">
        <v>3</v>
      </c>
      <c r="G423">
        <v>1</v>
      </c>
      <c r="H423">
        <v>0.4</v>
      </c>
      <c r="I423">
        <v>0.40910000000000002</v>
      </c>
      <c r="J423">
        <v>0.57999999999999996</v>
      </c>
      <c r="K423">
        <v>0.25369999999999998</v>
      </c>
      <c r="L423">
        <v>7</v>
      </c>
      <c r="M423">
        <v>68</v>
      </c>
      <c r="N423">
        <v>75</v>
      </c>
    </row>
    <row r="424" spans="1:14" x14ac:dyDescent="0.3">
      <c r="A424">
        <v>423</v>
      </c>
      <c r="B424" s="1">
        <v>40562</v>
      </c>
      <c r="C424">
        <v>1</v>
      </c>
      <c r="D424">
        <v>15</v>
      </c>
      <c r="E424" t="b">
        <v>0</v>
      </c>
      <c r="F424">
        <v>3</v>
      </c>
      <c r="G424">
        <v>1</v>
      </c>
      <c r="H424">
        <v>0.4</v>
      </c>
      <c r="I424">
        <v>0.40910000000000002</v>
      </c>
      <c r="J424">
        <v>0.54</v>
      </c>
      <c r="K424">
        <v>0.28360000000000002</v>
      </c>
      <c r="L424">
        <v>4</v>
      </c>
      <c r="M424">
        <v>78</v>
      </c>
      <c r="N424">
        <v>82</v>
      </c>
    </row>
    <row r="425" spans="1:14" x14ac:dyDescent="0.3">
      <c r="A425">
        <v>424</v>
      </c>
      <c r="B425" s="1">
        <v>40562</v>
      </c>
      <c r="C425">
        <v>1</v>
      </c>
      <c r="D425">
        <v>16</v>
      </c>
      <c r="E425" t="b">
        <v>0</v>
      </c>
      <c r="F425">
        <v>3</v>
      </c>
      <c r="G425">
        <v>1</v>
      </c>
      <c r="H425">
        <v>0.38</v>
      </c>
      <c r="I425">
        <v>0.39389999999999997</v>
      </c>
      <c r="J425">
        <v>0.57999999999999996</v>
      </c>
      <c r="K425">
        <v>0.3881</v>
      </c>
      <c r="L425">
        <v>10</v>
      </c>
      <c r="M425">
        <v>94</v>
      </c>
      <c r="N425">
        <v>104</v>
      </c>
    </row>
    <row r="426" spans="1:14" x14ac:dyDescent="0.3">
      <c r="A426">
        <v>425</v>
      </c>
      <c r="B426" s="1">
        <v>40562</v>
      </c>
      <c r="C426">
        <v>1</v>
      </c>
      <c r="D426">
        <v>17</v>
      </c>
      <c r="E426" t="b">
        <v>0</v>
      </c>
      <c r="F426">
        <v>3</v>
      </c>
      <c r="G426">
        <v>1</v>
      </c>
      <c r="H426">
        <v>0.36</v>
      </c>
      <c r="I426">
        <v>0.33329999999999999</v>
      </c>
      <c r="J426">
        <v>0.56999999999999995</v>
      </c>
      <c r="K426">
        <v>0.32840000000000003</v>
      </c>
      <c r="L426">
        <v>7</v>
      </c>
      <c r="M426">
        <v>190</v>
      </c>
      <c r="N426">
        <v>197</v>
      </c>
    </row>
    <row r="427" spans="1:14" x14ac:dyDescent="0.3">
      <c r="A427">
        <v>426</v>
      </c>
      <c r="B427" s="1">
        <v>40562</v>
      </c>
      <c r="C427">
        <v>1</v>
      </c>
      <c r="D427">
        <v>18</v>
      </c>
      <c r="E427" t="b">
        <v>0</v>
      </c>
      <c r="F427">
        <v>3</v>
      </c>
      <c r="G427">
        <v>1</v>
      </c>
      <c r="H427">
        <v>0.34</v>
      </c>
      <c r="I427">
        <v>0.31819999999999998</v>
      </c>
      <c r="J427">
        <v>0.61</v>
      </c>
      <c r="K427">
        <v>0.28360000000000002</v>
      </c>
      <c r="L427">
        <v>5</v>
      </c>
      <c r="M427">
        <v>156</v>
      </c>
      <c r="N427">
        <v>161</v>
      </c>
    </row>
    <row r="428" spans="1:14" x14ac:dyDescent="0.3">
      <c r="A428">
        <v>427</v>
      </c>
      <c r="B428" s="1">
        <v>40562</v>
      </c>
      <c r="C428">
        <v>1</v>
      </c>
      <c r="D428">
        <v>19</v>
      </c>
      <c r="E428" t="b">
        <v>0</v>
      </c>
      <c r="F428">
        <v>3</v>
      </c>
      <c r="G428">
        <v>1</v>
      </c>
      <c r="H428">
        <v>0.32</v>
      </c>
      <c r="I428">
        <v>0.28789999999999999</v>
      </c>
      <c r="J428">
        <v>0.56999999999999995</v>
      </c>
      <c r="K428">
        <v>0.41789999999999999</v>
      </c>
      <c r="L428">
        <v>4</v>
      </c>
      <c r="M428">
        <v>108</v>
      </c>
      <c r="N428">
        <v>112</v>
      </c>
    </row>
    <row r="429" spans="1:14" x14ac:dyDescent="0.3">
      <c r="A429">
        <v>428</v>
      </c>
      <c r="B429" s="1">
        <v>40562</v>
      </c>
      <c r="C429">
        <v>1</v>
      </c>
      <c r="D429">
        <v>20</v>
      </c>
      <c r="E429" t="b">
        <v>0</v>
      </c>
      <c r="F429">
        <v>3</v>
      </c>
      <c r="G429">
        <v>1</v>
      </c>
      <c r="H429">
        <v>0.32</v>
      </c>
      <c r="I429">
        <v>0.30299999999999999</v>
      </c>
      <c r="J429">
        <v>0.49</v>
      </c>
      <c r="K429">
        <v>0.29849999999999999</v>
      </c>
      <c r="L429">
        <v>2</v>
      </c>
      <c r="M429">
        <v>74</v>
      </c>
      <c r="N429">
        <v>76</v>
      </c>
    </row>
    <row r="430" spans="1:14" x14ac:dyDescent="0.3">
      <c r="A430">
        <v>429</v>
      </c>
      <c r="B430" s="1">
        <v>40562</v>
      </c>
      <c r="C430">
        <v>1</v>
      </c>
      <c r="D430">
        <v>21</v>
      </c>
      <c r="E430" t="b">
        <v>0</v>
      </c>
      <c r="F430">
        <v>3</v>
      </c>
      <c r="G430">
        <v>1</v>
      </c>
      <c r="H430">
        <v>0.32</v>
      </c>
      <c r="I430">
        <v>0.28789999999999999</v>
      </c>
      <c r="J430">
        <v>0.49</v>
      </c>
      <c r="K430">
        <v>0.41789999999999999</v>
      </c>
      <c r="L430">
        <v>4</v>
      </c>
      <c r="M430">
        <v>55</v>
      </c>
      <c r="N430">
        <v>59</v>
      </c>
    </row>
    <row r="431" spans="1:14" x14ac:dyDescent="0.3">
      <c r="A431">
        <v>430</v>
      </c>
      <c r="B431" s="1">
        <v>40562</v>
      </c>
      <c r="C431">
        <v>1</v>
      </c>
      <c r="D431">
        <v>22</v>
      </c>
      <c r="E431" t="b">
        <v>0</v>
      </c>
      <c r="F431">
        <v>3</v>
      </c>
      <c r="G431">
        <v>1</v>
      </c>
      <c r="H431">
        <v>0.3</v>
      </c>
      <c r="I431">
        <v>0.30299999999999999</v>
      </c>
      <c r="J431">
        <v>0.52</v>
      </c>
      <c r="K431">
        <v>0.16420000000000001</v>
      </c>
      <c r="L431">
        <v>6</v>
      </c>
      <c r="M431">
        <v>53</v>
      </c>
      <c r="N431">
        <v>59</v>
      </c>
    </row>
    <row r="432" spans="1:14" x14ac:dyDescent="0.3">
      <c r="A432">
        <v>431</v>
      </c>
      <c r="B432" s="1">
        <v>40562</v>
      </c>
      <c r="C432">
        <v>1</v>
      </c>
      <c r="D432">
        <v>23</v>
      </c>
      <c r="E432" t="b">
        <v>0</v>
      </c>
      <c r="F432">
        <v>3</v>
      </c>
      <c r="G432">
        <v>1</v>
      </c>
      <c r="H432">
        <v>0.3</v>
      </c>
      <c r="I432">
        <v>0.2727</v>
      </c>
      <c r="J432">
        <v>0.52</v>
      </c>
      <c r="K432">
        <v>0.4627</v>
      </c>
      <c r="L432">
        <v>1</v>
      </c>
      <c r="M432">
        <v>27</v>
      </c>
      <c r="N432">
        <v>28</v>
      </c>
    </row>
    <row r="433" spans="1:14" x14ac:dyDescent="0.3">
      <c r="A433">
        <v>432</v>
      </c>
      <c r="B433" s="1">
        <v>40563</v>
      </c>
      <c r="C433">
        <v>1</v>
      </c>
      <c r="D433">
        <v>0</v>
      </c>
      <c r="E433" t="b">
        <v>0</v>
      </c>
      <c r="F433">
        <v>4</v>
      </c>
      <c r="G433">
        <v>1</v>
      </c>
      <c r="H433">
        <v>0.26</v>
      </c>
      <c r="I433">
        <v>0.2273</v>
      </c>
      <c r="J433">
        <v>0.56000000000000005</v>
      </c>
      <c r="K433">
        <v>0.3881</v>
      </c>
      <c r="L433">
        <v>5</v>
      </c>
      <c r="M433">
        <v>8</v>
      </c>
      <c r="N433">
        <v>13</v>
      </c>
    </row>
    <row r="434" spans="1:14" x14ac:dyDescent="0.3">
      <c r="A434">
        <v>433</v>
      </c>
      <c r="B434" s="1">
        <v>40563</v>
      </c>
      <c r="C434">
        <v>1</v>
      </c>
      <c r="D434">
        <v>1</v>
      </c>
      <c r="E434" t="b">
        <v>0</v>
      </c>
      <c r="F434">
        <v>4</v>
      </c>
      <c r="G434">
        <v>1</v>
      </c>
      <c r="H434">
        <v>0.26</v>
      </c>
      <c r="I434">
        <v>0.2727</v>
      </c>
      <c r="J434">
        <v>0.56000000000000005</v>
      </c>
      <c r="K434">
        <v>0</v>
      </c>
      <c r="L434">
        <v>2</v>
      </c>
      <c r="M434">
        <v>3</v>
      </c>
      <c r="N434">
        <v>5</v>
      </c>
    </row>
    <row r="435" spans="1:14" x14ac:dyDescent="0.3">
      <c r="A435">
        <v>434</v>
      </c>
      <c r="B435" s="1">
        <v>40563</v>
      </c>
      <c r="C435">
        <v>1</v>
      </c>
      <c r="D435">
        <v>2</v>
      </c>
      <c r="E435" t="b">
        <v>0</v>
      </c>
      <c r="F435">
        <v>4</v>
      </c>
      <c r="G435">
        <v>1</v>
      </c>
      <c r="H435">
        <v>0.26</v>
      </c>
      <c r="I435">
        <v>0.2727</v>
      </c>
      <c r="J435">
        <v>0.56000000000000005</v>
      </c>
      <c r="K435">
        <v>0</v>
      </c>
      <c r="L435">
        <v>0</v>
      </c>
      <c r="M435">
        <v>2</v>
      </c>
      <c r="N435">
        <v>2</v>
      </c>
    </row>
    <row r="436" spans="1:14" x14ac:dyDescent="0.3">
      <c r="A436">
        <v>435</v>
      </c>
      <c r="B436" s="1">
        <v>40563</v>
      </c>
      <c r="C436">
        <v>1</v>
      </c>
      <c r="D436">
        <v>3</v>
      </c>
      <c r="E436" t="b">
        <v>0</v>
      </c>
      <c r="F436">
        <v>4</v>
      </c>
      <c r="G436">
        <v>1</v>
      </c>
      <c r="H436">
        <v>0.26</v>
      </c>
      <c r="I436">
        <v>0.2576</v>
      </c>
      <c r="J436">
        <v>0.56000000000000005</v>
      </c>
      <c r="K436">
        <v>0.16420000000000001</v>
      </c>
      <c r="L436">
        <v>0</v>
      </c>
      <c r="M436">
        <v>1</v>
      </c>
      <c r="N436">
        <v>1</v>
      </c>
    </row>
    <row r="437" spans="1:14" x14ac:dyDescent="0.3">
      <c r="A437">
        <v>436</v>
      </c>
      <c r="B437" s="1">
        <v>40563</v>
      </c>
      <c r="C437">
        <v>1</v>
      </c>
      <c r="D437">
        <v>4</v>
      </c>
      <c r="E437" t="b">
        <v>0</v>
      </c>
      <c r="F437">
        <v>4</v>
      </c>
      <c r="G437">
        <v>1</v>
      </c>
      <c r="H437">
        <v>0.26</v>
      </c>
      <c r="I437">
        <v>0.2576</v>
      </c>
      <c r="J437">
        <v>0.56000000000000005</v>
      </c>
      <c r="K437">
        <v>0.16420000000000001</v>
      </c>
      <c r="L437">
        <v>0</v>
      </c>
      <c r="M437">
        <v>1</v>
      </c>
      <c r="N437">
        <v>1</v>
      </c>
    </row>
    <row r="438" spans="1:14" x14ac:dyDescent="0.3">
      <c r="A438">
        <v>437</v>
      </c>
      <c r="B438" s="1">
        <v>40563</v>
      </c>
      <c r="C438">
        <v>1</v>
      </c>
      <c r="D438">
        <v>5</v>
      </c>
      <c r="E438" t="b">
        <v>0</v>
      </c>
      <c r="F438">
        <v>4</v>
      </c>
      <c r="G438">
        <v>1</v>
      </c>
      <c r="H438">
        <v>0.24</v>
      </c>
      <c r="I438">
        <v>0.2273</v>
      </c>
      <c r="J438">
        <v>0.6</v>
      </c>
      <c r="K438">
        <v>0.22389999999999999</v>
      </c>
      <c r="L438">
        <v>0</v>
      </c>
      <c r="M438">
        <v>6</v>
      </c>
      <c r="N438">
        <v>6</v>
      </c>
    </row>
    <row r="439" spans="1:14" x14ac:dyDescent="0.3">
      <c r="A439">
        <v>438</v>
      </c>
      <c r="B439" s="1">
        <v>40563</v>
      </c>
      <c r="C439">
        <v>1</v>
      </c>
      <c r="D439">
        <v>6</v>
      </c>
      <c r="E439" t="b">
        <v>0</v>
      </c>
      <c r="F439">
        <v>4</v>
      </c>
      <c r="G439">
        <v>1</v>
      </c>
      <c r="H439">
        <v>0.22</v>
      </c>
      <c r="I439">
        <v>0.21210000000000001</v>
      </c>
      <c r="J439">
        <v>0.6</v>
      </c>
      <c r="K439">
        <v>0.22389999999999999</v>
      </c>
      <c r="L439">
        <v>0</v>
      </c>
      <c r="M439">
        <v>35</v>
      </c>
      <c r="N439">
        <v>35</v>
      </c>
    </row>
    <row r="440" spans="1:14" x14ac:dyDescent="0.3">
      <c r="A440">
        <v>439</v>
      </c>
      <c r="B440" s="1">
        <v>40563</v>
      </c>
      <c r="C440">
        <v>1</v>
      </c>
      <c r="D440">
        <v>7</v>
      </c>
      <c r="E440" t="b">
        <v>0</v>
      </c>
      <c r="F440">
        <v>4</v>
      </c>
      <c r="G440">
        <v>1</v>
      </c>
      <c r="H440">
        <v>0.22</v>
      </c>
      <c r="I440">
        <v>0.21210000000000001</v>
      </c>
      <c r="J440">
        <v>0.55000000000000004</v>
      </c>
      <c r="K440">
        <v>0.22389999999999999</v>
      </c>
      <c r="L440">
        <v>1</v>
      </c>
      <c r="M440">
        <v>100</v>
      </c>
      <c r="N440">
        <v>101</v>
      </c>
    </row>
    <row r="441" spans="1:14" x14ac:dyDescent="0.3">
      <c r="A441">
        <v>440</v>
      </c>
      <c r="B441" s="1">
        <v>40563</v>
      </c>
      <c r="C441">
        <v>1</v>
      </c>
      <c r="D441">
        <v>8</v>
      </c>
      <c r="E441" t="b">
        <v>0</v>
      </c>
      <c r="F441">
        <v>4</v>
      </c>
      <c r="G441">
        <v>1</v>
      </c>
      <c r="H441">
        <v>0.22</v>
      </c>
      <c r="I441">
        <v>0.21210000000000001</v>
      </c>
      <c r="J441">
        <v>0.55000000000000004</v>
      </c>
      <c r="K441">
        <v>0.28360000000000002</v>
      </c>
      <c r="L441">
        <v>2</v>
      </c>
      <c r="M441">
        <v>247</v>
      </c>
      <c r="N441">
        <v>249</v>
      </c>
    </row>
    <row r="442" spans="1:14" x14ac:dyDescent="0.3">
      <c r="A442">
        <v>441</v>
      </c>
      <c r="B442" s="1">
        <v>40563</v>
      </c>
      <c r="C442">
        <v>1</v>
      </c>
      <c r="D442">
        <v>9</v>
      </c>
      <c r="E442" t="b">
        <v>0</v>
      </c>
      <c r="F442">
        <v>4</v>
      </c>
      <c r="G442">
        <v>2</v>
      </c>
      <c r="H442">
        <v>0.24</v>
      </c>
      <c r="I442">
        <v>0.2273</v>
      </c>
      <c r="J442">
        <v>0.52</v>
      </c>
      <c r="K442">
        <v>0.22389999999999999</v>
      </c>
      <c r="L442">
        <v>3</v>
      </c>
      <c r="M442">
        <v>140</v>
      </c>
      <c r="N442">
        <v>143</v>
      </c>
    </row>
    <row r="443" spans="1:14" x14ac:dyDescent="0.3">
      <c r="A443">
        <v>442</v>
      </c>
      <c r="B443" s="1">
        <v>40563</v>
      </c>
      <c r="C443">
        <v>1</v>
      </c>
      <c r="D443">
        <v>10</v>
      </c>
      <c r="E443" t="b">
        <v>0</v>
      </c>
      <c r="F443">
        <v>4</v>
      </c>
      <c r="G443">
        <v>1</v>
      </c>
      <c r="H443">
        <v>0.26</v>
      </c>
      <c r="I443">
        <v>0.2273</v>
      </c>
      <c r="J443">
        <v>0.48</v>
      </c>
      <c r="K443">
        <v>0.29849999999999999</v>
      </c>
      <c r="L443">
        <v>1</v>
      </c>
      <c r="M443">
        <v>56</v>
      </c>
      <c r="N443">
        <v>57</v>
      </c>
    </row>
    <row r="444" spans="1:14" x14ac:dyDescent="0.3">
      <c r="A444">
        <v>443</v>
      </c>
      <c r="B444" s="1">
        <v>40563</v>
      </c>
      <c r="C444">
        <v>1</v>
      </c>
      <c r="D444">
        <v>11</v>
      </c>
      <c r="E444" t="b">
        <v>0</v>
      </c>
      <c r="F444">
        <v>4</v>
      </c>
      <c r="G444">
        <v>2</v>
      </c>
      <c r="H444">
        <v>0.28000000000000003</v>
      </c>
      <c r="I444">
        <v>0.2727</v>
      </c>
      <c r="J444">
        <v>0.45</v>
      </c>
      <c r="K444">
        <v>0.16420000000000001</v>
      </c>
      <c r="L444">
        <v>5</v>
      </c>
      <c r="M444">
        <v>63</v>
      </c>
      <c r="N444">
        <v>68</v>
      </c>
    </row>
    <row r="445" spans="1:14" x14ac:dyDescent="0.3">
      <c r="A445">
        <v>444</v>
      </c>
      <c r="B445" s="1">
        <v>40563</v>
      </c>
      <c r="C445">
        <v>1</v>
      </c>
      <c r="D445">
        <v>12</v>
      </c>
      <c r="E445" t="b">
        <v>0</v>
      </c>
      <c r="F445">
        <v>4</v>
      </c>
      <c r="G445">
        <v>2</v>
      </c>
      <c r="H445">
        <v>0.3</v>
      </c>
      <c r="I445">
        <v>0.33329999999999999</v>
      </c>
      <c r="J445">
        <v>0.42</v>
      </c>
      <c r="K445">
        <v>0</v>
      </c>
      <c r="L445">
        <v>7</v>
      </c>
      <c r="M445">
        <v>77</v>
      </c>
      <c r="N445">
        <v>84</v>
      </c>
    </row>
    <row r="446" spans="1:14" x14ac:dyDescent="0.3">
      <c r="A446">
        <v>445</v>
      </c>
      <c r="B446" s="1">
        <v>40563</v>
      </c>
      <c r="C446">
        <v>1</v>
      </c>
      <c r="D446">
        <v>13</v>
      </c>
      <c r="E446" t="b">
        <v>0</v>
      </c>
      <c r="F446">
        <v>4</v>
      </c>
      <c r="G446">
        <v>2</v>
      </c>
      <c r="H446">
        <v>0.28000000000000003</v>
      </c>
      <c r="I446">
        <v>0.28789999999999999</v>
      </c>
      <c r="J446">
        <v>0.45</v>
      </c>
      <c r="K446">
        <v>0.1045</v>
      </c>
      <c r="L446">
        <v>12</v>
      </c>
      <c r="M446">
        <v>86</v>
      </c>
      <c r="N446">
        <v>98</v>
      </c>
    </row>
    <row r="447" spans="1:14" x14ac:dyDescent="0.3">
      <c r="A447">
        <v>446</v>
      </c>
      <c r="B447" s="1">
        <v>40563</v>
      </c>
      <c r="C447">
        <v>1</v>
      </c>
      <c r="D447">
        <v>14</v>
      </c>
      <c r="E447" t="b">
        <v>0</v>
      </c>
      <c r="F447">
        <v>4</v>
      </c>
      <c r="G447">
        <v>2</v>
      </c>
      <c r="H447">
        <v>0.3</v>
      </c>
      <c r="I447">
        <v>0.30299999999999999</v>
      </c>
      <c r="J447">
        <v>0.45</v>
      </c>
      <c r="K447">
        <v>0.1343</v>
      </c>
      <c r="L447">
        <v>6</v>
      </c>
      <c r="M447">
        <v>75</v>
      </c>
      <c r="N447">
        <v>81</v>
      </c>
    </row>
    <row r="448" spans="1:14" x14ac:dyDescent="0.3">
      <c r="A448">
        <v>447</v>
      </c>
      <c r="B448" s="1">
        <v>40563</v>
      </c>
      <c r="C448">
        <v>1</v>
      </c>
      <c r="D448">
        <v>15</v>
      </c>
      <c r="E448" t="b">
        <v>0</v>
      </c>
      <c r="F448">
        <v>4</v>
      </c>
      <c r="G448">
        <v>2</v>
      </c>
      <c r="H448">
        <v>0.32</v>
      </c>
      <c r="I448">
        <v>0.31819999999999998</v>
      </c>
      <c r="J448">
        <v>0.45</v>
      </c>
      <c r="K448">
        <v>0.19400000000000001</v>
      </c>
      <c r="L448">
        <v>8</v>
      </c>
      <c r="M448">
        <v>62</v>
      </c>
      <c r="N448">
        <v>70</v>
      </c>
    </row>
    <row r="449" spans="1:14" x14ac:dyDescent="0.3">
      <c r="A449">
        <v>448</v>
      </c>
      <c r="B449" s="1">
        <v>40563</v>
      </c>
      <c r="C449">
        <v>1</v>
      </c>
      <c r="D449">
        <v>16</v>
      </c>
      <c r="E449" t="b">
        <v>0</v>
      </c>
      <c r="F449">
        <v>4</v>
      </c>
      <c r="G449">
        <v>2</v>
      </c>
      <c r="H449">
        <v>0.3</v>
      </c>
      <c r="I449">
        <v>0.30299999999999999</v>
      </c>
      <c r="J449">
        <v>0.49</v>
      </c>
      <c r="K449">
        <v>0.1343</v>
      </c>
      <c r="L449">
        <v>8</v>
      </c>
      <c r="M449">
        <v>83</v>
      </c>
      <c r="N449">
        <v>91</v>
      </c>
    </row>
    <row r="450" spans="1:14" x14ac:dyDescent="0.3">
      <c r="A450">
        <v>449</v>
      </c>
      <c r="B450" s="1">
        <v>40563</v>
      </c>
      <c r="C450">
        <v>1</v>
      </c>
      <c r="D450">
        <v>17</v>
      </c>
      <c r="E450" t="b">
        <v>0</v>
      </c>
      <c r="F450">
        <v>4</v>
      </c>
      <c r="G450">
        <v>2</v>
      </c>
      <c r="H450">
        <v>0.3</v>
      </c>
      <c r="I450">
        <v>0.31819999999999998</v>
      </c>
      <c r="J450">
        <v>0.49</v>
      </c>
      <c r="K450">
        <v>0.1045</v>
      </c>
      <c r="L450">
        <v>8</v>
      </c>
      <c r="M450">
        <v>207</v>
      </c>
      <c r="N450">
        <v>215</v>
      </c>
    </row>
    <row r="451" spans="1:14" x14ac:dyDescent="0.3">
      <c r="A451">
        <v>450</v>
      </c>
      <c r="B451" s="1">
        <v>40563</v>
      </c>
      <c r="C451">
        <v>1</v>
      </c>
      <c r="D451">
        <v>18</v>
      </c>
      <c r="E451" t="b">
        <v>0</v>
      </c>
      <c r="F451">
        <v>4</v>
      </c>
      <c r="G451">
        <v>2</v>
      </c>
      <c r="H451">
        <v>0.26</v>
      </c>
      <c r="I451">
        <v>0.2576</v>
      </c>
      <c r="J451">
        <v>0.56000000000000005</v>
      </c>
      <c r="K451">
        <v>0.19400000000000001</v>
      </c>
      <c r="L451">
        <v>1</v>
      </c>
      <c r="M451">
        <v>184</v>
      </c>
      <c r="N451">
        <v>185</v>
      </c>
    </row>
    <row r="452" spans="1:14" x14ac:dyDescent="0.3">
      <c r="A452">
        <v>451</v>
      </c>
      <c r="B452" s="1">
        <v>40563</v>
      </c>
      <c r="C452">
        <v>1</v>
      </c>
      <c r="D452">
        <v>19</v>
      </c>
      <c r="E452" t="b">
        <v>0</v>
      </c>
      <c r="F452">
        <v>4</v>
      </c>
      <c r="G452">
        <v>1</v>
      </c>
      <c r="H452">
        <v>0.26</v>
      </c>
      <c r="I452">
        <v>0.2273</v>
      </c>
      <c r="J452">
        <v>0.56000000000000005</v>
      </c>
      <c r="K452">
        <v>0.32840000000000003</v>
      </c>
      <c r="L452">
        <v>6</v>
      </c>
      <c r="M452">
        <v>146</v>
      </c>
      <c r="N452">
        <v>152</v>
      </c>
    </row>
    <row r="453" spans="1:14" x14ac:dyDescent="0.3">
      <c r="A453">
        <v>452</v>
      </c>
      <c r="B453" s="1">
        <v>40563</v>
      </c>
      <c r="C453">
        <v>1</v>
      </c>
      <c r="D453">
        <v>20</v>
      </c>
      <c r="E453" t="b">
        <v>0</v>
      </c>
      <c r="F453">
        <v>4</v>
      </c>
      <c r="G453">
        <v>2</v>
      </c>
      <c r="H453">
        <v>0.26</v>
      </c>
      <c r="I453">
        <v>0.2424</v>
      </c>
      <c r="J453">
        <v>0.6</v>
      </c>
      <c r="K453">
        <v>0.28360000000000002</v>
      </c>
      <c r="L453">
        <v>2</v>
      </c>
      <c r="M453">
        <v>124</v>
      </c>
      <c r="N453">
        <v>126</v>
      </c>
    </row>
    <row r="454" spans="1:14" x14ac:dyDescent="0.3">
      <c r="A454">
        <v>453</v>
      </c>
      <c r="B454" s="1">
        <v>40563</v>
      </c>
      <c r="C454">
        <v>1</v>
      </c>
      <c r="D454">
        <v>21</v>
      </c>
      <c r="E454" t="b">
        <v>0</v>
      </c>
      <c r="F454">
        <v>4</v>
      </c>
      <c r="G454">
        <v>2</v>
      </c>
      <c r="H454">
        <v>0.24</v>
      </c>
      <c r="I454">
        <v>0.2273</v>
      </c>
      <c r="J454">
        <v>0.6</v>
      </c>
      <c r="K454">
        <v>0.25369999999999998</v>
      </c>
      <c r="L454">
        <v>3</v>
      </c>
      <c r="M454">
        <v>54</v>
      </c>
      <c r="N454">
        <v>57</v>
      </c>
    </row>
    <row r="455" spans="1:14" x14ac:dyDescent="0.3">
      <c r="A455">
        <v>454</v>
      </c>
      <c r="B455" s="1">
        <v>40563</v>
      </c>
      <c r="C455">
        <v>1</v>
      </c>
      <c r="D455">
        <v>22</v>
      </c>
      <c r="E455" t="b">
        <v>0</v>
      </c>
      <c r="F455">
        <v>4</v>
      </c>
      <c r="G455">
        <v>2</v>
      </c>
      <c r="H455">
        <v>0.24</v>
      </c>
      <c r="I455">
        <v>0.21210000000000001</v>
      </c>
      <c r="J455">
        <v>0.65</v>
      </c>
      <c r="K455">
        <v>0.28360000000000002</v>
      </c>
      <c r="L455">
        <v>0</v>
      </c>
      <c r="M455">
        <v>56</v>
      </c>
      <c r="N455">
        <v>56</v>
      </c>
    </row>
    <row r="456" spans="1:14" x14ac:dyDescent="0.3">
      <c r="A456">
        <v>455</v>
      </c>
      <c r="B456" s="1">
        <v>40563</v>
      </c>
      <c r="C456">
        <v>1</v>
      </c>
      <c r="D456">
        <v>23</v>
      </c>
      <c r="E456" t="b">
        <v>0</v>
      </c>
      <c r="F456">
        <v>4</v>
      </c>
      <c r="G456">
        <v>2</v>
      </c>
      <c r="H456">
        <v>0.24</v>
      </c>
      <c r="I456">
        <v>0.21210000000000001</v>
      </c>
      <c r="J456">
        <v>0.65</v>
      </c>
      <c r="K456">
        <v>0.32840000000000003</v>
      </c>
      <c r="L456">
        <v>3</v>
      </c>
      <c r="M456">
        <v>28</v>
      </c>
      <c r="N456">
        <v>31</v>
      </c>
    </row>
    <row r="457" spans="1:14" x14ac:dyDescent="0.3">
      <c r="A457">
        <v>456</v>
      </c>
      <c r="B457" s="1">
        <v>40564</v>
      </c>
      <c r="C457">
        <v>1</v>
      </c>
      <c r="D457">
        <v>0</v>
      </c>
      <c r="E457" t="b">
        <v>0</v>
      </c>
      <c r="F457">
        <v>5</v>
      </c>
      <c r="G457">
        <v>2</v>
      </c>
      <c r="H457">
        <v>0.24</v>
      </c>
      <c r="I457">
        <v>0.2273</v>
      </c>
      <c r="J457">
        <v>0.7</v>
      </c>
      <c r="K457">
        <v>0.25369999999999998</v>
      </c>
      <c r="L457">
        <v>1</v>
      </c>
      <c r="M457">
        <v>20</v>
      </c>
      <c r="N457">
        <v>21</v>
      </c>
    </row>
    <row r="458" spans="1:14" x14ac:dyDescent="0.3">
      <c r="A458">
        <v>457</v>
      </c>
      <c r="B458" s="1">
        <v>40564</v>
      </c>
      <c r="C458">
        <v>1</v>
      </c>
      <c r="D458">
        <v>1</v>
      </c>
      <c r="E458" t="b">
        <v>0</v>
      </c>
      <c r="F458">
        <v>5</v>
      </c>
      <c r="G458">
        <v>2</v>
      </c>
      <c r="H458">
        <v>0.24</v>
      </c>
      <c r="I458">
        <v>0.2273</v>
      </c>
      <c r="J458">
        <v>0.7</v>
      </c>
      <c r="K458">
        <v>0.25369999999999998</v>
      </c>
      <c r="L458">
        <v>0</v>
      </c>
      <c r="M458">
        <v>6</v>
      </c>
      <c r="N458">
        <v>6</v>
      </c>
    </row>
    <row r="459" spans="1:14" x14ac:dyDescent="0.3">
      <c r="A459">
        <v>458</v>
      </c>
      <c r="B459" s="1">
        <v>40564</v>
      </c>
      <c r="C459">
        <v>1</v>
      </c>
      <c r="D459">
        <v>2</v>
      </c>
      <c r="E459" t="b">
        <v>0</v>
      </c>
      <c r="F459">
        <v>5</v>
      </c>
      <c r="G459">
        <v>3</v>
      </c>
      <c r="H459">
        <v>0.24</v>
      </c>
      <c r="I459">
        <v>0.2424</v>
      </c>
      <c r="J459">
        <v>0.75</v>
      </c>
      <c r="K459">
        <v>0.16420000000000001</v>
      </c>
      <c r="L459">
        <v>0</v>
      </c>
      <c r="M459">
        <v>2</v>
      </c>
      <c r="N459">
        <v>2</v>
      </c>
    </row>
    <row r="460" spans="1:14" x14ac:dyDescent="0.3">
      <c r="A460">
        <v>459</v>
      </c>
      <c r="B460" s="1">
        <v>40564</v>
      </c>
      <c r="C460">
        <v>1</v>
      </c>
      <c r="D460">
        <v>3</v>
      </c>
      <c r="E460" t="b">
        <v>0</v>
      </c>
      <c r="F460">
        <v>5</v>
      </c>
      <c r="G460">
        <v>3</v>
      </c>
      <c r="H460">
        <v>0.22</v>
      </c>
      <c r="I460">
        <v>0.21210000000000001</v>
      </c>
      <c r="J460">
        <v>0.8</v>
      </c>
      <c r="K460">
        <v>0.29849999999999999</v>
      </c>
      <c r="L460">
        <v>0</v>
      </c>
      <c r="M460">
        <v>1</v>
      </c>
      <c r="N460">
        <v>1</v>
      </c>
    </row>
    <row r="461" spans="1:14" x14ac:dyDescent="0.3">
      <c r="A461">
        <v>460</v>
      </c>
      <c r="B461" s="1">
        <v>40564</v>
      </c>
      <c r="C461">
        <v>1</v>
      </c>
      <c r="D461">
        <v>4</v>
      </c>
      <c r="E461" t="b">
        <v>0</v>
      </c>
      <c r="F461">
        <v>5</v>
      </c>
      <c r="G461">
        <v>2</v>
      </c>
      <c r="H461">
        <v>0.22</v>
      </c>
      <c r="I461">
        <v>0.2576</v>
      </c>
      <c r="J461">
        <v>0.87</v>
      </c>
      <c r="K461">
        <v>8.9599999999999999E-2</v>
      </c>
      <c r="L461">
        <v>0</v>
      </c>
      <c r="M461">
        <v>1</v>
      </c>
      <c r="N461">
        <v>1</v>
      </c>
    </row>
    <row r="462" spans="1:14" x14ac:dyDescent="0.3">
      <c r="A462">
        <v>461</v>
      </c>
      <c r="B462" s="1">
        <v>40564</v>
      </c>
      <c r="C462">
        <v>1</v>
      </c>
      <c r="D462">
        <v>5</v>
      </c>
      <c r="E462" t="b">
        <v>0</v>
      </c>
      <c r="F462">
        <v>5</v>
      </c>
      <c r="G462">
        <v>1</v>
      </c>
      <c r="H462">
        <v>0.24</v>
      </c>
      <c r="I462">
        <v>0.19700000000000001</v>
      </c>
      <c r="J462">
        <v>0.6</v>
      </c>
      <c r="K462">
        <v>0.41789999999999999</v>
      </c>
      <c r="L462">
        <v>1</v>
      </c>
      <c r="M462">
        <v>4</v>
      </c>
      <c r="N462">
        <v>5</v>
      </c>
    </row>
    <row r="463" spans="1:14" x14ac:dyDescent="0.3">
      <c r="A463">
        <v>462</v>
      </c>
      <c r="B463" s="1">
        <v>40564</v>
      </c>
      <c r="C463">
        <v>1</v>
      </c>
      <c r="D463">
        <v>6</v>
      </c>
      <c r="E463" t="b">
        <v>0</v>
      </c>
      <c r="F463">
        <v>5</v>
      </c>
      <c r="G463">
        <v>1</v>
      </c>
      <c r="H463">
        <v>0.22</v>
      </c>
      <c r="I463">
        <v>0.21210000000000001</v>
      </c>
      <c r="J463">
        <v>0.55000000000000004</v>
      </c>
      <c r="K463">
        <v>0.25369999999999998</v>
      </c>
      <c r="L463">
        <v>0</v>
      </c>
      <c r="M463">
        <v>27</v>
      </c>
      <c r="N463">
        <v>27</v>
      </c>
    </row>
    <row r="464" spans="1:14" x14ac:dyDescent="0.3">
      <c r="A464">
        <v>463</v>
      </c>
      <c r="B464" s="1">
        <v>40564</v>
      </c>
      <c r="C464">
        <v>1</v>
      </c>
      <c r="D464">
        <v>7</v>
      </c>
      <c r="E464" t="b">
        <v>0</v>
      </c>
      <c r="F464">
        <v>5</v>
      </c>
      <c r="G464">
        <v>1</v>
      </c>
      <c r="H464">
        <v>0.2</v>
      </c>
      <c r="I464">
        <v>0.18179999999999999</v>
      </c>
      <c r="J464">
        <v>0.51</v>
      </c>
      <c r="K464">
        <v>0.28360000000000002</v>
      </c>
      <c r="L464">
        <v>2</v>
      </c>
      <c r="M464">
        <v>66</v>
      </c>
      <c r="N464">
        <v>68</v>
      </c>
    </row>
    <row r="465" spans="1:14" x14ac:dyDescent="0.3">
      <c r="A465">
        <v>464</v>
      </c>
      <c r="B465" s="1">
        <v>40564</v>
      </c>
      <c r="C465">
        <v>1</v>
      </c>
      <c r="D465">
        <v>8</v>
      </c>
      <c r="E465" t="b">
        <v>0</v>
      </c>
      <c r="F465">
        <v>5</v>
      </c>
      <c r="G465">
        <v>1</v>
      </c>
      <c r="H465">
        <v>0.2</v>
      </c>
      <c r="I465">
        <v>0.18179999999999999</v>
      </c>
      <c r="J465">
        <v>0.47</v>
      </c>
      <c r="K465">
        <v>0.32840000000000003</v>
      </c>
      <c r="L465">
        <v>7</v>
      </c>
      <c r="M465">
        <v>210</v>
      </c>
      <c r="N465">
        <v>217</v>
      </c>
    </row>
    <row r="466" spans="1:14" x14ac:dyDescent="0.3">
      <c r="A466">
        <v>465</v>
      </c>
      <c r="B466" s="1">
        <v>40564</v>
      </c>
      <c r="C466">
        <v>1</v>
      </c>
      <c r="D466">
        <v>9</v>
      </c>
      <c r="E466" t="b">
        <v>0</v>
      </c>
      <c r="F466">
        <v>5</v>
      </c>
      <c r="G466">
        <v>1</v>
      </c>
      <c r="H466">
        <v>0.2</v>
      </c>
      <c r="I466">
        <v>0.18179999999999999</v>
      </c>
      <c r="J466">
        <v>0.51</v>
      </c>
      <c r="K466">
        <v>0.35820000000000002</v>
      </c>
      <c r="L466">
        <v>7</v>
      </c>
      <c r="M466">
        <v>159</v>
      </c>
      <c r="N466">
        <v>166</v>
      </c>
    </row>
    <row r="467" spans="1:14" x14ac:dyDescent="0.3">
      <c r="A467">
        <v>466</v>
      </c>
      <c r="B467" s="1">
        <v>40564</v>
      </c>
      <c r="C467">
        <v>1</v>
      </c>
      <c r="D467">
        <v>10</v>
      </c>
      <c r="E467" t="b">
        <v>0</v>
      </c>
      <c r="F467">
        <v>5</v>
      </c>
      <c r="G467">
        <v>1</v>
      </c>
      <c r="H467">
        <v>0.2</v>
      </c>
      <c r="I467">
        <v>0.16669999999999999</v>
      </c>
      <c r="J467">
        <v>0.47</v>
      </c>
      <c r="K467">
        <v>0.4627</v>
      </c>
      <c r="L467">
        <v>6</v>
      </c>
      <c r="M467">
        <v>57</v>
      </c>
      <c r="N467">
        <v>63</v>
      </c>
    </row>
    <row r="468" spans="1:14" x14ac:dyDescent="0.3">
      <c r="A468">
        <v>467</v>
      </c>
      <c r="B468" s="1">
        <v>40564</v>
      </c>
      <c r="C468">
        <v>1</v>
      </c>
      <c r="D468">
        <v>11</v>
      </c>
      <c r="E468" t="b">
        <v>0</v>
      </c>
      <c r="F468">
        <v>5</v>
      </c>
      <c r="G468">
        <v>1</v>
      </c>
      <c r="H468">
        <v>0.22</v>
      </c>
      <c r="I468">
        <v>0.18179999999999999</v>
      </c>
      <c r="J468">
        <v>0.41</v>
      </c>
      <c r="K468">
        <v>0.4627</v>
      </c>
      <c r="L468">
        <v>6</v>
      </c>
      <c r="M468">
        <v>53</v>
      </c>
      <c r="N468">
        <v>59</v>
      </c>
    </row>
    <row r="469" spans="1:14" x14ac:dyDescent="0.3">
      <c r="A469">
        <v>468</v>
      </c>
      <c r="B469" s="1">
        <v>40564</v>
      </c>
      <c r="C469">
        <v>1</v>
      </c>
      <c r="D469">
        <v>12</v>
      </c>
      <c r="E469" t="b">
        <v>0</v>
      </c>
      <c r="F469">
        <v>5</v>
      </c>
      <c r="G469">
        <v>1</v>
      </c>
      <c r="H469">
        <v>0.22</v>
      </c>
      <c r="I469">
        <v>0.18179999999999999</v>
      </c>
      <c r="J469">
        <v>0.27</v>
      </c>
      <c r="K469">
        <v>0.58209999999999995</v>
      </c>
      <c r="L469">
        <v>11</v>
      </c>
      <c r="M469">
        <v>67</v>
      </c>
      <c r="N469">
        <v>78</v>
      </c>
    </row>
    <row r="470" spans="1:14" x14ac:dyDescent="0.3">
      <c r="A470">
        <v>469</v>
      </c>
      <c r="B470" s="1">
        <v>40564</v>
      </c>
      <c r="C470">
        <v>1</v>
      </c>
      <c r="D470">
        <v>13</v>
      </c>
      <c r="E470" t="b">
        <v>0</v>
      </c>
      <c r="F470">
        <v>5</v>
      </c>
      <c r="G470">
        <v>1</v>
      </c>
      <c r="H470">
        <v>0.2</v>
      </c>
      <c r="I470">
        <v>0.1515</v>
      </c>
      <c r="J470">
        <v>0.21</v>
      </c>
      <c r="K470">
        <v>0.58209999999999995</v>
      </c>
      <c r="L470">
        <v>8</v>
      </c>
      <c r="M470">
        <v>65</v>
      </c>
      <c r="N470">
        <v>73</v>
      </c>
    </row>
    <row r="471" spans="1:14" x14ac:dyDescent="0.3">
      <c r="A471">
        <v>470</v>
      </c>
      <c r="B471" s="1">
        <v>40564</v>
      </c>
      <c r="C471">
        <v>1</v>
      </c>
      <c r="D471">
        <v>14</v>
      </c>
      <c r="E471" t="b">
        <v>0</v>
      </c>
      <c r="F471">
        <v>5</v>
      </c>
      <c r="G471">
        <v>1</v>
      </c>
      <c r="H471">
        <v>0.2</v>
      </c>
      <c r="I471">
        <v>0.1515</v>
      </c>
      <c r="J471">
        <v>0.25</v>
      </c>
      <c r="K471">
        <v>0.52239999999999998</v>
      </c>
      <c r="L471">
        <v>6</v>
      </c>
      <c r="M471">
        <v>56</v>
      </c>
      <c r="N471">
        <v>62</v>
      </c>
    </row>
    <row r="472" spans="1:14" x14ac:dyDescent="0.3">
      <c r="A472">
        <v>471</v>
      </c>
      <c r="B472" s="1">
        <v>40564</v>
      </c>
      <c r="C472">
        <v>1</v>
      </c>
      <c r="D472">
        <v>15</v>
      </c>
      <c r="E472" t="b">
        <v>0</v>
      </c>
      <c r="F472">
        <v>5</v>
      </c>
      <c r="G472">
        <v>1</v>
      </c>
      <c r="H472">
        <v>0.16</v>
      </c>
      <c r="I472">
        <v>0.1212</v>
      </c>
      <c r="J472">
        <v>0.26</v>
      </c>
      <c r="K472">
        <v>0.44779999999999998</v>
      </c>
      <c r="L472">
        <v>4</v>
      </c>
      <c r="M472">
        <v>61</v>
      </c>
      <c r="N472">
        <v>65</v>
      </c>
    </row>
    <row r="473" spans="1:14" x14ac:dyDescent="0.3">
      <c r="A473">
        <v>472</v>
      </c>
      <c r="B473" s="1">
        <v>40564</v>
      </c>
      <c r="C473">
        <v>1</v>
      </c>
      <c r="D473">
        <v>16</v>
      </c>
      <c r="E473" t="b">
        <v>0</v>
      </c>
      <c r="F473">
        <v>5</v>
      </c>
      <c r="G473">
        <v>1</v>
      </c>
      <c r="H473">
        <v>0.16</v>
      </c>
      <c r="I473">
        <v>0.13639999999999999</v>
      </c>
      <c r="J473">
        <v>0.26</v>
      </c>
      <c r="K473">
        <v>0.35820000000000002</v>
      </c>
      <c r="L473">
        <v>0</v>
      </c>
      <c r="M473">
        <v>97</v>
      </c>
      <c r="N473">
        <v>97</v>
      </c>
    </row>
    <row r="474" spans="1:14" x14ac:dyDescent="0.3">
      <c r="A474">
        <v>473</v>
      </c>
      <c r="B474" s="1">
        <v>40564</v>
      </c>
      <c r="C474">
        <v>1</v>
      </c>
      <c r="D474">
        <v>17</v>
      </c>
      <c r="E474" t="b">
        <v>0</v>
      </c>
      <c r="F474">
        <v>5</v>
      </c>
      <c r="G474">
        <v>1</v>
      </c>
      <c r="H474">
        <v>0.14000000000000001</v>
      </c>
      <c r="I474">
        <v>0.1212</v>
      </c>
      <c r="J474">
        <v>0.28000000000000003</v>
      </c>
      <c r="K474">
        <v>0.35820000000000002</v>
      </c>
      <c r="L474">
        <v>10</v>
      </c>
      <c r="M474">
        <v>151</v>
      </c>
      <c r="N474">
        <v>161</v>
      </c>
    </row>
    <row r="475" spans="1:14" x14ac:dyDescent="0.3">
      <c r="A475">
        <v>474</v>
      </c>
      <c r="B475" s="1">
        <v>40564</v>
      </c>
      <c r="C475">
        <v>1</v>
      </c>
      <c r="D475">
        <v>18</v>
      </c>
      <c r="E475" t="b">
        <v>0</v>
      </c>
      <c r="F475">
        <v>5</v>
      </c>
      <c r="G475">
        <v>1</v>
      </c>
      <c r="H475">
        <v>0.12</v>
      </c>
      <c r="I475">
        <v>0.1212</v>
      </c>
      <c r="J475">
        <v>0.3</v>
      </c>
      <c r="K475">
        <v>0.25369999999999998</v>
      </c>
      <c r="L475">
        <v>1</v>
      </c>
      <c r="M475">
        <v>119</v>
      </c>
      <c r="N475">
        <v>120</v>
      </c>
    </row>
    <row r="476" spans="1:14" x14ac:dyDescent="0.3">
      <c r="A476">
        <v>475</v>
      </c>
      <c r="B476" s="1">
        <v>40564</v>
      </c>
      <c r="C476">
        <v>1</v>
      </c>
      <c r="D476">
        <v>19</v>
      </c>
      <c r="E476" t="b">
        <v>0</v>
      </c>
      <c r="F476">
        <v>5</v>
      </c>
      <c r="G476">
        <v>1</v>
      </c>
      <c r="H476">
        <v>0.12</v>
      </c>
      <c r="I476">
        <v>0.1061</v>
      </c>
      <c r="J476">
        <v>0.3</v>
      </c>
      <c r="K476">
        <v>0.32840000000000003</v>
      </c>
      <c r="L476">
        <v>3</v>
      </c>
      <c r="M476">
        <v>93</v>
      </c>
      <c r="N476">
        <v>96</v>
      </c>
    </row>
    <row r="477" spans="1:14" x14ac:dyDescent="0.3">
      <c r="A477">
        <v>476</v>
      </c>
      <c r="B477" s="1">
        <v>40564</v>
      </c>
      <c r="C477">
        <v>1</v>
      </c>
      <c r="D477">
        <v>20</v>
      </c>
      <c r="E477" t="b">
        <v>0</v>
      </c>
      <c r="F477">
        <v>5</v>
      </c>
      <c r="G477">
        <v>1</v>
      </c>
      <c r="H477">
        <v>0.1</v>
      </c>
      <c r="I477">
        <v>7.5800000000000006E-2</v>
      </c>
      <c r="J477">
        <v>0.33</v>
      </c>
      <c r="K477">
        <v>0.41789999999999999</v>
      </c>
      <c r="L477">
        <v>1</v>
      </c>
      <c r="M477">
        <v>52</v>
      </c>
      <c r="N477">
        <v>53</v>
      </c>
    </row>
    <row r="478" spans="1:14" x14ac:dyDescent="0.3">
      <c r="A478">
        <v>477</v>
      </c>
      <c r="B478" s="1">
        <v>40564</v>
      </c>
      <c r="C478">
        <v>1</v>
      </c>
      <c r="D478">
        <v>21</v>
      </c>
      <c r="E478" t="b">
        <v>0</v>
      </c>
      <c r="F478">
        <v>5</v>
      </c>
      <c r="G478">
        <v>1</v>
      </c>
      <c r="H478">
        <v>0.08</v>
      </c>
      <c r="I478">
        <v>7.5800000000000006E-2</v>
      </c>
      <c r="J478">
        <v>0.38</v>
      </c>
      <c r="K478">
        <v>0.28360000000000002</v>
      </c>
      <c r="L478">
        <v>0</v>
      </c>
      <c r="M478">
        <v>41</v>
      </c>
      <c r="N478">
        <v>41</v>
      </c>
    </row>
    <row r="479" spans="1:14" x14ac:dyDescent="0.3">
      <c r="A479">
        <v>478</v>
      </c>
      <c r="B479" s="1">
        <v>40564</v>
      </c>
      <c r="C479">
        <v>1</v>
      </c>
      <c r="D479">
        <v>22</v>
      </c>
      <c r="E479" t="b">
        <v>0</v>
      </c>
      <c r="F479">
        <v>5</v>
      </c>
      <c r="G479">
        <v>1</v>
      </c>
      <c r="H479">
        <v>0.06</v>
      </c>
      <c r="I479">
        <v>3.0300000000000001E-2</v>
      </c>
      <c r="J479">
        <v>0.41</v>
      </c>
      <c r="K479">
        <v>0.3881</v>
      </c>
      <c r="L479">
        <v>1</v>
      </c>
      <c r="M479">
        <v>33</v>
      </c>
      <c r="N479">
        <v>34</v>
      </c>
    </row>
    <row r="480" spans="1:14" x14ac:dyDescent="0.3">
      <c r="A480">
        <v>479</v>
      </c>
      <c r="B480" s="1">
        <v>40564</v>
      </c>
      <c r="C480">
        <v>1</v>
      </c>
      <c r="D480">
        <v>23</v>
      </c>
      <c r="E480" t="b">
        <v>0</v>
      </c>
      <c r="F480">
        <v>5</v>
      </c>
      <c r="G480">
        <v>1</v>
      </c>
      <c r="H480">
        <v>0.06</v>
      </c>
      <c r="I480">
        <v>4.5499999999999999E-2</v>
      </c>
      <c r="J480">
        <v>0.38</v>
      </c>
      <c r="K480">
        <v>0.32840000000000003</v>
      </c>
      <c r="L480">
        <v>0</v>
      </c>
      <c r="M480">
        <v>27</v>
      </c>
      <c r="N480">
        <v>27</v>
      </c>
    </row>
    <row r="481" spans="1:14" x14ac:dyDescent="0.3">
      <c r="A481">
        <v>480</v>
      </c>
      <c r="B481" s="1">
        <v>40565</v>
      </c>
      <c r="C481">
        <v>1</v>
      </c>
      <c r="D481">
        <v>0</v>
      </c>
      <c r="E481" t="b">
        <v>0</v>
      </c>
      <c r="F481">
        <v>6</v>
      </c>
      <c r="G481">
        <v>1</v>
      </c>
      <c r="H481">
        <v>0.04</v>
      </c>
      <c r="I481">
        <v>3.0300000000000001E-2</v>
      </c>
      <c r="J481">
        <v>0.45</v>
      </c>
      <c r="K481">
        <v>0.25369999999999998</v>
      </c>
      <c r="L481">
        <v>0</v>
      </c>
      <c r="M481">
        <v>13</v>
      </c>
      <c r="N481">
        <v>13</v>
      </c>
    </row>
    <row r="482" spans="1:14" x14ac:dyDescent="0.3">
      <c r="A482">
        <v>481</v>
      </c>
      <c r="B482" s="1">
        <v>40565</v>
      </c>
      <c r="C482">
        <v>1</v>
      </c>
      <c r="D482">
        <v>1</v>
      </c>
      <c r="E482" t="b">
        <v>0</v>
      </c>
      <c r="F482">
        <v>6</v>
      </c>
      <c r="G482">
        <v>2</v>
      </c>
      <c r="H482">
        <v>0.04</v>
      </c>
      <c r="I482">
        <v>0</v>
      </c>
      <c r="J482">
        <v>0.41</v>
      </c>
      <c r="K482">
        <v>0.3881</v>
      </c>
      <c r="L482">
        <v>3</v>
      </c>
      <c r="M482">
        <v>9</v>
      </c>
      <c r="N482">
        <v>12</v>
      </c>
    </row>
    <row r="483" spans="1:14" x14ac:dyDescent="0.3">
      <c r="A483">
        <v>482</v>
      </c>
      <c r="B483" s="1">
        <v>40565</v>
      </c>
      <c r="C483">
        <v>1</v>
      </c>
      <c r="D483">
        <v>2</v>
      </c>
      <c r="E483" t="b">
        <v>0</v>
      </c>
      <c r="F483">
        <v>6</v>
      </c>
      <c r="G483">
        <v>2</v>
      </c>
      <c r="H483">
        <v>0.04</v>
      </c>
      <c r="I483">
        <v>3.0300000000000001E-2</v>
      </c>
      <c r="J483">
        <v>0.41</v>
      </c>
      <c r="K483">
        <v>0.25369999999999998</v>
      </c>
      <c r="L483">
        <v>0</v>
      </c>
      <c r="M483">
        <v>11</v>
      </c>
      <c r="N483">
        <v>11</v>
      </c>
    </row>
    <row r="484" spans="1:14" x14ac:dyDescent="0.3">
      <c r="A484">
        <v>483</v>
      </c>
      <c r="B484" s="1">
        <v>40565</v>
      </c>
      <c r="C484">
        <v>1</v>
      </c>
      <c r="D484">
        <v>3</v>
      </c>
      <c r="E484" t="b">
        <v>0</v>
      </c>
      <c r="F484">
        <v>6</v>
      </c>
      <c r="G484">
        <v>2</v>
      </c>
      <c r="H484">
        <v>0.04</v>
      </c>
      <c r="I484">
        <v>3.0300000000000001E-2</v>
      </c>
      <c r="J484">
        <v>0.41</v>
      </c>
      <c r="K484">
        <v>0.28360000000000002</v>
      </c>
      <c r="L484">
        <v>1</v>
      </c>
      <c r="M484">
        <v>6</v>
      </c>
      <c r="N484">
        <v>7</v>
      </c>
    </row>
    <row r="485" spans="1:14" x14ac:dyDescent="0.3">
      <c r="A485">
        <v>484</v>
      </c>
      <c r="B485" s="1">
        <v>40565</v>
      </c>
      <c r="C485">
        <v>1</v>
      </c>
      <c r="D485">
        <v>4</v>
      </c>
      <c r="E485" t="b">
        <v>0</v>
      </c>
      <c r="F485">
        <v>6</v>
      </c>
      <c r="G485">
        <v>2</v>
      </c>
      <c r="H485">
        <v>0.02</v>
      </c>
      <c r="I485">
        <v>1.52E-2</v>
      </c>
      <c r="J485">
        <v>0.48</v>
      </c>
      <c r="K485">
        <v>0.29849999999999999</v>
      </c>
      <c r="L485">
        <v>0</v>
      </c>
      <c r="M485">
        <v>3</v>
      </c>
      <c r="N485">
        <v>3</v>
      </c>
    </row>
    <row r="486" spans="1:14" x14ac:dyDescent="0.3">
      <c r="A486">
        <v>485</v>
      </c>
      <c r="B486" s="1">
        <v>40565</v>
      </c>
      <c r="C486">
        <v>1</v>
      </c>
      <c r="D486">
        <v>6</v>
      </c>
      <c r="E486" t="b">
        <v>0</v>
      </c>
      <c r="F486">
        <v>6</v>
      </c>
      <c r="G486">
        <v>2</v>
      </c>
      <c r="H486">
        <v>0.02</v>
      </c>
      <c r="I486">
        <v>3.0300000000000001E-2</v>
      </c>
      <c r="J486">
        <v>0.44</v>
      </c>
      <c r="K486">
        <v>0.22389999999999999</v>
      </c>
      <c r="L486">
        <v>0</v>
      </c>
      <c r="M486">
        <v>2</v>
      </c>
      <c r="N486">
        <v>2</v>
      </c>
    </row>
    <row r="487" spans="1:14" x14ac:dyDescent="0.3">
      <c r="A487">
        <v>486</v>
      </c>
      <c r="B487" s="1">
        <v>40565</v>
      </c>
      <c r="C487">
        <v>1</v>
      </c>
      <c r="D487">
        <v>7</v>
      </c>
      <c r="E487" t="b">
        <v>0</v>
      </c>
      <c r="F487">
        <v>6</v>
      </c>
      <c r="G487">
        <v>1</v>
      </c>
      <c r="H487">
        <v>0.02</v>
      </c>
      <c r="I487">
        <v>1.52E-2</v>
      </c>
      <c r="J487">
        <v>0.44</v>
      </c>
      <c r="K487">
        <v>0.28360000000000002</v>
      </c>
      <c r="L487">
        <v>0</v>
      </c>
      <c r="M487">
        <v>8</v>
      </c>
      <c r="N487">
        <v>8</v>
      </c>
    </row>
    <row r="488" spans="1:14" x14ac:dyDescent="0.3">
      <c r="A488">
        <v>487</v>
      </c>
      <c r="B488" s="1">
        <v>40565</v>
      </c>
      <c r="C488">
        <v>1</v>
      </c>
      <c r="D488">
        <v>8</v>
      </c>
      <c r="E488" t="b">
        <v>0</v>
      </c>
      <c r="F488">
        <v>6</v>
      </c>
      <c r="G488">
        <v>1</v>
      </c>
      <c r="H488">
        <v>0.02</v>
      </c>
      <c r="I488">
        <v>0</v>
      </c>
      <c r="J488">
        <v>0.44</v>
      </c>
      <c r="K488">
        <v>0.32840000000000003</v>
      </c>
      <c r="L488">
        <v>1</v>
      </c>
      <c r="M488">
        <v>26</v>
      </c>
      <c r="N488">
        <v>27</v>
      </c>
    </row>
    <row r="489" spans="1:14" x14ac:dyDescent="0.3">
      <c r="A489">
        <v>488</v>
      </c>
      <c r="B489" s="1">
        <v>40565</v>
      </c>
      <c r="C489">
        <v>1</v>
      </c>
      <c r="D489">
        <v>9</v>
      </c>
      <c r="E489" t="b">
        <v>0</v>
      </c>
      <c r="F489">
        <v>6</v>
      </c>
      <c r="G489">
        <v>1</v>
      </c>
      <c r="H489">
        <v>0.04</v>
      </c>
      <c r="I489">
        <v>3.0300000000000001E-2</v>
      </c>
      <c r="J489">
        <v>0.41</v>
      </c>
      <c r="K489">
        <v>0.25369999999999998</v>
      </c>
      <c r="L489">
        <v>3</v>
      </c>
      <c r="M489">
        <v>37</v>
      </c>
      <c r="N489">
        <v>40</v>
      </c>
    </row>
    <row r="490" spans="1:14" x14ac:dyDescent="0.3">
      <c r="A490">
        <v>489</v>
      </c>
      <c r="B490" s="1">
        <v>40565</v>
      </c>
      <c r="C490">
        <v>1</v>
      </c>
      <c r="D490">
        <v>10</v>
      </c>
      <c r="E490" t="b">
        <v>0</v>
      </c>
      <c r="F490">
        <v>6</v>
      </c>
      <c r="G490">
        <v>2</v>
      </c>
      <c r="H490">
        <v>0.04</v>
      </c>
      <c r="I490">
        <v>6.0600000000000001E-2</v>
      </c>
      <c r="J490">
        <v>0.41</v>
      </c>
      <c r="K490">
        <v>0.16420000000000001</v>
      </c>
      <c r="L490">
        <v>3</v>
      </c>
      <c r="M490">
        <v>50</v>
      </c>
      <c r="N490">
        <v>53</v>
      </c>
    </row>
    <row r="491" spans="1:14" x14ac:dyDescent="0.3">
      <c r="A491">
        <v>490</v>
      </c>
      <c r="B491" s="1">
        <v>40565</v>
      </c>
      <c r="C491">
        <v>1</v>
      </c>
      <c r="D491">
        <v>11</v>
      </c>
      <c r="E491" t="b">
        <v>0</v>
      </c>
      <c r="F491">
        <v>6</v>
      </c>
      <c r="G491">
        <v>2</v>
      </c>
      <c r="H491">
        <v>0.06</v>
      </c>
      <c r="I491">
        <v>7.5800000000000006E-2</v>
      </c>
      <c r="J491">
        <v>0.38</v>
      </c>
      <c r="K491">
        <v>0.1343</v>
      </c>
      <c r="L491">
        <v>4</v>
      </c>
      <c r="M491">
        <v>59</v>
      </c>
      <c r="N491">
        <v>63</v>
      </c>
    </row>
    <row r="492" spans="1:14" x14ac:dyDescent="0.3">
      <c r="A492">
        <v>491</v>
      </c>
      <c r="B492" s="1">
        <v>40565</v>
      </c>
      <c r="C492">
        <v>1</v>
      </c>
      <c r="D492">
        <v>12</v>
      </c>
      <c r="E492" t="b">
        <v>0</v>
      </c>
      <c r="F492">
        <v>6</v>
      </c>
      <c r="G492">
        <v>2</v>
      </c>
      <c r="H492">
        <v>0.06</v>
      </c>
      <c r="I492">
        <v>0.1061</v>
      </c>
      <c r="J492">
        <v>0.38</v>
      </c>
      <c r="K492">
        <v>0.1045</v>
      </c>
      <c r="L492">
        <v>10</v>
      </c>
      <c r="M492">
        <v>60</v>
      </c>
      <c r="N492">
        <v>70</v>
      </c>
    </row>
    <row r="493" spans="1:14" x14ac:dyDescent="0.3">
      <c r="A493">
        <v>492</v>
      </c>
      <c r="B493" s="1">
        <v>40565</v>
      </c>
      <c r="C493">
        <v>1</v>
      </c>
      <c r="D493">
        <v>13</v>
      </c>
      <c r="E493" t="b">
        <v>0</v>
      </c>
      <c r="F493">
        <v>6</v>
      </c>
      <c r="G493">
        <v>1</v>
      </c>
      <c r="H493">
        <v>0.08</v>
      </c>
      <c r="I493">
        <v>0.16669999999999999</v>
      </c>
      <c r="J493">
        <v>0.35</v>
      </c>
      <c r="K493">
        <v>0</v>
      </c>
      <c r="L493">
        <v>12</v>
      </c>
      <c r="M493">
        <v>72</v>
      </c>
      <c r="N493">
        <v>84</v>
      </c>
    </row>
    <row r="494" spans="1:14" x14ac:dyDescent="0.3">
      <c r="A494">
        <v>493</v>
      </c>
      <c r="B494" s="1">
        <v>40565</v>
      </c>
      <c r="C494">
        <v>1</v>
      </c>
      <c r="D494">
        <v>14</v>
      </c>
      <c r="E494" t="b">
        <v>0</v>
      </c>
      <c r="F494">
        <v>6</v>
      </c>
      <c r="G494">
        <v>1</v>
      </c>
      <c r="H494">
        <v>0.1</v>
      </c>
      <c r="I494">
        <v>0.13639999999999999</v>
      </c>
      <c r="J494">
        <v>0.33</v>
      </c>
      <c r="K494">
        <v>0.1045</v>
      </c>
      <c r="L494">
        <v>11</v>
      </c>
      <c r="M494">
        <v>64</v>
      </c>
      <c r="N494">
        <v>75</v>
      </c>
    </row>
    <row r="495" spans="1:14" x14ac:dyDescent="0.3">
      <c r="A495">
        <v>494</v>
      </c>
      <c r="B495" s="1">
        <v>40565</v>
      </c>
      <c r="C495">
        <v>1</v>
      </c>
      <c r="D495">
        <v>15</v>
      </c>
      <c r="E495" t="b">
        <v>0</v>
      </c>
      <c r="F495">
        <v>6</v>
      </c>
      <c r="G495">
        <v>1</v>
      </c>
      <c r="H495">
        <v>0.12</v>
      </c>
      <c r="I495">
        <v>0.1515</v>
      </c>
      <c r="J495">
        <v>0.28000000000000003</v>
      </c>
      <c r="K495">
        <v>0</v>
      </c>
      <c r="L495">
        <v>10</v>
      </c>
      <c r="M495">
        <v>93</v>
      </c>
      <c r="N495">
        <v>103</v>
      </c>
    </row>
    <row r="496" spans="1:14" x14ac:dyDescent="0.3">
      <c r="A496">
        <v>495</v>
      </c>
      <c r="B496" s="1">
        <v>40565</v>
      </c>
      <c r="C496">
        <v>1</v>
      </c>
      <c r="D496">
        <v>16</v>
      </c>
      <c r="E496" t="b">
        <v>0</v>
      </c>
      <c r="F496">
        <v>6</v>
      </c>
      <c r="G496">
        <v>1</v>
      </c>
      <c r="H496">
        <v>0.12</v>
      </c>
      <c r="I496">
        <v>0.13639999999999999</v>
      </c>
      <c r="J496">
        <v>0.28000000000000003</v>
      </c>
      <c r="K496">
        <v>0.19400000000000001</v>
      </c>
      <c r="L496">
        <v>11</v>
      </c>
      <c r="M496">
        <v>72</v>
      </c>
      <c r="N496">
        <v>83</v>
      </c>
    </row>
    <row r="497" spans="1:14" x14ac:dyDescent="0.3">
      <c r="A497">
        <v>496</v>
      </c>
      <c r="B497" s="1">
        <v>40565</v>
      </c>
      <c r="C497">
        <v>1</v>
      </c>
      <c r="D497">
        <v>17</v>
      </c>
      <c r="E497" t="b">
        <v>0</v>
      </c>
      <c r="F497">
        <v>6</v>
      </c>
      <c r="G497">
        <v>1</v>
      </c>
      <c r="H497">
        <v>0.12</v>
      </c>
      <c r="I497">
        <v>0.19700000000000001</v>
      </c>
      <c r="J497">
        <v>0.28000000000000003</v>
      </c>
      <c r="K497">
        <v>0</v>
      </c>
      <c r="L497">
        <v>8</v>
      </c>
      <c r="M497">
        <v>59</v>
      </c>
      <c r="N497">
        <v>67</v>
      </c>
    </row>
    <row r="498" spans="1:14" x14ac:dyDescent="0.3">
      <c r="A498">
        <v>497</v>
      </c>
      <c r="B498" s="1">
        <v>40565</v>
      </c>
      <c r="C498">
        <v>1</v>
      </c>
      <c r="D498">
        <v>18</v>
      </c>
      <c r="E498" t="b">
        <v>0</v>
      </c>
      <c r="F498">
        <v>6</v>
      </c>
      <c r="G498">
        <v>1</v>
      </c>
      <c r="H498">
        <v>0.08</v>
      </c>
      <c r="I498">
        <v>9.0899999999999995E-2</v>
      </c>
      <c r="J498">
        <v>0.35</v>
      </c>
      <c r="K498">
        <v>0.19400000000000001</v>
      </c>
      <c r="L498">
        <v>0</v>
      </c>
      <c r="M498">
        <v>54</v>
      </c>
      <c r="N498">
        <v>54</v>
      </c>
    </row>
    <row r="499" spans="1:14" x14ac:dyDescent="0.3">
      <c r="A499">
        <v>498</v>
      </c>
      <c r="B499" s="1">
        <v>40565</v>
      </c>
      <c r="C499">
        <v>1</v>
      </c>
      <c r="D499">
        <v>19</v>
      </c>
      <c r="E499" t="b">
        <v>0</v>
      </c>
      <c r="F499">
        <v>6</v>
      </c>
      <c r="G499">
        <v>1</v>
      </c>
      <c r="H499">
        <v>0.08</v>
      </c>
      <c r="I499">
        <v>0.1061</v>
      </c>
      <c r="J499">
        <v>0.35</v>
      </c>
      <c r="K499">
        <v>0.1343</v>
      </c>
      <c r="L499">
        <v>6</v>
      </c>
      <c r="M499">
        <v>53</v>
      </c>
      <c r="N499">
        <v>59</v>
      </c>
    </row>
    <row r="500" spans="1:14" x14ac:dyDescent="0.3">
      <c r="A500">
        <v>499</v>
      </c>
      <c r="B500" s="1">
        <v>40565</v>
      </c>
      <c r="C500">
        <v>1</v>
      </c>
      <c r="D500">
        <v>20</v>
      </c>
      <c r="E500" t="b">
        <v>0</v>
      </c>
      <c r="F500">
        <v>6</v>
      </c>
      <c r="G500">
        <v>1</v>
      </c>
      <c r="H500">
        <v>0.06</v>
      </c>
      <c r="I500">
        <v>7.5800000000000006E-2</v>
      </c>
      <c r="J500">
        <v>0.45</v>
      </c>
      <c r="K500">
        <v>0.16420000000000001</v>
      </c>
      <c r="L500">
        <v>1</v>
      </c>
      <c r="M500">
        <v>44</v>
      </c>
      <c r="N500">
        <v>45</v>
      </c>
    </row>
    <row r="501" spans="1:14" x14ac:dyDescent="0.3">
      <c r="A501">
        <v>500</v>
      </c>
      <c r="B501" s="1">
        <v>40565</v>
      </c>
      <c r="C501">
        <v>1</v>
      </c>
      <c r="D501">
        <v>21</v>
      </c>
      <c r="E501" t="b">
        <v>0</v>
      </c>
      <c r="F501">
        <v>6</v>
      </c>
      <c r="G501">
        <v>1</v>
      </c>
      <c r="H501">
        <v>0.06</v>
      </c>
      <c r="I501">
        <v>0.1061</v>
      </c>
      <c r="J501">
        <v>0.41</v>
      </c>
      <c r="K501">
        <v>8.9599999999999999E-2</v>
      </c>
      <c r="L501">
        <v>0</v>
      </c>
      <c r="M501">
        <v>39</v>
      </c>
      <c r="N501">
        <v>39</v>
      </c>
    </row>
    <row r="502" spans="1:14" x14ac:dyDescent="0.3">
      <c r="A502">
        <v>501</v>
      </c>
      <c r="B502" s="1">
        <v>40565</v>
      </c>
      <c r="C502">
        <v>1</v>
      </c>
      <c r="D502">
        <v>22</v>
      </c>
      <c r="E502" t="b">
        <v>0</v>
      </c>
      <c r="F502">
        <v>6</v>
      </c>
      <c r="G502">
        <v>1</v>
      </c>
      <c r="H502">
        <v>0.06</v>
      </c>
      <c r="I502">
        <v>0.1515</v>
      </c>
      <c r="J502">
        <v>0.49</v>
      </c>
      <c r="K502">
        <v>0</v>
      </c>
      <c r="L502">
        <v>7</v>
      </c>
      <c r="M502">
        <v>23</v>
      </c>
      <c r="N502">
        <v>30</v>
      </c>
    </row>
    <row r="503" spans="1:14" x14ac:dyDescent="0.3">
      <c r="A503">
        <v>502</v>
      </c>
      <c r="B503" s="1">
        <v>40565</v>
      </c>
      <c r="C503">
        <v>1</v>
      </c>
      <c r="D503">
        <v>23</v>
      </c>
      <c r="E503" t="b">
        <v>0</v>
      </c>
      <c r="F503">
        <v>6</v>
      </c>
      <c r="G503">
        <v>1</v>
      </c>
      <c r="H503">
        <v>0.04</v>
      </c>
      <c r="I503">
        <v>7.5800000000000006E-2</v>
      </c>
      <c r="J503">
        <v>0.56999999999999995</v>
      </c>
      <c r="K503">
        <v>0.1045</v>
      </c>
      <c r="L503">
        <v>2</v>
      </c>
      <c r="M503">
        <v>31</v>
      </c>
      <c r="N503">
        <v>33</v>
      </c>
    </row>
    <row r="504" spans="1:14" x14ac:dyDescent="0.3">
      <c r="A504">
        <v>503</v>
      </c>
      <c r="B504" s="1">
        <v>40566</v>
      </c>
      <c r="C504">
        <v>1</v>
      </c>
      <c r="D504">
        <v>0</v>
      </c>
      <c r="E504" t="b">
        <v>0</v>
      </c>
      <c r="F504">
        <v>0</v>
      </c>
      <c r="G504">
        <v>1</v>
      </c>
      <c r="H504">
        <v>0.04</v>
      </c>
      <c r="I504">
        <v>7.5800000000000006E-2</v>
      </c>
      <c r="J504">
        <v>0.56999999999999995</v>
      </c>
      <c r="K504">
        <v>0.1045</v>
      </c>
      <c r="L504">
        <v>2</v>
      </c>
      <c r="M504">
        <v>20</v>
      </c>
      <c r="N504">
        <v>22</v>
      </c>
    </row>
    <row r="505" spans="1:14" x14ac:dyDescent="0.3">
      <c r="A505">
        <v>504</v>
      </c>
      <c r="B505" s="1">
        <v>40566</v>
      </c>
      <c r="C505">
        <v>1</v>
      </c>
      <c r="D505">
        <v>1</v>
      </c>
      <c r="E505" t="b">
        <v>0</v>
      </c>
      <c r="F505">
        <v>0</v>
      </c>
      <c r="G505">
        <v>1</v>
      </c>
      <c r="H505">
        <v>0.04</v>
      </c>
      <c r="I505">
        <v>7.5800000000000006E-2</v>
      </c>
      <c r="J505">
        <v>0.56999999999999995</v>
      </c>
      <c r="K505">
        <v>0.1045</v>
      </c>
      <c r="L505">
        <v>1</v>
      </c>
      <c r="M505">
        <v>12</v>
      </c>
      <c r="N505">
        <v>13</v>
      </c>
    </row>
    <row r="506" spans="1:14" x14ac:dyDescent="0.3">
      <c r="A506">
        <v>505</v>
      </c>
      <c r="B506" s="1">
        <v>40566</v>
      </c>
      <c r="C506">
        <v>1</v>
      </c>
      <c r="D506">
        <v>2</v>
      </c>
      <c r="E506" t="b">
        <v>0</v>
      </c>
      <c r="F506">
        <v>0</v>
      </c>
      <c r="G506">
        <v>1</v>
      </c>
      <c r="H506">
        <v>0.02</v>
      </c>
      <c r="I506">
        <v>6.0600000000000001E-2</v>
      </c>
      <c r="J506">
        <v>0.62</v>
      </c>
      <c r="K506">
        <v>0.1343</v>
      </c>
      <c r="L506">
        <v>3</v>
      </c>
      <c r="M506">
        <v>15</v>
      </c>
      <c r="N506">
        <v>18</v>
      </c>
    </row>
    <row r="507" spans="1:14" x14ac:dyDescent="0.3">
      <c r="A507">
        <v>506</v>
      </c>
      <c r="B507" s="1">
        <v>40566</v>
      </c>
      <c r="C507">
        <v>1</v>
      </c>
      <c r="D507">
        <v>3</v>
      </c>
      <c r="E507" t="b">
        <v>0</v>
      </c>
      <c r="F507">
        <v>0</v>
      </c>
      <c r="G507">
        <v>1</v>
      </c>
      <c r="H507">
        <v>0.02</v>
      </c>
      <c r="I507">
        <v>6.0600000000000001E-2</v>
      </c>
      <c r="J507">
        <v>0.62</v>
      </c>
      <c r="K507">
        <v>0.1343</v>
      </c>
      <c r="L507">
        <v>1</v>
      </c>
      <c r="M507">
        <v>4</v>
      </c>
      <c r="N507">
        <v>5</v>
      </c>
    </row>
    <row r="508" spans="1:14" x14ac:dyDescent="0.3">
      <c r="A508">
        <v>507</v>
      </c>
      <c r="B508" s="1">
        <v>40566</v>
      </c>
      <c r="C508">
        <v>1</v>
      </c>
      <c r="D508">
        <v>5</v>
      </c>
      <c r="E508" t="b">
        <v>0</v>
      </c>
      <c r="F508">
        <v>0</v>
      </c>
      <c r="G508">
        <v>2</v>
      </c>
      <c r="H508">
        <v>0.04</v>
      </c>
      <c r="I508">
        <v>7.5800000000000006E-2</v>
      </c>
      <c r="J508">
        <v>0.56999999999999995</v>
      </c>
      <c r="K508">
        <v>0.1045</v>
      </c>
      <c r="L508">
        <v>0</v>
      </c>
      <c r="M508">
        <v>3</v>
      </c>
      <c r="N508">
        <v>3</v>
      </c>
    </row>
    <row r="509" spans="1:14" x14ac:dyDescent="0.3">
      <c r="A509">
        <v>508</v>
      </c>
      <c r="B509" s="1">
        <v>40566</v>
      </c>
      <c r="C509">
        <v>1</v>
      </c>
      <c r="D509">
        <v>6</v>
      </c>
      <c r="E509" t="b">
        <v>0</v>
      </c>
      <c r="F509">
        <v>0</v>
      </c>
      <c r="G509">
        <v>2</v>
      </c>
      <c r="H509">
        <v>0.04</v>
      </c>
      <c r="I509">
        <v>7.5800000000000006E-2</v>
      </c>
      <c r="J509">
        <v>0.56999999999999995</v>
      </c>
      <c r="K509">
        <v>0.1045</v>
      </c>
      <c r="L509">
        <v>0</v>
      </c>
      <c r="M509">
        <v>1</v>
      </c>
      <c r="N509">
        <v>1</v>
      </c>
    </row>
    <row r="510" spans="1:14" x14ac:dyDescent="0.3">
      <c r="A510">
        <v>509</v>
      </c>
      <c r="B510" s="1">
        <v>40566</v>
      </c>
      <c r="C510">
        <v>1</v>
      </c>
      <c r="D510">
        <v>7</v>
      </c>
      <c r="E510" t="b">
        <v>0</v>
      </c>
      <c r="F510">
        <v>0</v>
      </c>
      <c r="G510">
        <v>1</v>
      </c>
      <c r="H510">
        <v>0.08</v>
      </c>
      <c r="I510">
        <v>0.1061</v>
      </c>
      <c r="J510">
        <v>0.57999999999999996</v>
      </c>
      <c r="K510">
        <v>0.16420000000000001</v>
      </c>
      <c r="L510">
        <v>1</v>
      </c>
      <c r="M510">
        <v>1</v>
      </c>
      <c r="N510">
        <v>2</v>
      </c>
    </row>
    <row r="511" spans="1:14" x14ac:dyDescent="0.3">
      <c r="A511">
        <v>510</v>
      </c>
      <c r="B511" s="1">
        <v>40566</v>
      </c>
      <c r="C511">
        <v>1</v>
      </c>
      <c r="D511">
        <v>8</v>
      </c>
      <c r="E511" t="b">
        <v>0</v>
      </c>
      <c r="F511">
        <v>0</v>
      </c>
      <c r="G511">
        <v>1</v>
      </c>
      <c r="H511">
        <v>0.06</v>
      </c>
      <c r="I511">
        <v>7.5800000000000006E-2</v>
      </c>
      <c r="J511">
        <v>0.62</v>
      </c>
      <c r="K511">
        <v>0.16420000000000001</v>
      </c>
      <c r="L511">
        <v>2</v>
      </c>
      <c r="M511">
        <v>17</v>
      </c>
      <c r="N511">
        <v>19</v>
      </c>
    </row>
    <row r="512" spans="1:14" x14ac:dyDescent="0.3">
      <c r="A512">
        <v>511</v>
      </c>
      <c r="B512" s="1">
        <v>40566</v>
      </c>
      <c r="C512">
        <v>1</v>
      </c>
      <c r="D512">
        <v>9</v>
      </c>
      <c r="E512" t="b">
        <v>0</v>
      </c>
      <c r="F512">
        <v>0</v>
      </c>
      <c r="G512">
        <v>1</v>
      </c>
      <c r="H512">
        <v>0.1</v>
      </c>
      <c r="I512">
        <v>7.5800000000000006E-2</v>
      </c>
      <c r="J512">
        <v>0.54</v>
      </c>
      <c r="K512">
        <v>0.35820000000000002</v>
      </c>
      <c r="L512">
        <v>3</v>
      </c>
      <c r="M512">
        <v>25</v>
      </c>
      <c r="N512">
        <v>28</v>
      </c>
    </row>
    <row r="513" spans="1:14" x14ac:dyDescent="0.3">
      <c r="A513">
        <v>512</v>
      </c>
      <c r="B513" s="1">
        <v>40566</v>
      </c>
      <c r="C513">
        <v>1</v>
      </c>
      <c r="D513">
        <v>10</v>
      </c>
      <c r="E513" t="b">
        <v>0</v>
      </c>
      <c r="F513">
        <v>0</v>
      </c>
      <c r="G513">
        <v>1</v>
      </c>
      <c r="H513">
        <v>0.14000000000000001</v>
      </c>
      <c r="I513">
        <v>0.1061</v>
      </c>
      <c r="J513">
        <v>0.46</v>
      </c>
      <c r="K513">
        <v>0.3881</v>
      </c>
      <c r="L513">
        <v>7</v>
      </c>
      <c r="M513">
        <v>51</v>
      </c>
      <c r="N513">
        <v>58</v>
      </c>
    </row>
    <row r="514" spans="1:14" x14ac:dyDescent="0.3">
      <c r="A514">
        <v>513</v>
      </c>
      <c r="B514" s="1">
        <v>40566</v>
      </c>
      <c r="C514">
        <v>1</v>
      </c>
      <c r="D514">
        <v>11</v>
      </c>
      <c r="E514" t="b">
        <v>0</v>
      </c>
      <c r="F514">
        <v>0</v>
      </c>
      <c r="G514">
        <v>1</v>
      </c>
      <c r="H514">
        <v>0.14000000000000001</v>
      </c>
      <c r="I514">
        <v>0.13639999999999999</v>
      </c>
      <c r="J514">
        <v>0.43</v>
      </c>
      <c r="K514">
        <v>0.22389999999999999</v>
      </c>
      <c r="L514">
        <v>22</v>
      </c>
      <c r="M514">
        <v>77</v>
      </c>
      <c r="N514">
        <v>99</v>
      </c>
    </row>
    <row r="515" spans="1:14" x14ac:dyDescent="0.3">
      <c r="A515">
        <v>514</v>
      </c>
      <c r="B515" s="1">
        <v>40566</v>
      </c>
      <c r="C515">
        <v>1</v>
      </c>
      <c r="D515">
        <v>12</v>
      </c>
      <c r="E515" t="b">
        <v>0</v>
      </c>
      <c r="F515">
        <v>0</v>
      </c>
      <c r="G515">
        <v>1</v>
      </c>
      <c r="H515">
        <v>0.16</v>
      </c>
      <c r="I515">
        <v>0.1212</v>
      </c>
      <c r="J515">
        <v>0.37</v>
      </c>
      <c r="K515">
        <v>0.4627</v>
      </c>
      <c r="L515">
        <v>24</v>
      </c>
      <c r="M515">
        <v>92</v>
      </c>
      <c r="N515">
        <v>116</v>
      </c>
    </row>
    <row r="516" spans="1:14" x14ac:dyDescent="0.3">
      <c r="A516">
        <v>515</v>
      </c>
      <c r="B516" s="1">
        <v>40566</v>
      </c>
      <c r="C516">
        <v>1</v>
      </c>
      <c r="D516">
        <v>13</v>
      </c>
      <c r="E516" t="b">
        <v>0</v>
      </c>
      <c r="F516">
        <v>0</v>
      </c>
      <c r="G516">
        <v>1</v>
      </c>
      <c r="H516">
        <v>0.14000000000000001</v>
      </c>
      <c r="I516">
        <v>0.1061</v>
      </c>
      <c r="J516">
        <v>0.33</v>
      </c>
      <c r="K516">
        <v>0.3881</v>
      </c>
      <c r="L516">
        <v>12</v>
      </c>
      <c r="M516">
        <v>75</v>
      </c>
      <c r="N516">
        <v>87</v>
      </c>
    </row>
    <row r="517" spans="1:14" x14ac:dyDescent="0.3">
      <c r="A517">
        <v>516</v>
      </c>
      <c r="B517" s="1">
        <v>40566</v>
      </c>
      <c r="C517">
        <v>1</v>
      </c>
      <c r="D517">
        <v>14</v>
      </c>
      <c r="E517" t="b">
        <v>0</v>
      </c>
      <c r="F517">
        <v>0</v>
      </c>
      <c r="G517">
        <v>1</v>
      </c>
      <c r="H517">
        <v>0.16</v>
      </c>
      <c r="I517">
        <v>0.13639999999999999</v>
      </c>
      <c r="J517">
        <v>0.28000000000000003</v>
      </c>
      <c r="K517">
        <v>0.35820000000000002</v>
      </c>
      <c r="L517">
        <v>17</v>
      </c>
      <c r="M517">
        <v>93</v>
      </c>
      <c r="N517">
        <v>110</v>
      </c>
    </row>
    <row r="518" spans="1:14" x14ac:dyDescent="0.3">
      <c r="A518">
        <v>517</v>
      </c>
      <c r="B518" s="1">
        <v>40566</v>
      </c>
      <c r="C518">
        <v>1</v>
      </c>
      <c r="D518">
        <v>15</v>
      </c>
      <c r="E518" t="b">
        <v>0</v>
      </c>
      <c r="F518">
        <v>0</v>
      </c>
      <c r="G518">
        <v>1</v>
      </c>
      <c r="H518">
        <v>0.16</v>
      </c>
      <c r="I518">
        <v>0.13639999999999999</v>
      </c>
      <c r="J518">
        <v>0.28000000000000003</v>
      </c>
      <c r="K518">
        <v>0.35820000000000002</v>
      </c>
      <c r="L518">
        <v>13</v>
      </c>
      <c r="M518">
        <v>64</v>
      </c>
      <c r="N518">
        <v>77</v>
      </c>
    </row>
    <row r="519" spans="1:14" x14ac:dyDescent="0.3">
      <c r="A519">
        <v>518</v>
      </c>
      <c r="B519" s="1">
        <v>40566</v>
      </c>
      <c r="C519">
        <v>1</v>
      </c>
      <c r="D519">
        <v>16</v>
      </c>
      <c r="E519" t="b">
        <v>0</v>
      </c>
      <c r="F519">
        <v>0</v>
      </c>
      <c r="G519">
        <v>1</v>
      </c>
      <c r="H519">
        <v>0.16</v>
      </c>
      <c r="I519">
        <v>0.13639999999999999</v>
      </c>
      <c r="J519">
        <v>0.26</v>
      </c>
      <c r="K519">
        <v>0.32840000000000003</v>
      </c>
      <c r="L519">
        <v>9</v>
      </c>
      <c r="M519">
        <v>56</v>
      </c>
      <c r="N519">
        <v>65</v>
      </c>
    </row>
    <row r="520" spans="1:14" x14ac:dyDescent="0.3">
      <c r="A520">
        <v>519</v>
      </c>
      <c r="B520" s="1">
        <v>40566</v>
      </c>
      <c r="C520">
        <v>1</v>
      </c>
      <c r="D520">
        <v>17</v>
      </c>
      <c r="E520" t="b">
        <v>0</v>
      </c>
      <c r="F520">
        <v>0</v>
      </c>
      <c r="G520">
        <v>1</v>
      </c>
      <c r="H520">
        <v>0.14000000000000001</v>
      </c>
      <c r="I520">
        <v>0.1061</v>
      </c>
      <c r="J520">
        <v>0.26</v>
      </c>
      <c r="K520">
        <v>0.3881</v>
      </c>
      <c r="L520">
        <v>5</v>
      </c>
      <c r="M520">
        <v>50</v>
      </c>
      <c r="N520">
        <v>55</v>
      </c>
    </row>
    <row r="521" spans="1:14" x14ac:dyDescent="0.3">
      <c r="A521">
        <v>520</v>
      </c>
      <c r="B521" s="1">
        <v>40566</v>
      </c>
      <c r="C521">
        <v>1</v>
      </c>
      <c r="D521">
        <v>18</v>
      </c>
      <c r="E521" t="b">
        <v>0</v>
      </c>
      <c r="F521">
        <v>0</v>
      </c>
      <c r="G521">
        <v>1</v>
      </c>
      <c r="H521">
        <v>0.12</v>
      </c>
      <c r="I521">
        <v>0.1212</v>
      </c>
      <c r="J521">
        <v>0.3</v>
      </c>
      <c r="K521">
        <v>0.25369999999999998</v>
      </c>
      <c r="L521">
        <v>5</v>
      </c>
      <c r="M521">
        <v>44</v>
      </c>
      <c r="N521">
        <v>49</v>
      </c>
    </row>
    <row r="522" spans="1:14" x14ac:dyDescent="0.3">
      <c r="A522">
        <v>521</v>
      </c>
      <c r="B522" s="1">
        <v>40566</v>
      </c>
      <c r="C522">
        <v>1</v>
      </c>
      <c r="D522">
        <v>19</v>
      </c>
      <c r="E522" t="b">
        <v>0</v>
      </c>
      <c r="F522">
        <v>0</v>
      </c>
      <c r="G522">
        <v>1</v>
      </c>
      <c r="H522">
        <v>0.12</v>
      </c>
      <c r="I522">
        <v>0.1212</v>
      </c>
      <c r="J522">
        <v>0.3</v>
      </c>
      <c r="K522">
        <v>0.28360000000000002</v>
      </c>
      <c r="L522">
        <v>5</v>
      </c>
      <c r="M522">
        <v>45</v>
      </c>
      <c r="N522">
        <v>50</v>
      </c>
    </row>
    <row r="523" spans="1:14" x14ac:dyDescent="0.3">
      <c r="A523">
        <v>522</v>
      </c>
      <c r="B523" s="1">
        <v>40566</v>
      </c>
      <c r="C523">
        <v>1</v>
      </c>
      <c r="D523">
        <v>20</v>
      </c>
      <c r="E523" t="b">
        <v>0</v>
      </c>
      <c r="F523">
        <v>0</v>
      </c>
      <c r="G523">
        <v>1</v>
      </c>
      <c r="H523">
        <v>0.1</v>
      </c>
      <c r="I523">
        <v>0.1061</v>
      </c>
      <c r="J523">
        <v>0.36</v>
      </c>
      <c r="K523">
        <v>0.25369999999999998</v>
      </c>
      <c r="L523">
        <v>4</v>
      </c>
      <c r="M523">
        <v>31</v>
      </c>
      <c r="N523">
        <v>35</v>
      </c>
    </row>
    <row r="524" spans="1:14" x14ac:dyDescent="0.3">
      <c r="A524">
        <v>523</v>
      </c>
      <c r="B524" s="1">
        <v>40566</v>
      </c>
      <c r="C524">
        <v>1</v>
      </c>
      <c r="D524">
        <v>21</v>
      </c>
      <c r="E524" t="b">
        <v>0</v>
      </c>
      <c r="F524">
        <v>0</v>
      </c>
      <c r="G524">
        <v>1</v>
      </c>
      <c r="H524">
        <v>0.1</v>
      </c>
      <c r="I524">
        <v>0.1061</v>
      </c>
      <c r="J524">
        <v>0.36</v>
      </c>
      <c r="K524">
        <v>0.19400000000000001</v>
      </c>
      <c r="L524">
        <v>5</v>
      </c>
      <c r="M524">
        <v>20</v>
      </c>
      <c r="N524">
        <v>25</v>
      </c>
    </row>
    <row r="525" spans="1:14" x14ac:dyDescent="0.3">
      <c r="A525">
        <v>524</v>
      </c>
      <c r="B525" s="1">
        <v>40566</v>
      </c>
      <c r="C525">
        <v>1</v>
      </c>
      <c r="D525">
        <v>22</v>
      </c>
      <c r="E525" t="b">
        <v>0</v>
      </c>
      <c r="F525">
        <v>0</v>
      </c>
      <c r="G525">
        <v>1</v>
      </c>
      <c r="H525">
        <v>0.08</v>
      </c>
      <c r="I525">
        <v>9.0899999999999995E-2</v>
      </c>
      <c r="J525">
        <v>0.38</v>
      </c>
      <c r="K525">
        <v>0.19400000000000001</v>
      </c>
      <c r="L525">
        <v>5</v>
      </c>
      <c r="M525">
        <v>23</v>
      </c>
      <c r="N525">
        <v>28</v>
      </c>
    </row>
    <row r="526" spans="1:14" x14ac:dyDescent="0.3">
      <c r="A526">
        <v>525</v>
      </c>
      <c r="B526" s="1">
        <v>40566</v>
      </c>
      <c r="C526">
        <v>1</v>
      </c>
      <c r="D526">
        <v>23</v>
      </c>
      <c r="E526" t="b">
        <v>0</v>
      </c>
      <c r="F526">
        <v>0</v>
      </c>
      <c r="G526">
        <v>1</v>
      </c>
      <c r="H526">
        <v>0.06</v>
      </c>
      <c r="I526">
        <v>6.0600000000000001E-2</v>
      </c>
      <c r="J526">
        <v>0.41</v>
      </c>
      <c r="K526">
        <v>0.22389999999999999</v>
      </c>
      <c r="L526">
        <v>4</v>
      </c>
      <c r="M526">
        <v>17</v>
      </c>
      <c r="N526">
        <v>21</v>
      </c>
    </row>
    <row r="527" spans="1:14" x14ac:dyDescent="0.3">
      <c r="A527">
        <v>526</v>
      </c>
      <c r="B527" s="1">
        <v>40567</v>
      </c>
      <c r="C527">
        <v>1</v>
      </c>
      <c r="D527">
        <v>0</v>
      </c>
      <c r="E527" t="b">
        <v>0</v>
      </c>
      <c r="F527">
        <v>1</v>
      </c>
      <c r="G527">
        <v>1</v>
      </c>
      <c r="H527">
        <v>0.06</v>
      </c>
      <c r="I527">
        <v>6.0600000000000001E-2</v>
      </c>
      <c r="J527">
        <v>0.41</v>
      </c>
      <c r="K527">
        <v>0.19400000000000001</v>
      </c>
      <c r="L527">
        <v>0</v>
      </c>
      <c r="M527">
        <v>7</v>
      </c>
      <c r="N527">
        <v>7</v>
      </c>
    </row>
    <row r="528" spans="1:14" x14ac:dyDescent="0.3">
      <c r="A528">
        <v>527</v>
      </c>
      <c r="B528" s="1">
        <v>40567</v>
      </c>
      <c r="C528">
        <v>1</v>
      </c>
      <c r="D528">
        <v>1</v>
      </c>
      <c r="E528" t="b">
        <v>0</v>
      </c>
      <c r="F528">
        <v>1</v>
      </c>
      <c r="G528">
        <v>1</v>
      </c>
      <c r="H528">
        <v>0.04</v>
      </c>
      <c r="I528">
        <v>4.5499999999999999E-2</v>
      </c>
      <c r="J528">
        <v>0.45</v>
      </c>
      <c r="K528">
        <v>0.19400000000000001</v>
      </c>
      <c r="L528">
        <v>0</v>
      </c>
      <c r="M528">
        <v>1</v>
      </c>
      <c r="N528">
        <v>1</v>
      </c>
    </row>
    <row r="529" spans="1:14" x14ac:dyDescent="0.3">
      <c r="A529">
        <v>528</v>
      </c>
      <c r="B529" s="1">
        <v>40567</v>
      </c>
      <c r="C529">
        <v>1</v>
      </c>
      <c r="D529">
        <v>3</v>
      </c>
      <c r="E529" t="b">
        <v>0</v>
      </c>
      <c r="F529">
        <v>1</v>
      </c>
      <c r="G529">
        <v>1</v>
      </c>
      <c r="H529">
        <v>0.04</v>
      </c>
      <c r="I529">
        <v>3.0300000000000001E-2</v>
      </c>
      <c r="J529">
        <v>0.45</v>
      </c>
      <c r="K529">
        <v>0.25369999999999998</v>
      </c>
      <c r="L529">
        <v>0</v>
      </c>
      <c r="M529">
        <v>1</v>
      </c>
      <c r="N529">
        <v>1</v>
      </c>
    </row>
    <row r="530" spans="1:14" x14ac:dyDescent="0.3">
      <c r="A530">
        <v>529</v>
      </c>
      <c r="B530" s="1">
        <v>40567</v>
      </c>
      <c r="C530">
        <v>1</v>
      </c>
      <c r="D530">
        <v>4</v>
      </c>
      <c r="E530" t="b">
        <v>0</v>
      </c>
      <c r="F530">
        <v>1</v>
      </c>
      <c r="G530">
        <v>1</v>
      </c>
      <c r="H530">
        <v>0.02</v>
      </c>
      <c r="I530">
        <v>6.0600000000000001E-2</v>
      </c>
      <c r="J530">
        <v>0.48</v>
      </c>
      <c r="K530">
        <v>0.1343</v>
      </c>
      <c r="L530">
        <v>0</v>
      </c>
      <c r="M530">
        <v>1</v>
      </c>
      <c r="N530">
        <v>1</v>
      </c>
    </row>
    <row r="531" spans="1:14" x14ac:dyDescent="0.3">
      <c r="A531">
        <v>530</v>
      </c>
      <c r="B531" s="1">
        <v>40567</v>
      </c>
      <c r="C531">
        <v>1</v>
      </c>
      <c r="D531">
        <v>5</v>
      </c>
      <c r="E531" t="b">
        <v>0</v>
      </c>
      <c r="F531">
        <v>1</v>
      </c>
      <c r="G531">
        <v>1</v>
      </c>
      <c r="H531">
        <v>0.02</v>
      </c>
      <c r="I531">
        <v>6.0600000000000001E-2</v>
      </c>
      <c r="J531">
        <v>0.48</v>
      </c>
      <c r="K531">
        <v>0.1343</v>
      </c>
      <c r="L531">
        <v>0</v>
      </c>
      <c r="M531">
        <v>5</v>
      </c>
      <c r="N531">
        <v>5</v>
      </c>
    </row>
    <row r="532" spans="1:14" x14ac:dyDescent="0.3">
      <c r="A532">
        <v>531</v>
      </c>
      <c r="B532" s="1">
        <v>40567</v>
      </c>
      <c r="C532">
        <v>1</v>
      </c>
      <c r="D532">
        <v>6</v>
      </c>
      <c r="E532" t="b">
        <v>0</v>
      </c>
      <c r="F532">
        <v>1</v>
      </c>
      <c r="G532">
        <v>1</v>
      </c>
      <c r="H532">
        <v>0.02</v>
      </c>
      <c r="I532">
        <v>7.5800000000000006E-2</v>
      </c>
      <c r="J532">
        <v>0.48</v>
      </c>
      <c r="K532">
        <v>8.9599999999999999E-2</v>
      </c>
      <c r="L532">
        <v>0</v>
      </c>
      <c r="M532">
        <v>15</v>
      </c>
      <c r="N532">
        <v>15</v>
      </c>
    </row>
    <row r="533" spans="1:14" x14ac:dyDescent="0.3">
      <c r="A533">
        <v>532</v>
      </c>
      <c r="B533" s="1">
        <v>40567</v>
      </c>
      <c r="C533">
        <v>1</v>
      </c>
      <c r="D533">
        <v>7</v>
      </c>
      <c r="E533" t="b">
        <v>0</v>
      </c>
      <c r="F533">
        <v>1</v>
      </c>
      <c r="G533">
        <v>1</v>
      </c>
      <c r="H533">
        <v>0.02</v>
      </c>
      <c r="I533">
        <v>0.1212</v>
      </c>
      <c r="J533">
        <v>0.48</v>
      </c>
      <c r="K533">
        <v>0</v>
      </c>
      <c r="L533">
        <v>5</v>
      </c>
      <c r="M533">
        <v>79</v>
      </c>
      <c r="N533">
        <v>84</v>
      </c>
    </row>
    <row r="534" spans="1:14" x14ac:dyDescent="0.3">
      <c r="A534">
        <v>533</v>
      </c>
      <c r="B534" s="1">
        <v>40567</v>
      </c>
      <c r="C534">
        <v>1</v>
      </c>
      <c r="D534">
        <v>8</v>
      </c>
      <c r="E534" t="b">
        <v>0</v>
      </c>
      <c r="F534">
        <v>1</v>
      </c>
      <c r="G534">
        <v>1</v>
      </c>
      <c r="H534">
        <v>0.04</v>
      </c>
      <c r="I534">
        <v>0.13639999999999999</v>
      </c>
      <c r="J534">
        <v>0.49</v>
      </c>
      <c r="K534">
        <v>0</v>
      </c>
      <c r="L534">
        <v>6</v>
      </c>
      <c r="M534">
        <v>171</v>
      </c>
      <c r="N534">
        <v>177</v>
      </c>
    </row>
    <row r="535" spans="1:14" x14ac:dyDescent="0.3">
      <c r="A535">
        <v>534</v>
      </c>
      <c r="B535" s="1">
        <v>40567</v>
      </c>
      <c r="C535">
        <v>1</v>
      </c>
      <c r="D535">
        <v>9</v>
      </c>
      <c r="E535" t="b">
        <v>0</v>
      </c>
      <c r="F535">
        <v>1</v>
      </c>
      <c r="G535">
        <v>1</v>
      </c>
      <c r="H535">
        <v>0.06</v>
      </c>
      <c r="I535">
        <v>0.1515</v>
      </c>
      <c r="J535">
        <v>0.41</v>
      </c>
      <c r="K535">
        <v>0</v>
      </c>
      <c r="L535">
        <v>4</v>
      </c>
      <c r="M535">
        <v>98</v>
      </c>
      <c r="N535">
        <v>102</v>
      </c>
    </row>
    <row r="536" spans="1:14" x14ac:dyDescent="0.3">
      <c r="A536">
        <v>535</v>
      </c>
      <c r="B536" s="1">
        <v>40567</v>
      </c>
      <c r="C536">
        <v>1</v>
      </c>
      <c r="D536">
        <v>10</v>
      </c>
      <c r="E536" t="b">
        <v>0</v>
      </c>
      <c r="F536">
        <v>1</v>
      </c>
      <c r="G536">
        <v>1</v>
      </c>
      <c r="H536">
        <v>0.1</v>
      </c>
      <c r="I536">
        <v>0.13639999999999999</v>
      </c>
      <c r="J536">
        <v>0.42</v>
      </c>
      <c r="K536">
        <v>0</v>
      </c>
      <c r="L536">
        <v>6</v>
      </c>
      <c r="M536">
        <v>34</v>
      </c>
      <c r="N536">
        <v>40</v>
      </c>
    </row>
    <row r="537" spans="1:14" x14ac:dyDescent="0.3">
      <c r="A537">
        <v>536</v>
      </c>
      <c r="B537" s="1">
        <v>40567</v>
      </c>
      <c r="C537">
        <v>1</v>
      </c>
      <c r="D537">
        <v>11</v>
      </c>
      <c r="E537" t="b">
        <v>0</v>
      </c>
      <c r="F537">
        <v>1</v>
      </c>
      <c r="G537">
        <v>1</v>
      </c>
      <c r="H537">
        <v>0.1</v>
      </c>
      <c r="I537">
        <v>0.1212</v>
      </c>
      <c r="J537">
        <v>0.46</v>
      </c>
      <c r="K537">
        <v>0.1343</v>
      </c>
      <c r="L537">
        <v>3</v>
      </c>
      <c r="M537">
        <v>43</v>
      </c>
      <c r="N537">
        <v>46</v>
      </c>
    </row>
    <row r="538" spans="1:14" x14ac:dyDescent="0.3">
      <c r="A538">
        <v>537</v>
      </c>
      <c r="B538" s="1">
        <v>40567</v>
      </c>
      <c r="C538">
        <v>1</v>
      </c>
      <c r="D538">
        <v>12</v>
      </c>
      <c r="E538" t="b">
        <v>0</v>
      </c>
      <c r="F538">
        <v>1</v>
      </c>
      <c r="G538">
        <v>2</v>
      </c>
      <c r="H538">
        <v>0.12</v>
      </c>
      <c r="I538">
        <v>0.13639999999999999</v>
      </c>
      <c r="J538">
        <v>0.42</v>
      </c>
      <c r="K538">
        <v>0.19400000000000001</v>
      </c>
      <c r="L538">
        <v>11</v>
      </c>
      <c r="M538">
        <v>52</v>
      </c>
      <c r="N538">
        <v>63</v>
      </c>
    </row>
    <row r="539" spans="1:14" x14ac:dyDescent="0.3">
      <c r="A539">
        <v>538</v>
      </c>
      <c r="B539" s="1">
        <v>40567</v>
      </c>
      <c r="C539">
        <v>1</v>
      </c>
      <c r="D539">
        <v>13</v>
      </c>
      <c r="E539" t="b">
        <v>0</v>
      </c>
      <c r="F539">
        <v>1</v>
      </c>
      <c r="G539">
        <v>2</v>
      </c>
      <c r="H539">
        <v>0.14000000000000001</v>
      </c>
      <c r="I539">
        <v>0.13639999999999999</v>
      </c>
      <c r="J539">
        <v>0.43</v>
      </c>
      <c r="K539">
        <v>0.22389999999999999</v>
      </c>
      <c r="L539">
        <v>6</v>
      </c>
      <c r="M539">
        <v>54</v>
      </c>
      <c r="N539">
        <v>60</v>
      </c>
    </row>
    <row r="540" spans="1:14" x14ac:dyDescent="0.3">
      <c r="A540">
        <v>539</v>
      </c>
      <c r="B540" s="1">
        <v>40567</v>
      </c>
      <c r="C540">
        <v>1</v>
      </c>
      <c r="D540">
        <v>14</v>
      </c>
      <c r="E540" t="b">
        <v>0</v>
      </c>
      <c r="F540">
        <v>1</v>
      </c>
      <c r="G540">
        <v>2</v>
      </c>
      <c r="H540">
        <v>0.14000000000000001</v>
      </c>
      <c r="I540">
        <v>0.13639999999999999</v>
      </c>
      <c r="J540">
        <v>0.46</v>
      </c>
      <c r="K540">
        <v>0.22389999999999999</v>
      </c>
      <c r="L540">
        <v>2</v>
      </c>
      <c r="M540">
        <v>43</v>
      </c>
      <c r="N540">
        <v>45</v>
      </c>
    </row>
    <row r="541" spans="1:14" x14ac:dyDescent="0.3">
      <c r="A541">
        <v>540</v>
      </c>
      <c r="B541" s="1">
        <v>40567</v>
      </c>
      <c r="C541">
        <v>1</v>
      </c>
      <c r="D541">
        <v>15</v>
      </c>
      <c r="E541" t="b">
        <v>0</v>
      </c>
      <c r="F541">
        <v>1</v>
      </c>
      <c r="G541">
        <v>1</v>
      </c>
      <c r="H541">
        <v>0.16</v>
      </c>
      <c r="I541">
        <v>0.16669999999999999</v>
      </c>
      <c r="J541">
        <v>0.4</v>
      </c>
      <c r="K541">
        <v>0.16420000000000001</v>
      </c>
      <c r="L541">
        <v>7</v>
      </c>
      <c r="M541">
        <v>50</v>
      </c>
      <c r="N541">
        <v>57</v>
      </c>
    </row>
    <row r="542" spans="1:14" x14ac:dyDescent="0.3">
      <c r="A542">
        <v>541</v>
      </c>
      <c r="B542" s="1">
        <v>40567</v>
      </c>
      <c r="C542">
        <v>1</v>
      </c>
      <c r="D542">
        <v>16</v>
      </c>
      <c r="E542" t="b">
        <v>0</v>
      </c>
      <c r="F542">
        <v>1</v>
      </c>
      <c r="G542">
        <v>1</v>
      </c>
      <c r="H542">
        <v>0.16</v>
      </c>
      <c r="I542">
        <v>0.1515</v>
      </c>
      <c r="J542">
        <v>0.47</v>
      </c>
      <c r="K542">
        <v>0.25369999999999998</v>
      </c>
      <c r="L542">
        <v>4</v>
      </c>
      <c r="M542">
        <v>66</v>
      </c>
      <c r="N542">
        <v>70</v>
      </c>
    </row>
    <row r="543" spans="1:14" x14ac:dyDescent="0.3">
      <c r="A543">
        <v>542</v>
      </c>
      <c r="B543" s="1">
        <v>40567</v>
      </c>
      <c r="C543">
        <v>1</v>
      </c>
      <c r="D543">
        <v>17</v>
      </c>
      <c r="E543" t="b">
        <v>0</v>
      </c>
      <c r="F543">
        <v>1</v>
      </c>
      <c r="G543">
        <v>1</v>
      </c>
      <c r="H543">
        <v>0.14000000000000001</v>
      </c>
      <c r="I543">
        <v>0.1212</v>
      </c>
      <c r="J543">
        <v>0.5</v>
      </c>
      <c r="K543">
        <v>0.25369999999999998</v>
      </c>
      <c r="L543">
        <v>6</v>
      </c>
      <c r="M543">
        <v>178</v>
      </c>
      <c r="N543">
        <v>184</v>
      </c>
    </row>
    <row r="544" spans="1:14" x14ac:dyDescent="0.3">
      <c r="A544">
        <v>543</v>
      </c>
      <c r="B544" s="1">
        <v>40567</v>
      </c>
      <c r="C544">
        <v>1</v>
      </c>
      <c r="D544">
        <v>18</v>
      </c>
      <c r="E544" t="b">
        <v>0</v>
      </c>
      <c r="F544">
        <v>1</v>
      </c>
      <c r="G544">
        <v>1</v>
      </c>
      <c r="H544">
        <v>0.14000000000000001</v>
      </c>
      <c r="I544">
        <v>0.13639999999999999</v>
      </c>
      <c r="J544">
        <v>0.59</v>
      </c>
      <c r="K544">
        <v>0.19400000000000001</v>
      </c>
      <c r="L544">
        <v>8</v>
      </c>
      <c r="M544">
        <v>145</v>
      </c>
      <c r="N544">
        <v>153</v>
      </c>
    </row>
    <row r="545" spans="1:14" x14ac:dyDescent="0.3">
      <c r="A545">
        <v>544</v>
      </c>
      <c r="B545" s="1">
        <v>40567</v>
      </c>
      <c r="C545">
        <v>1</v>
      </c>
      <c r="D545">
        <v>19</v>
      </c>
      <c r="E545" t="b">
        <v>0</v>
      </c>
      <c r="F545">
        <v>1</v>
      </c>
      <c r="G545">
        <v>1</v>
      </c>
      <c r="H545">
        <v>0.14000000000000001</v>
      </c>
      <c r="I545">
        <v>0.1515</v>
      </c>
      <c r="J545">
        <v>0.54</v>
      </c>
      <c r="K545">
        <v>0.16420000000000001</v>
      </c>
      <c r="L545">
        <v>5</v>
      </c>
      <c r="M545">
        <v>101</v>
      </c>
      <c r="N545">
        <v>106</v>
      </c>
    </row>
    <row r="546" spans="1:14" x14ac:dyDescent="0.3">
      <c r="A546">
        <v>545</v>
      </c>
      <c r="B546" s="1">
        <v>40567</v>
      </c>
      <c r="C546">
        <v>1</v>
      </c>
      <c r="D546">
        <v>20</v>
      </c>
      <c r="E546" t="b">
        <v>0</v>
      </c>
      <c r="F546">
        <v>1</v>
      </c>
      <c r="G546">
        <v>1</v>
      </c>
      <c r="H546">
        <v>0.14000000000000001</v>
      </c>
      <c r="I546">
        <v>0.13639999999999999</v>
      </c>
      <c r="J546">
        <v>0.59</v>
      </c>
      <c r="K546">
        <v>0.19400000000000001</v>
      </c>
      <c r="L546">
        <v>1</v>
      </c>
      <c r="M546">
        <v>80</v>
      </c>
      <c r="N546">
        <v>81</v>
      </c>
    </row>
    <row r="547" spans="1:14" x14ac:dyDescent="0.3">
      <c r="A547">
        <v>546</v>
      </c>
      <c r="B547" s="1">
        <v>40567</v>
      </c>
      <c r="C547">
        <v>1</v>
      </c>
      <c r="D547">
        <v>21</v>
      </c>
      <c r="E547" t="b">
        <v>0</v>
      </c>
      <c r="F547">
        <v>1</v>
      </c>
      <c r="G547">
        <v>1</v>
      </c>
      <c r="H547">
        <v>0.14000000000000001</v>
      </c>
      <c r="I547">
        <v>0.1515</v>
      </c>
      <c r="J547">
        <v>0.63</v>
      </c>
      <c r="K547">
        <v>0.16420000000000001</v>
      </c>
      <c r="L547">
        <v>6</v>
      </c>
      <c r="M547">
        <v>53</v>
      </c>
      <c r="N547">
        <v>59</v>
      </c>
    </row>
    <row r="548" spans="1:14" x14ac:dyDescent="0.3">
      <c r="A548">
        <v>547</v>
      </c>
      <c r="B548" s="1">
        <v>40567</v>
      </c>
      <c r="C548">
        <v>1</v>
      </c>
      <c r="D548">
        <v>22</v>
      </c>
      <c r="E548" t="b">
        <v>0</v>
      </c>
      <c r="F548">
        <v>1</v>
      </c>
      <c r="G548">
        <v>2</v>
      </c>
      <c r="H548">
        <v>0.14000000000000001</v>
      </c>
      <c r="I548">
        <v>0.13639999999999999</v>
      </c>
      <c r="J548">
        <v>0.63</v>
      </c>
      <c r="K548">
        <v>0.22389999999999999</v>
      </c>
      <c r="L548">
        <v>3</v>
      </c>
      <c r="M548">
        <v>32</v>
      </c>
      <c r="N548">
        <v>35</v>
      </c>
    </row>
    <row r="549" spans="1:14" x14ac:dyDescent="0.3">
      <c r="A549">
        <v>548</v>
      </c>
      <c r="B549" s="1">
        <v>40567</v>
      </c>
      <c r="C549">
        <v>1</v>
      </c>
      <c r="D549">
        <v>23</v>
      </c>
      <c r="E549" t="b">
        <v>0</v>
      </c>
      <c r="F549">
        <v>1</v>
      </c>
      <c r="G549">
        <v>2</v>
      </c>
      <c r="H549">
        <v>0.16</v>
      </c>
      <c r="I549">
        <v>0.1515</v>
      </c>
      <c r="J549">
        <v>0.64</v>
      </c>
      <c r="K549">
        <v>0.25369999999999998</v>
      </c>
      <c r="L549">
        <v>3</v>
      </c>
      <c r="M549">
        <v>21</v>
      </c>
      <c r="N549">
        <v>24</v>
      </c>
    </row>
    <row r="550" spans="1:14" x14ac:dyDescent="0.3">
      <c r="A550">
        <v>549</v>
      </c>
      <c r="B550" s="1">
        <v>40568</v>
      </c>
      <c r="C550">
        <v>1</v>
      </c>
      <c r="D550">
        <v>0</v>
      </c>
      <c r="E550" t="b">
        <v>0</v>
      </c>
      <c r="F550">
        <v>2</v>
      </c>
      <c r="G550">
        <v>2</v>
      </c>
      <c r="H550">
        <v>0.16</v>
      </c>
      <c r="I550">
        <v>0.13639999999999999</v>
      </c>
      <c r="J550">
        <v>0.69</v>
      </c>
      <c r="K550">
        <v>0.28360000000000002</v>
      </c>
      <c r="L550">
        <v>3</v>
      </c>
      <c r="M550">
        <v>6</v>
      </c>
      <c r="N550">
        <v>9</v>
      </c>
    </row>
    <row r="551" spans="1:14" x14ac:dyDescent="0.3">
      <c r="A551">
        <v>550</v>
      </c>
      <c r="B551" s="1">
        <v>40568</v>
      </c>
      <c r="C551">
        <v>1</v>
      </c>
      <c r="D551">
        <v>1</v>
      </c>
      <c r="E551" t="b">
        <v>0</v>
      </c>
      <c r="F551">
        <v>2</v>
      </c>
      <c r="G551">
        <v>2</v>
      </c>
      <c r="H551">
        <v>0.16</v>
      </c>
      <c r="I551">
        <v>0.16669999999999999</v>
      </c>
      <c r="J551">
        <v>0.69</v>
      </c>
      <c r="K551">
        <v>0.16420000000000001</v>
      </c>
      <c r="L551">
        <v>0</v>
      </c>
      <c r="M551">
        <v>5</v>
      </c>
      <c r="N551">
        <v>5</v>
      </c>
    </row>
    <row r="552" spans="1:14" x14ac:dyDescent="0.3">
      <c r="A552">
        <v>551</v>
      </c>
      <c r="B552" s="1">
        <v>40568</v>
      </c>
      <c r="C552">
        <v>1</v>
      </c>
      <c r="D552">
        <v>2</v>
      </c>
      <c r="E552" t="b">
        <v>0</v>
      </c>
      <c r="F552">
        <v>2</v>
      </c>
      <c r="G552">
        <v>1</v>
      </c>
      <c r="H552">
        <v>0.16</v>
      </c>
      <c r="I552">
        <v>0.1515</v>
      </c>
      <c r="J552">
        <v>0.69</v>
      </c>
      <c r="K552">
        <v>0.22389999999999999</v>
      </c>
      <c r="L552">
        <v>0</v>
      </c>
      <c r="M552">
        <v>2</v>
      </c>
      <c r="N552">
        <v>2</v>
      </c>
    </row>
    <row r="553" spans="1:14" x14ac:dyDescent="0.3">
      <c r="A553">
        <v>552</v>
      </c>
      <c r="B553" s="1">
        <v>40568</v>
      </c>
      <c r="C553">
        <v>1</v>
      </c>
      <c r="D553">
        <v>4</v>
      </c>
      <c r="E553" t="b">
        <v>0</v>
      </c>
      <c r="F553">
        <v>2</v>
      </c>
      <c r="G553">
        <v>1</v>
      </c>
      <c r="H553">
        <v>0.14000000000000001</v>
      </c>
      <c r="I553">
        <v>0.16669999999999999</v>
      </c>
      <c r="J553">
        <v>0.74</v>
      </c>
      <c r="K553">
        <v>0.1045</v>
      </c>
      <c r="L553">
        <v>0</v>
      </c>
      <c r="M553">
        <v>1</v>
      </c>
      <c r="N553">
        <v>1</v>
      </c>
    </row>
    <row r="554" spans="1:14" x14ac:dyDescent="0.3">
      <c r="A554">
        <v>553</v>
      </c>
      <c r="B554" s="1">
        <v>40568</v>
      </c>
      <c r="C554">
        <v>1</v>
      </c>
      <c r="D554">
        <v>5</v>
      </c>
      <c r="E554" t="b">
        <v>0</v>
      </c>
      <c r="F554">
        <v>2</v>
      </c>
      <c r="G554">
        <v>1</v>
      </c>
      <c r="H554">
        <v>0.14000000000000001</v>
      </c>
      <c r="I554">
        <v>0.13639999999999999</v>
      </c>
      <c r="J554">
        <v>0.74</v>
      </c>
      <c r="K554">
        <v>0.22389999999999999</v>
      </c>
      <c r="L554">
        <v>0</v>
      </c>
      <c r="M554">
        <v>9</v>
      </c>
      <c r="N554">
        <v>9</v>
      </c>
    </row>
    <row r="555" spans="1:14" x14ac:dyDescent="0.3">
      <c r="A555">
        <v>554</v>
      </c>
      <c r="B555" s="1">
        <v>40568</v>
      </c>
      <c r="C555">
        <v>1</v>
      </c>
      <c r="D555">
        <v>6</v>
      </c>
      <c r="E555" t="b">
        <v>0</v>
      </c>
      <c r="F555">
        <v>2</v>
      </c>
      <c r="G555">
        <v>1</v>
      </c>
      <c r="H555">
        <v>0.16</v>
      </c>
      <c r="I555">
        <v>0.18179999999999999</v>
      </c>
      <c r="J555">
        <v>0.74</v>
      </c>
      <c r="K555">
        <v>0.1045</v>
      </c>
      <c r="L555">
        <v>1</v>
      </c>
      <c r="M555">
        <v>35</v>
      </c>
      <c r="N555">
        <v>36</v>
      </c>
    </row>
    <row r="556" spans="1:14" x14ac:dyDescent="0.3">
      <c r="A556">
        <v>555</v>
      </c>
      <c r="B556" s="1">
        <v>40568</v>
      </c>
      <c r="C556">
        <v>1</v>
      </c>
      <c r="D556">
        <v>7</v>
      </c>
      <c r="E556" t="b">
        <v>0</v>
      </c>
      <c r="F556">
        <v>2</v>
      </c>
      <c r="G556">
        <v>1</v>
      </c>
      <c r="H556">
        <v>0.16</v>
      </c>
      <c r="I556">
        <v>0.1515</v>
      </c>
      <c r="J556">
        <v>0.74</v>
      </c>
      <c r="K556">
        <v>0.22389999999999999</v>
      </c>
      <c r="L556">
        <v>5</v>
      </c>
      <c r="M556">
        <v>103</v>
      </c>
      <c r="N556">
        <v>108</v>
      </c>
    </row>
    <row r="557" spans="1:14" x14ac:dyDescent="0.3">
      <c r="A557">
        <v>556</v>
      </c>
      <c r="B557" s="1">
        <v>40568</v>
      </c>
      <c r="C557">
        <v>1</v>
      </c>
      <c r="D557">
        <v>8</v>
      </c>
      <c r="E557" t="b">
        <v>0</v>
      </c>
      <c r="F557">
        <v>2</v>
      </c>
      <c r="G557">
        <v>2</v>
      </c>
      <c r="H557">
        <v>0.16</v>
      </c>
      <c r="I557">
        <v>0.18179999999999999</v>
      </c>
      <c r="J557">
        <v>0.74</v>
      </c>
      <c r="K557">
        <v>0.1343</v>
      </c>
      <c r="L557">
        <v>5</v>
      </c>
      <c r="M557">
        <v>233</v>
      </c>
      <c r="N557">
        <v>238</v>
      </c>
    </row>
    <row r="558" spans="1:14" x14ac:dyDescent="0.3">
      <c r="A558">
        <v>557</v>
      </c>
      <c r="B558" s="1">
        <v>40568</v>
      </c>
      <c r="C558">
        <v>1</v>
      </c>
      <c r="D558">
        <v>9</v>
      </c>
      <c r="E558" t="b">
        <v>0</v>
      </c>
      <c r="F558">
        <v>2</v>
      </c>
      <c r="G558">
        <v>2</v>
      </c>
      <c r="H558">
        <v>0.2</v>
      </c>
      <c r="I558">
        <v>0.2273</v>
      </c>
      <c r="J558">
        <v>0.64</v>
      </c>
      <c r="K558">
        <v>8.9599999999999999E-2</v>
      </c>
      <c r="L558">
        <v>10</v>
      </c>
      <c r="M558">
        <v>134</v>
      </c>
      <c r="N558">
        <v>144</v>
      </c>
    </row>
    <row r="559" spans="1:14" x14ac:dyDescent="0.3">
      <c r="A559">
        <v>558</v>
      </c>
      <c r="B559" s="1">
        <v>40568</v>
      </c>
      <c r="C559">
        <v>1</v>
      </c>
      <c r="D559">
        <v>10</v>
      </c>
      <c r="E559" t="b">
        <v>0</v>
      </c>
      <c r="F559">
        <v>2</v>
      </c>
      <c r="G559">
        <v>2</v>
      </c>
      <c r="H559">
        <v>0.22</v>
      </c>
      <c r="I559">
        <v>0.2424</v>
      </c>
      <c r="J559">
        <v>0.6</v>
      </c>
      <c r="K559">
        <v>0.1045</v>
      </c>
      <c r="L559">
        <v>6</v>
      </c>
      <c r="M559">
        <v>49</v>
      </c>
      <c r="N559">
        <v>55</v>
      </c>
    </row>
    <row r="560" spans="1:14" x14ac:dyDescent="0.3">
      <c r="A560">
        <v>559</v>
      </c>
      <c r="B560" s="1">
        <v>40568</v>
      </c>
      <c r="C560">
        <v>1</v>
      </c>
      <c r="D560">
        <v>11</v>
      </c>
      <c r="E560" t="b">
        <v>0</v>
      </c>
      <c r="F560">
        <v>2</v>
      </c>
      <c r="G560">
        <v>2</v>
      </c>
      <c r="H560">
        <v>0.24</v>
      </c>
      <c r="I560">
        <v>0.2424</v>
      </c>
      <c r="J560">
        <v>0.6</v>
      </c>
      <c r="K560">
        <v>0.1343</v>
      </c>
      <c r="L560">
        <v>6</v>
      </c>
      <c r="M560">
        <v>55</v>
      </c>
      <c r="N560">
        <v>61</v>
      </c>
    </row>
    <row r="561" spans="1:14" x14ac:dyDescent="0.3">
      <c r="A561">
        <v>560</v>
      </c>
      <c r="B561" s="1">
        <v>40568</v>
      </c>
      <c r="C561">
        <v>1</v>
      </c>
      <c r="D561">
        <v>12</v>
      </c>
      <c r="E561" t="b">
        <v>0</v>
      </c>
      <c r="F561">
        <v>2</v>
      </c>
      <c r="G561">
        <v>2</v>
      </c>
      <c r="H561">
        <v>0.26</v>
      </c>
      <c r="I561">
        <v>0.28789999999999999</v>
      </c>
      <c r="J561">
        <v>0.56000000000000005</v>
      </c>
      <c r="K561">
        <v>8.9599999999999999E-2</v>
      </c>
      <c r="L561">
        <v>21</v>
      </c>
      <c r="M561">
        <v>85</v>
      </c>
      <c r="N561">
        <v>106</v>
      </c>
    </row>
    <row r="562" spans="1:14" x14ac:dyDescent="0.3">
      <c r="A562">
        <v>561</v>
      </c>
      <c r="B562" s="1">
        <v>40568</v>
      </c>
      <c r="C562">
        <v>1</v>
      </c>
      <c r="D562">
        <v>13</v>
      </c>
      <c r="E562" t="b">
        <v>0</v>
      </c>
      <c r="F562">
        <v>2</v>
      </c>
      <c r="G562">
        <v>2</v>
      </c>
      <c r="H562">
        <v>0.26</v>
      </c>
      <c r="I562">
        <v>0.2727</v>
      </c>
      <c r="J562">
        <v>0.56000000000000005</v>
      </c>
      <c r="K562">
        <v>0.1343</v>
      </c>
      <c r="L562">
        <v>21</v>
      </c>
      <c r="M562">
        <v>72</v>
      </c>
      <c r="N562">
        <v>93</v>
      </c>
    </row>
    <row r="563" spans="1:14" x14ac:dyDescent="0.3">
      <c r="A563">
        <v>562</v>
      </c>
      <c r="B563" s="1">
        <v>40568</v>
      </c>
      <c r="C563">
        <v>1</v>
      </c>
      <c r="D563">
        <v>14</v>
      </c>
      <c r="E563" t="b">
        <v>0</v>
      </c>
      <c r="F563">
        <v>2</v>
      </c>
      <c r="G563">
        <v>2</v>
      </c>
      <c r="H563">
        <v>0.3</v>
      </c>
      <c r="I563">
        <v>0.33329999999999999</v>
      </c>
      <c r="J563">
        <v>0.45</v>
      </c>
      <c r="K563">
        <v>0</v>
      </c>
      <c r="L563">
        <v>11</v>
      </c>
      <c r="M563">
        <v>57</v>
      </c>
      <c r="N563">
        <v>68</v>
      </c>
    </row>
    <row r="564" spans="1:14" x14ac:dyDescent="0.3">
      <c r="A564">
        <v>563</v>
      </c>
      <c r="B564" s="1">
        <v>40568</v>
      </c>
      <c r="C564">
        <v>1</v>
      </c>
      <c r="D564">
        <v>15</v>
      </c>
      <c r="E564" t="b">
        <v>0</v>
      </c>
      <c r="F564">
        <v>2</v>
      </c>
      <c r="G564">
        <v>2</v>
      </c>
      <c r="H564">
        <v>0.32</v>
      </c>
      <c r="I564">
        <v>0.34849999999999998</v>
      </c>
      <c r="J564">
        <v>0.42</v>
      </c>
      <c r="K564">
        <v>0</v>
      </c>
      <c r="L564">
        <v>21</v>
      </c>
      <c r="M564">
        <v>63</v>
      </c>
      <c r="N564">
        <v>84</v>
      </c>
    </row>
    <row r="565" spans="1:14" x14ac:dyDescent="0.3">
      <c r="A565">
        <v>564</v>
      </c>
      <c r="B565" s="1">
        <v>40568</v>
      </c>
      <c r="C565">
        <v>1</v>
      </c>
      <c r="D565">
        <v>16</v>
      </c>
      <c r="E565" t="b">
        <v>0</v>
      </c>
      <c r="F565">
        <v>2</v>
      </c>
      <c r="G565">
        <v>2</v>
      </c>
      <c r="H565">
        <v>0.32</v>
      </c>
      <c r="I565">
        <v>0.34849999999999998</v>
      </c>
      <c r="J565">
        <v>0.42</v>
      </c>
      <c r="K565">
        <v>0</v>
      </c>
      <c r="L565">
        <v>14</v>
      </c>
      <c r="M565">
        <v>102</v>
      </c>
      <c r="N565">
        <v>116</v>
      </c>
    </row>
    <row r="566" spans="1:14" x14ac:dyDescent="0.3">
      <c r="A566">
        <v>565</v>
      </c>
      <c r="B566" s="1">
        <v>40568</v>
      </c>
      <c r="C566">
        <v>1</v>
      </c>
      <c r="D566">
        <v>17</v>
      </c>
      <c r="E566" t="b">
        <v>0</v>
      </c>
      <c r="F566">
        <v>2</v>
      </c>
      <c r="G566">
        <v>1</v>
      </c>
      <c r="H566">
        <v>0.3</v>
      </c>
      <c r="I566">
        <v>0.33329999999999999</v>
      </c>
      <c r="J566">
        <v>0.45</v>
      </c>
      <c r="K566">
        <v>0</v>
      </c>
      <c r="L566">
        <v>14</v>
      </c>
      <c r="M566">
        <v>208</v>
      </c>
      <c r="N566">
        <v>222</v>
      </c>
    </row>
    <row r="567" spans="1:14" x14ac:dyDescent="0.3">
      <c r="A567">
        <v>566</v>
      </c>
      <c r="B567" s="1">
        <v>40568</v>
      </c>
      <c r="C567">
        <v>1</v>
      </c>
      <c r="D567">
        <v>18</v>
      </c>
      <c r="E567" t="b">
        <v>0</v>
      </c>
      <c r="F567">
        <v>2</v>
      </c>
      <c r="G567">
        <v>2</v>
      </c>
      <c r="H567">
        <v>0.3</v>
      </c>
      <c r="I567">
        <v>0.31819999999999998</v>
      </c>
      <c r="J567">
        <v>0.49</v>
      </c>
      <c r="K567">
        <v>8.9599999999999999E-2</v>
      </c>
      <c r="L567">
        <v>7</v>
      </c>
      <c r="M567">
        <v>218</v>
      </c>
      <c r="N567">
        <v>225</v>
      </c>
    </row>
    <row r="568" spans="1:14" x14ac:dyDescent="0.3">
      <c r="A568">
        <v>567</v>
      </c>
      <c r="B568" s="1">
        <v>40568</v>
      </c>
      <c r="C568">
        <v>1</v>
      </c>
      <c r="D568">
        <v>19</v>
      </c>
      <c r="E568" t="b">
        <v>0</v>
      </c>
      <c r="F568">
        <v>2</v>
      </c>
      <c r="G568">
        <v>2</v>
      </c>
      <c r="H568">
        <v>0.26</v>
      </c>
      <c r="I568">
        <v>0.2576</v>
      </c>
      <c r="J568">
        <v>0.65</v>
      </c>
      <c r="K568">
        <v>0.16420000000000001</v>
      </c>
      <c r="L568">
        <v>13</v>
      </c>
      <c r="M568">
        <v>133</v>
      </c>
      <c r="N568">
        <v>146</v>
      </c>
    </row>
    <row r="569" spans="1:14" x14ac:dyDescent="0.3">
      <c r="A569">
        <v>568</v>
      </c>
      <c r="B569" s="1">
        <v>40568</v>
      </c>
      <c r="C569">
        <v>1</v>
      </c>
      <c r="D569">
        <v>20</v>
      </c>
      <c r="E569" t="b">
        <v>0</v>
      </c>
      <c r="F569">
        <v>2</v>
      </c>
      <c r="G569">
        <v>1</v>
      </c>
      <c r="H569">
        <v>0.24</v>
      </c>
      <c r="I569">
        <v>0.2273</v>
      </c>
      <c r="J569">
        <v>0.65</v>
      </c>
      <c r="K569">
        <v>0.19400000000000001</v>
      </c>
      <c r="L569">
        <v>16</v>
      </c>
      <c r="M569">
        <v>103</v>
      </c>
      <c r="N569">
        <v>119</v>
      </c>
    </row>
    <row r="570" spans="1:14" x14ac:dyDescent="0.3">
      <c r="A570">
        <v>569</v>
      </c>
      <c r="B570" s="1">
        <v>40568</v>
      </c>
      <c r="C570">
        <v>1</v>
      </c>
      <c r="D570">
        <v>21</v>
      </c>
      <c r="E570" t="b">
        <v>0</v>
      </c>
      <c r="F570">
        <v>2</v>
      </c>
      <c r="G570">
        <v>1</v>
      </c>
      <c r="H570">
        <v>0.24</v>
      </c>
      <c r="I570">
        <v>0.2273</v>
      </c>
      <c r="J570">
        <v>0.65</v>
      </c>
      <c r="K570">
        <v>0.19400000000000001</v>
      </c>
      <c r="L570">
        <v>5</v>
      </c>
      <c r="M570">
        <v>40</v>
      </c>
      <c r="N570">
        <v>45</v>
      </c>
    </row>
    <row r="571" spans="1:14" x14ac:dyDescent="0.3">
      <c r="A571">
        <v>570</v>
      </c>
      <c r="B571" s="1">
        <v>40568</v>
      </c>
      <c r="C571">
        <v>1</v>
      </c>
      <c r="D571">
        <v>22</v>
      </c>
      <c r="E571" t="b">
        <v>0</v>
      </c>
      <c r="F571">
        <v>2</v>
      </c>
      <c r="G571">
        <v>1</v>
      </c>
      <c r="H571">
        <v>0.22</v>
      </c>
      <c r="I571">
        <v>0.2273</v>
      </c>
      <c r="J571">
        <v>0.64</v>
      </c>
      <c r="K571">
        <v>0.16420000000000001</v>
      </c>
      <c r="L571">
        <v>4</v>
      </c>
      <c r="M571">
        <v>49</v>
      </c>
      <c r="N571">
        <v>53</v>
      </c>
    </row>
    <row r="572" spans="1:14" x14ac:dyDescent="0.3">
      <c r="A572">
        <v>571</v>
      </c>
      <c r="B572" s="1">
        <v>40568</v>
      </c>
      <c r="C572">
        <v>1</v>
      </c>
      <c r="D572">
        <v>23</v>
      </c>
      <c r="E572" t="b">
        <v>0</v>
      </c>
      <c r="F572">
        <v>2</v>
      </c>
      <c r="G572">
        <v>2</v>
      </c>
      <c r="H572">
        <v>0.22</v>
      </c>
      <c r="I572">
        <v>0.2273</v>
      </c>
      <c r="J572">
        <v>0.64</v>
      </c>
      <c r="K572">
        <v>0.16420000000000001</v>
      </c>
      <c r="L572">
        <v>3</v>
      </c>
      <c r="M572">
        <v>37</v>
      </c>
      <c r="N572">
        <v>40</v>
      </c>
    </row>
    <row r="573" spans="1:14" x14ac:dyDescent="0.3">
      <c r="A573">
        <v>572</v>
      </c>
      <c r="B573" s="1">
        <v>40569</v>
      </c>
      <c r="C573">
        <v>1</v>
      </c>
      <c r="D573">
        <v>0</v>
      </c>
      <c r="E573" t="b">
        <v>0</v>
      </c>
      <c r="F573">
        <v>3</v>
      </c>
      <c r="G573">
        <v>2</v>
      </c>
      <c r="H573">
        <v>0.22</v>
      </c>
      <c r="I573">
        <v>0.2273</v>
      </c>
      <c r="J573">
        <v>0.69</v>
      </c>
      <c r="K573">
        <v>0.1343</v>
      </c>
      <c r="L573">
        <v>3</v>
      </c>
      <c r="M573">
        <v>14</v>
      </c>
      <c r="N573">
        <v>17</v>
      </c>
    </row>
    <row r="574" spans="1:14" x14ac:dyDescent="0.3">
      <c r="A574">
        <v>573</v>
      </c>
      <c r="B574" s="1">
        <v>40569</v>
      </c>
      <c r="C574">
        <v>1</v>
      </c>
      <c r="D574">
        <v>1</v>
      </c>
      <c r="E574" t="b">
        <v>0</v>
      </c>
      <c r="F574">
        <v>3</v>
      </c>
      <c r="G574">
        <v>2</v>
      </c>
      <c r="H574">
        <v>0.24</v>
      </c>
      <c r="I574">
        <v>0.2424</v>
      </c>
      <c r="J574">
        <v>0.65</v>
      </c>
      <c r="K574">
        <v>0.1343</v>
      </c>
      <c r="L574">
        <v>0</v>
      </c>
      <c r="M574">
        <v>5</v>
      </c>
      <c r="N574">
        <v>5</v>
      </c>
    </row>
    <row r="575" spans="1:14" x14ac:dyDescent="0.3">
      <c r="A575">
        <v>574</v>
      </c>
      <c r="B575" s="1">
        <v>40569</v>
      </c>
      <c r="C575">
        <v>1</v>
      </c>
      <c r="D575">
        <v>2</v>
      </c>
      <c r="E575" t="b">
        <v>0</v>
      </c>
      <c r="F575">
        <v>3</v>
      </c>
      <c r="G575">
        <v>3</v>
      </c>
      <c r="H575">
        <v>0.22</v>
      </c>
      <c r="I575">
        <v>0.2273</v>
      </c>
      <c r="J575">
        <v>0.69</v>
      </c>
      <c r="K575">
        <v>0.19400000000000001</v>
      </c>
      <c r="L575">
        <v>3</v>
      </c>
      <c r="M575">
        <v>7</v>
      </c>
      <c r="N575">
        <v>10</v>
      </c>
    </row>
    <row r="576" spans="1:14" x14ac:dyDescent="0.3">
      <c r="A576">
        <v>575</v>
      </c>
      <c r="B576" s="1">
        <v>40569</v>
      </c>
      <c r="C576">
        <v>1</v>
      </c>
      <c r="D576">
        <v>5</v>
      </c>
      <c r="E576" t="b">
        <v>0</v>
      </c>
      <c r="F576">
        <v>3</v>
      </c>
      <c r="G576">
        <v>3</v>
      </c>
      <c r="H576">
        <v>0.2</v>
      </c>
      <c r="I576">
        <v>0.18179999999999999</v>
      </c>
      <c r="J576">
        <v>0.86</v>
      </c>
      <c r="K576">
        <v>0.28360000000000002</v>
      </c>
      <c r="L576">
        <v>0</v>
      </c>
      <c r="M576">
        <v>1</v>
      </c>
      <c r="N576">
        <v>1</v>
      </c>
    </row>
    <row r="577" spans="1:14" x14ac:dyDescent="0.3">
      <c r="A577">
        <v>576</v>
      </c>
      <c r="B577" s="1">
        <v>40569</v>
      </c>
      <c r="C577">
        <v>1</v>
      </c>
      <c r="D577">
        <v>6</v>
      </c>
      <c r="E577" t="b">
        <v>0</v>
      </c>
      <c r="F577">
        <v>3</v>
      </c>
      <c r="G577">
        <v>3</v>
      </c>
      <c r="H577">
        <v>0.2</v>
      </c>
      <c r="I577">
        <v>0.18179999999999999</v>
      </c>
      <c r="J577">
        <v>0.86</v>
      </c>
      <c r="K577">
        <v>0.28360000000000002</v>
      </c>
      <c r="L577">
        <v>0</v>
      </c>
      <c r="M577">
        <v>8</v>
      </c>
      <c r="N577">
        <v>8</v>
      </c>
    </row>
    <row r="578" spans="1:14" x14ac:dyDescent="0.3">
      <c r="A578">
        <v>577</v>
      </c>
      <c r="B578" s="1">
        <v>40569</v>
      </c>
      <c r="C578">
        <v>1</v>
      </c>
      <c r="D578">
        <v>7</v>
      </c>
      <c r="E578" t="b">
        <v>0</v>
      </c>
      <c r="F578">
        <v>3</v>
      </c>
      <c r="G578">
        <v>3</v>
      </c>
      <c r="H578">
        <v>0.22</v>
      </c>
      <c r="I578">
        <v>0.21210000000000001</v>
      </c>
      <c r="J578">
        <v>0.87</v>
      </c>
      <c r="K578">
        <v>0.29849999999999999</v>
      </c>
      <c r="L578">
        <v>1</v>
      </c>
      <c r="M578">
        <v>29</v>
      </c>
      <c r="N578">
        <v>30</v>
      </c>
    </row>
    <row r="579" spans="1:14" x14ac:dyDescent="0.3">
      <c r="A579">
        <v>578</v>
      </c>
      <c r="B579" s="1">
        <v>40569</v>
      </c>
      <c r="C579">
        <v>1</v>
      </c>
      <c r="D579">
        <v>8</v>
      </c>
      <c r="E579" t="b">
        <v>0</v>
      </c>
      <c r="F579">
        <v>3</v>
      </c>
      <c r="G579">
        <v>3</v>
      </c>
      <c r="H579">
        <v>0.22</v>
      </c>
      <c r="I579">
        <v>0.21210000000000001</v>
      </c>
      <c r="J579">
        <v>0.87</v>
      </c>
      <c r="K579">
        <v>0.29849999999999999</v>
      </c>
      <c r="L579">
        <v>3</v>
      </c>
      <c r="M579">
        <v>69</v>
      </c>
      <c r="N579">
        <v>72</v>
      </c>
    </row>
    <row r="580" spans="1:14" x14ac:dyDescent="0.3">
      <c r="A580">
        <v>579</v>
      </c>
      <c r="B580" s="1">
        <v>40569</v>
      </c>
      <c r="C580">
        <v>1</v>
      </c>
      <c r="D580">
        <v>9</v>
      </c>
      <c r="E580" t="b">
        <v>0</v>
      </c>
      <c r="F580">
        <v>3</v>
      </c>
      <c r="G580">
        <v>3</v>
      </c>
      <c r="H580">
        <v>0.22</v>
      </c>
      <c r="I580">
        <v>0.21210000000000001</v>
      </c>
      <c r="J580">
        <v>0.87</v>
      </c>
      <c r="K580">
        <v>0.29849999999999999</v>
      </c>
      <c r="L580">
        <v>3</v>
      </c>
      <c r="M580">
        <v>55</v>
      </c>
      <c r="N580">
        <v>58</v>
      </c>
    </row>
    <row r="581" spans="1:14" x14ac:dyDescent="0.3">
      <c r="A581">
        <v>580</v>
      </c>
      <c r="B581" s="1">
        <v>40569</v>
      </c>
      <c r="C581">
        <v>1</v>
      </c>
      <c r="D581">
        <v>10</v>
      </c>
      <c r="E581" t="b">
        <v>0</v>
      </c>
      <c r="F581">
        <v>3</v>
      </c>
      <c r="G581">
        <v>3</v>
      </c>
      <c r="H581">
        <v>0.22</v>
      </c>
      <c r="I581">
        <v>0.21210000000000001</v>
      </c>
      <c r="J581">
        <v>0.93</v>
      </c>
      <c r="K581">
        <v>0.28360000000000002</v>
      </c>
      <c r="L581">
        <v>2</v>
      </c>
      <c r="M581">
        <v>26</v>
      </c>
      <c r="N581">
        <v>28</v>
      </c>
    </row>
    <row r="582" spans="1:14" x14ac:dyDescent="0.3">
      <c r="A582">
        <v>581</v>
      </c>
      <c r="B582" s="1">
        <v>40569</v>
      </c>
      <c r="C582">
        <v>1</v>
      </c>
      <c r="D582">
        <v>11</v>
      </c>
      <c r="E582" t="b">
        <v>0</v>
      </c>
      <c r="F582">
        <v>3</v>
      </c>
      <c r="G582">
        <v>3</v>
      </c>
      <c r="H582">
        <v>0.22</v>
      </c>
      <c r="I582">
        <v>0.19700000000000001</v>
      </c>
      <c r="J582">
        <v>0.93</v>
      </c>
      <c r="K582">
        <v>0.32840000000000003</v>
      </c>
      <c r="L582">
        <v>6</v>
      </c>
      <c r="M582">
        <v>35</v>
      </c>
      <c r="N582">
        <v>41</v>
      </c>
    </row>
    <row r="583" spans="1:14" x14ac:dyDescent="0.3">
      <c r="A583">
        <v>582</v>
      </c>
      <c r="B583" s="1">
        <v>40569</v>
      </c>
      <c r="C583">
        <v>1</v>
      </c>
      <c r="D583">
        <v>12</v>
      </c>
      <c r="E583" t="b">
        <v>0</v>
      </c>
      <c r="F583">
        <v>3</v>
      </c>
      <c r="G583">
        <v>3</v>
      </c>
      <c r="H583">
        <v>0.22</v>
      </c>
      <c r="I583">
        <v>0.19700000000000001</v>
      </c>
      <c r="J583">
        <v>0.93</v>
      </c>
      <c r="K583">
        <v>0.32840000000000003</v>
      </c>
      <c r="L583">
        <v>7</v>
      </c>
      <c r="M583">
        <v>41</v>
      </c>
      <c r="N583">
        <v>48</v>
      </c>
    </row>
    <row r="584" spans="1:14" x14ac:dyDescent="0.3">
      <c r="A584">
        <v>583</v>
      </c>
      <c r="B584" s="1">
        <v>40569</v>
      </c>
      <c r="C584">
        <v>1</v>
      </c>
      <c r="D584">
        <v>13</v>
      </c>
      <c r="E584" t="b">
        <v>0</v>
      </c>
      <c r="F584">
        <v>3</v>
      </c>
      <c r="G584">
        <v>3</v>
      </c>
      <c r="H584">
        <v>0.22</v>
      </c>
      <c r="I584">
        <v>0.19700000000000001</v>
      </c>
      <c r="J584">
        <v>0.93</v>
      </c>
      <c r="K584">
        <v>0.32840000000000003</v>
      </c>
      <c r="L584">
        <v>4</v>
      </c>
      <c r="M584">
        <v>43</v>
      </c>
      <c r="N584">
        <v>47</v>
      </c>
    </row>
    <row r="585" spans="1:14" x14ac:dyDescent="0.3">
      <c r="A585">
        <v>584</v>
      </c>
      <c r="B585" s="1">
        <v>40569</v>
      </c>
      <c r="C585">
        <v>1</v>
      </c>
      <c r="D585">
        <v>14</v>
      </c>
      <c r="E585" t="b">
        <v>0</v>
      </c>
      <c r="F585">
        <v>3</v>
      </c>
      <c r="G585">
        <v>3</v>
      </c>
      <c r="H585">
        <v>0.22</v>
      </c>
      <c r="I585">
        <v>0.19700000000000001</v>
      </c>
      <c r="J585">
        <v>0.93</v>
      </c>
      <c r="K585">
        <v>0.35820000000000002</v>
      </c>
      <c r="L585">
        <v>0</v>
      </c>
      <c r="M585">
        <v>36</v>
      </c>
      <c r="N585">
        <v>36</v>
      </c>
    </row>
    <row r="586" spans="1:14" x14ac:dyDescent="0.3">
      <c r="A586">
        <v>585</v>
      </c>
      <c r="B586" s="1">
        <v>40569</v>
      </c>
      <c r="C586">
        <v>1</v>
      </c>
      <c r="D586">
        <v>15</v>
      </c>
      <c r="E586" t="b">
        <v>0</v>
      </c>
      <c r="F586">
        <v>3</v>
      </c>
      <c r="G586">
        <v>3</v>
      </c>
      <c r="H586">
        <v>0.22</v>
      </c>
      <c r="I586">
        <v>0.18179999999999999</v>
      </c>
      <c r="J586">
        <v>0.93</v>
      </c>
      <c r="K586">
        <v>0.4627</v>
      </c>
      <c r="L586">
        <v>1</v>
      </c>
      <c r="M586">
        <v>42</v>
      </c>
      <c r="N586">
        <v>43</v>
      </c>
    </row>
    <row r="587" spans="1:14" x14ac:dyDescent="0.3">
      <c r="A587">
        <v>586</v>
      </c>
      <c r="B587" s="1">
        <v>40569</v>
      </c>
      <c r="C587">
        <v>1</v>
      </c>
      <c r="D587">
        <v>16</v>
      </c>
      <c r="E587" t="b">
        <v>0</v>
      </c>
      <c r="F587">
        <v>3</v>
      </c>
      <c r="G587">
        <v>4</v>
      </c>
      <c r="H587">
        <v>0.22</v>
      </c>
      <c r="I587">
        <v>0.19700000000000001</v>
      </c>
      <c r="J587">
        <v>0.93</v>
      </c>
      <c r="K587">
        <v>0.32840000000000003</v>
      </c>
      <c r="L587">
        <v>1</v>
      </c>
      <c r="M587">
        <v>35</v>
      </c>
      <c r="N587">
        <v>36</v>
      </c>
    </row>
    <row r="588" spans="1:14" x14ac:dyDescent="0.3">
      <c r="A588">
        <v>587</v>
      </c>
      <c r="B588" s="1">
        <v>40569</v>
      </c>
      <c r="C588">
        <v>1</v>
      </c>
      <c r="D588">
        <v>17</v>
      </c>
      <c r="E588" t="b">
        <v>0</v>
      </c>
      <c r="F588">
        <v>3</v>
      </c>
      <c r="G588">
        <v>3</v>
      </c>
      <c r="H588">
        <v>0.2</v>
      </c>
      <c r="I588">
        <v>0.18179999999999999</v>
      </c>
      <c r="J588">
        <v>0.93</v>
      </c>
      <c r="K588">
        <v>0.35820000000000002</v>
      </c>
      <c r="L588">
        <v>0</v>
      </c>
      <c r="M588">
        <v>26</v>
      </c>
      <c r="N588">
        <v>26</v>
      </c>
    </row>
    <row r="589" spans="1:14" x14ac:dyDescent="0.3">
      <c r="A589">
        <v>588</v>
      </c>
      <c r="B589" s="1">
        <v>40570</v>
      </c>
      <c r="C589">
        <v>1</v>
      </c>
      <c r="D589">
        <v>16</v>
      </c>
      <c r="E589" t="b">
        <v>0</v>
      </c>
      <c r="F589">
        <v>4</v>
      </c>
      <c r="G589">
        <v>1</v>
      </c>
      <c r="H589">
        <v>0.22</v>
      </c>
      <c r="I589">
        <v>0.2273</v>
      </c>
      <c r="J589">
        <v>0.55000000000000004</v>
      </c>
      <c r="K589">
        <v>0.19400000000000001</v>
      </c>
      <c r="L589">
        <v>1</v>
      </c>
      <c r="M589">
        <v>23</v>
      </c>
      <c r="N589">
        <v>24</v>
      </c>
    </row>
    <row r="590" spans="1:14" x14ac:dyDescent="0.3">
      <c r="A590">
        <v>589</v>
      </c>
      <c r="B590" s="1">
        <v>40570</v>
      </c>
      <c r="C590">
        <v>1</v>
      </c>
      <c r="D590">
        <v>17</v>
      </c>
      <c r="E590" t="b">
        <v>0</v>
      </c>
      <c r="F590">
        <v>4</v>
      </c>
      <c r="G590">
        <v>1</v>
      </c>
      <c r="H590">
        <v>0.22</v>
      </c>
      <c r="I590">
        <v>0.2424</v>
      </c>
      <c r="J590">
        <v>0.55000000000000004</v>
      </c>
      <c r="K590">
        <v>0.1045</v>
      </c>
      <c r="L590">
        <v>2</v>
      </c>
      <c r="M590">
        <v>82</v>
      </c>
      <c r="N590">
        <v>84</v>
      </c>
    </row>
    <row r="591" spans="1:14" x14ac:dyDescent="0.3">
      <c r="A591">
        <v>590</v>
      </c>
      <c r="B591" s="1">
        <v>40570</v>
      </c>
      <c r="C591">
        <v>1</v>
      </c>
      <c r="D591">
        <v>18</v>
      </c>
      <c r="E591" t="b">
        <v>0</v>
      </c>
      <c r="F591">
        <v>4</v>
      </c>
      <c r="G591">
        <v>1</v>
      </c>
      <c r="H591">
        <v>0.2</v>
      </c>
      <c r="I591">
        <v>0.2273</v>
      </c>
      <c r="J591">
        <v>0.69</v>
      </c>
      <c r="K591">
        <v>8.9599999999999999E-2</v>
      </c>
      <c r="L591">
        <v>3</v>
      </c>
      <c r="M591">
        <v>101</v>
      </c>
      <c r="N591">
        <v>104</v>
      </c>
    </row>
    <row r="592" spans="1:14" x14ac:dyDescent="0.3">
      <c r="A592">
        <v>591</v>
      </c>
      <c r="B592" s="1">
        <v>40570</v>
      </c>
      <c r="C592">
        <v>1</v>
      </c>
      <c r="D592">
        <v>19</v>
      </c>
      <c r="E592" t="b">
        <v>0</v>
      </c>
      <c r="F592">
        <v>4</v>
      </c>
      <c r="G592">
        <v>1</v>
      </c>
      <c r="H592">
        <v>0.2</v>
      </c>
      <c r="I592">
        <v>0.2273</v>
      </c>
      <c r="J592">
        <v>0.69</v>
      </c>
      <c r="K592">
        <v>8.9599999999999999E-2</v>
      </c>
      <c r="L592">
        <v>3</v>
      </c>
      <c r="M592">
        <v>76</v>
      </c>
      <c r="N592">
        <v>79</v>
      </c>
    </row>
    <row r="593" spans="1:14" x14ac:dyDescent="0.3">
      <c r="A593">
        <v>592</v>
      </c>
      <c r="B593" s="1">
        <v>40570</v>
      </c>
      <c r="C593">
        <v>1</v>
      </c>
      <c r="D593">
        <v>20</v>
      </c>
      <c r="E593" t="b">
        <v>0</v>
      </c>
      <c r="F593">
        <v>4</v>
      </c>
      <c r="G593">
        <v>1</v>
      </c>
      <c r="H593">
        <v>0.18</v>
      </c>
      <c r="I593">
        <v>0.21210000000000001</v>
      </c>
      <c r="J593">
        <v>0.74</v>
      </c>
      <c r="K593">
        <v>8.9599999999999999E-2</v>
      </c>
      <c r="L593">
        <v>4</v>
      </c>
      <c r="M593">
        <v>55</v>
      </c>
      <c r="N593">
        <v>59</v>
      </c>
    </row>
    <row r="594" spans="1:14" x14ac:dyDescent="0.3">
      <c r="A594">
        <v>593</v>
      </c>
      <c r="B594" s="1">
        <v>40570</v>
      </c>
      <c r="C594">
        <v>1</v>
      </c>
      <c r="D594">
        <v>21</v>
      </c>
      <c r="E594" t="b">
        <v>0</v>
      </c>
      <c r="F594">
        <v>4</v>
      </c>
      <c r="G594">
        <v>1</v>
      </c>
      <c r="H594">
        <v>0.18</v>
      </c>
      <c r="I594">
        <v>0.21210000000000001</v>
      </c>
      <c r="J594">
        <v>0.74</v>
      </c>
      <c r="K594">
        <v>8.9599999999999999E-2</v>
      </c>
      <c r="L594">
        <v>2</v>
      </c>
      <c r="M594">
        <v>36</v>
      </c>
      <c r="N594">
        <v>38</v>
      </c>
    </row>
    <row r="595" spans="1:14" x14ac:dyDescent="0.3">
      <c r="A595">
        <v>594</v>
      </c>
      <c r="B595" s="1">
        <v>40570</v>
      </c>
      <c r="C595">
        <v>1</v>
      </c>
      <c r="D595">
        <v>22</v>
      </c>
      <c r="E595" t="b">
        <v>0</v>
      </c>
      <c r="F595">
        <v>4</v>
      </c>
      <c r="G595">
        <v>1</v>
      </c>
      <c r="H595">
        <v>0.18</v>
      </c>
      <c r="I595">
        <v>0.21210000000000001</v>
      </c>
      <c r="J595">
        <v>0.74</v>
      </c>
      <c r="K595">
        <v>8.9599999999999999E-2</v>
      </c>
      <c r="L595">
        <v>0</v>
      </c>
      <c r="M595">
        <v>27</v>
      </c>
      <c r="N595">
        <v>27</v>
      </c>
    </row>
    <row r="596" spans="1:14" x14ac:dyDescent="0.3">
      <c r="A596">
        <v>595</v>
      </c>
      <c r="B596" s="1">
        <v>40570</v>
      </c>
      <c r="C596">
        <v>1</v>
      </c>
      <c r="D596">
        <v>23</v>
      </c>
      <c r="E596" t="b">
        <v>0</v>
      </c>
      <c r="F596">
        <v>4</v>
      </c>
      <c r="G596">
        <v>1</v>
      </c>
      <c r="H596">
        <v>0.18</v>
      </c>
      <c r="I596">
        <v>0.19700000000000001</v>
      </c>
      <c r="J596">
        <v>0.8</v>
      </c>
      <c r="K596">
        <v>0.16420000000000001</v>
      </c>
      <c r="L596">
        <v>0</v>
      </c>
      <c r="M596">
        <v>16</v>
      </c>
      <c r="N596">
        <v>16</v>
      </c>
    </row>
    <row r="597" spans="1:14" x14ac:dyDescent="0.3">
      <c r="A597">
        <v>596</v>
      </c>
      <c r="B597" s="1">
        <v>40571</v>
      </c>
      <c r="C597">
        <v>1</v>
      </c>
      <c r="D597">
        <v>0</v>
      </c>
      <c r="E597" t="b">
        <v>0</v>
      </c>
      <c r="F597">
        <v>5</v>
      </c>
      <c r="G597">
        <v>2</v>
      </c>
      <c r="H597">
        <v>0.2</v>
      </c>
      <c r="I597">
        <v>0.21210000000000001</v>
      </c>
      <c r="J597">
        <v>0.75</v>
      </c>
      <c r="K597">
        <v>0.1343</v>
      </c>
      <c r="L597">
        <v>0</v>
      </c>
      <c r="M597">
        <v>9</v>
      </c>
      <c r="N597">
        <v>9</v>
      </c>
    </row>
    <row r="598" spans="1:14" x14ac:dyDescent="0.3">
      <c r="A598">
        <v>597</v>
      </c>
      <c r="B598" s="1">
        <v>40571</v>
      </c>
      <c r="C598">
        <v>1</v>
      </c>
      <c r="D598">
        <v>1</v>
      </c>
      <c r="E598" t="b">
        <v>0</v>
      </c>
      <c r="F598">
        <v>5</v>
      </c>
      <c r="G598">
        <v>2</v>
      </c>
      <c r="H598">
        <v>0.2</v>
      </c>
      <c r="I598">
        <v>0.21210000000000001</v>
      </c>
      <c r="J598">
        <v>0.75</v>
      </c>
      <c r="K598">
        <v>0.1343</v>
      </c>
      <c r="L598">
        <v>1</v>
      </c>
      <c r="M598">
        <v>2</v>
      </c>
      <c r="N598">
        <v>3</v>
      </c>
    </row>
    <row r="599" spans="1:14" x14ac:dyDescent="0.3">
      <c r="A599">
        <v>598</v>
      </c>
      <c r="B599" s="1">
        <v>40571</v>
      </c>
      <c r="C599">
        <v>1</v>
      </c>
      <c r="D599">
        <v>2</v>
      </c>
      <c r="E599" t="b">
        <v>0</v>
      </c>
      <c r="F599">
        <v>5</v>
      </c>
      <c r="G599">
        <v>2</v>
      </c>
      <c r="H599">
        <v>0.2</v>
      </c>
      <c r="I599">
        <v>0.21210000000000001</v>
      </c>
      <c r="J599">
        <v>0.75</v>
      </c>
      <c r="K599">
        <v>0.16420000000000001</v>
      </c>
      <c r="L599">
        <v>0</v>
      </c>
      <c r="M599">
        <v>2</v>
      </c>
      <c r="N599">
        <v>2</v>
      </c>
    </row>
    <row r="600" spans="1:14" x14ac:dyDescent="0.3">
      <c r="A600">
        <v>599</v>
      </c>
      <c r="B600" s="1">
        <v>40571</v>
      </c>
      <c r="C600">
        <v>1</v>
      </c>
      <c r="D600">
        <v>3</v>
      </c>
      <c r="E600" t="b">
        <v>0</v>
      </c>
      <c r="F600">
        <v>5</v>
      </c>
      <c r="G600">
        <v>2</v>
      </c>
      <c r="H600">
        <v>0.2</v>
      </c>
      <c r="I600">
        <v>0.2273</v>
      </c>
      <c r="J600">
        <v>0.75</v>
      </c>
      <c r="K600">
        <v>0.1045</v>
      </c>
      <c r="L600">
        <v>1</v>
      </c>
      <c r="M600">
        <v>0</v>
      </c>
      <c r="N600">
        <v>1</v>
      </c>
    </row>
    <row r="601" spans="1:14" x14ac:dyDescent="0.3">
      <c r="A601">
        <v>600</v>
      </c>
      <c r="B601" s="1">
        <v>40571</v>
      </c>
      <c r="C601">
        <v>1</v>
      </c>
      <c r="D601">
        <v>5</v>
      </c>
      <c r="E601" t="b">
        <v>0</v>
      </c>
      <c r="F601">
        <v>5</v>
      </c>
      <c r="G601">
        <v>2</v>
      </c>
      <c r="H601">
        <v>0.18</v>
      </c>
      <c r="I601">
        <v>0.21210000000000001</v>
      </c>
      <c r="J601">
        <v>0.8</v>
      </c>
      <c r="K601">
        <v>0.1045</v>
      </c>
      <c r="L601">
        <v>0</v>
      </c>
      <c r="M601">
        <v>4</v>
      </c>
      <c r="N601">
        <v>4</v>
      </c>
    </row>
    <row r="602" spans="1:14" x14ac:dyDescent="0.3">
      <c r="A602">
        <v>601</v>
      </c>
      <c r="B602" s="1">
        <v>40571</v>
      </c>
      <c r="C602">
        <v>1</v>
      </c>
      <c r="D602">
        <v>6</v>
      </c>
      <c r="E602" t="b">
        <v>0</v>
      </c>
      <c r="F602">
        <v>5</v>
      </c>
      <c r="G602">
        <v>2</v>
      </c>
      <c r="H602">
        <v>0.18</v>
      </c>
      <c r="I602">
        <v>0.19700000000000001</v>
      </c>
      <c r="J602">
        <v>0.8</v>
      </c>
      <c r="K602">
        <v>0.1343</v>
      </c>
      <c r="L602">
        <v>0</v>
      </c>
      <c r="M602">
        <v>16</v>
      </c>
      <c r="N602">
        <v>16</v>
      </c>
    </row>
    <row r="603" spans="1:14" x14ac:dyDescent="0.3">
      <c r="A603">
        <v>602</v>
      </c>
      <c r="B603" s="1">
        <v>40571</v>
      </c>
      <c r="C603">
        <v>1</v>
      </c>
      <c r="D603">
        <v>7</v>
      </c>
      <c r="E603" t="b">
        <v>0</v>
      </c>
      <c r="F603">
        <v>5</v>
      </c>
      <c r="G603">
        <v>2</v>
      </c>
      <c r="H603">
        <v>0.16</v>
      </c>
      <c r="I603">
        <v>0.19700000000000001</v>
      </c>
      <c r="J603">
        <v>0.86</v>
      </c>
      <c r="K603">
        <v>8.9599999999999999E-2</v>
      </c>
      <c r="L603">
        <v>2</v>
      </c>
      <c r="M603">
        <v>58</v>
      </c>
      <c r="N603">
        <v>60</v>
      </c>
    </row>
    <row r="604" spans="1:14" x14ac:dyDescent="0.3">
      <c r="A604">
        <v>603</v>
      </c>
      <c r="B604" s="1">
        <v>40571</v>
      </c>
      <c r="C604">
        <v>1</v>
      </c>
      <c r="D604">
        <v>8</v>
      </c>
      <c r="E604" t="b">
        <v>0</v>
      </c>
      <c r="F604">
        <v>5</v>
      </c>
      <c r="G604">
        <v>2</v>
      </c>
      <c r="H604">
        <v>0.16</v>
      </c>
      <c r="I604">
        <v>0.19700000000000001</v>
      </c>
      <c r="J604">
        <v>0.86</v>
      </c>
      <c r="K604">
        <v>8.9599999999999999E-2</v>
      </c>
      <c r="L604">
        <v>2</v>
      </c>
      <c r="M604">
        <v>155</v>
      </c>
      <c r="N604">
        <v>157</v>
      </c>
    </row>
    <row r="605" spans="1:14" x14ac:dyDescent="0.3">
      <c r="A605">
        <v>604</v>
      </c>
      <c r="B605" s="1">
        <v>40571</v>
      </c>
      <c r="C605">
        <v>1</v>
      </c>
      <c r="D605">
        <v>9</v>
      </c>
      <c r="E605" t="b">
        <v>0</v>
      </c>
      <c r="F605">
        <v>5</v>
      </c>
      <c r="G605">
        <v>3</v>
      </c>
      <c r="H605">
        <v>0.18</v>
      </c>
      <c r="I605">
        <v>0.21210000000000001</v>
      </c>
      <c r="J605">
        <v>0.86</v>
      </c>
      <c r="K605">
        <v>8.9599999999999999E-2</v>
      </c>
      <c r="L605">
        <v>6</v>
      </c>
      <c r="M605">
        <v>95</v>
      </c>
      <c r="N605">
        <v>101</v>
      </c>
    </row>
    <row r="606" spans="1:14" x14ac:dyDescent="0.3">
      <c r="A606">
        <v>605</v>
      </c>
      <c r="B606" s="1">
        <v>40571</v>
      </c>
      <c r="C606">
        <v>1</v>
      </c>
      <c r="D606">
        <v>10</v>
      </c>
      <c r="E606" t="b">
        <v>0</v>
      </c>
      <c r="F606">
        <v>5</v>
      </c>
      <c r="G606">
        <v>3</v>
      </c>
      <c r="H606">
        <v>0.18</v>
      </c>
      <c r="I606">
        <v>0.21210000000000001</v>
      </c>
      <c r="J606">
        <v>0.86</v>
      </c>
      <c r="K606">
        <v>0.1045</v>
      </c>
      <c r="L606">
        <v>0</v>
      </c>
      <c r="M606">
        <v>49</v>
      </c>
      <c r="N606">
        <v>49</v>
      </c>
    </row>
    <row r="607" spans="1:14" x14ac:dyDescent="0.3">
      <c r="A607">
        <v>606</v>
      </c>
      <c r="B607" s="1">
        <v>40571</v>
      </c>
      <c r="C607">
        <v>1</v>
      </c>
      <c r="D607">
        <v>11</v>
      </c>
      <c r="E607" t="b">
        <v>0</v>
      </c>
      <c r="F607">
        <v>5</v>
      </c>
      <c r="G607">
        <v>3</v>
      </c>
      <c r="H607">
        <v>0.18</v>
      </c>
      <c r="I607">
        <v>0.21210000000000001</v>
      </c>
      <c r="J607">
        <v>0.93</v>
      </c>
      <c r="K607">
        <v>0.1045</v>
      </c>
      <c r="L607">
        <v>0</v>
      </c>
      <c r="M607">
        <v>30</v>
      </c>
      <c r="N607">
        <v>30</v>
      </c>
    </row>
    <row r="608" spans="1:14" x14ac:dyDescent="0.3">
      <c r="A608">
        <v>607</v>
      </c>
      <c r="B608" s="1">
        <v>40571</v>
      </c>
      <c r="C608">
        <v>1</v>
      </c>
      <c r="D608">
        <v>12</v>
      </c>
      <c r="E608" t="b">
        <v>0</v>
      </c>
      <c r="F608">
        <v>5</v>
      </c>
      <c r="G608">
        <v>3</v>
      </c>
      <c r="H608">
        <v>0.18</v>
      </c>
      <c r="I608">
        <v>0.21210000000000001</v>
      </c>
      <c r="J608">
        <v>0.93</v>
      </c>
      <c r="K608">
        <v>0.1045</v>
      </c>
      <c r="L608">
        <v>1</v>
      </c>
      <c r="M608">
        <v>28</v>
      </c>
      <c r="N608">
        <v>29</v>
      </c>
    </row>
    <row r="609" spans="1:14" x14ac:dyDescent="0.3">
      <c r="A609">
        <v>608</v>
      </c>
      <c r="B609" s="1">
        <v>40571</v>
      </c>
      <c r="C609">
        <v>1</v>
      </c>
      <c r="D609">
        <v>13</v>
      </c>
      <c r="E609" t="b">
        <v>0</v>
      </c>
      <c r="F609">
        <v>5</v>
      </c>
      <c r="G609">
        <v>3</v>
      </c>
      <c r="H609">
        <v>0.18</v>
      </c>
      <c r="I609">
        <v>0.21210000000000001</v>
      </c>
      <c r="J609">
        <v>0.93</v>
      </c>
      <c r="K609">
        <v>0.1045</v>
      </c>
      <c r="L609">
        <v>0</v>
      </c>
      <c r="M609">
        <v>31</v>
      </c>
      <c r="N609">
        <v>31</v>
      </c>
    </row>
    <row r="610" spans="1:14" x14ac:dyDescent="0.3">
      <c r="A610">
        <v>609</v>
      </c>
      <c r="B610" s="1">
        <v>40571</v>
      </c>
      <c r="C610">
        <v>1</v>
      </c>
      <c r="D610">
        <v>14</v>
      </c>
      <c r="E610" t="b">
        <v>0</v>
      </c>
      <c r="F610">
        <v>5</v>
      </c>
      <c r="G610">
        <v>3</v>
      </c>
      <c r="H610">
        <v>0.22</v>
      </c>
      <c r="I610">
        <v>0.2727</v>
      </c>
      <c r="J610">
        <v>0.8</v>
      </c>
      <c r="K610">
        <v>0</v>
      </c>
      <c r="L610">
        <v>2</v>
      </c>
      <c r="M610">
        <v>36</v>
      </c>
      <c r="N610">
        <v>38</v>
      </c>
    </row>
    <row r="611" spans="1:14" x14ac:dyDescent="0.3">
      <c r="A611">
        <v>610</v>
      </c>
      <c r="B611" s="1">
        <v>40571</v>
      </c>
      <c r="C611">
        <v>1</v>
      </c>
      <c r="D611">
        <v>15</v>
      </c>
      <c r="E611" t="b">
        <v>0</v>
      </c>
      <c r="F611">
        <v>5</v>
      </c>
      <c r="G611">
        <v>2</v>
      </c>
      <c r="H611">
        <v>0.2</v>
      </c>
      <c r="I611">
        <v>0.2576</v>
      </c>
      <c r="J611">
        <v>0.86</v>
      </c>
      <c r="K611">
        <v>0</v>
      </c>
      <c r="L611">
        <v>1</v>
      </c>
      <c r="M611">
        <v>40</v>
      </c>
      <c r="N611">
        <v>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611"/>
  <sheetViews>
    <sheetView topLeftCell="A2" workbookViewId="0">
      <selection activeCell="N10" sqref="A1:AC611"/>
    </sheetView>
  </sheetViews>
  <sheetFormatPr defaultRowHeight="14.4" x14ac:dyDescent="0.3"/>
  <cols>
    <col min="1" max="1" width="9" bestFit="1" customWidth="1"/>
    <col min="2" max="2" width="10.33203125" bestFit="1" customWidth="1"/>
    <col min="3" max="3" width="9" bestFit="1" customWidth="1"/>
    <col min="4" max="4" width="7.21875" bestFit="1" customWidth="1"/>
    <col min="5" max="5" width="9.44140625" bestFit="1" customWidth="1"/>
    <col min="6" max="6" width="10.77734375" bestFit="1" customWidth="1"/>
    <col min="7" max="7" width="18.5546875" bestFit="1" customWidth="1"/>
    <col min="8" max="8" width="13.77734375" bestFit="1" customWidth="1"/>
    <col min="9" max="9" width="22.44140625" bestFit="1" customWidth="1"/>
    <col min="10" max="10" width="10.77734375" bestFit="1" customWidth="1"/>
    <col min="11" max="11" width="12.33203125" bestFit="1" customWidth="1"/>
    <col min="12" max="12" width="17.44140625" bestFit="1" customWidth="1"/>
    <col min="13" max="13" width="20.6640625" bestFit="1" customWidth="1"/>
    <col min="14" max="14" width="16.109375" bestFit="1" customWidth="1"/>
    <col min="15" max="15" width="15.33203125" bestFit="1" customWidth="1"/>
    <col min="16" max="16" width="17.21875" bestFit="1" customWidth="1"/>
    <col min="17" max="17" width="21.109375" bestFit="1" customWidth="1"/>
    <col min="18" max="18" width="14.33203125" bestFit="1" customWidth="1"/>
    <col min="19" max="19" width="19.6640625" bestFit="1" customWidth="1"/>
    <col min="20" max="20" width="16.33203125" bestFit="1" customWidth="1"/>
    <col min="21" max="21" width="13" bestFit="1" customWidth="1"/>
    <col min="22" max="22" width="11.5546875" bestFit="1" customWidth="1"/>
    <col min="23" max="23" width="16.5546875" bestFit="1" customWidth="1"/>
    <col min="24" max="24" width="19.21875" bestFit="1" customWidth="1"/>
    <col min="25" max="25" width="22.6640625" bestFit="1" customWidth="1"/>
    <col min="26" max="26" width="12.44140625" bestFit="1" customWidth="1"/>
    <col min="27" max="27" width="15.77734375" bestFit="1" customWidth="1"/>
    <col min="28" max="28" width="11.21875" bestFit="1" customWidth="1"/>
    <col min="29" max="29" width="21.5546875" bestFit="1" customWidth="1"/>
  </cols>
  <sheetData>
    <row r="1" spans="1: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row>
    <row r="2" spans="1:29" x14ac:dyDescent="0.3">
      <c r="A2">
        <v>1</v>
      </c>
      <c r="B2" s="1">
        <v>40544</v>
      </c>
      <c r="C2">
        <v>1</v>
      </c>
      <c r="D2">
        <v>0</v>
      </c>
      <c r="E2" t="b">
        <v>0</v>
      </c>
      <c r="F2">
        <v>6</v>
      </c>
      <c r="G2">
        <v>1</v>
      </c>
      <c r="H2">
        <v>0.24</v>
      </c>
      <c r="I2">
        <v>0.28789999999999999</v>
      </c>
      <c r="J2">
        <v>0.81</v>
      </c>
      <c r="K2">
        <v>0</v>
      </c>
      <c r="L2">
        <v>3</v>
      </c>
      <c r="M2">
        <v>13</v>
      </c>
      <c r="N2">
        <v>16</v>
      </c>
      <c r="O2" t="s">
        <v>29</v>
      </c>
      <c r="P2" t="s">
        <v>30</v>
      </c>
      <c r="Q2" t="s">
        <v>31</v>
      </c>
      <c r="R2" t="s">
        <v>32</v>
      </c>
      <c r="S2" t="s">
        <v>33</v>
      </c>
      <c r="T2" t="s">
        <v>34</v>
      </c>
      <c r="U2" t="s">
        <v>35</v>
      </c>
      <c r="V2" t="s">
        <v>36</v>
      </c>
      <c r="W2" t="s">
        <v>37</v>
      </c>
      <c r="X2">
        <v>18.75</v>
      </c>
      <c r="Y2">
        <v>81.25</v>
      </c>
      <c r="Z2" t="s">
        <v>38</v>
      </c>
      <c r="AA2" t="s">
        <v>39</v>
      </c>
      <c r="AB2" t="s">
        <v>40</v>
      </c>
      <c r="AC2">
        <v>4.7899999999999998E-2</v>
      </c>
    </row>
    <row r="3" spans="1:29" x14ac:dyDescent="0.3">
      <c r="A3">
        <v>2</v>
      </c>
      <c r="B3" s="1">
        <v>40544</v>
      </c>
      <c r="C3">
        <v>1</v>
      </c>
      <c r="D3">
        <v>1</v>
      </c>
      <c r="E3" t="b">
        <v>0</v>
      </c>
      <c r="F3">
        <v>6</v>
      </c>
      <c r="G3">
        <v>1</v>
      </c>
      <c r="H3">
        <v>0.22</v>
      </c>
      <c r="I3">
        <v>0.2727</v>
      </c>
      <c r="J3">
        <v>0.8</v>
      </c>
      <c r="K3">
        <v>0</v>
      </c>
      <c r="L3">
        <v>8</v>
      </c>
      <c r="M3">
        <v>32</v>
      </c>
      <c r="N3">
        <v>40</v>
      </c>
      <c r="O3" t="s">
        <v>29</v>
      </c>
      <c r="P3" t="s">
        <v>30</v>
      </c>
      <c r="Q3" t="s">
        <v>31</v>
      </c>
      <c r="R3" t="s">
        <v>32</v>
      </c>
      <c r="S3" t="s">
        <v>33</v>
      </c>
      <c r="T3" t="s">
        <v>34</v>
      </c>
      <c r="U3" t="s">
        <v>35</v>
      </c>
      <c r="V3" t="s">
        <v>36</v>
      </c>
      <c r="W3" t="s">
        <v>37</v>
      </c>
      <c r="X3">
        <v>20</v>
      </c>
      <c r="Y3">
        <v>80</v>
      </c>
      <c r="Z3" t="s">
        <v>38</v>
      </c>
      <c r="AA3" t="s">
        <v>39</v>
      </c>
      <c r="AB3" t="s">
        <v>40</v>
      </c>
      <c r="AC3">
        <v>5.2699999999999997E-2</v>
      </c>
    </row>
    <row r="4" spans="1:29" x14ac:dyDescent="0.3">
      <c r="A4">
        <v>3</v>
      </c>
      <c r="B4" s="1">
        <v>40544</v>
      </c>
      <c r="C4">
        <v>1</v>
      </c>
      <c r="D4">
        <v>2</v>
      </c>
      <c r="E4" t="b">
        <v>0</v>
      </c>
      <c r="F4">
        <v>6</v>
      </c>
      <c r="G4">
        <v>1</v>
      </c>
      <c r="H4">
        <v>0.22</v>
      </c>
      <c r="I4">
        <v>0.2727</v>
      </c>
      <c r="J4">
        <v>0.8</v>
      </c>
      <c r="K4">
        <v>0</v>
      </c>
      <c r="L4">
        <v>5</v>
      </c>
      <c r="M4">
        <v>27</v>
      </c>
      <c r="N4">
        <v>32</v>
      </c>
      <c r="O4" t="s">
        <v>29</v>
      </c>
      <c r="P4" t="s">
        <v>30</v>
      </c>
      <c r="Q4" t="s">
        <v>31</v>
      </c>
      <c r="R4" t="s">
        <v>32</v>
      </c>
      <c r="S4" t="s">
        <v>33</v>
      </c>
      <c r="T4" t="s">
        <v>34</v>
      </c>
      <c r="U4" t="s">
        <v>35</v>
      </c>
      <c r="V4" t="s">
        <v>36</v>
      </c>
      <c r="W4" t="s">
        <v>37</v>
      </c>
      <c r="X4">
        <v>15.625</v>
      </c>
      <c r="Y4">
        <v>84.375</v>
      </c>
      <c r="Z4" t="s">
        <v>38</v>
      </c>
      <c r="AA4" t="s">
        <v>39</v>
      </c>
      <c r="AB4" t="s">
        <v>40</v>
      </c>
      <c r="AC4">
        <v>5.2699999999999997E-2</v>
      </c>
    </row>
    <row r="5" spans="1:29" x14ac:dyDescent="0.3">
      <c r="A5">
        <v>4</v>
      </c>
      <c r="B5" s="1">
        <v>40544</v>
      </c>
      <c r="C5">
        <v>1</v>
      </c>
      <c r="D5">
        <v>3</v>
      </c>
      <c r="E5" t="b">
        <v>0</v>
      </c>
      <c r="F5">
        <v>6</v>
      </c>
      <c r="G5">
        <v>1</v>
      </c>
      <c r="H5">
        <v>0.24</v>
      </c>
      <c r="I5">
        <v>0.28789999999999999</v>
      </c>
      <c r="J5">
        <v>0.75</v>
      </c>
      <c r="K5">
        <v>0</v>
      </c>
      <c r="L5">
        <v>3</v>
      </c>
      <c r="M5">
        <v>10</v>
      </c>
      <c r="N5">
        <v>13</v>
      </c>
      <c r="O5" t="s">
        <v>29</v>
      </c>
      <c r="P5" t="s">
        <v>30</v>
      </c>
      <c r="Q5" t="s">
        <v>31</v>
      </c>
      <c r="R5" t="s">
        <v>32</v>
      </c>
      <c r="S5" t="s">
        <v>33</v>
      </c>
      <c r="T5" t="s">
        <v>34</v>
      </c>
      <c r="U5" t="s">
        <v>35</v>
      </c>
      <c r="V5" t="s">
        <v>36</v>
      </c>
      <c r="W5" t="s">
        <v>37</v>
      </c>
      <c r="X5">
        <v>23.07692307692308</v>
      </c>
      <c r="Y5">
        <v>76.923076923076934</v>
      </c>
      <c r="Z5" t="s">
        <v>38</v>
      </c>
      <c r="AA5" t="s">
        <v>39</v>
      </c>
      <c r="AB5" t="s">
        <v>40</v>
      </c>
      <c r="AC5">
        <v>4.7899999999999998E-2</v>
      </c>
    </row>
    <row r="6" spans="1:29" x14ac:dyDescent="0.3">
      <c r="A6">
        <v>5</v>
      </c>
      <c r="B6" s="1">
        <v>40544</v>
      </c>
      <c r="C6">
        <v>1</v>
      </c>
      <c r="D6">
        <v>4</v>
      </c>
      <c r="E6" t="b">
        <v>0</v>
      </c>
      <c r="F6">
        <v>6</v>
      </c>
      <c r="G6">
        <v>1</v>
      </c>
      <c r="H6">
        <v>0.24</v>
      </c>
      <c r="I6">
        <v>0.28789999999999999</v>
      </c>
      <c r="J6">
        <v>0.75</v>
      </c>
      <c r="K6">
        <v>0</v>
      </c>
      <c r="L6">
        <v>0</v>
      </c>
      <c r="M6">
        <v>1</v>
      </c>
      <c r="N6">
        <v>1</v>
      </c>
      <c r="O6" t="s">
        <v>29</v>
      </c>
      <c r="P6" t="s">
        <v>30</v>
      </c>
      <c r="Q6" t="s">
        <v>31</v>
      </c>
      <c r="R6" t="s">
        <v>32</v>
      </c>
      <c r="S6" t="s">
        <v>33</v>
      </c>
      <c r="T6" t="s">
        <v>34</v>
      </c>
      <c r="U6" t="s">
        <v>35</v>
      </c>
      <c r="V6" t="s">
        <v>36</v>
      </c>
      <c r="W6" t="s">
        <v>37</v>
      </c>
      <c r="X6">
        <v>0</v>
      </c>
      <c r="Y6">
        <v>100</v>
      </c>
      <c r="Z6" t="s">
        <v>38</v>
      </c>
      <c r="AA6" t="s">
        <v>39</v>
      </c>
      <c r="AB6" t="s">
        <v>40</v>
      </c>
      <c r="AC6">
        <v>4.7899999999999998E-2</v>
      </c>
    </row>
    <row r="7" spans="1:29" x14ac:dyDescent="0.3">
      <c r="A7">
        <v>6</v>
      </c>
      <c r="B7" s="1">
        <v>40544</v>
      </c>
      <c r="C7">
        <v>1</v>
      </c>
      <c r="D7">
        <v>5</v>
      </c>
      <c r="E7" t="b">
        <v>0</v>
      </c>
      <c r="F7">
        <v>6</v>
      </c>
      <c r="G7">
        <v>2</v>
      </c>
      <c r="H7">
        <v>0.24</v>
      </c>
      <c r="I7">
        <v>0.2576</v>
      </c>
      <c r="J7">
        <v>0.75</v>
      </c>
      <c r="K7">
        <v>8.9599999999999999E-2</v>
      </c>
      <c r="L7">
        <v>0</v>
      </c>
      <c r="M7">
        <v>1</v>
      </c>
      <c r="N7">
        <v>1</v>
      </c>
      <c r="O7" t="s">
        <v>29</v>
      </c>
      <c r="P7" t="s">
        <v>30</v>
      </c>
      <c r="Q7" t="s">
        <v>41</v>
      </c>
      <c r="R7" t="s">
        <v>32</v>
      </c>
      <c r="S7" t="s">
        <v>33</v>
      </c>
      <c r="T7" t="s">
        <v>34</v>
      </c>
      <c r="U7" t="s">
        <v>35</v>
      </c>
      <c r="V7" t="s">
        <v>36</v>
      </c>
      <c r="W7" t="s">
        <v>37</v>
      </c>
      <c r="X7">
        <v>0</v>
      </c>
      <c r="Y7">
        <v>100</v>
      </c>
      <c r="Z7" t="s">
        <v>38</v>
      </c>
      <c r="AA7" t="s">
        <v>39</v>
      </c>
      <c r="AB7" t="s">
        <v>40</v>
      </c>
      <c r="AC7">
        <v>1.7600000000000001E-2</v>
      </c>
    </row>
    <row r="8" spans="1:29" x14ac:dyDescent="0.3">
      <c r="A8">
        <v>7</v>
      </c>
      <c r="B8" s="1">
        <v>40544</v>
      </c>
      <c r="C8">
        <v>1</v>
      </c>
      <c r="D8">
        <v>6</v>
      </c>
      <c r="E8" t="b">
        <v>0</v>
      </c>
      <c r="F8">
        <v>6</v>
      </c>
      <c r="G8">
        <v>1</v>
      </c>
      <c r="H8">
        <v>0.22</v>
      </c>
      <c r="I8">
        <v>0.2727</v>
      </c>
      <c r="J8">
        <v>0.8</v>
      </c>
      <c r="K8">
        <v>0</v>
      </c>
      <c r="L8">
        <v>2</v>
      </c>
      <c r="M8">
        <v>0</v>
      </c>
      <c r="N8">
        <v>2</v>
      </c>
      <c r="O8" t="s">
        <v>29</v>
      </c>
      <c r="P8" t="s">
        <v>30</v>
      </c>
      <c r="Q8" t="s">
        <v>31</v>
      </c>
      <c r="R8" t="s">
        <v>42</v>
      </c>
      <c r="S8" t="s">
        <v>33</v>
      </c>
      <c r="T8" t="s">
        <v>34</v>
      </c>
      <c r="U8" t="s">
        <v>35</v>
      </c>
      <c r="V8" t="s">
        <v>36</v>
      </c>
      <c r="W8" t="s">
        <v>43</v>
      </c>
      <c r="X8">
        <v>100</v>
      </c>
      <c r="Y8">
        <v>0</v>
      </c>
      <c r="Z8" t="s">
        <v>38</v>
      </c>
      <c r="AA8" t="s">
        <v>39</v>
      </c>
      <c r="AB8" t="s">
        <v>40</v>
      </c>
      <c r="AC8">
        <v>5.2699999999999997E-2</v>
      </c>
    </row>
    <row r="9" spans="1:29" x14ac:dyDescent="0.3">
      <c r="A9">
        <v>8</v>
      </c>
      <c r="B9" s="1">
        <v>40544</v>
      </c>
      <c r="C9">
        <v>1</v>
      </c>
      <c r="D9">
        <v>7</v>
      </c>
      <c r="E9" t="b">
        <v>0</v>
      </c>
      <c r="F9">
        <v>6</v>
      </c>
      <c r="G9">
        <v>1</v>
      </c>
      <c r="H9">
        <v>0.2</v>
      </c>
      <c r="I9">
        <v>0.2576</v>
      </c>
      <c r="J9">
        <v>0.86</v>
      </c>
      <c r="K9">
        <v>0</v>
      </c>
      <c r="L9">
        <v>1</v>
      </c>
      <c r="M9">
        <v>2</v>
      </c>
      <c r="N9">
        <v>3</v>
      </c>
      <c r="O9" t="s">
        <v>29</v>
      </c>
      <c r="P9" t="s">
        <v>30</v>
      </c>
      <c r="Q9" t="s">
        <v>31</v>
      </c>
      <c r="R9" t="s">
        <v>42</v>
      </c>
      <c r="S9" t="s">
        <v>33</v>
      </c>
      <c r="T9" t="s">
        <v>34</v>
      </c>
      <c r="U9" t="s">
        <v>35</v>
      </c>
      <c r="V9" t="s">
        <v>36</v>
      </c>
      <c r="W9" t="s">
        <v>37</v>
      </c>
      <c r="X9">
        <v>33.333333333333329</v>
      </c>
      <c r="Y9">
        <v>66.666666666666657</v>
      </c>
      <c r="Z9" t="s">
        <v>40</v>
      </c>
      <c r="AA9" t="s">
        <v>39</v>
      </c>
      <c r="AB9" t="s">
        <v>40</v>
      </c>
      <c r="AC9">
        <v>5.7599999999999978E-2</v>
      </c>
    </row>
    <row r="10" spans="1:29" x14ac:dyDescent="0.3">
      <c r="A10">
        <v>9</v>
      </c>
      <c r="B10" s="1">
        <v>40544</v>
      </c>
      <c r="C10">
        <v>1</v>
      </c>
      <c r="D10">
        <v>8</v>
      </c>
      <c r="E10" t="b">
        <v>0</v>
      </c>
      <c r="F10">
        <v>6</v>
      </c>
      <c r="G10">
        <v>1</v>
      </c>
      <c r="H10">
        <v>0.24</v>
      </c>
      <c r="I10">
        <v>0.2576</v>
      </c>
      <c r="J10">
        <v>0.75</v>
      </c>
      <c r="K10">
        <v>0</v>
      </c>
      <c r="L10">
        <v>1</v>
      </c>
      <c r="M10">
        <v>7</v>
      </c>
      <c r="N10">
        <v>8</v>
      </c>
      <c r="O10" t="s">
        <v>29</v>
      </c>
      <c r="P10" t="s">
        <v>30</v>
      </c>
      <c r="Q10" t="s">
        <v>31</v>
      </c>
      <c r="R10" t="s">
        <v>42</v>
      </c>
      <c r="S10" t="s">
        <v>33</v>
      </c>
      <c r="T10" t="s">
        <v>34</v>
      </c>
      <c r="U10" t="s">
        <v>35</v>
      </c>
      <c r="V10" t="s">
        <v>36</v>
      </c>
      <c r="W10" t="s">
        <v>37</v>
      </c>
      <c r="X10">
        <v>12.5</v>
      </c>
      <c r="Y10">
        <v>87.5</v>
      </c>
      <c r="Z10" t="s">
        <v>40</v>
      </c>
      <c r="AA10" t="s">
        <v>39</v>
      </c>
      <c r="AB10" t="s">
        <v>40</v>
      </c>
      <c r="AC10">
        <v>1.7600000000000001E-2</v>
      </c>
    </row>
    <row r="11" spans="1:29" x14ac:dyDescent="0.3">
      <c r="A11">
        <v>10</v>
      </c>
      <c r="B11" s="1">
        <v>40544</v>
      </c>
      <c r="C11">
        <v>1</v>
      </c>
      <c r="D11">
        <v>9</v>
      </c>
      <c r="E11" t="b">
        <v>0</v>
      </c>
      <c r="F11">
        <v>6</v>
      </c>
      <c r="G11">
        <v>1</v>
      </c>
      <c r="H11">
        <v>0.32</v>
      </c>
      <c r="I11">
        <v>0.34849999999999998</v>
      </c>
      <c r="J11">
        <v>0.76</v>
      </c>
      <c r="K11">
        <v>0</v>
      </c>
      <c r="L11">
        <v>8</v>
      </c>
      <c r="M11">
        <v>6</v>
      </c>
      <c r="N11">
        <v>14</v>
      </c>
      <c r="O11" t="s">
        <v>29</v>
      </c>
      <c r="P11" t="s">
        <v>30</v>
      </c>
      <c r="Q11" t="s">
        <v>31</v>
      </c>
      <c r="R11" t="s">
        <v>42</v>
      </c>
      <c r="S11" t="s">
        <v>44</v>
      </c>
      <c r="T11" t="s">
        <v>34</v>
      </c>
      <c r="U11" t="s">
        <v>35</v>
      </c>
      <c r="V11" t="s">
        <v>36</v>
      </c>
      <c r="W11" t="s">
        <v>43</v>
      </c>
      <c r="X11">
        <v>57.142857142857139</v>
      </c>
      <c r="Y11">
        <v>42.857142857142847</v>
      </c>
      <c r="Z11" t="s">
        <v>40</v>
      </c>
      <c r="AA11" t="s">
        <v>39</v>
      </c>
      <c r="AB11" t="s">
        <v>40</v>
      </c>
      <c r="AC11">
        <v>2.849999999999997E-2</v>
      </c>
    </row>
    <row r="12" spans="1:29" x14ac:dyDescent="0.3">
      <c r="A12">
        <v>11</v>
      </c>
      <c r="B12" s="1">
        <v>40544</v>
      </c>
      <c r="C12">
        <v>1</v>
      </c>
      <c r="D12">
        <v>10</v>
      </c>
      <c r="E12" t="b">
        <v>0</v>
      </c>
      <c r="F12">
        <v>6</v>
      </c>
      <c r="G12">
        <v>1</v>
      </c>
      <c r="H12">
        <v>0.38</v>
      </c>
      <c r="I12">
        <v>0.39389999999999997</v>
      </c>
      <c r="J12">
        <v>0.76</v>
      </c>
      <c r="K12">
        <v>0.25369999999999998</v>
      </c>
      <c r="L12">
        <v>12</v>
      </c>
      <c r="M12">
        <v>24</v>
      </c>
      <c r="N12">
        <v>36</v>
      </c>
      <c r="O12" t="s">
        <v>29</v>
      </c>
      <c r="P12" t="s">
        <v>30</v>
      </c>
      <c r="Q12" t="s">
        <v>31</v>
      </c>
      <c r="R12" t="s">
        <v>42</v>
      </c>
      <c r="S12" t="s">
        <v>45</v>
      </c>
      <c r="T12" t="s">
        <v>34</v>
      </c>
      <c r="U12" t="s">
        <v>46</v>
      </c>
      <c r="V12" t="s">
        <v>36</v>
      </c>
      <c r="W12" t="s">
        <v>37</v>
      </c>
      <c r="X12">
        <v>33.333333333333329</v>
      </c>
      <c r="Y12">
        <v>66.666666666666657</v>
      </c>
      <c r="Z12" t="s">
        <v>38</v>
      </c>
      <c r="AA12" t="s">
        <v>39</v>
      </c>
      <c r="AB12" t="s">
        <v>40</v>
      </c>
      <c r="AC12">
        <v>1.389999999999997E-2</v>
      </c>
    </row>
    <row r="13" spans="1:29" x14ac:dyDescent="0.3">
      <c r="A13">
        <v>12</v>
      </c>
      <c r="B13" s="1">
        <v>40544</v>
      </c>
      <c r="C13">
        <v>1</v>
      </c>
      <c r="D13">
        <v>11</v>
      </c>
      <c r="E13" t="b">
        <v>0</v>
      </c>
      <c r="F13">
        <v>6</v>
      </c>
      <c r="G13">
        <v>1</v>
      </c>
      <c r="H13">
        <v>0.36</v>
      </c>
      <c r="I13">
        <v>0.33329999999999999</v>
      </c>
      <c r="J13">
        <v>0.81</v>
      </c>
      <c r="K13">
        <v>0.28360000000000002</v>
      </c>
      <c r="L13">
        <v>26</v>
      </c>
      <c r="M13">
        <v>30</v>
      </c>
      <c r="N13">
        <v>56</v>
      </c>
      <c r="O13" t="s">
        <v>29</v>
      </c>
      <c r="P13" t="s">
        <v>30</v>
      </c>
      <c r="Q13" t="s">
        <v>31</v>
      </c>
      <c r="R13" t="s">
        <v>42</v>
      </c>
      <c r="S13" t="s">
        <v>45</v>
      </c>
      <c r="T13" t="s">
        <v>34</v>
      </c>
      <c r="U13" t="s">
        <v>46</v>
      </c>
      <c r="V13" t="s">
        <v>36</v>
      </c>
      <c r="W13" t="s">
        <v>37</v>
      </c>
      <c r="X13">
        <v>46.428571428571431</v>
      </c>
      <c r="Y13">
        <v>53.571428571428569</v>
      </c>
      <c r="Z13" t="s">
        <v>38</v>
      </c>
      <c r="AA13" t="s">
        <v>39</v>
      </c>
      <c r="AB13" t="s">
        <v>40</v>
      </c>
      <c r="AC13">
        <v>-2.6700000000000002E-2</v>
      </c>
    </row>
    <row r="14" spans="1:29" x14ac:dyDescent="0.3">
      <c r="A14">
        <v>13</v>
      </c>
      <c r="B14" s="1">
        <v>40544</v>
      </c>
      <c r="C14">
        <v>1</v>
      </c>
      <c r="D14">
        <v>12</v>
      </c>
      <c r="E14" t="b">
        <v>0</v>
      </c>
      <c r="F14">
        <v>6</v>
      </c>
      <c r="G14">
        <v>1</v>
      </c>
      <c r="H14">
        <v>0.42</v>
      </c>
      <c r="I14">
        <v>0.42420000000000002</v>
      </c>
      <c r="J14">
        <v>0.77</v>
      </c>
      <c r="K14">
        <v>0.28360000000000002</v>
      </c>
      <c r="L14">
        <v>29</v>
      </c>
      <c r="M14">
        <v>55</v>
      </c>
      <c r="N14">
        <v>84</v>
      </c>
      <c r="O14" t="s">
        <v>29</v>
      </c>
      <c r="P14" t="s">
        <v>30</v>
      </c>
      <c r="Q14" t="s">
        <v>31</v>
      </c>
      <c r="R14" t="s">
        <v>47</v>
      </c>
      <c r="S14" t="s">
        <v>45</v>
      </c>
      <c r="T14" t="s">
        <v>34</v>
      </c>
      <c r="U14" t="s">
        <v>46</v>
      </c>
      <c r="V14" t="s">
        <v>36</v>
      </c>
      <c r="W14" t="s">
        <v>37</v>
      </c>
      <c r="X14">
        <v>34.523809523809533</v>
      </c>
      <c r="Y14">
        <v>65.476190476190482</v>
      </c>
      <c r="Z14" t="s">
        <v>38</v>
      </c>
      <c r="AA14" t="s">
        <v>39</v>
      </c>
      <c r="AB14" t="s">
        <v>40</v>
      </c>
      <c r="AC14">
        <v>4.200000000000037E-3</v>
      </c>
    </row>
    <row r="15" spans="1:29" x14ac:dyDescent="0.3">
      <c r="A15">
        <v>14</v>
      </c>
      <c r="B15" s="1">
        <v>40544</v>
      </c>
      <c r="C15">
        <v>1</v>
      </c>
      <c r="D15">
        <v>13</v>
      </c>
      <c r="E15" t="b">
        <v>0</v>
      </c>
      <c r="F15">
        <v>6</v>
      </c>
      <c r="G15">
        <v>2</v>
      </c>
      <c r="H15">
        <v>0.46</v>
      </c>
      <c r="I15">
        <v>0.45450000000000002</v>
      </c>
      <c r="J15">
        <v>0.72</v>
      </c>
      <c r="K15">
        <v>0.29849999999999999</v>
      </c>
      <c r="L15">
        <v>47</v>
      </c>
      <c r="M15">
        <v>47</v>
      </c>
      <c r="N15">
        <v>94</v>
      </c>
      <c r="O15" t="s">
        <v>29</v>
      </c>
      <c r="P15" t="s">
        <v>30</v>
      </c>
      <c r="Q15" t="s">
        <v>41</v>
      </c>
      <c r="R15" t="s">
        <v>47</v>
      </c>
      <c r="S15" t="s">
        <v>48</v>
      </c>
      <c r="T15" t="s">
        <v>34</v>
      </c>
      <c r="U15" t="s">
        <v>46</v>
      </c>
      <c r="V15" t="s">
        <v>36</v>
      </c>
      <c r="W15" t="s">
        <v>37</v>
      </c>
      <c r="X15">
        <v>50</v>
      </c>
      <c r="Y15">
        <v>50</v>
      </c>
      <c r="Z15" t="s">
        <v>38</v>
      </c>
      <c r="AA15" t="s">
        <v>39</v>
      </c>
      <c r="AB15" t="s">
        <v>40</v>
      </c>
      <c r="AC15">
        <v>-5.5000000000000049E-3</v>
      </c>
    </row>
    <row r="16" spans="1:29" x14ac:dyDescent="0.3">
      <c r="A16">
        <v>15</v>
      </c>
      <c r="B16" s="1">
        <v>40544</v>
      </c>
      <c r="C16">
        <v>1</v>
      </c>
      <c r="D16">
        <v>14</v>
      </c>
      <c r="E16" t="b">
        <v>0</v>
      </c>
      <c r="F16">
        <v>6</v>
      </c>
      <c r="G16">
        <v>2</v>
      </c>
      <c r="H16">
        <v>0.46</v>
      </c>
      <c r="I16">
        <v>0.45450000000000002</v>
      </c>
      <c r="J16">
        <v>0.72</v>
      </c>
      <c r="K16">
        <v>0.28360000000000002</v>
      </c>
      <c r="L16">
        <v>35</v>
      </c>
      <c r="M16">
        <v>71</v>
      </c>
      <c r="N16">
        <v>106</v>
      </c>
      <c r="O16" t="s">
        <v>29</v>
      </c>
      <c r="P16" t="s">
        <v>30</v>
      </c>
      <c r="Q16" t="s">
        <v>41</v>
      </c>
      <c r="R16" t="s">
        <v>47</v>
      </c>
      <c r="S16" t="s">
        <v>48</v>
      </c>
      <c r="T16" t="s">
        <v>34</v>
      </c>
      <c r="U16" t="s">
        <v>46</v>
      </c>
      <c r="V16" t="s">
        <v>36</v>
      </c>
      <c r="W16" t="s">
        <v>37</v>
      </c>
      <c r="X16">
        <v>33.018867924528301</v>
      </c>
      <c r="Y16">
        <v>66.981132075471692</v>
      </c>
      <c r="Z16" t="s">
        <v>38</v>
      </c>
      <c r="AA16" t="s">
        <v>49</v>
      </c>
      <c r="AB16" t="s">
        <v>40</v>
      </c>
      <c r="AC16">
        <v>-5.5000000000000049E-3</v>
      </c>
    </row>
    <row r="17" spans="1:29" x14ac:dyDescent="0.3">
      <c r="A17">
        <v>16</v>
      </c>
      <c r="B17" s="1">
        <v>40544</v>
      </c>
      <c r="C17">
        <v>1</v>
      </c>
      <c r="D17">
        <v>15</v>
      </c>
      <c r="E17" t="b">
        <v>0</v>
      </c>
      <c r="F17">
        <v>6</v>
      </c>
      <c r="G17">
        <v>2</v>
      </c>
      <c r="H17">
        <v>0.44</v>
      </c>
      <c r="I17">
        <v>0.43940000000000001</v>
      </c>
      <c r="J17">
        <v>0.77</v>
      </c>
      <c r="K17">
        <v>0.29849999999999999</v>
      </c>
      <c r="L17">
        <v>40</v>
      </c>
      <c r="M17">
        <v>70</v>
      </c>
      <c r="N17">
        <v>110</v>
      </c>
      <c r="O17" t="s">
        <v>29</v>
      </c>
      <c r="P17" t="s">
        <v>30</v>
      </c>
      <c r="Q17" t="s">
        <v>41</v>
      </c>
      <c r="R17" t="s">
        <v>47</v>
      </c>
      <c r="S17" t="s">
        <v>45</v>
      </c>
      <c r="T17" t="s">
        <v>34</v>
      </c>
      <c r="U17" t="s">
        <v>46</v>
      </c>
      <c r="V17" t="s">
        <v>36</v>
      </c>
      <c r="W17" t="s">
        <v>37</v>
      </c>
      <c r="X17">
        <v>36.363636363636367</v>
      </c>
      <c r="Y17">
        <v>63.636363636363633</v>
      </c>
      <c r="Z17" t="s">
        <v>38</v>
      </c>
      <c r="AA17" t="s">
        <v>49</v>
      </c>
      <c r="AB17" t="s">
        <v>40</v>
      </c>
      <c r="AC17">
        <v>-5.9999999999998943E-4</v>
      </c>
    </row>
    <row r="18" spans="1:29" x14ac:dyDescent="0.3">
      <c r="A18">
        <v>17</v>
      </c>
      <c r="B18" s="1">
        <v>40544</v>
      </c>
      <c r="C18">
        <v>1</v>
      </c>
      <c r="D18">
        <v>16</v>
      </c>
      <c r="E18" t="b">
        <v>0</v>
      </c>
      <c r="F18">
        <v>6</v>
      </c>
      <c r="G18">
        <v>2</v>
      </c>
      <c r="H18">
        <v>0.42</v>
      </c>
      <c r="I18">
        <v>0.42420000000000002</v>
      </c>
      <c r="J18">
        <v>0.82</v>
      </c>
      <c r="K18">
        <v>0.29849999999999999</v>
      </c>
      <c r="L18">
        <v>41</v>
      </c>
      <c r="M18">
        <v>52</v>
      </c>
      <c r="N18">
        <v>93</v>
      </c>
      <c r="O18" t="s">
        <v>29</v>
      </c>
      <c r="P18" t="s">
        <v>30</v>
      </c>
      <c r="Q18" t="s">
        <v>41</v>
      </c>
      <c r="R18" t="s">
        <v>47</v>
      </c>
      <c r="S18" t="s">
        <v>45</v>
      </c>
      <c r="T18" t="s">
        <v>34</v>
      </c>
      <c r="U18" t="s">
        <v>46</v>
      </c>
      <c r="V18" t="s">
        <v>36</v>
      </c>
      <c r="W18" t="s">
        <v>37</v>
      </c>
      <c r="X18">
        <v>44.086021505376337</v>
      </c>
      <c r="Y18">
        <v>55.913978494623649</v>
      </c>
      <c r="Z18" t="s">
        <v>38</v>
      </c>
      <c r="AA18" t="s">
        <v>39</v>
      </c>
      <c r="AB18" t="s">
        <v>40</v>
      </c>
      <c r="AC18">
        <v>4.200000000000037E-3</v>
      </c>
    </row>
    <row r="19" spans="1:29" x14ac:dyDescent="0.3">
      <c r="A19">
        <v>18</v>
      </c>
      <c r="B19" s="1">
        <v>40544</v>
      </c>
      <c r="C19">
        <v>1</v>
      </c>
      <c r="D19">
        <v>17</v>
      </c>
      <c r="E19" t="b">
        <v>0</v>
      </c>
      <c r="F19">
        <v>6</v>
      </c>
      <c r="G19">
        <v>2</v>
      </c>
      <c r="H19">
        <v>0.44</v>
      </c>
      <c r="I19">
        <v>0.42420000000000002</v>
      </c>
      <c r="J19">
        <v>0.82</v>
      </c>
      <c r="K19">
        <v>0.28360000000000002</v>
      </c>
      <c r="L19">
        <v>15</v>
      </c>
      <c r="M19">
        <v>52</v>
      </c>
      <c r="N19">
        <v>67</v>
      </c>
      <c r="O19" t="s">
        <v>29</v>
      </c>
      <c r="P19" t="s">
        <v>30</v>
      </c>
      <c r="Q19" t="s">
        <v>41</v>
      </c>
      <c r="R19" t="s">
        <v>50</v>
      </c>
      <c r="S19" t="s">
        <v>45</v>
      </c>
      <c r="T19" t="s">
        <v>34</v>
      </c>
      <c r="U19" t="s">
        <v>46</v>
      </c>
      <c r="V19" t="s">
        <v>36</v>
      </c>
      <c r="W19" t="s">
        <v>37</v>
      </c>
      <c r="X19">
        <v>22.388059701492541</v>
      </c>
      <c r="Y19">
        <v>77.611940298507463</v>
      </c>
      <c r="Z19" t="s">
        <v>40</v>
      </c>
      <c r="AA19" t="s">
        <v>39</v>
      </c>
      <c r="AB19" t="s">
        <v>40</v>
      </c>
      <c r="AC19">
        <v>-1.5799999999999981E-2</v>
      </c>
    </row>
    <row r="20" spans="1:29" x14ac:dyDescent="0.3">
      <c r="A20">
        <v>19</v>
      </c>
      <c r="B20" s="1">
        <v>40544</v>
      </c>
      <c r="C20">
        <v>1</v>
      </c>
      <c r="D20">
        <v>18</v>
      </c>
      <c r="E20" t="b">
        <v>0</v>
      </c>
      <c r="F20">
        <v>6</v>
      </c>
      <c r="G20">
        <v>3</v>
      </c>
      <c r="H20">
        <v>0.42</v>
      </c>
      <c r="I20">
        <v>0.42420000000000002</v>
      </c>
      <c r="J20">
        <v>0.88</v>
      </c>
      <c r="K20">
        <v>0.25369999999999998</v>
      </c>
      <c r="L20">
        <v>9</v>
      </c>
      <c r="M20">
        <v>26</v>
      </c>
      <c r="N20">
        <v>35</v>
      </c>
      <c r="O20" t="s">
        <v>29</v>
      </c>
      <c r="P20" t="s">
        <v>30</v>
      </c>
      <c r="Q20" t="s">
        <v>51</v>
      </c>
      <c r="R20" t="s">
        <v>50</v>
      </c>
      <c r="S20" t="s">
        <v>45</v>
      </c>
      <c r="T20" t="s">
        <v>34</v>
      </c>
      <c r="U20" t="s">
        <v>46</v>
      </c>
      <c r="V20" t="s">
        <v>36</v>
      </c>
      <c r="W20" t="s">
        <v>37</v>
      </c>
      <c r="X20">
        <v>25.714285714285712</v>
      </c>
      <c r="Y20">
        <v>74.285714285714292</v>
      </c>
      <c r="Z20" t="s">
        <v>40</v>
      </c>
      <c r="AA20" t="s">
        <v>39</v>
      </c>
      <c r="AB20" t="s">
        <v>40</v>
      </c>
      <c r="AC20">
        <v>4.200000000000037E-3</v>
      </c>
    </row>
    <row r="21" spans="1:29" x14ac:dyDescent="0.3">
      <c r="A21">
        <v>20</v>
      </c>
      <c r="B21" s="1">
        <v>40544</v>
      </c>
      <c r="C21">
        <v>1</v>
      </c>
      <c r="D21">
        <v>19</v>
      </c>
      <c r="E21" t="b">
        <v>0</v>
      </c>
      <c r="F21">
        <v>6</v>
      </c>
      <c r="G21">
        <v>3</v>
      </c>
      <c r="H21">
        <v>0.42</v>
      </c>
      <c r="I21">
        <v>0.42420000000000002</v>
      </c>
      <c r="J21">
        <v>0.88</v>
      </c>
      <c r="K21">
        <v>0.25369999999999998</v>
      </c>
      <c r="L21">
        <v>6</v>
      </c>
      <c r="M21">
        <v>31</v>
      </c>
      <c r="N21">
        <v>37</v>
      </c>
      <c r="O21" t="s">
        <v>29</v>
      </c>
      <c r="P21" t="s">
        <v>30</v>
      </c>
      <c r="Q21" t="s">
        <v>51</v>
      </c>
      <c r="R21" t="s">
        <v>50</v>
      </c>
      <c r="S21" t="s">
        <v>45</v>
      </c>
      <c r="T21" t="s">
        <v>34</v>
      </c>
      <c r="U21" t="s">
        <v>46</v>
      </c>
      <c r="V21" t="s">
        <v>36</v>
      </c>
      <c r="W21" t="s">
        <v>37</v>
      </c>
      <c r="X21">
        <v>16.216216216216221</v>
      </c>
      <c r="Y21">
        <v>83.78378378378379</v>
      </c>
      <c r="Z21" t="s">
        <v>40</v>
      </c>
      <c r="AA21" t="s">
        <v>39</v>
      </c>
      <c r="AB21" t="s">
        <v>40</v>
      </c>
      <c r="AC21">
        <v>4.200000000000037E-3</v>
      </c>
    </row>
    <row r="22" spans="1:29" x14ac:dyDescent="0.3">
      <c r="A22">
        <v>21</v>
      </c>
      <c r="B22" s="1">
        <v>40544</v>
      </c>
      <c r="C22">
        <v>1</v>
      </c>
      <c r="D22">
        <v>20</v>
      </c>
      <c r="E22" t="b">
        <v>0</v>
      </c>
      <c r="F22">
        <v>6</v>
      </c>
      <c r="G22">
        <v>2</v>
      </c>
      <c r="H22">
        <v>0.4</v>
      </c>
      <c r="I22">
        <v>0.40910000000000002</v>
      </c>
      <c r="J22">
        <v>0.87</v>
      </c>
      <c r="K22">
        <v>0.25369999999999998</v>
      </c>
      <c r="L22">
        <v>11</v>
      </c>
      <c r="M22">
        <v>25</v>
      </c>
      <c r="N22">
        <v>36</v>
      </c>
      <c r="O22" t="s">
        <v>29</v>
      </c>
      <c r="P22" t="s">
        <v>30</v>
      </c>
      <c r="Q22" t="s">
        <v>41</v>
      </c>
      <c r="R22" t="s">
        <v>50</v>
      </c>
      <c r="S22" t="s">
        <v>45</v>
      </c>
      <c r="T22" t="s">
        <v>34</v>
      </c>
      <c r="U22" t="s">
        <v>46</v>
      </c>
      <c r="V22" t="s">
        <v>36</v>
      </c>
      <c r="W22" t="s">
        <v>37</v>
      </c>
      <c r="X22">
        <v>30.555555555555561</v>
      </c>
      <c r="Y22">
        <v>69.444444444444443</v>
      </c>
      <c r="Z22" t="s">
        <v>38</v>
      </c>
      <c r="AA22" t="s">
        <v>39</v>
      </c>
      <c r="AB22" t="s">
        <v>40</v>
      </c>
      <c r="AC22">
        <v>9.099999999999997E-3</v>
      </c>
    </row>
    <row r="23" spans="1:29" x14ac:dyDescent="0.3">
      <c r="A23">
        <v>22</v>
      </c>
      <c r="B23" s="1">
        <v>40544</v>
      </c>
      <c r="C23">
        <v>1</v>
      </c>
      <c r="D23">
        <v>21</v>
      </c>
      <c r="E23" t="b">
        <v>0</v>
      </c>
      <c r="F23">
        <v>6</v>
      </c>
      <c r="G23">
        <v>2</v>
      </c>
      <c r="H23">
        <v>0.4</v>
      </c>
      <c r="I23">
        <v>0.40910000000000002</v>
      </c>
      <c r="J23">
        <v>0.87</v>
      </c>
      <c r="K23">
        <v>0.19400000000000001</v>
      </c>
      <c r="L23">
        <v>3</v>
      </c>
      <c r="M23">
        <v>31</v>
      </c>
      <c r="N23">
        <v>34</v>
      </c>
      <c r="O23" t="s">
        <v>29</v>
      </c>
      <c r="P23" t="s">
        <v>30</v>
      </c>
      <c r="Q23" t="s">
        <v>41</v>
      </c>
      <c r="R23" t="s">
        <v>32</v>
      </c>
      <c r="S23" t="s">
        <v>45</v>
      </c>
      <c r="T23" t="s">
        <v>34</v>
      </c>
      <c r="U23" t="s">
        <v>46</v>
      </c>
      <c r="V23" t="s">
        <v>36</v>
      </c>
      <c r="W23" t="s">
        <v>37</v>
      </c>
      <c r="X23">
        <v>8.8235294117647065</v>
      </c>
      <c r="Y23">
        <v>91.17647058823529</v>
      </c>
      <c r="Z23" t="s">
        <v>38</v>
      </c>
      <c r="AA23" t="s">
        <v>39</v>
      </c>
      <c r="AB23" t="s">
        <v>40</v>
      </c>
      <c r="AC23">
        <v>9.099999999999997E-3</v>
      </c>
    </row>
    <row r="24" spans="1:29" x14ac:dyDescent="0.3">
      <c r="A24">
        <v>23</v>
      </c>
      <c r="B24" s="1">
        <v>40544</v>
      </c>
      <c r="C24">
        <v>1</v>
      </c>
      <c r="D24">
        <v>22</v>
      </c>
      <c r="E24" t="b">
        <v>0</v>
      </c>
      <c r="F24">
        <v>6</v>
      </c>
      <c r="G24">
        <v>2</v>
      </c>
      <c r="H24">
        <v>0.4</v>
      </c>
      <c r="I24">
        <v>0.40910000000000002</v>
      </c>
      <c r="J24">
        <v>0.94</v>
      </c>
      <c r="K24">
        <v>0.22389999999999999</v>
      </c>
      <c r="L24">
        <v>11</v>
      </c>
      <c r="M24">
        <v>17</v>
      </c>
      <c r="N24">
        <v>28</v>
      </c>
      <c r="O24" t="s">
        <v>29</v>
      </c>
      <c r="P24" t="s">
        <v>30</v>
      </c>
      <c r="Q24" t="s">
        <v>41</v>
      </c>
      <c r="R24" t="s">
        <v>32</v>
      </c>
      <c r="S24" t="s">
        <v>45</v>
      </c>
      <c r="T24" t="s">
        <v>34</v>
      </c>
      <c r="U24" t="s">
        <v>46</v>
      </c>
      <c r="V24" t="s">
        <v>36</v>
      </c>
      <c r="W24" t="s">
        <v>37</v>
      </c>
      <c r="X24">
        <v>39.285714285714278</v>
      </c>
      <c r="Y24">
        <v>60.714285714285708</v>
      </c>
      <c r="Z24" t="s">
        <v>38</v>
      </c>
      <c r="AA24" t="s">
        <v>39</v>
      </c>
      <c r="AB24" t="s">
        <v>40</v>
      </c>
      <c r="AC24">
        <v>9.099999999999997E-3</v>
      </c>
    </row>
    <row r="25" spans="1:29" x14ac:dyDescent="0.3">
      <c r="A25">
        <v>24</v>
      </c>
      <c r="B25" s="1">
        <v>40544</v>
      </c>
      <c r="C25">
        <v>1</v>
      </c>
      <c r="D25">
        <v>23</v>
      </c>
      <c r="E25" t="b">
        <v>0</v>
      </c>
      <c r="F25">
        <v>6</v>
      </c>
      <c r="G25">
        <v>2</v>
      </c>
      <c r="H25">
        <v>0.46</v>
      </c>
      <c r="I25">
        <v>0.40910000000000002</v>
      </c>
      <c r="J25">
        <v>0.88</v>
      </c>
      <c r="K25">
        <v>0.29849999999999999</v>
      </c>
      <c r="L25">
        <v>15</v>
      </c>
      <c r="M25">
        <v>24</v>
      </c>
      <c r="N25">
        <v>39</v>
      </c>
      <c r="O25" t="s">
        <v>29</v>
      </c>
      <c r="P25" t="s">
        <v>30</v>
      </c>
      <c r="Q25" t="s">
        <v>41</v>
      </c>
      <c r="R25" t="s">
        <v>32</v>
      </c>
      <c r="S25" t="s">
        <v>48</v>
      </c>
      <c r="T25" t="s">
        <v>34</v>
      </c>
      <c r="U25" t="s">
        <v>46</v>
      </c>
      <c r="V25" t="s">
        <v>36</v>
      </c>
      <c r="W25" t="s">
        <v>37</v>
      </c>
      <c r="X25">
        <v>38.461538461538467</v>
      </c>
      <c r="Y25">
        <v>61.53846153846154</v>
      </c>
      <c r="Z25" t="s">
        <v>38</v>
      </c>
      <c r="AA25" t="s">
        <v>39</v>
      </c>
      <c r="AB25" t="s">
        <v>40</v>
      </c>
      <c r="AC25">
        <v>-5.0900000000000001E-2</v>
      </c>
    </row>
    <row r="26" spans="1:29" x14ac:dyDescent="0.3">
      <c r="A26">
        <v>25</v>
      </c>
      <c r="B26" s="1">
        <v>40545</v>
      </c>
      <c r="C26">
        <v>1</v>
      </c>
      <c r="D26">
        <v>0</v>
      </c>
      <c r="E26" t="b">
        <v>0</v>
      </c>
      <c r="F26">
        <v>0</v>
      </c>
      <c r="G26">
        <v>2</v>
      </c>
      <c r="H26">
        <v>0.46</v>
      </c>
      <c r="I26">
        <v>0.45450000000000002</v>
      </c>
      <c r="J26">
        <v>0.88</v>
      </c>
      <c r="K26">
        <v>0.29849999999999999</v>
      </c>
      <c r="L26">
        <v>4</v>
      </c>
      <c r="M26">
        <v>13</v>
      </c>
      <c r="N26">
        <v>17</v>
      </c>
      <c r="O26" t="s">
        <v>29</v>
      </c>
      <c r="P26" t="s">
        <v>52</v>
      </c>
      <c r="Q26" t="s">
        <v>41</v>
      </c>
      <c r="R26" t="s">
        <v>32</v>
      </c>
      <c r="S26" t="s">
        <v>48</v>
      </c>
      <c r="T26" t="s">
        <v>34</v>
      </c>
      <c r="U26" t="s">
        <v>46</v>
      </c>
      <c r="V26" t="s">
        <v>36</v>
      </c>
      <c r="W26" t="s">
        <v>37</v>
      </c>
      <c r="X26">
        <v>23.52941176470588</v>
      </c>
      <c r="Y26">
        <v>76.470588235294116</v>
      </c>
      <c r="Z26" t="s">
        <v>38</v>
      </c>
      <c r="AA26" t="s">
        <v>39</v>
      </c>
      <c r="AB26" t="s">
        <v>40</v>
      </c>
      <c r="AC26">
        <v>-5.5000000000000049E-3</v>
      </c>
    </row>
    <row r="27" spans="1:29" x14ac:dyDescent="0.3">
      <c r="A27">
        <v>26</v>
      </c>
      <c r="B27" s="1">
        <v>40545</v>
      </c>
      <c r="C27">
        <v>1</v>
      </c>
      <c r="D27">
        <v>1</v>
      </c>
      <c r="E27" t="b">
        <v>0</v>
      </c>
      <c r="F27">
        <v>0</v>
      </c>
      <c r="G27">
        <v>2</v>
      </c>
      <c r="H27">
        <v>0.44</v>
      </c>
      <c r="I27">
        <v>0.43940000000000001</v>
      </c>
      <c r="J27">
        <v>0.94</v>
      </c>
      <c r="K27">
        <v>0.25369999999999998</v>
      </c>
      <c r="L27">
        <v>1</v>
      </c>
      <c r="M27">
        <v>16</v>
      </c>
      <c r="N27">
        <v>17</v>
      </c>
      <c r="O27" t="s">
        <v>29</v>
      </c>
      <c r="P27" t="s">
        <v>52</v>
      </c>
      <c r="Q27" t="s">
        <v>41</v>
      </c>
      <c r="R27" t="s">
        <v>32</v>
      </c>
      <c r="S27" t="s">
        <v>45</v>
      </c>
      <c r="T27" t="s">
        <v>34</v>
      </c>
      <c r="U27" t="s">
        <v>46</v>
      </c>
      <c r="V27" t="s">
        <v>36</v>
      </c>
      <c r="W27" t="s">
        <v>37</v>
      </c>
      <c r="X27">
        <v>5.8823529411764701</v>
      </c>
      <c r="Y27">
        <v>94.117647058823522</v>
      </c>
      <c r="Z27" t="s">
        <v>38</v>
      </c>
      <c r="AA27" t="s">
        <v>39</v>
      </c>
      <c r="AB27" t="s">
        <v>40</v>
      </c>
      <c r="AC27">
        <v>-5.9999999999998943E-4</v>
      </c>
    </row>
    <row r="28" spans="1:29" x14ac:dyDescent="0.3">
      <c r="A28">
        <v>27</v>
      </c>
      <c r="B28" s="1">
        <v>40545</v>
      </c>
      <c r="C28">
        <v>1</v>
      </c>
      <c r="D28">
        <v>2</v>
      </c>
      <c r="E28" t="b">
        <v>0</v>
      </c>
      <c r="F28">
        <v>0</v>
      </c>
      <c r="G28">
        <v>2</v>
      </c>
      <c r="H28">
        <v>0.42</v>
      </c>
      <c r="I28">
        <v>0.42420000000000002</v>
      </c>
      <c r="J28">
        <v>1</v>
      </c>
      <c r="K28">
        <v>0.28360000000000002</v>
      </c>
      <c r="L28">
        <v>1</v>
      </c>
      <c r="M28">
        <v>8</v>
      </c>
      <c r="N28">
        <v>9</v>
      </c>
      <c r="O28" t="s">
        <v>29</v>
      </c>
      <c r="P28" t="s">
        <v>52</v>
      </c>
      <c r="Q28" t="s">
        <v>41</v>
      </c>
      <c r="R28" t="s">
        <v>32</v>
      </c>
      <c r="S28" t="s">
        <v>45</v>
      </c>
      <c r="T28" t="s">
        <v>34</v>
      </c>
      <c r="U28" t="s">
        <v>46</v>
      </c>
      <c r="V28" t="s">
        <v>36</v>
      </c>
      <c r="W28" t="s">
        <v>37</v>
      </c>
      <c r="X28">
        <v>11.111111111111111</v>
      </c>
      <c r="Y28">
        <v>88.888888888888886</v>
      </c>
      <c r="Z28" t="s">
        <v>38</v>
      </c>
      <c r="AA28" t="s">
        <v>39</v>
      </c>
      <c r="AB28" t="s">
        <v>40</v>
      </c>
      <c r="AC28">
        <v>4.200000000000037E-3</v>
      </c>
    </row>
    <row r="29" spans="1:29" x14ac:dyDescent="0.3">
      <c r="A29">
        <v>28</v>
      </c>
      <c r="B29" s="1">
        <v>40545</v>
      </c>
      <c r="C29">
        <v>1</v>
      </c>
      <c r="D29">
        <v>3</v>
      </c>
      <c r="E29" t="b">
        <v>0</v>
      </c>
      <c r="F29">
        <v>0</v>
      </c>
      <c r="G29">
        <v>2</v>
      </c>
      <c r="H29">
        <v>0.46</v>
      </c>
      <c r="I29">
        <v>0.45450000000000002</v>
      </c>
      <c r="J29">
        <v>0.94</v>
      </c>
      <c r="K29">
        <v>0.19400000000000001</v>
      </c>
      <c r="L29">
        <v>2</v>
      </c>
      <c r="M29">
        <v>4</v>
      </c>
      <c r="N29">
        <v>6</v>
      </c>
      <c r="O29" t="s">
        <v>29</v>
      </c>
      <c r="P29" t="s">
        <v>52</v>
      </c>
      <c r="Q29" t="s">
        <v>41</v>
      </c>
      <c r="R29" t="s">
        <v>32</v>
      </c>
      <c r="S29" t="s">
        <v>48</v>
      </c>
      <c r="T29" t="s">
        <v>34</v>
      </c>
      <c r="U29" t="s">
        <v>46</v>
      </c>
      <c r="V29" t="s">
        <v>36</v>
      </c>
      <c r="W29" t="s">
        <v>37</v>
      </c>
      <c r="X29">
        <v>33.333333333333329</v>
      </c>
      <c r="Y29">
        <v>66.666666666666657</v>
      </c>
      <c r="Z29" t="s">
        <v>38</v>
      </c>
      <c r="AA29" t="s">
        <v>39</v>
      </c>
      <c r="AB29" t="s">
        <v>40</v>
      </c>
      <c r="AC29">
        <v>-5.5000000000000049E-3</v>
      </c>
    </row>
    <row r="30" spans="1:29" x14ac:dyDescent="0.3">
      <c r="A30">
        <v>29</v>
      </c>
      <c r="B30" s="1">
        <v>40545</v>
      </c>
      <c r="C30">
        <v>1</v>
      </c>
      <c r="D30">
        <v>4</v>
      </c>
      <c r="E30" t="b">
        <v>0</v>
      </c>
      <c r="F30">
        <v>0</v>
      </c>
      <c r="G30">
        <v>2</v>
      </c>
      <c r="H30">
        <v>0.46</v>
      </c>
      <c r="I30">
        <v>0.45450000000000002</v>
      </c>
      <c r="J30">
        <v>0.94</v>
      </c>
      <c r="K30">
        <v>0.19400000000000001</v>
      </c>
      <c r="L30">
        <v>2</v>
      </c>
      <c r="M30">
        <v>1</v>
      </c>
      <c r="N30">
        <v>3</v>
      </c>
      <c r="O30" t="s">
        <v>29</v>
      </c>
      <c r="P30" t="s">
        <v>52</v>
      </c>
      <c r="Q30" t="s">
        <v>41</v>
      </c>
      <c r="R30" t="s">
        <v>32</v>
      </c>
      <c r="S30" t="s">
        <v>48</v>
      </c>
      <c r="T30" t="s">
        <v>34</v>
      </c>
      <c r="U30" t="s">
        <v>46</v>
      </c>
      <c r="V30" t="s">
        <v>36</v>
      </c>
      <c r="W30" t="s">
        <v>43</v>
      </c>
      <c r="X30">
        <v>66.666666666666657</v>
      </c>
      <c r="Y30">
        <v>33.333333333333329</v>
      </c>
      <c r="Z30" t="s">
        <v>38</v>
      </c>
      <c r="AA30" t="s">
        <v>39</v>
      </c>
      <c r="AB30" t="s">
        <v>40</v>
      </c>
      <c r="AC30">
        <v>-5.5000000000000049E-3</v>
      </c>
    </row>
    <row r="31" spans="1:29" x14ac:dyDescent="0.3">
      <c r="A31">
        <v>30</v>
      </c>
      <c r="B31" s="1">
        <v>40545</v>
      </c>
      <c r="C31">
        <v>1</v>
      </c>
      <c r="D31">
        <v>6</v>
      </c>
      <c r="E31" t="b">
        <v>0</v>
      </c>
      <c r="F31">
        <v>0</v>
      </c>
      <c r="G31">
        <v>3</v>
      </c>
      <c r="H31">
        <v>0.42</v>
      </c>
      <c r="I31">
        <v>0.42420000000000002</v>
      </c>
      <c r="J31">
        <v>0.77</v>
      </c>
      <c r="K31">
        <v>0.29849999999999999</v>
      </c>
      <c r="L31">
        <v>0</v>
      </c>
      <c r="M31">
        <v>2</v>
      </c>
      <c r="N31">
        <v>2</v>
      </c>
      <c r="O31" t="s">
        <v>29</v>
      </c>
      <c r="P31" t="s">
        <v>52</v>
      </c>
      <c r="Q31" t="s">
        <v>51</v>
      </c>
      <c r="R31" t="s">
        <v>42</v>
      </c>
      <c r="S31" t="s">
        <v>45</v>
      </c>
      <c r="T31" t="s">
        <v>34</v>
      </c>
      <c r="U31" t="s">
        <v>46</v>
      </c>
      <c r="V31" t="s">
        <v>36</v>
      </c>
      <c r="W31" t="s">
        <v>37</v>
      </c>
      <c r="X31">
        <v>0</v>
      </c>
      <c r="Y31">
        <v>100</v>
      </c>
      <c r="Z31" t="s">
        <v>38</v>
      </c>
      <c r="AA31" t="s">
        <v>39</v>
      </c>
      <c r="AB31" t="s">
        <v>40</v>
      </c>
      <c r="AC31">
        <v>4.200000000000037E-3</v>
      </c>
    </row>
    <row r="32" spans="1:29" x14ac:dyDescent="0.3">
      <c r="A32">
        <v>31</v>
      </c>
      <c r="B32" s="1">
        <v>40545</v>
      </c>
      <c r="C32">
        <v>1</v>
      </c>
      <c r="D32">
        <v>7</v>
      </c>
      <c r="E32" t="b">
        <v>0</v>
      </c>
      <c r="F32">
        <v>0</v>
      </c>
      <c r="G32">
        <v>2</v>
      </c>
      <c r="H32">
        <v>0.4</v>
      </c>
      <c r="I32">
        <v>0.40910000000000002</v>
      </c>
      <c r="J32">
        <v>0.76</v>
      </c>
      <c r="K32">
        <v>0.19400000000000001</v>
      </c>
      <c r="L32">
        <v>0</v>
      </c>
      <c r="M32">
        <v>1</v>
      </c>
      <c r="N32">
        <v>1</v>
      </c>
      <c r="O32" t="s">
        <v>29</v>
      </c>
      <c r="P32" t="s">
        <v>52</v>
      </c>
      <c r="Q32" t="s">
        <v>41</v>
      </c>
      <c r="R32" t="s">
        <v>42</v>
      </c>
      <c r="S32" t="s">
        <v>45</v>
      </c>
      <c r="T32" t="s">
        <v>34</v>
      </c>
      <c r="U32" t="s">
        <v>46</v>
      </c>
      <c r="V32" t="s">
        <v>36</v>
      </c>
      <c r="W32" t="s">
        <v>37</v>
      </c>
      <c r="X32">
        <v>0</v>
      </c>
      <c r="Y32">
        <v>100</v>
      </c>
      <c r="Z32" t="s">
        <v>40</v>
      </c>
      <c r="AA32" t="s">
        <v>39</v>
      </c>
      <c r="AB32" t="s">
        <v>40</v>
      </c>
      <c r="AC32">
        <v>9.099999999999997E-3</v>
      </c>
    </row>
    <row r="33" spans="1:29" x14ac:dyDescent="0.3">
      <c r="A33">
        <v>32</v>
      </c>
      <c r="B33" s="1">
        <v>40545</v>
      </c>
      <c r="C33">
        <v>1</v>
      </c>
      <c r="D33">
        <v>8</v>
      </c>
      <c r="E33" t="b">
        <v>0</v>
      </c>
      <c r="F33">
        <v>0</v>
      </c>
      <c r="G33">
        <v>3</v>
      </c>
      <c r="H33">
        <v>0.4</v>
      </c>
      <c r="I33">
        <v>0.40910000000000002</v>
      </c>
      <c r="J33">
        <v>0.71</v>
      </c>
      <c r="K33">
        <v>0.22389999999999999</v>
      </c>
      <c r="L33">
        <v>0</v>
      </c>
      <c r="M33">
        <v>8</v>
      </c>
      <c r="N33">
        <v>8</v>
      </c>
      <c r="O33" t="s">
        <v>29</v>
      </c>
      <c r="P33" t="s">
        <v>52</v>
      </c>
      <c r="Q33" t="s">
        <v>51</v>
      </c>
      <c r="R33" t="s">
        <v>42</v>
      </c>
      <c r="S33" t="s">
        <v>45</v>
      </c>
      <c r="T33" t="s">
        <v>34</v>
      </c>
      <c r="U33" t="s">
        <v>46</v>
      </c>
      <c r="V33" t="s">
        <v>36</v>
      </c>
      <c r="W33" t="s">
        <v>37</v>
      </c>
      <c r="X33">
        <v>0</v>
      </c>
      <c r="Y33">
        <v>100</v>
      </c>
      <c r="Z33" t="s">
        <v>40</v>
      </c>
      <c r="AA33" t="s">
        <v>39</v>
      </c>
      <c r="AB33" t="s">
        <v>40</v>
      </c>
      <c r="AC33">
        <v>9.099999999999997E-3</v>
      </c>
    </row>
    <row r="34" spans="1:29" x14ac:dyDescent="0.3">
      <c r="A34">
        <v>33</v>
      </c>
      <c r="B34" s="1">
        <v>40545</v>
      </c>
      <c r="C34">
        <v>1</v>
      </c>
      <c r="D34">
        <v>9</v>
      </c>
      <c r="E34" t="b">
        <v>0</v>
      </c>
      <c r="F34">
        <v>0</v>
      </c>
      <c r="G34">
        <v>2</v>
      </c>
      <c r="H34">
        <v>0.38</v>
      </c>
      <c r="I34">
        <v>0.40910000000000002</v>
      </c>
      <c r="J34">
        <v>0.76</v>
      </c>
      <c r="K34">
        <v>0.22389999999999999</v>
      </c>
      <c r="L34">
        <v>1</v>
      </c>
      <c r="M34">
        <v>19</v>
      </c>
      <c r="N34">
        <v>20</v>
      </c>
      <c r="O34" t="s">
        <v>29</v>
      </c>
      <c r="P34" t="s">
        <v>52</v>
      </c>
      <c r="Q34" t="s">
        <v>41</v>
      </c>
      <c r="R34" t="s">
        <v>42</v>
      </c>
      <c r="S34" t="s">
        <v>45</v>
      </c>
      <c r="T34" t="s">
        <v>34</v>
      </c>
      <c r="U34" t="s">
        <v>46</v>
      </c>
      <c r="V34" t="s">
        <v>36</v>
      </c>
      <c r="W34" t="s">
        <v>37</v>
      </c>
      <c r="X34">
        <v>5</v>
      </c>
      <c r="Y34">
        <v>95</v>
      </c>
      <c r="Z34" t="s">
        <v>40</v>
      </c>
      <c r="AA34" t="s">
        <v>39</v>
      </c>
      <c r="AB34" t="s">
        <v>40</v>
      </c>
      <c r="AC34">
        <v>2.9100000000000011E-2</v>
      </c>
    </row>
    <row r="35" spans="1:29" x14ac:dyDescent="0.3">
      <c r="A35">
        <v>34</v>
      </c>
      <c r="B35" s="1">
        <v>40545</v>
      </c>
      <c r="C35">
        <v>1</v>
      </c>
      <c r="D35">
        <v>10</v>
      </c>
      <c r="E35" t="b">
        <v>0</v>
      </c>
      <c r="F35">
        <v>0</v>
      </c>
      <c r="G35">
        <v>2</v>
      </c>
      <c r="H35">
        <v>0.36</v>
      </c>
      <c r="I35">
        <v>0.34849999999999998</v>
      </c>
      <c r="J35">
        <v>0.81</v>
      </c>
      <c r="K35">
        <v>0.22389999999999999</v>
      </c>
      <c r="L35">
        <v>7</v>
      </c>
      <c r="M35">
        <v>46</v>
      </c>
      <c r="N35">
        <v>53</v>
      </c>
      <c r="O35" t="s">
        <v>29</v>
      </c>
      <c r="P35" t="s">
        <v>52</v>
      </c>
      <c r="Q35" t="s">
        <v>41</v>
      </c>
      <c r="R35" t="s">
        <v>42</v>
      </c>
      <c r="S35" t="s">
        <v>45</v>
      </c>
      <c r="T35" t="s">
        <v>34</v>
      </c>
      <c r="U35" t="s">
        <v>46</v>
      </c>
      <c r="V35" t="s">
        <v>36</v>
      </c>
      <c r="W35" t="s">
        <v>37</v>
      </c>
      <c r="X35">
        <v>13.20754716981132</v>
      </c>
      <c r="Y35">
        <v>86.79245283018868</v>
      </c>
      <c r="Z35" t="s">
        <v>38</v>
      </c>
      <c r="AA35" t="s">
        <v>39</v>
      </c>
      <c r="AB35" t="s">
        <v>40</v>
      </c>
      <c r="AC35">
        <v>-1.150000000000001E-2</v>
      </c>
    </row>
    <row r="36" spans="1:29" x14ac:dyDescent="0.3">
      <c r="A36">
        <v>35</v>
      </c>
      <c r="B36" s="1">
        <v>40545</v>
      </c>
      <c r="C36">
        <v>1</v>
      </c>
      <c r="D36">
        <v>11</v>
      </c>
      <c r="E36" t="b">
        <v>0</v>
      </c>
      <c r="F36">
        <v>0</v>
      </c>
      <c r="G36">
        <v>2</v>
      </c>
      <c r="H36">
        <v>0.36</v>
      </c>
      <c r="I36">
        <v>0.33329999999999999</v>
      </c>
      <c r="J36">
        <v>0.71</v>
      </c>
      <c r="K36">
        <v>0.25369999999999998</v>
      </c>
      <c r="L36">
        <v>16</v>
      </c>
      <c r="M36">
        <v>54</v>
      </c>
      <c r="N36">
        <v>70</v>
      </c>
      <c r="O36" t="s">
        <v>29</v>
      </c>
      <c r="P36" t="s">
        <v>52</v>
      </c>
      <c r="Q36" t="s">
        <v>41</v>
      </c>
      <c r="R36" t="s">
        <v>42</v>
      </c>
      <c r="S36" t="s">
        <v>45</v>
      </c>
      <c r="T36" t="s">
        <v>34</v>
      </c>
      <c r="U36" t="s">
        <v>46</v>
      </c>
      <c r="V36" t="s">
        <v>36</v>
      </c>
      <c r="W36" t="s">
        <v>37</v>
      </c>
      <c r="X36">
        <v>22.857142857142861</v>
      </c>
      <c r="Y36">
        <v>77.142857142857153</v>
      </c>
      <c r="Z36" t="s">
        <v>38</v>
      </c>
      <c r="AA36" t="s">
        <v>39</v>
      </c>
      <c r="AB36" t="s">
        <v>40</v>
      </c>
      <c r="AC36">
        <v>-2.6700000000000002E-2</v>
      </c>
    </row>
    <row r="37" spans="1:29" x14ac:dyDescent="0.3">
      <c r="A37">
        <v>36</v>
      </c>
      <c r="B37" s="1">
        <v>40545</v>
      </c>
      <c r="C37">
        <v>1</v>
      </c>
      <c r="D37">
        <v>12</v>
      </c>
      <c r="E37" t="b">
        <v>0</v>
      </c>
      <c r="F37">
        <v>0</v>
      </c>
      <c r="G37">
        <v>2</v>
      </c>
      <c r="H37">
        <v>0.36</v>
      </c>
      <c r="I37">
        <v>0.33329999999999999</v>
      </c>
      <c r="J37">
        <v>0.66</v>
      </c>
      <c r="K37">
        <v>0.29849999999999999</v>
      </c>
      <c r="L37">
        <v>20</v>
      </c>
      <c r="M37">
        <v>73</v>
      </c>
      <c r="N37">
        <v>93</v>
      </c>
      <c r="O37" t="s">
        <v>29</v>
      </c>
      <c r="P37" t="s">
        <v>52</v>
      </c>
      <c r="Q37" t="s">
        <v>41</v>
      </c>
      <c r="R37" t="s">
        <v>47</v>
      </c>
      <c r="S37" t="s">
        <v>45</v>
      </c>
      <c r="T37" t="s">
        <v>49</v>
      </c>
      <c r="U37" t="s">
        <v>46</v>
      </c>
      <c r="V37" t="s">
        <v>36</v>
      </c>
      <c r="W37" t="s">
        <v>37</v>
      </c>
      <c r="X37">
        <v>21.50537634408602</v>
      </c>
      <c r="Y37">
        <v>78.494623655913969</v>
      </c>
      <c r="Z37" t="s">
        <v>38</v>
      </c>
      <c r="AA37" t="s">
        <v>39</v>
      </c>
      <c r="AB37" t="s">
        <v>40</v>
      </c>
      <c r="AC37">
        <v>-2.6700000000000002E-2</v>
      </c>
    </row>
    <row r="38" spans="1:29" x14ac:dyDescent="0.3">
      <c r="A38">
        <v>37</v>
      </c>
      <c r="B38" s="1">
        <v>40545</v>
      </c>
      <c r="C38">
        <v>1</v>
      </c>
      <c r="D38">
        <v>13</v>
      </c>
      <c r="E38" t="b">
        <v>0</v>
      </c>
      <c r="F38">
        <v>0</v>
      </c>
      <c r="G38">
        <v>2</v>
      </c>
      <c r="H38">
        <v>0.36</v>
      </c>
      <c r="I38">
        <v>0.34849999999999998</v>
      </c>
      <c r="J38">
        <v>0.66</v>
      </c>
      <c r="K38">
        <v>0.1343</v>
      </c>
      <c r="L38">
        <v>11</v>
      </c>
      <c r="M38">
        <v>64</v>
      </c>
      <c r="N38">
        <v>75</v>
      </c>
      <c r="O38" t="s">
        <v>29</v>
      </c>
      <c r="P38" t="s">
        <v>52</v>
      </c>
      <c r="Q38" t="s">
        <v>41</v>
      </c>
      <c r="R38" t="s">
        <v>47</v>
      </c>
      <c r="S38" t="s">
        <v>45</v>
      </c>
      <c r="T38" t="s">
        <v>49</v>
      </c>
      <c r="U38" t="s">
        <v>35</v>
      </c>
      <c r="V38" t="s">
        <v>36</v>
      </c>
      <c r="W38" t="s">
        <v>37</v>
      </c>
      <c r="X38">
        <v>14.66666666666667</v>
      </c>
      <c r="Y38">
        <v>85.333333333333343</v>
      </c>
      <c r="Z38" t="s">
        <v>38</v>
      </c>
      <c r="AA38" t="s">
        <v>39</v>
      </c>
      <c r="AB38" t="s">
        <v>40</v>
      </c>
      <c r="AC38">
        <v>-1.150000000000001E-2</v>
      </c>
    </row>
    <row r="39" spans="1:29" x14ac:dyDescent="0.3">
      <c r="A39">
        <v>38</v>
      </c>
      <c r="B39" s="1">
        <v>40545</v>
      </c>
      <c r="C39">
        <v>1</v>
      </c>
      <c r="D39">
        <v>14</v>
      </c>
      <c r="E39" t="b">
        <v>0</v>
      </c>
      <c r="F39">
        <v>0</v>
      </c>
      <c r="G39">
        <v>3</v>
      </c>
      <c r="H39">
        <v>0.36</v>
      </c>
      <c r="I39">
        <v>0.34849999999999998</v>
      </c>
      <c r="J39">
        <v>0.76</v>
      </c>
      <c r="K39">
        <v>0.19400000000000001</v>
      </c>
      <c r="L39">
        <v>4</v>
      </c>
      <c r="M39">
        <v>55</v>
      </c>
      <c r="N39">
        <v>59</v>
      </c>
      <c r="O39" t="s">
        <v>29</v>
      </c>
      <c r="P39" t="s">
        <v>52</v>
      </c>
      <c r="Q39" t="s">
        <v>51</v>
      </c>
      <c r="R39" t="s">
        <v>47</v>
      </c>
      <c r="S39" t="s">
        <v>45</v>
      </c>
      <c r="T39" t="s">
        <v>34</v>
      </c>
      <c r="U39" t="s">
        <v>46</v>
      </c>
      <c r="V39" t="s">
        <v>36</v>
      </c>
      <c r="W39" t="s">
        <v>37</v>
      </c>
      <c r="X39">
        <v>6.7796610169491522</v>
      </c>
      <c r="Y39">
        <v>93.220338983050837</v>
      </c>
      <c r="Z39" t="s">
        <v>38</v>
      </c>
      <c r="AA39" t="s">
        <v>39</v>
      </c>
      <c r="AB39" t="s">
        <v>40</v>
      </c>
      <c r="AC39">
        <v>-1.150000000000001E-2</v>
      </c>
    </row>
    <row r="40" spans="1:29" x14ac:dyDescent="0.3">
      <c r="A40">
        <v>39</v>
      </c>
      <c r="B40" s="1">
        <v>40545</v>
      </c>
      <c r="C40">
        <v>1</v>
      </c>
      <c r="D40">
        <v>15</v>
      </c>
      <c r="E40" t="b">
        <v>0</v>
      </c>
      <c r="F40">
        <v>0</v>
      </c>
      <c r="G40">
        <v>3</v>
      </c>
      <c r="H40">
        <v>0.34</v>
      </c>
      <c r="I40">
        <v>0.33329999999999999</v>
      </c>
      <c r="J40">
        <v>0.81</v>
      </c>
      <c r="K40">
        <v>0.16420000000000001</v>
      </c>
      <c r="L40">
        <v>19</v>
      </c>
      <c r="M40">
        <v>55</v>
      </c>
      <c r="N40">
        <v>74</v>
      </c>
      <c r="O40" t="s">
        <v>29</v>
      </c>
      <c r="P40" t="s">
        <v>52</v>
      </c>
      <c r="Q40" t="s">
        <v>51</v>
      </c>
      <c r="R40" t="s">
        <v>47</v>
      </c>
      <c r="S40" t="s">
        <v>44</v>
      </c>
      <c r="T40" t="s">
        <v>34</v>
      </c>
      <c r="U40" t="s">
        <v>46</v>
      </c>
      <c r="V40" t="s">
        <v>36</v>
      </c>
      <c r="W40" t="s">
        <v>37</v>
      </c>
      <c r="X40">
        <v>25.67567567567567</v>
      </c>
      <c r="Y40">
        <v>74.324324324324323</v>
      </c>
      <c r="Z40" t="s">
        <v>38</v>
      </c>
      <c r="AA40" t="s">
        <v>39</v>
      </c>
      <c r="AB40" t="s">
        <v>40</v>
      </c>
      <c r="AC40">
        <v>-6.7000000000000393E-3</v>
      </c>
    </row>
    <row r="41" spans="1:29" x14ac:dyDescent="0.3">
      <c r="A41">
        <v>40</v>
      </c>
      <c r="B41" s="1">
        <v>40545</v>
      </c>
      <c r="C41">
        <v>1</v>
      </c>
      <c r="D41">
        <v>16</v>
      </c>
      <c r="E41" t="b">
        <v>0</v>
      </c>
      <c r="F41">
        <v>0</v>
      </c>
      <c r="G41">
        <v>3</v>
      </c>
      <c r="H41">
        <v>0.34</v>
      </c>
      <c r="I41">
        <v>0.33329999999999999</v>
      </c>
      <c r="J41">
        <v>0.71</v>
      </c>
      <c r="K41">
        <v>0.16420000000000001</v>
      </c>
      <c r="L41">
        <v>9</v>
      </c>
      <c r="M41">
        <v>67</v>
      </c>
      <c r="N41">
        <v>76</v>
      </c>
      <c r="O41" t="s">
        <v>29</v>
      </c>
      <c r="P41" t="s">
        <v>52</v>
      </c>
      <c r="Q41" t="s">
        <v>51</v>
      </c>
      <c r="R41" t="s">
        <v>47</v>
      </c>
      <c r="S41" t="s">
        <v>44</v>
      </c>
      <c r="T41" t="s">
        <v>34</v>
      </c>
      <c r="U41" t="s">
        <v>46</v>
      </c>
      <c r="V41" t="s">
        <v>36</v>
      </c>
      <c r="W41" t="s">
        <v>37</v>
      </c>
      <c r="X41">
        <v>11.84210526315789</v>
      </c>
      <c r="Y41">
        <v>88.157894736842096</v>
      </c>
      <c r="Z41" t="s">
        <v>38</v>
      </c>
      <c r="AA41" t="s">
        <v>39</v>
      </c>
      <c r="AB41" t="s">
        <v>40</v>
      </c>
      <c r="AC41">
        <v>-6.7000000000000393E-3</v>
      </c>
    </row>
    <row r="42" spans="1:29" x14ac:dyDescent="0.3">
      <c r="A42">
        <v>41</v>
      </c>
      <c r="B42" s="1">
        <v>40545</v>
      </c>
      <c r="C42">
        <v>1</v>
      </c>
      <c r="D42">
        <v>17</v>
      </c>
      <c r="E42" t="b">
        <v>0</v>
      </c>
      <c r="F42">
        <v>0</v>
      </c>
      <c r="G42">
        <v>1</v>
      </c>
      <c r="H42">
        <v>0.34</v>
      </c>
      <c r="I42">
        <v>0.33329999999999999</v>
      </c>
      <c r="J42">
        <v>0.56999999999999995</v>
      </c>
      <c r="K42">
        <v>0.19400000000000001</v>
      </c>
      <c r="L42">
        <v>7</v>
      </c>
      <c r="M42">
        <v>58</v>
      </c>
      <c r="N42">
        <v>65</v>
      </c>
      <c r="O42" t="s">
        <v>29</v>
      </c>
      <c r="P42" t="s">
        <v>52</v>
      </c>
      <c r="Q42" t="s">
        <v>31</v>
      </c>
      <c r="R42" t="s">
        <v>50</v>
      </c>
      <c r="S42" t="s">
        <v>44</v>
      </c>
      <c r="T42" t="s">
        <v>49</v>
      </c>
      <c r="U42" t="s">
        <v>46</v>
      </c>
      <c r="V42" t="s">
        <v>36</v>
      </c>
      <c r="W42" t="s">
        <v>37</v>
      </c>
      <c r="X42">
        <v>10.76923076923077</v>
      </c>
      <c r="Y42">
        <v>89.230769230769241</v>
      </c>
      <c r="Z42" t="s">
        <v>40</v>
      </c>
      <c r="AA42" t="s">
        <v>39</v>
      </c>
      <c r="AB42" t="s">
        <v>40</v>
      </c>
      <c r="AC42">
        <v>-6.7000000000000393E-3</v>
      </c>
    </row>
    <row r="43" spans="1:29" x14ac:dyDescent="0.3">
      <c r="A43">
        <v>42</v>
      </c>
      <c r="B43" s="1">
        <v>40545</v>
      </c>
      <c r="C43">
        <v>1</v>
      </c>
      <c r="D43">
        <v>18</v>
      </c>
      <c r="E43" t="b">
        <v>0</v>
      </c>
      <c r="F43">
        <v>0</v>
      </c>
      <c r="G43">
        <v>2</v>
      </c>
      <c r="H43">
        <v>0.36</v>
      </c>
      <c r="I43">
        <v>0.33329999999999999</v>
      </c>
      <c r="J43">
        <v>0.46</v>
      </c>
      <c r="K43">
        <v>0.32840000000000003</v>
      </c>
      <c r="L43">
        <v>10</v>
      </c>
      <c r="M43">
        <v>43</v>
      </c>
      <c r="N43">
        <v>53</v>
      </c>
      <c r="O43" t="s">
        <v>29</v>
      </c>
      <c r="P43" t="s">
        <v>52</v>
      </c>
      <c r="Q43" t="s">
        <v>41</v>
      </c>
      <c r="R43" t="s">
        <v>50</v>
      </c>
      <c r="S43" t="s">
        <v>45</v>
      </c>
      <c r="T43" t="s">
        <v>49</v>
      </c>
      <c r="U43" t="s">
        <v>53</v>
      </c>
      <c r="V43" t="s">
        <v>36</v>
      </c>
      <c r="W43" t="s">
        <v>37</v>
      </c>
      <c r="X43">
        <v>18.867924528301891</v>
      </c>
      <c r="Y43">
        <v>81.132075471698116</v>
      </c>
      <c r="Z43" t="s">
        <v>40</v>
      </c>
      <c r="AA43" t="s">
        <v>39</v>
      </c>
      <c r="AB43" t="s">
        <v>40</v>
      </c>
      <c r="AC43">
        <v>-2.6700000000000002E-2</v>
      </c>
    </row>
    <row r="44" spans="1:29" x14ac:dyDescent="0.3">
      <c r="A44">
        <v>43</v>
      </c>
      <c r="B44" s="1">
        <v>40545</v>
      </c>
      <c r="C44">
        <v>1</v>
      </c>
      <c r="D44">
        <v>19</v>
      </c>
      <c r="E44" t="b">
        <v>0</v>
      </c>
      <c r="F44">
        <v>0</v>
      </c>
      <c r="G44">
        <v>1</v>
      </c>
      <c r="H44">
        <v>0.32</v>
      </c>
      <c r="I44">
        <v>0.28789999999999999</v>
      </c>
      <c r="J44">
        <v>0.42</v>
      </c>
      <c r="K44">
        <v>0.44779999999999998</v>
      </c>
      <c r="L44">
        <v>1</v>
      </c>
      <c r="M44">
        <v>29</v>
      </c>
      <c r="N44">
        <v>30</v>
      </c>
      <c r="O44" t="s">
        <v>29</v>
      </c>
      <c r="P44" t="s">
        <v>52</v>
      </c>
      <c r="Q44" t="s">
        <v>31</v>
      </c>
      <c r="R44" t="s">
        <v>50</v>
      </c>
      <c r="S44" t="s">
        <v>44</v>
      </c>
      <c r="T44" t="s">
        <v>49</v>
      </c>
      <c r="U44" t="s">
        <v>53</v>
      </c>
      <c r="V44" t="s">
        <v>36</v>
      </c>
      <c r="W44" t="s">
        <v>37</v>
      </c>
      <c r="X44">
        <v>3.333333333333333</v>
      </c>
      <c r="Y44">
        <v>96.666666666666671</v>
      </c>
      <c r="Z44" t="s">
        <v>40</v>
      </c>
      <c r="AA44" t="s">
        <v>39</v>
      </c>
      <c r="AB44" t="s">
        <v>40</v>
      </c>
      <c r="AC44">
        <v>-3.2100000000000017E-2</v>
      </c>
    </row>
    <row r="45" spans="1:29" x14ac:dyDescent="0.3">
      <c r="A45">
        <v>44</v>
      </c>
      <c r="B45" s="1">
        <v>40545</v>
      </c>
      <c r="C45">
        <v>1</v>
      </c>
      <c r="D45">
        <v>20</v>
      </c>
      <c r="E45" t="b">
        <v>0</v>
      </c>
      <c r="F45">
        <v>0</v>
      </c>
      <c r="G45">
        <v>1</v>
      </c>
      <c r="H45">
        <v>0.3</v>
      </c>
      <c r="I45">
        <v>0.28789999999999999</v>
      </c>
      <c r="J45">
        <v>0.39</v>
      </c>
      <c r="K45">
        <v>0.35820000000000002</v>
      </c>
      <c r="L45">
        <v>5</v>
      </c>
      <c r="M45">
        <v>17</v>
      </c>
      <c r="N45">
        <v>22</v>
      </c>
      <c r="O45" t="s">
        <v>29</v>
      </c>
      <c r="P45" t="s">
        <v>52</v>
      </c>
      <c r="Q45" t="s">
        <v>31</v>
      </c>
      <c r="R45" t="s">
        <v>50</v>
      </c>
      <c r="S45" t="s">
        <v>44</v>
      </c>
      <c r="T45" t="s">
        <v>39</v>
      </c>
      <c r="U45" t="s">
        <v>53</v>
      </c>
      <c r="V45" t="s">
        <v>36</v>
      </c>
      <c r="W45" t="s">
        <v>37</v>
      </c>
      <c r="X45">
        <v>22.72727272727273</v>
      </c>
      <c r="Y45">
        <v>77.272727272727266</v>
      </c>
      <c r="Z45" t="s">
        <v>38</v>
      </c>
      <c r="AA45" t="s">
        <v>39</v>
      </c>
      <c r="AB45" t="s">
        <v>40</v>
      </c>
      <c r="AC45">
        <v>-1.21E-2</v>
      </c>
    </row>
    <row r="46" spans="1:29" x14ac:dyDescent="0.3">
      <c r="A46">
        <v>45</v>
      </c>
      <c r="B46" s="1">
        <v>40545</v>
      </c>
      <c r="C46">
        <v>1</v>
      </c>
      <c r="D46">
        <v>21</v>
      </c>
      <c r="E46" t="b">
        <v>0</v>
      </c>
      <c r="F46">
        <v>0</v>
      </c>
      <c r="G46">
        <v>1</v>
      </c>
      <c r="H46">
        <v>0.26</v>
      </c>
      <c r="I46">
        <v>0.2273</v>
      </c>
      <c r="J46">
        <v>0.44</v>
      </c>
      <c r="K46">
        <v>0.32840000000000003</v>
      </c>
      <c r="L46">
        <v>11</v>
      </c>
      <c r="M46">
        <v>20</v>
      </c>
      <c r="N46">
        <v>31</v>
      </c>
      <c r="O46" t="s">
        <v>29</v>
      </c>
      <c r="P46" t="s">
        <v>52</v>
      </c>
      <c r="Q46" t="s">
        <v>31</v>
      </c>
      <c r="R46" t="s">
        <v>32</v>
      </c>
      <c r="S46" t="s">
        <v>44</v>
      </c>
      <c r="T46" t="s">
        <v>49</v>
      </c>
      <c r="U46" t="s">
        <v>53</v>
      </c>
      <c r="V46" t="s">
        <v>36</v>
      </c>
      <c r="W46" t="s">
        <v>37</v>
      </c>
      <c r="X46">
        <v>35.483870967741943</v>
      </c>
      <c r="Y46">
        <v>64.516129032258064</v>
      </c>
      <c r="Z46" t="s">
        <v>38</v>
      </c>
      <c r="AA46" t="s">
        <v>39</v>
      </c>
      <c r="AB46" t="s">
        <v>40</v>
      </c>
      <c r="AC46">
        <v>-3.2700000000000007E-2</v>
      </c>
    </row>
    <row r="47" spans="1:29" x14ac:dyDescent="0.3">
      <c r="A47">
        <v>46</v>
      </c>
      <c r="B47" s="1">
        <v>40545</v>
      </c>
      <c r="C47">
        <v>1</v>
      </c>
      <c r="D47">
        <v>22</v>
      </c>
      <c r="E47" t="b">
        <v>0</v>
      </c>
      <c r="F47">
        <v>0</v>
      </c>
      <c r="G47">
        <v>1</v>
      </c>
      <c r="H47">
        <v>0.24</v>
      </c>
      <c r="I47">
        <v>0.21210000000000001</v>
      </c>
      <c r="J47">
        <v>0.44</v>
      </c>
      <c r="K47">
        <v>0.29849999999999999</v>
      </c>
      <c r="L47">
        <v>0</v>
      </c>
      <c r="M47">
        <v>9</v>
      </c>
      <c r="N47">
        <v>9</v>
      </c>
      <c r="O47" t="s">
        <v>29</v>
      </c>
      <c r="P47" t="s">
        <v>52</v>
      </c>
      <c r="Q47" t="s">
        <v>31</v>
      </c>
      <c r="R47" t="s">
        <v>32</v>
      </c>
      <c r="S47" t="s">
        <v>33</v>
      </c>
      <c r="T47" t="s">
        <v>49</v>
      </c>
      <c r="U47" t="s">
        <v>46</v>
      </c>
      <c r="V47" t="s">
        <v>36</v>
      </c>
      <c r="W47" t="s">
        <v>37</v>
      </c>
      <c r="X47">
        <v>0</v>
      </c>
      <c r="Y47">
        <v>100</v>
      </c>
      <c r="Z47" t="s">
        <v>38</v>
      </c>
      <c r="AA47" t="s">
        <v>39</v>
      </c>
      <c r="AB47" t="s">
        <v>40</v>
      </c>
      <c r="AC47">
        <v>-2.789999999999998E-2</v>
      </c>
    </row>
    <row r="48" spans="1:29" x14ac:dyDescent="0.3">
      <c r="A48">
        <v>47</v>
      </c>
      <c r="B48" s="1">
        <v>40545</v>
      </c>
      <c r="C48">
        <v>1</v>
      </c>
      <c r="D48">
        <v>23</v>
      </c>
      <c r="E48" t="b">
        <v>0</v>
      </c>
      <c r="F48">
        <v>0</v>
      </c>
      <c r="G48">
        <v>1</v>
      </c>
      <c r="H48">
        <v>0.22</v>
      </c>
      <c r="I48">
        <v>0.2273</v>
      </c>
      <c r="J48">
        <v>0.47</v>
      </c>
      <c r="K48">
        <v>0.16420000000000001</v>
      </c>
      <c r="L48">
        <v>0</v>
      </c>
      <c r="M48">
        <v>8</v>
      </c>
      <c r="N48">
        <v>8</v>
      </c>
      <c r="O48" t="s">
        <v>29</v>
      </c>
      <c r="P48" t="s">
        <v>52</v>
      </c>
      <c r="Q48" t="s">
        <v>31</v>
      </c>
      <c r="R48" t="s">
        <v>32</v>
      </c>
      <c r="S48" t="s">
        <v>33</v>
      </c>
      <c r="T48" t="s">
        <v>49</v>
      </c>
      <c r="U48" t="s">
        <v>46</v>
      </c>
      <c r="V48" t="s">
        <v>36</v>
      </c>
      <c r="W48" t="s">
        <v>37</v>
      </c>
      <c r="X48">
        <v>0</v>
      </c>
      <c r="Y48">
        <v>100</v>
      </c>
      <c r="Z48" t="s">
        <v>38</v>
      </c>
      <c r="AA48" t="s">
        <v>39</v>
      </c>
      <c r="AB48" t="s">
        <v>40</v>
      </c>
      <c r="AC48">
        <v>7.3000000000000009E-3</v>
      </c>
    </row>
    <row r="49" spans="1:29" x14ac:dyDescent="0.3">
      <c r="A49">
        <v>48</v>
      </c>
      <c r="B49" s="1">
        <v>40546</v>
      </c>
      <c r="C49">
        <v>1</v>
      </c>
      <c r="D49">
        <v>0</v>
      </c>
      <c r="E49" t="b">
        <v>0</v>
      </c>
      <c r="F49">
        <v>1</v>
      </c>
      <c r="G49">
        <v>1</v>
      </c>
      <c r="H49">
        <v>0.22</v>
      </c>
      <c r="I49">
        <v>0.19700000000000001</v>
      </c>
      <c r="J49">
        <v>0.44</v>
      </c>
      <c r="K49">
        <v>0.35820000000000002</v>
      </c>
      <c r="L49">
        <v>0</v>
      </c>
      <c r="M49">
        <v>5</v>
      </c>
      <c r="N49">
        <v>5</v>
      </c>
      <c r="O49" t="s">
        <v>29</v>
      </c>
      <c r="P49" t="s">
        <v>54</v>
      </c>
      <c r="Q49" t="s">
        <v>31</v>
      </c>
      <c r="R49" t="s">
        <v>32</v>
      </c>
      <c r="S49" t="s">
        <v>33</v>
      </c>
      <c r="T49" t="s">
        <v>49</v>
      </c>
      <c r="U49" t="s">
        <v>53</v>
      </c>
      <c r="V49" t="s">
        <v>36</v>
      </c>
      <c r="W49" t="s">
        <v>37</v>
      </c>
      <c r="X49">
        <v>0</v>
      </c>
      <c r="Y49">
        <v>100</v>
      </c>
      <c r="Z49" t="s">
        <v>38</v>
      </c>
      <c r="AA49" t="s">
        <v>39</v>
      </c>
      <c r="AB49" t="s">
        <v>38</v>
      </c>
      <c r="AC49">
        <v>-2.2999999999999989E-2</v>
      </c>
    </row>
    <row r="50" spans="1:29" x14ac:dyDescent="0.3">
      <c r="A50">
        <v>49</v>
      </c>
      <c r="B50" s="1">
        <v>40546</v>
      </c>
      <c r="C50">
        <v>1</v>
      </c>
      <c r="D50">
        <v>1</v>
      </c>
      <c r="E50" t="b">
        <v>0</v>
      </c>
      <c r="F50">
        <v>1</v>
      </c>
      <c r="G50">
        <v>1</v>
      </c>
      <c r="H50">
        <v>0.2</v>
      </c>
      <c r="I50">
        <v>0.19700000000000001</v>
      </c>
      <c r="J50">
        <v>0.44</v>
      </c>
      <c r="K50">
        <v>0.41789999999999999</v>
      </c>
      <c r="L50">
        <v>0</v>
      </c>
      <c r="M50">
        <v>2</v>
      </c>
      <c r="N50">
        <v>2</v>
      </c>
      <c r="O50" t="s">
        <v>29</v>
      </c>
      <c r="P50" t="s">
        <v>54</v>
      </c>
      <c r="Q50" t="s">
        <v>31</v>
      </c>
      <c r="R50" t="s">
        <v>32</v>
      </c>
      <c r="S50" t="s">
        <v>33</v>
      </c>
      <c r="T50" t="s">
        <v>49</v>
      </c>
      <c r="U50" t="s">
        <v>53</v>
      </c>
      <c r="V50" t="s">
        <v>36</v>
      </c>
      <c r="W50" t="s">
        <v>37</v>
      </c>
      <c r="X50">
        <v>0</v>
      </c>
      <c r="Y50">
        <v>100</v>
      </c>
      <c r="Z50" t="s">
        <v>38</v>
      </c>
      <c r="AA50" t="s">
        <v>39</v>
      </c>
      <c r="AB50" t="s">
        <v>38</v>
      </c>
      <c r="AC50">
        <v>-3.0000000000000031E-3</v>
      </c>
    </row>
    <row r="51" spans="1:29" x14ac:dyDescent="0.3">
      <c r="A51">
        <v>50</v>
      </c>
      <c r="B51" s="1">
        <v>40546</v>
      </c>
      <c r="C51">
        <v>1</v>
      </c>
      <c r="D51">
        <v>4</v>
      </c>
      <c r="E51" t="b">
        <v>0</v>
      </c>
      <c r="F51">
        <v>1</v>
      </c>
      <c r="G51">
        <v>1</v>
      </c>
      <c r="H51">
        <v>0.16</v>
      </c>
      <c r="I51">
        <v>0.13639999999999999</v>
      </c>
      <c r="J51">
        <v>0.47</v>
      </c>
      <c r="K51">
        <v>0.3881</v>
      </c>
      <c r="L51">
        <v>0</v>
      </c>
      <c r="M51">
        <v>1</v>
      </c>
      <c r="N51">
        <v>1</v>
      </c>
      <c r="O51" t="s">
        <v>29</v>
      </c>
      <c r="P51" t="s">
        <v>54</v>
      </c>
      <c r="Q51" t="s">
        <v>31</v>
      </c>
      <c r="R51" t="s">
        <v>32</v>
      </c>
      <c r="S51" t="s">
        <v>33</v>
      </c>
      <c r="T51" t="s">
        <v>49</v>
      </c>
      <c r="U51" t="s">
        <v>53</v>
      </c>
      <c r="V51" t="s">
        <v>36</v>
      </c>
      <c r="W51" t="s">
        <v>37</v>
      </c>
      <c r="X51">
        <v>0</v>
      </c>
      <c r="Y51">
        <v>100</v>
      </c>
      <c r="Z51" t="s">
        <v>38</v>
      </c>
      <c r="AA51" t="s">
        <v>39</v>
      </c>
      <c r="AB51" t="s">
        <v>38</v>
      </c>
      <c r="AC51">
        <v>-2.360000000000001E-2</v>
      </c>
    </row>
    <row r="52" spans="1:29" x14ac:dyDescent="0.3">
      <c r="A52">
        <v>51</v>
      </c>
      <c r="B52" s="1">
        <v>40546</v>
      </c>
      <c r="C52">
        <v>1</v>
      </c>
      <c r="D52">
        <v>5</v>
      </c>
      <c r="E52" t="b">
        <v>0</v>
      </c>
      <c r="F52">
        <v>1</v>
      </c>
      <c r="G52">
        <v>1</v>
      </c>
      <c r="H52">
        <v>0.16</v>
      </c>
      <c r="I52">
        <v>0.13639999999999999</v>
      </c>
      <c r="J52">
        <v>0.47</v>
      </c>
      <c r="K52">
        <v>0.28360000000000002</v>
      </c>
      <c r="L52">
        <v>0</v>
      </c>
      <c r="M52">
        <v>3</v>
      </c>
      <c r="N52">
        <v>3</v>
      </c>
      <c r="O52" t="s">
        <v>29</v>
      </c>
      <c r="P52" t="s">
        <v>54</v>
      </c>
      <c r="Q52" t="s">
        <v>31</v>
      </c>
      <c r="R52" t="s">
        <v>32</v>
      </c>
      <c r="S52" t="s">
        <v>33</v>
      </c>
      <c r="T52" t="s">
        <v>49</v>
      </c>
      <c r="U52" t="s">
        <v>46</v>
      </c>
      <c r="V52" t="s">
        <v>36</v>
      </c>
      <c r="W52" t="s">
        <v>37</v>
      </c>
      <c r="X52">
        <v>0</v>
      </c>
      <c r="Y52">
        <v>100</v>
      </c>
      <c r="Z52" t="s">
        <v>38</v>
      </c>
      <c r="AA52" t="s">
        <v>39</v>
      </c>
      <c r="AB52" t="s">
        <v>38</v>
      </c>
      <c r="AC52">
        <v>-2.360000000000001E-2</v>
      </c>
    </row>
    <row r="53" spans="1:29" x14ac:dyDescent="0.3">
      <c r="A53">
        <v>52</v>
      </c>
      <c r="B53" s="1">
        <v>40546</v>
      </c>
      <c r="C53">
        <v>1</v>
      </c>
      <c r="D53">
        <v>6</v>
      </c>
      <c r="E53" t="b">
        <v>0</v>
      </c>
      <c r="F53">
        <v>1</v>
      </c>
      <c r="G53">
        <v>1</v>
      </c>
      <c r="H53">
        <v>0.14000000000000001</v>
      </c>
      <c r="I53">
        <v>0.1061</v>
      </c>
      <c r="J53">
        <v>0.5</v>
      </c>
      <c r="K53">
        <v>0.3881</v>
      </c>
      <c r="L53">
        <v>0</v>
      </c>
      <c r="M53">
        <v>30</v>
      </c>
      <c r="N53">
        <v>30</v>
      </c>
      <c r="O53" t="s">
        <v>29</v>
      </c>
      <c r="P53" t="s">
        <v>54</v>
      </c>
      <c r="Q53" t="s">
        <v>31</v>
      </c>
      <c r="R53" t="s">
        <v>42</v>
      </c>
      <c r="S53" t="s">
        <v>55</v>
      </c>
      <c r="T53" t="s">
        <v>49</v>
      </c>
      <c r="U53" t="s">
        <v>53</v>
      </c>
      <c r="V53" t="s">
        <v>36</v>
      </c>
      <c r="W53" t="s">
        <v>37</v>
      </c>
      <c r="X53">
        <v>0</v>
      </c>
      <c r="Y53">
        <v>100</v>
      </c>
      <c r="Z53" t="s">
        <v>38</v>
      </c>
      <c r="AA53" t="s">
        <v>39</v>
      </c>
      <c r="AB53" t="s">
        <v>38</v>
      </c>
      <c r="AC53">
        <v>-3.3900000000000013E-2</v>
      </c>
    </row>
    <row r="54" spans="1:29" x14ac:dyDescent="0.3">
      <c r="A54">
        <v>53</v>
      </c>
      <c r="B54" s="1">
        <v>40546</v>
      </c>
      <c r="C54">
        <v>1</v>
      </c>
      <c r="D54">
        <v>7</v>
      </c>
      <c r="E54" t="b">
        <v>0</v>
      </c>
      <c r="F54">
        <v>1</v>
      </c>
      <c r="G54">
        <v>1</v>
      </c>
      <c r="H54">
        <v>0.14000000000000001</v>
      </c>
      <c r="I54">
        <v>0.13639999999999999</v>
      </c>
      <c r="J54">
        <v>0.5</v>
      </c>
      <c r="K54">
        <v>0.19400000000000001</v>
      </c>
      <c r="L54">
        <v>1</v>
      </c>
      <c r="M54">
        <v>63</v>
      </c>
      <c r="N54">
        <v>64</v>
      </c>
      <c r="O54" t="s">
        <v>29</v>
      </c>
      <c r="P54" t="s">
        <v>54</v>
      </c>
      <c r="Q54" t="s">
        <v>31</v>
      </c>
      <c r="R54" t="s">
        <v>42</v>
      </c>
      <c r="S54" t="s">
        <v>55</v>
      </c>
      <c r="T54" t="s">
        <v>49</v>
      </c>
      <c r="U54" t="s">
        <v>46</v>
      </c>
      <c r="V54" t="s">
        <v>36</v>
      </c>
      <c r="W54" t="s">
        <v>37</v>
      </c>
      <c r="X54">
        <v>1.5625</v>
      </c>
      <c r="Y54">
        <v>98.4375</v>
      </c>
      <c r="Z54" t="s">
        <v>40</v>
      </c>
      <c r="AA54" t="s">
        <v>39</v>
      </c>
      <c r="AB54" t="s">
        <v>38</v>
      </c>
      <c r="AC54">
        <v>-3.6000000000000199E-3</v>
      </c>
    </row>
    <row r="55" spans="1:29" x14ac:dyDescent="0.3">
      <c r="A55">
        <v>54</v>
      </c>
      <c r="B55" s="1">
        <v>40546</v>
      </c>
      <c r="C55">
        <v>1</v>
      </c>
      <c r="D55">
        <v>8</v>
      </c>
      <c r="E55" t="b">
        <v>0</v>
      </c>
      <c r="F55">
        <v>1</v>
      </c>
      <c r="G55">
        <v>1</v>
      </c>
      <c r="H55">
        <v>0.14000000000000001</v>
      </c>
      <c r="I55">
        <v>0.1212</v>
      </c>
      <c r="J55">
        <v>0.5</v>
      </c>
      <c r="K55">
        <v>0.28360000000000002</v>
      </c>
      <c r="L55">
        <v>1</v>
      </c>
      <c r="M55">
        <v>153</v>
      </c>
      <c r="N55">
        <v>154</v>
      </c>
      <c r="O55" t="s">
        <v>29</v>
      </c>
      <c r="P55" t="s">
        <v>54</v>
      </c>
      <c r="Q55" t="s">
        <v>31</v>
      </c>
      <c r="R55" t="s">
        <v>42</v>
      </c>
      <c r="S55" t="s">
        <v>55</v>
      </c>
      <c r="T55" t="s">
        <v>49</v>
      </c>
      <c r="U55" t="s">
        <v>46</v>
      </c>
      <c r="V55" t="s">
        <v>36</v>
      </c>
      <c r="W55" t="s">
        <v>37</v>
      </c>
      <c r="X55">
        <v>0.64935064935064934</v>
      </c>
      <c r="Y55">
        <v>99.350649350649363</v>
      </c>
      <c r="Z55" t="s">
        <v>40</v>
      </c>
      <c r="AA55" t="s">
        <v>49</v>
      </c>
      <c r="AB55" t="s">
        <v>38</v>
      </c>
      <c r="AC55">
        <v>-1.8800000000000011E-2</v>
      </c>
    </row>
    <row r="56" spans="1:29" x14ac:dyDescent="0.3">
      <c r="A56">
        <v>55</v>
      </c>
      <c r="B56" s="1">
        <v>40546</v>
      </c>
      <c r="C56">
        <v>1</v>
      </c>
      <c r="D56">
        <v>9</v>
      </c>
      <c r="E56" t="b">
        <v>0</v>
      </c>
      <c r="F56">
        <v>1</v>
      </c>
      <c r="G56">
        <v>1</v>
      </c>
      <c r="H56">
        <v>0.16</v>
      </c>
      <c r="I56">
        <v>0.13639999999999999</v>
      </c>
      <c r="J56">
        <v>0.43</v>
      </c>
      <c r="K56">
        <v>0.3881</v>
      </c>
      <c r="L56">
        <v>7</v>
      </c>
      <c r="M56">
        <v>81</v>
      </c>
      <c r="N56">
        <v>88</v>
      </c>
      <c r="O56" t="s">
        <v>29</v>
      </c>
      <c r="P56" t="s">
        <v>54</v>
      </c>
      <c r="Q56" t="s">
        <v>31</v>
      </c>
      <c r="R56" t="s">
        <v>42</v>
      </c>
      <c r="S56" t="s">
        <v>33</v>
      </c>
      <c r="T56" t="s">
        <v>49</v>
      </c>
      <c r="U56" t="s">
        <v>53</v>
      </c>
      <c r="V56" t="s">
        <v>36</v>
      </c>
      <c r="W56" t="s">
        <v>37</v>
      </c>
      <c r="X56">
        <v>7.9545454545454541</v>
      </c>
      <c r="Y56">
        <v>92.045454545454547</v>
      </c>
      <c r="Z56" t="s">
        <v>40</v>
      </c>
      <c r="AA56" t="s">
        <v>39</v>
      </c>
      <c r="AB56" t="s">
        <v>38</v>
      </c>
      <c r="AC56">
        <v>-2.360000000000001E-2</v>
      </c>
    </row>
    <row r="57" spans="1:29" x14ac:dyDescent="0.3">
      <c r="A57">
        <v>56</v>
      </c>
      <c r="B57" s="1">
        <v>40546</v>
      </c>
      <c r="C57">
        <v>1</v>
      </c>
      <c r="D57">
        <v>10</v>
      </c>
      <c r="E57" t="b">
        <v>0</v>
      </c>
      <c r="F57">
        <v>1</v>
      </c>
      <c r="G57">
        <v>1</v>
      </c>
      <c r="H57">
        <v>0.18</v>
      </c>
      <c r="I57">
        <v>0.16669999999999999</v>
      </c>
      <c r="J57">
        <v>0.43</v>
      </c>
      <c r="K57">
        <v>0.25369999999999998</v>
      </c>
      <c r="L57">
        <v>11</v>
      </c>
      <c r="M57">
        <v>33</v>
      </c>
      <c r="N57">
        <v>44</v>
      </c>
      <c r="O57" t="s">
        <v>29</v>
      </c>
      <c r="P57" t="s">
        <v>54</v>
      </c>
      <c r="Q57" t="s">
        <v>31</v>
      </c>
      <c r="R57" t="s">
        <v>42</v>
      </c>
      <c r="S57" t="s">
        <v>33</v>
      </c>
      <c r="T57" t="s">
        <v>49</v>
      </c>
      <c r="U57" t="s">
        <v>46</v>
      </c>
      <c r="V57" t="s">
        <v>36</v>
      </c>
      <c r="W57" t="s">
        <v>37</v>
      </c>
      <c r="X57">
        <v>25</v>
      </c>
      <c r="Y57">
        <v>75</v>
      </c>
      <c r="Z57" t="s">
        <v>38</v>
      </c>
      <c r="AA57" t="s">
        <v>39</v>
      </c>
      <c r="AB57" t="s">
        <v>38</v>
      </c>
      <c r="AC57">
        <v>-1.330000000000001E-2</v>
      </c>
    </row>
    <row r="58" spans="1:29" x14ac:dyDescent="0.3">
      <c r="A58">
        <v>57</v>
      </c>
      <c r="B58" s="1">
        <v>40546</v>
      </c>
      <c r="C58">
        <v>1</v>
      </c>
      <c r="D58">
        <v>11</v>
      </c>
      <c r="E58" t="b">
        <v>0</v>
      </c>
      <c r="F58">
        <v>1</v>
      </c>
      <c r="G58">
        <v>1</v>
      </c>
      <c r="H58">
        <v>0.2</v>
      </c>
      <c r="I58">
        <v>0.18179999999999999</v>
      </c>
      <c r="J58">
        <v>0.4</v>
      </c>
      <c r="K58">
        <v>0.32840000000000003</v>
      </c>
      <c r="L58">
        <v>10</v>
      </c>
      <c r="M58">
        <v>41</v>
      </c>
      <c r="N58">
        <v>51</v>
      </c>
      <c r="O58" t="s">
        <v>29</v>
      </c>
      <c r="P58" t="s">
        <v>54</v>
      </c>
      <c r="Q58" t="s">
        <v>31</v>
      </c>
      <c r="R58" t="s">
        <v>42</v>
      </c>
      <c r="S58" t="s">
        <v>33</v>
      </c>
      <c r="T58" t="s">
        <v>49</v>
      </c>
      <c r="U58" t="s">
        <v>53</v>
      </c>
      <c r="V58" t="s">
        <v>36</v>
      </c>
      <c r="W58" t="s">
        <v>37</v>
      </c>
      <c r="X58">
        <v>19.6078431372549</v>
      </c>
      <c r="Y58">
        <v>80.392156862745097</v>
      </c>
      <c r="Z58" t="s">
        <v>38</v>
      </c>
      <c r="AA58" t="s">
        <v>39</v>
      </c>
      <c r="AB58" t="s">
        <v>38</v>
      </c>
      <c r="AC58">
        <v>-1.8200000000000022E-2</v>
      </c>
    </row>
    <row r="59" spans="1:29" x14ac:dyDescent="0.3">
      <c r="A59">
        <v>58</v>
      </c>
      <c r="B59" s="1">
        <v>40546</v>
      </c>
      <c r="C59">
        <v>1</v>
      </c>
      <c r="D59">
        <v>12</v>
      </c>
      <c r="E59" t="b">
        <v>0</v>
      </c>
      <c r="F59">
        <v>1</v>
      </c>
      <c r="G59">
        <v>1</v>
      </c>
      <c r="H59">
        <v>0.22</v>
      </c>
      <c r="I59">
        <v>0.21210000000000001</v>
      </c>
      <c r="J59">
        <v>0.35</v>
      </c>
      <c r="K59">
        <v>0.29849999999999999</v>
      </c>
      <c r="L59">
        <v>13</v>
      </c>
      <c r="M59">
        <v>48</v>
      </c>
      <c r="N59">
        <v>61</v>
      </c>
      <c r="O59" t="s">
        <v>29</v>
      </c>
      <c r="P59" t="s">
        <v>54</v>
      </c>
      <c r="Q59" t="s">
        <v>31</v>
      </c>
      <c r="R59" t="s">
        <v>47</v>
      </c>
      <c r="S59" t="s">
        <v>33</v>
      </c>
      <c r="T59" t="s">
        <v>39</v>
      </c>
      <c r="U59" t="s">
        <v>46</v>
      </c>
      <c r="V59" t="s">
        <v>36</v>
      </c>
      <c r="W59" t="s">
        <v>37</v>
      </c>
      <c r="X59">
        <v>21.31147540983606</v>
      </c>
      <c r="Y59">
        <v>78.688524590163937</v>
      </c>
      <c r="Z59" t="s">
        <v>38</v>
      </c>
      <c r="AA59" t="s">
        <v>39</v>
      </c>
      <c r="AB59" t="s">
        <v>38</v>
      </c>
      <c r="AC59">
        <v>-7.8999999999999904E-3</v>
      </c>
    </row>
    <row r="60" spans="1:29" x14ac:dyDescent="0.3">
      <c r="A60">
        <v>59</v>
      </c>
      <c r="B60" s="1">
        <v>40546</v>
      </c>
      <c r="C60">
        <v>1</v>
      </c>
      <c r="D60">
        <v>13</v>
      </c>
      <c r="E60" t="b">
        <v>0</v>
      </c>
      <c r="F60">
        <v>1</v>
      </c>
      <c r="G60">
        <v>1</v>
      </c>
      <c r="H60">
        <v>0.24</v>
      </c>
      <c r="I60">
        <v>0.21210000000000001</v>
      </c>
      <c r="J60">
        <v>0.35</v>
      </c>
      <c r="K60">
        <v>0.28360000000000002</v>
      </c>
      <c r="L60">
        <v>8</v>
      </c>
      <c r="M60">
        <v>53</v>
      </c>
      <c r="N60">
        <v>61</v>
      </c>
      <c r="O60" t="s">
        <v>29</v>
      </c>
      <c r="P60" t="s">
        <v>54</v>
      </c>
      <c r="Q60" t="s">
        <v>31</v>
      </c>
      <c r="R60" t="s">
        <v>47</v>
      </c>
      <c r="S60" t="s">
        <v>33</v>
      </c>
      <c r="T60" t="s">
        <v>39</v>
      </c>
      <c r="U60" t="s">
        <v>46</v>
      </c>
      <c r="V60" t="s">
        <v>36</v>
      </c>
      <c r="W60" t="s">
        <v>37</v>
      </c>
      <c r="X60">
        <v>13.11475409836066</v>
      </c>
      <c r="Y60">
        <v>86.885245901639337</v>
      </c>
      <c r="Z60" t="s">
        <v>38</v>
      </c>
      <c r="AA60" t="s">
        <v>39</v>
      </c>
      <c r="AB60" t="s">
        <v>38</v>
      </c>
      <c r="AC60">
        <v>-2.789999999999998E-2</v>
      </c>
    </row>
    <row r="61" spans="1:29" x14ac:dyDescent="0.3">
      <c r="A61">
        <v>60</v>
      </c>
      <c r="B61" s="1">
        <v>40546</v>
      </c>
      <c r="C61">
        <v>1</v>
      </c>
      <c r="D61">
        <v>14</v>
      </c>
      <c r="E61" t="b">
        <v>0</v>
      </c>
      <c r="F61">
        <v>1</v>
      </c>
      <c r="G61">
        <v>1</v>
      </c>
      <c r="H61">
        <v>0.26</v>
      </c>
      <c r="I61">
        <v>0.2424</v>
      </c>
      <c r="J61">
        <v>0.3</v>
      </c>
      <c r="K61">
        <v>0.28360000000000002</v>
      </c>
      <c r="L61">
        <v>11</v>
      </c>
      <c r="M61">
        <v>66</v>
      </c>
      <c r="N61">
        <v>77</v>
      </c>
      <c r="O61" t="s">
        <v>29</v>
      </c>
      <c r="P61" t="s">
        <v>54</v>
      </c>
      <c r="Q61" t="s">
        <v>31</v>
      </c>
      <c r="R61" t="s">
        <v>47</v>
      </c>
      <c r="S61" t="s">
        <v>44</v>
      </c>
      <c r="T61" t="s">
        <v>39</v>
      </c>
      <c r="U61" t="s">
        <v>46</v>
      </c>
      <c r="V61" t="s">
        <v>36</v>
      </c>
      <c r="W61" t="s">
        <v>37</v>
      </c>
      <c r="X61">
        <v>14.285714285714279</v>
      </c>
      <c r="Y61">
        <v>85.714285714285708</v>
      </c>
      <c r="Z61" t="s">
        <v>38</v>
      </c>
      <c r="AA61" t="s">
        <v>39</v>
      </c>
      <c r="AB61" t="s">
        <v>38</v>
      </c>
      <c r="AC61">
        <v>-1.7600000000000001E-2</v>
      </c>
    </row>
    <row r="62" spans="1:29" x14ac:dyDescent="0.3">
      <c r="A62">
        <v>61</v>
      </c>
      <c r="B62" s="1">
        <v>40546</v>
      </c>
      <c r="C62">
        <v>1</v>
      </c>
      <c r="D62">
        <v>15</v>
      </c>
      <c r="E62" t="b">
        <v>0</v>
      </c>
      <c r="F62">
        <v>1</v>
      </c>
      <c r="G62">
        <v>1</v>
      </c>
      <c r="H62">
        <v>0.26</v>
      </c>
      <c r="I62">
        <v>0.2424</v>
      </c>
      <c r="J62">
        <v>0.3</v>
      </c>
      <c r="K62">
        <v>0.25369999999999998</v>
      </c>
      <c r="L62">
        <v>14</v>
      </c>
      <c r="M62">
        <v>58</v>
      </c>
      <c r="N62">
        <v>72</v>
      </c>
      <c r="O62" t="s">
        <v>29</v>
      </c>
      <c r="P62" t="s">
        <v>54</v>
      </c>
      <c r="Q62" t="s">
        <v>31</v>
      </c>
      <c r="R62" t="s">
        <v>47</v>
      </c>
      <c r="S62" t="s">
        <v>44</v>
      </c>
      <c r="T62" t="s">
        <v>39</v>
      </c>
      <c r="U62" t="s">
        <v>46</v>
      </c>
      <c r="V62" t="s">
        <v>36</v>
      </c>
      <c r="W62" t="s">
        <v>37</v>
      </c>
      <c r="X62">
        <v>19.44444444444445</v>
      </c>
      <c r="Y62">
        <v>80.555555555555557</v>
      </c>
      <c r="Z62" t="s">
        <v>38</v>
      </c>
      <c r="AA62" t="s">
        <v>39</v>
      </c>
      <c r="AB62" t="s">
        <v>38</v>
      </c>
      <c r="AC62">
        <v>-1.7600000000000001E-2</v>
      </c>
    </row>
    <row r="63" spans="1:29" x14ac:dyDescent="0.3">
      <c r="A63">
        <v>62</v>
      </c>
      <c r="B63" s="1">
        <v>40546</v>
      </c>
      <c r="C63">
        <v>1</v>
      </c>
      <c r="D63">
        <v>16</v>
      </c>
      <c r="E63" t="b">
        <v>0</v>
      </c>
      <c r="F63">
        <v>1</v>
      </c>
      <c r="G63">
        <v>1</v>
      </c>
      <c r="H63">
        <v>0.26</v>
      </c>
      <c r="I63">
        <v>0.2424</v>
      </c>
      <c r="J63">
        <v>0.3</v>
      </c>
      <c r="K63">
        <v>0.25369999999999998</v>
      </c>
      <c r="L63">
        <v>9</v>
      </c>
      <c r="M63">
        <v>67</v>
      </c>
      <c r="N63">
        <v>76</v>
      </c>
      <c r="O63" t="s">
        <v>29</v>
      </c>
      <c r="P63" t="s">
        <v>54</v>
      </c>
      <c r="Q63" t="s">
        <v>31</v>
      </c>
      <c r="R63" t="s">
        <v>47</v>
      </c>
      <c r="S63" t="s">
        <v>44</v>
      </c>
      <c r="T63" t="s">
        <v>39</v>
      </c>
      <c r="U63" t="s">
        <v>46</v>
      </c>
      <c r="V63" t="s">
        <v>36</v>
      </c>
      <c r="W63" t="s">
        <v>37</v>
      </c>
      <c r="X63">
        <v>11.84210526315789</v>
      </c>
      <c r="Y63">
        <v>88.157894736842096</v>
      </c>
      <c r="Z63" t="s">
        <v>38</v>
      </c>
      <c r="AA63" t="s">
        <v>39</v>
      </c>
      <c r="AB63" t="s">
        <v>38</v>
      </c>
      <c r="AC63">
        <v>-1.7600000000000001E-2</v>
      </c>
    </row>
    <row r="64" spans="1:29" x14ac:dyDescent="0.3">
      <c r="A64">
        <v>63</v>
      </c>
      <c r="B64" s="1">
        <v>40546</v>
      </c>
      <c r="C64">
        <v>1</v>
      </c>
      <c r="D64">
        <v>17</v>
      </c>
      <c r="E64" t="b">
        <v>0</v>
      </c>
      <c r="F64">
        <v>1</v>
      </c>
      <c r="G64">
        <v>1</v>
      </c>
      <c r="H64">
        <v>0.24</v>
      </c>
      <c r="I64">
        <v>0.2273</v>
      </c>
      <c r="J64">
        <v>0.3</v>
      </c>
      <c r="K64">
        <v>0.22389999999999999</v>
      </c>
      <c r="L64">
        <v>11</v>
      </c>
      <c r="M64">
        <v>146</v>
      </c>
      <c r="N64">
        <v>157</v>
      </c>
      <c r="O64" t="s">
        <v>29</v>
      </c>
      <c r="P64" t="s">
        <v>54</v>
      </c>
      <c r="Q64" t="s">
        <v>31</v>
      </c>
      <c r="R64" t="s">
        <v>50</v>
      </c>
      <c r="S64" t="s">
        <v>33</v>
      </c>
      <c r="T64" t="s">
        <v>39</v>
      </c>
      <c r="U64" t="s">
        <v>46</v>
      </c>
      <c r="V64" t="s">
        <v>36</v>
      </c>
      <c r="W64" t="s">
        <v>37</v>
      </c>
      <c r="X64">
        <v>7.0063694267515926</v>
      </c>
      <c r="Y64">
        <v>92.99363057324841</v>
      </c>
      <c r="Z64" t="s">
        <v>40</v>
      </c>
      <c r="AA64" t="s">
        <v>49</v>
      </c>
      <c r="AB64" t="s">
        <v>38</v>
      </c>
      <c r="AC64">
        <v>-1.2699999999999991E-2</v>
      </c>
    </row>
    <row r="65" spans="1:29" x14ac:dyDescent="0.3">
      <c r="A65">
        <v>64</v>
      </c>
      <c r="B65" s="1">
        <v>40546</v>
      </c>
      <c r="C65">
        <v>1</v>
      </c>
      <c r="D65">
        <v>18</v>
      </c>
      <c r="E65" t="b">
        <v>0</v>
      </c>
      <c r="F65">
        <v>1</v>
      </c>
      <c r="G65">
        <v>1</v>
      </c>
      <c r="H65">
        <v>0.24</v>
      </c>
      <c r="I65">
        <v>0.2576</v>
      </c>
      <c r="J65">
        <v>0.32</v>
      </c>
      <c r="K65">
        <v>0.1045</v>
      </c>
      <c r="L65">
        <v>9</v>
      </c>
      <c r="M65">
        <v>148</v>
      </c>
      <c r="N65">
        <v>157</v>
      </c>
      <c r="O65" t="s">
        <v>29</v>
      </c>
      <c r="P65" t="s">
        <v>54</v>
      </c>
      <c r="Q65" t="s">
        <v>31</v>
      </c>
      <c r="R65" t="s">
        <v>50</v>
      </c>
      <c r="S65" t="s">
        <v>33</v>
      </c>
      <c r="T65" t="s">
        <v>39</v>
      </c>
      <c r="U65" t="s">
        <v>35</v>
      </c>
      <c r="V65" t="s">
        <v>36</v>
      </c>
      <c r="W65" t="s">
        <v>37</v>
      </c>
      <c r="X65">
        <v>5.7324840764331224</v>
      </c>
      <c r="Y65">
        <v>94.267515923566876</v>
      </c>
      <c r="Z65" t="s">
        <v>40</v>
      </c>
      <c r="AA65" t="s">
        <v>49</v>
      </c>
      <c r="AB65" t="s">
        <v>38</v>
      </c>
      <c r="AC65">
        <v>1.7600000000000001E-2</v>
      </c>
    </row>
    <row r="66" spans="1:29" x14ac:dyDescent="0.3">
      <c r="A66">
        <v>65</v>
      </c>
      <c r="B66" s="1">
        <v>40546</v>
      </c>
      <c r="C66">
        <v>1</v>
      </c>
      <c r="D66">
        <v>19</v>
      </c>
      <c r="E66" t="b">
        <v>0</v>
      </c>
      <c r="F66">
        <v>1</v>
      </c>
      <c r="G66">
        <v>1</v>
      </c>
      <c r="H66">
        <v>0.2</v>
      </c>
      <c r="I66">
        <v>0.2576</v>
      </c>
      <c r="J66">
        <v>0.47</v>
      </c>
      <c r="K66">
        <v>0</v>
      </c>
      <c r="L66">
        <v>8</v>
      </c>
      <c r="M66">
        <v>102</v>
      </c>
      <c r="N66">
        <v>110</v>
      </c>
      <c r="O66" t="s">
        <v>29</v>
      </c>
      <c r="P66" t="s">
        <v>54</v>
      </c>
      <c r="Q66" t="s">
        <v>31</v>
      </c>
      <c r="R66" t="s">
        <v>50</v>
      </c>
      <c r="S66" t="s">
        <v>33</v>
      </c>
      <c r="T66" t="s">
        <v>49</v>
      </c>
      <c r="U66" t="s">
        <v>35</v>
      </c>
      <c r="V66" t="s">
        <v>36</v>
      </c>
      <c r="W66" t="s">
        <v>37</v>
      </c>
      <c r="X66">
        <v>7.2727272727272716</v>
      </c>
      <c r="Y66">
        <v>92.72727272727272</v>
      </c>
      <c r="Z66" t="s">
        <v>40</v>
      </c>
      <c r="AA66" t="s">
        <v>49</v>
      </c>
      <c r="AB66" t="s">
        <v>38</v>
      </c>
      <c r="AC66">
        <v>5.7599999999999978E-2</v>
      </c>
    </row>
    <row r="67" spans="1:29" x14ac:dyDescent="0.3">
      <c r="A67">
        <v>66</v>
      </c>
      <c r="B67" s="1">
        <v>40546</v>
      </c>
      <c r="C67">
        <v>1</v>
      </c>
      <c r="D67">
        <v>20</v>
      </c>
      <c r="E67" t="b">
        <v>0</v>
      </c>
      <c r="F67">
        <v>1</v>
      </c>
      <c r="G67">
        <v>1</v>
      </c>
      <c r="H67">
        <v>0.2</v>
      </c>
      <c r="I67">
        <v>0.2576</v>
      </c>
      <c r="J67">
        <v>0.47</v>
      </c>
      <c r="K67">
        <v>0.1045</v>
      </c>
      <c r="L67">
        <v>3</v>
      </c>
      <c r="M67">
        <v>49</v>
      </c>
      <c r="N67">
        <v>52</v>
      </c>
      <c r="O67" t="s">
        <v>29</v>
      </c>
      <c r="P67" t="s">
        <v>54</v>
      </c>
      <c r="Q67" t="s">
        <v>31</v>
      </c>
      <c r="R67" t="s">
        <v>50</v>
      </c>
      <c r="S67" t="s">
        <v>33</v>
      </c>
      <c r="T67" t="s">
        <v>49</v>
      </c>
      <c r="U67" t="s">
        <v>35</v>
      </c>
      <c r="V67" t="s">
        <v>36</v>
      </c>
      <c r="W67" t="s">
        <v>37</v>
      </c>
      <c r="X67">
        <v>5.7692307692307692</v>
      </c>
      <c r="Y67">
        <v>94.230769230769226</v>
      </c>
      <c r="Z67" t="s">
        <v>38</v>
      </c>
      <c r="AA67" t="s">
        <v>39</v>
      </c>
      <c r="AB67" t="s">
        <v>38</v>
      </c>
      <c r="AC67">
        <v>5.7599999999999978E-2</v>
      </c>
    </row>
    <row r="68" spans="1:29" x14ac:dyDescent="0.3">
      <c r="A68">
        <v>67</v>
      </c>
      <c r="B68" s="1">
        <v>40546</v>
      </c>
      <c r="C68">
        <v>1</v>
      </c>
      <c r="D68">
        <v>21</v>
      </c>
      <c r="E68" t="b">
        <v>0</v>
      </c>
      <c r="F68">
        <v>1</v>
      </c>
      <c r="G68">
        <v>1</v>
      </c>
      <c r="H68">
        <v>0.18</v>
      </c>
      <c r="I68">
        <v>0.19700000000000001</v>
      </c>
      <c r="J68">
        <v>0.64</v>
      </c>
      <c r="K68">
        <v>0.1343</v>
      </c>
      <c r="L68">
        <v>3</v>
      </c>
      <c r="M68">
        <v>49</v>
      </c>
      <c r="N68">
        <v>52</v>
      </c>
      <c r="O68" t="s">
        <v>29</v>
      </c>
      <c r="P68" t="s">
        <v>54</v>
      </c>
      <c r="Q68" t="s">
        <v>31</v>
      </c>
      <c r="R68" t="s">
        <v>32</v>
      </c>
      <c r="S68" t="s">
        <v>33</v>
      </c>
      <c r="T68" t="s">
        <v>49</v>
      </c>
      <c r="U68" t="s">
        <v>35</v>
      </c>
      <c r="V68" t="s">
        <v>36</v>
      </c>
      <c r="W68" t="s">
        <v>37</v>
      </c>
      <c r="X68">
        <v>5.7692307692307692</v>
      </c>
      <c r="Y68">
        <v>94.230769230769226</v>
      </c>
      <c r="Z68" t="s">
        <v>38</v>
      </c>
      <c r="AA68" t="s">
        <v>39</v>
      </c>
      <c r="AB68" t="s">
        <v>38</v>
      </c>
      <c r="AC68">
        <v>1.7000000000000019E-2</v>
      </c>
    </row>
    <row r="69" spans="1:29" x14ac:dyDescent="0.3">
      <c r="A69">
        <v>68</v>
      </c>
      <c r="B69" s="1">
        <v>40546</v>
      </c>
      <c r="C69">
        <v>1</v>
      </c>
      <c r="D69">
        <v>22</v>
      </c>
      <c r="E69" t="b">
        <v>0</v>
      </c>
      <c r="F69">
        <v>1</v>
      </c>
      <c r="G69">
        <v>1</v>
      </c>
      <c r="H69">
        <v>0.14000000000000001</v>
      </c>
      <c r="I69">
        <v>0.1515</v>
      </c>
      <c r="J69">
        <v>0.69</v>
      </c>
      <c r="K69">
        <v>0.1343</v>
      </c>
      <c r="L69">
        <v>0</v>
      </c>
      <c r="M69">
        <v>20</v>
      </c>
      <c r="N69">
        <v>20</v>
      </c>
      <c r="O69" t="s">
        <v>29</v>
      </c>
      <c r="P69" t="s">
        <v>54</v>
      </c>
      <c r="Q69" t="s">
        <v>31</v>
      </c>
      <c r="R69" t="s">
        <v>32</v>
      </c>
      <c r="S69" t="s">
        <v>55</v>
      </c>
      <c r="T69" t="s">
        <v>49</v>
      </c>
      <c r="U69" t="s">
        <v>35</v>
      </c>
      <c r="V69" t="s">
        <v>36</v>
      </c>
      <c r="W69" t="s">
        <v>37</v>
      </c>
      <c r="X69">
        <v>0</v>
      </c>
      <c r="Y69">
        <v>100</v>
      </c>
      <c r="Z69" t="s">
        <v>38</v>
      </c>
      <c r="AA69" t="s">
        <v>39</v>
      </c>
      <c r="AB69" t="s">
        <v>38</v>
      </c>
      <c r="AC69">
        <v>1.1499999999999981E-2</v>
      </c>
    </row>
    <row r="70" spans="1:29" x14ac:dyDescent="0.3">
      <c r="A70">
        <v>69</v>
      </c>
      <c r="B70" s="1">
        <v>40546</v>
      </c>
      <c r="C70">
        <v>1</v>
      </c>
      <c r="D70">
        <v>23</v>
      </c>
      <c r="E70" t="b">
        <v>0</v>
      </c>
      <c r="F70">
        <v>1</v>
      </c>
      <c r="G70">
        <v>1</v>
      </c>
      <c r="H70">
        <v>0.18</v>
      </c>
      <c r="I70">
        <v>0.21210000000000001</v>
      </c>
      <c r="J70">
        <v>0.55000000000000004</v>
      </c>
      <c r="K70">
        <v>0.1045</v>
      </c>
      <c r="L70">
        <v>1</v>
      </c>
      <c r="M70">
        <v>11</v>
      </c>
      <c r="N70">
        <v>12</v>
      </c>
      <c r="O70" t="s">
        <v>29</v>
      </c>
      <c r="P70" t="s">
        <v>54</v>
      </c>
      <c r="Q70" t="s">
        <v>31</v>
      </c>
      <c r="R70" t="s">
        <v>32</v>
      </c>
      <c r="S70" t="s">
        <v>33</v>
      </c>
      <c r="T70" t="s">
        <v>49</v>
      </c>
      <c r="U70" t="s">
        <v>35</v>
      </c>
      <c r="V70" t="s">
        <v>36</v>
      </c>
      <c r="W70" t="s">
        <v>37</v>
      </c>
      <c r="X70">
        <v>8.3333333333333321</v>
      </c>
      <c r="Y70">
        <v>91.666666666666657</v>
      </c>
      <c r="Z70" t="s">
        <v>38</v>
      </c>
      <c r="AA70" t="s">
        <v>39</v>
      </c>
      <c r="AB70" t="s">
        <v>38</v>
      </c>
      <c r="AC70">
        <v>3.2100000000000017E-2</v>
      </c>
    </row>
    <row r="71" spans="1:29" x14ac:dyDescent="0.3">
      <c r="A71">
        <v>70</v>
      </c>
      <c r="B71" s="1">
        <v>40547</v>
      </c>
      <c r="C71">
        <v>1</v>
      </c>
      <c r="D71">
        <v>0</v>
      </c>
      <c r="E71" t="b">
        <v>0</v>
      </c>
      <c r="F71">
        <v>2</v>
      </c>
      <c r="G71">
        <v>1</v>
      </c>
      <c r="H71">
        <v>0.16</v>
      </c>
      <c r="I71">
        <v>0.21210000000000001</v>
      </c>
      <c r="J71">
        <v>0.55000000000000004</v>
      </c>
      <c r="K71">
        <v>0.1045</v>
      </c>
      <c r="L71">
        <v>0</v>
      </c>
      <c r="M71">
        <v>5</v>
      </c>
      <c r="N71">
        <v>5</v>
      </c>
      <c r="O71" t="s">
        <v>29</v>
      </c>
      <c r="P71" t="s">
        <v>56</v>
      </c>
      <c r="Q71" t="s">
        <v>31</v>
      </c>
      <c r="R71" t="s">
        <v>32</v>
      </c>
      <c r="S71" t="s">
        <v>33</v>
      </c>
      <c r="T71" t="s">
        <v>49</v>
      </c>
      <c r="U71" t="s">
        <v>35</v>
      </c>
      <c r="V71" t="s">
        <v>36</v>
      </c>
      <c r="W71" t="s">
        <v>37</v>
      </c>
      <c r="X71">
        <v>0</v>
      </c>
      <c r="Y71">
        <v>100</v>
      </c>
      <c r="Z71" t="s">
        <v>38</v>
      </c>
      <c r="AA71" t="s">
        <v>39</v>
      </c>
      <c r="AB71" t="s">
        <v>38</v>
      </c>
      <c r="AC71">
        <v>5.2100000000000007E-2</v>
      </c>
    </row>
    <row r="72" spans="1:29" x14ac:dyDescent="0.3">
      <c r="A72">
        <v>71</v>
      </c>
      <c r="B72" s="1">
        <v>40547</v>
      </c>
      <c r="C72">
        <v>1</v>
      </c>
      <c r="D72">
        <v>1</v>
      </c>
      <c r="E72" t="b">
        <v>0</v>
      </c>
      <c r="F72">
        <v>2</v>
      </c>
      <c r="G72">
        <v>1</v>
      </c>
      <c r="H72">
        <v>0.16</v>
      </c>
      <c r="I72">
        <v>0.18179999999999999</v>
      </c>
      <c r="J72">
        <v>0.59</v>
      </c>
      <c r="K72">
        <v>0.1045</v>
      </c>
      <c r="L72">
        <v>0</v>
      </c>
      <c r="M72">
        <v>2</v>
      </c>
      <c r="N72">
        <v>2</v>
      </c>
      <c r="O72" t="s">
        <v>29</v>
      </c>
      <c r="P72" t="s">
        <v>56</v>
      </c>
      <c r="Q72" t="s">
        <v>31</v>
      </c>
      <c r="R72" t="s">
        <v>32</v>
      </c>
      <c r="S72" t="s">
        <v>33</v>
      </c>
      <c r="T72" t="s">
        <v>49</v>
      </c>
      <c r="U72" t="s">
        <v>35</v>
      </c>
      <c r="V72" t="s">
        <v>36</v>
      </c>
      <c r="W72" t="s">
        <v>37</v>
      </c>
      <c r="X72">
        <v>0</v>
      </c>
      <c r="Y72">
        <v>100</v>
      </c>
      <c r="Z72" t="s">
        <v>38</v>
      </c>
      <c r="AA72" t="s">
        <v>39</v>
      </c>
      <c r="AB72" t="s">
        <v>38</v>
      </c>
      <c r="AC72">
        <v>2.179999999999999E-2</v>
      </c>
    </row>
    <row r="73" spans="1:29" x14ac:dyDescent="0.3">
      <c r="A73">
        <v>72</v>
      </c>
      <c r="B73" s="1">
        <v>40547</v>
      </c>
      <c r="C73">
        <v>1</v>
      </c>
      <c r="D73">
        <v>2</v>
      </c>
      <c r="E73" t="b">
        <v>0</v>
      </c>
      <c r="F73">
        <v>2</v>
      </c>
      <c r="G73">
        <v>1</v>
      </c>
      <c r="H73">
        <v>0.14000000000000001</v>
      </c>
      <c r="I73">
        <v>0.1515</v>
      </c>
      <c r="J73">
        <v>0.63</v>
      </c>
      <c r="K73">
        <v>0.1343</v>
      </c>
      <c r="L73">
        <v>0</v>
      </c>
      <c r="M73">
        <v>1</v>
      </c>
      <c r="N73">
        <v>1</v>
      </c>
      <c r="O73" t="s">
        <v>29</v>
      </c>
      <c r="P73" t="s">
        <v>56</v>
      </c>
      <c r="Q73" t="s">
        <v>31</v>
      </c>
      <c r="R73" t="s">
        <v>32</v>
      </c>
      <c r="S73" t="s">
        <v>55</v>
      </c>
      <c r="T73" t="s">
        <v>49</v>
      </c>
      <c r="U73" t="s">
        <v>35</v>
      </c>
      <c r="V73" t="s">
        <v>36</v>
      </c>
      <c r="W73" t="s">
        <v>37</v>
      </c>
      <c r="X73">
        <v>0</v>
      </c>
      <c r="Y73">
        <v>100</v>
      </c>
      <c r="Z73" t="s">
        <v>38</v>
      </c>
      <c r="AA73" t="s">
        <v>39</v>
      </c>
      <c r="AB73" t="s">
        <v>38</v>
      </c>
      <c r="AC73">
        <v>1.1499999999999981E-2</v>
      </c>
    </row>
    <row r="74" spans="1:29" x14ac:dyDescent="0.3">
      <c r="A74">
        <v>73</v>
      </c>
      <c r="B74" s="1">
        <v>40547</v>
      </c>
      <c r="C74">
        <v>1</v>
      </c>
      <c r="D74">
        <v>4</v>
      </c>
      <c r="E74" t="b">
        <v>0</v>
      </c>
      <c r="F74">
        <v>2</v>
      </c>
      <c r="G74">
        <v>1</v>
      </c>
      <c r="H74">
        <v>0.14000000000000001</v>
      </c>
      <c r="I74">
        <v>0.18179999999999999</v>
      </c>
      <c r="J74">
        <v>0.63</v>
      </c>
      <c r="K74">
        <v>8.9599999999999999E-2</v>
      </c>
      <c r="L74">
        <v>0</v>
      </c>
      <c r="M74">
        <v>2</v>
      </c>
      <c r="N74">
        <v>2</v>
      </c>
      <c r="O74" t="s">
        <v>29</v>
      </c>
      <c r="P74" t="s">
        <v>56</v>
      </c>
      <c r="Q74" t="s">
        <v>31</v>
      </c>
      <c r="R74" t="s">
        <v>32</v>
      </c>
      <c r="S74" t="s">
        <v>55</v>
      </c>
      <c r="T74" t="s">
        <v>49</v>
      </c>
      <c r="U74" t="s">
        <v>35</v>
      </c>
      <c r="V74" t="s">
        <v>36</v>
      </c>
      <c r="W74" t="s">
        <v>37</v>
      </c>
      <c r="X74">
        <v>0</v>
      </c>
      <c r="Y74">
        <v>100</v>
      </c>
      <c r="Z74" t="s">
        <v>38</v>
      </c>
      <c r="AA74" t="s">
        <v>39</v>
      </c>
      <c r="AB74" t="s">
        <v>38</v>
      </c>
      <c r="AC74">
        <v>4.1799999999999983E-2</v>
      </c>
    </row>
    <row r="75" spans="1:29" x14ac:dyDescent="0.3">
      <c r="A75">
        <v>74</v>
      </c>
      <c r="B75" s="1">
        <v>40547</v>
      </c>
      <c r="C75">
        <v>1</v>
      </c>
      <c r="D75">
        <v>5</v>
      </c>
      <c r="E75" t="b">
        <v>0</v>
      </c>
      <c r="F75">
        <v>2</v>
      </c>
      <c r="G75">
        <v>1</v>
      </c>
      <c r="H75">
        <v>0.12</v>
      </c>
      <c r="I75">
        <v>0.1515</v>
      </c>
      <c r="J75">
        <v>0.68</v>
      </c>
      <c r="K75">
        <v>0.1045</v>
      </c>
      <c r="L75">
        <v>0</v>
      </c>
      <c r="M75">
        <v>4</v>
      </c>
      <c r="N75">
        <v>4</v>
      </c>
      <c r="O75" t="s">
        <v>29</v>
      </c>
      <c r="P75" t="s">
        <v>56</v>
      </c>
      <c r="Q75" t="s">
        <v>31</v>
      </c>
      <c r="R75" t="s">
        <v>32</v>
      </c>
      <c r="S75" t="s">
        <v>55</v>
      </c>
      <c r="T75" t="s">
        <v>49</v>
      </c>
      <c r="U75" t="s">
        <v>35</v>
      </c>
      <c r="V75" t="s">
        <v>36</v>
      </c>
      <c r="W75" t="s">
        <v>37</v>
      </c>
      <c r="X75">
        <v>0</v>
      </c>
      <c r="Y75">
        <v>100</v>
      </c>
      <c r="Z75" t="s">
        <v>38</v>
      </c>
      <c r="AA75" t="s">
        <v>39</v>
      </c>
      <c r="AB75" t="s">
        <v>38</v>
      </c>
      <c r="AC75">
        <v>3.15E-2</v>
      </c>
    </row>
    <row r="76" spans="1:29" x14ac:dyDescent="0.3">
      <c r="A76">
        <v>75</v>
      </c>
      <c r="B76" s="1">
        <v>40547</v>
      </c>
      <c r="C76">
        <v>1</v>
      </c>
      <c r="D76">
        <v>6</v>
      </c>
      <c r="E76" t="b">
        <v>0</v>
      </c>
      <c r="F76">
        <v>2</v>
      </c>
      <c r="G76">
        <v>1</v>
      </c>
      <c r="H76">
        <v>0.12</v>
      </c>
      <c r="I76">
        <v>0.1515</v>
      </c>
      <c r="J76">
        <v>0.74</v>
      </c>
      <c r="K76">
        <v>0.1045</v>
      </c>
      <c r="L76">
        <v>0</v>
      </c>
      <c r="M76">
        <v>36</v>
      </c>
      <c r="N76">
        <v>36</v>
      </c>
      <c r="O76" t="s">
        <v>29</v>
      </c>
      <c r="P76" t="s">
        <v>56</v>
      </c>
      <c r="Q76" t="s">
        <v>31</v>
      </c>
      <c r="R76" t="s">
        <v>42</v>
      </c>
      <c r="S76" t="s">
        <v>55</v>
      </c>
      <c r="T76" t="s">
        <v>34</v>
      </c>
      <c r="U76" t="s">
        <v>35</v>
      </c>
      <c r="V76" t="s">
        <v>36</v>
      </c>
      <c r="W76" t="s">
        <v>37</v>
      </c>
      <c r="X76">
        <v>0</v>
      </c>
      <c r="Y76">
        <v>100</v>
      </c>
      <c r="Z76" t="s">
        <v>38</v>
      </c>
      <c r="AA76" t="s">
        <v>39</v>
      </c>
      <c r="AB76" t="s">
        <v>38</v>
      </c>
      <c r="AC76">
        <v>3.15E-2</v>
      </c>
    </row>
    <row r="77" spans="1:29" x14ac:dyDescent="0.3">
      <c r="A77">
        <v>76</v>
      </c>
      <c r="B77" s="1">
        <v>40547</v>
      </c>
      <c r="C77">
        <v>1</v>
      </c>
      <c r="D77">
        <v>7</v>
      </c>
      <c r="E77" t="b">
        <v>0</v>
      </c>
      <c r="F77">
        <v>2</v>
      </c>
      <c r="G77">
        <v>1</v>
      </c>
      <c r="H77">
        <v>0.12</v>
      </c>
      <c r="I77">
        <v>0.1515</v>
      </c>
      <c r="J77">
        <v>0.74</v>
      </c>
      <c r="K77">
        <v>0.1343</v>
      </c>
      <c r="L77">
        <v>2</v>
      </c>
      <c r="M77">
        <v>92</v>
      </c>
      <c r="N77">
        <v>94</v>
      </c>
      <c r="O77" t="s">
        <v>29</v>
      </c>
      <c r="P77" t="s">
        <v>56</v>
      </c>
      <c r="Q77" t="s">
        <v>31</v>
      </c>
      <c r="R77" t="s">
        <v>42</v>
      </c>
      <c r="S77" t="s">
        <v>55</v>
      </c>
      <c r="T77" t="s">
        <v>34</v>
      </c>
      <c r="U77" t="s">
        <v>35</v>
      </c>
      <c r="V77" t="s">
        <v>36</v>
      </c>
      <c r="W77" t="s">
        <v>37</v>
      </c>
      <c r="X77">
        <v>2.1276595744680851</v>
      </c>
      <c r="Y77">
        <v>97.872340425531917</v>
      </c>
      <c r="Z77" t="s">
        <v>40</v>
      </c>
      <c r="AA77" t="s">
        <v>39</v>
      </c>
      <c r="AB77" t="s">
        <v>38</v>
      </c>
      <c r="AC77">
        <v>3.15E-2</v>
      </c>
    </row>
    <row r="78" spans="1:29" x14ac:dyDescent="0.3">
      <c r="A78">
        <v>77</v>
      </c>
      <c r="B78" s="1">
        <v>40547</v>
      </c>
      <c r="C78">
        <v>1</v>
      </c>
      <c r="D78">
        <v>8</v>
      </c>
      <c r="E78" t="b">
        <v>0</v>
      </c>
      <c r="F78">
        <v>2</v>
      </c>
      <c r="G78">
        <v>1</v>
      </c>
      <c r="H78">
        <v>0.14000000000000001</v>
      </c>
      <c r="I78">
        <v>0.1515</v>
      </c>
      <c r="J78">
        <v>0.69</v>
      </c>
      <c r="K78">
        <v>0.16420000000000001</v>
      </c>
      <c r="L78">
        <v>2</v>
      </c>
      <c r="M78">
        <v>177</v>
      </c>
      <c r="N78">
        <v>179</v>
      </c>
      <c r="O78" t="s">
        <v>29</v>
      </c>
      <c r="P78" t="s">
        <v>56</v>
      </c>
      <c r="Q78" t="s">
        <v>31</v>
      </c>
      <c r="R78" t="s">
        <v>42</v>
      </c>
      <c r="S78" t="s">
        <v>55</v>
      </c>
      <c r="T78" t="s">
        <v>49</v>
      </c>
      <c r="U78" t="s">
        <v>46</v>
      </c>
      <c r="V78" t="s">
        <v>36</v>
      </c>
      <c r="W78" t="s">
        <v>37</v>
      </c>
      <c r="X78">
        <v>1.1173184357541901</v>
      </c>
      <c r="Y78">
        <v>98.882681564245814</v>
      </c>
      <c r="Z78" t="s">
        <v>40</v>
      </c>
      <c r="AA78" t="s">
        <v>49</v>
      </c>
      <c r="AB78" t="s">
        <v>38</v>
      </c>
      <c r="AC78">
        <v>1.1499999999999981E-2</v>
      </c>
    </row>
    <row r="79" spans="1:29" x14ac:dyDescent="0.3">
      <c r="A79">
        <v>78</v>
      </c>
      <c r="B79" s="1">
        <v>40547</v>
      </c>
      <c r="C79">
        <v>1</v>
      </c>
      <c r="D79">
        <v>9</v>
      </c>
      <c r="E79" t="b">
        <v>0</v>
      </c>
      <c r="F79">
        <v>2</v>
      </c>
      <c r="G79">
        <v>1</v>
      </c>
      <c r="H79">
        <v>0.16</v>
      </c>
      <c r="I79">
        <v>0.1515</v>
      </c>
      <c r="J79">
        <v>0.64</v>
      </c>
      <c r="K79">
        <v>0.22389999999999999</v>
      </c>
      <c r="L79">
        <v>2</v>
      </c>
      <c r="M79">
        <v>98</v>
      </c>
      <c r="N79">
        <v>100</v>
      </c>
      <c r="O79" t="s">
        <v>29</v>
      </c>
      <c r="P79" t="s">
        <v>56</v>
      </c>
      <c r="Q79" t="s">
        <v>31</v>
      </c>
      <c r="R79" t="s">
        <v>42</v>
      </c>
      <c r="S79" t="s">
        <v>33</v>
      </c>
      <c r="T79" t="s">
        <v>49</v>
      </c>
      <c r="U79" t="s">
        <v>46</v>
      </c>
      <c r="V79" t="s">
        <v>36</v>
      </c>
      <c r="W79" t="s">
        <v>37</v>
      </c>
      <c r="X79">
        <v>2</v>
      </c>
      <c r="Y79">
        <v>98</v>
      </c>
      <c r="Z79" t="s">
        <v>40</v>
      </c>
      <c r="AA79" t="s">
        <v>49</v>
      </c>
      <c r="AB79" t="s">
        <v>38</v>
      </c>
      <c r="AC79">
        <v>-8.5000000000000075E-3</v>
      </c>
    </row>
    <row r="80" spans="1:29" x14ac:dyDescent="0.3">
      <c r="A80">
        <v>79</v>
      </c>
      <c r="B80" s="1">
        <v>40547</v>
      </c>
      <c r="C80">
        <v>1</v>
      </c>
      <c r="D80">
        <v>10</v>
      </c>
      <c r="E80" t="b">
        <v>0</v>
      </c>
      <c r="F80">
        <v>2</v>
      </c>
      <c r="G80">
        <v>2</v>
      </c>
      <c r="H80">
        <v>0.16</v>
      </c>
      <c r="I80">
        <v>0.13639999999999999</v>
      </c>
      <c r="J80">
        <v>0.69</v>
      </c>
      <c r="K80">
        <v>0.32840000000000003</v>
      </c>
      <c r="L80">
        <v>5</v>
      </c>
      <c r="M80">
        <v>37</v>
      </c>
      <c r="N80">
        <v>42</v>
      </c>
      <c r="O80" t="s">
        <v>29</v>
      </c>
      <c r="P80" t="s">
        <v>56</v>
      </c>
      <c r="Q80" t="s">
        <v>41</v>
      </c>
      <c r="R80" t="s">
        <v>42</v>
      </c>
      <c r="S80" t="s">
        <v>33</v>
      </c>
      <c r="T80" t="s">
        <v>49</v>
      </c>
      <c r="U80" t="s">
        <v>53</v>
      </c>
      <c r="V80" t="s">
        <v>36</v>
      </c>
      <c r="W80" t="s">
        <v>37</v>
      </c>
      <c r="X80">
        <v>11.9047619047619</v>
      </c>
      <c r="Y80">
        <v>88.095238095238088</v>
      </c>
      <c r="Z80" t="s">
        <v>38</v>
      </c>
      <c r="AA80" t="s">
        <v>39</v>
      </c>
      <c r="AB80" t="s">
        <v>38</v>
      </c>
      <c r="AC80">
        <v>-2.360000000000001E-2</v>
      </c>
    </row>
    <row r="81" spans="1:29" x14ac:dyDescent="0.3">
      <c r="A81">
        <v>80</v>
      </c>
      <c r="B81" s="1">
        <v>40547</v>
      </c>
      <c r="C81">
        <v>1</v>
      </c>
      <c r="D81">
        <v>11</v>
      </c>
      <c r="E81" t="b">
        <v>0</v>
      </c>
      <c r="F81">
        <v>2</v>
      </c>
      <c r="G81">
        <v>1</v>
      </c>
      <c r="H81">
        <v>0.22</v>
      </c>
      <c r="I81">
        <v>0.21210000000000001</v>
      </c>
      <c r="J81">
        <v>0.51</v>
      </c>
      <c r="K81">
        <v>0.29849999999999999</v>
      </c>
      <c r="L81">
        <v>7</v>
      </c>
      <c r="M81">
        <v>50</v>
      </c>
      <c r="N81">
        <v>57</v>
      </c>
      <c r="O81" t="s">
        <v>29</v>
      </c>
      <c r="P81" t="s">
        <v>56</v>
      </c>
      <c r="Q81" t="s">
        <v>31</v>
      </c>
      <c r="R81" t="s">
        <v>42</v>
      </c>
      <c r="S81" t="s">
        <v>33</v>
      </c>
      <c r="T81" t="s">
        <v>49</v>
      </c>
      <c r="U81" t="s">
        <v>46</v>
      </c>
      <c r="V81" t="s">
        <v>36</v>
      </c>
      <c r="W81" t="s">
        <v>37</v>
      </c>
      <c r="X81">
        <v>12.28070175438596</v>
      </c>
      <c r="Y81">
        <v>87.719298245614027</v>
      </c>
      <c r="Z81" t="s">
        <v>38</v>
      </c>
      <c r="AA81" t="s">
        <v>39</v>
      </c>
      <c r="AB81" t="s">
        <v>38</v>
      </c>
      <c r="AC81">
        <v>-7.8999999999999904E-3</v>
      </c>
    </row>
    <row r="82" spans="1:29" x14ac:dyDescent="0.3">
      <c r="A82">
        <v>81</v>
      </c>
      <c r="B82" s="1">
        <v>40547</v>
      </c>
      <c r="C82">
        <v>1</v>
      </c>
      <c r="D82">
        <v>12</v>
      </c>
      <c r="E82" t="b">
        <v>0</v>
      </c>
      <c r="F82">
        <v>2</v>
      </c>
      <c r="G82">
        <v>1</v>
      </c>
      <c r="H82">
        <v>0.22</v>
      </c>
      <c r="I82">
        <v>0.2273</v>
      </c>
      <c r="J82">
        <v>0.51</v>
      </c>
      <c r="K82">
        <v>0.16420000000000001</v>
      </c>
      <c r="L82">
        <v>12</v>
      </c>
      <c r="M82">
        <v>66</v>
      </c>
      <c r="N82">
        <v>78</v>
      </c>
      <c r="O82" t="s">
        <v>29</v>
      </c>
      <c r="P82" t="s">
        <v>56</v>
      </c>
      <c r="Q82" t="s">
        <v>31</v>
      </c>
      <c r="R82" t="s">
        <v>47</v>
      </c>
      <c r="S82" t="s">
        <v>33</v>
      </c>
      <c r="T82" t="s">
        <v>49</v>
      </c>
      <c r="U82" t="s">
        <v>46</v>
      </c>
      <c r="V82" t="s">
        <v>36</v>
      </c>
      <c r="W82" t="s">
        <v>37</v>
      </c>
      <c r="X82">
        <v>15.38461538461539</v>
      </c>
      <c r="Y82">
        <v>84.615384615384613</v>
      </c>
      <c r="Z82" t="s">
        <v>38</v>
      </c>
      <c r="AA82" t="s">
        <v>39</v>
      </c>
      <c r="AB82" t="s">
        <v>38</v>
      </c>
      <c r="AC82">
        <v>7.3000000000000009E-3</v>
      </c>
    </row>
    <row r="83" spans="1:29" x14ac:dyDescent="0.3">
      <c r="A83">
        <v>82</v>
      </c>
      <c r="B83" s="1">
        <v>40547</v>
      </c>
      <c r="C83">
        <v>1</v>
      </c>
      <c r="D83">
        <v>13</v>
      </c>
      <c r="E83" t="b">
        <v>0</v>
      </c>
      <c r="F83">
        <v>2</v>
      </c>
      <c r="G83">
        <v>1</v>
      </c>
      <c r="H83">
        <v>0.24</v>
      </c>
      <c r="I83">
        <v>0.2273</v>
      </c>
      <c r="J83">
        <v>0.56000000000000005</v>
      </c>
      <c r="K83">
        <v>0.19400000000000001</v>
      </c>
      <c r="L83">
        <v>18</v>
      </c>
      <c r="M83">
        <v>79</v>
      </c>
      <c r="N83">
        <v>97</v>
      </c>
      <c r="O83" t="s">
        <v>29</v>
      </c>
      <c r="P83" t="s">
        <v>56</v>
      </c>
      <c r="Q83" t="s">
        <v>31</v>
      </c>
      <c r="R83" t="s">
        <v>47</v>
      </c>
      <c r="S83" t="s">
        <v>33</v>
      </c>
      <c r="T83" t="s">
        <v>49</v>
      </c>
      <c r="U83" t="s">
        <v>46</v>
      </c>
      <c r="V83" t="s">
        <v>36</v>
      </c>
      <c r="W83" t="s">
        <v>37</v>
      </c>
      <c r="X83">
        <v>18.55670103092784</v>
      </c>
      <c r="Y83">
        <v>81.44329896907216</v>
      </c>
      <c r="Z83" t="s">
        <v>38</v>
      </c>
      <c r="AA83" t="s">
        <v>39</v>
      </c>
      <c r="AB83" t="s">
        <v>38</v>
      </c>
      <c r="AC83">
        <v>-1.2699999999999991E-2</v>
      </c>
    </row>
    <row r="84" spans="1:29" x14ac:dyDescent="0.3">
      <c r="A84">
        <v>83</v>
      </c>
      <c r="B84" s="1">
        <v>40547</v>
      </c>
      <c r="C84">
        <v>1</v>
      </c>
      <c r="D84">
        <v>14</v>
      </c>
      <c r="E84" t="b">
        <v>0</v>
      </c>
      <c r="F84">
        <v>2</v>
      </c>
      <c r="G84">
        <v>1</v>
      </c>
      <c r="H84">
        <v>0.26</v>
      </c>
      <c r="I84">
        <v>0.2576</v>
      </c>
      <c r="J84">
        <v>0.52</v>
      </c>
      <c r="K84">
        <v>0.22389999999999999</v>
      </c>
      <c r="L84">
        <v>9</v>
      </c>
      <c r="M84">
        <v>54</v>
      </c>
      <c r="N84">
        <v>63</v>
      </c>
      <c r="O84" t="s">
        <v>29</v>
      </c>
      <c r="P84" t="s">
        <v>56</v>
      </c>
      <c r="Q84" t="s">
        <v>31</v>
      </c>
      <c r="R84" t="s">
        <v>47</v>
      </c>
      <c r="S84" t="s">
        <v>44</v>
      </c>
      <c r="T84" t="s">
        <v>49</v>
      </c>
      <c r="U84" t="s">
        <v>46</v>
      </c>
      <c r="V84" t="s">
        <v>36</v>
      </c>
      <c r="W84" t="s">
        <v>37</v>
      </c>
      <c r="X84">
        <v>14.285714285714279</v>
      </c>
      <c r="Y84">
        <v>85.714285714285708</v>
      </c>
      <c r="Z84" t="s">
        <v>38</v>
      </c>
      <c r="AA84" t="s">
        <v>39</v>
      </c>
      <c r="AB84" t="s">
        <v>38</v>
      </c>
      <c r="AC84">
        <v>-2.4000000000000128E-3</v>
      </c>
    </row>
    <row r="85" spans="1:29" x14ac:dyDescent="0.3">
      <c r="A85">
        <v>84</v>
      </c>
      <c r="B85" s="1">
        <v>40547</v>
      </c>
      <c r="C85">
        <v>1</v>
      </c>
      <c r="D85">
        <v>15</v>
      </c>
      <c r="E85" t="b">
        <v>0</v>
      </c>
      <c r="F85">
        <v>2</v>
      </c>
      <c r="G85">
        <v>1</v>
      </c>
      <c r="H85">
        <v>0.28000000000000003</v>
      </c>
      <c r="I85">
        <v>0.2727</v>
      </c>
      <c r="J85">
        <v>0.52</v>
      </c>
      <c r="K85">
        <v>0.25369999999999998</v>
      </c>
      <c r="L85">
        <v>17</v>
      </c>
      <c r="M85">
        <v>48</v>
      </c>
      <c r="N85">
        <v>65</v>
      </c>
      <c r="O85" t="s">
        <v>29</v>
      </c>
      <c r="P85" t="s">
        <v>56</v>
      </c>
      <c r="Q85" t="s">
        <v>31</v>
      </c>
      <c r="R85" t="s">
        <v>47</v>
      </c>
      <c r="S85" t="s">
        <v>44</v>
      </c>
      <c r="T85" t="s">
        <v>49</v>
      </c>
      <c r="U85" t="s">
        <v>46</v>
      </c>
      <c r="V85" t="s">
        <v>36</v>
      </c>
      <c r="W85" t="s">
        <v>37</v>
      </c>
      <c r="X85">
        <v>26.15384615384616</v>
      </c>
      <c r="Y85">
        <v>73.846153846153854</v>
      </c>
      <c r="Z85" t="s">
        <v>38</v>
      </c>
      <c r="AA85" t="s">
        <v>39</v>
      </c>
      <c r="AB85" t="s">
        <v>38</v>
      </c>
      <c r="AC85">
        <v>-7.3000000000000287E-3</v>
      </c>
    </row>
    <row r="86" spans="1:29" x14ac:dyDescent="0.3">
      <c r="A86">
        <v>85</v>
      </c>
      <c r="B86" s="1">
        <v>40547</v>
      </c>
      <c r="C86">
        <v>1</v>
      </c>
      <c r="D86">
        <v>16</v>
      </c>
      <c r="E86" t="b">
        <v>0</v>
      </c>
      <c r="F86">
        <v>2</v>
      </c>
      <c r="G86">
        <v>1</v>
      </c>
      <c r="H86">
        <v>0.3</v>
      </c>
      <c r="I86">
        <v>0.28789999999999999</v>
      </c>
      <c r="J86">
        <v>0.49</v>
      </c>
      <c r="K86">
        <v>0.25369999999999998</v>
      </c>
      <c r="L86">
        <v>15</v>
      </c>
      <c r="M86">
        <v>68</v>
      </c>
      <c r="N86">
        <v>83</v>
      </c>
      <c r="O86" t="s">
        <v>29</v>
      </c>
      <c r="P86" t="s">
        <v>56</v>
      </c>
      <c r="Q86" t="s">
        <v>31</v>
      </c>
      <c r="R86" t="s">
        <v>47</v>
      </c>
      <c r="S86" t="s">
        <v>44</v>
      </c>
      <c r="T86" t="s">
        <v>49</v>
      </c>
      <c r="U86" t="s">
        <v>46</v>
      </c>
      <c r="V86" t="s">
        <v>36</v>
      </c>
      <c r="W86" t="s">
        <v>37</v>
      </c>
      <c r="X86">
        <v>18.07228915662651</v>
      </c>
      <c r="Y86">
        <v>81.92771084337349</v>
      </c>
      <c r="Z86" t="s">
        <v>38</v>
      </c>
      <c r="AA86" t="s">
        <v>39</v>
      </c>
      <c r="AB86" t="s">
        <v>38</v>
      </c>
      <c r="AC86">
        <v>-1.21E-2</v>
      </c>
    </row>
    <row r="87" spans="1:29" x14ac:dyDescent="0.3">
      <c r="A87">
        <v>86</v>
      </c>
      <c r="B87" s="1">
        <v>40547</v>
      </c>
      <c r="C87">
        <v>1</v>
      </c>
      <c r="D87">
        <v>17</v>
      </c>
      <c r="E87" t="b">
        <v>0</v>
      </c>
      <c r="F87">
        <v>2</v>
      </c>
      <c r="G87">
        <v>1</v>
      </c>
      <c r="H87">
        <v>0.28000000000000003</v>
      </c>
      <c r="I87">
        <v>0.2727</v>
      </c>
      <c r="J87">
        <v>0.48</v>
      </c>
      <c r="K87">
        <v>0.22389999999999999</v>
      </c>
      <c r="L87">
        <v>10</v>
      </c>
      <c r="M87">
        <v>202</v>
      </c>
      <c r="N87">
        <v>212</v>
      </c>
      <c r="O87" t="s">
        <v>29</v>
      </c>
      <c r="P87" t="s">
        <v>56</v>
      </c>
      <c r="Q87" t="s">
        <v>31</v>
      </c>
      <c r="R87" t="s">
        <v>50</v>
      </c>
      <c r="S87" t="s">
        <v>44</v>
      </c>
      <c r="T87" t="s">
        <v>49</v>
      </c>
      <c r="U87" t="s">
        <v>46</v>
      </c>
      <c r="V87" t="s">
        <v>36</v>
      </c>
      <c r="W87" t="s">
        <v>37</v>
      </c>
      <c r="X87">
        <v>4.716981132075472</v>
      </c>
      <c r="Y87">
        <v>95.283018867924525</v>
      </c>
      <c r="Z87" t="s">
        <v>40</v>
      </c>
      <c r="AA87" t="s">
        <v>49</v>
      </c>
      <c r="AB87" t="s">
        <v>38</v>
      </c>
      <c r="AC87">
        <v>-7.3000000000000287E-3</v>
      </c>
    </row>
    <row r="88" spans="1:29" x14ac:dyDescent="0.3">
      <c r="A88">
        <v>87</v>
      </c>
      <c r="B88" s="1">
        <v>40547</v>
      </c>
      <c r="C88">
        <v>1</v>
      </c>
      <c r="D88">
        <v>18</v>
      </c>
      <c r="E88" t="b">
        <v>0</v>
      </c>
      <c r="F88">
        <v>2</v>
      </c>
      <c r="G88">
        <v>1</v>
      </c>
      <c r="H88">
        <v>0.26</v>
      </c>
      <c r="I88">
        <v>0.2576</v>
      </c>
      <c r="J88">
        <v>0.48</v>
      </c>
      <c r="K88">
        <v>0.19400000000000001</v>
      </c>
      <c r="L88">
        <v>3</v>
      </c>
      <c r="M88">
        <v>179</v>
      </c>
      <c r="N88">
        <v>182</v>
      </c>
      <c r="O88" t="s">
        <v>29</v>
      </c>
      <c r="P88" t="s">
        <v>56</v>
      </c>
      <c r="Q88" t="s">
        <v>31</v>
      </c>
      <c r="R88" t="s">
        <v>50</v>
      </c>
      <c r="S88" t="s">
        <v>44</v>
      </c>
      <c r="T88" t="s">
        <v>49</v>
      </c>
      <c r="U88" t="s">
        <v>46</v>
      </c>
      <c r="V88" t="s">
        <v>36</v>
      </c>
      <c r="W88" t="s">
        <v>37</v>
      </c>
      <c r="X88">
        <v>1.648351648351648</v>
      </c>
      <c r="Y88">
        <v>98.35164835164835</v>
      </c>
      <c r="Z88" t="s">
        <v>40</v>
      </c>
      <c r="AA88" t="s">
        <v>49</v>
      </c>
      <c r="AB88" t="s">
        <v>38</v>
      </c>
      <c r="AC88">
        <v>-2.4000000000000128E-3</v>
      </c>
    </row>
    <row r="89" spans="1:29" x14ac:dyDescent="0.3">
      <c r="A89">
        <v>88</v>
      </c>
      <c r="B89" s="1">
        <v>40547</v>
      </c>
      <c r="C89">
        <v>1</v>
      </c>
      <c r="D89">
        <v>19</v>
      </c>
      <c r="E89" t="b">
        <v>0</v>
      </c>
      <c r="F89">
        <v>2</v>
      </c>
      <c r="G89">
        <v>1</v>
      </c>
      <c r="H89">
        <v>0.24</v>
      </c>
      <c r="I89">
        <v>0.2576</v>
      </c>
      <c r="J89">
        <v>0.48</v>
      </c>
      <c r="K89">
        <v>0.1045</v>
      </c>
      <c r="L89">
        <v>2</v>
      </c>
      <c r="M89">
        <v>110</v>
      </c>
      <c r="N89">
        <v>112</v>
      </c>
      <c r="O89" t="s">
        <v>29</v>
      </c>
      <c r="P89" t="s">
        <v>56</v>
      </c>
      <c r="Q89" t="s">
        <v>31</v>
      </c>
      <c r="R89" t="s">
        <v>50</v>
      </c>
      <c r="S89" t="s">
        <v>33</v>
      </c>
      <c r="T89" t="s">
        <v>49</v>
      </c>
      <c r="U89" t="s">
        <v>35</v>
      </c>
      <c r="V89" t="s">
        <v>36</v>
      </c>
      <c r="W89" t="s">
        <v>37</v>
      </c>
      <c r="X89">
        <v>1.785714285714286</v>
      </c>
      <c r="Y89">
        <v>98.214285714285708</v>
      </c>
      <c r="Z89" t="s">
        <v>40</v>
      </c>
      <c r="AA89" t="s">
        <v>49</v>
      </c>
      <c r="AB89" t="s">
        <v>38</v>
      </c>
      <c r="AC89">
        <v>1.7600000000000001E-2</v>
      </c>
    </row>
    <row r="90" spans="1:29" x14ac:dyDescent="0.3">
      <c r="A90">
        <v>89</v>
      </c>
      <c r="B90" s="1">
        <v>40547</v>
      </c>
      <c r="C90">
        <v>1</v>
      </c>
      <c r="D90">
        <v>20</v>
      </c>
      <c r="E90" t="b">
        <v>0</v>
      </c>
      <c r="F90">
        <v>2</v>
      </c>
      <c r="G90">
        <v>1</v>
      </c>
      <c r="H90">
        <v>0.24</v>
      </c>
      <c r="I90">
        <v>0.2576</v>
      </c>
      <c r="J90">
        <v>0.48</v>
      </c>
      <c r="K90">
        <v>0.1045</v>
      </c>
      <c r="L90">
        <v>1</v>
      </c>
      <c r="M90">
        <v>53</v>
      </c>
      <c r="N90">
        <v>54</v>
      </c>
      <c r="O90" t="s">
        <v>29</v>
      </c>
      <c r="P90" t="s">
        <v>56</v>
      </c>
      <c r="Q90" t="s">
        <v>31</v>
      </c>
      <c r="R90" t="s">
        <v>50</v>
      </c>
      <c r="S90" t="s">
        <v>33</v>
      </c>
      <c r="T90" t="s">
        <v>49</v>
      </c>
      <c r="U90" t="s">
        <v>35</v>
      </c>
      <c r="V90" t="s">
        <v>36</v>
      </c>
      <c r="W90" t="s">
        <v>37</v>
      </c>
      <c r="X90">
        <v>1.8518518518518521</v>
      </c>
      <c r="Y90">
        <v>98.148148148148152</v>
      </c>
      <c r="Z90" t="s">
        <v>38</v>
      </c>
      <c r="AA90" t="s">
        <v>39</v>
      </c>
      <c r="AB90" t="s">
        <v>38</v>
      </c>
      <c r="AC90">
        <v>1.7600000000000001E-2</v>
      </c>
    </row>
    <row r="91" spans="1:29" x14ac:dyDescent="0.3">
      <c r="A91">
        <v>90</v>
      </c>
      <c r="B91" s="1">
        <v>40547</v>
      </c>
      <c r="C91">
        <v>1</v>
      </c>
      <c r="D91">
        <v>21</v>
      </c>
      <c r="E91" t="b">
        <v>0</v>
      </c>
      <c r="F91">
        <v>2</v>
      </c>
      <c r="G91">
        <v>1</v>
      </c>
      <c r="H91">
        <v>0.22</v>
      </c>
      <c r="I91">
        <v>0.2727</v>
      </c>
      <c r="J91">
        <v>0.64</v>
      </c>
      <c r="K91">
        <v>0</v>
      </c>
      <c r="L91">
        <v>0</v>
      </c>
      <c r="M91">
        <v>48</v>
      </c>
      <c r="N91">
        <v>48</v>
      </c>
      <c r="O91" t="s">
        <v>29</v>
      </c>
      <c r="P91" t="s">
        <v>56</v>
      </c>
      <c r="Q91" t="s">
        <v>31</v>
      </c>
      <c r="R91" t="s">
        <v>32</v>
      </c>
      <c r="S91" t="s">
        <v>33</v>
      </c>
      <c r="T91" t="s">
        <v>49</v>
      </c>
      <c r="U91" t="s">
        <v>35</v>
      </c>
      <c r="V91" t="s">
        <v>36</v>
      </c>
      <c r="W91" t="s">
        <v>37</v>
      </c>
      <c r="X91">
        <v>0</v>
      </c>
      <c r="Y91">
        <v>100</v>
      </c>
      <c r="Z91" t="s">
        <v>38</v>
      </c>
      <c r="AA91" t="s">
        <v>39</v>
      </c>
      <c r="AB91" t="s">
        <v>38</v>
      </c>
      <c r="AC91">
        <v>5.2699999999999997E-2</v>
      </c>
    </row>
    <row r="92" spans="1:29" x14ac:dyDescent="0.3">
      <c r="A92">
        <v>91</v>
      </c>
      <c r="B92" s="1">
        <v>40547</v>
      </c>
      <c r="C92">
        <v>1</v>
      </c>
      <c r="D92">
        <v>22</v>
      </c>
      <c r="E92" t="b">
        <v>0</v>
      </c>
      <c r="F92">
        <v>2</v>
      </c>
      <c r="G92">
        <v>1</v>
      </c>
      <c r="H92">
        <v>0.22</v>
      </c>
      <c r="I92">
        <v>0.2576</v>
      </c>
      <c r="J92">
        <v>0.64</v>
      </c>
      <c r="K92">
        <v>8.9599999999999999E-2</v>
      </c>
      <c r="L92">
        <v>1</v>
      </c>
      <c r="M92">
        <v>34</v>
      </c>
      <c r="N92">
        <v>35</v>
      </c>
      <c r="O92" t="s">
        <v>29</v>
      </c>
      <c r="P92" t="s">
        <v>56</v>
      </c>
      <c r="Q92" t="s">
        <v>31</v>
      </c>
      <c r="R92" t="s">
        <v>32</v>
      </c>
      <c r="S92" t="s">
        <v>33</v>
      </c>
      <c r="T92" t="s">
        <v>49</v>
      </c>
      <c r="U92" t="s">
        <v>35</v>
      </c>
      <c r="V92" t="s">
        <v>36</v>
      </c>
      <c r="W92" t="s">
        <v>37</v>
      </c>
      <c r="X92">
        <v>2.8571428571428572</v>
      </c>
      <c r="Y92">
        <v>97.142857142857139</v>
      </c>
      <c r="Z92" t="s">
        <v>38</v>
      </c>
      <c r="AA92" t="s">
        <v>39</v>
      </c>
      <c r="AB92" t="s">
        <v>38</v>
      </c>
      <c r="AC92">
        <v>3.7599999999999988E-2</v>
      </c>
    </row>
    <row r="93" spans="1:29" x14ac:dyDescent="0.3">
      <c r="A93">
        <v>92</v>
      </c>
      <c r="B93" s="1">
        <v>40547</v>
      </c>
      <c r="C93">
        <v>1</v>
      </c>
      <c r="D93">
        <v>23</v>
      </c>
      <c r="E93" t="b">
        <v>0</v>
      </c>
      <c r="F93">
        <v>2</v>
      </c>
      <c r="G93">
        <v>1</v>
      </c>
      <c r="H93">
        <v>0.2</v>
      </c>
      <c r="I93">
        <v>0.2273</v>
      </c>
      <c r="J93">
        <v>0.69</v>
      </c>
      <c r="K93">
        <v>8.9599999999999999E-2</v>
      </c>
      <c r="L93">
        <v>2</v>
      </c>
      <c r="M93">
        <v>9</v>
      </c>
      <c r="N93">
        <v>11</v>
      </c>
      <c r="O93" t="s">
        <v>29</v>
      </c>
      <c r="P93" t="s">
        <v>56</v>
      </c>
      <c r="Q93" t="s">
        <v>31</v>
      </c>
      <c r="R93" t="s">
        <v>32</v>
      </c>
      <c r="S93" t="s">
        <v>33</v>
      </c>
      <c r="T93" t="s">
        <v>49</v>
      </c>
      <c r="U93" t="s">
        <v>35</v>
      </c>
      <c r="V93" t="s">
        <v>36</v>
      </c>
      <c r="W93" t="s">
        <v>37</v>
      </c>
      <c r="X93">
        <v>18.18181818181818</v>
      </c>
      <c r="Y93">
        <v>81.818181818181827</v>
      </c>
      <c r="Z93" t="s">
        <v>38</v>
      </c>
      <c r="AA93" t="s">
        <v>39</v>
      </c>
      <c r="AB93" t="s">
        <v>38</v>
      </c>
      <c r="AC93">
        <v>2.7299999999999991E-2</v>
      </c>
    </row>
    <row r="94" spans="1:29" x14ac:dyDescent="0.3">
      <c r="A94">
        <v>93</v>
      </c>
      <c r="B94" s="1">
        <v>40548</v>
      </c>
      <c r="C94">
        <v>1</v>
      </c>
      <c r="D94">
        <v>0</v>
      </c>
      <c r="E94" t="b">
        <v>0</v>
      </c>
      <c r="F94">
        <v>3</v>
      </c>
      <c r="G94">
        <v>1</v>
      </c>
      <c r="H94">
        <v>0.2</v>
      </c>
      <c r="I94">
        <v>0.2576</v>
      </c>
      <c r="J94">
        <v>0.64</v>
      </c>
      <c r="K94">
        <v>0</v>
      </c>
      <c r="L94">
        <v>0</v>
      </c>
      <c r="M94">
        <v>6</v>
      </c>
      <c r="N94">
        <v>6</v>
      </c>
      <c r="O94" t="s">
        <v>29</v>
      </c>
      <c r="P94" t="s">
        <v>57</v>
      </c>
      <c r="Q94" t="s">
        <v>31</v>
      </c>
      <c r="R94" t="s">
        <v>32</v>
      </c>
      <c r="S94" t="s">
        <v>33</v>
      </c>
      <c r="T94" t="s">
        <v>49</v>
      </c>
      <c r="U94" t="s">
        <v>35</v>
      </c>
      <c r="V94" t="s">
        <v>36</v>
      </c>
      <c r="W94" t="s">
        <v>37</v>
      </c>
      <c r="X94">
        <v>0</v>
      </c>
      <c r="Y94">
        <v>100</v>
      </c>
      <c r="Z94" t="s">
        <v>38</v>
      </c>
      <c r="AA94" t="s">
        <v>39</v>
      </c>
      <c r="AB94" t="s">
        <v>38</v>
      </c>
      <c r="AC94">
        <v>5.7599999999999978E-2</v>
      </c>
    </row>
    <row r="95" spans="1:29" x14ac:dyDescent="0.3">
      <c r="A95">
        <v>94</v>
      </c>
      <c r="B95" s="1">
        <v>40548</v>
      </c>
      <c r="C95">
        <v>1</v>
      </c>
      <c r="D95">
        <v>1</v>
      </c>
      <c r="E95" t="b">
        <v>0</v>
      </c>
      <c r="F95">
        <v>3</v>
      </c>
      <c r="G95">
        <v>1</v>
      </c>
      <c r="H95">
        <v>0.16</v>
      </c>
      <c r="I95">
        <v>0.19700000000000001</v>
      </c>
      <c r="J95">
        <v>0.74</v>
      </c>
      <c r="K95">
        <v>8.9599999999999999E-2</v>
      </c>
      <c r="L95">
        <v>0</v>
      </c>
      <c r="M95">
        <v>6</v>
      </c>
      <c r="N95">
        <v>6</v>
      </c>
      <c r="O95" t="s">
        <v>29</v>
      </c>
      <c r="P95" t="s">
        <v>57</v>
      </c>
      <c r="Q95" t="s">
        <v>31</v>
      </c>
      <c r="R95" t="s">
        <v>32</v>
      </c>
      <c r="S95" t="s">
        <v>33</v>
      </c>
      <c r="T95" t="s">
        <v>34</v>
      </c>
      <c r="U95" t="s">
        <v>35</v>
      </c>
      <c r="V95" t="s">
        <v>36</v>
      </c>
      <c r="W95" t="s">
        <v>37</v>
      </c>
      <c r="X95">
        <v>0</v>
      </c>
      <c r="Y95">
        <v>100</v>
      </c>
      <c r="Z95" t="s">
        <v>38</v>
      </c>
      <c r="AA95" t="s">
        <v>39</v>
      </c>
      <c r="AB95" t="s">
        <v>38</v>
      </c>
      <c r="AC95">
        <v>3.7000000000000012E-2</v>
      </c>
    </row>
    <row r="96" spans="1:29" x14ac:dyDescent="0.3">
      <c r="A96">
        <v>95</v>
      </c>
      <c r="B96" s="1">
        <v>40548</v>
      </c>
      <c r="C96">
        <v>1</v>
      </c>
      <c r="D96">
        <v>2</v>
      </c>
      <c r="E96" t="b">
        <v>0</v>
      </c>
      <c r="F96">
        <v>3</v>
      </c>
      <c r="G96">
        <v>1</v>
      </c>
      <c r="H96">
        <v>0.16</v>
      </c>
      <c r="I96">
        <v>0.19700000000000001</v>
      </c>
      <c r="J96">
        <v>0.74</v>
      </c>
      <c r="K96">
        <v>8.9599999999999999E-2</v>
      </c>
      <c r="L96">
        <v>0</v>
      </c>
      <c r="M96">
        <v>2</v>
      </c>
      <c r="N96">
        <v>2</v>
      </c>
      <c r="O96" t="s">
        <v>29</v>
      </c>
      <c r="P96" t="s">
        <v>57</v>
      </c>
      <c r="Q96" t="s">
        <v>31</v>
      </c>
      <c r="R96" t="s">
        <v>32</v>
      </c>
      <c r="S96" t="s">
        <v>33</v>
      </c>
      <c r="T96" t="s">
        <v>34</v>
      </c>
      <c r="U96" t="s">
        <v>35</v>
      </c>
      <c r="V96" t="s">
        <v>36</v>
      </c>
      <c r="W96" t="s">
        <v>37</v>
      </c>
      <c r="X96">
        <v>0</v>
      </c>
      <c r="Y96">
        <v>100</v>
      </c>
      <c r="Z96" t="s">
        <v>38</v>
      </c>
      <c r="AA96" t="s">
        <v>39</v>
      </c>
      <c r="AB96" t="s">
        <v>38</v>
      </c>
      <c r="AC96">
        <v>3.7000000000000012E-2</v>
      </c>
    </row>
    <row r="97" spans="1:29" x14ac:dyDescent="0.3">
      <c r="A97">
        <v>96</v>
      </c>
      <c r="B97" s="1">
        <v>40548</v>
      </c>
      <c r="C97">
        <v>1</v>
      </c>
      <c r="D97">
        <v>4</v>
      </c>
      <c r="E97" t="b">
        <v>0</v>
      </c>
      <c r="F97">
        <v>3</v>
      </c>
      <c r="G97">
        <v>1</v>
      </c>
      <c r="H97">
        <v>0.24</v>
      </c>
      <c r="I97">
        <v>0.2273</v>
      </c>
      <c r="J97">
        <v>0.48</v>
      </c>
      <c r="K97">
        <v>0.22389999999999999</v>
      </c>
      <c r="L97">
        <v>0</v>
      </c>
      <c r="M97">
        <v>2</v>
      </c>
      <c r="N97">
        <v>2</v>
      </c>
      <c r="O97" t="s">
        <v>29</v>
      </c>
      <c r="P97" t="s">
        <v>57</v>
      </c>
      <c r="Q97" t="s">
        <v>31</v>
      </c>
      <c r="R97" t="s">
        <v>32</v>
      </c>
      <c r="S97" t="s">
        <v>33</v>
      </c>
      <c r="T97" t="s">
        <v>49</v>
      </c>
      <c r="U97" t="s">
        <v>46</v>
      </c>
      <c r="V97" t="s">
        <v>36</v>
      </c>
      <c r="W97" t="s">
        <v>37</v>
      </c>
      <c r="X97">
        <v>0</v>
      </c>
      <c r="Y97">
        <v>100</v>
      </c>
      <c r="Z97" t="s">
        <v>38</v>
      </c>
      <c r="AA97" t="s">
        <v>39</v>
      </c>
      <c r="AB97" t="s">
        <v>38</v>
      </c>
      <c r="AC97">
        <v>-1.2699999999999991E-2</v>
      </c>
    </row>
    <row r="98" spans="1:29" x14ac:dyDescent="0.3">
      <c r="A98">
        <v>97</v>
      </c>
      <c r="B98" s="1">
        <v>40548</v>
      </c>
      <c r="C98">
        <v>1</v>
      </c>
      <c r="D98">
        <v>5</v>
      </c>
      <c r="E98" t="b">
        <v>0</v>
      </c>
      <c r="F98">
        <v>3</v>
      </c>
      <c r="G98">
        <v>1</v>
      </c>
      <c r="H98">
        <v>0.22</v>
      </c>
      <c r="I98">
        <v>0.2273</v>
      </c>
      <c r="J98">
        <v>0.47</v>
      </c>
      <c r="K98">
        <v>0.16420000000000001</v>
      </c>
      <c r="L98">
        <v>0</v>
      </c>
      <c r="M98">
        <v>3</v>
      </c>
      <c r="N98">
        <v>3</v>
      </c>
      <c r="O98" t="s">
        <v>29</v>
      </c>
      <c r="P98" t="s">
        <v>57</v>
      </c>
      <c r="Q98" t="s">
        <v>31</v>
      </c>
      <c r="R98" t="s">
        <v>32</v>
      </c>
      <c r="S98" t="s">
        <v>33</v>
      </c>
      <c r="T98" t="s">
        <v>49</v>
      </c>
      <c r="U98" t="s">
        <v>46</v>
      </c>
      <c r="V98" t="s">
        <v>36</v>
      </c>
      <c r="W98" t="s">
        <v>37</v>
      </c>
      <c r="X98">
        <v>0</v>
      </c>
      <c r="Y98">
        <v>100</v>
      </c>
      <c r="Z98" t="s">
        <v>38</v>
      </c>
      <c r="AA98" t="s">
        <v>39</v>
      </c>
      <c r="AB98" t="s">
        <v>38</v>
      </c>
      <c r="AC98">
        <v>7.3000000000000009E-3</v>
      </c>
    </row>
    <row r="99" spans="1:29" x14ac:dyDescent="0.3">
      <c r="A99">
        <v>98</v>
      </c>
      <c r="B99" s="1">
        <v>40548</v>
      </c>
      <c r="C99">
        <v>1</v>
      </c>
      <c r="D99">
        <v>6</v>
      </c>
      <c r="E99" t="b">
        <v>0</v>
      </c>
      <c r="F99">
        <v>3</v>
      </c>
      <c r="G99">
        <v>1</v>
      </c>
      <c r="H99">
        <v>0.2</v>
      </c>
      <c r="I99">
        <v>0.19700000000000001</v>
      </c>
      <c r="J99">
        <v>0.47</v>
      </c>
      <c r="K99">
        <v>0.22389999999999999</v>
      </c>
      <c r="L99">
        <v>0</v>
      </c>
      <c r="M99">
        <v>33</v>
      </c>
      <c r="N99">
        <v>33</v>
      </c>
      <c r="O99" t="s">
        <v>29</v>
      </c>
      <c r="P99" t="s">
        <v>57</v>
      </c>
      <c r="Q99" t="s">
        <v>31</v>
      </c>
      <c r="R99" t="s">
        <v>42</v>
      </c>
      <c r="S99" t="s">
        <v>33</v>
      </c>
      <c r="T99" t="s">
        <v>49</v>
      </c>
      <c r="U99" t="s">
        <v>46</v>
      </c>
      <c r="V99" t="s">
        <v>36</v>
      </c>
      <c r="W99" t="s">
        <v>37</v>
      </c>
      <c r="X99">
        <v>0</v>
      </c>
      <c r="Y99">
        <v>100</v>
      </c>
      <c r="Z99" t="s">
        <v>38</v>
      </c>
      <c r="AA99" t="s">
        <v>39</v>
      </c>
      <c r="AB99" t="s">
        <v>38</v>
      </c>
      <c r="AC99">
        <v>-3.0000000000000031E-3</v>
      </c>
    </row>
    <row r="100" spans="1:29" x14ac:dyDescent="0.3">
      <c r="A100">
        <v>99</v>
      </c>
      <c r="B100" s="1">
        <v>40548</v>
      </c>
      <c r="C100">
        <v>1</v>
      </c>
      <c r="D100">
        <v>7</v>
      </c>
      <c r="E100" t="b">
        <v>0</v>
      </c>
      <c r="F100">
        <v>3</v>
      </c>
      <c r="G100">
        <v>1</v>
      </c>
      <c r="H100">
        <v>0.18</v>
      </c>
      <c r="I100">
        <v>0.18179999999999999</v>
      </c>
      <c r="J100">
        <v>0.43</v>
      </c>
      <c r="K100">
        <v>0.19400000000000001</v>
      </c>
      <c r="L100">
        <v>1</v>
      </c>
      <c r="M100">
        <v>87</v>
      </c>
      <c r="N100">
        <v>88</v>
      </c>
      <c r="O100" t="s">
        <v>29</v>
      </c>
      <c r="P100" t="s">
        <v>57</v>
      </c>
      <c r="Q100" t="s">
        <v>31</v>
      </c>
      <c r="R100" t="s">
        <v>42</v>
      </c>
      <c r="S100" t="s">
        <v>33</v>
      </c>
      <c r="T100" t="s">
        <v>49</v>
      </c>
      <c r="U100" t="s">
        <v>46</v>
      </c>
      <c r="V100" t="s">
        <v>36</v>
      </c>
      <c r="W100" t="s">
        <v>37</v>
      </c>
      <c r="X100">
        <v>1.136363636363636</v>
      </c>
      <c r="Y100">
        <v>98.86363636363636</v>
      </c>
      <c r="Z100" t="s">
        <v>40</v>
      </c>
      <c r="AA100" t="s">
        <v>39</v>
      </c>
      <c r="AB100" t="s">
        <v>38</v>
      </c>
      <c r="AC100">
        <v>1.799999999999996E-3</v>
      </c>
    </row>
    <row r="101" spans="1:29" x14ac:dyDescent="0.3">
      <c r="A101">
        <v>100</v>
      </c>
      <c r="B101" s="1">
        <v>40548</v>
      </c>
      <c r="C101">
        <v>1</v>
      </c>
      <c r="D101">
        <v>8</v>
      </c>
      <c r="E101" t="b">
        <v>0</v>
      </c>
      <c r="F101">
        <v>3</v>
      </c>
      <c r="G101">
        <v>1</v>
      </c>
      <c r="H101">
        <v>0.2</v>
      </c>
      <c r="I101">
        <v>0.18179999999999999</v>
      </c>
      <c r="J101">
        <v>0.4</v>
      </c>
      <c r="K101">
        <v>0.29849999999999999</v>
      </c>
      <c r="L101">
        <v>3</v>
      </c>
      <c r="M101">
        <v>192</v>
      </c>
      <c r="N101">
        <v>195</v>
      </c>
      <c r="O101" t="s">
        <v>29</v>
      </c>
      <c r="P101" t="s">
        <v>57</v>
      </c>
      <c r="Q101" t="s">
        <v>31</v>
      </c>
      <c r="R101" t="s">
        <v>42</v>
      </c>
      <c r="S101" t="s">
        <v>33</v>
      </c>
      <c r="T101" t="s">
        <v>49</v>
      </c>
      <c r="U101" t="s">
        <v>46</v>
      </c>
      <c r="V101" t="s">
        <v>36</v>
      </c>
      <c r="W101" t="s">
        <v>37</v>
      </c>
      <c r="X101">
        <v>1.538461538461539</v>
      </c>
      <c r="Y101">
        <v>98.461538461538467</v>
      </c>
      <c r="Z101" t="s">
        <v>40</v>
      </c>
      <c r="AA101" t="s">
        <v>49</v>
      </c>
      <c r="AB101" t="s">
        <v>38</v>
      </c>
      <c r="AC101">
        <v>-1.8200000000000022E-2</v>
      </c>
    </row>
    <row r="102" spans="1:29" x14ac:dyDescent="0.3">
      <c r="A102">
        <v>101</v>
      </c>
      <c r="B102" s="1">
        <v>40548</v>
      </c>
      <c r="C102">
        <v>1</v>
      </c>
      <c r="D102">
        <v>9</v>
      </c>
      <c r="E102" t="b">
        <v>0</v>
      </c>
      <c r="F102">
        <v>3</v>
      </c>
      <c r="G102">
        <v>1</v>
      </c>
      <c r="H102">
        <v>0.22</v>
      </c>
      <c r="I102">
        <v>0.19700000000000001</v>
      </c>
      <c r="J102">
        <v>0.37</v>
      </c>
      <c r="K102">
        <v>0.32840000000000003</v>
      </c>
      <c r="L102">
        <v>6</v>
      </c>
      <c r="M102">
        <v>109</v>
      </c>
      <c r="N102">
        <v>115</v>
      </c>
      <c r="O102" t="s">
        <v>29</v>
      </c>
      <c r="P102" t="s">
        <v>57</v>
      </c>
      <c r="Q102" t="s">
        <v>31</v>
      </c>
      <c r="R102" t="s">
        <v>42</v>
      </c>
      <c r="S102" t="s">
        <v>33</v>
      </c>
      <c r="T102" t="s">
        <v>39</v>
      </c>
      <c r="U102" t="s">
        <v>53</v>
      </c>
      <c r="V102" t="s">
        <v>36</v>
      </c>
      <c r="W102" t="s">
        <v>37</v>
      </c>
      <c r="X102">
        <v>5.2173913043478262</v>
      </c>
      <c r="Y102">
        <v>94.782608695652172</v>
      </c>
      <c r="Z102" t="s">
        <v>40</v>
      </c>
      <c r="AA102" t="s">
        <v>49</v>
      </c>
      <c r="AB102" t="s">
        <v>38</v>
      </c>
      <c r="AC102">
        <v>-2.2999999999999989E-2</v>
      </c>
    </row>
    <row r="103" spans="1:29" x14ac:dyDescent="0.3">
      <c r="A103">
        <v>102</v>
      </c>
      <c r="B103" s="1">
        <v>40548</v>
      </c>
      <c r="C103">
        <v>1</v>
      </c>
      <c r="D103">
        <v>10</v>
      </c>
      <c r="E103" t="b">
        <v>0</v>
      </c>
      <c r="F103">
        <v>3</v>
      </c>
      <c r="G103">
        <v>1</v>
      </c>
      <c r="H103">
        <v>0.22</v>
      </c>
      <c r="I103">
        <v>0.19700000000000001</v>
      </c>
      <c r="J103">
        <v>0.37</v>
      </c>
      <c r="K103">
        <v>0.32840000000000003</v>
      </c>
      <c r="L103">
        <v>4</v>
      </c>
      <c r="M103">
        <v>53</v>
      </c>
      <c r="N103">
        <v>57</v>
      </c>
      <c r="O103" t="s">
        <v>29</v>
      </c>
      <c r="P103" t="s">
        <v>57</v>
      </c>
      <c r="Q103" t="s">
        <v>31</v>
      </c>
      <c r="R103" t="s">
        <v>42</v>
      </c>
      <c r="S103" t="s">
        <v>33</v>
      </c>
      <c r="T103" t="s">
        <v>39</v>
      </c>
      <c r="U103" t="s">
        <v>53</v>
      </c>
      <c r="V103" t="s">
        <v>36</v>
      </c>
      <c r="W103" t="s">
        <v>37</v>
      </c>
      <c r="X103">
        <v>7.0175438596491224</v>
      </c>
      <c r="Y103">
        <v>92.982456140350877</v>
      </c>
      <c r="Z103" t="s">
        <v>38</v>
      </c>
      <c r="AA103" t="s">
        <v>39</v>
      </c>
      <c r="AB103" t="s">
        <v>38</v>
      </c>
      <c r="AC103">
        <v>-2.2999999999999989E-2</v>
      </c>
    </row>
    <row r="104" spans="1:29" x14ac:dyDescent="0.3">
      <c r="A104">
        <v>103</v>
      </c>
      <c r="B104" s="1">
        <v>40548</v>
      </c>
      <c r="C104">
        <v>1</v>
      </c>
      <c r="D104">
        <v>11</v>
      </c>
      <c r="E104" t="b">
        <v>0</v>
      </c>
      <c r="F104">
        <v>3</v>
      </c>
      <c r="G104">
        <v>1</v>
      </c>
      <c r="H104">
        <v>0.26</v>
      </c>
      <c r="I104">
        <v>0.2273</v>
      </c>
      <c r="J104">
        <v>0.33</v>
      </c>
      <c r="K104">
        <v>0.32840000000000003</v>
      </c>
      <c r="L104">
        <v>12</v>
      </c>
      <c r="M104">
        <v>34</v>
      </c>
      <c r="N104">
        <v>46</v>
      </c>
      <c r="O104" t="s">
        <v>29</v>
      </c>
      <c r="P104" t="s">
        <v>57</v>
      </c>
      <c r="Q104" t="s">
        <v>31</v>
      </c>
      <c r="R104" t="s">
        <v>42</v>
      </c>
      <c r="S104" t="s">
        <v>44</v>
      </c>
      <c r="T104" t="s">
        <v>39</v>
      </c>
      <c r="U104" t="s">
        <v>53</v>
      </c>
      <c r="V104" t="s">
        <v>36</v>
      </c>
      <c r="W104" t="s">
        <v>37</v>
      </c>
      <c r="X104">
        <v>26.086956521739129</v>
      </c>
      <c r="Y104">
        <v>73.91304347826086</v>
      </c>
      <c r="Z104" t="s">
        <v>38</v>
      </c>
      <c r="AA104" t="s">
        <v>39</v>
      </c>
      <c r="AB104" t="s">
        <v>38</v>
      </c>
      <c r="AC104">
        <v>-3.2700000000000007E-2</v>
      </c>
    </row>
    <row r="105" spans="1:29" x14ac:dyDescent="0.3">
      <c r="A105">
        <v>104</v>
      </c>
      <c r="B105" s="1">
        <v>40548</v>
      </c>
      <c r="C105">
        <v>1</v>
      </c>
      <c r="D105">
        <v>12</v>
      </c>
      <c r="E105" t="b">
        <v>0</v>
      </c>
      <c r="F105">
        <v>3</v>
      </c>
      <c r="G105">
        <v>1</v>
      </c>
      <c r="H105">
        <v>0.26</v>
      </c>
      <c r="I105">
        <v>0.2273</v>
      </c>
      <c r="J105">
        <v>0.33</v>
      </c>
      <c r="K105">
        <v>0.32840000000000003</v>
      </c>
      <c r="L105">
        <v>5</v>
      </c>
      <c r="M105">
        <v>74</v>
      </c>
      <c r="N105">
        <v>79</v>
      </c>
      <c r="O105" t="s">
        <v>29</v>
      </c>
      <c r="P105" t="s">
        <v>57</v>
      </c>
      <c r="Q105" t="s">
        <v>31</v>
      </c>
      <c r="R105" t="s">
        <v>47</v>
      </c>
      <c r="S105" t="s">
        <v>44</v>
      </c>
      <c r="T105" t="s">
        <v>39</v>
      </c>
      <c r="U105" t="s">
        <v>53</v>
      </c>
      <c r="V105" t="s">
        <v>36</v>
      </c>
      <c r="W105" t="s">
        <v>37</v>
      </c>
      <c r="X105">
        <v>6.3291139240506329</v>
      </c>
      <c r="Y105">
        <v>93.670886075949369</v>
      </c>
      <c r="Z105" t="s">
        <v>38</v>
      </c>
      <c r="AA105" t="s">
        <v>39</v>
      </c>
      <c r="AB105" t="s">
        <v>38</v>
      </c>
      <c r="AC105">
        <v>-3.2700000000000007E-2</v>
      </c>
    </row>
    <row r="106" spans="1:29" x14ac:dyDescent="0.3">
      <c r="A106">
        <v>105</v>
      </c>
      <c r="B106" s="1">
        <v>40548</v>
      </c>
      <c r="C106">
        <v>1</v>
      </c>
      <c r="D106">
        <v>13</v>
      </c>
      <c r="E106" t="b">
        <v>0</v>
      </c>
      <c r="F106">
        <v>3</v>
      </c>
      <c r="G106">
        <v>1</v>
      </c>
      <c r="H106">
        <v>0.28000000000000003</v>
      </c>
      <c r="I106">
        <v>0.2576</v>
      </c>
      <c r="J106">
        <v>0.3</v>
      </c>
      <c r="K106">
        <v>0.29849999999999999</v>
      </c>
      <c r="L106">
        <v>6</v>
      </c>
      <c r="M106">
        <v>65</v>
      </c>
      <c r="N106">
        <v>71</v>
      </c>
      <c r="O106" t="s">
        <v>29</v>
      </c>
      <c r="P106" t="s">
        <v>57</v>
      </c>
      <c r="Q106" t="s">
        <v>31</v>
      </c>
      <c r="R106" t="s">
        <v>47</v>
      </c>
      <c r="S106" t="s">
        <v>44</v>
      </c>
      <c r="T106" t="s">
        <v>39</v>
      </c>
      <c r="U106" t="s">
        <v>46</v>
      </c>
      <c r="V106" t="s">
        <v>36</v>
      </c>
      <c r="W106" t="s">
        <v>37</v>
      </c>
      <c r="X106">
        <v>8.4507042253521121</v>
      </c>
      <c r="Y106">
        <v>91.549295774647888</v>
      </c>
      <c r="Z106" t="s">
        <v>38</v>
      </c>
      <c r="AA106" t="s">
        <v>39</v>
      </c>
      <c r="AB106" t="s">
        <v>38</v>
      </c>
      <c r="AC106">
        <v>-2.2400000000000031E-2</v>
      </c>
    </row>
    <row r="107" spans="1:29" x14ac:dyDescent="0.3">
      <c r="A107">
        <v>106</v>
      </c>
      <c r="B107" s="1">
        <v>40548</v>
      </c>
      <c r="C107">
        <v>1</v>
      </c>
      <c r="D107">
        <v>14</v>
      </c>
      <c r="E107" t="b">
        <v>0</v>
      </c>
      <c r="F107">
        <v>3</v>
      </c>
      <c r="G107">
        <v>1</v>
      </c>
      <c r="H107">
        <v>0.3</v>
      </c>
      <c r="I107">
        <v>0.28789999999999999</v>
      </c>
      <c r="J107">
        <v>0.28000000000000003</v>
      </c>
      <c r="K107">
        <v>0.19400000000000001</v>
      </c>
      <c r="L107">
        <v>10</v>
      </c>
      <c r="M107">
        <v>52</v>
      </c>
      <c r="N107">
        <v>62</v>
      </c>
      <c r="O107" t="s">
        <v>29</v>
      </c>
      <c r="P107" t="s">
        <v>57</v>
      </c>
      <c r="Q107" t="s">
        <v>31</v>
      </c>
      <c r="R107" t="s">
        <v>47</v>
      </c>
      <c r="S107" t="s">
        <v>44</v>
      </c>
      <c r="T107" t="s">
        <v>39</v>
      </c>
      <c r="U107" t="s">
        <v>46</v>
      </c>
      <c r="V107" t="s">
        <v>36</v>
      </c>
      <c r="W107" t="s">
        <v>37</v>
      </c>
      <c r="X107">
        <v>16.12903225806452</v>
      </c>
      <c r="Y107">
        <v>83.870967741935488</v>
      </c>
      <c r="Z107" t="s">
        <v>38</v>
      </c>
      <c r="AA107" t="s">
        <v>39</v>
      </c>
      <c r="AB107" t="s">
        <v>38</v>
      </c>
      <c r="AC107">
        <v>-1.21E-2</v>
      </c>
    </row>
    <row r="108" spans="1:29" x14ac:dyDescent="0.3">
      <c r="A108">
        <v>107</v>
      </c>
      <c r="B108" s="1">
        <v>40548</v>
      </c>
      <c r="C108">
        <v>1</v>
      </c>
      <c r="D108">
        <v>15</v>
      </c>
      <c r="E108" t="b">
        <v>0</v>
      </c>
      <c r="F108">
        <v>3</v>
      </c>
      <c r="G108">
        <v>1</v>
      </c>
      <c r="H108">
        <v>0.3</v>
      </c>
      <c r="I108">
        <v>0.28789999999999999</v>
      </c>
      <c r="J108">
        <v>0.28000000000000003</v>
      </c>
      <c r="K108">
        <v>0.19400000000000001</v>
      </c>
      <c r="L108">
        <v>7</v>
      </c>
      <c r="M108">
        <v>55</v>
      </c>
      <c r="N108">
        <v>62</v>
      </c>
      <c r="O108" t="s">
        <v>29</v>
      </c>
      <c r="P108" t="s">
        <v>57</v>
      </c>
      <c r="Q108" t="s">
        <v>31</v>
      </c>
      <c r="R108" t="s">
        <v>47</v>
      </c>
      <c r="S108" t="s">
        <v>44</v>
      </c>
      <c r="T108" t="s">
        <v>39</v>
      </c>
      <c r="U108" t="s">
        <v>46</v>
      </c>
      <c r="V108" t="s">
        <v>36</v>
      </c>
      <c r="W108" t="s">
        <v>37</v>
      </c>
      <c r="X108">
        <v>11.29032258064516</v>
      </c>
      <c r="Y108">
        <v>88.709677419354833</v>
      </c>
      <c r="Z108" t="s">
        <v>38</v>
      </c>
      <c r="AA108" t="s">
        <v>39</v>
      </c>
      <c r="AB108" t="s">
        <v>38</v>
      </c>
      <c r="AC108">
        <v>-1.21E-2</v>
      </c>
    </row>
    <row r="109" spans="1:29" x14ac:dyDescent="0.3">
      <c r="A109">
        <v>108</v>
      </c>
      <c r="B109" s="1">
        <v>40548</v>
      </c>
      <c r="C109">
        <v>1</v>
      </c>
      <c r="D109">
        <v>16</v>
      </c>
      <c r="E109" t="b">
        <v>0</v>
      </c>
      <c r="F109">
        <v>3</v>
      </c>
      <c r="G109">
        <v>1</v>
      </c>
      <c r="H109">
        <v>0.3</v>
      </c>
      <c r="I109">
        <v>0.31819999999999998</v>
      </c>
      <c r="J109">
        <v>0.28000000000000003</v>
      </c>
      <c r="K109">
        <v>8.9599999999999999E-2</v>
      </c>
      <c r="L109">
        <v>4</v>
      </c>
      <c r="M109">
        <v>85</v>
      </c>
      <c r="N109">
        <v>89</v>
      </c>
      <c r="O109" t="s">
        <v>29</v>
      </c>
      <c r="P109" t="s">
        <v>57</v>
      </c>
      <c r="Q109" t="s">
        <v>31</v>
      </c>
      <c r="R109" t="s">
        <v>47</v>
      </c>
      <c r="S109" t="s">
        <v>44</v>
      </c>
      <c r="T109" t="s">
        <v>39</v>
      </c>
      <c r="U109" t="s">
        <v>35</v>
      </c>
      <c r="V109" t="s">
        <v>36</v>
      </c>
      <c r="W109" t="s">
        <v>37</v>
      </c>
      <c r="X109">
        <v>4.4943820224719104</v>
      </c>
      <c r="Y109">
        <v>95.50561797752809</v>
      </c>
      <c r="Z109" t="s">
        <v>38</v>
      </c>
      <c r="AA109" t="s">
        <v>39</v>
      </c>
      <c r="AB109" t="s">
        <v>38</v>
      </c>
      <c r="AC109">
        <v>1.819999999999999E-2</v>
      </c>
    </row>
    <row r="110" spans="1:29" x14ac:dyDescent="0.3">
      <c r="A110">
        <v>109</v>
      </c>
      <c r="B110" s="1">
        <v>40548</v>
      </c>
      <c r="C110">
        <v>1</v>
      </c>
      <c r="D110">
        <v>17</v>
      </c>
      <c r="E110" t="b">
        <v>0</v>
      </c>
      <c r="F110">
        <v>3</v>
      </c>
      <c r="G110">
        <v>1</v>
      </c>
      <c r="H110">
        <v>0.24</v>
      </c>
      <c r="I110">
        <v>0.2273</v>
      </c>
      <c r="J110">
        <v>0.38</v>
      </c>
      <c r="K110">
        <v>0.19400000000000001</v>
      </c>
      <c r="L110">
        <v>4</v>
      </c>
      <c r="M110">
        <v>186</v>
      </c>
      <c r="N110">
        <v>190</v>
      </c>
      <c r="O110" t="s">
        <v>29</v>
      </c>
      <c r="P110" t="s">
        <v>57</v>
      </c>
      <c r="Q110" t="s">
        <v>31</v>
      </c>
      <c r="R110" t="s">
        <v>50</v>
      </c>
      <c r="S110" t="s">
        <v>33</v>
      </c>
      <c r="T110" t="s">
        <v>39</v>
      </c>
      <c r="U110" t="s">
        <v>46</v>
      </c>
      <c r="V110" t="s">
        <v>36</v>
      </c>
      <c r="W110" t="s">
        <v>37</v>
      </c>
      <c r="X110">
        <v>2.1052631578947372</v>
      </c>
      <c r="Y110">
        <v>97.894736842105274</v>
      </c>
      <c r="Z110" t="s">
        <v>40</v>
      </c>
      <c r="AA110" t="s">
        <v>49</v>
      </c>
      <c r="AB110" t="s">
        <v>38</v>
      </c>
      <c r="AC110">
        <v>-1.2699999999999991E-2</v>
      </c>
    </row>
    <row r="111" spans="1:29" x14ac:dyDescent="0.3">
      <c r="A111">
        <v>110</v>
      </c>
      <c r="B111" s="1">
        <v>40548</v>
      </c>
      <c r="C111">
        <v>1</v>
      </c>
      <c r="D111">
        <v>18</v>
      </c>
      <c r="E111" t="b">
        <v>0</v>
      </c>
      <c r="F111">
        <v>3</v>
      </c>
      <c r="G111">
        <v>1</v>
      </c>
      <c r="H111">
        <v>0.24</v>
      </c>
      <c r="I111">
        <v>0.2424</v>
      </c>
      <c r="J111">
        <v>0.38</v>
      </c>
      <c r="K111">
        <v>0.1343</v>
      </c>
      <c r="L111">
        <v>3</v>
      </c>
      <c r="M111">
        <v>166</v>
      </c>
      <c r="N111">
        <v>169</v>
      </c>
      <c r="O111" t="s">
        <v>29</v>
      </c>
      <c r="P111" t="s">
        <v>57</v>
      </c>
      <c r="Q111" t="s">
        <v>31</v>
      </c>
      <c r="R111" t="s">
        <v>50</v>
      </c>
      <c r="S111" t="s">
        <v>33</v>
      </c>
      <c r="T111" t="s">
        <v>39</v>
      </c>
      <c r="U111" t="s">
        <v>35</v>
      </c>
      <c r="V111" t="s">
        <v>36</v>
      </c>
      <c r="W111" t="s">
        <v>37</v>
      </c>
      <c r="X111">
        <v>1.775147928994083</v>
      </c>
      <c r="Y111">
        <v>98.224852071005913</v>
      </c>
      <c r="Z111" t="s">
        <v>40</v>
      </c>
      <c r="AA111" t="s">
        <v>49</v>
      </c>
      <c r="AB111" t="s">
        <v>38</v>
      </c>
      <c r="AC111">
        <v>2.4000000000000128E-3</v>
      </c>
    </row>
    <row r="112" spans="1:29" x14ac:dyDescent="0.3">
      <c r="A112">
        <v>111</v>
      </c>
      <c r="B112" s="1">
        <v>40548</v>
      </c>
      <c r="C112">
        <v>1</v>
      </c>
      <c r="D112">
        <v>19</v>
      </c>
      <c r="E112" t="b">
        <v>0</v>
      </c>
      <c r="F112">
        <v>3</v>
      </c>
      <c r="G112">
        <v>1</v>
      </c>
      <c r="H112">
        <v>0.24</v>
      </c>
      <c r="I112">
        <v>0.2576</v>
      </c>
      <c r="J112">
        <v>0.38</v>
      </c>
      <c r="K112">
        <v>0.1045</v>
      </c>
      <c r="L112">
        <v>5</v>
      </c>
      <c r="M112">
        <v>127</v>
      </c>
      <c r="N112">
        <v>132</v>
      </c>
      <c r="O112" t="s">
        <v>29</v>
      </c>
      <c r="P112" t="s">
        <v>57</v>
      </c>
      <c r="Q112" t="s">
        <v>31</v>
      </c>
      <c r="R112" t="s">
        <v>50</v>
      </c>
      <c r="S112" t="s">
        <v>33</v>
      </c>
      <c r="T112" t="s">
        <v>39</v>
      </c>
      <c r="U112" t="s">
        <v>35</v>
      </c>
      <c r="V112" t="s">
        <v>36</v>
      </c>
      <c r="W112" t="s">
        <v>37</v>
      </c>
      <c r="X112">
        <v>3.7878787878787881</v>
      </c>
      <c r="Y112">
        <v>96.212121212121218</v>
      </c>
      <c r="Z112" t="s">
        <v>40</v>
      </c>
      <c r="AA112" t="s">
        <v>49</v>
      </c>
      <c r="AB112" t="s">
        <v>38</v>
      </c>
      <c r="AC112">
        <v>1.7600000000000001E-2</v>
      </c>
    </row>
    <row r="113" spans="1:29" x14ac:dyDescent="0.3">
      <c r="A113">
        <v>112</v>
      </c>
      <c r="B113" s="1">
        <v>40548</v>
      </c>
      <c r="C113">
        <v>1</v>
      </c>
      <c r="D113">
        <v>20</v>
      </c>
      <c r="E113" t="b">
        <v>0</v>
      </c>
      <c r="F113">
        <v>3</v>
      </c>
      <c r="G113">
        <v>1</v>
      </c>
      <c r="H113">
        <v>0.22</v>
      </c>
      <c r="I113">
        <v>0.2273</v>
      </c>
      <c r="J113">
        <v>0.47</v>
      </c>
      <c r="K113">
        <v>0.16420000000000001</v>
      </c>
      <c r="L113">
        <v>7</v>
      </c>
      <c r="M113">
        <v>82</v>
      </c>
      <c r="N113">
        <v>89</v>
      </c>
      <c r="O113" t="s">
        <v>29</v>
      </c>
      <c r="P113" t="s">
        <v>57</v>
      </c>
      <c r="Q113" t="s">
        <v>31</v>
      </c>
      <c r="R113" t="s">
        <v>50</v>
      </c>
      <c r="S113" t="s">
        <v>33</v>
      </c>
      <c r="T113" t="s">
        <v>49</v>
      </c>
      <c r="U113" t="s">
        <v>46</v>
      </c>
      <c r="V113" t="s">
        <v>36</v>
      </c>
      <c r="W113" t="s">
        <v>37</v>
      </c>
      <c r="X113">
        <v>7.8651685393258424</v>
      </c>
      <c r="Y113">
        <v>92.134831460674164</v>
      </c>
      <c r="Z113" t="s">
        <v>38</v>
      </c>
      <c r="AA113" t="s">
        <v>39</v>
      </c>
      <c r="AB113" t="s">
        <v>38</v>
      </c>
      <c r="AC113">
        <v>7.3000000000000009E-3</v>
      </c>
    </row>
    <row r="114" spans="1:29" x14ac:dyDescent="0.3">
      <c r="A114">
        <v>113</v>
      </c>
      <c r="B114" s="1">
        <v>40548</v>
      </c>
      <c r="C114">
        <v>1</v>
      </c>
      <c r="D114">
        <v>21</v>
      </c>
      <c r="E114" t="b">
        <v>0</v>
      </c>
      <c r="F114">
        <v>3</v>
      </c>
      <c r="G114">
        <v>1</v>
      </c>
      <c r="H114">
        <v>0.2</v>
      </c>
      <c r="I114">
        <v>0.19700000000000001</v>
      </c>
      <c r="J114">
        <v>0.51</v>
      </c>
      <c r="K114">
        <v>0.19400000000000001</v>
      </c>
      <c r="L114">
        <v>3</v>
      </c>
      <c r="M114">
        <v>40</v>
      </c>
      <c r="N114">
        <v>43</v>
      </c>
      <c r="O114" t="s">
        <v>29</v>
      </c>
      <c r="P114" t="s">
        <v>57</v>
      </c>
      <c r="Q114" t="s">
        <v>31</v>
      </c>
      <c r="R114" t="s">
        <v>32</v>
      </c>
      <c r="S114" t="s">
        <v>33</v>
      </c>
      <c r="T114" t="s">
        <v>49</v>
      </c>
      <c r="U114" t="s">
        <v>46</v>
      </c>
      <c r="V114" t="s">
        <v>36</v>
      </c>
      <c r="W114" t="s">
        <v>37</v>
      </c>
      <c r="X114">
        <v>6.9767441860465116</v>
      </c>
      <c r="Y114">
        <v>93.023255813953483</v>
      </c>
      <c r="Z114" t="s">
        <v>38</v>
      </c>
      <c r="AA114" t="s">
        <v>39</v>
      </c>
      <c r="AB114" t="s">
        <v>38</v>
      </c>
      <c r="AC114">
        <v>-3.0000000000000031E-3</v>
      </c>
    </row>
    <row r="115" spans="1:29" x14ac:dyDescent="0.3">
      <c r="A115">
        <v>114</v>
      </c>
      <c r="B115" s="1">
        <v>40548</v>
      </c>
      <c r="C115">
        <v>1</v>
      </c>
      <c r="D115">
        <v>22</v>
      </c>
      <c r="E115" t="b">
        <v>0</v>
      </c>
      <c r="F115">
        <v>3</v>
      </c>
      <c r="G115">
        <v>1</v>
      </c>
      <c r="H115">
        <v>0.18</v>
      </c>
      <c r="I115">
        <v>0.19700000000000001</v>
      </c>
      <c r="J115">
        <v>0.55000000000000004</v>
      </c>
      <c r="K115">
        <v>0.1343</v>
      </c>
      <c r="L115">
        <v>1</v>
      </c>
      <c r="M115">
        <v>41</v>
      </c>
      <c r="N115">
        <v>42</v>
      </c>
      <c r="O115" t="s">
        <v>29</v>
      </c>
      <c r="P115" t="s">
        <v>57</v>
      </c>
      <c r="Q115" t="s">
        <v>31</v>
      </c>
      <c r="R115" t="s">
        <v>32</v>
      </c>
      <c r="S115" t="s">
        <v>33</v>
      </c>
      <c r="T115" t="s">
        <v>49</v>
      </c>
      <c r="U115" t="s">
        <v>35</v>
      </c>
      <c r="V115" t="s">
        <v>36</v>
      </c>
      <c r="W115" t="s">
        <v>37</v>
      </c>
      <c r="X115">
        <v>2.3809523809523809</v>
      </c>
      <c r="Y115">
        <v>97.61904761904762</v>
      </c>
      <c r="Z115" t="s">
        <v>38</v>
      </c>
      <c r="AA115" t="s">
        <v>39</v>
      </c>
      <c r="AB115" t="s">
        <v>38</v>
      </c>
      <c r="AC115">
        <v>1.7000000000000019E-2</v>
      </c>
    </row>
    <row r="116" spans="1:29" x14ac:dyDescent="0.3">
      <c r="A116">
        <v>115</v>
      </c>
      <c r="B116" s="1">
        <v>40548</v>
      </c>
      <c r="C116">
        <v>1</v>
      </c>
      <c r="D116">
        <v>23</v>
      </c>
      <c r="E116" t="b">
        <v>0</v>
      </c>
      <c r="F116">
        <v>3</v>
      </c>
      <c r="G116">
        <v>1</v>
      </c>
      <c r="H116">
        <v>0.2</v>
      </c>
      <c r="I116">
        <v>0.2576</v>
      </c>
      <c r="J116">
        <v>0.47</v>
      </c>
      <c r="K116">
        <v>0</v>
      </c>
      <c r="L116">
        <v>1</v>
      </c>
      <c r="M116">
        <v>18</v>
      </c>
      <c r="N116">
        <v>19</v>
      </c>
      <c r="O116" t="s">
        <v>29</v>
      </c>
      <c r="P116" t="s">
        <v>57</v>
      </c>
      <c r="Q116" t="s">
        <v>31</v>
      </c>
      <c r="R116" t="s">
        <v>32</v>
      </c>
      <c r="S116" t="s">
        <v>33</v>
      </c>
      <c r="T116" t="s">
        <v>49</v>
      </c>
      <c r="U116" t="s">
        <v>35</v>
      </c>
      <c r="V116" t="s">
        <v>36</v>
      </c>
      <c r="W116" t="s">
        <v>37</v>
      </c>
      <c r="X116">
        <v>5.2631578947368416</v>
      </c>
      <c r="Y116">
        <v>94.73684210526315</v>
      </c>
      <c r="Z116" t="s">
        <v>38</v>
      </c>
      <c r="AA116" t="s">
        <v>39</v>
      </c>
      <c r="AB116" t="s">
        <v>38</v>
      </c>
      <c r="AC116">
        <v>5.7599999999999978E-2</v>
      </c>
    </row>
    <row r="117" spans="1:29" x14ac:dyDescent="0.3">
      <c r="A117">
        <v>116</v>
      </c>
      <c r="B117" s="1">
        <v>40549</v>
      </c>
      <c r="C117">
        <v>1</v>
      </c>
      <c r="D117">
        <v>0</v>
      </c>
      <c r="E117" t="b">
        <v>0</v>
      </c>
      <c r="F117">
        <v>4</v>
      </c>
      <c r="G117">
        <v>1</v>
      </c>
      <c r="H117">
        <v>0.18</v>
      </c>
      <c r="I117">
        <v>0.2424</v>
      </c>
      <c r="J117">
        <v>0.55000000000000004</v>
      </c>
      <c r="K117">
        <v>0</v>
      </c>
      <c r="L117">
        <v>0</v>
      </c>
      <c r="M117">
        <v>11</v>
      </c>
      <c r="N117">
        <v>11</v>
      </c>
      <c r="O117" t="s">
        <v>29</v>
      </c>
      <c r="P117" t="s">
        <v>58</v>
      </c>
      <c r="Q117" t="s">
        <v>31</v>
      </c>
      <c r="R117" t="s">
        <v>32</v>
      </c>
      <c r="S117" t="s">
        <v>33</v>
      </c>
      <c r="T117" t="s">
        <v>49</v>
      </c>
      <c r="U117" t="s">
        <v>35</v>
      </c>
      <c r="V117" t="s">
        <v>36</v>
      </c>
      <c r="W117" t="s">
        <v>37</v>
      </c>
      <c r="X117">
        <v>0</v>
      </c>
      <c r="Y117">
        <v>100</v>
      </c>
      <c r="Z117" t="s">
        <v>38</v>
      </c>
      <c r="AA117" t="s">
        <v>39</v>
      </c>
      <c r="AB117" t="s">
        <v>38</v>
      </c>
      <c r="AC117">
        <v>6.2400000000000011E-2</v>
      </c>
    </row>
    <row r="118" spans="1:29" x14ac:dyDescent="0.3">
      <c r="A118">
        <v>117</v>
      </c>
      <c r="B118" s="1">
        <v>40549</v>
      </c>
      <c r="C118">
        <v>1</v>
      </c>
      <c r="D118">
        <v>1</v>
      </c>
      <c r="E118" t="b">
        <v>0</v>
      </c>
      <c r="F118">
        <v>4</v>
      </c>
      <c r="G118">
        <v>1</v>
      </c>
      <c r="H118">
        <v>0.16</v>
      </c>
      <c r="I118">
        <v>0.2273</v>
      </c>
      <c r="J118">
        <v>0.64</v>
      </c>
      <c r="K118">
        <v>0</v>
      </c>
      <c r="L118">
        <v>0</v>
      </c>
      <c r="M118">
        <v>4</v>
      </c>
      <c r="N118">
        <v>4</v>
      </c>
      <c r="O118" t="s">
        <v>29</v>
      </c>
      <c r="P118" t="s">
        <v>58</v>
      </c>
      <c r="Q118" t="s">
        <v>31</v>
      </c>
      <c r="R118" t="s">
        <v>32</v>
      </c>
      <c r="S118" t="s">
        <v>33</v>
      </c>
      <c r="T118" t="s">
        <v>49</v>
      </c>
      <c r="U118" t="s">
        <v>35</v>
      </c>
      <c r="V118" t="s">
        <v>36</v>
      </c>
      <c r="W118" t="s">
        <v>37</v>
      </c>
      <c r="X118">
        <v>0</v>
      </c>
      <c r="Y118">
        <v>100</v>
      </c>
      <c r="Z118" t="s">
        <v>38</v>
      </c>
      <c r="AA118" t="s">
        <v>39</v>
      </c>
      <c r="AB118" t="s">
        <v>38</v>
      </c>
      <c r="AC118">
        <v>6.7299999999999999E-2</v>
      </c>
    </row>
    <row r="119" spans="1:29" x14ac:dyDescent="0.3">
      <c r="A119">
        <v>118</v>
      </c>
      <c r="B119" s="1">
        <v>40549</v>
      </c>
      <c r="C119">
        <v>1</v>
      </c>
      <c r="D119">
        <v>2</v>
      </c>
      <c r="E119" t="b">
        <v>0</v>
      </c>
      <c r="F119">
        <v>4</v>
      </c>
      <c r="G119">
        <v>1</v>
      </c>
      <c r="H119">
        <v>0.16</v>
      </c>
      <c r="I119">
        <v>0.2273</v>
      </c>
      <c r="J119">
        <v>0.64</v>
      </c>
      <c r="K119">
        <v>0</v>
      </c>
      <c r="L119">
        <v>0</v>
      </c>
      <c r="M119">
        <v>2</v>
      </c>
      <c r="N119">
        <v>2</v>
      </c>
      <c r="O119" t="s">
        <v>29</v>
      </c>
      <c r="P119" t="s">
        <v>58</v>
      </c>
      <c r="Q119" t="s">
        <v>31</v>
      </c>
      <c r="R119" t="s">
        <v>32</v>
      </c>
      <c r="S119" t="s">
        <v>33</v>
      </c>
      <c r="T119" t="s">
        <v>49</v>
      </c>
      <c r="U119" t="s">
        <v>35</v>
      </c>
      <c r="V119" t="s">
        <v>36</v>
      </c>
      <c r="W119" t="s">
        <v>37</v>
      </c>
      <c r="X119">
        <v>0</v>
      </c>
      <c r="Y119">
        <v>100</v>
      </c>
      <c r="Z119" t="s">
        <v>38</v>
      </c>
      <c r="AA119" t="s">
        <v>39</v>
      </c>
      <c r="AB119" t="s">
        <v>38</v>
      </c>
      <c r="AC119">
        <v>6.7299999999999999E-2</v>
      </c>
    </row>
    <row r="120" spans="1:29" x14ac:dyDescent="0.3">
      <c r="A120">
        <v>119</v>
      </c>
      <c r="B120" s="1">
        <v>40549</v>
      </c>
      <c r="C120">
        <v>1</v>
      </c>
      <c r="D120">
        <v>4</v>
      </c>
      <c r="E120" t="b">
        <v>0</v>
      </c>
      <c r="F120">
        <v>4</v>
      </c>
      <c r="G120">
        <v>2</v>
      </c>
      <c r="H120">
        <v>0.16</v>
      </c>
      <c r="I120">
        <v>0.19700000000000001</v>
      </c>
      <c r="J120">
        <v>0.64</v>
      </c>
      <c r="K120">
        <v>8.9599999999999999E-2</v>
      </c>
      <c r="L120">
        <v>0</v>
      </c>
      <c r="M120">
        <v>1</v>
      </c>
      <c r="N120">
        <v>1</v>
      </c>
      <c r="O120" t="s">
        <v>29</v>
      </c>
      <c r="P120" t="s">
        <v>58</v>
      </c>
      <c r="Q120" t="s">
        <v>41</v>
      </c>
      <c r="R120" t="s">
        <v>32</v>
      </c>
      <c r="S120" t="s">
        <v>33</v>
      </c>
      <c r="T120" t="s">
        <v>49</v>
      </c>
      <c r="U120" t="s">
        <v>35</v>
      </c>
      <c r="V120" t="s">
        <v>36</v>
      </c>
      <c r="W120" t="s">
        <v>37</v>
      </c>
      <c r="X120">
        <v>0</v>
      </c>
      <c r="Y120">
        <v>100</v>
      </c>
      <c r="Z120" t="s">
        <v>38</v>
      </c>
      <c r="AA120" t="s">
        <v>39</v>
      </c>
      <c r="AB120" t="s">
        <v>38</v>
      </c>
      <c r="AC120">
        <v>3.7000000000000012E-2</v>
      </c>
    </row>
    <row r="121" spans="1:29" x14ac:dyDescent="0.3">
      <c r="A121">
        <v>120</v>
      </c>
      <c r="B121" s="1">
        <v>40549</v>
      </c>
      <c r="C121">
        <v>1</v>
      </c>
      <c r="D121">
        <v>5</v>
      </c>
      <c r="E121" t="b">
        <v>0</v>
      </c>
      <c r="F121">
        <v>4</v>
      </c>
      <c r="G121">
        <v>2</v>
      </c>
      <c r="H121">
        <v>0.14000000000000001</v>
      </c>
      <c r="I121">
        <v>0.18179999999999999</v>
      </c>
      <c r="J121">
        <v>0.69</v>
      </c>
      <c r="K121">
        <v>8.9599999999999999E-2</v>
      </c>
      <c r="L121">
        <v>0</v>
      </c>
      <c r="M121">
        <v>4</v>
      </c>
      <c r="N121">
        <v>4</v>
      </c>
      <c r="O121" t="s">
        <v>29</v>
      </c>
      <c r="P121" t="s">
        <v>58</v>
      </c>
      <c r="Q121" t="s">
        <v>41</v>
      </c>
      <c r="R121" t="s">
        <v>32</v>
      </c>
      <c r="S121" t="s">
        <v>55</v>
      </c>
      <c r="T121" t="s">
        <v>49</v>
      </c>
      <c r="U121" t="s">
        <v>35</v>
      </c>
      <c r="V121" t="s">
        <v>36</v>
      </c>
      <c r="W121" t="s">
        <v>37</v>
      </c>
      <c r="X121">
        <v>0</v>
      </c>
      <c r="Y121">
        <v>100</v>
      </c>
      <c r="Z121" t="s">
        <v>38</v>
      </c>
      <c r="AA121" t="s">
        <v>39</v>
      </c>
      <c r="AB121" t="s">
        <v>38</v>
      </c>
      <c r="AC121">
        <v>4.1799999999999983E-2</v>
      </c>
    </row>
    <row r="122" spans="1:29" x14ac:dyDescent="0.3">
      <c r="A122">
        <v>121</v>
      </c>
      <c r="B122" s="1">
        <v>40549</v>
      </c>
      <c r="C122">
        <v>1</v>
      </c>
      <c r="D122">
        <v>6</v>
      </c>
      <c r="E122" t="b">
        <v>0</v>
      </c>
      <c r="F122">
        <v>4</v>
      </c>
      <c r="G122">
        <v>2</v>
      </c>
      <c r="H122">
        <v>0.14000000000000001</v>
      </c>
      <c r="I122">
        <v>0.16669999999999999</v>
      </c>
      <c r="J122">
        <v>0.63</v>
      </c>
      <c r="K122">
        <v>0.1045</v>
      </c>
      <c r="L122">
        <v>0</v>
      </c>
      <c r="M122">
        <v>36</v>
      </c>
      <c r="N122">
        <v>36</v>
      </c>
      <c r="O122" t="s">
        <v>29</v>
      </c>
      <c r="P122" t="s">
        <v>58</v>
      </c>
      <c r="Q122" t="s">
        <v>41</v>
      </c>
      <c r="R122" t="s">
        <v>42</v>
      </c>
      <c r="S122" t="s">
        <v>55</v>
      </c>
      <c r="T122" t="s">
        <v>49</v>
      </c>
      <c r="U122" t="s">
        <v>35</v>
      </c>
      <c r="V122" t="s">
        <v>36</v>
      </c>
      <c r="W122" t="s">
        <v>37</v>
      </c>
      <c r="X122">
        <v>0</v>
      </c>
      <c r="Y122">
        <v>100</v>
      </c>
      <c r="Z122" t="s">
        <v>38</v>
      </c>
      <c r="AA122" t="s">
        <v>39</v>
      </c>
      <c r="AB122" t="s">
        <v>38</v>
      </c>
      <c r="AC122">
        <v>2.669999999999997E-2</v>
      </c>
    </row>
    <row r="123" spans="1:29" x14ac:dyDescent="0.3">
      <c r="A123">
        <v>122</v>
      </c>
      <c r="B123" s="1">
        <v>40549</v>
      </c>
      <c r="C123">
        <v>1</v>
      </c>
      <c r="D123">
        <v>7</v>
      </c>
      <c r="E123" t="b">
        <v>0</v>
      </c>
      <c r="F123">
        <v>4</v>
      </c>
      <c r="G123">
        <v>2</v>
      </c>
      <c r="H123">
        <v>0.16</v>
      </c>
      <c r="I123">
        <v>0.2273</v>
      </c>
      <c r="J123">
        <v>0.59</v>
      </c>
      <c r="K123">
        <v>0</v>
      </c>
      <c r="L123">
        <v>0</v>
      </c>
      <c r="M123">
        <v>95</v>
      </c>
      <c r="N123">
        <v>95</v>
      </c>
      <c r="O123" t="s">
        <v>29</v>
      </c>
      <c r="P123" t="s">
        <v>58</v>
      </c>
      <c r="Q123" t="s">
        <v>41</v>
      </c>
      <c r="R123" t="s">
        <v>42</v>
      </c>
      <c r="S123" t="s">
        <v>33</v>
      </c>
      <c r="T123" t="s">
        <v>49</v>
      </c>
      <c r="U123" t="s">
        <v>35</v>
      </c>
      <c r="V123" t="s">
        <v>36</v>
      </c>
      <c r="W123" t="s">
        <v>37</v>
      </c>
      <c r="X123">
        <v>0</v>
      </c>
      <c r="Y123">
        <v>100</v>
      </c>
      <c r="Z123" t="s">
        <v>40</v>
      </c>
      <c r="AA123" t="s">
        <v>39</v>
      </c>
      <c r="AB123" t="s">
        <v>38</v>
      </c>
      <c r="AC123">
        <v>6.7299999999999999E-2</v>
      </c>
    </row>
    <row r="124" spans="1:29" x14ac:dyDescent="0.3">
      <c r="A124">
        <v>123</v>
      </c>
      <c r="B124" s="1">
        <v>40549</v>
      </c>
      <c r="C124">
        <v>1</v>
      </c>
      <c r="D124">
        <v>8</v>
      </c>
      <c r="E124" t="b">
        <v>0</v>
      </c>
      <c r="F124">
        <v>4</v>
      </c>
      <c r="G124">
        <v>1</v>
      </c>
      <c r="H124">
        <v>0.16</v>
      </c>
      <c r="I124">
        <v>0.2273</v>
      </c>
      <c r="J124">
        <v>0.59</v>
      </c>
      <c r="K124">
        <v>0</v>
      </c>
      <c r="L124">
        <v>3</v>
      </c>
      <c r="M124">
        <v>216</v>
      </c>
      <c r="N124">
        <v>219</v>
      </c>
      <c r="O124" t="s">
        <v>29</v>
      </c>
      <c r="P124" t="s">
        <v>58</v>
      </c>
      <c r="Q124" t="s">
        <v>31</v>
      </c>
      <c r="R124" t="s">
        <v>42</v>
      </c>
      <c r="S124" t="s">
        <v>33</v>
      </c>
      <c r="T124" t="s">
        <v>49</v>
      </c>
      <c r="U124" t="s">
        <v>35</v>
      </c>
      <c r="V124" t="s">
        <v>36</v>
      </c>
      <c r="W124" t="s">
        <v>37</v>
      </c>
      <c r="X124">
        <v>1.3698630136986301</v>
      </c>
      <c r="Y124">
        <v>98.630136986301366</v>
      </c>
      <c r="Z124" t="s">
        <v>40</v>
      </c>
      <c r="AA124" t="s">
        <v>49</v>
      </c>
      <c r="AB124" t="s">
        <v>38</v>
      </c>
      <c r="AC124">
        <v>6.7299999999999999E-2</v>
      </c>
    </row>
    <row r="125" spans="1:29" x14ac:dyDescent="0.3">
      <c r="A125">
        <v>124</v>
      </c>
      <c r="B125" s="1">
        <v>40549</v>
      </c>
      <c r="C125">
        <v>1</v>
      </c>
      <c r="D125">
        <v>9</v>
      </c>
      <c r="E125" t="b">
        <v>0</v>
      </c>
      <c r="F125">
        <v>4</v>
      </c>
      <c r="G125">
        <v>2</v>
      </c>
      <c r="H125">
        <v>0.18</v>
      </c>
      <c r="I125">
        <v>0.2424</v>
      </c>
      <c r="J125">
        <v>0.51</v>
      </c>
      <c r="K125">
        <v>0</v>
      </c>
      <c r="L125">
        <v>6</v>
      </c>
      <c r="M125">
        <v>116</v>
      </c>
      <c r="N125">
        <v>122</v>
      </c>
      <c r="O125" t="s">
        <v>29</v>
      </c>
      <c r="P125" t="s">
        <v>58</v>
      </c>
      <c r="Q125" t="s">
        <v>41</v>
      </c>
      <c r="R125" t="s">
        <v>42</v>
      </c>
      <c r="S125" t="s">
        <v>33</v>
      </c>
      <c r="T125" t="s">
        <v>49</v>
      </c>
      <c r="U125" t="s">
        <v>35</v>
      </c>
      <c r="V125" t="s">
        <v>36</v>
      </c>
      <c r="W125" t="s">
        <v>37</v>
      </c>
      <c r="X125">
        <v>4.918032786885246</v>
      </c>
      <c r="Y125">
        <v>95.081967213114751</v>
      </c>
      <c r="Z125" t="s">
        <v>40</v>
      </c>
      <c r="AA125" t="s">
        <v>49</v>
      </c>
      <c r="AB125" t="s">
        <v>38</v>
      </c>
      <c r="AC125">
        <v>6.2400000000000011E-2</v>
      </c>
    </row>
    <row r="126" spans="1:29" x14ac:dyDescent="0.3">
      <c r="A126">
        <v>125</v>
      </c>
      <c r="B126" s="1">
        <v>40549</v>
      </c>
      <c r="C126">
        <v>1</v>
      </c>
      <c r="D126">
        <v>10</v>
      </c>
      <c r="E126" t="b">
        <v>0</v>
      </c>
      <c r="F126">
        <v>4</v>
      </c>
      <c r="G126">
        <v>1</v>
      </c>
      <c r="H126">
        <v>0.2</v>
      </c>
      <c r="I126">
        <v>0.2576</v>
      </c>
      <c r="J126">
        <v>0.47</v>
      </c>
      <c r="K126">
        <v>0</v>
      </c>
      <c r="L126">
        <v>3</v>
      </c>
      <c r="M126">
        <v>42</v>
      </c>
      <c r="N126">
        <v>45</v>
      </c>
      <c r="O126" t="s">
        <v>29</v>
      </c>
      <c r="P126" t="s">
        <v>58</v>
      </c>
      <c r="Q126" t="s">
        <v>31</v>
      </c>
      <c r="R126" t="s">
        <v>42</v>
      </c>
      <c r="S126" t="s">
        <v>33</v>
      </c>
      <c r="T126" t="s">
        <v>49</v>
      </c>
      <c r="U126" t="s">
        <v>35</v>
      </c>
      <c r="V126" t="s">
        <v>36</v>
      </c>
      <c r="W126" t="s">
        <v>37</v>
      </c>
      <c r="X126">
        <v>6.666666666666667</v>
      </c>
      <c r="Y126">
        <v>93.333333333333329</v>
      </c>
      <c r="Z126" t="s">
        <v>38</v>
      </c>
      <c r="AA126" t="s">
        <v>39</v>
      </c>
      <c r="AB126" t="s">
        <v>38</v>
      </c>
      <c r="AC126">
        <v>5.7599999999999978E-2</v>
      </c>
    </row>
    <row r="127" spans="1:29" x14ac:dyDescent="0.3">
      <c r="A127">
        <v>126</v>
      </c>
      <c r="B127" s="1">
        <v>40549</v>
      </c>
      <c r="C127">
        <v>1</v>
      </c>
      <c r="D127">
        <v>11</v>
      </c>
      <c r="E127" t="b">
        <v>0</v>
      </c>
      <c r="F127">
        <v>4</v>
      </c>
      <c r="G127">
        <v>1</v>
      </c>
      <c r="H127">
        <v>0.22</v>
      </c>
      <c r="I127">
        <v>0.2576</v>
      </c>
      <c r="J127">
        <v>0.44</v>
      </c>
      <c r="K127">
        <v>8.9599999999999999E-2</v>
      </c>
      <c r="L127">
        <v>2</v>
      </c>
      <c r="M127">
        <v>57</v>
      </c>
      <c r="N127">
        <v>59</v>
      </c>
      <c r="O127" t="s">
        <v>29</v>
      </c>
      <c r="P127" t="s">
        <v>58</v>
      </c>
      <c r="Q127" t="s">
        <v>31</v>
      </c>
      <c r="R127" t="s">
        <v>42</v>
      </c>
      <c r="S127" t="s">
        <v>33</v>
      </c>
      <c r="T127" t="s">
        <v>49</v>
      </c>
      <c r="U127" t="s">
        <v>35</v>
      </c>
      <c r="V127" t="s">
        <v>36</v>
      </c>
      <c r="W127" t="s">
        <v>37</v>
      </c>
      <c r="X127">
        <v>3.3898305084745761</v>
      </c>
      <c r="Y127">
        <v>96.610169491525426</v>
      </c>
      <c r="Z127" t="s">
        <v>38</v>
      </c>
      <c r="AA127" t="s">
        <v>39</v>
      </c>
      <c r="AB127" t="s">
        <v>38</v>
      </c>
      <c r="AC127">
        <v>3.7599999999999988E-2</v>
      </c>
    </row>
    <row r="128" spans="1:29" x14ac:dyDescent="0.3">
      <c r="A128">
        <v>127</v>
      </c>
      <c r="B128" s="1">
        <v>40549</v>
      </c>
      <c r="C128">
        <v>1</v>
      </c>
      <c r="D128">
        <v>12</v>
      </c>
      <c r="E128" t="b">
        <v>0</v>
      </c>
      <c r="F128">
        <v>4</v>
      </c>
      <c r="G128">
        <v>1</v>
      </c>
      <c r="H128">
        <v>0.26</v>
      </c>
      <c r="I128">
        <v>0.28789999999999999</v>
      </c>
      <c r="J128">
        <v>0.35</v>
      </c>
      <c r="K128">
        <v>0</v>
      </c>
      <c r="L128">
        <v>6</v>
      </c>
      <c r="M128">
        <v>78</v>
      </c>
      <c r="N128">
        <v>84</v>
      </c>
      <c r="O128" t="s">
        <v>29</v>
      </c>
      <c r="P128" t="s">
        <v>58</v>
      </c>
      <c r="Q128" t="s">
        <v>31</v>
      </c>
      <c r="R128" t="s">
        <v>47</v>
      </c>
      <c r="S128" t="s">
        <v>44</v>
      </c>
      <c r="T128" t="s">
        <v>39</v>
      </c>
      <c r="U128" t="s">
        <v>35</v>
      </c>
      <c r="V128" t="s">
        <v>36</v>
      </c>
      <c r="W128" t="s">
        <v>37</v>
      </c>
      <c r="X128">
        <v>7.1428571428571423</v>
      </c>
      <c r="Y128">
        <v>92.857142857142861</v>
      </c>
      <c r="Z128" t="s">
        <v>38</v>
      </c>
      <c r="AA128" t="s">
        <v>39</v>
      </c>
      <c r="AB128" t="s">
        <v>38</v>
      </c>
      <c r="AC128">
        <v>2.789999999999998E-2</v>
      </c>
    </row>
    <row r="129" spans="1:29" x14ac:dyDescent="0.3">
      <c r="A129">
        <v>128</v>
      </c>
      <c r="B129" s="1">
        <v>40549</v>
      </c>
      <c r="C129">
        <v>1</v>
      </c>
      <c r="D129">
        <v>13</v>
      </c>
      <c r="E129" t="b">
        <v>0</v>
      </c>
      <c r="F129">
        <v>4</v>
      </c>
      <c r="G129">
        <v>1</v>
      </c>
      <c r="H129">
        <v>0.26</v>
      </c>
      <c r="I129">
        <v>0.2727</v>
      </c>
      <c r="J129">
        <v>0.35</v>
      </c>
      <c r="K129">
        <v>0.1045</v>
      </c>
      <c r="L129">
        <v>12</v>
      </c>
      <c r="M129">
        <v>55</v>
      </c>
      <c r="N129">
        <v>67</v>
      </c>
      <c r="O129" t="s">
        <v>29</v>
      </c>
      <c r="P129" t="s">
        <v>58</v>
      </c>
      <c r="Q129" t="s">
        <v>31</v>
      </c>
      <c r="R129" t="s">
        <v>47</v>
      </c>
      <c r="S129" t="s">
        <v>44</v>
      </c>
      <c r="T129" t="s">
        <v>39</v>
      </c>
      <c r="U129" t="s">
        <v>35</v>
      </c>
      <c r="V129" t="s">
        <v>36</v>
      </c>
      <c r="W129" t="s">
        <v>37</v>
      </c>
      <c r="X129">
        <v>17.910447761194028</v>
      </c>
      <c r="Y129">
        <v>82.089552238805979</v>
      </c>
      <c r="Z129" t="s">
        <v>38</v>
      </c>
      <c r="AA129" t="s">
        <v>39</v>
      </c>
      <c r="AB129" t="s">
        <v>38</v>
      </c>
      <c r="AC129">
        <v>1.2699999999999991E-2</v>
      </c>
    </row>
    <row r="130" spans="1:29" x14ac:dyDescent="0.3">
      <c r="A130">
        <v>129</v>
      </c>
      <c r="B130" s="1">
        <v>40549</v>
      </c>
      <c r="C130">
        <v>1</v>
      </c>
      <c r="D130">
        <v>14</v>
      </c>
      <c r="E130" t="b">
        <v>0</v>
      </c>
      <c r="F130">
        <v>4</v>
      </c>
      <c r="G130">
        <v>1</v>
      </c>
      <c r="H130">
        <v>0.28000000000000003</v>
      </c>
      <c r="I130">
        <v>0.2727</v>
      </c>
      <c r="J130">
        <v>0.36</v>
      </c>
      <c r="K130">
        <v>0.16420000000000001</v>
      </c>
      <c r="L130">
        <v>11</v>
      </c>
      <c r="M130">
        <v>59</v>
      </c>
      <c r="N130">
        <v>70</v>
      </c>
      <c r="O130" t="s">
        <v>29</v>
      </c>
      <c r="P130" t="s">
        <v>58</v>
      </c>
      <c r="Q130" t="s">
        <v>31</v>
      </c>
      <c r="R130" t="s">
        <v>47</v>
      </c>
      <c r="S130" t="s">
        <v>44</v>
      </c>
      <c r="T130" t="s">
        <v>39</v>
      </c>
      <c r="U130" t="s">
        <v>46</v>
      </c>
      <c r="V130" t="s">
        <v>36</v>
      </c>
      <c r="W130" t="s">
        <v>37</v>
      </c>
      <c r="X130">
        <v>15.71428571428571</v>
      </c>
      <c r="Y130">
        <v>84.285714285714292</v>
      </c>
      <c r="Z130" t="s">
        <v>38</v>
      </c>
      <c r="AA130" t="s">
        <v>39</v>
      </c>
      <c r="AB130" t="s">
        <v>38</v>
      </c>
      <c r="AC130">
        <v>-7.3000000000000287E-3</v>
      </c>
    </row>
    <row r="131" spans="1:29" x14ac:dyDescent="0.3">
      <c r="A131">
        <v>130</v>
      </c>
      <c r="B131" s="1">
        <v>40549</v>
      </c>
      <c r="C131">
        <v>1</v>
      </c>
      <c r="D131">
        <v>15</v>
      </c>
      <c r="E131" t="b">
        <v>0</v>
      </c>
      <c r="F131">
        <v>4</v>
      </c>
      <c r="G131">
        <v>1</v>
      </c>
      <c r="H131">
        <v>0.28000000000000003</v>
      </c>
      <c r="I131">
        <v>0.2727</v>
      </c>
      <c r="J131">
        <v>0.36</v>
      </c>
      <c r="K131">
        <v>0</v>
      </c>
      <c r="L131">
        <v>8</v>
      </c>
      <c r="M131">
        <v>54</v>
      </c>
      <c r="N131">
        <v>62</v>
      </c>
      <c r="O131" t="s">
        <v>29</v>
      </c>
      <c r="P131" t="s">
        <v>58</v>
      </c>
      <c r="Q131" t="s">
        <v>31</v>
      </c>
      <c r="R131" t="s">
        <v>47</v>
      </c>
      <c r="S131" t="s">
        <v>44</v>
      </c>
      <c r="T131" t="s">
        <v>39</v>
      </c>
      <c r="U131" t="s">
        <v>35</v>
      </c>
      <c r="V131" t="s">
        <v>36</v>
      </c>
      <c r="W131" t="s">
        <v>37</v>
      </c>
      <c r="X131">
        <v>12.90322580645161</v>
      </c>
      <c r="Y131">
        <v>87.096774193548384</v>
      </c>
      <c r="Z131" t="s">
        <v>38</v>
      </c>
      <c r="AA131" t="s">
        <v>39</v>
      </c>
      <c r="AB131" t="s">
        <v>38</v>
      </c>
      <c r="AC131">
        <v>-7.3000000000000287E-3</v>
      </c>
    </row>
    <row r="132" spans="1:29" x14ac:dyDescent="0.3">
      <c r="A132">
        <v>131</v>
      </c>
      <c r="B132" s="1">
        <v>40549</v>
      </c>
      <c r="C132">
        <v>1</v>
      </c>
      <c r="D132">
        <v>16</v>
      </c>
      <c r="E132" t="b">
        <v>0</v>
      </c>
      <c r="F132">
        <v>4</v>
      </c>
      <c r="G132">
        <v>1</v>
      </c>
      <c r="H132">
        <v>0.26</v>
      </c>
      <c r="I132">
        <v>0.2576</v>
      </c>
      <c r="J132">
        <v>0.38</v>
      </c>
      <c r="K132">
        <v>0.16420000000000001</v>
      </c>
      <c r="L132">
        <v>12</v>
      </c>
      <c r="M132">
        <v>74</v>
      </c>
      <c r="N132">
        <v>86</v>
      </c>
      <c r="O132" t="s">
        <v>29</v>
      </c>
      <c r="P132" t="s">
        <v>58</v>
      </c>
      <c r="Q132" t="s">
        <v>31</v>
      </c>
      <c r="R132" t="s">
        <v>47</v>
      </c>
      <c r="S132" t="s">
        <v>44</v>
      </c>
      <c r="T132" t="s">
        <v>39</v>
      </c>
      <c r="U132" t="s">
        <v>46</v>
      </c>
      <c r="V132" t="s">
        <v>36</v>
      </c>
      <c r="W132" t="s">
        <v>37</v>
      </c>
      <c r="X132">
        <v>13.95348837209302</v>
      </c>
      <c r="Y132">
        <v>86.04651162790698</v>
      </c>
      <c r="Z132" t="s">
        <v>38</v>
      </c>
      <c r="AA132" t="s">
        <v>39</v>
      </c>
      <c r="AB132" t="s">
        <v>38</v>
      </c>
      <c r="AC132">
        <v>-2.4000000000000128E-3</v>
      </c>
    </row>
    <row r="133" spans="1:29" x14ac:dyDescent="0.3">
      <c r="A133">
        <v>132</v>
      </c>
      <c r="B133" s="1">
        <v>40549</v>
      </c>
      <c r="C133">
        <v>1</v>
      </c>
      <c r="D133">
        <v>17</v>
      </c>
      <c r="E133" t="b">
        <v>0</v>
      </c>
      <c r="F133">
        <v>4</v>
      </c>
      <c r="G133">
        <v>1</v>
      </c>
      <c r="H133">
        <v>0.22</v>
      </c>
      <c r="I133">
        <v>0.2273</v>
      </c>
      <c r="J133">
        <v>0.51</v>
      </c>
      <c r="K133">
        <v>0.16420000000000001</v>
      </c>
      <c r="L133">
        <v>9</v>
      </c>
      <c r="M133">
        <v>163</v>
      </c>
      <c r="N133">
        <v>172</v>
      </c>
      <c r="O133" t="s">
        <v>29</v>
      </c>
      <c r="P133" t="s">
        <v>58</v>
      </c>
      <c r="Q133" t="s">
        <v>31</v>
      </c>
      <c r="R133" t="s">
        <v>50</v>
      </c>
      <c r="S133" t="s">
        <v>33</v>
      </c>
      <c r="T133" t="s">
        <v>49</v>
      </c>
      <c r="U133" t="s">
        <v>46</v>
      </c>
      <c r="V133" t="s">
        <v>36</v>
      </c>
      <c r="W133" t="s">
        <v>37</v>
      </c>
      <c r="X133">
        <v>5.2325581395348841</v>
      </c>
      <c r="Y133">
        <v>94.767441860465112</v>
      </c>
      <c r="Z133" t="s">
        <v>40</v>
      </c>
      <c r="AA133" t="s">
        <v>49</v>
      </c>
      <c r="AB133" t="s">
        <v>38</v>
      </c>
      <c r="AC133">
        <v>7.3000000000000009E-3</v>
      </c>
    </row>
    <row r="134" spans="1:29" x14ac:dyDescent="0.3">
      <c r="A134">
        <v>133</v>
      </c>
      <c r="B134" s="1">
        <v>40549</v>
      </c>
      <c r="C134">
        <v>1</v>
      </c>
      <c r="D134">
        <v>18</v>
      </c>
      <c r="E134" t="b">
        <v>0</v>
      </c>
      <c r="F134">
        <v>4</v>
      </c>
      <c r="G134">
        <v>1</v>
      </c>
      <c r="H134">
        <v>0.22</v>
      </c>
      <c r="I134">
        <v>0.2273</v>
      </c>
      <c r="J134">
        <v>0.51</v>
      </c>
      <c r="K134">
        <v>0.1343</v>
      </c>
      <c r="L134">
        <v>5</v>
      </c>
      <c r="M134">
        <v>158</v>
      </c>
      <c r="N134">
        <v>163</v>
      </c>
      <c r="O134" t="s">
        <v>29</v>
      </c>
      <c r="P134" t="s">
        <v>58</v>
      </c>
      <c r="Q134" t="s">
        <v>31</v>
      </c>
      <c r="R134" t="s">
        <v>50</v>
      </c>
      <c r="S134" t="s">
        <v>33</v>
      </c>
      <c r="T134" t="s">
        <v>49</v>
      </c>
      <c r="U134" t="s">
        <v>35</v>
      </c>
      <c r="V134" t="s">
        <v>36</v>
      </c>
      <c r="W134" t="s">
        <v>37</v>
      </c>
      <c r="X134">
        <v>3.0674846625766872</v>
      </c>
      <c r="Y134">
        <v>96.932515337423311</v>
      </c>
      <c r="Z134" t="s">
        <v>40</v>
      </c>
      <c r="AA134" t="s">
        <v>49</v>
      </c>
      <c r="AB134" t="s">
        <v>38</v>
      </c>
      <c r="AC134">
        <v>7.3000000000000009E-3</v>
      </c>
    </row>
    <row r="135" spans="1:29" x14ac:dyDescent="0.3">
      <c r="A135">
        <v>134</v>
      </c>
      <c r="B135" s="1">
        <v>40549</v>
      </c>
      <c r="C135">
        <v>1</v>
      </c>
      <c r="D135">
        <v>19</v>
      </c>
      <c r="E135" t="b">
        <v>0</v>
      </c>
      <c r="F135">
        <v>4</v>
      </c>
      <c r="G135">
        <v>1</v>
      </c>
      <c r="H135">
        <v>0.22</v>
      </c>
      <c r="I135">
        <v>0.2576</v>
      </c>
      <c r="J135">
        <v>0.55000000000000004</v>
      </c>
      <c r="K135">
        <v>8.9599999999999999E-2</v>
      </c>
      <c r="L135">
        <v>3</v>
      </c>
      <c r="M135">
        <v>109</v>
      </c>
      <c r="N135">
        <v>112</v>
      </c>
      <c r="O135" t="s">
        <v>29</v>
      </c>
      <c r="P135" t="s">
        <v>58</v>
      </c>
      <c r="Q135" t="s">
        <v>31</v>
      </c>
      <c r="R135" t="s">
        <v>50</v>
      </c>
      <c r="S135" t="s">
        <v>33</v>
      </c>
      <c r="T135" t="s">
        <v>49</v>
      </c>
      <c r="U135" t="s">
        <v>35</v>
      </c>
      <c r="V135" t="s">
        <v>36</v>
      </c>
      <c r="W135" t="s">
        <v>37</v>
      </c>
      <c r="X135">
        <v>2.6785714285714279</v>
      </c>
      <c r="Y135">
        <v>97.321428571428569</v>
      </c>
      <c r="Z135" t="s">
        <v>40</v>
      </c>
      <c r="AA135" t="s">
        <v>49</v>
      </c>
      <c r="AB135" t="s">
        <v>38</v>
      </c>
      <c r="AC135">
        <v>3.7599999999999988E-2</v>
      </c>
    </row>
    <row r="136" spans="1:29" x14ac:dyDescent="0.3">
      <c r="A136">
        <v>135</v>
      </c>
      <c r="B136" s="1">
        <v>40549</v>
      </c>
      <c r="C136">
        <v>1</v>
      </c>
      <c r="D136">
        <v>20</v>
      </c>
      <c r="E136" t="b">
        <v>0</v>
      </c>
      <c r="F136">
        <v>4</v>
      </c>
      <c r="G136">
        <v>1</v>
      </c>
      <c r="H136">
        <v>0.2</v>
      </c>
      <c r="I136">
        <v>0.21210000000000001</v>
      </c>
      <c r="J136">
        <v>0.51</v>
      </c>
      <c r="K136">
        <v>0.16420000000000001</v>
      </c>
      <c r="L136">
        <v>3</v>
      </c>
      <c r="M136">
        <v>66</v>
      </c>
      <c r="N136">
        <v>69</v>
      </c>
      <c r="O136" t="s">
        <v>29</v>
      </c>
      <c r="P136" t="s">
        <v>58</v>
      </c>
      <c r="Q136" t="s">
        <v>31</v>
      </c>
      <c r="R136" t="s">
        <v>50</v>
      </c>
      <c r="S136" t="s">
        <v>33</v>
      </c>
      <c r="T136" t="s">
        <v>49</v>
      </c>
      <c r="U136" t="s">
        <v>46</v>
      </c>
      <c r="V136" t="s">
        <v>36</v>
      </c>
      <c r="W136" t="s">
        <v>37</v>
      </c>
      <c r="X136">
        <v>4.3478260869565224</v>
      </c>
      <c r="Y136">
        <v>95.652173913043484</v>
      </c>
      <c r="Z136" t="s">
        <v>38</v>
      </c>
      <c r="AA136" t="s">
        <v>39</v>
      </c>
      <c r="AB136" t="s">
        <v>38</v>
      </c>
      <c r="AC136">
        <v>1.21E-2</v>
      </c>
    </row>
    <row r="137" spans="1:29" x14ac:dyDescent="0.3">
      <c r="A137">
        <v>136</v>
      </c>
      <c r="B137" s="1">
        <v>40549</v>
      </c>
      <c r="C137">
        <v>1</v>
      </c>
      <c r="D137">
        <v>21</v>
      </c>
      <c r="E137" t="b">
        <v>0</v>
      </c>
      <c r="F137">
        <v>4</v>
      </c>
      <c r="G137">
        <v>2</v>
      </c>
      <c r="H137">
        <v>0.22</v>
      </c>
      <c r="I137">
        <v>0.21210000000000001</v>
      </c>
      <c r="J137">
        <v>0.55000000000000004</v>
      </c>
      <c r="K137">
        <v>0.22389999999999999</v>
      </c>
      <c r="L137">
        <v>0</v>
      </c>
      <c r="M137">
        <v>48</v>
      </c>
      <c r="N137">
        <v>48</v>
      </c>
      <c r="O137" t="s">
        <v>29</v>
      </c>
      <c r="P137" t="s">
        <v>58</v>
      </c>
      <c r="Q137" t="s">
        <v>41</v>
      </c>
      <c r="R137" t="s">
        <v>32</v>
      </c>
      <c r="S137" t="s">
        <v>33</v>
      </c>
      <c r="T137" t="s">
        <v>49</v>
      </c>
      <c r="U137" t="s">
        <v>46</v>
      </c>
      <c r="V137" t="s">
        <v>36</v>
      </c>
      <c r="W137" t="s">
        <v>37</v>
      </c>
      <c r="X137">
        <v>0</v>
      </c>
      <c r="Y137">
        <v>100</v>
      </c>
      <c r="Z137" t="s">
        <v>38</v>
      </c>
      <c r="AA137" t="s">
        <v>39</v>
      </c>
      <c r="AB137" t="s">
        <v>38</v>
      </c>
      <c r="AC137">
        <v>-7.8999999999999904E-3</v>
      </c>
    </row>
    <row r="138" spans="1:29" x14ac:dyDescent="0.3">
      <c r="A138">
        <v>137</v>
      </c>
      <c r="B138" s="1">
        <v>40549</v>
      </c>
      <c r="C138">
        <v>1</v>
      </c>
      <c r="D138">
        <v>22</v>
      </c>
      <c r="E138" t="b">
        <v>0</v>
      </c>
      <c r="F138">
        <v>4</v>
      </c>
      <c r="G138">
        <v>2</v>
      </c>
      <c r="H138">
        <v>0.22</v>
      </c>
      <c r="I138">
        <v>0.21210000000000001</v>
      </c>
      <c r="J138">
        <v>0.51</v>
      </c>
      <c r="K138">
        <v>0.28360000000000002</v>
      </c>
      <c r="L138">
        <v>1</v>
      </c>
      <c r="M138">
        <v>51</v>
      </c>
      <c r="N138">
        <v>52</v>
      </c>
      <c r="O138" t="s">
        <v>29</v>
      </c>
      <c r="P138" t="s">
        <v>58</v>
      </c>
      <c r="Q138" t="s">
        <v>41</v>
      </c>
      <c r="R138" t="s">
        <v>32</v>
      </c>
      <c r="S138" t="s">
        <v>33</v>
      </c>
      <c r="T138" t="s">
        <v>49</v>
      </c>
      <c r="U138" t="s">
        <v>46</v>
      </c>
      <c r="V138" t="s">
        <v>36</v>
      </c>
      <c r="W138" t="s">
        <v>37</v>
      </c>
      <c r="X138">
        <v>1.9230769230769229</v>
      </c>
      <c r="Y138">
        <v>98.076923076923066</v>
      </c>
      <c r="Z138" t="s">
        <v>38</v>
      </c>
      <c r="AA138" t="s">
        <v>39</v>
      </c>
      <c r="AB138" t="s">
        <v>38</v>
      </c>
      <c r="AC138">
        <v>-7.8999999999999904E-3</v>
      </c>
    </row>
    <row r="139" spans="1:29" x14ac:dyDescent="0.3">
      <c r="A139">
        <v>138</v>
      </c>
      <c r="B139" s="1">
        <v>40549</v>
      </c>
      <c r="C139">
        <v>1</v>
      </c>
      <c r="D139">
        <v>23</v>
      </c>
      <c r="E139" t="b">
        <v>0</v>
      </c>
      <c r="F139">
        <v>4</v>
      </c>
      <c r="G139">
        <v>2</v>
      </c>
      <c r="H139">
        <v>0.2</v>
      </c>
      <c r="I139">
        <v>0.19700000000000001</v>
      </c>
      <c r="J139">
        <v>0.59</v>
      </c>
      <c r="K139">
        <v>0.19400000000000001</v>
      </c>
      <c r="L139">
        <v>4</v>
      </c>
      <c r="M139">
        <v>19</v>
      </c>
      <c r="N139">
        <v>23</v>
      </c>
      <c r="O139" t="s">
        <v>29</v>
      </c>
      <c r="P139" t="s">
        <v>58</v>
      </c>
      <c r="Q139" t="s">
        <v>41</v>
      </c>
      <c r="R139" t="s">
        <v>32</v>
      </c>
      <c r="S139" t="s">
        <v>33</v>
      </c>
      <c r="T139" t="s">
        <v>49</v>
      </c>
      <c r="U139" t="s">
        <v>46</v>
      </c>
      <c r="V139" t="s">
        <v>36</v>
      </c>
      <c r="W139" t="s">
        <v>37</v>
      </c>
      <c r="X139">
        <v>17.39130434782609</v>
      </c>
      <c r="Y139">
        <v>82.608695652173907</v>
      </c>
      <c r="Z139" t="s">
        <v>38</v>
      </c>
      <c r="AA139" t="s">
        <v>39</v>
      </c>
      <c r="AB139" t="s">
        <v>38</v>
      </c>
      <c r="AC139">
        <v>-3.0000000000000031E-3</v>
      </c>
    </row>
    <row r="140" spans="1:29" x14ac:dyDescent="0.3">
      <c r="A140">
        <v>139</v>
      </c>
      <c r="B140" s="1">
        <v>40550</v>
      </c>
      <c r="C140">
        <v>1</v>
      </c>
      <c r="D140">
        <v>0</v>
      </c>
      <c r="E140" t="b">
        <v>0</v>
      </c>
      <c r="F140">
        <v>5</v>
      </c>
      <c r="G140">
        <v>2</v>
      </c>
      <c r="H140">
        <v>0.2</v>
      </c>
      <c r="I140">
        <v>0.19700000000000001</v>
      </c>
      <c r="J140">
        <v>0.64</v>
      </c>
      <c r="K140">
        <v>0.19400000000000001</v>
      </c>
      <c r="L140">
        <v>4</v>
      </c>
      <c r="M140">
        <v>13</v>
      </c>
      <c r="N140">
        <v>17</v>
      </c>
      <c r="O140" t="s">
        <v>29</v>
      </c>
      <c r="P140" t="s">
        <v>59</v>
      </c>
      <c r="Q140" t="s">
        <v>41</v>
      </c>
      <c r="R140" t="s">
        <v>32</v>
      </c>
      <c r="S140" t="s">
        <v>33</v>
      </c>
      <c r="T140" t="s">
        <v>49</v>
      </c>
      <c r="U140" t="s">
        <v>46</v>
      </c>
      <c r="V140" t="s">
        <v>36</v>
      </c>
      <c r="W140" t="s">
        <v>37</v>
      </c>
      <c r="X140">
        <v>23.52941176470588</v>
      </c>
      <c r="Y140">
        <v>76.470588235294116</v>
      </c>
      <c r="Z140" t="s">
        <v>38</v>
      </c>
      <c r="AA140" t="s">
        <v>39</v>
      </c>
      <c r="AB140" t="s">
        <v>38</v>
      </c>
      <c r="AC140">
        <v>-3.0000000000000031E-3</v>
      </c>
    </row>
    <row r="141" spans="1:29" x14ac:dyDescent="0.3">
      <c r="A141">
        <v>140</v>
      </c>
      <c r="B141" s="1">
        <v>40550</v>
      </c>
      <c r="C141">
        <v>1</v>
      </c>
      <c r="D141">
        <v>1</v>
      </c>
      <c r="E141" t="b">
        <v>0</v>
      </c>
      <c r="F141">
        <v>5</v>
      </c>
      <c r="G141">
        <v>2</v>
      </c>
      <c r="H141">
        <v>0.2</v>
      </c>
      <c r="I141">
        <v>0.19700000000000001</v>
      </c>
      <c r="J141">
        <v>0.69</v>
      </c>
      <c r="K141">
        <v>0.22389999999999999</v>
      </c>
      <c r="L141">
        <v>2</v>
      </c>
      <c r="M141">
        <v>5</v>
      </c>
      <c r="N141">
        <v>7</v>
      </c>
      <c r="O141" t="s">
        <v>29</v>
      </c>
      <c r="P141" t="s">
        <v>59</v>
      </c>
      <c r="Q141" t="s">
        <v>41</v>
      </c>
      <c r="R141" t="s">
        <v>32</v>
      </c>
      <c r="S141" t="s">
        <v>33</v>
      </c>
      <c r="T141" t="s">
        <v>49</v>
      </c>
      <c r="U141" t="s">
        <v>46</v>
      </c>
      <c r="V141" t="s">
        <v>36</v>
      </c>
      <c r="W141" t="s">
        <v>37</v>
      </c>
      <c r="X141">
        <v>28.571428571428569</v>
      </c>
      <c r="Y141">
        <v>71.428571428571431</v>
      </c>
      <c r="Z141" t="s">
        <v>38</v>
      </c>
      <c r="AA141" t="s">
        <v>39</v>
      </c>
      <c r="AB141" t="s">
        <v>38</v>
      </c>
      <c r="AC141">
        <v>-3.0000000000000031E-3</v>
      </c>
    </row>
    <row r="142" spans="1:29" x14ac:dyDescent="0.3">
      <c r="A142">
        <v>141</v>
      </c>
      <c r="B142" s="1">
        <v>40550</v>
      </c>
      <c r="C142">
        <v>1</v>
      </c>
      <c r="D142">
        <v>2</v>
      </c>
      <c r="E142" t="b">
        <v>0</v>
      </c>
      <c r="F142">
        <v>5</v>
      </c>
      <c r="G142">
        <v>2</v>
      </c>
      <c r="H142">
        <v>0.2</v>
      </c>
      <c r="I142">
        <v>0.19700000000000001</v>
      </c>
      <c r="J142">
        <v>0.69</v>
      </c>
      <c r="K142">
        <v>0.22389999999999999</v>
      </c>
      <c r="L142">
        <v>0</v>
      </c>
      <c r="M142">
        <v>1</v>
      </c>
      <c r="N142">
        <v>1</v>
      </c>
      <c r="O142" t="s">
        <v>29</v>
      </c>
      <c r="P142" t="s">
        <v>59</v>
      </c>
      <c r="Q142" t="s">
        <v>41</v>
      </c>
      <c r="R142" t="s">
        <v>32</v>
      </c>
      <c r="S142" t="s">
        <v>33</v>
      </c>
      <c r="T142" t="s">
        <v>49</v>
      </c>
      <c r="U142" t="s">
        <v>46</v>
      </c>
      <c r="V142" t="s">
        <v>36</v>
      </c>
      <c r="W142" t="s">
        <v>37</v>
      </c>
      <c r="X142">
        <v>0</v>
      </c>
      <c r="Y142">
        <v>100</v>
      </c>
      <c r="Z142" t="s">
        <v>38</v>
      </c>
      <c r="AA142" t="s">
        <v>39</v>
      </c>
      <c r="AB142" t="s">
        <v>38</v>
      </c>
      <c r="AC142">
        <v>-3.0000000000000031E-3</v>
      </c>
    </row>
    <row r="143" spans="1:29" x14ac:dyDescent="0.3">
      <c r="A143">
        <v>142</v>
      </c>
      <c r="B143" s="1">
        <v>40550</v>
      </c>
      <c r="C143">
        <v>1</v>
      </c>
      <c r="D143">
        <v>4</v>
      </c>
      <c r="E143" t="b">
        <v>0</v>
      </c>
      <c r="F143">
        <v>5</v>
      </c>
      <c r="G143">
        <v>2</v>
      </c>
      <c r="H143">
        <v>0.2</v>
      </c>
      <c r="I143">
        <v>0.21210000000000001</v>
      </c>
      <c r="J143">
        <v>0.69</v>
      </c>
      <c r="K143">
        <v>0.1343</v>
      </c>
      <c r="L143">
        <v>0</v>
      </c>
      <c r="M143">
        <v>1</v>
      </c>
      <c r="N143">
        <v>1</v>
      </c>
      <c r="O143" t="s">
        <v>29</v>
      </c>
      <c r="P143" t="s">
        <v>59</v>
      </c>
      <c r="Q143" t="s">
        <v>41</v>
      </c>
      <c r="R143" t="s">
        <v>32</v>
      </c>
      <c r="S143" t="s">
        <v>33</v>
      </c>
      <c r="T143" t="s">
        <v>49</v>
      </c>
      <c r="U143" t="s">
        <v>35</v>
      </c>
      <c r="V143" t="s">
        <v>36</v>
      </c>
      <c r="W143" t="s">
        <v>37</v>
      </c>
      <c r="X143">
        <v>0</v>
      </c>
      <c r="Y143">
        <v>100</v>
      </c>
      <c r="Z143" t="s">
        <v>38</v>
      </c>
      <c r="AA143" t="s">
        <v>39</v>
      </c>
      <c r="AB143" t="s">
        <v>38</v>
      </c>
      <c r="AC143">
        <v>1.21E-2</v>
      </c>
    </row>
    <row r="144" spans="1:29" x14ac:dyDescent="0.3">
      <c r="A144">
        <v>143</v>
      </c>
      <c r="B144" s="1">
        <v>40550</v>
      </c>
      <c r="C144">
        <v>1</v>
      </c>
      <c r="D144">
        <v>5</v>
      </c>
      <c r="E144" t="b">
        <v>0</v>
      </c>
      <c r="F144">
        <v>5</v>
      </c>
      <c r="G144">
        <v>3</v>
      </c>
      <c r="H144">
        <v>0.22</v>
      </c>
      <c r="I144">
        <v>0.2727</v>
      </c>
      <c r="J144">
        <v>0.55000000000000004</v>
      </c>
      <c r="K144">
        <v>0</v>
      </c>
      <c r="L144">
        <v>0</v>
      </c>
      <c r="M144">
        <v>5</v>
      </c>
      <c r="N144">
        <v>5</v>
      </c>
      <c r="O144" t="s">
        <v>29</v>
      </c>
      <c r="P144" t="s">
        <v>59</v>
      </c>
      <c r="Q144" t="s">
        <v>51</v>
      </c>
      <c r="R144" t="s">
        <v>32</v>
      </c>
      <c r="S144" t="s">
        <v>33</v>
      </c>
      <c r="T144" t="s">
        <v>49</v>
      </c>
      <c r="U144" t="s">
        <v>35</v>
      </c>
      <c r="V144" t="s">
        <v>36</v>
      </c>
      <c r="W144" t="s">
        <v>37</v>
      </c>
      <c r="X144">
        <v>0</v>
      </c>
      <c r="Y144">
        <v>100</v>
      </c>
      <c r="Z144" t="s">
        <v>38</v>
      </c>
      <c r="AA144" t="s">
        <v>39</v>
      </c>
      <c r="AB144" t="s">
        <v>38</v>
      </c>
      <c r="AC144">
        <v>5.2699999999999997E-2</v>
      </c>
    </row>
    <row r="145" spans="1:29" x14ac:dyDescent="0.3">
      <c r="A145">
        <v>144</v>
      </c>
      <c r="B145" s="1">
        <v>40550</v>
      </c>
      <c r="C145">
        <v>1</v>
      </c>
      <c r="D145">
        <v>6</v>
      </c>
      <c r="E145" t="b">
        <v>0</v>
      </c>
      <c r="F145">
        <v>5</v>
      </c>
      <c r="G145">
        <v>2</v>
      </c>
      <c r="H145">
        <v>0.2</v>
      </c>
      <c r="I145">
        <v>0.2576</v>
      </c>
      <c r="J145">
        <v>0.69</v>
      </c>
      <c r="K145">
        <v>0</v>
      </c>
      <c r="L145">
        <v>8</v>
      </c>
      <c r="M145">
        <v>26</v>
      </c>
      <c r="N145">
        <v>34</v>
      </c>
      <c r="O145" t="s">
        <v>29</v>
      </c>
      <c r="P145" t="s">
        <v>59</v>
      </c>
      <c r="Q145" t="s">
        <v>41</v>
      </c>
      <c r="R145" t="s">
        <v>42</v>
      </c>
      <c r="S145" t="s">
        <v>33</v>
      </c>
      <c r="T145" t="s">
        <v>49</v>
      </c>
      <c r="U145" t="s">
        <v>35</v>
      </c>
      <c r="V145" t="s">
        <v>36</v>
      </c>
      <c r="W145" t="s">
        <v>37</v>
      </c>
      <c r="X145">
        <v>23.52941176470588</v>
      </c>
      <c r="Y145">
        <v>76.470588235294116</v>
      </c>
      <c r="Z145" t="s">
        <v>38</v>
      </c>
      <c r="AA145" t="s">
        <v>39</v>
      </c>
      <c r="AB145" t="s">
        <v>38</v>
      </c>
      <c r="AC145">
        <v>5.7599999999999978E-2</v>
      </c>
    </row>
    <row r="146" spans="1:29" x14ac:dyDescent="0.3">
      <c r="A146">
        <v>145</v>
      </c>
      <c r="B146" s="1">
        <v>40550</v>
      </c>
      <c r="C146">
        <v>1</v>
      </c>
      <c r="D146">
        <v>7</v>
      </c>
      <c r="E146" t="b">
        <v>0</v>
      </c>
      <c r="F146">
        <v>5</v>
      </c>
      <c r="G146">
        <v>1</v>
      </c>
      <c r="H146">
        <v>0.2</v>
      </c>
      <c r="I146">
        <v>0.21210000000000001</v>
      </c>
      <c r="J146">
        <v>0.69</v>
      </c>
      <c r="K146">
        <v>0.1343</v>
      </c>
      <c r="L146">
        <v>8</v>
      </c>
      <c r="M146">
        <v>76</v>
      </c>
      <c r="N146">
        <v>84</v>
      </c>
      <c r="O146" t="s">
        <v>29</v>
      </c>
      <c r="P146" t="s">
        <v>59</v>
      </c>
      <c r="Q146" t="s">
        <v>31</v>
      </c>
      <c r="R146" t="s">
        <v>42</v>
      </c>
      <c r="S146" t="s">
        <v>33</v>
      </c>
      <c r="T146" t="s">
        <v>49</v>
      </c>
      <c r="U146" t="s">
        <v>35</v>
      </c>
      <c r="V146" t="s">
        <v>36</v>
      </c>
      <c r="W146" t="s">
        <v>37</v>
      </c>
      <c r="X146">
        <v>9.5238095238095237</v>
      </c>
      <c r="Y146">
        <v>90.476190476190482</v>
      </c>
      <c r="Z146" t="s">
        <v>40</v>
      </c>
      <c r="AA146" t="s">
        <v>39</v>
      </c>
      <c r="AB146" t="s">
        <v>38</v>
      </c>
      <c r="AC146">
        <v>1.21E-2</v>
      </c>
    </row>
    <row r="147" spans="1:29" x14ac:dyDescent="0.3">
      <c r="A147">
        <v>146</v>
      </c>
      <c r="B147" s="1">
        <v>40550</v>
      </c>
      <c r="C147">
        <v>1</v>
      </c>
      <c r="D147">
        <v>8</v>
      </c>
      <c r="E147" t="b">
        <v>0</v>
      </c>
      <c r="F147">
        <v>5</v>
      </c>
      <c r="G147">
        <v>1</v>
      </c>
      <c r="H147">
        <v>0.2</v>
      </c>
      <c r="I147">
        <v>0.19700000000000001</v>
      </c>
      <c r="J147">
        <v>0.51</v>
      </c>
      <c r="K147">
        <v>0.25369999999999998</v>
      </c>
      <c r="L147">
        <v>20</v>
      </c>
      <c r="M147">
        <v>190</v>
      </c>
      <c r="N147">
        <v>210</v>
      </c>
      <c r="O147" t="s">
        <v>29</v>
      </c>
      <c r="P147" t="s">
        <v>59</v>
      </c>
      <c r="Q147" t="s">
        <v>31</v>
      </c>
      <c r="R147" t="s">
        <v>42</v>
      </c>
      <c r="S147" t="s">
        <v>33</v>
      </c>
      <c r="T147" t="s">
        <v>49</v>
      </c>
      <c r="U147" t="s">
        <v>46</v>
      </c>
      <c r="V147" t="s">
        <v>36</v>
      </c>
      <c r="W147" t="s">
        <v>37</v>
      </c>
      <c r="X147">
        <v>9.5238095238095237</v>
      </c>
      <c r="Y147">
        <v>90.476190476190482</v>
      </c>
      <c r="Z147" t="s">
        <v>40</v>
      </c>
      <c r="AA147" t="s">
        <v>49</v>
      </c>
      <c r="AB147" t="s">
        <v>38</v>
      </c>
      <c r="AC147">
        <v>-3.0000000000000031E-3</v>
      </c>
    </row>
    <row r="148" spans="1:29" x14ac:dyDescent="0.3">
      <c r="A148">
        <v>147</v>
      </c>
      <c r="B148" s="1">
        <v>40550</v>
      </c>
      <c r="C148">
        <v>1</v>
      </c>
      <c r="D148">
        <v>9</v>
      </c>
      <c r="E148" t="b">
        <v>0</v>
      </c>
      <c r="F148">
        <v>5</v>
      </c>
      <c r="G148">
        <v>1</v>
      </c>
      <c r="H148">
        <v>0.2</v>
      </c>
      <c r="I148">
        <v>0.18179999999999999</v>
      </c>
      <c r="J148">
        <v>0.47</v>
      </c>
      <c r="K148">
        <v>0.29849999999999999</v>
      </c>
      <c r="L148">
        <v>9</v>
      </c>
      <c r="M148">
        <v>125</v>
      </c>
      <c r="N148">
        <v>134</v>
      </c>
      <c r="O148" t="s">
        <v>29</v>
      </c>
      <c r="P148" t="s">
        <v>59</v>
      </c>
      <c r="Q148" t="s">
        <v>31</v>
      </c>
      <c r="R148" t="s">
        <v>42</v>
      </c>
      <c r="S148" t="s">
        <v>33</v>
      </c>
      <c r="T148" t="s">
        <v>49</v>
      </c>
      <c r="U148" t="s">
        <v>46</v>
      </c>
      <c r="V148" t="s">
        <v>36</v>
      </c>
      <c r="W148" t="s">
        <v>37</v>
      </c>
      <c r="X148">
        <v>6.7164179104477606</v>
      </c>
      <c r="Y148">
        <v>93.28358208955224</v>
      </c>
      <c r="Z148" t="s">
        <v>40</v>
      </c>
      <c r="AA148" t="s">
        <v>49</v>
      </c>
      <c r="AB148" t="s">
        <v>38</v>
      </c>
      <c r="AC148">
        <v>-1.8200000000000022E-2</v>
      </c>
    </row>
    <row r="149" spans="1:29" x14ac:dyDescent="0.3">
      <c r="A149">
        <v>148</v>
      </c>
      <c r="B149" s="1">
        <v>40550</v>
      </c>
      <c r="C149">
        <v>1</v>
      </c>
      <c r="D149">
        <v>10</v>
      </c>
      <c r="E149" t="b">
        <v>0</v>
      </c>
      <c r="F149">
        <v>5</v>
      </c>
      <c r="G149">
        <v>1</v>
      </c>
      <c r="H149">
        <v>0.22</v>
      </c>
      <c r="I149">
        <v>0.19700000000000001</v>
      </c>
      <c r="J149">
        <v>0.37</v>
      </c>
      <c r="K149">
        <v>0.32840000000000003</v>
      </c>
      <c r="L149">
        <v>16</v>
      </c>
      <c r="M149">
        <v>47</v>
      </c>
      <c r="N149">
        <v>63</v>
      </c>
      <c r="O149" t="s">
        <v>29</v>
      </c>
      <c r="P149" t="s">
        <v>59</v>
      </c>
      <c r="Q149" t="s">
        <v>31</v>
      </c>
      <c r="R149" t="s">
        <v>42</v>
      </c>
      <c r="S149" t="s">
        <v>33</v>
      </c>
      <c r="T149" t="s">
        <v>39</v>
      </c>
      <c r="U149" t="s">
        <v>53</v>
      </c>
      <c r="V149" t="s">
        <v>36</v>
      </c>
      <c r="W149" t="s">
        <v>37</v>
      </c>
      <c r="X149">
        <v>25.396825396825399</v>
      </c>
      <c r="Y149">
        <v>74.603174603174608</v>
      </c>
      <c r="Z149" t="s">
        <v>38</v>
      </c>
      <c r="AA149" t="s">
        <v>39</v>
      </c>
      <c r="AB149" t="s">
        <v>38</v>
      </c>
      <c r="AC149">
        <v>-2.2999999999999989E-2</v>
      </c>
    </row>
    <row r="150" spans="1:29" x14ac:dyDescent="0.3">
      <c r="A150">
        <v>149</v>
      </c>
      <c r="B150" s="1">
        <v>40550</v>
      </c>
      <c r="C150">
        <v>1</v>
      </c>
      <c r="D150">
        <v>11</v>
      </c>
      <c r="E150" t="b">
        <v>0</v>
      </c>
      <c r="F150">
        <v>5</v>
      </c>
      <c r="G150">
        <v>2</v>
      </c>
      <c r="H150">
        <v>0.2</v>
      </c>
      <c r="I150">
        <v>0.19700000000000001</v>
      </c>
      <c r="J150">
        <v>0.4</v>
      </c>
      <c r="K150">
        <v>0.22389999999999999</v>
      </c>
      <c r="L150">
        <v>19</v>
      </c>
      <c r="M150">
        <v>48</v>
      </c>
      <c r="N150">
        <v>67</v>
      </c>
      <c r="O150" t="s">
        <v>29</v>
      </c>
      <c r="P150" t="s">
        <v>59</v>
      </c>
      <c r="Q150" t="s">
        <v>41</v>
      </c>
      <c r="R150" t="s">
        <v>42</v>
      </c>
      <c r="S150" t="s">
        <v>33</v>
      </c>
      <c r="T150" t="s">
        <v>49</v>
      </c>
      <c r="U150" t="s">
        <v>46</v>
      </c>
      <c r="V150" t="s">
        <v>36</v>
      </c>
      <c r="W150" t="s">
        <v>37</v>
      </c>
      <c r="X150">
        <v>28.35820895522388</v>
      </c>
      <c r="Y150">
        <v>71.641791044776113</v>
      </c>
      <c r="Z150" t="s">
        <v>38</v>
      </c>
      <c r="AA150" t="s">
        <v>39</v>
      </c>
      <c r="AB150" t="s">
        <v>38</v>
      </c>
      <c r="AC150">
        <v>-3.0000000000000031E-3</v>
      </c>
    </row>
    <row r="151" spans="1:29" x14ac:dyDescent="0.3">
      <c r="A151">
        <v>150</v>
      </c>
      <c r="B151" s="1">
        <v>40550</v>
      </c>
      <c r="C151">
        <v>1</v>
      </c>
      <c r="D151">
        <v>12</v>
      </c>
      <c r="E151" t="b">
        <v>0</v>
      </c>
      <c r="F151">
        <v>5</v>
      </c>
      <c r="G151">
        <v>2</v>
      </c>
      <c r="H151">
        <v>0.2</v>
      </c>
      <c r="I151">
        <v>0.19700000000000001</v>
      </c>
      <c r="J151">
        <v>0.37</v>
      </c>
      <c r="K151">
        <v>0.25369999999999998</v>
      </c>
      <c r="L151">
        <v>9</v>
      </c>
      <c r="M151">
        <v>50</v>
      </c>
      <c r="N151">
        <v>59</v>
      </c>
      <c r="O151" t="s">
        <v>29</v>
      </c>
      <c r="P151" t="s">
        <v>59</v>
      </c>
      <c r="Q151" t="s">
        <v>41</v>
      </c>
      <c r="R151" t="s">
        <v>47</v>
      </c>
      <c r="S151" t="s">
        <v>33</v>
      </c>
      <c r="T151" t="s">
        <v>39</v>
      </c>
      <c r="U151" t="s">
        <v>46</v>
      </c>
      <c r="V151" t="s">
        <v>36</v>
      </c>
      <c r="W151" t="s">
        <v>37</v>
      </c>
      <c r="X151">
        <v>15.25423728813559</v>
      </c>
      <c r="Y151">
        <v>84.745762711864401</v>
      </c>
      <c r="Z151" t="s">
        <v>38</v>
      </c>
      <c r="AA151" t="s">
        <v>39</v>
      </c>
      <c r="AB151" t="s">
        <v>38</v>
      </c>
      <c r="AC151">
        <v>-3.0000000000000031E-3</v>
      </c>
    </row>
    <row r="152" spans="1:29" x14ac:dyDescent="0.3">
      <c r="A152">
        <v>151</v>
      </c>
      <c r="B152" s="1">
        <v>40550</v>
      </c>
      <c r="C152">
        <v>1</v>
      </c>
      <c r="D152">
        <v>13</v>
      </c>
      <c r="E152" t="b">
        <v>0</v>
      </c>
      <c r="F152">
        <v>5</v>
      </c>
      <c r="G152">
        <v>2</v>
      </c>
      <c r="H152">
        <v>0.2</v>
      </c>
      <c r="I152">
        <v>0.18179999999999999</v>
      </c>
      <c r="J152">
        <v>0.37</v>
      </c>
      <c r="K152">
        <v>0.28360000000000002</v>
      </c>
      <c r="L152">
        <v>9</v>
      </c>
      <c r="M152">
        <v>64</v>
      </c>
      <c r="N152">
        <v>73</v>
      </c>
      <c r="O152" t="s">
        <v>29</v>
      </c>
      <c r="P152" t="s">
        <v>59</v>
      </c>
      <c r="Q152" t="s">
        <v>41</v>
      </c>
      <c r="R152" t="s">
        <v>47</v>
      </c>
      <c r="S152" t="s">
        <v>33</v>
      </c>
      <c r="T152" t="s">
        <v>39</v>
      </c>
      <c r="U152" t="s">
        <v>46</v>
      </c>
      <c r="V152" t="s">
        <v>36</v>
      </c>
      <c r="W152" t="s">
        <v>37</v>
      </c>
      <c r="X152">
        <v>12.328767123287671</v>
      </c>
      <c r="Y152">
        <v>87.671232876712324</v>
      </c>
      <c r="Z152" t="s">
        <v>38</v>
      </c>
      <c r="AA152" t="s">
        <v>39</v>
      </c>
      <c r="AB152" t="s">
        <v>38</v>
      </c>
      <c r="AC152">
        <v>-1.8200000000000022E-2</v>
      </c>
    </row>
    <row r="153" spans="1:29" x14ac:dyDescent="0.3">
      <c r="A153">
        <v>152</v>
      </c>
      <c r="B153" s="1">
        <v>40550</v>
      </c>
      <c r="C153">
        <v>1</v>
      </c>
      <c r="D153">
        <v>14</v>
      </c>
      <c r="E153" t="b">
        <v>0</v>
      </c>
      <c r="F153">
        <v>5</v>
      </c>
      <c r="G153">
        <v>2</v>
      </c>
      <c r="H153">
        <v>0.2</v>
      </c>
      <c r="I153">
        <v>0.19700000000000001</v>
      </c>
      <c r="J153">
        <v>0.4</v>
      </c>
      <c r="K153">
        <v>0.25369999999999998</v>
      </c>
      <c r="L153">
        <v>7</v>
      </c>
      <c r="M153">
        <v>43</v>
      </c>
      <c r="N153">
        <v>50</v>
      </c>
      <c r="O153" t="s">
        <v>29</v>
      </c>
      <c r="P153" t="s">
        <v>59</v>
      </c>
      <c r="Q153" t="s">
        <v>41</v>
      </c>
      <c r="R153" t="s">
        <v>47</v>
      </c>
      <c r="S153" t="s">
        <v>33</v>
      </c>
      <c r="T153" t="s">
        <v>49</v>
      </c>
      <c r="U153" t="s">
        <v>46</v>
      </c>
      <c r="V153" t="s">
        <v>36</v>
      </c>
      <c r="W153" t="s">
        <v>37</v>
      </c>
      <c r="X153">
        <v>14</v>
      </c>
      <c r="Y153">
        <v>86</v>
      </c>
      <c r="Z153" t="s">
        <v>38</v>
      </c>
      <c r="AA153" t="s">
        <v>39</v>
      </c>
      <c r="AB153" t="s">
        <v>38</v>
      </c>
      <c r="AC153">
        <v>-3.0000000000000031E-3</v>
      </c>
    </row>
    <row r="154" spans="1:29" x14ac:dyDescent="0.3">
      <c r="A154">
        <v>153</v>
      </c>
      <c r="B154" s="1">
        <v>40550</v>
      </c>
      <c r="C154">
        <v>1</v>
      </c>
      <c r="D154">
        <v>15</v>
      </c>
      <c r="E154" t="b">
        <v>0</v>
      </c>
      <c r="F154">
        <v>5</v>
      </c>
      <c r="G154">
        <v>2</v>
      </c>
      <c r="H154">
        <v>0.2</v>
      </c>
      <c r="I154">
        <v>0.21210000000000001</v>
      </c>
      <c r="J154">
        <v>0.37</v>
      </c>
      <c r="K154">
        <v>0.16420000000000001</v>
      </c>
      <c r="L154">
        <v>9</v>
      </c>
      <c r="M154">
        <v>63</v>
      </c>
      <c r="N154">
        <v>72</v>
      </c>
      <c r="O154" t="s">
        <v>29</v>
      </c>
      <c r="P154" t="s">
        <v>59</v>
      </c>
      <c r="Q154" t="s">
        <v>41</v>
      </c>
      <c r="R154" t="s">
        <v>47</v>
      </c>
      <c r="S154" t="s">
        <v>33</v>
      </c>
      <c r="T154" t="s">
        <v>39</v>
      </c>
      <c r="U154" t="s">
        <v>46</v>
      </c>
      <c r="V154" t="s">
        <v>36</v>
      </c>
      <c r="W154" t="s">
        <v>37</v>
      </c>
      <c r="X154">
        <v>12.5</v>
      </c>
      <c r="Y154">
        <v>87.5</v>
      </c>
      <c r="Z154" t="s">
        <v>38</v>
      </c>
      <c r="AA154" t="s">
        <v>39</v>
      </c>
      <c r="AB154" t="s">
        <v>38</v>
      </c>
      <c r="AC154">
        <v>1.21E-2</v>
      </c>
    </row>
    <row r="155" spans="1:29" x14ac:dyDescent="0.3">
      <c r="A155">
        <v>154</v>
      </c>
      <c r="B155" s="1">
        <v>40550</v>
      </c>
      <c r="C155">
        <v>1</v>
      </c>
      <c r="D155">
        <v>16</v>
      </c>
      <c r="E155" t="b">
        <v>0</v>
      </c>
      <c r="F155">
        <v>5</v>
      </c>
      <c r="G155">
        <v>2</v>
      </c>
      <c r="H155">
        <v>0.2</v>
      </c>
      <c r="I155">
        <v>0.21210000000000001</v>
      </c>
      <c r="J155">
        <v>0.37</v>
      </c>
      <c r="K155">
        <v>0.16420000000000001</v>
      </c>
      <c r="L155">
        <v>5</v>
      </c>
      <c r="M155">
        <v>82</v>
      </c>
      <c r="N155">
        <v>87</v>
      </c>
      <c r="O155" t="s">
        <v>29</v>
      </c>
      <c r="P155" t="s">
        <v>59</v>
      </c>
      <c r="Q155" t="s">
        <v>41</v>
      </c>
      <c r="R155" t="s">
        <v>47</v>
      </c>
      <c r="S155" t="s">
        <v>33</v>
      </c>
      <c r="T155" t="s">
        <v>39</v>
      </c>
      <c r="U155" t="s">
        <v>46</v>
      </c>
      <c r="V155" t="s">
        <v>36</v>
      </c>
      <c r="W155" t="s">
        <v>37</v>
      </c>
      <c r="X155">
        <v>5.7471264367816088</v>
      </c>
      <c r="Y155">
        <v>94.252873563218387</v>
      </c>
      <c r="Z155" t="s">
        <v>38</v>
      </c>
      <c r="AA155" t="s">
        <v>39</v>
      </c>
      <c r="AB155" t="s">
        <v>38</v>
      </c>
      <c r="AC155">
        <v>1.21E-2</v>
      </c>
    </row>
    <row r="156" spans="1:29" x14ac:dyDescent="0.3">
      <c r="A156">
        <v>155</v>
      </c>
      <c r="B156" s="1">
        <v>40550</v>
      </c>
      <c r="C156">
        <v>1</v>
      </c>
      <c r="D156">
        <v>17</v>
      </c>
      <c r="E156" t="b">
        <v>0</v>
      </c>
      <c r="F156">
        <v>5</v>
      </c>
      <c r="G156">
        <v>2</v>
      </c>
      <c r="H156">
        <v>0.2</v>
      </c>
      <c r="I156">
        <v>0.2576</v>
      </c>
      <c r="J156">
        <v>0.37</v>
      </c>
      <c r="K156">
        <v>0</v>
      </c>
      <c r="L156">
        <v>9</v>
      </c>
      <c r="M156">
        <v>178</v>
      </c>
      <c r="N156">
        <v>187</v>
      </c>
      <c r="O156" t="s">
        <v>29</v>
      </c>
      <c r="P156" t="s">
        <v>59</v>
      </c>
      <c r="Q156" t="s">
        <v>41</v>
      </c>
      <c r="R156" t="s">
        <v>50</v>
      </c>
      <c r="S156" t="s">
        <v>33</v>
      </c>
      <c r="T156" t="s">
        <v>39</v>
      </c>
      <c r="U156" t="s">
        <v>35</v>
      </c>
      <c r="V156" t="s">
        <v>36</v>
      </c>
      <c r="W156" t="s">
        <v>37</v>
      </c>
      <c r="X156">
        <v>4.8128342245989302</v>
      </c>
      <c r="Y156">
        <v>95.18716577540107</v>
      </c>
      <c r="Z156" t="s">
        <v>40</v>
      </c>
      <c r="AA156" t="s">
        <v>49</v>
      </c>
      <c r="AB156" t="s">
        <v>38</v>
      </c>
      <c r="AC156">
        <v>5.7599999999999978E-2</v>
      </c>
    </row>
    <row r="157" spans="1:29" x14ac:dyDescent="0.3">
      <c r="A157">
        <v>156</v>
      </c>
      <c r="B157" s="1">
        <v>40550</v>
      </c>
      <c r="C157">
        <v>1</v>
      </c>
      <c r="D157">
        <v>18</v>
      </c>
      <c r="E157" t="b">
        <v>0</v>
      </c>
      <c r="F157">
        <v>5</v>
      </c>
      <c r="G157">
        <v>1</v>
      </c>
      <c r="H157">
        <v>0.2</v>
      </c>
      <c r="I157">
        <v>0.2273</v>
      </c>
      <c r="J157">
        <v>0.4</v>
      </c>
      <c r="K157">
        <v>8.9599999999999999E-2</v>
      </c>
      <c r="L157">
        <v>7</v>
      </c>
      <c r="M157">
        <v>116</v>
      </c>
      <c r="N157">
        <v>123</v>
      </c>
      <c r="O157" t="s">
        <v>29</v>
      </c>
      <c r="P157" t="s">
        <v>59</v>
      </c>
      <c r="Q157" t="s">
        <v>31</v>
      </c>
      <c r="R157" t="s">
        <v>50</v>
      </c>
      <c r="S157" t="s">
        <v>33</v>
      </c>
      <c r="T157" t="s">
        <v>49</v>
      </c>
      <c r="U157" t="s">
        <v>35</v>
      </c>
      <c r="V157" t="s">
        <v>36</v>
      </c>
      <c r="W157" t="s">
        <v>37</v>
      </c>
      <c r="X157">
        <v>5.6910569105691051</v>
      </c>
      <c r="Y157">
        <v>94.308943089430898</v>
      </c>
      <c r="Z157" t="s">
        <v>40</v>
      </c>
      <c r="AA157" t="s">
        <v>49</v>
      </c>
      <c r="AB157" t="s">
        <v>38</v>
      </c>
      <c r="AC157">
        <v>2.7299999999999991E-2</v>
      </c>
    </row>
    <row r="158" spans="1:29" x14ac:dyDescent="0.3">
      <c r="A158">
        <v>157</v>
      </c>
      <c r="B158" s="1">
        <v>40550</v>
      </c>
      <c r="C158">
        <v>1</v>
      </c>
      <c r="D158">
        <v>19</v>
      </c>
      <c r="E158" t="b">
        <v>0</v>
      </c>
      <c r="F158">
        <v>5</v>
      </c>
      <c r="G158">
        <v>1</v>
      </c>
      <c r="H158">
        <v>0.16</v>
      </c>
      <c r="I158">
        <v>0.19700000000000001</v>
      </c>
      <c r="J158">
        <v>0.55000000000000004</v>
      </c>
      <c r="K158">
        <v>8.9599999999999999E-2</v>
      </c>
      <c r="L158">
        <v>3</v>
      </c>
      <c r="M158">
        <v>92</v>
      </c>
      <c r="N158">
        <v>95</v>
      </c>
      <c r="O158" t="s">
        <v>29</v>
      </c>
      <c r="P158" t="s">
        <v>59</v>
      </c>
      <c r="Q158" t="s">
        <v>31</v>
      </c>
      <c r="R158" t="s">
        <v>50</v>
      </c>
      <c r="S158" t="s">
        <v>33</v>
      </c>
      <c r="T158" t="s">
        <v>49</v>
      </c>
      <c r="U158" t="s">
        <v>35</v>
      </c>
      <c r="V158" t="s">
        <v>36</v>
      </c>
      <c r="W158" t="s">
        <v>37</v>
      </c>
      <c r="X158">
        <v>3.1578947368421049</v>
      </c>
      <c r="Y158">
        <v>96.84210526315789</v>
      </c>
      <c r="Z158" t="s">
        <v>40</v>
      </c>
      <c r="AA158" t="s">
        <v>39</v>
      </c>
      <c r="AB158" t="s">
        <v>38</v>
      </c>
      <c r="AC158">
        <v>3.7000000000000012E-2</v>
      </c>
    </row>
    <row r="159" spans="1:29" x14ac:dyDescent="0.3">
      <c r="A159">
        <v>158</v>
      </c>
      <c r="B159" s="1">
        <v>40550</v>
      </c>
      <c r="C159">
        <v>1</v>
      </c>
      <c r="D159">
        <v>20</v>
      </c>
      <c r="E159" t="b">
        <v>0</v>
      </c>
      <c r="F159">
        <v>5</v>
      </c>
      <c r="G159">
        <v>1</v>
      </c>
      <c r="H159">
        <v>0.18</v>
      </c>
      <c r="I159">
        <v>0.21210000000000001</v>
      </c>
      <c r="J159">
        <v>0.47</v>
      </c>
      <c r="K159">
        <v>0.1045</v>
      </c>
      <c r="L159">
        <v>1</v>
      </c>
      <c r="M159">
        <v>50</v>
      </c>
      <c r="N159">
        <v>51</v>
      </c>
      <c r="O159" t="s">
        <v>29</v>
      </c>
      <c r="P159" t="s">
        <v>59</v>
      </c>
      <c r="Q159" t="s">
        <v>31</v>
      </c>
      <c r="R159" t="s">
        <v>50</v>
      </c>
      <c r="S159" t="s">
        <v>33</v>
      </c>
      <c r="T159" t="s">
        <v>49</v>
      </c>
      <c r="U159" t="s">
        <v>35</v>
      </c>
      <c r="V159" t="s">
        <v>36</v>
      </c>
      <c r="W159" t="s">
        <v>37</v>
      </c>
      <c r="X159">
        <v>1.9607843137254899</v>
      </c>
      <c r="Y159">
        <v>98.039215686274503</v>
      </c>
      <c r="Z159" t="s">
        <v>38</v>
      </c>
      <c r="AA159" t="s">
        <v>39</v>
      </c>
      <c r="AB159" t="s">
        <v>38</v>
      </c>
      <c r="AC159">
        <v>3.2100000000000017E-2</v>
      </c>
    </row>
    <row r="160" spans="1:29" x14ac:dyDescent="0.3">
      <c r="A160">
        <v>159</v>
      </c>
      <c r="B160" s="1">
        <v>40550</v>
      </c>
      <c r="C160">
        <v>1</v>
      </c>
      <c r="D160">
        <v>21</v>
      </c>
      <c r="E160" t="b">
        <v>0</v>
      </c>
      <c r="F160">
        <v>5</v>
      </c>
      <c r="G160">
        <v>1</v>
      </c>
      <c r="H160">
        <v>0.18</v>
      </c>
      <c r="I160">
        <v>0.19700000000000001</v>
      </c>
      <c r="J160">
        <v>0.47</v>
      </c>
      <c r="K160">
        <v>0.1343</v>
      </c>
      <c r="L160">
        <v>0</v>
      </c>
      <c r="M160">
        <v>39</v>
      </c>
      <c r="N160">
        <v>39</v>
      </c>
      <c r="O160" t="s">
        <v>29</v>
      </c>
      <c r="P160" t="s">
        <v>59</v>
      </c>
      <c r="Q160" t="s">
        <v>31</v>
      </c>
      <c r="R160" t="s">
        <v>32</v>
      </c>
      <c r="S160" t="s">
        <v>33</v>
      </c>
      <c r="T160" t="s">
        <v>49</v>
      </c>
      <c r="U160" t="s">
        <v>35</v>
      </c>
      <c r="V160" t="s">
        <v>36</v>
      </c>
      <c r="W160" t="s">
        <v>37</v>
      </c>
      <c r="X160">
        <v>0</v>
      </c>
      <c r="Y160">
        <v>100</v>
      </c>
      <c r="Z160" t="s">
        <v>38</v>
      </c>
      <c r="AA160" t="s">
        <v>39</v>
      </c>
      <c r="AB160" t="s">
        <v>38</v>
      </c>
      <c r="AC160">
        <v>1.7000000000000019E-2</v>
      </c>
    </row>
    <row r="161" spans="1:29" x14ac:dyDescent="0.3">
      <c r="A161">
        <v>160</v>
      </c>
      <c r="B161" s="1">
        <v>40550</v>
      </c>
      <c r="C161">
        <v>1</v>
      </c>
      <c r="D161">
        <v>22</v>
      </c>
      <c r="E161" t="b">
        <v>0</v>
      </c>
      <c r="F161">
        <v>5</v>
      </c>
      <c r="G161">
        <v>2</v>
      </c>
      <c r="H161">
        <v>0.18</v>
      </c>
      <c r="I161">
        <v>0.19700000000000001</v>
      </c>
      <c r="J161">
        <v>0.43</v>
      </c>
      <c r="K161">
        <v>0.16420000000000001</v>
      </c>
      <c r="L161">
        <v>2</v>
      </c>
      <c r="M161">
        <v>34</v>
      </c>
      <c r="N161">
        <v>36</v>
      </c>
      <c r="O161" t="s">
        <v>29</v>
      </c>
      <c r="P161" t="s">
        <v>59</v>
      </c>
      <c r="Q161" t="s">
        <v>41</v>
      </c>
      <c r="R161" t="s">
        <v>32</v>
      </c>
      <c r="S161" t="s">
        <v>33</v>
      </c>
      <c r="T161" t="s">
        <v>49</v>
      </c>
      <c r="U161" t="s">
        <v>46</v>
      </c>
      <c r="V161" t="s">
        <v>36</v>
      </c>
      <c r="W161" t="s">
        <v>37</v>
      </c>
      <c r="X161">
        <v>5.5555555555555554</v>
      </c>
      <c r="Y161">
        <v>94.444444444444443</v>
      </c>
      <c r="Z161" t="s">
        <v>38</v>
      </c>
      <c r="AA161" t="s">
        <v>39</v>
      </c>
      <c r="AB161" t="s">
        <v>38</v>
      </c>
      <c r="AC161">
        <v>1.7000000000000019E-2</v>
      </c>
    </row>
    <row r="162" spans="1:29" x14ac:dyDescent="0.3">
      <c r="A162">
        <v>161</v>
      </c>
      <c r="B162" s="1">
        <v>40550</v>
      </c>
      <c r="C162">
        <v>1</v>
      </c>
      <c r="D162">
        <v>23</v>
      </c>
      <c r="E162" t="b">
        <v>0</v>
      </c>
      <c r="F162">
        <v>5</v>
      </c>
      <c r="G162">
        <v>2</v>
      </c>
      <c r="H162">
        <v>0.18</v>
      </c>
      <c r="I162">
        <v>0.19700000000000001</v>
      </c>
      <c r="J162">
        <v>0.51</v>
      </c>
      <c r="K162">
        <v>0.16420000000000001</v>
      </c>
      <c r="L162">
        <v>1</v>
      </c>
      <c r="M162">
        <v>14</v>
      </c>
      <c r="N162">
        <v>15</v>
      </c>
      <c r="O162" t="s">
        <v>29</v>
      </c>
      <c r="P162" t="s">
        <v>59</v>
      </c>
      <c r="Q162" t="s">
        <v>41</v>
      </c>
      <c r="R162" t="s">
        <v>32</v>
      </c>
      <c r="S162" t="s">
        <v>33</v>
      </c>
      <c r="T162" t="s">
        <v>49</v>
      </c>
      <c r="U162" t="s">
        <v>46</v>
      </c>
      <c r="V162" t="s">
        <v>36</v>
      </c>
      <c r="W162" t="s">
        <v>37</v>
      </c>
      <c r="X162">
        <v>6.666666666666667</v>
      </c>
      <c r="Y162">
        <v>93.333333333333329</v>
      </c>
      <c r="Z162" t="s">
        <v>38</v>
      </c>
      <c r="AA162" t="s">
        <v>39</v>
      </c>
      <c r="AB162" t="s">
        <v>38</v>
      </c>
      <c r="AC162">
        <v>1.7000000000000019E-2</v>
      </c>
    </row>
    <row r="163" spans="1:29" x14ac:dyDescent="0.3">
      <c r="A163">
        <v>162</v>
      </c>
      <c r="B163" s="1">
        <v>40551</v>
      </c>
      <c r="C163">
        <v>1</v>
      </c>
      <c r="D163">
        <v>0</v>
      </c>
      <c r="E163" t="b">
        <v>0</v>
      </c>
      <c r="F163">
        <v>6</v>
      </c>
      <c r="G163">
        <v>2</v>
      </c>
      <c r="H163">
        <v>0.18</v>
      </c>
      <c r="I163">
        <v>0.19700000000000001</v>
      </c>
      <c r="J163">
        <v>0.51</v>
      </c>
      <c r="K163">
        <v>0.16420000000000001</v>
      </c>
      <c r="L163">
        <v>1</v>
      </c>
      <c r="M163">
        <v>24</v>
      </c>
      <c r="N163">
        <v>25</v>
      </c>
      <c r="O163" t="s">
        <v>29</v>
      </c>
      <c r="P163" t="s">
        <v>30</v>
      </c>
      <c r="Q163" t="s">
        <v>41</v>
      </c>
      <c r="R163" t="s">
        <v>32</v>
      </c>
      <c r="S163" t="s">
        <v>33</v>
      </c>
      <c r="T163" t="s">
        <v>49</v>
      </c>
      <c r="U163" t="s">
        <v>46</v>
      </c>
      <c r="V163" t="s">
        <v>36</v>
      </c>
      <c r="W163" t="s">
        <v>37</v>
      </c>
      <c r="X163">
        <v>4</v>
      </c>
      <c r="Y163">
        <v>96</v>
      </c>
      <c r="Z163" t="s">
        <v>38</v>
      </c>
      <c r="AA163" t="s">
        <v>39</v>
      </c>
      <c r="AB163" t="s">
        <v>40</v>
      </c>
      <c r="AC163">
        <v>1.7000000000000019E-2</v>
      </c>
    </row>
    <row r="164" spans="1:29" x14ac:dyDescent="0.3">
      <c r="A164">
        <v>163</v>
      </c>
      <c r="B164" s="1">
        <v>40551</v>
      </c>
      <c r="C164">
        <v>1</v>
      </c>
      <c r="D164">
        <v>1</v>
      </c>
      <c r="E164" t="b">
        <v>0</v>
      </c>
      <c r="F164">
        <v>6</v>
      </c>
      <c r="G164">
        <v>2</v>
      </c>
      <c r="H164">
        <v>0.18</v>
      </c>
      <c r="I164">
        <v>0.21210000000000001</v>
      </c>
      <c r="J164">
        <v>0.55000000000000004</v>
      </c>
      <c r="K164">
        <v>8.9599999999999999E-2</v>
      </c>
      <c r="L164">
        <v>1</v>
      </c>
      <c r="M164">
        <v>15</v>
      </c>
      <c r="N164">
        <v>16</v>
      </c>
      <c r="O164" t="s">
        <v>29</v>
      </c>
      <c r="P164" t="s">
        <v>30</v>
      </c>
      <c r="Q164" t="s">
        <v>41</v>
      </c>
      <c r="R164" t="s">
        <v>32</v>
      </c>
      <c r="S164" t="s">
        <v>33</v>
      </c>
      <c r="T164" t="s">
        <v>49</v>
      </c>
      <c r="U164" t="s">
        <v>35</v>
      </c>
      <c r="V164" t="s">
        <v>36</v>
      </c>
      <c r="W164" t="s">
        <v>37</v>
      </c>
      <c r="X164">
        <v>6.25</v>
      </c>
      <c r="Y164">
        <v>93.75</v>
      </c>
      <c r="Z164" t="s">
        <v>38</v>
      </c>
      <c r="AA164" t="s">
        <v>39</v>
      </c>
      <c r="AB164" t="s">
        <v>40</v>
      </c>
      <c r="AC164">
        <v>3.2100000000000017E-2</v>
      </c>
    </row>
    <row r="165" spans="1:29" x14ac:dyDescent="0.3">
      <c r="A165">
        <v>164</v>
      </c>
      <c r="B165" s="1">
        <v>40551</v>
      </c>
      <c r="C165">
        <v>1</v>
      </c>
      <c r="D165">
        <v>2</v>
      </c>
      <c r="E165" t="b">
        <v>0</v>
      </c>
      <c r="F165">
        <v>6</v>
      </c>
      <c r="G165">
        <v>2</v>
      </c>
      <c r="H165">
        <v>0.18</v>
      </c>
      <c r="I165">
        <v>0.2424</v>
      </c>
      <c r="J165">
        <v>0.55000000000000004</v>
      </c>
      <c r="K165">
        <v>0</v>
      </c>
      <c r="L165">
        <v>3</v>
      </c>
      <c r="M165">
        <v>13</v>
      </c>
      <c r="N165">
        <v>16</v>
      </c>
      <c r="O165" t="s">
        <v>29</v>
      </c>
      <c r="P165" t="s">
        <v>30</v>
      </c>
      <c r="Q165" t="s">
        <v>41</v>
      </c>
      <c r="R165" t="s">
        <v>32</v>
      </c>
      <c r="S165" t="s">
        <v>33</v>
      </c>
      <c r="T165" t="s">
        <v>49</v>
      </c>
      <c r="U165" t="s">
        <v>35</v>
      </c>
      <c r="V165" t="s">
        <v>36</v>
      </c>
      <c r="W165" t="s">
        <v>37</v>
      </c>
      <c r="X165">
        <v>18.75</v>
      </c>
      <c r="Y165">
        <v>81.25</v>
      </c>
      <c r="Z165" t="s">
        <v>38</v>
      </c>
      <c r="AA165" t="s">
        <v>39</v>
      </c>
      <c r="AB165" t="s">
        <v>40</v>
      </c>
      <c r="AC165">
        <v>6.2400000000000011E-2</v>
      </c>
    </row>
    <row r="166" spans="1:29" x14ac:dyDescent="0.3">
      <c r="A166">
        <v>165</v>
      </c>
      <c r="B166" s="1">
        <v>40551</v>
      </c>
      <c r="C166">
        <v>1</v>
      </c>
      <c r="D166">
        <v>3</v>
      </c>
      <c r="E166" t="b">
        <v>0</v>
      </c>
      <c r="F166">
        <v>6</v>
      </c>
      <c r="G166">
        <v>3</v>
      </c>
      <c r="H166">
        <v>0.18</v>
      </c>
      <c r="I166">
        <v>0.19700000000000001</v>
      </c>
      <c r="J166">
        <v>0.55000000000000004</v>
      </c>
      <c r="K166">
        <v>0.16420000000000001</v>
      </c>
      <c r="L166">
        <v>0</v>
      </c>
      <c r="M166">
        <v>7</v>
      </c>
      <c r="N166">
        <v>7</v>
      </c>
      <c r="O166" t="s">
        <v>29</v>
      </c>
      <c r="P166" t="s">
        <v>30</v>
      </c>
      <c r="Q166" t="s">
        <v>51</v>
      </c>
      <c r="R166" t="s">
        <v>32</v>
      </c>
      <c r="S166" t="s">
        <v>33</v>
      </c>
      <c r="T166" t="s">
        <v>49</v>
      </c>
      <c r="U166" t="s">
        <v>46</v>
      </c>
      <c r="V166" t="s">
        <v>36</v>
      </c>
      <c r="W166" t="s">
        <v>37</v>
      </c>
      <c r="X166">
        <v>0</v>
      </c>
      <c r="Y166">
        <v>100</v>
      </c>
      <c r="Z166" t="s">
        <v>38</v>
      </c>
      <c r="AA166" t="s">
        <v>39</v>
      </c>
      <c r="AB166" t="s">
        <v>40</v>
      </c>
      <c r="AC166">
        <v>1.7000000000000019E-2</v>
      </c>
    </row>
    <row r="167" spans="1:29" x14ac:dyDescent="0.3">
      <c r="A167">
        <v>166</v>
      </c>
      <c r="B167" s="1">
        <v>40551</v>
      </c>
      <c r="C167">
        <v>1</v>
      </c>
      <c r="D167">
        <v>4</v>
      </c>
      <c r="E167" t="b">
        <v>0</v>
      </c>
      <c r="F167">
        <v>6</v>
      </c>
      <c r="G167">
        <v>3</v>
      </c>
      <c r="H167">
        <v>0.18</v>
      </c>
      <c r="I167">
        <v>0.19700000000000001</v>
      </c>
      <c r="J167">
        <v>0.55000000000000004</v>
      </c>
      <c r="K167">
        <v>0.16420000000000001</v>
      </c>
      <c r="L167">
        <v>0</v>
      </c>
      <c r="M167">
        <v>1</v>
      </c>
      <c r="N167">
        <v>1</v>
      </c>
      <c r="O167" t="s">
        <v>29</v>
      </c>
      <c r="P167" t="s">
        <v>30</v>
      </c>
      <c r="Q167" t="s">
        <v>51</v>
      </c>
      <c r="R167" t="s">
        <v>32</v>
      </c>
      <c r="S167" t="s">
        <v>33</v>
      </c>
      <c r="T167" t="s">
        <v>49</v>
      </c>
      <c r="U167" t="s">
        <v>46</v>
      </c>
      <c r="V167" t="s">
        <v>36</v>
      </c>
      <c r="W167" t="s">
        <v>37</v>
      </c>
      <c r="X167">
        <v>0</v>
      </c>
      <c r="Y167">
        <v>100</v>
      </c>
      <c r="Z167" t="s">
        <v>38</v>
      </c>
      <c r="AA167" t="s">
        <v>39</v>
      </c>
      <c r="AB167" t="s">
        <v>40</v>
      </c>
      <c r="AC167">
        <v>1.7000000000000019E-2</v>
      </c>
    </row>
    <row r="168" spans="1:29" x14ac:dyDescent="0.3">
      <c r="A168">
        <v>167</v>
      </c>
      <c r="B168" s="1">
        <v>40551</v>
      </c>
      <c r="C168">
        <v>1</v>
      </c>
      <c r="D168">
        <v>5</v>
      </c>
      <c r="E168" t="b">
        <v>0</v>
      </c>
      <c r="F168">
        <v>6</v>
      </c>
      <c r="G168">
        <v>2</v>
      </c>
      <c r="H168">
        <v>0.16</v>
      </c>
      <c r="I168">
        <v>0.16669999999999999</v>
      </c>
      <c r="J168">
        <v>0.74</v>
      </c>
      <c r="K168">
        <v>0.16420000000000001</v>
      </c>
      <c r="L168">
        <v>0</v>
      </c>
      <c r="M168">
        <v>5</v>
      </c>
      <c r="N168">
        <v>5</v>
      </c>
      <c r="O168" t="s">
        <v>29</v>
      </c>
      <c r="P168" t="s">
        <v>30</v>
      </c>
      <c r="Q168" t="s">
        <v>41</v>
      </c>
      <c r="R168" t="s">
        <v>32</v>
      </c>
      <c r="S168" t="s">
        <v>33</v>
      </c>
      <c r="T168" t="s">
        <v>34</v>
      </c>
      <c r="U168" t="s">
        <v>46</v>
      </c>
      <c r="V168" t="s">
        <v>36</v>
      </c>
      <c r="W168" t="s">
        <v>37</v>
      </c>
      <c r="X168">
        <v>0</v>
      </c>
      <c r="Y168">
        <v>100</v>
      </c>
      <c r="Z168" t="s">
        <v>38</v>
      </c>
      <c r="AA168" t="s">
        <v>39</v>
      </c>
      <c r="AB168" t="s">
        <v>40</v>
      </c>
      <c r="AC168">
        <v>6.6999999999999837E-3</v>
      </c>
    </row>
    <row r="169" spans="1:29" x14ac:dyDescent="0.3">
      <c r="A169">
        <v>168</v>
      </c>
      <c r="B169" s="1">
        <v>40551</v>
      </c>
      <c r="C169">
        <v>1</v>
      </c>
      <c r="D169">
        <v>6</v>
      </c>
      <c r="E169" t="b">
        <v>0</v>
      </c>
      <c r="F169">
        <v>6</v>
      </c>
      <c r="G169">
        <v>2</v>
      </c>
      <c r="H169">
        <v>0.16</v>
      </c>
      <c r="I169">
        <v>0.16669999999999999</v>
      </c>
      <c r="J169">
        <v>0.74</v>
      </c>
      <c r="K169">
        <v>0.16420000000000001</v>
      </c>
      <c r="L169">
        <v>0</v>
      </c>
      <c r="M169">
        <v>2</v>
      </c>
      <c r="N169">
        <v>2</v>
      </c>
      <c r="O169" t="s">
        <v>29</v>
      </c>
      <c r="P169" t="s">
        <v>30</v>
      </c>
      <c r="Q169" t="s">
        <v>41</v>
      </c>
      <c r="R169" t="s">
        <v>42</v>
      </c>
      <c r="S169" t="s">
        <v>33</v>
      </c>
      <c r="T169" t="s">
        <v>34</v>
      </c>
      <c r="U169" t="s">
        <v>46</v>
      </c>
      <c r="V169" t="s">
        <v>36</v>
      </c>
      <c r="W169" t="s">
        <v>37</v>
      </c>
      <c r="X169">
        <v>0</v>
      </c>
      <c r="Y169">
        <v>100</v>
      </c>
      <c r="Z169" t="s">
        <v>38</v>
      </c>
      <c r="AA169" t="s">
        <v>39</v>
      </c>
      <c r="AB169" t="s">
        <v>40</v>
      </c>
      <c r="AC169">
        <v>6.6999999999999837E-3</v>
      </c>
    </row>
    <row r="170" spans="1:29" x14ac:dyDescent="0.3">
      <c r="A170">
        <v>169</v>
      </c>
      <c r="B170" s="1">
        <v>40551</v>
      </c>
      <c r="C170">
        <v>1</v>
      </c>
      <c r="D170">
        <v>7</v>
      </c>
      <c r="E170" t="b">
        <v>0</v>
      </c>
      <c r="F170">
        <v>6</v>
      </c>
      <c r="G170">
        <v>2</v>
      </c>
      <c r="H170">
        <v>0.16</v>
      </c>
      <c r="I170">
        <v>0.18179999999999999</v>
      </c>
      <c r="J170">
        <v>0.74</v>
      </c>
      <c r="K170">
        <v>0.1045</v>
      </c>
      <c r="L170">
        <v>1</v>
      </c>
      <c r="M170">
        <v>8</v>
      </c>
      <c r="N170">
        <v>9</v>
      </c>
      <c r="O170" t="s">
        <v>29</v>
      </c>
      <c r="P170" t="s">
        <v>30</v>
      </c>
      <c r="Q170" t="s">
        <v>41</v>
      </c>
      <c r="R170" t="s">
        <v>42</v>
      </c>
      <c r="S170" t="s">
        <v>33</v>
      </c>
      <c r="T170" t="s">
        <v>34</v>
      </c>
      <c r="U170" t="s">
        <v>35</v>
      </c>
      <c r="V170" t="s">
        <v>36</v>
      </c>
      <c r="W170" t="s">
        <v>37</v>
      </c>
      <c r="X170">
        <v>11.111111111111111</v>
      </c>
      <c r="Y170">
        <v>88.888888888888886</v>
      </c>
      <c r="Z170" t="s">
        <v>40</v>
      </c>
      <c r="AA170" t="s">
        <v>39</v>
      </c>
      <c r="AB170" t="s">
        <v>40</v>
      </c>
      <c r="AC170">
        <v>2.179999999999999E-2</v>
      </c>
    </row>
    <row r="171" spans="1:29" x14ac:dyDescent="0.3">
      <c r="A171">
        <v>170</v>
      </c>
      <c r="B171" s="1">
        <v>40551</v>
      </c>
      <c r="C171">
        <v>1</v>
      </c>
      <c r="D171">
        <v>8</v>
      </c>
      <c r="E171" t="b">
        <v>0</v>
      </c>
      <c r="F171">
        <v>6</v>
      </c>
      <c r="G171">
        <v>3</v>
      </c>
      <c r="H171">
        <v>0.16</v>
      </c>
      <c r="I171">
        <v>0.18179999999999999</v>
      </c>
      <c r="J171">
        <v>0.93</v>
      </c>
      <c r="K171">
        <v>0.1045</v>
      </c>
      <c r="L171">
        <v>0</v>
      </c>
      <c r="M171">
        <v>15</v>
      </c>
      <c r="N171">
        <v>15</v>
      </c>
      <c r="O171" t="s">
        <v>29</v>
      </c>
      <c r="P171" t="s">
        <v>30</v>
      </c>
      <c r="Q171" t="s">
        <v>51</v>
      </c>
      <c r="R171" t="s">
        <v>42</v>
      </c>
      <c r="S171" t="s">
        <v>33</v>
      </c>
      <c r="T171" t="s">
        <v>34</v>
      </c>
      <c r="U171" t="s">
        <v>35</v>
      </c>
      <c r="V171" t="s">
        <v>36</v>
      </c>
      <c r="W171" t="s">
        <v>37</v>
      </c>
      <c r="X171">
        <v>0</v>
      </c>
      <c r="Y171">
        <v>100</v>
      </c>
      <c r="Z171" t="s">
        <v>40</v>
      </c>
      <c r="AA171" t="s">
        <v>39</v>
      </c>
      <c r="AB171" t="s">
        <v>40</v>
      </c>
      <c r="AC171">
        <v>2.179999999999999E-2</v>
      </c>
    </row>
    <row r="172" spans="1:29" x14ac:dyDescent="0.3">
      <c r="A172">
        <v>171</v>
      </c>
      <c r="B172" s="1">
        <v>40551</v>
      </c>
      <c r="C172">
        <v>1</v>
      </c>
      <c r="D172">
        <v>9</v>
      </c>
      <c r="E172" t="b">
        <v>0</v>
      </c>
      <c r="F172">
        <v>6</v>
      </c>
      <c r="G172">
        <v>3</v>
      </c>
      <c r="H172">
        <v>0.16</v>
      </c>
      <c r="I172">
        <v>0.18179999999999999</v>
      </c>
      <c r="J172">
        <v>0.93</v>
      </c>
      <c r="K172">
        <v>0.1045</v>
      </c>
      <c r="L172">
        <v>0</v>
      </c>
      <c r="M172">
        <v>20</v>
      </c>
      <c r="N172">
        <v>20</v>
      </c>
      <c r="O172" t="s">
        <v>29</v>
      </c>
      <c r="P172" t="s">
        <v>30</v>
      </c>
      <c r="Q172" t="s">
        <v>51</v>
      </c>
      <c r="R172" t="s">
        <v>42</v>
      </c>
      <c r="S172" t="s">
        <v>33</v>
      </c>
      <c r="T172" t="s">
        <v>34</v>
      </c>
      <c r="U172" t="s">
        <v>35</v>
      </c>
      <c r="V172" t="s">
        <v>36</v>
      </c>
      <c r="W172" t="s">
        <v>37</v>
      </c>
      <c r="X172">
        <v>0</v>
      </c>
      <c r="Y172">
        <v>100</v>
      </c>
      <c r="Z172" t="s">
        <v>40</v>
      </c>
      <c r="AA172" t="s">
        <v>39</v>
      </c>
      <c r="AB172" t="s">
        <v>40</v>
      </c>
      <c r="AC172">
        <v>2.179999999999999E-2</v>
      </c>
    </row>
    <row r="173" spans="1:29" x14ac:dyDescent="0.3">
      <c r="A173">
        <v>172</v>
      </c>
      <c r="B173" s="1">
        <v>40551</v>
      </c>
      <c r="C173">
        <v>1</v>
      </c>
      <c r="D173">
        <v>10</v>
      </c>
      <c r="E173" t="b">
        <v>0</v>
      </c>
      <c r="F173">
        <v>6</v>
      </c>
      <c r="G173">
        <v>2</v>
      </c>
      <c r="H173">
        <v>0.18</v>
      </c>
      <c r="I173">
        <v>0.19700000000000001</v>
      </c>
      <c r="J173">
        <v>0.8</v>
      </c>
      <c r="K173">
        <v>0.16420000000000001</v>
      </c>
      <c r="L173">
        <v>5</v>
      </c>
      <c r="M173">
        <v>56</v>
      </c>
      <c r="N173">
        <v>61</v>
      </c>
      <c r="O173" t="s">
        <v>29</v>
      </c>
      <c r="P173" t="s">
        <v>30</v>
      </c>
      <c r="Q173" t="s">
        <v>41</v>
      </c>
      <c r="R173" t="s">
        <v>42</v>
      </c>
      <c r="S173" t="s">
        <v>33</v>
      </c>
      <c r="T173" t="s">
        <v>34</v>
      </c>
      <c r="U173" t="s">
        <v>46</v>
      </c>
      <c r="V173" t="s">
        <v>36</v>
      </c>
      <c r="W173" t="s">
        <v>37</v>
      </c>
      <c r="X173">
        <v>8.1967213114754092</v>
      </c>
      <c r="Y173">
        <v>91.803278688524586</v>
      </c>
      <c r="Z173" t="s">
        <v>38</v>
      </c>
      <c r="AA173" t="s">
        <v>39</v>
      </c>
      <c r="AB173" t="s">
        <v>40</v>
      </c>
      <c r="AC173">
        <v>1.7000000000000019E-2</v>
      </c>
    </row>
    <row r="174" spans="1:29" x14ac:dyDescent="0.3">
      <c r="A174">
        <v>173</v>
      </c>
      <c r="B174" s="1">
        <v>40551</v>
      </c>
      <c r="C174">
        <v>1</v>
      </c>
      <c r="D174">
        <v>11</v>
      </c>
      <c r="E174" t="b">
        <v>0</v>
      </c>
      <c r="F174">
        <v>6</v>
      </c>
      <c r="G174">
        <v>2</v>
      </c>
      <c r="H174">
        <v>0.2</v>
      </c>
      <c r="I174">
        <v>0.18179999999999999</v>
      </c>
      <c r="J174">
        <v>0.69</v>
      </c>
      <c r="K174">
        <v>0.3881</v>
      </c>
      <c r="L174">
        <v>2</v>
      </c>
      <c r="M174">
        <v>60</v>
      </c>
      <c r="N174">
        <v>62</v>
      </c>
      <c r="O174" t="s">
        <v>29</v>
      </c>
      <c r="P174" t="s">
        <v>30</v>
      </c>
      <c r="Q174" t="s">
        <v>41</v>
      </c>
      <c r="R174" t="s">
        <v>42</v>
      </c>
      <c r="S174" t="s">
        <v>33</v>
      </c>
      <c r="T174" t="s">
        <v>49</v>
      </c>
      <c r="U174" t="s">
        <v>53</v>
      </c>
      <c r="V174" t="s">
        <v>36</v>
      </c>
      <c r="W174" t="s">
        <v>37</v>
      </c>
      <c r="X174">
        <v>3.225806451612903</v>
      </c>
      <c r="Y174">
        <v>96.774193548387103</v>
      </c>
      <c r="Z174" t="s">
        <v>38</v>
      </c>
      <c r="AA174" t="s">
        <v>39</v>
      </c>
      <c r="AB174" t="s">
        <v>40</v>
      </c>
      <c r="AC174">
        <v>-1.8200000000000022E-2</v>
      </c>
    </row>
    <row r="175" spans="1:29" x14ac:dyDescent="0.3">
      <c r="A175">
        <v>174</v>
      </c>
      <c r="B175" s="1">
        <v>40551</v>
      </c>
      <c r="C175">
        <v>1</v>
      </c>
      <c r="D175">
        <v>12</v>
      </c>
      <c r="E175" t="b">
        <v>0</v>
      </c>
      <c r="F175">
        <v>6</v>
      </c>
      <c r="G175">
        <v>2</v>
      </c>
      <c r="H175">
        <v>0.2</v>
      </c>
      <c r="I175">
        <v>0.18179999999999999</v>
      </c>
      <c r="J175">
        <v>0.59</v>
      </c>
      <c r="K175">
        <v>0.35820000000000002</v>
      </c>
      <c r="L175">
        <v>8</v>
      </c>
      <c r="M175">
        <v>90</v>
      </c>
      <c r="N175">
        <v>98</v>
      </c>
      <c r="O175" t="s">
        <v>29</v>
      </c>
      <c r="P175" t="s">
        <v>30</v>
      </c>
      <c r="Q175" t="s">
        <v>41</v>
      </c>
      <c r="R175" t="s">
        <v>47</v>
      </c>
      <c r="S175" t="s">
        <v>33</v>
      </c>
      <c r="T175" t="s">
        <v>49</v>
      </c>
      <c r="U175" t="s">
        <v>53</v>
      </c>
      <c r="V175" t="s">
        <v>36</v>
      </c>
      <c r="W175" t="s">
        <v>37</v>
      </c>
      <c r="X175">
        <v>8.1632653061224492</v>
      </c>
      <c r="Y175">
        <v>91.83673469387756</v>
      </c>
      <c r="Z175" t="s">
        <v>38</v>
      </c>
      <c r="AA175" t="s">
        <v>39</v>
      </c>
      <c r="AB175" t="s">
        <v>40</v>
      </c>
      <c r="AC175">
        <v>-1.8200000000000022E-2</v>
      </c>
    </row>
    <row r="176" spans="1:29" x14ac:dyDescent="0.3">
      <c r="A176">
        <v>175</v>
      </c>
      <c r="B176" s="1">
        <v>40551</v>
      </c>
      <c r="C176">
        <v>1</v>
      </c>
      <c r="D176">
        <v>13</v>
      </c>
      <c r="E176" t="b">
        <v>0</v>
      </c>
      <c r="F176">
        <v>6</v>
      </c>
      <c r="G176">
        <v>1</v>
      </c>
      <c r="H176">
        <v>0.2</v>
      </c>
      <c r="I176">
        <v>0.18179999999999999</v>
      </c>
      <c r="J176">
        <v>0.44</v>
      </c>
      <c r="K176">
        <v>0.32840000000000003</v>
      </c>
      <c r="L176">
        <v>7</v>
      </c>
      <c r="M176">
        <v>95</v>
      </c>
      <c r="N176">
        <v>102</v>
      </c>
      <c r="O176" t="s">
        <v>29</v>
      </c>
      <c r="P176" t="s">
        <v>30</v>
      </c>
      <c r="Q176" t="s">
        <v>31</v>
      </c>
      <c r="R176" t="s">
        <v>47</v>
      </c>
      <c r="S176" t="s">
        <v>33</v>
      </c>
      <c r="T176" t="s">
        <v>49</v>
      </c>
      <c r="U176" t="s">
        <v>53</v>
      </c>
      <c r="V176" t="s">
        <v>36</v>
      </c>
      <c r="W176" t="s">
        <v>37</v>
      </c>
      <c r="X176">
        <v>6.8627450980392162</v>
      </c>
      <c r="Y176">
        <v>93.137254901960787</v>
      </c>
      <c r="Z176" t="s">
        <v>38</v>
      </c>
      <c r="AA176" t="s">
        <v>49</v>
      </c>
      <c r="AB176" t="s">
        <v>40</v>
      </c>
      <c r="AC176">
        <v>-1.8200000000000022E-2</v>
      </c>
    </row>
    <row r="177" spans="1:29" x14ac:dyDescent="0.3">
      <c r="A177">
        <v>176</v>
      </c>
      <c r="B177" s="1">
        <v>40551</v>
      </c>
      <c r="C177">
        <v>1</v>
      </c>
      <c r="D177">
        <v>14</v>
      </c>
      <c r="E177" t="b">
        <v>0</v>
      </c>
      <c r="F177">
        <v>6</v>
      </c>
      <c r="G177">
        <v>1</v>
      </c>
      <c r="H177">
        <v>0.2</v>
      </c>
      <c r="I177">
        <v>0.16669999999999999</v>
      </c>
      <c r="J177">
        <v>0.32</v>
      </c>
      <c r="K177">
        <v>0.49249999999999999</v>
      </c>
      <c r="L177">
        <v>12</v>
      </c>
      <c r="M177">
        <v>83</v>
      </c>
      <c r="N177">
        <v>95</v>
      </c>
      <c r="O177" t="s">
        <v>29</v>
      </c>
      <c r="P177" t="s">
        <v>30</v>
      </c>
      <c r="Q177" t="s">
        <v>31</v>
      </c>
      <c r="R177" t="s">
        <v>47</v>
      </c>
      <c r="S177" t="s">
        <v>33</v>
      </c>
      <c r="T177" t="s">
        <v>39</v>
      </c>
      <c r="U177" t="s">
        <v>53</v>
      </c>
      <c r="V177" t="s">
        <v>36</v>
      </c>
      <c r="W177" t="s">
        <v>37</v>
      </c>
      <c r="X177">
        <v>12.631578947368419</v>
      </c>
      <c r="Y177">
        <v>87.368421052631589</v>
      </c>
      <c r="Z177" t="s">
        <v>38</v>
      </c>
      <c r="AA177" t="s">
        <v>39</v>
      </c>
      <c r="AB177" t="s">
        <v>40</v>
      </c>
      <c r="AC177">
        <v>-3.3300000000000017E-2</v>
      </c>
    </row>
    <row r="178" spans="1:29" x14ac:dyDescent="0.3">
      <c r="A178">
        <v>177</v>
      </c>
      <c r="B178" s="1">
        <v>40551</v>
      </c>
      <c r="C178">
        <v>1</v>
      </c>
      <c r="D178">
        <v>15</v>
      </c>
      <c r="E178" t="b">
        <v>0</v>
      </c>
      <c r="F178">
        <v>6</v>
      </c>
      <c r="G178">
        <v>1</v>
      </c>
      <c r="H178">
        <v>0.2</v>
      </c>
      <c r="I178">
        <v>0.16669999999999999</v>
      </c>
      <c r="J178">
        <v>0.32</v>
      </c>
      <c r="K178">
        <v>0.44779999999999998</v>
      </c>
      <c r="L178">
        <v>5</v>
      </c>
      <c r="M178">
        <v>69</v>
      </c>
      <c r="N178">
        <v>74</v>
      </c>
      <c r="O178" t="s">
        <v>29</v>
      </c>
      <c r="P178" t="s">
        <v>30</v>
      </c>
      <c r="Q178" t="s">
        <v>31</v>
      </c>
      <c r="R178" t="s">
        <v>47</v>
      </c>
      <c r="S178" t="s">
        <v>33</v>
      </c>
      <c r="T178" t="s">
        <v>39</v>
      </c>
      <c r="U178" t="s">
        <v>53</v>
      </c>
      <c r="V178" t="s">
        <v>36</v>
      </c>
      <c r="W178" t="s">
        <v>37</v>
      </c>
      <c r="X178">
        <v>6.756756756756757</v>
      </c>
      <c r="Y178">
        <v>93.243243243243242</v>
      </c>
      <c r="Z178" t="s">
        <v>38</v>
      </c>
      <c r="AA178" t="s">
        <v>39</v>
      </c>
      <c r="AB178" t="s">
        <v>40</v>
      </c>
      <c r="AC178">
        <v>-3.3300000000000017E-2</v>
      </c>
    </row>
    <row r="179" spans="1:29" x14ac:dyDescent="0.3">
      <c r="A179">
        <v>178</v>
      </c>
      <c r="B179" s="1">
        <v>40551</v>
      </c>
      <c r="C179">
        <v>1</v>
      </c>
      <c r="D179">
        <v>16</v>
      </c>
      <c r="E179" t="b">
        <v>0</v>
      </c>
      <c r="F179">
        <v>6</v>
      </c>
      <c r="G179">
        <v>1</v>
      </c>
      <c r="H179">
        <v>0.18</v>
      </c>
      <c r="I179">
        <v>0.13639999999999999</v>
      </c>
      <c r="J179">
        <v>0.28999999999999998</v>
      </c>
      <c r="K179">
        <v>0.44779999999999998</v>
      </c>
      <c r="L179">
        <v>8</v>
      </c>
      <c r="M179">
        <v>68</v>
      </c>
      <c r="N179">
        <v>76</v>
      </c>
      <c r="O179" t="s">
        <v>29</v>
      </c>
      <c r="P179" t="s">
        <v>30</v>
      </c>
      <c r="Q179" t="s">
        <v>31</v>
      </c>
      <c r="R179" t="s">
        <v>47</v>
      </c>
      <c r="S179" t="s">
        <v>33</v>
      </c>
      <c r="T179" t="s">
        <v>39</v>
      </c>
      <c r="U179" t="s">
        <v>53</v>
      </c>
      <c r="V179" t="s">
        <v>36</v>
      </c>
      <c r="W179" t="s">
        <v>37</v>
      </c>
      <c r="X179">
        <v>10.52631578947368</v>
      </c>
      <c r="Y179">
        <v>89.473684210526315</v>
      </c>
      <c r="Z179" t="s">
        <v>38</v>
      </c>
      <c r="AA179" t="s">
        <v>39</v>
      </c>
      <c r="AB179" t="s">
        <v>40</v>
      </c>
      <c r="AC179">
        <v>-4.36E-2</v>
      </c>
    </row>
    <row r="180" spans="1:29" x14ac:dyDescent="0.3">
      <c r="A180">
        <v>179</v>
      </c>
      <c r="B180" s="1">
        <v>40551</v>
      </c>
      <c r="C180">
        <v>1</v>
      </c>
      <c r="D180">
        <v>17</v>
      </c>
      <c r="E180" t="b">
        <v>0</v>
      </c>
      <c r="F180">
        <v>6</v>
      </c>
      <c r="G180">
        <v>1</v>
      </c>
      <c r="H180">
        <v>0.16</v>
      </c>
      <c r="I180">
        <v>0.1212</v>
      </c>
      <c r="J180">
        <v>0.37</v>
      </c>
      <c r="K180">
        <v>0.55220000000000002</v>
      </c>
      <c r="L180">
        <v>5</v>
      </c>
      <c r="M180">
        <v>64</v>
      </c>
      <c r="N180">
        <v>69</v>
      </c>
      <c r="O180" t="s">
        <v>29</v>
      </c>
      <c r="P180" t="s">
        <v>30</v>
      </c>
      <c r="Q180" t="s">
        <v>31</v>
      </c>
      <c r="R180" t="s">
        <v>50</v>
      </c>
      <c r="S180" t="s">
        <v>33</v>
      </c>
      <c r="T180" t="s">
        <v>39</v>
      </c>
      <c r="U180" t="s">
        <v>53</v>
      </c>
      <c r="V180" t="s">
        <v>36</v>
      </c>
      <c r="W180" t="s">
        <v>37</v>
      </c>
      <c r="X180">
        <v>7.2463768115942031</v>
      </c>
      <c r="Y180">
        <v>92.753623188405797</v>
      </c>
      <c r="Z180" t="s">
        <v>40</v>
      </c>
      <c r="AA180" t="s">
        <v>39</v>
      </c>
      <c r="AB180" t="s">
        <v>40</v>
      </c>
      <c r="AC180">
        <v>-3.8800000000000001E-2</v>
      </c>
    </row>
    <row r="181" spans="1:29" x14ac:dyDescent="0.3">
      <c r="A181">
        <v>180</v>
      </c>
      <c r="B181" s="1">
        <v>40551</v>
      </c>
      <c r="C181">
        <v>1</v>
      </c>
      <c r="D181">
        <v>18</v>
      </c>
      <c r="E181" t="b">
        <v>0</v>
      </c>
      <c r="F181">
        <v>6</v>
      </c>
      <c r="G181">
        <v>1</v>
      </c>
      <c r="H181">
        <v>0.14000000000000001</v>
      </c>
      <c r="I181">
        <v>0.1212</v>
      </c>
      <c r="J181">
        <v>0.39</v>
      </c>
      <c r="K181">
        <v>0.29849999999999999</v>
      </c>
      <c r="L181">
        <v>3</v>
      </c>
      <c r="M181">
        <v>52</v>
      </c>
      <c r="N181">
        <v>55</v>
      </c>
      <c r="O181" t="s">
        <v>29</v>
      </c>
      <c r="P181" t="s">
        <v>30</v>
      </c>
      <c r="Q181" t="s">
        <v>31</v>
      </c>
      <c r="R181" t="s">
        <v>50</v>
      </c>
      <c r="S181" t="s">
        <v>55</v>
      </c>
      <c r="T181" t="s">
        <v>39</v>
      </c>
      <c r="U181" t="s">
        <v>46</v>
      </c>
      <c r="V181" t="s">
        <v>36</v>
      </c>
      <c r="W181" t="s">
        <v>37</v>
      </c>
      <c r="X181">
        <v>5.4545454545454541</v>
      </c>
      <c r="Y181">
        <v>94.545454545454547</v>
      </c>
      <c r="Z181" t="s">
        <v>40</v>
      </c>
      <c r="AA181" t="s">
        <v>39</v>
      </c>
      <c r="AB181" t="s">
        <v>40</v>
      </c>
      <c r="AC181">
        <v>-1.8800000000000011E-2</v>
      </c>
    </row>
    <row r="182" spans="1:29" x14ac:dyDescent="0.3">
      <c r="A182">
        <v>181</v>
      </c>
      <c r="B182" s="1">
        <v>40551</v>
      </c>
      <c r="C182">
        <v>1</v>
      </c>
      <c r="D182">
        <v>19</v>
      </c>
      <c r="E182" t="b">
        <v>0</v>
      </c>
      <c r="F182">
        <v>6</v>
      </c>
      <c r="G182">
        <v>1</v>
      </c>
      <c r="H182">
        <v>0.14000000000000001</v>
      </c>
      <c r="I182">
        <v>0.1212</v>
      </c>
      <c r="J182">
        <v>0.36</v>
      </c>
      <c r="K182">
        <v>0.25369999999999998</v>
      </c>
      <c r="L182">
        <v>4</v>
      </c>
      <c r="M182">
        <v>26</v>
      </c>
      <c r="N182">
        <v>30</v>
      </c>
      <c r="O182" t="s">
        <v>29</v>
      </c>
      <c r="P182" t="s">
        <v>30</v>
      </c>
      <c r="Q182" t="s">
        <v>31</v>
      </c>
      <c r="R182" t="s">
        <v>50</v>
      </c>
      <c r="S182" t="s">
        <v>55</v>
      </c>
      <c r="T182" t="s">
        <v>39</v>
      </c>
      <c r="U182" t="s">
        <v>46</v>
      </c>
      <c r="V182" t="s">
        <v>36</v>
      </c>
      <c r="W182" t="s">
        <v>37</v>
      </c>
      <c r="X182">
        <v>13.33333333333333</v>
      </c>
      <c r="Y182">
        <v>86.666666666666671</v>
      </c>
      <c r="Z182" t="s">
        <v>40</v>
      </c>
      <c r="AA182" t="s">
        <v>39</v>
      </c>
      <c r="AB182" t="s">
        <v>40</v>
      </c>
      <c r="AC182">
        <v>-1.8800000000000011E-2</v>
      </c>
    </row>
    <row r="183" spans="1:29" x14ac:dyDescent="0.3">
      <c r="A183">
        <v>182</v>
      </c>
      <c r="B183" s="1">
        <v>40551</v>
      </c>
      <c r="C183">
        <v>1</v>
      </c>
      <c r="D183">
        <v>20</v>
      </c>
      <c r="E183" t="b">
        <v>0</v>
      </c>
      <c r="F183">
        <v>6</v>
      </c>
      <c r="G183">
        <v>1</v>
      </c>
      <c r="H183">
        <v>0.12</v>
      </c>
      <c r="I183">
        <v>0.1212</v>
      </c>
      <c r="J183">
        <v>0.36</v>
      </c>
      <c r="K183">
        <v>0.25369999999999998</v>
      </c>
      <c r="L183">
        <v>0</v>
      </c>
      <c r="M183">
        <v>28</v>
      </c>
      <c r="N183">
        <v>28</v>
      </c>
      <c r="O183" t="s">
        <v>29</v>
      </c>
      <c r="P183" t="s">
        <v>30</v>
      </c>
      <c r="Q183" t="s">
        <v>31</v>
      </c>
      <c r="R183" t="s">
        <v>50</v>
      </c>
      <c r="S183" t="s">
        <v>55</v>
      </c>
      <c r="T183" t="s">
        <v>39</v>
      </c>
      <c r="U183" t="s">
        <v>46</v>
      </c>
      <c r="V183" t="s">
        <v>36</v>
      </c>
      <c r="W183" t="s">
        <v>37</v>
      </c>
      <c r="X183">
        <v>0</v>
      </c>
      <c r="Y183">
        <v>100</v>
      </c>
      <c r="Z183" t="s">
        <v>38</v>
      </c>
      <c r="AA183" t="s">
        <v>39</v>
      </c>
      <c r="AB183" t="s">
        <v>40</v>
      </c>
      <c r="AC183">
        <v>1.2000000000000071E-3</v>
      </c>
    </row>
    <row r="184" spans="1:29" x14ac:dyDescent="0.3">
      <c r="A184">
        <v>183</v>
      </c>
      <c r="B184" s="1">
        <v>40551</v>
      </c>
      <c r="C184">
        <v>1</v>
      </c>
      <c r="D184">
        <v>21</v>
      </c>
      <c r="E184" t="b">
        <v>0</v>
      </c>
      <c r="F184">
        <v>6</v>
      </c>
      <c r="G184">
        <v>1</v>
      </c>
      <c r="H184">
        <v>0.12</v>
      </c>
      <c r="I184">
        <v>0.1061</v>
      </c>
      <c r="J184">
        <v>0.39</v>
      </c>
      <c r="K184">
        <v>0.35820000000000002</v>
      </c>
      <c r="L184">
        <v>2</v>
      </c>
      <c r="M184">
        <v>35</v>
      </c>
      <c r="N184">
        <v>37</v>
      </c>
      <c r="O184" t="s">
        <v>29</v>
      </c>
      <c r="P184" t="s">
        <v>30</v>
      </c>
      <c r="Q184" t="s">
        <v>31</v>
      </c>
      <c r="R184" t="s">
        <v>32</v>
      </c>
      <c r="S184" t="s">
        <v>55</v>
      </c>
      <c r="T184" t="s">
        <v>39</v>
      </c>
      <c r="U184" t="s">
        <v>53</v>
      </c>
      <c r="V184" t="s">
        <v>36</v>
      </c>
      <c r="W184" t="s">
        <v>37</v>
      </c>
      <c r="X184">
        <v>5.4054054054054053</v>
      </c>
      <c r="Y184">
        <v>94.594594594594597</v>
      </c>
      <c r="Z184" t="s">
        <v>38</v>
      </c>
      <c r="AA184" t="s">
        <v>39</v>
      </c>
      <c r="AB184" t="s">
        <v>40</v>
      </c>
      <c r="AC184">
        <v>-1.3899999999999999E-2</v>
      </c>
    </row>
    <row r="185" spans="1:29" x14ac:dyDescent="0.3">
      <c r="A185">
        <v>184</v>
      </c>
      <c r="B185" s="1">
        <v>40551</v>
      </c>
      <c r="C185">
        <v>1</v>
      </c>
      <c r="D185">
        <v>22</v>
      </c>
      <c r="E185" t="b">
        <v>0</v>
      </c>
      <c r="F185">
        <v>6</v>
      </c>
      <c r="G185">
        <v>1</v>
      </c>
      <c r="H185">
        <v>0.12</v>
      </c>
      <c r="I185">
        <v>0.1061</v>
      </c>
      <c r="J185">
        <v>0.36</v>
      </c>
      <c r="K185">
        <v>0.3881</v>
      </c>
      <c r="L185">
        <v>1</v>
      </c>
      <c r="M185">
        <v>33</v>
      </c>
      <c r="N185">
        <v>34</v>
      </c>
      <c r="O185" t="s">
        <v>29</v>
      </c>
      <c r="P185" t="s">
        <v>30</v>
      </c>
      <c r="Q185" t="s">
        <v>31</v>
      </c>
      <c r="R185" t="s">
        <v>32</v>
      </c>
      <c r="S185" t="s">
        <v>55</v>
      </c>
      <c r="T185" t="s">
        <v>39</v>
      </c>
      <c r="U185" t="s">
        <v>53</v>
      </c>
      <c r="V185" t="s">
        <v>36</v>
      </c>
      <c r="W185" t="s">
        <v>37</v>
      </c>
      <c r="X185">
        <v>2.9411764705882351</v>
      </c>
      <c r="Y185">
        <v>97.058823529411768</v>
      </c>
      <c r="Z185" t="s">
        <v>38</v>
      </c>
      <c r="AA185" t="s">
        <v>39</v>
      </c>
      <c r="AB185" t="s">
        <v>40</v>
      </c>
      <c r="AC185">
        <v>-1.3899999999999999E-2</v>
      </c>
    </row>
    <row r="186" spans="1:29" x14ac:dyDescent="0.3">
      <c r="A186">
        <v>185</v>
      </c>
      <c r="B186" s="1">
        <v>40551</v>
      </c>
      <c r="C186">
        <v>1</v>
      </c>
      <c r="D186">
        <v>23</v>
      </c>
      <c r="E186" t="b">
        <v>0</v>
      </c>
      <c r="F186">
        <v>6</v>
      </c>
      <c r="G186">
        <v>1</v>
      </c>
      <c r="H186">
        <v>0.1</v>
      </c>
      <c r="I186">
        <v>6.0600000000000001E-2</v>
      </c>
      <c r="J186">
        <v>0.39</v>
      </c>
      <c r="K186">
        <v>0.44779999999999998</v>
      </c>
      <c r="L186">
        <v>0</v>
      </c>
      <c r="M186">
        <v>22</v>
      </c>
      <c r="N186">
        <v>22</v>
      </c>
      <c r="O186" t="s">
        <v>29</v>
      </c>
      <c r="P186" t="s">
        <v>30</v>
      </c>
      <c r="Q186" t="s">
        <v>31</v>
      </c>
      <c r="R186" t="s">
        <v>32</v>
      </c>
      <c r="S186" t="s">
        <v>55</v>
      </c>
      <c r="T186" t="s">
        <v>39</v>
      </c>
      <c r="U186" t="s">
        <v>53</v>
      </c>
      <c r="V186" t="s">
        <v>36</v>
      </c>
      <c r="W186" t="s">
        <v>37</v>
      </c>
      <c r="X186">
        <v>0</v>
      </c>
      <c r="Y186">
        <v>100</v>
      </c>
      <c r="Z186" t="s">
        <v>38</v>
      </c>
      <c r="AA186" t="s">
        <v>39</v>
      </c>
      <c r="AB186" t="s">
        <v>40</v>
      </c>
      <c r="AC186">
        <v>-3.9399999999999998E-2</v>
      </c>
    </row>
    <row r="187" spans="1:29" x14ac:dyDescent="0.3">
      <c r="A187">
        <v>186</v>
      </c>
      <c r="B187" s="1">
        <v>40552</v>
      </c>
      <c r="C187">
        <v>1</v>
      </c>
      <c r="D187">
        <v>0</v>
      </c>
      <c r="E187" t="b">
        <v>0</v>
      </c>
      <c r="F187">
        <v>0</v>
      </c>
      <c r="G187">
        <v>1</v>
      </c>
      <c r="H187">
        <v>0.1</v>
      </c>
      <c r="I187">
        <v>7.5800000000000006E-2</v>
      </c>
      <c r="J187">
        <v>0.42</v>
      </c>
      <c r="K187">
        <v>0.3881</v>
      </c>
      <c r="L187">
        <v>1</v>
      </c>
      <c r="M187">
        <v>24</v>
      </c>
      <c r="N187">
        <v>25</v>
      </c>
      <c r="O187" t="s">
        <v>29</v>
      </c>
      <c r="P187" t="s">
        <v>52</v>
      </c>
      <c r="Q187" t="s">
        <v>31</v>
      </c>
      <c r="R187" t="s">
        <v>32</v>
      </c>
      <c r="S187" t="s">
        <v>55</v>
      </c>
      <c r="T187" t="s">
        <v>49</v>
      </c>
      <c r="U187" t="s">
        <v>53</v>
      </c>
      <c r="V187" t="s">
        <v>36</v>
      </c>
      <c r="W187" t="s">
        <v>37</v>
      </c>
      <c r="X187">
        <v>4</v>
      </c>
      <c r="Y187">
        <v>96</v>
      </c>
      <c r="Z187" t="s">
        <v>38</v>
      </c>
      <c r="AA187" t="s">
        <v>39</v>
      </c>
      <c r="AB187" t="s">
        <v>40</v>
      </c>
      <c r="AC187">
        <v>-2.4199999999999999E-2</v>
      </c>
    </row>
    <row r="188" spans="1:29" x14ac:dyDescent="0.3">
      <c r="A188">
        <v>187</v>
      </c>
      <c r="B188" s="1">
        <v>40552</v>
      </c>
      <c r="C188">
        <v>1</v>
      </c>
      <c r="D188">
        <v>1</v>
      </c>
      <c r="E188" t="b">
        <v>0</v>
      </c>
      <c r="F188">
        <v>0</v>
      </c>
      <c r="G188">
        <v>1</v>
      </c>
      <c r="H188">
        <v>0.1</v>
      </c>
      <c r="I188">
        <v>6.0600000000000001E-2</v>
      </c>
      <c r="J188">
        <v>0.42</v>
      </c>
      <c r="K188">
        <v>0.4627</v>
      </c>
      <c r="L188">
        <v>0</v>
      </c>
      <c r="M188">
        <v>12</v>
      </c>
      <c r="N188">
        <v>12</v>
      </c>
      <c r="O188" t="s">
        <v>29</v>
      </c>
      <c r="P188" t="s">
        <v>52</v>
      </c>
      <c r="Q188" t="s">
        <v>31</v>
      </c>
      <c r="R188" t="s">
        <v>32</v>
      </c>
      <c r="S188" t="s">
        <v>55</v>
      </c>
      <c r="T188" t="s">
        <v>49</v>
      </c>
      <c r="U188" t="s">
        <v>53</v>
      </c>
      <c r="V188" t="s">
        <v>36</v>
      </c>
      <c r="W188" t="s">
        <v>37</v>
      </c>
      <c r="X188">
        <v>0</v>
      </c>
      <c r="Y188">
        <v>100</v>
      </c>
      <c r="Z188" t="s">
        <v>38</v>
      </c>
      <c r="AA188" t="s">
        <v>39</v>
      </c>
      <c r="AB188" t="s">
        <v>40</v>
      </c>
      <c r="AC188">
        <v>-3.9399999999999998E-2</v>
      </c>
    </row>
    <row r="189" spans="1:29" x14ac:dyDescent="0.3">
      <c r="A189">
        <v>188</v>
      </c>
      <c r="B189" s="1">
        <v>40552</v>
      </c>
      <c r="C189">
        <v>1</v>
      </c>
      <c r="D189">
        <v>2</v>
      </c>
      <c r="E189" t="b">
        <v>0</v>
      </c>
      <c r="F189">
        <v>0</v>
      </c>
      <c r="G189">
        <v>1</v>
      </c>
      <c r="H189">
        <v>0.1</v>
      </c>
      <c r="I189">
        <v>6.0600000000000001E-2</v>
      </c>
      <c r="J189">
        <v>0.46</v>
      </c>
      <c r="K189">
        <v>0.4627</v>
      </c>
      <c r="L189">
        <v>0</v>
      </c>
      <c r="M189">
        <v>11</v>
      </c>
      <c r="N189">
        <v>11</v>
      </c>
      <c r="O189" t="s">
        <v>29</v>
      </c>
      <c r="P189" t="s">
        <v>52</v>
      </c>
      <c r="Q189" t="s">
        <v>31</v>
      </c>
      <c r="R189" t="s">
        <v>32</v>
      </c>
      <c r="S189" t="s">
        <v>55</v>
      </c>
      <c r="T189" t="s">
        <v>49</v>
      </c>
      <c r="U189" t="s">
        <v>53</v>
      </c>
      <c r="V189" t="s">
        <v>36</v>
      </c>
      <c r="W189" t="s">
        <v>37</v>
      </c>
      <c r="X189">
        <v>0</v>
      </c>
      <c r="Y189">
        <v>100</v>
      </c>
      <c r="Z189" t="s">
        <v>38</v>
      </c>
      <c r="AA189" t="s">
        <v>39</v>
      </c>
      <c r="AB189" t="s">
        <v>40</v>
      </c>
      <c r="AC189">
        <v>-3.9399999999999998E-2</v>
      </c>
    </row>
    <row r="190" spans="1:29" x14ac:dyDescent="0.3">
      <c r="A190">
        <v>189</v>
      </c>
      <c r="B190" s="1">
        <v>40552</v>
      </c>
      <c r="C190">
        <v>1</v>
      </c>
      <c r="D190">
        <v>3</v>
      </c>
      <c r="E190" t="b">
        <v>0</v>
      </c>
      <c r="F190">
        <v>0</v>
      </c>
      <c r="G190">
        <v>1</v>
      </c>
      <c r="H190">
        <v>0.1</v>
      </c>
      <c r="I190">
        <v>7.5800000000000006E-2</v>
      </c>
      <c r="J190">
        <v>0.46</v>
      </c>
      <c r="K190">
        <v>0.41789999999999999</v>
      </c>
      <c r="L190">
        <v>0</v>
      </c>
      <c r="M190">
        <v>4</v>
      </c>
      <c r="N190">
        <v>4</v>
      </c>
      <c r="O190" t="s">
        <v>29</v>
      </c>
      <c r="P190" t="s">
        <v>52</v>
      </c>
      <c r="Q190" t="s">
        <v>31</v>
      </c>
      <c r="R190" t="s">
        <v>32</v>
      </c>
      <c r="S190" t="s">
        <v>55</v>
      </c>
      <c r="T190" t="s">
        <v>49</v>
      </c>
      <c r="U190" t="s">
        <v>53</v>
      </c>
      <c r="V190" t="s">
        <v>36</v>
      </c>
      <c r="W190" t="s">
        <v>37</v>
      </c>
      <c r="X190">
        <v>0</v>
      </c>
      <c r="Y190">
        <v>100</v>
      </c>
      <c r="Z190" t="s">
        <v>38</v>
      </c>
      <c r="AA190" t="s">
        <v>39</v>
      </c>
      <c r="AB190" t="s">
        <v>40</v>
      </c>
      <c r="AC190">
        <v>-2.4199999999999999E-2</v>
      </c>
    </row>
    <row r="191" spans="1:29" x14ac:dyDescent="0.3">
      <c r="A191">
        <v>190</v>
      </c>
      <c r="B191" s="1">
        <v>40552</v>
      </c>
      <c r="C191">
        <v>1</v>
      </c>
      <c r="D191">
        <v>4</v>
      </c>
      <c r="E191" t="b">
        <v>0</v>
      </c>
      <c r="F191">
        <v>0</v>
      </c>
      <c r="G191">
        <v>1</v>
      </c>
      <c r="H191">
        <v>0.08</v>
      </c>
      <c r="I191">
        <v>9.0899999999999995E-2</v>
      </c>
      <c r="J191">
        <v>0.53</v>
      </c>
      <c r="K191">
        <v>0.19400000000000001</v>
      </c>
      <c r="L191">
        <v>0</v>
      </c>
      <c r="M191">
        <v>1</v>
      </c>
      <c r="N191">
        <v>1</v>
      </c>
      <c r="O191" t="s">
        <v>29</v>
      </c>
      <c r="P191" t="s">
        <v>52</v>
      </c>
      <c r="Q191" t="s">
        <v>31</v>
      </c>
      <c r="R191" t="s">
        <v>32</v>
      </c>
      <c r="S191" t="s">
        <v>55</v>
      </c>
      <c r="T191" t="s">
        <v>49</v>
      </c>
      <c r="U191" t="s">
        <v>46</v>
      </c>
      <c r="V191" t="s">
        <v>36</v>
      </c>
      <c r="W191" t="s">
        <v>37</v>
      </c>
      <c r="X191">
        <v>0</v>
      </c>
      <c r="Y191">
        <v>100</v>
      </c>
      <c r="Z191" t="s">
        <v>38</v>
      </c>
      <c r="AA191" t="s">
        <v>39</v>
      </c>
      <c r="AB191" t="s">
        <v>40</v>
      </c>
      <c r="AC191">
        <v>1.089999999999999E-2</v>
      </c>
    </row>
    <row r="192" spans="1:29" x14ac:dyDescent="0.3">
      <c r="A192">
        <v>191</v>
      </c>
      <c r="B192" s="1">
        <v>40552</v>
      </c>
      <c r="C192">
        <v>1</v>
      </c>
      <c r="D192">
        <v>5</v>
      </c>
      <c r="E192" t="b">
        <v>0</v>
      </c>
      <c r="F192">
        <v>0</v>
      </c>
      <c r="G192">
        <v>1</v>
      </c>
      <c r="H192">
        <v>0.08</v>
      </c>
      <c r="I192">
        <v>9.0899999999999995E-2</v>
      </c>
      <c r="J192">
        <v>0.53</v>
      </c>
      <c r="K192">
        <v>0.19400000000000001</v>
      </c>
      <c r="L192">
        <v>0</v>
      </c>
      <c r="M192">
        <v>1</v>
      </c>
      <c r="N192">
        <v>1</v>
      </c>
      <c r="O192" t="s">
        <v>29</v>
      </c>
      <c r="P192" t="s">
        <v>52</v>
      </c>
      <c r="Q192" t="s">
        <v>31</v>
      </c>
      <c r="R192" t="s">
        <v>32</v>
      </c>
      <c r="S192" t="s">
        <v>55</v>
      </c>
      <c r="T192" t="s">
        <v>49</v>
      </c>
      <c r="U192" t="s">
        <v>46</v>
      </c>
      <c r="V192" t="s">
        <v>36</v>
      </c>
      <c r="W192" t="s">
        <v>37</v>
      </c>
      <c r="X192">
        <v>0</v>
      </c>
      <c r="Y192">
        <v>100</v>
      </c>
      <c r="Z192" t="s">
        <v>38</v>
      </c>
      <c r="AA192" t="s">
        <v>39</v>
      </c>
      <c r="AB192" t="s">
        <v>40</v>
      </c>
      <c r="AC192">
        <v>1.089999999999999E-2</v>
      </c>
    </row>
    <row r="193" spans="1:29" x14ac:dyDescent="0.3">
      <c r="A193">
        <v>192</v>
      </c>
      <c r="B193" s="1">
        <v>40552</v>
      </c>
      <c r="C193">
        <v>1</v>
      </c>
      <c r="D193">
        <v>6</v>
      </c>
      <c r="E193" t="b">
        <v>0</v>
      </c>
      <c r="F193">
        <v>0</v>
      </c>
      <c r="G193">
        <v>1</v>
      </c>
      <c r="H193">
        <v>0.1</v>
      </c>
      <c r="I193">
        <v>9.0899999999999995E-2</v>
      </c>
      <c r="J193">
        <v>0.49</v>
      </c>
      <c r="K193">
        <v>0.28360000000000002</v>
      </c>
      <c r="L193">
        <v>0</v>
      </c>
      <c r="M193">
        <v>1</v>
      </c>
      <c r="N193">
        <v>1</v>
      </c>
      <c r="O193" t="s">
        <v>29</v>
      </c>
      <c r="P193" t="s">
        <v>52</v>
      </c>
      <c r="Q193" t="s">
        <v>31</v>
      </c>
      <c r="R193" t="s">
        <v>42</v>
      </c>
      <c r="S193" t="s">
        <v>55</v>
      </c>
      <c r="T193" t="s">
        <v>49</v>
      </c>
      <c r="U193" t="s">
        <v>46</v>
      </c>
      <c r="V193" t="s">
        <v>36</v>
      </c>
      <c r="W193" t="s">
        <v>37</v>
      </c>
      <c r="X193">
        <v>0</v>
      </c>
      <c r="Y193">
        <v>100</v>
      </c>
      <c r="Z193" t="s">
        <v>38</v>
      </c>
      <c r="AA193" t="s">
        <v>39</v>
      </c>
      <c r="AB193" t="s">
        <v>40</v>
      </c>
      <c r="AC193">
        <v>-9.1000000000000109E-3</v>
      </c>
    </row>
    <row r="194" spans="1:29" x14ac:dyDescent="0.3">
      <c r="A194">
        <v>193</v>
      </c>
      <c r="B194" s="1">
        <v>40552</v>
      </c>
      <c r="C194">
        <v>1</v>
      </c>
      <c r="D194">
        <v>7</v>
      </c>
      <c r="E194" t="b">
        <v>0</v>
      </c>
      <c r="F194">
        <v>0</v>
      </c>
      <c r="G194">
        <v>1</v>
      </c>
      <c r="H194">
        <v>0.08</v>
      </c>
      <c r="I194">
        <v>9.0899999999999995E-2</v>
      </c>
      <c r="J194">
        <v>0.53</v>
      </c>
      <c r="K194">
        <v>0.19400000000000001</v>
      </c>
      <c r="L194">
        <v>1</v>
      </c>
      <c r="M194">
        <v>5</v>
      </c>
      <c r="N194">
        <v>6</v>
      </c>
      <c r="O194" t="s">
        <v>29</v>
      </c>
      <c r="P194" t="s">
        <v>52</v>
      </c>
      <c r="Q194" t="s">
        <v>31</v>
      </c>
      <c r="R194" t="s">
        <v>42</v>
      </c>
      <c r="S194" t="s">
        <v>55</v>
      </c>
      <c r="T194" t="s">
        <v>49</v>
      </c>
      <c r="U194" t="s">
        <v>46</v>
      </c>
      <c r="V194" t="s">
        <v>36</v>
      </c>
      <c r="W194" t="s">
        <v>37</v>
      </c>
      <c r="X194">
        <v>16.666666666666661</v>
      </c>
      <c r="Y194">
        <v>83.333333333333343</v>
      </c>
      <c r="Z194" t="s">
        <v>40</v>
      </c>
      <c r="AA194" t="s">
        <v>39</v>
      </c>
      <c r="AB194" t="s">
        <v>40</v>
      </c>
      <c r="AC194">
        <v>1.089999999999999E-2</v>
      </c>
    </row>
    <row r="195" spans="1:29" x14ac:dyDescent="0.3">
      <c r="A195">
        <v>194</v>
      </c>
      <c r="B195" s="1">
        <v>40552</v>
      </c>
      <c r="C195">
        <v>1</v>
      </c>
      <c r="D195">
        <v>8</v>
      </c>
      <c r="E195" t="b">
        <v>0</v>
      </c>
      <c r="F195">
        <v>0</v>
      </c>
      <c r="G195">
        <v>1</v>
      </c>
      <c r="H195">
        <v>0.1</v>
      </c>
      <c r="I195">
        <v>9.0899999999999995E-2</v>
      </c>
      <c r="J195">
        <v>0.49</v>
      </c>
      <c r="K195">
        <v>0.28360000000000002</v>
      </c>
      <c r="L195">
        <v>0</v>
      </c>
      <c r="M195">
        <v>10</v>
      </c>
      <c r="N195">
        <v>10</v>
      </c>
      <c r="O195" t="s">
        <v>29</v>
      </c>
      <c r="P195" t="s">
        <v>52</v>
      </c>
      <c r="Q195" t="s">
        <v>31</v>
      </c>
      <c r="R195" t="s">
        <v>42</v>
      </c>
      <c r="S195" t="s">
        <v>55</v>
      </c>
      <c r="T195" t="s">
        <v>49</v>
      </c>
      <c r="U195" t="s">
        <v>46</v>
      </c>
      <c r="V195" t="s">
        <v>36</v>
      </c>
      <c r="W195" t="s">
        <v>37</v>
      </c>
      <c r="X195">
        <v>0</v>
      </c>
      <c r="Y195">
        <v>100</v>
      </c>
      <c r="Z195" t="s">
        <v>40</v>
      </c>
      <c r="AA195" t="s">
        <v>39</v>
      </c>
      <c r="AB195" t="s">
        <v>40</v>
      </c>
      <c r="AC195">
        <v>-9.1000000000000109E-3</v>
      </c>
    </row>
    <row r="196" spans="1:29" x14ac:dyDescent="0.3">
      <c r="A196">
        <v>195</v>
      </c>
      <c r="B196" s="1">
        <v>40552</v>
      </c>
      <c r="C196">
        <v>1</v>
      </c>
      <c r="D196">
        <v>9</v>
      </c>
      <c r="E196" t="b">
        <v>0</v>
      </c>
      <c r="F196">
        <v>0</v>
      </c>
      <c r="G196">
        <v>1</v>
      </c>
      <c r="H196">
        <v>0.12</v>
      </c>
      <c r="I196">
        <v>7.5800000000000006E-2</v>
      </c>
      <c r="J196">
        <v>0.46</v>
      </c>
      <c r="K196">
        <v>0.52239999999999998</v>
      </c>
      <c r="L196">
        <v>0</v>
      </c>
      <c r="M196">
        <v>19</v>
      </c>
      <c r="N196">
        <v>19</v>
      </c>
      <c r="O196" t="s">
        <v>29</v>
      </c>
      <c r="P196" t="s">
        <v>52</v>
      </c>
      <c r="Q196" t="s">
        <v>31</v>
      </c>
      <c r="R196" t="s">
        <v>42</v>
      </c>
      <c r="S196" t="s">
        <v>55</v>
      </c>
      <c r="T196" t="s">
        <v>49</v>
      </c>
      <c r="U196" t="s">
        <v>53</v>
      </c>
      <c r="V196" t="s">
        <v>36</v>
      </c>
      <c r="W196" t="s">
        <v>37</v>
      </c>
      <c r="X196">
        <v>0</v>
      </c>
      <c r="Y196">
        <v>100</v>
      </c>
      <c r="Z196" t="s">
        <v>40</v>
      </c>
      <c r="AA196" t="s">
        <v>39</v>
      </c>
      <c r="AB196" t="s">
        <v>40</v>
      </c>
      <c r="AC196">
        <v>-4.4199999999999989E-2</v>
      </c>
    </row>
    <row r="197" spans="1:29" x14ac:dyDescent="0.3">
      <c r="A197">
        <v>196</v>
      </c>
      <c r="B197" s="1">
        <v>40552</v>
      </c>
      <c r="C197">
        <v>1</v>
      </c>
      <c r="D197">
        <v>10</v>
      </c>
      <c r="E197" t="b">
        <v>0</v>
      </c>
      <c r="F197">
        <v>0</v>
      </c>
      <c r="G197">
        <v>1</v>
      </c>
      <c r="H197">
        <v>0.14000000000000001</v>
      </c>
      <c r="I197">
        <v>0.1061</v>
      </c>
      <c r="J197">
        <v>0.43</v>
      </c>
      <c r="K197">
        <v>0.3881</v>
      </c>
      <c r="L197">
        <v>0</v>
      </c>
      <c r="M197">
        <v>49</v>
      </c>
      <c r="N197">
        <v>49</v>
      </c>
      <c r="O197" t="s">
        <v>29</v>
      </c>
      <c r="P197" t="s">
        <v>52</v>
      </c>
      <c r="Q197" t="s">
        <v>31</v>
      </c>
      <c r="R197" t="s">
        <v>42</v>
      </c>
      <c r="S197" t="s">
        <v>55</v>
      </c>
      <c r="T197" t="s">
        <v>49</v>
      </c>
      <c r="U197" t="s">
        <v>53</v>
      </c>
      <c r="V197" t="s">
        <v>36</v>
      </c>
      <c r="W197" t="s">
        <v>37</v>
      </c>
      <c r="X197">
        <v>0</v>
      </c>
      <c r="Y197">
        <v>100</v>
      </c>
      <c r="Z197" t="s">
        <v>38</v>
      </c>
      <c r="AA197" t="s">
        <v>39</v>
      </c>
      <c r="AB197" t="s">
        <v>40</v>
      </c>
      <c r="AC197">
        <v>-3.3900000000000013E-2</v>
      </c>
    </row>
    <row r="198" spans="1:29" x14ac:dyDescent="0.3">
      <c r="A198">
        <v>197</v>
      </c>
      <c r="B198" s="1">
        <v>40552</v>
      </c>
      <c r="C198">
        <v>1</v>
      </c>
      <c r="D198">
        <v>11</v>
      </c>
      <c r="E198" t="b">
        <v>0</v>
      </c>
      <c r="F198">
        <v>0</v>
      </c>
      <c r="G198">
        <v>1</v>
      </c>
      <c r="H198">
        <v>0.16</v>
      </c>
      <c r="I198">
        <v>0.1212</v>
      </c>
      <c r="J198">
        <v>0.4</v>
      </c>
      <c r="K198">
        <v>0.52239999999999998</v>
      </c>
      <c r="L198">
        <v>2</v>
      </c>
      <c r="M198">
        <v>47</v>
      </c>
      <c r="N198">
        <v>49</v>
      </c>
      <c r="O198" t="s">
        <v>29</v>
      </c>
      <c r="P198" t="s">
        <v>52</v>
      </c>
      <c r="Q198" t="s">
        <v>31</v>
      </c>
      <c r="R198" t="s">
        <v>42</v>
      </c>
      <c r="S198" t="s">
        <v>33</v>
      </c>
      <c r="T198" t="s">
        <v>49</v>
      </c>
      <c r="U198" t="s">
        <v>53</v>
      </c>
      <c r="V198" t="s">
        <v>36</v>
      </c>
      <c r="W198" t="s">
        <v>37</v>
      </c>
      <c r="X198">
        <v>4.0816326530612246</v>
      </c>
      <c r="Y198">
        <v>95.918367346938766</v>
      </c>
      <c r="Z198" t="s">
        <v>38</v>
      </c>
      <c r="AA198" t="s">
        <v>39</v>
      </c>
      <c r="AB198" t="s">
        <v>40</v>
      </c>
      <c r="AC198">
        <v>-3.8800000000000001E-2</v>
      </c>
    </row>
    <row r="199" spans="1:29" x14ac:dyDescent="0.3">
      <c r="A199">
        <v>198</v>
      </c>
      <c r="B199" s="1">
        <v>40552</v>
      </c>
      <c r="C199">
        <v>1</v>
      </c>
      <c r="D199">
        <v>12</v>
      </c>
      <c r="E199" t="b">
        <v>0</v>
      </c>
      <c r="F199">
        <v>0</v>
      </c>
      <c r="G199">
        <v>1</v>
      </c>
      <c r="H199">
        <v>0.18</v>
      </c>
      <c r="I199">
        <v>0.13639999999999999</v>
      </c>
      <c r="J199">
        <v>0.37</v>
      </c>
      <c r="K199">
        <v>0.44779999999999998</v>
      </c>
      <c r="L199">
        <v>4</v>
      </c>
      <c r="M199">
        <v>79</v>
      </c>
      <c r="N199">
        <v>83</v>
      </c>
      <c r="O199" t="s">
        <v>29</v>
      </c>
      <c r="P199" t="s">
        <v>52</v>
      </c>
      <c r="Q199" t="s">
        <v>31</v>
      </c>
      <c r="R199" t="s">
        <v>47</v>
      </c>
      <c r="S199" t="s">
        <v>33</v>
      </c>
      <c r="T199" t="s">
        <v>39</v>
      </c>
      <c r="U199" t="s">
        <v>53</v>
      </c>
      <c r="V199" t="s">
        <v>36</v>
      </c>
      <c r="W199" t="s">
        <v>37</v>
      </c>
      <c r="X199">
        <v>4.8192771084337354</v>
      </c>
      <c r="Y199">
        <v>95.180722891566262</v>
      </c>
      <c r="Z199" t="s">
        <v>38</v>
      </c>
      <c r="AA199" t="s">
        <v>39</v>
      </c>
      <c r="AB199" t="s">
        <v>40</v>
      </c>
      <c r="AC199">
        <v>-4.36E-2</v>
      </c>
    </row>
    <row r="200" spans="1:29" x14ac:dyDescent="0.3">
      <c r="A200">
        <v>199</v>
      </c>
      <c r="B200" s="1">
        <v>40552</v>
      </c>
      <c r="C200">
        <v>1</v>
      </c>
      <c r="D200">
        <v>13</v>
      </c>
      <c r="E200" t="b">
        <v>0</v>
      </c>
      <c r="F200">
        <v>0</v>
      </c>
      <c r="G200">
        <v>1</v>
      </c>
      <c r="H200">
        <v>0.2</v>
      </c>
      <c r="I200">
        <v>0.16669999999999999</v>
      </c>
      <c r="J200">
        <v>0.34</v>
      </c>
      <c r="K200">
        <v>0.44779999999999998</v>
      </c>
      <c r="L200">
        <v>6</v>
      </c>
      <c r="M200">
        <v>69</v>
      </c>
      <c r="N200">
        <v>75</v>
      </c>
      <c r="O200" t="s">
        <v>29</v>
      </c>
      <c r="P200" t="s">
        <v>52</v>
      </c>
      <c r="Q200" t="s">
        <v>31</v>
      </c>
      <c r="R200" t="s">
        <v>47</v>
      </c>
      <c r="S200" t="s">
        <v>33</v>
      </c>
      <c r="T200" t="s">
        <v>39</v>
      </c>
      <c r="U200" t="s">
        <v>53</v>
      </c>
      <c r="V200" t="s">
        <v>36</v>
      </c>
      <c r="W200" t="s">
        <v>37</v>
      </c>
      <c r="X200">
        <v>8</v>
      </c>
      <c r="Y200">
        <v>92</v>
      </c>
      <c r="Z200" t="s">
        <v>38</v>
      </c>
      <c r="AA200" t="s">
        <v>39</v>
      </c>
      <c r="AB200" t="s">
        <v>40</v>
      </c>
      <c r="AC200">
        <v>-3.3300000000000017E-2</v>
      </c>
    </row>
    <row r="201" spans="1:29" x14ac:dyDescent="0.3">
      <c r="A201">
        <v>200</v>
      </c>
      <c r="B201" s="1">
        <v>40552</v>
      </c>
      <c r="C201">
        <v>1</v>
      </c>
      <c r="D201">
        <v>14</v>
      </c>
      <c r="E201" t="b">
        <v>0</v>
      </c>
      <c r="F201">
        <v>0</v>
      </c>
      <c r="G201">
        <v>1</v>
      </c>
      <c r="H201">
        <v>0.22</v>
      </c>
      <c r="I201">
        <v>0.18179999999999999</v>
      </c>
      <c r="J201">
        <v>0.32</v>
      </c>
      <c r="K201">
        <v>0.4627</v>
      </c>
      <c r="L201">
        <v>8</v>
      </c>
      <c r="M201">
        <v>64</v>
      </c>
      <c r="N201">
        <v>72</v>
      </c>
      <c r="O201" t="s">
        <v>29</v>
      </c>
      <c r="P201" t="s">
        <v>52</v>
      </c>
      <c r="Q201" t="s">
        <v>31</v>
      </c>
      <c r="R201" t="s">
        <v>47</v>
      </c>
      <c r="S201" t="s">
        <v>33</v>
      </c>
      <c r="T201" t="s">
        <v>39</v>
      </c>
      <c r="U201" t="s">
        <v>53</v>
      </c>
      <c r="V201" t="s">
        <v>36</v>
      </c>
      <c r="W201" t="s">
        <v>37</v>
      </c>
      <c r="X201">
        <v>11.111111111111111</v>
      </c>
      <c r="Y201">
        <v>88.888888888888886</v>
      </c>
      <c r="Z201" t="s">
        <v>38</v>
      </c>
      <c r="AA201" t="s">
        <v>39</v>
      </c>
      <c r="AB201" t="s">
        <v>40</v>
      </c>
      <c r="AC201">
        <v>-3.8200000000000012E-2</v>
      </c>
    </row>
    <row r="202" spans="1:29" x14ac:dyDescent="0.3">
      <c r="A202">
        <v>201</v>
      </c>
      <c r="B202" s="1">
        <v>40552</v>
      </c>
      <c r="C202">
        <v>1</v>
      </c>
      <c r="D202">
        <v>15</v>
      </c>
      <c r="E202" t="b">
        <v>0</v>
      </c>
      <c r="F202">
        <v>0</v>
      </c>
      <c r="G202">
        <v>1</v>
      </c>
      <c r="H202">
        <v>0.22</v>
      </c>
      <c r="I202">
        <v>0.19700000000000001</v>
      </c>
      <c r="J202">
        <v>0.35</v>
      </c>
      <c r="K202">
        <v>0.35820000000000002</v>
      </c>
      <c r="L202">
        <v>5</v>
      </c>
      <c r="M202">
        <v>77</v>
      </c>
      <c r="N202">
        <v>82</v>
      </c>
      <c r="O202" t="s">
        <v>29</v>
      </c>
      <c r="P202" t="s">
        <v>52</v>
      </c>
      <c r="Q202" t="s">
        <v>31</v>
      </c>
      <c r="R202" t="s">
        <v>47</v>
      </c>
      <c r="S202" t="s">
        <v>33</v>
      </c>
      <c r="T202" t="s">
        <v>39</v>
      </c>
      <c r="U202" t="s">
        <v>53</v>
      </c>
      <c r="V202" t="s">
        <v>36</v>
      </c>
      <c r="W202" t="s">
        <v>37</v>
      </c>
      <c r="X202">
        <v>6.0975609756097562</v>
      </c>
      <c r="Y202">
        <v>93.902439024390233</v>
      </c>
      <c r="Z202" t="s">
        <v>38</v>
      </c>
      <c r="AA202" t="s">
        <v>39</v>
      </c>
      <c r="AB202" t="s">
        <v>40</v>
      </c>
      <c r="AC202">
        <v>-2.2999999999999989E-2</v>
      </c>
    </row>
    <row r="203" spans="1:29" x14ac:dyDescent="0.3">
      <c r="A203">
        <v>202</v>
      </c>
      <c r="B203" s="1">
        <v>40552</v>
      </c>
      <c r="C203">
        <v>1</v>
      </c>
      <c r="D203">
        <v>16</v>
      </c>
      <c r="E203" t="b">
        <v>0</v>
      </c>
      <c r="F203">
        <v>0</v>
      </c>
      <c r="G203">
        <v>1</v>
      </c>
      <c r="H203">
        <v>0.2</v>
      </c>
      <c r="I203">
        <v>0.16669999999999999</v>
      </c>
      <c r="J203">
        <v>0.34</v>
      </c>
      <c r="K203">
        <v>0.44779999999999998</v>
      </c>
      <c r="L203">
        <v>13</v>
      </c>
      <c r="M203">
        <v>79</v>
      </c>
      <c r="N203">
        <v>92</v>
      </c>
      <c r="O203" t="s">
        <v>29</v>
      </c>
      <c r="P203" t="s">
        <v>52</v>
      </c>
      <c r="Q203" t="s">
        <v>31</v>
      </c>
      <c r="R203" t="s">
        <v>47</v>
      </c>
      <c r="S203" t="s">
        <v>33</v>
      </c>
      <c r="T203" t="s">
        <v>39</v>
      </c>
      <c r="U203" t="s">
        <v>53</v>
      </c>
      <c r="V203" t="s">
        <v>36</v>
      </c>
      <c r="W203" t="s">
        <v>37</v>
      </c>
      <c r="X203">
        <v>14.130434782608701</v>
      </c>
      <c r="Y203">
        <v>85.869565217391312</v>
      </c>
      <c r="Z203" t="s">
        <v>38</v>
      </c>
      <c r="AA203" t="s">
        <v>39</v>
      </c>
      <c r="AB203" t="s">
        <v>40</v>
      </c>
      <c r="AC203">
        <v>-3.3300000000000017E-2</v>
      </c>
    </row>
    <row r="204" spans="1:29" x14ac:dyDescent="0.3">
      <c r="A204">
        <v>203</v>
      </c>
      <c r="B204" s="1">
        <v>40552</v>
      </c>
      <c r="C204">
        <v>1</v>
      </c>
      <c r="D204">
        <v>17</v>
      </c>
      <c r="E204" t="b">
        <v>0</v>
      </c>
      <c r="F204">
        <v>0</v>
      </c>
      <c r="G204">
        <v>1</v>
      </c>
      <c r="H204">
        <v>0.18</v>
      </c>
      <c r="I204">
        <v>0.1515</v>
      </c>
      <c r="J204">
        <v>0.37</v>
      </c>
      <c r="K204">
        <v>0.3881</v>
      </c>
      <c r="L204">
        <v>3</v>
      </c>
      <c r="M204">
        <v>59</v>
      </c>
      <c r="N204">
        <v>62</v>
      </c>
      <c r="O204" t="s">
        <v>29</v>
      </c>
      <c r="P204" t="s">
        <v>52</v>
      </c>
      <c r="Q204" t="s">
        <v>31</v>
      </c>
      <c r="R204" t="s">
        <v>50</v>
      </c>
      <c r="S204" t="s">
        <v>33</v>
      </c>
      <c r="T204" t="s">
        <v>39</v>
      </c>
      <c r="U204" t="s">
        <v>53</v>
      </c>
      <c r="V204" t="s">
        <v>36</v>
      </c>
      <c r="W204" t="s">
        <v>37</v>
      </c>
      <c r="X204">
        <v>4.838709677419355</v>
      </c>
      <c r="Y204">
        <v>95.161290322580655</v>
      </c>
      <c r="Z204" t="s">
        <v>40</v>
      </c>
      <c r="AA204" t="s">
        <v>39</v>
      </c>
      <c r="AB204" t="s">
        <v>40</v>
      </c>
      <c r="AC204">
        <v>-2.8500000000000001E-2</v>
      </c>
    </row>
    <row r="205" spans="1:29" x14ac:dyDescent="0.3">
      <c r="A205">
        <v>204</v>
      </c>
      <c r="B205" s="1">
        <v>40552</v>
      </c>
      <c r="C205">
        <v>1</v>
      </c>
      <c r="D205">
        <v>18</v>
      </c>
      <c r="E205" t="b">
        <v>0</v>
      </c>
      <c r="F205">
        <v>0</v>
      </c>
      <c r="G205">
        <v>1</v>
      </c>
      <c r="H205">
        <v>0.16</v>
      </c>
      <c r="I205">
        <v>0.13639999999999999</v>
      </c>
      <c r="J205">
        <v>0.4</v>
      </c>
      <c r="K205">
        <v>0.32840000000000003</v>
      </c>
      <c r="L205">
        <v>4</v>
      </c>
      <c r="M205">
        <v>44</v>
      </c>
      <c r="N205">
        <v>48</v>
      </c>
      <c r="O205" t="s">
        <v>29</v>
      </c>
      <c r="P205" t="s">
        <v>52</v>
      </c>
      <c r="Q205" t="s">
        <v>31</v>
      </c>
      <c r="R205" t="s">
        <v>50</v>
      </c>
      <c r="S205" t="s">
        <v>33</v>
      </c>
      <c r="T205" t="s">
        <v>49</v>
      </c>
      <c r="U205" t="s">
        <v>53</v>
      </c>
      <c r="V205" t="s">
        <v>36</v>
      </c>
      <c r="W205" t="s">
        <v>37</v>
      </c>
      <c r="X205">
        <v>8.3333333333333321</v>
      </c>
      <c r="Y205">
        <v>91.666666666666657</v>
      </c>
      <c r="Z205" t="s">
        <v>40</v>
      </c>
      <c r="AA205" t="s">
        <v>39</v>
      </c>
      <c r="AB205" t="s">
        <v>40</v>
      </c>
      <c r="AC205">
        <v>-2.360000000000001E-2</v>
      </c>
    </row>
    <row r="206" spans="1:29" x14ac:dyDescent="0.3">
      <c r="A206">
        <v>205</v>
      </c>
      <c r="B206" s="1">
        <v>40552</v>
      </c>
      <c r="C206">
        <v>1</v>
      </c>
      <c r="D206">
        <v>19</v>
      </c>
      <c r="E206" t="b">
        <v>0</v>
      </c>
      <c r="F206">
        <v>0</v>
      </c>
      <c r="G206">
        <v>1</v>
      </c>
      <c r="H206">
        <v>0.16</v>
      </c>
      <c r="I206">
        <v>0.13639999999999999</v>
      </c>
      <c r="J206">
        <v>0.43</v>
      </c>
      <c r="K206">
        <v>0.32840000000000003</v>
      </c>
      <c r="L206">
        <v>1</v>
      </c>
      <c r="M206">
        <v>40</v>
      </c>
      <c r="N206">
        <v>41</v>
      </c>
      <c r="O206" t="s">
        <v>29</v>
      </c>
      <c r="P206" t="s">
        <v>52</v>
      </c>
      <c r="Q206" t="s">
        <v>31</v>
      </c>
      <c r="R206" t="s">
        <v>50</v>
      </c>
      <c r="S206" t="s">
        <v>33</v>
      </c>
      <c r="T206" t="s">
        <v>49</v>
      </c>
      <c r="U206" t="s">
        <v>53</v>
      </c>
      <c r="V206" t="s">
        <v>36</v>
      </c>
      <c r="W206" t="s">
        <v>37</v>
      </c>
      <c r="X206">
        <v>2.4390243902439019</v>
      </c>
      <c r="Y206">
        <v>97.560975609756099</v>
      </c>
      <c r="Z206" t="s">
        <v>40</v>
      </c>
      <c r="AA206" t="s">
        <v>39</v>
      </c>
      <c r="AB206" t="s">
        <v>40</v>
      </c>
      <c r="AC206">
        <v>-2.360000000000001E-2</v>
      </c>
    </row>
    <row r="207" spans="1:29" x14ac:dyDescent="0.3">
      <c r="A207">
        <v>206</v>
      </c>
      <c r="B207" s="1">
        <v>40552</v>
      </c>
      <c r="C207">
        <v>1</v>
      </c>
      <c r="D207">
        <v>20</v>
      </c>
      <c r="E207" t="b">
        <v>0</v>
      </c>
      <c r="F207">
        <v>0</v>
      </c>
      <c r="G207">
        <v>1</v>
      </c>
      <c r="H207">
        <v>0.14000000000000001</v>
      </c>
      <c r="I207">
        <v>0.1212</v>
      </c>
      <c r="J207">
        <v>0.46</v>
      </c>
      <c r="K207">
        <v>0.25369999999999998</v>
      </c>
      <c r="L207">
        <v>0</v>
      </c>
      <c r="M207">
        <v>38</v>
      </c>
      <c r="N207">
        <v>38</v>
      </c>
      <c r="O207" t="s">
        <v>29</v>
      </c>
      <c r="P207" t="s">
        <v>52</v>
      </c>
      <c r="Q207" t="s">
        <v>31</v>
      </c>
      <c r="R207" t="s">
        <v>50</v>
      </c>
      <c r="S207" t="s">
        <v>55</v>
      </c>
      <c r="T207" t="s">
        <v>49</v>
      </c>
      <c r="U207" t="s">
        <v>46</v>
      </c>
      <c r="V207" t="s">
        <v>36</v>
      </c>
      <c r="W207" t="s">
        <v>37</v>
      </c>
      <c r="X207">
        <v>0</v>
      </c>
      <c r="Y207">
        <v>100</v>
      </c>
      <c r="Z207" t="s">
        <v>38</v>
      </c>
      <c r="AA207" t="s">
        <v>39</v>
      </c>
      <c r="AB207" t="s">
        <v>40</v>
      </c>
      <c r="AC207">
        <v>-1.8800000000000011E-2</v>
      </c>
    </row>
    <row r="208" spans="1:29" x14ac:dyDescent="0.3">
      <c r="A208">
        <v>207</v>
      </c>
      <c r="B208" s="1">
        <v>40552</v>
      </c>
      <c r="C208">
        <v>1</v>
      </c>
      <c r="D208">
        <v>21</v>
      </c>
      <c r="E208" t="b">
        <v>0</v>
      </c>
      <c r="F208">
        <v>0</v>
      </c>
      <c r="G208">
        <v>1</v>
      </c>
      <c r="H208">
        <v>0.14000000000000001</v>
      </c>
      <c r="I208">
        <v>0.1061</v>
      </c>
      <c r="J208">
        <v>0.46</v>
      </c>
      <c r="K208">
        <v>0.41789999999999999</v>
      </c>
      <c r="L208">
        <v>1</v>
      </c>
      <c r="M208">
        <v>19</v>
      </c>
      <c r="N208">
        <v>20</v>
      </c>
      <c r="O208" t="s">
        <v>29</v>
      </c>
      <c r="P208" t="s">
        <v>52</v>
      </c>
      <c r="Q208" t="s">
        <v>31</v>
      </c>
      <c r="R208" t="s">
        <v>32</v>
      </c>
      <c r="S208" t="s">
        <v>55</v>
      </c>
      <c r="T208" t="s">
        <v>49</v>
      </c>
      <c r="U208" t="s">
        <v>53</v>
      </c>
      <c r="V208" t="s">
        <v>36</v>
      </c>
      <c r="W208" t="s">
        <v>37</v>
      </c>
      <c r="X208">
        <v>5</v>
      </c>
      <c r="Y208">
        <v>95</v>
      </c>
      <c r="Z208" t="s">
        <v>38</v>
      </c>
      <c r="AA208" t="s">
        <v>39</v>
      </c>
      <c r="AB208" t="s">
        <v>40</v>
      </c>
      <c r="AC208">
        <v>-3.3900000000000013E-2</v>
      </c>
    </row>
    <row r="209" spans="1:29" x14ac:dyDescent="0.3">
      <c r="A209">
        <v>208</v>
      </c>
      <c r="B209" s="1">
        <v>40552</v>
      </c>
      <c r="C209">
        <v>1</v>
      </c>
      <c r="D209">
        <v>22</v>
      </c>
      <c r="E209" t="b">
        <v>0</v>
      </c>
      <c r="F209">
        <v>0</v>
      </c>
      <c r="G209">
        <v>1</v>
      </c>
      <c r="H209">
        <v>0.14000000000000001</v>
      </c>
      <c r="I209">
        <v>0.1212</v>
      </c>
      <c r="J209">
        <v>0.46</v>
      </c>
      <c r="K209">
        <v>0.29849999999999999</v>
      </c>
      <c r="L209">
        <v>5</v>
      </c>
      <c r="M209">
        <v>10</v>
      </c>
      <c r="N209">
        <v>15</v>
      </c>
      <c r="O209" t="s">
        <v>29</v>
      </c>
      <c r="P209" t="s">
        <v>52</v>
      </c>
      <c r="Q209" t="s">
        <v>31</v>
      </c>
      <c r="R209" t="s">
        <v>32</v>
      </c>
      <c r="S209" t="s">
        <v>55</v>
      </c>
      <c r="T209" t="s">
        <v>49</v>
      </c>
      <c r="U209" t="s">
        <v>46</v>
      </c>
      <c r="V209" t="s">
        <v>36</v>
      </c>
      <c r="W209" t="s">
        <v>37</v>
      </c>
      <c r="X209">
        <v>33.333333333333329</v>
      </c>
      <c r="Y209">
        <v>66.666666666666657</v>
      </c>
      <c r="Z209" t="s">
        <v>38</v>
      </c>
      <c r="AA209" t="s">
        <v>39</v>
      </c>
      <c r="AB209" t="s">
        <v>40</v>
      </c>
      <c r="AC209">
        <v>-1.8800000000000011E-2</v>
      </c>
    </row>
    <row r="210" spans="1:29" x14ac:dyDescent="0.3">
      <c r="A210">
        <v>209</v>
      </c>
      <c r="B210" s="1">
        <v>40552</v>
      </c>
      <c r="C210">
        <v>1</v>
      </c>
      <c r="D210">
        <v>23</v>
      </c>
      <c r="E210" t="b">
        <v>0</v>
      </c>
      <c r="F210">
        <v>0</v>
      </c>
      <c r="G210">
        <v>1</v>
      </c>
      <c r="H210">
        <v>0.12</v>
      </c>
      <c r="I210">
        <v>0.13639999999999999</v>
      </c>
      <c r="J210">
        <v>0.5</v>
      </c>
      <c r="K210">
        <v>0.19400000000000001</v>
      </c>
      <c r="L210">
        <v>0</v>
      </c>
      <c r="M210">
        <v>6</v>
      </c>
      <c r="N210">
        <v>6</v>
      </c>
      <c r="O210" t="s">
        <v>29</v>
      </c>
      <c r="P210" t="s">
        <v>52</v>
      </c>
      <c r="Q210" t="s">
        <v>31</v>
      </c>
      <c r="R210" t="s">
        <v>32</v>
      </c>
      <c r="S210" t="s">
        <v>55</v>
      </c>
      <c r="T210" t="s">
        <v>49</v>
      </c>
      <c r="U210" t="s">
        <v>46</v>
      </c>
      <c r="V210" t="s">
        <v>36</v>
      </c>
      <c r="W210" t="s">
        <v>37</v>
      </c>
      <c r="X210">
        <v>0</v>
      </c>
      <c r="Y210">
        <v>100</v>
      </c>
      <c r="Z210" t="s">
        <v>38</v>
      </c>
      <c r="AA210" t="s">
        <v>39</v>
      </c>
      <c r="AB210" t="s">
        <v>40</v>
      </c>
      <c r="AC210">
        <v>1.6400000000000001E-2</v>
      </c>
    </row>
    <row r="211" spans="1:29" x14ac:dyDescent="0.3">
      <c r="A211">
        <v>210</v>
      </c>
      <c r="B211" s="1">
        <v>40553</v>
      </c>
      <c r="C211">
        <v>1</v>
      </c>
      <c r="D211">
        <v>0</v>
      </c>
      <c r="E211" t="b">
        <v>0</v>
      </c>
      <c r="F211">
        <v>1</v>
      </c>
      <c r="G211">
        <v>1</v>
      </c>
      <c r="H211">
        <v>0.12</v>
      </c>
      <c r="I211">
        <v>0.1212</v>
      </c>
      <c r="J211">
        <v>0.5</v>
      </c>
      <c r="K211">
        <v>0.28360000000000002</v>
      </c>
      <c r="L211">
        <v>2</v>
      </c>
      <c r="M211">
        <v>3</v>
      </c>
      <c r="N211">
        <v>5</v>
      </c>
      <c r="O211" t="s">
        <v>29</v>
      </c>
      <c r="P211" t="s">
        <v>54</v>
      </c>
      <c r="Q211" t="s">
        <v>31</v>
      </c>
      <c r="R211" t="s">
        <v>32</v>
      </c>
      <c r="S211" t="s">
        <v>55</v>
      </c>
      <c r="T211" t="s">
        <v>49</v>
      </c>
      <c r="U211" t="s">
        <v>46</v>
      </c>
      <c r="V211" t="s">
        <v>36</v>
      </c>
      <c r="W211" t="s">
        <v>37</v>
      </c>
      <c r="X211">
        <v>40</v>
      </c>
      <c r="Y211">
        <v>60</v>
      </c>
      <c r="Z211" t="s">
        <v>38</v>
      </c>
      <c r="AA211" t="s">
        <v>39</v>
      </c>
      <c r="AB211" t="s">
        <v>38</v>
      </c>
      <c r="AC211">
        <v>1.2000000000000071E-3</v>
      </c>
    </row>
    <row r="212" spans="1:29" x14ac:dyDescent="0.3">
      <c r="A212">
        <v>211</v>
      </c>
      <c r="B212" s="1">
        <v>40553</v>
      </c>
      <c r="C212">
        <v>1</v>
      </c>
      <c r="D212">
        <v>1</v>
      </c>
      <c r="E212" t="b">
        <v>0</v>
      </c>
      <c r="F212">
        <v>1</v>
      </c>
      <c r="G212">
        <v>1</v>
      </c>
      <c r="H212">
        <v>0.12</v>
      </c>
      <c r="I212">
        <v>0.1212</v>
      </c>
      <c r="J212">
        <v>0.5</v>
      </c>
      <c r="K212">
        <v>0.28360000000000002</v>
      </c>
      <c r="L212">
        <v>1</v>
      </c>
      <c r="M212">
        <v>0</v>
      </c>
      <c r="N212">
        <v>1</v>
      </c>
      <c r="O212" t="s">
        <v>29</v>
      </c>
      <c r="P212" t="s">
        <v>54</v>
      </c>
      <c r="Q212" t="s">
        <v>31</v>
      </c>
      <c r="R212" t="s">
        <v>32</v>
      </c>
      <c r="S212" t="s">
        <v>55</v>
      </c>
      <c r="T212" t="s">
        <v>49</v>
      </c>
      <c r="U212" t="s">
        <v>46</v>
      </c>
      <c r="V212" t="s">
        <v>36</v>
      </c>
      <c r="W212" t="s">
        <v>43</v>
      </c>
      <c r="X212">
        <v>100</v>
      </c>
      <c r="Y212">
        <v>0</v>
      </c>
      <c r="Z212" t="s">
        <v>38</v>
      </c>
      <c r="AA212" t="s">
        <v>39</v>
      </c>
      <c r="AB212" t="s">
        <v>38</v>
      </c>
      <c r="AC212">
        <v>1.2000000000000071E-3</v>
      </c>
    </row>
    <row r="213" spans="1:29" x14ac:dyDescent="0.3">
      <c r="A213">
        <v>212</v>
      </c>
      <c r="B213" s="1">
        <v>40553</v>
      </c>
      <c r="C213">
        <v>1</v>
      </c>
      <c r="D213">
        <v>2</v>
      </c>
      <c r="E213" t="b">
        <v>0</v>
      </c>
      <c r="F213">
        <v>1</v>
      </c>
      <c r="G213">
        <v>1</v>
      </c>
      <c r="H213">
        <v>0.12</v>
      </c>
      <c r="I213">
        <v>0.1212</v>
      </c>
      <c r="J213">
        <v>0.5</v>
      </c>
      <c r="K213">
        <v>0.22389999999999999</v>
      </c>
      <c r="L213">
        <v>0</v>
      </c>
      <c r="M213">
        <v>3</v>
      </c>
      <c r="N213">
        <v>3</v>
      </c>
      <c r="O213" t="s">
        <v>29</v>
      </c>
      <c r="P213" t="s">
        <v>54</v>
      </c>
      <c r="Q213" t="s">
        <v>31</v>
      </c>
      <c r="R213" t="s">
        <v>32</v>
      </c>
      <c r="S213" t="s">
        <v>55</v>
      </c>
      <c r="T213" t="s">
        <v>49</v>
      </c>
      <c r="U213" t="s">
        <v>46</v>
      </c>
      <c r="V213" t="s">
        <v>36</v>
      </c>
      <c r="W213" t="s">
        <v>37</v>
      </c>
      <c r="X213">
        <v>0</v>
      </c>
      <c r="Y213">
        <v>100</v>
      </c>
      <c r="Z213" t="s">
        <v>38</v>
      </c>
      <c r="AA213" t="s">
        <v>39</v>
      </c>
      <c r="AB213" t="s">
        <v>38</v>
      </c>
      <c r="AC213">
        <v>1.2000000000000071E-3</v>
      </c>
    </row>
    <row r="214" spans="1:29" x14ac:dyDescent="0.3">
      <c r="A214">
        <v>213</v>
      </c>
      <c r="B214" s="1">
        <v>40553</v>
      </c>
      <c r="C214">
        <v>1</v>
      </c>
      <c r="D214">
        <v>3</v>
      </c>
      <c r="E214" t="b">
        <v>0</v>
      </c>
      <c r="F214">
        <v>1</v>
      </c>
      <c r="G214">
        <v>1</v>
      </c>
      <c r="H214">
        <v>0.12</v>
      </c>
      <c r="I214">
        <v>0.1212</v>
      </c>
      <c r="J214">
        <v>0.5</v>
      </c>
      <c r="K214">
        <v>0.22389999999999999</v>
      </c>
      <c r="L214">
        <v>0</v>
      </c>
      <c r="M214">
        <v>1</v>
      </c>
      <c r="N214">
        <v>1</v>
      </c>
      <c r="O214" t="s">
        <v>29</v>
      </c>
      <c r="P214" t="s">
        <v>54</v>
      </c>
      <c r="Q214" t="s">
        <v>31</v>
      </c>
      <c r="R214" t="s">
        <v>32</v>
      </c>
      <c r="S214" t="s">
        <v>55</v>
      </c>
      <c r="T214" t="s">
        <v>49</v>
      </c>
      <c r="U214" t="s">
        <v>46</v>
      </c>
      <c r="V214" t="s">
        <v>36</v>
      </c>
      <c r="W214" t="s">
        <v>37</v>
      </c>
      <c r="X214">
        <v>0</v>
      </c>
      <c r="Y214">
        <v>100</v>
      </c>
      <c r="Z214" t="s">
        <v>38</v>
      </c>
      <c r="AA214" t="s">
        <v>39</v>
      </c>
      <c r="AB214" t="s">
        <v>38</v>
      </c>
      <c r="AC214">
        <v>1.2000000000000071E-3</v>
      </c>
    </row>
    <row r="215" spans="1:29" x14ac:dyDescent="0.3">
      <c r="A215">
        <v>214</v>
      </c>
      <c r="B215" s="1">
        <v>40553</v>
      </c>
      <c r="C215">
        <v>1</v>
      </c>
      <c r="D215">
        <v>4</v>
      </c>
      <c r="E215" t="b">
        <v>0</v>
      </c>
      <c r="F215">
        <v>1</v>
      </c>
      <c r="G215">
        <v>1</v>
      </c>
      <c r="H215">
        <v>0.1</v>
      </c>
      <c r="I215">
        <v>0.1212</v>
      </c>
      <c r="J215">
        <v>0.54</v>
      </c>
      <c r="K215">
        <v>0.1343</v>
      </c>
      <c r="L215">
        <v>1</v>
      </c>
      <c r="M215">
        <v>2</v>
      </c>
      <c r="N215">
        <v>3</v>
      </c>
      <c r="O215" t="s">
        <v>29</v>
      </c>
      <c r="P215" t="s">
        <v>54</v>
      </c>
      <c r="Q215" t="s">
        <v>31</v>
      </c>
      <c r="R215" t="s">
        <v>32</v>
      </c>
      <c r="S215" t="s">
        <v>55</v>
      </c>
      <c r="T215" t="s">
        <v>49</v>
      </c>
      <c r="U215" t="s">
        <v>35</v>
      </c>
      <c r="V215" t="s">
        <v>36</v>
      </c>
      <c r="W215" t="s">
        <v>37</v>
      </c>
      <c r="X215">
        <v>33.333333333333329</v>
      </c>
      <c r="Y215">
        <v>66.666666666666657</v>
      </c>
      <c r="Z215" t="s">
        <v>38</v>
      </c>
      <c r="AA215" t="s">
        <v>39</v>
      </c>
      <c r="AB215" t="s">
        <v>38</v>
      </c>
      <c r="AC215">
        <v>2.12E-2</v>
      </c>
    </row>
    <row r="216" spans="1:29" x14ac:dyDescent="0.3">
      <c r="A216">
        <v>215</v>
      </c>
      <c r="B216" s="1">
        <v>40553</v>
      </c>
      <c r="C216">
        <v>1</v>
      </c>
      <c r="D216">
        <v>5</v>
      </c>
      <c r="E216" t="b">
        <v>0</v>
      </c>
      <c r="F216">
        <v>1</v>
      </c>
      <c r="G216">
        <v>1</v>
      </c>
      <c r="H216">
        <v>0.1</v>
      </c>
      <c r="I216">
        <v>0.1061</v>
      </c>
      <c r="J216">
        <v>0.54</v>
      </c>
      <c r="K216">
        <v>0.25369999999999998</v>
      </c>
      <c r="L216">
        <v>0</v>
      </c>
      <c r="M216">
        <v>3</v>
      </c>
      <c r="N216">
        <v>3</v>
      </c>
      <c r="O216" t="s">
        <v>29</v>
      </c>
      <c r="P216" t="s">
        <v>54</v>
      </c>
      <c r="Q216" t="s">
        <v>31</v>
      </c>
      <c r="R216" t="s">
        <v>32</v>
      </c>
      <c r="S216" t="s">
        <v>55</v>
      </c>
      <c r="T216" t="s">
        <v>49</v>
      </c>
      <c r="U216" t="s">
        <v>46</v>
      </c>
      <c r="V216" t="s">
        <v>36</v>
      </c>
      <c r="W216" t="s">
        <v>37</v>
      </c>
      <c r="X216">
        <v>0</v>
      </c>
      <c r="Y216">
        <v>100</v>
      </c>
      <c r="Z216" t="s">
        <v>38</v>
      </c>
      <c r="AA216" t="s">
        <v>39</v>
      </c>
      <c r="AB216" t="s">
        <v>38</v>
      </c>
      <c r="AC216">
        <v>6.0999999999999943E-3</v>
      </c>
    </row>
    <row r="217" spans="1:29" x14ac:dyDescent="0.3">
      <c r="A217">
        <v>216</v>
      </c>
      <c r="B217" s="1">
        <v>40553</v>
      </c>
      <c r="C217">
        <v>1</v>
      </c>
      <c r="D217">
        <v>6</v>
      </c>
      <c r="E217" t="b">
        <v>0</v>
      </c>
      <c r="F217">
        <v>1</v>
      </c>
      <c r="G217">
        <v>1</v>
      </c>
      <c r="H217">
        <v>0.12</v>
      </c>
      <c r="I217">
        <v>0.1212</v>
      </c>
      <c r="J217">
        <v>0.5</v>
      </c>
      <c r="K217">
        <v>0.28360000000000002</v>
      </c>
      <c r="L217">
        <v>0</v>
      </c>
      <c r="M217">
        <v>31</v>
      </c>
      <c r="N217">
        <v>31</v>
      </c>
      <c r="O217" t="s">
        <v>29</v>
      </c>
      <c r="P217" t="s">
        <v>54</v>
      </c>
      <c r="Q217" t="s">
        <v>31</v>
      </c>
      <c r="R217" t="s">
        <v>42</v>
      </c>
      <c r="S217" t="s">
        <v>55</v>
      </c>
      <c r="T217" t="s">
        <v>49</v>
      </c>
      <c r="U217" t="s">
        <v>46</v>
      </c>
      <c r="V217" t="s">
        <v>36</v>
      </c>
      <c r="W217" t="s">
        <v>37</v>
      </c>
      <c r="X217">
        <v>0</v>
      </c>
      <c r="Y217">
        <v>100</v>
      </c>
      <c r="Z217" t="s">
        <v>38</v>
      </c>
      <c r="AA217" t="s">
        <v>39</v>
      </c>
      <c r="AB217" t="s">
        <v>38</v>
      </c>
      <c r="AC217">
        <v>1.2000000000000071E-3</v>
      </c>
    </row>
    <row r="218" spans="1:29" x14ac:dyDescent="0.3">
      <c r="A218">
        <v>217</v>
      </c>
      <c r="B218" s="1">
        <v>40553</v>
      </c>
      <c r="C218">
        <v>1</v>
      </c>
      <c r="D218">
        <v>7</v>
      </c>
      <c r="E218" t="b">
        <v>0</v>
      </c>
      <c r="F218">
        <v>1</v>
      </c>
      <c r="G218">
        <v>1</v>
      </c>
      <c r="H218">
        <v>0.12</v>
      </c>
      <c r="I218">
        <v>0.1212</v>
      </c>
      <c r="J218">
        <v>0.5</v>
      </c>
      <c r="K218">
        <v>0.22389999999999999</v>
      </c>
      <c r="L218">
        <v>2</v>
      </c>
      <c r="M218">
        <v>75</v>
      </c>
      <c r="N218">
        <v>77</v>
      </c>
      <c r="O218" t="s">
        <v>29</v>
      </c>
      <c r="P218" t="s">
        <v>54</v>
      </c>
      <c r="Q218" t="s">
        <v>31</v>
      </c>
      <c r="R218" t="s">
        <v>42</v>
      </c>
      <c r="S218" t="s">
        <v>55</v>
      </c>
      <c r="T218" t="s">
        <v>49</v>
      </c>
      <c r="U218" t="s">
        <v>46</v>
      </c>
      <c r="V218" t="s">
        <v>36</v>
      </c>
      <c r="W218" t="s">
        <v>37</v>
      </c>
      <c r="X218">
        <v>2.5974025974025969</v>
      </c>
      <c r="Y218">
        <v>97.402597402597408</v>
      </c>
      <c r="Z218" t="s">
        <v>40</v>
      </c>
      <c r="AA218" t="s">
        <v>39</v>
      </c>
      <c r="AB218" t="s">
        <v>38</v>
      </c>
      <c r="AC218">
        <v>1.2000000000000071E-3</v>
      </c>
    </row>
    <row r="219" spans="1:29" x14ac:dyDescent="0.3">
      <c r="A219">
        <v>218</v>
      </c>
      <c r="B219" s="1">
        <v>40553</v>
      </c>
      <c r="C219">
        <v>1</v>
      </c>
      <c r="D219">
        <v>8</v>
      </c>
      <c r="E219" t="b">
        <v>0</v>
      </c>
      <c r="F219">
        <v>1</v>
      </c>
      <c r="G219">
        <v>2</v>
      </c>
      <c r="H219">
        <v>0.12</v>
      </c>
      <c r="I219">
        <v>0.1212</v>
      </c>
      <c r="J219">
        <v>0.5</v>
      </c>
      <c r="K219">
        <v>0.28360000000000002</v>
      </c>
      <c r="L219">
        <v>4</v>
      </c>
      <c r="M219">
        <v>184</v>
      </c>
      <c r="N219">
        <v>188</v>
      </c>
      <c r="O219" t="s">
        <v>29</v>
      </c>
      <c r="P219" t="s">
        <v>54</v>
      </c>
      <c r="Q219" t="s">
        <v>41</v>
      </c>
      <c r="R219" t="s">
        <v>42</v>
      </c>
      <c r="S219" t="s">
        <v>55</v>
      </c>
      <c r="T219" t="s">
        <v>49</v>
      </c>
      <c r="U219" t="s">
        <v>46</v>
      </c>
      <c r="V219" t="s">
        <v>36</v>
      </c>
      <c r="W219" t="s">
        <v>37</v>
      </c>
      <c r="X219">
        <v>2.1276595744680851</v>
      </c>
      <c r="Y219">
        <v>97.872340425531917</v>
      </c>
      <c r="Z219" t="s">
        <v>40</v>
      </c>
      <c r="AA219" t="s">
        <v>49</v>
      </c>
      <c r="AB219" t="s">
        <v>38</v>
      </c>
      <c r="AC219">
        <v>1.2000000000000071E-3</v>
      </c>
    </row>
    <row r="220" spans="1:29" x14ac:dyDescent="0.3">
      <c r="A220">
        <v>219</v>
      </c>
      <c r="B220" s="1">
        <v>40553</v>
      </c>
      <c r="C220">
        <v>1</v>
      </c>
      <c r="D220">
        <v>9</v>
      </c>
      <c r="E220" t="b">
        <v>0</v>
      </c>
      <c r="F220">
        <v>1</v>
      </c>
      <c r="G220">
        <v>2</v>
      </c>
      <c r="H220">
        <v>0.14000000000000001</v>
      </c>
      <c r="I220">
        <v>0.1212</v>
      </c>
      <c r="J220">
        <v>0.5</v>
      </c>
      <c r="K220">
        <v>0.25369999999999998</v>
      </c>
      <c r="L220">
        <v>2</v>
      </c>
      <c r="M220">
        <v>92</v>
      </c>
      <c r="N220">
        <v>94</v>
      </c>
      <c r="O220" t="s">
        <v>29</v>
      </c>
      <c r="P220" t="s">
        <v>54</v>
      </c>
      <c r="Q220" t="s">
        <v>41</v>
      </c>
      <c r="R220" t="s">
        <v>42</v>
      </c>
      <c r="S220" t="s">
        <v>55</v>
      </c>
      <c r="T220" t="s">
        <v>49</v>
      </c>
      <c r="U220" t="s">
        <v>46</v>
      </c>
      <c r="V220" t="s">
        <v>36</v>
      </c>
      <c r="W220" t="s">
        <v>37</v>
      </c>
      <c r="X220">
        <v>2.1276595744680851</v>
      </c>
      <c r="Y220">
        <v>97.872340425531917</v>
      </c>
      <c r="Z220" t="s">
        <v>40</v>
      </c>
      <c r="AA220" t="s">
        <v>39</v>
      </c>
      <c r="AB220" t="s">
        <v>38</v>
      </c>
      <c r="AC220">
        <v>-1.8800000000000011E-2</v>
      </c>
    </row>
    <row r="221" spans="1:29" x14ac:dyDescent="0.3">
      <c r="A221">
        <v>220</v>
      </c>
      <c r="B221" s="1">
        <v>40553</v>
      </c>
      <c r="C221">
        <v>1</v>
      </c>
      <c r="D221">
        <v>10</v>
      </c>
      <c r="E221" t="b">
        <v>0</v>
      </c>
      <c r="F221">
        <v>1</v>
      </c>
      <c r="G221">
        <v>2</v>
      </c>
      <c r="H221">
        <v>0.14000000000000001</v>
      </c>
      <c r="I221">
        <v>0.1212</v>
      </c>
      <c r="J221">
        <v>0.5</v>
      </c>
      <c r="K221">
        <v>0.29849999999999999</v>
      </c>
      <c r="L221">
        <v>0</v>
      </c>
      <c r="M221">
        <v>31</v>
      </c>
      <c r="N221">
        <v>31</v>
      </c>
      <c r="O221" t="s">
        <v>29</v>
      </c>
      <c r="P221" t="s">
        <v>54</v>
      </c>
      <c r="Q221" t="s">
        <v>41</v>
      </c>
      <c r="R221" t="s">
        <v>42</v>
      </c>
      <c r="S221" t="s">
        <v>55</v>
      </c>
      <c r="T221" t="s">
        <v>49</v>
      </c>
      <c r="U221" t="s">
        <v>46</v>
      </c>
      <c r="V221" t="s">
        <v>36</v>
      </c>
      <c r="W221" t="s">
        <v>37</v>
      </c>
      <c r="X221">
        <v>0</v>
      </c>
      <c r="Y221">
        <v>100</v>
      </c>
      <c r="Z221" t="s">
        <v>38</v>
      </c>
      <c r="AA221" t="s">
        <v>39</v>
      </c>
      <c r="AB221" t="s">
        <v>38</v>
      </c>
      <c r="AC221">
        <v>-1.8800000000000011E-2</v>
      </c>
    </row>
    <row r="222" spans="1:29" x14ac:dyDescent="0.3">
      <c r="A222">
        <v>221</v>
      </c>
      <c r="B222" s="1">
        <v>40553</v>
      </c>
      <c r="C222">
        <v>1</v>
      </c>
      <c r="D222">
        <v>11</v>
      </c>
      <c r="E222" t="b">
        <v>0</v>
      </c>
      <c r="F222">
        <v>1</v>
      </c>
      <c r="G222">
        <v>2</v>
      </c>
      <c r="H222">
        <v>0.16</v>
      </c>
      <c r="I222">
        <v>0.13639999999999999</v>
      </c>
      <c r="J222">
        <v>0.47</v>
      </c>
      <c r="K222">
        <v>0.28360000000000002</v>
      </c>
      <c r="L222">
        <v>2</v>
      </c>
      <c r="M222">
        <v>28</v>
      </c>
      <c r="N222">
        <v>30</v>
      </c>
      <c r="O222" t="s">
        <v>29</v>
      </c>
      <c r="P222" t="s">
        <v>54</v>
      </c>
      <c r="Q222" t="s">
        <v>41</v>
      </c>
      <c r="R222" t="s">
        <v>42</v>
      </c>
      <c r="S222" t="s">
        <v>33</v>
      </c>
      <c r="T222" t="s">
        <v>49</v>
      </c>
      <c r="U222" t="s">
        <v>46</v>
      </c>
      <c r="V222" t="s">
        <v>36</v>
      </c>
      <c r="W222" t="s">
        <v>37</v>
      </c>
      <c r="X222">
        <v>6.666666666666667</v>
      </c>
      <c r="Y222">
        <v>93.333333333333329</v>
      </c>
      <c r="Z222" t="s">
        <v>38</v>
      </c>
      <c r="AA222" t="s">
        <v>39</v>
      </c>
      <c r="AB222" t="s">
        <v>38</v>
      </c>
      <c r="AC222">
        <v>-2.360000000000001E-2</v>
      </c>
    </row>
    <row r="223" spans="1:29" x14ac:dyDescent="0.3">
      <c r="A223">
        <v>222</v>
      </c>
      <c r="B223" s="1">
        <v>40553</v>
      </c>
      <c r="C223">
        <v>1</v>
      </c>
      <c r="D223">
        <v>12</v>
      </c>
      <c r="E223" t="b">
        <v>0</v>
      </c>
      <c r="F223">
        <v>1</v>
      </c>
      <c r="G223">
        <v>2</v>
      </c>
      <c r="H223">
        <v>0.2</v>
      </c>
      <c r="I223">
        <v>0.18179999999999999</v>
      </c>
      <c r="J223">
        <v>0.4</v>
      </c>
      <c r="K223">
        <v>0.28360000000000002</v>
      </c>
      <c r="L223">
        <v>5</v>
      </c>
      <c r="M223">
        <v>47</v>
      </c>
      <c r="N223">
        <v>52</v>
      </c>
      <c r="O223" t="s">
        <v>29</v>
      </c>
      <c r="P223" t="s">
        <v>54</v>
      </c>
      <c r="Q223" t="s">
        <v>41</v>
      </c>
      <c r="R223" t="s">
        <v>47</v>
      </c>
      <c r="S223" t="s">
        <v>33</v>
      </c>
      <c r="T223" t="s">
        <v>49</v>
      </c>
      <c r="U223" t="s">
        <v>46</v>
      </c>
      <c r="V223" t="s">
        <v>36</v>
      </c>
      <c r="W223" t="s">
        <v>37</v>
      </c>
      <c r="X223">
        <v>9.6153846153846168</v>
      </c>
      <c r="Y223">
        <v>90.384615384615387</v>
      </c>
      <c r="Z223" t="s">
        <v>38</v>
      </c>
      <c r="AA223" t="s">
        <v>39</v>
      </c>
      <c r="AB223" t="s">
        <v>38</v>
      </c>
      <c r="AC223">
        <v>-1.8200000000000022E-2</v>
      </c>
    </row>
    <row r="224" spans="1:29" x14ac:dyDescent="0.3">
      <c r="A224">
        <v>223</v>
      </c>
      <c r="B224" s="1">
        <v>40553</v>
      </c>
      <c r="C224">
        <v>1</v>
      </c>
      <c r="D224">
        <v>13</v>
      </c>
      <c r="E224" t="b">
        <v>0</v>
      </c>
      <c r="F224">
        <v>1</v>
      </c>
      <c r="G224">
        <v>2</v>
      </c>
      <c r="H224">
        <v>0.2</v>
      </c>
      <c r="I224">
        <v>0.18179999999999999</v>
      </c>
      <c r="J224">
        <v>0.4</v>
      </c>
      <c r="K224">
        <v>0.28360000000000002</v>
      </c>
      <c r="L224">
        <v>4</v>
      </c>
      <c r="M224">
        <v>50</v>
      </c>
      <c r="N224">
        <v>54</v>
      </c>
      <c r="O224" t="s">
        <v>29</v>
      </c>
      <c r="P224" t="s">
        <v>54</v>
      </c>
      <c r="Q224" t="s">
        <v>41</v>
      </c>
      <c r="R224" t="s">
        <v>47</v>
      </c>
      <c r="S224" t="s">
        <v>33</v>
      </c>
      <c r="T224" t="s">
        <v>49</v>
      </c>
      <c r="U224" t="s">
        <v>46</v>
      </c>
      <c r="V224" t="s">
        <v>36</v>
      </c>
      <c r="W224" t="s">
        <v>37</v>
      </c>
      <c r="X224">
        <v>7.4074074074074074</v>
      </c>
      <c r="Y224">
        <v>92.592592592592595</v>
      </c>
      <c r="Z224" t="s">
        <v>38</v>
      </c>
      <c r="AA224" t="s">
        <v>39</v>
      </c>
      <c r="AB224" t="s">
        <v>38</v>
      </c>
      <c r="AC224">
        <v>-1.8200000000000022E-2</v>
      </c>
    </row>
    <row r="225" spans="1:29" x14ac:dyDescent="0.3">
      <c r="A225">
        <v>224</v>
      </c>
      <c r="B225" s="1">
        <v>40553</v>
      </c>
      <c r="C225">
        <v>1</v>
      </c>
      <c r="D225">
        <v>14</v>
      </c>
      <c r="E225" t="b">
        <v>0</v>
      </c>
      <c r="F225">
        <v>1</v>
      </c>
      <c r="G225">
        <v>2</v>
      </c>
      <c r="H225">
        <v>0.2</v>
      </c>
      <c r="I225">
        <v>0.19700000000000001</v>
      </c>
      <c r="J225">
        <v>0.4</v>
      </c>
      <c r="K225">
        <v>0.22389999999999999</v>
      </c>
      <c r="L225">
        <v>0</v>
      </c>
      <c r="M225">
        <v>47</v>
      </c>
      <c r="N225">
        <v>47</v>
      </c>
      <c r="O225" t="s">
        <v>29</v>
      </c>
      <c r="P225" t="s">
        <v>54</v>
      </c>
      <c r="Q225" t="s">
        <v>41</v>
      </c>
      <c r="R225" t="s">
        <v>47</v>
      </c>
      <c r="S225" t="s">
        <v>33</v>
      </c>
      <c r="T225" t="s">
        <v>49</v>
      </c>
      <c r="U225" t="s">
        <v>46</v>
      </c>
      <c r="V225" t="s">
        <v>36</v>
      </c>
      <c r="W225" t="s">
        <v>37</v>
      </c>
      <c r="X225">
        <v>0</v>
      </c>
      <c r="Y225">
        <v>100</v>
      </c>
      <c r="Z225" t="s">
        <v>38</v>
      </c>
      <c r="AA225" t="s">
        <v>39</v>
      </c>
      <c r="AB225" t="s">
        <v>38</v>
      </c>
      <c r="AC225">
        <v>-3.0000000000000031E-3</v>
      </c>
    </row>
    <row r="226" spans="1:29" x14ac:dyDescent="0.3">
      <c r="A226">
        <v>225</v>
      </c>
      <c r="B226" s="1">
        <v>40553</v>
      </c>
      <c r="C226">
        <v>1</v>
      </c>
      <c r="D226">
        <v>15</v>
      </c>
      <c r="E226" t="b">
        <v>0</v>
      </c>
      <c r="F226">
        <v>1</v>
      </c>
      <c r="G226">
        <v>2</v>
      </c>
      <c r="H226">
        <v>0.2</v>
      </c>
      <c r="I226">
        <v>0.19700000000000001</v>
      </c>
      <c r="J226">
        <v>0.4</v>
      </c>
      <c r="K226">
        <v>0.22389999999999999</v>
      </c>
      <c r="L226">
        <v>2</v>
      </c>
      <c r="M226">
        <v>43</v>
      </c>
      <c r="N226">
        <v>45</v>
      </c>
      <c r="O226" t="s">
        <v>29</v>
      </c>
      <c r="P226" t="s">
        <v>54</v>
      </c>
      <c r="Q226" t="s">
        <v>41</v>
      </c>
      <c r="R226" t="s">
        <v>47</v>
      </c>
      <c r="S226" t="s">
        <v>33</v>
      </c>
      <c r="T226" t="s">
        <v>49</v>
      </c>
      <c r="U226" t="s">
        <v>46</v>
      </c>
      <c r="V226" t="s">
        <v>36</v>
      </c>
      <c r="W226" t="s">
        <v>37</v>
      </c>
      <c r="X226">
        <v>4.4444444444444446</v>
      </c>
      <c r="Y226">
        <v>95.555555555555557</v>
      </c>
      <c r="Z226" t="s">
        <v>38</v>
      </c>
      <c r="AA226" t="s">
        <v>39</v>
      </c>
      <c r="AB226" t="s">
        <v>38</v>
      </c>
      <c r="AC226">
        <v>-3.0000000000000031E-3</v>
      </c>
    </row>
    <row r="227" spans="1:29" x14ac:dyDescent="0.3">
      <c r="A227">
        <v>226</v>
      </c>
      <c r="B227" s="1">
        <v>40553</v>
      </c>
      <c r="C227">
        <v>1</v>
      </c>
      <c r="D227">
        <v>16</v>
      </c>
      <c r="E227" t="b">
        <v>0</v>
      </c>
      <c r="F227">
        <v>1</v>
      </c>
      <c r="G227">
        <v>1</v>
      </c>
      <c r="H227">
        <v>0.2</v>
      </c>
      <c r="I227">
        <v>0.21210000000000001</v>
      </c>
      <c r="J227">
        <v>0.4</v>
      </c>
      <c r="K227">
        <v>0.1343</v>
      </c>
      <c r="L227">
        <v>4</v>
      </c>
      <c r="M227">
        <v>70</v>
      </c>
      <c r="N227">
        <v>74</v>
      </c>
      <c r="O227" t="s">
        <v>29</v>
      </c>
      <c r="P227" t="s">
        <v>54</v>
      </c>
      <c r="Q227" t="s">
        <v>31</v>
      </c>
      <c r="R227" t="s">
        <v>47</v>
      </c>
      <c r="S227" t="s">
        <v>33</v>
      </c>
      <c r="T227" t="s">
        <v>49</v>
      </c>
      <c r="U227" t="s">
        <v>35</v>
      </c>
      <c r="V227" t="s">
        <v>36</v>
      </c>
      <c r="W227" t="s">
        <v>37</v>
      </c>
      <c r="X227">
        <v>5.4054054054054053</v>
      </c>
      <c r="Y227">
        <v>94.594594594594597</v>
      </c>
      <c r="Z227" t="s">
        <v>38</v>
      </c>
      <c r="AA227" t="s">
        <v>39</v>
      </c>
      <c r="AB227" t="s">
        <v>38</v>
      </c>
      <c r="AC227">
        <v>1.21E-2</v>
      </c>
    </row>
    <row r="228" spans="1:29" x14ac:dyDescent="0.3">
      <c r="A228">
        <v>227</v>
      </c>
      <c r="B228" s="1">
        <v>40553</v>
      </c>
      <c r="C228">
        <v>1</v>
      </c>
      <c r="D228">
        <v>17</v>
      </c>
      <c r="E228" t="b">
        <v>0</v>
      </c>
      <c r="F228">
        <v>1</v>
      </c>
      <c r="G228">
        <v>1</v>
      </c>
      <c r="H228">
        <v>0.2</v>
      </c>
      <c r="I228">
        <v>0.2273</v>
      </c>
      <c r="J228">
        <v>0.4</v>
      </c>
      <c r="K228">
        <v>0.1045</v>
      </c>
      <c r="L228">
        <v>4</v>
      </c>
      <c r="M228">
        <v>174</v>
      </c>
      <c r="N228">
        <v>178</v>
      </c>
      <c r="O228" t="s">
        <v>29</v>
      </c>
      <c r="P228" t="s">
        <v>54</v>
      </c>
      <c r="Q228" t="s">
        <v>31</v>
      </c>
      <c r="R228" t="s">
        <v>50</v>
      </c>
      <c r="S228" t="s">
        <v>33</v>
      </c>
      <c r="T228" t="s">
        <v>49</v>
      </c>
      <c r="U228" t="s">
        <v>35</v>
      </c>
      <c r="V228" t="s">
        <v>36</v>
      </c>
      <c r="W228" t="s">
        <v>37</v>
      </c>
      <c r="X228">
        <v>2.2471910112359552</v>
      </c>
      <c r="Y228">
        <v>97.752808988764045</v>
      </c>
      <c r="Z228" t="s">
        <v>40</v>
      </c>
      <c r="AA228" t="s">
        <v>49</v>
      </c>
      <c r="AB228" t="s">
        <v>38</v>
      </c>
      <c r="AC228">
        <v>2.7299999999999991E-2</v>
      </c>
    </row>
    <row r="229" spans="1:29" x14ac:dyDescent="0.3">
      <c r="A229">
        <v>228</v>
      </c>
      <c r="B229" s="1">
        <v>40553</v>
      </c>
      <c r="C229">
        <v>1</v>
      </c>
      <c r="D229">
        <v>18</v>
      </c>
      <c r="E229" t="b">
        <v>0</v>
      </c>
      <c r="F229">
        <v>1</v>
      </c>
      <c r="G229">
        <v>1</v>
      </c>
      <c r="H229">
        <v>0.2</v>
      </c>
      <c r="I229">
        <v>0.19700000000000001</v>
      </c>
      <c r="J229">
        <v>0.4</v>
      </c>
      <c r="K229">
        <v>0.22389999999999999</v>
      </c>
      <c r="L229">
        <v>1</v>
      </c>
      <c r="M229">
        <v>154</v>
      </c>
      <c r="N229">
        <v>155</v>
      </c>
      <c r="O229" t="s">
        <v>29</v>
      </c>
      <c r="P229" t="s">
        <v>54</v>
      </c>
      <c r="Q229" t="s">
        <v>31</v>
      </c>
      <c r="R229" t="s">
        <v>50</v>
      </c>
      <c r="S229" t="s">
        <v>33</v>
      </c>
      <c r="T229" t="s">
        <v>49</v>
      </c>
      <c r="U229" t="s">
        <v>46</v>
      </c>
      <c r="V229" t="s">
        <v>36</v>
      </c>
      <c r="W229" t="s">
        <v>37</v>
      </c>
      <c r="X229">
        <v>0.64516129032258063</v>
      </c>
      <c r="Y229">
        <v>99.354838709677423</v>
      </c>
      <c r="Z229" t="s">
        <v>40</v>
      </c>
      <c r="AA229" t="s">
        <v>49</v>
      </c>
      <c r="AB229" t="s">
        <v>38</v>
      </c>
      <c r="AC229">
        <v>-3.0000000000000031E-3</v>
      </c>
    </row>
    <row r="230" spans="1:29" x14ac:dyDescent="0.3">
      <c r="A230">
        <v>229</v>
      </c>
      <c r="B230" s="1">
        <v>40553</v>
      </c>
      <c r="C230">
        <v>1</v>
      </c>
      <c r="D230">
        <v>19</v>
      </c>
      <c r="E230" t="b">
        <v>0</v>
      </c>
      <c r="F230">
        <v>1</v>
      </c>
      <c r="G230">
        <v>1</v>
      </c>
      <c r="H230">
        <v>0.16</v>
      </c>
      <c r="I230">
        <v>0.16669999999999999</v>
      </c>
      <c r="J230">
        <v>0.47</v>
      </c>
      <c r="K230">
        <v>0.16420000000000001</v>
      </c>
      <c r="L230">
        <v>3</v>
      </c>
      <c r="M230">
        <v>92</v>
      </c>
      <c r="N230">
        <v>95</v>
      </c>
      <c r="O230" t="s">
        <v>29</v>
      </c>
      <c r="P230" t="s">
        <v>54</v>
      </c>
      <c r="Q230" t="s">
        <v>31</v>
      </c>
      <c r="R230" t="s">
        <v>50</v>
      </c>
      <c r="S230" t="s">
        <v>33</v>
      </c>
      <c r="T230" t="s">
        <v>49</v>
      </c>
      <c r="U230" t="s">
        <v>46</v>
      </c>
      <c r="V230" t="s">
        <v>36</v>
      </c>
      <c r="W230" t="s">
        <v>37</v>
      </c>
      <c r="X230">
        <v>3.1578947368421049</v>
      </c>
      <c r="Y230">
        <v>96.84210526315789</v>
      </c>
      <c r="Z230" t="s">
        <v>40</v>
      </c>
      <c r="AA230" t="s">
        <v>39</v>
      </c>
      <c r="AB230" t="s">
        <v>38</v>
      </c>
      <c r="AC230">
        <v>6.6999999999999837E-3</v>
      </c>
    </row>
    <row r="231" spans="1:29" x14ac:dyDescent="0.3">
      <c r="A231">
        <v>230</v>
      </c>
      <c r="B231" s="1">
        <v>40553</v>
      </c>
      <c r="C231">
        <v>1</v>
      </c>
      <c r="D231">
        <v>20</v>
      </c>
      <c r="E231" t="b">
        <v>0</v>
      </c>
      <c r="F231">
        <v>1</v>
      </c>
      <c r="G231">
        <v>1</v>
      </c>
      <c r="H231">
        <v>0.16</v>
      </c>
      <c r="I231">
        <v>0.16669999999999999</v>
      </c>
      <c r="J231">
        <v>0.5</v>
      </c>
      <c r="K231">
        <v>0.16420000000000001</v>
      </c>
      <c r="L231">
        <v>1</v>
      </c>
      <c r="M231">
        <v>73</v>
      </c>
      <c r="N231">
        <v>74</v>
      </c>
      <c r="O231" t="s">
        <v>29</v>
      </c>
      <c r="P231" t="s">
        <v>54</v>
      </c>
      <c r="Q231" t="s">
        <v>31</v>
      </c>
      <c r="R231" t="s">
        <v>50</v>
      </c>
      <c r="S231" t="s">
        <v>33</v>
      </c>
      <c r="T231" t="s">
        <v>49</v>
      </c>
      <c r="U231" t="s">
        <v>46</v>
      </c>
      <c r="V231" t="s">
        <v>36</v>
      </c>
      <c r="W231" t="s">
        <v>37</v>
      </c>
      <c r="X231">
        <v>1.3513513513513511</v>
      </c>
      <c r="Y231">
        <v>98.648648648648646</v>
      </c>
      <c r="Z231" t="s">
        <v>38</v>
      </c>
      <c r="AA231" t="s">
        <v>39</v>
      </c>
      <c r="AB231" t="s">
        <v>38</v>
      </c>
      <c r="AC231">
        <v>6.6999999999999837E-3</v>
      </c>
    </row>
    <row r="232" spans="1:29" x14ac:dyDescent="0.3">
      <c r="A232">
        <v>231</v>
      </c>
      <c r="B232" s="1">
        <v>40553</v>
      </c>
      <c r="C232">
        <v>1</v>
      </c>
      <c r="D232">
        <v>21</v>
      </c>
      <c r="E232" t="b">
        <v>0</v>
      </c>
      <c r="F232">
        <v>1</v>
      </c>
      <c r="G232">
        <v>1</v>
      </c>
      <c r="H232">
        <v>0.14000000000000001</v>
      </c>
      <c r="I232">
        <v>0.13639999999999999</v>
      </c>
      <c r="J232">
        <v>0.59</v>
      </c>
      <c r="K232">
        <v>0.19400000000000001</v>
      </c>
      <c r="L232">
        <v>1</v>
      </c>
      <c r="M232">
        <v>37</v>
      </c>
      <c r="N232">
        <v>38</v>
      </c>
      <c r="O232" t="s">
        <v>29</v>
      </c>
      <c r="P232" t="s">
        <v>54</v>
      </c>
      <c r="Q232" t="s">
        <v>31</v>
      </c>
      <c r="R232" t="s">
        <v>32</v>
      </c>
      <c r="S232" t="s">
        <v>55</v>
      </c>
      <c r="T232" t="s">
        <v>49</v>
      </c>
      <c r="U232" t="s">
        <v>46</v>
      </c>
      <c r="V232" t="s">
        <v>36</v>
      </c>
      <c r="W232" t="s">
        <v>37</v>
      </c>
      <c r="X232">
        <v>2.6315789473684208</v>
      </c>
      <c r="Y232">
        <v>97.368421052631575</v>
      </c>
      <c r="Z232" t="s">
        <v>38</v>
      </c>
      <c r="AA232" t="s">
        <v>39</v>
      </c>
      <c r="AB232" t="s">
        <v>38</v>
      </c>
      <c r="AC232">
        <v>-3.6000000000000199E-3</v>
      </c>
    </row>
    <row r="233" spans="1:29" x14ac:dyDescent="0.3">
      <c r="A233">
        <v>232</v>
      </c>
      <c r="B233" s="1">
        <v>40553</v>
      </c>
      <c r="C233">
        <v>1</v>
      </c>
      <c r="D233">
        <v>22</v>
      </c>
      <c r="E233" t="b">
        <v>0</v>
      </c>
      <c r="F233">
        <v>1</v>
      </c>
      <c r="G233">
        <v>1</v>
      </c>
      <c r="H233">
        <v>0.14000000000000001</v>
      </c>
      <c r="I233">
        <v>0.1515</v>
      </c>
      <c r="J233">
        <v>0.59</v>
      </c>
      <c r="K233">
        <v>0.16420000000000001</v>
      </c>
      <c r="L233">
        <v>2</v>
      </c>
      <c r="M233">
        <v>22</v>
      </c>
      <c r="N233">
        <v>24</v>
      </c>
      <c r="O233" t="s">
        <v>29</v>
      </c>
      <c r="P233" t="s">
        <v>54</v>
      </c>
      <c r="Q233" t="s">
        <v>31</v>
      </c>
      <c r="R233" t="s">
        <v>32</v>
      </c>
      <c r="S233" t="s">
        <v>55</v>
      </c>
      <c r="T233" t="s">
        <v>49</v>
      </c>
      <c r="U233" t="s">
        <v>46</v>
      </c>
      <c r="V233" t="s">
        <v>36</v>
      </c>
      <c r="W233" t="s">
        <v>37</v>
      </c>
      <c r="X233">
        <v>8.3333333333333321</v>
      </c>
      <c r="Y233">
        <v>91.666666666666657</v>
      </c>
      <c r="Z233" t="s">
        <v>38</v>
      </c>
      <c r="AA233" t="s">
        <v>39</v>
      </c>
      <c r="AB233" t="s">
        <v>38</v>
      </c>
      <c r="AC233">
        <v>1.1499999999999981E-2</v>
      </c>
    </row>
    <row r="234" spans="1:29" x14ac:dyDescent="0.3">
      <c r="A234">
        <v>233</v>
      </c>
      <c r="B234" s="1">
        <v>40553</v>
      </c>
      <c r="C234">
        <v>1</v>
      </c>
      <c r="D234">
        <v>23</v>
      </c>
      <c r="E234" t="b">
        <v>0</v>
      </c>
      <c r="F234">
        <v>1</v>
      </c>
      <c r="G234">
        <v>1</v>
      </c>
      <c r="H234">
        <v>0.14000000000000001</v>
      </c>
      <c r="I234">
        <v>0.1515</v>
      </c>
      <c r="J234">
        <v>0.59</v>
      </c>
      <c r="K234">
        <v>0.16420000000000001</v>
      </c>
      <c r="L234">
        <v>0</v>
      </c>
      <c r="M234">
        <v>18</v>
      </c>
      <c r="N234">
        <v>18</v>
      </c>
      <c r="O234" t="s">
        <v>29</v>
      </c>
      <c r="P234" t="s">
        <v>54</v>
      </c>
      <c r="Q234" t="s">
        <v>31</v>
      </c>
      <c r="R234" t="s">
        <v>32</v>
      </c>
      <c r="S234" t="s">
        <v>55</v>
      </c>
      <c r="T234" t="s">
        <v>49</v>
      </c>
      <c r="U234" t="s">
        <v>46</v>
      </c>
      <c r="V234" t="s">
        <v>36</v>
      </c>
      <c r="W234" t="s">
        <v>37</v>
      </c>
      <c r="X234">
        <v>0</v>
      </c>
      <c r="Y234">
        <v>100</v>
      </c>
      <c r="Z234" t="s">
        <v>38</v>
      </c>
      <c r="AA234" t="s">
        <v>39</v>
      </c>
      <c r="AB234" t="s">
        <v>38</v>
      </c>
      <c r="AC234">
        <v>1.1499999999999981E-2</v>
      </c>
    </row>
    <row r="235" spans="1:29" x14ac:dyDescent="0.3">
      <c r="A235">
        <v>234</v>
      </c>
      <c r="B235" s="1">
        <v>40554</v>
      </c>
      <c r="C235">
        <v>1</v>
      </c>
      <c r="D235">
        <v>0</v>
      </c>
      <c r="E235" t="b">
        <v>0</v>
      </c>
      <c r="F235">
        <v>2</v>
      </c>
      <c r="G235">
        <v>1</v>
      </c>
      <c r="H235">
        <v>0.14000000000000001</v>
      </c>
      <c r="I235">
        <v>0.16669999999999999</v>
      </c>
      <c r="J235">
        <v>0.59</v>
      </c>
      <c r="K235">
        <v>0.1045</v>
      </c>
      <c r="L235">
        <v>2</v>
      </c>
      <c r="M235">
        <v>10</v>
      </c>
      <c r="N235">
        <v>12</v>
      </c>
      <c r="O235" t="s">
        <v>29</v>
      </c>
      <c r="P235" t="s">
        <v>56</v>
      </c>
      <c r="Q235" t="s">
        <v>31</v>
      </c>
      <c r="R235" t="s">
        <v>32</v>
      </c>
      <c r="S235" t="s">
        <v>55</v>
      </c>
      <c r="T235" t="s">
        <v>49</v>
      </c>
      <c r="U235" t="s">
        <v>35</v>
      </c>
      <c r="V235" t="s">
        <v>36</v>
      </c>
      <c r="W235" t="s">
        <v>37</v>
      </c>
      <c r="X235">
        <v>16.666666666666661</v>
      </c>
      <c r="Y235">
        <v>83.333333333333343</v>
      </c>
      <c r="Z235" t="s">
        <v>38</v>
      </c>
      <c r="AA235" t="s">
        <v>39</v>
      </c>
      <c r="AB235" t="s">
        <v>38</v>
      </c>
      <c r="AC235">
        <v>2.669999999999997E-2</v>
      </c>
    </row>
    <row r="236" spans="1:29" x14ac:dyDescent="0.3">
      <c r="A236">
        <v>235</v>
      </c>
      <c r="B236" s="1">
        <v>40554</v>
      </c>
      <c r="C236">
        <v>1</v>
      </c>
      <c r="D236">
        <v>1</v>
      </c>
      <c r="E236" t="b">
        <v>0</v>
      </c>
      <c r="F236">
        <v>2</v>
      </c>
      <c r="G236">
        <v>1</v>
      </c>
      <c r="H236">
        <v>0.14000000000000001</v>
      </c>
      <c r="I236">
        <v>0.1515</v>
      </c>
      <c r="J236">
        <v>0.59</v>
      </c>
      <c r="K236">
        <v>0.16420000000000001</v>
      </c>
      <c r="L236">
        <v>0</v>
      </c>
      <c r="M236">
        <v>3</v>
      </c>
      <c r="N236">
        <v>3</v>
      </c>
      <c r="O236" t="s">
        <v>29</v>
      </c>
      <c r="P236" t="s">
        <v>56</v>
      </c>
      <c r="Q236" t="s">
        <v>31</v>
      </c>
      <c r="R236" t="s">
        <v>32</v>
      </c>
      <c r="S236" t="s">
        <v>55</v>
      </c>
      <c r="T236" t="s">
        <v>49</v>
      </c>
      <c r="U236" t="s">
        <v>46</v>
      </c>
      <c r="V236" t="s">
        <v>36</v>
      </c>
      <c r="W236" t="s">
        <v>37</v>
      </c>
      <c r="X236">
        <v>0</v>
      </c>
      <c r="Y236">
        <v>100</v>
      </c>
      <c r="Z236" t="s">
        <v>38</v>
      </c>
      <c r="AA236" t="s">
        <v>39</v>
      </c>
      <c r="AB236" t="s">
        <v>38</v>
      </c>
      <c r="AC236">
        <v>1.1499999999999981E-2</v>
      </c>
    </row>
    <row r="237" spans="1:29" x14ac:dyDescent="0.3">
      <c r="A237">
        <v>236</v>
      </c>
      <c r="B237" s="1">
        <v>40554</v>
      </c>
      <c r="C237">
        <v>1</v>
      </c>
      <c r="D237">
        <v>2</v>
      </c>
      <c r="E237" t="b">
        <v>0</v>
      </c>
      <c r="F237">
        <v>2</v>
      </c>
      <c r="G237">
        <v>2</v>
      </c>
      <c r="H237">
        <v>0.16</v>
      </c>
      <c r="I237">
        <v>0.1515</v>
      </c>
      <c r="J237">
        <v>0.55000000000000004</v>
      </c>
      <c r="K237">
        <v>0.19400000000000001</v>
      </c>
      <c r="L237">
        <v>0</v>
      </c>
      <c r="M237">
        <v>3</v>
      </c>
      <c r="N237">
        <v>3</v>
      </c>
      <c r="O237" t="s">
        <v>29</v>
      </c>
      <c r="P237" t="s">
        <v>56</v>
      </c>
      <c r="Q237" t="s">
        <v>41</v>
      </c>
      <c r="R237" t="s">
        <v>32</v>
      </c>
      <c r="S237" t="s">
        <v>33</v>
      </c>
      <c r="T237" t="s">
        <v>49</v>
      </c>
      <c r="U237" t="s">
        <v>46</v>
      </c>
      <c r="V237" t="s">
        <v>36</v>
      </c>
      <c r="W237" t="s">
        <v>37</v>
      </c>
      <c r="X237">
        <v>0</v>
      </c>
      <c r="Y237">
        <v>100</v>
      </c>
      <c r="Z237" t="s">
        <v>38</v>
      </c>
      <c r="AA237" t="s">
        <v>39</v>
      </c>
      <c r="AB237" t="s">
        <v>38</v>
      </c>
      <c r="AC237">
        <v>-8.5000000000000075E-3</v>
      </c>
    </row>
    <row r="238" spans="1:29" x14ac:dyDescent="0.3">
      <c r="A238">
        <v>237</v>
      </c>
      <c r="B238" s="1">
        <v>40554</v>
      </c>
      <c r="C238">
        <v>1</v>
      </c>
      <c r="D238">
        <v>5</v>
      </c>
      <c r="E238" t="b">
        <v>0</v>
      </c>
      <c r="F238">
        <v>2</v>
      </c>
      <c r="G238">
        <v>2</v>
      </c>
      <c r="H238">
        <v>0.16</v>
      </c>
      <c r="I238">
        <v>0.18179999999999999</v>
      </c>
      <c r="J238">
        <v>0.55000000000000004</v>
      </c>
      <c r="K238">
        <v>0.1343</v>
      </c>
      <c r="L238">
        <v>0</v>
      </c>
      <c r="M238">
        <v>6</v>
      </c>
      <c r="N238">
        <v>6</v>
      </c>
      <c r="O238" t="s">
        <v>29</v>
      </c>
      <c r="P238" t="s">
        <v>56</v>
      </c>
      <c r="Q238" t="s">
        <v>41</v>
      </c>
      <c r="R238" t="s">
        <v>32</v>
      </c>
      <c r="S238" t="s">
        <v>33</v>
      </c>
      <c r="T238" t="s">
        <v>49</v>
      </c>
      <c r="U238" t="s">
        <v>35</v>
      </c>
      <c r="V238" t="s">
        <v>36</v>
      </c>
      <c r="W238" t="s">
        <v>37</v>
      </c>
      <c r="X238">
        <v>0</v>
      </c>
      <c r="Y238">
        <v>100</v>
      </c>
      <c r="Z238" t="s">
        <v>38</v>
      </c>
      <c r="AA238" t="s">
        <v>39</v>
      </c>
      <c r="AB238" t="s">
        <v>38</v>
      </c>
      <c r="AC238">
        <v>2.179999999999999E-2</v>
      </c>
    </row>
    <row r="239" spans="1:29" x14ac:dyDescent="0.3">
      <c r="A239">
        <v>238</v>
      </c>
      <c r="B239" s="1">
        <v>40554</v>
      </c>
      <c r="C239">
        <v>1</v>
      </c>
      <c r="D239">
        <v>6</v>
      </c>
      <c r="E239" t="b">
        <v>0</v>
      </c>
      <c r="F239">
        <v>2</v>
      </c>
      <c r="G239">
        <v>2</v>
      </c>
      <c r="H239">
        <v>0.16</v>
      </c>
      <c r="I239">
        <v>0.18179999999999999</v>
      </c>
      <c r="J239">
        <v>0.55000000000000004</v>
      </c>
      <c r="K239">
        <v>0.1343</v>
      </c>
      <c r="L239">
        <v>0</v>
      </c>
      <c r="M239">
        <v>27</v>
      </c>
      <c r="N239">
        <v>27</v>
      </c>
      <c r="O239" t="s">
        <v>29</v>
      </c>
      <c r="P239" t="s">
        <v>56</v>
      </c>
      <c r="Q239" t="s">
        <v>41</v>
      </c>
      <c r="R239" t="s">
        <v>42</v>
      </c>
      <c r="S239" t="s">
        <v>33</v>
      </c>
      <c r="T239" t="s">
        <v>49</v>
      </c>
      <c r="U239" t="s">
        <v>35</v>
      </c>
      <c r="V239" t="s">
        <v>36</v>
      </c>
      <c r="W239" t="s">
        <v>37</v>
      </c>
      <c r="X239">
        <v>0</v>
      </c>
      <c r="Y239">
        <v>100</v>
      </c>
      <c r="Z239" t="s">
        <v>38</v>
      </c>
      <c r="AA239" t="s">
        <v>39</v>
      </c>
      <c r="AB239" t="s">
        <v>38</v>
      </c>
      <c r="AC239">
        <v>2.179999999999999E-2</v>
      </c>
    </row>
    <row r="240" spans="1:29" x14ac:dyDescent="0.3">
      <c r="A240">
        <v>239</v>
      </c>
      <c r="B240" s="1">
        <v>40554</v>
      </c>
      <c r="C240">
        <v>1</v>
      </c>
      <c r="D240">
        <v>7</v>
      </c>
      <c r="E240" t="b">
        <v>0</v>
      </c>
      <c r="F240">
        <v>2</v>
      </c>
      <c r="G240">
        <v>2</v>
      </c>
      <c r="H240">
        <v>0.16</v>
      </c>
      <c r="I240">
        <v>0.2273</v>
      </c>
      <c r="J240">
        <v>0.55000000000000004</v>
      </c>
      <c r="K240">
        <v>0</v>
      </c>
      <c r="L240">
        <v>2</v>
      </c>
      <c r="M240">
        <v>97</v>
      </c>
      <c r="N240">
        <v>99</v>
      </c>
      <c r="O240" t="s">
        <v>29</v>
      </c>
      <c r="P240" t="s">
        <v>56</v>
      </c>
      <c r="Q240" t="s">
        <v>41</v>
      </c>
      <c r="R240" t="s">
        <v>42</v>
      </c>
      <c r="S240" t="s">
        <v>33</v>
      </c>
      <c r="T240" t="s">
        <v>49</v>
      </c>
      <c r="U240" t="s">
        <v>35</v>
      </c>
      <c r="V240" t="s">
        <v>36</v>
      </c>
      <c r="W240" t="s">
        <v>37</v>
      </c>
      <c r="X240">
        <v>2.0202020202020199</v>
      </c>
      <c r="Y240">
        <v>97.979797979797979</v>
      </c>
      <c r="Z240" t="s">
        <v>40</v>
      </c>
      <c r="AA240" t="s">
        <v>39</v>
      </c>
      <c r="AB240" t="s">
        <v>38</v>
      </c>
      <c r="AC240">
        <v>6.7299999999999999E-2</v>
      </c>
    </row>
    <row r="241" spans="1:29" x14ac:dyDescent="0.3">
      <c r="A241">
        <v>240</v>
      </c>
      <c r="B241" s="1">
        <v>40554</v>
      </c>
      <c r="C241">
        <v>1</v>
      </c>
      <c r="D241">
        <v>8</v>
      </c>
      <c r="E241" t="b">
        <v>0</v>
      </c>
      <c r="F241">
        <v>2</v>
      </c>
      <c r="G241">
        <v>2</v>
      </c>
      <c r="H241">
        <v>0.18</v>
      </c>
      <c r="I241">
        <v>0.21210000000000001</v>
      </c>
      <c r="J241">
        <v>0.51</v>
      </c>
      <c r="K241">
        <v>8.9599999999999999E-2</v>
      </c>
      <c r="L241">
        <v>3</v>
      </c>
      <c r="M241">
        <v>214</v>
      </c>
      <c r="N241">
        <v>217</v>
      </c>
      <c r="O241" t="s">
        <v>29</v>
      </c>
      <c r="P241" t="s">
        <v>56</v>
      </c>
      <c r="Q241" t="s">
        <v>41</v>
      </c>
      <c r="R241" t="s">
        <v>42</v>
      </c>
      <c r="S241" t="s">
        <v>33</v>
      </c>
      <c r="T241" t="s">
        <v>49</v>
      </c>
      <c r="U241" t="s">
        <v>35</v>
      </c>
      <c r="V241" t="s">
        <v>36</v>
      </c>
      <c r="W241" t="s">
        <v>37</v>
      </c>
      <c r="X241">
        <v>1.382488479262673</v>
      </c>
      <c r="Y241">
        <v>98.617511520737324</v>
      </c>
      <c r="Z241" t="s">
        <v>40</v>
      </c>
      <c r="AA241" t="s">
        <v>49</v>
      </c>
      <c r="AB241" t="s">
        <v>38</v>
      </c>
      <c r="AC241">
        <v>3.2100000000000017E-2</v>
      </c>
    </row>
    <row r="242" spans="1:29" x14ac:dyDescent="0.3">
      <c r="A242">
        <v>241</v>
      </c>
      <c r="B242" s="1">
        <v>40554</v>
      </c>
      <c r="C242">
        <v>1</v>
      </c>
      <c r="D242">
        <v>9</v>
      </c>
      <c r="E242" t="b">
        <v>0</v>
      </c>
      <c r="F242">
        <v>2</v>
      </c>
      <c r="G242">
        <v>2</v>
      </c>
      <c r="H242">
        <v>0.18</v>
      </c>
      <c r="I242">
        <v>0.19700000000000001</v>
      </c>
      <c r="J242">
        <v>0.51</v>
      </c>
      <c r="K242">
        <v>0.16420000000000001</v>
      </c>
      <c r="L242">
        <v>3</v>
      </c>
      <c r="M242">
        <v>127</v>
      </c>
      <c r="N242">
        <v>130</v>
      </c>
      <c r="O242" t="s">
        <v>29</v>
      </c>
      <c r="P242" t="s">
        <v>56</v>
      </c>
      <c r="Q242" t="s">
        <v>41</v>
      </c>
      <c r="R242" t="s">
        <v>42</v>
      </c>
      <c r="S242" t="s">
        <v>33</v>
      </c>
      <c r="T242" t="s">
        <v>49</v>
      </c>
      <c r="U242" t="s">
        <v>46</v>
      </c>
      <c r="V242" t="s">
        <v>36</v>
      </c>
      <c r="W242" t="s">
        <v>37</v>
      </c>
      <c r="X242">
        <v>2.3076923076923079</v>
      </c>
      <c r="Y242">
        <v>97.692307692307693</v>
      </c>
      <c r="Z242" t="s">
        <v>40</v>
      </c>
      <c r="AA242" t="s">
        <v>49</v>
      </c>
      <c r="AB242" t="s">
        <v>38</v>
      </c>
      <c r="AC242">
        <v>1.7000000000000019E-2</v>
      </c>
    </row>
    <row r="243" spans="1:29" x14ac:dyDescent="0.3">
      <c r="A243">
        <v>242</v>
      </c>
      <c r="B243" s="1">
        <v>40554</v>
      </c>
      <c r="C243">
        <v>1</v>
      </c>
      <c r="D243">
        <v>10</v>
      </c>
      <c r="E243" t="b">
        <v>0</v>
      </c>
      <c r="F243">
        <v>2</v>
      </c>
      <c r="G243">
        <v>2</v>
      </c>
      <c r="H243">
        <v>0.2</v>
      </c>
      <c r="I243">
        <v>0.21210000000000001</v>
      </c>
      <c r="J243">
        <v>0.51</v>
      </c>
      <c r="K243">
        <v>0.16420000000000001</v>
      </c>
      <c r="L243">
        <v>3</v>
      </c>
      <c r="M243">
        <v>51</v>
      </c>
      <c r="N243">
        <v>54</v>
      </c>
      <c r="O243" t="s">
        <v>29</v>
      </c>
      <c r="P243" t="s">
        <v>56</v>
      </c>
      <c r="Q243" t="s">
        <v>41</v>
      </c>
      <c r="R243" t="s">
        <v>42</v>
      </c>
      <c r="S243" t="s">
        <v>33</v>
      </c>
      <c r="T243" t="s">
        <v>49</v>
      </c>
      <c r="U243" t="s">
        <v>46</v>
      </c>
      <c r="V243" t="s">
        <v>36</v>
      </c>
      <c r="W243" t="s">
        <v>37</v>
      </c>
      <c r="X243">
        <v>5.5555555555555554</v>
      </c>
      <c r="Y243">
        <v>94.444444444444443</v>
      </c>
      <c r="Z243" t="s">
        <v>38</v>
      </c>
      <c r="AA243" t="s">
        <v>39</v>
      </c>
      <c r="AB243" t="s">
        <v>38</v>
      </c>
      <c r="AC243">
        <v>1.21E-2</v>
      </c>
    </row>
    <row r="244" spans="1:29" x14ac:dyDescent="0.3">
      <c r="A244">
        <v>243</v>
      </c>
      <c r="B244" s="1">
        <v>40554</v>
      </c>
      <c r="C244">
        <v>1</v>
      </c>
      <c r="D244">
        <v>11</v>
      </c>
      <c r="E244" t="b">
        <v>0</v>
      </c>
      <c r="F244">
        <v>2</v>
      </c>
      <c r="G244">
        <v>2</v>
      </c>
      <c r="H244">
        <v>0.2</v>
      </c>
      <c r="I244">
        <v>0.21210000000000001</v>
      </c>
      <c r="J244">
        <v>0.47</v>
      </c>
      <c r="K244">
        <v>0.1343</v>
      </c>
      <c r="L244">
        <v>4</v>
      </c>
      <c r="M244">
        <v>31</v>
      </c>
      <c r="N244">
        <v>35</v>
      </c>
      <c r="O244" t="s">
        <v>29</v>
      </c>
      <c r="P244" t="s">
        <v>56</v>
      </c>
      <c r="Q244" t="s">
        <v>41</v>
      </c>
      <c r="R244" t="s">
        <v>42</v>
      </c>
      <c r="S244" t="s">
        <v>33</v>
      </c>
      <c r="T244" t="s">
        <v>49</v>
      </c>
      <c r="U244" t="s">
        <v>35</v>
      </c>
      <c r="V244" t="s">
        <v>36</v>
      </c>
      <c r="W244" t="s">
        <v>37</v>
      </c>
      <c r="X244">
        <v>11.428571428571431</v>
      </c>
      <c r="Y244">
        <v>88.571428571428569</v>
      </c>
      <c r="Z244" t="s">
        <v>38</v>
      </c>
      <c r="AA244" t="s">
        <v>39</v>
      </c>
      <c r="AB244" t="s">
        <v>38</v>
      </c>
      <c r="AC244">
        <v>1.21E-2</v>
      </c>
    </row>
    <row r="245" spans="1:29" x14ac:dyDescent="0.3">
      <c r="A245">
        <v>244</v>
      </c>
      <c r="B245" s="1">
        <v>40554</v>
      </c>
      <c r="C245">
        <v>1</v>
      </c>
      <c r="D245">
        <v>12</v>
      </c>
      <c r="E245" t="b">
        <v>0</v>
      </c>
      <c r="F245">
        <v>2</v>
      </c>
      <c r="G245">
        <v>2</v>
      </c>
      <c r="H245">
        <v>0.2</v>
      </c>
      <c r="I245">
        <v>0.2273</v>
      </c>
      <c r="J245">
        <v>0.51</v>
      </c>
      <c r="K245">
        <v>0.1045</v>
      </c>
      <c r="L245">
        <v>2</v>
      </c>
      <c r="M245">
        <v>55</v>
      </c>
      <c r="N245">
        <v>57</v>
      </c>
      <c r="O245" t="s">
        <v>29</v>
      </c>
      <c r="P245" t="s">
        <v>56</v>
      </c>
      <c r="Q245" t="s">
        <v>41</v>
      </c>
      <c r="R245" t="s">
        <v>47</v>
      </c>
      <c r="S245" t="s">
        <v>33</v>
      </c>
      <c r="T245" t="s">
        <v>49</v>
      </c>
      <c r="U245" t="s">
        <v>35</v>
      </c>
      <c r="V245" t="s">
        <v>36</v>
      </c>
      <c r="W245" t="s">
        <v>37</v>
      </c>
      <c r="X245">
        <v>3.5087719298245612</v>
      </c>
      <c r="Y245">
        <v>96.491228070175438</v>
      </c>
      <c r="Z245" t="s">
        <v>38</v>
      </c>
      <c r="AA245" t="s">
        <v>39</v>
      </c>
      <c r="AB245" t="s">
        <v>38</v>
      </c>
      <c r="AC245">
        <v>2.7299999999999991E-2</v>
      </c>
    </row>
    <row r="246" spans="1:29" x14ac:dyDescent="0.3">
      <c r="A246">
        <v>245</v>
      </c>
      <c r="B246" s="1">
        <v>40554</v>
      </c>
      <c r="C246">
        <v>1</v>
      </c>
      <c r="D246">
        <v>13</v>
      </c>
      <c r="E246" t="b">
        <v>0</v>
      </c>
      <c r="F246">
        <v>2</v>
      </c>
      <c r="G246">
        <v>2</v>
      </c>
      <c r="H246">
        <v>0.2</v>
      </c>
      <c r="I246">
        <v>0.2273</v>
      </c>
      <c r="J246">
        <v>0.59</v>
      </c>
      <c r="K246">
        <v>8.9599999999999999E-2</v>
      </c>
      <c r="L246">
        <v>6</v>
      </c>
      <c r="M246">
        <v>46</v>
      </c>
      <c r="N246">
        <v>52</v>
      </c>
      <c r="O246" t="s">
        <v>29</v>
      </c>
      <c r="P246" t="s">
        <v>56</v>
      </c>
      <c r="Q246" t="s">
        <v>41</v>
      </c>
      <c r="R246" t="s">
        <v>47</v>
      </c>
      <c r="S246" t="s">
        <v>33</v>
      </c>
      <c r="T246" t="s">
        <v>49</v>
      </c>
      <c r="U246" t="s">
        <v>35</v>
      </c>
      <c r="V246" t="s">
        <v>36</v>
      </c>
      <c r="W246" t="s">
        <v>37</v>
      </c>
      <c r="X246">
        <v>11.53846153846154</v>
      </c>
      <c r="Y246">
        <v>88.461538461538453</v>
      </c>
      <c r="Z246" t="s">
        <v>38</v>
      </c>
      <c r="AA246" t="s">
        <v>39</v>
      </c>
      <c r="AB246" t="s">
        <v>38</v>
      </c>
      <c r="AC246">
        <v>2.7299999999999991E-2</v>
      </c>
    </row>
    <row r="247" spans="1:29" x14ac:dyDescent="0.3">
      <c r="A247">
        <v>246</v>
      </c>
      <c r="B247" s="1">
        <v>40554</v>
      </c>
      <c r="C247">
        <v>1</v>
      </c>
      <c r="D247">
        <v>14</v>
      </c>
      <c r="E247" t="b">
        <v>0</v>
      </c>
      <c r="F247">
        <v>2</v>
      </c>
      <c r="G247">
        <v>2</v>
      </c>
      <c r="H247">
        <v>0.2</v>
      </c>
      <c r="I247">
        <v>0.2273</v>
      </c>
      <c r="J247">
        <v>0.59</v>
      </c>
      <c r="K247">
        <v>8.9599999999999999E-2</v>
      </c>
      <c r="L247">
        <v>3</v>
      </c>
      <c r="M247">
        <v>60</v>
      </c>
      <c r="N247">
        <v>63</v>
      </c>
      <c r="O247" t="s">
        <v>29</v>
      </c>
      <c r="P247" t="s">
        <v>56</v>
      </c>
      <c r="Q247" t="s">
        <v>41</v>
      </c>
      <c r="R247" t="s">
        <v>47</v>
      </c>
      <c r="S247" t="s">
        <v>33</v>
      </c>
      <c r="T247" t="s">
        <v>49</v>
      </c>
      <c r="U247" t="s">
        <v>35</v>
      </c>
      <c r="V247" t="s">
        <v>36</v>
      </c>
      <c r="W247" t="s">
        <v>37</v>
      </c>
      <c r="X247">
        <v>4.7619047619047619</v>
      </c>
      <c r="Y247">
        <v>95.238095238095227</v>
      </c>
      <c r="Z247" t="s">
        <v>38</v>
      </c>
      <c r="AA247" t="s">
        <v>39</v>
      </c>
      <c r="AB247" t="s">
        <v>38</v>
      </c>
      <c r="AC247">
        <v>2.7299999999999991E-2</v>
      </c>
    </row>
    <row r="248" spans="1:29" x14ac:dyDescent="0.3">
      <c r="A248">
        <v>247</v>
      </c>
      <c r="B248" s="1">
        <v>40554</v>
      </c>
      <c r="C248">
        <v>1</v>
      </c>
      <c r="D248">
        <v>15</v>
      </c>
      <c r="E248" t="b">
        <v>0</v>
      </c>
      <c r="F248">
        <v>2</v>
      </c>
      <c r="G248">
        <v>2</v>
      </c>
      <c r="H248">
        <v>0.16</v>
      </c>
      <c r="I248">
        <v>0.19700000000000001</v>
      </c>
      <c r="J248">
        <v>0.8</v>
      </c>
      <c r="K248">
        <v>8.9599999999999999E-2</v>
      </c>
      <c r="L248">
        <v>2</v>
      </c>
      <c r="M248">
        <v>45</v>
      </c>
      <c r="N248">
        <v>47</v>
      </c>
      <c r="O248" t="s">
        <v>29</v>
      </c>
      <c r="P248" t="s">
        <v>56</v>
      </c>
      <c r="Q248" t="s">
        <v>41</v>
      </c>
      <c r="R248" t="s">
        <v>47</v>
      </c>
      <c r="S248" t="s">
        <v>33</v>
      </c>
      <c r="T248" t="s">
        <v>34</v>
      </c>
      <c r="U248" t="s">
        <v>35</v>
      </c>
      <c r="V248" t="s">
        <v>36</v>
      </c>
      <c r="W248" t="s">
        <v>37</v>
      </c>
      <c r="X248">
        <v>4.2553191489361701</v>
      </c>
      <c r="Y248">
        <v>95.744680851063833</v>
      </c>
      <c r="Z248" t="s">
        <v>38</v>
      </c>
      <c r="AA248" t="s">
        <v>39</v>
      </c>
      <c r="AB248" t="s">
        <v>38</v>
      </c>
      <c r="AC248">
        <v>3.7000000000000012E-2</v>
      </c>
    </row>
    <row r="249" spans="1:29" x14ac:dyDescent="0.3">
      <c r="A249">
        <v>248</v>
      </c>
      <c r="B249" s="1">
        <v>40554</v>
      </c>
      <c r="C249">
        <v>1</v>
      </c>
      <c r="D249">
        <v>16</v>
      </c>
      <c r="E249" t="b">
        <v>0</v>
      </c>
      <c r="F249">
        <v>2</v>
      </c>
      <c r="G249">
        <v>2</v>
      </c>
      <c r="H249">
        <v>0.16</v>
      </c>
      <c r="I249">
        <v>0.1515</v>
      </c>
      <c r="J249">
        <v>0.86</v>
      </c>
      <c r="K249">
        <v>0.22389999999999999</v>
      </c>
      <c r="L249">
        <v>4</v>
      </c>
      <c r="M249">
        <v>72</v>
      </c>
      <c r="N249">
        <v>76</v>
      </c>
      <c r="O249" t="s">
        <v>29</v>
      </c>
      <c r="P249" t="s">
        <v>56</v>
      </c>
      <c r="Q249" t="s">
        <v>41</v>
      </c>
      <c r="R249" t="s">
        <v>47</v>
      </c>
      <c r="S249" t="s">
        <v>33</v>
      </c>
      <c r="T249" t="s">
        <v>34</v>
      </c>
      <c r="U249" t="s">
        <v>46</v>
      </c>
      <c r="V249" t="s">
        <v>36</v>
      </c>
      <c r="W249" t="s">
        <v>37</v>
      </c>
      <c r="X249">
        <v>5.2631578947368416</v>
      </c>
      <c r="Y249">
        <v>94.73684210526315</v>
      </c>
      <c r="Z249" t="s">
        <v>38</v>
      </c>
      <c r="AA249" t="s">
        <v>39</v>
      </c>
      <c r="AB249" t="s">
        <v>38</v>
      </c>
      <c r="AC249">
        <v>-8.5000000000000075E-3</v>
      </c>
    </row>
    <row r="250" spans="1:29" x14ac:dyDescent="0.3">
      <c r="A250">
        <v>249</v>
      </c>
      <c r="B250" s="1">
        <v>40554</v>
      </c>
      <c r="C250">
        <v>1</v>
      </c>
      <c r="D250">
        <v>17</v>
      </c>
      <c r="E250" t="b">
        <v>0</v>
      </c>
      <c r="F250">
        <v>2</v>
      </c>
      <c r="G250">
        <v>2</v>
      </c>
      <c r="H250">
        <v>0.16</v>
      </c>
      <c r="I250">
        <v>0.1515</v>
      </c>
      <c r="J250">
        <v>0.86</v>
      </c>
      <c r="K250">
        <v>0.22389999999999999</v>
      </c>
      <c r="L250">
        <v>6</v>
      </c>
      <c r="M250">
        <v>130</v>
      </c>
      <c r="N250">
        <v>136</v>
      </c>
      <c r="O250" t="s">
        <v>29</v>
      </c>
      <c r="P250" t="s">
        <v>56</v>
      </c>
      <c r="Q250" t="s">
        <v>41</v>
      </c>
      <c r="R250" t="s">
        <v>50</v>
      </c>
      <c r="S250" t="s">
        <v>33</v>
      </c>
      <c r="T250" t="s">
        <v>34</v>
      </c>
      <c r="U250" t="s">
        <v>46</v>
      </c>
      <c r="V250" t="s">
        <v>36</v>
      </c>
      <c r="W250" t="s">
        <v>37</v>
      </c>
      <c r="X250">
        <v>4.4117647058823533</v>
      </c>
      <c r="Y250">
        <v>95.588235294117652</v>
      </c>
      <c r="Z250" t="s">
        <v>40</v>
      </c>
      <c r="AA250" t="s">
        <v>49</v>
      </c>
      <c r="AB250" t="s">
        <v>38</v>
      </c>
      <c r="AC250">
        <v>-8.5000000000000075E-3</v>
      </c>
    </row>
    <row r="251" spans="1:29" x14ac:dyDescent="0.3">
      <c r="A251">
        <v>250</v>
      </c>
      <c r="B251" s="1">
        <v>40554</v>
      </c>
      <c r="C251">
        <v>1</v>
      </c>
      <c r="D251">
        <v>18</v>
      </c>
      <c r="E251" t="b">
        <v>0</v>
      </c>
      <c r="F251">
        <v>2</v>
      </c>
      <c r="G251">
        <v>3</v>
      </c>
      <c r="H251">
        <v>0.16</v>
      </c>
      <c r="I251">
        <v>0.18179999999999999</v>
      </c>
      <c r="J251">
        <v>0.93</v>
      </c>
      <c r="K251">
        <v>0.1045</v>
      </c>
      <c r="L251">
        <v>1</v>
      </c>
      <c r="M251">
        <v>94</v>
      </c>
      <c r="N251">
        <v>95</v>
      </c>
      <c r="O251" t="s">
        <v>29</v>
      </c>
      <c r="P251" t="s">
        <v>56</v>
      </c>
      <c r="Q251" t="s">
        <v>51</v>
      </c>
      <c r="R251" t="s">
        <v>50</v>
      </c>
      <c r="S251" t="s">
        <v>33</v>
      </c>
      <c r="T251" t="s">
        <v>34</v>
      </c>
      <c r="U251" t="s">
        <v>35</v>
      </c>
      <c r="V251" t="s">
        <v>36</v>
      </c>
      <c r="W251" t="s">
        <v>37</v>
      </c>
      <c r="X251">
        <v>1.0526315789473679</v>
      </c>
      <c r="Y251">
        <v>98.94736842105263</v>
      </c>
      <c r="Z251" t="s">
        <v>40</v>
      </c>
      <c r="AA251" t="s">
        <v>39</v>
      </c>
      <c r="AB251" t="s">
        <v>38</v>
      </c>
      <c r="AC251">
        <v>2.179999999999999E-2</v>
      </c>
    </row>
    <row r="252" spans="1:29" x14ac:dyDescent="0.3">
      <c r="A252">
        <v>251</v>
      </c>
      <c r="B252" s="1">
        <v>40554</v>
      </c>
      <c r="C252">
        <v>1</v>
      </c>
      <c r="D252">
        <v>19</v>
      </c>
      <c r="E252" t="b">
        <v>0</v>
      </c>
      <c r="F252">
        <v>2</v>
      </c>
      <c r="G252">
        <v>3</v>
      </c>
      <c r="H252">
        <v>0.16</v>
      </c>
      <c r="I252">
        <v>0.2273</v>
      </c>
      <c r="J252">
        <v>0.93</v>
      </c>
      <c r="K252">
        <v>0</v>
      </c>
      <c r="L252">
        <v>0</v>
      </c>
      <c r="M252">
        <v>51</v>
      </c>
      <c r="N252">
        <v>51</v>
      </c>
      <c r="O252" t="s">
        <v>29</v>
      </c>
      <c r="P252" t="s">
        <v>56</v>
      </c>
      <c r="Q252" t="s">
        <v>51</v>
      </c>
      <c r="R252" t="s">
        <v>50</v>
      </c>
      <c r="S252" t="s">
        <v>33</v>
      </c>
      <c r="T252" t="s">
        <v>34</v>
      </c>
      <c r="U252" t="s">
        <v>35</v>
      </c>
      <c r="V252" t="s">
        <v>36</v>
      </c>
      <c r="W252" t="s">
        <v>37</v>
      </c>
      <c r="X252">
        <v>0</v>
      </c>
      <c r="Y252">
        <v>100</v>
      </c>
      <c r="Z252" t="s">
        <v>40</v>
      </c>
      <c r="AA252" t="s">
        <v>39</v>
      </c>
      <c r="AB252" t="s">
        <v>38</v>
      </c>
      <c r="AC252">
        <v>6.7299999999999999E-2</v>
      </c>
    </row>
    <row r="253" spans="1:29" x14ac:dyDescent="0.3">
      <c r="A253">
        <v>252</v>
      </c>
      <c r="B253" s="1">
        <v>40554</v>
      </c>
      <c r="C253">
        <v>1</v>
      </c>
      <c r="D253">
        <v>20</v>
      </c>
      <c r="E253" t="b">
        <v>0</v>
      </c>
      <c r="F253">
        <v>2</v>
      </c>
      <c r="G253">
        <v>3</v>
      </c>
      <c r="H253">
        <v>0.16</v>
      </c>
      <c r="I253">
        <v>0.1515</v>
      </c>
      <c r="J253">
        <v>0.93</v>
      </c>
      <c r="K253">
        <v>0.19400000000000001</v>
      </c>
      <c r="L253">
        <v>0</v>
      </c>
      <c r="M253">
        <v>32</v>
      </c>
      <c r="N253">
        <v>32</v>
      </c>
      <c r="O253" t="s">
        <v>29</v>
      </c>
      <c r="P253" t="s">
        <v>56</v>
      </c>
      <c r="Q253" t="s">
        <v>51</v>
      </c>
      <c r="R253" t="s">
        <v>50</v>
      </c>
      <c r="S253" t="s">
        <v>33</v>
      </c>
      <c r="T253" t="s">
        <v>34</v>
      </c>
      <c r="U253" t="s">
        <v>46</v>
      </c>
      <c r="V253" t="s">
        <v>36</v>
      </c>
      <c r="W253" t="s">
        <v>37</v>
      </c>
      <c r="X253">
        <v>0</v>
      </c>
      <c r="Y253">
        <v>100</v>
      </c>
      <c r="Z253" t="s">
        <v>38</v>
      </c>
      <c r="AA253" t="s">
        <v>39</v>
      </c>
      <c r="AB253" t="s">
        <v>38</v>
      </c>
      <c r="AC253">
        <v>-8.5000000000000075E-3</v>
      </c>
    </row>
    <row r="254" spans="1:29" x14ac:dyDescent="0.3">
      <c r="A254">
        <v>253</v>
      </c>
      <c r="B254" s="1">
        <v>40554</v>
      </c>
      <c r="C254">
        <v>1</v>
      </c>
      <c r="D254">
        <v>21</v>
      </c>
      <c r="E254" t="b">
        <v>0</v>
      </c>
      <c r="F254">
        <v>2</v>
      </c>
      <c r="G254">
        <v>3</v>
      </c>
      <c r="H254">
        <v>0.16</v>
      </c>
      <c r="I254">
        <v>0.19700000000000001</v>
      </c>
      <c r="J254">
        <v>0.86</v>
      </c>
      <c r="K254">
        <v>8.9599999999999999E-2</v>
      </c>
      <c r="L254">
        <v>0</v>
      </c>
      <c r="M254">
        <v>20</v>
      </c>
      <c r="N254">
        <v>20</v>
      </c>
      <c r="O254" t="s">
        <v>29</v>
      </c>
      <c r="P254" t="s">
        <v>56</v>
      </c>
      <c r="Q254" t="s">
        <v>51</v>
      </c>
      <c r="R254" t="s">
        <v>32</v>
      </c>
      <c r="S254" t="s">
        <v>33</v>
      </c>
      <c r="T254" t="s">
        <v>34</v>
      </c>
      <c r="U254" t="s">
        <v>35</v>
      </c>
      <c r="V254" t="s">
        <v>36</v>
      </c>
      <c r="W254" t="s">
        <v>37</v>
      </c>
      <c r="X254">
        <v>0</v>
      </c>
      <c r="Y254">
        <v>100</v>
      </c>
      <c r="Z254" t="s">
        <v>38</v>
      </c>
      <c r="AA254" t="s">
        <v>39</v>
      </c>
      <c r="AB254" t="s">
        <v>38</v>
      </c>
      <c r="AC254">
        <v>3.7000000000000012E-2</v>
      </c>
    </row>
    <row r="255" spans="1:29" x14ac:dyDescent="0.3">
      <c r="A255">
        <v>254</v>
      </c>
      <c r="B255" s="1">
        <v>40554</v>
      </c>
      <c r="C255">
        <v>1</v>
      </c>
      <c r="D255">
        <v>22</v>
      </c>
      <c r="E255" t="b">
        <v>0</v>
      </c>
      <c r="F255">
        <v>2</v>
      </c>
      <c r="G255">
        <v>3</v>
      </c>
      <c r="H255">
        <v>0.16</v>
      </c>
      <c r="I255">
        <v>0.18179999999999999</v>
      </c>
      <c r="J255">
        <v>0.93</v>
      </c>
      <c r="K255">
        <v>0.1045</v>
      </c>
      <c r="L255">
        <v>1</v>
      </c>
      <c r="M255">
        <v>28</v>
      </c>
      <c r="N255">
        <v>29</v>
      </c>
      <c r="O255" t="s">
        <v>29</v>
      </c>
      <c r="P255" t="s">
        <v>56</v>
      </c>
      <c r="Q255" t="s">
        <v>51</v>
      </c>
      <c r="R255" t="s">
        <v>32</v>
      </c>
      <c r="S255" t="s">
        <v>33</v>
      </c>
      <c r="T255" t="s">
        <v>34</v>
      </c>
      <c r="U255" t="s">
        <v>35</v>
      </c>
      <c r="V255" t="s">
        <v>36</v>
      </c>
      <c r="W255" t="s">
        <v>37</v>
      </c>
      <c r="X255">
        <v>3.4482758620689649</v>
      </c>
      <c r="Y255">
        <v>96.551724137931032</v>
      </c>
      <c r="Z255" t="s">
        <v>38</v>
      </c>
      <c r="AA255" t="s">
        <v>39</v>
      </c>
      <c r="AB255" t="s">
        <v>38</v>
      </c>
      <c r="AC255">
        <v>2.179999999999999E-2</v>
      </c>
    </row>
    <row r="256" spans="1:29" x14ac:dyDescent="0.3">
      <c r="A256">
        <v>255</v>
      </c>
      <c r="B256" s="1">
        <v>40554</v>
      </c>
      <c r="C256">
        <v>1</v>
      </c>
      <c r="D256">
        <v>23</v>
      </c>
      <c r="E256" t="b">
        <v>0</v>
      </c>
      <c r="F256">
        <v>2</v>
      </c>
      <c r="G256">
        <v>3</v>
      </c>
      <c r="H256">
        <v>0.16</v>
      </c>
      <c r="I256">
        <v>0.19700000000000001</v>
      </c>
      <c r="J256">
        <v>0.93</v>
      </c>
      <c r="K256">
        <v>8.9599999999999999E-2</v>
      </c>
      <c r="L256">
        <v>1</v>
      </c>
      <c r="M256">
        <v>18</v>
      </c>
      <c r="N256">
        <v>19</v>
      </c>
      <c r="O256" t="s">
        <v>29</v>
      </c>
      <c r="P256" t="s">
        <v>56</v>
      </c>
      <c r="Q256" t="s">
        <v>51</v>
      </c>
      <c r="R256" t="s">
        <v>32</v>
      </c>
      <c r="S256" t="s">
        <v>33</v>
      </c>
      <c r="T256" t="s">
        <v>34</v>
      </c>
      <c r="U256" t="s">
        <v>35</v>
      </c>
      <c r="V256" t="s">
        <v>36</v>
      </c>
      <c r="W256" t="s">
        <v>37</v>
      </c>
      <c r="X256">
        <v>5.2631578947368416</v>
      </c>
      <c r="Y256">
        <v>94.73684210526315</v>
      </c>
      <c r="Z256" t="s">
        <v>38</v>
      </c>
      <c r="AA256" t="s">
        <v>39</v>
      </c>
      <c r="AB256" t="s">
        <v>38</v>
      </c>
      <c r="AC256">
        <v>3.7000000000000012E-2</v>
      </c>
    </row>
    <row r="257" spans="1:29" x14ac:dyDescent="0.3">
      <c r="A257">
        <v>256</v>
      </c>
      <c r="B257" s="1">
        <v>40555</v>
      </c>
      <c r="C257">
        <v>1</v>
      </c>
      <c r="D257">
        <v>0</v>
      </c>
      <c r="E257" t="b">
        <v>0</v>
      </c>
      <c r="F257">
        <v>3</v>
      </c>
      <c r="G257">
        <v>2</v>
      </c>
      <c r="H257">
        <v>0.16</v>
      </c>
      <c r="I257">
        <v>0.19700000000000001</v>
      </c>
      <c r="J257">
        <v>0.86</v>
      </c>
      <c r="K257">
        <v>8.9599999999999999E-2</v>
      </c>
      <c r="L257">
        <v>0</v>
      </c>
      <c r="M257">
        <v>7</v>
      </c>
      <c r="N257">
        <v>7</v>
      </c>
      <c r="O257" t="s">
        <v>29</v>
      </c>
      <c r="P257" t="s">
        <v>57</v>
      </c>
      <c r="Q257" t="s">
        <v>41</v>
      </c>
      <c r="R257" t="s">
        <v>32</v>
      </c>
      <c r="S257" t="s">
        <v>33</v>
      </c>
      <c r="T257" t="s">
        <v>34</v>
      </c>
      <c r="U257" t="s">
        <v>35</v>
      </c>
      <c r="V257" t="s">
        <v>36</v>
      </c>
      <c r="W257" t="s">
        <v>37</v>
      </c>
      <c r="X257">
        <v>0</v>
      </c>
      <c r="Y257">
        <v>100</v>
      </c>
      <c r="Z257" t="s">
        <v>38</v>
      </c>
      <c r="AA257" t="s">
        <v>39</v>
      </c>
      <c r="AB257" t="s">
        <v>38</v>
      </c>
      <c r="AC257">
        <v>3.7000000000000012E-2</v>
      </c>
    </row>
    <row r="258" spans="1:29" x14ac:dyDescent="0.3">
      <c r="A258">
        <v>257</v>
      </c>
      <c r="B258" s="1">
        <v>40555</v>
      </c>
      <c r="C258">
        <v>1</v>
      </c>
      <c r="D258">
        <v>1</v>
      </c>
      <c r="E258" t="b">
        <v>0</v>
      </c>
      <c r="F258">
        <v>3</v>
      </c>
      <c r="G258">
        <v>2</v>
      </c>
      <c r="H258">
        <v>0.16</v>
      </c>
      <c r="I258">
        <v>0.18179999999999999</v>
      </c>
      <c r="J258">
        <v>0.86</v>
      </c>
      <c r="K258">
        <v>0.1045</v>
      </c>
      <c r="L258">
        <v>0</v>
      </c>
      <c r="M258">
        <v>6</v>
      </c>
      <c r="N258">
        <v>6</v>
      </c>
      <c r="O258" t="s">
        <v>29</v>
      </c>
      <c r="P258" t="s">
        <v>57</v>
      </c>
      <c r="Q258" t="s">
        <v>41</v>
      </c>
      <c r="R258" t="s">
        <v>32</v>
      </c>
      <c r="S258" t="s">
        <v>33</v>
      </c>
      <c r="T258" t="s">
        <v>34</v>
      </c>
      <c r="U258" t="s">
        <v>35</v>
      </c>
      <c r="V258" t="s">
        <v>36</v>
      </c>
      <c r="W258" t="s">
        <v>37</v>
      </c>
      <c r="X258">
        <v>0</v>
      </c>
      <c r="Y258">
        <v>100</v>
      </c>
      <c r="Z258" t="s">
        <v>38</v>
      </c>
      <c r="AA258" t="s">
        <v>39</v>
      </c>
      <c r="AB258" t="s">
        <v>38</v>
      </c>
      <c r="AC258">
        <v>2.179999999999999E-2</v>
      </c>
    </row>
    <row r="259" spans="1:29" x14ac:dyDescent="0.3">
      <c r="A259">
        <v>258</v>
      </c>
      <c r="B259" s="1">
        <v>40555</v>
      </c>
      <c r="C259">
        <v>1</v>
      </c>
      <c r="D259">
        <v>2</v>
      </c>
      <c r="E259" t="b">
        <v>0</v>
      </c>
      <c r="F259">
        <v>3</v>
      </c>
      <c r="G259">
        <v>1</v>
      </c>
      <c r="H259">
        <v>0.14000000000000001</v>
      </c>
      <c r="I259">
        <v>0.1515</v>
      </c>
      <c r="J259">
        <v>0.86</v>
      </c>
      <c r="K259">
        <v>0.1343</v>
      </c>
      <c r="L259">
        <v>0</v>
      </c>
      <c r="M259">
        <v>1</v>
      </c>
      <c r="N259">
        <v>1</v>
      </c>
      <c r="O259" t="s">
        <v>29</v>
      </c>
      <c r="P259" t="s">
        <v>57</v>
      </c>
      <c r="Q259" t="s">
        <v>31</v>
      </c>
      <c r="R259" t="s">
        <v>32</v>
      </c>
      <c r="S259" t="s">
        <v>55</v>
      </c>
      <c r="T259" t="s">
        <v>34</v>
      </c>
      <c r="U259" t="s">
        <v>35</v>
      </c>
      <c r="V259" t="s">
        <v>36</v>
      </c>
      <c r="W259" t="s">
        <v>37</v>
      </c>
      <c r="X259">
        <v>0</v>
      </c>
      <c r="Y259">
        <v>100</v>
      </c>
      <c r="Z259" t="s">
        <v>38</v>
      </c>
      <c r="AA259" t="s">
        <v>39</v>
      </c>
      <c r="AB259" t="s">
        <v>38</v>
      </c>
      <c r="AC259">
        <v>1.1499999999999981E-2</v>
      </c>
    </row>
    <row r="260" spans="1:29" x14ac:dyDescent="0.3">
      <c r="A260">
        <v>259</v>
      </c>
      <c r="B260" s="1">
        <v>40555</v>
      </c>
      <c r="C260">
        <v>1</v>
      </c>
      <c r="D260">
        <v>5</v>
      </c>
      <c r="E260" t="b">
        <v>0</v>
      </c>
      <c r="F260">
        <v>3</v>
      </c>
      <c r="G260">
        <v>1</v>
      </c>
      <c r="H260">
        <v>0.14000000000000001</v>
      </c>
      <c r="I260">
        <v>0.1515</v>
      </c>
      <c r="J260">
        <v>0.86</v>
      </c>
      <c r="K260">
        <v>0.16420000000000001</v>
      </c>
      <c r="L260">
        <v>0</v>
      </c>
      <c r="M260">
        <v>5</v>
      </c>
      <c r="N260">
        <v>5</v>
      </c>
      <c r="O260" t="s">
        <v>29</v>
      </c>
      <c r="P260" t="s">
        <v>57</v>
      </c>
      <c r="Q260" t="s">
        <v>31</v>
      </c>
      <c r="R260" t="s">
        <v>32</v>
      </c>
      <c r="S260" t="s">
        <v>55</v>
      </c>
      <c r="T260" t="s">
        <v>34</v>
      </c>
      <c r="U260" t="s">
        <v>46</v>
      </c>
      <c r="V260" t="s">
        <v>36</v>
      </c>
      <c r="W260" t="s">
        <v>37</v>
      </c>
      <c r="X260">
        <v>0</v>
      </c>
      <c r="Y260">
        <v>100</v>
      </c>
      <c r="Z260" t="s">
        <v>38</v>
      </c>
      <c r="AA260" t="s">
        <v>39</v>
      </c>
      <c r="AB260" t="s">
        <v>38</v>
      </c>
      <c r="AC260">
        <v>1.1499999999999981E-2</v>
      </c>
    </row>
    <row r="261" spans="1:29" x14ac:dyDescent="0.3">
      <c r="A261">
        <v>260</v>
      </c>
      <c r="B261" s="1">
        <v>40555</v>
      </c>
      <c r="C261">
        <v>1</v>
      </c>
      <c r="D261">
        <v>6</v>
      </c>
      <c r="E261" t="b">
        <v>0</v>
      </c>
      <c r="F261">
        <v>3</v>
      </c>
      <c r="G261">
        <v>1</v>
      </c>
      <c r="H261">
        <v>0.12</v>
      </c>
      <c r="I261">
        <v>0.1515</v>
      </c>
      <c r="J261">
        <v>0.93</v>
      </c>
      <c r="K261">
        <v>0.1343</v>
      </c>
      <c r="L261">
        <v>0</v>
      </c>
      <c r="M261">
        <v>16</v>
      </c>
      <c r="N261">
        <v>16</v>
      </c>
      <c r="O261" t="s">
        <v>29</v>
      </c>
      <c r="P261" t="s">
        <v>57</v>
      </c>
      <c r="Q261" t="s">
        <v>31</v>
      </c>
      <c r="R261" t="s">
        <v>42</v>
      </c>
      <c r="S261" t="s">
        <v>55</v>
      </c>
      <c r="T261" t="s">
        <v>34</v>
      </c>
      <c r="U261" t="s">
        <v>35</v>
      </c>
      <c r="V261" t="s">
        <v>36</v>
      </c>
      <c r="W261" t="s">
        <v>37</v>
      </c>
      <c r="X261">
        <v>0</v>
      </c>
      <c r="Y261">
        <v>100</v>
      </c>
      <c r="Z261" t="s">
        <v>38</v>
      </c>
      <c r="AA261" t="s">
        <v>39</v>
      </c>
      <c r="AB261" t="s">
        <v>38</v>
      </c>
      <c r="AC261">
        <v>3.15E-2</v>
      </c>
    </row>
    <row r="262" spans="1:29" x14ac:dyDescent="0.3">
      <c r="A262">
        <v>261</v>
      </c>
      <c r="B262" s="1">
        <v>40555</v>
      </c>
      <c r="C262">
        <v>1</v>
      </c>
      <c r="D262">
        <v>7</v>
      </c>
      <c r="E262" t="b">
        <v>0</v>
      </c>
      <c r="F262">
        <v>3</v>
      </c>
      <c r="G262">
        <v>1</v>
      </c>
      <c r="H262">
        <v>0.14000000000000001</v>
      </c>
      <c r="I262">
        <v>0.1515</v>
      </c>
      <c r="J262">
        <v>0.69</v>
      </c>
      <c r="K262">
        <v>0.1343</v>
      </c>
      <c r="L262">
        <v>0</v>
      </c>
      <c r="M262">
        <v>54</v>
      </c>
      <c r="N262">
        <v>54</v>
      </c>
      <c r="O262" t="s">
        <v>29</v>
      </c>
      <c r="P262" t="s">
        <v>57</v>
      </c>
      <c r="Q262" t="s">
        <v>31</v>
      </c>
      <c r="R262" t="s">
        <v>42</v>
      </c>
      <c r="S262" t="s">
        <v>55</v>
      </c>
      <c r="T262" t="s">
        <v>49</v>
      </c>
      <c r="U262" t="s">
        <v>35</v>
      </c>
      <c r="V262" t="s">
        <v>36</v>
      </c>
      <c r="W262" t="s">
        <v>37</v>
      </c>
      <c r="X262">
        <v>0</v>
      </c>
      <c r="Y262">
        <v>100</v>
      </c>
      <c r="Z262" t="s">
        <v>40</v>
      </c>
      <c r="AA262" t="s">
        <v>39</v>
      </c>
      <c r="AB262" t="s">
        <v>38</v>
      </c>
      <c r="AC262">
        <v>1.1499999999999981E-2</v>
      </c>
    </row>
    <row r="263" spans="1:29" x14ac:dyDescent="0.3">
      <c r="A263">
        <v>262</v>
      </c>
      <c r="B263" s="1">
        <v>40555</v>
      </c>
      <c r="C263">
        <v>1</v>
      </c>
      <c r="D263">
        <v>8</v>
      </c>
      <c r="E263" t="b">
        <v>0</v>
      </c>
      <c r="F263">
        <v>3</v>
      </c>
      <c r="G263">
        <v>1</v>
      </c>
      <c r="H263">
        <v>0.16</v>
      </c>
      <c r="I263">
        <v>0.16669999999999999</v>
      </c>
      <c r="J263">
        <v>0.59</v>
      </c>
      <c r="K263">
        <v>0.16420000000000001</v>
      </c>
      <c r="L263">
        <v>3</v>
      </c>
      <c r="M263">
        <v>125</v>
      </c>
      <c r="N263">
        <v>128</v>
      </c>
      <c r="O263" t="s">
        <v>29</v>
      </c>
      <c r="P263" t="s">
        <v>57</v>
      </c>
      <c r="Q263" t="s">
        <v>31</v>
      </c>
      <c r="R263" t="s">
        <v>42</v>
      </c>
      <c r="S263" t="s">
        <v>33</v>
      </c>
      <c r="T263" t="s">
        <v>49</v>
      </c>
      <c r="U263" t="s">
        <v>46</v>
      </c>
      <c r="V263" t="s">
        <v>36</v>
      </c>
      <c r="W263" t="s">
        <v>37</v>
      </c>
      <c r="X263">
        <v>2.34375</v>
      </c>
      <c r="Y263">
        <v>97.65625</v>
      </c>
      <c r="Z263" t="s">
        <v>40</v>
      </c>
      <c r="AA263" t="s">
        <v>49</v>
      </c>
      <c r="AB263" t="s">
        <v>38</v>
      </c>
      <c r="AC263">
        <v>6.6999999999999837E-3</v>
      </c>
    </row>
    <row r="264" spans="1:29" x14ac:dyDescent="0.3">
      <c r="A264">
        <v>263</v>
      </c>
      <c r="B264" s="1">
        <v>40555</v>
      </c>
      <c r="C264">
        <v>1</v>
      </c>
      <c r="D264">
        <v>9</v>
      </c>
      <c r="E264" t="b">
        <v>0</v>
      </c>
      <c r="F264">
        <v>3</v>
      </c>
      <c r="G264">
        <v>1</v>
      </c>
      <c r="H264">
        <v>0.16</v>
      </c>
      <c r="I264">
        <v>0.13639999999999999</v>
      </c>
      <c r="J264">
        <v>0.59</v>
      </c>
      <c r="K264">
        <v>0.32840000000000003</v>
      </c>
      <c r="L264">
        <v>3</v>
      </c>
      <c r="M264">
        <v>78</v>
      </c>
      <c r="N264">
        <v>81</v>
      </c>
      <c r="O264" t="s">
        <v>29</v>
      </c>
      <c r="P264" t="s">
        <v>57</v>
      </c>
      <c r="Q264" t="s">
        <v>31</v>
      </c>
      <c r="R264" t="s">
        <v>42</v>
      </c>
      <c r="S264" t="s">
        <v>33</v>
      </c>
      <c r="T264" t="s">
        <v>49</v>
      </c>
      <c r="U264" t="s">
        <v>53</v>
      </c>
      <c r="V264" t="s">
        <v>36</v>
      </c>
      <c r="W264" t="s">
        <v>37</v>
      </c>
      <c r="X264">
        <v>3.7037037037037028</v>
      </c>
      <c r="Y264">
        <v>96.296296296296291</v>
      </c>
      <c r="Z264" t="s">
        <v>40</v>
      </c>
      <c r="AA264" t="s">
        <v>39</v>
      </c>
      <c r="AB264" t="s">
        <v>38</v>
      </c>
      <c r="AC264">
        <v>-2.360000000000001E-2</v>
      </c>
    </row>
    <row r="265" spans="1:29" x14ac:dyDescent="0.3">
      <c r="A265">
        <v>264</v>
      </c>
      <c r="B265" s="1">
        <v>40555</v>
      </c>
      <c r="C265">
        <v>1</v>
      </c>
      <c r="D265">
        <v>10</v>
      </c>
      <c r="E265" t="b">
        <v>0</v>
      </c>
      <c r="F265">
        <v>3</v>
      </c>
      <c r="G265">
        <v>1</v>
      </c>
      <c r="H265">
        <v>0.18</v>
      </c>
      <c r="I265">
        <v>0.18179999999999999</v>
      </c>
      <c r="J265">
        <v>0.55000000000000004</v>
      </c>
      <c r="K265">
        <v>0.22389999999999999</v>
      </c>
      <c r="L265">
        <v>0</v>
      </c>
      <c r="M265">
        <v>39</v>
      </c>
      <c r="N265">
        <v>39</v>
      </c>
      <c r="O265" t="s">
        <v>29</v>
      </c>
      <c r="P265" t="s">
        <v>57</v>
      </c>
      <c r="Q265" t="s">
        <v>31</v>
      </c>
      <c r="R265" t="s">
        <v>42</v>
      </c>
      <c r="S265" t="s">
        <v>33</v>
      </c>
      <c r="T265" t="s">
        <v>49</v>
      </c>
      <c r="U265" t="s">
        <v>46</v>
      </c>
      <c r="V265" t="s">
        <v>36</v>
      </c>
      <c r="W265" t="s">
        <v>37</v>
      </c>
      <c r="X265">
        <v>0</v>
      </c>
      <c r="Y265">
        <v>100</v>
      </c>
      <c r="Z265" t="s">
        <v>38</v>
      </c>
      <c r="AA265" t="s">
        <v>39</v>
      </c>
      <c r="AB265" t="s">
        <v>38</v>
      </c>
      <c r="AC265">
        <v>1.799999999999996E-3</v>
      </c>
    </row>
    <row r="266" spans="1:29" x14ac:dyDescent="0.3">
      <c r="A266">
        <v>265</v>
      </c>
      <c r="B266" s="1">
        <v>40555</v>
      </c>
      <c r="C266">
        <v>1</v>
      </c>
      <c r="D266">
        <v>11</v>
      </c>
      <c r="E266" t="b">
        <v>0</v>
      </c>
      <c r="F266">
        <v>3</v>
      </c>
      <c r="G266">
        <v>1</v>
      </c>
      <c r="H266">
        <v>0.2</v>
      </c>
      <c r="I266">
        <v>0.18179999999999999</v>
      </c>
      <c r="J266">
        <v>0.51</v>
      </c>
      <c r="K266">
        <v>0.3881</v>
      </c>
      <c r="L266">
        <v>3</v>
      </c>
      <c r="M266">
        <v>32</v>
      </c>
      <c r="N266">
        <v>35</v>
      </c>
      <c r="O266" t="s">
        <v>29</v>
      </c>
      <c r="P266" t="s">
        <v>57</v>
      </c>
      <c r="Q266" t="s">
        <v>31</v>
      </c>
      <c r="R266" t="s">
        <v>42</v>
      </c>
      <c r="S266" t="s">
        <v>33</v>
      </c>
      <c r="T266" t="s">
        <v>49</v>
      </c>
      <c r="U266" t="s">
        <v>53</v>
      </c>
      <c r="V266" t="s">
        <v>36</v>
      </c>
      <c r="W266" t="s">
        <v>37</v>
      </c>
      <c r="X266">
        <v>8.5714285714285712</v>
      </c>
      <c r="Y266">
        <v>91.428571428571431</v>
      </c>
      <c r="Z266" t="s">
        <v>38</v>
      </c>
      <c r="AA266" t="s">
        <v>39</v>
      </c>
      <c r="AB266" t="s">
        <v>38</v>
      </c>
      <c r="AC266">
        <v>-1.8200000000000022E-2</v>
      </c>
    </row>
    <row r="267" spans="1:29" x14ac:dyDescent="0.3">
      <c r="A267">
        <v>266</v>
      </c>
      <c r="B267" s="1">
        <v>40555</v>
      </c>
      <c r="C267">
        <v>1</v>
      </c>
      <c r="D267">
        <v>12</v>
      </c>
      <c r="E267" t="b">
        <v>0</v>
      </c>
      <c r="F267">
        <v>3</v>
      </c>
      <c r="G267">
        <v>1</v>
      </c>
      <c r="H267">
        <v>0.2</v>
      </c>
      <c r="I267">
        <v>0.1515</v>
      </c>
      <c r="J267">
        <v>0.47</v>
      </c>
      <c r="K267">
        <v>0.58209999999999995</v>
      </c>
      <c r="L267">
        <v>3</v>
      </c>
      <c r="M267">
        <v>52</v>
      </c>
      <c r="N267">
        <v>55</v>
      </c>
      <c r="O267" t="s">
        <v>29</v>
      </c>
      <c r="P267" t="s">
        <v>57</v>
      </c>
      <c r="Q267" t="s">
        <v>31</v>
      </c>
      <c r="R267" t="s">
        <v>47</v>
      </c>
      <c r="S267" t="s">
        <v>33</v>
      </c>
      <c r="T267" t="s">
        <v>49</v>
      </c>
      <c r="U267" t="s">
        <v>53</v>
      </c>
      <c r="V267" t="s">
        <v>36</v>
      </c>
      <c r="W267" t="s">
        <v>37</v>
      </c>
      <c r="X267">
        <v>5.4545454545454541</v>
      </c>
      <c r="Y267">
        <v>94.545454545454547</v>
      </c>
      <c r="Z267" t="s">
        <v>38</v>
      </c>
      <c r="AA267" t="s">
        <v>39</v>
      </c>
      <c r="AB267" t="s">
        <v>38</v>
      </c>
      <c r="AC267">
        <v>-4.8500000000000022E-2</v>
      </c>
    </row>
    <row r="268" spans="1:29" x14ac:dyDescent="0.3">
      <c r="A268">
        <v>267</v>
      </c>
      <c r="B268" s="1">
        <v>40555</v>
      </c>
      <c r="C268">
        <v>1</v>
      </c>
      <c r="D268">
        <v>13</v>
      </c>
      <c r="E268" t="b">
        <v>0</v>
      </c>
      <c r="F268">
        <v>3</v>
      </c>
      <c r="G268">
        <v>1</v>
      </c>
      <c r="H268">
        <v>0.22</v>
      </c>
      <c r="I268">
        <v>0.19700000000000001</v>
      </c>
      <c r="J268">
        <v>0.44</v>
      </c>
      <c r="K268">
        <v>0.35820000000000002</v>
      </c>
      <c r="L268">
        <v>0</v>
      </c>
      <c r="M268">
        <v>49</v>
      </c>
      <c r="N268">
        <v>49</v>
      </c>
      <c r="O268" t="s">
        <v>29</v>
      </c>
      <c r="P268" t="s">
        <v>57</v>
      </c>
      <c r="Q268" t="s">
        <v>31</v>
      </c>
      <c r="R268" t="s">
        <v>47</v>
      </c>
      <c r="S268" t="s">
        <v>33</v>
      </c>
      <c r="T268" t="s">
        <v>49</v>
      </c>
      <c r="U268" t="s">
        <v>53</v>
      </c>
      <c r="V268" t="s">
        <v>36</v>
      </c>
      <c r="W268" t="s">
        <v>37</v>
      </c>
      <c r="X268">
        <v>0</v>
      </c>
      <c r="Y268">
        <v>100</v>
      </c>
      <c r="Z268" t="s">
        <v>38</v>
      </c>
      <c r="AA268" t="s">
        <v>39</v>
      </c>
      <c r="AB268" t="s">
        <v>38</v>
      </c>
      <c r="AC268">
        <v>-2.2999999999999989E-2</v>
      </c>
    </row>
    <row r="269" spans="1:29" x14ac:dyDescent="0.3">
      <c r="A269">
        <v>268</v>
      </c>
      <c r="B269" s="1">
        <v>40555</v>
      </c>
      <c r="C269">
        <v>1</v>
      </c>
      <c r="D269">
        <v>14</v>
      </c>
      <c r="E269" t="b">
        <v>0</v>
      </c>
      <c r="F269">
        <v>3</v>
      </c>
      <c r="G269">
        <v>1</v>
      </c>
      <c r="H269">
        <v>0.2</v>
      </c>
      <c r="I269">
        <v>0.18179999999999999</v>
      </c>
      <c r="J269">
        <v>0.47</v>
      </c>
      <c r="K269">
        <v>0.32840000000000003</v>
      </c>
      <c r="L269">
        <v>0</v>
      </c>
      <c r="M269">
        <v>44</v>
      </c>
      <c r="N269">
        <v>44</v>
      </c>
      <c r="O269" t="s">
        <v>29</v>
      </c>
      <c r="P269" t="s">
        <v>57</v>
      </c>
      <c r="Q269" t="s">
        <v>31</v>
      </c>
      <c r="R269" t="s">
        <v>47</v>
      </c>
      <c r="S269" t="s">
        <v>33</v>
      </c>
      <c r="T269" t="s">
        <v>49</v>
      </c>
      <c r="U269" t="s">
        <v>53</v>
      </c>
      <c r="V269" t="s">
        <v>36</v>
      </c>
      <c r="W269" t="s">
        <v>37</v>
      </c>
      <c r="X269">
        <v>0</v>
      </c>
      <c r="Y269">
        <v>100</v>
      </c>
      <c r="Z269" t="s">
        <v>38</v>
      </c>
      <c r="AA269" t="s">
        <v>39</v>
      </c>
      <c r="AB269" t="s">
        <v>38</v>
      </c>
      <c r="AC269">
        <v>-1.8200000000000022E-2</v>
      </c>
    </row>
    <row r="270" spans="1:29" x14ac:dyDescent="0.3">
      <c r="A270">
        <v>269</v>
      </c>
      <c r="B270" s="1">
        <v>40555</v>
      </c>
      <c r="C270">
        <v>1</v>
      </c>
      <c r="D270">
        <v>15</v>
      </c>
      <c r="E270" t="b">
        <v>0</v>
      </c>
      <c r="F270">
        <v>3</v>
      </c>
      <c r="G270">
        <v>1</v>
      </c>
      <c r="H270">
        <v>0.2</v>
      </c>
      <c r="I270">
        <v>0.16669999999999999</v>
      </c>
      <c r="J270">
        <v>0.47</v>
      </c>
      <c r="K270">
        <v>0.41789999999999999</v>
      </c>
      <c r="L270">
        <v>1</v>
      </c>
      <c r="M270">
        <v>48</v>
      </c>
      <c r="N270">
        <v>49</v>
      </c>
      <c r="O270" t="s">
        <v>29</v>
      </c>
      <c r="P270" t="s">
        <v>57</v>
      </c>
      <c r="Q270" t="s">
        <v>31</v>
      </c>
      <c r="R270" t="s">
        <v>47</v>
      </c>
      <c r="S270" t="s">
        <v>33</v>
      </c>
      <c r="T270" t="s">
        <v>49</v>
      </c>
      <c r="U270" t="s">
        <v>53</v>
      </c>
      <c r="V270" t="s">
        <v>36</v>
      </c>
      <c r="W270" t="s">
        <v>37</v>
      </c>
      <c r="X270">
        <v>2.0408163265306118</v>
      </c>
      <c r="Y270">
        <v>97.959183673469383</v>
      </c>
      <c r="Z270" t="s">
        <v>38</v>
      </c>
      <c r="AA270" t="s">
        <v>39</v>
      </c>
      <c r="AB270" t="s">
        <v>38</v>
      </c>
      <c r="AC270">
        <v>-3.3300000000000017E-2</v>
      </c>
    </row>
    <row r="271" spans="1:29" x14ac:dyDescent="0.3">
      <c r="A271">
        <v>270</v>
      </c>
      <c r="B271" s="1">
        <v>40555</v>
      </c>
      <c r="C271">
        <v>1</v>
      </c>
      <c r="D271">
        <v>16</v>
      </c>
      <c r="E271" t="b">
        <v>0</v>
      </c>
      <c r="F271">
        <v>3</v>
      </c>
      <c r="G271">
        <v>1</v>
      </c>
      <c r="H271">
        <v>0.22</v>
      </c>
      <c r="I271">
        <v>0.19700000000000001</v>
      </c>
      <c r="J271">
        <v>0.44</v>
      </c>
      <c r="K271">
        <v>0.32840000000000003</v>
      </c>
      <c r="L271">
        <v>5</v>
      </c>
      <c r="M271">
        <v>63</v>
      </c>
      <c r="N271">
        <v>68</v>
      </c>
      <c r="O271" t="s">
        <v>29</v>
      </c>
      <c r="P271" t="s">
        <v>57</v>
      </c>
      <c r="Q271" t="s">
        <v>31</v>
      </c>
      <c r="R271" t="s">
        <v>47</v>
      </c>
      <c r="S271" t="s">
        <v>33</v>
      </c>
      <c r="T271" t="s">
        <v>49</v>
      </c>
      <c r="U271" t="s">
        <v>53</v>
      </c>
      <c r="V271" t="s">
        <v>36</v>
      </c>
      <c r="W271" t="s">
        <v>37</v>
      </c>
      <c r="X271">
        <v>7.3529411764705888</v>
      </c>
      <c r="Y271">
        <v>92.64705882352942</v>
      </c>
      <c r="Z271" t="s">
        <v>38</v>
      </c>
      <c r="AA271" t="s">
        <v>39</v>
      </c>
      <c r="AB271" t="s">
        <v>38</v>
      </c>
      <c r="AC271">
        <v>-2.2999999999999989E-2</v>
      </c>
    </row>
    <row r="272" spans="1:29" x14ac:dyDescent="0.3">
      <c r="A272">
        <v>271</v>
      </c>
      <c r="B272" s="1">
        <v>40555</v>
      </c>
      <c r="C272">
        <v>1</v>
      </c>
      <c r="D272">
        <v>17</v>
      </c>
      <c r="E272" t="b">
        <v>0</v>
      </c>
      <c r="F272">
        <v>3</v>
      </c>
      <c r="G272">
        <v>1</v>
      </c>
      <c r="H272">
        <v>0.2</v>
      </c>
      <c r="I272">
        <v>0.18179999999999999</v>
      </c>
      <c r="J272">
        <v>0.47</v>
      </c>
      <c r="K272">
        <v>0.35820000000000002</v>
      </c>
      <c r="L272">
        <v>0</v>
      </c>
      <c r="M272">
        <v>139</v>
      </c>
      <c r="N272">
        <v>139</v>
      </c>
      <c r="O272" t="s">
        <v>29</v>
      </c>
      <c r="P272" t="s">
        <v>57</v>
      </c>
      <c r="Q272" t="s">
        <v>31</v>
      </c>
      <c r="R272" t="s">
        <v>50</v>
      </c>
      <c r="S272" t="s">
        <v>33</v>
      </c>
      <c r="T272" t="s">
        <v>49</v>
      </c>
      <c r="U272" t="s">
        <v>53</v>
      </c>
      <c r="V272" t="s">
        <v>36</v>
      </c>
      <c r="W272" t="s">
        <v>37</v>
      </c>
      <c r="X272">
        <v>0</v>
      </c>
      <c r="Y272">
        <v>100</v>
      </c>
      <c r="Z272" t="s">
        <v>40</v>
      </c>
      <c r="AA272" t="s">
        <v>49</v>
      </c>
      <c r="AB272" t="s">
        <v>38</v>
      </c>
      <c r="AC272">
        <v>-1.8200000000000022E-2</v>
      </c>
    </row>
    <row r="273" spans="1:29" x14ac:dyDescent="0.3">
      <c r="A273">
        <v>272</v>
      </c>
      <c r="B273" s="1">
        <v>40555</v>
      </c>
      <c r="C273">
        <v>1</v>
      </c>
      <c r="D273">
        <v>18</v>
      </c>
      <c r="E273" t="b">
        <v>0</v>
      </c>
      <c r="F273">
        <v>3</v>
      </c>
      <c r="G273">
        <v>1</v>
      </c>
      <c r="H273">
        <v>0.2</v>
      </c>
      <c r="I273">
        <v>0.1515</v>
      </c>
      <c r="J273">
        <v>0.47</v>
      </c>
      <c r="K273">
        <v>0.52239999999999998</v>
      </c>
      <c r="L273">
        <v>2</v>
      </c>
      <c r="M273">
        <v>135</v>
      </c>
      <c r="N273">
        <v>137</v>
      </c>
      <c r="O273" t="s">
        <v>29</v>
      </c>
      <c r="P273" t="s">
        <v>57</v>
      </c>
      <c r="Q273" t="s">
        <v>31</v>
      </c>
      <c r="R273" t="s">
        <v>50</v>
      </c>
      <c r="S273" t="s">
        <v>33</v>
      </c>
      <c r="T273" t="s">
        <v>49</v>
      </c>
      <c r="U273" t="s">
        <v>53</v>
      </c>
      <c r="V273" t="s">
        <v>36</v>
      </c>
      <c r="W273" t="s">
        <v>37</v>
      </c>
      <c r="X273">
        <v>1.4598540145985399</v>
      </c>
      <c r="Y273">
        <v>98.540145985401466</v>
      </c>
      <c r="Z273" t="s">
        <v>40</v>
      </c>
      <c r="AA273" t="s">
        <v>49</v>
      </c>
      <c r="AB273" t="s">
        <v>38</v>
      </c>
      <c r="AC273">
        <v>-4.8500000000000022E-2</v>
      </c>
    </row>
    <row r="274" spans="1:29" x14ac:dyDescent="0.3">
      <c r="A274">
        <v>273</v>
      </c>
      <c r="B274" s="1">
        <v>40555</v>
      </c>
      <c r="C274">
        <v>1</v>
      </c>
      <c r="D274">
        <v>19</v>
      </c>
      <c r="E274" t="b">
        <v>0</v>
      </c>
      <c r="F274">
        <v>3</v>
      </c>
      <c r="G274">
        <v>1</v>
      </c>
      <c r="H274">
        <v>0.18</v>
      </c>
      <c r="I274">
        <v>0.1515</v>
      </c>
      <c r="J274">
        <v>0.47</v>
      </c>
      <c r="K274">
        <v>0.41789999999999999</v>
      </c>
      <c r="L274">
        <v>1</v>
      </c>
      <c r="M274">
        <v>82</v>
      </c>
      <c r="N274">
        <v>83</v>
      </c>
      <c r="O274" t="s">
        <v>29</v>
      </c>
      <c r="P274" t="s">
        <v>57</v>
      </c>
      <c r="Q274" t="s">
        <v>31</v>
      </c>
      <c r="R274" t="s">
        <v>50</v>
      </c>
      <c r="S274" t="s">
        <v>33</v>
      </c>
      <c r="T274" t="s">
        <v>49</v>
      </c>
      <c r="U274" t="s">
        <v>53</v>
      </c>
      <c r="V274" t="s">
        <v>36</v>
      </c>
      <c r="W274" t="s">
        <v>37</v>
      </c>
      <c r="X274">
        <v>1.2048192771084341</v>
      </c>
      <c r="Y274">
        <v>98.795180722891558</v>
      </c>
      <c r="Z274" t="s">
        <v>40</v>
      </c>
      <c r="AA274" t="s">
        <v>39</v>
      </c>
      <c r="AB274" t="s">
        <v>38</v>
      </c>
      <c r="AC274">
        <v>-2.8500000000000001E-2</v>
      </c>
    </row>
    <row r="275" spans="1:29" x14ac:dyDescent="0.3">
      <c r="A275">
        <v>274</v>
      </c>
      <c r="B275" s="1">
        <v>40555</v>
      </c>
      <c r="C275">
        <v>1</v>
      </c>
      <c r="D275">
        <v>20</v>
      </c>
      <c r="E275" t="b">
        <v>0</v>
      </c>
      <c r="F275">
        <v>3</v>
      </c>
      <c r="G275">
        <v>1</v>
      </c>
      <c r="H275">
        <v>0.16</v>
      </c>
      <c r="I275">
        <v>0.13639999999999999</v>
      </c>
      <c r="J275">
        <v>0.5</v>
      </c>
      <c r="K275">
        <v>0.32840000000000003</v>
      </c>
      <c r="L275">
        <v>2</v>
      </c>
      <c r="M275">
        <v>54</v>
      </c>
      <c r="N275">
        <v>56</v>
      </c>
      <c r="O275" t="s">
        <v>29</v>
      </c>
      <c r="P275" t="s">
        <v>57</v>
      </c>
      <c r="Q275" t="s">
        <v>31</v>
      </c>
      <c r="R275" t="s">
        <v>50</v>
      </c>
      <c r="S275" t="s">
        <v>33</v>
      </c>
      <c r="T275" t="s">
        <v>49</v>
      </c>
      <c r="U275" t="s">
        <v>53</v>
      </c>
      <c r="V275" t="s">
        <v>36</v>
      </c>
      <c r="W275" t="s">
        <v>37</v>
      </c>
      <c r="X275">
        <v>3.5714285714285712</v>
      </c>
      <c r="Y275">
        <v>96.428571428571431</v>
      </c>
      <c r="Z275" t="s">
        <v>38</v>
      </c>
      <c r="AA275" t="s">
        <v>39</v>
      </c>
      <c r="AB275" t="s">
        <v>38</v>
      </c>
      <c r="AC275">
        <v>-2.360000000000001E-2</v>
      </c>
    </row>
    <row r="276" spans="1:29" x14ac:dyDescent="0.3">
      <c r="A276">
        <v>275</v>
      </c>
      <c r="B276" s="1">
        <v>40555</v>
      </c>
      <c r="C276">
        <v>1</v>
      </c>
      <c r="D276">
        <v>21</v>
      </c>
      <c r="E276" t="b">
        <v>0</v>
      </c>
      <c r="F276">
        <v>3</v>
      </c>
      <c r="G276">
        <v>1</v>
      </c>
      <c r="H276">
        <v>0.16</v>
      </c>
      <c r="I276">
        <v>0.13639999999999999</v>
      </c>
      <c r="J276">
        <v>0.55000000000000004</v>
      </c>
      <c r="K276">
        <v>0.32840000000000003</v>
      </c>
      <c r="L276">
        <v>0</v>
      </c>
      <c r="M276">
        <v>57</v>
      </c>
      <c r="N276">
        <v>57</v>
      </c>
      <c r="O276" t="s">
        <v>29</v>
      </c>
      <c r="P276" t="s">
        <v>57</v>
      </c>
      <c r="Q276" t="s">
        <v>31</v>
      </c>
      <c r="R276" t="s">
        <v>32</v>
      </c>
      <c r="S276" t="s">
        <v>33</v>
      </c>
      <c r="T276" t="s">
        <v>49</v>
      </c>
      <c r="U276" t="s">
        <v>53</v>
      </c>
      <c r="V276" t="s">
        <v>36</v>
      </c>
      <c r="W276" t="s">
        <v>37</v>
      </c>
      <c r="X276">
        <v>0</v>
      </c>
      <c r="Y276">
        <v>100</v>
      </c>
      <c r="Z276" t="s">
        <v>38</v>
      </c>
      <c r="AA276" t="s">
        <v>39</v>
      </c>
      <c r="AB276" t="s">
        <v>38</v>
      </c>
      <c r="AC276">
        <v>-2.360000000000001E-2</v>
      </c>
    </row>
    <row r="277" spans="1:29" x14ac:dyDescent="0.3">
      <c r="A277">
        <v>276</v>
      </c>
      <c r="B277" s="1">
        <v>40555</v>
      </c>
      <c r="C277">
        <v>1</v>
      </c>
      <c r="D277">
        <v>22</v>
      </c>
      <c r="E277" t="b">
        <v>0</v>
      </c>
      <c r="F277">
        <v>3</v>
      </c>
      <c r="G277">
        <v>1</v>
      </c>
      <c r="H277">
        <v>0.16</v>
      </c>
      <c r="I277">
        <v>0.1212</v>
      </c>
      <c r="J277">
        <v>0.55000000000000004</v>
      </c>
      <c r="K277">
        <v>0.44779999999999998</v>
      </c>
      <c r="L277">
        <v>1</v>
      </c>
      <c r="M277">
        <v>32</v>
      </c>
      <c r="N277">
        <v>33</v>
      </c>
      <c r="O277" t="s">
        <v>29</v>
      </c>
      <c r="P277" t="s">
        <v>57</v>
      </c>
      <c r="Q277" t="s">
        <v>31</v>
      </c>
      <c r="R277" t="s">
        <v>32</v>
      </c>
      <c r="S277" t="s">
        <v>33</v>
      </c>
      <c r="T277" t="s">
        <v>49</v>
      </c>
      <c r="U277" t="s">
        <v>53</v>
      </c>
      <c r="V277" t="s">
        <v>36</v>
      </c>
      <c r="W277" t="s">
        <v>37</v>
      </c>
      <c r="X277">
        <v>3.0303030303030298</v>
      </c>
      <c r="Y277">
        <v>96.969696969696969</v>
      </c>
      <c r="Z277" t="s">
        <v>38</v>
      </c>
      <c r="AA277" t="s">
        <v>39</v>
      </c>
      <c r="AB277" t="s">
        <v>38</v>
      </c>
      <c r="AC277">
        <v>-3.8800000000000001E-2</v>
      </c>
    </row>
    <row r="278" spans="1:29" x14ac:dyDescent="0.3">
      <c r="A278">
        <v>277</v>
      </c>
      <c r="B278" s="1">
        <v>40555</v>
      </c>
      <c r="C278">
        <v>1</v>
      </c>
      <c r="D278">
        <v>23</v>
      </c>
      <c r="E278" t="b">
        <v>0</v>
      </c>
      <c r="F278">
        <v>3</v>
      </c>
      <c r="G278">
        <v>1</v>
      </c>
      <c r="H278">
        <v>0.14000000000000001</v>
      </c>
      <c r="I278">
        <v>0.1061</v>
      </c>
      <c r="J278">
        <v>0.59</v>
      </c>
      <c r="K278">
        <v>0.41789999999999999</v>
      </c>
      <c r="L278">
        <v>1</v>
      </c>
      <c r="M278">
        <v>19</v>
      </c>
      <c r="N278">
        <v>20</v>
      </c>
      <c r="O278" t="s">
        <v>29</v>
      </c>
      <c r="P278" t="s">
        <v>57</v>
      </c>
      <c r="Q278" t="s">
        <v>31</v>
      </c>
      <c r="R278" t="s">
        <v>32</v>
      </c>
      <c r="S278" t="s">
        <v>55</v>
      </c>
      <c r="T278" t="s">
        <v>49</v>
      </c>
      <c r="U278" t="s">
        <v>53</v>
      </c>
      <c r="V278" t="s">
        <v>36</v>
      </c>
      <c r="W278" t="s">
        <v>37</v>
      </c>
      <c r="X278">
        <v>5</v>
      </c>
      <c r="Y278">
        <v>95</v>
      </c>
      <c r="Z278" t="s">
        <v>38</v>
      </c>
      <c r="AA278" t="s">
        <v>39</v>
      </c>
      <c r="AB278" t="s">
        <v>38</v>
      </c>
      <c r="AC278">
        <v>-3.3900000000000013E-2</v>
      </c>
    </row>
    <row r="279" spans="1:29" x14ac:dyDescent="0.3">
      <c r="A279">
        <v>278</v>
      </c>
      <c r="B279" s="1">
        <v>40556</v>
      </c>
      <c r="C279">
        <v>1</v>
      </c>
      <c r="D279">
        <v>0</v>
      </c>
      <c r="E279" t="b">
        <v>0</v>
      </c>
      <c r="F279">
        <v>4</v>
      </c>
      <c r="G279">
        <v>1</v>
      </c>
      <c r="H279">
        <v>0.14000000000000001</v>
      </c>
      <c r="I279">
        <v>0.1212</v>
      </c>
      <c r="J279">
        <v>0.59</v>
      </c>
      <c r="K279">
        <v>0.28360000000000002</v>
      </c>
      <c r="L279">
        <v>1</v>
      </c>
      <c r="M279">
        <v>6</v>
      </c>
      <c r="N279">
        <v>7</v>
      </c>
      <c r="O279" t="s">
        <v>29</v>
      </c>
      <c r="P279" t="s">
        <v>58</v>
      </c>
      <c r="Q279" t="s">
        <v>31</v>
      </c>
      <c r="R279" t="s">
        <v>32</v>
      </c>
      <c r="S279" t="s">
        <v>55</v>
      </c>
      <c r="T279" t="s">
        <v>49</v>
      </c>
      <c r="U279" t="s">
        <v>46</v>
      </c>
      <c r="V279" t="s">
        <v>36</v>
      </c>
      <c r="W279" t="s">
        <v>37</v>
      </c>
      <c r="X279">
        <v>14.285714285714279</v>
      </c>
      <c r="Y279">
        <v>85.714285714285708</v>
      </c>
      <c r="Z279" t="s">
        <v>38</v>
      </c>
      <c r="AA279" t="s">
        <v>39</v>
      </c>
      <c r="AB279" t="s">
        <v>38</v>
      </c>
      <c r="AC279">
        <v>-1.8800000000000011E-2</v>
      </c>
    </row>
    <row r="280" spans="1:29" x14ac:dyDescent="0.3">
      <c r="A280">
        <v>279</v>
      </c>
      <c r="B280" s="1">
        <v>40556</v>
      </c>
      <c r="C280">
        <v>1</v>
      </c>
      <c r="D280">
        <v>1</v>
      </c>
      <c r="E280" t="b">
        <v>0</v>
      </c>
      <c r="F280">
        <v>4</v>
      </c>
      <c r="G280">
        <v>1</v>
      </c>
      <c r="H280">
        <v>0.14000000000000001</v>
      </c>
      <c r="I280">
        <v>0.1212</v>
      </c>
      <c r="J280">
        <v>0.5</v>
      </c>
      <c r="K280">
        <v>0.28360000000000002</v>
      </c>
      <c r="L280">
        <v>0</v>
      </c>
      <c r="M280">
        <v>2</v>
      </c>
      <c r="N280">
        <v>2</v>
      </c>
      <c r="O280" t="s">
        <v>29</v>
      </c>
      <c r="P280" t="s">
        <v>58</v>
      </c>
      <c r="Q280" t="s">
        <v>31</v>
      </c>
      <c r="R280" t="s">
        <v>32</v>
      </c>
      <c r="S280" t="s">
        <v>55</v>
      </c>
      <c r="T280" t="s">
        <v>49</v>
      </c>
      <c r="U280" t="s">
        <v>46</v>
      </c>
      <c r="V280" t="s">
        <v>36</v>
      </c>
      <c r="W280" t="s">
        <v>37</v>
      </c>
      <c r="X280">
        <v>0</v>
      </c>
      <c r="Y280">
        <v>100</v>
      </c>
      <c r="Z280" t="s">
        <v>38</v>
      </c>
      <c r="AA280" t="s">
        <v>39</v>
      </c>
      <c r="AB280" t="s">
        <v>38</v>
      </c>
      <c r="AC280">
        <v>-1.8800000000000011E-2</v>
      </c>
    </row>
    <row r="281" spans="1:29" x14ac:dyDescent="0.3">
      <c r="A281">
        <v>280</v>
      </c>
      <c r="B281" s="1">
        <v>40556</v>
      </c>
      <c r="C281">
        <v>1</v>
      </c>
      <c r="D281">
        <v>2</v>
      </c>
      <c r="E281" t="b">
        <v>0</v>
      </c>
      <c r="F281">
        <v>4</v>
      </c>
      <c r="G281">
        <v>1</v>
      </c>
      <c r="H281">
        <v>0.14000000000000001</v>
      </c>
      <c r="I281">
        <v>0.1212</v>
      </c>
      <c r="J281">
        <v>0.5</v>
      </c>
      <c r="K281">
        <v>0.35820000000000002</v>
      </c>
      <c r="L281">
        <v>0</v>
      </c>
      <c r="M281">
        <v>2</v>
      </c>
      <c r="N281">
        <v>2</v>
      </c>
      <c r="O281" t="s">
        <v>29</v>
      </c>
      <c r="P281" t="s">
        <v>58</v>
      </c>
      <c r="Q281" t="s">
        <v>31</v>
      </c>
      <c r="R281" t="s">
        <v>32</v>
      </c>
      <c r="S281" t="s">
        <v>55</v>
      </c>
      <c r="T281" t="s">
        <v>49</v>
      </c>
      <c r="U281" t="s">
        <v>53</v>
      </c>
      <c r="V281" t="s">
        <v>36</v>
      </c>
      <c r="W281" t="s">
        <v>37</v>
      </c>
      <c r="X281">
        <v>0</v>
      </c>
      <c r="Y281">
        <v>100</v>
      </c>
      <c r="Z281" t="s">
        <v>38</v>
      </c>
      <c r="AA281" t="s">
        <v>39</v>
      </c>
      <c r="AB281" t="s">
        <v>38</v>
      </c>
      <c r="AC281">
        <v>-1.8800000000000011E-2</v>
      </c>
    </row>
    <row r="282" spans="1:29" x14ac:dyDescent="0.3">
      <c r="A282">
        <v>281</v>
      </c>
      <c r="B282" s="1">
        <v>40556</v>
      </c>
      <c r="C282">
        <v>1</v>
      </c>
      <c r="D282">
        <v>3</v>
      </c>
      <c r="E282" t="b">
        <v>0</v>
      </c>
      <c r="F282">
        <v>4</v>
      </c>
      <c r="G282">
        <v>1</v>
      </c>
      <c r="H282">
        <v>0.14000000000000001</v>
      </c>
      <c r="I282">
        <v>0.1212</v>
      </c>
      <c r="J282">
        <v>0.5</v>
      </c>
      <c r="K282">
        <v>0.32840000000000003</v>
      </c>
      <c r="L282">
        <v>0</v>
      </c>
      <c r="M282">
        <v>3</v>
      </c>
      <c r="N282">
        <v>3</v>
      </c>
      <c r="O282" t="s">
        <v>29</v>
      </c>
      <c r="P282" t="s">
        <v>58</v>
      </c>
      <c r="Q282" t="s">
        <v>31</v>
      </c>
      <c r="R282" t="s">
        <v>32</v>
      </c>
      <c r="S282" t="s">
        <v>55</v>
      </c>
      <c r="T282" t="s">
        <v>49</v>
      </c>
      <c r="U282" t="s">
        <v>53</v>
      </c>
      <c r="V282" t="s">
        <v>36</v>
      </c>
      <c r="W282" t="s">
        <v>37</v>
      </c>
      <c r="X282">
        <v>0</v>
      </c>
      <c r="Y282">
        <v>100</v>
      </c>
      <c r="Z282" t="s">
        <v>38</v>
      </c>
      <c r="AA282" t="s">
        <v>39</v>
      </c>
      <c r="AB282" t="s">
        <v>38</v>
      </c>
      <c r="AC282">
        <v>-1.8800000000000011E-2</v>
      </c>
    </row>
    <row r="283" spans="1:29" x14ac:dyDescent="0.3">
      <c r="A283">
        <v>282</v>
      </c>
      <c r="B283" s="1">
        <v>40556</v>
      </c>
      <c r="C283">
        <v>1</v>
      </c>
      <c r="D283">
        <v>4</v>
      </c>
      <c r="E283" t="b">
        <v>0</v>
      </c>
      <c r="F283">
        <v>4</v>
      </c>
      <c r="G283">
        <v>1</v>
      </c>
      <c r="H283">
        <v>0.14000000000000001</v>
      </c>
      <c r="I283">
        <v>0.1212</v>
      </c>
      <c r="J283">
        <v>0.5</v>
      </c>
      <c r="K283">
        <v>0.25369999999999998</v>
      </c>
      <c r="L283">
        <v>0</v>
      </c>
      <c r="M283">
        <v>4</v>
      </c>
      <c r="N283">
        <v>4</v>
      </c>
      <c r="O283" t="s">
        <v>29</v>
      </c>
      <c r="P283" t="s">
        <v>58</v>
      </c>
      <c r="Q283" t="s">
        <v>31</v>
      </c>
      <c r="R283" t="s">
        <v>32</v>
      </c>
      <c r="S283" t="s">
        <v>55</v>
      </c>
      <c r="T283" t="s">
        <v>49</v>
      </c>
      <c r="U283" t="s">
        <v>46</v>
      </c>
      <c r="V283" t="s">
        <v>36</v>
      </c>
      <c r="W283" t="s">
        <v>37</v>
      </c>
      <c r="X283">
        <v>0</v>
      </c>
      <c r="Y283">
        <v>100</v>
      </c>
      <c r="Z283" t="s">
        <v>38</v>
      </c>
      <c r="AA283" t="s">
        <v>39</v>
      </c>
      <c r="AB283" t="s">
        <v>38</v>
      </c>
      <c r="AC283">
        <v>-1.8800000000000011E-2</v>
      </c>
    </row>
    <row r="284" spans="1:29" x14ac:dyDescent="0.3">
      <c r="A284">
        <v>283</v>
      </c>
      <c r="B284" s="1">
        <v>40556</v>
      </c>
      <c r="C284">
        <v>1</v>
      </c>
      <c r="D284">
        <v>5</v>
      </c>
      <c r="E284" t="b">
        <v>0</v>
      </c>
      <c r="F284">
        <v>4</v>
      </c>
      <c r="G284">
        <v>1</v>
      </c>
      <c r="H284">
        <v>0.14000000000000001</v>
      </c>
      <c r="I284">
        <v>0.1212</v>
      </c>
      <c r="J284">
        <v>0.5</v>
      </c>
      <c r="K284">
        <v>0.29849999999999999</v>
      </c>
      <c r="L284">
        <v>0</v>
      </c>
      <c r="M284">
        <v>3</v>
      </c>
      <c r="N284">
        <v>3</v>
      </c>
      <c r="O284" t="s">
        <v>29</v>
      </c>
      <c r="P284" t="s">
        <v>58</v>
      </c>
      <c r="Q284" t="s">
        <v>31</v>
      </c>
      <c r="R284" t="s">
        <v>32</v>
      </c>
      <c r="S284" t="s">
        <v>55</v>
      </c>
      <c r="T284" t="s">
        <v>49</v>
      </c>
      <c r="U284" t="s">
        <v>46</v>
      </c>
      <c r="V284" t="s">
        <v>36</v>
      </c>
      <c r="W284" t="s">
        <v>37</v>
      </c>
      <c r="X284">
        <v>0</v>
      </c>
      <c r="Y284">
        <v>100</v>
      </c>
      <c r="Z284" t="s">
        <v>38</v>
      </c>
      <c r="AA284" t="s">
        <v>39</v>
      </c>
      <c r="AB284" t="s">
        <v>38</v>
      </c>
      <c r="AC284">
        <v>-1.8800000000000011E-2</v>
      </c>
    </row>
    <row r="285" spans="1:29" x14ac:dyDescent="0.3">
      <c r="A285">
        <v>284</v>
      </c>
      <c r="B285" s="1">
        <v>40556</v>
      </c>
      <c r="C285">
        <v>1</v>
      </c>
      <c r="D285">
        <v>6</v>
      </c>
      <c r="E285" t="b">
        <v>0</v>
      </c>
      <c r="F285">
        <v>4</v>
      </c>
      <c r="G285">
        <v>1</v>
      </c>
      <c r="H285">
        <v>0.12</v>
      </c>
      <c r="I285">
        <v>0.1515</v>
      </c>
      <c r="J285">
        <v>0.54</v>
      </c>
      <c r="K285">
        <v>0.1343</v>
      </c>
      <c r="L285">
        <v>0</v>
      </c>
      <c r="M285">
        <v>28</v>
      </c>
      <c r="N285">
        <v>28</v>
      </c>
      <c r="O285" t="s">
        <v>29</v>
      </c>
      <c r="P285" t="s">
        <v>58</v>
      </c>
      <c r="Q285" t="s">
        <v>31</v>
      </c>
      <c r="R285" t="s">
        <v>42</v>
      </c>
      <c r="S285" t="s">
        <v>55</v>
      </c>
      <c r="T285" t="s">
        <v>49</v>
      </c>
      <c r="U285" t="s">
        <v>35</v>
      </c>
      <c r="V285" t="s">
        <v>36</v>
      </c>
      <c r="W285" t="s">
        <v>37</v>
      </c>
      <c r="X285">
        <v>0</v>
      </c>
      <c r="Y285">
        <v>100</v>
      </c>
      <c r="Z285" t="s">
        <v>38</v>
      </c>
      <c r="AA285" t="s">
        <v>39</v>
      </c>
      <c r="AB285" t="s">
        <v>38</v>
      </c>
      <c r="AC285">
        <v>3.15E-2</v>
      </c>
    </row>
    <row r="286" spans="1:29" x14ac:dyDescent="0.3">
      <c r="A286">
        <v>285</v>
      </c>
      <c r="B286" s="1">
        <v>40556</v>
      </c>
      <c r="C286">
        <v>1</v>
      </c>
      <c r="D286">
        <v>7</v>
      </c>
      <c r="E286" t="b">
        <v>0</v>
      </c>
      <c r="F286">
        <v>4</v>
      </c>
      <c r="G286">
        <v>1</v>
      </c>
      <c r="H286">
        <v>0.12</v>
      </c>
      <c r="I286">
        <v>0.1515</v>
      </c>
      <c r="J286">
        <v>0.54</v>
      </c>
      <c r="K286">
        <v>0.1343</v>
      </c>
      <c r="L286">
        <v>0</v>
      </c>
      <c r="M286">
        <v>72</v>
      </c>
      <c r="N286">
        <v>72</v>
      </c>
      <c r="O286" t="s">
        <v>29</v>
      </c>
      <c r="P286" t="s">
        <v>58</v>
      </c>
      <c r="Q286" t="s">
        <v>31</v>
      </c>
      <c r="R286" t="s">
        <v>42</v>
      </c>
      <c r="S286" t="s">
        <v>55</v>
      </c>
      <c r="T286" t="s">
        <v>49</v>
      </c>
      <c r="U286" t="s">
        <v>35</v>
      </c>
      <c r="V286" t="s">
        <v>36</v>
      </c>
      <c r="W286" t="s">
        <v>37</v>
      </c>
      <c r="X286">
        <v>0</v>
      </c>
      <c r="Y286">
        <v>100</v>
      </c>
      <c r="Z286" t="s">
        <v>40</v>
      </c>
      <c r="AA286" t="s">
        <v>39</v>
      </c>
      <c r="AB286" t="s">
        <v>38</v>
      </c>
      <c r="AC286">
        <v>3.15E-2</v>
      </c>
    </row>
    <row r="287" spans="1:29" x14ac:dyDescent="0.3">
      <c r="A287">
        <v>286</v>
      </c>
      <c r="B287" s="1">
        <v>40556</v>
      </c>
      <c r="C287">
        <v>1</v>
      </c>
      <c r="D287">
        <v>8</v>
      </c>
      <c r="E287" t="b">
        <v>0</v>
      </c>
      <c r="F287">
        <v>4</v>
      </c>
      <c r="G287">
        <v>1</v>
      </c>
      <c r="H287">
        <v>0.14000000000000001</v>
      </c>
      <c r="I287">
        <v>0.13639999999999999</v>
      </c>
      <c r="J287">
        <v>0.5</v>
      </c>
      <c r="K287">
        <v>0.19400000000000001</v>
      </c>
      <c r="L287">
        <v>5</v>
      </c>
      <c r="M287">
        <v>197</v>
      </c>
      <c r="N287">
        <v>202</v>
      </c>
      <c r="O287" t="s">
        <v>29</v>
      </c>
      <c r="P287" t="s">
        <v>58</v>
      </c>
      <c r="Q287" t="s">
        <v>31</v>
      </c>
      <c r="R287" t="s">
        <v>42</v>
      </c>
      <c r="S287" t="s">
        <v>55</v>
      </c>
      <c r="T287" t="s">
        <v>49</v>
      </c>
      <c r="U287" t="s">
        <v>46</v>
      </c>
      <c r="V287" t="s">
        <v>36</v>
      </c>
      <c r="W287" t="s">
        <v>37</v>
      </c>
      <c r="X287">
        <v>2.4752475247524748</v>
      </c>
      <c r="Y287">
        <v>97.524752475247524</v>
      </c>
      <c r="Z287" t="s">
        <v>40</v>
      </c>
      <c r="AA287" t="s">
        <v>49</v>
      </c>
      <c r="AB287" t="s">
        <v>38</v>
      </c>
      <c r="AC287">
        <v>-3.6000000000000199E-3</v>
      </c>
    </row>
    <row r="288" spans="1:29" x14ac:dyDescent="0.3">
      <c r="A288">
        <v>287</v>
      </c>
      <c r="B288" s="1">
        <v>40556</v>
      </c>
      <c r="C288">
        <v>1</v>
      </c>
      <c r="D288">
        <v>9</v>
      </c>
      <c r="E288" t="b">
        <v>0</v>
      </c>
      <c r="F288">
        <v>4</v>
      </c>
      <c r="G288">
        <v>1</v>
      </c>
      <c r="H288">
        <v>0.14000000000000001</v>
      </c>
      <c r="I288">
        <v>0.1212</v>
      </c>
      <c r="J288">
        <v>0.5</v>
      </c>
      <c r="K288">
        <v>0.32840000000000003</v>
      </c>
      <c r="L288">
        <v>2</v>
      </c>
      <c r="M288">
        <v>137</v>
      </c>
      <c r="N288">
        <v>139</v>
      </c>
      <c r="O288" t="s">
        <v>29</v>
      </c>
      <c r="P288" t="s">
        <v>58</v>
      </c>
      <c r="Q288" t="s">
        <v>31</v>
      </c>
      <c r="R288" t="s">
        <v>42</v>
      </c>
      <c r="S288" t="s">
        <v>55</v>
      </c>
      <c r="T288" t="s">
        <v>49</v>
      </c>
      <c r="U288" t="s">
        <v>53</v>
      </c>
      <c r="V288" t="s">
        <v>36</v>
      </c>
      <c r="W288" t="s">
        <v>37</v>
      </c>
      <c r="X288">
        <v>1.43884892086331</v>
      </c>
      <c r="Y288">
        <v>98.561151079136692</v>
      </c>
      <c r="Z288" t="s">
        <v>40</v>
      </c>
      <c r="AA288" t="s">
        <v>49</v>
      </c>
      <c r="AB288" t="s">
        <v>38</v>
      </c>
      <c r="AC288">
        <v>-1.8800000000000011E-2</v>
      </c>
    </row>
    <row r="289" spans="1:29" x14ac:dyDescent="0.3">
      <c r="A289">
        <v>288</v>
      </c>
      <c r="B289" s="1">
        <v>40556</v>
      </c>
      <c r="C289">
        <v>1</v>
      </c>
      <c r="D289">
        <v>10</v>
      </c>
      <c r="E289" t="b">
        <v>0</v>
      </c>
      <c r="F289">
        <v>4</v>
      </c>
      <c r="G289">
        <v>2</v>
      </c>
      <c r="H289">
        <v>0.16</v>
      </c>
      <c r="I289">
        <v>0.13639999999999999</v>
      </c>
      <c r="J289">
        <v>0.5</v>
      </c>
      <c r="K289">
        <v>0.35820000000000002</v>
      </c>
      <c r="L289">
        <v>2</v>
      </c>
      <c r="M289">
        <v>36</v>
      </c>
      <c r="N289">
        <v>38</v>
      </c>
      <c r="O289" t="s">
        <v>29</v>
      </c>
      <c r="P289" t="s">
        <v>58</v>
      </c>
      <c r="Q289" t="s">
        <v>41</v>
      </c>
      <c r="R289" t="s">
        <v>42</v>
      </c>
      <c r="S289" t="s">
        <v>33</v>
      </c>
      <c r="T289" t="s">
        <v>49</v>
      </c>
      <c r="U289" t="s">
        <v>53</v>
      </c>
      <c r="V289" t="s">
        <v>36</v>
      </c>
      <c r="W289" t="s">
        <v>37</v>
      </c>
      <c r="X289">
        <v>5.2631578947368416</v>
      </c>
      <c r="Y289">
        <v>94.73684210526315</v>
      </c>
      <c r="Z289" t="s">
        <v>38</v>
      </c>
      <c r="AA289" t="s">
        <v>39</v>
      </c>
      <c r="AB289" t="s">
        <v>38</v>
      </c>
      <c r="AC289">
        <v>-2.360000000000001E-2</v>
      </c>
    </row>
    <row r="290" spans="1:29" x14ac:dyDescent="0.3">
      <c r="A290">
        <v>289</v>
      </c>
      <c r="B290" s="1">
        <v>40556</v>
      </c>
      <c r="C290">
        <v>1</v>
      </c>
      <c r="D290">
        <v>11</v>
      </c>
      <c r="E290" t="b">
        <v>0</v>
      </c>
      <c r="F290">
        <v>4</v>
      </c>
      <c r="G290">
        <v>2</v>
      </c>
      <c r="H290">
        <v>0.2</v>
      </c>
      <c r="I290">
        <v>0.16669999999999999</v>
      </c>
      <c r="J290">
        <v>0.44</v>
      </c>
      <c r="K290">
        <v>0.44779999999999998</v>
      </c>
      <c r="L290">
        <v>4</v>
      </c>
      <c r="M290">
        <v>33</v>
      </c>
      <c r="N290">
        <v>37</v>
      </c>
      <c r="O290" t="s">
        <v>29</v>
      </c>
      <c r="P290" t="s">
        <v>58</v>
      </c>
      <c r="Q290" t="s">
        <v>41</v>
      </c>
      <c r="R290" t="s">
        <v>42</v>
      </c>
      <c r="S290" t="s">
        <v>33</v>
      </c>
      <c r="T290" t="s">
        <v>49</v>
      </c>
      <c r="U290" t="s">
        <v>53</v>
      </c>
      <c r="V290" t="s">
        <v>36</v>
      </c>
      <c r="W290" t="s">
        <v>37</v>
      </c>
      <c r="X290">
        <v>10.810810810810811</v>
      </c>
      <c r="Y290">
        <v>89.189189189189193</v>
      </c>
      <c r="Z290" t="s">
        <v>38</v>
      </c>
      <c r="AA290" t="s">
        <v>39</v>
      </c>
      <c r="AB290" t="s">
        <v>38</v>
      </c>
      <c r="AC290">
        <v>-3.3300000000000017E-2</v>
      </c>
    </row>
    <row r="291" spans="1:29" x14ac:dyDescent="0.3">
      <c r="A291">
        <v>290</v>
      </c>
      <c r="B291" s="1">
        <v>40556</v>
      </c>
      <c r="C291">
        <v>1</v>
      </c>
      <c r="D291">
        <v>12</v>
      </c>
      <c r="E291" t="b">
        <v>0</v>
      </c>
      <c r="F291">
        <v>4</v>
      </c>
      <c r="G291">
        <v>1</v>
      </c>
      <c r="H291">
        <v>0.2</v>
      </c>
      <c r="I291">
        <v>0.16669999999999999</v>
      </c>
      <c r="J291">
        <v>0.44</v>
      </c>
      <c r="K291">
        <v>0.41789999999999999</v>
      </c>
      <c r="L291">
        <v>3</v>
      </c>
      <c r="M291">
        <v>49</v>
      </c>
      <c r="N291">
        <v>52</v>
      </c>
      <c r="O291" t="s">
        <v>29</v>
      </c>
      <c r="P291" t="s">
        <v>58</v>
      </c>
      <c r="Q291" t="s">
        <v>31</v>
      </c>
      <c r="R291" t="s">
        <v>47</v>
      </c>
      <c r="S291" t="s">
        <v>33</v>
      </c>
      <c r="T291" t="s">
        <v>49</v>
      </c>
      <c r="U291" t="s">
        <v>53</v>
      </c>
      <c r="V291" t="s">
        <v>36</v>
      </c>
      <c r="W291" t="s">
        <v>37</v>
      </c>
      <c r="X291">
        <v>5.7692307692307692</v>
      </c>
      <c r="Y291">
        <v>94.230769230769226</v>
      </c>
      <c r="Z291" t="s">
        <v>38</v>
      </c>
      <c r="AA291" t="s">
        <v>39</v>
      </c>
      <c r="AB291" t="s">
        <v>38</v>
      </c>
      <c r="AC291">
        <v>-3.3300000000000017E-2</v>
      </c>
    </row>
    <row r="292" spans="1:29" x14ac:dyDescent="0.3">
      <c r="A292">
        <v>291</v>
      </c>
      <c r="B292" s="1">
        <v>40556</v>
      </c>
      <c r="C292">
        <v>1</v>
      </c>
      <c r="D292">
        <v>13</v>
      </c>
      <c r="E292" t="b">
        <v>0</v>
      </c>
      <c r="F292">
        <v>4</v>
      </c>
      <c r="G292">
        <v>1</v>
      </c>
      <c r="H292">
        <v>0.22</v>
      </c>
      <c r="I292">
        <v>0.19700000000000001</v>
      </c>
      <c r="J292">
        <v>0.41</v>
      </c>
      <c r="K292">
        <v>0.44779999999999998</v>
      </c>
      <c r="L292">
        <v>2</v>
      </c>
      <c r="M292">
        <v>81</v>
      </c>
      <c r="N292">
        <v>83</v>
      </c>
      <c r="O292" t="s">
        <v>29</v>
      </c>
      <c r="P292" t="s">
        <v>58</v>
      </c>
      <c r="Q292" t="s">
        <v>31</v>
      </c>
      <c r="R292" t="s">
        <v>47</v>
      </c>
      <c r="S292" t="s">
        <v>33</v>
      </c>
      <c r="T292" t="s">
        <v>49</v>
      </c>
      <c r="U292" t="s">
        <v>53</v>
      </c>
      <c r="V292" t="s">
        <v>36</v>
      </c>
      <c r="W292" t="s">
        <v>37</v>
      </c>
      <c r="X292">
        <v>2.4096385542168681</v>
      </c>
      <c r="Y292">
        <v>97.590361445783131</v>
      </c>
      <c r="Z292" t="s">
        <v>38</v>
      </c>
      <c r="AA292" t="s">
        <v>39</v>
      </c>
      <c r="AB292" t="s">
        <v>38</v>
      </c>
      <c r="AC292">
        <v>-2.2999999999999989E-2</v>
      </c>
    </row>
    <row r="293" spans="1:29" x14ac:dyDescent="0.3">
      <c r="A293">
        <v>292</v>
      </c>
      <c r="B293" s="1">
        <v>40556</v>
      </c>
      <c r="C293">
        <v>1</v>
      </c>
      <c r="D293">
        <v>14</v>
      </c>
      <c r="E293" t="b">
        <v>0</v>
      </c>
      <c r="F293">
        <v>4</v>
      </c>
      <c r="G293">
        <v>1</v>
      </c>
      <c r="H293">
        <v>0.22</v>
      </c>
      <c r="I293">
        <v>0.19700000000000001</v>
      </c>
      <c r="J293">
        <v>0.41</v>
      </c>
      <c r="K293">
        <v>0.3881</v>
      </c>
      <c r="L293">
        <v>3</v>
      </c>
      <c r="M293">
        <v>39</v>
      </c>
      <c r="N293">
        <v>42</v>
      </c>
      <c r="O293" t="s">
        <v>29</v>
      </c>
      <c r="P293" t="s">
        <v>58</v>
      </c>
      <c r="Q293" t="s">
        <v>31</v>
      </c>
      <c r="R293" t="s">
        <v>47</v>
      </c>
      <c r="S293" t="s">
        <v>33</v>
      </c>
      <c r="T293" t="s">
        <v>49</v>
      </c>
      <c r="U293" t="s">
        <v>53</v>
      </c>
      <c r="V293" t="s">
        <v>36</v>
      </c>
      <c r="W293" t="s">
        <v>37</v>
      </c>
      <c r="X293">
        <v>7.1428571428571423</v>
      </c>
      <c r="Y293">
        <v>92.857142857142861</v>
      </c>
      <c r="Z293" t="s">
        <v>38</v>
      </c>
      <c r="AA293" t="s">
        <v>39</v>
      </c>
      <c r="AB293" t="s">
        <v>38</v>
      </c>
      <c r="AC293">
        <v>-2.2999999999999989E-2</v>
      </c>
    </row>
    <row r="294" spans="1:29" x14ac:dyDescent="0.3">
      <c r="A294">
        <v>293</v>
      </c>
      <c r="B294" s="1">
        <v>40556</v>
      </c>
      <c r="C294">
        <v>1</v>
      </c>
      <c r="D294">
        <v>15</v>
      </c>
      <c r="E294" t="b">
        <v>0</v>
      </c>
      <c r="F294">
        <v>4</v>
      </c>
      <c r="G294">
        <v>1</v>
      </c>
      <c r="H294">
        <v>0.24</v>
      </c>
      <c r="I294">
        <v>0.21210000000000001</v>
      </c>
      <c r="J294">
        <v>0.38</v>
      </c>
      <c r="K294">
        <v>0.29849999999999999</v>
      </c>
      <c r="L294">
        <v>5</v>
      </c>
      <c r="M294">
        <v>55</v>
      </c>
      <c r="N294">
        <v>60</v>
      </c>
      <c r="O294" t="s">
        <v>29</v>
      </c>
      <c r="P294" t="s">
        <v>58</v>
      </c>
      <c r="Q294" t="s">
        <v>31</v>
      </c>
      <c r="R294" t="s">
        <v>47</v>
      </c>
      <c r="S294" t="s">
        <v>33</v>
      </c>
      <c r="T294" t="s">
        <v>39</v>
      </c>
      <c r="U294" t="s">
        <v>46</v>
      </c>
      <c r="V294" t="s">
        <v>36</v>
      </c>
      <c r="W294" t="s">
        <v>37</v>
      </c>
      <c r="X294">
        <v>8.3333333333333321</v>
      </c>
      <c r="Y294">
        <v>91.666666666666657</v>
      </c>
      <c r="Z294" t="s">
        <v>38</v>
      </c>
      <c r="AA294" t="s">
        <v>39</v>
      </c>
      <c r="AB294" t="s">
        <v>38</v>
      </c>
      <c r="AC294">
        <v>-2.789999999999998E-2</v>
      </c>
    </row>
    <row r="295" spans="1:29" x14ac:dyDescent="0.3">
      <c r="A295">
        <v>294</v>
      </c>
      <c r="B295" s="1">
        <v>40556</v>
      </c>
      <c r="C295">
        <v>1</v>
      </c>
      <c r="D295">
        <v>16</v>
      </c>
      <c r="E295" t="b">
        <v>0</v>
      </c>
      <c r="F295">
        <v>4</v>
      </c>
      <c r="G295">
        <v>1</v>
      </c>
      <c r="H295">
        <v>0.24</v>
      </c>
      <c r="I295">
        <v>0.21210000000000001</v>
      </c>
      <c r="J295">
        <v>0.38</v>
      </c>
      <c r="K295">
        <v>0.35820000000000002</v>
      </c>
      <c r="L295">
        <v>2</v>
      </c>
      <c r="M295">
        <v>76</v>
      </c>
      <c r="N295">
        <v>78</v>
      </c>
      <c r="O295" t="s">
        <v>29</v>
      </c>
      <c r="P295" t="s">
        <v>58</v>
      </c>
      <c r="Q295" t="s">
        <v>31</v>
      </c>
      <c r="R295" t="s">
        <v>47</v>
      </c>
      <c r="S295" t="s">
        <v>33</v>
      </c>
      <c r="T295" t="s">
        <v>39</v>
      </c>
      <c r="U295" t="s">
        <v>53</v>
      </c>
      <c r="V295" t="s">
        <v>36</v>
      </c>
      <c r="W295" t="s">
        <v>37</v>
      </c>
      <c r="X295">
        <v>2.5641025641025639</v>
      </c>
      <c r="Y295">
        <v>97.435897435897431</v>
      </c>
      <c r="Z295" t="s">
        <v>38</v>
      </c>
      <c r="AA295" t="s">
        <v>39</v>
      </c>
      <c r="AB295" t="s">
        <v>38</v>
      </c>
      <c r="AC295">
        <v>-2.789999999999998E-2</v>
      </c>
    </row>
    <row r="296" spans="1:29" x14ac:dyDescent="0.3">
      <c r="A296">
        <v>295</v>
      </c>
      <c r="B296" s="1">
        <v>40556</v>
      </c>
      <c r="C296">
        <v>1</v>
      </c>
      <c r="D296">
        <v>17</v>
      </c>
      <c r="E296" t="b">
        <v>0</v>
      </c>
      <c r="F296">
        <v>4</v>
      </c>
      <c r="G296">
        <v>1</v>
      </c>
      <c r="H296">
        <v>0.2</v>
      </c>
      <c r="I296">
        <v>0.18179999999999999</v>
      </c>
      <c r="J296">
        <v>0.4</v>
      </c>
      <c r="K296">
        <v>0.28360000000000002</v>
      </c>
      <c r="L296">
        <v>4</v>
      </c>
      <c r="M296">
        <v>158</v>
      </c>
      <c r="N296">
        <v>162</v>
      </c>
      <c r="O296" t="s">
        <v>29</v>
      </c>
      <c r="P296" t="s">
        <v>58</v>
      </c>
      <c r="Q296" t="s">
        <v>31</v>
      </c>
      <c r="R296" t="s">
        <v>50</v>
      </c>
      <c r="S296" t="s">
        <v>33</v>
      </c>
      <c r="T296" t="s">
        <v>49</v>
      </c>
      <c r="U296" t="s">
        <v>46</v>
      </c>
      <c r="V296" t="s">
        <v>36</v>
      </c>
      <c r="W296" t="s">
        <v>37</v>
      </c>
      <c r="X296">
        <v>2.4691358024691361</v>
      </c>
      <c r="Y296">
        <v>97.53086419753086</v>
      </c>
      <c r="Z296" t="s">
        <v>40</v>
      </c>
      <c r="AA296" t="s">
        <v>49</v>
      </c>
      <c r="AB296" t="s">
        <v>38</v>
      </c>
      <c r="AC296">
        <v>-1.8200000000000022E-2</v>
      </c>
    </row>
    <row r="297" spans="1:29" x14ac:dyDescent="0.3">
      <c r="A297">
        <v>296</v>
      </c>
      <c r="B297" s="1">
        <v>40556</v>
      </c>
      <c r="C297">
        <v>1</v>
      </c>
      <c r="D297">
        <v>18</v>
      </c>
      <c r="E297" t="b">
        <v>0</v>
      </c>
      <c r="F297">
        <v>4</v>
      </c>
      <c r="G297">
        <v>1</v>
      </c>
      <c r="H297">
        <v>0.2</v>
      </c>
      <c r="I297">
        <v>0.18179999999999999</v>
      </c>
      <c r="J297">
        <v>0.4</v>
      </c>
      <c r="K297">
        <v>0.32840000000000003</v>
      </c>
      <c r="L297">
        <v>3</v>
      </c>
      <c r="M297">
        <v>141</v>
      </c>
      <c r="N297">
        <v>144</v>
      </c>
      <c r="O297" t="s">
        <v>29</v>
      </c>
      <c r="P297" t="s">
        <v>58</v>
      </c>
      <c r="Q297" t="s">
        <v>31</v>
      </c>
      <c r="R297" t="s">
        <v>50</v>
      </c>
      <c r="S297" t="s">
        <v>33</v>
      </c>
      <c r="T297" t="s">
        <v>49</v>
      </c>
      <c r="U297" t="s">
        <v>53</v>
      </c>
      <c r="V297" t="s">
        <v>36</v>
      </c>
      <c r="W297" t="s">
        <v>37</v>
      </c>
      <c r="X297">
        <v>2.083333333333333</v>
      </c>
      <c r="Y297">
        <v>97.916666666666657</v>
      </c>
      <c r="Z297" t="s">
        <v>40</v>
      </c>
      <c r="AA297" t="s">
        <v>49</v>
      </c>
      <c r="AB297" t="s">
        <v>38</v>
      </c>
      <c r="AC297">
        <v>-1.8200000000000022E-2</v>
      </c>
    </row>
    <row r="298" spans="1:29" x14ac:dyDescent="0.3">
      <c r="A298">
        <v>297</v>
      </c>
      <c r="B298" s="1">
        <v>40556</v>
      </c>
      <c r="C298">
        <v>1</v>
      </c>
      <c r="D298">
        <v>19</v>
      </c>
      <c r="E298" t="b">
        <v>0</v>
      </c>
      <c r="F298">
        <v>4</v>
      </c>
      <c r="G298">
        <v>1</v>
      </c>
      <c r="H298">
        <v>0.16</v>
      </c>
      <c r="I298">
        <v>0.1515</v>
      </c>
      <c r="J298">
        <v>0.47</v>
      </c>
      <c r="K298">
        <v>0.25369999999999998</v>
      </c>
      <c r="L298">
        <v>1</v>
      </c>
      <c r="M298">
        <v>98</v>
      </c>
      <c r="N298">
        <v>99</v>
      </c>
      <c r="O298" t="s">
        <v>29</v>
      </c>
      <c r="P298" t="s">
        <v>58</v>
      </c>
      <c r="Q298" t="s">
        <v>31</v>
      </c>
      <c r="R298" t="s">
        <v>50</v>
      </c>
      <c r="S298" t="s">
        <v>33</v>
      </c>
      <c r="T298" t="s">
        <v>49</v>
      </c>
      <c r="U298" t="s">
        <v>46</v>
      </c>
      <c r="V298" t="s">
        <v>36</v>
      </c>
      <c r="W298" t="s">
        <v>37</v>
      </c>
      <c r="X298">
        <v>1.0101010101010099</v>
      </c>
      <c r="Y298">
        <v>98.98989898989899</v>
      </c>
      <c r="Z298" t="s">
        <v>40</v>
      </c>
      <c r="AA298" t="s">
        <v>39</v>
      </c>
      <c r="AB298" t="s">
        <v>38</v>
      </c>
      <c r="AC298">
        <v>-8.5000000000000075E-3</v>
      </c>
    </row>
    <row r="299" spans="1:29" x14ac:dyDescent="0.3">
      <c r="A299">
        <v>298</v>
      </c>
      <c r="B299" s="1">
        <v>40556</v>
      </c>
      <c r="C299">
        <v>1</v>
      </c>
      <c r="D299">
        <v>20</v>
      </c>
      <c r="E299" t="b">
        <v>0</v>
      </c>
      <c r="F299">
        <v>4</v>
      </c>
      <c r="G299">
        <v>1</v>
      </c>
      <c r="H299">
        <v>0.16</v>
      </c>
      <c r="I299">
        <v>0.1515</v>
      </c>
      <c r="J299">
        <v>0.47</v>
      </c>
      <c r="K299">
        <v>0.22389999999999999</v>
      </c>
      <c r="L299">
        <v>0</v>
      </c>
      <c r="M299">
        <v>64</v>
      </c>
      <c r="N299">
        <v>64</v>
      </c>
      <c r="O299" t="s">
        <v>29</v>
      </c>
      <c r="P299" t="s">
        <v>58</v>
      </c>
      <c r="Q299" t="s">
        <v>31</v>
      </c>
      <c r="R299" t="s">
        <v>50</v>
      </c>
      <c r="S299" t="s">
        <v>33</v>
      </c>
      <c r="T299" t="s">
        <v>49</v>
      </c>
      <c r="U299" t="s">
        <v>46</v>
      </c>
      <c r="V299" t="s">
        <v>36</v>
      </c>
      <c r="W299" t="s">
        <v>37</v>
      </c>
      <c r="X299">
        <v>0</v>
      </c>
      <c r="Y299">
        <v>100</v>
      </c>
      <c r="Z299" t="s">
        <v>38</v>
      </c>
      <c r="AA299" t="s">
        <v>39</v>
      </c>
      <c r="AB299" t="s">
        <v>38</v>
      </c>
      <c r="AC299">
        <v>-8.5000000000000075E-3</v>
      </c>
    </row>
    <row r="300" spans="1:29" x14ac:dyDescent="0.3">
      <c r="A300">
        <v>299</v>
      </c>
      <c r="B300" s="1">
        <v>40556</v>
      </c>
      <c r="C300">
        <v>1</v>
      </c>
      <c r="D300">
        <v>21</v>
      </c>
      <c r="E300" t="b">
        <v>0</v>
      </c>
      <c r="F300">
        <v>4</v>
      </c>
      <c r="G300">
        <v>1</v>
      </c>
      <c r="H300">
        <v>0.14000000000000001</v>
      </c>
      <c r="I300">
        <v>0.1212</v>
      </c>
      <c r="J300">
        <v>0.46</v>
      </c>
      <c r="K300">
        <v>0.29849999999999999</v>
      </c>
      <c r="L300">
        <v>0</v>
      </c>
      <c r="M300">
        <v>40</v>
      </c>
      <c r="N300">
        <v>40</v>
      </c>
      <c r="O300" t="s">
        <v>29</v>
      </c>
      <c r="P300" t="s">
        <v>58</v>
      </c>
      <c r="Q300" t="s">
        <v>31</v>
      </c>
      <c r="R300" t="s">
        <v>32</v>
      </c>
      <c r="S300" t="s">
        <v>55</v>
      </c>
      <c r="T300" t="s">
        <v>49</v>
      </c>
      <c r="U300" t="s">
        <v>46</v>
      </c>
      <c r="V300" t="s">
        <v>36</v>
      </c>
      <c r="W300" t="s">
        <v>37</v>
      </c>
      <c r="X300">
        <v>0</v>
      </c>
      <c r="Y300">
        <v>100</v>
      </c>
      <c r="Z300" t="s">
        <v>38</v>
      </c>
      <c r="AA300" t="s">
        <v>39</v>
      </c>
      <c r="AB300" t="s">
        <v>38</v>
      </c>
      <c r="AC300">
        <v>-1.8800000000000011E-2</v>
      </c>
    </row>
    <row r="301" spans="1:29" x14ac:dyDescent="0.3">
      <c r="A301">
        <v>300</v>
      </c>
      <c r="B301" s="1">
        <v>40556</v>
      </c>
      <c r="C301">
        <v>1</v>
      </c>
      <c r="D301">
        <v>22</v>
      </c>
      <c r="E301" t="b">
        <v>0</v>
      </c>
      <c r="F301">
        <v>4</v>
      </c>
      <c r="G301">
        <v>1</v>
      </c>
      <c r="H301">
        <v>0.14000000000000001</v>
      </c>
      <c r="I301">
        <v>0.1212</v>
      </c>
      <c r="J301">
        <v>0.46</v>
      </c>
      <c r="K301">
        <v>0.32840000000000003</v>
      </c>
      <c r="L301">
        <v>0</v>
      </c>
      <c r="M301">
        <v>30</v>
      </c>
      <c r="N301">
        <v>30</v>
      </c>
      <c r="O301" t="s">
        <v>29</v>
      </c>
      <c r="P301" t="s">
        <v>58</v>
      </c>
      <c r="Q301" t="s">
        <v>31</v>
      </c>
      <c r="R301" t="s">
        <v>32</v>
      </c>
      <c r="S301" t="s">
        <v>55</v>
      </c>
      <c r="T301" t="s">
        <v>49</v>
      </c>
      <c r="U301" t="s">
        <v>53</v>
      </c>
      <c r="V301" t="s">
        <v>36</v>
      </c>
      <c r="W301" t="s">
        <v>37</v>
      </c>
      <c r="X301">
        <v>0</v>
      </c>
      <c r="Y301">
        <v>100</v>
      </c>
      <c r="Z301" t="s">
        <v>38</v>
      </c>
      <c r="AA301" t="s">
        <v>39</v>
      </c>
      <c r="AB301" t="s">
        <v>38</v>
      </c>
      <c r="AC301">
        <v>-1.8800000000000011E-2</v>
      </c>
    </row>
    <row r="302" spans="1:29" x14ac:dyDescent="0.3">
      <c r="A302">
        <v>301</v>
      </c>
      <c r="B302" s="1">
        <v>40556</v>
      </c>
      <c r="C302">
        <v>1</v>
      </c>
      <c r="D302">
        <v>23</v>
      </c>
      <c r="E302" t="b">
        <v>0</v>
      </c>
      <c r="F302">
        <v>4</v>
      </c>
      <c r="G302">
        <v>1</v>
      </c>
      <c r="H302">
        <v>0.12</v>
      </c>
      <c r="I302">
        <v>0.13639999999999999</v>
      </c>
      <c r="J302">
        <v>0.5</v>
      </c>
      <c r="K302">
        <v>0.19400000000000001</v>
      </c>
      <c r="L302">
        <v>1</v>
      </c>
      <c r="M302">
        <v>14</v>
      </c>
      <c r="N302">
        <v>15</v>
      </c>
      <c r="O302" t="s">
        <v>29</v>
      </c>
      <c r="P302" t="s">
        <v>58</v>
      </c>
      <c r="Q302" t="s">
        <v>31</v>
      </c>
      <c r="R302" t="s">
        <v>32</v>
      </c>
      <c r="S302" t="s">
        <v>55</v>
      </c>
      <c r="T302" t="s">
        <v>49</v>
      </c>
      <c r="U302" t="s">
        <v>46</v>
      </c>
      <c r="V302" t="s">
        <v>36</v>
      </c>
      <c r="W302" t="s">
        <v>37</v>
      </c>
      <c r="X302">
        <v>6.666666666666667</v>
      </c>
      <c r="Y302">
        <v>93.333333333333329</v>
      </c>
      <c r="Z302" t="s">
        <v>38</v>
      </c>
      <c r="AA302" t="s">
        <v>39</v>
      </c>
      <c r="AB302" t="s">
        <v>38</v>
      </c>
      <c r="AC302">
        <v>1.6400000000000001E-2</v>
      </c>
    </row>
    <row r="303" spans="1:29" x14ac:dyDescent="0.3">
      <c r="A303">
        <v>302</v>
      </c>
      <c r="B303" s="1">
        <v>40557</v>
      </c>
      <c r="C303">
        <v>1</v>
      </c>
      <c r="D303">
        <v>0</v>
      </c>
      <c r="E303" t="b">
        <v>0</v>
      </c>
      <c r="F303">
        <v>5</v>
      </c>
      <c r="G303">
        <v>1</v>
      </c>
      <c r="H303">
        <v>0.12</v>
      </c>
      <c r="I303">
        <v>0.13639999999999999</v>
      </c>
      <c r="J303">
        <v>0.5</v>
      </c>
      <c r="K303">
        <v>0.19400000000000001</v>
      </c>
      <c r="L303">
        <v>0</v>
      </c>
      <c r="M303">
        <v>14</v>
      </c>
      <c r="N303">
        <v>14</v>
      </c>
      <c r="O303" t="s">
        <v>29</v>
      </c>
      <c r="P303" t="s">
        <v>59</v>
      </c>
      <c r="Q303" t="s">
        <v>31</v>
      </c>
      <c r="R303" t="s">
        <v>32</v>
      </c>
      <c r="S303" t="s">
        <v>55</v>
      </c>
      <c r="T303" t="s">
        <v>49</v>
      </c>
      <c r="U303" t="s">
        <v>46</v>
      </c>
      <c r="V303" t="s">
        <v>36</v>
      </c>
      <c r="W303" t="s">
        <v>37</v>
      </c>
      <c r="X303">
        <v>0</v>
      </c>
      <c r="Y303">
        <v>100</v>
      </c>
      <c r="Z303" t="s">
        <v>38</v>
      </c>
      <c r="AA303" t="s">
        <v>39</v>
      </c>
      <c r="AB303" t="s">
        <v>38</v>
      </c>
      <c r="AC303">
        <v>1.6400000000000001E-2</v>
      </c>
    </row>
    <row r="304" spans="1:29" x14ac:dyDescent="0.3">
      <c r="A304">
        <v>303</v>
      </c>
      <c r="B304" s="1">
        <v>40557</v>
      </c>
      <c r="C304">
        <v>1</v>
      </c>
      <c r="D304">
        <v>1</v>
      </c>
      <c r="E304" t="b">
        <v>0</v>
      </c>
      <c r="F304">
        <v>5</v>
      </c>
      <c r="G304">
        <v>1</v>
      </c>
      <c r="H304">
        <v>0.1</v>
      </c>
      <c r="I304">
        <v>0.1212</v>
      </c>
      <c r="J304">
        <v>0.54</v>
      </c>
      <c r="K304">
        <v>0.16420000000000001</v>
      </c>
      <c r="L304">
        <v>0</v>
      </c>
      <c r="M304">
        <v>5</v>
      </c>
      <c r="N304">
        <v>5</v>
      </c>
      <c r="O304" t="s">
        <v>29</v>
      </c>
      <c r="P304" t="s">
        <v>59</v>
      </c>
      <c r="Q304" t="s">
        <v>31</v>
      </c>
      <c r="R304" t="s">
        <v>32</v>
      </c>
      <c r="S304" t="s">
        <v>55</v>
      </c>
      <c r="T304" t="s">
        <v>49</v>
      </c>
      <c r="U304" t="s">
        <v>46</v>
      </c>
      <c r="V304" t="s">
        <v>36</v>
      </c>
      <c r="W304" t="s">
        <v>37</v>
      </c>
      <c r="X304">
        <v>0</v>
      </c>
      <c r="Y304">
        <v>100</v>
      </c>
      <c r="Z304" t="s">
        <v>38</v>
      </c>
      <c r="AA304" t="s">
        <v>39</v>
      </c>
      <c r="AB304" t="s">
        <v>38</v>
      </c>
      <c r="AC304">
        <v>2.12E-2</v>
      </c>
    </row>
    <row r="305" spans="1:29" x14ac:dyDescent="0.3">
      <c r="A305">
        <v>304</v>
      </c>
      <c r="B305" s="1">
        <v>40557</v>
      </c>
      <c r="C305">
        <v>1</v>
      </c>
      <c r="D305">
        <v>2</v>
      </c>
      <c r="E305" t="b">
        <v>0</v>
      </c>
      <c r="F305">
        <v>5</v>
      </c>
      <c r="G305">
        <v>1</v>
      </c>
      <c r="H305">
        <v>0.1</v>
      </c>
      <c r="I305">
        <v>0.1212</v>
      </c>
      <c r="J305">
        <v>0.54</v>
      </c>
      <c r="K305">
        <v>0.1343</v>
      </c>
      <c r="L305">
        <v>0</v>
      </c>
      <c r="M305">
        <v>1</v>
      </c>
      <c r="N305">
        <v>1</v>
      </c>
      <c r="O305" t="s">
        <v>29</v>
      </c>
      <c r="P305" t="s">
        <v>59</v>
      </c>
      <c r="Q305" t="s">
        <v>31</v>
      </c>
      <c r="R305" t="s">
        <v>32</v>
      </c>
      <c r="S305" t="s">
        <v>55</v>
      </c>
      <c r="T305" t="s">
        <v>49</v>
      </c>
      <c r="U305" t="s">
        <v>35</v>
      </c>
      <c r="V305" t="s">
        <v>36</v>
      </c>
      <c r="W305" t="s">
        <v>37</v>
      </c>
      <c r="X305">
        <v>0</v>
      </c>
      <c r="Y305">
        <v>100</v>
      </c>
      <c r="Z305" t="s">
        <v>38</v>
      </c>
      <c r="AA305" t="s">
        <v>39</v>
      </c>
      <c r="AB305" t="s">
        <v>38</v>
      </c>
      <c r="AC305">
        <v>2.12E-2</v>
      </c>
    </row>
    <row r="306" spans="1:29" x14ac:dyDescent="0.3">
      <c r="A306">
        <v>305</v>
      </c>
      <c r="B306" s="1">
        <v>40557</v>
      </c>
      <c r="C306">
        <v>1</v>
      </c>
      <c r="D306">
        <v>3</v>
      </c>
      <c r="E306" t="b">
        <v>0</v>
      </c>
      <c r="F306">
        <v>5</v>
      </c>
      <c r="G306">
        <v>1</v>
      </c>
      <c r="H306">
        <v>0.1</v>
      </c>
      <c r="I306">
        <v>0.13639999999999999</v>
      </c>
      <c r="J306">
        <v>0.54</v>
      </c>
      <c r="K306">
        <v>0.1045</v>
      </c>
      <c r="L306">
        <v>0</v>
      </c>
      <c r="M306">
        <v>1</v>
      </c>
      <c r="N306">
        <v>1</v>
      </c>
      <c r="O306" t="s">
        <v>29</v>
      </c>
      <c r="P306" t="s">
        <v>59</v>
      </c>
      <c r="Q306" t="s">
        <v>31</v>
      </c>
      <c r="R306" t="s">
        <v>32</v>
      </c>
      <c r="S306" t="s">
        <v>55</v>
      </c>
      <c r="T306" t="s">
        <v>49</v>
      </c>
      <c r="U306" t="s">
        <v>35</v>
      </c>
      <c r="V306" t="s">
        <v>36</v>
      </c>
      <c r="W306" t="s">
        <v>37</v>
      </c>
      <c r="X306">
        <v>0</v>
      </c>
      <c r="Y306">
        <v>100</v>
      </c>
      <c r="Z306" t="s">
        <v>38</v>
      </c>
      <c r="AA306" t="s">
        <v>39</v>
      </c>
      <c r="AB306" t="s">
        <v>38</v>
      </c>
      <c r="AC306">
        <v>3.6399999999999988E-2</v>
      </c>
    </row>
    <row r="307" spans="1:29" x14ac:dyDescent="0.3">
      <c r="A307">
        <v>306</v>
      </c>
      <c r="B307" s="1">
        <v>40557</v>
      </c>
      <c r="C307">
        <v>1</v>
      </c>
      <c r="D307">
        <v>5</v>
      </c>
      <c r="E307" t="b">
        <v>0</v>
      </c>
      <c r="F307">
        <v>5</v>
      </c>
      <c r="G307">
        <v>1</v>
      </c>
      <c r="H307">
        <v>0.1</v>
      </c>
      <c r="I307">
        <v>0.13639999999999999</v>
      </c>
      <c r="J307">
        <v>0.54</v>
      </c>
      <c r="K307">
        <v>8.9599999999999999E-2</v>
      </c>
      <c r="L307">
        <v>0</v>
      </c>
      <c r="M307">
        <v>8</v>
      </c>
      <c r="N307">
        <v>8</v>
      </c>
      <c r="O307" t="s">
        <v>29</v>
      </c>
      <c r="P307" t="s">
        <v>59</v>
      </c>
      <c r="Q307" t="s">
        <v>31</v>
      </c>
      <c r="R307" t="s">
        <v>32</v>
      </c>
      <c r="S307" t="s">
        <v>55</v>
      </c>
      <c r="T307" t="s">
        <v>49</v>
      </c>
      <c r="U307" t="s">
        <v>35</v>
      </c>
      <c r="V307" t="s">
        <v>36</v>
      </c>
      <c r="W307" t="s">
        <v>37</v>
      </c>
      <c r="X307">
        <v>0</v>
      </c>
      <c r="Y307">
        <v>100</v>
      </c>
      <c r="Z307" t="s">
        <v>38</v>
      </c>
      <c r="AA307" t="s">
        <v>39</v>
      </c>
      <c r="AB307" t="s">
        <v>38</v>
      </c>
      <c r="AC307">
        <v>3.6399999999999988E-2</v>
      </c>
    </row>
    <row r="308" spans="1:29" x14ac:dyDescent="0.3">
      <c r="A308">
        <v>307</v>
      </c>
      <c r="B308" s="1">
        <v>40557</v>
      </c>
      <c r="C308">
        <v>1</v>
      </c>
      <c r="D308">
        <v>6</v>
      </c>
      <c r="E308" t="b">
        <v>0</v>
      </c>
      <c r="F308">
        <v>5</v>
      </c>
      <c r="G308">
        <v>1</v>
      </c>
      <c r="H308">
        <v>0.1</v>
      </c>
      <c r="I308">
        <v>0.18179999999999999</v>
      </c>
      <c r="J308">
        <v>0.54</v>
      </c>
      <c r="K308">
        <v>0</v>
      </c>
      <c r="L308">
        <v>0</v>
      </c>
      <c r="M308">
        <v>17</v>
      </c>
      <c r="N308">
        <v>17</v>
      </c>
      <c r="O308" t="s">
        <v>29</v>
      </c>
      <c r="P308" t="s">
        <v>59</v>
      </c>
      <c r="Q308" t="s">
        <v>31</v>
      </c>
      <c r="R308" t="s">
        <v>42</v>
      </c>
      <c r="S308" t="s">
        <v>55</v>
      </c>
      <c r="T308" t="s">
        <v>49</v>
      </c>
      <c r="U308" t="s">
        <v>35</v>
      </c>
      <c r="V308" t="s">
        <v>36</v>
      </c>
      <c r="W308" t="s">
        <v>37</v>
      </c>
      <c r="X308">
        <v>0</v>
      </c>
      <c r="Y308">
        <v>100</v>
      </c>
      <c r="Z308" t="s">
        <v>38</v>
      </c>
      <c r="AA308" t="s">
        <v>39</v>
      </c>
      <c r="AB308" t="s">
        <v>38</v>
      </c>
      <c r="AC308">
        <v>8.1799999999999984E-2</v>
      </c>
    </row>
    <row r="309" spans="1:29" x14ac:dyDescent="0.3">
      <c r="A309">
        <v>308</v>
      </c>
      <c r="B309" s="1">
        <v>40557</v>
      </c>
      <c r="C309">
        <v>1</v>
      </c>
      <c r="D309">
        <v>7</v>
      </c>
      <c r="E309" t="b">
        <v>0</v>
      </c>
      <c r="F309">
        <v>5</v>
      </c>
      <c r="G309">
        <v>1</v>
      </c>
      <c r="H309">
        <v>0.1</v>
      </c>
      <c r="I309">
        <v>0.1212</v>
      </c>
      <c r="J309">
        <v>0.74</v>
      </c>
      <c r="K309">
        <v>0.16420000000000001</v>
      </c>
      <c r="L309">
        <v>0</v>
      </c>
      <c r="M309">
        <v>70</v>
      </c>
      <c r="N309">
        <v>70</v>
      </c>
      <c r="O309" t="s">
        <v>29</v>
      </c>
      <c r="P309" t="s">
        <v>59</v>
      </c>
      <c r="Q309" t="s">
        <v>31</v>
      </c>
      <c r="R309" t="s">
        <v>42</v>
      </c>
      <c r="S309" t="s">
        <v>55</v>
      </c>
      <c r="T309" t="s">
        <v>34</v>
      </c>
      <c r="U309" t="s">
        <v>46</v>
      </c>
      <c r="V309" t="s">
        <v>36</v>
      </c>
      <c r="W309" t="s">
        <v>37</v>
      </c>
      <c r="X309">
        <v>0</v>
      </c>
      <c r="Y309">
        <v>100</v>
      </c>
      <c r="Z309" t="s">
        <v>40</v>
      </c>
      <c r="AA309" t="s">
        <v>39</v>
      </c>
      <c r="AB309" t="s">
        <v>38</v>
      </c>
      <c r="AC309">
        <v>2.12E-2</v>
      </c>
    </row>
    <row r="310" spans="1:29" x14ac:dyDescent="0.3">
      <c r="A310">
        <v>309</v>
      </c>
      <c r="B310" s="1">
        <v>40557</v>
      </c>
      <c r="C310">
        <v>1</v>
      </c>
      <c r="D310">
        <v>8</v>
      </c>
      <c r="E310" t="b">
        <v>0</v>
      </c>
      <c r="F310">
        <v>5</v>
      </c>
      <c r="G310">
        <v>1</v>
      </c>
      <c r="H310">
        <v>0.12</v>
      </c>
      <c r="I310">
        <v>0.16669999999999999</v>
      </c>
      <c r="J310">
        <v>0.68</v>
      </c>
      <c r="K310">
        <v>0</v>
      </c>
      <c r="L310">
        <v>2</v>
      </c>
      <c r="M310">
        <v>156</v>
      </c>
      <c r="N310">
        <v>158</v>
      </c>
      <c r="O310" t="s">
        <v>29</v>
      </c>
      <c r="P310" t="s">
        <v>59</v>
      </c>
      <c r="Q310" t="s">
        <v>31</v>
      </c>
      <c r="R310" t="s">
        <v>42</v>
      </c>
      <c r="S310" t="s">
        <v>55</v>
      </c>
      <c r="T310" t="s">
        <v>49</v>
      </c>
      <c r="U310" t="s">
        <v>35</v>
      </c>
      <c r="V310" t="s">
        <v>36</v>
      </c>
      <c r="W310" t="s">
        <v>37</v>
      </c>
      <c r="X310">
        <v>1.2658227848101271</v>
      </c>
      <c r="Y310">
        <v>98.734177215189874</v>
      </c>
      <c r="Z310" t="s">
        <v>40</v>
      </c>
      <c r="AA310" t="s">
        <v>49</v>
      </c>
      <c r="AB310" t="s">
        <v>38</v>
      </c>
      <c r="AC310">
        <v>4.6699999999999992E-2</v>
      </c>
    </row>
    <row r="311" spans="1:29" x14ac:dyDescent="0.3">
      <c r="A311">
        <v>310</v>
      </c>
      <c r="B311" s="1">
        <v>40557</v>
      </c>
      <c r="C311">
        <v>1</v>
      </c>
      <c r="D311">
        <v>9</v>
      </c>
      <c r="E311" t="b">
        <v>0</v>
      </c>
      <c r="F311">
        <v>5</v>
      </c>
      <c r="G311">
        <v>1</v>
      </c>
      <c r="H311">
        <v>0.14000000000000001</v>
      </c>
      <c r="I311">
        <v>0.1515</v>
      </c>
      <c r="J311">
        <v>0.69</v>
      </c>
      <c r="K311">
        <v>0.1343</v>
      </c>
      <c r="L311">
        <v>0</v>
      </c>
      <c r="M311">
        <v>117</v>
      </c>
      <c r="N311">
        <v>117</v>
      </c>
      <c r="O311" t="s">
        <v>29</v>
      </c>
      <c r="P311" t="s">
        <v>59</v>
      </c>
      <c r="Q311" t="s">
        <v>31</v>
      </c>
      <c r="R311" t="s">
        <v>42</v>
      </c>
      <c r="S311" t="s">
        <v>55</v>
      </c>
      <c r="T311" t="s">
        <v>49</v>
      </c>
      <c r="U311" t="s">
        <v>35</v>
      </c>
      <c r="V311" t="s">
        <v>36</v>
      </c>
      <c r="W311" t="s">
        <v>37</v>
      </c>
      <c r="X311">
        <v>0</v>
      </c>
      <c r="Y311">
        <v>100</v>
      </c>
      <c r="Z311" t="s">
        <v>40</v>
      </c>
      <c r="AA311" t="s">
        <v>49</v>
      </c>
      <c r="AB311" t="s">
        <v>38</v>
      </c>
      <c r="AC311">
        <v>1.1499999999999981E-2</v>
      </c>
    </row>
    <row r="312" spans="1:29" x14ac:dyDescent="0.3">
      <c r="A312">
        <v>311</v>
      </c>
      <c r="B312" s="1">
        <v>40557</v>
      </c>
      <c r="C312">
        <v>1</v>
      </c>
      <c r="D312">
        <v>10</v>
      </c>
      <c r="E312" t="b">
        <v>0</v>
      </c>
      <c r="F312">
        <v>5</v>
      </c>
      <c r="G312">
        <v>1</v>
      </c>
      <c r="H312">
        <v>0.18</v>
      </c>
      <c r="I312">
        <v>0.18179999999999999</v>
      </c>
      <c r="J312">
        <v>0.55000000000000004</v>
      </c>
      <c r="K312">
        <v>0.19400000000000001</v>
      </c>
      <c r="L312">
        <v>4</v>
      </c>
      <c r="M312">
        <v>40</v>
      </c>
      <c r="N312">
        <v>44</v>
      </c>
      <c r="O312" t="s">
        <v>29</v>
      </c>
      <c r="P312" t="s">
        <v>59</v>
      </c>
      <c r="Q312" t="s">
        <v>31</v>
      </c>
      <c r="R312" t="s">
        <v>42</v>
      </c>
      <c r="S312" t="s">
        <v>33</v>
      </c>
      <c r="T312" t="s">
        <v>49</v>
      </c>
      <c r="U312" t="s">
        <v>46</v>
      </c>
      <c r="V312" t="s">
        <v>36</v>
      </c>
      <c r="W312" t="s">
        <v>37</v>
      </c>
      <c r="X312">
        <v>9.0909090909090917</v>
      </c>
      <c r="Y312">
        <v>90.909090909090907</v>
      </c>
      <c r="Z312" t="s">
        <v>38</v>
      </c>
      <c r="AA312" t="s">
        <v>39</v>
      </c>
      <c r="AB312" t="s">
        <v>38</v>
      </c>
      <c r="AC312">
        <v>1.799999999999996E-3</v>
      </c>
    </row>
    <row r="313" spans="1:29" x14ac:dyDescent="0.3">
      <c r="A313">
        <v>312</v>
      </c>
      <c r="B313" s="1">
        <v>40557</v>
      </c>
      <c r="C313">
        <v>1</v>
      </c>
      <c r="D313">
        <v>11</v>
      </c>
      <c r="E313" t="b">
        <v>0</v>
      </c>
      <c r="F313">
        <v>5</v>
      </c>
      <c r="G313">
        <v>1</v>
      </c>
      <c r="H313">
        <v>0.18</v>
      </c>
      <c r="I313">
        <v>0.16669999999999999</v>
      </c>
      <c r="J313">
        <v>0.51</v>
      </c>
      <c r="K313">
        <v>0.28360000000000002</v>
      </c>
      <c r="L313">
        <v>6</v>
      </c>
      <c r="M313">
        <v>47</v>
      </c>
      <c r="N313">
        <v>53</v>
      </c>
      <c r="O313" t="s">
        <v>29</v>
      </c>
      <c r="P313" t="s">
        <v>59</v>
      </c>
      <c r="Q313" t="s">
        <v>31</v>
      </c>
      <c r="R313" t="s">
        <v>42</v>
      </c>
      <c r="S313" t="s">
        <v>33</v>
      </c>
      <c r="T313" t="s">
        <v>49</v>
      </c>
      <c r="U313" t="s">
        <v>46</v>
      </c>
      <c r="V313" t="s">
        <v>36</v>
      </c>
      <c r="W313" t="s">
        <v>37</v>
      </c>
      <c r="X313">
        <v>11.32075471698113</v>
      </c>
      <c r="Y313">
        <v>88.679245283018872</v>
      </c>
      <c r="Z313" t="s">
        <v>38</v>
      </c>
      <c r="AA313" t="s">
        <v>39</v>
      </c>
      <c r="AB313" t="s">
        <v>38</v>
      </c>
      <c r="AC313">
        <v>-1.330000000000001E-2</v>
      </c>
    </row>
    <row r="314" spans="1:29" x14ac:dyDescent="0.3">
      <c r="A314">
        <v>313</v>
      </c>
      <c r="B314" s="1">
        <v>40557</v>
      </c>
      <c r="C314">
        <v>1</v>
      </c>
      <c r="D314">
        <v>12</v>
      </c>
      <c r="E314" t="b">
        <v>0</v>
      </c>
      <c r="F314">
        <v>5</v>
      </c>
      <c r="G314">
        <v>1</v>
      </c>
      <c r="H314">
        <v>0.2</v>
      </c>
      <c r="I314">
        <v>0.19700000000000001</v>
      </c>
      <c r="J314">
        <v>0.44</v>
      </c>
      <c r="K314">
        <v>0.25369999999999998</v>
      </c>
      <c r="L314">
        <v>2</v>
      </c>
      <c r="M314">
        <v>59</v>
      </c>
      <c r="N314">
        <v>61</v>
      </c>
      <c r="O314" t="s">
        <v>29</v>
      </c>
      <c r="P314" t="s">
        <v>59</v>
      </c>
      <c r="Q314" t="s">
        <v>31</v>
      </c>
      <c r="R314" t="s">
        <v>47</v>
      </c>
      <c r="S314" t="s">
        <v>33</v>
      </c>
      <c r="T314" t="s">
        <v>49</v>
      </c>
      <c r="U314" t="s">
        <v>46</v>
      </c>
      <c r="V314" t="s">
        <v>36</v>
      </c>
      <c r="W314" t="s">
        <v>37</v>
      </c>
      <c r="X314">
        <v>3.278688524590164</v>
      </c>
      <c r="Y314">
        <v>96.721311475409834</v>
      </c>
      <c r="Z314" t="s">
        <v>38</v>
      </c>
      <c r="AA314" t="s">
        <v>39</v>
      </c>
      <c r="AB314" t="s">
        <v>38</v>
      </c>
      <c r="AC314">
        <v>-3.0000000000000031E-3</v>
      </c>
    </row>
    <row r="315" spans="1:29" x14ac:dyDescent="0.3">
      <c r="A315">
        <v>314</v>
      </c>
      <c r="B315" s="1">
        <v>40557</v>
      </c>
      <c r="C315">
        <v>1</v>
      </c>
      <c r="D315">
        <v>13</v>
      </c>
      <c r="E315" t="b">
        <v>0</v>
      </c>
      <c r="F315">
        <v>5</v>
      </c>
      <c r="G315">
        <v>1</v>
      </c>
      <c r="H315">
        <v>0.22</v>
      </c>
      <c r="I315">
        <v>0.19700000000000001</v>
      </c>
      <c r="J315">
        <v>0.37</v>
      </c>
      <c r="K315">
        <v>0.3881</v>
      </c>
      <c r="L315">
        <v>4</v>
      </c>
      <c r="M315">
        <v>73</v>
      </c>
      <c r="N315">
        <v>77</v>
      </c>
      <c r="O315" t="s">
        <v>29</v>
      </c>
      <c r="P315" t="s">
        <v>59</v>
      </c>
      <c r="Q315" t="s">
        <v>31</v>
      </c>
      <c r="R315" t="s">
        <v>47</v>
      </c>
      <c r="S315" t="s">
        <v>33</v>
      </c>
      <c r="T315" t="s">
        <v>39</v>
      </c>
      <c r="U315" t="s">
        <v>53</v>
      </c>
      <c r="V315" t="s">
        <v>36</v>
      </c>
      <c r="W315" t="s">
        <v>37</v>
      </c>
      <c r="X315">
        <v>5.1948051948051948</v>
      </c>
      <c r="Y315">
        <v>94.805194805194802</v>
      </c>
      <c r="Z315" t="s">
        <v>38</v>
      </c>
      <c r="AA315" t="s">
        <v>39</v>
      </c>
      <c r="AB315" t="s">
        <v>38</v>
      </c>
      <c r="AC315">
        <v>-2.2999999999999989E-2</v>
      </c>
    </row>
    <row r="316" spans="1:29" x14ac:dyDescent="0.3">
      <c r="A316">
        <v>315</v>
      </c>
      <c r="B316" s="1">
        <v>40557</v>
      </c>
      <c r="C316">
        <v>1</v>
      </c>
      <c r="D316">
        <v>14</v>
      </c>
      <c r="E316" t="b">
        <v>0</v>
      </c>
      <c r="F316">
        <v>5</v>
      </c>
      <c r="G316">
        <v>1</v>
      </c>
      <c r="H316">
        <v>0.22</v>
      </c>
      <c r="I316">
        <v>0.21210000000000001</v>
      </c>
      <c r="J316">
        <v>0.41</v>
      </c>
      <c r="K316">
        <v>0.28360000000000002</v>
      </c>
      <c r="L316">
        <v>5</v>
      </c>
      <c r="M316">
        <v>59</v>
      </c>
      <c r="N316">
        <v>64</v>
      </c>
      <c r="O316" t="s">
        <v>29</v>
      </c>
      <c r="P316" t="s">
        <v>59</v>
      </c>
      <c r="Q316" t="s">
        <v>31</v>
      </c>
      <c r="R316" t="s">
        <v>47</v>
      </c>
      <c r="S316" t="s">
        <v>33</v>
      </c>
      <c r="T316" t="s">
        <v>49</v>
      </c>
      <c r="U316" t="s">
        <v>46</v>
      </c>
      <c r="V316" t="s">
        <v>36</v>
      </c>
      <c r="W316" t="s">
        <v>37</v>
      </c>
      <c r="X316">
        <v>7.8125</v>
      </c>
      <c r="Y316">
        <v>92.1875</v>
      </c>
      <c r="Z316" t="s">
        <v>38</v>
      </c>
      <c r="AA316" t="s">
        <v>39</v>
      </c>
      <c r="AB316" t="s">
        <v>38</v>
      </c>
      <c r="AC316">
        <v>-7.8999999999999904E-3</v>
      </c>
    </row>
    <row r="317" spans="1:29" x14ac:dyDescent="0.3">
      <c r="A317">
        <v>316</v>
      </c>
      <c r="B317" s="1">
        <v>40557</v>
      </c>
      <c r="C317">
        <v>1</v>
      </c>
      <c r="D317">
        <v>15</v>
      </c>
      <c r="E317" t="b">
        <v>0</v>
      </c>
      <c r="F317">
        <v>5</v>
      </c>
      <c r="G317">
        <v>1</v>
      </c>
      <c r="H317">
        <v>0.24</v>
      </c>
      <c r="I317">
        <v>0.2424</v>
      </c>
      <c r="J317">
        <v>0.38</v>
      </c>
      <c r="K317">
        <v>0.16420000000000001</v>
      </c>
      <c r="L317">
        <v>9</v>
      </c>
      <c r="M317">
        <v>59</v>
      </c>
      <c r="N317">
        <v>68</v>
      </c>
      <c r="O317" t="s">
        <v>29</v>
      </c>
      <c r="P317" t="s">
        <v>59</v>
      </c>
      <c r="Q317" t="s">
        <v>31</v>
      </c>
      <c r="R317" t="s">
        <v>47</v>
      </c>
      <c r="S317" t="s">
        <v>33</v>
      </c>
      <c r="T317" t="s">
        <v>39</v>
      </c>
      <c r="U317" t="s">
        <v>46</v>
      </c>
      <c r="V317" t="s">
        <v>36</v>
      </c>
      <c r="W317" t="s">
        <v>37</v>
      </c>
      <c r="X317">
        <v>13.23529411764706</v>
      </c>
      <c r="Y317">
        <v>86.764705882352942</v>
      </c>
      <c r="Z317" t="s">
        <v>38</v>
      </c>
      <c r="AA317" t="s">
        <v>39</v>
      </c>
      <c r="AB317" t="s">
        <v>38</v>
      </c>
      <c r="AC317">
        <v>2.4000000000000128E-3</v>
      </c>
    </row>
    <row r="318" spans="1:29" x14ac:dyDescent="0.3">
      <c r="A318">
        <v>317</v>
      </c>
      <c r="B318" s="1">
        <v>40557</v>
      </c>
      <c r="C318">
        <v>1</v>
      </c>
      <c r="D318">
        <v>16</v>
      </c>
      <c r="E318" t="b">
        <v>0</v>
      </c>
      <c r="F318">
        <v>5</v>
      </c>
      <c r="G318">
        <v>1</v>
      </c>
      <c r="H318">
        <v>0.22</v>
      </c>
      <c r="I318">
        <v>0.2424</v>
      </c>
      <c r="J318">
        <v>0.41</v>
      </c>
      <c r="K318">
        <v>0.1045</v>
      </c>
      <c r="L318">
        <v>3</v>
      </c>
      <c r="M318">
        <v>87</v>
      </c>
      <c r="N318">
        <v>90</v>
      </c>
      <c r="O318" t="s">
        <v>29</v>
      </c>
      <c r="P318" t="s">
        <v>59</v>
      </c>
      <c r="Q318" t="s">
        <v>31</v>
      </c>
      <c r="R318" t="s">
        <v>47</v>
      </c>
      <c r="S318" t="s">
        <v>33</v>
      </c>
      <c r="T318" t="s">
        <v>49</v>
      </c>
      <c r="U318" t="s">
        <v>35</v>
      </c>
      <c r="V318" t="s">
        <v>36</v>
      </c>
      <c r="W318" t="s">
        <v>37</v>
      </c>
      <c r="X318">
        <v>3.333333333333333</v>
      </c>
      <c r="Y318">
        <v>96.666666666666671</v>
      </c>
      <c r="Z318" t="s">
        <v>38</v>
      </c>
      <c r="AA318" t="s">
        <v>39</v>
      </c>
      <c r="AB318" t="s">
        <v>38</v>
      </c>
      <c r="AC318">
        <v>2.24E-2</v>
      </c>
    </row>
    <row r="319" spans="1:29" x14ac:dyDescent="0.3">
      <c r="A319">
        <v>318</v>
      </c>
      <c r="B319" s="1">
        <v>40557</v>
      </c>
      <c r="C319">
        <v>1</v>
      </c>
      <c r="D319">
        <v>17</v>
      </c>
      <c r="E319" t="b">
        <v>0</v>
      </c>
      <c r="F319">
        <v>5</v>
      </c>
      <c r="G319">
        <v>1</v>
      </c>
      <c r="H319">
        <v>0.22</v>
      </c>
      <c r="I319">
        <v>0.2273</v>
      </c>
      <c r="J319">
        <v>0.41</v>
      </c>
      <c r="K319">
        <v>0.16420000000000001</v>
      </c>
      <c r="L319">
        <v>4</v>
      </c>
      <c r="M319">
        <v>155</v>
      </c>
      <c r="N319">
        <v>159</v>
      </c>
      <c r="O319" t="s">
        <v>29</v>
      </c>
      <c r="P319" t="s">
        <v>59</v>
      </c>
      <c r="Q319" t="s">
        <v>31</v>
      </c>
      <c r="R319" t="s">
        <v>50</v>
      </c>
      <c r="S319" t="s">
        <v>33</v>
      </c>
      <c r="T319" t="s">
        <v>49</v>
      </c>
      <c r="U319" t="s">
        <v>46</v>
      </c>
      <c r="V319" t="s">
        <v>36</v>
      </c>
      <c r="W319" t="s">
        <v>37</v>
      </c>
      <c r="X319">
        <v>2.5157232704402519</v>
      </c>
      <c r="Y319">
        <v>97.484276729559753</v>
      </c>
      <c r="Z319" t="s">
        <v>40</v>
      </c>
      <c r="AA319" t="s">
        <v>49</v>
      </c>
      <c r="AB319" t="s">
        <v>38</v>
      </c>
      <c r="AC319">
        <v>7.3000000000000009E-3</v>
      </c>
    </row>
    <row r="320" spans="1:29" x14ac:dyDescent="0.3">
      <c r="A320">
        <v>319</v>
      </c>
      <c r="B320" s="1">
        <v>40557</v>
      </c>
      <c r="C320">
        <v>1</v>
      </c>
      <c r="D320">
        <v>18</v>
      </c>
      <c r="E320" t="b">
        <v>0</v>
      </c>
      <c r="F320">
        <v>5</v>
      </c>
      <c r="G320">
        <v>1</v>
      </c>
      <c r="H320">
        <v>0.2</v>
      </c>
      <c r="I320">
        <v>0.2576</v>
      </c>
      <c r="J320">
        <v>0.47</v>
      </c>
      <c r="K320">
        <v>0</v>
      </c>
      <c r="L320">
        <v>5</v>
      </c>
      <c r="M320">
        <v>134</v>
      </c>
      <c r="N320">
        <v>139</v>
      </c>
      <c r="O320" t="s">
        <v>29</v>
      </c>
      <c r="P320" t="s">
        <v>59</v>
      </c>
      <c r="Q320" t="s">
        <v>31</v>
      </c>
      <c r="R320" t="s">
        <v>50</v>
      </c>
      <c r="S320" t="s">
        <v>33</v>
      </c>
      <c r="T320" t="s">
        <v>49</v>
      </c>
      <c r="U320" t="s">
        <v>35</v>
      </c>
      <c r="V320" t="s">
        <v>36</v>
      </c>
      <c r="W320" t="s">
        <v>37</v>
      </c>
      <c r="X320">
        <v>3.5971223021582732</v>
      </c>
      <c r="Y320">
        <v>96.402877697841731</v>
      </c>
      <c r="Z320" t="s">
        <v>40</v>
      </c>
      <c r="AA320" t="s">
        <v>49</v>
      </c>
      <c r="AB320" t="s">
        <v>38</v>
      </c>
      <c r="AC320">
        <v>5.7599999999999978E-2</v>
      </c>
    </row>
    <row r="321" spans="1:29" x14ac:dyDescent="0.3">
      <c r="A321">
        <v>320</v>
      </c>
      <c r="B321" s="1">
        <v>40557</v>
      </c>
      <c r="C321">
        <v>1</v>
      </c>
      <c r="D321">
        <v>19</v>
      </c>
      <c r="E321" t="b">
        <v>0</v>
      </c>
      <c r="F321">
        <v>5</v>
      </c>
      <c r="G321">
        <v>1</v>
      </c>
      <c r="H321">
        <v>0.16</v>
      </c>
      <c r="I321">
        <v>0.19700000000000001</v>
      </c>
      <c r="J321">
        <v>0.59</v>
      </c>
      <c r="K321">
        <v>8.9599999999999999E-2</v>
      </c>
      <c r="L321">
        <v>3</v>
      </c>
      <c r="M321">
        <v>89</v>
      </c>
      <c r="N321">
        <v>92</v>
      </c>
      <c r="O321" t="s">
        <v>29</v>
      </c>
      <c r="P321" t="s">
        <v>59</v>
      </c>
      <c r="Q321" t="s">
        <v>31</v>
      </c>
      <c r="R321" t="s">
        <v>50</v>
      </c>
      <c r="S321" t="s">
        <v>33</v>
      </c>
      <c r="T321" t="s">
        <v>49</v>
      </c>
      <c r="U321" t="s">
        <v>35</v>
      </c>
      <c r="V321" t="s">
        <v>36</v>
      </c>
      <c r="W321" t="s">
        <v>37</v>
      </c>
      <c r="X321">
        <v>3.2608695652173911</v>
      </c>
      <c r="Y321">
        <v>96.739130434782609</v>
      </c>
      <c r="Z321" t="s">
        <v>40</v>
      </c>
      <c r="AA321" t="s">
        <v>39</v>
      </c>
      <c r="AB321" t="s">
        <v>38</v>
      </c>
      <c r="AC321">
        <v>3.7000000000000012E-2</v>
      </c>
    </row>
    <row r="322" spans="1:29" x14ac:dyDescent="0.3">
      <c r="A322">
        <v>321</v>
      </c>
      <c r="B322" s="1">
        <v>40557</v>
      </c>
      <c r="C322">
        <v>1</v>
      </c>
      <c r="D322">
        <v>20</v>
      </c>
      <c r="E322" t="b">
        <v>0</v>
      </c>
      <c r="F322">
        <v>5</v>
      </c>
      <c r="G322">
        <v>1</v>
      </c>
      <c r="H322">
        <v>0.18</v>
      </c>
      <c r="I322">
        <v>0.2424</v>
      </c>
      <c r="J322">
        <v>0.59</v>
      </c>
      <c r="K322">
        <v>0</v>
      </c>
      <c r="L322">
        <v>0</v>
      </c>
      <c r="M322">
        <v>68</v>
      </c>
      <c r="N322">
        <v>68</v>
      </c>
      <c r="O322" t="s">
        <v>29</v>
      </c>
      <c r="P322" t="s">
        <v>59</v>
      </c>
      <c r="Q322" t="s">
        <v>31</v>
      </c>
      <c r="R322" t="s">
        <v>50</v>
      </c>
      <c r="S322" t="s">
        <v>33</v>
      </c>
      <c r="T322" t="s">
        <v>49</v>
      </c>
      <c r="U322" t="s">
        <v>35</v>
      </c>
      <c r="V322" t="s">
        <v>36</v>
      </c>
      <c r="W322" t="s">
        <v>37</v>
      </c>
      <c r="X322">
        <v>0</v>
      </c>
      <c r="Y322">
        <v>100</v>
      </c>
      <c r="Z322" t="s">
        <v>38</v>
      </c>
      <c r="AA322" t="s">
        <v>39</v>
      </c>
      <c r="AB322" t="s">
        <v>38</v>
      </c>
      <c r="AC322">
        <v>6.2400000000000011E-2</v>
      </c>
    </row>
    <row r="323" spans="1:29" x14ac:dyDescent="0.3">
      <c r="A323">
        <v>322</v>
      </c>
      <c r="B323" s="1">
        <v>40557</v>
      </c>
      <c r="C323">
        <v>1</v>
      </c>
      <c r="D323">
        <v>21</v>
      </c>
      <c r="E323" t="b">
        <v>0</v>
      </c>
      <c r="F323">
        <v>5</v>
      </c>
      <c r="G323">
        <v>1</v>
      </c>
      <c r="H323">
        <v>0.16</v>
      </c>
      <c r="I323">
        <v>0.2273</v>
      </c>
      <c r="J323">
        <v>0.69</v>
      </c>
      <c r="K323">
        <v>0</v>
      </c>
      <c r="L323">
        <v>4</v>
      </c>
      <c r="M323">
        <v>48</v>
      </c>
      <c r="N323">
        <v>52</v>
      </c>
      <c r="O323" t="s">
        <v>29</v>
      </c>
      <c r="P323" t="s">
        <v>59</v>
      </c>
      <c r="Q323" t="s">
        <v>31</v>
      </c>
      <c r="R323" t="s">
        <v>32</v>
      </c>
      <c r="S323" t="s">
        <v>33</v>
      </c>
      <c r="T323" t="s">
        <v>49</v>
      </c>
      <c r="U323" t="s">
        <v>35</v>
      </c>
      <c r="V323" t="s">
        <v>36</v>
      </c>
      <c r="W323" t="s">
        <v>37</v>
      </c>
      <c r="X323">
        <v>7.6923076923076934</v>
      </c>
      <c r="Y323">
        <v>92.307692307692307</v>
      </c>
      <c r="Z323" t="s">
        <v>38</v>
      </c>
      <c r="AA323" t="s">
        <v>39</v>
      </c>
      <c r="AB323" t="s">
        <v>38</v>
      </c>
      <c r="AC323">
        <v>6.7299999999999999E-2</v>
      </c>
    </row>
    <row r="324" spans="1:29" x14ac:dyDescent="0.3">
      <c r="A324">
        <v>323</v>
      </c>
      <c r="B324" s="1">
        <v>40557</v>
      </c>
      <c r="C324">
        <v>1</v>
      </c>
      <c r="D324">
        <v>22</v>
      </c>
      <c r="E324" t="b">
        <v>0</v>
      </c>
      <c r="F324">
        <v>5</v>
      </c>
      <c r="G324">
        <v>2</v>
      </c>
      <c r="H324">
        <v>0.16</v>
      </c>
      <c r="I324">
        <v>0.2273</v>
      </c>
      <c r="J324">
        <v>0.69</v>
      </c>
      <c r="K324">
        <v>0</v>
      </c>
      <c r="L324">
        <v>2</v>
      </c>
      <c r="M324">
        <v>34</v>
      </c>
      <c r="N324">
        <v>36</v>
      </c>
      <c r="O324" t="s">
        <v>29</v>
      </c>
      <c r="P324" t="s">
        <v>59</v>
      </c>
      <c r="Q324" t="s">
        <v>41</v>
      </c>
      <c r="R324" t="s">
        <v>32</v>
      </c>
      <c r="S324" t="s">
        <v>33</v>
      </c>
      <c r="T324" t="s">
        <v>49</v>
      </c>
      <c r="U324" t="s">
        <v>35</v>
      </c>
      <c r="V324" t="s">
        <v>36</v>
      </c>
      <c r="W324" t="s">
        <v>37</v>
      </c>
      <c r="X324">
        <v>5.5555555555555554</v>
      </c>
      <c r="Y324">
        <v>94.444444444444443</v>
      </c>
      <c r="Z324" t="s">
        <v>38</v>
      </c>
      <c r="AA324" t="s">
        <v>39</v>
      </c>
      <c r="AB324" t="s">
        <v>38</v>
      </c>
      <c r="AC324">
        <v>6.7299999999999999E-2</v>
      </c>
    </row>
    <row r="325" spans="1:29" x14ac:dyDescent="0.3">
      <c r="A325">
        <v>324</v>
      </c>
      <c r="B325" s="1">
        <v>40557</v>
      </c>
      <c r="C325">
        <v>1</v>
      </c>
      <c r="D325">
        <v>23</v>
      </c>
      <c r="E325" t="b">
        <v>0</v>
      </c>
      <c r="F325">
        <v>5</v>
      </c>
      <c r="G325">
        <v>2</v>
      </c>
      <c r="H325">
        <v>0.18</v>
      </c>
      <c r="I325">
        <v>0.2424</v>
      </c>
      <c r="J325">
        <v>0.55000000000000004</v>
      </c>
      <c r="K325">
        <v>0</v>
      </c>
      <c r="L325">
        <v>1</v>
      </c>
      <c r="M325">
        <v>26</v>
      </c>
      <c r="N325">
        <v>27</v>
      </c>
      <c r="O325" t="s">
        <v>29</v>
      </c>
      <c r="P325" t="s">
        <v>59</v>
      </c>
      <c r="Q325" t="s">
        <v>41</v>
      </c>
      <c r="R325" t="s">
        <v>32</v>
      </c>
      <c r="S325" t="s">
        <v>33</v>
      </c>
      <c r="T325" t="s">
        <v>49</v>
      </c>
      <c r="U325" t="s">
        <v>35</v>
      </c>
      <c r="V325" t="s">
        <v>36</v>
      </c>
      <c r="W325" t="s">
        <v>37</v>
      </c>
      <c r="X325">
        <v>3.7037037037037028</v>
      </c>
      <c r="Y325">
        <v>96.296296296296291</v>
      </c>
      <c r="Z325" t="s">
        <v>38</v>
      </c>
      <c r="AA325" t="s">
        <v>39</v>
      </c>
      <c r="AB325" t="s">
        <v>38</v>
      </c>
      <c r="AC325">
        <v>6.2400000000000011E-2</v>
      </c>
    </row>
    <row r="326" spans="1:29" x14ac:dyDescent="0.3">
      <c r="A326">
        <v>325</v>
      </c>
      <c r="B326" s="1">
        <v>40558</v>
      </c>
      <c r="C326">
        <v>1</v>
      </c>
      <c r="D326">
        <v>0</v>
      </c>
      <c r="E326" t="b">
        <v>0</v>
      </c>
      <c r="F326">
        <v>6</v>
      </c>
      <c r="G326">
        <v>1</v>
      </c>
      <c r="H326">
        <v>0.18</v>
      </c>
      <c r="I326">
        <v>0.2424</v>
      </c>
      <c r="J326">
        <v>0.55000000000000004</v>
      </c>
      <c r="K326">
        <v>0</v>
      </c>
      <c r="L326">
        <v>3</v>
      </c>
      <c r="M326">
        <v>25</v>
      </c>
      <c r="N326">
        <v>28</v>
      </c>
      <c r="O326" t="s">
        <v>29</v>
      </c>
      <c r="P326" t="s">
        <v>30</v>
      </c>
      <c r="Q326" t="s">
        <v>31</v>
      </c>
      <c r="R326" t="s">
        <v>32</v>
      </c>
      <c r="S326" t="s">
        <v>33</v>
      </c>
      <c r="T326" t="s">
        <v>49</v>
      </c>
      <c r="U326" t="s">
        <v>35</v>
      </c>
      <c r="V326" t="s">
        <v>36</v>
      </c>
      <c r="W326" t="s">
        <v>37</v>
      </c>
      <c r="X326">
        <v>10.71428571428571</v>
      </c>
      <c r="Y326">
        <v>89.285714285714292</v>
      </c>
      <c r="Z326" t="s">
        <v>38</v>
      </c>
      <c r="AA326" t="s">
        <v>39</v>
      </c>
      <c r="AB326" t="s">
        <v>40</v>
      </c>
      <c r="AC326">
        <v>6.2400000000000011E-2</v>
      </c>
    </row>
    <row r="327" spans="1:29" x14ac:dyDescent="0.3">
      <c r="A327">
        <v>326</v>
      </c>
      <c r="B327" s="1">
        <v>40558</v>
      </c>
      <c r="C327">
        <v>1</v>
      </c>
      <c r="D327">
        <v>1</v>
      </c>
      <c r="E327" t="b">
        <v>0</v>
      </c>
      <c r="F327">
        <v>6</v>
      </c>
      <c r="G327">
        <v>2</v>
      </c>
      <c r="H327">
        <v>0.16</v>
      </c>
      <c r="I327">
        <v>0.19700000000000001</v>
      </c>
      <c r="J327">
        <v>0.59</v>
      </c>
      <c r="K327">
        <v>8.9599999999999999E-2</v>
      </c>
      <c r="L327">
        <v>2</v>
      </c>
      <c r="M327">
        <v>18</v>
      </c>
      <c r="N327">
        <v>20</v>
      </c>
      <c r="O327" t="s">
        <v>29</v>
      </c>
      <c r="P327" t="s">
        <v>30</v>
      </c>
      <c r="Q327" t="s">
        <v>41</v>
      </c>
      <c r="R327" t="s">
        <v>32</v>
      </c>
      <c r="S327" t="s">
        <v>33</v>
      </c>
      <c r="T327" t="s">
        <v>49</v>
      </c>
      <c r="U327" t="s">
        <v>35</v>
      </c>
      <c r="V327" t="s">
        <v>36</v>
      </c>
      <c r="W327" t="s">
        <v>37</v>
      </c>
      <c r="X327">
        <v>10</v>
      </c>
      <c r="Y327">
        <v>90</v>
      </c>
      <c r="Z327" t="s">
        <v>38</v>
      </c>
      <c r="AA327" t="s">
        <v>39</v>
      </c>
      <c r="AB327" t="s">
        <v>40</v>
      </c>
      <c r="AC327">
        <v>3.7000000000000012E-2</v>
      </c>
    </row>
    <row r="328" spans="1:29" x14ac:dyDescent="0.3">
      <c r="A328">
        <v>327</v>
      </c>
      <c r="B328" s="1">
        <v>40558</v>
      </c>
      <c r="C328">
        <v>1</v>
      </c>
      <c r="D328">
        <v>2</v>
      </c>
      <c r="E328" t="b">
        <v>0</v>
      </c>
      <c r="F328">
        <v>6</v>
      </c>
      <c r="G328">
        <v>2</v>
      </c>
      <c r="H328">
        <v>0.16</v>
      </c>
      <c r="I328">
        <v>0.19700000000000001</v>
      </c>
      <c r="J328">
        <v>0.59</v>
      </c>
      <c r="K328">
        <v>8.9599999999999999E-2</v>
      </c>
      <c r="L328">
        <v>0</v>
      </c>
      <c r="M328">
        <v>12</v>
      </c>
      <c r="N328">
        <v>12</v>
      </c>
      <c r="O328" t="s">
        <v>29</v>
      </c>
      <c r="P328" t="s">
        <v>30</v>
      </c>
      <c r="Q328" t="s">
        <v>41</v>
      </c>
      <c r="R328" t="s">
        <v>32</v>
      </c>
      <c r="S328" t="s">
        <v>33</v>
      </c>
      <c r="T328" t="s">
        <v>49</v>
      </c>
      <c r="U328" t="s">
        <v>35</v>
      </c>
      <c r="V328" t="s">
        <v>36</v>
      </c>
      <c r="W328" t="s">
        <v>37</v>
      </c>
      <c r="X328">
        <v>0</v>
      </c>
      <c r="Y328">
        <v>100</v>
      </c>
      <c r="Z328" t="s">
        <v>38</v>
      </c>
      <c r="AA328" t="s">
        <v>39</v>
      </c>
      <c r="AB328" t="s">
        <v>40</v>
      </c>
      <c r="AC328">
        <v>3.7000000000000012E-2</v>
      </c>
    </row>
    <row r="329" spans="1:29" x14ac:dyDescent="0.3">
      <c r="A329">
        <v>328</v>
      </c>
      <c r="B329" s="1">
        <v>40558</v>
      </c>
      <c r="C329">
        <v>1</v>
      </c>
      <c r="D329">
        <v>3</v>
      </c>
      <c r="E329" t="b">
        <v>0</v>
      </c>
      <c r="F329">
        <v>6</v>
      </c>
      <c r="G329">
        <v>2</v>
      </c>
      <c r="H329">
        <v>0.16</v>
      </c>
      <c r="I329">
        <v>0.2273</v>
      </c>
      <c r="J329">
        <v>0.59</v>
      </c>
      <c r="K329">
        <v>0</v>
      </c>
      <c r="L329">
        <v>1</v>
      </c>
      <c r="M329">
        <v>7</v>
      </c>
      <c r="N329">
        <v>8</v>
      </c>
      <c r="O329" t="s">
        <v>29</v>
      </c>
      <c r="P329" t="s">
        <v>30</v>
      </c>
      <c r="Q329" t="s">
        <v>41</v>
      </c>
      <c r="R329" t="s">
        <v>32</v>
      </c>
      <c r="S329" t="s">
        <v>33</v>
      </c>
      <c r="T329" t="s">
        <v>49</v>
      </c>
      <c r="U329" t="s">
        <v>35</v>
      </c>
      <c r="V329" t="s">
        <v>36</v>
      </c>
      <c r="W329" t="s">
        <v>37</v>
      </c>
      <c r="X329">
        <v>12.5</v>
      </c>
      <c r="Y329">
        <v>87.5</v>
      </c>
      <c r="Z329" t="s">
        <v>38</v>
      </c>
      <c r="AA329" t="s">
        <v>39</v>
      </c>
      <c r="AB329" t="s">
        <v>40</v>
      </c>
      <c r="AC329">
        <v>6.7299999999999999E-2</v>
      </c>
    </row>
    <row r="330" spans="1:29" x14ac:dyDescent="0.3">
      <c r="A330">
        <v>329</v>
      </c>
      <c r="B330" s="1">
        <v>40558</v>
      </c>
      <c r="C330">
        <v>1</v>
      </c>
      <c r="D330">
        <v>4</v>
      </c>
      <c r="E330" t="b">
        <v>0</v>
      </c>
      <c r="F330">
        <v>6</v>
      </c>
      <c r="G330">
        <v>2</v>
      </c>
      <c r="H330">
        <v>0.16</v>
      </c>
      <c r="I330">
        <v>0.2273</v>
      </c>
      <c r="J330">
        <v>0.59</v>
      </c>
      <c r="K330">
        <v>0</v>
      </c>
      <c r="L330">
        <v>0</v>
      </c>
      <c r="M330">
        <v>5</v>
      </c>
      <c r="N330">
        <v>5</v>
      </c>
      <c r="O330" t="s">
        <v>29</v>
      </c>
      <c r="P330" t="s">
        <v>30</v>
      </c>
      <c r="Q330" t="s">
        <v>41</v>
      </c>
      <c r="R330" t="s">
        <v>32</v>
      </c>
      <c r="S330" t="s">
        <v>33</v>
      </c>
      <c r="T330" t="s">
        <v>49</v>
      </c>
      <c r="U330" t="s">
        <v>35</v>
      </c>
      <c r="V330" t="s">
        <v>36</v>
      </c>
      <c r="W330" t="s">
        <v>37</v>
      </c>
      <c r="X330">
        <v>0</v>
      </c>
      <c r="Y330">
        <v>100</v>
      </c>
      <c r="Z330" t="s">
        <v>38</v>
      </c>
      <c r="AA330" t="s">
        <v>39</v>
      </c>
      <c r="AB330" t="s">
        <v>40</v>
      </c>
      <c r="AC330">
        <v>6.7299999999999999E-2</v>
      </c>
    </row>
    <row r="331" spans="1:29" x14ac:dyDescent="0.3">
      <c r="A331">
        <v>330</v>
      </c>
      <c r="B331" s="1">
        <v>40558</v>
      </c>
      <c r="C331">
        <v>1</v>
      </c>
      <c r="D331">
        <v>5</v>
      </c>
      <c r="E331" t="b">
        <v>0</v>
      </c>
      <c r="F331">
        <v>6</v>
      </c>
      <c r="G331">
        <v>1</v>
      </c>
      <c r="H331">
        <v>0.16</v>
      </c>
      <c r="I331">
        <v>0.2273</v>
      </c>
      <c r="J331">
        <v>0.59</v>
      </c>
      <c r="K331">
        <v>0</v>
      </c>
      <c r="L331">
        <v>0</v>
      </c>
      <c r="M331">
        <v>1</v>
      </c>
      <c r="N331">
        <v>1</v>
      </c>
      <c r="O331" t="s">
        <v>29</v>
      </c>
      <c r="P331" t="s">
        <v>30</v>
      </c>
      <c r="Q331" t="s">
        <v>31</v>
      </c>
      <c r="R331" t="s">
        <v>32</v>
      </c>
      <c r="S331" t="s">
        <v>33</v>
      </c>
      <c r="T331" t="s">
        <v>49</v>
      </c>
      <c r="U331" t="s">
        <v>35</v>
      </c>
      <c r="V331" t="s">
        <v>36</v>
      </c>
      <c r="W331" t="s">
        <v>37</v>
      </c>
      <c r="X331">
        <v>0</v>
      </c>
      <c r="Y331">
        <v>100</v>
      </c>
      <c r="Z331" t="s">
        <v>38</v>
      </c>
      <c r="AA331" t="s">
        <v>39</v>
      </c>
      <c r="AB331" t="s">
        <v>40</v>
      </c>
      <c r="AC331">
        <v>6.7299999999999999E-2</v>
      </c>
    </row>
    <row r="332" spans="1:29" x14ac:dyDescent="0.3">
      <c r="A332">
        <v>331</v>
      </c>
      <c r="B332" s="1">
        <v>40558</v>
      </c>
      <c r="C332">
        <v>1</v>
      </c>
      <c r="D332">
        <v>6</v>
      </c>
      <c r="E332" t="b">
        <v>0</v>
      </c>
      <c r="F332">
        <v>6</v>
      </c>
      <c r="G332">
        <v>1</v>
      </c>
      <c r="H332">
        <v>0.14000000000000001</v>
      </c>
      <c r="I332">
        <v>0.16669999999999999</v>
      </c>
      <c r="J332">
        <v>0.63</v>
      </c>
      <c r="K332">
        <v>0.1045</v>
      </c>
      <c r="L332">
        <v>1</v>
      </c>
      <c r="M332">
        <v>2</v>
      </c>
      <c r="N332">
        <v>3</v>
      </c>
      <c r="O332" t="s">
        <v>29</v>
      </c>
      <c r="P332" t="s">
        <v>30</v>
      </c>
      <c r="Q332" t="s">
        <v>31</v>
      </c>
      <c r="R332" t="s">
        <v>42</v>
      </c>
      <c r="S332" t="s">
        <v>55</v>
      </c>
      <c r="T332" t="s">
        <v>49</v>
      </c>
      <c r="U332" t="s">
        <v>35</v>
      </c>
      <c r="V332" t="s">
        <v>36</v>
      </c>
      <c r="W332" t="s">
        <v>37</v>
      </c>
      <c r="X332">
        <v>33.333333333333329</v>
      </c>
      <c r="Y332">
        <v>66.666666666666657</v>
      </c>
      <c r="Z332" t="s">
        <v>38</v>
      </c>
      <c r="AA332" t="s">
        <v>39</v>
      </c>
      <c r="AB332" t="s">
        <v>40</v>
      </c>
      <c r="AC332">
        <v>2.669999999999997E-2</v>
      </c>
    </row>
    <row r="333" spans="1:29" x14ac:dyDescent="0.3">
      <c r="A333">
        <v>332</v>
      </c>
      <c r="B333" s="1">
        <v>40558</v>
      </c>
      <c r="C333">
        <v>1</v>
      </c>
      <c r="D333">
        <v>7</v>
      </c>
      <c r="E333" t="b">
        <v>0</v>
      </c>
      <c r="F333">
        <v>6</v>
      </c>
      <c r="G333">
        <v>1</v>
      </c>
      <c r="H333">
        <v>0.14000000000000001</v>
      </c>
      <c r="I333">
        <v>0.21210000000000001</v>
      </c>
      <c r="J333">
        <v>0.63</v>
      </c>
      <c r="K333">
        <v>0</v>
      </c>
      <c r="L333">
        <v>1</v>
      </c>
      <c r="M333">
        <v>9</v>
      </c>
      <c r="N333">
        <v>10</v>
      </c>
      <c r="O333" t="s">
        <v>29</v>
      </c>
      <c r="P333" t="s">
        <v>30</v>
      </c>
      <c r="Q333" t="s">
        <v>31</v>
      </c>
      <c r="R333" t="s">
        <v>42</v>
      </c>
      <c r="S333" t="s">
        <v>55</v>
      </c>
      <c r="T333" t="s">
        <v>49</v>
      </c>
      <c r="U333" t="s">
        <v>35</v>
      </c>
      <c r="V333" t="s">
        <v>36</v>
      </c>
      <c r="W333" t="s">
        <v>37</v>
      </c>
      <c r="X333">
        <v>10</v>
      </c>
      <c r="Y333">
        <v>90</v>
      </c>
      <c r="Z333" t="s">
        <v>40</v>
      </c>
      <c r="AA333" t="s">
        <v>39</v>
      </c>
      <c r="AB333" t="s">
        <v>40</v>
      </c>
      <c r="AC333">
        <v>7.2099999999999997E-2</v>
      </c>
    </row>
    <row r="334" spans="1:29" x14ac:dyDescent="0.3">
      <c r="A334">
        <v>333</v>
      </c>
      <c r="B334" s="1">
        <v>40558</v>
      </c>
      <c r="C334">
        <v>1</v>
      </c>
      <c r="D334">
        <v>8</v>
      </c>
      <c r="E334" t="b">
        <v>0</v>
      </c>
      <c r="F334">
        <v>6</v>
      </c>
      <c r="G334">
        <v>1</v>
      </c>
      <c r="H334">
        <v>0.14000000000000001</v>
      </c>
      <c r="I334">
        <v>0.1515</v>
      </c>
      <c r="J334">
        <v>0.63</v>
      </c>
      <c r="K334">
        <v>0.1343</v>
      </c>
      <c r="L334">
        <v>1</v>
      </c>
      <c r="M334">
        <v>22</v>
      </c>
      <c r="N334">
        <v>23</v>
      </c>
      <c r="O334" t="s">
        <v>29</v>
      </c>
      <c r="P334" t="s">
        <v>30</v>
      </c>
      <c r="Q334" t="s">
        <v>31</v>
      </c>
      <c r="R334" t="s">
        <v>42</v>
      </c>
      <c r="S334" t="s">
        <v>55</v>
      </c>
      <c r="T334" t="s">
        <v>49</v>
      </c>
      <c r="U334" t="s">
        <v>35</v>
      </c>
      <c r="V334" t="s">
        <v>36</v>
      </c>
      <c r="W334" t="s">
        <v>37</v>
      </c>
      <c r="X334">
        <v>4.3478260869565224</v>
      </c>
      <c r="Y334">
        <v>95.652173913043484</v>
      </c>
      <c r="Z334" t="s">
        <v>40</v>
      </c>
      <c r="AA334" t="s">
        <v>39</v>
      </c>
      <c r="AB334" t="s">
        <v>40</v>
      </c>
      <c r="AC334">
        <v>1.1499999999999981E-2</v>
      </c>
    </row>
    <row r="335" spans="1:29" x14ac:dyDescent="0.3">
      <c r="A335">
        <v>334</v>
      </c>
      <c r="B335" s="1">
        <v>40558</v>
      </c>
      <c r="C335">
        <v>1</v>
      </c>
      <c r="D335">
        <v>9</v>
      </c>
      <c r="E335" t="b">
        <v>0</v>
      </c>
      <c r="F335">
        <v>6</v>
      </c>
      <c r="G335">
        <v>1</v>
      </c>
      <c r="H335">
        <v>0.16</v>
      </c>
      <c r="I335">
        <v>0.18179999999999999</v>
      </c>
      <c r="J335">
        <v>0.64</v>
      </c>
      <c r="K335">
        <v>0.1343</v>
      </c>
      <c r="L335">
        <v>2</v>
      </c>
      <c r="M335">
        <v>31</v>
      </c>
      <c r="N335">
        <v>33</v>
      </c>
      <c r="O335" t="s">
        <v>29</v>
      </c>
      <c r="P335" t="s">
        <v>30</v>
      </c>
      <c r="Q335" t="s">
        <v>31</v>
      </c>
      <c r="R335" t="s">
        <v>42</v>
      </c>
      <c r="S335" t="s">
        <v>33</v>
      </c>
      <c r="T335" t="s">
        <v>49</v>
      </c>
      <c r="U335" t="s">
        <v>35</v>
      </c>
      <c r="V335" t="s">
        <v>36</v>
      </c>
      <c r="W335" t="s">
        <v>37</v>
      </c>
      <c r="X335">
        <v>6.0606060606060614</v>
      </c>
      <c r="Y335">
        <v>93.939393939393938</v>
      </c>
      <c r="Z335" t="s">
        <v>40</v>
      </c>
      <c r="AA335" t="s">
        <v>39</v>
      </c>
      <c r="AB335" t="s">
        <v>40</v>
      </c>
      <c r="AC335">
        <v>2.179999999999999E-2</v>
      </c>
    </row>
    <row r="336" spans="1:29" x14ac:dyDescent="0.3">
      <c r="A336">
        <v>335</v>
      </c>
      <c r="B336" s="1">
        <v>40558</v>
      </c>
      <c r="C336">
        <v>1</v>
      </c>
      <c r="D336">
        <v>10</v>
      </c>
      <c r="E336" t="b">
        <v>0</v>
      </c>
      <c r="F336">
        <v>6</v>
      </c>
      <c r="G336">
        <v>1</v>
      </c>
      <c r="H336">
        <v>0.18</v>
      </c>
      <c r="I336">
        <v>0.19700000000000001</v>
      </c>
      <c r="J336">
        <v>0.59</v>
      </c>
      <c r="K336">
        <v>0.16420000000000001</v>
      </c>
      <c r="L336">
        <v>2</v>
      </c>
      <c r="M336">
        <v>57</v>
      </c>
      <c r="N336">
        <v>59</v>
      </c>
      <c r="O336" t="s">
        <v>29</v>
      </c>
      <c r="P336" t="s">
        <v>30</v>
      </c>
      <c r="Q336" t="s">
        <v>31</v>
      </c>
      <c r="R336" t="s">
        <v>42</v>
      </c>
      <c r="S336" t="s">
        <v>33</v>
      </c>
      <c r="T336" t="s">
        <v>49</v>
      </c>
      <c r="U336" t="s">
        <v>46</v>
      </c>
      <c r="V336" t="s">
        <v>36</v>
      </c>
      <c r="W336" t="s">
        <v>37</v>
      </c>
      <c r="X336">
        <v>3.3898305084745761</v>
      </c>
      <c r="Y336">
        <v>96.610169491525426</v>
      </c>
      <c r="Z336" t="s">
        <v>38</v>
      </c>
      <c r="AA336" t="s">
        <v>39</v>
      </c>
      <c r="AB336" t="s">
        <v>40</v>
      </c>
      <c r="AC336">
        <v>1.7000000000000019E-2</v>
      </c>
    </row>
    <row r="337" spans="1:29" x14ac:dyDescent="0.3">
      <c r="A337">
        <v>336</v>
      </c>
      <c r="B337" s="1">
        <v>40558</v>
      </c>
      <c r="C337">
        <v>1</v>
      </c>
      <c r="D337">
        <v>11</v>
      </c>
      <c r="E337" t="b">
        <v>0</v>
      </c>
      <c r="F337">
        <v>6</v>
      </c>
      <c r="G337">
        <v>1</v>
      </c>
      <c r="H337">
        <v>0.2</v>
      </c>
      <c r="I337">
        <v>0.19700000000000001</v>
      </c>
      <c r="J337">
        <v>0.55000000000000004</v>
      </c>
      <c r="K337">
        <v>0.22389999999999999</v>
      </c>
      <c r="L337">
        <v>18</v>
      </c>
      <c r="M337">
        <v>54</v>
      </c>
      <c r="N337">
        <v>72</v>
      </c>
      <c r="O337" t="s">
        <v>29</v>
      </c>
      <c r="P337" t="s">
        <v>30</v>
      </c>
      <c r="Q337" t="s">
        <v>31</v>
      </c>
      <c r="R337" t="s">
        <v>42</v>
      </c>
      <c r="S337" t="s">
        <v>33</v>
      </c>
      <c r="T337" t="s">
        <v>49</v>
      </c>
      <c r="U337" t="s">
        <v>46</v>
      </c>
      <c r="V337" t="s">
        <v>36</v>
      </c>
      <c r="W337" t="s">
        <v>37</v>
      </c>
      <c r="X337">
        <v>25</v>
      </c>
      <c r="Y337">
        <v>75</v>
      </c>
      <c r="Z337" t="s">
        <v>38</v>
      </c>
      <c r="AA337" t="s">
        <v>39</v>
      </c>
      <c r="AB337" t="s">
        <v>40</v>
      </c>
      <c r="AC337">
        <v>-3.0000000000000031E-3</v>
      </c>
    </row>
    <row r="338" spans="1:29" x14ac:dyDescent="0.3">
      <c r="A338">
        <v>337</v>
      </c>
      <c r="B338" s="1">
        <v>40558</v>
      </c>
      <c r="C338">
        <v>1</v>
      </c>
      <c r="D338">
        <v>12</v>
      </c>
      <c r="E338" t="b">
        <v>0</v>
      </c>
      <c r="F338">
        <v>6</v>
      </c>
      <c r="G338">
        <v>1</v>
      </c>
      <c r="H338">
        <v>0.24</v>
      </c>
      <c r="I338">
        <v>0.2273</v>
      </c>
      <c r="J338">
        <v>0.48</v>
      </c>
      <c r="K338">
        <v>0.22389999999999999</v>
      </c>
      <c r="L338">
        <v>15</v>
      </c>
      <c r="M338">
        <v>74</v>
      </c>
      <c r="N338">
        <v>89</v>
      </c>
      <c r="O338" t="s">
        <v>29</v>
      </c>
      <c r="P338" t="s">
        <v>30</v>
      </c>
      <c r="Q338" t="s">
        <v>31</v>
      </c>
      <c r="R338" t="s">
        <v>47</v>
      </c>
      <c r="S338" t="s">
        <v>33</v>
      </c>
      <c r="T338" t="s">
        <v>49</v>
      </c>
      <c r="U338" t="s">
        <v>46</v>
      </c>
      <c r="V338" t="s">
        <v>36</v>
      </c>
      <c r="W338" t="s">
        <v>37</v>
      </c>
      <c r="X338">
        <v>16.853932584269661</v>
      </c>
      <c r="Y338">
        <v>83.146067415730343</v>
      </c>
      <c r="Z338" t="s">
        <v>38</v>
      </c>
      <c r="AA338" t="s">
        <v>39</v>
      </c>
      <c r="AB338" t="s">
        <v>40</v>
      </c>
      <c r="AC338">
        <v>-1.2699999999999991E-2</v>
      </c>
    </row>
    <row r="339" spans="1:29" x14ac:dyDescent="0.3">
      <c r="A339">
        <v>338</v>
      </c>
      <c r="B339" s="1">
        <v>40558</v>
      </c>
      <c r="C339">
        <v>1</v>
      </c>
      <c r="D339">
        <v>13</v>
      </c>
      <c r="E339" t="b">
        <v>0</v>
      </c>
      <c r="F339">
        <v>6</v>
      </c>
      <c r="G339">
        <v>1</v>
      </c>
      <c r="H339">
        <v>0.28000000000000003</v>
      </c>
      <c r="I339">
        <v>0.2576</v>
      </c>
      <c r="J339">
        <v>0.38</v>
      </c>
      <c r="K339">
        <v>0.29849999999999999</v>
      </c>
      <c r="L339">
        <v>21</v>
      </c>
      <c r="M339">
        <v>80</v>
      </c>
      <c r="N339">
        <v>101</v>
      </c>
      <c r="O339" t="s">
        <v>29</v>
      </c>
      <c r="P339" t="s">
        <v>30</v>
      </c>
      <c r="Q339" t="s">
        <v>31</v>
      </c>
      <c r="R339" t="s">
        <v>47</v>
      </c>
      <c r="S339" t="s">
        <v>44</v>
      </c>
      <c r="T339" t="s">
        <v>39</v>
      </c>
      <c r="U339" t="s">
        <v>46</v>
      </c>
      <c r="V339" t="s">
        <v>36</v>
      </c>
      <c r="W339" t="s">
        <v>37</v>
      </c>
      <c r="X339">
        <v>20.792079207920789</v>
      </c>
      <c r="Y339">
        <v>79.207920792079207</v>
      </c>
      <c r="Z339" t="s">
        <v>38</v>
      </c>
      <c r="AA339" t="s">
        <v>49</v>
      </c>
      <c r="AB339" t="s">
        <v>40</v>
      </c>
      <c r="AC339">
        <v>-2.2400000000000031E-2</v>
      </c>
    </row>
    <row r="340" spans="1:29" x14ac:dyDescent="0.3">
      <c r="A340">
        <v>339</v>
      </c>
      <c r="B340" s="1">
        <v>40558</v>
      </c>
      <c r="C340">
        <v>1</v>
      </c>
      <c r="D340">
        <v>14</v>
      </c>
      <c r="E340" t="b">
        <v>0</v>
      </c>
      <c r="F340">
        <v>6</v>
      </c>
      <c r="G340">
        <v>1</v>
      </c>
      <c r="H340">
        <v>0.3</v>
      </c>
      <c r="I340">
        <v>0.28789999999999999</v>
      </c>
      <c r="J340">
        <v>0.39</v>
      </c>
      <c r="K340">
        <v>0.28360000000000002</v>
      </c>
      <c r="L340">
        <v>26</v>
      </c>
      <c r="M340">
        <v>92</v>
      </c>
      <c r="N340">
        <v>118</v>
      </c>
      <c r="O340" t="s">
        <v>29</v>
      </c>
      <c r="P340" t="s">
        <v>30</v>
      </c>
      <c r="Q340" t="s">
        <v>31</v>
      </c>
      <c r="R340" t="s">
        <v>47</v>
      </c>
      <c r="S340" t="s">
        <v>44</v>
      </c>
      <c r="T340" t="s">
        <v>39</v>
      </c>
      <c r="U340" t="s">
        <v>46</v>
      </c>
      <c r="V340" t="s">
        <v>36</v>
      </c>
      <c r="W340" t="s">
        <v>37</v>
      </c>
      <c r="X340">
        <v>22.03389830508474</v>
      </c>
      <c r="Y340">
        <v>77.966101694915253</v>
      </c>
      <c r="Z340" t="s">
        <v>38</v>
      </c>
      <c r="AA340" t="s">
        <v>49</v>
      </c>
      <c r="AB340" t="s">
        <v>40</v>
      </c>
      <c r="AC340">
        <v>-1.21E-2</v>
      </c>
    </row>
    <row r="341" spans="1:29" x14ac:dyDescent="0.3">
      <c r="A341">
        <v>340</v>
      </c>
      <c r="B341" s="1">
        <v>40558</v>
      </c>
      <c r="C341">
        <v>1</v>
      </c>
      <c r="D341">
        <v>15</v>
      </c>
      <c r="E341" t="b">
        <v>0</v>
      </c>
      <c r="F341">
        <v>6</v>
      </c>
      <c r="G341">
        <v>2</v>
      </c>
      <c r="H341">
        <v>0.32</v>
      </c>
      <c r="I341">
        <v>0.31819999999999998</v>
      </c>
      <c r="J341">
        <v>0.36</v>
      </c>
      <c r="K341">
        <v>0.19400000000000001</v>
      </c>
      <c r="L341">
        <v>21</v>
      </c>
      <c r="M341">
        <v>108</v>
      </c>
      <c r="N341">
        <v>129</v>
      </c>
      <c r="O341" t="s">
        <v>29</v>
      </c>
      <c r="P341" t="s">
        <v>30</v>
      </c>
      <c r="Q341" t="s">
        <v>41</v>
      </c>
      <c r="R341" t="s">
        <v>47</v>
      </c>
      <c r="S341" t="s">
        <v>44</v>
      </c>
      <c r="T341" t="s">
        <v>39</v>
      </c>
      <c r="U341" t="s">
        <v>46</v>
      </c>
      <c r="V341" t="s">
        <v>36</v>
      </c>
      <c r="W341" t="s">
        <v>37</v>
      </c>
      <c r="X341">
        <v>16.279069767441861</v>
      </c>
      <c r="Y341">
        <v>83.720930232558146</v>
      </c>
      <c r="Z341" t="s">
        <v>38</v>
      </c>
      <c r="AA341" t="s">
        <v>49</v>
      </c>
      <c r="AB341" t="s">
        <v>40</v>
      </c>
      <c r="AC341">
        <v>-1.800000000000024E-3</v>
      </c>
    </row>
    <row r="342" spans="1:29" x14ac:dyDescent="0.3">
      <c r="A342">
        <v>341</v>
      </c>
      <c r="B342" s="1">
        <v>40558</v>
      </c>
      <c r="C342">
        <v>1</v>
      </c>
      <c r="D342">
        <v>16</v>
      </c>
      <c r="E342" t="b">
        <v>0</v>
      </c>
      <c r="F342">
        <v>6</v>
      </c>
      <c r="G342">
        <v>2</v>
      </c>
      <c r="H342">
        <v>0.34</v>
      </c>
      <c r="I342">
        <v>0.33329999999999999</v>
      </c>
      <c r="J342">
        <v>0.34</v>
      </c>
      <c r="K342">
        <v>0.19400000000000001</v>
      </c>
      <c r="L342">
        <v>33</v>
      </c>
      <c r="M342">
        <v>95</v>
      </c>
      <c r="N342">
        <v>128</v>
      </c>
      <c r="O342" t="s">
        <v>29</v>
      </c>
      <c r="P342" t="s">
        <v>30</v>
      </c>
      <c r="Q342" t="s">
        <v>41</v>
      </c>
      <c r="R342" t="s">
        <v>47</v>
      </c>
      <c r="S342" t="s">
        <v>44</v>
      </c>
      <c r="T342" t="s">
        <v>39</v>
      </c>
      <c r="U342" t="s">
        <v>46</v>
      </c>
      <c r="V342" t="s">
        <v>36</v>
      </c>
      <c r="W342" t="s">
        <v>37</v>
      </c>
      <c r="X342">
        <v>25.78125</v>
      </c>
      <c r="Y342">
        <v>74.21875</v>
      </c>
      <c r="Z342" t="s">
        <v>38</v>
      </c>
      <c r="AA342" t="s">
        <v>49</v>
      </c>
      <c r="AB342" t="s">
        <v>40</v>
      </c>
      <c r="AC342">
        <v>-6.7000000000000393E-3</v>
      </c>
    </row>
    <row r="343" spans="1:29" x14ac:dyDescent="0.3">
      <c r="A343">
        <v>342</v>
      </c>
      <c r="B343" s="1">
        <v>40558</v>
      </c>
      <c r="C343">
        <v>1</v>
      </c>
      <c r="D343">
        <v>17</v>
      </c>
      <c r="E343" t="b">
        <v>0</v>
      </c>
      <c r="F343">
        <v>6</v>
      </c>
      <c r="G343">
        <v>2</v>
      </c>
      <c r="H343">
        <v>0.32</v>
      </c>
      <c r="I343">
        <v>0.30299999999999999</v>
      </c>
      <c r="J343">
        <v>0.36</v>
      </c>
      <c r="K343">
        <v>0.28360000000000002</v>
      </c>
      <c r="L343">
        <v>29</v>
      </c>
      <c r="M343">
        <v>54</v>
      </c>
      <c r="N343">
        <v>83</v>
      </c>
      <c r="O343" t="s">
        <v>29</v>
      </c>
      <c r="P343" t="s">
        <v>30</v>
      </c>
      <c r="Q343" t="s">
        <v>41</v>
      </c>
      <c r="R343" t="s">
        <v>50</v>
      </c>
      <c r="S343" t="s">
        <v>44</v>
      </c>
      <c r="T343" t="s">
        <v>39</v>
      </c>
      <c r="U343" t="s">
        <v>46</v>
      </c>
      <c r="V343" t="s">
        <v>36</v>
      </c>
      <c r="W343" t="s">
        <v>37</v>
      </c>
      <c r="X343">
        <v>34.939759036144579</v>
      </c>
      <c r="Y343">
        <v>65.060240963855421</v>
      </c>
      <c r="Z343" t="s">
        <v>40</v>
      </c>
      <c r="AA343" t="s">
        <v>39</v>
      </c>
      <c r="AB343" t="s">
        <v>40</v>
      </c>
      <c r="AC343">
        <v>-1.7000000000000019E-2</v>
      </c>
    </row>
    <row r="344" spans="1:29" x14ac:dyDescent="0.3">
      <c r="A344">
        <v>343</v>
      </c>
      <c r="B344" s="1">
        <v>40558</v>
      </c>
      <c r="C344">
        <v>1</v>
      </c>
      <c r="D344">
        <v>18</v>
      </c>
      <c r="E344" t="b">
        <v>0</v>
      </c>
      <c r="F344">
        <v>6</v>
      </c>
      <c r="G344">
        <v>2</v>
      </c>
      <c r="H344">
        <v>0.3</v>
      </c>
      <c r="I344">
        <v>0.28789999999999999</v>
      </c>
      <c r="J344">
        <v>0.45</v>
      </c>
      <c r="K344">
        <v>0.25369999999999998</v>
      </c>
      <c r="L344">
        <v>15</v>
      </c>
      <c r="M344">
        <v>69</v>
      </c>
      <c r="N344">
        <v>84</v>
      </c>
      <c r="O344" t="s">
        <v>29</v>
      </c>
      <c r="P344" t="s">
        <v>30</v>
      </c>
      <c r="Q344" t="s">
        <v>41</v>
      </c>
      <c r="R344" t="s">
        <v>50</v>
      </c>
      <c r="S344" t="s">
        <v>44</v>
      </c>
      <c r="T344" t="s">
        <v>49</v>
      </c>
      <c r="U344" t="s">
        <v>46</v>
      </c>
      <c r="V344" t="s">
        <v>36</v>
      </c>
      <c r="W344" t="s">
        <v>37</v>
      </c>
      <c r="X344">
        <v>17.857142857142861</v>
      </c>
      <c r="Y344">
        <v>82.142857142857139</v>
      </c>
      <c r="Z344" t="s">
        <v>40</v>
      </c>
      <c r="AA344" t="s">
        <v>39</v>
      </c>
      <c r="AB344" t="s">
        <v>40</v>
      </c>
      <c r="AC344">
        <v>-1.21E-2</v>
      </c>
    </row>
    <row r="345" spans="1:29" x14ac:dyDescent="0.3">
      <c r="A345">
        <v>344</v>
      </c>
      <c r="B345" s="1">
        <v>40558</v>
      </c>
      <c r="C345">
        <v>1</v>
      </c>
      <c r="D345">
        <v>19</v>
      </c>
      <c r="E345" t="b">
        <v>0</v>
      </c>
      <c r="F345">
        <v>6</v>
      </c>
      <c r="G345">
        <v>2</v>
      </c>
      <c r="H345">
        <v>0.32</v>
      </c>
      <c r="I345">
        <v>0.30299999999999999</v>
      </c>
      <c r="J345">
        <v>0.39</v>
      </c>
      <c r="K345">
        <v>0.25369999999999998</v>
      </c>
      <c r="L345">
        <v>14</v>
      </c>
      <c r="M345">
        <v>60</v>
      </c>
      <c r="N345">
        <v>74</v>
      </c>
      <c r="O345" t="s">
        <v>29</v>
      </c>
      <c r="P345" t="s">
        <v>30</v>
      </c>
      <c r="Q345" t="s">
        <v>41</v>
      </c>
      <c r="R345" t="s">
        <v>50</v>
      </c>
      <c r="S345" t="s">
        <v>44</v>
      </c>
      <c r="T345" t="s">
        <v>39</v>
      </c>
      <c r="U345" t="s">
        <v>46</v>
      </c>
      <c r="V345" t="s">
        <v>36</v>
      </c>
      <c r="W345" t="s">
        <v>37</v>
      </c>
      <c r="X345">
        <v>18.918918918918919</v>
      </c>
      <c r="Y345">
        <v>81.081081081081081</v>
      </c>
      <c r="Z345" t="s">
        <v>40</v>
      </c>
      <c r="AA345" t="s">
        <v>39</v>
      </c>
      <c r="AB345" t="s">
        <v>40</v>
      </c>
      <c r="AC345">
        <v>-1.7000000000000019E-2</v>
      </c>
    </row>
    <row r="346" spans="1:29" x14ac:dyDescent="0.3">
      <c r="A346">
        <v>345</v>
      </c>
      <c r="B346" s="1">
        <v>40558</v>
      </c>
      <c r="C346">
        <v>1</v>
      </c>
      <c r="D346">
        <v>20</v>
      </c>
      <c r="E346" t="b">
        <v>0</v>
      </c>
      <c r="F346">
        <v>6</v>
      </c>
      <c r="G346">
        <v>2</v>
      </c>
      <c r="H346">
        <v>0.32</v>
      </c>
      <c r="I346">
        <v>0.30299999999999999</v>
      </c>
      <c r="J346">
        <v>0.39</v>
      </c>
      <c r="K346">
        <v>0.25369999999999998</v>
      </c>
      <c r="L346">
        <v>6</v>
      </c>
      <c r="M346">
        <v>35</v>
      </c>
      <c r="N346">
        <v>41</v>
      </c>
      <c r="O346" t="s">
        <v>29</v>
      </c>
      <c r="P346" t="s">
        <v>30</v>
      </c>
      <c r="Q346" t="s">
        <v>41</v>
      </c>
      <c r="R346" t="s">
        <v>50</v>
      </c>
      <c r="S346" t="s">
        <v>44</v>
      </c>
      <c r="T346" t="s">
        <v>39</v>
      </c>
      <c r="U346" t="s">
        <v>46</v>
      </c>
      <c r="V346" t="s">
        <v>36</v>
      </c>
      <c r="W346" t="s">
        <v>37</v>
      </c>
      <c r="X346">
        <v>14.63414634146341</v>
      </c>
      <c r="Y346">
        <v>85.365853658536579</v>
      </c>
      <c r="Z346" t="s">
        <v>38</v>
      </c>
      <c r="AA346" t="s">
        <v>39</v>
      </c>
      <c r="AB346" t="s">
        <v>40</v>
      </c>
      <c r="AC346">
        <v>-1.7000000000000019E-2</v>
      </c>
    </row>
    <row r="347" spans="1:29" x14ac:dyDescent="0.3">
      <c r="A347">
        <v>346</v>
      </c>
      <c r="B347" s="1">
        <v>40558</v>
      </c>
      <c r="C347">
        <v>1</v>
      </c>
      <c r="D347">
        <v>21</v>
      </c>
      <c r="E347" t="b">
        <v>0</v>
      </c>
      <c r="F347">
        <v>6</v>
      </c>
      <c r="G347">
        <v>2</v>
      </c>
      <c r="H347">
        <v>0.32</v>
      </c>
      <c r="I347">
        <v>0.30299999999999999</v>
      </c>
      <c r="J347">
        <v>0.39</v>
      </c>
      <c r="K347">
        <v>0.22389999999999999</v>
      </c>
      <c r="L347">
        <v>6</v>
      </c>
      <c r="M347">
        <v>51</v>
      </c>
      <c r="N347">
        <v>57</v>
      </c>
      <c r="O347" t="s">
        <v>29</v>
      </c>
      <c r="P347" t="s">
        <v>30</v>
      </c>
      <c r="Q347" t="s">
        <v>41</v>
      </c>
      <c r="R347" t="s">
        <v>32</v>
      </c>
      <c r="S347" t="s">
        <v>44</v>
      </c>
      <c r="T347" t="s">
        <v>39</v>
      </c>
      <c r="U347" t="s">
        <v>46</v>
      </c>
      <c r="V347" t="s">
        <v>36</v>
      </c>
      <c r="W347" t="s">
        <v>37</v>
      </c>
      <c r="X347">
        <v>10.52631578947368</v>
      </c>
      <c r="Y347">
        <v>89.473684210526315</v>
      </c>
      <c r="Z347" t="s">
        <v>38</v>
      </c>
      <c r="AA347" t="s">
        <v>39</v>
      </c>
      <c r="AB347" t="s">
        <v>40</v>
      </c>
      <c r="AC347">
        <v>-1.7000000000000019E-2</v>
      </c>
    </row>
    <row r="348" spans="1:29" x14ac:dyDescent="0.3">
      <c r="A348">
        <v>347</v>
      </c>
      <c r="B348" s="1">
        <v>40558</v>
      </c>
      <c r="C348">
        <v>1</v>
      </c>
      <c r="D348">
        <v>22</v>
      </c>
      <c r="E348" t="b">
        <v>0</v>
      </c>
      <c r="F348">
        <v>6</v>
      </c>
      <c r="G348">
        <v>2</v>
      </c>
      <c r="H348">
        <v>0.3</v>
      </c>
      <c r="I348">
        <v>0.31819999999999998</v>
      </c>
      <c r="J348">
        <v>0.42</v>
      </c>
      <c r="K348">
        <v>0.1045</v>
      </c>
      <c r="L348">
        <v>0</v>
      </c>
      <c r="M348">
        <v>26</v>
      </c>
      <c r="N348">
        <v>26</v>
      </c>
      <c r="O348" t="s">
        <v>29</v>
      </c>
      <c r="P348" t="s">
        <v>30</v>
      </c>
      <c r="Q348" t="s">
        <v>41</v>
      </c>
      <c r="R348" t="s">
        <v>32</v>
      </c>
      <c r="S348" t="s">
        <v>44</v>
      </c>
      <c r="T348" t="s">
        <v>49</v>
      </c>
      <c r="U348" t="s">
        <v>35</v>
      </c>
      <c r="V348" t="s">
        <v>36</v>
      </c>
      <c r="W348" t="s">
        <v>37</v>
      </c>
      <c r="X348">
        <v>0</v>
      </c>
      <c r="Y348">
        <v>100</v>
      </c>
      <c r="Z348" t="s">
        <v>38</v>
      </c>
      <c r="AA348" t="s">
        <v>39</v>
      </c>
      <c r="AB348" t="s">
        <v>40</v>
      </c>
      <c r="AC348">
        <v>1.819999999999999E-2</v>
      </c>
    </row>
    <row r="349" spans="1:29" x14ac:dyDescent="0.3">
      <c r="A349">
        <v>348</v>
      </c>
      <c r="B349" s="1">
        <v>40558</v>
      </c>
      <c r="C349">
        <v>1</v>
      </c>
      <c r="D349">
        <v>23</v>
      </c>
      <c r="E349" t="b">
        <v>0</v>
      </c>
      <c r="F349">
        <v>6</v>
      </c>
      <c r="G349">
        <v>1</v>
      </c>
      <c r="H349">
        <v>0.3</v>
      </c>
      <c r="I349">
        <v>0.28789999999999999</v>
      </c>
      <c r="J349">
        <v>0.45</v>
      </c>
      <c r="K349">
        <v>0.28360000000000002</v>
      </c>
      <c r="L349">
        <v>5</v>
      </c>
      <c r="M349">
        <v>39</v>
      </c>
      <c r="N349">
        <v>44</v>
      </c>
      <c r="O349" t="s">
        <v>29</v>
      </c>
      <c r="P349" t="s">
        <v>30</v>
      </c>
      <c r="Q349" t="s">
        <v>31</v>
      </c>
      <c r="R349" t="s">
        <v>32</v>
      </c>
      <c r="S349" t="s">
        <v>44</v>
      </c>
      <c r="T349" t="s">
        <v>49</v>
      </c>
      <c r="U349" t="s">
        <v>46</v>
      </c>
      <c r="V349" t="s">
        <v>36</v>
      </c>
      <c r="W349" t="s">
        <v>37</v>
      </c>
      <c r="X349">
        <v>11.36363636363636</v>
      </c>
      <c r="Y349">
        <v>88.63636363636364</v>
      </c>
      <c r="Z349" t="s">
        <v>38</v>
      </c>
      <c r="AA349" t="s">
        <v>39</v>
      </c>
      <c r="AB349" t="s">
        <v>40</v>
      </c>
      <c r="AC349">
        <v>-1.21E-2</v>
      </c>
    </row>
    <row r="350" spans="1:29" x14ac:dyDescent="0.3">
      <c r="A350">
        <v>349</v>
      </c>
      <c r="B350" s="1">
        <v>40559</v>
      </c>
      <c r="C350">
        <v>1</v>
      </c>
      <c r="D350">
        <v>0</v>
      </c>
      <c r="E350" t="b">
        <v>0</v>
      </c>
      <c r="F350">
        <v>0</v>
      </c>
      <c r="G350">
        <v>1</v>
      </c>
      <c r="H350">
        <v>0.26</v>
      </c>
      <c r="I350">
        <v>0.30299999999999999</v>
      </c>
      <c r="J350">
        <v>0.56000000000000005</v>
      </c>
      <c r="K350">
        <v>0</v>
      </c>
      <c r="L350">
        <v>6</v>
      </c>
      <c r="M350">
        <v>33</v>
      </c>
      <c r="N350">
        <v>39</v>
      </c>
      <c r="O350" t="s">
        <v>29</v>
      </c>
      <c r="P350" t="s">
        <v>52</v>
      </c>
      <c r="Q350" t="s">
        <v>31</v>
      </c>
      <c r="R350" t="s">
        <v>32</v>
      </c>
      <c r="S350" t="s">
        <v>44</v>
      </c>
      <c r="T350" t="s">
        <v>49</v>
      </c>
      <c r="U350" t="s">
        <v>35</v>
      </c>
      <c r="V350" t="s">
        <v>36</v>
      </c>
      <c r="W350" t="s">
        <v>37</v>
      </c>
      <c r="X350">
        <v>15.38461538461539</v>
      </c>
      <c r="Y350">
        <v>84.615384615384613</v>
      </c>
      <c r="Z350" t="s">
        <v>38</v>
      </c>
      <c r="AA350" t="s">
        <v>39</v>
      </c>
      <c r="AB350" t="s">
        <v>40</v>
      </c>
      <c r="AC350">
        <v>4.2999999999999983E-2</v>
      </c>
    </row>
    <row r="351" spans="1:29" x14ac:dyDescent="0.3">
      <c r="A351">
        <v>350</v>
      </c>
      <c r="B351" s="1">
        <v>40559</v>
      </c>
      <c r="C351">
        <v>1</v>
      </c>
      <c r="D351">
        <v>1</v>
      </c>
      <c r="E351" t="b">
        <v>0</v>
      </c>
      <c r="F351">
        <v>0</v>
      </c>
      <c r="G351">
        <v>1</v>
      </c>
      <c r="H351">
        <v>0.26</v>
      </c>
      <c r="I351">
        <v>0.2727</v>
      </c>
      <c r="J351">
        <v>0.56000000000000005</v>
      </c>
      <c r="K351">
        <v>0.1343</v>
      </c>
      <c r="L351">
        <v>4</v>
      </c>
      <c r="M351">
        <v>19</v>
      </c>
      <c r="N351">
        <v>23</v>
      </c>
      <c r="O351" t="s">
        <v>29</v>
      </c>
      <c r="P351" t="s">
        <v>52</v>
      </c>
      <c r="Q351" t="s">
        <v>31</v>
      </c>
      <c r="R351" t="s">
        <v>32</v>
      </c>
      <c r="S351" t="s">
        <v>44</v>
      </c>
      <c r="T351" t="s">
        <v>49</v>
      </c>
      <c r="U351" t="s">
        <v>35</v>
      </c>
      <c r="V351" t="s">
        <v>36</v>
      </c>
      <c r="W351" t="s">
        <v>37</v>
      </c>
      <c r="X351">
        <v>17.39130434782609</v>
      </c>
      <c r="Y351">
        <v>82.608695652173907</v>
      </c>
      <c r="Z351" t="s">
        <v>38</v>
      </c>
      <c r="AA351" t="s">
        <v>39</v>
      </c>
      <c r="AB351" t="s">
        <v>40</v>
      </c>
      <c r="AC351">
        <v>1.2699999999999991E-2</v>
      </c>
    </row>
    <row r="352" spans="1:29" x14ac:dyDescent="0.3">
      <c r="A352">
        <v>351</v>
      </c>
      <c r="B352" s="1">
        <v>40559</v>
      </c>
      <c r="C352">
        <v>1</v>
      </c>
      <c r="D352">
        <v>2</v>
      </c>
      <c r="E352" t="b">
        <v>0</v>
      </c>
      <c r="F352">
        <v>0</v>
      </c>
      <c r="G352">
        <v>1</v>
      </c>
      <c r="H352">
        <v>0.26</v>
      </c>
      <c r="I352">
        <v>0.28789999999999999</v>
      </c>
      <c r="J352">
        <v>0.56000000000000005</v>
      </c>
      <c r="K352">
        <v>8.9599999999999999E-2</v>
      </c>
      <c r="L352">
        <v>3</v>
      </c>
      <c r="M352">
        <v>13</v>
      </c>
      <c r="N352">
        <v>16</v>
      </c>
      <c r="O352" t="s">
        <v>29</v>
      </c>
      <c r="P352" t="s">
        <v>52</v>
      </c>
      <c r="Q352" t="s">
        <v>31</v>
      </c>
      <c r="R352" t="s">
        <v>32</v>
      </c>
      <c r="S352" t="s">
        <v>44</v>
      </c>
      <c r="T352" t="s">
        <v>49</v>
      </c>
      <c r="U352" t="s">
        <v>35</v>
      </c>
      <c r="V352" t="s">
        <v>36</v>
      </c>
      <c r="W352" t="s">
        <v>37</v>
      </c>
      <c r="X352">
        <v>18.75</v>
      </c>
      <c r="Y352">
        <v>81.25</v>
      </c>
      <c r="Z352" t="s">
        <v>38</v>
      </c>
      <c r="AA352" t="s">
        <v>39</v>
      </c>
      <c r="AB352" t="s">
        <v>40</v>
      </c>
      <c r="AC352">
        <v>2.789999999999998E-2</v>
      </c>
    </row>
    <row r="353" spans="1:29" x14ac:dyDescent="0.3">
      <c r="A353">
        <v>352</v>
      </c>
      <c r="B353" s="1">
        <v>40559</v>
      </c>
      <c r="C353">
        <v>1</v>
      </c>
      <c r="D353">
        <v>3</v>
      </c>
      <c r="E353" t="b">
        <v>0</v>
      </c>
      <c r="F353">
        <v>0</v>
      </c>
      <c r="G353">
        <v>1</v>
      </c>
      <c r="H353">
        <v>0.22</v>
      </c>
      <c r="I353">
        <v>0.2727</v>
      </c>
      <c r="J353">
        <v>0.69</v>
      </c>
      <c r="K353">
        <v>0</v>
      </c>
      <c r="L353">
        <v>9</v>
      </c>
      <c r="M353">
        <v>6</v>
      </c>
      <c r="N353">
        <v>15</v>
      </c>
      <c r="O353" t="s">
        <v>29</v>
      </c>
      <c r="P353" t="s">
        <v>52</v>
      </c>
      <c r="Q353" t="s">
        <v>31</v>
      </c>
      <c r="R353" t="s">
        <v>32</v>
      </c>
      <c r="S353" t="s">
        <v>33</v>
      </c>
      <c r="T353" t="s">
        <v>49</v>
      </c>
      <c r="U353" t="s">
        <v>35</v>
      </c>
      <c r="V353" t="s">
        <v>36</v>
      </c>
      <c r="W353" t="s">
        <v>43</v>
      </c>
      <c r="X353">
        <v>60</v>
      </c>
      <c r="Y353">
        <v>40</v>
      </c>
      <c r="Z353" t="s">
        <v>38</v>
      </c>
      <c r="AA353" t="s">
        <v>39</v>
      </c>
      <c r="AB353" t="s">
        <v>40</v>
      </c>
      <c r="AC353">
        <v>5.2699999999999997E-2</v>
      </c>
    </row>
    <row r="354" spans="1:29" x14ac:dyDescent="0.3">
      <c r="A354">
        <v>353</v>
      </c>
      <c r="B354" s="1">
        <v>40559</v>
      </c>
      <c r="C354">
        <v>1</v>
      </c>
      <c r="D354">
        <v>4</v>
      </c>
      <c r="E354" t="b">
        <v>0</v>
      </c>
      <c r="F354">
        <v>0</v>
      </c>
      <c r="G354">
        <v>1</v>
      </c>
      <c r="H354">
        <v>0.26</v>
      </c>
      <c r="I354">
        <v>0.2576</v>
      </c>
      <c r="J354">
        <v>0.56000000000000005</v>
      </c>
      <c r="K354">
        <v>0.16420000000000001</v>
      </c>
      <c r="L354">
        <v>0</v>
      </c>
      <c r="M354">
        <v>1</v>
      </c>
      <c r="N354">
        <v>1</v>
      </c>
      <c r="O354" t="s">
        <v>29</v>
      </c>
      <c r="P354" t="s">
        <v>52</v>
      </c>
      <c r="Q354" t="s">
        <v>31</v>
      </c>
      <c r="R354" t="s">
        <v>32</v>
      </c>
      <c r="S354" t="s">
        <v>44</v>
      </c>
      <c r="T354" t="s">
        <v>49</v>
      </c>
      <c r="U354" t="s">
        <v>46</v>
      </c>
      <c r="V354" t="s">
        <v>36</v>
      </c>
      <c r="W354" t="s">
        <v>37</v>
      </c>
      <c r="X354">
        <v>0</v>
      </c>
      <c r="Y354">
        <v>100</v>
      </c>
      <c r="Z354" t="s">
        <v>38</v>
      </c>
      <c r="AA354" t="s">
        <v>39</v>
      </c>
      <c r="AB354" t="s">
        <v>40</v>
      </c>
      <c r="AC354">
        <v>-2.4000000000000128E-3</v>
      </c>
    </row>
    <row r="355" spans="1:29" x14ac:dyDescent="0.3">
      <c r="A355">
        <v>354</v>
      </c>
      <c r="B355" s="1">
        <v>40559</v>
      </c>
      <c r="C355">
        <v>1</v>
      </c>
      <c r="D355">
        <v>5</v>
      </c>
      <c r="E355" t="b">
        <v>0</v>
      </c>
      <c r="F355">
        <v>0</v>
      </c>
      <c r="G355">
        <v>2</v>
      </c>
      <c r="H355">
        <v>0.26</v>
      </c>
      <c r="I355">
        <v>0.2576</v>
      </c>
      <c r="J355">
        <v>0.56000000000000005</v>
      </c>
      <c r="K355">
        <v>0.16420000000000001</v>
      </c>
      <c r="L355">
        <v>1</v>
      </c>
      <c r="M355">
        <v>1</v>
      </c>
      <c r="N355">
        <v>2</v>
      </c>
      <c r="O355" t="s">
        <v>29</v>
      </c>
      <c r="P355" t="s">
        <v>52</v>
      </c>
      <c r="Q355" t="s">
        <v>41</v>
      </c>
      <c r="R355" t="s">
        <v>32</v>
      </c>
      <c r="S355" t="s">
        <v>44</v>
      </c>
      <c r="T355" t="s">
        <v>49</v>
      </c>
      <c r="U355" t="s">
        <v>46</v>
      </c>
      <c r="V355" t="s">
        <v>36</v>
      </c>
      <c r="W355" t="s">
        <v>37</v>
      </c>
      <c r="X355">
        <v>50</v>
      </c>
      <c r="Y355">
        <v>50</v>
      </c>
      <c r="Z355" t="s">
        <v>38</v>
      </c>
      <c r="AA355" t="s">
        <v>39</v>
      </c>
      <c r="AB355" t="s">
        <v>40</v>
      </c>
      <c r="AC355">
        <v>-2.4000000000000128E-3</v>
      </c>
    </row>
    <row r="356" spans="1:29" x14ac:dyDescent="0.3">
      <c r="A356">
        <v>355</v>
      </c>
      <c r="B356" s="1">
        <v>40559</v>
      </c>
      <c r="C356">
        <v>1</v>
      </c>
      <c r="D356">
        <v>6</v>
      </c>
      <c r="E356" t="b">
        <v>0</v>
      </c>
      <c r="F356">
        <v>0</v>
      </c>
      <c r="G356">
        <v>2</v>
      </c>
      <c r="H356">
        <v>0.26</v>
      </c>
      <c r="I356">
        <v>0.2576</v>
      </c>
      <c r="J356">
        <v>0.56000000000000005</v>
      </c>
      <c r="K356">
        <v>0.16420000000000001</v>
      </c>
      <c r="L356">
        <v>0</v>
      </c>
      <c r="M356">
        <v>1</v>
      </c>
      <c r="N356">
        <v>1</v>
      </c>
      <c r="O356" t="s">
        <v>29</v>
      </c>
      <c r="P356" t="s">
        <v>52</v>
      </c>
      <c r="Q356" t="s">
        <v>41</v>
      </c>
      <c r="R356" t="s">
        <v>42</v>
      </c>
      <c r="S356" t="s">
        <v>44</v>
      </c>
      <c r="T356" t="s">
        <v>49</v>
      </c>
      <c r="U356" t="s">
        <v>46</v>
      </c>
      <c r="V356" t="s">
        <v>36</v>
      </c>
      <c r="W356" t="s">
        <v>37</v>
      </c>
      <c r="X356">
        <v>0</v>
      </c>
      <c r="Y356">
        <v>100</v>
      </c>
      <c r="Z356" t="s">
        <v>38</v>
      </c>
      <c r="AA356" t="s">
        <v>39</v>
      </c>
      <c r="AB356" t="s">
        <v>40</v>
      </c>
      <c r="AC356">
        <v>-2.4000000000000128E-3</v>
      </c>
    </row>
    <row r="357" spans="1:29" x14ac:dyDescent="0.3">
      <c r="A357">
        <v>356</v>
      </c>
      <c r="B357" s="1">
        <v>40559</v>
      </c>
      <c r="C357">
        <v>1</v>
      </c>
      <c r="D357">
        <v>7</v>
      </c>
      <c r="E357" t="b">
        <v>0</v>
      </c>
      <c r="F357">
        <v>0</v>
      </c>
      <c r="G357">
        <v>2</v>
      </c>
      <c r="H357">
        <v>0.24</v>
      </c>
      <c r="I357">
        <v>0.21210000000000001</v>
      </c>
      <c r="J357">
        <v>0.56000000000000005</v>
      </c>
      <c r="K357">
        <v>0.29849999999999999</v>
      </c>
      <c r="L357">
        <v>0</v>
      </c>
      <c r="M357">
        <v>3</v>
      </c>
      <c r="N357">
        <v>3</v>
      </c>
      <c r="O357" t="s">
        <v>29</v>
      </c>
      <c r="P357" t="s">
        <v>52</v>
      </c>
      <c r="Q357" t="s">
        <v>41</v>
      </c>
      <c r="R357" t="s">
        <v>42</v>
      </c>
      <c r="S357" t="s">
        <v>33</v>
      </c>
      <c r="T357" t="s">
        <v>49</v>
      </c>
      <c r="U357" t="s">
        <v>46</v>
      </c>
      <c r="V357" t="s">
        <v>36</v>
      </c>
      <c r="W357" t="s">
        <v>37</v>
      </c>
      <c r="X357">
        <v>0</v>
      </c>
      <c r="Y357">
        <v>100</v>
      </c>
      <c r="Z357" t="s">
        <v>40</v>
      </c>
      <c r="AA357" t="s">
        <v>39</v>
      </c>
      <c r="AB357" t="s">
        <v>40</v>
      </c>
      <c r="AC357">
        <v>-2.789999999999998E-2</v>
      </c>
    </row>
    <row r="358" spans="1:29" x14ac:dyDescent="0.3">
      <c r="A358">
        <v>357</v>
      </c>
      <c r="B358" s="1">
        <v>40559</v>
      </c>
      <c r="C358">
        <v>1</v>
      </c>
      <c r="D358">
        <v>8</v>
      </c>
      <c r="E358" t="b">
        <v>0</v>
      </c>
      <c r="F358">
        <v>0</v>
      </c>
      <c r="G358">
        <v>1</v>
      </c>
      <c r="H358">
        <v>0.22</v>
      </c>
      <c r="I358">
        <v>0.21210000000000001</v>
      </c>
      <c r="J358">
        <v>0.55000000000000004</v>
      </c>
      <c r="K358">
        <v>0.28360000000000002</v>
      </c>
      <c r="L358">
        <v>0</v>
      </c>
      <c r="M358">
        <v>18</v>
      </c>
      <c r="N358">
        <v>18</v>
      </c>
      <c r="O358" t="s">
        <v>29</v>
      </c>
      <c r="P358" t="s">
        <v>52</v>
      </c>
      <c r="Q358" t="s">
        <v>31</v>
      </c>
      <c r="R358" t="s">
        <v>42</v>
      </c>
      <c r="S358" t="s">
        <v>33</v>
      </c>
      <c r="T358" t="s">
        <v>49</v>
      </c>
      <c r="U358" t="s">
        <v>46</v>
      </c>
      <c r="V358" t="s">
        <v>36</v>
      </c>
      <c r="W358" t="s">
        <v>37</v>
      </c>
      <c r="X358">
        <v>0</v>
      </c>
      <c r="Y358">
        <v>100</v>
      </c>
      <c r="Z358" t="s">
        <v>40</v>
      </c>
      <c r="AA358" t="s">
        <v>39</v>
      </c>
      <c r="AB358" t="s">
        <v>40</v>
      </c>
      <c r="AC358">
        <v>-7.8999999999999904E-3</v>
      </c>
    </row>
    <row r="359" spans="1:29" x14ac:dyDescent="0.3">
      <c r="A359">
        <v>358</v>
      </c>
      <c r="B359" s="1">
        <v>40559</v>
      </c>
      <c r="C359">
        <v>1</v>
      </c>
      <c r="D359">
        <v>9</v>
      </c>
      <c r="E359" t="b">
        <v>0</v>
      </c>
      <c r="F359">
        <v>0</v>
      </c>
      <c r="G359">
        <v>1</v>
      </c>
      <c r="H359">
        <v>0.22</v>
      </c>
      <c r="I359">
        <v>0.21210000000000001</v>
      </c>
      <c r="J359">
        <v>0.51</v>
      </c>
      <c r="K359">
        <v>0.25369999999999998</v>
      </c>
      <c r="L359">
        <v>3</v>
      </c>
      <c r="M359">
        <v>29</v>
      </c>
      <c r="N359">
        <v>32</v>
      </c>
      <c r="O359" t="s">
        <v>29</v>
      </c>
      <c r="P359" t="s">
        <v>52</v>
      </c>
      <c r="Q359" t="s">
        <v>31</v>
      </c>
      <c r="R359" t="s">
        <v>42</v>
      </c>
      <c r="S359" t="s">
        <v>33</v>
      </c>
      <c r="T359" t="s">
        <v>49</v>
      </c>
      <c r="U359" t="s">
        <v>46</v>
      </c>
      <c r="V359" t="s">
        <v>36</v>
      </c>
      <c r="W359" t="s">
        <v>37</v>
      </c>
      <c r="X359">
        <v>9.375</v>
      </c>
      <c r="Y359">
        <v>90.625</v>
      </c>
      <c r="Z359" t="s">
        <v>40</v>
      </c>
      <c r="AA359" t="s">
        <v>39</v>
      </c>
      <c r="AB359" t="s">
        <v>40</v>
      </c>
      <c r="AC359">
        <v>-7.8999999999999904E-3</v>
      </c>
    </row>
    <row r="360" spans="1:29" x14ac:dyDescent="0.3">
      <c r="A360">
        <v>359</v>
      </c>
      <c r="B360" s="1">
        <v>40559</v>
      </c>
      <c r="C360">
        <v>1</v>
      </c>
      <c r="D360">
        <v>10</v>
      </c>
      <c r="E360" t="b">
        <v>0</v>
      </c>
      <c r="F360">
        <v>0</v>
      </c>
      <c r="G360">
        <v>1</v>
      </c>
      <c r="H360">
        <v>0.22</v>
      </c>
      <c r="I360">
        <v>0.21210000000000001</v>
      </c>
      <c r="J360">
        <v>0.51</v>
      </c>
      <c r="K360">
        <v>0.28360000000000002</v>
      </c>
      <c r="L360">
        <v>8</v>
      </c>
      <c r="M360">
        <v>71</v>
      </c>
      <c r="N360">
        <v>79</v>
      </c>
      <c r="O360" t="s">
        <v>29</v>
      </c>
      <c r="P360" t="s">
        <v>52</v>
      </c>
      <c r="Q360" t="s">
        <v>31</v>
      </c>
      <c r="R360" t="s">
        <v>42</v>
      </c>
      <c r="S360" t="s">
        <v>33</v>
      </c>
      <c r="T360" t="s">
        <v>49</v>
      </c>
      <c r="U360" t="s">
        <v>46</v>
      </c>
      <c r="V360" t="s">
        <v>36</v>
      </c>
      <c r="W360" t="s">
        <v>37</v>
      </c>
      <c r="X360">
        <v>10.12658227848101</v>
      </c>
      <c r="Y360">
        <v>89.87341772151899</v>
      </c>
      <c r="Z360" t="s">
        <v>38</v>
      </c>
      <c r="AA360" t="s">
        <v>39</v>
      </c>
      <c r="AB360" t="s">
        <v>40</v>
      </c>
      <c r="AC360">
        <v>-7.8999999999999904E-3</v>
      </c>
    </row>
    <row r="361" spans="1:29" x14ac:dyDescent="0.3">
      <c r="A361">
        <v>360</v>
      </c>
      <c r="B361" s="1">
        <v>40559</v>
      </c>
      <c r="C361">
        <v>1</v>
      </c>
      <c r="D361">
        <v>11</v>
      </c>
      <c r="E361" t="b">
        <v>0</v>
      </c>
      <c r="F361">
        <v>0</v>
      </c>
      <c r="G361">
        <v>1</v>
      </c>
      <c r="H361">
        <v>0.24</v>
      </c>
      <c r="I361">
        <v>0.2273</v>
      </c>
      <c r="J361">
        <v>0.44</v>
      </c>
      <c r="K361">
        <v>0.25369999999999998</v>
      </c>
      <c r="L361">
        <v>23</v>
      </c>
      <c r="M361">
        <v>70</v>
      </c>
      <c r="N361">
        <v>93</v>
      </c>
      <c r="O361" t="s">
        <v>29</v>
      </c>
      <c r="P361" t="s">
        <v>52</v>
      </c>
      <c r="Q361" t="s">
        <v>31</v>
      </c>
      <c r="R361" t="s">
        <v>42</v>
      </c>
      <c r="S361" t="s">
        <v>33</v>
      </c>
      <c r="T361" t="s">
        <v>49</v>
      </c>
      <c r="U361" t="s">
        <v>46</v>
      </c>
      <c r="V361" t="s">
        <v>36</v>
      </c>
      <c r="W361" t="s">
        <v>37</v>
      </c>
      <c r="X361">
        <v>24.731182795698921</v>
      </c>
      <c r="Y361">
        <v>75.268817204301072</v>
      </c>
      <c r="Z361" t="s">
        <v>38</v>
      </c>
      <c r="AA361" t="s">
        <v>39</v>
      </c>
      <c r="AB361" t="s">
        <v>40</v>
      </c>
      <c r="AC361">
        <v>-1.2699999999999991E-2</v>
      </c>
    </row>
    <row r="362" spans="1:29" x14ac:dyDescent="0.3">
      <c r="A362">
        <v>361</v>
      </c>
      <c r="B362" s="1">
        <v>40559</v>
      </c>
      <c r="C362">
        <v>1</v>
      </c>
      <c r="D362">
        <v>12</v>
      </c>
      <c r="E362" t="b">
        <v>0</v>
      </c>
      <c r="F362">
        <v>0</v>
      </c>
      <c r="G362">
        <v>1</v>
      </c>
      <c r="H362">
        <v>0.24</v>
      </c>
      <c r="I362">
        <v>0.21210000000000001</v>
      </c>
      <c r="J362">
        <v>0.41</v>
      </c>
      <c r="K362">
        <v>0.28360000000000002</v>
      </c>
      <c r="L362">
        <v>29</v>
      </c>
      <c r="M362">
        <v>75</v>
      </c>
      <c r="N362">
        <v>104</v>
      </c>
      <c r="O362" t="s">
        <v>29</v>
      </c>
      <c r="P362" t="s">
        <v>52</v>
      </c>
      <c r="Q362" t="s">
        <v>31</v>
      </c>
      <c r="R362" t="s">
        <v>47</v>
      </c>
      <c r="S362" t="s">
        <v>33</v>
      </c>
      <c r="T362" t="s">
        <v>49</v>
      </c>
      <c r="U362" t="s">
        <v>46</v>
      </c>
      <c r="V362" t="s">
        <v>36</v>
      </c>
      <c r="W362" t="s">
        <v>37</v>
      </c>
      <c r="X362">
        <v>27.88461538461539</v>
      </c>
      <c r="Y362">
        <v>72.115384615384613</v>
      </c>
      <c r="Z362" t="s">
        <v>38</v>
      </c>
      <c r="AA362" t="s">
        <v>49</v>
      </c>
      <c r="AB362" t="s">
        <v>40</v>
      </c>
      <c r="AC362">
        <v>-2.789999999999998E-2</v>
      </c>
    </row>
    <row r="363" spans="1:29" x14ac:dyDescent="0.3">
      <c r="A363">
        <v>362</v>
      </c>
      <c r="B363" s="1">
        <v>40559</v>
      </c>
      <c r="C363">
        <v>1</v>
      </c>
      <c r="D363">
        <v>13</v>
      </c>
      <c r="E363" t="b">
        <v>0</v>
      </c>
      <c r="F363">
        <v>0</v>
      </c>
      <c r="G363">
        <v>1</v>
      </c>
      <c r="H363">
        <v>0.26</v>
      </c>
      <c r="I363">
        <v>0.2273</v>
      </c>
      <c r="J363">
        <v>0.35</v>
      </c>
      <c r="K363">
        <v>0.29849999999999999</v>
      </c>
      <c r="L363">
        <v>23</v>
      </c>
      <c r="M363">
        <v>95</v>
      </c>
      <c r="N363">
        <v>118</v>
      </c>
      <c r="O363" t="s">
        <v>29</v>
      </c>
      <c r="P363" t="s">
        <v>52</v>
      </c>
      <c r="Q363" t="s">
        <v>31</v>
      </c>
      <c r="R363" t="s">
        <v>47</v>
      </c>
      <c r="S363" t="s">
        <v>44</v>
      </c>
      <c r="T363" t="s">
        <v>39</v>
      </c>
      <c r="U363" t="s">
        <v>46</v>
      </c>
      <c r="V363" t="s">
        <v>36</v>
      </c>
      <c r="W363" t="s">
        <v>37</v>
      </c>
      <c r="X363">
        <v>19.49152542372881</v>
      </c>
      <c r="Y363">
        <v>80.508474576271183</v>
      </c>
      <c r="Z363" t="s">
        <v>38</v>
      </c>
      <c r="AA363" t="s">
        <v>49</v>
      </c>
      <c r="AB363" t="s">
        <v>40</v>
      </c>
      <c r="AC363">
        <v>-3.2700000000000007E-2</v>
      </c>
    </row>
    <row r="364" spans="1:29" x14ac:dyDescent="0.3">
      <c r="A364">
        <v>363</v>
      </c>
      <c r="B364" s="1">
        <v>40559</v>
      </c>
      <c r="C364">
        <v>1</v>
      </c>
      <c r="D364">
        <v>14</v>
      </c>
      <c r="E364" t="b">
        <v>0</v>
      </c>
      <c r="F364">
        <v>0</v>
      </c>
      <c r="G364">
        <v>1</v>
      </c>
      <c r="H364">
        <v>0.28000000000000003</v>
      </c>
      <c r="I364">
        <v>0.2727</v>
      </c>
      <c r="J364">
        <v>0.36</v>
      </c>
      <c r="K364">
        <v>0.25369999999999998</v>
      </c>
      <c r="L364">
        <v>22</v>
      </c>
      <c r="M364">
        <v>69</v>
      </c>
      <c r="N364">
        <v>91</v>
      </c>
      <c r="O364" t="s">
        <v>29</v>
      </c>
      <c r="P364" t="s">
        <v>52</v>
      </c>
      <c r="Q364" t="s">
        <v>31</v>
      </c>
      <c r="R364" t="s">
        <v>47</v>
      </c>
      <c r="S364" t="s">
        <v>44</v>
      </c>
      <c r="T364" t="s">
        <v>39</v>
      </c>
      <c r="U364" t="s">
        <v>46</v>
      </c>
      <c r="V364" t="s">
        <v>36</v>
      </c>
      <c r="W364" t="s">
        <v>37</v>
      </c>
      <c r="X364">
        <v>24.175824175824179</v>
      </c>
      <c r="Y364">
        <v>75.824175824175825</v>
      </c>
      <c r="Z364" t="s">
        <v>38</v>
      </c>
      <c r="AA364" t="s">
        <v>39</v>
      </c>
      <c r="AB364" t="s">
        <v>40</v>
      </c>
      <c r="AC364">
        <v>-7.3000000000000287E-3</v>
      </c>
    </row>
    <row r="365" spans="1:29" x14ac:dyDescent="0.3">
      <c r="A365">
        <v>364</v>
      </c>
      <c r="B365" s="1">
        <v>40559</v>
      </c>
      <c r="C365">
        <v>1</v>
      </c>
      <c r="D365">
        <v>15</v>
      </c>
      <c r="E365" t="b">
        <v>0</v>
      </c>
      <c r="F365">
        <v>0</v>
      </c>
      <c r="G365">
        <v>1</v>
      </c>
      <c r="H365">
        <v>0.26</v>
      </c>
      <c r="I365">
        <v>0.2424</v>
      </c>
      <c r="J365">
        <v>0.38</v>
      </c>
      <c r="K365">
        <v>0.25369999999999998</v>
      </c>
      <c r="L365">
        <v>35</v>
      </c>
      <c r="M365">
        <v>78</v>
      </c>
      <c r="N365">
        <v>113</v>
      </c>
      <c r="O365" t="s">
        <v>29</v>
      </c>
      <c r="P365" t="s">
        <v>52</v>
      </c>
      <c r="Q365" t="s">
        <v>31</v>
      </c>
      <c r="R365" t="s">
        <v>47</v>
      </c>
      <c r="S365" t="s">
        <v>44</v>
      </c>
      <c r="T365" t="s">
        <v>39</v>
      </c>
      <c r="U365" t="s">
        <v>46</v>
      </c>
      <c r="V365" t="s">
        <v>36</v>
      </c>
      <c r="W365" t="s">
        <v>37</v>
      </c>
      <c r="X365">
        <v>30.973451327433629</v>
      </c>
      <c r="Y365">
        <v>69.026548672566364</v>
      </c>
      <c r="Z365" t="s">
        <v>38</v>
      </c>
      <c r="AA365" t="s">
        <v>49</v>
      </c>
      <c r="AB365" t="s">
        <v>40</v>
      </c>
      <c r="AC365">
        <v>-1.7600000000000001E-2</v>
      </c>
    </row>
    <row r="366" spans="1:29" x14ac:dyDescent="0.3">
      <c r="A366">
        <v>365</v>
      </c>
      <c r="B366" s="1">
        <v>40559</v>
      </c>
      <c r="C366">
        <v>1</v>
      </c>
      <c r="D366">
        <v>16</v>
      </c>
      <c r="E366" t="b">
        <v>0</v>
      </c>
      <c r="F366">
        <v>0</v>
      </c>
      <c r="G366">
        <v>1</v>
      </c>
      <c r="H366">
        <v>0.24</v>
      </c>
      <c r="I366">
        <v>0.2273</v>
      </c>
      <c r="J366">
        <v>0.38</v>
      </c>
      <c r="K366">
        <v>0.22389999999999999</v>
      </c>
      <c r="L366">
        <v>22</v>
      </c>
      <c r="M366">
        <v>77</v>
      </c>
      <c r="N366">
        <v>99</v>
      </c>
      <c r="O366" t="s">
        <v>29</v>
      </c>
      <c r="P366" t="s">
        <v>52</v>
      </c>
      <c r="Q366" t="s">
        <v>31</v>
      </c>
      <c r="R366" t="s">
        <v>47</v>
      </c>
      <c r="S366" t="s">
        <v>33</v>
      </c>
      <c r="T366" t="s">
        <v>39</v>
      </c>
      <c r="U366" t="s">
        <v>46</v>
      </c>
      <c r="V366" t="s">
        <v>36</v>
      </c>
      <c r="W366" t="s">
        <v>37</v>
      </c>
      <c r="X366">
        <v>22.222222222222221</v>
      </c>
      <c r="Y366">
        <v>77.777777777777786</v>
      </c>
      <c r="Z366" t="s">
        <v>38</v>
      </c>
      <c r="AA366" t="s">
        <v>39</v>
      </c>
      <c r="AB366" t="s">
        <v>40</v>
      </c>
      <c r="AC366">
        <v>-1.2699999999999991E-2</v>
      </c>
    </row>
    <row r="367" spans="1:29" x14ac:dyDescent="0.3">
      <c r="A367">
        <v>366</v>
      </c>
      <c r="B367" s="1">
        <v>40559</v>
      </c>
      <c r="C367">
        <v>1</v>
      </c>
      <c r="D367">
        <v>17</v>
      </c>
      <c r="E367" t="b">
        <v>0</v>
      </c>
      <c r="F367">
        <v>0</v>
      </c>
      <c r="G367">
        <v>1</v>
      </c>
      <c r="H367">
        <v>0.22</v>
      </c>
      <c r="I367">
        <v>0.21210000000000001</v>
      </c>
      <c r="J367">
        <v>0.37</v>
      </c>
      <c r="K367">
        <v>0.25369999999999998</v>
      </c>
      <c r="L367">
        <v>23</v>
      </c>
      <c r="M367">
        <v>82</v>
      </c>
      <c r="N367">
        <v>105</v>
      </c>
      <c r="O367" t="s">
        <v>29</v>
      </c>
      <c r="P367" t="s">
        <v>52</v>
      </c>
      <c r="Q367" t="s">
        <v>31</v>
      </c>
      <c r="R367" t="s">
        <v>50</v>
      </c>
      <c r="S367" t="s">
        <v>33</v>
      </c>
      <c r="T367" t="s">
        <v>39</v>
      </c>
      <c r="U367" t="s">
        <v>46</v>
      </c>
      <c r="V367" t="s">
        <v>36</v>
      </c>
      <c r="W367" t="s">
        <v>37</v>
      </c>
      <c r="X367">
        <v>21.904761904761909</v>
      </c>
      <c r="Y367">
        <v>78.095238095238102</v>
      </c>
      <c r="Z367" t="s">
        <v>40</v>
      </c>
      <c r="AA367" t="s">
        <v>49</v>
      </c>
      <c r="AB367" t="s">
        <v>40</v>
      </c>
      <c r="AC367">
        <v>-7.8999999999999904E-3</v>
      </c>
    </row>
    <row r="368" spans="1:29" x14ac:dyDescent="0.3">
      <c r="A368">
        <v>367</v>
      </c>
      <c r="B368" s="1">
        <v>40559</v>
      </c>
      <c r="C368">
        <v>1</v>
      </c>
      <c r="D368">
        <v>18</v>
      </c>
      <c r="E368" t="b">
        <v>0</v>
      </c>
      <c r="F368">
        <v>0</v>
      </c>
      <c r="G368">
        <v>1</v>
      </c>
      <c r="H368">
        <v>0.2</v>
      </c>
      <c r="I368">
        <v>0.21210000000000001</v>
      </c>
      <c r="J368">
        <v>0.4</v>
      </c>
      <c r="K368">
        <v>0.16420000000000001</v>
      </c>
      <c r="L368">
        <v>11</v>
      </c>
      <c r="M368">
        <v>56</v>
      </c>
      <c r="N368">
        <v>67</v>
      </c>
      <c r="O368" t="s">
        <v>29</v>
      </c>
      <c r="P368" t="s">
        <v>52</v>
      </c>
      <c r="Q368" t="s">
        <v>31</v>
      </c>
      <c r="R368" t="s">
        <v>50</v>
      </c>
      <c r="S368" t="s">
        <v>33</v>
      </c>
      <c r="T368" t="s">
        <v>49</v>
      </c>
      <c r="U368" t="s">
        <v>46</v>
      </c>
      <c r="V368" t="s">
        <v>36</v>
      </c>
      <c r="W368" t="s">
        <v>37</v>
      </c>
      <c r="X368">
        <v>16.417910447761191</v>
      </c>
      <c r="Y368">
        <v>83.582089552238799</v>
      </c>
      <c r="Z368" t="s">
        <v>40</v>
      </c>
      <c r="AA368" t="s">
        <v>39</v>
      </c>
      <c r="AB368" t="s">
        <v>40</v>
      </c>
      <c r="AC368">
        <v>1.21E-2</v>
      </c>
    </row>
    <row r="369" spans="1:29" x14ac:dyDescent="0.3">
      <c r="A369">
        <v>368</v>
      </c>
      <c r="B369" s="1">
        <v>40559</v>
      </c>
      <c r="C369">
        <v>1</v>
      </c>
      <c r="D369">
        <v>19</v>
      </c>
      <c r="E369" t="b">
        <v>0</v>
      </c>
      <c r="F369">
        <v>0</v>
      </c>
      <c r="G369">
        <v>1</v>
      </c>
      <c r="H369">
        <v>0.18</v>
      </c>
      <c r="I369">
        <v>0.19700000000000001</v>
      </c>
      <c r="J369">
        <v>0.47</v>
      </c>
      <c r="K369">
        <v>0.1343</v>
      </c>
      <c r="L369">
        <v>14</v>
      </c>
      <c r="M369">
        <v>47</v>
      </c>
      <c r="N369">
        <v>61</v>
      </c>
      <c r="O369" t="s">
        <v>29</v>
      </c>
      <c r="P369" t="s">
        <v>52</v>
      </c>
      <c r="Q369" t="s">
        <v>31</v>
      </c>
      <c r="R369" t="s">
        <v>50</v>
      </c>
      <c r="S369" t="s">
        <v>33</v>
      </c>
      <c r="T369" t="s">
        <v>49</v>
      </c>
      <c r="U369" t="s">
        <v>35</v>
      </c>
      <c r="V369" t="s">
        <v>36</v>
      </c>
      <c r="W369" t="s">
        <v>37</v>
      </c>
      <c r="X369">
        <v>22.95081967213115</v>
      </c>
      <c r="Y369">
        <v>77.049180327868854</v>
      </c>
      <c r="Z369" t="s">
        <v>40</v>
      </c>
      <c r="AA369" t="s">
        <v>39</v>
      </c>
      <c r="AB369" t="s">
        <v>40</v>
      </c>
      <c r="AC369">
        <v>1.7000000000000019E-2</v>
      </c>
    </row>
    <row r="370" spans="1:29" x14ac:dyDescent="0.3">
      <c r="A370">
        <v>369</v>
      </c>
      <c r="B370" s="1">
        <v>40559</v>
      </c>
      <c r="C370">
        <v>1</v>
      </c>
      <c r="D370">
        <v>20</v>
      </c>
      <c r="E370" t="b">
        <v>0</v>
      </c>
      <c r="F370">
        <v>0</v>
      </c>
      <c r="G370">
        <v>1</v>
      </c>
      <c r="H370">
        <v>0.18</v>
      </c>
      <c r="I370">
        <v>0.19700000000000001</v>
      </c>
      <c r="J370">
        <v>0.47</v>
      </c>
      <c r="K370">
        <v>0.16420000000000001</v>
      </c>
      <c r="L370">
        <v>7</v>
      </c>
      <c r="M370">
        <v>50</v>
      </c>
      <c r="N370">
        <v>57</v>
      </c>
      <c r="O370" t="s">
        <v>29</v>
      </c>
      <c r="P370" t="s">
        <v>52</v>
      </c>
      <c r="Q370" t="s">
        <v>31</v>
      </c>
      <c r="R370" t="s">
        <v>50</v>
      </c>
      <c r="S370" t="s">
        <v>33</v>
      </c>
      <c r="T370" t="s">
        <v>49</v>
      </c>
      <c r="U370" t="s">
        <v>46</v>
      </c>
      <c r="V370" t="s">
        <v>36</v>
      </c>
      <c r="W370" t="s">
        <v>37</v>
      </c>
      <c r="X370">
        <v>12.28070175438596</v>
      </c>
      <c r="Y370">
        <v>87.719298245614027</v>
      </c>
      <c r="Z370" t="s">
        <v>38</v>
      </c>
      <c r="AA370" t="s">
        <v>39</v>
      </c>
      <c r="AB370" t="s">
        <v>40</v>
      </c>
      <c r="AC370">
        <v>1.7000000000000019E-2</v>
      </c>
    </row>
    <row r="371" spans="1:29" x14ac:dyDescent="0.3">
      <c r="A371">
        <v>370</v>
      </c>
      <c r="B371" s="1">
        <v>40559</v>
      </c>
      <c r="C371">
        <v>1</v>
      </c>
      <c r="D371">
        <v>21</v>
      </c>
      <c r="E371" t="b">
        <v>0</v>
      </c>
      <c r="F371">
        <v>0</v>
      </c>
      <c r="G371">
        <v>1</v>
      </c>
      <c r="H371">
        <v>0.18</v>
      </c>
      <c r="I371">
        <v>0.19700000000000001</v>
      </c>
      <c r="J371">
        <v>0.51</v>
      </c>
      <c r="K371">
        <v>0.16420000000000001</v>
      </c>
      <c r="L371">
        <v>6</v>
      </c>
      <c r="M371">
        <v>22</v>
      </c>
      <c r="N371">
        <v>28</v>
      </c>
      <c r="O371" t="s">
        <v>29</v>
      </c>
      <c r="P371" t="s">
        <v>52</v>
      </c>
      <c r="Q371" t="s">
        <v>31</v>
      </c>
      <c r="R371" t="s">
        <v>32</v>
      </c>
      <c r="S371" t="s">
        <v>33</v>
      </c>
      <c r="T371" t="s">
        <v>49</v>
      </c>
      <c r="U371" t="s">
        <v>46</v>
      </c>
      <c r="V371" t="s">
        <v>36</v>
      </c>
      <c r="W371" t="s">
        <v>37</v>
      </c>
      <c r="X371">
        <v>21.428571428571431</v>
      </c>
      <c r="Y371">
        <v>78.571428571428569</v>
      </c>
      <c r="Z371" t="s">
        <v>38</v>
      </c>
      <c r="AA371" t="s">
        <v>39</v>
      </c>
      <c r="AB371" t="s">
        <v>40</v>
      </c>
      <c r="AC371">
        <v>1.7000000000000019E-2</v>
      </c>
    </row>
    <row r="372" spans="1:29" x14ac:dyDescent="0.3">
      <c r="A372">
        <v>371</v>
      </c>
      <c r="B372" s="1">
        <v>40559</v>
      </c>
      <c r="C372">
        <v>1</v>
      </c>
      <c r="D372">
        <v>22</v>
      </c>
      <c r="E372" t="b">
        <v>0</v>
      </c>
      <c r="F372">
        <v>0</v>
      </c>
      <c r="G372">
        <v>2</v>
      </c>
      <c r="H372">
        <v>0.2</v>
      </c>
      <c r="I372">
        <v>0.21210000000000001</v>
      </c>
      <c r="J372">
        <v>0.49</v>
      </c>
      <c r="K372">
        <v>0.1343</v>
      </c>
      <c r="L372">
        <v>2</v>
      </c>
      <c r="M372">
        <v>19</v>
      </c>
      <c r="N372">
        <v>21</v>
      </c>
      <c r="O372" t="s">
        <v>29</v>
      </c>
      <c r="P372" t="s">
        <v>52</v>
      </c>
      <c r="Q372" t="s">
        <v>41</v>
      </c>
      <c r="R372" t="s">
        <v>32</v>
      </c>
      <c r="S372" t="s">
        <v>33</v>
      </c>
      <c r="T372" t="s">
        <v>49</v>
      </c>
      <c r="U372" t="s">
        <v>35</v>
      </c>
      <c r="V372" t="s">
        <v>36</v>
      </c>
      <c r="W372" t="s">
        <v>37</v>
      </c>
      <c r="X372">
        <v>9.5238095238095237</v>
      </c>
      <c r="Y372">
        <v>90.476190476190482</v>
      </c>
      <c r="Z372" t="s">
        <v>38</v>
      </c>
      <c r="AA372" t="s">
        <v>39</v>
      </c>
      <c r="AB372" t="s">
        <v>40</v>
      </c>
      <c r="AC372">
        <v>1.21E-2</v>
      </c>
    </row>
    <row r="373" spans="1:29" x14ac:dyDescent="0.3">
      <c r="A373">
        <v>372</v>
      </c>
      <c r="B373" s="1">
        <v>40559</v>
      </c>
      <c r="C373">
        <v>1</v>
      </c>
      <c r="D373">
        <v>23</v>
      </c>
      <c r="E373" t="b">
        <v>0</v>
      </c>
      <c r="F373">
        <v>0</v>
      </c>
      <c r="G373">
        <v>2</v>
      </c>
      <c r="H373">
        <v>0.2</v>
      </c>
      <c r="I373">
        <v>0.2273</v>
      </c>
      <c r="J373">
        <v>0.4</v>
      </c>
      <c r="K373">
        <v>0.1045</v>
      </c>
      <c r="L373">
        <v>0</v>
      </c>
      <c r="M373">
        <v>18</v>
      </c>
      <c r="N373">
        <v>18</v>
      </c>
      <c r="O373" t="s">
        <v>29</v>
      </c>
      <c r="P373" t="s">
        <v>52</v>
      </c>
      <c r="Q373" t="s">
        <v>41</v>
      </c>
      <c r="R373" t="s">
        <v>32</v>
      </c>
      <c r="S373" t="s">
        <v>33</v>
      </c>
      <c r="T373" t="s">
        <v>49</v>
      </c>
      <c r="U373" t="s">
        <v>35</v>
      </c>
      <c r="V373" t="s">
        <v>36</v>
      </c>
      <c r="W373" t="s">
        <v>37</v>
      </c>
      <c r="X373">
        <v>0</v>
      </c>
      <c r="Y373">
        <v>100</v>
      </c>
      <c r="Z373" t="s">
        <v>38</v>
      </c>
      <c r="AA373" t="s">
        <v>39</v>
      </c>
      <c r="AB373" t="s">
        <v>40</v>
      </c>
      <c r="AC373">
        <v>2.7299999999999991E-2</v>
      </c>
    </row>
    <row r="374" spans="1:29" x14ac:dyDescent="0.3">
      <c r="A374">
        <v>373</v>
      </c>
      <c r="B374" s="1">
        <v>40560</v>
      </c>
      <c r="C374">
        <v>1</v>
      </c>
      <c r="D374">
        <v>0</v>
      </c>
      <c r="E374" t="b">
        <v>1</v>
      </c>
      <c r="F374">
        <v>1</v>
      </c>
      <c r="G374">
        <v>2</v>
      </c>
      <c r="H374">
        <v>0.2</v>
      </c>
      <c r="I374">
        <v>0.19700000000000001</v>
      </c>
      <c r="J374">
        <v>0.47</v>
      </c>
      <c r="K374">
        <v>0.22389999999999999</v>
      </c>
      <c r="L374">
        <v>1</v>
      </c>
      <c r="M374">
        <v>16</v>
      </c>
      <c r="N374">
        <v>17</v>
      </c>
      <c r="O374" t="s">
        <v>29</v>
      </c>
      <c r="P374" t="s">
        <v>54</v>
      </c>
      <c r="Q374" t="s">
        <v>41</v>
      </c>
      <c r="R374" t="s">
        <v>32</v>
      </c>
      <c r="S374" t="s">
        <v>33</v>
      </c>
      <c r="T374" t="s">
        <v>49</v>
      </c>
      <c r="U374" t="s">
        <v>46</v>
      </c>
      <c r="V374" t="s">
        <v>60</v>
      </c>
      <c r="W374" t="s">
        <v>37</v>
      </c>
      <c r="X374">
        <v>5.8823529411764701</v>
      </c>
      <c r="Y374">
        <v>94.117647058823522</v>
      </c>
      <c r="Z374" t="s">
        <v>38</v>
      </c>
      <c r="AA374" t="s">
        <v>39</v>
      </c>
      <c r="AB374" t="s">
        <v>38</v>
      </c>
      <c r="AC374">
        <v>-3.0000000000000031E-3</v>
      </c>
    </row>
    <row r="375" spans="1:29" x14ac:dyDescent="0.3">
      <c r="A375">
        <v>374</v>
      </c>
      <c r="B375" s="1">
        <v>40560</v>
      </c>
      <c r="C375">
        <v>1</v>
      </c>
      <c r="D375">
        <v>1</v>
      </c>
      <c r="E375" t="b">
        <v>1</v>
      </c>
      <c r="F375">
        <v>1</v>
      </c>
      <c r="G375">
        <v>2</v>
      </c>
      <c r="H375">
        <v>0.2</v>
      </c>
      <c r="I375">
        <v>0.19700000000000001</v>
      </c>
      <c r="J375">
        <v>0.44</v>
      </c>
      <c r="K375">
        <v>0.19400000000000001</v>
      </c>
      <c r="L375">
        <v>1</v>
      </c>
      <c r="M375">
        <v>15</v>
      </c>
      <c r="N375">
        <v>16</v>
      </c>
      <c r="O375" t="s">
        <v>29</v>
      </c>
      <c r="P375" t="s">
        <v>54</v>
      </c>
      <c r="Q375" t="s">
        <v>41</v>
      </c>
      <c r="R375" t="s">
        <v>32</v>
      </c>
      <c r="S375" t="s">
        <v>33</v>
      </c>
      <c r="T375" t="s">
        <v>49</v>
      </c>
      <c r="U375" t="s">
        <v>46</v>
      </c>
      <c r="V375" t="s">
        <v>60</v>
      </c>
      <c r="W375" t="s">
        <v>37</v>
      </c>
      <c r="X375">
        <v>6.25</v>
      </c>
      <c r="Y375">
        <v>93.75</v>
      </c>
      <c r="Z375" t="s">
        <v>38</v>
      </c>
      <c r="AA375" t="s">
        <v>39</v>
      </c>
      <c r="AB375" t="s">
        <v>38</v>
      </c>
      <c r="AC375">
        <v>-3.0000000000000031E-3</v>
      </c>
    </row>
    <row r="376" spans="1:29" x14ac:dyDescent="0.3">
      <c r="A376">
        <v>375</v>
      </c>
      <c r="B376" s="1">
        <v>40560</v>
      </c>
      <c r="C376">
        <v>1</v>
      </c>
      <c r="D376">
        <v>2</v>
      </c>
      <c r="E376" t="b">
        <v>1</v>
      </c>
      <c r="F376">
        <v>1</v>
      </c>
      <c r="G376">
        <v>2</v>
      </c>
      <c r="H376">
        <v>0.18</v>
      </c>
      <c r="I376">
        <v>0.16669999999999999</v>
      </c>
      <c r="J376">
        <v>0.43</v>
      </c>
      <c r="K376">
        <v>0.25369999999999998</v>
      </c>
      <c r="L376">
        <v>0</v>
      </c>
      <c r="M376">
        <v>8</v>
      </c>
      <c r="N376">
        <v>8</v>
      </c>
      <c r="O376" t="s">
        <v>29</v>
      </c>
      <c r="P376" t="s">
        <v>54</v>
      </c>
      <c r="Q376" t="s">
        <v>41</v>
      </c>
      <c r="R376" t="s">
        <v>32</v>
      </c>
      <c r="S376" t="s">
        <v>33</v>
      </c>
      <c r="T376" t="s">
        <v>49</v>
      </c>
      <c r="U376" t="s">
        <v>46</v>
      </c>
      <c r="V376" t="s">
        <v>60</v>
      </c>
      <c r="W376" t="s">
        <v>37</v>
      </c>
      <c r="X376">
        <v>0</v>
      </c>
      <c r="Y376">
        <v>100</v>
      </c>
      <c r="Z376" t="s">
        <v>38</v>
      </c>
      <c r="AA376" t="s">
        <v>39</v>
      </c>
      <c r="AB376" t="s">
        <v>38</v>
      </c>
      <c r="AC376">
        <v>-1.330000000000001E-2</v>
      </c>
    </row>
    <row r="377" spans="1:29" x14ac:dyDescent="0.3">
      <c r="A377">
        <v>376</v>
      </c>
      <c r="B377" s="1">
        <v>40560</v>
      </c>
      <c r="C377">
        <v>1</v>
      </c>
      <c r="D377">
        <v>3</v>
      </c>
      <c r="E377" t="b">
        <v>1</v>
      </c>
      <c r="F377">
        <v>1</v>
      </c>
      <c r="G377">
        <v>2</v>
      </c>
      <c r="H377">
        <v>0.18</v>
      </c>
      <c r="I377">
        <v>0.18179999999999999</v>
      </c>
      <c r="J377">
        <v>0.43</v>
      </c>
      <c r="K377">
        <v>0.19400000000000001</v>
      </c>
      <c r="L377">
        <v>0</v>
      </c>
      <c r="M377">
        <v>2</v>
      </c>
      <c r="N377">
        <v>2</v>
      </c>
      <c r="O377" t="s">
        <v>29</v>
      </c>
      <c r="P377" t="s">
        <v>54</v>
      </c>
      <c r="Q377" t="s">
        <v>41</v>
      </c>
      <c r="R377" t="s">
        <v>32</v>
      </c>
      <c r="S377" t="s">
        <v>33</v>
      </c>
      <c r="T377" t="s">
        <v>49</v>
      </c>
      <c r="U377" t="s">
        <v>46</v>
      </c>
      <c r="V377" t="s">
        <v>60</v>
      </c>
      <c r="W377" t="s">
        <v>37</v>
      </c>
      <c r="X377">
        <v>0</v>
      </c>
      <c r="Y377">
        <v>100</v>
      </c>
      <c r="Z377" t="s">
        <v>38</v>
      </c>
      <c r="AA377" t="s">
        <v>39</v>
      </c>
      <c r="AB377" t="s">
        <v>38</v>
      </c>
      <c r="AC377">
        <v>1.799999999999996E-3</v>
      </c>
    </row>
    <row r="378" spans="1:29" x14ac:dyDescent="0.3">
      <c r="A378">
        <v>377</v>
      </c>
      <c r="B378" s="1">
        <v>40560</v>
      </c>
      <c r="C378">
        <v>1</v>
      </c>
      <c r="D378">
        <v>4</v>
      </c>
      <c r="E378" t="b">
        <v>1</v>
      </c>
      <c r="F378">
        <v>1</v>
      </c>
      <c r="G378">
        <v>2</v>
      </c>
      <c r="H378">
        <v>0.18</v>
      </c>
      <c r="I378">
        <v>0.19700000000000001</v>
      </c>
      <c r="J378">
        <v>0.43</v>
      </c>
      <c r="K378">
        <v>0.1343</v>
      </c>
      <c r="L378">
        <v>1</v>
      </c>
      <c r="M378">
        <v>2</v>
      </c>
      <c r="N378">
        <v>3</v>
      </c>
      <c r="O378" t="s">
        <v>29</v>
      </c>
      <c r="P378" t="s">
        <v>54</v>
      </c>
      <c r="Q378" t="s">
        <v>41</v>
      </c>
      <c r="R378" t="s">
        <v>32</v>
      </c>
      <c r="S378" t="s">
        <v>33</v>
      </c>
      <c r="T378" t="s">
        <v>49</v>
      </c>
      <c r="U378" t="s">
        <v>35</v>
      </c>
      <c r="V378" t="s">
        <v>60</v>
      </c>
      <c r="W378" t="s">
        <v>37</v>
      </c>
      <c r="X378">
        <v>33.333333333333329</v>
      </c>
      <c r="Y378">
        <v>66.666666666666657</v>
      </c>
      <c r="Z378" t="s">
        <v>38</v>
      </c>
      <c r="AA378" t="s">
        <v>39</v>
      </c>
      <c r="AB378" t="s">
        <v>38</v>
      </c>
      <c r="AC378">
        <v>1.7000000000000019E-2</v>
      </c>
    </row>
    <row r="379" spans="1:29" x14ac:dyDescent="0.3">
      <c r="A379">
        <v>378</v>
      </c>
      <c r="B379" s="1">
        <v>40560</v>
      </c>
      <c r="C379">
        <v>1</v>
      </c>
      <c r="D379">
        <v>5</v>
      </c>
      <c r="E379" t="b">
        <v>1</v>
      </c>
      <c r="F379">
        <v>1</v>
      </c>
      <c r="G379">
        <v>2</v>
      </c>
      <c r="H379">
        <v>0.18</v>
      </c>
      <c r="I379">
        <v>0.19700000000000001</v>
      </c>
      <c r="J379">
        <v>0.43</v>
      </c>
      <c r="K379">
        <v>0.16420000000000001</v>
      </c>
      <c r="L379">
        <v>0</v>
      </c>
      <c r="M379">
        <v>1</v>
      </c>
      <c r="N379">
        <v>1</v>
      </c>
      <c r="O379" t="s">
        <v>29</v>
      </c>
      <c r="P379" t="s">
        <v>54</v>
      </c>
      <c r="Q379" t="s">
        <v>41</v>
      </c>
      <c r="R379" t="s">
        <v>32</v>
      </c>
      <c r="S379" t="s">
        <v>33</v>
      </c>
      <c r="T379" t="s">
        <v>49</v>
      </c>
      <c r="U379" t="s">
        <v>46</v>
      </c>
      <c r="V379" t="s">
        <v>60</v>
      </c>
      <c r="W379" t="s">
        <v>37</v>
      </c>
      <c r="X379">
        <v>0</v>
      </c>
      <c r="Y379">
        <v>100</v>
      </c>
      <c r="Z379" t="s">
        <v>38</v>
      </c>
      <c r="AA379" t="s">
        <v>39</v>
      </c>
      <c r="AB379" t="s">
        <v>38</v>
      </c>
      <c r="AC379">
        <v>1.7000000000000019E-2</v>
      </c>
    </row>
    <row r="380" spans="1:29" x14ac:dyDescent="0.3">
      <c r="A380">
        <v>379</v>
      </c>
      <c r="B380" s="1">
        <v>40560</v>
      </c>
      <c r="C380">
        <v>1</v>
      </c>
      <c r="D380">
        <v>6</v>
      </c>
      <c r="E380" t="b">
        <v>1</v>
      </c>
      <c r="F380">
        <v>1</v>
      </c>
      <c r="G380">
        <v>2</v>
      </c>
      <c r="H380">
        <v>0.18</v>
      </c>
      <c r="I380">
        <v>0.18179999999999999</v>
      </c>
      <c r="J380">
        <v>0.43</v>
      </c>
      <c r="K380">
        <v>0.19400000000000001</v>
      </c>
      <c r="L380">
        <v>0</v>
      </c>
      <c r="M380">
        <v>5</v>
      </c>
      <c r="N380">
        <v>5</v>
      </c>
      <c r="O380" t="s">
        <v>29</v>
      </c>
      <c r="P380" t="s">
        <v>54</v>
      </c>
      <c r="Q380" t="s">
        <v>41</v>
      </c>
      <c r="R380" t="s">
        <v>42</v>
      </c>
      <c r="S380" t="s">
        <v>33</v>
      </c>
      <c r="T380" t="s">
        <v>49</v>
      </c>
      <c r="U380" t="s">
        <v>46</v>
      </c>
      <c r="V380" t="s">
        <v>60</v>
      </c>
      <c r="W380" t="s">
        <v>37</v>
      </c>
      <c r="X380">
        <v>0</v>
      </c>
      <c r="Y380">
        <v>100</v>
      </c>
      <c r="Z380" t="s">
        <v>38</v>
      </c>
      <c r="AA380" t="s">
        <v>39</v>
      </c>
      <c r="AB380" t="s">
        <v>38</v>
      </c>
      <c r="AC380">
        <v>1.799999999999996E-3</v>
      </c>
    </row>
    <row r="381" spans="1:29" x14ac:dyDescent="0.3">
      <c r="A381">
        <v>380</v>
      </c>
      <c r="B381" s="1">
        <v>40560</v>
      </c>
      <c r="C381">
        <v>1</v>
      </c>
      <c r="D381">
        <v>7</v>
      </c>
      <c r="E381" t="b">
        <v>1</v>
      </c>
      <c r="F381">
        <v>1</v>
      </c>
      <c r="G381">
        <v>2</v>
      </c>
      <c r="H381">
        <v>0.16</v>
      </c>
      <c r="I381">
        <v>0.18179999999999999</v>
      </c>
      <c r="J381">
        <v>0.5</v>
      </c>
      <c r="K381">
        <v>0.1343</v>
      </c>
      <c r="L381">
        <v>4</v>
      </c>
      <c r="M381">
        <v>9</v>
      </c>
      <c r="N381">
        <v>13</v>
      </c>
      <c r="O381" t="s">
        <v>29</v>
      </c>
      <c r="P381" t="s">
        <v>54</v>
      </c>
      <c r="Q381" t="s">
        <v>41</v>
      </c>
      <c r="R381" t="s">
        <v>42</v>
      </c>
      <c r="S381" t="s">
        <v>33</v>
      </c>
      <c r="T381" t="s">
        <v>49</v>
      </c>
      <c r="U381" t="s">
        <v>35</v>
      </c>
      <c r="V381" t="s">
        <v>60</v>
      </c>
      <c r="W381" t="s">
        <v>37</v>
      </c>
      <c r="X381">
        <v>30.76923076923077</v>
      </c>
      <c r="Y381">
        <v>69.230769230769226</v>
      </c>
      <c r="Z381" t="s">
        <v>40</v>
      </c>
      <c r="AA381" t="s">
        <v>39</v>
      </c>
      <c r="AB381" t="s">
        <v>38</v>
      </c>
      <c r="AC381">
        <v>2.179999999999999E-2</v>
      </c>
    </row>
    <row r="382" spans="1:29" x14ac:dyDescent="0.3">
      <c r="A382">
        <v>381</v>
      </c>
      <c r="B382" s="1">
        <v>40560</v>
      </c>
      <c r="C382">
        <v>1</v>
      </c>
      <c r="D382">
        <v>8</v>
      </c>
      <c r="E382" t="b">
        <v>1</v>
      </c>
      <c r="F382">
        <v>1</v>
      </c>
      <c r="G382">
        <v>2</v>
      </c>
      <c r="H382">
        <v>0.16</v>
      </c>
      <c r="I382">
        <v>0.1515</v>
      </c>
      <c r="J382">
        <v>0.47</v>
      </c>
      <c r="K382">
        <v>0.22389999999999999</v>
      </c>
      <c r="L382">
        <v>3</v>
      </c>
      <c r="M382">
        <v>30</v>
      </c>
      <c r="N382">
        <v>33</v>
      </c>
      <c r="O382" t="s">
        <v>29</v>
      </c>
      <c r="P382" t="s">
        <v>54</v>
      </c>
      <c r="Q382" t="s">
        <v>41</v>
      </c>
      <c r="R382" t="s">
        <v>42</v>
      </c>
      <c r="S382" t="s">
        <v>33</v>
      </c>
      <c r="T382" t="s">
        <v>49</v>
      </c>
      <c r="U382" t="s">
        <v>46</v>
      </c>
      <c r="V382" t="s">
        <v>60</v>
      </c>
      <c r="W382" t="s">
        <v>37</v>
      </c>
      <c r="X382">
        <v>9.0909090909090917</v>
      </c>
      <c r="Y382">
        <v>90.909090909090907</v>
      </c>
      <c r="Z382" t="s">
        <v>40</v>
      </c>
      <c r="AA382" t="s">
        <v>39</v>
      </c>
      <c r="AB382" t="s">
        <v>38</v>
      </c>
      <c r="AC382">
        <v>-8.5000000000000075E-3</v>
      </c>
    </row>
    <row r="383" spans="1:29" x14ac:dyDescent="0.3">
      <c r="A383">
        <v>382</v>
      </c>
      <c r="B383" s="1">
        <v>40560</v>
      </c>
      <c r="C383">
        <v>1</v>
      </c>
      <c r="D383">
        <v>9</v>
      </c>
      <c r="E383" t="b">
        <v>1</v>
      </c>
      <c r="F383">
        <v>1</v>
      </c>
      <c r="G383">
        <v>2</v>
      </c>
      <c r="H383">
        <v>0.16</v>
      </c>
      <c r="I383">
        <v>0.1515</v>
      </c>
      <c r="J383">
        <v>0.47</v>
      </c>
      <c r="K383">
        <v>0.22389999999999999</v>
      </c>
      <c r="L383">
        <v>8</v>
      </c>
      <c r="M383">
        <v>39</v>
      </c>
      <c r="N383">
        <v>47</v>
      </c>
      <c r="O383" t="s">
        <v>29</v>
      </c>
      <c r="P383" t="s">
        <v>54</v>
      </c>
      <c r="Q383" t="s">
        <v>41</v>
      </c>
      <c r="R383" t="s">
        <v>42</v>
      </c>
      <c r="S383" t="s">
        <v>33</v>
      </c>
      <c r="T383" t="s">
        <v>49</v>
      </c>
      <c r="U383" t="s">
        <v>46</v>
      </c>
      <c r="V383" t="s">
        <v>60</v>
      </c>
      <c r="W383" t="s">
        <v>37</v>
      </c>
      <c r="X383">
        <v>17.021276595744681</v>
      </c>
      <c r="Y383">
        <v>82.978723404255319</v>
      </c>
      <c r="Z383" t="s">
        <v>40</v>
      </c>
      <c r="AA383" t="s">
        <v>39</v>
      </c>
      <c r="AB383" t="s">
        <v>38</v>
      </c>
      <c r="AC383">
        <v>-8.5000000000000075E-3</v>
      </c>
    </row>
    <row r="384" spans="1:29" x14ac:dyDescent="0.3">
      <c r="A384">
        <v>383</v>
      </c>
      <c r="B384" s="1">
        <v>40560</v>
      </c>
      <c r="C384">
        <v>1</v>
      </c>
      <c r="D384">
        <v>10</v>
      </c>
      <c r="E384" t="b">
        <v>1</v>
      </c>
      <c r="F384">
        <v>1</v>
      </c>
      <c r="G384">
        <v>2</v>
      </c>
      <c r="H384">
        <v>0.16</v>
      </c>
      <c r="I384">
        <v>0.1515</v>
      </c>
      <c r="J384">
        <v>0.5</v>
      </c>
      <c r="K384">
        <v>0.25369999999999998</v>
      </c>
      <c r="L384">
        <v>7</v>
      </c>
      <c r="M384">
        <v>50</v>
      </c>
      <c r="N384">
        <v>57</v>
      </c>
      <c r="O384" t="s">
        <v>29</v>
      </c>
      <c r="P384" t="s">
        <v>54</v>
      </c>
      <c r="Q384" t="s">
        <v>41</v>
      </c>
      <c r="R384" t="s">
        <v>42</v>
      </c>
      <c r="S384" t="s">
        <v>33</v>
      </c>
      <c r="T384" t="s">
        <v>49</v>
      </c>
      <c r="U384" t="s">
        <v>46</v>
      </c>
      <c r="V384" t="s">
        <v>60</v>
      </c>
      <c r="W384" t="s">
        <v>37</v>
      </c>
      <c r="X384">
        <v>12.28070175438596</v>
      </c>
      <c r="Y384">
        <v>87.719298245614027</v>
      </c>
      <c r="Z384" t="s">
        <v>38</v>
      </c>
      <c r="AA384" t="s">
        <v>39</v>
      </c>
      <c r="AB384" t="s">
        <v>38</v>
      </c>
      <c r="AC384">
        <v>-8.5000000000000075E-3</v>
      </c>
    </row>
    <row r="385" spans="1:29" x14ac:dyDescent="0.3">
      <c r="A385">
        <v>384</v>
      </c>
      <c r="B385" s="1">
        <v>40560</v>
      </c>
      <c r="C385">
        <v>1</v>
      </c>
      <c r="D385">
        <v>11</v>
      </c>
      <c r="E385" t="b">
        <v>1</v>
      </c>
      <c r="F385">
        <v>1</v>
      </c>
      <c r="G385">
        <v>2</v>
      </c>
      <c r="H385">
        <v>0.16</v>
      </c>
      <c r="I385">
        <v>0.1515</v>
      </c>
      <c r="J385">
        <v>0.55000000000000004</v>
      </c>
      <c r="K385">
        <v>0.19400000000000001</v>
      </c>
      <c r="L385">
        <v>9</v>
      </c>
      <c r="M385">
        <v>55</v>
      </c>
      <c r="N385">
        <v>64</v>
      </c>
      <c r="O385" t="s">
        <v>29</v>
      </c>
      <c r="P385" t="s">
        <v>54</v>
      </c>
      <c r="Q385" t="s">
        <v>41</v>
      </c>
      <c r="R385" t="s">
        <v>42</v>
      </c>
      <c r="S385" t="s">
        <v>33</v>
      </c>
      <c r="T385" t="s">
        <v>49</v>
      </c>
      <c r="U385" t="s">
        <v>46</v>
      </c>
      <c r="V385" t="s">
        <v>60</v>
      </c>
      <c r="W385" t="s">
        <v>37</v>
      </c>
      <c r="X385">
        <v>14.0625</v>
      </c>
      <c r="Y385">
        <v>85.9375</v>
      </c>
      <c r="Z385" t="s">
        <v>38</v>
      </c>
      <c r="AA385" t="s">
        <v>39</v>
      </c>
      <c r="AB385" t="s">
        <v>38</v>
      </c>
      <c r="AC385">
        <v>-8.5000000000000075E-3</v>
      </c>
    </row>
    <row r="386" spans="1:29" x14ac:dyDescent="0.3">
      <c r="A386">
        <v>385</v>
      </c>
      <c r="B386" s="1">
        <v>40560</v>
      </c>
      <c r="C386">
        <v>1</v>
      </c>
      <c r="D386">
        <v>12</v>
      </c>
      <c r="E386" t="b">
        <v>1</v>
      </c>
      <c r="F386">
        <v>1</v>
      </c>
      <c r="G386">
        <v>2</v>
      </c>
      <c r="H386">
        <v>0.18</v>
      </c>
      <c r="I386">
        <v>0.19700000000000001</v>
      </c>
      <c r="J386">
        <v>0.47</v>
      </c>
      <c r="K386">
        <v>0.1343</v>
      </c>
      <c r="L386">
        <v>10</v>
      </c>
      <c r="M386">
        <v>70</v>
      </c>
      <c r="N386">
        <v>80</v>
      </c>
      <c r="O386" t="s">
        <v>29</v>
      </c>
      <c r="P386" t="s">
        <v>54</v>
      </c>
      <c r="Q386" t="s">
        <v>41</v>
      </c>
      <c r="R386" t="s">
        <v>47</v>
      </c>
      <c r="S386" t="s">
        <v>33</v>
      </c>
      <c r="T386" t="s">
        <v>49</v>
      </c>
      <c r="U386" t="s">
        <v>35</v>
      </c>
      <c r="V386" t="s">
        <v>60</v>
      </c>
      <c r="W386" t="s">
        <v>37</v>
      </c>
      <c r="X386">
        <v>12.5</v>
      </c>
      <c r="Y386">
        <v>87.5</v>
      </c>
      <c r="Z386" t="s">
        <v>38</v>
      </c>
      <c r="AA386" t="s">
        <v>39</v>
      </c>
      <c r="AB386" t="s">
        <v>38</v>
      </c>
      <c r="AC386">
        <v>1.7000000000000019E-2</v>
      </c>
    </row>
    <row r="387" spans="1:29" x14ac:dyDescent="0.3">
      <c r="A387">
        <v>386</v>
      </c>
      <c r="B387" s="1">
        <v>40560</v>
      </c>
      <c r="C387">
        <v>1</v>
      </c>
      <c r="D387">
        <v>13</v>
      </c>
      <c r="E387" t="b">
        <v>1</v>
      </c>
      <c r="F387">
        <v>1</v>
      </c>
      <c r="G387">
        <v>2</v>
      </c>
      <c r="H387">
        <v>0.18</v>
      </c>
      <c r="I387">
        <v>0.19700000000000001</v>
      </c>
      <c r="J387">
        <v>0.47</v>
      </c>
      <c r="K387">
        <v>0.1343</v>
      </c>
      <c r="L387">
        <v>13</v>
      </c>
      <c r="M387">
        <v>80</v>
      </c>
      <c r="N387">
        <v>93</v>
      </c>
      <c r="O387" t="s">
        <v>29</v>
      </c>
      <c r="P387" t="s">
        <v>54</v>
      </c>
      <c r="Q387" t="s">
        <v>41</v>
      </c>
      <c r="R387" t="s">
        <v>47</v>
      </c>
      <c r="S387" t="s">
        <v>33</v>
      </c>
      <c r="T387" t="s">
        <v>49</v>
      </c>
      <c r="U387" t="s">
        <v>35</v>
      </c>
      <c r="V387" t="s">
        <v>60</v>
      </c>
      <c r="W387" t="s">
        <v>37</v>
      </c>
      <c r="X387">
        <v>13.97849462365591</v>
      </c>
      <c r="Y387">
        <v>86.021505376344081</v>
      </c>
      <c r="Z387" t="s">
        <v>38</v>
      </c>
      <c r="AA387" t="s">
        <v>39</v>
      </c>
      <c r="AB387" t="s">
        <v>38</v>
      </c>
      <c r="AC387">
        <v>1.7000000000000019E-2</v>
      </c>
    </row>
    <row r="388" spans="1:29" x14ac:dyDescent="0.3">
      <c r="A388">
        <v>387</v>
      </c>
      <c r="B388" s="1">
        <v>40560</v>
      </c>
      <c r="C388">
        <v>1</v>
      </c>
      <c r="D388">
        <v>14</v>
      </c>
      <c r="E388" t="b">
        <v>1</v>
      </c>
      <c r="F388">
        <v>1</v>
      </c>
      <c r="G388">
        <v>2</v>
      </c>
      <c r="H388">
        <v>0.18</v>
      </c>
      <c r="I388">
        <v>0.21210000000000001</v>
      </c>
      <c r="J388">
        <v>0.43</v>
      </c>
      <c r="K388">
        <v>0.1045</v>
      </c>
      <c r="L388">
        <v>12</v>
      </c>
      <c r="M388">
        <v>74</v>
      </c>
      <c r="N388">
        <v>86</v>
      </c>
      <c r="O388" t="s">
        <v>29</v>
      </c>
      <c r="P388" t="s">
        <v>54</v>
      </c>
      <c r="Q388" t="s">
        <v>41</v>
      </c>
      <c r="R388" t="s">
        <v>47</v>
      </c>
      <c r="S388" t="s">
        <v>33</v>
      </c>
      <c r="T388" t="s">
        <v>49</v>
      </c>
      <c r="U388" t="s">
        <v>35</v>
      </c>
      <c r="V388" t="s">
        <v>60</v>
      </c>
      <c r="W388" t="s">
        <v>37</v>
      </c>
      <c r="X388">
        <v>13.95348837209302</v>
      </c>
      <c r="Y388">
        <v>86.04651162790698</v>
      </c>
      <c r="Z388" t="s">
        <v>38</v>
      </c>
      <c r="AA388" t="s">
        <v>39</v>
      </c>
      <c r="AB388" t="s">
        <v>38</v>
      </c>
      <c r="AC388">
        <v>3.2100000000000017E-2</v>
      </c>
    </row>
    <row r="389" spans="1:29" x14ac:dyDescent="0.3">
      <c r="A389">
        <v>388</v>
      </c>
      <c r="B389" s="1">
        <v>40560</v>
      </c>
      <c r="C389">
        <v>1</v>
      </c>
      <c r="D389">
        <v>15</v>
      </c>
      <c r="E389" t="b">
        <v>1</v>
      </c>
      <c r="F389">
        <v>1</v>
      </c>
      <c r="G389">
        <v>2</v>
      </c>
      <c r="H389">
        <v>0.2</v>
      </c>
      <c r="I389">
        <v>0.21210000000000001</v>
      </c>
      <c r="J389">
        <v>0.47</v>
      </c>
      <c r="K389">
        <v>0.16420000000000001</v>
      </c>
      <c r="L389">
        <v>21</v>
      </c>
      <c r="M389">
        <v>72</v>
      </c>
      <c r="N389">
        <v>93</v>
      </c>
      <c r="O389" t="s">
        <v>29</v>
      </c>
      <c r="P389" t="s">
        <v>54</v>
      </c>
      <c r="Q389" t="s">
        <v>41</v>
      </c>
      <c r="R389" t="s">
        <v>47</v>
      </c>
      <c r="S389" t="s">
        <v>33</v>
      </c>
      <c r="T389" t="s">
        <v>49</v>
      </c>
      <c r="U389" t="s">
        <v>46</v>
      </c>
      <c r="V389" t="s">
        <v>60</v>
      </c>
      <c r="W389" t="s">
        <v>37</v>
      </c>
      <c r="X389">
        <v>22.58064516129032</v>
      </c>
      <c r="Y389">
        <v>77.41935483870968</v>
      </c>
      <c r="Z389" t="s">
        <v>38</v>
      </c>
      <c r="AA389" t="s">
        <v>39</v>
      </c>
      <c r="AB389" t="s">
        <v>38</v>
      </c>
      <c r="AC389">
        <v>1.21E-2</v>
      </c>
    </row>
    <row r="390" spans="1:29" x14ac:dyDescent="0.3">
      <c r="A390">
        <v>389</v>
      </c>
      <c r="B390" s="1">
        <v>40560</v>
      </c>
      <c r="C390">
        <v>1</v>
      </c>
      <c r="D390">
        <v>16</v>
      </c>
      <c r="E390" t="b">
        <v>1</v>
      </c>
      <c r="F390">
        <v>1</v>
      </c>
      <c r="G390">
        <v>2</v>
      </c>
      <c r="H390">
        <v>0.2</v>
      </c>
      <c r="I390">
        <v>0.21210000000000001</v>
      </c>
      <c r="J390">
        <v>0.47</v>
      </c>
      <c r="K390">
        <v>0.16420000000000001</v>
      </c>
      <c r="L390">
        <v>6</v>
      </c>
      <c r="M390">
        <v>76</v>
      </c>
      <c r="N390">
        <v>82</v>
      </c>
      <c r="O390" t="s">
        <v>29</v>
      </c>
      <c r="P390" t="s">
        <v>54</v>
      </c>
      <c r="Q390" t="s">
        <v>41</v>
      </c>
      <c r="R390" t="s">
        <v>47</v>
      </c>
      <c r="S390" t="s">
        <v>33</v>
      </c>
      <c r="T390" t="s">
        <v>49</v>
      </c>
      <c r="U390" t="s">
        <v>46</v>
      </c>
      <c r="V390" t="s">
        <v>60</v>
      </c>
      <c r="W390" t="s">
        <v>37</v>
      </c>
      <c r="X390">
        <v>7.3170731707317067</v>
      </c>
      <c r="Y390">
        <v>92.682926829268297</v>
      </c>
      <c r="Z390" t="s">
        <v>38</v>
      </c>
      <c r="AA390" t="s">
        <v>39</v>
      </c>
      <c r="AB390" t="s">
        <v>38</v>
      </c>
      <c r="AC390">
        <v>1.21E-2</v>
      </c>
    </row>
    <row r="391" spans="1:29" x14ac:dyDescent="0.3">
      <c r="A391">
        <v>390</v>
      </c>
      <c r="B391" s="1">
        <v>40560</v>
      </c>
      <c r="C391">
        <v>1</v>
      </c>
      <c r="D391">
        <v>17</v>
      </c>
      <c r="E391" t="b">
        <v>1</v>
      </c>
      <c r="F391">
        <v>1</v>
      </c>
      <c r="G391">
        <v>1</v>
      </c>
      <c r="H391">
        <v>0.2</v>
      </c>
      <c r="I391">
        <v>0.19700000000000001</v>
      </c>
      <c r="J391">
        <v>0.51</v>
      </c>
      <c r="K391">
        <v>0.19400000000000001</v>
      </c>
      <c r="L391">
        <v>4</v>
      </c>
      <c r="M391">
        <v>67</v>
      </c>
      <c r="N391">
        <v>71</v>
      </c>
      <c r="O391" t="s">
        <v>29</v>
      </c>
      <c r="P391" t="s">
        <v>54</v>
      </c>
      <c r="Q391" t="s">
        <v>31</v>
      </c>
      <c r="R391" t="s">
        <v>50</v>
      </c>
      <c r="S391" t="s">
        <v>33</v>
      </c>
      <c r="T391" t="s">
        <v>49</v>
      </c>
      <c r="U391" t="s">
        <v>46</v>
      </c>
      <c r="V391" t="s">
        <v>60</v>
      </c>
      <c r="W391" t="s">
        <v>37</v>
      </c>
      <c r="X391">
        <v>5.6338028169014089</v>
      </c>
      <c r="Y391">
        <v>94.366197183098592</v>
      </c>
      <c r="Z391" t="s">
        <v>40</v>
      </c>
      <c r="AA391" t="s">
        <v>39</v>
      </c>
      <c r="AB391" t="s">
        <v>38</v>
      </c>
      <c r="AC391">
        <v>-3.0000000000000031E-3</v>
      </c>
    </row>
    <row r="392" spans="1:29" x14ac:dyDescent="0.3">
      <c r="A392">
        <v>391</v>
      </c>
      <c r="B392" s="1">
        <v>40560</v>
      </c>
      <c r="C392">
        <v>1</v>
      </c>
      <c r="D392">
        <v>18</v>
      </c>
      <c r="E392" t="b">
        <v>1</v>
      </c>
      <c r="F392">
        <v>1</v>
      </c>
      <c r="G392">
        <v>2</v>
      </c>
      <c r="H392">
        <v>0.18</v>
      </c>
      <c r="I392">
        <v>0.16669999999999999</v>
      </c>
      <c r="J392">
        <v>0.55000000000000004</v>
      </c>
      <c r="K392">
        <v>0.25369999999999998</v>
      </c>
      <c r="L392">
        <v>7</v>
      </c>
      <c r="M392">
        <v>85</v>
      </c>
      <c r="N392">
        <v>92</v>
      </c>
      <c r="O392" t="s">
        <v>29</v>
      </c>
      <c r="P392" t="s">
        <v>54</v>
      </c>
      <c r="Q392" t="s">
        <v>41</v>
      </c>
      <c r="R392" t="s">
        <v>50</v>
      </c>
      <c r="S392" t="s">
        <v>33</v>
      </c>
      <c r="T392" t="s">
        <v>49</v>
      </c>
      <c r="U392" t="s">
        <v>46</v>
      </c>
      <c r="V392" t="s">
        <v>60</v>
      </c>
      <c r="W392" t="s">
        <v>37</v>
      </c>
      <c r="X392">
        <v>7.608695652173914</v>
      </c>
      <c r="Y392">
        <v>92.391304347826093</v>
      </c>
      <c r="Z392" t="s">
        <v>40</v>
      </c>
      <c r="AA392" t="s">
        <v>39</v>
      </c>
      <c r="AB392" t="s">
        <v>38</v>
      </c>
      <c r="AC392">
        <v>-1.330000000000001E-2</v>
      </c>
    </row>
    <row r="393" spans="1:29" x14ac:dyDescent="0.3">
      <c r="A393">
        <v>392</v>
      </c>
      <c r="B393" s="1">
        <v>40560</v>
      </c>
      <c r="C393">
        <v>1</v>
      </c>
      <c r="D393">
        <v>19</v>
      </c>
      <c r="E393" t="b">
        <v>1</v>
      </c>
      <c r="F393">
        <v>1</v>
      </c>
      <c r="G393">
        <v>3</v>
      </c>
      <c r="H393">
        <v>0.18</v>
      </c>
      <c r="I393">
        <v>0.18179999999999999</v>
      </c>
      <c r="J393">
        <v>0.59</v>
      </c>
      <c r="K393">
        <v>0.19400000000000001</v>
      </c>
      <c r="L393">
        <v>2</v>
      </c>
      <c r="M393">
        <v>58</v>
      </c>
      <c r="N393">
        <v>60</v>
      </c>
      <c r="O393" t="s">
        <v>29</v>
      </c>
      <c r="P393" t="s">
        <v>54</v>
      </c>
      <c r="Q393" t="s">
        <v>51</v>
      </c>
      <c r="R393" t="s">
        <v>50</v>
      </c>
      <c r="S393" t="s">
        <v>33</v>
      </c>
      <c r="T393" t="s">
        <v>49</v>
      </c>
      <c r="U393" t="s">
        <v>46</v>
      </c>
      <c r="V393" t="s">
        <v>60</v>
      </c>
      <c r="W393" t="s">
        <v>37</v>
      </c>
      <c r="X393">
        <v>3.333333333333333</v>
      </c>
      <c r="Y393">
        <v>96.666666666666671</v>
      </c>
      <c r="Z393" t="s">
        <v>40</v>
      </c>
      <c r="AA393" t="s">
        <v>39</v>
      </c>
      <c r="AB393" t="s">
        <v>38</v>
      </c>
      <c r="AC393">
        <v>1.799999999999996E-3</v>
      </c>
    </row>
    <row r="394" spans="1:29" x14ac:dyDescent="0.3">
      <c r="A394">
        <v>393</v>
      </c>
      <c r="B394" s="1">
        <v>40560</v>
      </c>
      <c r="C394">
        <v>1</v>
      </c>
      <c r="D394">
        <v>20</v>
      </c>
      <c r="E394" t="b">
        <v>1</v>
      </c>
      <c r="F394">
        <v>1</v>
      </c>
      <c r="G394">
        <v>3</v>
      </c>
      <c r="H394">
        <v>0.16</v>
      </c>
      <c r="I394">
        <v>0.1515</v>
      </c>
      <c r="J394">
        <v>0.8</v>
      </c>
      <c r="K394">
        <v>0.19400000000000001</v>
      </c>
      <c r="L394">
        <v>4</v>
      </c>
      <c r="M394">
        <v>29</v>
      </c>
      <c r="N394">
        <v>33</v>
      </c>
      <c r="O394" t="s">
        <v>29</v>
      </c>
      <c r="P394" t="s">
        <v>54</v>
      </c>
      <c r="Q394" t="s">
        <v>51</v>
      </c>
      <c r="R394" t="s">
        <v>50</v>
      </c>
      <c r="S394" t="s">
        <v>33</v>
      </c>
      <c r="T394" t="s">
        <v>34</v>
      </c>
      <c r="U394" t="s">
        <v>46</v>
      </c>
      <c r="V394" t="s">
        <v>60</v>
      </c>
      <c r="W394" t="s">
        <v>37</v>
      </c>
      <c r="X394">
        <v>12.121212121212119</v>
      </c>
      <c r="Y394">
        <v>87.878787878787875</v>
      </c>
      <c r="Z394" t="s">
        <v>38</v>
      </c>
      <c r="AA394" t="s">
        <v>39</v>
      </c>
      <c r="AB394" t="s">
        <v>38</v>
      </c>
      <c r="AC394">
        <v>-8.5000000000000075E-3</v>
      </c>
    </row>
    <row r="395" spans="1:29" x14ac:dyDescent="0.3">
      <c r="A395">
        <v>394</v>
      </c>
      <c r="B395" s="1">
        <v>40560</v>
      </c>
      <c r="C395">
        <v>1</v>
      </c>
      <c r="D395">
        <v>21</v>
      </c>
      <c r="E395" t="b">
        <v>1</v>
      </c>
      <c r="F395">
        <v>1</v>
      </c>
      <c r="G395">
        <v>3</v>
      </c>
      <c r="H395">
        <v>0.16</v>
      </c>
      <c r="I395">
        <v>0.1515</v>
      </c>
      <c r="J395">
        <v>0.8</v>
      </c>
      <c r="K395">
        <v>0.19400000000000001</v>
      </c>
      <c r="L395">
        <v>3</v>
      </c>
      <c r="M395">
        <v>24</v>
      </c>
      <c r="N395">
        <v>27</v>
      </c>
      <c r="O395" t="s">
        <v>29</v>
      </c>
      <c r="P395" t="s">
        <v>54</v>
      </c>
      <c r="Q395" t="s">
        <v>51</v>
      </c>
      <c r="R395" t="s">
        <v>32</v>
      </c>
      <c r="S395" t="s">
        <v>33</v>
      </c>
      <c r="T395" t="s">
        <v>34</v>
      </c>
      <c r="U395" t="s">
        <v>46</v>
      </c>
      <c r="V395" t="s">
        <v>60</v>
      </c>
      <c r="W395" t="s">
        <v>37</v>
      </c>
      <c r="X395">
        <v>11.111111111111111</v>
      </c>
      <c r="Y395">
        <v>88.888888888888886</v>
      </c>
      <c r="Z395" t="s">
        <v>38</v>
      </c>
      <c r="AA395" t="s">
        <v>39</v>
      </c>
      <c r="AB395" t="s">
        <v>38</v>
      </c>
      <c r="AC395">
        <v>-8.5000000000000075E-3</v>
      </c>
    </row>
    <row r="396" spans="1:29" x14ac:dyDescent="0.3">
      <c r="A396">
        <v>395</v>
      </c>
      <c r="B396" s="1">
        <v>40560</v>
      </c>
      <c r="C396">
        <v>1</v>
      </c>
      <c r="D396">
        <v>22</v>
      </c>
      <c r="E396" t="b">
        <v>1</v>
      </c>
      <c r="F396">
        <v>1</v>
      </c>
      <c r="G396">
        <v>3</v>
      </c>
      <c r="H396">
        <v>0.14000000000000001</v>
      </c>
      <c r="I396">
        <v>0.1212</v>
      </c>
      <c r="J396">
        <v>0.93</v>
      </c>
      <c r="K396">
        <v>0.25369999999999998</v>
      </c>
      <c r="L396">
        <v>0</v>
      </c>
      <c r="M396">
        <v>13</v>
      </c>
      <c r="N396">
        <v>13</v>
      </c>
      <c r="O396" t="s">
        <v>29</v>
      </c>
      <c r="P396" t="s">
        <v>54</v>
      </c>
      <c r="Q396" t="s">
        <v>51</v>
      </c>
      <c r="R396" t="s">
        <v>32</v>
      </c>
      <c r="S396" t="s">
        <v>55</v>
      </c>
      <c r="T396" t="s">
        <v>34</v>
      </c>
      <c r="U396" t="s">
        <v>46</v>
      </c>
      <c r="V396" t="s">
        <v>60</v>
      </c>
      <c r="W396" t="s">
        <v>37</v>
      </c>
      <c r="X396">
        <v>0</v>
      </c>
      <c r="Y396">
        <v>100</v>
      </c>
      <c r="Z396" t="s">
        <v>38</v>
      </c>
      <c r="AA396" t="s">
        <v>39</v>
      </c>
      <c r="AB396" t="s">
        <v>38</v>
      </c>
      <c r="AC396">
        <v>-1.8800000000000011E-2</v>
      </c>
    </row>
    <row r="397" spans="1:29" x14ac:dyDescent="0.3">
      <c r="A397">
        <v>396</v>
      </c>
      <c r="B397" s="1">
        <v>40560</v>
      </c>
      <c r="C397">
        <v>1</v>
      </c>
      <c r="D397">
        <v>23</v>
      </c>
      <c r="E397" t="b">
        <v>1</v>
      </c>
      <c r="F397">
        <v>1</v>
      </c>
      <c r="G397">
        <v>3</v>
      </c>
      <c r="H397">
        <v>0.16</v>
      </c>
      <c r="I397">
        <v>0.13639999999999999</v>
      </c>
      <c r="J397">
        <v>0.86</v>
      </c>
      <c r="K397">
        <v>0.28360000000000002</v>
      </c>
      <c r="L397">
        <v>1</v>
      </c>
      <c r="M397">
        <v>3</v>
      </c>
      <c r="N397">
        <v>4</v>
      </c>
      <c r="O397" t="s">
        <v>29</v>
      </c>
      <c r="P397" t="s">
        <v>54</v>
      </c>
      <c r="Q397" t="s">
        <v>51</v>
      </c>
      <c r="R397" t="s">
        <v>32</v>
      </c>
      <c r="S397" t="s">
        <v>33</v>
      </c>
      <c r="T397" t="s">
        <v>34</v>
      </c>
      <c r="U397" t="s">
        <v>46</v>
      </c>
      <c r="V397" t="s">
        <v>60</v>
      </c>
      <c r="W397" t="s">
        <v>37</v>
      </c>
      <c r="X397">
        <v>25</v>
      </c>
      <c r="Y397">
        <v>75</v>
      </c>
      <c r="Z397" t="s">
        <v>38</v>
      </c>
      <c r="AA397" t="s">
        <v>39</v>
      </c>
      <c r="AB397" t="s">
        <v>38</v>
      </c>
      <c r="AC397">
        <v>-2.360000000000001E-2</v>
      </c>
    </row>
    <row r="398" spans="1:29" x14ac:dyDescent="0.3">
      <c r="A398">
        <v>397</v>
      </c>
      <c r="B398" s="1">
        <v>40561</v>
      </c>
      <c r="C398">
        <v>1</v>
      </c>
      <c r="D398">
        <v>12</v>
      </c>
      <c r="E398" t="b">
        <v>0</v>
      </c>
      <c r="F398">
        <v>2</v>
      </c>
      <c r="G398">
        <v>2</v>
      </c>
      <c r="H398">
        <v>0.2</v>
      </c>
      <c r="I398">
        <v>0.18179999999999999</v>
      </c>
      <c r="J398">
        <v>0.86</v>
      </c>
      <c r="K398">
        <v>0.32840000000000003</v>
      </c>
      <c r="L398">
        <v>0</v>
      </c>
      <c r="M398">
        <v>3</v>
      </c>
      <c r="N398">
        <v>3</v>
      </c>
      <c r="O398" t="s">
        <v>29</v>
      </c>
      <c r="P398" t="s">
        <v>56</v>
      </c>
      <c r="Q398" t="s">
        <v>41</v>
      </c>
      <c r="R398" t="s">
        <v>47</v>
      </c>
      <c r="S398" t="s">
        <v>33</v>
      </c>
      <c r="T398" t="s">
        <v>34</v>
      </c>
      <c r="U398" t="s">
        <v>53</v>
      </c>
      <c r="V398" t="s">
        <v>36</v>
      </c>
      <c r="W398" t="s">
        <v>37</v>
      </c>
      <c r="X398">
        <v>0</v>
      </c>
      <c r="Y398">
        <v>100</v>
      </c>
      <c r="Z398" t="s">
        <v>38</v>
      </c>
      <c r="AA398" t="s">
        <v>39</v>
      </c>
      <c r="AB398" t="s">
        <v>38</v>
      </c>
      <c r="AC398">
        <v>-1.8200000000000022E-2</v>
      </c>
    </row>
    <row r="399" spans="1:29" x14ac:dyDescent="0.3">
      <c r="A399">
        <v>398</v>
      </c>
      <c r="B399" s="1">
        <v>40561</v>
      </c>
      <c r="C399">
        <v>1</v>
      </c>
      <c r="D399">
        <v>13</v>
      </c>
      <c r="E399" t="b">
        <v>0</v>
      </c>
      <c r="F399">
        <v>2</v>
      </c>
      <c r="G399">
        <v>2</v>
      </c>
      <c r="H399">
        <v>0.2</v>
      </c>
      <c r="I399">
        <v>0.19700000000000001</v>
      </c>
      <c r="J399">
        <v>0.86</v>
      </c>
      <c r="K399">
        <v>0.22389999999999999</v>
      </c>
      <c r="L399">
        <v>0</v>
      </c>
      <c r="M399">
        <v>22</v>
      </c>
      <c r="N399">
        <v>22</v>
      </c>
      <c r="O399" t="s">
        <v>29</v>
      </c>
      <c r="P399" t="s">
        <v>56</v>
      </c>
      <c r="Q399" t="s">
        <v>41</v>
      </c>
      <c r="R399" t="s">
        <v>47</v>
      </c>
      <c r="S399" t="s">
        <v>33</v>
      </c>
      <c r="T399" t="s">
        <v>34</v>
      </c>
      <c r="U399" t="s">
        <v>46</v>
      </c>
      <c r="V399" t="s">
        <v>36</v>
      </c>
      <c r="W399" t="s">
        <v>37</v>
      </c>
      <c r="X399">
        <v>0</v>
      </c>
      <c r="Y399">
        <v>100</v>
      </c>
      <c r="Z399" t="s">
        <v>38</v>
      </c>
      <c r="AA399" t="s">
        <v>39</v>
      </c>
      <c r="AB399" t="s">
        <v>38</v>
      </c>
      <c r="AC399">
        <v>-3.0000000000000031E-3</v>
      </c>
    </row>
    <row r="400" spans="1:29" x14ac:dyDescent="0.3">
      <c r="A400">
        <v>399</v>
      </c>
      <c r="B400" s="1">
        <v>40561</v>
      </c>
      <c r="C400">
        <v>1</v>
      </c>
      <c r="D400">
        <v>14</v>
      </c>
      <c r="E400" t="b">
        <v>0</v>
      </c>
      <c r="F400">
        <v>2</v>
      </c>
      <c r="G400">
        <v>2</v>
      </c>
      <c r="H400">
        <v>0.22</v>
      </c>
      <c r="I400">
        <v>0.2273</v>
      </c>
      <c r="J400">
        <v>0.8</v>
      </c>
      <c r="K400">
        <v>0.16420000000000001</v>
      </c>
      <c r="L400">
        <v>2</v>
      </c>
      <c r="M400">
        <v>26</v>
      </c>
      <c r="N400">
        <v>28</v>
      </c>
      <c r="O400" t="s">
        <v>29</v>
      </c>
      <c r="P400" t="s">
        <v>56</v>
      </c>
      <c r="Q400" t="s">
        <v>41</v>
      </c>
      <c r="R400" t="s">
        <v>47</v>
      </c>
      <c r="S400" t="s">
        <v>33</v>
      </c>
      <c r="T400" t="s">
        <v>34</v>
      </c>
      <c r="U400" t="s">
        <v>46</v>
      </c>
      <c r="V400" t="s">
        <v>36</v>
      </c>
      <c r="W400" t="s">
        <v>37</v>
      </c>
      <c r="X400">
        <v>7.1428571428571423</v>
      </c>
      <c r="Y400">
        <v>92.857142857142861</v>
      </c>
      <c r="Z400" t="s">
        <v>38</v>
      </c>
      <c r="AA400" t="s">
        <v>39</v>
      </c>
      <c r="AB400" t="s">
        <v>38</v>
      </c>
      <c r="AC400">
        <v>7.3000000000000009E-3</v>
      </c>
    </row>
    <row r="401" spans="1:29" x14ac:dyDescent="0.3">
      <c r="A401">
        <v>400</v>
      </c>
      <c r="B401" s="1">
        <v>40561</v>
      </c>
      <c r="C401">
        <v>1</v>
      </c>
      <c r="D401">
        <v>15</v>
      </c>
      <c r="E401" t="b">
        <v>0</v>
      </c>
      <c r="F401">
        <v>2</v>
      </c>
      <c r="G401">
        <v>2</v>
      </c>
      <c r="H401">
        <v>0.22</v>
      </c>
      <c r="I401">
        <v>0.2273</v>
      </c>
      <c r="J401">
        <v>0.87</v>
      </c>
      <c r="K401">
        <v>0.16420000000000001</v>
      </c>
      <c r="L401">
        <v>3</v>
      </c>
      <c r="M401">
        <v>32</v>
      </c>
      <c r="N401">
        <v>35</v>
      </c>
      <c r="O401" t="s">
        <v>29</v>
      </c>
      <c r="P401" t="s">
        <v>56</v>
      </c>
      <c r="Q401" t="s">
        <v>41</v>
      </c>
      <c r="R401" t="s">
        <v>47</v>
      </c>
      <c r="S401" t="s">
        <v>33</v>
      </c>
      <c r="T401" t="s">
        <v>34</v>
      </c>
      <c r="U401" t="s">
        <v>46</v>
      </c>
      <c r="V401" t="s">
        <v>36</v>
      </c>
      <c r="W401" t="s">
        <v>37</v>
      </c>
      <c r="X401">
        <v>8.5714285714285712</v>
      </c>
      <c r="Y401">
        <v>91.428571428571431</v>
      </c>
      <c r="Z401" t="s">
        <v>38</v>
      </c>
      <c r="AA401" t="s">
        <v>39</v>
      </c>
      <c r="AB401" t="s">
        <v>38</v>
      </c>
      <c r="AC401">
        <v>7.3000000000000009E-3</v>
      </c>
    </row>
    <row r="402" spans="1:29" x14ac:dyDescent="0.3">
      <c r="A402">
        <v>401</v>
      </c>
      <c r="B402" s="1">
        <v>40561</v>
      </c>
      <c r="C402">
        <v>1</v>
      </c>
      <c r="D402">
        <v>16</v>
      </c>
      <c r="E402" t="b">
        <v>0</v>
      </c>
      <c r="F402">
        <v>2</v>
      </c>
      <c r="G402">
        <v>2</v>
      </c>
      <c r="H402">
        <v>0.22</v>
      </c>
      <c r="I402">
        <v>0.2273</v>
      </c>
      <c r="J402">
        <v>0.87</v>
      </c>
      <c r="K402">
        <v>0.19400000000000001</v>
      </c>
      <c r="L402">
        <v>0</v>
      </c>
      <c r="M402">
        <v>61</v>
      </c>
      <c r="N402">
        <v>61</v>
      </c>
      <c r="O402" t="s">
        <v>29</v>
      </c>
      <c r="P402" t="s">
        <v>56</v>
      </c>
      <c r="Q402" t="s">
        <v>41</v>
      </c>
      <c r="R402" t="s">
        <v>47</v>
      </c>
      <c r="S402" t="s">
        <v>33</v>
      </c>
      <c r="T402" t="s">
        <v>34</v>
      </c>
      <c r="U402" t="s">
        <v>46</v>
      </c>
      <c r="V402" t="s">
        <v>36</v>
      </c>
      <c r="W402" t="s">
        <v>37</v>
      </c>
      <c r="X402">
        <v>0</v>
      </c>
      <c r="Y402">
        <v>100</v>
      </c>
      <c r="Z402" t="s">
        <v>38</v>
      </c>
      <c r="AA402" t="s">
        <v>39</v>
      </c>
      <c r="AB402" t="s">
        <v>38</v>
      </c>
      <c r="AC402">
        <v>7.3000000000000009E-3</v>
      </c>
    </row>
    <row r="403" spans="1:29" x14ac:dyDescent="0.3">
      <c r="A403">
        <v>402</v>
      </c>
      <c r="B403" s="1">
        <v>40561</v>
      </c>
      <c r="C403">
        <v>1</v>
      </c>
      <c r="D403">
        <v>17</v>
      </c>
      <c r="E403" t="b">
        <v>0</v>
      </c>
      <c r="F403">
        <v>2</v>
      </c>
      <c r="G403">
        <v>2</v>
      </c>
      <c r="H403">
        <v>0.22</v>
      </c>
      <c r="I403">
        <v>0.2273</v>
      </c>
      <c r="J403">
        <v>0.82</v>
      </c>
      <c r="K403">
        <v>0.19400000000000001</v>
      </c>
      <c r="L403">
        <v>1</v>
      </c>
      <c r="M403">
        <v>124</v>
      </c>
      <c r="N403">
        <v>125</v>
      </c>
      <c r="O403" t="s">
        <v>29</v>
      </c>
      <c r="P403" t="s">
        <v>56</v>
      </c>
      <c r="Q403" t="s">
        <v>41</v>
      </c>
      <c r="R403" t="s">
        <v>50</v>
      </c>
      <c r="S403" t="s">
        <v>33</v>
      </c>
      <c r="T403" t="s">
        <v>34</v>
      </c>
      <c r="U403" t="s">
        <v>46</v>
      </c>
      <c r="V403" t="s">
        <v>36</v>
      </c>
      <c r="W403" t="s">
        <v>37</v>
      </c>
      <c r="X403">
        <v>0.8</v>
      </c>
      <c r="Y403">
        <v>99.2</v>
      </c>
      <c r="Z403" t="s">
        <v>40</v>
      </c>
      <c r="AA403" t="s">
        <v>49</v>
      </c>
      <c r="AB403" t="s">
        <v>38</v>
      </c>
      <c r="AC403">
        <v>7.3000000000000009E-3</v>
      </c>
    </row>
    <row r="404" spans="1:29" x14ac:dyDescent="0.3">
      <c r="A404">
        <v>403</v>
      </c>
      <c r="B404" s="1">
        <v>40561</v>
      </c>
      <c r="C404">
        <v>1</v>
      </c>
      <c r="D404">
        <v>18</v>
      </c>
      <c r="E404" t="b">
        <v>0</v>
      </c>
      <c r="F404">
        <v>2</v>
      </c>
      <c r="G404">
        <v>2</v>
      </c>
      <c r="H404">
        <v>0.22</v>
      </c>
      <c r="I404">
        <v>0.2273</v>
      </c>
      <c r="J404">
        <v>0.8</v>
      </c>
      <c r="K404">
        <v>0.16420000000000001</v>
      </c>
      <c r="L404">
        <v>1</v>
      </c>
      <c r="M404">
        <v>132</v>
      </c>
      <c r="N404">
        <v>133</v>
      </c>
      <c r="O404" t="s">
        <v>29</v>
      </c>
      <c r="P404" t="s">
        <v>56</v>
      </c>
      <c r="Q404" t="s">
        <v>41</v>
      </c>
      <c r="R404" t="s">
        <v>50</v>
      </c>
      <c r="S404" t="s">
        <v>33</v>
      </c>
      <c r="T404" t="s">
        <v>34</v>
      </c>
      <c r="U404" t="s">
        <v>46</v>
      </c>
      <c r="V404" t="s">
        <v>36</v>
      </c>
      <c r="W404" t="s">
        <v>37</v>
      </c>
      <c r="X404">
        <v>0.75187969924812026</v>
      </c>
      <c r="Y404">
        <v>99.248120300751879</v>
      </c>
      <c r="Z404" t="s">
        <v>40</v>
      </c>
      <c r="AA404" t="s">
        <v>49</v>
      </c>
      <c r="AB404" t="s">
        <v>38</v>
      </c>
      <c r="AC404">
        <v>7.3000000000000009E-3</v>
      </c>
    </row>
    <row r="405" spans="1:29" x14ac:dyDescent="0.3">
      <c r="A405">
        <v>404</v>
      </c>
      <c r="B405" s="1">
        <v>40561</v>
      </c>
      <c r="C405">
        <v>1</v>
      </c>
      <c r="D405">
        <v>19</v>
      </c>
      <c r="E405" t="b">
        <v>0</v>
      </c>
      <c r="F405">
        <v>2</v>
      </c>
      <c r="G405">
        <v>2</v>
      </c>
      <c r="H405">
        <v>0.22</v>
      </c>
      <c r="I405">
        <v>0.2273</v>
      </c>
      <c r="J405">
        <v>0.8</v>
      </c>
      <c r="K405">
        <v>0.1343</v>
      </c>
      <c r="L405">
        <v>1</v>
      </c>
      <c r="M405">
        <v>98</v>
      </c>
      <c r="N405">
        <v>99</v>
      </c>
      <c r="O405" t="s">
        <v>29</v>
      </c>
      <c r="P405" t="s">
        <v>56</v>
      </c>
      <c r="Q405" t="s">
        <v>41</v>
      </c>
      <c r="R405" t="s">
        <v>50</v>
      </c>
      <c r="S405" t="s">
        <v>33</v>
      </c>
      <c r="T405" t="s">
        <v>34</v>
      </c>
      <c r="U405" t="s">
        <v>35</v>
      </c>
      <c r="V405" t="s">
        <v>36</v>
      </c>
      <c r="W405" t="s">
        <v>37</v>
      </c>
      <c r="X405">
        <v>1.0101010101010099</v>
      </c>
      <c r="Y405">
        <v>98.98989898989899</v>
      </c>
      <c r="Z405" t="s">
        <v>40</v>
      </c>
      <c r="AA405" t="s">
        <v>39</v>
      </c>
      <c r="AB405" t="s">
        <v>38</v>
      </c>
      <c r="AC405">
        <v>7.3000000000000009E-3</v>
      </c>
    </row>
    <row r="406" spans="1:29" x14ac:dyDescent="0.3">
      <c r="A406">
        <v>405</v>
      </c>
      <c r="B406" s="1">
        <v>40561</v>
      </c>
      <c r="C406">
        <v>1</v>
      </c>
      <c r="D406">
        <v>20</v>
      </c>
      <c r="E406" t="b">
        <v>0</v>
      </c>
      <c r="F406">
        <v>2</v>
      </c>
      <c r="G406">
        <v>2</v>
      </c>
      <c r="H406">
        <v>0.22</v>
      </c>
      <c r="I406">
        <v>0.2727</v>
      </c>
      <c r="J406">
        <v>0.87</v>
      </c>
      <c r="K406">
        <v>0</v>
      </c>
      <c r="L406">
        <v>0</v>
      </c>
      <c r="M406">
        <v>83</v>
      </c>
      <c r="N406">
        <v>83</v>
      </c>
      <c r="O406" t="s">
        <v>29</v>
      </c>
      <c r="P406" t="s">
        <v>56</v>
      </c>
      <c r="Q406" t="s">
        <v>41</v>
      </c>
      <c r="R406" t="s">
        <v>50</v>
      </c>
      <c r="S406" t="s">
        <v>33</v>
      </c>
      <c r="T406" t="s">
        <v>34</v>
      </c>
      <c r="U406" t="s">
        <v>35</v>
      </c>
      <c r="V406" t="s">
        <v>36</v>
      </c>
      <c r="W406" t="s">
        <v>37</v>
      </c>
      <c r="X406">
        <v>0</v>
      </c>
      <c r="Y406">
        <v>100</v>
      </c>
      <c r="Z406" t="s">
        <v>38</v>
      </c>
      <c r="AA406" t="s">
        <v>39</v>
      </c>
      <c r="AB406" t="s">
        <v>38</v>
      </c>
      <c r="AC406">
        <v>5.2699999999999997E-2</v>
      </c>
    </row>
    <row r="407" spans="1:29" x14ac:dyDescent="0.3">
      <c r="A407">
        <v>406</v>
      </c>
      <c r="B407" s="1">
        <v>40561</v>
      </c>
      <c r="C407">
        <v>1</v>
      </c>
      <c r="D407">
        <v>21</v>
      </c>
      <c r="E407" t="b">
        <v>0</v>
      </c>
      <c r="F407">
        <v>2</v>
      </c>
      <c r="G407">
        <v>2</v>
      </c>
      <c r="H407">
        <v>0.22</v>
      </c>
      <c r="I407">
        <v>0.2424</v>
      </c>
      <c r="J407">
        <v>0.93</v>
      </c>
      <c r="K407">
        <v>0.1045</v>
      </c>
      <c r="L407">
        <v>0</v>
      </c>
      <c r="M407">
        <v>41</v>
      </c>
      <c r="N407">
        <v>41</v>
      </c>
      <c r="O407" t="s">
        <v>29</v>
      </c>
      <c r="P407" t="s">
        <v>56</v>
      </c>
      <c r="Q407" t="s">
        <v>41</v>
      </c>
      <c r="R407" t="s">
        <v>32</v>
      </c>
      <c r="S407" t="s">
        <v>33</v>
      </c>
      <c r="T407" t="s">
        <v>34</v>
      </c>
      <c r="U407" t="s">
        <v>35</v>
      </c>
      <c r="V407" t="s">
        <v>36</v>
      </c>
      <c r="W407" t="s">
        <v>37</v>
      </c>
      <c r="X407">
        <v>0</v>
      </c>
      <c r="Y407">
        <v>100</v>
      </c>
      <c r="Z407" t="s">
        <v>38</v>
      </c>
      <c r="AA407" t="s">
        <v>39</v>
      </c>
      <c r="AB407" t="s">
        <v>38</v>
      </c>
      <c r="AC407">
        <v>2.24E-2</v>
      </c>
    </row>
    <row r="408" spans="1:29" x14ac:dyDescent="0.3">
      <c r="A408">
        <v>407</v>
      </c>
      <c r="B408" s="1">
        <v>40561</v>
      </c>
      <c r="C408">
        <v>1</v>
      </c>
      <c r="D408">
        <v>22</v>
      </c>
      <c r="E408" t="b">
        <v>0</v>
      </c>
      <c r="F408">
        <v>2</v>
      </c>
      <c r="G408">
        <v>2</v>
      </c>
      <c r="H408">
        <v>0.22</v>
      </c>
      <c r="I408">
        <v>0.2576</v>
      </c>
      <c r="J408">
        <v>0.93</v>
      </c>
      <c r="K408">
        <v>8.9599999999999999E-2</v>
      </c>
      <c r="L408">
        <v>0</v>
      </c>
      <c r="M408">
        <v>33</v>
      </c>
      <c r="N408">
        <v>33</v>
      </c>
      <c r="O408" t="s">
        <v>29</v>
      </c>
      <c r="P408" t="s">
        <v>56</v>
      </c>
      <c r="Q408" t="s">
        <v>41</v>
      </c>
      <c r="R408" t="s">
        <v>32</v>
      </c>
      <c r="S408" t="s">
        <v>33</v>
      </c>
      <c r="T408" t="s">
        <v>34</v>
      </c>
      <c r="U408" t="s">
        <v>35</v>
      </c>
      <c r="V408" t="s">
        <v>36</v>
      </c>
      <c r="W408" t="s">
        <v>37</v>
      </c>
      <c r="X408">
        <v>0</v>
      </c>
      <c r="Y408">
        <v>100</v>
      </c>
      <c r="Z408" t="s">
        <v>38</v>
      </c>
      <c r="AA408" t="s">
        <v>39</v>
      </c>
      <c r="AB408" t="s">
        <v>38</v>
      </c>
      <c r="AC408">
        <v>3.7599999999999988E-2</v>
      </c>
    </row>
    <row r="409" spans="1:29" x14ac:dyDescent="0.3">
      <c r="A409">
        <v>408</v>
      </c>
      <c r="B409" s="1">
        <v>40561</v>
      </c>
      <c r="C409">
        <v>1</v>
      </c>
      <c r="D409">
        <v>23</v>
      </c>
      <c r="E409" t="b">
        <v>0</v>
      </c>
      <c r="F409">
        <v>2</v>
      </c>
      <c r="G409">
        <v>2</v>
      </c>
      <c r="H409">
        <v>0.22</v>
      </c>
      <c r="I409">
        <v>0.2727</v>
      </c>
      <c r="J409">
        <v>0.93</v>
      </c>
      <c r="K409">
        <v>0</v>
      </c>
      <c r="L409">
        <v>1</v>
      </c>
      <c r="M409">
        <v>19</v>
      </c>
      <c r="N409">
        <v>20</v>
      </c>
      <c r="O409" t="s">
        <v>29</v>
      </c>
      <c r="P409" t="s">
        <v>56</v>
      </c>
      <c r="Q409" t="s">
        <v>41</v>
      </c>
      <c r="R409" t="s">
        <v>32</v>
      </c>
      <c r="S409" t="s">
        <v>33</v>
      </c>
      <c r="T409" t="s">
        <v>34</v>
      </c>
      <c r="U409" t="s">
        <v>35</v>
      </c>
      <c r="V409" t="s">
        <v>36</v>
      </c>
      <c r="W409" t="s">
        <v>37</v>
      </c>
      <c r="X409">
        <v>5</v>
      </c>
      <c r="Y409">
        <v>95</v>
      </c>
      <c r="Z409" t="s">
        <v>38</v>
      </c>
      <c r="AA409" t="s">
        <v>39</v>
      </c>
      <c r="AB409" t="s">
        <v>38</v>
      </c>
      <c r="AC409">
        <v>5.2699999999999997E-2</v>
      </c>
    </row>
    <row r="410" spans="1:29" x14ac:dyDescent="0.3">
      <c r="A410">
        <v>409</v>
      </c>
      <c r="B410" s="1">
        <v>40562</v>
      </c>
      <c r="C410">
        <v>1</v>
      </c>
      <c r="D410">
        <v>0</v>
      </c>
      <c r="E410" t="b">
        <v>0</v>
      </c>
      <c r="F410">
        <v>3</v>
      </c>
      <c r="G410">
        <v>2</v>
      </c>
      <c r="H410">
        <v>0.22</v>
      </c>
      <c r="I410">
        <v>0.2727</v>
      </c>
      <c r="J410">
        <v>0.93</v>
      </c>
      <c r="K410">
        <v>0</v>
      </c>
      <c r="L410">
        <v>0</v>
      </c>
      <c r="M410">
        <v>3</v>
      </c>
      <c r="N410">
        <v>3</v>
      </c>
      <c r="O410" t="s">
        <v>29</v>
      </c>
      <c r="P410" t="s">
        <v>57</v>
      </c>
      <c r="Q410" t="s">
        <v>41</v>
      </c>
      <c r="R410" t="s">
        <v>32</v>
      </c>
      <c r="S410" t="s">
        <v>33</v>
      </c>
      <c r="T410" t="s">
        <v>34</v>
      </c>
      <c r="U410" t="s">
        <v>35</v>
      </c>
      <c r="V410" t="s">
        <v>36</v>
      </c>
      <c r="W410" t="s">
        <v>37</v>
      </c>
      <c r="X410">
        <v>0</v>
      </c>
      <c r="Y410">
        <v>100</v>
      </c>
      <c r="Z410" t="s">
        <v>38</v>
      </c>
      <c r="AA410" t="s">
        <v>39</v>
      </c>
      <c r="AB410" t="s">
        <v>38</v>
      </c>
      <c r="AC410">
        <v>5.2699999999999997E-2</v>
      </c>
    </row>
    <row r="411" spans="1:29" x14ac:dyDescent="0.3">
      <c r="A411">
        <v>410</v>
      </c>
      <c r="B411" s="1">
        <v>40562</v>
      </c>
      <c r="C411">
        <v>1</v>
      </c>
      <c r="D411">
        <v>1</v>
      </c>
      <c r="E411" t="b">
        <v>0</v>
      </c>
      <c r="F411">
        <v>3</v>
      </c>
      <c r="G411">
        <v>3</v>
      </c>
      <c r="H411">
        <v>0.22</v>
      </c>
      <c r="I411">
        <v>0.2273</v>
      </c>
      <c r="J411">
        <v>0.93</v>
      </c>
      <c r="K411">
        <v>0.1343</v>
      </c>
      <c r="L411">
        <v>1</v>
      </c>
      <c r="M411">
        <v>6</v>
      </c>
      <c r="N411">
        <v>7</v>
      </c>
      <c r="O411" t="s">
        <v>29</v>
      </c>
      <c r="P411" t="s">
        <v>57</v>
      </c>
      <c r="Q411" t="s">
        <v>51</v>
      </c>
      <c r="R411" t="s">
        <v>32</v>
      </c>
      <c r="S411" t="s">
        <v>33</v>
      </c>
      <c r="T411" t="s">
        <v>34</v>
      </c>
      <c r="U411" t="s">
        <v>35</v>
      </c>
      <c r="V411" t="s">
        <v>36</v>
      </c>
      <c r="W411" t="s">
        <v>37</v>
      </c>
      <c r="X411">
        <v>14.285714285714279</v>
      </c>
      <c r="Y411">
        <v>85.714285714285708</v>
      </c>
      <c r="Z411" t="s">
        <v>38</v>
      </c>
      <c r="AA411" t="s">
        <v>39</v>
      </c>
      <c r="AB411" t="s">
        <v>38</v>
      </c>
      <c r="AC411">
        <v>7.3000000000000009E-3</v>
      </c>
    </row>
    <row r="412" spans="1:29" x14ac:dyDescent="0.3">
      <c r="A412">
        <v>411</v>
      </c>
      <c r="B412" s="1">
        <v>40562</v>
      </c>
      <c r="C412">
        <v>1</v>
      </c>
      <c r="D412">
        <v>2</v>
      </c>
      <c r="E412" t="b">
        <v>0</v>
      </c>
      <c r="F412">
        <v>3</v>
      </c>
      <c r="G412">
        <v>3</v>
      </c>
      <c r="H412">
        <v>0.22</v>
      </c>
      <c r="I412">
        <v>0.2273</v>
      </c>
      <c r="J412">
        <v>0.93</v>
      </c>
      <c r="K412">
        <v>0.1343</v>
      </c>
      <c r="L412">
        <v>0</v>
      </c>
      <c r="M412">
        <v>3</v>
      </c>
      <c r="N412">
        <v>3</v>
      </c>
      <c r="O412" t="s">
        <v>29</v>
      </c>
      <c r="P412" t="s">
        <v>57</v>
      </c>
      <c r="Q412" t="s">
        <v>51</v>
      </c>
      <c r="R412" t="s">
        <v>32</v>
      </c>
      <c r="S412" t="s">
        <v>33</v>
      </c>
      <c r="T412" t="s">
        <v>34</v>
      </c>
      <c r="U412" t="s">
        <v>35</v>
      </c>
      <c r="V412" t="s">
        <v>36</v>
      </c>
      <c r="W412" t="s">
        <v>37</v>
      </c>
      <c r="X412">
        <v>0</v>
      </c>
      <c r="Y412">
        <v>100</v>
      </c>
      <c r="Z412" t="s">
        <v>38</v>
      </c>
      <c r="AA412" t="s">
        <v>39</v>
      </c>
      <c r="AB412" t="s">
        <v>38</v>
      </c>
      <c r="AC412">
        <v>7.3000000000000009E-3</v>
      </c>
    </row>
    <row r="413" spans="1:29" x14ac:dyDescent="0.3">
      <c r="A413">
        <v>412</v>
      </c>
      <c r="B413" s="1">
        <v>40562</v>
      </c>
      <c r="C413">
        <v>1</v>
      </c>
      <c r="D413">
        <v>4</v>
      </c>
      <c r="E413" t="b">
        <v>0</v>
      </c>
      <c r="F413">
        <v>3</v>
      </c>
      <c r="G413">
        <v>3</v>
      </c>
      <c r="H413">
        <v>0.22</v>
      </c>
      <c r="I413">
        <v>0.2273</v>
      </c>
      <c r="J413">
        <v>0.93</v>
      </c>
      <c r="K413">
        <v>0.1343</v>
      </c>
      <c r="L413">
        <v>1</v>
      </c>
      <c r="M413">
        <v>1</v>
      </c>
      <c r="N413">
        <v>2</v>
      </c>
      <c r="O413" t="s">
        <v>29</v>
      </c>
      <c r="P413" t="s">
        <v>57</v>
      </c>
      <c r="Q413" t="s">
        <v>51</v>
      </c>
      <c r="R413" t="s">
        <v>32</v>
      </c>
      <c r="S413" t="s">
        <v>33</v>
      </c>
      <c r="T413" t="s">
        <v>34</v>
      </c>
      <c r="U413" t="s">
        <v>35</v>
      </c>
      <c r="V413" t="s">
        <v>36</v>
      </c>
      <c r="W413" t="s">
        <v>37</v>
      </c>
      <c r="X413">
        <v>50</v>
      </c>
      <c r="Y413">
        <v>50</v>
      </c>
      <c r="Z413" t="s">
        <v>38</v>
      </c>
      <c r="AA413" t="s">
        <v>39</v>
      </c>
      <c r="AB413" t="s">
        <v>38</v>
      </c>
      <c r="AC413">
        <v>7.3000000000000009E-3</v>
      </c>
    </row>
    <row r="414" spans="1:29" x14ac:dyDescent="0.3">
      <c r="A414">
        <v>413</v>
      </c>
      <c r="B414" s="1">
        <v>40562</v>
      </c>
      <c r="C414">
        <v>1</v>
      </c>
      <c r="D414">
        <v>5</v>
      </c>
      <c r="E414" t="b">
        <v>0</v>
      </c>
      <c r="F414">
        <v>3</v>
      </c>
      <c r="G414">
        <v>2</v>
      </c>
      <c r="H414">
        <v>0.22</v>
      </c>
      <c r="I414">
        <v>0.2576</v>
      </c>
      <c r="J414">
        <v>0.93</v>
      </c>
      <c r="K414">
        <v>8.9599999999999999E-2</v>
      </c>
      <c r="L414">
        <v>0</v>
      </c>
      <c r="M414">
        <v>7</v>
      </c>
      <c r="N414">
        <v>7</v>
      </c>
      <c r="O414" t="s">
        <v>29</v>
      </c>
      <c r="P414" t="s">
        <v>57</v>
      </c>
      <c r="Q414" t="s">
        <v>41</v>
      </c>
      <c r="R414" t="s">
        <v>32</v>
      </c>
      <c r="S414" t="s">
        <v>33</v>
      </c>
      <c r="T414" t="s">
        <v>34</v>
      </c>
      <c r="U414" t="s">
        <v>35</v>
      </c>
      <c r="V414" t="s">
        <v>36</v>
      </c>
      <c r="W414" t="s">
        <v>37</v>
      </c>
      <c r="X414">
        <v>0</v>
      </c>
      <c r="Y414">
        <v>100</v>
      </c>
      <c r="Z414" t="s">
        <v>38</v>
      </c>
      <c r="AA414" t="s">
        <v>39</v>
      </c>
      <c r="AB414" t="s">
        <v>38</v>
      </c>
      <c r="AC414">
        <v>3.7599999999999988E-2</v>
      </c>
    </row>
    <row r="415" spans="1:29" x14ac:dyDescent="0.3">
      <c r="A415">
        <v>414</v>
      </c>
      <c r="B415" s="1">
        <v>40562</v>
      </c>
      <c r="C415">
        <v>1</v>
      </c>
      <c r="D415">
        <v>6</v>
      </c>
      <c r="E415" t="b">
        <v>0</v>
      </c>
      <c r="F415">
        <v>3</v>
      </c>
      <c r="G415">
        <v>2</v>
      </c>
      <c r="H415">
        <v>0.22</v>
      </c>
      <c r="I415">
        <v>0.2576</v>
      </c>
      <c r="J415">
        <v>0.93</v>
      </c>
      <c r="K415">
        <v>8.9599999999999999E-2</v>
      </c>
      <c r="L415">
        <v>0</v>
      </c>
      <c r="M415">
        <v>32</v>
      </c>
      <c r="N415">
        <v>32</v>
      </c>
      <c r="O415" t="s">
        <v>29</v>
      </c>
      <c r="P415" t="s">
        <v>57</v>
      </c>
      <c r="Q415" t="s">
        <v>41</v>
      </c>
      <c r="R415" t="s">
        <v>42</v>
      </c>
      <c r="S415" t="s">
        <v>33</v>
      </c>
      <c r="T415" t="s">
        <v>34</v>
      </c>
      <c r="U415" t="s">
        <v>35</v>
      </c>
      <c r="V415" t="s">
        <v>36</v>
      </c>
      <c r="W415" t="s">
        <v>37</v>
      </c>
      <c r="X415">
        <v>0</v>
      </c>
      <c r="Y415">
        <v>100</v>
      </c>
      <c r="Z415" t="s">
        <v>38</v>
      </c>
      <c r="AA415" t="s">
        <v>39</v>
      </c>
      <c r="AB415" t="s">
        <v>38</v>
      </c>
      <c r="AC415">
        <v>3.7599999999999988E-2</v>
      </c>
    </row>
    <row r="416" spans="1:29" x14ac:dyDescent="0.3">
      <c r="A416">
        <v>415</v>
      </c>
      <c r="B416" s="1">
        <v>40562</v>
      </c>
      <c r="C416">
        <v>1</v>
      </c>
      <c r="D416">
        <v>7</v>
      </c>
      <c r="E416" t="b">
        <v>0</v>
      </c>
      <c r="F416">
        <v>3</v>
      </c>
      <c r="G416">
        <v>2</v>
      </c>
      <c r="H416">
        <v>0.24</v>
      </c>
      <c r="I416">
        <v>0.2576</v>
      </c>
      <c r="J416">
        <v>0.92</v>
      </c>
      <c r="K416">
        <v>0.1045</v>
      </c>
      <c r="L416">
        <v>1</v>
      </c>
      <c r="M416">
        <v>89</v>
      </c>
      <c r="N416">
        <v>90</v>
      </c>
      <c r="O416" t="s">
        <v>29</v>
      </c>
      <c r="P416" t="s">
        <v>57</v>
      </c>
      <c r="Q416" t="s">
        <v>41</v>
      </c>
      <c r="R416" t="s">
        <v>42</v>
      </c>
      <c r="S416" t="s">
        <v>33</v>
      </c>
      <c r="T416" t="s">
        <v>34</v>
      </c>
      <c r="U416" t="s">
        <v>35</v>
      </c>
      <c r="V416" t="s">
        <v>36</v>
      </c>
      <c r="W416" t="s">
        <v>37</v>
      </c>
      <c r="X416">
        <v>1.1111111111111109</v>
      </c>
      <c r="Y416">
        <v>98.888888888888886</v>
      </c>
      <c r="Z416" t="s">
        <v>40</v>
      </c>
      <c r="AA416" t="s">
        <v>39</v>
      </c>
      <c r="AB416" t="s">
        <v>38</v>
      </c>
      <c r="AC416">
        <v>1.7600000000000001E-2</v>
      </c>
    </row>
    <row r="417" spans="1:29" x14ac:dyDescent="0.3">
      <c r="A417">
        <v>416</v>
      </c>
      <c r="B417" s="1">
        <v>40562</v>
      </c>
      <c r="C417">
        <v>1</v>
      </c>
      <c r="D417">
        <v>8</v>
      </c>
      <c r="E417" t="b">
        <v>0</v>
      </c>
      <c r="F417">
        <v>3</v>
      </c>
      <c r="G417">
        <v>2</v>
      </c>
      <c r="H417">
        <v>0.24</v>
      </c>
      <c r="I417">
        <v>0.2576</v>
      </c>
      <c r="J417">
        <v>0.93</v>
      </c>
      <c r="K417">
        <v>0.1045</v>
      </c>
      <c r="L417">
        <v>1</v>
      </c>
      <c r="M417">
        <v>196</v>
      </c>
      <c r="N417">
        <v>197</v>
      </c>
      <c r="O417" t="s">
        <v>29</v>
      </c>
      <c r="P417" t="s">
        <v>57</v>
      </c>
      <c r="Q417" t="s">
        <v>41</v>
      </c>
      <c r="R417" t="s">
        <v>42</v>
      </c>
      <c r="S417" t="s">
        <v>33</v>
      </c>
      <c r="T417" t="s">
        <v>34</v>
      </c>
      <c r="U417" t="s">
        <v>35</v>
      </c>
      <c r="V417" t="s">
        <v>36</v>
      </c>
      <c r="W417" t="s">
        <v>37</v>
      </c>
      <c r="X417">
        <v>0.50761421319796951</v>
      </c>
      <c r="Y417">
        <v>99.492385786802032</v>
      </c>
      <c r="Z417" t="s">
        <v>40</v>
      </c>
      <c r="AA417" t="s">
        <v>49</v>
      </c>
      <c r="AB417" t="s">
        <v>38</v>
      </c>
      <c r="AC417">
        <v>1.7600000000000001E-2</v>
      </c>
    </row>
    <row r="418" spans="1:29" x14ac:dyDescent="0.3">
      <c r="A418">
        <v>417</v>
      </c>
      <c r="B418" s="1">
        <v>40562</v>
      </c>
      <c r="C418">
        <v>1</v>
      </c>
      <c r="D418">
        <v>9</v>
      </c>
      <c r="E418" t="b">
        <v>0</v>
      </c>
      <c r="F418">
        <v>3</v>
      </c>
      <c r="G418">
        <v>2</v>
      </c>
      <c r="H418">
        <v>0.24</v>
      </c>
      <c r="I418">
        <v>0.2576</v>
      </c>
      <c r="J418">
        <v>0.93</v>
      </c>
      <c r="K418">
        <v>0.1045</v>
      </c>
      <c r="L418">
        <v>2</v>
      </c>
      <c r="M418">
        <v>107</v>
      </c>
      <c r="N418">
        <v>109</v>
      </c>
      <c r="O418" t="s">
        <v>29</v>
      </c>
      <c r="P418" t="s">
        <v>57</v>
      </c>
      <c r="Q418" t="s">
        <v>41</v>
      </c>
      <c r="R418" t="s">
        <v>42</v>
      </c>
      <c r="S418" t="s">
        <v>33</v>
      </c>
      <c r="T418" t="s">
        <v>34</v>
      </c>
      <c r="U418" t="s">
        <v>35</v>
      </c>
      <c r="V418" t="s">
        <v>36</v>
      </c>
      <c r="W418" t="s">
        <v>37</v>
      </c>
      <c r="X418">
        <v>1.834862385321101</v>
      </c>
      <c r="Y418">
        <v>98.165137614678898</v>
      </c>
      <c r="Z418" t="s">
        <v>40</v>
      </c>
      <c r="AA418" t="s">
        <v>49</v>
      </c>
      <c r="AB418" t="s">
        <v>38</v>
      </c>
      <c r="AC418">
        <v>1.7600000000000001E-2</v>
      </c>
    </row>
    <row r="419" spans="1:29" x14ac:dyDescent="0.3">
      <c r="A419">
        <v>418</v>
      </c>
      <c r="B419" s="1">
        <v>40562</v>
      </c>
      <c r="C419">
        <v>1</v>
      </c>
      <c r="D419">
        <v>10</v>
      </c>
      <c r="E419" t="b">
        <v>0</v>
      </c>
      <c r="F419">
        <v>3</v>
      </c>
      <c r="G419">
        <v>2</v>
      </c>
      <c r="H419">
        <v>0.26</v>
      </c>
      <c r="I419">
        <v>0.2727</v>
      </c>
      <c r="J419">
        <v>0.93</v>
      </c>
      <c r="K419">
        <v>0.1343</v>
      </c>
      <c r="L419">
        <v>1</v>
      </c>
      <c r="M419">
        <v>46</v>
      </c>
      <c r="N419">
        <v>47</v>
      </c>
      <c r="O419" t="s">
        <v>29</v>
      </c>
      <c r="P419" t="s">
        <v>57</v>
      </c>
      <c r="Q419" t="s">
        <v>41</v>
      </c>
      <c r="R419" t="s">
        <v>42</v>
      </c>
      <c r="S419" t="s">
        <v>44</v>
      </c>
      <c r="T419" t="s">
        <v>34</v>
      </c>
      <c r="U419" t="s">
        <v>35</v>
      </c>
      <c r="V419" t="s">
        <v>36</v>
      </c>
      <c r="W419" t="s">
        <v>37</v>
      </c>
      <c r="X419">
        <v>2.1276595744680851</v>
      </c>
      <c r="Y419">
        <v>97.872340425531917</v>
      </c>
      <c r="Z419" t="s">
        <v>38</v>
      </c>
      <c r="AA419" t="s">
        <v>39</v>
      </c>
      <c r="AB419" t="s">
        <v>38</v>
      </c>
      <c r="AC419">
        <v>1.2699999999999991E-2</v>
      </c>
    </row>
    <row r="420" spans="1:29" x14ac:dyDescent="0.3">
      <c r="A420">
        <v>419</v>
      </c>
      <c r="B420" s="1">
        <v>40562</v>
      </c>
      <c r="C420">
        <v>1</v>
      </c>
      <c r="D420">
        <v>11</v>
      </c>
      <c r="E420" t="b">
        <v>0</v>
      </c>
      <c r="F420">
        <v>3</v>
      </c>
      <c r="G420">
        <v>2</v>
      </c>
      <c r="H420">
        <v>0.28000000000000003</v>
      </c>
      <c r="I420">
        <v>0.30299999999999999</v>
      </c>
      <c r="J420">
        <v>0.87</v>
      </c>
      <c r="K420">
        <v>8.9599999999999999E-2</v>
      </c>
      <c r="L420">
        <v>5</v>
      </c>
      <c r="M420">
        <v>47</v>
      </c>
      <c r="N420">
        <v>52</v>
      </c>
      <c r="O420" t="s">
        <v>29</v>
      </c>
      <c r="P420" t="s">
        <v>57</v>
      </c>
      <c r="Q420" t="s">
        <v>41</v>
      </c>
      <c r="R420" t="s">
        <v>42</v>
      </c>
      <c r="S420" t="s">
        <v>44</v>
      </c>
      <c r="T420" t="s">
        <v>34</v>
      </c>
      <c r="U420" t="s">
        <v>35</v>
      </c>
      <c r="V420" t="s">
        <v>36</v>
      </c>
      <c r="W420" t="s">
        <v>37</v>
      </c>
      <c r="X420">
        <v>9.6153846153846168</v>
      </c>
      <c r="Y420">
        <v>90.384615384615387</v>
      </c>
      <c r="Z420" t="s">
        <v>38</v>
      </c>
      <c r="AA420" t="s">
        <v>39</v>
      </c>
      <c r="AB420" t="s">
        <v>38</v>
      </c>
      <c r="AC420">
        <v>2.2999999999999961E-2</v>
      </c>
    </row>
    <row r="421" spans="1:29" x14ac:dyDescent="0.3">
      <c r="A421">
        <v>420</v>
      </c>
      <c r="B421" s="1">
        <v>40562</v>
      </c>
      <c r="C421">
        <v>1</v>
      </c>
      <c r="D421">
        <v>12</v>
      </c>
      <c r="E421" t="b">
        <v>0</v>
      </c>
      <c r="F421">
        <v>3</v>
      </c>
      <c r="G421">
        <v>2</v>
      </c>
      <c r="H421">
        <v>0.3</v>
      </c>
      <c r="I421">
        <v>0.31819999999999998</v>
      </c>
      <c r="J421">
        <v>0.81</v>
      </c>
      <c r="K421">
        <v>8.9599999999999999E-2</v>
      </c>
      <c r="L421">
        <v>5</v>
      </c>
      <c r="M421">
        <v>65</v>
      </c>
      <c r="N421">
        <v>70</v>
      </c>
      <c r="O421" t="s">
        <v>29</v>
      </c>
      <c r="P421" t="s">
        <v>57</v>
      </c>
      <c r="Q421" t="s">
        <v>41</v>
      </c>
      <c r="R421" t="s">
        <v>47</v>
      </c>
      <c r="S421" t="s">
        <v>44</v>
      </c>
      <c r="T421" t="s">
        <v>34</v>
      </c>
      <c r="U421" t="s">
        <v>35</v>
      </c>
      <c r="V421" t="s">
        <v>36</v>
      </c>
      <c r="W421" t="s">
        <v>37</v>
      </c>
      <c r="X421">
        <v>7.1428571428571423</v>
      </c>
      <c r="Y421">
        <v>92.857142857142861</v>
      </c>
      <c r="Z421" t="s">
        <v>38</v>
      </c>
      <c r="AA421" t="s">
        <v>39</v>
      </c>
      <c r="AB421" t="s">
        <v>38</v>
      </c>
      <c r="AC421">
        <v>1.819999999999999E-2</v>
      </c>
    </row>
    <row r="422" spans="1:29" x14ac:dyDescent="0.3">
      <c r="A422">
        <v>421</v>
      </c>
      <c r="B422" s="1">
        <v>40562</v>
      </c>
      <c r="C422">
        <v>1</v>
      </c>
      <c r="D422">
        <v>13</v>
      </c>
      <c r="E422" t="b">
        <v>0</v>
      </c>
      <c r="F422">
        <v>3</v>
      </c>
      <c r="G422">
        <v>1</v>
      </c>
      <c r="H422">
        <v>0.4</v>
      </c>
      <c r="I422">
        <v>0.40910000000000002</v>
      </c>
      <c r="J422">
        <v>0.62</v>
      </c>
      <c r="K422">
        <v>0.28360000000000002</v>
      </c>
      <c r="L422">
        <v>11</v>
      </c>
      <c r="M422">
        <v>67</v>
      </c>
      <c r="N422">
        <v>78</v>
      </c>
      <c r="O422" t="s">
        <v>29</v>
      </c>
      <c r="P422" t="s">
        <v>57</v>
      </c>
      <c r="Q422" t="s">
        <v>31</v>
      </c>
      <c r="R422" t="s">
        <v>47</v>
      </c>
      <c r="S422" t="s">
        <v>45</v>
      </c>
      <c r="T422" t="s">
        <v>49</v>
      </c>
      <c r="U422" t="s">
        <v>46</v>
      </c>
      <c r="V422" t="s">
        <v>36</v>
      </c>
      <c r="W422" t="s">
        <v>37</v>
      </c>
      <c r="X422">
        <v>14.1025641025641</v>
      </c>
      <c r="Y422">
        <v>85.897435897435898</v>
      </c>
      <c r="Z422" t="s">
        <v>38</v>
      </c>
      <c r="AA422" t="s">
        <v>39</v>
      </c>
      <c r="AB422" t="s">
        <v>38</v>
      </c>
      <c r="AC422">
        <v>9.099999999999997E-3</v>
      </c>
    </row>
    <row r="423" spans="1:29" x14ac:dyDescent="0.3">
      <c r="A423">
        <v>422</v>
      </c>
      <c r="B423" s="1">
        <v>40562</v>
      </c>
      <c r="C423">
        <v>1</v>
      </c>
      <c r="D423">
        <v>14</v>
      </c>
      <c r="E423" t="b">
        <v>0</v>
      </c>
      <c r="F423">
        <v>3</v>
      </c>
      <c r="G423">
        <v>1</v>
      </c>
      <c r="H423">
        <v>0.4</v>
      </c>
      <c r="I423">
        <v>0.40910000000000002</v>
      </c>
      <c r="J423">
        <v>0.57999999999999996</v>
      </c>
      <c r="K423">
        <v>0.25369999999999998</v>
      </c>
      <c r="L423">
        <v>7</v>
      </c>
      <c r="M423">
        <v>68</v>
      </c>
      <c r="N423">
        <v>75</v>
      </c>
      <c r="O423" t="s">
        <v>29</v>
      </c>
      <c r="P423" t="s">
        <v>57</v>
      </c>
      <c r="Q423" t="s">
        <v>31</v>
      </c>
      <c r="R423" t="s">
        <v>47</v>
      </c>
      <c r="S423" t="s">
        <v>45</v>
      </c>
      <c r="T423" t="s">
        <v>49</v>
      </c>
      <c r="U423" t="s">
        <v>46</v>
      </c>
      <c r="V423" t="s">
        <v>36</v>
      </c>
      <c r="W423" t="s">
        <v>37</v>
      </c>
      <c r="X423">
        <v>9.3333333333333339</v>
      </c>
      <c r="Y423">
        <v>90.666666666666657</v>
      </c>
      <c r="Z423" t="s">
        <v>38</v>
      </c>
      <c r="AA423" t="s">
        <v>39</v>
      </c>
      <c r="AB423" t="s">
        <v>38</v>
      </c>
      <c r="AC423">
        <v>9.099999999999997E-3</v>
      </c>
    </row>
    <row r="424" spans="1:29" x14ac:dyDescent="0.3">
      <c r="A424">
        <v>423</v>
      </c>
      <c r="B424" s="1">
        <v>40562</v>
      </c>
      <c r="C424">
        <v>1</v>
      </c>
      <c r="D424">
        <v>15</v>
      </c>
      <c r="E424" t="b">
        <v>0</v>
      </c>
      <c r="F424">
        <v>3</v>
      </c>
      <c r="G424">
        <v>1</v>
      </c>
      <c r="H424">
        <v>0.4</v>
      </c>
      <c r="I424">
        <v>0.40910000000000002</v>
      </c>
      <c r="J424">
        <v>0.54</v>
      </c>
      <c r="K424">
        <v>0.28360000000000002</v>
      </c>
      <c r="L424">
        <v>4</v>
      </c>
      <c r="M424">
        <v>78</v>
      </c>
      <c r="N424">
        <v>82</v>
      </c>
      <c r="O424" t="s">
        <v>29</v>
      </c>
      <c r="P424" t="s">
        <v>57</v>
      </c>
      <c r="Q424" t="s">
        <v>31</v>
      </c>
      <c r="R424" t="s">
        <v>47</v>
      </c>
      <c r="S424" t="s">
        <v>45</v>
      </c>
      <c r="T424" t="s">
        <v>49</v>
      </c>
      <c r="U424" t="s">
        <v>46</v>
      </c>
      <c r="V424" t="s">
        <v>36</v>
      </c>
      <c r="W424" t="s">
        <v>37</v>
      </c>
      <c r="X424">
        <v>4.8780487804878048</v>
      </c>
      <c r="Y424">
        <v>95.121951219512198</v>
      </c>
      <c r="Z424" t="s">
        <v>38</v>
      </c>
      <c r="AA424" t="s">
        <v>39</v>
      </c>
      <c r="AB424" t="s">
        <v>38</v>
      </c>
      <c r="AC424">
        <v>9.099999999999997E-3</v>
      </c>
    </row>
    <row r="425" spans="1:29" x14ac:dyDescent="0.3">
      <c r="A425">
        <v>424</v>
      </c>
      <c r="B425" s="1">
        <v>40562</v>
      </c>
      <c r="C425">
        <v>1</v>
      </c>
      <c r="D425">
        <v>16</v>
      </c>
      <c r="E425" t="b">
        <v>0</v>
      </c>
      <c r="F425">
        <v>3</v>
      </c>
      <c r="G425">
        <v>1</v>
      </c>
      <c r="H425">
        <v>0.38</v>
      </c>
      <c r="I425">
        <v>0.39389999999999997</v>
      </c>
      <c r="J425">
        <v>0.57999999999999996</v>
      </c>
      <c r="K425">
        <v>0.3881</v>
      </c>
      <c r="L425">
        <v>10</v>
      </c>
      <c r="M425">
        <v>94</v>
      </c>
      <c r="N425">
        <v>104</v>
      </c>
      <c r="O425" t="s">
        <v>29</v>
      </c>
      <c r="P425" t="s">
        <v>57</v>
      </c>
      <c r="Q425" t="s">
        <v>31</v>
      </c>
      <c r="R425" t="s">
        <v>47</v>
      </c>
      <c r="S425" t="s">
        <v>45</v>
      </c>
      <c r="T425" t="s">
        <v>49</v>
      </c>
      <c r="U425" t="s">
        <v>53</v>
      </c>
      <c r="V425" t="s">
        <v>36</v>
      </c>
      <c r="W425" t="s">
        <v>37</v>
      </c>
      <c r="X425">
        <v>9.6153846153846168</v>
      </c>
      <c r="Y425">
        <v>90.384615384615387</v>
      </c>
      <c r="Z425" t="s">
        <v>38</v>
      </c>
      <c r="AA425" t="s">
        <v>49</v>
      </c>
      <c r="AB425" t="s">
        <v>38</v>
      </c>
      <c r="AC425">
        <v>1.389999999999997E-2</v>
      </c>
    </row>
    <row r="426" spans="1:29" x14ac:dyDescent="0.3">
      <c r="A426">
        <v>425</v>
      </c>
      <c r="B426" s="1">
        <v>40562</v>
      </c>
      <c r="C426">
        <v>1</v>
      </c>
      <c r="D426">
        <v>17</v>
      </c>
      <c r="E426" t="b">
        <v>0</v>
      </c>
      <c r="F426">
        <v>3</v>
      </c>
      <c r="G426">
        <v>1</v>
      </c>
      <c r="H426">
        <v>0.36</v>
      </c>
      <c r="I426">
        <v>0.33329999999999999</v>
      </c>
      <c r="J426">
        <v>0.56999999999999995</v>
      </c>
      <c r="K426">
        <v>0.32840000000000003</v>
      </c>
      <c r="L426">
        <v>7</v>
      </c>
      <c r="M426">
        <v>190</v>
      </c>
      <c r="N426">
        <v>197</v>
      </c>
      <c r="O426" t="s">
        <v>29</v>
      </c>
      <c r="P426" t="s">
        <v>57</v>
      </c>
      <c r="Q426" t="s">
        <v>31</v>
      </c>
      <c r="R426" t="s">
        <v>50</v>
      </c>
      <c r="S426" t="s">
        <v>45</v>
      </c>
      <c r="T426" t="s">
        <v>49</v>
      </c>
      <c r="U426" t="s">
        <v>53</v>
      </c>
      <c r="V426" t="s">
        <v>36</v>
      </c>
      <c r="W426" t="s">
        <v>37</v>
      </c>
      <c r="X426">
        <v>3.5532994923857868</v>
      </c>
      <c r="Y426">
        <v>96.44670050761421</v>
      </c>
      <c r="Z426" t="s">
        <v>40</v>
      </c>
      <c r="AA426" t="s">
        <v>49</v>
      </c>
      <c r="AB426" t="s">
        <v>38</v>
      </c>
      <c r="AC426">
        <v>-2.6700000000000002E-2</v>
      </c>
    </row>
    <row r="427" spans="1:29" x14ac:dyDescent="0.3">
      <c r="A427">
        <v>426</v>
      </c>
      <c r="B427" s="1">
        <v>40562</v>
      </c>
      <c r="C427">
        <v>1</v>
      </c>
      <c r="D427">
        <v>18</v>
      </c>
      <c r="E427" t="b">
        <v>0</v>
      </c>
      <c r="F427">
        <v>3</v>
      </c>
      <c r="G427">
        <v>1</v>
      </c>
      <c r="H427">
        <v>0.34</v>
      </c>
      <c r="I427">
        <v>0.31819999999999998</v>
      </c>
      <c r="J427">
        <v>0.61</v>
      </c>
      <c r="K427">
        <v>0.28360000000000002</v>
      </c>
      <c r="L427">
        <v>5</v>
      </c>
      <c r="M427">
        <v>156</v>
      </c>
      <c r="N427">
        <v>161</v>
      </c>
      <c r="O427" t="s">
        <v>29</v>
      </c>
      <c r="P427" t="s">
        <v>57</v>
      </c>
      <c r="Q427" t="s">
        <v>31</v>
      </c>
      <c r="R427" t="s">
        <v>50</v>
      </c>
      <c r="S427" t="s">
        <v>44</v>
      </c>
      <c r="T427" t="s">
        <v>49</v>
      </c>
      <c r="U427" t="s">
        <v>46</v>
      </c>
      <c r="V427" t="s">
        <v>36</v>
      </c>
      <c r="W427" t="s">
        <v>37</v>
      </c>
      <c r="X427">
        <v>3.1055900621118009</v>
      </c>
      <c r="Y427">
        <v>96.894409937888199</v>
      </c>
      <c r="Z427" t="s">
        <v>40</v>
      </c>
      <c r="AA427" t="s">
        <v>49</v>
      </c>
      <c r="AB427" t="s">
        <v>38</v>
      </c>
      <c r="AC427">
        <v>-2.1800000000000042E-2</v>
      </c>
    </row>
    <row r="428" spans="1:29" x14ac:dyDescent="0.3">
      <c r="A428">
        <v>427</v>
      </c>
      <c r="B428" s="1">
        <v>40562</v>
      </c>
      <c r="C428">
        <v>1</v>
      </c>
      <c r="D428">
        <v>19</v>
      </c>
      <c r="E428" t="b">
        <v>0</v>
      </c>
      <c r="F428">
        <v>3</v>
      </c>
      <c r="G428">
        <v>1</v>
      </c>
      <c r="H428">
        <v>0.32</v>
      </c>
      <c r="I428">
        <v>0.28789999999999999</v>
      </c>
      <c r="J428">
        <v>0.56999999999999995</v>
      </c>
      <c r="K428">
        <v>0.41789999999999999</v>
      </c>
      <c r="L428">
        <v>4</v>
      </c>
      <c r="M428">
        <v>108</v>
      </c>
      <c r="N428">
        <v>112</v>
      </c>
      <c r="O428" t="s">
        <v>29</v>
      </c>
      <c r="P428" t="s">
        <v>57</v>
      </c>
      <c r="Q428" t="s">
        <v>31</v>
      </c>
      <c r="R428" t="s">
        <v>50</v>
      </c>
      <c r="S428" t="s">
        <v>44</v>
      </c>
      <c r="T428" t="s">
        <v>49</v>
      </c>
      <c r="U428" t="s">
        <v>53</v>
      </c>
      <c r="V428" t="s">
        <v>36</v>
      </c>
      <c r="W428" t="s">
        <v>37</v>
      </c>
      <c r="X428">
        <v>3.5714285714285712</v>
      </c>
      <c r="Y428">
        <v>96.428571428571431</v>
      </c>
      <c r="Z428" t="s">
        <v>40</v>
      </c>
      <c r="AA428" t="s">
        <v>49</v>
      </c>
      <c r="AB428" t="s">
        <v>38</v>
      </c>
      <c r="AC428">
        <v>-3.2100000000000017E-2</v>
      </c>
    </row>
    <row r="429" spans="1:29" x14ac:dyDescent="0.3">
      <c r="A429">
        <v>428</v>
      </c>
      <c r="B429" s="1">
        <v>40562</v>
      </c>
      <c r="C429">
        <v>1</v>
      </c>
      <c r="D429">
        <v>20</v>
      </c>
      <c r="E429" t="b">
        <v>0</v>
      </c>
      <c r="F429">
        <v>3</v>
      </c>
      <c r="G429">
        <v>1</v>
      </c>
      <c r="H429">
        <v>0.32</v>
      </c>
      <c r="I429">
        <v>0.30299999999999999</v>
      </c>
      <c r="J429">
        <v>0.49</v>
      </c>
      <c r="K429">
        <v>0.29849999999999999</v>
      </c>
      <c r="L429">
        <v>2</v>
      </c>
      <c r="M429">
        <v>74</v>
      </c>
      <c r="N429">
        <v>76</v>
      </c>
      <c r="O429" t="s">
        <v>29</v>
      </c>
      <c r="P429" t="s">
        <v>57</v>
      </c>
      <c r="Q429" t="s">
        <v>31</v>
      </c>
      <c r="R429" t="s">
        <v>50</v>
      </c>
      <c r="S429" t="s">
        <v>44</v>
      </c>
      <c r="T429" t="s">
        <v>49</v>
      </c>
      <c r="U429" t="s">
        <v>46</v>
      </c>
      <c r="V429" t="s">
        <v>36</v>
      </c>
      <c r="W429" t="s">
        <v>37</v>
      </c>
      <c r="X429">
        <v>2.6315789473684208</v>
      </c>
      <c r="Y429">
        <v>97.368421052631575</v>
      </c>
      <c r="Z429" t="s">
        <v>38</v>
      </c>
      <c r="AA429" t="s">
        <v>39</v>
      </c>
      <c r="AB429" t="s">
        <v>38</v>
      </c>
      <c r="AC429">
        <v>-1.7000000000000019E-2</v>
      </c>
    </row>
    <row r="430" spans="1:29" x14ac:dyDescent="0.3">
      <c r="A430">
        <v>429</v>
      </c>
      <c r="B430" s="1">
        <v>40562</v>
      </c>
      <c r="C430">
        <v>1</v>
      </c>
      <c r="D430">
        <v>21</v>
      </c>
      <c r="E430" t="b">
        <v>0</v>
      </c>
      <c r="F430">
        <v>3</v>
      </c>
      <c r="G430">
        <v>1</v>
      </c>
      <c r="H430">
        <v>0.32</v>
      </c>
      <c r="I430">
        <v>0.28789999999999999</v>
      </c>
      <c r="J430">
        <v>0.49</v>
      </c>
      <c r="K430">
        <v>0.41789999999999999</v>
      </c>
      <c r="L430">
        <v>4</v>
      </c>
      <c r="M430">
        <v>55</v>
      </c>
      <c r="N430">
        <v>59</v>
      </c>
      <c r="O430" t="s">
        <v>29</v>
      </c>
      <c r="P430" t="s">
        <v>57</v>
      </c>
      <c r="Q430" t="s">
        <v>31</v>
      </c>
      <c r="R430" t="s">
        <v>32</v>
      </c>
      <c r="S430" t="s">
        <v>44</v>
      </c>
      <c r="T430" t="s">
        <v>49</v>
      </c>
      <c r="U430" t="s">
        <v>53</v>
      </c>
      <c r="V430" t="s">
        <v>36</v>
      </c>
      <c r="W430" t="s">
        <v>37</v>
      </c>
      <c r="X430">
        <v>6.7796610169491522</v>
      </c>
      <c r="Y430">
        <v>93.220338983050837</v>
      </c>
      <c r="Z430" t="s">
        <v>38</v>
      </c>
      <c r="AA430" t="s">
        <v>39</v>
      </c>
      <c r="AB430" t="s">
        <v>38</v>
      </c>
      <c r="AC430">
        <v>-3.2100000000000017E-2</v>
      </c>
    </row>
    <row r="431" spans="1:29" x14ac:dyDescent="0.3">
      <c r="A431">
        <v>430</v>
      </c>
      <c r="B431" s="1">
        <v>40562</v>
      </c>
      <c r="C431">
        <v>1</v>
      </c>
      <c r="D431">
        <v>22</v>
      </c>
      <c r="E431" t="b">
        <v>0</v>
      </c>
      <c r="F431">
        <v>3</v>
      </c>
      <c r="G431">
        <v>1</v>
      </c>
      <c r="H431">
        <v>0.3</v>
      </c>
      <c r="I431">
        <v>0.30299999999999999</v>
      </c>
      <c r="J431">
        <v>0.52</v>
      </c>
      <c r="K431">
        <v>0.16420000000000001</v>
      </c>
      <c r="L431">
        <v>6</v>
      </c>
      <c r="M431">
        <v>53</v>
      </c>
      <c r="N431">
        <v>59</v>
      </c>
      <c r="O431" t="s">
        <v>29</v>
      </c>
      <c r="P431" t="s">
        <v>57</v>
      </c>
      <c r="Q431" t="s">
        <v>31</v>
      </c>
      <c r="R431" t="s">
        <v>32</v>
      </c>
      <c r="S431" t="s">
        <v>44</v>
      </c>
      <c r="T431" t="s">
        <v>49</v>
      </c>
      <c r="U431" t="s">
        <v>46</v>
      </c>
      <c r="V431" t="s">
        <v>36</v>
      </c>
      <c r="W431" t="s">
        <v>37</v>
      </c>
      <c r="X431">
        <v>10.16949152542373</v>
      </c>
      <c r="Y431">
        <v>89.830508474576277</v>
      </c>
      <c r="Z431" t="s">
        <v>38</v>
      </c>
      <c r="AA431" t="s">
        <v>39</v>
      </c>
      <c r="AB431" t="s">
        <v>38</v>
      </c>
      <c r="AC431">
        <v>3.0000000000000031E-3</v>
      </c>
    </row>
    <row r="432" spans="1:29" x14ac:dyDescent="0.3">
      <c r="A432">
        <v>431</v>
      </c>
      <c r="B432" s="1">
        <v>40562</v>
      </c>
      <c r="C432">
        <v>1</v>
      </c>
      <c r="D432">
        <v>23</v>
      </c>
      <c r="E432" t="b">
        <v>0</v>
      </c>
      <c r="F432">
        <v>3</v>
      </c>
      <c r="G432">
        <v>1</v>
      </c>
      <c r="H432">
        <v>0.3</v>
      </c>
      <c r="I432">
        <v>0.2727</v>
      </c>
      <c r="J432">
        <v>0.52</v>
      </c>
      <c r="K432">
        <v>0.4627</v>
      </c>
      <c r="L432">
        <v>1</v>
      </c>
      <c r="M432">
        <v>27</v>
      </c>
      <c r="N432">
        <v>28</v>
      </c>
      <c r="O432" t="s">
        <v>29</v>
      </c>
      <c r="P432" t="s">
        <v>57</v>
      </c>
      <c r="Q432" t="s">
        <v>31</v>
      </c>
      <c r="R432" t="s">
        <v>32</v>
      </c>
      <c r="S432" t="s">
        <v>44</v>
      </c>
      <c r="T432" t="s">
        <v>49</v>
      </c>
      <c r="U432" t="s">
        <v>53</v>
      </c>
      <c r="V432" t="s">
        <v>36</v>
      </c>
      <c r="W432" t="s">
        <v>37</v>
      </c>
      <c r="X432">
        <v>3.5714285714285712</v>
      </c>
      <c r="Y432">
        <v>96.428571428571431</v>
      </c>
      <c r="Z432" t="s">
        <v>38</v>
      </c>
      <c r="AA432" t="s">
        <v>39</v>
      </c>
      <c r="AB432" t="s">
        <v>38</v>
      </c>
      <c r="AC432">
        <v>-2.7299999999999991E-2</v>
      </c>
    </row>
    <row r="433" spans="1:29" x14ac:dyDescent="0.3">
      <c r="A433">
        <v>432</v>
      </c>
      <c r="B433" s="1">
        <v>40563</v>
      </c>
      <c r="C433">
        <v>1</v>
      </c>
      <c r="D433">
        <v>0</v>
      </c>
      <c r="E433" t="b">
        <v>0</v>
      </c>
      <c r="F433">
        <v>4</v>
      </c>
      <c r="G433">
        <v>1</v>
      </c>
      <c r="H433">
        <v>0.26</v>
      </c>
      <c r="I433">
        <v>0.2273</v>
      </c>
      <c r="J433">
        <v>0.56000000000000005</v>
      </c>
      <c r="K433">
        <v>0.3881</v>
      </c>
      <c r="L433">
        <v>5</v>
      </c>
      <c r="M433">
        <v>8</v>
      </c>
      <c r="N433">
        <v>13</v>
      </c>
      <c r="O433" t="s">
        <v>29</v>
      </c>
      <c r="P433" t="s">
        <v>58</v>
      </c>
      <c r="Q433" t="s">
        <v>31</v>
      </c>
      <c r="R433" t="s">
        <v>32</v>
      </c>
      <c r="S433" t="s">
        <v>44</v>
      </c>
      <c r="T433" t="s">
        <v>49</v>
      </c>
      <c r="U433" t="s">
        <v>53</v>
      </c>
      <c r="V433" t="s">
        <v>36</v>
      </c>
      <c r="W433" t="s">
        <v>37</v>
      </c>
      <c r="X433">
        <v>38.461538461538467</v>
      </c>
      <c r="Y433">
        <v>61.53846153846154</v>
      </c>
      <c r="Z433" t="s">
        <v>38</v>
      </c>
      <c r="AA433" t="s">
        <v>39</v>
      </c>
      <c r="AB433" t="s">
        <v>38</v>
      </c>
      <c r="AC433">
        <v>-3.2700000000000007E-2</v>
      </c>
    </row>
    <row r="434" spans="1:29" x14ac:dyDescent="0.3">
      <c r="A434">
        <v>433</v>
      </c>
      <c r="B434" s="1">
        <v>40563</v>
      </c>
      <c r="C434">
        <v>1</v>
      </c>
      <c r="D434">
        <v>1</v>
      </c>
      <c r="E434" t="b">
        <v>0</v>
      </c>
      <c r="F434">
        <v>4</v>
      </c>
      <c r="G434">
        <v>1</v>
      </c>
      <c r="H434">
        <v>0.26</v>
      </c>
      <c r="I434">
        <v>0.2727</v>
      </c>
      <c r="J434">
        <v>0.56000000000000005</v>
      </c>
      <c r="K434">
        <v>0</v>
      </c>
      <c r="L434">
        <v>2</v>
      </c>
      <c r="M434">
        <v>3</v>
      </c>
      <c r="N434">
        <v>5</v>
      </c>
      <c r="O434" t="s">
        <v>29</v>
      </c>
      <c r="P434" t="s">
        <v>58</v>
      </c>
      <c r="Q434" t="s">
        <v>31</v>
      </c>
      <c r="R434" t="s">
        <v>32</v>
      </c>
      <c r="S434" t="s">
        <v>44</v>
      </c>
      <c r="T434" t="s">
        <v>49</v>
      </c>
      <c r="U434" t="s">
        <v>35</v>
      </c>
      <c r="V434" t="s">
        <v>36</v>
      </c>
      <c r="W434" t="s">
        <v>37</v>
      </c>
      <c r="X434">
        <v>40</v>
      </c>
      <c r="Y434">
        <v>60</v>
      </c>
      <c r="Z434" t="s">
        <v>38</v>
      </c>
      <c r="AA434" t="s">
        <v>39</v>
      </c>
      <c r="AB434" t="s">
        <v>38</v>
      </c>
      <c r="AC434">
        <v>1.2699999999999991E-2</v>
      </c>
    </row>
    <row r="435" spans="1:29" x14ac:dyDescent="0.3">
      <c r="A435">
        <v>434</v>
      </c>
      <c r="B435" s="1">
        <v>40563</v>
      </c>
      <c r="C435">
        <v>1</v>
      </c>
      <c r="D435">
        <v>2</v>
      </c>
      <c r="E435" t="b">
        <v>0</v>
      </c>
      <c r="F435">
        <v>4</v>
      </c>
      <c r="G435">
        <v>1</v>
      </c>
      <c r="H435">
        <v>0.26</v>
      </c>
      <c r="I435">
        <v>0.2727</v>
      </c>
      <c r="J435">
        <v>0.56000000000000005</v>
      </c>
      <c r="K435">
        <v>0</v>
      </c>
      <c r="L435">
        <v>0</v>
      </c>
      <c r="M435">
        <v>2</v>
      </c>
      <c r="N435">
        <v>2</v>
      </c>
      <c r="O435" t="s">
        <v>29</v>
      </c>
      <c r="P435" t="s">
        <v>58</v>
      </c>
      <c r="Q435" t="s">
        <v>31</v>
      </c>
      <c r="R435" t="s">
        <v>32</v>
      </c>
      <c r="S435" t="s">
        <v>44</v>
      </c>
      <c r="T435" t="s">
        <v>49</v>
      </c>
      <c r="U435" t="s">
        <v>35</v>
      </c>
      <c r="V435" t="s">
        <v>36</v>
      </c>
      <c r="W435" t="s">
        <v>37</v>
      </c>
      <c r="X435">
        <v>0</v>
      </c>
      <c r="Y435">
        <v>100</v>
      </c>
      <c r="Z435" t="s">
        <v>38</v>
      </c>
      <c r="AA435" t="s">
        <v>39</v>
      </c>
      <c r="AB435" t="s">
        <v>38</v>
      </c>
      <c r="AC435">
        <v>1.2699999999999991E-2</v>
      </c>
    </row>
    <row r="436" spans="1:29" x14ac:dyDescent="0.3">
      <c r="A436">
        <v>435</v>
      </c>
      <c r="B436" s="1">
        <v>40563</v>
      </c>
      <c r="C436">
        <v>1</v>
      </c>
      <c r="D436">
        <v>3</v>
      </c>
      <c r="E436" t="b">
        <v>0</v>
      </c>
      <c r="F436">
        <v>4</v>
      </c>
      <c r="G436">
        <v>1</v>
      </c>
      <c r="H436">
        <v>0.26</v>
      </c>
      <c r="I436">
        <v>0.2576</v>
      </c>
      <c r="J436">
        <v>0.56000000000000005</v>
      </c>
      <c r="K436">
        <v>0.16420000000000001</v>
      </c>
      <c r="L436">
        <v>0</v>
      </c>
      <c r="M436">
        <v>1</v>
      </c>
      <c r="N436">
        <v>1</v>
      </c>
      <c r="O436" t="s">
        <v>29</v>
      </c>
      <c r="P436" t="s">
        <v>58</v>
      </c>
      <c r="Q436" t="s">
        <v>31</v>
      </c>
      <c r="R436" t="s">
        <v>32</v>
      </c>
      <c r="S436" t="s">
        <v>44</v>
      </c>
      <c r="T436" t="s">
        <v>49</v>
      </c>
      <c r="U436" t="s">
        <v>46</v>
      </c>
      <c r="V436" t="s">
        <v>36</v>
      </c>
      <c r="W436" t="s">
        <v>37</v>
      </c>
      <c r="X436">
        <v>0</v>
      </c>
      <c r="Y436">
        <v>100</v>
      </c>
      <c r="Z436" t="s">
        <v>38</v>
      </c>
      <c r="AA436" t="s">
        <v>39</v>
      </c>
      <c r="AB436" t="s">
        <v>38</v>
      </c>
      <c r="AC436">
        <v>-2.4000000000000128E-3</v>
      </c>
    </row>
    <row r="437" spans="1:29" x14ac:dyDescent="0.3">
      <c r="A437">
        <v>436</v>
      </c>
      <c r="B437" s="1">
        <v>40563</v>
      </c>
      <c r="C437">
        <v>1</v>
      </c>
      <c r="D437">
        <v>4</v>
      </c>
      <c r="E437" t="b">
        <v>0</v>
      </c>
      <c r="F437">
        <v>4</v>
      </c>
      <c r="G437">
        <v>1</v>
      </c>
      <c r="H437">
        <v>0.26</v>
      </c>
      <c r="I437">
        <v>0.2576</v>
      </c>
      <c r="J437">
        <v>0.56000000000000005</v>
      </c>
      <c r="K437">
        <v>0.16420000000000001</v>
      </c>
      <c r="L437">
        <v>0</v>
      </c>
      <c r="M437">
        <v>1</v>
      </c>
      <c r="N437">
        <v>1</v>
      </c>
      <c r="O437" t="s">
        <v>29</v>
      </c>
      <c r="P437" t="s">
        <v>58</v>
      </c>
      <c r="Q437" t="s">
        <v>31</v>
      </c>
      <c r="R437" t="s">
        <v>32</v>
      </c>
      <c r="S437" t="s">
        <v>44</v>
      </c>
      <c r="T437" t="s">
        <v>49</v>
      </c>
      <c r="U437" t="s">
        <v>46</v>
      </c>
      <c r="V437" t="s">
        <v>36</v>
      </c>
      <c r="W437" t="s">
        <v>37</v>
      </c>
      <c r="X437">
        <v>0</v>
      </c>
      <c r="Y437">
        <v>100</v>
      </c>
      <c r="Z437" t="s">
        <v>38</v>
      </c>
      <c r="AA437" t="s">
        <v>39</v>
      </c>
      <c r="AB437" t="s">
        <v>38</v>
      </c>
      <c r="AC437">
        <v>-2.4000000000000128E-3</v>
      </c>
    </row>
    <row r="438" spans="1:29" x14ac:dyDescent="0.3">
      <c r="A438">
        <v>437</v>
      </c>
      <c r="B438" s="1">
        <v>40563</v>
      </c>
      <c r="C438">
        <v>1</v>
      </c>
      <c r="D438">
        <v>5</v>
      </c>
      <c r="E438" t="b">
        <v>0</v>
      </c>
      <c r="F438">
        <v>4</v>
      </c>
      <c r="G438">
        <v>1</v>
      </c>
      <c r="H438">
        <v>0.24</v>
      </c>
      <c r="I438">
        <v>0.2273</v>
      </c>
      <c r="J438">
        <v>0.6</v>
      </c>
      <c r="K438">
        <v>0.22389999999999999</v>
      </c>
      <c r="L438">
        <v>0</v>
      </c>
      <c r="M438">
        <v>6</v>
      </c>
      <c r="N438">
        <v>6</v>
      </c>
      <c r="O438" t="s">
        <v>29</v>
      </c>
      <c r="P438" t="s">
        <v>58</v>
      </c>
      <c r="Q438" t="s">
        <v>31</v>
      </c>
      <c r="R438" t="s">
        <v>32</v>
      </c>
      <c r="S438" t="s">
        <v>33</v>
      </c>
      <c r="T438" t="s">
        <v>49</v>
      </c>
      <c r="U438" t="s">
        <v>46</v>
      </c>
      <c r="V438" t="s">
        <v>36</v>
      </c>
      <c r="W438" t="s">
        <v>37</v>
      </c>
      <c r="X438">
        <v>0</v>
      </c>
      <c r="Y438">
        <v>100</v>
      </c>
      <c r="Z438" t="s">
        <v>38</v>
      </c>
      <c r="AA438" t="s">
        <v>39</v>
      </c>
      <c r="AB438" t="s">
        <v>38</v>
      </c>
      <c r="AC438">
        <v>-1.2699999999999991E-2</v>
      </c>
    </row>
    <row r="439" spans="1:29" x14ac:dyDescent="0.3">
      <c r="A439">
        <v>438</v>
      </c>
      <c r="B439" s="1">
        <v>40563</v>
      </c>
      <c r="C439">
        <v>1</v>
      </c>
      <c r="D439">
        <v>6</v>
      </c>
      <c r="E439" t="b">
        <v>0</v>
      </c>
      <c r="F439">
        <v>4</v>
      </c>
      <c r="G439">
        <v>1</v>
      </c>
      <c r="H439">
        <v>0.22</v>
      </c>
      <c r="I439">
        <v>0.21210000000000001</v>
      </c>
      <c r="J439">
        <v>0.6</v>
      </c>
      <c r="K439">
        <v>0.22389999999999999</v>
      </c>
      <c r="L439">
        <v>0</v>
      </c>
      <c r="M439">
        <v>35</v>
      </c>
      <c r="N439">
        <v>35</v>
      </c>
      <c r="O439" t="s">
        <v>29</v>
      </c>
      <c r="P439" t="s">
        <v>58</v>
      </c>
      <c r="Q439" t="s">
        <v>31</v>
      </c>
      <c r="R439" t="s">
        <v>42</v>
      </c>
      <c r="S439" t="s">
        <v>33</v>
      </c>
      <c r="T439" t="s">
        <v>49</v>
      </c>
      <c r="U439" t="s">
        <v>46</v>
      </c>
      <c r="V439" t="s">
        <v>36</v>
      </c>
      <c r="W439" t="s">
        <v>37</v>
      </c>
      <c r="X439">
        <v>0</v>
      </c>
      <c r="Y439">
        <v>100</v>
      </c>
      <c r="Z439" t="s">
        <v>38</v>
      </c>
      <c r="AA439" t="s">
        <v>39</v>
      </c>
      <c r="AB439" t="s">
        <v>38</v>
      </c>
      <c r="AC439">
        <v>-7.8999999999999904E-3</v>
      </c>
    </row>
    <row r="440" spans="1:29" x14ac:dyDescent="0.3">
      <c r="A440">
        <v>439</v>
      </c>
      <c r="B440" s="1">
        <v>40563</v>
      </c>
      <c r="C440">
        <v>1</v>
      </c>
      <c r="D440">
        <v>7</v>
      </c>
      <c r="E440" t="b">
        <v>0</v>
      </c>
      <c r="F440">
        <v>4</v>
      </c>
      <c r="G440">
        <v>1</v>
      </c>
      <c r="H440">
        <v>0.22</v>
      </c>
      <c r="I440">
        <v>0.21210000000000001</v>
      </c>
      <c r="J440">
        <v>0.55000000000000004</v>
      </c>
      <c r="K440">
        <v>0.22389999999999999</v>
      </c>
      <c r="L440">
        <v>1</v>
      </c>
      <c r="M440">
        <v>100</v>
      </c>
      <c r="N440">
        <v>101</v>
      </c>
      <c r="O440" t="s">
        <v>29</v>
      </c>
      <c r="P440" t="s">
        <v>58</v>
      </c>
      <c r="Q440" t="s">
        <v>31</v>
      </c>
      <c r="R440" t="s">
        <v>42</v>
      </c>
      <c r="S440" t="s">
        <v>33</v>
      </c>
      <c r="T440" t="s">
        <v>49</v>
      </c>
      <c r="U440" t="s">
        <v>46</v>
      </c>
      <c r="V440" t="s">
        <v>36</v>
      </c>
      <c r="W440" t="s">
        <v>37</v>
      </c>
      <c r="X440">
        <v>0.99009900990099009</v>
      </c>
      <c r="Y440">
        <v>99.009900990099013</v>
      </c>
      <c r="Z440" t="s">
        <v>40</v>
      </c>
      <c r="AA440" t="s">
        <v>49</v>
      </c>
      <c r="AB440" t="s">
        <v>38</v>
      </c>
      <c r="AC440">
        <v>-7.8999999999999904E-3</v>
      </c>
    </row>
    <row r="441" spans="1:29" x14ac:dyDescent="0.3">
      <c r="A441">
        <v>440</v>
      </c>
      <c r="B441" s="1">
        <v>40563</v>
      </c>
      <c r="C441">
        <v>1</v>
      </c>
      <c r="D441">
        <v>8</v>
      </c>
      <c r="E441" t="b">
        <v>0</v>
      </c>
      <c r="F441">
        <v>4</v>
      </c>
      <c r="G441">
        <v>1</v>
      </c>
      <c r="H441">
        <v>0.22</v>
      </c>
      <c r="I441">
        <v>0.21210000000000001</v>
      </c>
      <c r="J441">
        <v>0.55000000000000004</v>
      </c>
      <c r="K441">
        <v>0.28360000000000002</v>
      </c>
      <c r="L441">
        <v>2</v>
      </c>
      <c r="M441">
        <v>247</v>
      </c>
      <c r="N441">
        <v>249</v>
      </c>
      <c r="O441" t="s">
        <v>29</v>
      </c>
      <c r="P441" t="s">
        <v>58</v>
      </c>
      <c r="Q441" t="s">
        <v>31</v>
      </c>
      <c r="R441" t="s">
        <v>42</v>
      </c>
      <c r="S441" t="s">
        <v>33</v>
      </c>
      <c r="T441" t="s">
        <v>49</v>
      </c>
      <c r="U441" t="s">
        <v>46</v>
      </c>
      <c r="V441" t="s">
        <v>36</v>
      </c>
      <c r="W441" t="s">
        <v>37</v>
      </c>
      <c r="X441">
        <v>0.80321285140562237</v>
      </c>
      <c r="Y441">
        <v>99.196787148594382</v>
      </c>
      <c r="Z441" t="s">
        <v>40</v>
      </c>
      <c r="AA441" t="s">
        <v>49</v>
      </c>
      <c r="AB441" t="s">
        <v>38</v>
      </c>
      <c r="AC441">
        <v>-7.8999999999999904E-3</v>
      </c>
    </row>
    <row r="442" spans="1:29" x14ac:dyDescent="0.3">
      <c r="A442">
        <v>441</v>
      </c>
      <c r="B442" s="1">
        <v>40563</v>
      </c>
      <c r="C442">
        <v>1</v>
      </c>
      <c r="D442">
        <v>9</v>
      </c>
      <c r="E442" t="b">
        <v>0</v>
      </c>
      <c r="F442">
        <v>4</v>
      </c>
      <c r="G442">
        <v>2</v>
      </c>
      <c r="H442">
        <v>0.24</v>
      </c>
      <c r="I442">
        <v>0.2273</v>
      </c>
      <c r="J442">
        <v>0.52</v>
      </c>
      <c r="K442">
        <v>0.22389999999999999</v>
      </c>
      <c r="L442">
        <v>3</v>
      </c>
      <c r="M442">
        <v>140</v>
      </c>
      <c r="N442">
        <v>143</v>
      </c>
      <c r="O442" t="s">
        <v>29</v>
      </c>
      <c r="P442" t="s">
        <v>58</v>
      </c>
      <c r="Q442" t="s">
        <v>41</v>
      </c>
      <c r="R442" t="s">
        <v>42</v>
      </c>
      <c r="S442" t="s">
        <v>33</v>
      </c>
      <c r="T442" t="s">
        <v>49</v>
      </c>
      <c r="U442" t="s">
        <v>46</v>
      </c>
      <c r="V442" t="s">
        <v>36</v>
      </c>
      <c r="W442" t="s">
        <v>37</v>
      </c>
      <c r="X442">
        <v>2.0979020979020979</v>
      </c>
      <c r="Y442">
        <v>97.902097902097907</v>
      </c>
      <c r="Z442" t="s">
        <v>40</v>
      </c>
      <c r="AA442" t="s">
        <v>49</v>
      </c>
      <c r="AB442" t="s">
        <v>38</v>
      </c>
      <c r="AC442">
        <v>-1.2699999999999991E-2</v>
      </c>
    </row>
    <row r="443" spans="1:29" x14ac:dyDescent="0.3">
      <c r="A443">
        <v>442</v>
      </c>
      <c r="B443" s="1">
        <v>40563</v>
      </c>
      <c r="C443">
        <v>1</v>
      </c>
      <c r="D443">
        <v>10</v>
      </c>
      <c r="E443" t="b">
        <v>0</v>
      </c>
      <c r="F443">
        <v>4</v>
      </c>
      <c r="G443">
        <v>1</v>
      </c>
      <c r="H443">
        <v>0.26</v>
      </c>
      <c r="I443">
        <v>0.2273</v>
      </c>
      <c r="J443">
        <v>0.48</v>
      </c>
      <c r="K443">
        <v>0.29849999999999999</v>
      </c>
      <c r="L443">
        <v>1</v>
      </c>
      <c r="M443">
        <v>56</v>
      </c>
      <c r="N443">
        <v>57</v>
      </c>
      <c r="O443" t="s">
        <v>29</v>
      </c>
      <c r="P443" t="s">
        <v>58</v>
      </c>
      <c r="Q443" t="s">
        <v>31</v>
      </c>
      <c r="R443" t="s">
        <v>42</v>
      </c>
      <c r="S443" t="s">
        <v>44</v>
      </c>
      <c r="T443" t="s">
        <v>49</v>
      </c>
      <c r="U443" t="s">
        <v>46</v>
      </c>
      <c r="V443" t="s">
        <v>36</v>
      </c>
      <c r="W443" t="s">
        <v>37</v>
      </c>
      <c r="X443">
        <v>1.754385964912281</v>
      </c>
      <c r="Y443">
        <v>98.245614035087712</v>
      </c>
      <c r="Z443" t="s">
        <v>38</v>
      </c>
      <c r="AA443" t="s">
        <v>39</v>
      </c>
      <c r="AB443" t="s">
        <v>38</v>
      </c>
      <c r="AC443">
        <v>-3.2700000000000007E-2</v>
      </c>
    </row>
    <row r="444" spans="1:29" x14ac:dyDescent="0.3">
      <c r="A444">
        <v>443</v>
      </c>
      <c r="B444" s="1">
        <v>40563</v>
      </c>
      <c r="C444">
        <v>1</v>
      </c>
      <c r="D444">
        <v>11</v>
      </c>
      <c r="E444" t="b">
        <v>0</v>
      </c>
      <c r="F444">
        <v>4</v>
      </c>
      <c r="G444">
        <v>2</v>
      </c>
      <c r="H444">
        <v>0.28000000000000003</v>
      </c>
      <c r="I444">
        <v>0.2727</v>
      </c>
      <c r="J444">
        <v>0.45</v>
      </c>
      <c r="K444">
        <v>0.16420000000000001</v>
      </c>
      <c r="L444">
        <v>5</v>
      </c>
      <c r="M444">
        <v>63</v>
      </c>
      <c r="N444">
        <v>68</v>
      </c>
      <c r="O444" t="s">
        <v>29</v>
      </c>
      <c r="P444" t="s">
        <v>58</v>
      </c>
      <c r="Q444" t="s">
        <v>41</v>
      </c>
      <c r="R444" t="s">
        <v>42</v>
      </c>
      <c r="S444" t="s">
        <v>44</v>
      </c>
      <c r="T444" t="s">
        <v>49</v>
      </c>
      <c r="U444" t="s">
        <v>46</v>
      </c>
      <c r="V444" t="s">
        <v>36</v>
      </c>
      <c r="W444" t="s">
        <v>37</v>
      </c>
      <c r="X444">
        <v>7.3529411764705888</v>
      </c>
      <c r="Y444">
        <v>92.64705882352942</v>
      </c>
      <c r="Z444" t="s">
        <v>38</v>
      </c>
      <c r="AA444" t="s">
        <v>39</v>
      </c>
      <c r="AB444" t="s">
        <v>38</v>
      </c>
      <c r="AC444">
        <v>-7.3000000000000287E-3</v>
      </c>
    </row>
    <row r="445" spans="1:29" x14ac:dyDescent="0.3">
      <c r="A445">
        <v>444</v>
      </c>
      <c r="B445" s="1">
        <v>40563</v>
      </c>
      <c r="C445">
        <v>1</v>
      </c>
      <c r="D445">
        <v>12</v>
      </c>
      <c r="E445" t="b">
        <v>0</v>
      </c>
      <c r="F445">
        <v>4</v>
      </c>
      <c r="G445">
        <v>2</v>
      </c>
      <c r="H445">
        <v>0.3</v>
      </c>
      <c r="I445">
        <v>0.33329999999999999</v>
      </c>
      <c r="J445">
        <v>0.42</v>
      </c>
      <c r="K445">
        <v>0</v>
      </c>
      <c r="L445">
        <v>7</v>
      </c>
      <c r="M445">
        <v>77</v>
      </c>
      <c r="N445">
        <v>84</v>
      </c>
      <c r="O445" t="s">
        <v>29</v>
      </c>
      <c r="P445" t="s">
        <v>58</v>
      </c>
      <c r="Q445" t="s">
        <v>41</v>
      </c>
      <c r="R445" t="s">
        <v>47</v>
      </c>
      <c r="S445" t="s">
        <v>44</v>
      </c>
      <c r="T445" t="s">
        <v>49</v>
      </c>
      <c r="U445" t="s">
        <v>35</v>
      </c>
      <c r="V445" t="s">
        <v>36</v>
      </c>
      <c r="W445" t="s">
        <v>37</v>
      </c>
      <c r="X445">
        <v>8.3333333333333321</v>
      </c>
      <c r="Y445">
        <v>91.666666666666657</v>
      </c>
      <c r="Z445" t="s">
        <v>38</v>
      </c>
      <c r="AA445" t="s">
        <v>39</v>
      </c>
      <c r="AB445" t="s">
        <v>38</v>
      </c>
      <c r="AC445">
        <v>3.3300000000000003E-2</v>
      </c>
    </row>
    <row r="446" spans="1:29" x14ac:dyDescent="0.3">
      <c r="A446">
        <v>445</v>
      </c>
      <c r="B446" s="1">
        <v>40563</v>
      </c>
      <c r="C446">
        <v>1</v>
      </c>
      <c r="D446">
        <v>13</v>
      </c>
      <c r="E446" t="b">
        <v>0</v>
      </c>
      <c r="F446">
        <v>4</v>
      </c>
      <c r="G446">
        <v>2</v>
      </c>
      <c r="H446">
        <v>0.28000000000000003</v>
      </c>
      <c r="I446">
        <v>0.28789999999999999</v>
      </c>
      <c r="J446">
        <v>0.45</v>
      </c>
      <c r="K446">
        <v>0.1045</v>
      </c>
      <c r="L446">
        <v>12</v>
      </c>
      <c r="M446">
        <v>86</v>
      </c>
      <c r="N446">
        <v>98</v>
      </c>
      <c r="O446" t="s">
        <v>29</v>
      </c>
      <c r="P446" t="s">
        <v>58</v>
      </c>
      <c r="Q446" t="s">
        <v>41</v>
      </c>
      <c r="R446" t="s">
        <v>47</v>
      </c>
      <c r="S446" t="s">
        <v>44</v>
      </c>
      <c r="T446" t="s">
        <v>49</v>
      </c>
      <c r="U446" t="s">
        <v>35</v>
      </c>
      <c r="V446" t="s">
        <v>36</v>
      </c>
      <c r="W446" t="s">
        <v>37</v>
      </c>
      <c r="X446">
        <v>12.244897959183669</v>
      </c>
      <c r="Y446">
        <v>87.755102040816325</v>
      </c>
      <c r="Z446" t="s">
        <v>38</v>
      </c>
      <c r="AA446" t="s">
        <v>39</v>
      </c>
      <c r="AB446" t="s">
        <v>38</v>
      </c>
      <c r="AC446">
        <v>7.8999999999999626E-3</v>
      </c>
    </row>
    <row r="447" spans="1:29" x14ac:dyDescent="0.3">
      <c r="A447">
        <v>446</v>
      </c>
      <c r="B447" s="1">
        <v>40563</v>
      </c>
      <c r="C447">
        <v>1</v>
      </c>
      <c r="D447">
        <v>14</v>
      </c>
      <c r="E447" t="b">
        <v>0</v>
      </c>
      <c r="F447">
        <v>4</v>
      </c>
      <c r="G447">
        <v>2</v>
      </c>
      <c r="H447">
        <v>0.3</v>
      </c>
      <c r="I447">
        <v>0.30299999999999999</v>
      </c>
      <c r="J447">
        <v>0.45</v>
      </c>
      <c r="K447">
        <v>0.1343</v>
      </c>
      <c r="L447">
        <v>6</v>
      </c>
      <c r="M447">
        <v>75</v>
      </c>
      <c r="N447">
        <v>81</v>
      </c>
      <c r="O447" t="s">
        <v>29</v>
      </c>
      <c r="P447" t="s">
        <v>58</v>
      </c>
      <c r="Q447" t="s">
        <v>41</v>
      </c>
      <c r="R447" t="s">
        <v>47</v>
      </c>
      <c r="S447" t="s">
        <v>44</v>
      </c>
      <c r="T447" t="s">
        <v>49</v>
      </c>
      <c r="U447" t="s">
        <v>35</v>
      </c>
      <c r="V447" t="s">
        <v>36</v>
      </c>
      <c r="W447" t="s">
        <v>37</v>
      </c>
      <c r="X447">
        <v>7.4074074074074074</v>
      </c>
      <c r="Y447">
        <v>92.592592592592595</v>
      </c>
      <c r="Z447" t="s">
        <v>38</v>
      </c>
      <c r="AA447" t="s">
        <v>39</v>
      </c>
      <c r="AB447" t="s">
        <v>38</v>
      </c>
      <c r="AC447">
        <v>3.0000000000000031E-3</v>
      </c>
    </row>
    <row r="448" spans="1:29" x14ac:dyDescent="0.3">
      <c r="A448">
        <v>447</v>
      </c>
      <c r="B448" s="1">
        <v>40563</v>
      </c>
      <c r="C448">
        <v>1</v>
      </c>
      <c r="D448">
        <v>15</v>
      </c>
      <c r="E448" t="b">
        <v>0</v>
      </c>
      <c r="F448">
        <v>4</v>
      </c>
      <c r="G448">
        <v>2</v>
      </c>
      <c r="H448">
        <v>0.32</v>
      </c>
      <c r="I448">
        <v>0.31819999999999998</v>
      </c>
      <c r="J448">
        <v>0.45</v>
      </c>
      <c r="K448">
        <v>0.19400000000000001</v>
      </c>
      <c r="L448">
        <v>8</v>
      </c>
      <c r="M448">
        <v>62</v>
      </c>
      <c r="N448">
        <v>70</v>
      </c>
      <c r="O448" t="s">
        <v>29</v>
      </c>
      <c r="P448" t="s">
        <v>58</v>
      </c>
      <c r="Q448" t="s">
        <v>41</v>
      </c>
      <c r="R448" t="s">
        <v>47</v>
      </c>
      <c r="S448" t="s">
        <v>44</v>
      </c>
      <c r="T448" t="s">
        <v>49</v>
      </c>
      <c r="U448" t="s">
        <v>46</v>
      </c>
      <c r="V448" t="s">
        <v>36</v>
      </c>
      <c r="W448" t="s">
        <v>37</v>
      </c>
      <c r="X448">
        <v>11.428571428571431</v>
      </c>
      <c r="Y448">
        <v>88.571428571428569</v>
      </c>
      <c r="Z448" t="s">
        <v>38</v>
      </c>
      <c r="AA448" t="s">
        <v>39</v>
      </c>
      <c r="AB448" t="s">
        <v>38</v>
      </c>
      <c r="AC448">
        <v>-1.800000000000024E-3</v>
      </c>
    </row>
    <row r="449" spans="1:29" x14ac:dyDescent="0.3">
      <c r="A449">
        <v>448</v>
      </c>
      <c r="B449" s="1">
        <v>40563</v>
      </c>
      <c r="C449">
        <v>1</v>
      </c>
      <c r="D449">
        <v>16</v>
      </c>
      <c r="E449" t="b">
        <v>0</v>
      </c>
      <c r="F449">
        <v>4</v>
      </c>
      <c r="G449">
        <v>2</v>
      </c>
      <c r="H449">
        <v>0.3</v>
      </c>
      <c r="I449">
        <v>0.30299999999999999</v>
      </c>
      <c r="J449">
        <v>0.49</v>
      </c>
      <c r="K449">
        <v>0.1343</v>
      </c>
      <c r="L449">
        <v>8</v>
      </c>
      <c r="M449">
        <v>83</v>
      </c>
      <c r="N449">
        <v>91</v>
      </c>
      <c r="O449" t="s">
        <v>29</v>
      </c>
      <c r="P449" t="s">
        <v>58</v>
      </c>
      <c r="Q449" t="s">
        <v>41</v>
      </c>
      <c r="R449" t="s">
        <v>47</v>
      </c>
      <c r="S449" t="s">
        <v>44</v>
      </c>
      <c r="T449" t="s">
        <v>49</v>
      </c>
      <c r="U449" t="s">
        <v>35</v>
      </c>
      <c r="V449" t="s">
        <v>36</v>
      </c>
      <c r="W449" t="s">
        <v>37</v>
      </c>
      <c r="X449">
        <v>8.791208791208792</v>
      </c>
      <c r="Y449">
        <v>91.208791208791212</v>
      </c>
      <c r="Z449" t="s">
        <v>38</v>
      </c>
      <c r="AA449" t="s">
        <v>39</v>
      </c>
      <c r="AB449" t="s">
        <v>38</v>
      </c>
      <c r="AC449">
        <v>3.0000000000000031E-3</v>
      </c>
    </row>
    <row r="450" spans="1:29" x14ac:dyDescent="0.3">
      <c r="A450">
        <v>449</v>
      </c>
      <c r="B450" s="1">
        <v>40563</v>
      </c>
      <c r="C450">
        <v>1</v>
      </c>
      <c r="D450">
        <v>17</v>
      </c>
      <c r="E450" t="b">
        <v>0</v>
      </c>
      <c r="F450">
        <v>4</v>
      </c>
      <c r="G450">
        <v>2</v>
      </c>
      <c r="H450">
        <v>0.3</v>
      </c>
      <c r="I450">
        <v>0.31819999999999998</v>
      </c>
      <c r="J450">
        <v>0.49</v>
      </c>
      <c r="K450">
        <v>0.1045</v>
      </c>
      <c r="L450">
        <v>8</v>
      </c>
      <c r="M450">
        <v>207</v>
      </c>
      <c r="N450">
        <v>215</v>
      </c>
      <c r="O450" t="s">
        <v>29</v>
      </c>
      <c r="P450" t="s">
        <v>58</v>
      </c>
      <c r="Q450" t="s">
        <v>41</v>
      </c>
      <c r="R450" t="s">
        <v>50</v>
      </c>
      <c r="S450" t="s">
        <v>44</v>
      </c>
      <c r="T450" t="s">
        <v>49</v>
      </c>
      <c r="U450" t="s">
        <v>35</v>
      </c>
      <c r="V450" t="s">
        <v>36</v>
      </c>
      <c r="W450" t="s">
        <v>37</v>
      </c>
      <c r="X450">
        <v>3.720930232558139</v>
      </c>
      <c r="Y450">
        <v>96.279069767441854</v>
      </c>
      <c r="Z450" t="s">
        <v>40</v>
      </c>
      <c r="AA450" t="s">
        <v>49</v>
      </c>
      <c r="AB450" t="s">
        <v>38</v>
      </c>
      <c r="AC450">
        <v>1.819999999999999E-2</v>
      </c>
    </row>
    <row r="451" spans="1:29" x14ac:dyDescent="0.3">
      <c r="A451">
        <v>450</v>
      </c>
      <c r="B451" s="1">
        <v>40563</v>
      </c>
      <c r="C451">
        <v>1</v>
      </c>
      <c r="D451">
        <v>18</v>
      </c>
      <c r="E451" t="b">
        <v>0</v>
      </c>
      <c r="F451">
        <v>4</v>
      </c>
      <c r="G451">
        <v>2</v>
      </c>
      <c r="H451">
        <v>0.26</v>
      </c>
      <c r="I451">
        <v>0.2576</v>
      </c>
      <c r="J451">
        <v>0.56000000000000005</v>
      </c>
      <c r="K451">
        <v>0.19400000000000001</v>
      </c>
      <c r="L451">
        <v>1</v>
      </c>
      <c r="M451">
        <v>184</v>
      </c>
      <c r="N451">
        <v>185</v>
      </c>
      <c r="O451" t="s">
        <v>29</v>
      </c>
      <c r="P451" t="s">
        <v>58</v>
      </c>
      <c r="Q451" t="s">
        <v>41</v>
      </c>
      <c r="R451" t="s">
        <v>50</v>
      </c>
      <c r="S451" t="s">
        <v>44</v>
      </c>
      <c r="T451" t="s">
        <v>49</v>
      </c>
      <c r="U451" t="s">
        <v>46</v>
      </c>
      <c r="V451" t="s">
        <v>36</v>
      </c>
      <c r="W451" t="s">
        <v>37</v>
      </c>
      <c r="X451">
        <v>0.54054054054054057</v>
      </c>
      <c r="Y451">
        <v>99.459459459459467</v>
      </c>
      <c r="Z451" t="s">
        <v>40</v>
      </c>
      <c r="AA451" t="s">
        <v>49</v>
      </c>
      <c r="AB451" t="s">
        <v>38</v>
      </c>
      <c r="AC451">
        <v>-2.4000000000000128E-3</v>
      </c>
    </row>
    <row r="452" spans="1:29" x14ac:dyDescent="0.3">
      <c r="A452">
        <v>451</v>
      </c>
      <c r="B452" s="1">
        <v>40563</v>
      </c>
      <c r="C452">
        <v>1</v>
      </c>
      <c r="D452">
        <v>19</v>
      </c>
      <c r="E452" t="b">
        <v>0</v>
      </c>
      <c r="F452">
        <v>4</v>
      </c>
      <c r="G452">
        <v>1</v>
      </c>
      <c r="H452">
        <v>0.26</v>
      </c>
      <c r="I452">
        <v>0.2273</v>
      </c>
      <c r="J452">
        <v>0.56000000000000005</v>
      </c>
      <c r="K452">
        <v>0.32840000000000003</v>
      </c>
      <c r="L452">
        <v>6</v>
      </c>
      <c r="M452">
        <v>146</v>
      </c>
      <c r="N452">
        <v>152</v>
      </c>
      <c r="O452" t="s">
        <v>29</v>
      </c>
      <c r="P452" t="s">
        <v>58</v>
      </c>
      <c r="Q452" t="s">
        <v>31</v>
      </c>
      <c r="R452" t="s">
        <v>50</v>
      </c>
      <c r="S452" t="s">
        <v>44</v>
      </c>
      <c r="T452" t="s">
        <v>49</v>
      </c>
      <c r="U452" t="s">
        <v>53</v>
      </c>
      <c r="V452" t="s">
        <v>36</v>
      </c>
      <c r="W452" t="s">
        <v>37</v>
      </c>
      <c r="X452">
        <v>3.947368421052631</v>
      </c>
      <c r="Y452">
        <v>96.05263157894737</v>
      </c>
      <c r="Z452" t="s">
        <v>40</v>
      </c>
      <c r="AA452" t="s">
        <v>49</v>
      </c>
      <c r="AB452" t="s">
        <v>38</v>
      </c>
      <c r="AC452">
        <v>-3.2700000000000007E-2</v>
      </c>
    </row>
    <row r="453" spans="1:29" x14ac:dyDescent="0.3">
      <c r="A453">
        <v>452</v>
      </c>
      <c r="B453" s="1">
        <v>40563</v>
      </c>
      <c r="C453">
        <v>1</v>
      </c>
      <c r="D453">
        <v>20</v>
      </c>
      <c r="E453" t="b">
        <v>0</v>
      </c>
      <c r="F453">
        <v>4</v>
      </c>
      <c r="G453">
        <v>2</v>
      </c>
      <c r="H453">
        <v>0.26</v>
      </c>
      <c r="I453">
        <v>0.2424</v>
      </c>
      <c r="J453">
        <v>0.6</v>
      </c>
      <c r="K453">
        <v>0.28360000000000002</v>
      </c>
      <c r="L453">
        <v>2</v>
      </c>
      <c r="M453">
        <v>124</v>
      </c>
      <c r="N453">
        <v>126</v>
      </c>
      <c r="O453" t="s">
        <v>29</v>
      </c>
      <c r="P453" t="s">
        <v>58</v>
      </c>
      <c r="Q453" t="s">
        <v>41</v>
      </c>
      <c r="R453" t="s">
        <v>50</v>
      </c>
      <c r="S453" t="s">
        <v>44</v>
      </c>
      <c r="T453" t="s">
        <v>49</v>
      </c>
      <c r="U453" t="s">
        <v>46</v>
      </c>
      <c r="V453" t="s">
        <v>36</v>
      </c>
      <c r="W453" t="s">
        <v>37</v>
      </c>
      <c r="X453">
        <v>1.587301587301587</v>
      </c>
      <c r="Y453">
        <v>98.412698412698404</v>
      </c>
      <c r="Z453" t="s">
        <v>38</v>
      </c>
      <c r="AA453" t="s">
        <v>49</v>
      </c>
      <c r="AB453" t="s">
        <v>38</v>
      </c>
      <c r="AC453">
        <v>-1.7600000000000001E-2</v>
      </c>
    </row>
    <row r="454" spans="1:29" x14ac:dyDescent="0.3">
      <c r="A454">
        <v>453</v>
      </c>
      <c r="B454" s="1">
        <v>40563</v>
      </c>
      <c r="C454">
        <v>1</v>
      </c>
      <c r="D454">
        <v>21</v>
      </c>
      <c r="E454" t="b">
        <v>0</v>
      </c>
      <c r="F454">
        <v>4</v>
      </c>
      <c r="G454">
        <v>2</v>
      </c>
      <c r="H454">
        <v>0.24</v>
      </c>
      <c r="I454">
        <v>0.2273</v>
      </c>
      <c r="J454">
        <v>0.6</v>
      </c>
      <c r="K454">
        <v>0.25369999999999998</v>
      </c>
      <c r="L454">
        <v>3</v>
      </c>
      <c r="M454">
        <v>54</v>
      </c>
      <c r="N454">
        <v>57</v>
      </c>
      <c r="O454" t="s">
        <v>29</v>
      </c>
      <c r="P454" t="s">
        <v>58</v>
      </c>
      <c r="Q454" t="s">
        <v>41</v>
      </c>
      <c r="R454" t="s">
        <v>32</v>
      </c>
      <c r="S454" t="s">
        <v>33</v>
      </c>
      <c r="T454" t="s">
        <v>49</v>
      </c>
      <c r="U454" t="s">
        <v>46</v>
      </c>
      <c r="V454" t="s">
        <v>36</v>
      </c>
      <c r="W454" t="s">
        <v>37</v>
      </c>
      <c r="X454">
        <v>5.2631578947368416</v>
      </c>
      <c r="Y454">
        <v>94.73684210526315</v>
      </c>
      <c r="Z454" t="s">
        <v>38</v>
      </c>
      <c r="AA454" t="s">
        <v>39</v>
      </c>
      <c r="AB454" t="s">
        <v>38</v>
      </c>
      <c r="AC454">
        <v>-1.2699999999999991E-2</v>
      </c>
    </row>
    <row r="455" spans="1:29" x14ac:dyDescent="0.3">
      <c r="A455">
        <v>454</v>
      </c>
      <c r="B455" s="1">
        <v>40563</v>
      </c>
      <c r="C455">
        <v>1</v>
      </c>
      <c r="D455">
        <v>22</v>
      </c>
      <c r="E455" t="b">
        <v>0</v>
      </c>
      <c r="F455">
        <v>4</v>
      </c>
      <c r="G455">
        <v>2</v>
      </c>
      <c r="H455">
        <v>0.24</v>
      </c>
      <c r="I455">
        <v>0.21210000000000001</v>
      </c>
      <c r="J455">
        <v>0.65</v>
      </c>
      <c r="K455">
        <v>0.28360000000000002</v>
      </c>
      <c r="L455">
        <v>0</v>
      </c>
      <c r="M455">
        <v>56</v>
      </c>
      <c r="N455">
        <v>56</v>
      </c>
      <c r="O455" t="s">
        <v>29</v>
      </c>
      <c r="P455" t="s">
        <v>58</v>
      </c>
      <c r="Q455" t="s">
        <v>41</v>
      </c>
      <c r="R455" t="s">
        <v>32</v>
      </c>
      <c r="S455" t="s">
        <v>33</v>
      </c>
      <c r="T455" t="s">
        <v>49</v>
      </c>
      <c r="U455" t="s">
        <v>46</v>
      </c>
      <c r="V455" t="s">
        <v>36</v>
      </c>
      <c r="W455" t="s">
        <v>37</v>
      </c>
      <c r="X455">
        <v>0</v>
      </c>
      <c r="Y455">
        <v>100</v>
      </c>
      <c r="Z455" t="s">
        <v>38</v>
      </c>
      <c r="AA455" t="s">
        <v>39</v>
      </c>
      <c r="AB455" t="s">
        <v>38</v>
      </c>
      <c r="AC455">
        <v>-2.789999999999998E-2</v>
      </c>
    </row>
    <row r="456" spans="1:29" x14ac:dyDescent="0.3">
      <c r="A456">
        <v>455</v>
      </c>
      <c r="B456" s="1">
        <v>40563</v>
      </c>
      <c r="C456">
        <v>1</v>
      </c>
      <c r="D456">
        <v>23</v>
      </c>
      <c r="E456" t="b">
        <v>0</v>
      </c>
      <c r="F456">
        <v>4</v>
      </c>
      <c r="G456">
        <v>2</v>
      </c>
      <c r="H456">
        <v>0.24</v>
      </c>
      <c r="I456">
        <v>0.21210000000000001</v>
      </c>
      <c r="J456">
        <v>0.65</v>
      </c>
      <c r="K456">
        <v>0.32840000000000003</v>
      </c>
      <c r="L456">
        <v>3</v>
      </c>
      <c r="M456">
        <v>28</v>
      </c>
      <c r="N456">
        <v>31</v>
      </c>
      <c r="O456" t="s">
        <v>29</v>
      </c>
      <c r="P456" t="s">
        <v>58</v>
      </c>
      <c r="Q456" t="s">
        <v>41</v>
      </c>
      <c r="R456" t="s">
        <v>32</v>
      </c>
      <c r="S456" t="s">
        <v>33</v>
      </c>
      <c r="T456" t="s">
        <v>49</v>
      </c>
      <c r="U456" t="s">
        <v>53</v>
      </c>
      <c r="V456" t="s">
        <v>36</v>
      </c>
      <c r="W456" t="s">
        <v>37</v>
      </c>
      <c r="X456">
        <v>9.67741935483871</v>
      </c>
      <c r="Y456">
        <v>90.322580645161281</v>
      </c>
      <c r="Z456" t="s">
        <v>38</v>
      </c>
      <c r="AA456" t="s">
        <v>39</v>
      </c>
      <c r="AB456" t="s">
        <v>38</v>
      </c>
      <c r="AC456">
        <v>-2.789999999999998E-2</v>
      </c>
    </row>
    <row r="457" spans="1:29" x14ac:dyDescent="0.3">
      <c r="A457">
        <v>456</v>
      </c>
      <c r="B457" s="1">
        <v>40564</v>
      </c>
      <c r="C457">
        <v>1</v>
      </c>
      <c r="D457">
        <v>0</v>
      </c>
      <c r="E457" t="b">
        <v>0</v>
      </c>
      <c r="F457">
        <v>5</v>
      </c>
      <c r="G457">
        <v>2</v>
      </c>
      <c r="H457">
        <v>0.24</v>
      </c>
      <c r="I457">
        <v>0.2273</v>
      </c>
      <c r="J457">
        <v>0.7</v>
      </c>
      <c r="K457">
        <v>0.25369999999999998</v>
      </c>
      <c r="L457">
        <v>1</v>
      </c>
      <c r="M457">
        <v>20</v>
      </c>
      <c r="N457">
        <v>21</v>
      </c>
      <c r="O457" t="s">
        <v>29</v>
      </c>
      <c r="P457" t="s">
        <v>59</v>
      </c>
      <c r="Q457" t="s">
        <v>41</v>
      </c>
      <c r="R457" t="s">
        <v>32</v>
      </c>
      <c r="S457" t="s">
        <v>33</v>
      </c>
      <c r="T457" t="s">
        <v>34</v>
      </c>
      <c r="U457" t="s">
        <v>46</v>
      </c>
      <c r="V457" t="s">
        <v>36</v>
      </c>
      <c r="W457" t="s">
        <v>37</v>
      </c>
      <c r="X457">
        <v>4.7619047619047619</v>
      </c>
      <c r="Y457">
        <v>95.238095238095227</v>
      </c>
      <c r="Z457" t="s">
        <v>38</v>
      </c>
      <c r="AA457" t="s">
        <v>39</v>
      </c>
      <c r="AB457" t="s">
        <v>38</v>
      </c>
      <c r="AC457">
        <v>-1.2699999999999991E-2</v>
      </c>
    </row>
    <row r="458" spans="1:29" x14ac:dyDescent="0.3">
      <c r="A458">
        <v>457</v>
      </c>
      <c r="B458" s="1">
        <v>40564</v>
      </c>
      <c r="C458">
        <v>1</v>
      </c>
      <c r="D458">
        <v>1</v>
      </c>
      <c r="E458" t="b">
        <v>0</v>
      </c>
      <c r="F458">
        <v>5</v>
      </c>
      <c r="G458">
        <v>2</v>
      </c>
      <c r="H458">
        <v>0.24</v>
      </c>
      <c r="I458">
        <v>0.2273</v>
      </c>
      <c r="J458">
        <v>0.7</v>
      </c>
      <c r="K458">
        <v>0.25369999999999998</v>
      </c>
      <c r="L458">
        <v>0</v>
      </c>
      <c r="M458">
        <v>6</v>
      </c>
      <c r="N458">
        <v>6</v>
      </c>
      <c r="O458" t="s">
        <v>29</v>
      </c>
      <c r="P458" t="s">
        <v>59</v>
      </c>
      <c r="Q458" t="s">
        <v>41</v>
      </c>
      <c r="R458" t="s">
        <v>32</v>
      </c>
      <c r="S458" t="s">
        <v>33</v>
      </c>
      <c r="T458" t="s">
        <v>34</v>
      </c>
      <c r="U458" t="s">
        <v>46</v>
      </c>
      <c r="V458" t="s">
        <v>36</v>
      </c>
      <c r="W458" t="s">
        <v>37</v>
      </c>
      <c r="X458">
        <v>0</v>
      </c>
      <c r="Y458">
        <v>100</v>
      </c>
      <c r="Z458" t="s">
        <v>38</v>
      </c>
      <c r="AA458" t="s">
        <v>39</v>
      </c>
      <c r="AB458" t="s">
        <v>38</v>
      </c>
      <c r="AC458">
        <v>-1.2699999999999991E-2</v>
      </c>
    </row>
    <row r="459" spans="1:29" x14ac:dyDescent="0.3">
      <c r="A459">
        <v>458</v>
      </c>
      <c r="B459" s="1">
        <v>40564</v>
      </c>
      <c r="C459">
        <v>1</v>
      </c>
      <c r="D459">
        <v>2</v>
      </c>
      <c r="E459" t="b">
        <v>0</v>
      </c>
      <c r="F459">
        <v>5</v>
      </c>
      <c r="G459">
        <v>3</v>
      </c>
      <c r="H459">
        <v>0.24</v>
      </c>
      <c r="I459">
        <v>0.2424</v>
      </c>
      <c r="J459">
        <v>0.75</v>
      </c>
      <c r="K459">
        <v>0.16420000000000001</v>
      </c>
      <c r="L459">
        <v>0</v>
      </c>
      <c r="M459">
        <v>2</v>
      </c>
      <c r="N459">
        <v>2</v>
      </c>
      <c r="O459" t="s">
        <v>29</v>
      </c>
      <c r="P459" t="s">
        <v>59</v>
      </c>
      <c r="Q459" t="s">
        <v>51</v>
      </c>
      <c r="R459" t="s">
        <v>32</v>
      </c>
      <c r="S459" t="s">
        <v>33</v>
      </c>
      <c r="T459" t="s">
        <v>34</v>
      </c>
      <c r="U459" t="s">
        <v>46</v>
      </c>
      <c r="V459" t="s">
        <v>36</v>
      </c>
      <c r="W459" t="s">
        <v>37</v>
      </c>
      <c r="X459">
        <v>0</v>
      </c>
      <c r="Y459">
        <v>100</v>
      </c>
      <c r="Z459" t="s">
        <v>38</v>
      </c>
      <c r="AA459" t="s">
        <v>39</v>
      </c>
      <c r="AB459" t="s">
        <v>38</v>
      </c>
      <c r="AC459">
        <v>2.4000000000000128E-3</v>
      </c>
    </row>
    <row r="460" spans="1:29" x14ac:dyDescent="0.3">
      <c r="A460">
        <v>459</v>
      </c>
      <c r="B460" s="1">
        <v>40564</v>
      </c>
      <c r="C460">
        <v>1</v>
      </c>
      <c r="D460">
        <v>3</v>
      </c>
      <c r="E460" t="b">
        <v>0</v>
      </c>
      <c r="F460">
        <v>5</v>
      </c>
      <c r="G460">
        <v>3</v>
      </c>
      <c r="H460">
        <v>0.22</v>
      </c>
      <c r="I460">
        <v>0.21210000000000001</v>
      </c>
      <c r="J460">
        <v>0.8</v>
      </c>
      <c r="K460">
        <v>0.29849999999999999</v>
      </c>
      <c r="L460">
        <v>0</v>
      </c>
      <c r="M460">
        <v>1</v>
      </c>
      <c r="N460">
        <v>1</v>
      </c>
      <c r="O460" t="s">
        <v>29</v>
      </c>
      <c r="P460" t="s">
        <v>59</v>
      </c>
      <c r="Q460" t="s">
        <v>51</v>
      </c>
      <c r="R460" t="s">
        <v>32</v>
      </c>
      <c r="S460" t="s">
        <v>33</v>
      </c>
      <c r="T460" t="s">
        <v>34</v>
      </c>
      <c r="U460" t="s">
        <v>46</v>
      </c>
      <c r="V460" t="s">
        <v>36</v>
      </c>
      <c r="W460" t="s">
        <v>37</v>
      </c>
      <c r="X460">
        <v>0</v>
      </c>
      <c r="Y460">
        <v>100</v>
      </c>
      <c r="Z460" t="s">
        <v>38</v>
      </c>
      <c r="AA460" t="s">
        <v>39</v>
      </c>
      <c r="AB460" t="s">
        <v>38</v>
      </c>
      <c r="AC460">
        <v>-7.8999999999999904E-3</v>
      </c>
    </row>
    <row r="461" spans="1:29" x14ac:dyDescent="0.3">
      <c r="A461">
        <v>460</v>
      </c>
      <c r="B461" s="1">
        <v>40564</v>
      </c>
      <c r="C461">
        <v>1</v>
      </c>
      <c r="D461">
        <v>4</v>
      </c>
      <c r="E461" t="b">
        <v>0</v>
      </c>
      <c r="F461">
        <v>5</v>
      </c>
      <c r="G461">
        <v>2</v>
      </c>
      <c r="H461">
        <v>0.22</v>
      </c>
      <c r="I461">
        <v>0.2576</v>
      </c>
      <c r="J461">
        <v>0.87</v>
      </c>
      <c r="K461">
        <v>8.9599999999999999E-2</v>
      </c>
      <c r="L461">
        <v>0</v>
      </c>
      <c r="M461">
        <v>1</v>
      </c>
      <c r="N461">
        <v>1</v>
      </c>
      <c r="O461" t="s">
        <v>29</v>
      </c>
      <c r="P461" t="s">
        <v>59</v>
      </c>
      <c r="Q461" t="s">
        <v>41</v>
      </c>
      <c r="R461" t="s">
        <v>32</v>
      </c>
      <c r="S461" t="s">
        <v>33</v>
      </c>
      <c r="T461" t="s">
        <v>34</v>
      </c>
      <c r="U461" t="s">
        <v>35</v>
      </c>
      <c r="V461" t="s">
        <v>36</v>
      </c>
      <c r="W461" t="s">
        <v>37</v>
      </c>
      <c r="X461">
        <v>0</v>
      </c>
      <c r="Y461">
        <v>100</v>
      </c>
      <c r="Z461" t="s">
        <v>38</v>
      </c>
      <c r="AA461" t="s">
        <v>39</v>
      </c>
      <c r="AB461" t="s">
        <v>38</v>
      </c>
      <c r="AC461">
        <v>3.7599999999999988E-2</v>
      </c>
    </row>
    <row r="462" spans="1:29" x14ac:dyDescent="0.3">
      <c r="A462">
        <v>461</v>
      </c>
      <c r="B462" s="1">
        <v>40564</v>
      </c>
      <c r="C462">
        <v>1</v>
      </c>
      <c r="D462">
        <v>5</v>
      </c>
      <c r="E462" t="b">
        <v>0</v>
      </c>
      <c r="F462">
        <v>5</v>
      </c>
      <c r="G462">
        <v>1</v>
      </c>
      <c r="H462">
        <v>0.24</v>
      </c>
      <c r="I462">
        <v>0.19700000000000001</v>
      </c>
      <c r="J462">
        <v>0.6</v>
      </c>
      <c r="K462">
        <v>0.41789999999999999</v>
      </c>
      <c r="L462">
        <v>1</v>
      </c>
      <c r="M462">
        <v>4</v>
      </c>
      <c r="N462">
        <v>5</v>
      </c>
      <c r="O462" t="s">
        <v>29</v>
      </c>
      <c r="P462" t="s">
        <v>59</v>
      </c>
      <c r="Q462" t="s">
        <v>31</v>
      </c>
      <c r="R462" t="s">
        <v>32</v>
      </c>
      <c r="S462" t="s">
        <v>33</v>
      </c>
      <c r="T462" t="s">
        <v>49</v>
      </c>
      <c r="U462" t="s">
        <v>53</v>
      </c>
      <c r="V462" t="s">
        <v>36</v>
      </c>
      <c r="W462" t="s">
        <v>37</v>
      </c>
      <c r="X462">
        <v>20</v>
      </c>
      <c r="Y462">
        <v>80</v>
      </c>
      <c r="Z462" t="s">
        <v>38</v>
      </c>
      <c r="AA462" t="s">
        <v>39</v>
      </c>
      <c r="AB462" t="s">
        <v>38</v>
      </c>
      <c r="AC462">
        <v>-4.2999999999999983E-2</v>
      </c>
    </row>
    <row r="463" spans="1:29" x14ac:dyDescent="0.3">
      <c r="A463">
        <v>462</v>
      </c>
      <c r="B463" s="1">
        <v>40564</v>
      </c>
      <c r="C463">
        <v>1</v>
      </c>
      <c r="D463">
        <v>6</v>
      </c>
      <c r="E463" t="b">
        <v>0</v>
      </c>
      <c r="F463">
        <v>5</v>
      </c>
      <c r="G463">
        <v>1</v>
      </c>
      <c r="H463">
        <v>0.22</v>
      </c>
      <c r="I463">
        <v>0.21210000000000001</v>
      </c>
      <c r="J463">
        <v>0.55000000000000004</v>
      </c>
      <c r="K463">
        <v>0.25369999999999998</v>
      </c>
      <c r="L463">
        <v>0</v>
      </c>
      <c r="M463">
        <v>27</v>
      </c>
      <c r="N463">
        <v>27</v>
      </c>
      <c r="O463" t="s">
        <v>29</v>
      </c>
      <c r="P463" t="s">
        <v>59</v>
      </c>
      <c r="Q463" t="s">
        <v>31</v>
      </c>
      <c r="R463" t="s">
        <v>42</v>
      </c>
      <c r="S463" t="s">
        <v>33</v>
      </c>
      <c r="T463" t="s">
        <v>49</v>
      </c>
      <c r="U463" t="s">
        <v>46</v>
      </c>
      <c r="V463" t="s">
        <v>36</v>
      </c>
      <c r="W463" t="s">
        <v>37</v>
      </c>
      <c r="X463">
        <v>0</v>
      </c>
      <c r="Y463">
        <v>100</v>
      </c>
      <c r="Z463" t="s">
        <v>38</v>
      </c>
      <c r="AA463" t="s">
        <v>39</v>
      </c>
      <c r="AB463" t="s">
        <v>38</v>
      </c>
      <c r="AC463">
        <v>-7.8999999999999904E-3</v>
      </c>
    </row>
    <row r="464" spans="1:29" x14ac:dyDescent="0.3">
      <c r="A464">
        <v>463</v>
      </c>
      <c r="B464" s="1">
        <v>40564</v>
      </c>
      <c r="C464">
        <v>1</v>
      </c>
      <c r="D464">
        <v>7</v>
      </c>
      <c r="E464" t="b">
        <v>0</v>
      </c>
      <c r="F464">
        <v>5</v>
      </c>
      <c r="G464">
        <v>1</v>
      </c>
      <c r="H464">
        <v>0.2</v>
      </c>
      <c r="I464">
        <v>0.18179999999999999</v>
      </c>
      <c r="J464">
        <v>0.51</v>
      </c>
      <c r="K464">
        <v>0.28360000000000002</v>
      </c>
      <c r="L464">
        <v>2</v>
      </c>
      <c r="M464">
        <v>66</v>
      </c>
      <c r="N464">
        <v>68</v>
      </c>
      <c r="O464" t="s">
        <v>29</v>
      </c>
      <c r="P464" t="s">
        <v>59</v>
      </c>
      <c r="Q464" t="s">
        <v>31</v>
      </c>
      <c r="R464" t="s">
        <v>42</v>
      </c>
      <c r="S464" t="s">
        <v>33</v>
      </c>
      <c r="T464" t="s">
        <v>49</v>
      </c>
      <c r="U464" t="s">
        <v>46</v>
      </c>
      <c r="V464" t="s">
        <v>36</v>
      </c>
      <c r="W464" t="s">
        <v>37</v>
      </c>
      <c r="X464">
        <v>2.9411764705882351</v>
      </c>
      <c r="Y464">
        <v>97.058823529411768</v>
      </c>
      <c r="Z464" t="s">
        <v>40</v>
      </c>
      <c r="AA464" t="s">
        <v>39</v>
      </c>
      <c r="AB464" t="s">
        <v>38</v>
      </c>
      <c r="AC464">
        <v>-1.8200000000000022E-2</v>
      </c>
    </row>
    <row r="465" spans="1:29" x14ac:dyDescent="0.3">
      <c r="A465">
        <v>464</v>
      </c>
      <c r="B465" s="1">
        <v>40564</v>
      </c>
      <c r="C465">
        <v>1</v>
      </c>
      <c r="D465">
        <v>8</v>
      </c>
      <c r="E465" t="b">
        <v>0</v>
      </c>
      <c r="F465">
        <v>5</v>
      </c>
      <c r="G465">
        <v>1</v>
      </c>
      <c r="H465">
        <v>0.2</v>
      </c>
      <c r="I465">
        <v>0.18179999999999999</v>
      </c>
      <c r="J465">
        <v>0.47</v>
      </c>
      <c r="K465">
        <v>0.32840000000000003</v>
      </c>
      <c r="L465">
        <v>7</v>
      </c>
      <c r="M465">
        <v>210</v>
      </c>
      <c r="N465">
        <v>217</v>
      </c>
      <c r="O465" t="s">
        <v>29</v>
      </c>
      <c r="P465" t="s">
        <v>59</v>
      </c>
      <c r="Q465" t="s">
        <v>31</v>
      </c>
      <c r="R465" t="s">
        <v>42</v>
      </c>
      <c r="S465" t="s">
        <v>33</v>
      </c>
      <c r="T465" t="s">
        <v>49</v>
      </c>
      <c r="U465" t="s">
        <v>53</v>
      </c>
      <c r="V465" t="s">
        <v>36</v>
      </c>
      <c r="W465" t="s">
        <v>37</v>
      </c>
      <c r="X465">
        <v>3.225806451612903</v>
      </c>
      <c r="Y465">
        <v>96.774193548387103</v>
      </c>
      <c r="Z465" t="s">
        <v>40</v>
      </c>
      <c r="AA465" t="s">
        <v>49</v>
      </c>
      <c r="AB465" t="s">
        <v>38</v>
      </c>
      <c r="AC465">
        <v>-1.8200000000000022E-2</v>
      </c>
    </row>
    <row r="466" spans="1:29" x14ac:dyDescent="0.3">
      <c r="A466">
        <v>465</v>
      </c>
      <c r="B466" s="1">
        <v>40564</v>
      </c>
      <c r="C466">
        <v>1</v>
      </c>
      <c r="D466">
        <v>9</v>
      </c>
      <c r="E466" t="b">
        <v>0</v>
      </c>
      <c r="F466">
        <v>5</v>
      </c>
      <c r="G466">
        <v>1</v>
      </c>
      <c r="H466">
        <v>0.2</v>
      </c>
      <c r="I466">
        <v>0.18179999999999999</v>
      </c>
      <c r="J466">
        <v>0.51</v>
      </c>
      <c r="K466">
        <v>0.35820000000000002</v>
      </c>
      <c r="L466">
        <v>7</v>
      </c>
      <c r="M466">
        <v>159</v>
      </c>
      <c r="N466">
        <v>166</v>
      </c>
      <c r="O466" t="s">
        <v>29</v>
      </c>
      <c r="P466" t="s">
        <v>59</v>
      </c>
      <c r="Q466" t="s">
        <v>31</v>
      </c>
      <c r="R466" t="s">
        <v>42</v>
      </c>
      <c r="S466" t="s">
        <v>33</v>
      </c>
      <c r="T466" t="s">
        <v>49</v>
      </c>
      <c r="U466" t="s">
        <v>53</v>
      </c>
      <c r="V466" t="s">
        <v>36</v>
      </c>
      <c r="W466" t="s">
        <v>37</v>
      </c>
      <c r="X466">
        <v>4.2168674698795181</v>
      </c>
      <c r="Y466">
        <v>95.783132530120483</v>
      </c>
      <c r="Z466" t="s">
        <v>40</v>
      </c>
      <c r="AA466" t="s">
        <v>49</v>
      </c>
      <c r="AB466" t="s">
        <v>38</v>
      </c>
      <c r="AC466">
        <v>-1.8200000000000022E-2</v>
      </c>
    </row>
    <row r="467" spans="1:29" x14ac:dyDescent="0.3">
      <c r="A467">
        <v>466</v>
      </c>
      <c r="B467" s="1">
        <v>40564</v>
      </c>
      <c r="C467">
        <v>1</v>
      </c>
      <c r="D467">
        <v>10</v>
      </c>
      <c r="E467" t="b">
        <v>0</v>
      </c>
      <c r="F467">
        <v>5</v>
      </c>
      <c r="G467">
        <v>1</v>
      </c>
      <c r="H467">
        <v>0.2</v>
      </c>
      <c r="I467">
        <v>0.16669999999999999</v>
      </c>
      <c r="J467">
        <v>0.47</v>
      </c>
      <c r="K467">
        <v>0.4627</v>
      </c>
      <c r="L467">
        <v>6</v>
      </c>
      <c r="M467">
        <v>57</v>
      </c>
      <c r="N467">
        <v>63</v>
      </c>
      <c r="O467" t="s">
        <v>29</v>
      </c>
      <c r="P467" t="s">
        <v>59</v>
      </c>
      <c r="Q467" t="s">
        <v>31</v>
      </c>
      <c r="R467" t="s">
        <v>42</v>
      </c>
      <c r="S467" t="s">
        <v>33</v>
      </c>
      <c r="T467" t="s">
        <v>49</v>
      </c>
      <c r="U467" t="s">
        <v>53</v>
      </c>
      <c r="V467" t="s">
        <v>36</v>
      </c>
      <c r="W467" t="s">
        <v>37</v>
      </c>
      <c r="X467">
        <v>9.5238095238095237</v>
      </c>
      <c r="Y467">
        <v>90.476190476190482</v>
      </c>
      <c r="Z467" t="s">
        <v>38</v>
      </c>
      <c r="AA467" t="s">
        <v>39</v>
      </c>
      <c r="AB467" t="s">
        <v>38</v>
      </c>
      <c r="AC467">
        <v>-3.3300000000000017E-2</v>
      </c>
    </row>
    <row r="468" spans="1:29" x14ac:dyDescent="0.3">
      <c r="A468">
        <v>467</v>
      </c>
      <c r="B468" s="1">
        <v>40564</v>
      </c>
      <c r="C468">
        <v>1</v>
      </c>
      <c r="D468">
        <v>11</v>
      </c>
      <c r="E468" t="b">
        <v>0</v>
      </c>
      <c r="F468">
        <v>5</v>
      </c>
      <c r="G468">
        <v>1</v>
      </c>
      <c r="H468">
        <v>0.22</v>
      </c>
      <c r="I468">
        <v>0.18179999999999999</v>
      </c>
      <c r="J468">
        <v>0.41</v>
      </c>
      <c r="K468">
        <v>0.4627</v>
      </c>
      <c r="L468">
        <v>6</v>
      </c>
      <c r="M468">
        <v>53</v>
      </c>
      <c r="N468">
        <v>59</v>
      </c>
      <c r="O468" t="s">
        <v>29</v>
      </c>
      <c r="P468" t="s">
        <v>59</v>
      </c>
      <c r="Q468" t="s">
        <v>31</v>
      </c>
      <c r="R468" t="s">
        <v>42</v>
      </c>
      <c r="S468" t="s">
        <v>33</v>
      </c>
      <c r="T468" t="s">
        <v>49</v>
      </c>
      <c r="U468" t="s">
        <v>53</v>
      </c>
      <c r="V468" t="s">
        <v>36</v>
      </c>
      <c r="W468" t="s">
        <v>37</v>
      </c>
      <c r="X468">
        <v>10.16949152542373</v>
      </c>
      <c r="Y468">
        <v>89.830508474576277</v>
      </c>
      <c r="Z468" t="s">
        <v>38</v>
      </c>
      <c r="AA468" t="s">
        <v>39</v>
      </c>
      <c r="AB468" t="s">
        <v>38</v>
      </c>
      <c r="AC468">
        <v>-3.8200000000000012E-2</v>
      </c>
    </row>
    <row r="469" spans="1:29" x14ac:dyDescent="0.3">
      <c r="A469">
        <v>468</v>
      </c>
      <c r="B469" s="1">
        <v>40564</v>
      </c>
      <c r="C469">
        <v>1</v>
      </c>
      <c r="D469">
        <v>12</v>
      </c>
      <c r="E469" t="b">
        <v>0</v>
      </c>
      <c r="F469">
        <v>5</v>
      </c>
      <c r="G469">
        <v>1</v>
      </c>
      <c r="H469">
        <v>0.22</v>
      </c>
      <c r="I469">
        <v>0.18179999999999999</v>
      </c>
      <c r="J469">
        <v>0.27</v>
      </c>
      <c r="K469">
        <v>0.58209999999999995</v>
      </c>
      <c r="L469">
        <v>11</v>
      </c>
      <c r="M469">
        <v>67</v>
      </c>
      <c r="N469">
        <v>78</v>
      </c>
      <c r="O469" t="s">
        <v>29</v>
      </c>
      <c r="P469" t="s">
        <v>59</v>
      </c>
      <c r="Q469" t="s">
        <v>31</v>
      </c>
      <c r="R469" t="s">
        <v>47</v>
      </c>
      <c r="S469" t="s">
        <v>33</v>
      </c>
      <c r="T469" t="s">
        <v>39</v>
      </c>
      <c r="U469" t="s">
        <v>53</v>
      </c>
      <c r="V469" t="s">
        <v>36</v>
      </c>
      <c r="W469" t="s">
        <v>37</v>
      </c>
      <c r="X469">
        <v>14.1025641025641</v>
      </c>
      <c r="Y469">
        <v>85.897435897435898</v>
      </c>
      <c r="Z469" t="s">
        <v>38</v>
      </c>
      <c r="AA469" t="s">
        <v>39</v>
      </c>
      <c r="AB469" t="s">
        <v>38</v>
      </c>
      <c r="AC469">
        <v>-3.8200000000000012E-2</v>
      </c>
    </row>
    <row r="470" spans="1:29" x14ac:dyDescent="0.3">
      <c r="A470">
        <v>469</v>
      </c>
      <c r="B470" s="1">
        <v>40564</v>
      </c>
      <c r="C470">
        <v>1</v>
      </c>
      <c r="D470">
        <v>13</v>
      </c>
      <c r="E470" t="b">
        <v>0</v>
      </c>
      <c r="F470">
        <v>5</v>
      </c>
      <c r="G470">
        <v>1</v>
      </c>
      <c r="H470">
        <v>0.2</v>
      </c>
      <c r="I470">
        <v>0.1515</v>
      </c>
      <c r="J470">
        <v>0.21</v>
      </c>
      <c r="K470">
        <v>0.58209999999999995</v>
      </c>
      <c r="L470">
        <v>8</v>
      </c>
      <c r="M470">
        <v>65</v>
      </c>
      <c r="N470">
        <v>73</v>
      </c>
      <c r="O470" t="s">
        <v>29</v>
      </c>
      <c r="P470" t="s">
        <v>59</v>
      </c>
      <c r="Q470" t="s">
        <v>31</v>
      </c>
      <c r="R470" t="s">
        <v>47</v>
      </c>
      <c r="S470" t="s">
        <v>33</v>
      </c>
      <c r="T470" t="s">
        <v>39</v>
      </c>
      <c r="U470" t="s">
        <v>53</v>
      </c>
      <c r="V470" t="s">
        <v>36</v>
      </c>
      <c r="W470" t="s">
        <v>37</v>
      </c>
      <c r="X470">
        <v>10.95890410958904</v>
      </c>
      <c r="Y470">
        <v>89.041095890410958</v>
      </c>
      <c r="Z470" t="s">
        <v>38</v>
      </c>
      <c r="AA470" t="s">
        <v>39</v>
      </c>
      <c r="AB470" t="s">
        <v>38</v>
      </c>
      <c r="AC470">
        <v>-4.8500000000000022E-2</v>
      </c>
    </row>
    <row r="471" spans="1:29" x14ac:dyDescent="0.3">
      <c r="A471">
        <v>470</v>
      </c>
      <c r="B471" s="1">
        <v>40564</v>
      </c>
      <c r="C471">
        <v>1</v>
      </c>
      <c r="D471">
        <v>14</v>
      </c>
      <c r="E471" t="b">
        <v>0</v>
      </c>
      <c r="F471">
        <v>5</v>
      </c>
      <c r="G471">
        <v>1</v>
      </c>
      <c r="H471">
        <v>0.2</v>
      </c>
      <c r="I471">
        <v>0.1515</v>
      </c>
      <c r="J471">
        <v>0.25</v>
      </c>
      <c r="K471">
        <v>0.52239999999999998</v>
      </c>
      <c r="L471">
        <v>6</v>
      </c>
      <c r="M471">
        <v>56</v>
      </c>
      <c r="N471">
        <v>62</v>
      </c>
      <c r="O471" t="s">
        <v>29</v>
      </c>
      <c r="P471" t="s">
        <v>59</v>
      </c>
      <c r="Q471" t="s">
        <v>31</v>
      </c>
      <c r="R471" t="s">
        <v>47</v>
      </c>
      <c r="S471" t="s">
        <v>33</v>
      </c>
      <c r="T471" t="s">
        <v>39</v>
      </c>
      <c r="U471" t="s">
        <v>53</v>
      </c>
      <c r="V471" t="s">
        <v>36</v>
      </c>
      <c r="W471" t="s">
        <v>37</v>
      </c>
      <c r="X471">
        <v>9.67741935483871</v>
      </c>
      <c r="Y471">
        <v>90.322580645161281</v>
      </c>
      <c r="Z471" t="s">
        <v>38</v>
      </c>
      <c r="AA471" t="s">
        <v>39</v>
      </c>
      <c r="AB471" t="s">
        <v>38</v>
      </c>
      <c r="AC471">
        <v>-4.8500000000000022E-2</v>
      </c>
    </row>
    <row r="472" spans="1:29" x14ac:dyDescent="0.3">
      <c r="A472">
        <v>471</v>
      </c>
      <c r="B472" s="1">
        <v>40564</v>
      </c>
      <c r="C472">
        <v>1</v>
      </c>
      <c r="D472">
        <v>15</v>
      </c>
      <c r="E472" t="b">
        <v>0</v>
      </c>
      <c r="F472">
        <v>5</v>
      </c>
      <c r="G472">
        <v>1</v>
      </c>
      <c r="H472">
        <v>0.16</v>
      </c>
      <c r="I472">
        <v>0.1212</v>
      </c>
      <c r="J472">
        <v>0.26</v>
      </c>
      <c r="K472">
        <v>0.44779999999999998</v>
      </c>
      <c r="L472">
        <v>4</v>
      </c>
      <c r="M472">
        <v>61</v>
      </c>
      <c r="N472">
        <v>65</v>
      </c>
      <c r="O472" t="s">
        <v>29</v>
      </c>
      <c r="P472" t="s">
        <v>59</v>
      </c>
      <c r="Q472" t="s">
        <v>31</v>
      </c>
      <c r="R472" t="s">
        <v>47</v>
      </c>
      <c r="S472" t="s">
        <v>33</v>
      </c>
      <c r="T472" t="s">
        <v>39</v>
      </c>
      <c r="U472" t="s">
        <v>53</v>
      </c>
      <c r="V472" t="s">
        <v>36</v>
      </c>
      <c r="W472" t="s">
        <v>37</v>
      </c>
      <c r="X472">
        <v>6.1538461538461542</v>
      </c>
      <c r="Y472">
        <v>93.84615384615384</v>
      </c>
      <c r="Z472" t="s">
        <v>38</v>
      </c>
      <c r="AA472" t="s">
        <v>39</v>
      </c>
      <c r="AB472" t="s">
        <v>38</v>
      </c>
      <c r="AC472">
        <v>-3.8800000000000001E-2</v>
      </c>
    </row>
    <row r="473" spans="1:29" x14ac:dyDescent="0.3">
      <c r="A473">
        <v>472</v>
      </c>
      <c r="B473" s="1">
        <v>40564</v>
      </c>
      <c r="C473">
        <v>1</v>
      </c>
      <c r="D473">
        <v>16</v>
      </c>
      <c r="E473" t="b">
        <v>0</v>
      </c>
      <c r="F473">
        <v>5</v>
      </c>
      <c r="G473">
        <v>1</v>
      </c>
      <c r="H473">
        <v>0.16</v>
      </c>
      <c r="I473">
        <v>0.13639999999999999</v>
      </c>
      <c r="J473">
        <v>0.26</v>
      </c>
      <c r="K473">
        <v>0.35820000000000002</v>
      </c>
      <c r="L473">
        <v>0</v>
      </c>
      <c r="M473">
        <v>97</v>
      </c>
      <c r="N473">
        <v>97</v>
      </c>
      <c r="O473" t="s">
        <v>29</v>
      </c>
      <c r="P473" t="s">
        <v>59</v>
      </c>
      <c r="Q473" t="s">
        <v>31</v>
      </c>
      <c r="R473" t="s">
        <v>47</v>
      </c>
      <c r="S473" t="s">
        <v>33</v>
      </c>
      <c r="T473" t="s">
        <v>39</v>
      </c>
      <c r="U473" t="s">
        <v>53</v>
      </c>
      <c r="V473" t="s">
        <v>36</v>
      </c>
      <c r="W473" t="s">
        <v>37</v>
      </c>
      <c r="X473">
        <v>0</v>
      </c>
      <c r="Y473">
        <v>100</v>
      </c>
      <c r="Z473" t="s">
        <v>38</v>
      </c>
      <c r="AA473" t="s">
        <v>39</v>
      </c>
      <c r="AB473" t="s">
        <v>38</v>
      </c>
      <c r="AC473">
        <v>-2.360000000000001E-2</v>
      </c>
    </row>
    <row r="474" spans="1:29" x14ac:dyDescent="0.3">
      <c r="A474">
        <v>473</v>
      </c>
      <c r="B474" s="1">
        <v>40564</v>
      </c>
      <c r="C474">
        <v>1</v>
      </c>
      <c r="D474">
        <v>17</v>
      </c>
      <c r="E474" t="b">
        <v>0</v>
      </c>
      <c r="F474">
        <v>5</v>
      </c>
      <c r="G474">
        <v>1</v>
      </c>
      <c r="H474">
        <v>0.14000000000000001</v>
      </c>
      <c r="I474">
        <v>0.1212</v>
      </c>
      <c r="J474">
        <v>0.28000000000000003</v>
      </c>
      <c r="K474">
        <v>0.35820000000000002</v>
      </c>
      <c r="L474">
        <v>10</v>
      </c>
      <c r="M474">
        <v>151</v>
      </c>
      <c r="N474">
        <v>161</v>
      </c>
      <c r="O474" t="s">
        <v>29</v>
      </c>
      <c r="P474" t="s">
        <v>59</v>
      </c>
      <c r="Q474" t="s">
        <v>31</v>
      </c>
      <c r="R474" t="s">
        <v>50</v>
      </c>
      <c r="S474" t="s">
        <v>55</v>
      </c>
      <c r="T474" t="s">
        <v>39</v>
      </c>
      <c r="U474" t="s">
        <v>53</v>
      </c>
      <c r="V474" t="s">
        <v>36</v>
      </c>
      <c r="W474" t="s">
        <v>37</v>
      </c>
      <c r="X474">
        <v>6.2111801242236027</v>
      </c>
      <c r="Y474">
        <v>93.788819875776397</v>
      </c>
      <c r="Z474" t="s">
        <v>40</v>
      </c>
      <c r="AA474" t="s">
        <v>49</v>
      </c>
      <c r="AB474" t="s">
        <v>38</v>
      </c>
      <c r="AC474">
        <v>-1.8800000000000011E-2</v>
      </c>
    </row>
    <row r="475" spans="1:29" x14ac:dyDescent="0.3">
      <c r="A475">
        <v>474</v>
      </c>
      <c r="B475" s="1">
        <v>40564</v>
      </c>
      <c r="C475">
        <v>1</v>
      </c>
      <c r="D475">
        <v>18</v>
      </c>
      <c r="E475" t="b">
        <v>0</v>
      </c>
      <c r="F475">
        <v>5</v>
      </c>
      <c r="G475">
        <v>1</v>
      </c>
      <c r="H475">
        <v>0.12</v>
      </c>
      <c r="I475">
        <v>0.1212</v>
      </c>
      <c r="J475">
        <v>0.3</v>
      </c>
      <c r="K475">
        <v>0.25369999999999998</v>
      </c>
      <c r="L475">
        <v>1</v>
      </c>
      <c r="M475">
        <v>119</v>
      </c>
      <c r="N475">
        <v>120</v>
      </c>
      <c r="O475" t="s">
        <v>29</v>
      </c>
      <c r="P475" t="s">
        <v>59</v>
      </c>
      <c r="Q475" t="s">
        <v>31</v>
      </c>
      <c r="R475" t="s">
        <v>50</v>
      </c>
      <c r="S475" t="s">
        <v>55</v>
      </c>
      <c r="T475" t="s">
        <v>39</v>
      </c>
      <c r="U475" t="s">
        <v>46</v>
      </c>
      <c r="V475" t="s">
        <v>36</v>
      </c>
      <c r="W475" t="s">
        <v>37</v>
      </c>
      <c r="X475">
        <v>0.83333333333333337</v>
      </c>
      <c r="Y475">
        <v>99.166666666666671</v>
      </c>
      <c r="Z475" t="s">
        <v>40</v>
      </c>
      <c r="AA475" t="s">
        <v>49</v>
      </c>
      <c r="AB475" t="s">
        <v>38</v>
      </c>
      <c r="AC475">
        <v>1.2000000000000071E-3</v>
      </c>
    </row>
    <row r="476" spans="1:29" x14ac:dyDescent="0.3">
      <c r="A476">
        <v>475</v>
      </c>
      <c r="B476" s="1">
        <v>40564</v>
      </c>
      <c r="C476">
        <v>1</v>
      </c>
      <c r="D476">
        <v>19</v>
      </c>
      <c r="E476" t="b">
        <v>0</v>
      </c>
      <c r="F476">
        <v>5</v>
      </c>
      <c r="G476">
        <v>1</v>
      </c>
      <c r="H476">
        <v>0.12</v>
      </c>
      <c r="I476">
        <v>0.1061</v>
      </c>
      <c r="J476">
        <v>0.3</v>
      </c>
      <c r="K476">
        <v>0.32840000000000003</v>
      </c>
      <c r="L476">
        <v>3</v>
      </c>
      <c r="M476">
        <v>93</v>
      </c>
      <c r="N476">
        <v>96</v>
      </c>
      <c r="O476" t="s">
        <v>29</v>
      </c>
      <c r="P476" t="s">
        <v>59</v>
      </c>
      <c r="Q476" t="s">
        <v>31</v>
      </c>
      <c r="R476" t="s">
        <v>50</v>
      </c>
      <c r="S476" t="s">
        <v>55</v>
      </c>
      <c r="T476" t="s">
        <v>39</v>
      </c>
      <c r="U476" t="s">
        <v>53</v>
      </c>
      <c r="V476" t="s">
        <v>36</v>
      </c>
      <c r="W476" t="s">
        <v>37</v>
      </c>
      <c r="X476">
        <v>3.125</v>
      </c>
      <c r="Y476">
        <v>96.875</v>
      </c>
      <c r="Z476" t="s">
        <v>40</v>
      </c>
      <c r="AA476" t="s">
        <v>39</v>
      </c>
      <c r="AB476" t="s">
        <v>38</v>
      </c>
      <c r="AC476">
        <v>-1.3899999999999999E-2</v>
      </c>
    </row>
    <row r="477" spans="1:29" x14ac:dyDescent="0.3">
      <c r="A477">
        <v>476</v>
      </c>
      <c r="B477" s="1">
        <v>40564</v>
      </c>
      <c r="C477">
        <v>1</v>
      </c>
      <c r="D477">
        <v>20</v>
      </c>
      <c r="E477" t="b">
        <v>0</v>
      </c>
      <c r="F477">
        <v>5</v>
      </c>
      <c r="G477">
        <v>1</v>
      </c>
      <c r="H477">
        <v>0.1</v>
      </c>
      <c r="I477">
        <v>7.5800000000000006E-2</v>
      </c>
      <c r="J477">
        <v>0.33</v>
      </c>
      <c r="K477">
        <v>0.41789999999999999</v>
      </c>
      <c r="L477">
        <v>1</v>
      </c>
      <c r="M477">
        <v>52</v>
      </c>
      <c r="N477">
        <v>53</v>
      </c>
      <c r="O477" t="s">
        <v>29</v>
      </c>
      <c r="P477" t="s">
        <v>59</v>
      </c>
      <c r="Q477" t="s">
        <v>31</v>
      </c>
      <c r="R477" t="s">
        <v>50</v>
      </c>
      <c r="S477" t="s">
        <v>55</v>
      </c>
      <c r="T477" t="s">
        <v>39</v>
      </c>
      <c r="U477" t="s">
        <v>53</v>
      </c>
      <c r="V477" t="s">
        <v>36</v>
      </c>
      <c r="W477" t="s">
        <v>37</v>
      </c>
      <c r="X477">
        <v>1.8867924528301889</v>
      </c>
      <c r="Y477">
        <v>98.113207547169807</v>
      </c>
      <c r="Z477" t="s">
        <v>38</v>
      </c>
      <c r="AA477" t="s">
        <v>39</v>
      </c>
      <c r="AB477" t="s">
        <v>38</v>
      </c>
      <c r="AC477">
        <v>-2.4199999999999999E-2</v>
      </c>
    </row>
    <row r="478" spans="1:29" x14ac:dyDescent="0.3">
      <c r="A478">
        <v>477</v>
      </c>
      <c r="B478" s="1">
        <v>40564</v>
      </c>
      <c r="C478">
        <v>1</v>
      </c>
      <c r="D478">
        <v>21</v>
      </c>
      <c r="E478" t="b">
        <v>0</v>
      </c>
      <c r="F478">
        <v>5</v>
      </c>
      <c r="G478">
        <v>1</v>
      </c>
      <c r="H478">
        <v>0.08</v>
      </c>
      <c r="I478">
        <v>7.5800000000000006E-2</v>
      </c>
      <c r="J478">
        <v>0.38</v>
      </c>
      <c r="K478">
        <v>0.28360000000000002</v>
      </c>
      <c r="L478">
        <v>0</v>
      </c>
      <c r="M478">
        <v>41</v>
      </c>
      <c r="N478">
        <v>41</v>
      </c>
      <c r="O478" t="s">
        <v>29</v>
      </c>
      <c r="P478" t="s">
        <v>59</v>
      </c>
      <c r="Q478" t="s">
        <v>31</v>
      </c>
      <c r="R478" t="s">
        <v>32</v>
      </c>
      <c r="S478" t="s">
        <v>55</v>
      </c>
      <c r="T478" t="s">
        <v>39</v>
      </c>
      <c r="U478" t="s">
        <v>46</v>
      </c>
      <c r="V478" t="s">
        <v>36</v>
      </c>
      <c r="W478" t="s">
        <v>37</v>
      </c>
      <c r="X478">
        <v>0</v>
      </c>
      <c r="Y478">
        <v>100</v>
      </c>
      <c r="Z478" t="s">
        <v>38</v>
      </c>
      <c r="AA478" t="s">
        <v>39</v>
      </c>
      <c r="AB478" t="s">
        <v>38</v>
      </c>
      <c r="AC478">
        <v>-4.1999999999999954E-3</v>
      </c>
    </row>
    <row r="479" spans="1:29" x14ac:dyDescent="0.3">
      <c r="A479">
        <v>478</v>
      </c>
      <c r="B479" s="1">
        <v>40564</v>
      </c>
      <c r="C479">
        <v>1</v>
      </c>
      <c r="D479">
        <v>22</v>
      </c>
      <c r="E479" t="b">
        <v>0</v>
      </c>
      <c r="F479">
        <v>5</v>
      </c>
      <c r="G479">
        <v>1</v>
      </c>
      <c r="H479">
        <v>0.06</v>
      </c>
      <c r="I479">
        <v>3.0300000000000001E-2</v>
      </c>
      <c r="J479">
        <v>0.41</v>
      </c>
      <c r="K479">
        <v>0.3881</v>
      </c>
      <c r="L479">
        <v>1</v>
      </c>
      <c r="M479">
        <v>33</v>
      </c>
      <c r="N479">
        <v>34</v>
      </c>
      <c r="O479" t="s">
        <v>29</v>
      </c>
      <c r="P479" t="s">
        <v>59</v>
      </c>
      <c r="Q479" t="s">
        <v>31</v>
      </c>
      <c r="R479" t="s">
        <v>32</v>
      </c>
      <c r="S479" t="s">
        <v>55</v>
      </c>
      <c r="T479" t="s">
        <v>49</v>
      </c>
      <c r="U479" t="s">
        <v>53</v>
      </c>
      <c r="V479" t="s">
        <v>36</v>
      </c>
      <c r="W479" t="s">
        <v>37</v>
      </c>
      <c r="X479">
        <v>2.9411764705882351</v>
      </c>
      <c r="Y479">
        <v>97.058823529411768</v>
      </c>
      <c r="Z479" t="s">
        <v>38</v>
      </c>
      <c r="AA479" t="s">
        <v>39</v>
      </c>
      <c r="AB479" t="s">
        <v>38</v>
      </c>
      <c r="AC479">
        <v>-2.9700000000000001E-2</v>
      </c>
    </row>
    <row r="480" spans="1:29" x14ac:dyDescent="0.3">
      <c r="A480">
        <v>479</v>
      </c>
      <c r="B480" s="1">
        <v>40564</v>
      </c>
      <c r="C480">
        <v>1</v>
      </c>
      <c r="D480">
        <v>23</v>
      </c>
      <c r="E480" t="b">
        <v>0</v>
      </c>
      <c r="F480">
        <v>5</v>
      </c>
      <c r="G480">
        <v>1</v>
      </c>
      <c r="H480">
        <v>0.06</v>
      </c>
      <c r="I480">
        <v>4.5499999999999999E-2</v>
      </c>
      <c r="J480">
        <v>0.38</v>
      </c>
      <c r="K480">
        <v>0.32840000000000003</v>
      </c>
      <c r="L480">
        <v>0</v>
      </c>
      <c r="M480">
        <v>27</v>
      </c>
      <c r="N480">
        <v>27</v>
      </c>
      <c r="O480" t="s">
        <v>29</v>
      </c>
      <c r="P480" t="s">
        <v>59</v>
      </c>
      <c r="Q480" t="s">
        <v>31</v>
      </c>
      <c r="R480" t="s">
        <v>32</v>
      </c>
      <c r="S480" t="s">
        <v>55</v>
      </c>
      <c r="T480" t="s">
        <v>39</v>
      </c>
      <c r="U480" t="s">
        <v>53</v>
      </c>
      <c r="V480" t="s">
        <v>36</v>
      </c>
      <c r="W480" t="s">
        <v>37</v>
      </c>
      <c r="X480">
        <v>0</v>
      </c>
      <c r="Y480">
        <v>100</v>
      </c>
      <c r="Z480" t="s">
        <v>38</v>
      </c>
      <c r="AA480" t="s">
        <v>39</v>
      </c>
      <c r="AB480" t="s">
        <v>38</v>
      </c>
      <c r="AC480">
        <v>-1.4500000000000001E-2</v>
      </c>
    </row>
    <row r="481" spans="1:29" x14ac:dyDescent="0.3">
      <c r="A481">
        <v>480</v>
      </c>
      <c r="B481" s="1">
        <v>40565</v>
      </c>
      <c r="C481">
        <v>1</v>
      </c>
      <c r="D481">
        <v>0</v>
      </c>
      <c r="E481" t="b">
        <v>0</v>
      </c>
      <c r="F481">
        <v>6</v>
      </c>
      <c r="G481">
        <v>1</v>
      </c>
      <c r="H481">
        <v>0.04</v>
      </c>
      <c r="I481">
        <v>3.0300000000000001E-2</v>
      </c>
      <c r="J481">
        <v>0.45</v>
      </c>
      <c r="K481">
        <v>0.25369999999999998</v>
      </c>
      <c r="L481">
        <v>0</v>
      </c>
      <c r="M481">
        <v>13</v>
      </c>
      <c r="N481">
        <v>13</v>
      </c>
      <c r="O481" t="s">
        <v>29</v>
      </c>
      <c r="P481" t="s">
        <v>30</v>
      </c>
      <c r="Q481" t="s">
        <v>31</v>
      </c>
      <c r="R481" t="s">
        <v>32</v>
      </c>
      <c r="S481" t="s">
        <v>55</v>
      </c>
      <c r="T481" t="s">
        <v>49</v>
      </c>
      <c r="U481" t="s">
        <v>46</v>
      </c>
      <c r="V481" t="s">
        <v>36</v>
      </c>
      <c r="W481" t="s">
        <v>37</v>
      </c>
      <c r="X481">
        <v>0</v>
      </c>
      <c r="Y481">
        <v>100</v>
      </c>
      <c r="Z481" t="s">
        <v>38</v>
      </c>
      <c r="AA481" t="s">
        <v>39</v>
      </c>
      <c r="AB481" t="s">
        <v>40</v>
      </c>
      <c r="AC481">
        <v>-9.7000000000000003E-3</v>
      </c>
    </row>
    <row r="482" spans="1:29" x14ac:dyDescent="0.3">
      <c r="A482">
        <v>481</v>
      </c>
      <c r="B482" s="1">
        <v>40565</v>
      </c>
      <c r="C482">
        <v>1</v>
      </c>
      <c r="D482">
        <v>1</v>
      </c>
      <c r="E482" t="b">
        <v>0</v>
      </c>
      <c r="F482">
        <v>6</v>
      </c>
      <c r="G482">
        <v>2</v>
      </c>
      <c r="H482">
        <v>0.04</v>
      </c>
      <c r="I482">
        <v>0</v>
      </c>
      <c r="J482">
        <v>0.41</v>
      </c>
      <c r="K482">
        <v>0.3881</v>
      </c>
      <c r="L482">
        <v>3</v>
      </c>
      <c r="M482">
        <v>9</v>
      </c>
      <c r="N482">
        <v>12</v>
      </c>
      <c r="O482" t="s">
        <v>29</v>
      </c>
      <c r="P482" t="s">
        <v>30</v>
      </c>
      <c r="Q482" t="s">
        <v>41</v>
      </c>
      <c r="R482" t="s">
        <v>32</v>
      </c>
      <c r="S482" t="s">
        <v>55</v>
      </c>
      <c r="T482" t="s">
        <v>49</v>
      </c>
      <c r="U482" t="s">
        <v>53</v>
      </c>
      <c r="V482" t="s">
        <v>36</v>
      </c>
      <c r="W482" t="s">
        <v>37</v>
      </c>
      <c r="X482">
        <v>25</v>
      </c>
      <c r="Y482">
        <v>75</v>
      </c>
      <c r="Z482" t="s">
        <v>38</v>
      </c>
      <c r="AA482" t="s">
        <v>39</v>
      </c>
      <c r="AB482" t="s">
        <v>40</v>
      </c>
      <c r="AC482">
        <v>-0.04</v>
      </c>
    </row>
    <row r="483" spans="1:29" x14ac:dyDescent="0.3">
      <c r="A483">
        <v>482</v>
      </c>
      <c r="B483" s="1">
        <v>40565</v>
      </c>
      <c r="C483">
        <v>1</v>
      </c>
      <c r="D483">
        <v>2</v>
      </c>
      <c r="E483" t="b">
        <v>0</v>
      </c>
      <c r="F483">
        <v>6</v>
      </c>
      <c r="G483">
        <v>2</v>
      </c>
      <c r="H483">
        <v>0.04</v>
      </c>
      <c r="I483">
        <v>3.0300000000000001E-2</v>
      </c>
      <c r="J483">
        <v>0.41</v>
      </c>
      <c r="K483">
        <v>0.25369999999999998</v>
      </c>
      <c r="L483">
        <v>0</v>
      </c>
      <c r="M483">
        <v>11</v>
      </c>
      <c r="N483">
        <v>11</v>
      </c>
      <c r="O483" t="s">
        <v>29</v>
      </c>
      <c r="P483" t="s">
        <v>30</v>
      </c>
      <c r="Q483" t="s">
        <v>41</v>
      </c>
      <c r="R483" t="s">
        <v>32</v>
      </c>
      <c r="S483" t="s">
        <v>55</v>
      </c>
      <c r="T483" t="s">
        <v>49</v>
      </c>
      <c r="U483" t="s">
        <v>46</v>
      </c>
      <c r="V483" t="s">
        <v>36</v>
      </c>
      <c r="W483" t="s">
        <v>37</v>
      </c>
      <c r="X483">
        <v>0</v>
      </c>
      <c r="Y483">
        <v>100</v>
      </c>
      <c r="Z483" t="s">
        <v>38</v>
      </c>
      <c r="AA483" t="s">
        <v>39</v>
      </c>
      <c r="AB483" t="s">
        <v>40</v>
      </c>
      <c r="AC483">
        <v>-9.7000000000000003E-3</v>
      </c>
    </row>
    <row r="484" spans="1:29" x14ac:dyDescent="0.3">
      <c r="A484">
        <v>483</v>
      </c>
      <c r="B484" s="1">
        <v>40565</v>
      </c>
      <c r="C484">
        <v>1</v>
      </c>
      <c r="D484">
        <v>3</v>
      </c>
      <c r="E484" t="b">
        <v>0</v>
      </c>
      <c r="F484">
        <v>6</v>
      </c>
      <c r="G484">
        <v>2</v>
      </c>
      <c r="H484">
        <v>0.04</v>
      </c>
      <c r="I484">
        <v>3.0300000000000001E-2</v>
      </c>
      <c r="J484">
        <v>0.41</v>
      </c>
      <c r="K484">
        <v>0.28360000000000002</v>
      </c>
      <c r="L484">
        <v>1</v>
      </c>
      <c r="M484">
        <v>6</v>
      </c>
      <c r="N484">
        <v>7</v>
      </c>
      <c r="O484" t="s">
        <v>29</v>
      </c>
      <c r="P484" t="s">
        <v>30</v>
      </c>
      <c r="Q484" t="s">
        <v>41</v>
      </c>
      <c r="R484" t="s">
        <v>32</v>
      </c>
      <c r="S484" t="s">
        <v>55</v>
      </c>
      <c r="T484" t="s">
        <v>49</v>
      </c>
      <c r="U484" t="s">
        <v>46</v>
      </c>
      <c r="V484" t="s">
        <v>36</v>
      </c>
      <c r="W484" t="s">
        <v>37</v>
      </c>
      <c r="X484">
        <v>14.285714285714279</v>
      </c>
      <c r="Y484">
        <v>85.714285714285708</v>
      </c>
      <c r="Z484" t="s">
        <v>38</v>
      </c>
      <c r="AA484" t="s">
        <v>39</v>
      </c>
      <c r="AB484" t="s">
        <v>40</v>
      </c>
      <c r="AC484">
        <v>-9.7000000000000003E-3</v>
      </c>
    </row>
    <row r="485" spans="1:29" x14ac:dyDescent="0.3">
      <c r="A485">
        <v>484</v>
      </c>
      <c r="B485" s="1">
        <v>40565</v>
      </c>
      <c r="C485">
        <v>1</v>
      </c>
      <c r="D485">
        <v>4</v>
      </c>
      <c r="E485" t="b">
        <v>0</v>
      </c>
      <c r="F485">
        <v>6</v>
      </c>
      <c r="G485">
        <v>2</v>
      </c>
      <c r="H485">
        <v>0.02</v>
      </c>
      <c r="I485">
        <v>1.52E-2</v>
      </c>
      <c r="J485">
        <v>0.48</v>
      </c>
      <c r="K485">
        <v>0.29849999999999999</v>
      </c>
      <c r="L485">
        <v>0</v>
      </c>
      <c r="M485">
        <v>3</v>
      </c>
      <c r="N485">
        <v>3</v>
      </c>
      <c r="O485" t="s">
        <v>29</v>
      </c>
      <c r="P485" t="s">
        <v>30</v>
      </c>
      <c r="Q485" t="s">
        <v>41</v>
      </c>
      <c r="R485" t="s">
        <v>32</v>
      </c>
      <c r="S485" t="s">
        <v>55</v>
      </c>
      <c r="T485" t="s">
        <v>49</v>
      </c>
      <c r="U485" t="s">
        <v>46</v>
      </c>
      <c r="V485" t="s">
        <v>36</v>
      </c>
      <c r="W485" t="s">
        <v>37</v>
      </c>
      <c r="X485">
        <v>0</v>
      </c>
      <c r="Y485">
        <v>100</v>
      </c>
      <c r="Z485" t="s">
        <v>38</v>
      </c>
      <c r="AA485" t="s">
        <v>39</v>
      </c>
      <c r="AB485" t="s">
        <v>40</v>
      </c>
      <c r="AC485">
        <v>-4.7999999999999996E-3</v>
      </c>
    </row>
    <row r="486" spans="1:29" x14ac:dyDescent="0.3">
      <c r="A486">
        <v>485</v>
      </c>
      <c r="B486" s="1">
        <v>40565</v>
      </c>
      <c r="C486">
        <v>1</v>
      </c>
      <c r="D486">
        <v>6</v>
      </c>
      <c r="E486" t="b">
        <v>0</v>
      </c>
      <c r="F486">
        <v>6</v>
      </c>
      <c r="G486">
        <v>2</v>
      </c>
      <c r="H486">
        <v>0.02</v>
      </c>
      <c r="I486">
        <v>3.0300000000000001E-2</v>
      </c>
      <c r="J486">
        <v>0.44</v>
      </c>
      <c r="K486">
        <v>0.22389999999999999</v>
      </c>
      <c r="L486">
        <v>0</v>
      </c>
      <c r="M486">
        <v>2</v>
      </c>
      <c r="N486">
        <v>2</v>
      </c>
      <c r="O486" t="s">
        <v>29</v>
      </c>
      <c r="P486" t="s">
        <v>30</v>
      </c>
      <c r="Q486" t="s">
        <v>41</v>
      </c>
      <c r="R486" t="s">
        <v>42</v>
      </c>
      <c r="S486" t="s">
        <v>55</v>
      </c>
      <c r="T486" t="s">
        <v>49</v>
      </c>
      <c r="U486" t="s">
        <v>46</v>
      </c>
      <c r="V486" t="s">
        <v>36</v>
      </c>
      <c r="W486" t="s">
        <v>37</v>
      </c>
      <c r="X486">
        <v>0</v>
      </c>
      <c r="Y486">
        <v>100</v>
      </c>
      <c r="Z486" t="s">
        <v>38</v>
      </c>
      <c r="AA486" t="s">
        <v>39</v>
      </c>
      <c r="AB486" t="s">
        <v>40</v>
      </c>
      <c r="AC486">
        <v>1.03E-2</v>
      </c>
    </row>
    <row r="487" spans="1:29" x14ac:dyDescent="0.3">
      <c r="A487">
        <v>486</v>
      </c>
      <c r="B487" s="1">
        <v>40565</v>
      </c>
      <c r="C487">
        <v>1</v>
      </c>
      <c r="D487">
        <v>7</v>
      </c>
      <c r="E487" t="b">
        <v>0</v>
      </c>
      <c r="F487">
        <v>6</v>
      </c>
      <c r="G487">
        <v>1</v>
      </c>
      <c r="H487">
        <v>0.02</v>
      </c>
      <c r="I487">
        <v>1.52E-2</v>
      </c>
      <c r="J487">
        <v>0.44</v>
      </c>
      <c r="K487">
        <v>0.28360000000000002</v>
      </c>
      <c r="L487">
        <v>0</v>
      </c>
      <c r="M487">
        <v>8</v>
      </c>
      <c r="N487">
        <v>8</v>
      </c>
      <c r="O487" t="s">
        <v>29</v>
      </c>
      <c r="P487" t="s">
        <v>30</v>
      </c>
      <c r="Q487" t="s">
        <v>31</v>
      </c>
      <c r="R487" t="s">
        <v>42</v>
      </c>
      <c r="S487" t="s">
        <v>55</v>
      </c>
      <c r="T487" t="s">
        <v>49</v>
      </c>
      <c r="U487" t="s">
        <v>46</v>
      </c>
      <c r="V487" t="s">
        <v>36</v>
      </c>
      <c r="W487" t="s">
        <v>37</v>
      </c>
      <c r="X487">
        <v>0</v>
      </c>
      <c r="Y487">
        <v>100</v>
      </c>
      <c r="Z487" t="s">
        <v>40</v>
      </c>
      <c r="AA487" t="s">
        <v>39</v>
      </c>
      <c r="AB487" t="s">
        <v>40</v>
      </c>
      <c r="AC487">
        <v>-4.7999999999999996E-3</v>
      </c>
    </row>
    <row r="488" spans="1:29" x14ac:dyDescent="0.3">
      <c r="A488">
        <v>487</v>
      </c>
      <c r="B488" s="1">
        <v>40565</v>
      </c>
      <c r="C488">
        <v>1</v>
      </c>
      <c r="D488">
        <v>8</v>
      </c>
      <c r="E488" t="b">
        <v>0</v>
      </c>
      <c r="F488">
        <v>6</v>
      </c>
      <c r="G488">
        <v>1</v>
      </c>
      <c r="H488">
        <v>0.02</v>
      </c>
      <c r="I488">
        <v>0</v>
      </c>
      <c r="J488">
        <v>0.44</v>
      </c>
      <c r="K488">
        <v>0.32840000000000003</v>
      </c>
      <c r="L488">
        <v>1</v>
      </c>
      <c r="M488">
        <v>26</v>
      </c>
      <c r="N488">
        <v>27</v>
      </c>
      <c r="O488" t="s">
        <v>29</v>
      </c>
      <c r="P488" t="s">
        <v>30</v>
      </c>
      <c r="Q488" t="s">
        <v>31</v>
      </c>
      <c r="R488" t="s">
        <v>42</v>
      </c>
      <c r="S488" t="s">
        <v>55</v>
      </c>
      <c r="T488" t="s">
        <v>49</v>
      </c>
      <c r="U488" t="s">
        <v>53</v>
      </c>
      <c r="V488" t="s">
        <v>36</v>
      </c>
      <c r="W488" t="s">
        <v>37</v>
      </c>
      <c r="X488">
        <v>3.7037037037037028</v>
      </c>
      <c r="Y488">
        <v>96.296296296296291</v>
      </c>
      <c r="Z488" t="s">
        <v>40</v>
      </c>
      <c r="AA488" t="s">
        <v>39</v>
      </c>
      <c r="AB488" t="s">
        <v>40</v>
      </c>
      <c r="AC488">
        <v>-0.02</v>
      </c>
    </row>
    <row r="489" spans="1:29" x14ac:dyDescent="0.3">
      <c r="A489">
        <v>488</v>
      </c>
      <c r="B489" s="1">
        <v>40565</v>
      </c>
      <c r="C489">
        <v>1</v>
      </c>
      <c r="D489">
        <v>9</v>
      </c>
      <c r="E489" t="b">
        <v>0</v>
      </c>
      <c r="F489">
        <v>6</v>
      </c>
      <c r="G489">
        <v>1</v>
      </c>
      <c r="H489">
        <v>0.04</v>
      </c>
      <c r="I489">
        <v>3.0300000000000001E-2</v>
      </c>
      <c r="J489">
        <v>0.41</v>
      </c>
      <c r="K489">
        <v>0.25369999999999998</v>
      </c>
      <c r="L489">
        <v>3</v>
      </c>
      <c r="M489">
        <v>37</v>
      </c>
      <c r="N489">
        <v>40</v>
      </c>
      <c r="O489" t="s">
        <v>29</v>
      </c>
      <c r="P489" t="s">
        <v>30</v>
      </c>
      <c r="Q489" t="s">
        <v>31</v>
      </c>
      <c r="R489" t="s">
        <v>42</v>
      </c>
      <c r="S489" t="s">
        <v>55</v>
      </c>
      <c r="T489" t="s">
        <v>49</v>
      </c>
      <c r="U489" t="s">
        <v>46</v>
      </c>
      <c r="V489" t="s">
        <v>36</v>
      </c>
      <c r="W489" t="s">
        <v>37</v>
      </c>
      <c r="X489">
        <v>7.5</v>
      </c>
      <c r="Y489">
        <v>92.5</v>
      </c>
      <c r="Z489" t="s">
        <v>40</v>
      </c>
      <c r="AA489" t="s">
        <v>39</v>
      </c>
      <c r="AB489" t="s">
        <v>40</v>
      </c>
      <c r="AC489">
        <v>-9.7000000000000003E-3</v>
      </c>
    </row>
    <row r="490" spans="1:29" x14ac:dyDescent="0.3">
      <c r="A490">
        <v>489</v>
      </c>
      <c r="B490" s="1">
        <v>40565</v>
      </c>
      <c r="C490">
        <v>1</v>
      </c>
      <c r="D490">
        <v>10</v>
      </c>
      <c r="E490" t="b">
        <v>0</v>
      </c>
      <c r="F490">
        <v>6</v>
      </c>
      <c r="G490">
        <v>2</v>
      </c>
      <c r="H490">
        <v>0.04</v>
      </c>
      <c r="I490">
        <v>6.0600000000000001E-2</v>
      </c>
      <c r="J490">
        <v>0.41</v>
      </c>
      <c r="K490">
        <v>0.16420000000000001</v>
      </c>
      <c r="L490">
        <v>3</v>
      </c>
      <c r="M490">
        <v>50</v>
      </c>
      <c r="N490">
        <v>53</v>
      </c>
      <c r="O490" t="s">
        <v>29</v>
      </c>
      <c r="P490" t="s">
        <v>30</v>
      </c>
      <c r="Q490" t="s">
        <v>41</v>
      </c>
      <c r="R490" t="s">
        <v>42</v>
      </c>
      <c r="S490" t="s">
        <v>55</v>
      </c>
      <c r="T490" t="s">
        <v>49</v>
      </c>
      <c r="U490" t="s">
        <v>46</v>
      </c>
      <c r="V490" t="s">
        <v>36</v>
      </c>
      <c r="W490" t="s">
        <v>37</v>
      </c>
      <c r="X490">
        <v>5.6603773584905666</v>
      </c>
      <c r="Y490">
        <v>94.339622641509436</v>
      </c>
      <c r="Z490" t="s">
        <v>38</v>
      </c>
      <c r="AA490" t="s">
        <v>39</v>
      </c>
      <c r="AB490" t="s">
        <v>40</v>
      </c>
      <c r="AC490">
        <v>2.06E-2</v>
      </c>
    </row>
    <row r="491" spans="1:29" x14ac:dyDescent="0.3">
      <c r="A491">
        <v>490</v>
      </c>
      <c r="B491" s="1">
        <v>40565</v>
      </c>
      <c r="C491">
        <v>1</v>
      </c>
      <c r="D491">
        <v>11</v>
      </c>
      <c r="E491" t="b">
        <v>0</v>
      </c>
      <c r="F491">
        <v>6</v>
      </c>
      <c r="G491">
        <v>2</v>
      </c>
      <c r="H491">
        <v>0.06</v>
      </c>
      <c r="I491">
        <v>7.5800000000000006E-2</v>
      </c>
      <c r="J491">
        <v>0.38</v>
      </c>
      <c r="K491">
        <v>0.1343</v>
      </c>
      <c r="L491">
        <v>4</v>
      </c>
      <c r="M491">
        <v>59</v>
      </c>
      <c r="N491">
        <v>63</v>
      </c>
      <c r="O491" t="s">
        <v>29</v>
      </c>
      <c r="P491" t="s">
        <v>30</v>
      </c>
      <c r="Q491" t="s">
        <v>41</v>
      </c>
      <c r="R491" t="s">
        <v>42</v>
      </c>
      <c r="S491" t="s">
        <v>55</v>
      </c>
      <c r="T491" t="s">
        <v>39</v>
      </c>
      <c r="U491" t="s">
        <v>35</v>
      </c>
      <c r="V491" t="s">
        <v>36</v>
      </c>
      <c r="W491" t="s">
        <v>37</v>
      </c>
      <c r="X491">
        <v>6.3492063492063489</v>
      </c>
      <c r="Y491">
        <v>93.650793650793645</v>
      </c>
      <c r="Z491" t="s">
        <v>38</v>
      </c>
      <c r="AA491" t="s">
        <v>39</v>
      </c>
      <c r="AB491" t="s">
        <v>40</v>
      </c>
      <c r="AC491">
        <v>1.5800000000000008E-2</v>
      </c>
    </row>
    <row r="492" spans="1:29" x14ac:dyDescent="0.3">
      <c r="A492">
        <v>491</v>
      </c>
      <c r="B492" s="1">
        <v>40565</v>
      </c>
      <c r="C492">
        <v>1</v>
      </c>
      <c r="D492">
        <v>12</v>
      </c>
      <c r="E492" t="b">
        <v>0</v>
      </c>
      <c r="F492">
        <v>6</v>
      </c>
      <c r="G492">
        <v>2</v>
      </c>
      <c r="H492">
        <v>0.06</v>
      </c>
      <c r="I492">
        <v>0.1061</v>
      </c>
      <c r="J492">
        <v>0.38</v>
      </c>
      <c r="K492">
        <v>0.1045</v>
      </c>
      <c r="L492">
        <v>10</v>
      </c>
      <c r="M492">
        <v>60</v>
      </c>
      <c r="N492">
        <v>70</v>
      </c>
      <c r="O492" t="s">
        <v>29</v>
      </c>
      <c r="P492" t="s">
        <v>30</v>
      </c>
      <c r="Q492" t="s">
        <v>41</v>
      </c>
      <c r="R492" t="s">
        <v>47</v>
      </c>
      <c r="S492" t="s">
        <v>55</v>
      </c>
      <c r="T492" t="s">
        <v>39</v>
      </c>
      <c r="U492" t="s">
        <v>35</v>
      </c>
      <c r="V492" t="s">
        <v>36</v>
      </c>
      <c r="W492" t="s">
        <v>37</v>
      </c>
      <c r="X492">
        <v>14.285714285714279</v>
      </c>
      <c r="Y492">
        <v>85.714285714285708</v>
      </c>
      <c r="Z492" t="s">
        <v>38</v>
      </c>
      <c r="AA492" t="s">
        <v>39</v>
      </c>
      <c r="AB492" t="s">
        <v>40</v>
      </c>
      <c r="AC492">
        <v>4.6100000000000002E-2</v>
      </c>
    </row>
    <row r="493" spans="1:29" x14ac:dyDescent="0.3">
      <c r="A493">
        <v>492</v>
      </c>
      <c r="B493" s="1">
        <v>40565</v>
      </c>
      <c r="C493">
        <v>1</v>
      </c>
      <c r="D493">
        <v>13</v>
      </c>
      <c r="E493" t="b">
        <v>0</v>
      </c>
      <c r="F493">
        <v>6</v>
      </c>
      <c r="G493">
        <v>1</v>
      </c>
      <c r="H493">
        <v>0.08</v>
      </c>
      <c r="I493">
        <v>0.16669999999999999</v>
      </c>
      <c r="J493">
        <v>0.35</v>
      </c>
      <c r="K493">
        <v>0</v>
      </c>
      <c r="L493">
        <v>12</v>
      </c>
      <c r="M493">
        <v>72</v>
      </c>
      <c r="N493">
        <v>84</v>
      </c>
      <c r="O493" t="s">
        <v>29</v>
      </c>
      <c r="P493" t="s">
        <v>30</v>
      </c>
      <c r="Q493" t="s">
        <v>31</v>
      </c>
      <c r="R493" t="s">
        <v>47</v>
      </c>
      <c r="S493" t="s">
        <v>55</v>
      </c>
      <c r="T493" t="s">
        <v>39</v>
      </c>
      <c r="U493" t="s">
        <v>35</v>
      </c>
      <c r="V493" t="s">
        <v>36</v>
      </c>
      <c r="W493" t="s">
        <v>37</v>
      </c>
      <c r="X493">
        <v>14.285714285714279</v>
      </c>
      <c r="Y493">
        <v>85.714285714285708</v>
      </c>
      <c r="Z493" t="s">
        <v>38</v>
      </c>
      <c r="AA493" t="s">
        <v>39</v>
      </c>
      <c r="AB493" t="s">
        <v>40</v>
      </c>
      <c r="AC493">
        <v>8.6699999999999985E-2</v>
      </c>
    </row>
    <row r="494" spans="1:29" x14ac:dyDescent="0.3">
      <c r="A494">
        <v>493</v>
      </c>
      <c r="B494" s="1">
        <v>40565</v>
      </c>
      <c r="C494">
        <v>1</v>
      </c>
      <c r="D494">
        <v>14</v>
      </c>
      <c r="E494" t="b">
        <v>0</v>
      </c>
      <c r="F494">
        <v>6</v>
      </c>
      <c r="G494">
        <v>1</v>
      </c>
      <c r="H494">
        <v>0.1</v>
      </c>
      <c r="I494">
        <v>0.13639999999999999</v>
      </c>
      <c r="J494">
        <v>0.33</v>
      </c>
      <c r="K494">
        <v>0.1045</v>
      </c>
      <c r="L494">
        <v>11</v>
      </c>
      <c r="M494">
        <v>64</v>
      </c>
      <c r="N494">
        <v>75</v>
      </c>
      <c r="O494" t="s">
        <v>29</v>
      </c>
      <c r="P494" t="s">
        <v>30</v>
      </c>
      <c r="Q494" t="s">
        <v>31</v>
      </c>
      <c r="R494" t="s">
        <v>47</v>
      </c>
      <c r="S494" t="s">
        <v>55</v>
      </c>
      <c r="T494" t="s">
        <v>39</v>
      </c>
      <c r="U494" t="s">
        <v>35</v>
      </c>
      <c r="V494" t="s">
        <v>36</v>
      </c>
      <c r="W494" t="s">
        <v>37</v>
      </c>
      <c r="X494">
        <v>14.66666666666667</v>
      </c>
      <c r="Y494">
        <v>85.333333333333343</v>
      </c>
      <c r="Z494" t="s">
        <v>38</v>
      </c>
      <c r="AA494" t="s">
        <v>39</v>
      </c>
      <c r="AB494" t="s">
        <v>40</v>
      </c>
      <c r="AC494">
        <v>3.6399999999999988E-2</v>
      </c>
    </row>
    <row r="495" spans="1:29" x14ac:dyDescent="0.3">
      <c r="A495">
        <v>494</v>
      </c>
      <c r="B495" s="1">
        <v>40565</v>
      </c>
      <c r="C495">
        <v>1</v>
      </c>
      <c r="D495">
        <v>15</v>
      </c>
      <c r="E495" t="b">
        <v>0</v>
      </c>
      <c r="F495">
        <v>6</v>
      </c>
      <c r="G495">
        <v>1</v>
      </c>
      <c r="H495">
        <v>0.12</v>
      </c>
      <c r="I495">
        <v>0.1515</v>
      </c>
      <c r="J495">
        <v>0.28000000000000003</v>
      </c>
      <c r="K495">
        <v>0</v>
      </c>
      <c r="L495">
        <v>10</v>
      </c>
      <c r="M495">
        <v>93</v>
      </c>
      <c r="N495">
        <v>103</v>
      </c>
      <c r="O495" t="s">
        <v>29</v>
      </c>
      <c r="P495" t="s">
        <v>30</v>
      </c>
      <c r="Q495" t="s">
        <v>31</v>
      </c>
      <c r="R495" t="s">
        <v>47</v>
      </c>
      <c r="S495" t="s">
        <v>55</v>
      </c>
      <c r="T495" t="s">
        <v>39</v>
      </c>
      <c r="U495" t="s">
        <v>35</v>
      </c>
      <c r="V495" t="s">
        <v>36</v>
      </c>
      <c r="W495" t="s">
        <v>37</v>
      </c>
      <c r="X495">
        <v>9.7087378640776691</v>
      </c>
      <c r="Y495">
        <v>90.291262135922338</v>
      </c>
      <c r="Z495" t="s">
        <v>38</v>
      </c>
      <c r="AA495" t="s">
        <v>49</v>
      </c>
      <c r="AB495" t="s">
        <v>40</v>
      </c>
      <c r="AC495">
        <v>3.15E-2</v>
      </c>
    </row>
    <row r="496" spans="1:29" x14ac:dyDescent="0.3">
      <c r="A496">
        <v>495</v>
      </c>
      <c r="B496" s="1">
        <v>40565</v>
      </c>
      <c r="C496">
        <v>1</v>
      </c>
      <c r="D496">
        <v>16</v>
      </c>
      <c r="E496" t="b">
        <v>0</v>
      </c>
      <c r="F496">
        <v>6</v>
      </c>
      <c r="G496">
        <v>1</v>
      </c>
      <c r="H496">
        <v>0.12</v>
      </c>
      <c r="I496">
        <v>0.13639999999999999</v>
      </c>
      <c r="J496">
        <v>0.28000000000000003</v>
      </c>
      <c r="K496">
        <v>0.19400000000000001</v>
      </c>
      <c r="L496">
        <v>11</v>
      </c>
      <c r="M496">
        <v>72</v>
      </c>
      <c r="N496">
        <v>83</v>
      </c>
      <c r="O496" t="s">
        <v>29</v>
      </c>
      <c r="P496" t="s">
        <v>30</v>
      </c>
      <c r="Q496" t="s">
        <v>31</v>
      </c>
      <c r="R496" t="s">
        <v>47</v>
      </c>
      <c r="S496" t="s">
        <v>55</v>
      </c>
      <c r="T496" t="s">
        <v>39</v>
      </c>
      <c r="U496" t="s">
        <v>46</v>
      </c>
      <c r="V496" t="s">
        <v>36</v>
      </c>
      <c r="W496" t="s">
        <v>37</v>
      </c>
      <c r="X496">
        <v>13.253012048192771</v>
      </c>
      <c r="Y496">
        <v>86.746987951807228</v>
      </c>
      <c r="Z496" t="s">
        <v>38</v>
      </c>
      <c r="AA496" t="s">
        <v>39</v>
      </c>
      <c r="AB496" t="s">
        <v>40</v>
      </c>
      <c r="AC496">
        <v>1.6400000000000001E-2</v>
      </c>
    </row>
    <row r="497" spans="1:29" x14ac:dyDescent="0.3">
      <c r="A497">
        <v>496</v>
      </c>
      <c r="B497" s="1">
        <v>40565</v>
      </c>
      <c r="C497">
        <v>1</v>
      </c>
      <c r="D497">
        <v>17</v>
      </c>
      <c r="E497" t="b">
        <v>0</v>
      </c>
      <c r="F497">
        <v>6</v>
      </c>
      <c r="G497">
        <v>1</v>
      </c>
      <c r="H497">
        <v>0.12</v>
      </c>
      <c r="I497">
        <v>0.19700000000000001</v>
      </c>
      <c r="J497">
        <v>0.28000000000000003</v>
      </c>
      <c r="K497">
        <v>0</v>
      </c>
      <c r="L497">
        <v>8</v>
      </c>
      <c r="M497">
        <v>59</v>
      </c>
      <c r="N497">
        <v>67</v>
      </c>
      <c r="O497" t="s">
        <v>29</v>
      </c>
      <c r="P497" t="s">
        <v>30</v>
      </c>
      <c r="Q497" t="s">
        <v>31</v>
      </c>
      <c r="R497" t="s">
        <v>50</v>
      </c>
      <c r="S497" t="s">
        <v>55</v>
      </c>
      <c r="T497" t="s">
        <v>39</v>
      </c>
      <c r="U497" t="s">
        <v>35</v>
      </c>
      <c r="V497" t="s">
        <v>36</v>
      </c>
      <c r="W497" t="s">
        <v>37</v>
      </c>
      <c r="X497">
        <v>11.940298507462691</v>
      </c>
      <c r="Y497">
        <v>88.059701492537314</v>
      </c>
      <c r="Z497" t="s">
        <v>40</v>
      </c>
      <c r="AA497" t="s">
        <v>39</v>
      </c>
      <c r="AB497" t="s">
        <v>40</v>
      </c>
      <c r="AC497">
        <v>7.7000000000000013E-2</v>
      </c>
    </row>
    <row r="498" spans="1:29" x14ac:dyDescent="0.3">
      <c r="A498">
        <v>497</v>
      </c>
      <c r="B498" s="1">
        <v>40565</v>
      </c>
      <c r="C498">
        <v>1</v>
      </c>
      <c r="D498">
        <v>18</v>
      </c>
      <c r="E498" t="b">
        <v>0</v>
      </c>
      <c r="F498">
        <v>6</v>
      </c>
      <c r="G498">
        <v>1</v>
      </c>
      <c r="H498">
        <v>0.08</v>
      </c>
      <c r="I498">
        <v>9.0899999999999995E-2</v>
      </c>
      <c r="J498">
        <v>0.35</v>
      </c>
      <c r="K498">
        <v>0.19400000000000001</v>
      </c>
      <c r="L498">
        <v>0</v>
      </c>
      <c r="M498">
        <v>54</v>
      </c>
      <c r="N498">
        <v>54</v>
      </c>
      <c r="O498" t="s">
        <v>29</v>
      </c>
      <c r="P498" t="s">
        <v>30</v>
      </c>
      <c r="Q498" t="s">
        <v>31</v>
      </c>
      <c r="R498" t="s">
        <v>50</v>
      </c>
      <c r="S498" t="s">
        <v>55</v>
      </c>
      <c r="T498" t="s">
        <v>39</v>
      </c>
      <c r="U498" t="s">
        <v>46</v>
      </c>
      <c r="V498" t="s">
        <v>36</v>
      </c>
      <c r="W498" t="s">
        <v>37</v>
      </c>
      <c r="X498">
        <v>0</v>
      </c>
      <c r="Y498">
        <v>100</v>
      </c>
      <c r="Z498" t="s">
        <v>40</v>
      </c>
      <c r="AA498" t="s">
        <v>39</v>
      </c>
      <c r="AB498" t="s">
        <v>40</v>
      </c>
      <c r="AC498">
        <v>1.089999999999999E-2</v>
      </c>
    </row>
    <row r="499" spans="1:29" x14ac:dyDescent="0.3">
      <c r="A499">
        <v>498</v>
      </c>
      <c r="B499" s="1">
        <v>40565</v>
      </c>
      <c r="C499">
        <v>1</v>
      </c>
      <c r="D499">
        <v>19</v>
      </c>
      <c r="E499" t="b">
        <v>0</v>
      </c>
      <c r="F499">
        <v>6</v>
      </c>
      <c r="G499">
        <v>1</v>
      </c>
      <c r="H499">
        <v>0.08</v>
      </c>
      <c r="I499">
        <v>0.1061</v>
      </c>
      <c r="J499">
        <v>0.35</v>
      </c>
      <c r="K499">
        <v>0.1343</v>
      </c>
      <c r="L499">
        <v>6</v>
      </c>
      <c r="M499">
        <v>53</v>
      </c>
      <c r="N499">
        <v>59</v>
      </c>
      <c r="O499" t="s">
        <v>29</v>
      </c>
      <c r="P499" t="s">
        <v>30</v>
      </c>
      <c r="Q499" t="s">
        <v>31</v>
      </c>
      <c r="R499" t="s">
        <v>50</v>
      </c>
      <c r="S499" t="s">
        <v>55</v>
      </c>
      <c r="T499" t="s">
        <v>39</v>
      </c>
      <c r="U499" t="s">
        <v>35</v>
      </c>
      <c r="V499" t="s">
        <v>36</v>
      </c>
      <c r="W499" t="s">
        <v>37</v>
      </c>
      <c r="X499">
        <v>10.16949152542373</v>
      </c>
      <c r="Y499">
        <v>89.830508474576277</v>
      </c>
      <c r="Z499" t="s">
        <v>40</v>
      </c>
      <c r="AA499" t="s">
        <v>39</v>
      </c>
      <c r="AB499" t="s">
        <v>40</v>
      </c>
      <c r="AC499">
        <v>2.6100000000000002E-2</v>
      </c>
    </row>
    <row r="500" spans="1:29" x14ac:dyDescent="0.3">
      <c r="A500">
        <v>499</v>
      </c>
      <c r="B500" s="1">
        <v>40565</v>
      </c>
      <c r="C500">
        <v>1</v>
      </c>
      <c r="D500">
        <v>20</v>
      </c>
      <c r="E500" t="b">
        <v>0</v>
      </c>
      <c r="F500">
        <v>6</v>
      </c>
      <c r="G500">
        <v>1</v>
      </c>
      <c r="H500">
        <v>0.06</v>
      </c>
      <c r="I500">
        <v>7.5800000000000006E-2</v>
      </c>
      <c r="J500">
        <v>0.45</v>
      </c>
      <c r="K500">
        <v>0.16420000000000001</v>
      </c>
      <c r="L500">
        <v>1</v>
      </c>
      <c r="M500">
        <v>44</v>
      </c>
      <c r="N500">
        <v>45</v>
      </c>
      <c r="O500" t="s">
        <v>29</v>
      </c>
      <c r="P500" t="s">
        <v>30</v>
      </c>
      <c r="Q500" t="s">
        <v>31</v>
      </c>
      <c r="R500" t="s">
        <v>50</v>
      </c>
      <c r="S500" t="s">
        <v>55</v>
      </c>
      <c r="T500" t="s">
        <v>49</v>
      </c>
      <c r="U500" t="s">
        <v>46</v>
      </c>
      <c r="V500" t="s">
        <v>36</v>
      </c>
      <c r="W500" t="s">
        <v>37</v>
      </c>
      <c r="X500">
        <v>2.2222222222222219</v>
      </c>
      <c r="Y500">
        <v>97.777777777777771</v>
      </c>
      <c r="Z500" t="s">
        <v>38</v>
      </c>
      <c r="AA500" t="s">
        <v>39</v>
      </c>
      <c r="AB500" t="s">
        <v>40</v>
      </c>
      <c r="AC500">
        <v>1.5800000000000008E-2</v>
      </c>
    </row>
    <row r="501" spans="1:29" x14ac:dyDescent="0.3">
      <c r="A501">
        <v>500</v>
      </c>
      <c r="B501" s="1">
        <v>40565</v>
      </c>
      <c r="C501">
        <v>1</v>
      </c>
      <c r="D501">
        <v>21</v>
      </c>
      <c r="E501" t="b">
        <v>0</v>
      </c>
      <c r="F501">
        <v>6</v>
      </c>
      <c r="G501">
        <v>1</v>
      </c>
      <c r="H501">
        <v>0.06</v>
      </c>
      <c r="I501">
        <v>0.1061</v>
      </c>
      <c r="J501">
        <v>0.41</v>
      </c>
      <c r="K501">
        <v>8.9599999999999999E-2</v>
      </c>
      <c r="L501">
        <v>0</v>
      </c>
      <c r="M501">
        <v>39</v>
      </c>
      <c r="N501">
        <v>39</v>
      </c>
      <c r="O501" t="s">
        <v>29</v>
      </c>
      <c r="P501" t="s">
        <v>30</v>
      </c>
      <c r="Q501" t="s">
        <v>31</v>
      </c>
      <c r="R501" t="s">
        <v>32</v>
      </c>
      <c r="S501" t="s">
        <v>55</v>
      </c>
      <c r="T501" t="s">
        <v>49</v>
      </c>
      <c r="U501" t="s">
        <v>35</v>
      </c>
      <c r="V501" t="s">
        <v>36</v>
      </c>
      <c r="W501" t="s">
        <v>37</v>
      </c>
      <c r="X501">
        <v>0</v>
      </c>
      <c r="Y501">
        <v>100</v>
      </c>
      <c r="Z501" t="s">
        <v>38</v>
      </c>
      <c r="AA501" t="s">
        <v>39</v>
      </c>
      <c r="AB501" t="s">
        <v>40</v>
      </c>
      <c r="AC501">
        <v>4.6100000000000002E-2</v>
      </c>
    </row>
    <row r="502" spans="1:29" x14ac:dyDescent="0.3">
      <c r="A502">
        <v>501</v>
      </c>
      <c r="B502" s="1">
        <v>40565</v>
      </c>
      <c r="C502">
        <v>1</v>
      </c>
      <c r="D502">
        <v>22</v>
      </c>
      <c r="E502" t="b">
        <v>0</v>
      </c>
      <c r="F502">
        <v>6</v>
      </c>
      <c r="G502">
        <v>1</v>
      </c>
      <c r="H502">
        <v>0.06</v>
      </c>
      <c r="I502">
        <v>0.1515</v>
      </c>
      <c r="J502">
        <v>0.49</v>
      </c>
      <c r="K502">
        <v>0</v>
      </c>
      <c r="L502">
        <v>7</v>
      </c>
      <c r="M502">
        <v>23</v>
      </c>
      <c r="N502">
        <v>30</v>
      </c>
      <c r="O502" t="s">
        <v>29</v>
      </c>
      <c r="P502" t="s">
        <v>30</v>
      </c>
      <c r="Q502" t="s">
        <v>31</v>
      </c>
      <c r="R502" t="s">
        <v>32</v>
      </c>
      <c r="S502" t="s">
        <v>55</v>
      </c>
      <c r="T502" t="s">
        <v>49</v>
      </c>
      <c r="U502" t="s">
        <v>35</v>
      </c>
      <c r="V502" t="s">
        <v>36</v>
      </c>
      <c r="W502" t="s">
        <v>37</v>
      </c>
      <c r="X502">
        <v>23.333333333333329</v>
      </c>
      <c r="Y502">
        <v>76.666666666666671</v>
      </c>
      <c r="Z502" t="s">
        <v>38</v>
      </c>
      <c r="AA502" t="s">
        <v>39</v>
      </c>
      <c r="AB502" t="s">
        <v>40</v>
      </c>
      <c r="AC502">
        <v>9.1499999999999998E-2</v>
      </c>
    </row>
    <row r="503" spans="1:29" x14ac:dyDescent="0.3">
      <c r="A503">
        <v>502</v>
      </c>
      <c r="B503" s="1">
        <v>40565</v>
      </c>
      <c r="C503">
        <v>1</v>
      </c>
      <c r="D503">
        <v>23</v>
      </c>
      <c r="E503" t="b">
        <v>0</v>
      </c>
      <c r="F503">
        <v>6</v>
      </c>
      <c r="G503">
        <v>1</v>
      </c>
      <c r="H503">
        <v>0.04</v>
      </c>
      <c r="I503">
        <v>7.5800000000000006E-2</v>
      </c>
      <c r="J503">
        <v>0.56999999999999995</v>
      </c>
      <c r="K503">
        <v>0.1045</v>
      </c>
      <c r="L503">
        <v>2</v>
      </c>
      <c r="M503">
        <v>31</v>
      </c>
      <c r="N503">
        <v>33</v>
      </c>
      <c r="O503" t="s">
        <v>29</v>
      </c>
      <c r="P503" t="s">
        <v>30</v>
      </c>
      <c r="Q503" t="s">
        <v>31</v>
      </c>
      <c r="R503" t="s">
        <v>32</v>
      </c>
      <c r="S503" t="s">
        <v>55</v>
      </c>
      <c r="T503" t="s">
        <v>49</v>
      </c>
      <c r="U503" t="s">
        <v>35</v>
      </c>
      <c r="V503" t="s">
        <v>36</v>
      </c>
      <c r="W503" t="s">
        <v>37</v>
      </c>
      <c r="X503">
        <v>6.0606060606060614</v>
      </c>
      <c r="Y503">
        <v>93.939393939393938</v>
      </c>
      <c r="Z503" t="s">
        <v>38</v>
      </c>
      <c r="AA503" t="s">
        <v>39</v>
      </c>
      <c r="AB503" t="s">
        <v>40</v>
      </c>
      <c r="AC503">
        <v>3.5800000000000012E-2</v>
      </c>
    </row>
    <row r="504" spans="1:29" x14ac:dyDescent="0.3">
      <c r="A504">
        <v>503</v>
      </c>
      <c r="B504" s="1">
        <v>40566</v>
      </c>
      <c r="C504">
        <v>1</v>
      </c>
      <c r="D504">
        <v>0</v>
      </c>
      <c r="E504" t="b">
        <v>0</v>
      </c>
      <c r="F504">
        <v>0</v>
      </c>
      <c r="G504">
        <v>1</v>
      </c>
      <c r="H504">
        <v>0.04</v>
      </c>
      <c r="I504">
        <v>7.5800000000000006E-2</v>
      </c>
      <c r="J504">
        <v>0.56999999999999995</v>
      </c>
      <c r="K504">
        <v>0.1045</v>
      </c>
      <c r="L504">
        <v>2</v>
      </c>
      <c r="M504">
        <v>20</v>
      </c>
      <c r="N504">
        <v>22</v>
      </c>
      <c r="O504" t="s">
        <v>29</v>
      </c>
      <c r="P504" t="s">
        <v>52</v>
      </c>
      <c r="Q504" t="s">
        <v>31</v>
      </c>
      <c r="R504" t="s">
        <v>32</v>
      </c>
      <c r="S504" t="s">
        <v>55</v>
      </c>
      <c r="T504" t="s">
        <v>49</v>
      </c>
      <c r="U504" t="s">
        <v>35</v>
      </c>
      <c r="V504" t="s">
        <v>36</v>
      </c>
      <c r="W504" t="s">
        <v>37</v>
      </c>
      <c r="X504">
        <v>9.0909090909090917</v>
      </c>
      <c r="Y504">
        <v>90.909090909090907</v>
      </c>
      <c r="Z504" t="s">
        <v>38</v>
      </c>
      <c r="AA504" t="s">
        <v>39</v>
      </c>
      <c r="AB504" t="s">
        <v>40</v>
      </c>
      <c r="AC504">
        <v>3.5800000000000012E-2</v>
      </c>
    </row>
    <row r="505" spans="1:29" x14ac:dyDescent="0.3">
      <c r="A505">
        <v>504</v>
      </c>
      <c r="B505" s="1">
        <v>40566</v>
      </c>
      <c r="C505">
        <v>1</v>
      </c>
      <c r="D505">
        <v>1</v>
      </c>
      <c r="E505" t="b">
        <v>0</v>
      </c>
      <c r="F505">
        <v>0</v>
      </c>
      <c r="G505">
        <v>1</v>
      </c>
      <c r="H505">
        <v>0.04</v>
      </c>
      <c r="I505">
        <v>7.5800000000000006E-2</v>
      </c>
      <c r="J505">
        <v>0.56999999999999995</v>
      </c>
      <c r="K505">
        <v>0.1045</v>
      </c>
      <c r="L505">
        <v>1</v>
      </c>
      <c r="M505">
        <v>12</v>
      </c>
      <c r="N505">
        <v>13</v>
      </c>
      <c r="O505" t="s">
        <v>29</v>
      </c>
      <c r="P505" t="s">
        <v>52</v>
      </c>
      <c r="Q505" t="s">
        <v>31</v>
      </c>
      <c r="R505" t="s">
        <v>32</v>
      </c>
      <c r="S505" t="s">
        <v>55</v>
      </c>
      <c r="T505" t="s">
        <v>49</v>
      </c>
      <c r="U505" t="s">
        <v>35</v>
      </c>
      <c r="V505" t="s">
        <v>36</v>
      </c>
      <c r="W505" t="s">
        <v>37</v>
      </c>
      <c r="X505">
        <v>7.6923076923076934</v>
      </c>
      <c r="Y505">
        <v>92.307692307692307</v>
      </c>
      <c r="Z505" t="s">
        <v>38</v>
      </c>
      <c r="AA505" t="s">
        <v>39</v>
      </c>
      <c r="AB505" t="s">
        <v>40</v>
      </c>
      <c r="AC505">
        <v>3.5800000000000012E-2</v>
      </c>
    </row>
    <row r="506" spans="1:29" x14ac:dyDescent="0.3">
      <c r="A506">
        <v>505</v>
      </c>
      <c r="B506" s="1">
        <v>40566</v>
      </c>
      <c r="C506">
        <v>1</v>
      </c>
      <c r="D506">
        <v>2</v>
      </c>
      <c r="E506" t="b">
        <v>0</v>
      </c>
      <c r="F506">
        <v>0</v>
      </c>
      <c r="G506">
        <v>1</v>
      </c>
      <c r="H506">
        <v>0.02</v>
      </c>
      <c r="I506">
        <v>6.0600000000000001E-2</v>
      </c>
      <c r="J506">
        <v>0.62</v>
      </c>
      <c r="K506">
        <v>0.1343</v>
      </c>
      <c r="L506">
        <v>3</v>
      </c>
      <c r="M506">
        <v>15</v>
      </c>
      <c r="N506">
        <v>18</v>
      </c>
      <c r="O506" t="s">
        <v>29</v>
      </c>
      <c r="P506" t="s">
        <v>52</v>
      </c>
      <c r="Q506" t="s">
        <v>31</v>
      </c>
      <c r="R506" t="s">
        <v>32</v>
      </c>
      <c r="S506" t="s">
        <v>55</v>
      </c>
      <c r="T506" t="s">
        <v>49</v>
      </c>
      <c r="U506" t="s">
        <v>35</v>
      </c>
      <c r="V506" t="s">
        <v>36</v>
      </c>
      <c r="W506" t="s">
        <v>37</v>
      </c>
      <c r="X506">
        <v>16.666666666666661</v>
      </c>
      <c r="Y506">
        <v>83.333333333333343</v>
      </c>
      <c r="Z506" t="s">
        <v>38</v>
      </c>
      <c r="AA506" t="s">
        <v>39</v>
      </c>
      <c r="AB506" t="s">
        <v>40</v>
      </c>
      <c r="AC506">
        <v>4.0599999999999997E-2</v>
      </c>
    </row>
    <row r="507" spans="1:29" x14ac:dyDescent="0.3">
      <c r="A507">
        <v>506</v>
      </c>
      <c r="B507" s="1">
        <v>40566</v>
      </c>
      <c r="C507">
        <v>1</v>
      </c>
      <c r="D507">
        <v>3</v>
      </c>
      <c r="E507" t="b">
        <v>0</v>
      </c>
      <c r="F507">
        <v>0</v>
      </c>
      <c r="G507">
        <v>1</v>
      </c>
      <c r="H507">
        <v>0.02</v>
      </c>
      <c r="I507">
        <v>6.0600000000000001E-2</v>
      </c>
      <c r="J507">
        <v>0.62</v>
      </c>
      <c r="K507">
        <v>0.1343</v>
      </c>
      <c r="L507">
        <v>1</v>
      </c>
      <c r="M507">
        <v>4</v>
      </c>
      <c r="N507">
        <v>5</v>
      </c>
      <c r="O507" t="s">
        <v>29</v>
      </c>
      <c r="P507" t="s">
        <v>52</v>
      </c>
      <c r="Q507" t="s">
        <v>31</v>
      </c>
      <c r="R507" t="s">
        <v>32</v>
      </c>
      <c r="S507" t="s">
        <v>55</v>
      </c>
      <c r="T507" t="s">
        <v>49</v>
      </c>
      <c r="U507" t="s">
        <v>35</v>
      </c>
      <c r="V507" t="s">
        <v>36</v>
      </c>
      <c r="W507" t="s">
        <v>37</v>
      </c>
      <c r="X507">
        <v>20</v>
      </c>
      <c r="Y507">
        <v>80</v>
      </c>
      <c r="Z507" t="s">
        <v>38</v>
      </c>
      <c r="AA507" t="s">
        <v>39</v>
      </c>
      <c r="AB507" t="s">
        <v>40</v>
      </c>
      <c r="AC507">
        <v>4.0599999999999997E-2</v>
      </c>
    </row>
    <row r="508" spans="1:29" x14ac:dyDescent="0.3">
      <c r="A508">
        <v>507</v>
      </c>
      <c r="B508" s="1">
        <v>40566</v>
      </c>
      <c r="C508">
        <v>1</v>
      </c>
      <c r="D508">
        <v>5</v>
      </c>
      <c r="E508" t="b">
        <v>0</v>
      </c>
      <c r="F508">
        <v>0</v>
      </c>
      <c r="G508">
        <v>2</v>
      </c>
      <c r="H508">
        <v>0.04</v>
      </c>
      <c r="I508">
        <v>7.5800000000000006E-2</v>
      </c>
      <c r="J508">
        <v>0.56999999999999995</v>
      </c>
      <c r="K508">
        <v>0.1045</v>
      </c>
      <c r="L508">
        <v>0</v>
      </c>
      <c r="M508">
        <v>3</v>
      </c>
      <c r="N508">
        <v>3</v>
      </c>
      <c r="O508" t="s">
        <v>29</v>
      </c>
      <c r="P508" t="s">
        <v>52</v>
      </c>
      <c r="Q508" t="s">
        <v>41</v>
      </c>
      <c r="R508" t="s">
        <v>32</v>
      </c>
      <c r="S508" t="s">
        <v>55</v>
      </c>
      <c r="T508" t="s">
        <v>49</v>
      </c>
      <c r="U508" t="s">
        <v>35</v>
      </c>
      <c r="V508" t="s">
        <v>36</v>
      </c>
      <c r="W508" t="s">
        <v>37</v>
      </c>
      <c r="X508">
        <v>0</v>
      </c>
      <c r="Y508">
        <v>100</v>
      </c>
      <c r="Z508" t="s">
        <v>38</v>
      </c>
      <c r="AA508" t="s">
        <v>39</v>
      </c>
      <c r="AB508" t="s">
        <v>40</v>
      </c>
      <c r="AC508">
        <v>3.5800000000000012E-2</v>
      </c>
    </row>
    <row r="509" spans="1:29" x14ac:dyDescent="0.3">
      <c r="A509">
        <v>508</v>
      </c>
      <c r="B509" s="1">
        <v>40566</v>
      </c>
      <c r="C509">
        <v>1</v>
      </c>
      <c r="D509">
        <v>6</v>
      </c>
      <c r="E509" t="b">
        <v>0</v>
      </c>
      <c r="F509">
        <v>0</v>
      </c>
      <c r="G509">
        <v>2</v>
      </c>
      <c r="H509">
        <v>0.04</v>
      </c>
      <c r="I509">
        <v>7.5800000000000006E-2</v>
      </c>
      <c r="J509">
        <v>0.56999999999999995</v>
      </c>
      <c r="K509">
        <v>0.1045</v>
      </c>
      <c r="L509">
        <v>0</v>
      </c>
      <c r="M509">
        <v>1</v>
      </c>
      <c r="N509">
        <v>1</v>
      </c>
      <c r="O509" t="s">
        <v>29</v>
      </c>
      <c r="P509" t="s">
        <v>52</v>
      </c>
      <c r="Q509" t="s">
        <v>41</v>
      </c>
      <c r="R509" t="s">
        <v>42</v>
      </c>
      <c r="S509" t="s">
        <v>55</v>
      </c>
      <c r="T509" t="s">
        <v>49</v>
      </c>
      <c r="U509" t="s">
        <v>35</v>
      </c>
      <c r="V509" t="s">
        <v>36</v>
      </c>
      <c r="W509" t="s">
        <v>37</v>
      </c>
      <c r="X509">
        <v>0</v>
      </c>
      <c r="Y509">
        <v>100</v>
      </c>
      <c r="Z509" t="s">
        <v>38</v>
      </c>
      <c r="AA509" t="s">
        <v>39</v>
      </c>
      <c r="AB509" t="s">
        <v>40</v>
      </c>
      <c r="AC509">
        <v>3.5800000000000012E-2</v>
      </c>
    </row>
    <row r="510" spans="1:29" x14ac:dyDescent="0.3">
      <c r="A510">
        <v>509</v>
      </c>
      <c r="B510" s="1">
        <v>40566</v>
      </c>
      <c r="C510">
        <v>1</v>
      </c>
      <c r="D510">
        <v>7</v>
      </c>
      <c r="E510" t="b">
        <v>0</v>
      </c>
      <c r="F510">
        <v>0</v>
      </c>
      <c r="G510">
        <v>1</v>
      </c>
      <c r="H510">
        <v>0.08</v>
      </c>
      <c r="I510">
        <v>0.1061</v>
      </c>
      <c r="J510">
        <v>0.57999999999999996</v>
      </c>
      <c r="K510">
        <v>0.16420000000000001</v>
      </c>
      <c r="L510">
        <v>1</v>
      </c>
      <c r="M510">
        <v>1</v>
      </c>
      <c r="N510">
        <v>2</v>
      </c>
      <c r="O510" t="s">
        <v>29</v>
      </c>
      <c r="P510" t="s">
        <v>52</v>
      </c>
      <c r="Q510" t="s">
        <v>31</v>
      </c>
      <c r="R510" t="s">
        <v>42</v>
      </c>
      <c r="S510" t="s">
        <v>55</v>
      </c>
      <c r="T510" t="s">
        <v>49</v>
      </c>
      <c r="U510" t="s">
        <v>46</v>
      </c>
      <c r="V510" t="s">
        <v>36</v>
      </c>
      <c r="W510" t="s">
        <v>37</v>
      </c>
      <c r="X510">
        <v>50</v>
      </c>
      <c r="Y510">
        <v>50</v>
      </c>
      <c r="Z510" t="s">
        <v>40</v>
      </c>
      <c r="AA510" t="s">
        <v>39</v>
      </c>
      <c r="AB510" t="s">
        <v>40</v>
      </c>
      <c r="AC510">
        <v>2.6100000000000002E-2</v>
      </c>
    </row>
    <row r="511" spans="1:29" x14ac:dyDescent="0.3">
      <c r="A511">
        <v>510</v>
      </c>
      <c r="B511" s="1">
        <v>40566</v>
      </c>
      <c r="C511">
        <v>1</v>
      </c>
      <c r="D511">
        <v>8</v>
      </c>
      <c r="E511" t="b">
        <v>0</v>
      </c>
      <c r="F511">
        <v>0</v>
      </c>
      <c r="G511">
        <v>1</v>
      </c>
      <c r="H511">
        <v>0.06</v>
      </c>
      <c r="I511">
        <v>7.5800000000000006E-2</v>
      </c>
      <c r="J511">
        <v>0.62</v>
      </c>
      <c r="K511">
        <v>0.16420000000000001</v>
      </c>
      <c r="L511">
        <v>2</v>
      </c>
      <c r="M511">
        <v>17</v>
      </c>
      <c r="N511">
        <v>19</v>
      </c>
      <c r="O511" t="s">
        <v>29</v>
      </c>
      <c r="P511" t="s">
        <v>52</v>
      </c>
      <c r="Q511" t="s">
        <v>31</v>
      </c>
      <c r="R511" t="s">
        <v>42</v>
      </c>
      <c r="S511" t="s">
        <v>55</v>
      </c>
      <c r="T511" t="s">
        <v>49</v>
      </c>
      <c r="U511" t="s">
        <v>46</v>
      </c>
      <c r="V511" t="s">
        <v>36</v>
      </c>
      <c r="W511" t="s">
        <v>37</v>
      </c>
      <c r="X511">
        <v>10.52631578947368</v>
      </c>
      <c r="Y511">
        <v>89.473684210526315</v>
      </c>
      <c r="Z511" t="s">
        <v>40</v>
      </c>
      <c r="AA511" t="s">
        <v>39</v>
      </c>
      <c r="AB511" t="s">
        <v>40</v>
      </c>
      <c r="AC511">
        <v>1.5800000000000008E-2</v>
      </c>
    </row>
    <row r="512" spans="1:29" x14ac:dyDescent="0.3">
      <c r="A512">
        <v>511</v>
      </c>
      <c r="B512" s="1">
        <v>40566</v>
      </c>
      <c r="C512">
        <v>1</v>
      </c>
      <c r="D512">
        <v>9</v>
      </c>
      <c r="E512" t="b">
        <v>0</v>
      </c>
      <c r="F512">
        <v>0</v>
      </c>
      <c r="G512">
        <v>1</v>
      </c>
      <c r="H512">
        <v>0.1</v>
      </c>
      <c r="I512">
        <v>7.5800000000000006E-2</v>
      </c>
      <c r="J512">
        <v>0.54</v>
      </c>
      <c r="K512">
        <v>0.35820000000000002</v>
      </c>
      <c r="L512">
        <v>3</v>
      </c>
      <c r="M512">
        <v>25</v>
      </c>
      <c r="N512">
        <v>28</v>
      </c>
      <c r="O512" t="s">
        <v>29</v>
      </c>
      <c r="P512" t="s">
        <v>52</v>
      </c>
      <c r="Q512" t="s">
        <v>31</v>
      </c>
      <c r="R512" t="s">
        <v>42</v>
      </c>
      <c r="S512" t="s">
        <v>55</v>
      </c>
      <c r="T512" t="s">
        <v>49</v>
      </c>
      <c r="U512" t="s">
        <v>53</v>
      </c>
      <c r="V512" t="s">
        <v>36</v>
      </c>
      <c r="W512" t="s">
        <v>37</v>
      </c>
      <c r="X512">
        <v>10.71428571428571</v>
      </c>
      <c r="Y512">
        <v>89.285714285714292</v>
      </c>
      <c r="Z512" t="s">
        <v>40</v>
      </c>
      <c r="AA512" t="s">
        <v>39</v>
      </c>
      <c r="AB512" t="s">
        <v>40</v>
      </c>
      <c r="AC512">
        <v>-2.4199999999999999E-2</v>
      </c>
    </row>
    <row r="513" spans="1:29" x14ac:dyDescent="0.3">
      <c r="A513">
        <v>512</v>
      </c>
      <c r="B513" s="1">
        <v>40566</v>
      </c>
      <c r="C513">
        <v>1</v>
      </c>
      <c r="D513">
        <v>10</v>
      </c>
      <c r="E513" t="b">
        <v>0</v>
      </c>
      <c r="F513">
        <v>0</v>
      </c>
      <c r="G513">
        <v>1</v>
      </c>
      <c r="H513">
        <v>0.14000000000000001</v>
      </c>
      <c r="I513">
        <v>0.1061</v>
      </c>
      <c r="J513">
        <v>0.46</v>
      </c>
      <c r="K513">
        <v>0.3881</v>
      </c>
      <c r="L513">
        <v>7</v>
      </c>
      <c r="M513">
        <v>51</v>
      </c>
      <c r="N513">
        <v>58</v>
      </c>
      <c r="O513" t="s">
        <v>29</v>
      </c>
      <c r="P513" t="s">
        <v>52</v>
      </c>
      <c r="Q513" t="s">
        <v>31</v>
      </c>
      <c r="R513" t="s">
        <v>42</v>
      </c>
      <c r="S513" t="s">
        <v>55</v>
      </c>
      <c r="T513" t="s">
        <v>49</v>
      </c>
      <c r="U513" t="s">
        <v>53</v>
      </c>
      <c r="V513" t="s">
        <v>36</v>
      </c>
      <c r="W513" t="s">
        <v>37</v>
      </c>
      <c r="X513">
        <v>12.068965517241381</v>
      </c>
      <c r="Y513">
        <v>87.931034482758619</v>
      </c>
      <c r="Z513" t="s">
        <v>38</v>
      </c>
      <c r="AA513" t="s">
        <v>39</v>
      </c>
      <c r="AB513" t="s">
        <v>40</v>
      </c>
      <c r="AC513">
        <v>-3.3900000000000013E-2</v>
      </c>
    </row>
    <row r="514" spans="1:29" x14ac:dyDescent="0.3">
      <c r="A514">
        <v>513</v>
      </c>
      <c r="B514" s="1">
        <v>40566</v>
      </c>
      <c r="C514">
        <v>1</v>
      </c>
      <c r="D514">
        <v>11</v>
      </c>
      <c r="E514" t="b">
        <v>0</v>
      </c>
      <c r="F514">
        <v>0</v>
      </c>
      <c r="G514">
        <v>1</v>
      </c>
      <c r="H514">
        <v>0.14000000000000001</v>
      </c>
      <c r="I514">
        <v>0.13639999999999999</v>
      </c>
      <c r="J514">
        <v>0.43</v>
      </c>
      <c r="K514">
        <v>0.22389999999999999</v>
      </c>
      <c r="L514">
        <v>22</v>
      </c>
      <c r="M514">
        <v>77</v>
      </c>
      <c r="N514">
        <v>99</v>
      </c>
      <c r="O514" t="s">
        <v>29</v>
      </c>
      <c r="P514" t="s">
        <v>52</v>
      </c>
      <c r="Q514" t="s">
        <v>31</v>
      </c>
      <c r="R514" t="s">
        <v>42</v>
      </c>
      <c r="S514" t="s">
        <v>55</v>
      </c>
      <c r="T514" t="s">
        <v>49</v>
      </c>
      <c r="U514" t="s">
        <v>46</v>
      </c>
      <c r="V514" t="s">
        <v>36</v>
      </c>
      <c r="W514" t="s">
        <v>37</v>
      </c>
      <c r="X514">
        <v>22.222222222222221</v>
      </c>
      <c r="Y514">
        <v>77.777777777777786</v>
      </c>
      <c r="Z514" t="s">
        <v>38</v>
      </c>
      <c r="AA514" t="s">
        <v>39</v>
      </c>
      <c r="AB514" t="s">
        <v>40</v>
      </c>
      <c r="AC514">
        <v>-3.6000000000000199E-3</v>
      </c>
    </row>
    <row r="515" spans="1:29" x14ac:dyDescent="0.3">
      <c r="A515">
        <v>514</v>
      </c>
      <c r="B515" s="1">
        <v>40566</v>
      </c>
      <c r="C515">
        <v>1</v>
      </c>
      <c r="D515">
        <v>12</v>
      </c>
      <c r="E515" t="b">
        <v>0</v>
      </c>
      <c r="F515">
        <v>0</v>
      </c>
      <c r="G515">
        <v>1</v>
      </c>
      <c r="H515">
        <v>0.16</v>
      </c>
      <c r="I515">
        <v>0.1212</v>
      </c>
      <c r="J515">
        <v>0.37</v>
      </c>
      <c r="K515">
        <v>0.4627</v>
      </c>
      <c r="L515">
        <v>24</v>
      </c>
      <c r="M515">
        <v>92</v>
      </c>
      <c r="N515">
        <v>116</v>
      </c>
      <c r="O515" t="s">
        <v>29</v>
      </c>
      <c r="P515" t="s">
        <v>52</v>
      </c>
      <c r="Q515" t="s">
        <v>31</v>
      </c>
      <c r="R515" t="s">
        <v>47</v>
      </c>
      <c r="S515" t="s">
        <v>33</v>
      </c>
      <c r="T515" t="s">
        <v>39</v>
      </c>
      <c r="U515" t="s">
        <v>53</v>
      </c>
      <c r="V515" t="s">
        <v>36</v>
      </c>
      <c r="W515" t="s">
        <v>37</v>
      </c>
      <c r="X515">
        <v>20.68965517241379</v>
      </c>
      <c r="Y515">
        <v>79.310344827586206</v>
      </c>
      <c r="Z515" t="s">
        <v>38</v>
      </c>
      <c r="AA515" t="s">
        <v>49</v>
      </c>
      <c r="AB515" t="s">
        <v>40</v>
      </c>
      <c r="AC515">
        <v>-3.8800000000000001E-2</v>
      </c>
    </row>
    <row r="516" spans="1:29" x14ac:dyDescent="0.3">
      <c r="A516">
        <v>515</v>
      </c>
      <c r="B516" s="1">
        <v>40566</v>
      </c>
      <c r="C516">
        <v>1</v>
      </c>
      <c r="D516">
        <v>13</v>
      </c>
      <c r="E516" t="b">
        <v>0</v>
      </c>
      <c r="F516">
        <v>0</v>
      </c>
      <c r="G516">
        <v>1</v>
      </c>
      <c r="H516">
        <v>0.14000000000000001</v>
      </c>
      <c r="I516">
        <v>0.1061</v>
      </c>
      <c r="J516">
        <v>0.33</v>
      </c>
      <c r="K516">
        <v>0.3881</v>
      </c>
      <c r="L516">
        <v>12</v>
      </c>
      <c r="M516">
        <v>75</v>
      </c>
      <c r="N516">
        <v>87</v>
      </c>
      <c r="O516" t="s">
        <v>29</v>
      </c>
      <c r="P516" t="s">
        <v>52</v>
      </c>
      <c r="Q516" t="s">
        <v>31</v>
      </c>
      <c r="R516" t="s">
        <v>47</v>
      </c>
      <c r="S516" t="s">
        <v>55</v>
      </c>
      <c r="T516" t="s">
        <v>39</v>
      </c>
      <c r="U516" t="s">
        <v>53</v>
      </c>
      <c r="V516" t="s">
        <v>36</v>
      </c>
      <c r="W516" t="s">
        <v>37</v>
      </c>
      <c r="X516">
        <v>13.793103448275859</v>
      </c>
      <c r="Y516">
        <v>86.206896551724128</v>
      </c>
      <c r="Z516" t="s">
        <v>38</v>
      </c>
      <c r="AA516" t="s">
        <v>39</v>
      </c>
      <c r="AB516" t="s">
        <v>40</v>
      </c>
      <c r="AC516">
        <v>-3.3900000000000013E-2</v>
      </c>
    </row>
    <row r="517" spans="1:29" x14ac:dyDescent="0.3">
      <c r="A517">
        <v>516</v>
      </c>
      <c r="B517" s="1">
        <v>40566</v>
      </c>
      <c r="C517">
        <v>1</v>
      </c>
      <c r="D517">
        <v>14</v>
      </c>
      <c r="E517" t="b">
        <v>0</v>
      </c>
      <c r="F517">
        <v>0</v>
      </c>
      <c r="G517">
        <v>1</v>
      </c>
      <c r="H517">
        <v>0.16</v>
      </c>
      <c r="I517">
        <v>0.13639999999999999</v>
      </c>
      <c r="J517">
        <v>0.28000000000000003</v>
      </c>
      <c r="K517">
        <v>0.35820000000000002</v>
      </c>
      <c r="L517">
        <v>17</v>
      </c>
      <c r="M517">
        <v>93</v>
      </c>
      <c r="N517">
        <v>110</v>
      </c>
      <c r="O517" t="s">
        <v>29</v>
      </c>
      <c r="P517" t="s">
        <v>52</v>
      </c>
      <c r="Q517" t="s">
        <v>31</v>
      </c>
      <c r="R517" t="s">
        <v>47</v>
      </c>
      <c r="S517" t="s">
        <v>33</v>
      </c>
      <c r="T517" t="s">
        <v>39</v>
      </c>
      <c r="U517" t="s">
        <v>53</v>
      </c>
      <c r="V517" t="s">
        <v>36</v>
      </c>
      <c r="W517" t="s">
        <v>37</v>
      </c>
      <c r="X517">
        <v>15.45454545454545</v>
      </c>
      <c r="Y517">
        <v>84.545454545454547</v>
      </c>
      <c r="Z517" t="s">
        <v>38</v>
      </c>
      <c r="AA517" t="s">
        <v>49</v>
      </c>
      <c r="AB517" t="s">
        <v>40</v>
      </c>
      <c r="AC517">
        <v>-2.360000000000001E-2</v>
      </c>
    </row>
    <row r="518" spans="1:29" x14ac:dyDescent="0.3">
      <c r="A518">
        <v>517</v>
      </c>
      <c r="B518" s="1">
        <v>40566</v>
      </c>
      <c r="C518">
        <v>1</v>
      </c>
      <c r="D518">
        <v>15</v>
      </c>
      <c r="E518" t="b">
        <v>0</v>
      </c>
      <c r="F518">
        <v>0</v>
      </c>
      <c r="G518">
        <v>1</v>
      </c>
      <c r="H518">
        <v>0.16</v>
      </c>
      <c r="I518">
        <v>0.13639999999999999</v>
      </c>
      <c r="J518">
        <v>0.28000000000000003</v>
      </c>
      <c r="K518">
        <v>0.35820000000000002</v>
      </c>
      <c r="L518">
        <v>13</v>
      </c>
      <c r="M518">
        <v>64</v>
      </c>
      <c r="N518">
        <v>77</v>
      </c>
      <c r="O518" t="s">
        <v>29</v>
      </c>
      <c r="P518" t="s">
        <v>52</v>
      </c>
      <c r="Q518" t="s">
        <v>31</v>
      </c>
      <c r="R518" t="s">
        <v>47</v>
      </c>
      <c r="S518" t="s">
        <v>33</v>
      </c>
      <c r="T518" t="s">
        <v>39</v>
      </c>
      <c r="U518" t="s">
        <v>53</v>
      </c>
      <c r="V518" t="s">
        <v>36</v>
      </c>
      <c r="W518" t="s">
        <v>37</v>
      </c>
      <c r="X518">
        <v>16.88311688311688</v>
      </c>
      <c r="Y518">
        <v>83.116883116883116</v>
      </c>
      <c r="Z518" t="s">
        <v>38</v>
      </c>
      <c r="AA518" t="s">
        <v>39</v>
      </c>
      <c r="AB518" t="s">
        <v>40</v>
      </c>
      <c r="AC518">
        <v>-2.360000000000001E-2</v>
      </c>
    </row>
    <row r="519" spans="1:29" x14ac:dyDescent="0.3">
      <c r="A519">
        <v>518</v>
      </c>
      <c r="B519" s="1">
        <v>40566</v>
      </c>
      <c r="C519">
        <v>1</v>
      </c>
      <c r="D519">
        <v>16</v>
      </c>
      <c r="E519" t="b">
        <v>0</v>
      </c>
      <c r="F519">
        <v>0</v>
      </c>
      <c r="G519">
        <v>1</v>
      </c>
      <c r="H519">
        <v>0.16</v>
      </c>
      <c r="I519">
        <v>0.13639999999999999</v>
      </c>
      <c r="J519">
        <v>0.26</v>
      </c>
      <c r="K519">
        <v>0.32840000000000003</v>
      </c>
      <c r="L519">
        <v>9</v>
      </c>
      <c r="M519">
        <v>56</v>
      </c>
      <c r="N519">
        <v>65</v>
      </c>
      <c r="O519" t="s">
        <v>29</v>
      </c>
      <c r="P519" t="s">
        <v>52</v>
      </c>
      <c r="Q519" t="s">
        <v>31</v>
      </c>
      <c r="R519" t="s">
        <v>47</v>
      </c>
      <c r="S519" t="s">
        <v>33</v>
      </c>
      <c r="T519" t="s">
        <v>39</v>
      </c>
      <c r="U519" t="s">
        <v>53</v>
      </c>
      <c r="V519" t="s">
        <v>36</v>
      </c>
      <c r="W519" t="s">
        <v>37</v>
      </c>
      <c r="X519">
        <v>13.84615384615385</v>
      </c>
      <c r="Y519">
        <v>86.15384615384616</v>
      </c>
      <c r="Z519" t="s">
        <v>38</v>
      </c>
      <c r="AA519" t="s">
        <v>39</v>
      </c>
      <c r="AB519" t="s">
        <v>40</v>
      </c>
      <c r="AC519">
        <v>-2.360000000000001E-2</v>
      </c>
    </row>
    <row r="520" spans="1:29" x14ac:dyDescent="0.3">
      <c r="A520">
        <v>519</v>
      </c>
      <c r="B520" s="1">
        <v>40566</v>
      </c>
      <c r="C520">
        <v>1</v>
      </c>
      <c r="D520">
        <v>17</v>
      </c>
      <c r="E520" t="b">
        <v>0</v>
      </c>
      <c r="F520">
        <v>0</v>
      </c>
      <c r="G520">
        <v>1</v>
      </c>
      <c r="H520">
        <v>0.14000000000000001</v>
      </c>
      <c r="I520">
        <v>0.1061</v>
      </c>
      <c r="J520">
        <v>0.26</v>
      </c>
      <c r="K520">
        <v>0.3881</v>
      </c>
      <c r="L520">
        <v>5</v>
      </c>
      <c r="M520">
        <v>50</v>
      </c>
      <c r="N520">
        <v>55</v>
      </c>
      <c r="O520" t="s">
        <v>29</v>
      </c>
      <c r="P520" t="s">
        <v>52</v>
      </c>
      <c r="Q520" t="s">
        <v>31</v>
      </c>
      <c r="R520" t="s">
        <v>50</v>
      </c>
      <c r="S520" t="s">
        <v>55</v>
      </c>
      <c r="T520" t="s">
        <v>39</v>
      </c>
      <c r="U520" t="s">
        <v>53</v>
      </c>
      <c r="V520" t="s">
        <v>36</v>
      </c>
      <c r="W520" t="s">
        <v>37</v>
      </c>
      <c r="X520">
        <v>9.0909090909090917</v>
      </c>
      <c r="Y520">
        <v>90.909090909090907</v>
      </c>
      <c r="Z520" t="s">
        <v>40</v>
      </c>
      <c r="AA520" t="s">
        <v>39</v>
      </c>
      <c r="AB520" t="s">
        <v>40</v>
      </c>
      <c r="AC520">
        <v>-3.3900000000000013E-2</v>
      </c>
    </row>
    <row r="521" spans="1:29" x14ac:dyDescent="0.3">
      <c r="A521">
        <v>520</v>
      </c>
      <c r="B521" s="1">
        <v>40566</v>
      </c>
      <c r="C521">
        <v>1</v>
      </c>
      <c r="D521">
        <v>18</v>
      </c>
      <c r="E521" t="b">
        <v>0</v>
      </c>
      <c r="F521">
        <v>0</v>
      </c>
      <c r="G521">
        <v>1</v>
      </c>
      <c r="H521">
        <v>0.12</v>
      </c>
      <c r="I521">
        <v>0.1212</v>
      </c>
      <c r="J521">
        <v>0.3</v>
      </c>
      <c r="K521">
        <v>0.25369999999999998</v>
      </c>
      <c r="L521">
        <v>5</v>
      </c>
      <c r="M521">
        <v>44</v>
      </c>
      <c r="N521">
        <v>49</v>
      </c>
      <c r="O521" t="s">
        <v>29</v>
      </c>
      <c r="P521" t="s">
        <v>52</v>
      </c>
      <c r="Q521" t="s">
        <v>31</v>
      </c>
      <c r="R521" t="s">
        <v>50</v>
      </c>
      <c r="S521" t="s">
        <v>55</v>
      </c>
      <c r="T521" t="s">
        <v>39</v>
      </c>
      <c r="U521" t="s">
        <v>46</v>
      </c>
      <c r="V521" t="s">
        <v>36</v>
      </c>
      <c r="W521" t="s">
        <v>37</v>
      </c>
      <c r="X521">
        <v>10.204081632653059</v>
      </c>
      <c r="Y521">
        <v>89.795918367346943</v>
      </c>
      <c r="Z521" t="s">
        <v>40</v>
      </c>
      <c r="AA521" t="s">
        <v>39</v>
      </c>
      <c r="AB521" t="s">
        <v>40</v>
      </c>
      <c r="AC521">
        <v>1.2000000000000071E-3</v>
      </c>
    </row>
    <row r="522" spans="1:29" x14ac:dyDescent="0.3">
      <c r="A522">
        <v>521</v>
      </c>
      <c r="B522" s="1">
        <v>40566</v>
      </c>
      <c r="C522">
        <v>1</v>
      </c>
      <c r="D522">
        <v>19</v>
      </c>
      <c r="E522" t="b">
        <v>0</v>
      </c>
      <c r="F522">
        <v>0</v>
      </c>
      <c r="G522">
        <v>1</v>
      </c>
      <c r="H522">
        <v>0.12</v>
      </c>
      <c r="I522">
        <v>0.1212</v>
      </c>
      <c r="J522">
        <v>0.3</v>
      </c>
      <c r="K522">
        <v>0.28360000000000002</v>
      </c>
      <c r="L522">
        <v>5</v>
      </c>
      <c r="M522">
        <v>45</v>
      </c>
      <c r="N522">
        <v>50</v>
      </c>
      <c r="O522" t="s">
        <v>29</v>
      </c>
      <c r="P522" t="s">
        <v>52</v>
      </c>
      <c r="Q522" t="s">
        <v>31</v>
      </c>
      <c r="R522" t="s">
        <v>50</v>
      </c>
      <c r="S522" t="s">
        <v>55</v>
      </c>
      <c r="T522" t="s">
        <v>39</v>
      </c>
      <c r="U522" t="s">
        <v>46</v>
      </c>
      <c r="V522" t="s">
        <v>36</v>
      </c>
      <c r="W522" t="s">
        <v>37</v>
      </c>
      <c r="X522">
        <v>10</v>
      </c>
      <c r="Y522">
        <v>90</v>
      </c>
      <c r="Z522" t="s">
        <v>40</v>
      </c>
      <c r="AA522" t="s">
        <v>39</v>
      </c>
      <c r="AB522" t="s">
        <v>40</v>
      </c>
      <c r="AC522">
        <v>1.2000000000000071E-3</v>
      </c>
    </row>
    <row r="523" spans="1:29" x14ac:dyDescent="0.3">
      <c r="A523">
        <v>522</v>
      </c>
      <c r="B523" s="1">
        <v>40566</v>
      </c>
      <c r="C523">
        <v>1</v>
      </c>
      <c r="D523">
        <v>20</v>
      </c>
      <c r="E523" t="b">
        <v>0</v>
      </c>
      <c r="F523">
        <v>0</v>
      </c>
      <c r="G523">
        <v>1</v>
      </c>
      <c r="H523">
        <v>0.1</v>
      </c>
      <c r="I523">
        <v>0.1061</v>
      </c>
      <c r="J523">
        <v>0.36</v>
      </c>
      <c r="K523">
        <v>0.25369999999999998</v>
      </c>
      <c r="L523">
        <v>4</v>
      </c>
      <c r="M523">
        <v>31</v>
      </c>
      <c r="N523">
        <v>35</v>
      </c>
      <c r="O523" t="s">
        <v>29</v>
      </c>
      <c r="P523" t="s">
        <v>52</v>
      </c>
      <c r="Q523" t="s">
        <v>31</v>
      </c>
      <c r="R523" t="s">
        <v>50</v>
      </c>
      <c r="S523" t="s">
        <v>55</v>
      </c>
      <c r="T523" t="s">
        <v>39</v>
      </c>
      <c r="U523" t="s">
        <v>46</v>
      </c>
      <c r="V523" t="s">
        <v>36</v>
      </c>
      <c r="W523" t="s">
        <v>37</v>
      </c>
      <c r="X523">
        <v>11.428571428571431</v>
      </c>
      <c r="Y523">
        <v>88.571428571428569</v>
      </c>
      <c r="Z523" t="s">
        <v>38</v>
      </c>
      <c r="AA523" t="s">
        <v>39</v>
      </c>
      <c r="AB523" t="s">
        <v>40</v>
      </c>
      <c r="AC523">
        <v>6.0999999999999943E-3</v>
      </c>
    </row>
    <row r="524" spans="1:29" x14ac:dyDescent="0.3">
      <c r="A524">
        <v>523</v>
      </c>
      <c r="B524" s="1">
        <v>40566</v>
      </c>
      <c r="C524">
        <v>1</v>
      </c>
      <c r="D524">
        <v>21</v>
      </c>
      <c r="E524" t="b">
        <v>0</v>
      </c>
      <c r="F524">
        <v>0</v>
      </c>
      <c r="G524">
        <v>1</v>
      </c>
      <c r="H524">
        <v>0.1</v>
      </c>
      <c r="I524">
        <v>0.1061</v>
      </c>
      <c r="J524">
        <v>0.36</v>
      </c>
      <c r="K524">
        <v>0.19400000000000001</v>
      </c>
      <c r="L524">
        <v>5</v>
      </c>
      <c r="M524">
        <v>20</v>
      </c>
      <c r="N524">
        <v>25</v>
      </c>
      <c r="O524" t="s">
        <v>29</v>
      </c>
      <c r="P524" t="s">
        <v>52</v>
      </c>
      <c r="Q524" t="s">
        <v>31</v>
      </c>
      <c r="R524" t="s">
        <v>32</v>
      </c>
      <c r="S524" t="s">
        <v>55</v>
      </c>
      <c r="T524" t="s">
        <v>39</v>
      </c>
      <c r="U524" t="s">
        <v>46</v>
      </c>
      <c r="V524" t="s">
        <v>36</v>
      </c>
      <c r="W524" t="s">
        <v>37</v>
      </c>
      <c r="X524">
        <v>20</v>
      </c>
      <c r="Y524">
        <v>80</v>
      </c>
      <c r="Z524" t="s">
        <v>38</v>
      </c>
      <c r="AA524" t="s">
        <v>39</v>
      </c>
      <c r="AB524" t="s">
        <v>40</v>
      </c>
      <c r="AC524">
        <v>6.0999999999999943E-3</v>
      </c>
    </row>
    <row r="525" spans="1:29" x14ac:dyDescent="0.3">
      <c r="A525">
        <v>524</v>
      </c>
      <c r="B525" s="1">
        <v>40566</v>
      </c>
      <c r="C525">
        <v>1</v>
      </c>
      <c r="D525">
        <v>22</v>
      </c>
      <c r="E525" t="b">
        <v>0</v>
      </c>
      <c r="F525">
        <v>0</v>
      </c>
      <c r="G525">
        <v>1</v>
      </c>
      <c r="H525">
        <v>0.08</v>
      </c>
      <c r="I525">
        <v>9.0899999999999995E-2</v>
      </c>
      <c r="J525">
        <v>0.38</v>
      </c>
      <c r="K525">
        <v>0.19400000000000001</v>
      </c>
      <c r="L525">
        <v>5</v>
      </c>
      <c r="M525">
        <v>23</v>
      </c>
      <c r="N525">
        <v>28</v>
      </c>
      <c r="O525" t="s">
        <v>29</v>
      </c>
      <c r="P525" t="s">
        <v>52</v>
      </c>
      <c r="Q525" t="s">
        <v>31</v>
      </c>
      <c r="R525" t="s">
        <v>32</v>
      </c>
      <c r="S525" t="s">
        <v>55</v>
      </c>
      <c r="T525" t="s">
        <v>39</v>
      </c>
      <c r="U525" t="s">
        <v>46</v>
      </c>
      <c r="V525" t="s">
        <v>36</v>
      </c>
      <c r="W525" t="s">
        <v>37</v>
      </c>
      <c r="X525">
        <v>17.857142857142861</v>
      </c>
      <c r="Y525">
        <v>82.142857142857139</v>
      </c>
      <c r="Z525" t="s">
        <v>38</v>
      </c>
      <c r="AA525" t="s">
        <v>39</v>
      </c>
      <c r="AB525" t="s">
        <v>40</v>
      </c>
      <c r="AC525">
        <v>1.089999999999999E-2</v>
      </c>
    </row>
    <row r="526" spans="1:29" x14ac:dyDescent="0.3">
      <c r="A526">
        <v>525</v>
      </c>
      <c r="B526" s="1">
        <v>40566</v>
      </c>
      <c r="C526">
        <v>1</v>
      </c>
      <c r="D526">
        <v>23</v>
      </c>
      <c r="E526" t="b">
        <v>0</v>
      </c>
      <c r="F526">
        <v>0</v>
      </c>
      <c r="G526">
        <v>1</v>
      </c>
      <c r="H526">
        <v>0.06</v>
      </c>
      <c r="I526">
        <v>6.0600000000000001E-2</v>
      </c>
      <c r="J526">
        <v>0.41</v>
      </c>
      <c r="K526">
        <v>0.22389999999999999</v>
      </c>
      <c r="L526">
        <v>4</v>
      </c>
      <c r="M526">
        <v>17</v>
      </c>
      <c r="N526">
        <v>21</v>
      </c>
      <c r="O526" t="s">
        <v>29</v>
      </c>
      <c r="P526" t="s">
        <v>52</v>
      </c>
      <c r="Q526" t="s">
        <v>31</v>
      </c>
      <c r="R526" t="s">
        <v>32</v>
      </c>
      <c r="S526" t="s">
        <v>55</v>
      </c>
      <c r="T526" t="s">
        <v>49</v>
      </c>
      <c r="U526" t="s">
        <v>46</v>
      </c>
      <c r="V526" t="s">
        <v>36</v>
      </c>
      <c r="W526" t="s">
        <v>37</v>
      </c>
      <c r="X526">
        <v>19.047619047619051</v>
      </c>
      <c r="Y526">
        <v>80.952380952380949</v>
      </c>
      <c r="Z526" t="s">
        <v>38</v>
      </c>
      <c r="AA526" t="s">
        <v>39</v>
      </c>
      <c r="AB526" t="s">
        <v>40</v>
      </c>
      <c r="AC526">
        <v>6.0000000000000331E-4</v>
      </c>
    </row>
    <row r="527" spans="1:29" x14ac:dyDescent="0.3">
      <c r="A527">
        <v>526</v>
      </c>
      <c r="B527" s="1">
        <v>40567</v>
      </c>
      <c r="C527">
        <v>1</v>
      </c>
      <c r="D527">
        <v>0</v>
      </c>
      <c r="E527" t="b">
        <v>0</v>
      </c>
      <c r="F527">
        <v>1</v>
      </c>
      <c r="G527">
        <v>1</v>
      </c>
      <c r="H527">
        <v>0.06</v>
      </c>
      <c r="I527">
        <v>6.0600000000000001E-2</v>
      </c>
      <c r="J527">
        <v>0.41</v>
      </c>
      <c r="K527">
        <v>0.19400000000000001</v>
      </c>
      <c r="L527">
        <v>0</v>
      </c>
      <c r="M527">
        <v>7</v>
      </c>
      <c r="N527">
        <v>7</v>
      </c>
      <c r="O527" t="s">
        <v>29</v>
      </c>
      <c r="P527" t="s">
        <v>54</v>
      </c>
      <c r="Q527" t="s">
        <v>31</v>
      </c>
      <c r="R527" t="s">
        <v>32</v>
      </c>
      <c r="S527" t="s">
        <v>55</v>
      </c>
      <c r="T527" t="s">
        <v>49</v>
      </c>
      <c r="U527" t="s">
        <v>46</v>
      </c>
      <c r="V527" t="s">
        <v>36</v>
      </c>
      <c r="W527" t="s">
        <v>37</v>
      </c>
      <c r="X527">
        <v>0</v>
      </c>
      <c r="Y527">
        <v>100</v>
      </c>
      <c r="Z527" t="s">
        <v>38</v>
      </c>
      <c r="AA527" t="s">
        <v>39</v>
      </c>
      <c r="AB527" t="s">
        <v>38</v>
      </c>
      <c r="AC527">
        <v>6.0000000000000331E-4</v>
      </c>
    </row>
    <row r="528" spans="1:29" x14ac:dyDescent="0.3">
      <c r="A528">
        <v>527</v>
      </c>
      <c r="B528" s="1">
        <v>40567</v>
      </c>
      <c r="C528">
        <v>1</v>
      </c>
      <c r="D528">
        <v>1</v>
      </c>
      <c r="E528" t="b">
        <v>0</v>
      </c>
      <c r="F528">
        <v>1</v>
      </c>
      <c r="G528">
        <v>1</v>
      </c>
      <c r="H528">
        <v>0.04</v>
      </c>
      <c r="I528">
        <v>4.5499999999999999E-2</v>
      </c>
      <c r="J528">
        <v>0.45</v>
      </c>
      <c r="K528">
        <v>0.19400000000000001</v>
      </c>
      <c r="L528">
        <v>0</v>
      </c>
      <c r="M528">
        <v>1</v>
      </c>
      <c r="N528">
        <v>1</v>
      </c>
      <c r="O528" t="s">
        <v>29</v>
      </c>
      <c r="P528" t="s">
        <v>54</v>
      </c>
      <c r="Q528" t="s">
        <v>31</v>
      </c>
      <c r="R528" t="s">
        <v>32</v>
      </c>
      <c r="S528" t="s">
        <v>55</v>
      </c>
      <c r="T528" t="s">
        <v>49</v>
      </c>
      <c r="U528" t="s">
        <v>46</v>
      </c>
      <c r="V528" t="s">
        <v>36</v>
      </c>
      <c r="W528" t="s">
        <v>37</v>
      </c>
      <c r="X528">
        <v>0</v>
      </c>
      <c r="Y528">
        <v>100</v>
      </c>
      <c r="Z528" t="s">
        <v>38</v>
      </c>
      <c r="AA528" t="s">
        <v>39</v>
      </c>
      <c r="AB528" t="s">
        <v>38</v>
      </c>
      <c r="AC528">
        <v>5.4999999999999979E-3</v>
      </c>
    </row>
    <row r="529" spans="1:29" x14ac:dyDescent="0.3">
      <c r="A529">
        <v>528</v>
      </c>
      <c r="B529" s="1">
        <v>40567</v>
      </c>
      <c r="C529">
        <v>1</v>
      </c>
      <c r="D529">
        <v>3</v>
      </c>
      <c r="E529" t="b">
        <v>0</v>
      </c>
      <c r="F529">
        <v>1</v>
      </c>
      <c r="G529">
        <v>1</v>
      </c>
      <c r="H529">
        <v>0.04</v>
      </c>
      <c r="I529">
        <v>3.0300000000000001E-2</v>
      </c>
      <c r="J529">
        <v>0.45</v>
      </c>
      <c r="K529">
        <v>0.25369999999999998</v>
      </c>
      <c r="L529">
        <v>0</v>
      </c>
      <c r="M529">
        <v>1</v>
      </c>
      <c r="N529">
        <v>1</v>
      </c>
      <c r="O529" t="s">
        <v>29</v>
      </c>
      <c r="P529" t="s">
        <v>54</v>
      </c>
      <c r="Q529" t="s">
        <v>31</v>
      </c>
      <c r="R529" t="s">
        <v>32</v>
      </c>
      <c r="S529" t="s">
        <v>55</v>
      </c>
      <c r="T529" t="s">
        <v>49</v>
      </c>
      <c r="U529" t="s">
        <v>46</v>
      </c>
      <c r="V529" t="s">
        <v>36</v>
      </c>
      <c r="W529" t="s">
        <v>37</v>
      </c>
      <c r="X529">
        <v>0</v>
      </c>
      <c r="Y529">
        <v>100</v>
      </c>
      <c r="Z529" t="s">
        <v>38</v>
      </c>
      <c r="AA529" t="s">
        <v>39</v>
      </c>
      <c r="AB529" t="s">
        <v>38</v>
      </c>
      <c r="AC529">
        <v>-9.7000000000000003E-3</v>
      </c>
    </row>
    <row r="530" spans="1:29" x14ac:dyDescent="0.3">
      <c r="A530">
        <v>529</v>
      </c>
      <c r="B530" s="1">
        <v>40567</v>
      </c>
      <c r="C530">
        <v>1</v>
      </c>
      <c r="D530">
        <v>4</v>
      </c>
      <c r="E530" t="b">
        <v>0</v>
      </c>
      <c r="F530">
        <v>1</v>
      </c>
      <c r="G530">
        <v>1</v>
      </c>
      <c r="H530">
        <v>0.02</v>
      </c>
      <c r="I530">
        <v>6.0600000000000001E-2</v>
      </c>
      <c r="J530">
        <v>0.48</v>
      </c>
      <c r="K530">
        <v>0.1343</v>
      </c>
      <c r="L530">
        <v>0</v>
      </c>
      <c r="M530">
        <v>1</v>
      </c>
      <c r="N530">
        <v>1</v>
      </c>
      <c r="O530" t="s">
        <v>29</v>
      </c>
      <c r="P530" t="s">
        <v>54</v>
      </c>
      <c r="Q530" t="s">
        <v>31</v>
      </c>
      <c r="R530" t="s">
        <v>32</v>
      </c>
      <c r="S530" t="s">
        <v>55</v>
      </c>
      <c r="T530" t="s">
        <v>49</v>
      </c>
      <c r="U530" t="s">
        <v>35</v>
      </c>
      <c r="V530" t="s">
        <v>36</v>
      </c>
      <c r="W530" t="s">
        <v>37</v>
      </c>
      <c r="X530">
        <v>0</v>
      </c>
      <c r="Y530">
        <v>100</v>
      </c>
      <c r="Z530" t="s">
        <v>38</v>
      </c>
      <c r="AA530" t="s">
        <v>39</v>
      </c>
      <c r="AB530" t="s">
        <v>38</v>
      </c>
      <c r="AC530">
        <v>4.0599999999999997E-2</v>
      </c>
    </row>
    <row r="531" spans="1:29" x14ac:dyDescent="0.3">
      <c r="A531">
        <v>530</v>
      </c>
      <c r="B531" s="1">
        <v>40567</v>
      </c>
      <c r="C531">
        <v>1</v>
      </c>
      <c r="D531">
        <v>5</v>
      </c>
      <c r="E531" t="b">
        <v>0</v>
      </c>
      <c r="F531">
        <v>1</v>
      </c>
      <c r="G531">
        <v>1</v>
      </c>
      <c r="H531">
        <v>0.02</v>
      </c>
      <c r="I531">
        <v>6.0600000000000001E-2</v>
      </c>
      <c r="J531">
        <v>0.48</v>
      </c>
      <c r="K531">
        <v>0.1343</v>
      </c>
      <c r="L531">
        <v>0</v>
      </c>
      <c r="M531">
        <v>5</v>
      </c>
      <c r="N531">
        <v>5</v>
      </c>
      <c r="O531" t="s">
        <v>29</v>
      </c>
      <c r="P531" t="s">
        <v>54</v>
      </c>
      <c r="Q531" t="s">
        <v>31</v>
      </c>
      <c r="R531" t="s">
        <v>32</v>
      </c>
      <c r="S531" t="s">
        <v>55</v>
      </c>
      <c r="T531" t="s">
        <v>49</v>
      </c>
      <c r="U531" t="s">
        <v>35</v>
      </c>
      <c r="V531" t="s">
        <v>36</v>
      </c>
      <c r="W531" t="s">
        <v>37</v>
      </c>
      <c r="X531">
        <v>0</v>
      </c>
      <c r="Y531">
        <v>100</v>
      </c>
      <c r="Z531" t="s">
        <v>38</v>
      </c>
      <c r="AA531" t="s">
        <v>39</v>
      </c>
      <c r="AB531" t="s">
        <v>38</v>
      </c>
      <c r="AC531">
        <v>4.0599999999999997E-2</v>
      </c>
    </row>
    <row r="532" spans="1:29" x14ac:dyDescent="0.3">
      <c r="A532">
        <v>531</v>
      </c>
      <c r="B532" s="1">
        <v>40567</v>
      </c>
      <c r="C532">
        <v>1</v>
      </c>
      <c r="D532">
        <v>6</v>
      </c>
      <c r="E532" t="b">
        <v>0</v>
      </c>
      <c r="F532">
        <v>1</v>
      </c>
      <c r="G532">
        <v>1</v>
      </c>
      <c r="H532">
        <v>0.02</v>
      </c>
      <c r="I532">
        <v>7.5800000000000006E-2</v>
      </c>
      <c r="J532">
        <v>0.48</v>
      </c>
      <c r="K532">
        <v>8.9599999999999999E-2</v>
      </c>
      <c r="L532">
        <v>0</v>
      </c>
      <c r="M532">
        <v>15</v>
      </c>
      <c r="N532">
        <v>15</v>
      </c>
      <c r="O532" t="s">
        <v>29</v>
      </c>
      <c r="P532" t="s">
        <v>54</v>
      </c>
      <c r="Q532" t="s">
        <v>31</v>
      </c>
      <c r="R532" t="s">
        <v>42</v>
      </c>
      <c r="S532" t="s">
        <v>55</v>
      </c>
      <c r="T532" t="s">
        <v>49</v>
      </c>
      <c r="U532" t="s">
        <v>35</v>
      </c>
      <c r="V532" t="s">
        <v>36</v>
      </c>
      <c r="W532" t="s">
        <v>37</v>
      </c>
      <c r="X532">
        <v>0</v>
      </c>
      <c r="Y532">
        <v>100</v>
      </c>
      <c r="Z532" t="s">
        <v>38</v>
      </c>
      <c r="AA532" t="s">
        <v>39</v>
      </c>
      <c r="AB532" t="s">
        <v>38</v>
      </c>
      <c r="AC532">
        <v>5.5800000000000002E-2</v>
      </c>
    </row>
    <row r="533" spans="1:29" x14ac:dyDescent="0.3">
      <c r="A533">
        <v>532</v>
      </c>
      <c r="B533" s="1">
        <v>40567</v>
      </c>
      <c r="C533">
        <v>1</v>
      </c>
      <c r="D533">
        <v>7</v>
      </c>
      <c r="E533" t="b">
        <v>0</v>
      </c>
      <c r="F533">
        <v>1</v>
      </c>
      <c r="G533">
        <v>1</v>
      </c>
      <c r="H533">
        <v>0.02</v>
      </c>
      <c r="I533">
        <v>0.1212</v>
      </c>
      <c r="J533">
        <v>0.48</v>
      </c>
      <c r="K533">
        <v>0</v>
      </c>
      <c r="L533">
        <v>5</v>
      </c>
      <c r="M533">
        <v>79</v>
      </c>
      <c r="N533">
        <v>84</v>
      </c>
      <c r="O533" t="s">
        <v>29</v>
      </c>
      <c r="P533" t="s">
        <v>54</v>
      </c>
      <c r="Q533" t="s">
        <v>31</v>
      </c>
      <c r="R533" t="s">
        <v>42</v>
      </c>
      <c r="S533" t="s">
        <v>55</v>
      </c>
      <c r="T533" t="s">
        <v>49</v>
      </c>
      <c r="U533" t="s">
        <v>35</v>
      </c>
      <c r="V533" t="s">
        <v>36</v>
      </c>
      <c r="W533" t="s">
        <v>37</v>
      </c>
      <c r="X533">
        <v>5.9523809523809517</v>
      </c>
      <c r="Y533">
        <v>94.047619047619051</v>
      </c>
      <c r="Z533" t="s">
        <v>40</v>
      </c>
      <c r="AA533" t="s">
        <v>39</v>
      </c>
      <c r="AB533" t="s">
        <v>38</v>
      </c>
      <c r="AC533">
        <v>0.1012</v>
      </c>
    </row>
    <row r="534" spans="1:29" x14ac:dyDescent="0.3">
      <c r="A534">
        <v>533</v>
      </c>
      <c r="B534" s="1">
        <v>40567</v>
      </c>
      <c r="C534">
        <v>1</v>
      </c>
      <c r="D534">
        <v>8</v>
      </c>
      <c r="E534" t="b">
        <v>0</v>
      </c>
      <c r="F534">
        <v>1</v>
      </c>
      <c r="G534">
        <v>1</v>
      </c>
      <c r="H534">
        <v>0.04</v>
      </c>
      <c r="I534">
        <v>0.13639999999999999</v>
      </c>
      <c r="J534">
        <v>0.49</v>
      </c>
      <c r="K534">
        <v>0</v>
      </c>
      <c r="L534">
        <v>6</v>
      </c>
      <c r="M534">
        <v>171</v>
      </c>
      <c r="N534">
        <v>177</v>
      </c>
      <c r="O534" t="s">
        <v>29</v>
      </c>
      <c r="P534" t="s">
        <v>54</v>
      </c>
      <c r="Q534" t="s">
        <v>31</v>
      </c>
      <c r="R534" t="s">
        <v>42</v>
      </c>
      <c r="S534" t="s">
        <v>55</v>
      </c>
      <c r="T534" t="s">
        <v>49</v>
      </c>
      <c r="U534" t="s">
        <v>35</v>
      </c>
      <c r="V534" t="s">
        <v>36</v>
      </c>
      <c r="W534" t="s">
        <v>37</v>
      </c>
      <c r="X534">
        <v>3.3898305084745761</v>
      </c>
      <c r="Y534">
        <v>96.610169491525426</v>
      </c>
      <c r="Z534" t="s">
        <v>40</v>
      </c>
      <c r="AA534" t="s">
        <v>49</v>
      </c>
      <c r="AB534" t="s">
        <v>38</v>
      </c>
      <c r="AC534">
        <v>9.6399999999999986E-2</v>
      </c>
    </row>
    <row r="535" spans="1:29" x14ac:dyDescent="0.3">
      <c r="A535">
        <v>534</v>
      </c>
      <c r="B535" s="1">
        <v>40567</v>
      </c>
      <c r="C535">
        <v>1</v>
      </c>
      <c r="D535">
        <v>9</v>
      </c>
      <c r="E535" t="b">
        <v>0</v>
      </c>
      <c r="F535">
        <v>1</v>
      </c>
      <c r="G535">
        <v>1</v>
      </c>
      <c r="H535">
        <v>0.06</v>
      </c>
      <c r="I535">
        <v>0.1515</v>
      </c>
      <c r="J535">
        <v>0.41</v>
      </c>
      <c r="K535">
        <v>0</v>
      </c>
      <c r="L535">
        <v>4</v>
      </c>
      <c r="M535">
        <v>98</v>
      </c>
      <c r="N535">
        <v>102</v>
      </c>
      <c r="O535" t="s">
        <v>29</v>
      </c>
      <c r="P535" t="s">
        <v>54</v>
      </c>
      <c r="Q535" t="s">
        <v>31</v>
      </c>
      <c r="R535" t="s">
        <v>42</v>
      </c>
      <c r="S535" t="s">
        <v>55</v>
      </c>
      <c r="T535" t="s">
        <v>49</v>
      </c>
      <c r="U535" t="s">
        <v>35</v>
      </c>
      <c r="V535" t="s">
        <v>36</v>
      </c>
      <c r="W535" t="s">
        <v>37</v>
      </c>
      <c r="X535">
        <v>3.9215686274509798</v>
      </c>
      <c r="Y535">
        <v>96.078431372549019</v>
      </c>
      <c r="Z535" t="s">
        <v>40</v>
      </c>
      <c r="AA535" t="s">
        <v>49</v>
      </c>
      <c r="AB535" t="s">
        <v>38</v>
      </c>
      <c r="AC535">
        <v>9.1499999999999998E-2</v>
      </c>
    </row>
    <row r="536" spans="1:29" x14ac:dyDescent="0.3">
      <c r="A536">
        <v>535</v>
      </c>
      <c r="B536" s="1">
        <v>40567</v>
      </c>
      <c r="C536">
        <v>1</v>
      </c>
      <c r="D536">
        <v>10</v>
      </c>
      <c r="E536" t="b">
        <v>0</v>
      </c>
      <c r="F536">
        <v>1</v>
      </c>
      <c r="G536">
        <v>1</v>
      </c>
      <c r="H536">
        <v>0.1</v>
      </c>
      <c r="I536">
        <v>0.13639999999999999</v>
      </c>
      <c r="J536">
        <v>0.42</v>
      </c>
      <c r="K536">
        <v>0</v>
      </c>
      <c r="L536">
        <v>6</v>
      </c>
      <c r="M536">
        <v>34</v>
      </c>
      <c r="N536">
        <v>40</v>
      </c>
      <c r="O536" t="s">
        <v>29</v>
      </c>
      <c r="P536" t="s">
        <v>54</v>
      </c>
      <c r="Q536" t="s">
        <v>31</v>
      </c>
      <c r="R536" t="s">
        <v>42</v>
      </c>
      <c r="S536" t="s">
        <v>55</v>
      </c>
      <c r="T536" t="s">
        <v>49</v>
      </c>
      <c r="U536" t="s">
        <v>35</v>
      </c>
      <c r="V536" t="s">
        <v>36</v>
      </c>
      <c r="W536" t="s">
        <v>37</v>
      </c>
      <c r="X536">
        <v>15</v>
      </c>
      <c r="Y536">
        <v>85</v>
      </c>
      <c r="Z536" t="s">
        <v>38</v>
      </c>
      <c r="AA536" t="s">
        <v>39</v>
      </c>
      <c r="AB536" t="s">
        <v>38</v>
      </c>
      <c r="AC536">
        <v>3.6399999999999988E-2</v>
      </c>
    </row>
    <row r="537" spans="1:29" x14ac:dyDescent="0.3">
      <c r="A537">
        <v>536</v>
      </c>
      <c r="B537" s="1">
        <v>40567</v>
      </c>
      <c r="C537">
        <v>1</v>
      </c>
      <c r="D537">
        <v>11</v>
      </c>
      <c r="E537" t="b">
        <v>0</v>
      </c>
      <c r="F537">
        <v>1</v>
      </c>
      <c r="G537">
        <v>1</v>
      </c>
      <c r="H537">
        <v>0.1</v>
      </c>
      <c r="I537">
        <v>0.1212</v>
      </c>
      <c r="J537">
        <v>0.46</v>
      </c>
      <c r="K537">
        <v>0.1343</v>
      </c>
      <c r="L537">
        <v>3</v>
      </c>
      <c r="M537">
        <v>43</v>
      </c>
      <c r="N537">
        <v>46</v>
      </c>
      <c r="O537" t="s">
        <v>29</v>
      </c>
      <c r="P537" t="s">
        <v>54</v>
      </c>
      <c r="Q537" t="s">
        <v>31</v>
      </c>
      <c r="R537" t="s">
        <v>42</v>
      </c>
      <c r="S537" t="s">
        <v>55</v>
      </c>
      <c r="T537" t="s">
        <v>49</v>
      </c>
      <c r="U537" t="s">
        <v>35</v>
      </c>
      <c r="V537" t="s">
        <v>36</v>
      </c>
      <c r="W537" t="s">
        <v>37</v>
      </c>
      <c r="X537">
        <v>6.5217391304347823</v>
      </c>
      <c r="Y537">
        <v>93.478260869565219</v>
      </c>
      <c r="Z537" t="s">
        <v>38</v>
      </c>
      <c r="AA537" t="s">
        <v>39</v>
      </c>
      <c r="AB537" t="s">
        <v>38</v>
      </c>
      <c r="AC537">
        <v>2.12E-2</v>
      </c>
    </row>
    <row r="538" spans="1:29" x14ac:dyDescent="0.3">
      <c r="A538">
        <v>537</v>
      </c>
      <c r="B538" s="1">
        <v>40567</v>
      </c>
      <c r="C538">
        <v>1</v>
      </c>
      <c r="D538">
        <v>12</v>
      </c>
      <c r="E538" t="b">
        <v>0</v>
      </c>
      <c r="F538">
        <v>1</v>
      </c>
      <c r="G538">
        <v>2</v>
      </c>
      <c r="H538">
        <v>0.12</v>
      </c>
      <c r="I538">
        <v>0.13639999999999999</v>
      </c>
      <c r="J538">
        <v>0.42</v>
      </c>
      <c r="K538">
        <v>0.19400000000000001</v>
      </c>
      <c r="L538">
        <v>11</v>
      </c>
      <c r="M538">
        <v>52</v>
      </c>
      <c r="N538">
        <v>63</v>
      </c>
      <c r="O538" t="s">
        <v>29</v>
      </c>
      <c r="P538" t="s">
        <v>54</v>
      </c>
      <c r="Q538" t="s">
        <v>41</v>
      </c>
      <c r="R538" t="s">
        <v>47</v>
      </c>
      <c r="S538" t="s">
        <v>55</v>
      </c>
      <c r="T538" t="s">
        <v>49</v>
      </c>
      <c r="U538" t="s">
        <v>46</v>
      </c>
      <c r="V538" t="s">
        <v>36</v>
      </c>
      <c r="W538" t="s">
        <v>37</v>
      </c>
      <c r="X538">
        <v>17.460317460317459</v>
      </c>
      <c r="Y538">
        <v>82.539682539682531</v>
      </c>
      <c r="Z538" t="s">
        <v>38</v>
      </c>
      <c r="AA538" t="s">
        <v>39</v>
      </c>
      <c r="AB538" t="s">
        <v>38</v>
      </c>
      <c r="AC538">
        <v>1.6400000000000001E-2</v>
      </c>
    </row>
    <row r="539" spans="1:29" x14ac:dyDescent="0.3">
      <c r="A539">
        <v>538</v>
      </c>
      <c r="B539" s="1">
        <v>40567</v>
      </c>
      <c r="C539">
        <v>1</v>
      </c>
      <c r="D539">
        <v>13</v>
      </c>
      <c r="E539" t="b">
        <v>0</v>
      </c>
      <c r="F539">
        <v>1</v>
      </c>
      <c r="G539">
        <v>2</v>
      </c>
      <c r="H539">
        <v>0.14000000000000001</v>
      </c>
      <c r="I539">
        <v>0.13639999999999999</v>
      </c>
      <c r="J539">
        <v>0.43</v>
      </c>
      <c r="K539">
        <v>0.22389999999999999</v>
      </c>
      <c r="L539">
        <v>6</v>
      </c>
      <c r="M539">
        <v>54</v>
      </c>
      <c r="N539">
        <v>60</v>
      </c>
      <c r="O539" t="s">
        <v>29</v>
      </c>
      <c r="P539" t="s">
        <v>54</v>
      </c>
      <c r="Q539" t="s">
        <v>41</v>
      </c>
      <c r="R539" t="s">
        <v>47</v>
      </c>
      <c r="S539" t="s">
        <v>55</v>
      </c>
      <c r="T539" t="s">
        <v>49</v>
      </c>
      <c r="U539" t="s">
        <v>46</v>
      </c>
      <c r="V539" t="s">
        <v>36</v>
      </c>
      <c r="W539" t="s">
        <v>37</v>
      </c>
      <c r="X539">
        <v>10</v>
      </c>
      <c r="Y539">
        <v>90</v>
      </c>
      <c r="Z539" t="s">
        <v>38</v>
      </c>
      <c r="AA539" t="s">
        <v>39</v>
      </c>
      <c r="AB539" t="s">
        <v>38</v>
      </c>
      <c r="AC539">
        <v>-3.6000000000000199E-3</v>
      </c>
    </row>
    <row r="540" spans="1:29" x14ac:dyDescent="0.3">
      <c r="A540">
        <v>539</v>
      </c>
      <c r="B540" s="1">
        <v>40567</v>
      </c>
      <c r="C540">
        <v>1</v>
      </c>
      <c r="D540">
        <v>14</v>
      </c>
      <c r="E540" t="b">
        <v>0</v>
      </c>
      <c r="F540">
        <v>1</v>
      </c>
      <c r="G540">
        <v>2</v>
      </c>
      <c r="H540">
        <v>0.14000000000000001</v>
      </c>
      <c r="I540">
        <v>0.13639999999999999</v>
      </c>
      <c r="J540">
        <v>0.46</v>
      </c>
      <c r="K540">
        <v>0.22389999999999999</v>
      </c>
      <c r="L540">
        <v>2</v>
      </c>
      <c r="M540">
        <v>43</v>
      </c>
      <c r="N540">
        <v>45</v>
      </c>
      <c r="O540" t="s">
        <v>29</v>
      </c>
      <c r="P540" t="s">
        <v>54</v>
      </c>
      <c r="Q540" t="s">
        <v>41</v>
      </c>
      <c r="R540" t="s">
        <v>47</v>
      </c>
      <c r="S540" t="s">
        <v>55</v>
      </c>
      <c r="T540" t="s">
        <v>49</v>
      </c>
      <c r="U540" t="s">
        <v>46</v>
      </c>
      <c r="V540" t="s">
        <v>36</v>
      </c>
      <c r="W540" t="s">
        <v>37</v>
      </c>
      <c r="X540">
        <v>4.4444444444444446</v>
      </c>
      <c r="Y540">
        <v>95.555555555555557</v>
      </c>
      <c r="Z540" t="s">
        <v>38</v>
      </c>
      <c r="AA540" t="s">
        <v>39</v>
      </c>
      <c r="AB540" t="s">
        <v>38</v>
      </c>
      <c r="AC540">
        <v>-3.6000000000000199E-3</v>
      </c>
    </row>
    <row r="541" spans="1:29" x14ac:dyDescent="0.3">
      <c r="A541">
        <v>540</v>
      </c>
      <c r="B541" s="1">
        <v>40567</v>
      </c>
      <c r="C541">
        <v>1</v>
      </c>
      <c r="D541">
        <v>15</v>
      </c>
      <c r="E541" t="b">
        <v>0</v>
      </c>
      <c r="F541">
        <v>1</v>
      </c>
      <c r="G541">
        <v>1</v>
      </c>
      <c r="H541">
        <v>0.16</v>
      </c>
      <c r="I541">
        <v>0.16669999999999999</v>
      </c>
      <c r="J541">
        <v>0.4</v>
      </c>
      <c r="K541">
        <v>0.16420000000000001</v>
      </c>
      <c r="L541">
        <v>7</v>
      </c>
      <c r="M541">
        <v>50</v>
      </c>
      <c r="N541">
        <v>57</v>
      </c>
      <c r="O541" t="s">
        <v>29</v>
      </c>
      <c r="P541" t="s">
        <v>54</v>
      </c>
      <c r="Q541" t="s">
        <v>31</v>
      </c>
      <c r="R541" t="s">
        <v>47</v>
      </c>
      <c r="S541" t="s">
        <v>33</v>
      </c>
      <c r="T541" t="s">
        <v>49</v>
      </c>
      <c r="U541" t="s">
        <v>46</v>
      </c>
      <c r="V541" t="s">
        <v>36</v>
      </c>
      <c r="W541" t="s">
        <v>37</v>
      </c>
      <c r="X541">
        <v>12.28070175438596</v>
      </c>
      <c r="Y541">
        <v>87.719298245614027</v>
      </c>
      <c r="Z541" t="s">
        <v>38</v>
      </c>
      <c r="AA541" t="s">
        <v>39</v>
      </c>
      <c r="AB541" t="s">
        <v>38</v>
      </c>
      <c r="AC541">
        <v>6.6999999999999837E-3</v>
      </c>
    </row>
    <row r="542" spans="1:29" x14ac:dyDescent="0.3">
      <c r="A542">
        <v>541</v>
      </c>
      <c r="B542" s="1">
        <v>40567</v>
      </c>
      <c r="C542">
        <v>1</v>
      </c>
      <c r="D542">
        <v>16</v>
      </c>
      <c r="E542" t="b">
        <v>0</v>
      </c>
      <c r="F542">
        <v>1</v>
      </c>
      <c r="G542">
        <v>1</v>
      </c>
      <c r="H542">
        <v>0.16</v>
      </c>
      <c r="I542">
        <v>0.1515</v>
      </c>
      <c r="J542">
        <v>0.47</v>
      </c>
      <c r="K542">
        <v>0.25369999999999998</v>
      </c>
      <c r="L542">
        <v>4</v>
      </c>
      <c r="M542">
        <v>66</v>
      </c>
      <c r="N542">
        <v>70</v>
      </c>
      <c r="O542" t="s">
        <v>29</v>
      </c>
      <c r="P542" t="s">
        <v>54</v>
      </c>
      <c r="Q542" t="s">
        <v>31</v>
      </c>
      <c r="R542" t="s">
        <v>47</v>
      </c>
      <c r="S542" t="s">
        <v>33</v>
      </c>
      <c r="T542" t="s">
        <v>49</v>
      </c>
      <c r="U542" t="s">
        <v>46</v>
      </c>
      <c r="V542" t="s">
        <v>36</v>
      </c>
      <c r="W542" t="s">
        <v>37</v>
      </c>
      <c r="X542">
        <v>5.7142857142857144</v>
      </c>
      <c r="Y542">
        <v>94.285714285714278</v>
      </c>
      <c r="Z542" t="s">
        <v>38</v>
      </c>
      <c r="AA542" t="s">
        <v>39</v>
      </c>
      <c r="AB542" t="s">
        <v>38</v>
      </c>
      <c r="AC542">
        <v>-8.5000000000000075E-3</v>
      </c>
    </row>
    <row r="543" spans="1:29" x14ac:dyDescent="0.3">
      <c r="A543">
        <v>542</v>
      </c>
      <c r="B543" s="1">
        <v>40567</v>
      </c>
      <c r="C543">
        <v>1</v>
      </c>
      <c r="D543">
        <v>17</v>
      </c>
      <c r="E543" t="b">
        <v>0</v>
      </c>
      <c r="F543">
        <v>1</v>
      </c>
      <c r="G543">
        <v>1</v>
      </c>
      <c r="H543">
        <v>0.14000000000000001</v>
      </c>
      <c r="I543">
        <v>0.1212</v>
      </c>
      <c r="J543">
        <v>0.5</v>
      </c>
      <c r="K543">
        <v>0.25369999999999998</v>
      </c>
      <c r="L543">
        <v>6</v>
      </c>
      <c r="M543">
        <v>178</v>
      </c>
      <c r="N543">
        <v>184</v>
      </c>
      <c r="O543" t="s">
        <v>29</v>
      </c>
      <c r="P543" t="s">
        <v>54</v>
      </c>
      <c r="Q543" t="s">
        <v>31</v>
      </c>
      <c r="R543" t="s">
        <v>50</v>
      </c>
      <c r="S543" t="s">
        <v>55</v>
      </c>
      <c r="T543" t="s">
        <v>49</v>
      </c>
      <c r="U543" t="s">
        <v>46</v>
      </c>
      <c r="V543" t="s">
        <v>36</v>
      </c>
      <c r="W543" t="s">
        <v>37</v>
      </c>
      <c r="X543">
        <v>3.2608695652173911</v>
      </c>
      <c r="Y543">
        <v>96.739130434782609</v>
      </c>
      <c r="Z543" t="s">
        <v>40</v>
      </c>
      <c r="AA543" t="s">
        <v>49</v>
      </c>
      <c r="AB543" t="s">
        <v>38</v>
      </c>
      <c r="AC543">
        <v>-1.8800000000000011E-2</v>
      </c>
    </row>
    <row r="544" spans="1:29" x14ac:dyDescent="0.3">
      <c r="A544">
        <v>543</v>
      </c>
      <c r="B544" s="1">
        <v>40567</v>
      </c>
      <c r="C544">
        <v>1</v>
      </c>
      <c r="D544">
        <v>18</v>
      </c>
      <c r="E544" t="b">
        <v>0</v>
      </c>
      <c r="F544">
        <v>1</v>
      </c>
      <c r="G544">
        <v>1</v>
      </c>
      <c r="H544">
        <v>0.14000000000000001</v>
      </c>
      <c r="I544">
        <v>0.13639999999999999</v>
      </c>
      <c r="J544">
        <v>0.59</v>
      </c>
      <c r="K544">
        <v>0.19400000000000001</v>
      </c>
      <c r="L544">
        <v>8</v>
      </c>
      <c r="M544">
        <v>145</v>
      </c>
      <c r="N544">
        <v>153</v>
      </c>
      <c r="O544" t="s">
        <v>29</v>
      </c>
      <c r="P544" t="s">
        <v>54</v>
      </c>
      <c r="Q544" t="s">
        <v>31</v>
      </c>
      <c r="R544" t="s">
        <v>50</v>
      </c>
      <c r="S544" t="s">
        <v>55</v>
      </c>
      <c r="T544" t="s">
        <v>49</v>
      </c>
      <c r="U544" t="s">
        <v>46</v>
      </c>
      <c r="V544" t="s">
        <v>36</v>
      </c>
      <c r="W544" t="s">
        <v>37</v>
      </c>
      <c r="X544">
        <v>5.2287581699346406</v>
      </c>
      <c r="Y544">
        <v>94.77124183006535</v>
      </c>
      <c r="Z544" t="s">
        <v>40</v>
      </c>
      <c r="AA544" t="s">
        <v>49</v>
      </c>
      <c r="AB544" t="s">
        <v>38</v>
      </c>
      <c r="AC544">
        <v>-3.6000000000000199E-3</v>
      </c>
    </row>
    <row r="545" spans="1:29" x14ac:dyDescent="0.3">
      <c r="A545">
        <v>544</v>
      </c>
      <c r="B545" s="1">
        <v>40567</v>
      </c>
      <c r="C545">
        <v>1</v>
      </c>
      <c r="D545">
        <v>19</v>
      </c>
      <c r="E545" t="b">
        <v>0</v>
      </c>
      <c r="F545">
        <v>1</v>
      </c>
      <c r="G545">
        <v>1</v>
      </c>
      <c r="H545">
        <v>0.14000000000000001</v>
      </c>
      <c r="I545">
        <v>0.1515</v>
      </c>
      <c r="J545">
        <v>0.54</v>
      </c>
      <c r="K545">
        <v>0.16420000000000001</v>
      </c>
      <c r="L545">
        <v>5</v>
      </c>
      <c r="M545">
        <v>101</v>
      </c>
      <c r="N545">
        <v>106</v>
      </c>
      <c r="O545" t="s">
        <v>29</v>
      </c>
      <c r="P545" t="s">
        <v>54</v>
      </c>
      <c r="Q545" t="s">
        <v>31</v>
      </c>
      <c r="R545" t="s">
        <v>50</v>
      </c>
      <c r="S545" t="s">
        <v>55</v>
      </c>
      <c r="T545" t="s">
        <v>49</v>
      </c>
      <c r="U545" t="s">
        <v>46</v>
      </c>
      <c r="V545" t="s">
        <v>36</v>
      </c>
      <c r="W545" t="s">
        <v>37</v>
      </c>
      <c r="X545">
        <v>4.716981132075472</v>
      </c>
      <c r="Y545">
        <v>95.283018867924525</v>
      </c>
      <c r="Z545" t="s">
        <v>40</v>
      </c>
      <c r="AA545" t="s">
        <v>49</v>
      </c>
      <c r="AB545" t="s">
        <v>38</v>
      </c>
      <c r="AC545">
        <v>1.1499999999999981E-2</v>
      </c>
    </row>
    <row r="546" spans="1:29" x14ac:dyDescent="0.3">
      <c r="A546">
        <v>545</v>
      </c>
      <c r="B546" s="1">
        <v>40567</v>
      </c>
      <c r="C546">
        <v>1</v>
      </c>
      <c r="D546">
        <v>20</v>
      </c>
      <c r="E546" t="b">
        <v>0</v>
      </c>
      <c r="F546">
        <v>1</v>
      </c>
      <c r="G546">
        <v>1</v>
      </c>
      <c r="H546">
        <v>0.14000000000000001</v>
      </c>
      <c r="I546">
        <v>0.13639999999999999</v>
      </c>
      <c r="J546">
        <v>0.59</v>
      </c>
      <c r="K546">
        <v>0.19400000000000001</v>
      </c>
      <c r="L546">
        <v>1</v>
      </c>
      <c r="M546">
        <v>80</v>
      </c>
      <c r="N546">
        <v>81</v>
      </c>
      <c r="O546" t="s">
        <v>29</v>
      </c>
      <c r="P546" t="s">
        <v>54</v>
      </c>
      <c r="Q546" t="s">
        <v>31</v>
      </c>
      <c r="R546" t="s">
        <v>50</v>
      </c>
      <c r="S546" t="s">
        <v>55</v>
      </c>
      <c r="T546" t="s">
        <v>49</v>
      </c>
      <c r="U546" t="s">
        <v>46</v>
      </c>
      <c r="V546" t="s">
        <v>36</v>
      </c>
      <c r="W546" t="s">
        <v>37</v>
      </c>
      <c r="X546">
        <v>1.2345679012345681</v>
      </c>
      <c r="Y546">
        <v>98.76543209876543</v>
      </c>
      <c r="Z546" t="s">
        <v>38</v>
      </c>
      <c r="AA546" t="s">
        <v>39</v>
      </c>
      <c r="AB546" t="s">
        <v>38</v>
      </c>
      <c r="AC546">
        <v>-3.6000000000000199E-3</v>
      </c>
    </row>
    <row r="547" spans="1:29" x14ac:dyDescent="0.3">
      <c r="A547">
        <v>546</v>
      </c>
      <c r="B547" s="1">
        <v>40567</v>
      </c>
      <c r="C547">
        <v>1</v>
      </c>
      <c r="D547">
        <v>21</v>
      </c>
      <c r="E547" t="b">
        <v>0</v>
      </c>
      <c r="F547">
        <v>1</v>
      </c>
      <c r="G547">
        <v>1</v>
      </c>
      <c r="H547">
        <v>0.14000000000000001</v>
      </c>
      <c r="I547">
        <v>0.1515</v>
      </c>
      <c r="J547">
        <v>0.63</v>
      </c>
      <c r="K547">
        <v>0.16420000000000001</v>
      </c>
      <c r="L547">
        <v>6</v>
      </c>
      <c r="M547">
        <v>53</v>
      </c>
      <c r="N547">
        <v>59</v>
      </c>
      <c r="O547" t="s">
        <v>29</v>
      </c>
      <c r="P547" t="s">
        <v>54</v>
      </c>
      <c r="Q547" t="s">
        <v>31</v>
      </c>
      <c r="R547" t="s">
        <v>32</v>
      </c>
      <c r="S547" t="s">
        <v>55</v>
      </c>
      <c r="T547" t="s">
        <v>49</v>
      </c>
      <c r="U547" t="s">
        <v>46</v>
      </c>
      <c r="V547" t="s">
        <v>36</v>
      </c>
      <c r="W547" t="s">
        <v>37</v>
      </c>
      <c r="X547">
        <v>10.16949152542373</v>
      </c>
      <c r="Y547">
        <v>89.830508474576277</v>
      </c>
      <c r="Z547" t="s">
        <v>38</v>
      </c>
      <c r="AA547" t="s">
        <v>39</v>
      </c>
      <c r="AB547" t="s">
        <v>38</v>
      </c>
      <c r="AC547">
        <v>1.1499999999999981E-2</v>
      </c>
    </row>
    <row r="548" spans="1:29" x14ac:dyDescent="0.3">
      <c r="A548">
        <v>547</v>
      </c>
      <c r="B548" s="1">
        <v>40567</v>
      </c>
      <c r="C548">
        <v>1</v>
      </c>
      <c r="D548">
        <v>22</v>
      </c>
      <c r="E548" t="b">
        <v>0</v>
      </c>
      <c r="F548">
        <v>1</v>
      </c>
      <c r="G548">
        <v>2</v>
      </c>
      <c r="H548">
        <v>0.14000000000000001</v>
      </c>
      <c r="I548">
        <v>0.13639999999999999</v>
      </c>
      <c r="J548">
        <v>0.63</v>
      </c>
      <c r="K548">
        <v>0.22389999999999999</v>
      </c>
      <c r="L548">
        <v>3</v>
      </c>
      <c r="M548">
        <v>32</v>
      </c>
      <c r="N548">
        <v>35</v>
      </c>
      <c r="O548" t="s">
        <v>29</v>
      </c>
      <c r="P548" t="s">
        <v>54</v>
      </c>
      <c r="Q548" t="s">
        <v>41</v>
      </c>
      <c r="R548" t="s">
        <v>32</v>
      </c>
      <c r="S548" t="s">
        <v>55</v>
      </c>
      <c r="T548" t="s">
        <v>49</v>
      </c>
      <c r="U548" t="s">
        <v>46</v>
      </c>
      <c r="V548" t="s">
        <v>36</v>
      </c>
      <c r="W548" t="s">
        <v>37</v>
      </c>
      <c r="X548">
        <v>8.5714285714285712</v>
      </c>
      <c r="Y548">
        <v>91.428571428571431</v>
      </c>
      <c r="Z548" t="s">
        <v>38</v>
      </c>
      <c r="AA548" t="s">
        <v>39</v>
      </c>
      <c r="AB548" t="s">
        <v>38</v>
      </c>
      <c r="AC548">
        <v>-3.6000000000000199E-3</v>
      </c>
    </row>
    <row r="549" spans="1:29" x14ac:dyDescent="0.3">
      <c r="A549">
        <v>548</v>
      </c>
      <c r="B549" s="1">
        <v>40567</v>
      </c>
      <c r="C549">
        <v>1</v>
      </c>
      <c r="D549">
        <v>23</v>
      </c>
      <c r="E549" t="b">
        <v>0</v>
      </c>
      <c r="F549">
        <v>1</v>
      </c>
      <c r="G549">
        <v>2</v>
      </c>
      <c r="H549">
        <v>0.16</v>
      </c>
      <c r="I549">
        <v>0.1515</v>
      </c>
      <c r="J549">
        <v>0.64</v>
      </c>
      <c r="K549">
        <v>0.25369999999999998</v>
      </c>
      <c r="L549">
        <v>3</v>
      </c>
      <c r="M549">
        <v>21</v>
      </c>
      <c r="N549">
        <v>24</v>
      </c>
      <c r="O549" t="s">
        <v>29</v>
      </c>
      <c r="P549" t="s">
        <v>54</v>
      </c>
      <c r="Q549" t="s">
        <v>41</v>
      </c>
      <c r="R549" t="s">
        <v>32</v>
      </c>
      <c r="S549" t="s">
        <v>33</v>
      </c>
      <c r="T549" t="s">
        <v>49</v>
      </c>
      <c r="U549" t="s">
        <v>46</v>
      </c>
      <c r="V549" t="s">
        <v>36</v>
      </c>
      <c r="W549" t="s">
        <v>37</v>
      </c>
      <c r="X549">
        <v>12.5</v>
      </c>
      <c r="Y549">
        <v>87.5</v>
      </c>
      <c r="Z549" t="s">
        <v>38</v>
      </c>
      <c r="AA549" t="s">
        <v>39</v>
      </c>
      <c r="AB549" t="s">
        <v>38</v>
      </c>
      <c r="AC549">
        <v>-8.5000000000000075E-3</v>
      </c>
    </row>
    <row r="550" spans="1:29" x14ac:dyDescent="0.3">
      <c r="A550">
        <v>549</v>
      </c>
      <c r="B550" s="1">
        <v>40568</v>
      </c>
      <c r="C550">
        <v>1</v>
      </c>
      <c r="D550">
        <v>0</v>
      </c>
      <c r="E550" t="b">
        <v>0</v>
      </c>
      <c r="F550">
        <v>2</v>
      </c>
      <c r="G550">
        <v>2</v>
      </c>
      <c r="H550">
        <v>0.16</v>
      </c>
      <c r="I550">
        <v>0.13639999999999999</v>
      </c>
      <c r="J550">
        <v>0.69</v>
      </c>
      <c r="K550">
        <v>0.28360000000000002</v>
      </c>
      <c r="L550">
        <v>3</v>
      </c>
      <c r="M550">
        <v>6</v>
      </c>
      <c r="N550">
        <v>9</v>
      </c>
      <c r="O550" t="s">
        <v>29</v>
      </c>
      <c r="P550" t="s">
        <v>56</v>
      </c>
      <c r="Q550" t="s">
        <v>41</v>
      </c>
      <c r="R550" t="s">
        <v>32</v>
      </c>
      <c r="S550" t="s">
        <v>33</v>
      </c>
      <c r="T550" t="s">
        <v>49</v>
      </c>
      <c r="U550" t="s">
        <v>46</v>
      </c>
      <c r="V550" t="s">
        <v>36</v>
      </c>
      <c r="W550" t="s">
        <v>37</v>
      </c>
      <c r="X550">
        <v>33.333333333333329</v>
      </c>
      <c r="Y550">
        <v>66.666666666666657</v>
      </c>
      <c r="Z550" t="s">
        <v>38</v>
      </c>
      <c r="AA550" t="s">
        <v>39</v>
      </c>
      <c r="AB550" t="s">
        <v>38</v>
      </c>
      <c r="AC550">
        <v>-2.360000000000001E-2</v>
      </c>
    </row>
    <row r="551" spans="1:29" x14ac:dyDescent="0.3">
      <c r="A551">
        <v>550</v>
      </c>
      <c r="B551" s="1">
        <v>40568</v>
      </c>
      <c r="C551">
        <v>1</v>
      </c>
      <c r="D551">
        <v>1</v>
      </c>
      <c r="E551" t="b">
        <v>0</v>
      </c>
      <c r="F551">
        <v>2</v>
      </c>
      <c r="G551">
        <v>2</v>
      </c>
      <c r="H551">
        <v>0.16</v>
      </c>
      <c r="I551">
        <v>0.16669999999999999</v>
      </c>
      <c r="J551">
        <v>0.69</v>
      </c>
      <c r="K551">
        <v>0.16420000000000001</v>
      </c>
      <c r="L551">
        <v>0</v>
      </c>
      <c r="M551">
        <v>5</v>
      </c>
      <c r="N551">
        <v>5</v>
      </c>
      <c r="O551" t="s">
        <v>29</v>
      </c>
      <c r="P551" t="s">
        <v>56</v>
      </c>
      <c r="Q551" t="s">
        <v>41</v>
      </c>
      <c r="R551" t="s">
        <v>32</v>
      </c>
      <c r="S551" t="s">
        <v>33</v>
      </c>
      <c r="T551" t="s">
        <v>49</v>
      </c>
      <c r="U551" t="s">
        <v>46</v>
      </c>
      <c r="V551" t="s">
        <v>36</v>
      </c>
      <c r="W551" t="s">
        <v>37</v>
      </c>
      <c r="X551">
        <v>0</v>
      </c>
      <c r="Y551">
        <v>100</v>
      </c>
      <c r="Z551" t="s">
        <v>38</v>
      </c>
      <c r="AA551" t="s">
        <v>39</v>
      </c>
      <c r="AB551" t="s">
        <v>38</v>
      </c>
      <c r="AC551">
        <v>6.6999999999999837E-3</v>
      </c>
    </row>
    <row r="552" spans="1:29" x14ac:dyDescent="0.3">
      <c r="A552">
        <v>551</v>
      </c>
      <c r="B552" s="1">
        <v>40568</v>
      </c>
      <c r="C552">
        <v>1</v>
      </c>
      <c r="D552">
        <v>2</v>
      </c>
      <c r="E552" t="b">
        <v>0</v>
      </c>
      <c r="F552">
        <v>2</v>
      </c>
      <c r="G552">
        <v>1</v>
      </c>
      <c r="H552">
        <v>0.16</v>
      </c>
      <c r="I552">
        <v>0.1515</v>
      </c>
      <c r="J552">
        <v>0.69</v>
      </c>
      <c r="K552">
        <v>0.22389999999999999</v>
      </c>
      <c r="L552">
        <v>0</v>
      </c>
      <c r="M552">
        <v>2</v>
      </c>
      <c r="N552">
        <v>2</v>
      </c>
      <c r="O552" t="s">
        <v>29</v>
      </c>
      <c r="P552" t="s">
        <v>56</v>
      </c>
      <c r="Q552" t="s">
        <v>31</v>
      </c>
      <c r="R552" t="s">
        <v>32</v>
      </c>
      <c r="S552" t="s">
        <v>33</v>
      </c>
      <c r="T552" t="s">
        <v>49</v>
      </c>
      <c r="U552" t="s">
        <v>46</v>
      </c>
      <c r="V552" t="s">
        <v>36</v>
      </c>
      <c r="W552" t="s">
        <v>37</v>
      </c>
      <c r="X552">
        <v>0</v>
      </c>
      <c r="Y552">
        <v>100</v>
      </c>
      <c r="Z552" t="s">
        <v>38</v>
      </c>
      <c r="AA552" t="s">
        <v>39</v>
      </c>
      <c r="AB552" t="s">
        <v>38</v>
      </c>
      <c r="AC552">
        <v>-8.5000000000000075E-3</v>
      </c>
    </row>
    <row r="553" spans="1:29" x14ac:dyDescent="0.3">
      <c r="A553">
        <v>552</v>
      </c>
      <c r="B553" s="1">
        <v>40568</v>
      </c>
      <c r="C553">
        <v>1</v>
      </c>
      <c r="D553">
        <v>4</v>
      </c>
      <c r="E553" t="b">
        <v>0</v>
      </c>
      <c r="F553">
        <v>2</v>
      </c>
      <c r="G553">
        <v>1</v>
      </c>
      <c r="H553">
        <v>0.14000000000000001</v>
      </c>
      <c r="I553">
        <v>0.16669999999999999</v>
      </c>
      <c r="J553">
        <v>0.74</v>
      </c>
      <c r="K553">
        <v>0.1045</v>
      </c>
      <c r="L553">
        <v>0</v>
      </c>
      <c r="M553">
        <v>1</v>
      </c>
      <c r="N553">
        <v>1</v>
      </c>
      <c r="O553" t="s">
        <v>29</v>
      </c>
      <c r="P553" t="s">
        <v>56</v>
      </c>
      <c r="Q553" t="s">
        <v>31</v>
      </c>
      <c r="R553" t="s">
        <v>32</v>
      </c>
      <c r="S553" t="s">
        <v>55</v>
      </c>
      <c r="T553" t="s">
        <v>34</v>
      </c>
      <c r="U553" t="s">
        <v>35</v>
      </c>
      <c r="V553" t="s">
        <v>36</v>
      </c>
      <c r="W553" t="s">
        <v>37</v>
      </c>
      <c r="X553">
        <v>0</v>
      </c>
      <c r="Y553">
        <v>100</v>
      </c>
      <c r="Z553" t="s">
        <v>38</v>
      </c>
      <c r="AA553" t="s">
        <v>39</v>
      </c>
      <c r="AB553" t="s">
        <v>38</v>
      </c>
      <c r="AC553">
        <v>2.669999999999997E-2</v>
      </c>
    </row>
    <row r="554" spans="1:29" x14ac:dyDescent="0.3">
      <c r="A554">
        <v>553</v>
      </c>
      <c r="B554" s="1">
        <v>40568</v>
      </c>
      <c r="C554">
        <v>1</v>
      </c>
      <c r="D554">
        <v>5</v>
      </c>
      <c r="E554" t="b">
        <v>0</v>
      </c>
      <c r="F554">
        <v>2</v>
      </c>
      <c r="G554">
        <v>1</v>
      </c>
      <c r="H554">
        <v>0.14000000000000001</v>
      </c>
      <c r="I554">
        <v>0.13639999999999999</v>
      </c>
      <c r="J554">
        <v>0.74</v>
      </c>
      <c r="K554">
        <v>0.22389999999999999</v>
      </c>
      <c r="L554">
        <v>0</v>
      </c>
      <c r="M554">
        <v>9</v>
      </c>
      <c r="N554">
        <v>9</v>
      </c>
      <c r="O554" t="s">
        <v>29</v>
      </c>
      <c r="P554" t="s">
        <v>56</v>
      </c>
      <c r="Q554" t="s">
        <v>31</v>
      </c>
      <c r="R554" t="s">
        <v>32</v>
      </c>
      <c r="S554" t="s">
        <v>55</v>
      </c>
      <c r="T554" t="s">
        <v>34</v>
      </c>
      <c r="U554" t="s">
        <v>46</v>
      </c>
      <c r="V554" t="s">
        <v>36</v>
      </c>
      <c r="W554" t="s">
        <v>37</v>
      </c>
      <c r="X554">
        <v>0</v>
      </c>
      <c r="Y554">
        <v>100</v>
      </c>
      <c r="Z554" t="s">
        <v>38</v>
      </c>
      <c r="AA554" t="s">
        <v>39</v>
      </c>
      <c r="AB554" t="s">
        <v>38</v>
      </c>
      <c r="AC554">
        <v>-3.6000000000000199E-3</v>
      </c>
    </row>
    <row r="555" spans="1:29" x14ac:dyDescent="0.3">
      <c r="A555">
        <v>554</v>
      </c>
      <c r="B555" s="1">
        <v>40568</v>
      </c>
      <c r="C555">
        <v>1</v>
      </c>
      <c r="D555">
        <v>6</v>
      </c>
      <c r="E555" t="b">
        <v>0</v>
      </c>
      <c r="F555">
        <v>2</v>
      </c>
      <c r="G555">
        <v>1</v>
      </c>
      <c r="H555">
        <v>0.16</v>
      </c>
      <c r="I555">
        <v>0.18179999999999999</v>
      </c>
      <c r="J555">
        <v>0.74</v>
      </c>
      <c r="K555">
        <v>0.1045</v>
      </c>
      <c r="L555">
        <v>1</v>
      </c>
      <c r="M555">
        <v>35</v>
      </c>
      <c r="N555">
        <v>36</v>
      </c>
      <c r="O555" t="s">
        <v>29</v>
      </c>
      <c r="P555" t="s">
        <v>56</v>
      </c>
      <c r="Q555" t="s">
        <v>31</v>
      </c>
      <c r="R555" t="s">
        <v>42</v>
      </c>
      <c r="S555" t="s">
        <v>33</v>
      </c>
      <c r="T555" t="s">
        <v>34</v>
      </c>
      <c r="U555" t="s">
        <v>35</v>
      </c>
      <c r="V555" t="s">
        <v>36</v>
      </c>
      <c r="W555" t="s">
        <v>37</v>
      </c>
      <c r="X555">
        <v>2.7777777777777781</v>
      </c>
      <c r="Y555">
        <v>97.222222222222214</v>
      </c>
      <c r="Z555" t="s">
        <v>38</v>
      </c>
      <c r="AA555" t="s">
        <v>39</v>
      </c>
      <c r="AB555" t="s">
        <v>38</v>
      </c>
      <c r="AC555">
        <v>2.179999999999999E-2</v>
      </c>
    </row>
    <row r="556" spans="1:29" x14ac:dyDescent="0.3">
      <c r="A556">
        <v>555</v>
      </c>
      <c r="B556" s="1">
        <v>40568</v>
      </c>
      <c r="C556">
        <v>1</v>
      </c>
      <c r="D556">
        <v>7</v>
      </c>
      <c r="E556" t="b">
        <v>0</v>
      </c>
      <c r="F556">
        <v>2</v>
      </c>
      <c r="G556">
        <v>1</v>
      </c>
      <c r="H556">
        <v>0.16</v>
      </c>
      <c r="I556">
        <v>0.1515</v>
      </c>
      <c r="J556">
        <v>0.74</v>
      </c>
      <c r="K556">
        <v>0.22389999999999999</v>
      </c>
      <c r="L556">
        <v>5</v>
      </c>
      <c r="M556">
        <v>103</v>
      </c>
      <c r="N556">
        <v>108</v>
      </c>
      <c r="O556" t="s">
        <v>29</v>
      </c>
      <c r="P556" t="s">
        <v>56</v>
      </c>
      <c r="Q556" t="s">
        <v>31</v>
      </c>
      <c r="R556" t="s">
        <v>42</v>
      </c>
      <c r="S556" t="s">
        <v>33</v>
      </c>
      <c r="T556" t="s">
        <v>34</v>
      </c>
      <c r="U556" t="s">
        <v>46</v>
      </c>
      <c r="V556" t="s">
        <v>36</v>
      </c>
      <c r="W556" t="s">
        <v>37</v>
      </c>
      <c r="X556">
        <v>4.6296296296296298</v>
      </c>
      <c r="Y556">
        <v>95.370370370370367</v>
      </c>
      <c r="Z556" t="s">
        <v>40</v>
      </c>
      <c r="AA556" t="s">
        <v>49</v>
      </c>
      <c r="AB556" t="s">
        <v>38</v>
      </c>
      <c r="AC556">
        <v>-8.5000000000000075E-3</v>
      </c>
    </row>
    <row r="557" spans="1:29" x14ac:dyDescent="0.3">
      <c r="A557">
        <v>556</v>
      </c>
      <c r="B557" s="1">
        <v>40568</v>
      </c>
      <c r="C557">
        <v>1</v>
      </c>
      <c r="D557">
        <v>8</v>
      </c>
      <c r="E557" t="b">
        <v>0</v>
      </c>
      <c r="F557">
        <v>2</v>
      </c>
      <c r="G557">
        <v>2</v>
      </c>
      <c r="H557">
        <v>0.16</v>
      </c>
      <c r="I557">
        <v>0.18179999999999999</v>
      </c>
      <c r="J557">
        <v>0.74</v>
      </c>
      <c r="K557">
        <v>0.1343</v>
      </c>
      <c r="L557">
        <v>5</v>
      </c>
      <c r="M557">
        <v>233</v>
      </c>
      <c r="N557">
        <v>238</v>
      </c>
      <c r="O557" t="s">
        <v>29</v>
      </c>
      <c r="P557" t="s">
        <v>56</v>
      </c>
      <c r="Q557" t="s">
        <v>41</v>
      </c>
      <c r="R557" t="s">
        <v>42</v>
      </c>
      <c r="S557" t="s">
        <v>33</v>
      </c>
      <c r="T557" t="s">
        <v>34</v>
      </c>
      <c r="U557" t="s">
        <v>35</v>
      </c>
      <c r="V557" t="s">
        <v>36</v>
      </c>
      <c r="W557" t="s">
        <v>37</v>
      </c>
      <c r="X557">
        <v>2.1008403361344539</v>
      </c>
      <c r="Y557">
        <v>97.899159663865547</v>
      </c>
      <c r="Z557" t="s">
        <v>40</v>
      </c>
      <c r="AA557" t="s">
        <v>49</v>
      </c>
      <c r="AB557" t="s">
        <v>38</v>
      </c>
      <c r="AC557">
        <v>2.179999999999999E-2</v>
      </c>
    </row>
    <row r="558" spans="1:29" x14ac:dyDescent="0.3">
      <c r="A558">
        <v>557</v>
      </c>
      <c r="B558" s="1">
        <v>40568</v>
      </c>
      <c r="C558">
        <v>1</v>
      </c>
      <c r="D558">
        <v>9</v>
      </c>
      <c r="E558" t="b">
        <v>0</v>
      </c>
      <c r="F558">
        <v>2</v>
      </c>
      <c r="G558">
        <v>2</v>
      </c>
      <c r="H558">
        <v>0.2</v>
      </c>
      <c r="I558">
        <v>0.2273</v>
      </c>
      <c r="J558">
        <v>0.64</v>
      </c>
      <c r="K558">
        <v>8.9599999999999999E-2</v>
      </c>
      <c r="L558">
        <v>10</v>
      </c>
      <c r="M558">
        <v>134</v>
      </c>
      <c r="N558">
        <v>144</v>
      </c>
      <c r="O558" t="s">
        <v>29</v>
      </c>
      <c r="P558" t="s">
        <v>56</v>
      </c>
      <c r="Q558" t="s">
        <v>41</v>
      </c>
      <c r="R558" t="s">
        <v>42</v>
      </c>
      <c r="S558" t="s">
        <v>33</v>
      </c>
      <c r="T558" t="s">
        <v>49</v>
      </c>
      <c r="U558" t="s">
        <v>35</v>
      </c>
      <c r="V558" t="s">
        <v>36</v>
      </c>
      <c r="W558" t="s">
        <v>37</v>
      </c>
      <c r="X558">
        <v>6.9444444444444446</v>
      </c>
      <c r="Y558">
        <v>93.055555555555557</v>
      </c>
      <c r="Z558" t="s">
        <v>40</v>
      </c>
      <c r="AA558" t="s">
        <v>49</v>
      </c>
      <c r="AB558" t="s">
        <v>38</v>
      </c>
      <c r="AC558">
        <v>2.7299999999999991E-2</v>
      </c>
    </row>
    <row r="559" spans="1:29" x14ac:dyDescent="0.3">
      <c r="A559">
        <v>558</v>
      </c>
      <c r="B559" s="1">
        <v>40568</v>
      </c>
      <c r="C559">
        <v>1</v>
      </c>
      <c r="D559">
        <v>10</v>
      </c>
      <c r="E559" t="b">
        <v>0</v>
      </c>
      <c r="F559">
        <v>2</v>
      </c>
      <c r="G559">
        <v>2</v>
      </c>
      <c r="H559">
        <v>0.22</v>
      </c>
      <c r="I559">
        <v>0.2424</v>
      </c>
      <c r="J559">
        <v>0.6</v>
      </c>
      <c r="K559">
        <v>0.1045</v>
      </c>
      <c r="L559">
        <v>6</v>
      </c>
      <c r="M559">
        <v>49</v>
      </c>
      <c r="N559">
        <v>55</v>
      </c>
      <c r="O559" t="s">
        <v>29</v>
      </c>
      <c r="P559" t="s">
        <v>56</v>
      </c>
      <c r="Q559" t="s">
        <v>41</v>
      </c>
      <c r="R559" t="s">
        <v>42</v>
      </c>
      <c r="S559" t="s">
        <v>33</v>
      </c>
      <c r="T559" t="s">
        <v>49</v>
      </c>
      <c r="U559" t="s">
        <v>35</v>
      </c>
      <c r="V559" t="s">
        <v>36</v>
      </c>
      <c r="W559" t="s">
        <v>37</v>
      </c>
      <c r="X559">
        <v>10.90909090909091</v>
      </c>
      <c r="Y559">
        <v>89.090909090909093</v>
      </c>
      <c r="Z559" t="s">
        <v>38</v>
      </c>
      <c r="AA559" t="s">
        <v>39</v>
      </c>
      <c r="AB559" t="s">
        <v>38</v>
      </c>
      <c r="AC559">
        <v>2.24E-2</v>
      </c>
    </row>
    <row r="560" spans="1:29" x14ac:dyDescent="0.3">
      <c r="A560">
        <v>559</v>
      </c>
      <c r="B560" s="1">
        <v>40568</v>
      </c>
      <c r="C560">
        <v>1</v>
      </c>
      <c r="D560">
        <v>11</v>
      </c>
      <c r="E560" t="b">
        <v>0</v>
      </c>
      <c r="F560">
        <v>2</v>
      </c>
      <c r="G560">
        <v>2</v>
      </c>
      <c r="H560">
        <v>0.24</v>
      </c>
      <c r="I560">
        <v>0.2424</v>
      </c>
      <c r="J560">
        <v>0.6</v>
      </c>
      <c r="K560">
        <v>0.1343</v>
      </c>
      <c r="L560">
        <v>6</v>
      </c>
      <c r="M560">
        <v>55</v>
      </c>
      <c r="N560">
        <v>61</v>
      </c>
      <c r="O560" t="s">
        <v>29</v>
      </c>
      <c r="P560" t="s">
        <v>56</v>
      </c>
      <c r="Q560" t="s">
        <v>41</v>
      </c>
      <c r="R560" t="s">
        <v>42</v>
      </c>
      <c r="S560" t="s">
        <v>33</v>
      </c>
      <c r="T560" t="s">
        <v>49</v>
      </c>
      <c r="U560" t="s">
        <v>35</v>
      </c>
      <c r="V560" t="s">
        <v>36</v>
      </c>
      <c r="W560" t="s">
        <v>37</v>
      </c>
      <c r="X560">
        <v>9.8360655737704921</v>
      </c>
      <c r="Y560">
        <v>90.163934426229503</v>
      </c>
      <c r="Z560" t="s">
        <v>38</v>
      </c>
      <c r="AA560" t="s">
        <v>39</v>
      </c>
      <c r="AB560" t="s">
        <v>38</v>
      </c>
      <c r="AC560">
        <v>2.4000000000000128E-3</v>
      </c>
    </row>
    <row r="561" spans="1:29" x14ac:dyDescent="0.3">
      <c r="A561">
        <v>560</v>
      </c>
      <c r="B561" s="1">
        <v>40568</v>
      </c>
      <c r="C561">
        <v>1</v>
      </c>
      <c r="D561">
        <v>12</v>
      </c>
      <c r="E561" t="b">
        <v>0</v>
      </c>
      <c r="F561">
        <v>2</v>
      </c>
      <c r="G561">
        <v>2</v>
      </c>
      <c r="H561">
        <v>0.26</v>
      </c>
      <c r="I561">
        <v>0.28789999999999999</v>
      </c>
      <c r="J561">
        <v>0.56000000000000005</v>
      </c>
      <c r="K561">
        <v>8.9599999999999999E-2</v>
      </c>
      <c r="L561">
        <v>21</v>
      </c>
      <c r="M561">
        <v>85</v>
      </c>
      <c r="N561">
        <v>106</v>
      </c>
      <c r="O561" t="s">
        <v>29</v>
      </c>
      <c r="P561" t="s">
        <v>56</v>
      </c>
      <c r="Q561" t="s">
        <v>41</v>
      </c>
      <c r="R561" t="s">
        <v>47</v>
      </c>
      <c r="S561" t="s">
        <v>44</v>
      </c>
      <c r="T561" t="s">
        <v>49</v>
      </c>
      <c r="U561" t="s">
        <v>35</v>
      </c>
      <c r="V561" t="s">
        <v>36</v>
      </c>
      <c r="W561" t="s">
        <v>37</v>
      </c>
      <c r="X561">
        <v>19.811320754716981</v>
      </c>
      <c r="Y561">
        <v>80.188679245283026</v>
      </c>
      <c r="Z561" t="s">
        <v>38</v>
      </c>
      <c r="AA561" t="s">
        <v>49</v>
      </c>
      <c r="AB561" t="s">
        <v>38</v>
      </c>
      <c r="AC561">
        <v>2.789999999999998E-2</v>
      </c>
    </row>
    <row r="562" spans="1:29" x14ac:dyDescent="0.3">
      <c r="A562">
        <v>561</v>
      </c>
      <c r="B562" s="1">
        <v>40568</v>
      </c>
      <c r="C562">
        <v>1</v>
      </c>
      <c r="D562">
        <v>13</v>
      </c>
      <c r="E562" t="b">
        <v>0</v>
      </c>
      <c r="F562">
        <v>2</v>
      </c>
      <c r="G562">
        <v>2</v>
      </c>
      <c r="H562">
        <v>0.26</v>
      </c>
      <c r="I562">
        <v>0.2727</v>
      </c>
      <c r="J562">
        <v>0.56000000000000005</v>
      </c>
      <c r="K562">
        <v>0.1343</v>
      </c>
      <c r="L562">
        <v>21</v>
      </c>
      <c r="M562">
        <v>72</v>
      </c>
      <c r="N562">
        <v>93</v>
      </c>
      <c r="O562" t="s">
        <v>29</v>
      </c>
      <c r="P562" t="s">
        <v>56</v>
      </c>
      <c r="Q562" t="s">
        <v>41</v>
      </c>
      <c r="R562" t="s">
        <v>47</v>
      </c>
      <c r="S562" t="s">
        <v>44</v>
      </c>
      <c r="T562" t="s">
        <v>49</v>
      </c>
      <c r="U562" t="s">
        <v>35</v>
      </c>
      <c r="V562" t="s">
        <v>36</v>
      </c>
      <c r="W562" t="s">
        <v>37</v>
      </c>
      <c r="X562">
        <v>22.58064516129032</v>
      </c>
      <c r="Y562">
        <v>77.41935483870968</v>
      </c>
      <c r="Z562" t="s">
        <v>38</v>
      </c>
      <c r="AA562" t="s">
        <v>39</v>
      </c>
      <c r="AB562" t="s">
        <v>38</v>
      </c>
      <c r="AC562">
        <v>1.2699999999999991E-2</v>
      </c>
    </row>
    <row r="563" spans="1:29" x14ac:dyDescent="0.3">
      <c r="A563">
        <v>562</v>
      </c>
      <c r="B563" s="1">
        <v>40568</v>
      </c>
      <c r="C563">
        <v>1</v>
      </c>
      <c r="D563">
        <v>14</v>
      </c>
      <c r="E563" t="b">
        <v>0</v>
      </c>
      <c r="F563">
        <v>2</v>
      </c>
      <c r="G563">
        <v>2</v>
      </c>
      <c r="H563">
        <v>0.3</v>
      </c>
      <c r="I563">
        <v>0.33329999999999999</v>
      </c>
      <c r="J563">
        <v>0.45</v>
      </c>
      <c r="K563">
        <v>0</v>
      </c>
      <c r="L563">
        <v>11</v>
      </c>
      <c r="M563">
        <v>57</v>
      </c>
      <c r="N563">
        <v>68</v>
      </c>
      <c r="O563" t="s">
        <v>29</v>
      </c>
      <c r="P563" t="s">
        <v>56</v>
      </c>
      <c r="Q563" t="s">
        <v>41</v>
      </c>
      <c r="R563" t="s">
        <v>47</v>
      </c>
      <c r="S563" t="s">
        <v>44</v>
      </c>
      <c r="T563" t="s">
        <v>49</v>
      </c>
      <c r="U563" t="s">
        <v>35</v>
      </c>
      <c r="V563" t="s">
        <v>36</v>
      </c>
      <c r="W563" t="s">
        <v>37</v>
      </c>
      <c r="X563">
        <v>16.17647058823529</v>
      </c>
      <c r="Y563">
        <v>83.82352941176471</v>
      </c>
      <c r="Z563" t="s">
        <v>38</v>
      </c>
      <c r="AA563" t="s">
        <v>39</v>
      </c>
      <c r="AB563" t="s">
        <v>38</v>
      </c>
      <c r="AC563">
        <v>3.3300000000000003E-2</v>
      </c>
    </row>
    <row r="564" spans="1:29" x14ac:dyDescent="0.3">
      <c r="A564">
        <v>563</v>
      </c>
      <c r="B564" s="1">
        <v>40568</v>
      </c>
      <c r="C564">
        <v>1</v>
      </c>
      <c r="D564">
        <v>15</v>
      </c>
      <c r="E564" t="b">
        <v>0</v>
      </c>
      <c r="F564">
        <v>2</v>
      </c>
      <c r="G564">
        <v>2</v>
      </c>
      <c r="H564">
        <v>0.32</v>
      </c>
      <c r="I564">
        <v>0.34849999999999998</v>
      </c>
      <c r="J564">
        <v>0.42</v>
      </c>
      <c r="K564">
        <v>0</v>
      </c>
      <c r="L564">
        <v>21</v>
      </c>
      <c r="M564">
        <v>63</v>
      </c>
      <c r="N564">
        <v>84</v>
      </c>
      <c r="O564" t="s">
        <v>29</v>
      </c>
      <c r="P564" t="s">
        <v>56</v>
      </c>
      <c r="Q564" t="s">
        <v>41</v>
      </c>
      <c r="R564" t="s">
        <v>47</v>
      </c>
      <c r="S564" t="s">
        <v>44</v>
      </c>
      <c r="T564" t="s">
        <v>49</v>
      </c>
      <c r="U564" t="s">
        <v>35</v>
      </c>
      <c r="V564" t="s">
        <v>36</v>
      </c>
      <c r="W564" t="s">
        <v>37</v>
      </c>
      <c r="X564">
        <v>25</v>
      </c>
      <c r="Y564">
        <v>75</v>
      </c>
      <c r="Z564" t="s">
        <v>38</v>
      </c>
      <c r="AA564" t="s">
        <v>39</v>
      </c>
      <c r="AB564" t="s">
        <v>38</v>
      </c>
      <c r="AC564">
        <v>2.849999999999997E-2</v>
      </c>
    </row>
    <row r="565" spans="1:29" x14ac:dyDescent="0.3">
      <c r="A565">
        <v>564</v>
      </c>
      <c r="B565" s="1">
        <v>40568</v>
      </c>
      <c r="C565">
        <v>1</v>
      </c>
      <c r="D565">
        <v>16</v>
      </c>
      <c r="E565" t="b">
        <v>0</v>
      </c>
      <c r="F565">
        <v>2</v>
      </c>
      <c r="G565">
        <v>2</v>
      </c>
      <c r="H565">
        <v>0.32</v>
      </c>
      <c r="I565">
        <v>0.34849999999999998</v>
      </c>
      <c r="J565">
        <v>0.42</v>
      </c>
      <c r="K565">
        <v>0</v>
      </c>
      <c r="L565">
        <v>14</v>
      </c>
      <c r="M565">
        <v>102</v>
      </c>
      <c r="N565">
        <v>116</v>
      </c>
      <c r="O565" t="s">
        <v>29</v>
      </c>
      <c r="P565" t="s">
        <v>56</v>
      </c>
      <c r="Q565" t="s">
        <v>41</v>
      </c>
      <c r="R565" t="s">
        <v>47</v>
      </c>
      <c r="S565" t="s">
        <v>44</v>
      </c>
      <c r="T565" t="s">
        <v>49</v>
      </c>
      <c r="U565" t="s">
        <v>35</v>
      </c>
      <c r="V565" t="s">
        <v>36</v>
      </c>
      <c r="W565" t="s">
        <v>37</v>
      </c>
      <c r="X565">
        <v>12.068965517241381</v>
      </c>
      <c r="Y565">
        <v>87.931034482758619</v>
      </c>
      <c r="Z565" t="s">
        <v>38</v>
      </c>
      <c r="AA565" t="s">
        <v>49</v>
      </c>
      <c r="AB565" t="s">
        <v>38</v>
      </c>
      <c r="AC565">
        <v>2.849999999999997E-2</v>
      </c>
    </row>
    <row r="566" spans="1:29" x14ac:dyDescent="0.3">
      <c r="A566">
        <v>565</v>
      </c>
      <c r="B566" s="1">
        <v>40568</v>
      </c>
      <c r="C566">
        <v>1</v>
      </c>
      <c r="D566">
        <v>17</v>
      </c>
      <c r="E566" t="b">
        <v>0</v>
      </c>
      <c r="F566">
        <v>2</v>
      </c>
      <c r="G566">
        <v>1</v>
      </c>
      <c r="H566">
        <v>0.3</v>
      </c>
      <c r="I566">
        <v>0.33329999999999999</v>
      </c>
      <c r="J566">
        <v>0.45</v>
      </c>
      <c r="K566">
        <v>0</v>
      </c>
      <c r="L566">
        <v>14</v>
      </c>
      <c r="M566">
        <v>208</v>
      </c>
      <c r="N566">
        <v>222</v>
      </c>
      <c r="O566" t="s">
        <v>29</v>
      </c>
      <c r="P566" t="s">
        <v>56</v>
      </c>
      <c r="Q566" t="s">
        <v>31</v>
      </c>
      <c r="R566" t="s">
        <v>50</v>
      </c>
      <c r="S566" t="s">
        <v>44</v>
      </c>
      <c r="T566" t="s">
        <v>49</v>
      </c>
      <c r="U566" t="s">
        <v>35</v>
      </c>
      <c r="V566" t="s">
        <v>36</v>
      </c>
      <c r="W566" t="s">
        <v>37</v>
      </c>
      <c r="X566">
        <v>6.3063063063063058</v>
      </c>
      <c r="Y566">
        <v>93.693693693693689</v>
      </c>
      <c r="Z566" t="s">
        <v>40</v>
      </c>
      <c r="AA566" t="s">
        <v>49</v>
      </c>
      <c r="AB566" t="s">
        <v>38</v>
      </c>
      <c r="AC566">
        <v>3.3300000000000003E-2</v>
      </c>
    </row>
    <row r="567" spans="1:29" x14ac:dyDescent="0.3">
      <c r="A567">
        <v>566</v>
      </c>
      <c r="B567" s="1">
        <v>40568</v>
      </c>
      <c r="C567">
        <v>1</v>
      </c>
      <c r="D567">
        <v>18</v>
      </c>
      <c r="E567" t="b">
        <v>0</v>
      </c>
      <c r="F567">
        <v>2</v>
      </c>
      <c r="G567">
        <v>2</v>
      </c>
      <c r="H567">
        <v>0.3</v>
      </c>
      <c r="I567">
        <v>0.31819999999999998</v>
      </c>
      <c r="J567">
        <v>0.49</v>
      </c>
      <c r="K567">
        <v>8.9599999999999999E-2</v>
      </c>
      <c r="L567">
        <v>7</v>
      </c>
      <c r="M567">
        <v>218</v>
      </c>
      <c r="N567">
        <v>225</v>
      </c>
      <c r="O567" t="s">
        <v>29</v>
      </c>
      <c r="P567" t="s">
        <v>56</v>
      </c>
      <c r="Q567" t="s">
        <v>41</v>
      </c>
      <c r="R567" t="s">
        <v>50</v>
      </c>
      <c r="S567" t="s">
        <v>44</v>
      </c>
      <c r="T567" t="s">
        <v>49</v>
      </c>
      <c r="U567" t="s">
        <v>35</v>
      </c>
      <c r="V567" t="s">
        <v>36</v>
      </c>
      <c r="W567" t="s">
        <v>37</v>
      </c>
      <c r="X567">
        <v>3.1111111111111112</v>
      </c>
      <c r="Y567">
        <v>96.888888888888886</v>
      </c>
      <c r="Z567" t="s">
        <v>40</v>
      </c>
      <c r="AA567" t="s">
        <v>49</v>
      </c>
      <c r="AB567" t="s">
        <v>38</v>
      </c>
      <c r="AC567">
        <v>1.819999999999999E-2</v>
      </c>
    </row>
    <row r="568" spans="1:29" x14ac:dyDescent="0.3">
      <c r="A568">
        <v>567</v>
      </c>
      <c r="B568" s="1">
        <v>40568</v>
      </c>
      <c r="C568">
        <v>1</v>
      </c>
      <c r="D568">
        <v>19</v>
      </c>
      <c r="E568" t="b">
        <v>0</v>
      </c>
      <c r="F568">
        <v>2</v>
      </c>
      <c r="G568">
        <v>2</v>
      </c>
      <c r="H568">
        <v>0.26</v>
      </c>
      <c r="I568">
        <v>0.2576</v>
      </c>
      <c r="J568">
        <v>0.65</v>
      </c>
      <c r="K568">
        <v>0.16420000000000001</v>
      </c>
      <c r="L568">
        <v>13</v>
      </c>
      <c r="M568">
        <v>133</v>
      </c>
      <c r="N568">
        <v>146</v>
      </c>
      <c r="O568" t="s">
        <v>29</v>
      </c>
      <c r="P568" t="s">
        <v>56</v>
      </c>
      <c r="Q568" t="s">
        <v>41</v>
      </c>
      <c r="R568" t="s">
        <v>50</v>
      </c>
      <c r="S568" t="s">
        <v>44</v>
      </c>
      <c r="T568" t="s">
        <v>49</v>
      </c>
      <c r="U568" t="s">
        <v>46</v>
      </c>
      <c r="V568" t="s">
        <v>36</v>
      </c>
      <c r="W568" t="s">
        <v>37</v>
      </c>
      <c r="X568">
        <v>8.9041095890410951</v>
      </c>
      <c r="Y568">
        <v>91.095890410958901</v>
      </c>
      <c r="Z568" t="s">
        <v>40</v>
      </c>
      <c r="AA568" t="s">
        <v>49</v>
      </c>
      <c r="AB568" t="s">
        <v>38</v>
      </c>
      <c r="AC568">
        <v>-2.4000000000000128E-3</v>
      </c>
    </row>
    <row r="569" spans="1:29" x14ac:dyDescent="0.3">
      <c r="A569">
        <v>568</v>
      </c>
      <c r="B569" s="1">
        <v>40568</v>
      </c>
      <c r="C569">
        <v>1</v>
      </c>
      <c r="D569">
        <v>20</v>
      </c>
      <c r="E569" t="b">
        <v>0</v>
      </c>
      <c r="F569">
        <v>2</v>
      </c>
      <c r="G569">
        <v>1</v>
      </c>
      <c r="H569">
        <v>0.24</v>
      </c>
      <c r="I569">
        <v>0.2273</v>
      </c>
      <c r="J569">
        <v>0.65</v>
      </c>
      <c r="K569">
        <v>0.19400000000000001</v>
      </c>
      <c r="L569">
        <v>16</v>
      </c>
      <c r="M569">
        <v>103</v>
      </c>
      <c r="N569">
        <v>119</v>
      </c>
      <c r="O569" t="s">
        <v>29</v>
      </c>
      <c r="P569" t="s">
        <v>56</v>
      </c>
      <c r="Q569" t="s">
        <v>31</v>
      </c>
      <c r="R569" t="s">
        <v>50</v>
      </c>
      <c r="S569" t="s">
        <v>33</v>
      </c>
      <c r="T569" t="s">
        <v>49</v>
      </c>
      <c r="U569" t="s">
        <v>46</v>
      </c>
      <c r="V569" t="s">
        <v>36</v>
      </c>
      <c r="W569" t="s">
        <v>37</v>
      </c>
      <c r="X569">
        <v>13.445378151260501</v>
      </c>
      <c r="Y569">
        <v>86.554621848739501</v>
      </c>
      <c r="Z569" t="s">
        <v>38</v>
      </c>
      <c r="AA569" t="s">
        <v>49</v>
      </c>
      <c r="AB569" t="s">
        <v>38</v>
      </c>
      <c r="AC569">
        <v>-1.2699999999999991E-2</v>
      </c>
    </row>
    <row r="570" spans="1:29" x14ac:dyDescent="0.3">
      <c r="A570">
        <v>569</v>
      </c>
      <c r="B570" s="1">
        <v>40568</v>
      </c>
      <c r="C570">
        <v>1</v>
      </c>
      <c r="D570">
        <v>21</v>
      </c>
      <c r="E570" t="b">
        <v>0</v>
      </c>
      <c r="F570">
        <v>2</v>
      </c>
      <c r="G570">
        <v>1</v>
      </c>
      <c r="H570">
        <v>0.24</v>
      </c>
      <c r="I570">
        <v>0.2273</v>
      </c>
      <c r="J570">
        <v>0.65</v>
      </c>
      <c r="K570">
        <v>0.19400000000000001</v>
      </c>
      <c r="L570">
        <v>5</v>
      </c>
      <c r="M570">
        <v>40</v>
      </c>
      <c r="N570">
        <v>45</v>
      </c>
      <c r="O570" t="s">
        <v>29</v>
      </c>
      <c r="P570" t="s">
        <v>56</v>
      </c>
      <c r="Q570" t="s">
        <v>31</v>
      </c>
      <c r="R570" t="s">
        <v>32</v>
      </c>
      <c r="S570" t="s">
        <v>33</v>
      </c>
      <c r="T570" t="s">
        <v>49</v>
      </c>
      <c r="U570" t="s">
        <v>46</v>
      </c>
      <c r="V570" t="s">
        <v>36</v>
      </c>
      <c r="W570" t="s">
        <v>37</v>
      </c>
      <c r="X570">
        <v>11.111111111111111</v>
      </c>
      <c r="Y570">
        <v>88.888888888888886</v>
      </c>
      <c r="Z570" t="s">
        <v>38</v>
      </c>
      <c r="AA570" t="s">
        <v>39</v>
      </c>
      <c r="AB570" t="s">
        <v>38</v>
      </c>
      <c r="AC570">
        <v>-1.2699999999999991E-2</v>
      </c>
    </row>
    <row r="571" spans="1:29" x14ac:dyDescent="0.3">
      <c r="A571">
        <v>570</v>
      </c>
      <c r="B571" s="1">
        <v>40568</v>
      </c>
      <c r="C571">
        <v>1</v>
      </c>
      <c r="D571">
        <v>22</v>
      </c>
      <c r="E571" t="b">
        <v>0</v>
      </c>
      <c r="F571">
        <v>2</v>
      </c>
      <c r="G571">
        <v>1</v>
      </c>
      <c r="H571">
        <v>0.22</v>
      </c>
      <c r="I571">
        <v>0.2273</v>
      </c>
      <c r="J571">
        <v>0.64</v>
      </c>
      <c r="K571">
        <v>0.16420000000000001</v>
      </c>
      <c r="L571">
        <v>4</v>
      </c>
      <c r="M571">
        <v>49</v>
      </c>
      <c r="N571">
        <v>53</v>
      </c>
      <c r="O571" t="s">
        <v>29</v>
      </c>
      <c r="P571" t="s">
        <v>56</v>
      </c>
      <c r="Q571" t="s">
        <v>31</v>
      </c>
      <c r="R571" t="s">
        <v>32</v>
      </c>
      <c r="S571" t="s">
        <v>33</v>
      </c>
      <c r="T571" t="s">
        <v>49</v>
      </c>
      <c r="U571" t="s">
        <v>46</v>
      </c>
      <c r="V571" t="s">
        <v>36</v>
      </c>
      <c r="W571" t="s">
        <v>37</v>
      </c>
      <c r="X571">
        <v>7.5471698113207548</v>
      </c>
      <c r="Y571">
        <v>92.452830188679243</v>
      </c>
      <c r="Z571" t="s">
        <v>38</v>
      </c>
      <c r="AA571" t="s">
        <v>39</v>
      </c>
      <c r="AB571" t="s">
        <v>38</v>
      </c>
      <c r="AC571">
        <v>7.3000000000000009E-3</v>
      </c>
    </row>
    <row r="572" spans="1:29" x14ac:dyDescent="0.3">
      <c r="A572">
        <v>571</v>
      </c>
      <c r="B572" s="1">
        <v>40568</v>
      </c>
      <c r="C572">
        <v>1</v>
      </c>
      <c r="D572">
        <v>23</v>
      </c>
      <c r="E572" t="b">
        <v>0</v>
      </c>
      <c r="F572">
        <v>2</v>
      </c>
      <c r="G572">
        <v>2</v>
      </c>
      <c r="H572">
        <v>0.22</v>
      </c>
      <c r="I572">
        <v>0.2273</v>
      </c>
      <c r="J572">
        <v>0.64</v>
      </c>
      <c r="K572">
        <v>0.16420000000000001</v>
      </c>
      <c r="L572">
        <v>3</v>
      </c>
      <c r="M572">
        <v>37</v>
      </c>
      <c r="N572">
        <v>40</v>
      </c>
      <c r="O572" t="s">
        <v>29</v>
      </c>
      <c r="P572" t="s">
        <v>56</v>
      </c>
      <c r="Q572" t="s">
        <v>41</v>
      </c>
      <c r="R572" t="s">
        <v>32</v>
      </c>
      <c r="S572" t="s">
        <v>33</v>
      </c>
      <c r="T572" t="s">
        <v>49</v>
      </c>
      <c r="U572" t="s">
        <v>46</v>
      </c>
      <c r="V572" t="s">
        <v>36</v>
      </c>
      <c r="W572" t="s">
        <v>37</v>
      </c>
      <c r="X572">
        <v>7.5</v>
      </c>
      <c r="Y572">
        <v>92.5</v>
      </c>
      <c r="Z572" t="s">
        <v>38</v>
      </c>
      <c r="AA572" t="s">
        <v>39</v>
      </c>
      <c r="AB572" t="s">
        <v>38</v>
      </c>
      <c r="AC572">
        <v>7.3000000000000009E-3</v>
      </c>
    </row>
    <row r="573" spans="1:29" x14ac:dyDescent="0.3">
      <c r="A573">
        <v>572</v>
      </c>
      <c r="B573" s="1">
        <v>40569</v>
      </c>
      <c r="C573">
        <v>1</v>
      </c>
      <c r="D573">
        <v>0</v>
      </c>
      <c r="E573" t="b">
        <v>0</v>
      </c>
      <c r="F573">
        <v>3</v>
      </c>
      <c r="G573">
        <v>2</v>
      </c>
      <c r="H573">
        <v>0.22</v>
      </c>
      <c r="I573">
        <v>0.2273</v>
      </c>
      <c r="J573">
        <v>0.69</v>
      </c>
      <c r="K573">
        <v>0.1343</v>
      </c>
      <c r="L573">
        <v>3</v>
      </c>
      <c r="M573">
        <v>14</v>
      </c>
      <c r="N573">
        <v>17</v>
      </c>
      <c r="O573" t="s">
        <v>29</v>
      </c>
      <c r="P573" t="s">
        <v>57</v>
      </c>
      <c r="Q573" t="s">
        <v>41</v>
      </c>
      <c r="R573" t="s">
        <v>32</v>
      </c>
      <c r="S573" t="s">
        <v>33</v>
      </c>
      <c r="T573" t="s">
        <v>49</v>
      </c>
      <c r="U573" t="s">
        <v>35</v>
      </c>
      <c r="V573" t="s">
        <v>36</v>
      </c>
      <c r="W573" t="s">
        <v>37</v>
      </c>
      <c r="X573">
        <v>17.647058823529409</v>
      </c>
      <c r="Y573">
        <v>82.35294117647058</v>
      </c>
      <c r="Z573" t="s">
        <v>38</v>
      </c>
      <c r="AA573" t="s">
        <v>39</v>
      </c>
      <c r="AB573" t="s">
        <v>38</v>
      </c>
      <c r="AC573">
        <v>7.3000000000000009E-3</v>
      </c>
    </row>
    <row r="574" spans="1:29" x14ac:dyDescent="0.3">
      <c r="A574">
        <v>573</v>
      </c>
      <c r="B574" s="1">
        <v>40569</v>
      </c>
      <c r="C574">
        <v>1</v>
      </c>
      <c r="D574">
        <v>1</v>
      </c>
      <c r="E574" t="b">
        <v>0</v>
      </c>
      <c r="F574">
        <v>3</v>
      </c>
      <c r="G574">
        <v>2</v>
      </c>
      <c r="H574">
        <v>0.24</v>
      </c>
      <c r="I574">
        <v>0.2424</v>
      </c>
      <c r="J574">
        <v>0.65</v>
      </c>
      <c r="K574">
        <v>0.1343</v>
      </c>
      <c r="L574">
        <v>0</v>
      </c>
      <c r="M574">
        <v>5</v>
      </c>
      <c r="N574">
        <v>5</v>
      </c>
      <c r="O574" t="s">
        <v>29</v>
      </c>
      <c r="P574" t="s">
        <v>57</v>
      </c>
      <c r="Q574" t="s">
        <v>41</v>
      </c>
      <c r="R574" t="s">
        <v>32</v>
      </c>
      <c r="S574" t="s">
        <v>33</v>
      </c>
      <c r="T574" t="s">
        <v>49</v>
      </c>
      <c r="U574" t="s">
        <v>35</v>
      </c>
      <c r="V574" t="s">
        <v>36</v>
      </c>
      <c r="W574" t="s">
        <v>37</v>
      </c>
      <c r="X574">
        <v>0</v>
      </c>
      <c r="Y574">
        <v>100</v>
      </c>
      <c r="Z574" t="s">
        <v>38</v>
      </c>
      <c r="AA574" t="s">
        <v>39</v>
      </c>
      <c r="AB574" t="s">
        <v>38</v>
      </c>
      <c r="AC574">
        <v>2.4000000000000128E-3</v>
      </c>
    </row>
    <row r="575" spans="1:29" x14ac:dyDescent="0.3">
      <c r="A575">
        <v>574</v>
      </c>
      <c r="B575" s="1">
        <v>40569</v>
      </c>
      <c r="C575">
        <v>1</v>
      </c>
      <c r="D575">
        <v>2</v>
      </c>
      <c r="E575" t="b">
        <v>0</v>
      </c>
      <c r="F575">
        <v>3</v>
      </c>
      <c r="G575">
        <v>3</v>
      </c>
      <c r="H575">
        <v>0.22</v>
      </c>
      <c r="I575">
        <v>0.2273</v>
      </c>
      <c r="J575">
        <v>0.69</v>
      </c>
      <c r="K575">
        <v>0.19400000000000001</v>
      </c>
      <c r="L575">
        <v>3</v>
      </c>
      <c r="M575">
        <v>7</v>
      </c>
      <c r="N575">
        <v>10</v>
      </c>
      <c r="O575" t="s">
        <v>29</v>
      </c>
      <c r="P575" t="s">
        <v>57</v>
      </c>
      <c r="Q575" t="s">
        <v>51</v>
      </c>
      <c r="R575" t="s">
        <v>32</v>
      </c>
      <c r="S575" t="s">
        <v>33</v>
      </c>
      <c r="T575" t="s">
        <v>49</v>
      </c>
      <c r="U575" t="s">
        <v>46</v>
      </c>
      <c r="V575" t="s">
        <v>36</v>
      </c>
      <c r="W575" t="s">
        <v>37</v>
      </c>
      <c r="X575">
        <v>30</v>
      </c>
      <c r="Y575">
        <v>70</v>
      </c>
      <c r="Z575" t="s">
        <v>38</v>
      </c>
      <c r="AA575" t="s">
        <v>39</v>
      </c>
      <c r="AB575" t="s">
        <v>38</v>
      </c>
      <c r="AC575">
        <v>7.3000000000000009E-3</v>
      </c>
    </row>
    <row r="576" spans="1:29" x14ac:dyDescent="0.3">
      <c r="A576">
        <v>575</v>
      </c>
      <c r="B576" s="1">
        <v>40569</v>
      </c>
      <c r="C576">
        <v>1</v>
      </c>
      <c r="D576">
        <v>5</v>
      </c>
      <c r="E576" t="b">
        <v>0</v>
      </c>
      <c r="F576">
        <v>3</v>
      </c>
      <c r="G576">
        <v>3</v>
      </c>
      <c r="H576">
        <v>0.2</v>
      </c>
      <c r="I576">
        <v>0.18179999999999999</v>
      </c>
      <c r="J576">
        <v>0.86</v>
      </c>
      <c r="K576">
        <v>0.28360000000000002</v>
      </c>
      <c r="L576">
        <v>0</v>
      </c>
      <c r="M576">
        <v>1</v>
      </c>
      <c r="N576">
        <v>1</v>
      </c>
      <c r="O576" t="s">
        <v>29</v>
      </c>
      <c r="P576" t="s">
        <v>57</v>
      </c>
      <c r="Q576" t="s">
        <v>51</v>
      </c>
      <c r="R576" t="s">
        <v>32</v>
      </c>
      <c r="S576" t="s">
        <v>33</v>
      </c>
      <c r="T576" t="s">
        <v>34</v>
      </c>
      <c r="U576" t="s">
        <v>46</v>
      </c>
      <c r="V576" t="s">
        <v>36</v>
      </c>
      <c r="W576" t="s">
        <v>37</v>
      </c>
      <c r="X576">
        <v>0</v>
      </c>
      <c r="Y576">
        <v>100</v>
      </c>
      <c r="Z576" t="s">
        <v>38</v>
      </c>
      <c r="AA576" t="s">
        <v>39</v>
      </c>
      <c r="AB576" t="s">
        <v>38</v>
      </c>
      <c r="AC576">
        <v>-1.8200000000000022E-2</v>
      </c>
    </row>
    <row r="577" spans="1:29" x14ac:dyDescent="0.3">
      <c r="A577">
        <v>576</v>
      </c>
      <c r="B577" s="1">
        <v>40569</v>
      </c>
      <c r="C577">
        <v>1</v>
      </c>
      <c r="D577">
        <v>6</v>
      </c>
      <c r="E577" t="b">
        <v>0</v>
      </c>
      <c r="F577">
        <v>3</v>
      </c>
      <c r="G577">
        <v>3</v>
      </c>
      <c r="H577">
        <v>0.2</v>
      </c>
      <c r="I577">
        <v>0.18179999999999999</v>
      </c>
      <c r="J577">
        <v>0.86</v>
      </c>
      <c r="K577">
        <v>0.28360000000000002</v>
      </c>
      <c r="L577">
        <v>0</v>
      </c>
      <c r="M577">
        <v>8</v>
      </c>
      <c r="N577">
        <v>8</v>
      </c>
      <c r="O577" t="s">
        <v>29</v>
      </c>
      <c r="P577" t="s">
        <v>57</v>
      </c>
      <c r="Q577" t="s">
        <v>51</v>
      </c>
      <c r="R577" t="s">
        <v>42</v>
      </c>
      <c r="S577" t="s">
        <v>33</v>
      </c>
      <c r="T577" t="s">
        <v>34</v>
      </c>
      <c r="U577" t="s">
        <v>46</v>
      </c>
      <c r="V577" t="s">
        <v>36</v>
      </c>
      <c r="W577" t="s">
        <v>37</v>
      </c>
      <c r="X577">
        <v>0</v>
      </c>
      <c r="Y577">
        <v>100</v>
      </c>
      <c r="Z577" t="s">
        <v>38</v>
      </c>
      <c r="AA577" t="s">
        <v>39</v>
      </c>
      <c r="AB577" t="s">
        <v>38</v>
      </c>
      <c r="AC577">
        <v>-1.8200000000000022E-2</v>
      </c>
    </row>
    <row r="578" spans="1:29" x14ac:dyDescent="0.3">
      <c r="A578">
        <v>577</v>
      </c>
      <c r="B578" s="1">
        <v>40569</v>
      </c>
      <c r="C578">
        <v>1</v>
      </c>
      <c r="D578">
        <v>7</v>
      </c>
      <c r="E578" t="b">
        <v>0</v>
      </c>
      <c r="F578">
        <v>3</v>
      </c>
      <c r="G578">
        <v>3</v>
      </c>
      <c r="H578">
        <v>0.22</v>
      </c>
      <c r="I578">
        <v>0.21210000000000001</v>
      </c>
      <c r="J578">
        <v>0.87</v>
      </c>
      <c r="K578">
        <v>0.29849999999999999</v>
      </c>
      <c r="L578">
        <v>1</v>
      </c>
      <c r="M578">
        <v>29</v>
      </c>
      <c r="N578">
        <v>30</v>
      </c>
      <c r="O578" t="s">
        <v>29</v>
      </c>
      <c r="P578" t="s">
        <v>57</v>
      </c>
      <c r="Q578" t="s">
        <v>51</v>
      </c>
      <c r="R578" t="s">
        <v>42</v>
      </c>
      <c r="S578" t="s">
        <v>33</v>
      </c>
      <c r="T578" t="s">
        <v>34</v>
      </c>
      <c r="U578" t="s">
        <v>46</v>
      </c>
      <c r="V578" t="s">
        <v>36</v>
      </c>
      <c r="W578" t="s">
        <v>37</v>
      </c>
      <c r="X578">
        <v>3.333333333333333</v>
      </c>
      <c r="Y578">
        <v>96.666666666666671</v>
      </c>
      <c r="Z578" t="s">
        <v>40</v>
      </c>
      <c r="AA578" t="s">
        <v>39</v>
      </c>
      <c r="AB578" t="s">
        <v>38</v>
      </c>
      <c r="AC578">
        <v>-7.8999999999999904E-3</v>
      </c>
    </row>
    <row r="579" spans="1:29" x14ac:dyDescent="0.3">
      <c r="A579">
        <v>578</v>
      </c>
      <c r="B579" s="1">
        <v>40569</v>
      </c>
      <c r="C579">
        <v>1</v>
      </c>
      <c r="D579">
        <v>8</v>
      </c>
      <c r="E579" t="b">
        <v>0</v>
      </c>
      <c r="F579">
        <v>3</v>
      </c>
      <c r="G579">
        <v>3</v>
      </c>
      <c r="H579">
        <v>0.22</v>
      </c>
      <c r="I579">
        <v>0.21210000000000001</v>
      </c>
      <c r="J579">
        <v>0.87</v>
      </c>
      <c r="K579">
        <v>0.29849999999999999</v>
      </c>
      <c r="L579">
        <v>3</v>
      </c>
      <c r="M579">
        <v>69</v>
      </c>
      <c r="N579">
        <v>72</v>
      </c>
      <c r="O579" t="s">
        <v>29</v>
      </c>
      <c r="P579" t="s">
        <v>57</v>
      </c>
      <c r="Q579" t="s">
        <v>51</v>
      </c>
      <c r="R579" t="s">
        <v>42</v>
      </c>
      <c r="S579" t="s">
        <v>33</v>
      </c>
      <c r="T579" t="s">
        <v>34</v>
      </c>
      <c r="U579" t="s">
        <v>46</v>
      </c>
      <c r="V579" t="s">
        <v>36</v>
      </c>
      <c r="W579" t="s">
        <v>37</v>
      </c>
      <c r="X579">
        <v>4.1666666666666661</v>
      </c>
      <c r="Y579">
        <v>95.833333333333343</v>
      </c>
      <c r="Z579" t="s">
        <v>40</v>
      </c>
      <c r="AA579" t="s">
        <v>39</v>
      </c>
      <c r="AB579" t="s">
        <v>38</v>
      </c>
      <c r="AC579">
        <v>-7.8999999999999904E-3</v>
      </c>
    </row>
    <row r="580" spans="1:29" x14ac:dyDescent="0.3">
      <c r="A580">
        <v>579</v>
      </c>
      <c r="B580" s="1">
        <v>40569</v>
      </c>
      <c r="C580">
        <v>1</v>
      </c>
      <c r="D580">
        <v>9</v>
      </c>
      <c r="E580" t="b">
        <v>0</v>
      </c>
      <c r="F580">
        <v>3</v>
      </c>
      <c r="G580">
        <v>3</v>
      </c>
      <c r="H580">
        <v>0.22</v>
      </c>
      <c r="I580">
        <v>0.21210000000000001</v>
      </c>
      <c r="J580">
        <v>0.87</v>
      </c>
      <c r="K580">
        <v>0.29849999999999999</v>
      </c>
      <c r="L580">
        <v>3</v>
      </c>
      <c r="M580">
        <v>55</v>
      </c>
      <c r="N580">
        <v>58</v>
      </c>
      <c r="O580" t="s">
        <v>29</v>
      </c>
      <c r="P580" t="s">
        <v>57</v>
      </c>
      <c r="Q580" t="s">
        <v>51</v>
      </c>
      <c r="R580" t="s">
        <v>42</v>
      </c>
      <c r="S580" t="s">
        <v>33</v>
      </c>
      <c r="T580" t="s">
        <v>34</v>
      </c>
      <c r="U580" t="s">
        <v>46</v>
      </c>
      <c r="V580" t="s">
        <v>36</v>
      </c>
      <c r="W580" t="s">
        <v>37</v>
      </c>
      <c r="X580">
        <v>5.1724137931034484</v>
      </c>
      <c r="Y580">
        <v>94.827586206896555</v>
      </c>
      <c r="Z580" t="s">
        <v>40</v>
      </c>
      <c r="AA580" t="s">
        <v>39</v>
      </c>
      <c r="AB580" t="s">
        <v>38</v>
      </c>
      <c r="AC580">
        <v>-7.8999999999999904E-3</v>
      </c>
    </row>
    <row r="581" spans="1:29" x14ac:dyDescent="0.3">
      <c r="A581">
        <v>580</v>
      </c>
      <c r="B581" s="1">
        <v>40569</v>
      </c>
      <c r="C581">
        <v>1</v>
      </c>
      <c r="D581">
        <v>10</v>
      </c>
      <c r="E581" t="b">
        <v>0</v>
      </c>
      <c r="F581">
        <v>3</v>
      </c>
      <c r="G581">
        <v>3</v>
      </c>
      <c r="H581">
        <v>0.22</v>
      </c>
      <c r="I581">
        <v>0.21210000000000001</v>
      </c>
      <c r="J581">
        <v>0.93</v>
      </c>
      <c r="K581">
        <v>0.28360000000000002</v>
      </c>
      <c r="L581">
        <v>2</v>
      </c>
      <c r="M581">
        <v>26</v>
      </c>
      <c r="N581">
        <v>28</v>
      </c>
      <c r="O581" t="s">
        <v>29</v>
      </c>
      <c r="P581" t="s">
        <v>57</v>
      </c>
      <c r="Q581" t="s">
        <v>51</v>
      </c>
      <c r="R581" t="s">
        <v>42</v>
      </c>
      <c r="S581" t="s">
        <v>33</v>
      </c>
      <c r="T581" t="s">
        <v>34</v>
      </c>
      <c r="U581" t="s">
        <v>46</v>
      </c>
      <c r="V581" t="s">
        <v>36</v>
      </c>
      <c r="W581" t="s">
        <v>37</v>
      </c>
      <c r="X581">
        <v>7.1428571428571423</v>
      </c>
      <c r="Y581">
        <v>92.857142857142861</v>
      </c>
      <c r="Z581" t="s">
        <v>38</v>
      </c>
      <c r="AA581" t="s">
        <v>39</v>
      </c>
      <c r="AB581" t="s">
        <v>38</v>
      </c>
      <c r="AC581">
        <v>-7.8999999999999904E-3</v>
      </c>
    </row>
    <row r="582" spans="1:29" x14ac:dyDescent="0.3">
      <c r="A582">
        <v>581</v>
      </c>
      <c r="B582" s="1">
        <v>40569</v>
      </c>
      <c r="C582">
        <v>1</v>
      </c>
      <c r="D582">
        <v>11</v>
      </c>
      <c r="E582" t="b">
        <v>0</v>
      </c>
      <c r="F582">
        <v>3</v>
      </c>
      <c r="G582">
        <v>3</v>
      </c>
      <c r="H582">
        <v>0.22</v>
      </c>
      <c r="I582">
        <v>0.19700000000000001</v>
      </c>
      <c r="J582">
        <v>0.93</v>
      </c>
      <c r="K582">
        <v>0.32840000000000003</v>
      </c>
      <c r="L582">
        <v>6</v>
      </c>
      <c r="M582">
        <v>35</v>
      </c>
      <c r="N582">
        <v>41</v>
      </c>
      <c r="O582" t="s">
        <v>29</v>
      </c>
      <c r="P582" t="s">
        <v>57</v>
      </c>
      <c r="Q582" t="s">
        <v>51</v>
      </c>
      <c r="R582" t="s">
        <v>42</v>
      </c>
      <c r="S582" t="s">
        <v>33</v>
      </c>
      <c r="T582" t="s">
        <v>34</v>
      </c>
      <c r="U582" t="s">
        <v>53</v>
      </c>
      <c r="V582" t="s">
        <v>36</v>
      </c>
      <c r="W582" t="s">
        <v>37</v>
      </c>
      <c r="X582">
        <v>14.63414634146341</v>
      </c>
      <c r="Y582">
        <v>85.365853658536579</v>
      </c>
      <c r="Z582" t="s">
        <v>38</v>
      </c>
      <c r="AA582" t="s">
        <v>39</v>
      </c>
      <c r="AB582" t="s">
        <v>38</v>
      </c>
      <c r="AC582">
        <v>-2.2999999999999989E-2</v>
      </c>
    </row>
    <row r="583" spans="1:29" x14ac:dyDescent="0.3">
      <c r="A583">
        <v>582</v>
      </c>
      <c r="B583" s="1">
        <v>40569</v>
      </c>
      <c r="C583">
        <v>1</v>
      </c>
      <c r="D583">
        <v>12</v>
      </c>
      <c r="E583" t="b">
        <v>0</v>
      </c>
      <c r="F583">
        <v>3</v>
      </c>
      <c r="G583">
        <v>3</v>
      </c>
      <c r="H583">
        <v>0.22</v>
      </c>
      <c r="I583">
        <v>0.19700000000000001</v>
      </c>
      <c r="J583">
        <v>0.93</v>
      </c>
      <c r="K583">
        <v>0.32840000000000003</v>
      </c>
      <c r="L583">
        <v>7</v>
      </c>
      <c r="M583">
        <v>41</v>
      </c>
      <c r="N583">
        <v>48</v>
      </c>
      <c r="O583" t="s">
        <v>29</v>
      </c>
      <c r="P583" t="s">
        <v>57</v>
      </c>
      <c r="Q583" t="s">
        <v>51</v>
      </c>
      <c r="R583" t="s">
        <v>47</v>
      </c>
      <c r="S583" t="s">
        <v>33</v>
      </c>
      <c r="T583" t="s">
        <v>34</v>
      </c>
      <c r="U583" t="s">
        <v>53</v>
      </c>
      <c r="V583" t="s">
        <v>36</v>
      </c>
      <c r="W583" t="s">
        <v>37</v>
      </c>
      <c r="X583">
        <v>14.58333333333333</v>
      </c>
      <c r="Y583">
        <v>85.416666666666657</v>
      </c>
      <c r="Z583" t="s">
        <v>38</v>
      </c>
      <c r="AA583" t="s">
        <v>39</v>
      </c>
      <c r="AB583" t="s">
        <v>38</v>
      </c>
      <c r="AC583">
        <v>-2.2999999999999989E-2</v>
      </c>
    </row>
    <row r="584" spans="1:29" x14ac:dyDescent="0.3">
      <c r="A584">
        <v>583</v>
      </c>
      <c r="B584" s="1">
        <v>40569</v>
      </c>
      <c r="C584">
        <v>1</v>
      </c>
      <c r="D584">
        <v>13</v>
      </c>
      <c r="E584" t="b">
        <v>0</v>
      </c>
      <c r="F584">
        <v>3</v>
      </c>
      <c r="G584">
        <v>3</v>
      </c>
      <c r="H584">
        <v>0.22</v>
      </c>
      <c r="I584">
        <v>0.19700000000000001</v>
      </c>
      <c r="J584">
        <v>0.93</v>
      </c>
      <c r="K584">
        <v>0.32840000000000003</v>
      </c>
      <c r="L584">
        <v>4</v>
      </c>
      <c r="M584">
        <v>43</v>
      </c>
      <c r="N584">
        <v>47</v>
      </c>
      <c r="O584" t="s">
        <v>29</v>
      </c>
      <c r="P584" t="s">
        <v>57</v>
      </c>
      <c r="Q584" t="s">
        <v>51</v>
      </c>
      <c r="R584" t="s">
        <v>47</v>
      </c>
      <c r="S584" t="s">
        <v>33</v>
      </c>
      <c r="T584" t="s">
        <v>34</v>
      </c>
      <c r="U584" t="s">
        <v>53</v>
      </c>
      <c r="V584" t="s">
        <v>36</v>
      </c>
      <c r="W584" t="s">
        <v>37</v>
      </c>
      <c r="X584">
        <v>8.5106382978723403</v>
      </c>
      <c r="Y584">
        <v>91.489361702127653</v>
      </c>
      <c r="Z584" t="s">
        <v>38</v>
      </c>
      <c r="AA584" t="s">
        <v>39</v>
      </c>
      <c r="AB584" t="s">
        <v>38</v>
      </c>
      <c r="AC584">
        <v>-2.2999999999999989E-2</v>
      </c>
    </row>
    <row r="585" spans="1:29" x14ac:dyDescent="0.3">
      <c r="A585">
        <v>584</v>
      </c>
      <c r="B585" s="1">
        <v>40569</v>
      </c>
      <c r="C585">
        <v>1</v>
      </c>
      <c r="D585">
        <v>14</v>
      </c>
      <c r="E585" t="b">
        <v>0</v>
      </c>
      <c r="F585">
        <v>3</v>
      </c>
      <c r="G585">
        <v>3</v>
      </c>
      <c r="H585">
        <v>0.22</v>
      </c>
      <c r="I585">
        <v>0.19700000000000001</v>
      </c>
      <c r="J585">
        <v>0.93</v>
      </c>
      <c r="K585">
        <v>0.35820000000000002</v>
      </c>
      <c r="L585">
        <v>0</v>
      </c>
      <c r="M585">
        <v>36</v>
      </c>
      <c r="N585">
        <v>36</v>
      </c>
      <c r="O585" t="s">
        <v>29</v>
      </c>
      <c r="P585" t="s">
        <v>57</v>
      </c>
      <c r="Q585" t="s">
        <v>51</v>
      </c>
      <c r="R585" t="s">
        <v>47</v>
      </c>
      <c r="S585" t="s">
        <v>33</v>
      </c>
      <c r="T585" t="s">
        <v>34</v>
      </c>
      <c r="U585" t="s">
        <v>53</v>
      </c>
      <c r="V585" t="s">
        <v>36</v>
      </c>
      <c r="W585" t="s">
        <v>37</v>
      </c>
      <c r="X585">
        <v>0</v>
      </c>
      <c r="Y585">
        <v>100</v>
      </c>
      <c r="Z585" t="s">
        <v>38</v>
      </c>
      <c r="AA585" t="s">
        <v>39</v>
      </c>
      <c r="AB585" t="s">
        <v>38</v>
      </c>
      <c r="AC585">
        <v>-2.2999999999999989E-2</v>
      </c>
    </row>
    <row r="586" spans="1:29" x14ac:dyDescent="0.3">
      <c r="A586">
        <v>585</v>
      </c>
      <c r="B586" s="1">
        <v>40569</v>
      </c>
      <c r="C586">
        <v>1</v>
      </c>
      <c r="D586">
        <v>15</v>
      </c>
      <c r="E586" t="b">
        <v>0</v>
      </c>
      <c r="F586">
        <v>3</v>
      </c>
      <c r="G586">
        <v>3</v>
      </c>
      <c r="H586">
        <v>0.22</v>
      </c>
      <c r="I586">
        <v>0.18179999999999999</v>
      </c>
      <c r="J586">
        <v>0.93</v>
      </c>
      <c r="K586">
        <v>0.4627</v>
      </c>
      <c r="L586">
        <v>1</v>
      </c>
      <c r="M586">
        <v>42</v>
      </c>
      <c r="N586">
        <v>43</v>
      </c>
      <c r="O586" t="s">
        <v>29</v>
      </c>
      <c r="P586" t="s">
        <v>57</v>
      </c>
      <c r="Q586" t="s">
        <v>51</v>
      </c>
      <c r="R586" t="s">
        <v>47</v>
      </c>
      <c r="S586" t="s">
        <v>33</v>
      </c>
      <c r="T586" t="s">
        <v>34</v>
      </c>
      <c r="U586" t="s">
        <v>53</v>
      </c>
      <c r="V586" t="s">
        <v>36</v>
      </c>
      <c r="W586" t="s">
        <v>37</v>
      </c>
      <c r="X586">
        <v>2.3255813953488369</v>
      </c>
      <c r="Y586">
        <v>97.674418604651152</v>
      </c>
      <c r="Z586" t="s">
        <v>38</v>
      </c>
      <c r="AA586" t="s">
        <v>39</v>
      </c>
      <c r="AB586" t="s">
        <v>38</v>
      </c>
      <c r="AC586">
        <v>-3.8200000000000012E-2</v>
      </c>
    </row>
    <row r="587" spans="1:29" x14ac:dyDescent="0.3">
      <c r="A587">
        <v>586</v>
      </c>
      <c r="B587" s="1">
        <v>40569</v>
      </c>
      <c r="C587">
        <v>1</v>
      </c>
      <c r="D587">
        <v>16</v>
      </c>
      <c r="E587" t="b">
        <v>0</v>
      </c>
      <c r="F587">
        <v>3</v>
      </c>
      <c r="G587">
        <v>4</v>
      </c>
      <c r="H587">
        <v>0.22</v>
      </c>
      <c r="I587">
        <v>0.19700000000000001</v>
      </c>
      <c r="J587">
        <v>0.93</v>
      </c>
      <c r="K587">
        <v>0.32840000000000003</v>
      </c>
      <c r="L587">
        <v>1</v>
      </c>
      <c r="M587">
        <v>35</v>
      </c>
      <c r="N587">
        <v>36</v>
      </c>
      <c r="O587" t="s">
        <v>29</v>
      </c>
      <c r="P587" t="s">
        <v>57</v>
      </c>
      <c r="Q587" t="s">
        <v>61</v>
      </c>
      <c r="R587" t="s">
        <v>47</v>
      </c>
      <c r="S587" t="s">
        <v>33</v>
      </c>
      <c r="T587" t="s">
        <v>34</v>
      </c>
      <c r="U587" t="s">
        <v>53</v>
      </c>
      <c r="V587" t="s">
        <v>36</v>
      </c>
      <c r="W587" t="s">
        <v>37</v>
      </c>
      <c r="X587">
        <v>2.7777777777777781</v>
      </c>
      <c r="Y587">
        <v>97.222222222222214</v>
      </c>
      <c r="Z587" t="s">
        <v>38</v>
      </c>
      <c r="AA587" t="s">
        <v>39</v>
      </c>
      <c r="AB587" t="s">
        <v>38</v>
      </c>
      <c r="AC587">
        <v>-2.2999999999999989E-2</v>
      </c>
    </row>
    <row r="588" spans="1:29" x14ac:dyDescent="0.3">
      <c r="A588">
        <v>587</v>
      </c>
      <c r="B588" s="1">
        <v>40569</v>
      </c>
      <c r="C588">
        <v>1</v>
      </c>
      <c r="D588">
        <v>17</v>
      </c>
      <c r="E588" t="b">
        <v>0</v>
      </c>
      <c r="F588">
        <v>3</v>
      </c>
      <c r="G588">
        <v>3</v>
      </c>
      <c r="H588">
        <v>0.2</v>
      </c>
      <c r="I588">
        <v>0.18179999999999999</v>
      </c>
      <c r="J588">
        <v>0.93</v>
      </c>
      <c r="K588">
        <v>0.35820000000000002</v>
      </c>
      <c r="L588">
        <v>0</v>
      </c>
      <c r="M588">
        <v>26</v>
      </c>
      <c r="N588">
        <v>26</v>
      </c>
      <c r="O588" t="s">
        <v>29</v>
      </c>
      <c r="P588" t="s">
        <v>57</v>
      </c>
      <c r="Q588" t="s">
        <v>51</v>
      </c>
      <c r="R588" t="s">
        <v>50</v>
      </c>
      <c r="S588" t="s">
        <v>33</v>
      </c>
      <c r="T588" t="s">
        <v>34</v>
      </c>
      <c r="U588" t="s">
        <v>53</v>
      </c>
      <c r="V588" t="s">
        <v>36</v>
      </c>
      <c r="W588" t="s">
        <v>37</v>
      </c>
      <c r="X588">
        <v>0</v>
      </c>
      <c r="Y588">
        <v>100</v>
      </c>
      <c r="Z588" t="s">
        <v>40</v>
      </c>
      <c r="AA588" t="s">
        <v>39</v>
      </c>
      <c r="AB588" t="s">
        <v>38</v>
      </c>
      <c r="AC588">
        <v>-1.8200000000000022E-2</v>
      </c>
    </row>
    <row r="589" spans="1:29" x14ac:dyDescent="0.3">
      <c r="A589">
        <v>588</v>
      </c>
      <c r="B589" s="1">
        <v>40570</v>
      </c>
      <c r="C589">
        <v>1</v>
      </c>
      <c r="D589">
        <v>16</v>
      </c>
      <c r="E589" t="b">
        <v>0</v>
      </c>
      <c r="F589">
        <v>4</v>
      </c>
      <c r="G589">
        <v>1</v>
      </c>
      <c r="H589">
        <v>0.22</v>
      </c>
      <c r="I589">
        <v>0.2273</v>
      </c>
      <c r="J589">
        <v>0.55000000000000004</v>
      </c>
      <c r="K589">
        <v>0.19400000000000001</v>
      </c>
      <c r="L589">
        <v>1</v>
      </c>
      <c r="M589">
        <v>23</v>
      </c>
      <c r="N589">
        <v>24</v>
      </c>
      <c r="O589" t="s">
        <v>29</v>
      </c>
      <c r="P589" t="s">
        <v>58</v>
      </c>
      <c r="Q589" t="s">
        <v>31</v>
      </c>
      <c r="R589" t="s">
        <v>47</v>
      </c>
      <c r="S589" t="s">
        <v>33</v>
      </c>
      <c r="T589" t="s">
        <v>49</v>
      </c>
      <c r="U589" t="s">
        <v>46</v>
      </c>
      <c r="V589" t="s">
        <v>36</v>
      </c>
      <c r="W589" t="s">
        <v>37</v>
      </c>
      <c r="X589">
        <v>4.1666666666666661</v>
      </c>
      <c r="Y589">
        <v>95.833333333333343</v>
      </c>
      <c r="Z589" t="s">
        <v>38</v>
      </c>
      <c r="AA589" t="s">
        <v>39</v>
      </c>
      <c r="AB589" t="s">
        <v>38</v>
      </c>
      <c r="AC589">
        <v>7.3000000000000009E-3</v>
      </c>
    </row>
    <row r="590" spans="1:29" x14ac:dyDescent="0.3">
      <c r="A590">
        <v>589</v>
      </c>
      <c r="B590" s="1">
        <v>40570</v>
      </c>
      <c r="C590">
        <v>1</v>
      </c>
      <c r="D590">
        <v>17</v>
      </c>
      <c r="E590" t="b">
        <v>0</v>
      </c>
      <c r="F590">
        <v>4</v>
      </c>
      <c r="G590">
        <v>1</v>
      </c>
      <c r="H590">
        <v>0.22</v>
      </c>
      <c r="I590">
        <v>0.2424</v>
      </c>
      <c r="J590">
        <v>0.55000000000000004</v>
      </c>
      <c r="K590">
        <v>0.1045</v>
      </c>
      <c r="L590">
        <v>2</v>
      </c>
      <c r="M590">
        <v>82</v>
      </c>
      <c r="N590">
        <v>84</v>
      </c>
      <c r="O590" t="s">
        <v>29</v>
      </c>
      <c r="P590" t="s">
        <v>58</v>
      </c>
      <c r="Q590" t="s">
        <v>31</v>
      </c>
      <c r="R590" t="s">
        <v>50</v>
      </c>
      <c r="S590" t="s">
        <v>33</v>
      </c>
      <c r="T590" t="s">
        <v>49</v>
      </c>
      <c r="U590" t="s">
        <v>35</v>
      </c>
      <c r="V590" t="s">
        <v>36</v>
      </c>
      <c r="W590" t="s">
        <v>37</v>
      </c>
      <c r="X590">
        <v>2.3809523809523809</v>
      </c>
      <c r="Y590">
        <v>97.61904761904762</v>
      </c>
      <c r="Z590" t="s">
        <v>40</v>
      </c>
      <c r="AA590" t="s">
        <v>39</v>
      </c>
      <c r="AB590" t="s">
        <v>38</v>
      </c>
      <c r="AC590">
        <v>2.24E-2</v>
      </c>
    </row>
    <row r="591" spans="1:29" x14ac:dyDescent="0.3">
      <c r="A591">
        <v>590</v>
      </c>
      <c r="B591" s="1">
        <v>40570</v>
      </c>
      <c r="C591">
        <v>1</v>
      </c>
      <c r="D591">
        <v>18</v>
      </c>
      <c r="E591" t="b">
        <v>0</v>
      </c>
      <c r="F591">
        <v>4</v>
      </c>
      <c r="G591">
        <v>1</v>
      </c>
      <c r="H591">
        <v>0.2</v>
      </c>
      <c r="I591">
        <v>0.2273</v>
      </c>
      <c r="J591">
        <v>0.69</v>
      </c>
      <c r="K591">
        <v>8.9599999999999999E-2</v>
      </c>
      <c r="L591">
        <v>3</v>
      </c>
      <c r="M591">
        <v>101</v>
      </c>
      <c r="N591">
        <v>104</v>
      </c>
      <c r="O591" t="s">
        <v>29</v>
      </c>
      <c r="P591" t="s">
        <v>58</v>
      </c>
      <c r="Q591" t="s">
        <v>31</v>
      </c>
      <c r="R591" t="s">
        <v>50</v>
      </c>
      <c r="S591" t="s">
        <v>33</v>
      </c>
      <c r="T591" t="s">
        <v>49</v>
      </c>
      <c r="U591" t="s">
        <v>35</v>
      </c>
      <c r="V591" t="s">
        <v>36</v>
      </c>
      <c r="W591" t="s">
        <v>37</v>
      </c>
      <c r="X591">
        <v>2.884615384615385</v>
      </c>
      <c r="Y591">
        <v>97.115384615384613</v>
      </c>
      <c r="Z591" t="s">
        <v>40</v>
      </c>
      <c r="AA591" t="s">
        <v>49</v>
      </c>
      <c r="AB591" t="s">
        <v>38</v>
      </c>
      <c r="AC591">
        <v>2.7299999999999991E-2</v>
      </c>
    </row>
    <row r="592" spans="1:29" x14ac:dyDescent="0.3">
      <c r="A592">
        <v>591</v>
      </c>
      <c r="B592" s="1">
        <v>40570</v>
      </c>
      <c r="C592">
        <v>1</v>
      </c>
      <c r="D592">
        <v>19</v>
      </c>
      <c r="E592" t="b">
        <v>0</v>
      </c>
      <c r="F592">
        <v>4</v>
      </c>
      <c r="G592">
        <v>1</v>
      </c>
      <c r="H592">
        <v>0.2</v>
      </c>
      <c r="I592">
        <v>0.2273</v>
      </c>
      <c r="J592">
        <v>0.69</v>
      </c>
      <c r="K592">
        <v>8.9599999999999999E-2</v>
      </c>
      <c r="L592">
        <v>3</v>
      </c>
      <c r="M592">
        <v>76</v>
      </c>
      <c r="N592">
        <v>79</v>
      </c>
      <c r="O592" t="s">
        <v>29</v>
      </c>
      <c r="P592" t="s">
        <v>58</v>
      </c>
      <c r="Q592" t="s">
        <v>31</v>
      </c>
      <c r="R592" t="s">
        <v>50</v>
      </c>
      <c r="S592" t="s">
        <v>33</v>
      </c>
      <c r="T592" t="s">
        <v>49</v>
      </c>
      <c r="U592" t="s">
        <v>35</v>
      </c>
      <c r="V592" t="s">
        <v>36</v>
      </c>
      <c r="W592" t="s">
        <v>37</v>
      </c>
      <c r="X592">
        <v>3.79746835443038</v>
      </c>
      <c r="Y592">
        <v>96.202531645569621</v>
      </c>
      <c r="Z592" t="s">
        <v>40</v>
      </c>
      <c r="AA592" t="s">
        <v>39</v>
      </c>
      <c r="AB592" t="s">
        <v>38</v>
      </c>
      <c r="AC592">
        <v>2.7299999999999991E-2</v>
      </c>
    </row>
    <row r="593" spans="1:29" x14ac:dyDescent="0.3">
      <c r="A593">
        <v>592</v>
      </c>
      <c r="B593" s="1">
        <v>40570</v>
      </c>
      <c r="C593">
        <v>1</v>
      </c>
      <c r="D593">
        <v>20</v>
      </c>
      <c r="E593" t="b">
        <v>0</v>
      </c>
      <c r="F593">
        <v>4</v>
      </c>
      <c r="G593">
        <v>1</v>
      </c>
      <c r="H593">
        <v>0.18</v>
      </c>
      <c r="I593">
        <v>0.21210000000000001</v>
      </c>
      <c r="J593">
        <v>0.74</v>
      </c>
      <c r="K593">
        <v>8.9599999999999999E-2</v>
      </c>
      <c r="L593">
        <v>4</v>
      </c>
      <c r="M593">
        <v>55</v>
      </c>
      <c r="N593">
        <v>59</v>
      </c>
      <c r="O593" t="s">
        <v>29</v>
      </c>
      <c r="P593" t="s">
        <v>58</v>
      </c>
      <c r="Q593" t="s">
        <v>31</v>
      </c>
      <c r="R593" t="s">
        <v>50</v>
      </c>
      <c r="S593" t="s">
        <v>33</v>
      </c>
      <c r="T593" t="s">
        <v>34</v>
      </c>
      <c r="U593" t="s">
        <v>35</v>
      </c>
      <c r="V593" t="s">
        <v>36</v>
      </c>
      <c r="W593" t="s">
        <v>37</v>
      </c>
      <c r="X593">
        <v>6.7796610169491522</v>
      </c>
      <c r="Y593">
        <v>93.220338983050837</v>
      </c>
      <c r="Z593" t="s">
        <v>38</v>
      </c>
      <c r="AA593" t="s">
        <v>39</v>
      </c>
      <c r="AB593" t="s">
        <v>38</v>
      </c>
      <c r="AC593">
        <v>3.2100000000000017E-2</v>
      </c>
    </row>
    <row r="594" spans="1:29" x14ac:dyDescent="0.3">
      <c r="A594">
        <v>593</v>
      </c>
      <c r="B594" s="1">
        <v>40570</v>
      </c>
      <c r="C594">
        <v>1</v>
      </c>
      <c r="D594">
        <v>21</v>
      </c>
      <c r="E594" t="b">
        <v>0</v>
      </c>
      <c r="F594">
        <v>4</v>
      </c>
      <c r="G594">
        <v>1</v>
      </c>
      <c r="H594">
        <v>0.18</v>
      </c>
      <c r="I594">
        <v>0.21210000000000001</v>
      </c>
      <c r="J594">
        <v>0.74</v>
      </c>
      <c r="K594">
        <v>8.9599999999999999E-2</v>
      </c>
      <c r="L594">
        <v>2</v>
      </c>
      <c r="M594">
        <v>36</v>
      </c>
      <c r="N594">
        <v>38</v>
      </c>
      <c r="O594" t="s">
        <v>29</v>
      </c>
      <c r="P594" t="s">
        <v>58</v>
      </c>
      <c r="Q594" t="s">
        <v>31</v>
      </c>
      <c r="R594" t="s">
        <v>32</v>
      </c>
      <c r="S594" t="s">
        <v>33</v>
      </c>
      <c r="T594" t="s">
        <v>34</v>
      </c>
      <c r="U594" t="s">
        <v>35</v>
      </c>
      <c r="V594" t="s">
        <v>36</v>
      </c>
      <c r="W594" t="s">
        <v>37</v>
      </c>
      <c r="X594">
        <v>5.2631578947368416</v>
      </c>
      <c r="Y594">
        <v>94.73684210526315</v>
      </c>
      <c r="Z594" t="s">
        <v>38</v>
      </c>
      <c r="AA594" t="s">
        <v>39</v>
      </c>
      <c r="AB594" t="s">
        <v>38</v>
      </c>
      <c r="AC594">
        <v>3.2100000000000017E-2</v>
      </c>
    </row>
    <row r="595" spans="1:29" x14ac:dyDescent="0.3">
      <c r="A595">
        <v>594</v>
      </c>
      <c r="B595" s="1">
        <v>40570</v>
      </c>
      <c r="C595">
        <v>1</v>
      </c>
      <c r="D595">
        <v>22</v>
      </c>
      <c r="E595" t="b">
        <v>0</v>
      </c>
      <c r="F595">
        <v>4</v>
      </c>
      <c r="G595">
        <v>1</v>
      </c>
      <c r="H595">
        <v>0.18</v>
      </c>
      <c r="I595">
        <v>0.21210000000000001</v>
      </c>
      <c r="J595">
        <v>0.74</v>
      </c>
      <c r="K595">
        <v>8.9599999999999999E-2</v>
      </c>
      <c r="L595">
        <v>0</v>
      </c>
      <c r="M595">
        <v>27</v>
      </c>
      <c r="N595">
        <v>27</v>
      </c>
      <c r="O595" t="s">
        <v>29</v>
      </c>
      <c r="P595" t="s">
        <v>58</v>
      </c>
      <c r="Q595" t="s">
        <v>31</v>
      </c>
      <c r="R595" t="s">
        <v>32</v>
      </c>
      <c r="S595" t="s">
        <v>33</v>
      </c>
      <c r="T595" t="s">
        <v>34</v>
      </c>
      <c r="U595" t="s">
        <v>35</v>
      </c>
      <c r="V595" t="s">
        <v>36</v>
      </c>
      <c r="W595" t="s">
        <v>37</v>
      </c>
      <c r="X595">
        <v>0</v>
      </c>
      <c r="Y595">
        <v>100</v>
      </c>
      <c r="Z595" t="s">
        <v>38</v>
      </c>
      <c r="AA595" t="s">
        <v>39</v>
      </c>
      <c r="AB595" t="s">
        <v>38</v>
      </c>
      <c r="AC595">
        <v>3.2100000000000017E-2</v>
      </c>
    </row>
    <row r="596" spans="1:29" x14ac:dyDescent="0.3">
      <c r="A596">
        <v>595</v>
      </c>
      <c r="B596" s="1">
        <v>40570</v>
      </c>
      <c r="C596">
        <v>1</v>
      </c>
      <c r="D596">
        <v>23</v>
      </c>
      <c r="E596" t="b">
        <v>0</v>
      </c>
      <c r="F596">
        <v>4</v>
      </c>
      <c r="G596">
        <v>1</v>
      </c>
      <c r="H596">
        <v>0.18</v>
      </c>
      <c r="I596">
        <v>0.19700000000000001</v>
      </c>
      <c r="J596">
        <v>0.8</v>
      </c>
      <c r="K596">
        <v>0.16420000000000001</v>
      </c>
      <c r="L596">
        <v>0</v>
      </c>
      <c r="M596">
        <v>16</v>
      </c>
      <c r="N596">
        <v>16</v>
      </c>
      <c r="O596" t="s">
        <v>29</v>
      </c>
      <c r="P596" t="s">
        <v>58</v>
      </c>
      <c r="Q596" t="s">
        <v>31</v>
      </c>
      <c r="R596" t="s">
        <v>32</v>
      </c>
      <c r="S596" t="s">
        <v>33</v>
      </c>
      <c r="T596" t="s">
        <v>34</v>
      </c>
      <c r="U596" t="s">
        <v>46</v>
      </c>
      <c r="V596" t="s">
        <v>36</v>
      </c>
      <c r="W596" t="s">
        <v>37</v>
      </c>
      <c r="X596">
        <v>0</v>
      </c>
      <c r="Y596">
        <v>100</v>
      </c>
      <c r="Z596" t="s">
        <v>38</v>
      </c>
      <c r="AA596" t="s">
        <v>39</v>
      </c>
      <c r="AB596" t="s">
        <v>38</v>
      </c>
      <c r="AC596">
        <v>1.7000000000000019E-2</v>
      </c>
    </row>
    <row r="597" spans="1:29" x14ac:dyDescent="0.3">
      <c r="A597">
        <v>596</v>
      </c>
      <c r="B597" s="1">
        <v>40571</v>
      </c>
      <c r="C597">
        <v>1</v>
      </c>
      <c r="D597">
        <v>0</v>
      </c>
      <c r="E597" t="b">
        <v>0</v>
      </c>
      <c r="F597">
        <v>5</v>
      </c>
      <c r="G597">
        <v>2</v>
      </c>
      <c r="H597">
        <v>0.2</v>
      </c>
      <c r="I597">
        <v>0.21210000000000001</v>
      </c>
      <c r="J597">
        <v>0.75</v>
      </c>
      <c r="K597">
        <v>0.1343</v>
      </c>
      <c r="L597">
        <v>0</v>
      </c>
      <c r="M597">
        <v>9</v>
      </c>
      <c r="N597">
        <v>9</v>
      </c>
      <c r="O597" t="s">
        <v>29</v>
      </c>
      <c r="P597" t="s">
        <v>59</v>
      </c>
      <c r="Q597" t="s">
        <v>41</v>
      </c>
      <c r="R597" t="s">
        <v>32</v>
      </c>
      <c r="S597" t="s">
        <v>33</v>
      </c>
      <c r="T597" t="s">
        <v>34</v>
      </c>
      <c r="U597" t="s">
        <v>35</v>
      </c>
      <c r="V597" t="s">
        <v>36</v>
      </c>
      <c r="W597" t="s">
        <v>37</v>
      </c>
      <c r="X597">
        <v>0</v>
      </c>
      <c r="Y597">
        <v>100</v>
      </c>
      <c r="Z597" t="s">
        <v>38</v>
      </c>
      <c r="AA597" t="s">
        <v>39</v>
      </c>
      <c r="AB597" t="s">
        <v>38</v>
      </c>
      <c r="AC597">
        <v>1.21E-2</v>
      </c>
    </row>
    <row r="598" spans="1:29" x14ac:dyDescent="0.3">
      <c r="A598">
        <v>597</v>
      </c>
      <c r="B598" s="1">
        <v>40571</v>
      </c>
      <c r="C598">
        <v>1</v>
      </c>
      <c r="D598">
        <v>1</v>
      </c>
      <c r="E598" t="b">
        <v>0</v>
      </c>
      <c r="F598">
        <v>5</v>
      </c>
      <c r="G598">
        <v>2</v>
      </c>
      <c r="H598">
        <v>0.2</v>
      </c>
      <c r="I598">
        <v>0.21210000000000001</v>
      </c>
      <c r="J598">
        <v>0.75</v>
      </c>
      <c r="K598">
        <v>0.1343</v>
      </c>
      <c r="L598">
        <v>1</v>
      </c>
      <c r="M598">
        <v>2</v>
      </c>
      <c r="N598">
        <v>3</v>
      </c>
      <c r="O598" t="s">
        <v>29</v>
      </c>
      <c r="P598" t="s">
        <v>59</v>
      </c>
      <c r="Q598" t="s">
        <v>41</v>
      </c>
      <c r="R598" t="s">
        <v>32</v>
      </c>
      <c r="S598" t="s">
        <v>33</v>
      </c>
      <c r="T598" t="s">
        <v>34</v>
      </c>
      <c r="U598" t="s">
        <v>35</v>
      </c>
      <c r="V598" t="s">
        <v>36</v>
      </c>
      <c r="W598" t="s">
        <v>37</v>
      </c>
      <c r="X598">
        <v>33.333333333333329</v>
      </c>
      <c r="Y598">
        <v>66.666666666666657</v>
      </c>
      <c r="Z598" t="s">
        <v>38</v>
      </c>
      <c r="AA598" t="s">
        <v>39</v>
      </c>
      <c r="AB598" t="s">
        <v>38</v>
      </c>
      <c r="AC598">
        <v>1.21E-2</v>
      </c>
    </row>
    <row r="599" spans="1:29" x14ac:dyDescent="0.3">
      <c r="A599">
        <v>598</v>
      </c>
      <c r="B599" s="1">
        <v>40571</v>
      </c>
      <c r="C599">
        <v>1</v>
      </c>
      <c r="D599">
        <v>2</v>
      </c>
      <c r="E599" t="b">
        <v>0</v>
      </c>
      <c r="F599">
        <v>5</v>
      </c>
      <c r="G599">
        <v>2</v>
      </c>
      <c r="H599">
        <v>0.2</v>
      </c>
      <c r="I599">
        <v>0.21210000000000001</v>
      </c>
      <c r="J599">
        <v>0.75</v>
      </c>
      <c r="K599">
        <v>0.16420000000000001</v>
      </c>
      <c r="L599">
        <v>0</v>
      </c>
      <c r="M599">
        <v>2</v>
      </c>
      <c r="N599">
        <v>2</v>
      </c>
      <c r="O599" t="s">
        <v>29</v>
      </c>
      <c r="P599" t="s">
        <v>59</v>
      </c>
      <c r="Q599" t="s">
        <v>41</v>
      </c>
      <c r="R599" t="s">
        <v>32</v>
      </c>
      <c r="S599" t="s">
        <v>33</v>
      </c>
      <c r="T599" t="s">
        <v>34</v>
      </c>
      <c r="U599" t="s">
        <v>46</v>
      </c>
      <c r="V599" t="s">
        <v>36</v>
      </c>
      <c r="W599" t="s">
        <v>37</v>
      </c>
      <c r="X599">
        <v>0</v>
      </c>
      <c r="Y599">
        <v>100</v>
      </c>
      <c r="Z599" t="s">
        <v>38</v>
      </c>
      <c r="AA599" t="s">
        <v>39</v>
      </c>
      <c r="AB599" t="s">
        <v>38</v>
      </c>
      <c r="AC599">
        <v>1.21E-2</v>
      </c>
    </row>
    <row r="600" spans="1:29" x14ac:dyDescent="0.3">
      <c r="A600">
        <v>599</v>
      </c>
      <c r="B600" s="1">
        <v>40571</v>
      </c>
      <c r="C600">
        <v>1</v>
      </c>
      <c r="D600">
        <v>3</v>
      </c>
      <c r="E600" t="b">
        <v>0</v>
      </c>
      <c r="F600">
        <v>5</v>
      </c>
      <c r="G600">
        <v>2</v>
      </c>
      <c r="H600">
        <v>0.2</v>
      </c>
      <c r="I600">
        <v>0.2273</v>
      </c>
      <c r="J600">
        <v>0.75</v>
      </c>
      <c r="K600">
        <v>0.1045</v>
      </c>
      <c r="L600">
        <v>1</v>
      </c>
      <c r="M600">
        <v>0</v>
      </c>
      <c r="N600">
        <v>1</v>
      </c>
      <c r="O600" t="s">
        <v>29</v>
      </c>
      <c r="P600" t="s">
        <v>59</v>
      </c>
      <c r="Q600" t="s">
        <v>41</v>
      </c>
      <c r="R600" t="s">
        <v>32</v>
      </c>
      <c r="S600" t="s">
        <v>33</v>
      </c>
      <c r="T600" t="s">
        <v>34</v>
      </c>
      <c r="U600" t="s">
        <v>35</v>
      </c>
      <c r="V600" t="s">
        <v>36</v>
      </c>
      <c r="W600" t="s">
        <v>43</v>
      </c>
      <c r="X600">
        <v>100</v>
      </c>
      <c r="Y600">
        <v>0</v>
      </c>
      <c r="Z600" t="s">
        <v>38</v>
      </c>
      <c r="AA600" t="s">
        <v>39</v>
      </c>
      <c r="AB600" t="s">
        <v>38</v>
      </c>
      <c r="AC600">
        <v>2.7299999999999991E-2</v>
      </c>
    </row>
    <row r="601" spans="1:29" x14ac:dyDescent="0.3">
      <c r="A601">
        <v>600</v>
      </c>
      <c r="B601" s="1">
        <v>40571</v>
      </c>
      <c r="C601">
        <v>1</v>
      </c>
      <c r="D601">
        <v>5</v>
      </c>
      <c r="E601" t="b">
        <v>0</v>
      </c>
      <c r="F601">
        <v>5</v>
      </c>
      <c r="G601">
        <v>2</v>
      </c>
      <c r="H601">
        <v>0.18</v>
      </c>
      <c r="I601">
        <v>0.21210000000000001</v>
      </c>
      <c r="J601">
        <v>0.8</v>
      </c>
      <c r="K601">
        <v>0.1045</v>
      </c>
      <c r="L601">
        <v>0</v>
      </c>
      <c r="M601">
        <v>4</v>
      </c>
      <c r="N601">
        <v>4</v>
      </c>
      <c r="O601" t="s">
        <v>29</v>
      </c>
      <c r="P601" t="s">
        <v>59</v>
      </c>
      <c r="Q601" t="s">
        <v>41</v>
      </c>
      <c r="R601" t="s">
        <v>32</v>
      </c>
      <c r="S601" t="s">
        <v>33</v>
      </c>
      <c r="T601" t="s">
        <v>34</v>
      </c>
      <c r="U601" t="s">
        <v>35</v>
      </c>
      <c r="V601" t="s">
        <v>36</v>
      </c>
      <c r="W601" t="s">
        <v>37</v>
      </c>
      <c r="X601">
        <v>0</v>
      </c>
      <c r="Y601">
        <v>100</v>
      </c>
      <c r="Z601" t="s">
        <v>38</v>
      </c>
      <c r="AA601" t="s">
        <v>39</v>
      </c>
      <c r="AB601" t="s">
        <v>38</v>
      </c>
      <c r="AC601">
        <v>3.2100000000000017E-2</v>
      </c>
    </row>
    <row r="602" spans="1:29" x14ac:dyDescent="0.3">
      <c r="A602">
        <v>601</v>
      </c>
      <c r="B602" s="1">
        <v>40571</v>
      </c>
      <c r="C602">
        <v>1</v>
      </c>
      <c r="D602">
        <v>6</v>
      </c>
      <c r="E602" t="b">
        <v>0</v>
      </c>
      <c r="F602">
        <v>5</v>
      </c>
      <c r="G602">
        <v>2</v>
      </c>
      <c r="H602">
        <v>0.18</v>
      </c>
      <c r="I602">
        <v>0.19700000000000001</v>
      </c>
      <c r="J602">
        <v>0.8</v>
      </c>
      <c r="K602">
        <v>0.1343</v>
      </c>
      <c r="L602">
        <v>0</v>
      </c>
      <c r="M602">
        <v>16</v>
      </c>
      <c r="N602">
        <v>16</v>
      </c>
      <c r="O602" t="s">
        <v>29</v>
      </c>
      <c r="P602" t="s">
        <v>59</v>
      </c>
      <c r="Q602" t="s">
        <v>41</v>
      </c>
      <c r="R602" t="s">
        <v>42</v>
      </c>
      <c r="S602" t="s">
        <v>33</v>
      </c>
      <c r="T602" t="s">
        <v>34</v>
      </c>
      <c r="U602" t="s">
        <v>35</v>
      </c>
      <c r="V602" t="s">
        <v>36</v>
      </c>
      <c r="W602" t="s">
        <v>37</v>
      </c>
      <c r="X602">
        <v>0</v>
      </c>
      <c r="Y602">
        <v>100</v>
      </c>
      <c r="Z602" t="s">
        <v>38</v>
      </c>
      <c r="AA602" t="s">
        <v>39</v>
      </c>
      <c r="AB602" t="s">
        <v>38</v>
      </c>
      <c r="AC602">
        <v>1.7000000000000019E-2</v>
      </c>
    </row>
    <row r="603" spans="1:29" x14ac:dyDescent="0.3">
      <c r="A603">
        <v>602</v>
      </c>
      <c r="B603" s="1">
        <v>40571</v>
      </c>
      <c r="C603">
        <v>1</v>
      </c>
      <c r="D603">
        <v>7</v>
      </c>
      <c r="E603" t="b">
        <v>0</v>
      </c>
      <c r="F603">
        <v>5</v>
      </c>
      <c r="G603">
        <v>2</v>
      </c>
      <c r="H603">
        <v>0.16</v>
      </c>
      <c r="I603">
        <v>0.19700000000000001</v>
      </c>
      <c r="J603">
        <v>0.86</v>
      </c>
      <c r="K603">
        <v>8.9599999999999999E-2</v>
      </c>
      <c r="L603">
        <v>2</v>
      </c>
      <c r="M603">
        <v>58</v>
      </c>
      <c r="N603">
        <v>60</v>
      </c>
      <c r="O603" t="s">
        <v>29</v>
      </c>
      <c r="P603" t="s">
        <v>59</v>
      </c>
      <c r="Q603" t="s">
        <v>41</v>
      </c>
      <c r="R603" t="s">
        <v>42</v>
      </c>
      <c r="S603" t="s">
        <v>33</v>
      </c>
      <c r="T603" t="s">
        <v>34</v>
      </c>
      <c r="U603" t="s">
        <v>35</v>
      </c>
      <c r="V603" t="s">
        <v>36</v>
      </c>
      <c r="W603" t="s">
        <v>37</v>
      </c>
      <c r="X603">
        <v>3.333333333333333</v>
      </c>
      <c r="Y603">
        <v>96.666666666666671</v>
      </c>
      <c r="Z603" t="s">
        <v>40</v>
      </c>
      <c r="AA603" t="s">
        <v>39</v>
      </c>
      <c r="AB603" t="s">
        <v>38</v>
      </c>
      <c r="AC603">
        <v>3.7000000000000012E-2</v>
      </c>
    </row>
    <row r="604" spans="1:29" x14ac:dyDescent="0.3">
      <c r="A604">
        <v>603</v>
      </c>
      <c r="B604" s="1">
        <v>40571</v>
      </c>
      <c r="C604">
        <v>1</v>
      </c>
      <c r="D604">
        <v>8</v>
      </c>
      <c r="E604" t="b">
        <v>0</v>
      </c>
      <c r="F604">
        <v>5</v>
      </c>
      <c r="G604">
        <v>2</v>
      </c>
      <c r="H604">
        <v>0.16</v>
      </c>
      <c r="I604">
        <v>0.19700000000000001</v>
      </c>
      <c r="J604">
        <v>0.86</v>
      </c>
      <c r="K604">
        <v>8.9599999999999999E-2</v>
      </c>
      <c r="L604">
        <v>2</v>
      </c>
      <c r="M604">
        <v>155</v>
      </c>
      <c r="N604">
        <v>157</v>
      </c>
      <c r="O604" t="s">
        <v>29</v>
      </c>
      <c r="P604" t="s">
        <v>59</v>
      </c>
      <c r="Q604" t="s">
        <v>41</v>
      </c>
      <c r="R604" t="s">
        <v>42</v>
      </c>
      <c r="S604" t="s">
        <v>33</v>
      </c>
      <c r="T604" t="s">
        <v>34</v>
      </c>
      <c r="U604" t="s">
        <v>35</v>
      </c>
      <c r="V604" t="s">
        <v>36</v>
      </c>
      <c r="W604" t="s">
        <v>37</v>
      </c>
      <c r="X604">
        <v>1.2738853503184711</v>
      </c>
      <c r="Y604">
        <v>98.726114649681534</v>
      </c>
      <c r="Z604" t="s">
        <v>40</v>
      </c>
      <c r="AA604" t="s">
        <v>49</v>
      </c>
      <c r="AB604" t="s">
        <v>38</v>
      </c>
      <c r="AC604">
        <v>3.7000000000000012E-2</v>
      </c>
    </row>
    <row r="605" spans="1:29" x14ac:dyDescent="0.3">
      <c r="A605">
        <v>604</v>
      </c>
      <c r="B605" s="1">
        <v>40571</v>
      </c>
      <c r="C605">
        <v>1</v>
      </c>
      <c r="D605">
        <v>9</v>
      </c>
      <c r="E605" t="b">
        <v>0</v>
      </c>
      <c r="F605">
        <v>5</v>
      </c>
      <c r="G605">
        <v>3</v>
      </c>
      <c r="H605">
        <v>0.18</v>
      </c>
      <c r="I605">
        <v>0.21210000000000001</v>
      </c>
      <c r="J605">
        <v>0.86</v>
      </c>
      <c r="K605">
        <v>8.9599999999999999E-2</v>
      </c>
      <c r="L605">
        <v>6</v>
      </c>
      <c r="M605">
        <v>95</v>
      </c>
      <c r="N605">
        <v>101</v>
      </c>
      <c r="O605" t="s">
        <v>29</v>
      </c>
      <c r="P605" t="s">
        <v>59</v>
      </c>
      <c r="Q605" t="s">
        <v>51</v>
      </c>
      <c r="R605" t="s">
        <v>42</v>
      </c>
      <c r="S605" t="s">
        <v>33</v>
      </c>
      <c r="T605" t="s">
        <v>34</v>
      </c>
      <c r="U605" t="s">
        <v>35</v>
      </c>
      <c r="V605" t="s">
        <v>36</v>
      </c>
      <c r="W605" t="s">
        <v>37</v>
      </c>
      <c r="X605">
        <v>5.9405940594059414</v>
      </c>
      <c r="Y605">
        <v>94.059405940594047</v>
      </c>
      <c r="Z605" t="s">
        <v>40</v>
      </c>
      <c r="AA605" t="s">
        <v>49</v>
      </c>
      <c r="AB605" t="s">
        <v>38</v>
      </c>
      <c r="AC605">
        <v>3.2100000000000017E-2</v>
      </c>
    </row>
    <row r="606" spans="1:29" x14ac:dyDescent="0.3">
      <c r="A606">
        <v>605</v>
      </c>
      <c r="B606" s="1">
        <v>40571</v>
      </c>
      <c r="C606">
        <v>1</v>
      </c>
      <c r="D606">
        <v>10</v>
      </c>
      <c r="E606" t="b">
        <v>0</v>
      </c>
      <c r="F606">
        <v>5</v>
      </c>
      <c r="G606">
        <v>3</v>
      </c>
      <c r="H606">
        <v>0.18</v>
      </c>
      <c r="I606">
        <v>0.21210000000000001</v>
      </c>
      <c r="J606">
        <v>0.86</v>
      </c>
      <c r="K606">
        <v>0.1045</v>
      </c>
      <c r="L606">
        <v>0</v>
      </c>
      <c r="M606">
        <v>49</v>
      </c>
      <c r="N606">
        <v>49</v>
      </c>
      <c r="O606" t="s">
        <v>29</v>
      </c>
      <c r="P606" t="s">
        <v>59</v>
      </c>
      <c r="Q606" t="s">
        <v>51</v>
      </c>
      <c r="R606" t="s">
        <v>42</v>
      </c>
      <c r="S606" t="s">
        <v>33</v>
      </c>
      <c r="T606" t="s">
        <v>34</v>
      </c>
      <c r="U606" t="s">
        <v>35</v>
      </c>
      <c r="V606" t="s">
        <v>36</v>
      </c>
      <c r="W606" t="s">
        <v>37</v>
      </c>
      <c r="X606">
        <v>0</v>
      </c>
      <c r="Y606">
        <v>100</v>
      </c>
      <c r="Z606" t="s">
        <v>38</v>
      </c>
      <c r="AA606" t="s">
        <v>39</v>
      </c>
      <c r="AB606" t="s">
        <v>38</v>
      </c>
      <c r="AC606">
        <v>3.2100000000000017E-2</v>
      </c>
    </row>
    <row r="607" spans="1:29" x14ac:dyDescent="0.3">
      <c r="A607">
        <v>606</v>
      </c>
      <c r="B607" s="1">
        <v>40571</v>
      </c>
      <c r="C607">
        <v>1</v>
      </c>
      <c r="D607">
        <v>11</v>
      </c>
      <c r="E607" t="b">
        <v>0</v>
      </c>
      <c r="F607">
        <v>5</v>
      </c>
      <c r="G607">
        <v>3</v>
      </c>
      <c r="H607">
        <v>0.18</v>
      </c>
      <c r="I607">
        <v>0.21210000000000001</v>
      </c>
      <c r="J607">
        <v>0.93</v>
      </c>
      <c r="K607">
        <v>0.1045</v>
      </c>
      <c r="L607">
        <v>0</v>
      </c>
      <c r="M607">
        <v>30</v>
      </c>
      <c r="N607">
        <v>30</v>
      </c>
      <c r="O607" t="s">
        <v>29</v>
      </c>
      <c r="P607" t="s">
        <v>59</v>
      </c>
      <c r="Q607" t="s">
        <v>51</v>
      </c>
      <c r="R607" t="s">
        <v>42</v>
      </c>
      <c r="S607" t="s">
        <v>33</v>
      </c>
      <c r="T607" t="s">
        <v>34</v>
      </c>
      <c r="U607" t="s">
        <v>35</v>
      </c>
      <c r="V607" t="s">
        <v>36</v>
      </c>
      <c r="W607" t="s">
        <v>37</v>
      </c>
      <c r="X607">
        <v>0</v>
      </c>
      <c r="Y607">
        <v>100</v>
      </c>
      <c r="Z607" t="s">
        <v>38</v>
      </c>
      <c r="AA607" t="s">
        <v>39</v>
      </c>
      <c r="AB607" t="s">
        <v>38</v>
      </c>
      <c r="AC607">
        <v>3.2100000000000017E-2</v>
      </c>
    </row>
    <row r="608" spans="1:29" x14ac:dyDescent="0.3">
      <c r="A608">
        <v>607</v>
      </c>
      <c r="B608" s="1">
        <v>40571</v>
      </c>
      <c r="C608">
        <v>1</v>
      </c>
      <c r="D608">
        <v>12</v>
      </c>
      <c r="E608" t="b">
        <v>0</v>
      </c>
      <c r="F608">
        <v>5</v>
      </c>
      <c r="G608">
        <v>3</v>
      </c>
      <c r="H608">
        <v>0.18</v>
      </c>
      <c r="I608">
        <v>0.21210000000000001</v>
      </c>
      <c r="J608">
        <v>0.93</v>
      </c>
      <c r="K608">
        <v>0.1045</v>
      </c>
      <c r="L608">
        <v>1</v>
      </c>
      <c r="M608">
        <v>28</v>
      </c>
      <c r="N608">
        <v>29</v>
      </c>
      <c r="O608" t="s">
        <v>29</v>
      </c>
      <c r="P608" t="s">
        <v>59</v>
      </c>
      <c r="Q608" t="s">
        <v>51</v>
      </c>
      <c r="R608" t="s">
        <v>47</v>
      </c>
      <c r="S608" t="s">
        <v>33</v>
      </c>
      <c r="T608" t="s">
        <v>34</v>
      </c>
      <c r="U608" t="s">
        <v>35</v>
      </c>
      <c r="V608" t="s">
        <v>36</v>
      </c>
      <c r="W608" t="s">
        <v>37</v>
      </c>
      <c r="X608">
        <v>3.4482758620689649</v>
      </c>
      <c r="Y608">
        <v>96.551724137931032</v>
      </c>
      <c r="Z608" t="s">
        <v>38</v>
      </c>
      <c r="AA608" t="s">
        <v>39</v>
      </c>
      <c r="AB608" t="s">
        <v>38</v>
      </c>
      <c r="AC608">
        <v>3.2100000000000017E-2</v>
      </c>
    </row>
    <row r="609" spans="1:29" x14ac:dyDescent="0.3">
      <c r="A609">
        <v>608</v>
      </c>
      <c r="B609" s="1">
        <v>40571</v>
      </c>
      <c r="C609">
        <v>1</v>
      </c>
      <c r="D609">
        <v>13</v>
      </c>
      <c r="E609" t="b">
        <v>0</v>
      </c>
      <c r="F609">
        <v>5</v>
      </c>
      <c r="G609">
        <v>3</v>
      </c>
      <c r="H609">
        <v>0.18</v>
      </c>
      <c r="I609">
        <v>0.21210000000000001</v>
      </c>
      <c r="J609">
        <v>0.93</v>
      </c>
      <c r="K609">
        <v>0.1045</v>
      </c>
      <c r="L609">
        <v>0</v>
      </c>
      <c r="M609">
        <v>31</v>
      </c>
      <c r="N609">
        <v>31</v>
      </c>
      <c r="O609" t="s">
        <v>29</v>
      </c>
      <c r="P609" t="s">
        <v>59</v>
      </c>
      <c r="Q609" t="s">
        <v>51</v>
      </c>
      <c r="R609" t="s">
        <v>47</v>
      </c>
      <c r="S609" t="s">
        <v>33</v>
      </c>
      <c r="T609" t="s">
        <v>34</v>
      </c>
      <c r="U609" t="s">
        <v>35</v>
      </c>
      <c r="V609" t="s">
        <v>36</v>
      </c>
      <c r="W609" t="s">
        <v>37</v>
      </c>
      <c r="X609">
        <v>0</v>
      </c>
      <c r="Y609">
        <v>100</v>
      </c>
      <c r="Z609" t="s">
        <v>38</v>
      </c>
      <c r="AA609" t="s">
        <v>39</v>
      </c>
      <c r="AB609" t="s">
        <v>38</v>
      </c>
      <c r="AC609">
        <v>3.2100000000000017E-2</v>
      </c>
    </row>
    <row r="610" spans="1:29" x14ac:dyDescent="0.3">
      <c r="A610">
        <v>609</v>
      </c>
      <c r="B610" s="1">
        <v>40571</v>
      </c>
      <c r="C610">
        <v>1</v>
      </c>
      <c r="D610">
        <v>14</v>
      </c>
      <c r="E610" t="b">
        <v>0</v>
      </c>
      <c r="F610">
        <v>5</v>
      </c>
      <c r="G610">
        <v>3</v>
      </c>
      <c r="H610">
        <v>0.22</v>
      </c>
      <c r="I610">
        <v>0.2727</v>
      </c>
      <c r="J610">
        <v>0.8</v>
      </c>
      <c r="K610">
        <v>0</v>
      </c>
      <c r="L610">
        <v>2</v>
      </c>
      <c r="M610">
        <v>36</v>
      </c>
      <c r="N610">
        <v>38</v>
      </c>
      <c r="O610" t="s">
        <v>29</v>
      </c>
      <c r="P610" t="s">
        <v>59</v>
      </c>
      <c r="Q610" t="s">
        <v>51</v>
      </c>
      <c r="R610" t="s">
        <v>47</v>
      </c>
      <c r="S610" t="s">
        <v>33</v>
      </c>
      <c r="T610" t="s">
        <v>34</v>
      </c>
      <c r="U610" t="s">
        <v>35</v>
      </c>
      <c r="V610" t="s">
        <v>36</v>
      </c>
      <c r="W610" t="s">
        <v>37</v>
      </c>
      <c r="X610">
        <v>5.2631578947368416</v>
      </c>
      <c r="Y610">
        <v>94.73684210526315</v>
      </c>
      <c r="Z610" t="s">
        <v>38</v>
      </c>
      <c r="AA610" t="s">
        <v>39</v>
      </c>
      <c r="AB610" t="s">
        <v>38</v>
      </c>
      <c r="AC610">
        <v>5.2699999999999997E-2</v>
      </c>
    </row>
    <row r="611" spans="1:29" x14ac:dyDescent="0.3">
      <c r="A611">
        <v>610</v>
      </c>
      <c r="B611" s="1">
        <v>40571</v>
      </c>
      <c r="C611">
        <v>1</v>
      </c>
      <c r="D611">
        <v>15</v>
      </c>
      <c r="E611" t="b">
        <v>0</v>
      </c>
      <c r="F611">
        <v>5</v>
      </c>
      <c r="G611">
        <v>2</v>
      </c>
      <c r="H611">
        <v>0.2</v>
      </c>
      <c r="I611">
        <v>0.2576</v>
      </c>
      <c r="J611">
        <v>0.86</v>
      </c>
      <c r="K611">
        <v>0</v>
      </c>
      <c r="L611">
        <v>1</v>
      </c>
      <c r="M611">
        <v>40</v>
      </c>
      <c r="N611">
        <v>41</v>
      </c>
      <c r="O611" t="s">
        <v>29</v>
      </c>
      <c r="P611" t="s">
        <v>59</v>
      </c>
      <c r="Q611" t="s">
        <v>41</v>
      </c>
      <c r="R611" t="s">
        <v>47</v>
      </c>
      <c r="S611" t="s">
        <v>33</v>
      </c>
      <c r="T611" t="s">
        <v>34</v>
      </c>
      <c r="U611" t="s">
        <v>35</v>
      </c>
      <c r="V611" t="s">
        <v>36</v>
      </c>
      <c r="W611" t="s">
        <v>37</v>
      </c>
      <c r="X611">
        <v>2.4390243902439019</v>
      </c>
      <c r="Y611">
        <v>97.560975609756099</v>
      </c>
      <c r="Z611" t="s">
        <v>38</v>
      </c>
      <c r="AA611" t="s">
        <v>39</v>
      </c>
      <c r="AB611" t="s">
        <v>38</v>
      </c>
      <c r="AC611">
        <v>5.7599999999999978E-2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7F1BA-B043-4659-B627-A62E2DFD7541}">
  <dimension ref="A45:J82"/>
  <sheetViews>
    <sheetView zoomScale="86" workbookViewId="0">
      <selection activeCell="I36" sqref="I36"/>
    </sheetView>
  </sheetViews>
  <sheetFormatPr defaultRowHeight="14.4" x14ac:dyDescent="0.3"/>
  <cols>
    <col min="1" max="1" width="13.33203125" style="2" bestFit="1" customWidth="1"/>
    <col min="2" max="2" width="21.44140625" style="2" bestFit="1" customWidth="1"/>
    <col min="3" max="3" width="20.77734375" style="2" bestFit="1" customWidth="1"/>
    <col min="4" max="4" width="22.5546875" style="2" bestFit="1" customWidth="1"/>
    <col min="5" max="5" width="31.5546875" style="2" bestFit="1" customWidth="1"/>
    <col min="6" max="6" width="8.88671875" style="2"/>
    <col min="7" max="7" width="13.33203125" style="2" bestFit="1" customWidth="1"/>
    <col min="8" max="8" width="22.6640625" style="2" bestFit="1" customWidth="1"/>
    <col min="9" max="9" width="26.33203125" style="2" bestFit="1" customWidth="1"/>
    <col min="10" max="10" width="21.44140625" style="2" bestFit="1" customWidth="1"/>
    <col min="11" max="16384" width="8.88671875" style="2"/>
  </cols>
  <sheetData>
    <row r="45" spans="1:10" x14ac:dyDescent="0.3">
      <c r="A45" s="2" t="s">
        <v>62</v>
      </c>
      <c r="B45" s="2" t="s">
        <v>64</v>
      </c>
      <c r="C45" s="2" t="s">
        <v>66</v>
      </c>
      <c r="D45" s="2" t="s">
        <v>67</v>
      </c>
      <c r="E45" s="2" t="s">
        <v>68</v>
      </c>
      <c r="G45" s="2" t="s">
        <v>62</v>
      </c>
      <c r="H45" s="2" t="s">
        <v>69</v>
      </c>
      <c r="I45" s="2" t="s">
        <v>70</v>
      </c>
      <c r="J45" s="2" t="s">
        <v>65</v>
      </c>
    </row>
    <row r="46" spans="1:10" x14ac:dyDescent="0.3">
      <c r="A46" s="3">
        <v>40544</v>
      </c>
      <c r="B46" s="4">
        <v>0.80583333333333351</v>
      </c>
      <c r="C46" s="4">
        <v>0.16044583333333329</v>
      </c>
      <c r="D46" s="4">
        <v>0.34416666666666673</v>
      </c>
      <c r="E46" s="4">
        <v>0.35983750000000003</v>
      </c>
      <c r="G46" s="3">
        <v>40544</v>
      </c>
      <c r="H46" s="2">
        <v>331</v>
      </c>
      <c r="I46" s="2">
        <v>654</v>
      </c>
      <c r="J46" s="2">
        <v>985</v>
      </c>
    </row>
    <row r="47" spans="1:10" x14ac:dyDescent="0.3">
      <c r="A47" s="3">
        <v>40545</v>
      </c>
      <c r="B47" s="4">
        <v>0.69608695652173924</v>
      </c>
      <c r="C47" s="4">
        <v>0.24853913043478262</v>
      </c>
      <c r="D47" s="4">
        <v>0.36347826086956525</v>
      </c>
      <c r="E47" s="4">
        <v>0.35506086956521743</v>
      </c>
      <c r="G47" s="3">
        <v>40545</v>
      </c>
      <c r="H47" s="2">
        <v>131</v>
      </c>
      <c r="I47" s="2">
        <v>670</v>
      </c>
      <c r="J47" s="2">
        <v>801</v>
      </c>
    </row>
    <row r="48" spans="1:10" x14ac:dyDescent="0.3">
      <c r="A48" s="3">
        <v>40546</v>
      </c>
      <c r="B48" s="4">
        <v>0.43727272727272726</v>
      </c>
      <c r="C48" s="4">
        <v>0.24830909090909081</v>
      </c>
      <c r="D48" s="4">
        <v>0.19636363636363632</v>
      </c>
      <c r="E48" s="4">
        <v>0.19215909090909095</v>
      </c>
      <c r="G48" s="3">
        <v>40546</v>
      </c>
      <c r="H48" s="2">
        <v>120</v>
      </c>
      <c r="I48" s="2">
        <v>1229</v>
      </c>
      <c r="J48" s="2">
        <v>1349</v>
      </c>
    </row>
    <row r="49" spans="1:10" x14ac:dyDescent="0.3">
      <c r="A49" s="3">
        <v>40547</v>
      </c>
      <c r="B49" s="4">
        <v>0.59043478260869575</v>
      </c>
      <c r="C49" s="4">
        <v>0.16029565217391301</v>
      </c>
      <c r="D49" s="4">
        <v>0.19999999999999998</v>
      </c>
      <c r="E49" s="4">
        <v>0.2134391304347826</v>
      </c>
      <c r="G49" s="3">
        <v>40547</v>
      </c>
      <c r="H49" s="2">
        <v>108</v>
      </c>
      <c r="I49" s="2">
        <v>1454</v>
      </c>
      <c r="J49" s="2">
        <v>1562</v>
      </c>
    </row>
    <row r="50" spans="1:10" x14ac:dyDescent="0.3">
      <c r="A50" s="3">
        <v>40548</v>
      </c>
      <c r="B50" s="4">
        <v>0.43695652173913052</v>
      </c>
      <c r="C50" s="4">
        <v>0.18690000000000001</v>
      </c>
      <c r="D50" s="4">
        <v>0.22695652173913042</v>
      </c>
      <c r="E50" s="4">
        <v>0.22926956521739131</v>
      </c>
      <c r="G50" s="3">
        <v>40548</v>
      </c>
      <c r="H50" s="2">
        <v>82</v>
      </c>
      <c r="I50" s="2">
        <v>1518</v>
      </c>
      <c r="J50" s="2">
        <v>1600</v>
      </c>
    </row>
    <row r="51" spans="1:10" x14ac:dyDescent="0.3">
      <c r="A51" s="3">
        <v>40549</v>
      </c>
      <c r="B51" s="4">
        <v>0.51826086956521744</v>
      </c>
      <c r="C51" s="4">
        <v>8.9565217391304353E-2</v>
      </c>
      <c r="D51" s="4">
        <v>0.20434782608695654</v>
      </c>
      <c r="E51" s="4">
        <v>0.23320869565217398</v>
      </c>
      <c r="G51" s="3">
        <v>40549</v>
      </c>
      <c r="H51" s="2">
        <v>88</v>
      </c>
      <c r="I51" s="2">
        <v>1518</v>
      </c>
      <c r="J51" s="2">
        <v>1606</v>
      </c>
    </row>
    <row r="52" spans="1:10" x14ac:dyDescent="0.3">
      <c r="A52" s="3">
        <v>40550</v>
      </c>
      <c r="B52" s="4">
        <v>0.4986956521739131</v>
      </c>
      <c r="C52" s="4">
        <v>0.16872608695652172</v>
      </c>
      <c r="D52" s="4">
        <v>0.19652173913043483</v>
      </c>
      <c r="E52" s="4">
        <v>0.20883913043478261</v>
      </c>
      <c r="G52" s="3">
        <v>40550</v>
      </c>
      <c r="H52" s="2">
        <v>148</v>
      </c>
      <c r="I52" s="2">
        <v>1362</v>
      </c>
      <c r="J52" s="2">
        <v>1510</v>
      </c>
    </row>
    <row r="53" spans="1:10" x14ac:dyDescent="0.3">
      <c r="A53" s="3">
        <v>40551</v>
      </c>
      <c r="B53" s="4">
        <v>0.53583333333333327</v>
      </c>
      <c r="C53" s="4">
        <v>0.26680416666666668</v>
      </c>
      <c r="D53" s="4">
        <v>0.16500000000000006</v>
      </c>
      <c r="E53" s="4">
        <v>0.16225416666666667</v>
      </c>
      <c r="G53" s="3">
        <v>40551</v>
      </c>
      <c r="H53" s="2">
        <v>68</v>
      </c>
      <c r="I53" s="2">
        <v>891</v>
      </c>
      <c r="J53" s="2">
        <v>959</v>
      </c>
    </row>
    <row r="54" spans="1:10" x14ac:dyDescent="0.3">
      <c r="A54" s="3">
        <v>40552</v>
      </c>
      <c r="B54" s="4">
        <v>0.43416666666666681</v>
      </c>
      <c r="C54" s="4">
        <v>0.36195000000000005</v>
      </c>
      <c r="D54" s="4">
        <v>0.13833333333333339</v>
      </c>
      <c r="E54" s="4">
        <v>0.11617500000000003</v>
      </c>
      <c r="G54" s="3">
        <v>40552</v>
      </c>
      <c r="H54" s="2">
        <v>54</v>
      </c>
      <c r="I54" s="2">
        <v>768</v>
      </c>
      <c r="J54" s="2">
        <v>822</v>
      </c>
    </row>
    <row r="55" spans="1:10" x14ac:dyDescent="0.3">
      <c r="A55" s="3">
        <v>40553</v>
      </c>
      <c r="B55" s="4">
        <v>0.48291666666666672</v>
      </c>
      <c r="C55" s="4">
        <v>0.22326666666666661</v>
      </c>
      <c r="D55" s="4">
        <v>0.1508333333333334</v>
      </c>
      <c r="E55" s="4">
        <v>0.15088750000000001</v>
      </c>
      <c r="G55" s="3">
        <v>40553</v>
      </c>
      <c r="H55" s="2">
        <v>41</v>
      </c>
      <c r="I55" s="2">
        <v>1280</v>
      </c>
      <c r="J55" s="2">
        <v>1321</v>
      </c>
    </row>
    <row r="56" spans="1:10" x14ac:dyDescent="0.3">
      <c r="A56" s="3">
        <v>40554</v>
      </c>
      <c r="B56" s="4">
        <v>0.68636363636363618</v>
      </c>
      <c r="C56" s="4">
        <v>0.12213181818181815</v>
      </c>
      <c r="D56" s="4">
        <v>0.16909090909090915</v>
      </c>
      <c r="E56" s="4">
        <v>0.19146363636363636</v>
      </c>
      <c r="G56" s="3">
        <v>40554</v>
      </c>
      <c r="H56" s="2">
        <v>43</v>
      </c>
      <c r="I56" s="2">
        <v>1220</v>
      </c>
      <c r="J56" s="2">
        <v>1263</v>
      </c>
    </row>
    <row r="57" spans="1:10" x14ac:dyDescent="0.3">
      <c r="A57" s="3">
        <v>40555</v>
      </c>
      <c r="B57" s="4">
        <v>0.59954545454545471</v>
      </c>
      <c r="C57" s="4">
        <v>0.3046272727272728</v>
      </c>
      <c r="D57" s="4">
        <v>0.17272727272727278</v>
      </c>
      <c r="E57" s="4">
        <v>0.16047272727272729</v>
      </c>
      <c r="G57" s="3">
        <v>40555</v>
      </c>
      <c r="H57" s="2">
        <v>25</v>
      </c>
      <c r="I57" s="2">
        <v>1137</v>
      </c>
      <c r="J57" s="2">
        <v>1162</v>
      </c>
    </row>
    <row r="58" spans="1:10" x14ac:dyDescent="0.3">
      <c r="A58" s="3">
        <v>40556</v>
      </c>
      <c r="B58" s="4">
        <v>0.47041666666666687</v>
      </c>
      <c r="C58" s="4">
        <v>0.30099999999999999</v>
      </c>
      <c r="D58" s="4">
        <v>0.16500000000000006</v>
      </c>
      <c r="E58" s="4">
        <v>0.15088333333333334</v>
      </c>
      <c r="G58" s="3">
        <v>40556</v>
      </c>
      <c r="H58" s="2">
        <v>38</v>
      </c>
      <c r="I58" s="2">
        <v>1368</v>
      </c>
      <c r="J58" s="2">
        <v>1406</v>
      </c>
    </row>
    <row r="59" spans="1:10" x14ac:dyDescent="0.3">
      <c r="A59" s="3">
        <v>40557</v>
      </c>
      <c r="B59" s="4">
        <v>0.53782608695652179</v>
      </c>
      <c r="C59" s="4">
        <v>0.12654782608695653</v>
      </c>
      <c r="D59" s="4">
        <v>0.16086956521739135</v>
      </c>
      <c r="E59" s="4">
        <v>0.18841304347826088</v>
      </c>
      <c r="G59" s="3">
        <v>40557</v>
      </c>
      <c r="H59" s="2">
        <v>54</v>
      </c>
      <c r="I59" s="2">
        <v>1367</v>
      </c>
      <c r="J59" s="2">
        <v>1421</v>
      </c>
    </row>
    <row r="60" spans="1:10" x14ac:dyDescent="0.3">
      <c r="A60" s="3">
        <v>40558</v>
      </c>
      <c r="B60" s="4">
        <v>0.49874999999999997</v>
      </c>
      <c r="C60" s="4">
        <v>0.15796249999999995</v>
      </c>
      <c r="D60" s="4">
        <v>0.23333333333333331</v>
      </c>
      <c r="E60" s="4">
        <v>0.24811249999999999</v>
      </c>
      <c r="G60" s="3">
        <v>40558</v>
      </c>
      <c r="H60" s="2">
        <v>222</v>
      </c>
      <c r="I60" s="2">
        <v>1026</v>
      </c>
      <c r="J60" s="2">
        <v>1248</v>
      </c>
    </row>
    <row r="61" spans="1:10" x14ac:dyDescent="0.3">
      <c r="A61" s="3">
        <v>40559</v>
      </c>
      <c r="B61" s="4">
        <v>0.48375000000000012</v>
      </c>
      <c r="C61" s="4">
        <v>0.18843333333333331</v>
      </c>
      <c r="D61" s="4">
        <v>0.23166666666666669</v>
      </c>
      <c r="E61" s="4">
        <v>0.23421666666666671</v>
      </c>
      <c r="G61" s="3">
        <v>40559</v>
      </c>
      <c r="H61" s="2">
        <v>251</v>
      </c>
      <c r="I61" s="2">
        <v>953</v>
      </c>
      <c r="J61" s="2">
        <v>1204</v>
      </c>
    </row>
    <row r="62" spans="1:10" x14ac:dyDescent="0.3">
      <c r="A62" s="3">
        <v>40560</v>
      </c>
      <c r="B62" s="4">
        <v>0.53749999999999998</v>
      </c>
      <c r="C62" s="4">
        <v>0.19401666666666664</v>
      </c>
      <c r="D62" s="4">
        <v>0.1758333333333334</v>
      </c>
      <c r="E62" s="4">
        <v>0.17677083333333335</v>
      </c>
      <c r="G62" s="3">
        <v>40560</v>
      </c>
      <c r="H62" s="2">
        <v>117</v>
      </c>
      <c r="I62" s="2">
        <v>883</v>
      </c>
      <c r="J62" s="2">
        <v>1000</v>
      </c>
    </row>
    <row r="63" spans="1:10" x14ac:dyDescent="0.3">
      <c r="A63" s="3">
        <v>40561</v>
      </c>
      <c r="B63" s="4">
        <v>0.86166666666666669</v>
      </c>
      <c r="C63" s="4">
        <v>0.14677500000000002</v>
      </c>
      <c r="D63" s="4">
        <v>0.2166666666666667</v>
      </c>
      <c r="E63" s="4">
        <v>0.23233333333333336</v>
      </c>
      <c r="G63" s="3">
        <v>40561</v>
      </c>
      <c r="H63" s="2">
        <v>9</v>
      </c>
      <c r="I63" s="2">
        <v>674</v>
      </c>
      <c r="J63" s="2">
        <v>683</v>
      </c>
    </row>
    <row r="64" spans="1:10" x14ac:dyDescent="0.3">
      <c r="A64" s="3">
        <v>40562</v>
      </c>
      <c r="B64" s="4">
        <v>0.74173913043478235</v>
      </c>
      <c r="C64" s="4">
        <v>0.20831739130434784</v>
      </c>
      <c r="D64" s="4">
        <v>0.29217391304347828</v>
      </c>
      <c r="E64" s="4">
        <v>0.29842173913043479</v>
      </c>
      <c r="G64" s="3">
        <v>40562</v>
      </c>
      <c r="H64" s="2">
        <v>78</v>
      </c>
      <c r="I64" s="2">
        <v>1572</v>
      </c>
      <c r="J64" s="2">
        <v>1650</v>
      </c>
    </row>
    <row r="65" spans="1:10" x14ac:dyDescent="0.3">
      <c r="A65" s="3">
        <v>40563</v>
      </c>
      <c r="B65" s="4">
        <v>0.53833333333333344</v>
      </c>
      <c r="C65" s="4">
        <v>0.19590416666666666</v>
      </c>
      <c r="D65" s="4">
        <v>0.26166666666666666</v>
      </c>
      <c r="E65" s="4">
        <v>0.25505</v>
      </c>
      <c r="G65" s="3">
        <v>40563</v>
      </c>
      <c r="H65" s="2">
        <v>83</v>
      </c>
      <c r="I65" s="2">
        <v>1844</v>
      </c>
      <c r="J65" s="2">
        <v>1927</v>
      </c>
    </row>
    <row r="66" spans="1:10" x14ac:dyDescent="0.3">
      <c r="A66" s="3">
        <v>40564</v>
      </c>
      <c r="B66" s="4">
        <v>0.45708333333333345</v>
      </c>
      <c r="C66" s="4">
        <v>0.35324166666666668</v>
      </c>
      <c r="D66" s="4">
        <v>0.17750000000000002</v>
      </c>
      <c r="E66" s="4">
        <v>0.15783333333333335</v>
      </c>
      <c r="G66" s="3">
        <v>40564</v>
      </c>
      <c r="H66" s="2">
        <v>75</v>
      </c>
      <c r="I66" s="2">
        <v>1468</v>
      </c>
      <c r="J66" s="2">
        <v>1543</v>
      </c>
    </row>
    <row r="67" spans="1:10" x14ac:dyDescent="0.3">
      <c r="A67" s="3">
        <v>40565</v>
      </c>
      <c r="B67" s="4">
        <v>0.39999999999999997</v>
      </c>
      <c r="C67" s="4">
        <v>0.17196956521739129</v>
      </c>
      <c r="D67" s="4">
        <v>5.9130434782608703E-2</v>
      </c>
      <c r="E67" s="4">
        <v>7.9069565217391308E-2</v>
      </c>
      <c r="G67" s="3">
        <v>40565</v>
      </c>
      <c r="H67" s="2">
        <v>93</v>
      </c>
      <c r="I67" s="2">
        <v>888</v>
      </c>
      <c r="J67" s="2">
        <v>981</v>
      </c>
    </row>
    <row r="68" spans="1:10" x14ac:dyDescent="0.3">
      <c r="A68" s="3">
        <v>40566</v>
      </c>
      <c r="B68" s="4">
        <v>0.43652173913043485</v>
      </c>
      <c r="C68" s="4">
        <v>0.24660000000000004</v>
      </c>
      <c r="D68" s="4">
        <v>9.6521739130434797E-2</v>
      </c>
      <c r="E68" s="4">
        <v>9.8839130434782624E-2</v>
      </c>
      <c r="G68" s="3">
        <v>40566</v>
      </c>
      <c r="H68" s="2">
        <v>150</v>
      </c>
      <c r="I68" s="2">
        <v>836</v>
      </c>
      <c r="J68" s="2">
        <v>986</v>
      </c>
    </row>
    <row r="69" spans="1:10" x14ac:dyDescent="0.3">
      <c r="A69" s="3">
        <v>40567</v>
      </c>
      <c r="B69" s="4">
        <v>0.49173913043478273</v>
      </c>
      <c r="C69" s="4">
        <v>0.15833043478260866</v>
      </c>
      <c r="D69" s="4">
        <v>9.7391304347826113E-2</v>
      </c>
      <c r="E69" s="4">
        <v>0.11793043478260871</v>
      </c>
      <c r="G69" s="3">
        <v>40567</v>
      </c>
      <c r="H69" s="2">
        <v>86</v>
      </c>
      <c r="I69" s="2">
        <v>1330</v>
      </c>
      <c r="J69" s="2">
        <v>1416</v>
      </c>
    </row>
    <row r="70" spans="1:10" x14ac:dyDescent="0.3">
      <c r="A70" s="3">
        <v>40568</v>
      </c>
      <c r="B70" s="4">
        <v>0.61695652173913051</v>
      </c>
      <c r="C70" s="4">
        <v>0.12979565217391303</v>
      </c>
      <c r="D70" s="4">
        <v>0.22347826086956515</v>
      </c>
      <c r="E70" s="4">
        <v>0.23452608695652166</v>
      </c>
      <c r="G70" s="3">
        <v>40568</v>
      </c>
      <c r="H70" s="2">
        <v>186</v>
      </c>
      <c r="I70" s="2">
        <v>1799</v>
      </c>
      <c r="J70" s="2">
        <v>1985</v>
      </c>
    </row>
    <row r="71" spans="1:10" x14ac:dyDescent="0.3">
      <c r="A71" s="3">
        <v>40569</v>
      </c>
      <c r="B71" s="4">
        <v>0.86249999999999982</v>
      </c>
      <c r="C71" s="4">
        <v>0.29385000000000006</v>
      </c>
      <c r="D71" s="4">
        <v>0.21750000000000005</v>
      </c>
      <c r="E71" s="4">
        <v>0.2036</v>
      </c>
      <c r="G71" s="3">
        <v>40569</v>
      </c>
      <c r="H71" s="2">
        <v>34</v>
      </c>
      <c r="I71" s="2">
        <v>472</v>
      </c>
      <c r="J71" s="2">
        <v>506</v>
      </c>
    </row>
    <row r="72" spans="1:10" x14ac:dyDescent="0.3">
      <c r="A72" s="3">
        <v>40570</v>
      </c>
      <c r="B72" s="4">
        <v>0.6875</v>
      </c>
      <c r="C72" s="4">
        <v>0.11383750000000001</v>
      </c>
      <c r="D72" s="4">
        <v>0.19499999999999998</v>
      </c>
      <c r="E72" s="4">
        <v>0.21970000000000001</v>
      </c>
      <c r="G72" s="3">
        <v>40570</v>
      </c>
      <c r="H72" s="2">
        <v>15</v>
      </c>
      <c r="I72" s="2">
        <v>416</v>
      </c>
      <c r="J72" s="2">
        <v>431</v>
      </c>
    </row>
    <row r="73" spans="1:10" x14ac:dyDescent="0.3">
      <c r="A73" s="3">
        <v>40571</v>
      </c>
      <c r="B73" s="4">
        <v>0.83266666666666667</v>
      </c>
      <c r="C73" s="4">
        <v>9.7526666666666678E-2</v>
      </c>
      <c r="D73" s="4">
        <v>0.18666666666666668</v>
      </c>
      <c r="E73" s="4">
        <v>0.21716666666666667</v>
      </c>
      <c r="G73" s="3">
        <v>40571</v>
      </c>
      <c r="H73" s="2">
        <v>16</v>
      </c>
      <c r="I73" s="2">
        <v>555</v>
      </c>
      <c r="J73" s="2">
        <v>571</v>
      </c>
    </row>
    <row r="74" spans="1:10" x14ac:dyDescent="0.3">
      <c r="A74" s="3" t="s">
        <v>63</v>
      </c>
      <c r="B74" s="4">
        <v>0.56247540983606703</v>
      </c>
      <c r="C74" s="4">
        <v>0.20485098360655737</v>
      </c>
      <c r="D74" s="4">
        <v>0.19688524590163942</v>
      </c>
      <c r="E74" s="4">
        <v>0.20201754098360675</v>
      </c>
      <c r="G74" s="3" t="s">
        <v>63</v>
      </c>
      <c r="H74" s="2">
        <v>2746</v>
      </c>
      <c r="I74" s="2">
        <v>31152</v>
      </c>
      <c r="J74" s="2">
        <v>33898</v>
      </c>
    </row>
    <row r="77" spans="1:10" x14ac:dyDescent="0.3">
      <c r="A77" s="2" t="s">
        <v>62</v>
      </c>
      <c r="B77" s="2" t="s">
        <v>65</v>
      </c>
    </row>
    <row r="78" spans="1:10" x14ac:dyDescent="0.3">
      <c r="A78" s="5" t="s">
        <v>47</v>
      </c>
      <c r="B78" s="2">
        <v>9912</v>
      </c>
    </row>
    <row r="79" spans="1:10" x14ac:dyDescent="0.3">
      <c r="A79" s="5" t="s">
        <v>50</v>
      </c>
      <c r="B79" s="2">
        <v>10386</v>
      </c>
    </row>
    <row r="80" spans="1:10" x14ac:dyDescent="0.3">
      <c r="A80" s="5" t="s">
        <v>42</v>
      </c>
      <c r="B80" s="2">
        <v>10139</v>
      </c>
    </row>
    <row r="81" spans="1:2" x14ac:dyDescent="0.3">
      <c r="A81" s="5" t="s">
        <v>32</v>
      </c>
      <c r="B81" s="2">
        <v>3461</v>
      </c>
    </row>
    <row r="82" spans="1:2" x14ac:dyDescent="0.3">
      <c r="A82" s="5" t="s">
        <v>63</v>
      </c>
      <c r="B82" s="2">
        <v>33898</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A87B-C258-482A-B8F3-3BBB0FC331D9}">
  <dimension ref="A22:E64"/>
  <sheetViews>
    <sheetView tabSelected="1" workbookViewId="0">
      <selection activeCell="O1" sqref="O1"/>
    </sheetView>
  </sheetViews>
  <sheetFormatPr defaultRowHeight="14.4" x14ac:dyDescent="0.3"/>
  <cols>
    <col min="1" max="1" width="10.33203125" bestFit="1" customWidth="1"/>
    <col min="2" max="2" width="15.6640625" customWidth="1"/>
    <col min="3" max="3" width="24" customWidth="1"/>
    <col min="4" max="4" width="38.109375" customWidth="1"/>
    <col min="5" max="5" width="38.21875" customWidth="1"/>
  </cols>
  <sheetData>
    <row r="22" spans="1:5" x14ac:dyDescent="0.3">
      <c r="A22" t="s">
        <v>1</v>
      </c>
      <c r="B22" t="s">
        <v>13</v>
      </c>
      <c r="C22" t="s">
        <v>71</v>
      </c>
      <c r="D22" t="s">
        <v>72</v>
      </c>
      <c r="E22" t="s">
        <v>73</v>
      </c>
    </row>
    <row r="23" spans="1:5" x14ac:dyDescent="0.3">
      <c r="A23" s="1">
        <v>40544</v>
      </c>
      <c r="B23" s="6">
        <v>41.041666666666664</v>
      </c>
    </row>
    <row r="24" spans="1:5" x14ac:dyDescent="0.3">
      <c r="A24" s="1">
        <v>40545</v>
      </c>
      <c r="B24" s="6">
        <v>34.826086956521742</v>
      </c>
    </row>
    <row r="25" spans="1:5" x14ac:dyDescent="0.3">
      <c r="A25" s="1">
        <v>40546</v>
      </c>
      <c r="B25" s="6">
        <v>61.31818181818182</v>
      </c>
    </row>
    <row r="26" spans="1:5" x14ac:dyDescent="0.3">
      <c r="A26" s="1">
        <v>40547</v>
      </c>
      <c r="B26" s="6">
        <v>67.913043478260875</v>
      </c>
    </row>
    <row r="27" spans="1:5" x14ac:dyDescent="0.3">
      <c r="A27" s="1">
        <v>40548</v>
      </c>
      <c r="B27" s="6">
        <v>69.565217391304344</v>
      </c>
    </row>
    <row r="28" spans="1:5" x14ac:dyDescent="0.3">
      <c r="A28" s="1">
        <v>40549</v>
      </c>
      <c r="B28" s="6">
        <v>69.826086956521735</v>
      </c>
    </row>
    <row r="29" spans="1:5" x14ac:dyDescent="0.3">
      <c r="A29" s="1">
        <v>40550</v>
      </c>
      <c r="B29" s="6">
        <v>65.652173913043484</v>
      </c>
    </row>
    <row r="30" spans="1:5" x14ac:dyDescent="0.3">
      <c r="A30" s="1">
        <v>40551</v>
      </c>
      <c r="B30" s="6">
        <v>39.958333333333336</v>
      </c>
    </row>
    <row r="31" spans="1:5" x14ac:dyDescent="0.3">
      <c r="A31" s="1">
        <v>40552</v>
      </c>
      <c r="B31" s="6">
        <v>34.25</v>
      </c>
    </row>
    <row r="32" spans="1:5" x14ac:dyDescent="0.3">
      <c r="A32" s="1">
        <v>40553</v>
      </c>
      <c r="B32" s="6">
        <v>55.041666666666664</v>
      </c>
    </row>
    <row r="33" spans="1:2" x14ac:dyDescent="0.3">
      <c r="A33" s="1">
        <v>40554</v>
      </c>
      <c r="B33" s="6">
        <v>57.409090909090907</v>
      </c>
    </row>
    <row r="34" spans="1:2" x14ac:dyDescent="0.3">
      <c r="A34" s="1">
        <v>40555</v>
      </c>
      <c r="B34" s="6">
        <v>52.81818181818182</v>
      </c>
    </row>
    <row r="35" spans="1:2" x14ac:dyDescent="0.3">
      <c r="A35" s="1">
        <v>40556</v>
      </c>
      <c r="B35" s="6">
        <v>58.583333333333336</v>
      </c>
    </row>
    <row r="36" spans="1:2" x14ac:dyDescent="0.3">
      <c r="A36" s="1">
        <v>40557</v>
      </c>
      <c r="B36" s="6">
        <v>61.782608695652172</v>
      </c>
    </row>
    <row r="37" spans="1:2" x14ac:dyDescent="0.3">
      <c r="A37" s="1">
        <v>40558</v>
      </c>
      <c r="B37" s="6">
        <v>52</v>
      </c>
    </row>
    <row r="38" spans="1:2" x14ac:dyDescent="0.3">
      <c r="A38" s="1">
        <v>40559</v>
      </c>
      <c r="B38" s="6">
        <v>50.166666666666664</v>
      </c>
    </row>
    <row r="39" spans="1:2" x14ac:dyDescent="0.3">
      <c r="A39" s="1">
        <v>40560</v>
      </c>
      <c r="B39" s="6">
        <v>41.666666666666664</v>
      </c>
    </row>
    <row r="40" spans="1:2" x14ac:dyDescent="0.3">
      <c r="A40" s="1">
        <v>40561</v>
      </c>
      <c r="B40" s="6">
        <v>56.916666666666664</v>
      </c>
    </row>
    <row r="41" spans="1:2" x14ac:dyDescent="0.3">
      <c r="A41" s="1">
        <v>40562</v>
      </c>
      <c r="B41" s="6">
        <v>71.739130434782609</v>
      </c>
    </row>
    <row r="42" spans="1:2" x14ac:dyDescent="0.3">
      <c r="A42" s="1">
        <v>40563</v>
      </c>
      <c r="B42" s="6">
        <v>80.291666666666671</v>
      </c>
    </row>
    <row r="43" spans="1:2" x14ac:dyDescent="0.3">
      <c r="A43" s="1">
        <v>40564</v>
      </c>
      <c r="B43" s="6">
        <v>64.291666666666671</v>
      </c>
    </row>
    <row r="44" spans="1:2" x14ac:dyDescent="0.3">
      <c r="A44" s="1">
        <v>40565</v>
      </c>
      <c r="B44" s="6">
        <v>42.652173913043477</v>
      </c>
    </row>
    <row r="45" spans="1:2" x14ac:dyDescent="0.3">
      <c r="A45" s="1">
        <v>40566</v>
      </c>
      <c r="B45" s="6">
        <v>42.869565217391305</v>
      </c>
    </row>
    <row r="46" spans="1:2" x14ac:dyDescent="0.3">
      <c r="A46" s="1">
        <v>40567</v>
      </c>
      <c r="B46" s="6">
        <v>61.565217391304351</v>
      </c>
    </row>
    <row r="47" spans="1:2" x14ac:dyDescent="0.3">
      <c r="A47" s="1">
        <v>40568</v>
      </c>
      <c r="B47" s="6">
        <v>86.304347826086953</v>
      </c>
    </row>
    <row r="48" spans="1:2" x14ac:dyDescent="0.3">
      <c r="A48" s="1">
        <v>40569</v>
      </c>
      <c r="B48" s="6">
        <v>31.625</v>
      </c>
    </row>
    <row r="49" spans="1:5" x14ac:dyDescent="0.3">
      <c r="A49" s="1">
        <v>40570</v>
      </c>
      <c r="B49" s="6">
        <v>53.875</v>
      </c>
    </row>
    <row r="50" spans="1:5" x14ac:dyDescent="0.3">
      <c r="A50" s="1">
        <v>40571</v>
      </c>
      <c r="B50" s="6">
        <v>38.06666666666667</v>
      </c>
      <c r="C50" s="6">
        <v>38.06666666666667</v>
      </c>
      <c r="D50" s="6">
        <v>38.06666666666667</v>
      </c>
      <c r="E50" s="6">
        <v>38.06666666666667</v>
      </c>
    </row>
    <row r="51" spans="1:5" x14ac:dyDescent="0.3">
      <c r="A51" s="1">
        <v>40572</v>
      </c>
      <c r="C51" s="6">
        <f>_xlfn.FORECAST.ETS(A51,$B$23:$B$50,$A$23:$A$50,1,1)</f>
        <v>40.024790724090145</v>
      </c>
      <c r="D51" s="6">
        <f>C51-_xlfn.FORECAST.ETS.CONFINT(A51,$B$23:$B$50,$A$23:$A$50,0.95,1,1)</f>
        <v>17.444044283269577</v>
      </c>
      <c r="E51" s="6">
        <f>C51+_xlfn.FORECAST.ETS.CONFINT(A51,$B$23:$B$50,$A$23:$A$50,0.95,1,1)</f>
        <v>62.605537164910714</v>
      </c>
    </row>
    <row r="52" spans="1:5" x14ac:dyDescent="0.3">
      <c r="A52" s="1">
        <v>40573</v>
      </c>
      <c r="C52" s="6">
        <f>_xlfn.FORECAST.ETS(A52,$B$23:$B$50,$A$23:$A$50,1,1)</f>
        <v>35.874001603077829</v>
      </c>
      <c r="D52" s="6">
        <f>C52-_xlfn.FORECAST.ETS.CONFINT(A52,$B$23:$B$50,$A$23:$A$50,0.95,1,1)</f>
        <v>13.111881152513643</v>
      </c>
      <c r="E52" s="6">
        <f>C52+_xlfn.FORECAST.ETS.CONFINT(A52,$B$23:$B$50,$A$23:$A$50,0.95,1,1)</f>
        <v>58.636122053642012</v>
      </c>
    </row>
    <row r="53" spans="1:5" x14ac:dyDescent="0.3">
      <c r="A53" s="1">
        <v>40574</v>
      </c>
      <c r="C53" s="6">
        <f>_xlfn.FORECAST.ETS(A53,$B$23:$B$50,$A$23:$A$50,1,1)</f>
        <v>52.697995185828823</v>
      </c>
      <c r="D53" s="6">
        <f>C53-_xlfn.FORECAST.ETS.CONFINT(A53,$B$23:$B$50,$A$23:$A$50,0.95,1,1)</f>
        <v>29.753101048671443</v>
      </c>
      <c r="E53" s="6">
        <f>C53+_xlfn.FORECAST.ETS.CONFINT(A53,$B$23:$B$50,$A$23:$A$50,0.95,1,1)</f>
        <v>75.642889322986207</v>
      </c>
    </row>
    <row r="54" spans="1:5" x14ac:dyDescent="0.3">
      <c r="A54" s="1">
        <v>40575</v>
      </c>
      <c r="C54" s="6">
        <f>_xlfn.FORECAST.ETS(A54,$B$23:$B$50,$A$23:$A$50,1,1)</f>
        <v>56.548798521377336</v>
      </c>
      <c r="D54" s="6">
        <f>C54-_xlfn.FORECAST.ETS.CONFINT(A54,$B$23:$B$50,$A$23:$A$50,0.95,1,1)</f>
        <v>33.419742157510029</v>
      </c>
      <c r="E54" s="6">
        <f>C54+_xlfn.FORECAST.ETS.CONFINT(A54,$B$23:$B$50,$A$23:$A$50,0.95,1,1)</f>
        <v>79.677854885244642</v>
      </c>
    </row>
    <row r="55" spans="1:5" x14ac:dyDescent="0.3">
      <c r="A55" s="1">
        <v>40576</v>
      </c>
      <c r="C55" s="6">
        <f>_xlfn.FORECAST.ETS(A55,$B$23:$B$50,$A$23:$A$50,1,1)</f>
        <v>54.010119527889771</v>
      </c>
      <c r="D55" s="6">
        <f>C55-_xlfn.FORECAST.ETS.CONFINT(A55,$B$23:$B$50,$A$23:$A$50,0.95,1,1)</f>
        <v>30.695523431474395</v>
      </c>
      <c r="E55" s="6">
        <f>C55+_xlfn.FORECAST.ETS.CONFINT(A55,$B$23:$B$50,$A$23:$A$50,0.95,1,1)</f>
        <v>77.324715624305142</v>
      </c>
    </row>
    <row r="56" spans="1:5" x14ac:dyDescent="0.3">
      <c r="A56" s="1">
        <v>40577</v>
      </c>
      <c r="C56" s="6">
        <f>_xlfn.FORECAST.ETS(A56,$B$23:$B$50,$A$23:$A$50,1,1)</f>
        <v>57.339428082721284</v>
      </c>
      <c r="D56" s="6">
        <f>C56-_xlfn.FORECAST.ETS.CONFINT(A56,$B$23:$B$50,$A$23:$A$50,0.95,1,1)</f>
        <v>33.837925677264572</v>
      </c>
      <c r="E56" s="6">
        <f>C56+_xlfn.FORECAST.ETS.CONFINT(A56,$B$23:$B$50,$A$23:$A$50,0.95,1,1)</f>
        <v>80.840930488178003</v>
      </c>
    </row>
    <row r="57" spans="1:5" x14ac:dyDescent="0.3">
      <c r="A57" s="1">
        <v>40578</v>
      </c>
      <c r="C57" s="6">
        <f>_xlfn.FORECAST.ETS(A57,$B$23:$B$50,$A$23:$A$50,1,1)</f>
        <v>56.006038105996709</v>
      </c>
      <c r="D57" s="6">
        <f>C57-_xlfn.FORECAST.ETS.CONFINT(A57,$B$23:$B$50,$A$23:$A$50,0.95,1,1)</f>
        <v>32.316273637195593</v>
      </c>
      <c r="E57" s="6">
        <f>C57+_xlfn.FORECAST.ETS.CONFINT(A57,$B$23:$B$50,$A$23:$A$50,0.95,1,1)</f>
        <v>79.695802574797824</v>
      </c>
    </row>
    <row r="58" spans="1:5" x14ac:dyDescent="0.3">
      <c r="A58" s="1">
        <v>40579</v>
      </c>
      <c r="C58" s="6">
        <f>_xlfn.FORECAST.ETS(A58,$B$23:$B$50,$A$23:$A$50,1,1)</f>
        <v>38.785363455111067</v>
      </c>
      <c r="D58" s="6">
        <f>C58-_xlfn.FORECAST.ETS.CONFINT(A58,$B$23:$B$50,$A$23:$A$50,0.95,1,1)</f>
        <v>14.9031414605126</v>
      </c>
      <c r="E58" s="6">
        <f>C58+_xlfn.FORECAST.ETS.CONFINT(A58,$B$23:$B$50,$A$23:$A$50,0.95,1,1)</f>
        <v>62.667585449709534</v>
      </c>
    </row>
    <row r="59" spans="1:5" x14ac:dyDescent="0.3">
      <c r="A59" s="1">
        <v>40580</v>
      </c>
      <c r="C59" s="6">
        <f>_xlfn.FORECAST.ETS(A59,$B$23:$B$50,$A$23:$A$50,1,1)</f>
        <v>34.634574334098751</v>
      </c>
      <c r="D59" s="6">
        <f>C59-_xlfn.FORECAST.ETS.CONFINT(A59,$B$23:$B$50,$A$23:$A$50,0.95,1,1)</f>
        <v>10.561433404604443</v>
      </c>
      <c r="E59" s="6">
        <f>C59+_xlfn.FORECAST.ETS.CONFINT(A59,$B$23:$B$50,$A$23:$A$50,0.95,1,1)</f>
        <v>58.707715263593059</v>
      </c>
    </row>
    <row r="60" spans="1:5" x14ac:dyDescent="0.3">
      <c r="A60" s="1">
        <v>40581</v>
      </c>
      <c r="C60" s="6">
        <f>_xlfn.FORECAST.ETS(A60,$B$23:$B$50,$A$23:$A$50,1,1)</f>
        <v>51.458567916849738</v>
      </c>
      <c r="D60" s="6">
        <f>C60-_xlfn.FORECAST.ETS.CONFINT(A60,$B$23:$B$50,$A$23:$A$50,0.95,1,1)</f>
        <v>27.193183900460301</v>
      </c>
      <c r="E60" s="6">
        <f>C60+_xlfn.FORECAST.ETS.CONFINT(A60,$B$23:$B$50,$A$23:$A$50,0.95,1,1)</f>
        <v>75.723951933239178</v>
      </c>
    </row>
    <row r="61" spans="1:5" x14ac:dyDescent="0.3">
      <c r="A61" s="1">
        <v>40582</v>
      </c>
      <c r="C61" s="6">
        <f>_xlfn.FORECAST.ETS(A61,$B$23:$B$50,$A$23:$A$50,1,1)</f>
        <v>55.30937125239825</v>
      </c>
      <c r="D61" s="6">
        <f>C61-_xlfn.FORECAST.ETS.CONFINT(A61,$B$23:$B$50,$A$23:$A$50,0.95,1,1)</f>
        <v>30.850430373158115</v>
      </c>
      <c r="E61" s="6">
        <f>C61+_xlfn.FORECAST.ETS.CONFINT(A61,$B$23:$B$50,$A$23:$A$50,0.95,1,1)</f>
        <v>79.768312131638382</v>
      </c>
    </row>
    <row r="62" spans="1:5" x14ac:dyDescent="0.3">
      <c r="A62" s="1">
        <v>40583</v>
      </c>
      <c r="C62" s="6">
        <f>_xlfn.FORECAST.ETS(A62,$B$23:$B$50,$A$23:$A$50,1,1)</f>
        <v>52.770692258910692</v>
      </c>
      <c r="D62" s="6">
        <f>C62-_xlfn.FORECAST.ETS.CONFINT(A62,$B$23:$B$50,$A$23:$A$50,0.95,1,1)</f>
        <v>28.116891002198518</v>
      </c>
      <c r="E62" s="6">
        <f>C62+_xlfn.FORECAST.ETS.CONFINT(A62,$B$23:$B$50,$A$23:$A$50,0.95,1,1)</f>
        <v>77.424493515622871</v>
      </c>
    </row>
    <row r="63" spans="1:5" x14ac:dyDescent="0.3">
      <c r="A63" s="1">
        <v>40584</v>
      </c>
      <c r="C63" s="6">
        <f>_xlfn.FORECAST.ETS(A63,$B$23:$B$50,$A$23:$A$50,1,1)</f>
        <v>56.100000813742206</v>
      </c>
      <c r="D63" s="6">
        <f>C63-_xlfn.FORECAST.ETS.CONFINT(A63,$B$23:$B$50,$A$23:$A$50,0.95,1,1)</f>
        <v>31.250045810624734</v>
      </c>
      <c r="E63" s="6">
        <f>C63+_xlfn.FORECAST.ETS.CONFINT(A63,$B$23:$B$50,$A$23:$A$50,0.95,1,1)</f>
        <v>80.949955816859671</v>
      </c>
    </row>
    <row r="64" spans="1:5" x14ac:dyDescent="0.3">
      <c r="A64" s="1">
        <v>40585</v>
      </c>
      <c r="C64" s="6">
        <f>_xlfn.FORECAST.ETS(A64,$B$23:$B$50,$A$23:$A$50,1,1)</f>
        <v>54.76661083701763</v>
      </c>
      <c r="D64" s="6">
        <f>C64-_xlfn.FORECAST.ETS.CONFINT(A64,$B$23:$B$50,$A$23:$A$50,0.95,1,1)</f>
        <v>29.719218747842262</v>
      </c>
      <c r="E64" s="6">
        <f>C64+_xlfn.FORECAST.ETS.CONFINT(A64,$B$23:$B$50,$A$23:$A$50,0.95,1,1)</f>
        <v>79.814002926192998</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C9ED3E-3870-4EAD-B686-B91750FD53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Dataset_4</vt:lpstr>
      <vt:lpstr>Modified_Dataset_4</vt:lpstr>
      <vt:lpstr>Statistics</vt:lpstr>
      <vt:lpstr>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GAMERZONE</dc:creator>
  <cp:lastModifiedBy>Rajwin George</cp:lastModifiedBy>
  <dcterms:created xsi:type="dcterms:W3CDTF">2015-06-05T18:17:20Z</dcterms:created>
  <dcterms:modified xsi:type="dcterms:W3CDTF">2026-07-23T06:46:06Z</dcterms:modified>
</cp:coreProperties>
</file>