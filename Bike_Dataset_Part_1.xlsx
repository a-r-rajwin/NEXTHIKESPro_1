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OneDrive\Desktop\Final\"/>
    </mc:Choice>
  </mc:AlternateContent>
  <xr:revisionPtr revIDLastSave="0" documentId="13_ncr:1_{3335B65B-C84A-484F-9557-A5CEA3469A9C}" xr6:coauthVersionLast="47" xr6:coauthVersionMax="47" xr10:uidLastSave="{00000000-0000-0000-0000-000000000000}"/>
  <bookViews>
    <workbookView xWindow="-108" yWindow="-108" windowWidth="23256" windowHeight="12456" xr2:uid="{00000000-000D-0000-FFFF-FFFF00000000}"/>
  </bookViews>
  <sheets>
    <sheet name="Dataset_4" sheetId="2" r:id="rId1"/>
    <sheet name="Modified_Dataset_4" sheetId="1" r:id="rId2"/>
    <sheet name="Statistics" sheetId="3" r:id="rId3"/>
    <sheet name="Forecast" sheetId="4" r:id="rId4"/>
  </sheets>
  <definedNames>
    <definedName name="ExternalData_2" localSheetId="0" hidden="1">Dataset_4!$A$1:$N$611</definedName>
    <definedName name="ExternalData_2" localSheetId="1" hidden="1">Modified_Dataset_4!$A$1:$N$611</definedName>
    <definedName name="Slicer_date">#N/A</definedName>
  </definedNames>
  <calcPr calcId="191029"/>
  <pivotCaches>
    <pivotCache cacheId="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4" l="1"/>
  <c r="C59" i="4"/>
  <c r="C52" i="4"/>
  <c r="C53" i="4"/>
  <c r="C54" i="4"/>
  <c r="C62" i="4"/>
  <c r="C55" i="4"/>
  <c r="C63" i="4"/>
  <c r="C64" i="4"/>
  <c r="C56" i="4"/>
  <c r="C57" i="4"/>
  <c r="C58" i="4"/>
  <c r="C60" i="4"/>
  <c r="C61" i="4"/>
  <c r="E61" i="4" l="1"/>
  <c r="D56" i="4"/>
  <c r="D62" i="4"/>
  <c r="E59" i="4"/>
  <c r="D60" i="4"/>
  <c r="E54" i="4"/>
  <c r="D51" i="4"/>
  <c r="E63" i="4"/>
  <c r="E55" i="4"/>
  <c r="D55" i="4"/>
  <c r="D59" i="4"/>
  <c r="E60" i="4"/>
  <c r="D64" i="4"/>
  <c r="D54" i="4"/>
  <c r="E51" i="4"/>
  <c r="E64" i="4"/>
  <c r="E58" i="4"/>
  <c r="D53" i="4"/>
  <c r="E52" i="4"/>
  <c r="E56" i="4"/>
  <c r="D58" i="4"/>
  <c r="D63" i="4"/>
  <c r="E53" i="4"/>
  <c r="D57" i="4"/>
  <c r="D52" i="4"/>
  <c r="E62" i="4"/>
  <c r="E57" i="4"/>
  <c r="D6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7363F3-9102-4474-8826-AD8AE1201FF2}" keepAlive="1" name="Query - dataset_1" description="Connection to the 'dataset_1' query in the workbook." type="5" refreshedVersion="0" background="1">
    <dbPr connection="Provider=Microsoft.Mashup.OleDb.1;Data Source=$Workbook$;Location=dataset_1;Extended Properties=&quot;&quot;" command="SELECT * FROM [dataset_1]"/>
  </connection>
  <connection id="2" xr16:uid="{FCF6E407-FA66-48D4-B3C2-1D1FE893E5E8}" keepAlive="1" name="Query - dataset_2" description="Connection to the 'dataset_2' query in the workbook." type="5" refreshedVersion="0" background="1">
    <dbPr connection="Provider=Microsoft.Mashup.OleDb.1;Data Source=$Workbook$;Location=dataset_2;Extended Properties=&quot;&quot;" command="SELECT * FROM [dataset_2]"/>
  </connection>
  <connection id="3" xr16:uid="{3FFFED17-5FD4-4A05-B3D0-5118C5B51208}"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<sst xmlns="http://schemas.openxmlformats.org/spreadsheetml/2006/main" count="7386" uniqueCount="74">
  <si>
    <t>instant</t>
  </si>
  <si>
    <t>date</t>
  </si>
  <si>
    <t>season</t>
  </si>
  <si>
    <t>hour</t>
  </si>
  <si>
    <t>holiday</t>
  </si>
  <si>
    <t>weekday</t>
  </si>
  <si>
    <t>weather_situation</t>
  </si>
  <si>
    <t>temperature</t>
  </si>
  <si>
    <t>assumed_temperature</t>
  </si>
  <si>
    <t>humidity</t>
  </si>
  <si>
    <t>windspeed</t>
  </si>
  <si>
    <t>casual_customer</t>
  </si>
  <si>
    <t>registered_customer</t>
  </si>
  <si>
    <t>total_customer</t>
  </si>
  <si>
    <t>Season_Name</t>
  </si>
  <si>
    <t>Weekday_Name</t>
  </si>
  <si>
    <t>Weather_Description</t>
  </si>
  <si>
    <t>Time_of_Day</t>
  </si>
  <si>
    <t>Temperature_Level</t>
  </si>
  <si>
    <t>Humidity_Level</t>
  </si>
  <si>
    <t>Wind_Level</t>
  </si>
  <si>
    <t>Day_Type</t>
  </si>
  <si>
    <t>Customer_Type</t>
  </si>
  <si>
    <t>Casual_Percentage</t>
  </si>
  <si>
    <t>Registered_Percentage</t>
  </si>
  <si>
    <t>Rush_Hour</t>
  </si>
  <si>
    <t>Demand_Level</t>
  </si>
  <si>
    <t>Weekend</t>
  </si>
  <si>
    <t>Feels_Like_Difference</t>
  </si>
  <si>
    <t>Spring</t>
  </si>
  <si>
    <t>Saturday</t>
  </si>
  <si>
    <t>Clear</t>
  </si>
  <si>
    <t>Night</t>
  </si>
  <si>
    <t>Cold</t>
  </si>
  <si>
    <t>High</t>
  </si>
  <si>
    <t>Calm</t>
  </si>
  <si>
    <t>Working Day</t>
  </si>
  <si>
    <t>Mostly Registered</t>
  </si>
  <si>
    <t>No</t>
  </si>
  <si>
    <t>Low</t>
  </si>
  <si>
    <t>Yes</t>
  </si>
  <si>
    <t>Mist/Cloudy</t>
  </si>
  <si>
    <t>Morning</t>
  </si>
  <si>
    <t>Mostly Casual</t>
  </si>
  <si>
    <t>Mild</t>
  </si>
  <si>
    <t>Warm</t>
  </si>
  <si>
    <t>Moderate</t>
  </si>
  <si>
    <t>Afternoon</t>
  </si>
  <si>
    <t>Hot</t>
  </si>
  <si>
    <t>Medium</t>
  </si>
  <si>
    <t>Evening</t>
  </si>
  <si>
    <t>Light Rain/Snow</t>
  </si>
  <si>
    <t>Sunday</t>
  </si>
  <si>
    <t>Windy</t>
  </si>
  <si>
    <t>Monday</t>
  </si>
  <si>
    <t>Very Cold</t>
  </si>
  <si>
    <t>Tuesday</t>
  </si>
  <si>
    <t>Wednesday</t>
  </si>
  <si>
    <t>Thursday</t>
  </si>
  <si>
    <t>Friday</t>
  </si>
  <si>
    <t>Holiday</t>
  </si>
  <si>
    <t>Heavy Rain/Storm</t>
  </si>
  <si>
    <t>Row Labels</t>
  </si>
  <si>
    <t>Grand Total</t>
  </si>
  <si>
    <t>Average of humidity</t>
  </si>
  <si>
    <t>Sum of total_customer</t>
  </si>
  <si>
    <t>Average of windspeed</t>
  </si>
  <si>
    <t>Average of temperature</t>
  </si>
  <si>
    <t>Average of assumed_temperature</t>
  </si>
  <si>
    <t>Sum of casual_customer</t>
  </si>
  <si>
    <t>Sum of registered_customer</t>
  </si>
  <si>
    <t>Forecast(total_customer)</t>
  </si>
  <si>
    <t>Lower Confidence Bound(total_customer)</t>
  </si>
  <si>
    <t>Upper Confidence Bound(total_customer)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</si>
</sst>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 x14ac:knownFonts="1">
    <font>
      <sz val="11"/>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2" borderId="0" xfId="0" applyFill="1"/>
    <xf numFmtId="14" fontId="0" fillId="2" borderId="0" xfId="0" applyNumberFormat="1" applyFill="1" applyAlignment="1">
      <alignment horizontal="left"/>
    </xf>
    <xf numFmtId="164" fontId="0" fillId="2" borderId="0" xfId="0" applyNumberFormat="1" applyFill="1"/>
    <xf numFmtId="0" fontId="0" fillId="2" borderId="0" xfId="0" applyFill="1" applyAlignment="1">
      <alignment horizontal="left"/>
    </xf>
    <xf numFmtId="2" fontId="0" fillId="0" borderId="0" xfId="0" applyNumberFormat="1"/>
    <xf numFmtId="1" fontId="0" fillId="0" borderId="0" xfId="0" applyNumberFormat="1"/>
    <xf numFmtId="165" fontId="0" fillId="0" borderId="0" xfId="0" applyNumberFormat="1"/>
    <xf numFmtId="0" fontId="0" fillId="3" borderId="0" xfId="0" applyFill="1"/>
    <xf numFmtId="14" fontId="0" fillId="3" borderId="0" xfId="0" applyNumberFormat="1" applyFill="1" applyAlignment="1">
      <alignment horizontal="left"/>
    </xf>
    <xf numFmtId="164" fontId="0" fillId="3" borderId="0" xfId="0" applyNumberFormat="1" applyFill="1"/>
    <xf numFmtId="0" fontId="0" fillId="3" borderId="0" xfId="0" applyFill="1" applyAlignment="1">
      <alignment horizontal="left"/>
    </xf>
  </cellXfs>
  <cellStyles count="1">
    <cellStyle name="Normal" xfId="0" builtinId="0"/>
  </cellStyles>
  <dxfs count="65">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numFmt numFmtId="19" formatCode="dd/mm/yyyy"/>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numFmt numFmtId="164" formatCode="0.000"/>
    </dxf>
    <dxf>
      <numFmt numFmtId="164" formatCode="0.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numFmt numFmtId="165" formatCode="0.0000"/>
    </dxf>
    <dxf>
      <numFmt numFmtId="2" formatCode="0.00"/>
    </dxf>
    <dxf>
      <numFmt numFmtId="2" formatCode="0.00"/>
    </dxf>
    <dxf>
      <numFmt numFmtId="1" formatCode="0"/>
    </dxf>
    <dxf>
      <numFmt numFmtId="1" formatCode="0"/>
    </dxf>
    <dxf>
      <numFmt numFmtId="1" formatCode="0"/>
    </dxf>
    <dxf>
      <numFmt numFmtId="165" formatCode="0.0000"/>
    </dxf>
    <dxf>
      <numFmt numFmtId="2" formatCode="0.00"/>
    </dxf>
    <dxf>
      <numFmt numFmtId="165" formatCode="0.0000"/>
    </dxf>
    <dxf>
      <numFmt numFmtId="2" formatCode="0.00"/>
    </dxf>
    <dxf>
      <numFmt numFmtId="1" formatCode="0"/>
    </dxf>
    <dxf>
      <numFmt numFmtId="1" formatCode="0"/>
    </dxf>
    <dxf>
      <numFmt numFmtId="1" formatCode="0"/>
    </dxf>
    <dxf>
      <numFmt numFmtId="1" formatCode="0"/>
    </dxf>
    <dxf>
      <numFmt numFmtId="19" formatCode="dd/mm/yyyy"/>
    </dxf>
    <dxf>
      <numFmt numFmtId="1" formatCode="0"/>
    </dxf>
    <dxf>
      <numFmt numFmtId="1" formatCode="0"/>
    </dxf>
    <dxf>
      <numFmt numFmtId="1" formatCode="0"/>
    </dxf>
    <dxf>
      <numFmt numFmtId="1" formatCode="0"/>
    </dxf>
    <dxf>
      <numFmt numFmtId="165" formatCode="0.0000"/>
    </dxf>
    <dxf>
      <numFmt numFmtId="2" formatCode="0.00"/>
    </dxf>
    <dxf>
      <numFmt numFmtId="165" formatCode="0.0000"/>
    </dxf>
    <dxf>
      <numFmt numFmtId="2" formatCode="0.00"/>
    </dxf>
    <dxf>
      <numFmt numFmtId="1" formatCode="0"/>
    </dxf>
    <dxf>
      <numFmt numFmtId="1" formatCode="0"/>
    </dxf>
    <dxf>
      <numFmt numFmtId="1" formatCode="0"/>
    </dxf>
    <dxf>
      <numFmt numFmtId="1" formatCode="0"/>
    </dxf>
    <dxf>
      <numFmt numFmtId="19" formatCode="dd/mm/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[Bike_Dataset_Part_1.xlsx]Statistics!PivotTable12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a:t>
            </a:r>
            <a:r>
              <a:rPr lang="en-IN" baseline="0"/>
              <a:t> Condition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Statistics!$B$45</c:f>
              <c:strCache>
                <c:ptCount val="1"/>
                <c:pt idx="0">
                  <c:v>Average of humidity</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Statistics!$A$46:$A$74</c:f>
              <c:strCache>
                <c:ptCount val="28"/>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strCache>
            </c:strRef>
          </c:cat>
          <c:val>
            <c:numRef>
              <c:f>Statistics!$B$46:$B$74</c:f>
              <c:numCache>
                <c:formatCode>0.000</c:formatCode>
                <c:ptCount val="28"/>
                <c:pt idx="0">
                  <c:v>0.80583333333333351</c:v>
                </c:pt>
                <c:pt idx="1">
                  <c:v>0.69608695652173924</c:v>
                </c:pt>
                <c:pt idx="2">
                  <c:v>0.43727272727272726</c:v>
                </c:pt>
                <c:pt idx="3">
                  <c:v>0.59043478260869575</c:v>
                </c:pt>
                <c:pt idx="4">
                  <c:v>0.43695652173913052</c:v>
                </c:pt>
                <c:pt idx="5">
                  <c:v>0.51826086956521744</c:v>
                </c:pt>
                <c:pt idx="6">
                  <c:v>0.4986956521739131</c:v>
                </c:pt>
                <c:pt idx="7">
                  <c:v>0.53583333333333327</c:v>
                </c:pt>
                <c:pt idx="8">
                  <c:v>0.43416666666666681</c:v>
                </c:pt>
                <c:pt idx="9">
                  <c:v>0.48291666666666672</c:v>
                </c:pt>
                <c:pt idx="10">
                  <c:v>0.68636363636363618</c:v>
                </c:pt>
                <c:pt idx="11">
                  <c:v>0.59954545454545471</c:v>
                </c:pt>
                <c:pt idx="12">
                  <c:v>0.47041666666666687</c:v>
                </c:pt>
                <c:pt idx="13">
                  <c:v>0.53782608695652179</c:v>
                </c:pt>
                <c:pt idx="14">
                  <c:v>0.49874999999999997</c:v>
                </c:pt>
                <c:pt idx="15">
                  <c:v>0.48375000000000012</c:v>
                </c:pt>
                <c:pt idx="16">
                  <c:v>0.53749999999999998</c:v>
                </c:pt>
                <c:pt idx="17">
                  <c:v>0.86166666666666669</c:v>
                </c:pt>
                <c:pt idx="18">
                  <c:v>0.74173913043478235</c:v>
                </c:pt>
                <c:pt idx="19">
                  <c:v>0.53833333333333344</c:v>
                </c:pt>
                <c:pt idx="20">
                  <c:v>0.45708333333333345</c:v>
                </c:pt>
                <c:pt idx="21">
                  <c:v>0.39999999999999997</c:v>
                </c:pt>
                <c:pt idx="22">
                  <c:v>0.43652173913043485</c:v>
                </c:pt>
                <c:pt idx="23">
                  <c:v>0.49173913043478273</c:v>
                </c:pt>
                <c:pt idx="24">
                  <c:v>0.61695652173913051</c:v>
                </c:pt>
                <c:pt idx="25">
                  <c:v>0.86249999999999982</c:v>
                </c:pt>
                <c:pt idx="26">
                  <c:v>0.6875</c:v>
                </c:pt>
                <c:pt idx="27">
                  <c:v>0.83266666666666667</c:v>
                </c:pt>
              </c:numCache>
            </c:numRef>
          </c:val>
          <c:extLst>
            <c:ext xmlns:c16="http://schemas.microsoft.com/office/drawing/2014/chart" uri="{C3380CC4-5D6E-409C-BE32-E72D297353CC}">
              <c16:uniqueId val="{00000000-BD1C-4385-9065-127D8DF71B2E}"/>
            </c:ext>
          </c:extLst>
        </c:ser>
        <c:ser>
          <c:idx val="1"/>
          <c:order val="1"/>
          <c:tx>
            <c:strRef>
              <c:f>Statistics!$C$45</c:f>
              <c:strCache>
                <c:ptCount val="1"/>
                <c:pt idx="0">
                  <c:v>Average of windspeed</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Statistics!$A$46:$A$74</c:f>
              <c:strCache>
                <c:ptCount val="28"/>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strCache>
            </c:strRef>
          </c:cat>
          <c:val>
            <c:numRef>
              <c:f>Statistics!$C$46:$C$74</c:f>
              <c:numCache>
                <c:formatCode>0.000</c:formatCode>
                <c:ptCount val="28"/>
                <c:pt idx="0">
                  <c:v>0.16044583333333329</c:v>
                </c:pt>
                <c:pt idx="1">
                  <c:v>0.24853913043478262</c:v>
                </c:pt>
                <c:pt idx="2">
                  <c:v>0.24830909090909081</c:v>
                </c:pt>
                <c:pt idx="3">
                  <c:v>0.16029565217391301</c:v>
                </c:pt>
                <c:pt idx="4">
                  <c:v>0.18690000000000001</c:v>
                </c:pt>
                <c:pt idx="5">
                  <c:v>8.9565217391304353E-2</c:v>
                </c:pt>
                <c:pt idx="6">
                  <c:v>0.16872608695652172</c:v>
                </c:pt>
                <c:pt idx="7">
                  <c:v>0.26680416666666668</c:v>
                </c:pt>
                <c:pt idx="8">
                  <c:v>0.36195000000000005</c:v>
                </c:pt>
                <c:pt idx="9">
                  <c:v>0.22326666666666661</c:v>
                </c:pt>
                <c:pt idx="10">
                  <c:v>0.12213181818181815</c:v>
                </c:pt>
                <c:pt idx="11">
                  <c:v>0.3046272727272728</c:v>
                </c:pt>
                <c:pt idx="12">
                  <c:v>0.30099999999999999</c:v>
                </c:pt>
                <c:pt idx="13">
                  <c:v>0.12654782608695653</c:v>
                </c:pt>
                <c:pt idx="14">
                  <c:v>0.15796249999999995</c:v>
                </c:pt>
                <c:pt idx="15">
                  <c:v>0.18843333333333331</c:v>
                </c:pt>
                <c:pt idx="16">
                  <c:v>0.19401666666666664</c:v>
                </c:pt>
                <c:pt idx="17">
                  <c:v>0.14677500000000002</c:v>
                </c:pt>
                <c:pt idx="18">
                  <c:v>0.20831739130434784</c:v>
                </c:pt>
                <c:pt idx="19">
                  <c:v>0.19590416666666666</c:v>
                </c:pt>
                <c:pt idx="20">
                  <c:v>0.35324166666666668</c:v>
                </c:pt>
                <c:pt idx="21">
                  <c:v>0.17196956521739129</c:v>
                </c:pt>
                <c:pt idx="22">
                  <c:v>0.24660000000000004</c:v>
                </c:pt>
                <c:pt idx="23">
                  <c:v>0.15833043478260866</c:v>
                </c:pt>
                <c:pt idx="24">
                  <c:v>0.12979565217391303</c:v>
                </c:pt>
                <c:pt idx="25">
                  <c:v>0.29385000000000006</c:v>
                </c:pt>
                <c:pt idx="26">
                  <c:v>0.11383750000000001</c:v>
                </c:pt>
                <c:pt idx="27">
                  <c:v>9.7526666666666678E-2</c:v>
                </c:pt>
              </c:numCache>
            </c:numRef>
          </c:val>
          <c:extLst>
            <c:ext xmlns:c16="http://schemas.microsoft.com/office/drawing/2014/chart" uri="{C3380CC4-5D6E-409C-BE32-E72D297353CC}">
              <c16:uniqueId val="{00000001-BD1C-4385-9065-127D8DF71B2E}"/>
            </c:ext>
          </c:extLst>
        </c:ser>
        <c:ser>
          <c:idx val="2"/>
          <c:order val="2"/>
          <c:tx>
            <c:strRef>
              <c:f>Statistics!$D$45</c:f>
              <c:strCache>
                <c:ptCount val="1"/>
                <c:pt idx="0">
                  <c:v>Average of temperature</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Statistics!$A$46:$A$74</c:f>
              <c:strCache>
                <c:ptCount val="28"/>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strCache>
            </c:strRef>
          </c:cat>
          <c:val>
            <c:numRef>
              <c:f>Statistics!$D$46:$D$74</c:f>
              <c:numCache>
                <c:formatCode>0.000</c:formatCode>
                <c:ptCount val="28"/>
                <c:pt idx="0">
                  <c:v>0.34416666666666673</c:v>
                </c:pt>
                <c:pt idx="1">
                  <c:v>0.36347826086956525</c:v>
                </c:pt>
                <c:pt idx="2">
                  <c:v>0.19636363636363632</c:v>
                </c:pt>
                <c:pt idx="3">
                  <c:v>0.19999999999999998</c:v>
                </c:pt>
                <c:pt idx="4">
                  <c:v>0.22695652173913042</c:v>
                </c:pt>
                <c:pt idx="5">
                  <c:v>0.20434782608695654</c:v>
                </c:pt>
                <c:pt idx="6">
                  <c:v>0.19652173913043483</c:v>
                </c:pt>
                <c:pt idx="7">
                  <c:v>0.16500000000000006</c:v>
                </c:pt>
                <c:pt idx="8">
                  <c:v>0.13833333333333339</c:v>
                </c:pt>
                <c:pt idx="9">
                  <c:v>0.1508333333333334</c:v>
                </c:pt>
                <c:pt idx="10">
                  <c:v>0.16909090909090915</c:v>
                </c:pt>
                <c:pt idx="11">
                  <c:v>0.17272727272727278</c:v>
                </c:pt>
                <c:pt idx="12">
                  <c:v>0.16500000000000006</c:v>
                </c:pt>
                <c:pt idx="13">
                  <c:v>0.16086956521739135</c:v>
                </c:pt>
                <c:pt idx="14">
                  <c:v>0.23333333333333331</c:v>
                </c:pt>
                <c:pt idx="15">
                  <c:v>0.23166666666666669</c:v>
                </c:pt>
                <c:pt idx="16">
                  <c:v>0.1758333333333334</c:v>
                </c:pt>
                <c:pt idx="17">
                  <c:v>0.2166666666666667</c:v>
                </c:pt>
                <c:pt idx="18">
                  <c:v>0.29217391304347828</c:v>
                </c:pt>
                <c:pt idx="19">
                  <c:v>0.26166666666666666</c:v>
                </c:pt>
                <c:pt idx="20">
                  <c:v>0.17750000000000002</c:v>
                </c:pt>
                <c:pt idx="21">
                  <c:v>5.9130434782608703E-2</c:v>
                </c:pt>
                <c:pt idx="22">
                  <c:v>9.6521739130434797E-2</c:v>
                </c:pt>
                <c:pt idx="23">
                  <c:v>9.7391304347826113E-2</c:v>
                </c:pt>
                <c:pt idx="24">
                  <c:v>0.22347826086956515</c:v>
                </c:pt>
                <c:pt idx="25">
                  <c:v>0.21750000000000005</c:v>
                </c:pt>
                <c:pt idx="26">
                  <c:v>0.19499999999999998</c:v>
                </c:pt>
                <c:pt idx="27">
                  <c:v>0.18666666666666668</c:v>
                </c:pt>
              </c:numCache>
            </c:numRef>
          </c:val>
          <c:extLst>
            <c:ext xmlns:c16="http://schemas.microsoft.com/office/drawing/2014/chart" uri="{C3380CC4-5D6E-409C-BE32-E72D297353CC}">
              <c16:uniqueId val="{00000002-BD1C-4385-9065-127D8DF71B2E}"/>
            </c:ext>
          </c:extLst>
        </c:ser>
        <c:ser>
          <c:idx val="3"/>
          <c:order val="3"/>
          <c:tx>
            <c:strRef>
              <c:f>Statistics!$E$45</c:f>
              <c:strCache>
                <c:ptCount val="1"/>
                <c:pt idx="0">
                  <c:v>Average of assumed_temperature</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Statistics!$A$46:$A$74</c:f>
              <c:strCache>
                <c:ptCount val="28"/>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strCache>
            </c:strRef>
          </c:cat>
          <c:val>
            <c:numRef>
              <c:f>Statistics!$E$46:$E$74</c:f>
              <c:numCache>
                <c:formatCode>0.000</c:formatCode>
                <c:ptCount val="28"/>
                <c:pt idx="0">
                  <c:v>0.35983750000000003</c:v>
                </c:pt>
                <c:pt idx="1">
                  <c:v>0.35506086956521743</c:v>
                </c:pt>
                <c:pt idx="2">
                  <c:v>0.19215909090909095</c:v>
                </c:pt>
                <c:pt idx="3">
                  <c:v>0.2134391304347826</c:v>
                </c:pt>
                <c:pt idx="4">
                  <c:v>0.22926956521739131</c:v>
                </c:pt>
                <c:pt idx="5">
                  <c:v>0.23320869565217398</c:v>
                </c:pt>
                <c:pt idx="6">
                  <c:v>0.20883913043478261</c:v>
                </c:pt>
                <c:pt idx="7">
                  <c:v>0.16225416666666667</c:v>
                </c:pt>
                <c:pt idx="8">
                  <c:v>0.11617500000000003</c:v>
                </c:pt>
                <c:pt idx="9">
                  <c:v>0.15088750000000001</c:v>
                </c:pt>
                <c:pt idx="10">
                  <c:v>0.19146363636363636</c:v>
                </c:pt>
                <c:pt idx="11">
                  <c:v>0.16047272727272729</c:v>
                </c:pt>
                <c:pt idx="12">
                  <c:v>0.15088333333333334</c:v>
                </c:pt>
                <c:pt idx="13">
                  <c:v>0.18841304347826088</c:v>
                </c:pt>
                <c:pt idx="14">
                  <c:v>0.24811249999999999</c:v>
                </c:pt>
                <c:pt idx="15">
                  <c:v>0.23421666666666671</c:v>
                </c:pt>
                <c:pt idx="16">
                  <c:v>0.17677083333333335</c:v>
                </c:pt>
                <c:pt idx="17">
                  <c:v>0.23233333333333336</c:v>
                </c:pt>
                <c:pt idx="18">
                  <c:v>0.29842173913043479</c:v>
                </c:pt>
                <c:pt idx="19">
                  <c:v>0.25505</c:v>
                </c:pt>
                <c:pt idx="20">
                  <c:v>0.15783333333333335</c:v>
                </c:pt>
                <c:pt idx="21">
                  <c:v>7.9069565217391308E-2</c:v>
                </c:pt>
                <c:pt idx="22">
                  <c:v>9.8839130434782624E-2</c:v>
                </c:pt>
                <c:pt idx="23">
                  <c:v>0.11793043478260871</c:v>
                </c:pt>
                <c:pt idx="24">
                  <c:v>0.23452608695652166</c:v>
                </c:pt>
                <c:pt idx="25">
                  <c:v>0.2036</c:v>
                </c:pt>
                <c:pt idx="26">
                  <c:v>0.21970000000000001</c:v>
                </c:pt>
                <c:pt idx="27">
                  <c:v>0.21716666666666667</c:v>
                </c:pt>
              </c:numCache>
            </c:numRef>
          </c:val>
          <c:extLst>
            <c:ext xmlns:c16="http://schemas.microsoft.com/office/drawing/2014/chart" uri="{C3380CC4-5D6E-409C-BE32-E72D297353CC}">
              <c16:uniqueId val="{00000003-BD1C-4385-9065-127D8DF71B2E}"/>
            </c:ext>
          </c:extLst>
        </c:ser>
        <c:dLbls>
          <c:dLblPos val="outEnd"/>
          <c:showLegendKey val="0"/>
          <c:showVal val="1"/>
          <c:showCatName val="0"/>
          <c:showSerName val="0"/>
          <c:showPercent val="0"/>
          <c:showBubbleSize val="0"/>
        </c:dLbls>
        <c:gapWidth val="219"/>
        <c:overlap val="-27"/>
        <c:axId val="1972759328"/>
        <c:axId val="1972759808"/>
      </c:barChart>
      <c:catAx>
        <c:axId val="197275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59808"/>
        <c:crosses val="autoZero"/>
        <c:auto val="1"/>
        <c:lblAlgn val="ctr"/>
        <c:lblOffset val="100"/>
        <c:noMultiLvlLbl val="0"/>
      </c:catAx>
      <c:valAx>
        <c:axId val="1972759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Weather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59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[Bike_Dataset_Part_1.xlsx]Statistics!PivotTable14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Casual</a:t>
            </a:r>
            <a:r>
              <a:rPr lang="en-IN" baseline="0"/>
              <a:t> , Registered &amp; Total Customers by Date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Statistics!$H$45</c:f>
              <c:strCache>
                <c:ptCount val="1"/>
                <c:pt idx="0">
                  <c:v>Sum of casual_customer</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Statistics!$G$46:$G$74</c:f>
              <c:strCache>
                <c:ptCount val="28"/>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strCache>
            </c:strRef>
          </c:cat>
          <c:val>
            <c:numRef>
              <c:f>Statistics!$H$46:$H$74</c:f>
              <c:numCache>
                <c:formatCode>General</c:formatCode>
                <c:ptCount val="28"/>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16</c:v>
                </c:pt>
              </c:numCache>
            </c:numRef>
          </c:val>
          <c:extLst>
            <c:ext xmlns:c16="http://schemas.microsoft.com/office/drawing/2014/chart" uri="{C3380CC4-5D6E-409C-BE32-E72D297353CC}">
              <c16:uniqueId val="{00000000-2436-492E-9FC8-EFF7DD853363}"/>
            </c:ext>
          </c:extLst>
        </c:ser>
        <c:ser>
          <c:idx val="1"/>
          <c:order val="1"/>
          <c:tx>
            <c:strRef>
              <c:f>Statistics!$I$45</c:f>
              <c:strCache>
                <c:ptCount val="1"/>
                <c:pt idx="0">
                  <c:v>Sum of registered_customer</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Statistics!$G$46:$G$74</c:f>
              <c:strCache>
                <c:ptCount val="28"/>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strCache>
            </c:strRef>
          </c:cat>
          <c:val>
            <c:numRef>
              <c:f>Statistics!$I$46:$I$74</c:f>
              <c:numCache>
                <c:formatCode>General</c:formatCode>
                <c:ptCount val="28"/>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555</c:v>
                </c:pt>
              </c:numCache>
            </c:numRef>
          </c:val>
          <c:extLst>
            <c:ext xmlns:c16="http://schemas.microsoft.com/office/drawing/2014/chart" uri="{C3380CC4-5D6E-409C-BE32-E72D297353CC}">
              <c16:uniqueId val="{00000001-2436-492E-9FC8-EFF7DD853363}"/>
            </c:ext>
          </c:extLst>
        </c:ser>
        <c:ser>
          <c:idx val="2"/>
          <c:order val="2"/>
          <c:tx>
            <c:strRef>
              <c:f>Statistics!$J$45</c:f>
              <c:strCache>
                <c:ptCount val="1"/>
                <c:pt idx="0">
                  <c:v>Sum of total_customer</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Statistics!$G$46:$G$74</c:f>
              <c:strCache>
                <c:ptCount val="28"/>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strCache>
            </c:strRef>
          </c:cat>
          <c:val>
            <c:numRef>
              <c:f>Statistics!$J$46:$J$74</c:f>
              <c:numCache>
                <c:formatCode>General</c:formatCode>
                <c:ptCount val="28"/>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571</c:v>
                </c:pt>
              </c:numCache>
            </c:numRef>
          </c:val>
          <c:extLst>
            <c:ext xmlns:c16="http://schemas.microsoft.com/office/drawing/2014/chart" uri="{C3380CC4-5D6E-409C-BE32-E72D297353CC}">
              <c16:uniqueId val="{00000002-2436-492E-9FC8-EFF7DD853363}"/>
            </c:ext>
          </c:extLst>
        </c:ser>
        <c:dLbls>
          <c:dLblPos val="outEnd"/>
          <c:showLegendKey val="0"/>
          <c:showVal val="1"/>
          <c:showCatName val="0"/>
          <c:showSerName val="0"/>
          <c:showPercent val="0"/>
          <c:showBubbleSize val="0"/>
        </c:dLbls>
        <c:gapWidth val="219"/>
        <c:overlap val="-27"/>
        <c:axId val="1972848608"/>
        <c:axId val="1972852448"/>
      </c:barChart>
      <c:catAx>
        <c:axId val="197284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852448"/>
        <c:crosses val="autoZero"/>
        <c:auto val="1"/>
        <c:lblAlgn val="ctr"/>
        <c:lblOffset val="100"/>
        <c:noMultiLvlLbl val="0"/>
      </c:catAx>
      <c:valAx>
        <c:axId val="197285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848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[Bike_Dataset_Part_1.xlsx]Statistics!PivotTable17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Total Customers</a:t>
            </a:r>
            <a:r>
              <a:rPr lang="en-US" baseline="0">
                <a:solidFill>
                  <a:sysClr val="windowText" lastClr="000000"/>
                </a:solidFill>
              </a:rPr>
              <a:t> by Time of the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34099710311507"/>
              <c:y val="-0.11882517504510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77684222093768"/>
                  <c:h val="0.16478398476700207"/>
                </c:manualLayout>
              </c15:layout>
            </c:ext>
          </c:extLst>
        </c:dLbl>
      </c:pivotFmt>
      <c:pivotFmt>
        <c:idx val="2"/>
        <c:spPr>
          <a:solidFill>
            <a:schemeClr val="accent1"/>
          </a:solidFill>
          <a:ln w="19050">
            <a:solidFill>
              <a:schemeClr val="lt1"/>
            </a:solidFill>
          </a:ln>
          <a:effectLst/>
        </c:spPr>
        <c:dLbl>
          <c:idx val="0"/>
          <c:layout>
            <c:manualLayout>
              <c:x val="-3.0555555555555555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0219287840768226"/>
              <c:y val="-0.154498923569118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2317262917088485"/>
              <c:y val="3.66733425394619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Statistics!$B$77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1DA-4872-A70B-BC35169328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F1DA-4872-A70B-BC35169328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F1DA-4872-A70B-BC35169328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F1DA-4872-A70B-BC35169328CE}"/>
              </c:ext>
            </c:extLst>
          </c:dPt>
          <c:dLbls>
            <c:dLbl>
              <c:idx val="0"/>
              <c:layout>
                <c:manualLayout>
                  <c:x val="0.1234099710311507"/>
                  <c:y val="-0.11882517504510148"/>
                </c:manualLayout>
              </c:layout>
              <c:showLegendKey val="0"/>
              <c:showVal val="0"/>
              <c:showCatName val="1"/>
              <c:showSerName val="0"/>
              <c:showPercent val="1"/>
              <c:showBubbleSize val="0"/>
              <c:extLst>
                <c:ext xmlns:c15="http://schemas.microsoft.com/office/drawing/2012/chart" uri="{CE6537A1-D6FC-4f65-9D91-7224C49458BB}">
                  <c15:layout>
                    <c:manualLayout>
                      <c:w val="0.21777684222093768"/>
                      <c:h val="0.16478398476700207"/>
                    </c:manualLayout>
                  </c15:layout>
                </c:ext>
                <c:ext xmlns:c16="http://schemas.microsoft.com/office/drawing/2014/chart" uri="{C3380CC4-5D6E-409C-BE32-E72D297353CC}">
                  <c16:uniqueId val="{00000002-F1DA-4872-A70B-BC35169328CE}"/>
                </c:ext>
              </c:extLst>
            </c:dLbl>
            <c:dLbl>
              <c:idx val="1"/>
              <c:layout>
                <c:manualLayout>
                  <c:x val="0.22317262917088485"/>
                  <c:y val="3.66733425394619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1DA-4872-A70B-BC35169328CE}"/>
                </c:ext>
              </c:extLst>
            </c:dLbl>
            <c:dLbl>
              <c:idx val="2"/>
              <c:layout>
                <c:manualLayout>
                  <c:x val="-0.10219287840768226"/>
                  <c:y val="-0.1544989235691188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1DA-4872-A70B-BC35169328CE}"/>
                </c:ext>
              </c:extLst>
            </c:dLbl>
            <c:dLbl>
              <c:idx val="3"/>
              <c:layout>
                <c:manualLayout>
                  <c:x val="-3.0555555555555555E-2"/>
                  <c:y val="-0.11111111111111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DA-4872-A70B-BC35169328C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Statistics!$A$78:$A$82</c:f>
              <c:strCache>
                <c:ptCount val="4"/>
                <c:pt idx="0">
                  <c:v>Afternoon</c:v>
                </c:pt>
                <c:pt idx="1">
                  <c:v>Evening</c:v>
                </c:pt>
                <c:pt idx="2">
                  <c:v>Morning</c:v>
                </c:pt>
                <c:pt idx="3">
                  <c:v>Night</c:v>
                </c:pt>
              </c:strCache>
            </c:strRef>
          </c:cat>
          <c:val>
            <c:numRef>
              <c:f>Statistics!$B$78:$B$82</c:f>
              <c:numCache>
                <c:formatCode>General</c:formatCode>
                <c:ptCount val="4"/>
                <c:pt idx="0">
                  <c:v>9912</c:v>
                </c:pt>
                <c:pt idx="1">
                  <c:v>10386</c:v>
                </c:pt>
                <c:pt idx="2">
                  <c:v>10139</c:v>
                </c:pt>
                <c:pt idx="3">
                  <c:v>3461</c:v>
                </c:pt>
              </c:numCache>
            </c:numRef>
          </c:val>
          <c:extLst>
            <c:ext xmlns:c16="http://schemas.microsoft.com/office/drawing/2014/chart" uri="{C3380CC4-5D6E-409C-BE32-E72D297353CC}">
              <c16:uniqueId val="{00000000-F1DA-4872-A70B-BC35169328C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Forecast!$B$22</c:f>
              <c:strCache>
                <c:ptCount val="1"/>
                <c:pt idx="0">
                  <c:v>total_customer</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val>
            <c:numRef>
              <c:f>Forecast!$B$23:$B$64</c:f>
              <c:numCache>
                <c:formatCode>0.00</c:formatCode>
                <c:ptCount val="42"/>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38.06666666666667</c:v>
                </c:pt>
              </c:numCache>
            </c:numRef>
          </c:val>
          <c:smooth val="0"/>
          <c:extLst>
            <c:ext xmlns:c16="http://schemas.microsoft.com/office/drawing/2014/chart" uri="{C3380CC4-5D6E-409C-BE32-E72D297353CC}">
              <c16:uniqueId val="{00000000-D119-460A-9F37-9518E5D317DF}"/>
            </c:ext>
          </c:extLst>
        </c:ser>
        <c:ser>
          <c:idx val="1"/>
          <c:order val="1"/>
          <c:tx>
            <c:strRef>
              <c:f>Forecast!$C$22</c:f>
              <c:strCache>
                <c:ptCount val="1"/>
                <c:pt idx="0">
                  <c:v>Forecast(total_customer)</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Forecast!$A$23:$A$64</c:f>
              <c:numCache>
                <c:formatCode>m/d/yyyy</c:formatCode>
                <c:ptCount val="4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numCache>
            </c:numRef>
          </c:cat>
          <c:val>
            <c:numRef>
              <c:f>Forecast!$C$23:$C$64</c:f>
              <c:numCache>
                <c:formatCode>General</c:formatCode>
                <c:ptCount val="42"/>
                <c:pt idx="27" formatCode="0.00">
                  <c:v>38.06666666666667</c:v>
                </c:pt>
                <c:pt idx="28" formatCode="0.00">
                  <c:v>40.024790724090145</c:v>
                </c:pt>
                <c:pt idx="29" formatCode="0.00">
                  <c:v>35.874001603077829</c:v>
                </c:pt>
                <c:pt idx="30" formatCode="0.00">
                  <c:v>52.697995185828823</c:v>
                </c:pt>
                <c:pt idx="31" formatCode="0.00">
                  <c:v>56.548798521377336</c:v>
                </c:pt>
                <c:pt idx="32" formatCode="0.00">
                  <c:v>54.010119527889771</c:v>
                </c:pt>
                <c:pt idx="33" formatCode="0.00">
                  <c:v>57.339428082721284</c:v>
                </c:pt>
                <c:pt idx="34" formatCode="0.00">
                  <c:v>56.006038105996709</c:v>
                </c:pt>
                <c:pt idx="35" formatCode="0.00">
                  <c:v>38.785363455111067</c:v>
                </c:pt>
                <c:pt idx="36" formatCode="0.00">
                  <c:v>34.634574334098751</c:v>
                </c:pt>
                <c:pt idx="37" formatCode="0.00">
                  <c:v>51.458567916849738</c:v>
                </c:pt>
                <c:pt idx="38" formatCode="0.00">
                  <c:v>55.30937125239825</c:v>
                </c:pt>
                <c:pt idx="39" formatCode="0.00">
                  <c:v>52.770692258910692</c:v>
                </c:pt>
                <c:pt idx="40" formatCode="0.00">
                  <c:v>56.100000813742206</c:v>
                </c:pt>
                <c:pt idx="41" formatCode="0.00">
                  <c:v>54.76661083701763</c:v>
                </c:pt>
              </c:numCache>
            </c:numRef>
          </c:val>
          <c:smooth val="0"/>
          <c:extLst>
            <c:ext xmlns:c16="http://schemas.microsoft.com/office/drawing/2014/chart" uri="{C3380CC4-5D6E-409C-BE32-E72D297353CC}">
              <c16:uniqueId val="{00000001-D119-460A-9F37-9518E5D317DF}"/>
            </c:ext>
          </c:extLst>
        </c:ser>
        <c:ser>
          <c:idx val="2"/>
          <c:order val="2"/>
          <c:tx>
            <c:strRef>
              <c:f>Forecast!$D$22</c:f>
              <c:strCache>
                <c:ptCount val="1"/>
                <c:pt idx="0">
                  <c:v>Lower Confidence Bound(total_customer)</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numRef>
              <c:f>Forecast!$A$23:$A$64</c:f>
              <c:numCache>
                <c:formatCode>m/d/yyyy</c:formatCode>
                <c:ptCount val="4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numCache>
            </c:numRef>
          </c:cat>
          <c:val>
            <c:numRef>
              <c:f>Forecast!$D$23:$D$64</c:f>
              <c:numCache>
                <c:formatCode>General</c:formatCode>
                <c:ptCount val="42"/>
                <c:pt idx="27" formatCode="0.00">
                  <c:v>38.06666666666667</c:v>
                </c:pt>
                <c:pt idx="28" formatCode="0.00">
                  <c:v>17.444044283269577</c:v>
                </c:pt>
                <c:pt idx="29" formatCode="0.00">
                  <c:v>13.111881152513643</c:v>
                </c:pt>
                <c:pt idx="30" formatCode="0.00">
                  <c:v>29.753101048671443</c:v>
                </c:pt>
                <c:pt idx="31" formatCode="0.00">
                  <c:v>33.419742157510029</c:v>
                </c:pt>
                <c:pt idx="32" formatCode="0.00">
                  <c:v>30.695523431474395</c:v>
                </c:pt>
                <c:pt idx="33" formatCode="0.00">
                  <c:v>33.837925677264572</c:v>
                </c:pt>
                <c:pt idx="34" formatCode="0.00">
                  <c:v>32.316273637195593</c:v>
                </c:pt>
                <c:pt idx="35" formatCode="0.00">
                  <c:v>14.9031414605126</c:v>
                </c:pt>
                <c:pt idx="36" formatCode="0.00">
                  <c:v>10.561433404604443</c:v>
                </c:pt>
                <c:pt idx="37" formatCode="0.00">
                  <c:v>27.193183900460301</c:v>
                </c:pt>
                <c:pt idx="38" formatCode="0.00">
                  <c:v>30.850430373158115</c:v>
                </c:pt>
                <c:pt idx="39" formatCode="0.00">
                  <c:v>28.116891002198518</c:v>
                </c:pt>
                <c:pt idx="40" formatCode="0.00">
                  <c:v>31.250045810624734</c:v>
                </c:pt>
                <c:pt idx="41" formatCode="0.00">
                  <c:v>29.719218747842262</c:v>
                </c:pt>
              </c:numCache>
            </c:numRef>
          </c:val>
          <c:smooth val="0"/>
          <c:extLst>
            <c:ext xmlns:c16="http://schemas.microsoft.com/office/drawing/2014/chart" uri="{C3380CC4-5D6E-409C-BE32-E72D297353CC}">
              <c16:uniqueId val="{00000002-D119-460A-9F37-9518E5D317DF}"/>
            </c:ext>
          </c:extLst>
        </c:ser>
        <c:ser>
          <c:idx val="3"/>
          <c:order val="3"/>
          <c:tx>
            <c:strRef>
              <c:f>Forecast!$E$22</c:f>
              <c:strCache>
                <c:ptCount val="1"/>
                <c:pt idx="0">
                  <c:v>Upper Confidence Bound(total_customer)</c:v>
                </c:pt>
              </c:strCache>
            </c:strRef>
          </c:tx>
          <c:spPr>
            <a:ln w="22225" cap="rnd">
              <a:solidFill>
                <a:schemeClr val="accent4"/>
              </a:solidFill>
              <a:round/>
            </a:ln>
            <a:effectLst/>
          </c:spPr>
          <c:marker>
            <c:symbol val="x"/>
            <c:size val="6"/>
            <c:spPr>
              <a:noFill/>
              <a:ln w="9525">
                <a:solidFill>
                  <a:schemeClr val="accent4"/>
                </a:solidFill>
                <a:round/>
              </a:ln>
              <a:effectLst/>
            </c:spPr>
          </c:marker>
          <c:cat>
            <c:numRef>
              <c:f>Forecast!$A$23:$A$64</c:f>
              <c:numCache>
                <c:formatCode>m/d/yyyy</c:formatCode>
                <c:ptCount val="4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numCache>
            </c:numRef>
          </c:cat>
          <c:val>
            <c:numRef>
              <c:f>Forecast!$E$23:$E$64</c:f>
              <c:numCache>
                <c:formatCode>General</c:formatCode>
                <c:ptCount val="42"/>
                <c:pt idx="27" formatCode="0.00">
                  <c:v>38.06666666666667</c:v>
                </c:pt>
                <c:pt idx="28" formatCode="0.00">
                  <c:v>62.605537164910714</c:v>
                </c:pt>
                <c:pt idx="29" formatCode="0.00">
                  <c:v>58.636122053642012</c:v>
                </c:pt>
                <c:pt idx="30" formatCode="0.00">
                  <c:v>75.642889322986207</c:v>
                </c:pt>
                <c:pt idx="31" formatCode="0.00">
                  <c:v>79.677854885244642</c:v>
                </c:pt>
                <c:pt idx="32" formatCode="0.00">
                  <c:v>77.324715624305142</c:v>
                </c:pt>
                <c:pt idx="33" formatCode="0.00">
                  <c:v>80.840930488178003</c:v>
                </c:pt>
                <c:pt idx="34" formatCode="0.00">
                  <c:v>79.695802574797824</c:v>
                </c:pt>
                <c:pt idx="35" formatCode="0.00">
                  <c:v>62.667585449709534</c:v>
                </c:pt>
                <c:pt idx="36" formatCode="0.00">
                  <c:v>58.707715263593059</c:v>
                </c:pt>
                <c:pt idx="37" formatCode="0.00">
                  <c:v>75.723951933239178</c:v>
                </c:pt>
                <c:pt idx="38" formatCode="0.00">
                  <c:v>79.768312131638382</c:v>
                </c:pt>
                <c:pt idx="39" formatCode="0.00">
                  <c:v>77.424493515622871</c:v>
                </c:pt>
                <c:pt idx="40" formatCode="0.00">
                  <c:v>80.949955816859671</c:v>
                </c:pt>
                <c:pt idx="41" formatCode="0.00">
                  <c:v>79.814002926192998</c:v>
                </c:pt>
              </c:numCache>
            </c:numRef>
          </c:val>
          <c:smooth val="0"/>
          <c:extLst>
            <c:ext xmlns:c16="http://schemas.microsoft.com/office/drawing/2014/chart" uri="{C3380CC4-5D6E-409C-BE32-E72D297353CC}">
              <c16:uniqueId val="{00000003-D119-460A-9F37-9518E5D317DF}"/>
            </c:ext>
          </c:extLst>
        </c:ser>
        <c:dLbls>
          <c:showLegendKey val="0"/>
          <c:showVal val="0"/>
          <c:showCatName val="0"/>
          <c:showSerName val="0"/>
          <c:showPercent val="0"/>
          <c:showBubbleSize val="0"/>
        </c:dLbls>
        <c:marker val="1"/>
        <c:smooth val="0"/>
        <c:axId val="1427013840"/>
        <c:axId val="1427014320"/>
      </c:lineChart>
      <c:catAx>
        <c:axId val="1427013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27014320"/>
        <c:crosses val="autoZero"/>
        <c:auto val="1"/>
        <c:lblAlgn val="ctr"/>
        <c:lblOffset val="100"/>
        <c:noMultiLvlLbl val="0"/>
      </c:catAx>
      <c:valAx>
        <c:axId val="142701432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 customer</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01384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265813</xdr:colOff>
      <xdr:row>15</xdr:row>
      <xdr:rowOff>145551</xdr:rowOff>
    </xdr:to>
    <xdr:graphicFrame macro="">
      <xdr:nvGraphicFramePr>
        <xdr:cNvPr id="4" name="Chart 3">
          <a:extLst>
            <a:ext uri="{FF2B5EF4-FFF2-40B4-BE49-F238E27FC236}">
              <a16:creationId xmlns:a16="http://schemas.microsoft.com/office/drawing/2014/main" id="{BAB9EBEE-8969-C34F-D732-CB3075FEC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32536</xdr:rowOff>
    </xdr:from>
    <xdr:to>
      <xdr:col>10</xdr:col>
      <xdr:colOff>43296</xdr:colOff>
      <xdr:row>31</xdr:row>
      <xdr:rowOff>35443</xdr:rowOff>
    </xdr:to>
    <xdr:graphicFrame macro="">
      <xdr:nvGraphicFramePr>
        <xdr:cNvPr id="5" name="Chart 4">
          <a:extLst>
            <a:ext uri="{FF2B5EF4-FFF2-40B4-BE49-F238E27FC236}">
              <a16:creationId xmlns:a16="http://schemas.microsoft.com/office/drawing/2014/main" id="{AC046901-5272-C643-B586-3AF892000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79743</xdr:colOff>
      <xdr:row>16</xdr:row>
      <xdr:rowOff>37214</xdr:rowOff>
    </xdr:from>
    <xdr:to>
      <xdr:col>14</xdr:col>
      <xdr:colOff>327837</xdr:colOff>
      <xdr:row>31</xdr:row>
      <xdr:rowOff>44303</xdr:rowOff>
    </xdr:to>
    <xdr:graphicFrame macro="">
      <xdr:nvGraphicFramePr>
        <xdr:cNvPr id="8" name="Chart 7">
          <a:extLst>
            <a:ext uri="{FF2B5EF4-FFF2-40B4-BE49-F238E27FC236}">
              <a16:creationId xmlns:a16="http://schemas.microsoft.com/office/drawing/2014/main" id="{D91E3A5C-B956-64DD-4AE9-E941581D7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324824</xdr:colOff>
      <xdr:row>0</xdr:row>
      <xdr:rowOff>5670</xdr:rowOff>
    </xdr:from>
    <xdr:to>
      <xdr:col>14</xdr:col>
      <xdr:colOff>319507</xdr:colOff>
      <xdr:row>15</xdr:row>
      <xdr:rowOff>159488</xdr:rowOff>
    </xdr:to>
    <mc:AlternateContent xmlns:mc="http://schemas.openxmlformats.org/markup-compatibility/2006" xmlns:a14="http://schemas.microsoft.com/office/drawing/2010/main">
      <mc:Choice Requires="a14">
        <xdr:graphicFrame macro="">
          <xdr:nvGraphicFramePr>
            <xdr:cNvPr id="9" name="date">
              <a:extLst>
                <a:ext uri="{FF2B5EF4-FFF2-40B4-BE49-F238E27FC236}">
                  <a16:creationId xmlns:a16="http://schemas.microsoft.com/office/drawing/2014/main" id="{38822DFB-A464-6E59-F246-88595C5B61B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4811684" y="5670"/>
              <a:ext cx="1828800" cy="2944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22860</xdr:colOff>
      <xdr:row>20</xdr:row>
      <xdr:rowOff>106680</xdr:rowOff>
    </xdr:to>
    <xdr:graphicFrame macro="">
      <xdr:nvGraphicFramePr>
        <xdr:cNvPr id="2" name="Chart 1">
          <a:extLst>
            <a:ext uri="{FF2B5EF4-FFF2-40B4-BE49-F238E27FC236}">
              <a16:creationId xmlns:a16="http://schemas.microsoft.com/office/drawing/2014/main" id="{66476CDA-7102-5446-5BA6-AA63F012A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6.499651388891" createdVersion="8" refreshedVersion="8" minRefreshableVersion="3" recordCount="610" xr:uid="{2D0599B9-8D05-453B-BB9E-19BDED2C158C}">
  <cacheSource type="worksheet">
    <worksheetSource name="Table1"/>
  </cacheSource>
  <cacheFields count="29">
    <cacheField name="instant" numFmtId="0">
      <sharedItems containsSemiMixedTypes="0" containsString="0" containsNumber="1" containsInteger="1" minValue="1" maxValue="610"/>
    </cacheField>
    <cacheField name="date" numFmtId="14">
      <sharedItems containsSemiMixedTypes="0" containsNonDate="0" containsDate="1" containsString="0" minDate="2011-01-01T00:00:00" maxDate="2011-01-29T00:00:00" count="28">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sharedItems>
    </cacheField>
    <cacheField name="season" numFmtId="0">
      <sharedItems containsSemiMixedTypes="0" containsString="0" containsNumber="1" containsInteger="1" minValue="1" maxValue="1"/>
    </cacheField>
    <cacheField name="hou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_situation" numFmtId="0">
      <sharedItems containsSemiMixedTypes="0" containsString="0" containsNumber="1" containsInteger="1" minValue="1" maxValue="4"/>
    </cacheField>
    <cacheField name="temperature" numFmtId="0">
      <sharedItems containsSemiMixedTypes="0" containsString="0" containsNumber="1" minValue="0.02" maxValue="0.46"/>
    </cacheField>
    <cacheField name="assumed_temperature" numFmtId="0">
      <sharedItems containsSemiMixedTypes="0" containsString="0" containsNumber="1" minValue="0" maxValue="0.45450000000000002" count="29">
        <n v="0.28789999999999999"/>
        <n v="0.2727"/>
        <n v="0.2576"/>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sharedItems>
    </cacheField>
    <cacheField name="humidity"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_customer" numFmtId="0">
      <sharedItems containsSemiMixedTypes="0" containsString="0" containsNumber="1" containsInteger="1" minValue="0" maxValue="47"/>
    </cacheField>
    <cacheField name="registered_customer" numFmtId="0">
      <sharedItems containsSemiMixedTypes="0" containsString="0" containsNumber="1" containsInteger="1" minValue="0" maxValue="247"/>
    </cacheField>
    <cacheField name="total_customer" numFmtId="0">
      <sharedItems containsSemiMixedTypes="0" containsString="0" containsNumber="1" containsInteger="1" minValue="1" maxValue="249"/>
    </cacheField>
    <cacheField name="Season_Name" numFmtId="0">
      <sharedItems/>
    </cacheField>
    <cacheField name="Weekday_Name" numFmtId="0">
      <sharedItems/>
    </cacheField>
    <cacheField name="Weather_Description" numFmtId="0">
      <sharedItems/>
    </cacheField>
    <cacheField name="Time_of_Day" numFmtId="0">
      <sharedItems count="4">
        <s v="Night"/>
        <s v="Morning"/>
        <s v="Afternoon"/>
        <s v="Evening"/>
      </sharedItems>
    </cacheField>
    <cacheField name="Temperature_Level" numFmtId="0">
      <sharedItems/>
    </cacheField>
    <cacheField name="Humidity_Level" numFmtId="0">
      <sharedItems/>
    </cacheField>
    <cacheField name="Wind_Level" numFmtId="0">
      <sharedItems/>
    </cacheField>
    <cacheField name="Day_Type" numFmtId="0">
      <sharedItems/>
    </cacheField>
    <cacheField name="Customer_Type" numFmtId="0">
      <sharedItems/>
    </cacheField>
    <cacheField name="Casual_Percentage" numFmtId="0">
      <sharedItems containsSemiMixedTypes="0" containsString="0" containsNumber="1" minValue="0" maxValue="100"/>
    </cacheField>
    <cacheField name="Registered_Percentage" numFmtId="0">
      <sharedItems containsSemiMixedTypes="0" containsString="0" containsNumber="1" minValue="0" maxValue="100"/>
    </cacheField>
    <cacheField name="Rush_Hour" numFmtId="0">
      <sharedItems/>
    </cacheField>
    <cacheField name="Demand_Level" numFmtId="0">
      <sharedItems/>
    </cacheField>
    <cacheField name="Weekend" numFmtId="0">
      <sharedItems/>
    </cacheField>
    <cacheField name="Feels_Like_Difference" numFmtId="0">
      <sharedItems containsSemiMixedTypes="0" containsString="0" containsNumber="1" minValue="-5.0900000000000001E-2" maxValue="0.1012"/>
    </cacheField>
  </cacheFields>
  <extLst>
    <ext xmlns:x14="http://schemas.microsoft.com/office/spreadsheetml/2009/9/main" uri="{725AE2AE-9491-48be-B2B4-4EB974FC3084}">
      <x14:pivotCacheDefinition pivotCacheId="287251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x v="0"/>
    <n v="1"/>
    <n v="0"/>
    <b v="0"/>
    <n v="6"/>
    <n v="1"/>
    <n v="0.24"/>
    <x v="0"/>
    <n v="0.81"/>
    <n v="0"/>
    <n v="3"/>
    <n v="13"/>
    <n v="16"/>
    <s v="Spring"/>
    <s v="Saturday"/>
    <s v="Clear"/>
    <x v="0"/>
    <s v="Cold"/>
    <s v="High"/>
    <s v="Calm"/>
    <s v="Working Day"/>
    <s v="Mostly Registered"/>
    <n v="18.75"/>
    <n v="81.25"/>
    <s v="No"/>
    <s v="Low"/>
    <s v="Yes"/>
    <n v="4.7899999999999998E-2"/>
  </r>
  <r>
    <n v="2"/>
    <x v="0"/>
    <n v="1"/>
    <n v="1"/>
    <b v="0"/>
    <n v="6"/>
    <n v="1"/>
    <n v="0.22"/>
    <x v="1"/>
    <n v="0.8"/>
    <n v="0"/>
    <n v="8"/>
    <n v="32"/>
    <n v="40"/>
    <s v="Spring"/>
    <s v="Saturday"/>
    <s v="Clear"/>
    <x v="0"/>
    <s v="Cold"/>
    <s v="High"/>
    <s v="Calm"/>
    <s v="Working Day"/>
    <s v="Mostly Registered"/>
    <n v="20"/>
    <n v="80"/>
    <s v="No"/>
    <s v="Low"/>
    <s v="Yes"/>
    <n v="5.2699999999999997E-2"/>
  </r>
  <r>
    <n v="3"/>
    <x v="0"/>
    <n v="1"/>
    <n v="2"/>
    <b v="0"/>
    <n v="6"/>
    <n v="1"/>
    <n v="0.22"/>
    <x v="1"/>
    <n v="0.8"/>
    <n v="0"/>
    <n v="5"/>
    <n v="27"/>
    <n v="32"/>
    <s v="Spring"/>
    <s v="Saturday"/>
    <s v="Clear"/>
    <x v="0"/>
    <s v="Cold"/>
    <s v="High"/>
    <s v="Calm"/>
    <s v="Working Day"/>
    <s v="Mostly Registered"/>
    <n v="15.625"/>
    <n v="84.375"/>
    <s v="No"/>
    <s v="Low"/>
    <s v="Yes"/>
    <n v="5.2699999999999997E-2"/>
  </r>
  <r>
    <n v="4"/>
    <x v="0"/>
    <n v="1"/>
    <n v="3"/>
    <b v="0"/>
    <n v="6"/>
    <n v="1"/>
    <n v="0.24"/>
    <x v="0"/>
    <n v="0.75"/>
    <n v="0"/>
    <n v="3"/>
    <n v="10"/>
    <n v="13"/>
    <s v="Spring"/>
    <s v="Saturday"/>
    <s v="Clear"/>
    <x v="0"/>
    <s v="Cold"/>
    <s v="High"/>
    <s v="Calm"/>
    <s v="Working Day"/>
    <s v="Mostly Registered"/>
    <n v="23.07692307692308"/>
    <n v="76.923076923076934"/>
    <s v="No"/>
    <s v="Low"/>
    <s v="Yes"/>
    <n v="4.7899999999999998E-2"/>
  </r>
  <r>
    <n v="5"/>
    <x v="0"/>
    <n v="1"/>
    <n v="4"/>
    <b v="0"/>
    <n v="6"/>
    <n v="1"/>
    <n v="0.24"/>
    <x v="0"/>
    <n v="0.75"/>
    <n v="0"/>
    <n v="0"/>
    <n v="1"/>
    <n v="1"/>
    <s v="Spring"/>
    <s v="Saturday"/>
    <s v="Clear"/>
    <x v="0"/>
    <s v="Cold"/>
    <s v="High"/>
    <s v="Calm"/>
    <s v="Working Day"/>
    <s v="Mostly Registered"/>
    <n v="0"/>
    <n v="100"/>
    <s v="No"/>
    <s v="Low"/>
    <s v="Yes"/>
    <n v="4.7899999999999998E-2"/>
  </r>
  <r>
    <n v="6"/>
    <x v="0"/>
    <n v="1"/>
    <n v="5"/>
    <b v="0"/>
    <n v="6"/>
    <n v="2"/>
    <n v="0.24"/>
    <x v="2"/>
    <n v="0.75"/>
    <n v="8.9599999999999999E-2"/>
    <n v="0"/>
    <n v="1"/>
    <n v="1"/>
    <s v="Spring"/>
    <s v="Saturday"/>
    <s v="Mist/Cloudy"/>
    <x v="0"/>
    <s v="Cold"/>
    <s v="High"/>
    <s v="Calm"/>
    <s v="Working Day"/>
    <s v="Mostly Registered"/>
    <n v="0"/>
    <n v="100"/>
    <s v="No"/>
    <s v="Low"/>
    <s v="Yes"/>
    <n v="1.7600000000000001E-2"/>
  </r>
  <r>
    <n v="7"/>
    <x v="0"/>
    <n v="1"/>
    <n v="6"/>
    <b v="0"/>
    <n v="6"/>
    <n v="1"/>
    <n v="0.22"/>
    <x v="1"/>
    <n v="0.8"/>
    <n v="0"/>
    <n v="2"/>
    <n v="0"/>
    <n v="2"/>
    <s v="Spring"/>
    <s v="Saturday"/>
    <s v="Clear"/>
    <x v="1"/>
    <s v="Cold"/>
    <s v="High"/>
    <s v="Calm"/>
    <s v="Working Day"/>
    <s v="Mostly Casual"/>
    <n v="100"/>
    <n v="0"/>
    <s v="No"/>
    <s v="Low"/>
    <s v="Yes"/>
    <n v="5.2699999999999997E-2"/>
  </r>
  <r>
    <n v="8"/>
    <x v="0"/>
    <n v="1"/>
    <n v="7"/>
    <b v="0"/>
    <n v="6"/>
    <n v="1"/>
    <n v="0.2"/>
    <x v="2"/>
    <n v="0.86"/>
    <n v="0"/>
    <n v="1"/>
    <n v="2"/>
    <n v="3"/>
    <s v="Spring"/>
    <s v="Saturday"/>
    <s v="Clear"/>
    <x v="1"/>
    <s v="Cold"/>
    <s v="High"/>
    <s v="Calm"/>
    <s v="Working Day"/>
    <s v="Mostly Registered"/>
    <n v="33.333333333333329"/>
    <n v="66.666666666666657"/>
    <s v="Yes"/>
    <s v="Low"/>
    <s v="Yes"/>
    <n v="5.7599999999999978E-2"/>
  </r>
  <r>
    <n v="9"/>
    <x v="0"/>
    <n v="1"/>
    <n v="8"/>
    <b v="0"/>
    <n v="6"/>
    <n v="1"/>
    <n v="0.24"/>
    <x v="2"/>
    <n v="0.75"/>
    <n v="0"/>
    <n v="1"/>
    <n v="7"/>
    <n v="8"/>
    <s v="Spring"/>
    <s v="Saturday"/>
    <s v="Clear"/>
    <x v="1"/>
    <s v="Cold"/>
    <s v="High"/>
    <s v="Calm"/>
    <s v="Working Day"/>
    <s v="Mostly Registered"/>
    <n v="12.5"/>
    <n v="87.5"/>
    <s v="Yes"/>
    <s v="Low"/>
    <s v="Yes"/>
    <n v="1.7600000000000001E-2"/>
  </r>
  <r>
    <n v="10"/>
    <x v="0"/>
    <n v="1"/>
    <n v="9"/>
    <b v="0"/>
    <n v="6"/>
    <n v="1"/>
    <n v="0.32"/>
    <x v="3"/>
    <n v="0.76"/>
    <n v="0"/>
    <n v="8"/>
    <n v="6"/>
    <n v="14"/>
    <s v="Spring"/>
    <s v="Saturday"/>
    <s v="Clear"/>
    <x v="1"/>
    <s v="Mild"/>
    <s v="High"/>
    <s v="Calm"/>
    <s v="Working Day"/>
    <s v="Mostly Casual"/>
    <n v="57.142857142857139"/>
    <n v="42.857142857142847"/>
    <s v="Yes"/>
    <s v="Low"/>
    <s v="Yes"/>
    <n v="2.849999999999997E-2"/>
  </r>
  <r>
    <n v="11"/>
    <x v="0"/>
    <n v="1"/>
    <n v="10"/>
    <b v="0"/>
    <n v="6"/>
    <n v="1"/>
    <n v="0.38"/>
    <x v="4"/>
    <n v="0.76"/>
    <n v="0.25369999999999998"/>
    <n v="12"/>
    <n v="24"/>
    <n v="36"/>
    <s v="Spring"/>
    <s v="Saturday"/>
    <s v="Clear"/>
    <x v="1"/>
    <s v="Warm"/>
    <s v="High"/>
    <s v="Moderate"/>
    <s v="Working Day"/>
    <s v="Mostly Registered"/>
    <n v="33.333333333333329"/>
    <n v="66.666666666666657"/>
    <s v="No"/>
    <s v="Low"/>
    <s v="Yes"/>
    <n v="1.389999999999997E-2"/>
  </r>
  <r>
    <n v="12"/>
    <x v="0"/>
    <n v="1"/>
    <n v="11"/>
    <b v="0"/>
    <n v="6"/>
    <n v="1"/>
    <n v="0.36"/>
    <x v="5"/>
    <n v="0.81"/>
    <n v="0.28360000000000002"/>
    <n v="26"/>
    <n v="30"/>
    <n v="56"/>
    <s v="Spring"/>
    <s v="Saturday"/>
    <s v="Clear"/>
    <x v="1"/>
    <s v="Warm"/>
    <s v="High"/>
    <s v="Moderate"/>
    <s v="Working Day"/>
    <s v="Mostly Registered"/>
    <n v="46.428571428571431"/>
    <n v="53.571428571428569"/>
    <s v="No"/>
    <s v="Low"/>
    <s v="Yes"/>
    <n v="-2.6700000000000002E-2"/>
  </r>
  <r>
    <n v="13"/>
    <x v="0"/>
    <n v="1"/>
    <n v="12"/>
    <b v="0"/>
    <n v="6"/>
    <n v="1"/>
    <n v="0.42"/>
    <x v="6"/>
    <n v="0.77"/>
    <n v="0.28360000000000002"/>
    <n v="29"/>
    <n v="55"/>
    <n v="84"/>
    <s v="Spring"/>
    <s v="Saturday"/>
    <s v="Clear"/>
    <x v="2"/>
    <s v="Warm"/>
    <s v="High"/>
    <s v="Moderate"/>
    <s v="Working Day"/>
    <s v="Mostly Registered"/>
    <n v="34.523809523809533"/>
    <n v="65.476190476190482"/>
    <s v="No"/>
    <s v="Low"/>
    <s v="Yes"/>
    <n v="4.200000000000037E-3"/>
  </r>
  <r>
    <n v="14"/>
    <x v="0"/>
    <n v="1"/>
    <n v="13"/>
    <b v="0"/>
    <n v="6"/>
    <n v="2"/>
    <n v="0.46"/>
    <x v="7"/>
    <n v="0.72"/>
    <n v="0.29849999999999999"/>
    <n v="47"/>
    <n v="47"/>
    <n v="94"/>
    <s v="Spring"/>
    <s v="Saturday"/>
    <s v="Mist/Cloudy"/>
    <x v="2"/>
    <s v="Hot"/>
    <s v="High"/>
    <s v="Moderate"/>
    <s v="Working Day"/>
    <s v="Mostly Registered"/>
    <n v="50"/>
    <n v="50"/>
    <s v="No"/>
    <s v="Low"/>
    <s v="Yes"/>
    <n v="-5.5000000000000049E-3"/>
  </r>
  <r>
    <n v="15"/>
    <x v="0"/>
    <n v="1"/>
    <n v="14"/>
    <b v="0"/>
    <n v="6"/>
    <n v="2"/>
    <n v="0.46"/>
    <x v="7"/>
    <n v="0.72"/>
    <n v="0.28360000000000002"/>
    <n v="35"/>
    <n v="71"/>
    <n v="106"/>
    <s v="Spring"/>
    <s v="Saturday"/>
    <s v="Mist/Cloudy"/>
    <x v="2"/>
    <s v="Hot"/>
    <s v="High"/>
    <s v="Moderate"/>
    <s v="Working Day"/>
    <s v="Mostly Registered"/>
    <n v="33.018867924528301"/>
    <n v="66.981132075471692"/>
    <s v="No"/>
    <s v="Medium"/>
    <s v="Yes"/>
    <n v="-5.5000000000000049E-3"/>
  </r>
  <r>
    <n v="16"/>
    <x v="0"/>
    <n v="1"/>
    <n v="15"/>
    <b v="0"/>
    <n v="6"/>
    <n v="2"/>
    <n v="0.44"/>
    <x v="8"/>
    <n v="0.77"/>
    <n v="0.29849999999999999"/>
    <n v="40"/>
    <n v="70"/>
    <n v="110"/>
    <s v="Spring"/>
    <s v="Saturday"/>
    <s v="Mist/Cloudy"/>
    <x v="2"/>
    <s v="Warm"/>
    <s v="High"/>
    <s v="Moderate"/>
    <s v="Working Day"/>
    <s v="Mostly Registered"/>
    <n v="36.363636363636367"/>
    <n v="63.636363636363633"/>
    <s v="No"/>
    <s v="Medium"/>
    <s v="Yes"/>
    <n v="-5.9999999999998943E-4"/>
  </r>
  <r>
    <n v="17"/>
    <x v="0"/>
    <n v="1"/>
    <n v="16"/>
    <b v="0"/>
    <n v="6"/>
    <n v="2"/>
    <n v="0.42"/>
    <x v="6"/>
    <n v="0.82"/>
    <n v="0.29849999999999999"/>
    <n v="41"/>
    <n v="52"/>
    <n v="93"/>
    <s v="Spring"/>
    <s v="Saturday"/>
    <s v="Mist/Cloudy"/>
    <x v="2"/>
    <s v="Warm"/>
    <s v="High"/>
    <s v="Moderate"/>
    <s v="Working Day"/>
    <s v="Mostly Registered"/>
    <n v="44.086021505376337"/>
    <n v="55.913978494623649"/>
    <s v="No"/>
    <s v="Low"/>
    <s v="Yes"/>
    <n v="4.200000000000037E-3"/>
  </r>
  <r>
    <n v="18"/>
    <x v="0"/>
    <n v="1"/>
    <n v="17"/>
    <b v="0"/>
    <n v="6"/>
    <n v="2"/>
    <n v="0.44"/>
    <x v="6"/>
    <n v="0.82"/>
    <n v="0.28360000000000002"/>
    <n v="15"/>
    <n v="52"/>
    <n v="67"/>
    <s v="Spring"/>
    <s v="Saturday"/>
    <s v="Mist/Cloudy"/>
    <x v="3"/>
    <s v="Warm"/>
    <s v="High"/>
    <s v="Moderate"/>
    <s v="Working Day"/>
    <s v="Mostly Registered"/>
    <n v="22.388059701492541"/>
    <n v="77.611940298507463"/>
    <s v="Yes"/>
    <s v="Low"/>
    <s v="Yes"/>
    <n v="-1.5799999999999981E-2"/>
  </r>
  <r>
    <n v="19"/>
    <x v="0"/>
    <n v="1"/>
    <n v="18"/>
    <b v="0"/>
    <n v="6"/>
    <n v="3"/>
    <n v="0.42"/>
    <x v="6"/>
    <n v="0.88"/>
    <n v="0.25369999999999998"/>
    <n v="9"/>
    <n v="26"/>
    <n v="35"/>
    <s v="Spring"/>
    <s v="Saturday"/>
    <s v="Light Rain/Snow"/>
    <x v="3"/>
    <s v="Warm"/>
    <s v="High"/>
    <s v="Moderate"/>
    <s v="Working Day"/>
    <s v="Mostly Registered"/>
    <n v="25.714285714285712"/>
    <n v="74.285714285714292"/>
    <s v="Yes"/>
    <s v="Low"/>
    <s v="Yes"/>
    <n v="4.200000000000037E-3"/>
  </r>
  <r>
    <n v="20"/>
    <x v="0"/>
    <n v="1"/>
    <n v="19"/>
    <b v="0"/>
    <n v="6"/>
    <n v="3"/>
    <n v="0.42"/>
    <x v="6"/>
    <n v="0.88"/>
    <n v="0.25369999999999998"/>
    <n v="6"/>
    <n v="31"/>
    <n v="37"/>
    <s v="Spring"/>
    <s v="Saturday"/>
    <s v="Light Rain/Snow"/>
    <x v="3"/>
    <s v="Warm"/>
    <s v="High"/>
    <s v="Moderate"/>
    <s v="Working Day"/>
    <s v="Mostly Registered"/>
    <n v="16.216216216216221"/>
    <n v="83.78378378378379"/>
    <s v="Yes"/>
    <s v="Low"/>
    <s v="Yes"/>
    <n v="4.200000000000037E-3"/>
  </r>
  <r>
    <n v="21"/>
    <x v="0"/>
    <n v="1"/>
    <n v="20"/>
    <b v="0"/>
    <n v="6"/>
    <n v="2"/>
    <n v="0.4"/>
    <x v="9"/>
    <n v="0.87"/>
    <n v="0.25369999999999998"/>
    <n v="11"/>
    <n v="25"/>
    <n v="36"/>
    <s v="Spring"/>
    <s v="Saturday"/>
    <s v="Mist/Cloudy"/>
    <x v="3"/>
    <s v="Warm"/>
    <s v="High"/>
    <s v="Moderate"/>
    <s v="Working Day"/>
    <s v="Mostly Registered"/>
    <n v="30.555555555555561"/>
    <n v="69.444444444444443"/>
    <s v="No"/>
    <s v="Low"/>
    <s v="Yes"/>
    <n v="9.099999999999997E-3"/>
  </r>
  <r>
    <n v="22"/>
    <x v="0"/>
    <n v="1"/>
    <n v="21"/>
    <b v="0"/>
    <n v="6"/>
    <n v="2"/>
    <n v="0.4"/>
    <x v="9"/>
    <n v="0.87"/>
    <n v="0.19400000000000001"/>
    <n v="3"/>
    <n v="31"/>
    <n v="34"/>
    <s v="Spring"/>
    <s v="Saturday"/>
    <s v="Mist/Cloudy"/>
    <x v="0"/>
    <s v="Warm"/>
    <s v="High"/>
    <s v="Moderate"/>
    <s v="Working Day"/>
    <s v="Mostly Registered"/>
    <n v="8.8235294117647065"/>
    <n v="91.17647058823529"/>
    <s v="No"/>
    <s v="Low"/>
    <s v="Yes"/>
    <n v="9.099999999999997E-3"/>
  </r>
  <r>
    <n v="23"/>
    <x v="0"/>
    <n v="1"/>
    <n v="22"/>
    <b v="0"/>
    <n v="6"/>
    <n v="2"/>
    <n v="0.4"/>
    <x v="9"/>
    <n v="0.94"/>
    <n v="0.22389999999999999"/>
    <n v="11"/>
    <n v="17"/>
    <n v="28"/>
    <s v="Spring"/>
    <s v="Saturday"/>
    <s v="Mist/Cloudy"/>
    <x v="0"/>
    <s v="Warm"/>
    <s v="High"/>
    <s v="Moderate"/>
    <s v="Working Day"/>
    <s v="Mostly Registered"/>
    <n v="39.285714285714278"/>
    <n v="60.714285714285708"/>
    <s v="No"/>
    <s v="Low"/>
    <s v="Yes"/>
    <n v="9.099999999999997E-3"/>
  </r>
  <r>
    <n v="24"/>
    <x v="0"/>
    <n v="1"/>
    <n v="23"/>
    <b v="0"/>
    <n v="6"/>
    <n v="2"/>
    <n v="0.46"/>
    <x v="9"/>
    <n v="0.88"/>
    <n v="0.29849999999999999"/>
    <n v="15"/>
    <n v="24"/>
    <n v="39"/>
    <s v="Spring"/>
    <s v="Saturday"/>
    <s v="Mist/Cloudy"/>
    <x v="0"/>
    <s v="Hot"/>
    <s v="High"/>
    <s v="Moderate"/>
    <s v="Working Day"/>
    <s v="Mostly Registered"/>
    <n v="38.461538461538467"/>
    <n v="61.53846153846154"/>
    <s v="No"/>
    <s v="Low"/>
    <s v="Yes"/>
    <n v="-5.0900000000000001E-2"/>
  </r>
  <r>
    <n v="25"/>
    <x v="1"/>
    <n v="1"/>
    <n v="0"/>
    <b v="0"/>
    <n v="0"/>
    <n v="2"/>
    <n v="0.46"/>
    <x v="7"/>
    <n v="0.88"/>
    <n v="0.29849999999999999"/>
    <n v="4"/>
    <n v="13"/>
    <n v="17"/>
    <s v="Spring"/>
    <s v="Sunday"/>
    <s v="Mist/Cloudy"/>
    <x v="0"/>
    <s v="Hot"/>
    <s v="High"/>
    <s v="Moderate"/>
    <s v="Working Day"/>
    <s v="Mostly Registered"/>
    <n v="23.52941176470588"/>
    <n v="76.470588235294116"/>
    <s v="No"/>
    <s v="Low"/>
    <s v="Yes"/>
    <n v="-5.5000000000000049E-3"/>
  </r>
  <r>
    <n v="26"/>
    <x v="1"/>
    <n v="1"/>
    <n v="1"/>
    <b v="0"/>
    <n v="0"/>
    <n v="2"/>
    <n v="0.44"/>
    <x v="8"/>
    <n v="0.94"/>
    <n v="0.25369999999999998"/>
    <n v="1"/>
    <n v="16"/>
    <n v="17"/>
    <s v="Spring"/>
    <s v="Sunday"/>
    <s v="Mist/Cloudy"/>
    <x v="0"/>
    <s v="Warm"/>
    <s v="High"/>
    <s v="Moderate"/>
    <s v="Working Day"/>
    <s v="Mostly Registered"/>
    <n v="5.8823529411764701"/>
    <n v="94.117647058823522"/>
    <s v="No"/>
    <s v="Low"/>
    <s v="Yes"/>
    <n v="-5.9999999999998943E-4"/>
  </r>
  <r>
    <n v="27"/>
    <x v="1"/>
    <n v="1"/>
    <n v="2"/>
    <b v="0"/>
    <n v="0"/>
    <n v="2"/>
    <n v="0.42"/>
    <x v="6"/>
    <n v="1"/>
    <n v="0.28360000000000002"/>
    <n v="1"/>
    <n v="8"/>
    <n v="9"/>
    <s v="Spring"/>
    <s v="Sunday"/>
    <s v="Mist/Cloudy"/>
    <x v="0"/>
    <s v="Warm"/>
    <s v="High"/>
    <s v="Moderate"/>
    <s v="Working Day"/>
    <s v="Mostly Registered"/>
    <n v="11.111111111111111"/>
    <n v="88.888888888888886"/>
    <s v="No"/>
    <s v="Low"/>
    <s v="Yes"/>
    <n v="4.200000000000037E-3"/>
  </r>
  <r>
    <n v="28"/>
    <x v="1"/>
    <n v="1"/>
    <n v="3"/>
    <b v="0"/>
    <n v="0"/>
    <n v="2"/>
    <n v="0.46"/>
    <x v="7"/>
    <n v="0.94"/>
    <n v="0.19400000000000001"/>
    <n v="2"/>
    <n v="4"/>
    <n v="6"/>
    <s v="Spring"/>
    <s v="Sunday"/>
    <s v="Mist/Cloudy"/>
    <x v="0"/>
    <s v="Hot"/>
    <s v="High"/>
    <s v="Moderate"/>
    <s v="Working Day"/>
    <s v="Mostly Registered"/>
    <n v="33.333333333333329"/>
    <n v="66.666666666666657"/>
    <s v="No"/>
    <s v="Low"/>
    <s v="Yes"/>
    <n v="-5.5000000000000049E-3"/>
  </r>
  <r>
    <n v="29"/>
    <x v="1"/>
    <n v="1"/>
    <n v="4"/>
    <b v="0"/>
    <n v="0"/>
    <n v="2"/>
    <n v="0.46"/>
    <x v="7"/>
    <n v="0.94"/>
    <n v="0.19400000000000001"/>
    <n v="2"/>
    <n v="1"/>
    <n v="3"/>
    <s v="Spring"/>
    <s v="Sunday"/>
    <s v="Mist/Cloudy"/>
    <x v="0"/>
    <s v="Hot"/>
    <s v="High"/>
    <s v="Moderate"/>
    <s v="Working Day"/>
    <s v="Mostly Casual"/>
    <n v="66.666666666666657"/>
    <n v="33.333333333333329"/>
    <s v="No"/>
    <s v="Low"/>
    <s v="Yes"/>
    <n v="-5.5000000000000049E-3"/>
  </r>
  <r>
    <n v="30"/>
    <x v="1"/>
    <n v="1"/>
    <n v="6"/>
    <b v="0"/>
    <n v="0"/>
    <n v="3"/>
    <n v="0.42"/>
    <x v="6"/>
    <n v="0.77"/>
    <n v="0.29849999999999999"/>
    <n v="0"/>
    <n v="2"/>
    <n v="2"/>
    <s v="Spring"/>
    <s v="Sunday"/>
    <s v="Light Rain/Snow"/>
    <x v="1"/>
    <s v="Warm"/>
    <s v="High"/>
    <s v="Moderate"/>
    <s v="Working Day"/>
    <s v="Mostly Registered"/>
    <n v="0"/>
    <n v="100"/>
    <s v="No"/>
    <s v="Low"/>
    <s v="Yes"/>
    <n v="4.200000000000037E-3"/>
  </r>
  <r>
    <n v="31"/>
    <x v="1"/>
    <n v="1"/>
    <n v="7"/>
    <b v="0"/>
    <n v="0"/>
    <n v="2"/>
    <n v="0.4"/>
    <x v="9"/>
    <n v="0.76"/>
    <n v="0.19400000000000001"/>
    <n v="0"/>
    <n v="1"/>
    <n v="1"/>
    <s v="Spring"/>
    <s v="Sunday"/>
    <s v="Mist/Cloudy"/>
    <x v="1"/>
    <s v="Warm"/>
    <s v="High"/>
    <s v="Moderate"/>
    <s v="Working Day"/>
    <s v="Mostly Registered"/>
    <n v="0"/>
    <n v="100"/>
    <s v="Yes"/>
    <s v="Low"/>
    <s v="Yes"/>
    <n v="9.099999999999997E-3"/>
  </r>
  <r>
    <n v="32"/>
    <x v="1"/>
    <n v="1"/>
    <n v="8"/>
    <b v="0"/>
    <n v="0"/>
    <n v="3"/>
    <n v="0.4"/>
    <x v="9"/>
    <n v="0.71"/>
    <n v="0.22389999999999999"/>
    <n v="0"/>
    <n v="8"/>
    <n v="8"/>
    <s v="Spring"/>
    <s v="Sunday"/>
    <s v="Light Rain/Snow"/>
    <x v="1"/>
    <s v="Warm"/>
    <s v="High"/>
    <s v="Moderate"/>
    <s v="Working Day"/>
    <s v="Mostly Registered"/>
    <n v="0"/>
    <n v="100"/>
    <s v="Yes"/>
    <s v="Low"/>
    <s v="Yes"/>
    <n v="9.099999999999997E-3"/>
  </r>
  <r>
    <n v="33"/>
    <x v="1"/>
    <n v="1"/>
    <n v="9"/>
    <b v="0"/>
    <n v="0"/>
    <n v="2"/>
    <n v="0.38"/>
    <x v="9"/>
    <n v="0.76"/>
    <n v="0.22389999999999999"/>
    <n v="1"/>
    <n v="19"/>
    <n v="20"/>
    <s v="Spring"/>
    <s v="Sunday"/>
    <s v="Mist/Cloudy"/>
    <x v="1"/>
    <s v="Warm"/>
    <s v="High"/>
    <s v="Moderate"/>
    <s v="Working Day"/>
    <s v="Mostly Registered"/>
    <n v="5"/>
    <n v="95"/>
    <s v="Yes"/>
    <s v="Low"/>
    <s v="Yes"/>
    <n v="2.9100000000000011E-2"/>
  </r>
  <r>
    <n v="34"/>
    <x v="1"/>
    <n v="1"/>
    <n v="10"/>
    <b v="0"/>
    <n v="0"/>
    <n v="2"/>
    <n v="0.36"/>
    <x v="3"/>
    <n v="0.81"/>
    <n v="0.22389999999999999"/>
    <n v="7"/>
    <n v="46"/>
    <n v="53"/>
    <s v="Spring"/>
    <s v="Sunday"/>
    <s v="Mist/Cloudy"/>
    <x v="1"/>
    <s v="Warm"/>
    <s v="High"/>
    <s v="Moderate"/>
    <s v="Working Day"/>
    <s v="Mostly Registered"/>
    <n v="13.20754716981132"/>
    <n v="86.79245283018868"/>
    <s v="No"/>
    <s v="Low"/>
    <s v="Yes"/>
    <n v="-1.150000000000001E-2"/>
  </r>
  <r>
    <n v="35"/>
    <x v="1"/>
    <n v="1"/>
    <n v="11"/>
    <b v="0"/>
    <n v="0"/>
    <n v="2"/>
    <n v="0.36"/>
    <x v="5"/>
    <n v="0.71"/>
    <n v="0.25369999999999998"/>
    <n v="16"/>
    <n v="54"/>
    <n v="70"/>
    <s v="Spring"/>
    <s v="Sunday"/>
    <s v="Mist/Cloudy"/>
    <x v="1"/>
    <s v="Warm"/>
    <s v="High"/>
    <s v="Moderate"/>
    <s v="Working Day"/>
    <s v="Mostly Registered"/>
    <n v="22.857142857142861"/>
    <n v="77.142857142857153"/>
    <s v="No"/>
    <s v="Low"/>
    <s v="Yes"/>
    <n v="-2.6700000000000002E-2"/>
  </r>
  <r>
    <n v="36"/>
    <x v="1"/>
    <n v="1"/>
    <n v="12"/>
    <b v="0"/>
    <n v="0"/>
    <n v="2"/>
    <n v="0.36"/>
    <x v="5"/>
    <n v="0.66"/>
    <n v="0.29849999999999999"/>
    <n v="20"/>
    <n v="73"/>
    <n v="93"/>
    <s v="Spring"/>
    <s v="Sunday"/>
    <s v="Mist/Cloudy"/>
    <x v="2"/>
    <s v="Warm"/>
    <s v="Medium"/>
    <s v="Moderate"/>
    <s v="Working Day"/>
    <s v="Mostly Registered"/>
    <n v="21.50537634408602"/>
    <n v="78.494623655913969"/>
    <s v="No"/>
    <s v="Low"/>
    <s v="Yes"/>
    <n v="-2.6700000000000002E-2"/>
  </r>
  <r>
    <n v="37"/>
    <x v="1"/>
    <n v="1"/>
    <n v="13"/>
    <b v="0"/>
    <n v="0"/>
    <n v="2"/>
    <n v="0.36"/>
    <x v="3"/>
    <n v="0.66"/>
    <n v="0.1343"/>
    <n v="11"/>
    <n v="64"/>
    <n v="75"/>
    <s v="Spring"/>
    <s v="Sunday"/>
    <s v="Mist/Cloudy"/>
    <x v="2"/>
    <s v="Warm"/>
    <s v="Medium"/>
    <s v="Calm"/>
    <s v="Working Day"/>
    <s v="Mostly Registered"/>
    <n v="14.66666666666667"/>
    <n v="85.333333333333343"/>
    <s v="No"/>
    <s v="Low"/>
    <s v="Yes"/>
    <n v="-1.150000000000001E-2"/>
  </r>
  <r>
    <n v="38"/>
    <x v="1"/>
    <n v="1"/>
    <n v="14"/>
    <b v="0"/>
    <n v="0"/>
    <n v="3"/>
    <n v="0.36"/>
    <x v="3"/>
    <n v="0.76"/>
    <n v="0.19400000000000001"/>
    <n v="4"/>
    <n v="55"/>
    <n v="59"/>
    <s v="Spring"/>
    <s v="Sunday"/>
    <s v="Light Rain/Snow"/>
    <x v="2"/>
    <s v="Warm"/>
    <s v="High"/>
    <s v="Moderate"/>
    <s v="Working Day"/>
    <s v="Mostly Registered"/>
    <n v="6.7796610169491522"/>
    <n v="93.220338983050837"/>
    <s v="No"/>
    <s v="Low"/>
    <s v="Yes"/>
    <n v="-1.150000000000001E-2"/>
  </r>
  <r>
    <n v="39"/>
    <x v="1"/>
    <n v="1"/>
    <n v="15"/>
    <b v="0"/>
    <n v="0"/>
    <n v="3"/>
    <n v="0.34"/>
    <x v="5"/>
    <n v="0.81"/>
    <n v="0.16420000000000001"/>
    <n v="19"/>
    <n v="55"/>
    <n v="74"/>
    <s v="Spring"/>
    <s v="Sunday"/>
    <s v="Light Rain/Snow"/>
    <x v="2"/>
    <s v="Mild"/>
    <s v="High"/>
    <s v="Moderate"/>
    <s v="Working Day"/>
    <s v="Mostly Registered"/>
    <n v="25.67567567567567"/>
    <n v="74.324324324324323"/>
    <s v="No"/>
    <s v="Low"/>
    <s v="Yes"/>
    <n v="-6.7000000000000393E-3"/>
  </r>
  <r>
    <n v="40"/>
    <x v="1"/>
    <n v="1"/>
    <n v="16"/>
    <b v="0"/>
    <n v="0"/>
    <n v="3"/>
    <n v="0.34"/>
    <x v="5"/>
    <n v="0.71"/>
    <n v="0.16420000000000001"/>
    <n v="9"/>
    <n v="67"/>
    <n v="76"/>
    <s v="Spring"/>
    <s v="Sunday"/>
    <s v="Light Rain/Snow"/>
    <x v="2"/>
    <s v="Mild"/>
    <s v="High"/>
    <s v="Moderate"/>
    <s v="Working Day"/>
    <s v="Mostly Registered"/>
    <n v="11.84210526315789"/>
    <n v="88.157894736842096"/>
    <s v="No"/>
    <s v="Low"/>
    <s v="Yes"/>
    <n v="-6.7000000000000393E-3"/>
  </r>
  <r>
    <n v="41"/>
    <x v="1"/>
    <n v="1"/>
    <n v="17"/>
    <b v="0"/>
    <n v="0"/>
    <n v="1"/>
    <n v="0.34"/>
    <x v="5"/>
    <n v="0.56999999999999995"/>
    <n v="0.19400000000000001"/>
    <n v="7"/>
    <n v="58"/>
    <n v="65"/>
    <s v="Spring"/>
    <s v="Sunday"/>
    <s v="Clear"/>
    <x v="3"/>
    <s v="Mild"/>
    <s v="Medium"/>
    <s v="Moderate"/>
    <s v="Working Day"/>
    <s v="Mostly Registered"/>
    <n v="10.76923076923077"/>
    <n v="89.230769230769241"/>
    <s v="Yes"/>
    <s v="Low"/>
    <s v="Yes"/>
    <n v="-6.7000000000000393E-3"/>
  </r>
  <r>
    <n v="42"/>
    <x v="1"/>
    <n v="1"/>
    <n v="18"/>
    <b v="0"/>
    <n v="0"/>
    <n v="2"/>
    <n v="0.36"/>
    <x v="5"/>
    <n v="0.46"/>
    <n v="0.32840000000000003"/>
    <n v="10"/>
    <n v="43"/>
    <n v="53"/>
    <s v="Spring"/>
    <s v="Sunday"/>
    <s v="Mist/Cloudy"/>
    <x v="3"/>
    <s v="Warm"/>
    <s v="Medium"/>
    <s v="Windy"/>
    <s v="Working Day"/>
    <s v="Mostly Registered"/>
    <n v="18.867924528301891"/>
    <n v="81.132075471698116"/>
    <s v="Yes"/>
    <s v="Low"/>
    <s v="Yes"/>
    <n v="-2.6700000000000002E-2"/>
  </r>
  <r>
    <n v="43"/>
    <x v="1"/>
    <n v="1"/>
    <n v="19"/>
    <b v="0"/>
    <n v="0"/>
    <n v="1"/>
    <n v="0.32"/>
    <x v="0"/>
    <n v="0.42"/>
    <n v="0.44779999999999998"/>
    <n v="1"/>
    <n v="29"/>
    <n v="30"/>
    <s v="Spring"/>
    <s v="Sunday"/>
    <s v="Clear"/>
    <x v="3"/>
    <s v="Mild"/>
    <s v="Medium"/>
    <s v="Windy"/>
    <s v="Working Day"/>
    <s v="Mostly Registered"/>
    <n v="3.333333333333333"/>
    <n v="96.666666666666671"/>
    <s v="Yes"/>
    <s v="Low"/>
    <s v="Yes"/>
    <n v="-3.2100000000000017E-2"/>
  </r>
  <r>
    <n v="44"/>
    <x v="1"/>
    <n v="1"/>
    <n v="20"/>
    <b v="0"/>
    <n v="0"/>
    <n v="1"/>
    <n v="0.3"/>
    <x v="0"/>
    <n v="0.39"/>
    <n v="0.35820000000000002"/>
    <n v="5"/>
    <n v="17"/>
    <n v="22"/>
    <s v="Spring"/>
    <s v="Sunday"/>
    <s v="Clear"/>
    <x v="3"/>
    <s v="Mild"/>
    <s v="Low"/>
    <s v="Windy"/>
    <s v="Working Day"/>
    <s v="Mostly Registered"/>
    <n v="22.72727272727273"/>
    <n v="77.272727272727266"/>
    <s v="No"/>
    <s v="Low"/>
    <s v="Yes"/>
    <n v="-1.21E-2"/>
  </r>
  <r>
    <n v="45"/>
    <x v="1"/>
    <n v="1"/>
    <n v="21"/>
    <b v="0"/>
    <n v="0"/>
    <n v="1"/>
    <n v="0.26"/>
    <x v="10"/>
    <n v="0.44"/>
    <n v="0.32840000000000003"/>
    <n v="11"/>
    <n v="20"/>
    <n v="31"/>
    <s v="Spring"/>
    <s v="Sunday"/>
    <s v="Clear"/>
    <x v="0"/>
    <s v="Mild"/>
    <s v="Medium"/>
    <s v="Windy"/>
    <s v="Working Day"/>
    <s v="Mostly Registered"/>
    <n v="35.483870967741943"/>
    <n v="64.516129032258064"/>
    <s v="No"/>
    <s v="Low"/>
    <s v="Yes"/>
    <n v="-3.2700000000000007E-2"/>
  </r>
  <r>
    <n v="46"/>
    <x v="1"/>
    <n v="1"/>
    <n v="22"/>
    <b v="0"/>
    <n v="0"/>
    <n v="1"/>
    <n v="0.24"/>
    <x v="11"/>
    <n v="0.44"/>
    <n v="0.29849999999999999"/>
    <n v="0"/>
    <n v="9"/>
    <n v="9"/>
    <s v="Spring"/>
    <s v="Sunday"/>
    <s v="Clear"/>
    <x v="0"/>
    <s v="Cold"/>
    <s v="Medium"/>
    <s v="Moderate"/>
    <s v="Working Day"/>
    <s v="Mostly Registered"/>
    <n v="0"/>
    <n v="100"/>
    <s v="No"/>
    <s v="Low"/>
    <s v="Yes"/>
    <n v="-2.789999999999998E-2"/>
  </r>
  <r>
    <n v="47"/>
    <x v="1"/>
    <n v="1"/>
    <n v="23"/>
    <b v="0"/>
    <n v="0"/>
    <n v="1"/>
    <n v="0.22"/>
    <x v="10"/>
    <n v="0.47"/>
    <n v="0.16420000000000001"/>
    <n v="0"/>
    <n v="8"/>
    <n v="8"/>
    <s v="Spring"/>
    <s v="Sunday"/>
    <s v="Clear"/>
    <x v="0"/>
    <s v="Cold"/>
    <s v="Medium"/>
    <s v="Moderate"/>
    <s v="Working Day"/>
    <s v="Mostly Registered"/>
    <n v="0"/>
    <n v="100"/>
    <s v="No"/>
    <s v="Low"/>
    <s v="Yes"/>
    <n v="7.3000000000000009E-3"/>
  </r>
  <r>
    <n v="48"/>
    <x v="2"/>
    <n v="1"/>
    <n v="0"/>
    <b v="0"/>
    <n v="1"/>
    <n v="1"/>
    <n v="0.22"/>
    <x v="12"/>
    <n v="0.44"/>
    <n v="0.35820000000000002"/>
    <n v="0"/>
    <n v="5"/>
    <n v="5"/>
    <s v="Spring"/>
    <s v="Monday"/>
    <s v="Clear"/>
    <x v="0"/>
    <s v="Cold"/>
    <s v="Medium"/>
    <s v="Windy"/>
    <s v="Working Day"/>
    <s v="Mostly Registered"/>
    <n v="0"/>
    <n v="100"/>
    <s v="No"/>
    <s v="Low"/>
    <s v="No"/>
    <n v="-2.2999999999999989E-2"/>
  </r>
  <r>
    <n v="49"/>
    <x v="2"/>
    <n v="1"/>
    <n v="1"/>
    <b v="0"/>
    <n v="1"/>
    <n v="1"/>
    <n v="0.2"/>
    <x v="12"/>
    <n v="0.44"/>
    <n v="0.41789999999999999"/>
    <n v="0"/>
    <n v="2"/>
    <n v="2"/>
    <s v="Spring"/>
    <s v="Monday"/>
    <s v="Clear"/>
    <x v="0"/>
    <s v="Cold"/>
    <s v="Medium"/>
    <s v="Windy"/>
    <s v="Working Day"/>
    <s v="Mostly Registered"/>
    <n v="0"/>
    <n v="100"/>
    <s v="No"/>
    <s v="Low"/>
    <s v="No"/>
    <n v="-3.0000000000000031E-3"/>
  </r>
  <r>
    <n v="50"/>
    <x v="2"/>
    <n v="1"/>
    <n v="4"/>
    <b v="0"/>
    <n v="1"/>
    <n v="1"/>
    <n v="0.16"/>
    <x v="13"/>
    <n v="0.47"/>
    <n v="0.3881"/>
    <n v="0"/>
    <n v="1"/>
    <n v="1"/>
    <s v="Spring"/>
    <s v="Monday"/>
    <s v="Clear"/>
    <x v="0"/>
    <s v="Cold"/>
    <s v="Medium"/>
    <s v="Windy"/>
    <s v="Working Day"/>
    <s v="Mostly Registered"/>
    <n v="0"/>
    <n v="100"/>
    <s v="No"/>
    <s v="Low"/>
    <s v="No"/>
    <n v="-2.360000000000001E-2"/>
  </r>
  <r>
    <n v="51"/>
    <x v="2"/>
    <n v="1"/>
    <n v="5"/>
    <b v="0"/>
    <n v="1"/>
    <n v="1"/>
    <n v="0.16"/>
    <x v="13"/>
    <n v="0.47"/>
    <n v="0.28360000000000002"/>
    <n v="0"/>
    <n v="3"/>
    <n v="3"/>
    <s v="Spring"/>
    <s v="Monday"/>
    <s v="Clear"/>
    <x v="0"/>
    <s v="Cold"/>
    <s v="Medium"/>
    <s v="Moderate"/>
    <s v="Working Day"/>
    <s v="Mostly Registered"/>
    <n v="0"/>
    <n v="100"/>
    <s v="No"/>
    <s v="Low"/>
    <s v="No"/>
    <n v="-2.360000000000001E-2"/>
  </r>
  <r>
    <n v="52"/>
    <x v="2"/>
    <n v="1"/>
    <n v="6"/>
    <b v="0"/>
    <n v="1"/>
    <n v="1"/>
    <n v="0.14000000000000001"/>
    <x v="14"/>
    <n v="0.5"/>
    <n v="0.3881"/>
    <n v="0"/>
    <n v="30"/>
    <n v="30"/>
    <s v="Spring"/>
    <s v="Monday"/>
    <s v="Clear"/>
    <x v="1"/>
    <s v="Very Cold"/>
    <s v="Medium"/>
    <s v="Windy"/>
    <s v="Working Day"/>
    <s v="Mostly Registered"/>
    <n v="0"/>
    <n v="100"/>
    <s v="No"/>
    <s v="Low"/>
    <s v="No"/>
    <n v="-3.3900000000000013E-2"/>
  </r>
  <r>
    <n v="53"/>
    <x v="2"/>
    <n v="1"/>
    <n v="7"/>
    <b v="0"/>
    <n v="1"/>
    <n v="1"/>
    <n v="0.14000000000000001"/>
    <x v="13"/>
    <n v="0.5"/>
    <n v="0.19400000000000001"/>
    <n v="1"/>
    <n v="63"/>
    <n v="64"/>
    <s v="Spring"/>
    <s v="Monday"/>
    <s v="Clear"/>
    <x v="1"/>
    <s v="Very Cold"/>
    <s v="Medium"/>
    <s v="Moderate"/>
    <s v="Working Day"/>
    <s v="Mostly Registered"/>
    <n v="1.5625"/>
    <n v="98.4375"/>
    <s v="Yes"/>
    <s v="Low"/>
    <s v="No"/>
    <n v="-3.6000000000000199E-3"/>
  </r>
  <r>
    <n v="54"/>
    <x v="2"/>
    <n v="1"/>
    <n v="8"/>
    <b v="0"/>
    <n v="1"/>
    <n v="1"/>
    <n v="0.14000000000000001"/>
    <x v="15"/>
    <n v="0.5"/>
    <n v="0.28360000000000002"/>
    <n v="1"/>
    <n v="153"/>
    <n v="154"/>
    <s v="Spring"/>
    <s v="Monday"/>
    <s v="Clear"/>
    <x v="1"/>
    <s v="Very Cold"/>
    <s v="Medium"/>
    <s v="Moderate"/>
    <s v="Working Day"/>
    <s v="Mostly Registered"/>
    <n v="0.64935064935064934"/>
    <n v="99.350649350649363"/>
    <s v="Yes"/>
    <s v="Medium"/>
    <s v="No"/>
    <n v="-1.8800000000000011E-2"/>
  </r>
  <r>
    <n v="55"/>
    <x v="2"/>
    <n v="1"/>
    <n v="9"/>
    <b v="0"/>
    <n v="1"/>
    <n v="1"/>
    <n v="0.16"/>
    <x v="13"/>
    <n v="0.43"/>
    <n v="0.3881"/>
    <n v="7"/>
    <n v="81"/>
    <n v="88"/>
    <s v="Spring"/>
    <s v="Monday"/>
    <s v="Clear"/>
    <x v="1"/>
    <s v="Cold"/>
    <s v="Medium"/>
    <s v="Windy"/>
    <s v="Working Day"/>
    <s v="Mostly Registered"/>
    <n v="7.9545454545454541"/>
    <n v="92.045454545454547"/>
    <s v="Yes"/>
    <s v="Low"/>
    <s v="No"/>
    <n v="-2.360000000000001E-2"/>
  </r>
  <r>
    <n v="56"/>
    <x v="2"/>
    <n v="1"/>
    <n v="10"/>
    <b v="0"/>
    <n v="1"/>
    <n v="1"/>
    <n v="0.18"/>
    <x v="16"/>
    <n v="0.43"/>
    <n v="0.25369999999999998"/>
    <n v="11"/>
    <n v="33"/>
    <n v="44"/>
    <s v="Spring"/>
    <s v="Monday"/>
    <s v="Clear"/>
    <x v="1"/>
    <s v="Cold"/>
    <s v="Medium"/>
    <s v="Moderate"/>
    <s v="Working Day"/>
    <s v="Mostly Registered"/>
    <n v="25"/>
    <n v="75"/>
    <s v="No"/>
    <s v="Low"/>
    <s v="No"/>
    <n v="-1.330000000000001E-2"/>
  </r>
  <r>
    <n v="57"/>
    <x v="2"/>
    <n v="1"/>
    <n v="11"/>
    <b v="0"/>
    <n v="1"/>
    <n v="1"/>
    <n v="0.2"/>
    <x v="17"/>
    <n v="0.4"/>
    <n v="0.32840000000000003"/>
    <n v="10"/>
    <n v="41"/>
    <n v="51"/>
    <s v="Spring"/>
    <s v="Monday"/>
    <s v="Clear"/>
    <x v="1"/>
    <s v="Cold"/>
    <s v="Medium"/>
    <s v="Windy"/>
    <s v="Working Day"/>
    <s v="Mostly Registered"/>
    <n v="19.6078431372549"/>
    <n v="80.392156862745097"/>
    <s v="No"/>
    <s v="Low"/>
    <s v="No"/>
    <n v="-1.8200000000000022E-2"/>
  </r>
  <r>
    <n v="58"/>
    <x v="2"/>
    <n v="1"/>
    <n v="12"/>
    <b v="0"/>
    <n v="1"/>
    <n v="1"/>
    <n v="0.22"/>
    <x v="11"/>
    <n v="0.35"/>
    <n v="0.29849999999999999"/>
    <n v="13"/>
    <n v="48"/>
    <n v="61"/>
    <s v="Spring"/>
    <s v="Monday"/>
    <s v="Clear"/>
    <x v="2"/>
    <s v="Cold"/>
    <s v="Low"/>
    <s v="Moderate"/>
    <s v="Working Day"/>
    <s v="Mostly Registered"/>
    <n v="21.31147540983606"/>
    <n v="78.688524590163937"/>
    <s v="No"/>
    <s v="Low"/>
    <s v="No"/>
    <n v="-7.8999999999999904E-3"/>
  </r>
  <r>
    <n v="59"/>
    <x v="2"/>
    <n v="1"/>
    <n v="13"/>
    <b v="0"/>
    <n v="1"/>
    <n v="1"/>
    <n v="0.24"/>
    <x v="11"/>
    <n v="0.35"/>
    <n v="0.28360000000000002"/>
    <n v="8"/>
    <n v="53"/>
    <n v="61"/>
    <s v="Spring"/>
    <s v="Monday"/>
    <s v="Clear"/>
    <x v="2"/>
    <s v="Cold"/>
    <s v="Low"/>
    <s v="Moderate"/>
    <s v="Working Day"/>
    <s v="Mostly Registered"/>
    <n v="13.11475409836066"/>
    <n v="86.885245901639337"/>
    <s v="No"/>
    <s v="Low"/>
    <s v="No"/>
    <n v="-2.789999999999998E-2"/>
  </r>
  <r>
    <n v="60"/>
    <x v="2"/>
    <n v="1"/>
    <n v="14"/>
    <b v="0"/>
    <n v="1"/>
    <n v="1"/>
    <n v="0.26"/>
    <x v="18"/>
    <n v="0.3"/>
    <n v="0.28360000000000002"/>
    <n v="11"/>
    <n v="66"/>
    <n v="77"/>
    <s v="Spring"/>
    <s v="Monday"/>
    <s v="Clear"/>
    <x v="2"/>
    <s v="Mild"/>
    <s v="Low"/>
    <s v="Moderate"/>
    <s v="Working Day"/>
    <s v="Mostly Registered"/>
    <n v="14.285714285714279"/>
    <n v="85.714285714285708"/>
    <s v="No"/>
    <s v="Low"/>
    <s v="No"/>
    <n v="-1.7600000000000001E-2"/>
  </r>
  <r>
    <n v="61"/>
    <x v="2"/>
    <n v="1"/>
    <n v="15"/>
    <b v="0"/>
    <n v="1"/>
    <n v="1"/>
    <n v="0.26"/>
    <x v="18"/>
    <n v="0.3"/>
    <n v="0.25369999999999998"/>
    <n v="14"/>
    <n v="58"/>
    <n v="72"/>
    <s v="Spring"/>
    <s v="Monday"/>
    <s v="Clear"/>
    <x v="2"/>
    <s v="Mild"/>
    <s v="Low"/>
    <s v="Moderate"/>
    <s v="Working Day"/>
    <s v="Mostly Registered"/>
    <n v="19.44444444444445"/>
    <n v="80.555555555555557"/>
    <s v="No"/>
    <s v="Low"/>
    <s v="No"/>
    <n v="-1.7600000000000001E-2"/>
  </r>
  <r>
    <n v="62"/>
    <x v="2"/>
    <n v="1"/>
    <n v="16"/>
    <b v="0"/>
    <n v="1"/>
    <n v="1"/>
    <n v="0.26"/>
    <x v="18"/>
    <n v="0.3"/>
    <n v="0.25369999999999998"/>
    <n v="9"/>
    <n v="67"/>
    <n v="76"/>
    <s v="Spring"/>
    <s v="Monday"/>
    <s v="Clear"/>
    <x v="2"/>
    <s v="Mild"/>
    <s v="Low"/>
    <s v="Moderate"/>
    <s v="Working Day"/>
    <s v="Mostly Registered"/>
    <n v="11.84210526315789"/>
    <n v="88.157894736842096"/>
    <s v="No"/>
    <s v="Low"/>
    <s v="No"/>
    <n v="-1.7600000000000001E-2"/>
  </r>
  <r>
    <n v="63"/>
    <x v="2"/>
    <n v="1"/>
    <n v="17"/>
    <b v="0"/>
    <n v="1"/>
    <n v="1"/>
    <n v="0.24"/>
    <x v="10"/>
    <n v="0.3"/>
    <n v="0.22389999999999999"/>
    <n v="11"/>
    <n v="146"/>
    <n v="157"/>
    <s v="Spring"/>
    <s v="Monday"/>
    <s v="Clear"/>
    <x v="3"/>
    <s v="Cold"/>
    <s v="Low"/>
    <s v="Moderate"/>
    <s v="Working Day"/>
    <s v="Mostly Registered"/>
    <n v="7.0063694267515926"/>
    <n v="92.99363057324841"/>
    <s v="Yes"/>
    <s v="Medium"/>
    <s v="No"/>
    <n v="-1.2699999999999991E-2"/>
  </r>
  <r>
    <n v="64"/>
    <x v="2"/>
    <n v="1"/>
    <n v="18"/>
    <b v="0"/>
    <n v="1"/>
    <n v="1"/>
    <n v="0.24"/>
    <x v="2"/>
    <n v="0.32"/>
    <n v="0.1045"/>
    <n v="9"/>
    <n v="148"/>
    <n v="157"/>
    <s v="Spring"/>
    <s v="Monday"/>
    <s v="Clear"/>
    <x v="3"/>
    <s v="Cold"/>
    <s v="Low"/>
    <s v="Calm"/>
    <s v="Working Day"/>
    <s v="Mostly Registered"/>
    <n v="5.7324840764331224"/>
    <n v="94.267515923566876"/>
    <s v="Yes"/>
    <s v="Medium"/>
    <s v="No"/>
    <n v="1.7600000000000001E-2"/>
  </r>
  <r>
    <n v="65"/>
    <x v="2"/>
    <n v="1"/>
    <n v="19"/>
    <b v="0"/>
    <n v="1"/>
    <n v="1"/>
    <n v="0.2"/>
    <x v="2"/>
    <n v="0.47"/>
    <n v="0"/>
    <n v="8"/>
    <n v="102"/>
    <n v="110"/>
    <s v="Spring"/>
    <s v="Monday"/>
    <s v="Clear"/>
    <x v="3"/>
    <s v="Cold"/>
    <s v="Medium"/>
    <s v="Calm"/>
    <s v="Working Day"/>
    <s v="Mostly Registered"/>
    <n v="7.2727272727272716"/>
    <n v="92.72727272727272"/>
    <s v="Yes"/>
    <s v="Medium"/>
    <s v="No"/>
    <n v="5.7599999999999978E-2"/>
  </r>
  <r>
    <n v="66"/>
    <x v="2"/>
    <n v="1"/>
    <n v="20"/>
    <b v="0"/>
    <n v="1"/>
    <n v="1"/>
    <n v="0.2"/>
    <x v="2"/>
    <n v="0.47"/>
    <n v="0.1045"/>
    <n v="3"/>
    <n v="49"/>
    <n v="52"/>
    <s v="Spring"/>
    <s v="Monday"/>
    <s v="Clear"/>
    <x v="3"/>
    <s v="Cold"/>
    <s v="Medium"/>
    <s v="Calm"/>
    <s v="Working Day"/>
    <s v="Mostly Registered"/>
    <n v="5.7692307692307692"/>
    <n v="94.230769230769226"/>
    <s v="No"/>
    <s v="Low"/>
    <s v="No"/>
    <n v="5.7599999999999978E-2"/>
  </r>
  <r>
    <n v="67"/>
    <x v="2"/>
    <n v="1"/>
    <n v="21"/>
    <b v="0"/>
    <n v="1"/>
    <n v="1"/>
    <n v="0.18"/>
    <x v="12"/>
    <n v="0.64"/>
    <n v="0.1343"/>
    <n v="3"/>
    <n v="49"/>
    <n v="52"/>
    <s v="Spring"/>
    <s v="Monday"/>
    <s v="Clear"/>
    <x v="0"/>
    <s v="Cold"/>
    <s v="Medium"/>
    <s v="Calm"/>
    <s v="Working Day"/>
    <s v="Mostly Registered"/>
    <n v="5.7692307692307692"/>
    <n v="94.230769230769226"/>
    <s v="No"/>
    <s v="Low"/>
    <s v="No"/>
    <n v="1.7000000000000019E-2"/>
  </r>
  <r>
    <n v="68"/>
    <x v="2"/>
    <n v="1"/>
    <n v="22"/>
    <b v="0"/>
    <n v="1"/>
    <n v="1"/>
    <n v="0.14000000000000001"/>
    <x v="19"/>
    <n v="0.69"/>
    <n v="0.1343"/>
    <n v="0"/>
    <n v="20"/>
    <n v="20"/>
    <s v="Spring"/>
    <s v="Monday"/>
    <s v="Clear"/>
    <x v="0"/>
    <s v="Very Cold"/>
    <s v="Medium"/>
    <s v="Calm"/>
    <s v="Working Day"/>
    <s v="Mostly Registered"/>
    <n v="0"/>
    <n v="100"/>
    <s v="No"/>
    <s v="Low"/>
    <s v="No"/>
    <n v="1.1499999999999981E-2"/>
  </r>
  <r>
    <n v="69"/>
    <x v="2"/>
    <n v="1"/>
    <n v="23"/>
    <b v="0"/>
    <n v="1"/>
    <n v="1"/>
    <n v="0.18"/>
    <x v="11"/>
    <n v="0.55000000000000004"/>
    <n v="0.1045"/>
    <n v="1"/>
    <n v="11"/>
    <n v="12"/>
    <s v="Spring"/>
    <s v="Monday"/>
    <s v="Clear"/>
    <x v="0"/>
    <s v="Cold"/>
    <s v="Medium"/>
    <s v="Calm"/>
    <s v="Working Day"/>
    <s v="Mostly Registered"/>
    <n v="8.3333333333333321"/>
    <n v="91.666666666666657"/>
    <s v="No"/>
    <s v="Low"/>
    <s v="No"/>
    <n v="3.2100000000000017E-2"/>
  </r>
  <r>
    <n v="70"/>
    <x v="3"/>
    <n v="1"/>
    <n v="0"/>
    <b v="0"/>
    <n v="2"/>
    <n v="1"/>
    <n v="0.16"/>
    <x v="11"/>
    <n v="0.55000000000000004"/>
    <n v="0.1045"/>
    <n v="0"/>
    <n v="5"/>
    <n v="5"/>
    <s v="Spring"/>
    <s v="Tuesday"/>
    <s v="Clear"/>
    <x v="0"/>
    <s v="Cold"/>
    <s v="Medium"/>
    <s v="Calm"/>
    <s v="Working Day"/>
    <s v="Mostly Registered"/>
    <n v="0"/>
    <n v="100"/>
    <s v="No"/>
    <s v="Low"/>
    <s v="No"/>
    <n v="5.2100000000000007E-2"/>
  </r>
  <r>
    <n v="71"/>
    <x v="3"/>
    <n v="1"/>
    <n v="1"/>
    <b v="0"/>
    <n v="2"/>
    <n v="1"/>
    <n v="0.16"/>
    <x v="17"/>
    <n v="0.59"/>
    <n v="0.1045"/>
    <n v="0"/>
    <n v="2"/>
    <n v="2"/>
    <s v="Spring"/>
    <s v="Tuesday"/>
    <s v="Clear"/>
    <x v="0"/>
    <s v="Cold"/>
    <s v="Medium"/>
    <s v="Calm"/>
    <s v="Working Day"/>
    <s v="Mostly Registered"/>
    <n v="0"/>
    <n v="100"/>
    <s v="No"/>
    <s v="Low"/>
    <s v="No"/>
    <n v="2.179999999999999E-2"/>
  </r>
  <r>
    <n v="72"/>
    <x v="3"/>
    <n v="1"/>
    <n v="2"/>
    <b v="0"/>
    <n v="2"/>
    <n v="1"/>
    <n v="0.14000000000000001"/>
    <x v="19"/>
    <n v="0.63"/>
    <n v="0.1343"/>
    <n v="0"/>
    <n v="1"/>
    <n v="1"/>
    <s v="Spring"/>
    <s v="Tuesday"/>
    <s v="Clear"/>
    <x v="0"/>
    <s v="Very Cold"/>
    <s v="Medium"/>
    <s v="Calm"/>
    <s v="Working Day"/>
    <s v="Mostly Registered"/>
    <n v="0"/>
    <n v="100"/>
    <s v="No"/>
    <s v="Low"/>
    <s v="No"/>
    <n v="1.1499999999999981E-2"/>
  </r>
  <r>
    <n v="73"/>
    <x v="3"/>
    <n v="1"/>
    <n v="4"/>
    <b v="0"/>
    <n v="2"/>
    <n v="1"/>
    <n v="0.14000000000000001"/>
    <x v="17"/>
    <n v="0.63"/>
    <n v="8.9599999999999999E-2"/>
    <n v="0"/>
    <n v="2"/>
    <n v="2"/>
    <s v="Spring"/>
    <s v="Tuesday"/>
    <s v="Clear"/>
    <x v="0"/>
    <s v="Very Cold"/>
    <s v="Medium"/>
    <s v="Calm"/>
    <s v="Working Day"/>
    <s v="Mostly Registered"/>
    <n v="0"/>
    <n v="100"/>
    <s v="No"/>
    <s v="Low"/>
    <s v="No"/>
    <n v="4.1799999999999983E-2"/>
  </r>
  <r>
    <n v="74"/>
    <x v="3"/>
    <n v="1"/>
    <n v="5"/>
    <b v="0"/>
    <n v="2"/>
    <n v="1"/>
    <n v="0.12"/>
    <x v="19"/>
    <n v="0.68"/>
    <n v="0.1045"/>
    <n v="0"/>
    <n v="4"/>
    <n v="4"/>
    <s v="Spring"/>
    <s v="Tuesday"/>
    <s v="Clear"/>
    <x v="0"/>
    <s v="Very Cold"/>
    <s v="Medium"/>
    <s v="Calm"/>
    <s v="Working Day"/>
    <s v="Mostly Registered"/>
    <n v="0"/>
    <n v="100"/>
    <s v="No"/>
    <s v="Low"/>
    <s v="No"/>
    <n v="3.15E-2"/>
  </r>
  <r>
    <n v="75"/>
    <x v="3"/>
    <n v="1"/>
    <n v="6"/>
    <b v="0"/>
    <n v="2"/>
    <n v="1"/>
    <n v="0.12"/>
    <x v="19"/>
    <n v="0.74"/>
    <n v="0.1045"/>
    <n v="0"/>
    <n v="36"/>
    <n v="36"/>
    <s v="Spring"/>
    <s v="Tuesday"/>
    <s v="Clear"/>
    <x v="1"/>
    <s v="Very Cold"/>
    <s v="High"/>
    <s v="Calm"/>
    <s v="Working Day"/>
    <s v="Mostly Registered"/>
    <n v="0"/>
    <n v="100"/>
    <s v="No"/>
    <s v="Low"/>
    <s v="No"/>
    <n v="3.15E-2"/>
  </r>
  <r>
    <n v="76"/>
    <x v="3"/>
    <n v="1"/>
    <n v="7"/>
    <b v="0"/>
    <n v="2"/>
    <n v="1"/>
    <n v="0.12"/>
    <x v="19"/>
    <n v="0.74"/>
    <n v="0.1343"/>
    <n v="2"/>
    <n v="92"/>
    <n v="94"/>
    <s v="Spring"/>
    <s v="Tuesday"/>
    <s v="Clear"/>
    <x v="1"/>
    <s v="Very Cold"/>
    <s v="High"/>
    <s v="Calm"/>
    <s v="Working Day"/>
    <s v="Mostly Registered"/>
    <n v="2.1276595744680851"/>
    <n v="97.872340425531917"/>
    <s v="Yes"/>
    <s v="Low"/>
    <s v="No"/>
    <n v="3.15E-2"/>
  </r>
  <r>
    <n v="77"/>
    <x v="3"/>
    <n v="1"/>
    <n v="8"/>
    <b v="0"/>
    <n v="2"/>
    <n v="1"/>
    <n v="0.14000000000000001"/>
    <x v="19"/>
    <n v="0.69"/>
    <n v="0.16420000000000001"/>
    <n v="2"/>
    <n v="177"/>
    <n v="179"/>
    <s v="Spring"/>
    <s v="Tuesday"/>
    <s v="Clear"/>
    <x v="1"/>
    <s v="Very Cold"/>
    <s v="Medium"/>
    <s v="Moderate"/>
    <s v="Working Day"/>
    <s v="Mostly Registered"/>
    <n v="1.1173184357541901"/>
    <n v="98.882681564245814"/>
    <s v="Yes"/>
    <s v="Medium"/>
    <s v="No"/>
    <n v="1.1499999999999981E-2"/>
  </r>
  <r>
    <n v="78"/>
    <x v="3"/>
    <n v="1"/>
    <n v="9"/>
    <b v="0"/>
    <n v="2"/>
    <n v="1"/>
    <n v="0.16"/>
    <x v="19"/>
    <n v="0.64"/>
    <n v="0.22389999999999999"/>
    <n v="2"/>
    <n v="98"/>
    <n v="100"/>
    <s v="Spring"/>
    <s v="Tuesday"/>
    <s v="Clear"/>
    <x v="1"/>
    <s v="Cold"/>
    <s v="Medium"/>
    <s v="Moderate"/>
    <s v="Working Day"/>
    <s v="Mostly Registered"/>
    <n v="2"/>
    <n v="98"/>
    <s v="Yes"/>
    <s v="Medium"/>
    <s v="No"/>
    <n v="-8.5000000000000075E-3"/>
  </r>
  <r>
    <n v="79"/>
    <x v="3"/>
    <n v="1"/>
    <n v="10"/>
    <b v="0"/>
    <n v="2"/>
    <n v="2"/>
    <n v="0.16"/>
    <x v="13"/>
    <n v="0.69"/>
    <n v="0.32840000000000003"/>
    <n v="5"/>
    <n v="37"/>
    <n v="42"/>
    <s v="Spring"/>
    <s v="Tuesday"/>
    <s v="Mist/Cloudy"/>
    <x v="1"/>
    <s v="Cold"/>
    <s v="Medium"/>
    <s v="Windy"/>
    <s v="Working Day"/>
    <s v="Mostly Registered"/>
    <n v="11.9047619047619"/>
    <n v="88.095238095238088"/>
    <s v="No"/>
    <s v="Low"/>
    <s v="No"/>
    <n v="-2.360000000000001E-2"/>
  </r>
  <r>
    <n v="80"/>
    <x v="3"/>
    <n v="1"/>
    <n v="11"/>
    <b v="0"/>
    <n v="2"/>
    <n v="1"/>
    <n v="0.22"/>
    <x v="11"/>
    <n v="0.51"/>
    <n v="0.29849999999999999"/>
    <n v="7"/>
    <n v="50"/>
    <n v="57"/>
    <s v="Spring"/>
    <s v="Tuesday"/>
    <s v="Clear"/>
    <x v="1"/>
    <s v="Cold"/>
    <s v="Medium"/>
    <s v="Moderate"/>
    <s v="Working Day"/>
    <s v="Mostly Registered"/>
    <n v="12.28070175438596"/>
    <n v="87.719298245614027"/>
    <s v="No"/>
    <s v="Low"/>
    <s v="No"/>
    <n v="-7.8999999999999904E-3"/>
  </r>
  <r>
    <n v="81"/>
    <x v="3"/>
    <n v="1"/>
    <n v="12"/>
    <b v="0"/>
    <n v="2"/>
    <n v="1"/>
    <n v="0.22"/>
    <x v="10"/>
    <n v="0.51"/>
    <n v="0.16420000000000001"/>
    <n v="12"/>
    <n v="66"/>
    <n v="78"/>
    <s v="Spring"/>
    <s v="Tuesday"/>
    <s v="Clear"/>
    <x v="2"/>
    <s v="Cold"/>
    <s v="Medium"/>
    <s v="Moderate"/>
    <s v="Working Day"/>
    <s v="Mostly Registered"/>
    <n v="15.38461538461539"/>
    <n v="84.615384615384613"/>
    <s v="No"/>
    <s v="Low"/>
    <s v="No"/>
    <n v="7.3000000000000009E-3"/>
  </r>
  <r>
    <n v="82"/>
    <x v="3"/>
    <n v="1"/>
    <n v="13"/>
    <b v="0"/>
    <n v="2"/>
    <n v="1"/>
    <n v="0.24"/>
    <x v="10"/>
    <n v="0.56000000000000005"/>
    <n v="0.19400000000000001"/>
    <n v="18"/>
    <n v="79"/>
    <n v="97"/>
    <s v="Spring"/>
    <s v="Tuesday"/>
    <s v="Clear"/>
    <x v="2"/>
    <s v="Cold"/>
    <s v="Medium"/>
    <s v="Moderate"/>
    <s v="Working Day"/>
    <s v="Mostly Registered"/>
    <n v="18.55670103092784"/>
    <n v="81.44329896907216"/>
    <s v="No"/>
    <s v="Low"/>
    <s v="No"/>
    <n v="-1.2699999999999991E-2"/>
  </r>
  <r>
    <n v="83"/>
    <x v="3"/>
    <n v="1"/>
    <n v="14"/>
    <b v="0"/>
    <n v="2"/>
    <n v="1"/>
    <n v="0.26"/>
    <x v="2"/>
    <n v="0.52"/>
    <n v="0.22389999999999999"/>
    <n v="9"/>
    <n v="54"/>
    <n v="63"/>
    <s v="Spring"/>
    <s v="Tuesday"/>
    <s v="Clear"/>
    <x v="2"/>
    <s v="Mild"/>
    <s v="Medium"/>
    <s v="Moderate"/>
    <s v="Working Day"/>
    <s v="Mostly Registered"/>
    <n v="14.285714285714279"/>
    <n v="85.714285714285708"/>
    <s v="No"/>
    <s v="Low"/>
    <s v="No"/>
    <n v="-2.4000000000000128E-3"/>
  </r>
  <r>
    <n v="84"/>
    <x v="3"/>
    <n v="1"/>
    <n v="15"/>
    <b v="0"/>
    <n v="2"/>
    <n v="1"/>
    <n v="0.28000000000000003"/>
    <x v="1"/>
    <n v="0.52"/>
    <n v="0.25369999999999998"/>
    <n v="17"/>
    <n v="48"/>
    <n v="65"/>
    <s v="Spring"/>
    <s v="Tuesday"/>
    <s v="Clear"/>
    <x v="2"/>
    <s v="Mild"/>
    <s v="Medium"/>
    <s v="Moderate"/>
    <s v="Working Day"/>
    <s v="Mostly Registered"/>
    <n v="26.15384615384616"/>
    <n v="73.846153846153854"/>
    <s v="No"/>
    <s v="Low"/>
    <s v="No"/>
    <n v="-7.3000000000000287E-3"/>
  </r>
  <r>
    <n v="85"/>
    <x v="3"/>
    <n v="1"/>
    <n v="16"/>
    <b v="0"/>
    <n v="2"/>
    <n v="1"/>
    <n v="0.3"/>
    <x v="0"/>
    <n v="0.49"/>
    <n v="0.25369999999999998"/>
    <n v="15"/>
    <n v="68"/>
    <n v="83"/>
    <s v="Spring"/>
    <s v="Tuesday"/>
    <s v="Clear"/>
    <x v="2"/>
    <s v="Mild"/>
    <s v="Medium"/>
    <s v="Moderate"/>
    <s v="Working Day"/>
    <s v="Mostly Registered"/>
    <n v="18.07228915662651"/>
    <n v="81.92771084337349"/>
    <s v="No"/>
    <s v="Low"/>
    <s v="No"/>
    <n v="-1.21E-2"/>
  </r>
  <r>
    <n v="86"/>
    <x v="3"/>
    <n v="1"/>
    <n v="17"/>
    <b v="0"/>
    <n v="2"/>
    <n v="1"/>
    <n v="0.28000000000000003"/>
    <x v="1"/>
    <n v="0.48"/>
    <n v="0.22389999999999999"/>
    <n v="10"/>
    <n v="202"/>
    <n v="212"/>
    <s v="Spring"/>
    <s v="Tuesday"/>
    <s v="Clear"/>
    <x v="3"/>
    <s v="Mild"/>
    <s v="Medium"/>
    <s v="Moderate"/>
    <s v="Working Day"/>
    <s v="Mostly Registered"/>
    <n v="4.716981132075472"/>
    <n v="95.283018867924525"/>
    <s v="Yes"/>
    <s v="Medium"/>
    <s v="No"/>
    <n v="-7.3000000000000287E-3"/>
  </r>
  <r>
    <n v="87"/>
    <x v="3"/>
    <n v="1"/>
    <n v="18"/>
    <b v="0"/>
    <n v="2"/>
    <n v="1"/>
    <n v="0.26"/>
    <x v="2"/>
    <n v="0.48"/>
    <n v="0.19400000000000001"/>
    <n v="3"/>
    <n v="179"/>
    <n v="182"/>
    <s v="Spring"/>
    <s v="Tuesday"/>
    <s v="Clear"/>
    <x v="3"/>
    <s v="Mild"/>
    <s v="Medium"/>
    <s v="Moderate"/>
    <s v="Working Day"/>
    <s v="Mostly Registered"/>
    <n v="1.648351648351648"/>
    <n v="98.35164835164835"/>
    <s v="Yes"/>
    <s v="Medium"/>
    <s v="No"/>
    <n v="-2.4000000000000128E-3"/>
  </r>
  <r>
    <n v="88"/>
    <x v="3"/>
    <n v="1"/>
    <n v="19"/>
    <b v="0"/>
    <n v="2"/>
    <n v="1"/>
    <n v="0.24"/>
    <x v="2"/>
    <n v="0.48"/>
    <n v="0.1045"/>
    <n v="2"/>
    <n v="110"/>
    <n v="112"/>
    <s v="Spring"/>
    <s v="Tuesday"/>
    <s v="Clear"/>
    <x v="3"/>
    <s v="Cold"/>
    <s v="Medium"/>
    <s v="Calm"/>
    <s v="Working Day"/>
    <s v="Mostly Registered"/>
    <n v="1.785714285714286"/>
    <n v="98.214285714285708"/>
    <s v="Yes"/>
    <s v="Medium"/>
    <s v="No"/>
    <n v="1.7600000000000001E-2"/>
  </r>
  <r>
    <n v="89"/>
    <x v="3"/>
    <n v="1"/>
    <n v="20"/>
    <b v="0"/>
    <n v="2"/>
    <n v="1"/>
    <n v="0.24"/>
    <x v="2"/>
    <n v="0.48"/>
    <n v="0.1045"/>
    <n v="1"/>
    <n v="53"/>
    <n v="54"/>
    <s v="Spring"/>
    <s v="Tuesday"/>
    <s v="Clear"/>
    <x v="3"/>
    <s v="Cold"/>
    <s v="Medium"/>
    <s v="Calm"/>
    <s v="Working Day"/>
    <s v="Mostly Registered"/>
    <n v="1.8518518518518521"/>
    <n v="98.148148148148152"/>
    <s v="No"/>
    <s v="Low"/>
    <s v="No"/>
    <n v="1.7600000000000001E-2"/>
  </r>
  <r>
    <n v="90"/>
    <x v="3"/>
    <n v="1"/>
    <n v="21"/>
    <b v="0"/>
    <n v="2"/>
    <n v="1"/>
    <n v="0.22"/>
    <x v="1"/>
    <n v="0.64"/>
    <n v="0"/>
    <n v="0"/>
    <n v="48"/>
    <n v="48"/>
    <s v="Spring"/>
    <s v="Tuesday"/>
    <s v="Clear"/>
    <x v="0"/>
    <s v="Cold"/>
    <s v="Medium"/>
    <s v="Calm"/>
    <s v="Working Day"/>
    <s v="Mostly Registered"/>
    <n v="0"/>
    <n v="100"/>
    <s v="No"/>
    <s v="Low"/>
    <s v="No"/>
    <n v="5.2699999999999997E-2"/>
  </r>
  <r>
    <n v="91"/>
    <x v="3"/>
    <n v="1"/>
    <n v="22"/>
    <b v="0"/>
    <n v="2"/>
    <n v="1"/>
    <n v="0.22"/>
    <x v="2"/>
    <n v="0.64"/>
    <n v="8.9599999999999999E-2"/>
    <n v="1"/>
    <n v="34"/>
    <n v="35"/>
    <s v="Spring"/>
    <s v="Tuesday"/>
    <s v="Clear"/>
    <x v="0"/>
    <s v="Cold"/>
    <s v="Medium"/>
    <s v="Calm"/>
    <s v="Working Day"/>
    <s v="Mostly Registered"/>
    <n v="2.8571428571428572"/>
    <n v="97.142857142857139"/>
    <s v="No"/>
    <s v="Low"/>
    <s v="No"/>
    <n v="3.7599999999999988E-2"/>
  </r>
  <r>
    <n v="92"/>
    <x v="3"/>
    <n v="1"/>
    <n v="23"/>
    <b v="0"/>
    <n v="2"/>
    <n v="1"/>
    <n v="0.2"/>
    <x v="10"/>
    <n v="0.69"/>
    <n v="8.9599999999999999E-2"/>
    <n v="2"/>
    <n v="9"/>
    <n v="11"/>
    <s v="Spring"/>
    <s v="Tuesday"/>
    <s v="Clear"/>
    <x v="0"/>
    <s v="Cold"/>
    <s v="Medium"/>
    <s v="Calm"/>
    <s v="Working Day"/>
    <s v="Mostly Registered"/>
    <n v="18.18181818181818"/>
    <n v="81.818181818181827"/>
    <s v="No"/>
    <s v="Low"/>
    <s v="No"/>
    <n v="2.7299999999999991E-2"/>
  </r>
  <r>
    <n v="93"/>
    <x v="4"/>
    <n v="1"/>
    <n v="0"/>
    <b v="0"/>
    <n v="3"/>
    <n v="1"/>
    <n v="0.2"/>
    <x v="2"/>
    <n v="0.64"/>
    <n v="0"/>
    <n v="0"/>
    <n v="6"/>
    <n v="6"/>
    <s v="Spring"/>
    <s v="Wednesday"/>
    <s v="Clear"/>
    <x v="0"/>
    <s v="Cold"/>
    <s v="Medium"/>
    <s v="Calm"/>
    <s v="Working Day"/>
    <s v="Mostly Registered"/>
    <n v="0"/>
    <n v="100"/>
    <s v="No"/>
    <s v="Low"/>
    <s v="No"/>
    <n v="5.7599999999999978E-2"/>
  </r>
  <r>
    <n v="94"/>
    <x v="4"/>
    <n v="1"/>
    <n v="1"/>
    <b v="0"/>
    <n v="3"/>
    <n v="1"/>
    <n v="0.16"/>
    <x v="12"/>
    <n v="0.74"/>
    <n v="8.9599999999999999E-2"/>
    <n v="0"/>
    <n v="6"/>
    <n v="6"/>
    <s v="Spring"/>
    <s v="Wednesday"/>
    <s v="Clear"/>
    <x v="0"/>
    <s v="Cold"/>
    <s v="High"/>
    <s v="Calm"/>
    <s v="Working Day"/>
    <s v="Mostly Registered"/>
    <n v="0"/>
    <n v="100"/>
    <s v="No"/>
    <s v="Low"/>
    <s v="No"/>
    <n v="3.7000000000000012E-2"/>
  </r>
  <r>
    <n v="95"/>
    <x v="4"/>
    <n v="1"/>
    <n v="2"/>
    <b v="0"/>
    <n v="3"/>
    <n v="1"/>
    <n v="0.16"/>
    <x v="12"/>
    <n v="0.74"/>
    <n v="8.9599999999999999E-2"/>
    <n v="0"/>
    <n v="2"/>
    <n v="2"/>
    <s v="Spring"/>
    <s v="Wednesday"/>
    <s v="Clear"/>
    <x v="0"/>
    <s v="Cold"/>
    <s v="High"/>
    <s v="Calm"/>
    <s v="Working Day"/>
    <s v="Mostly Registered"/>
    <n v="0"/>
    <n v="100"/>
    <s v="No"/>
    <s v="Low"/>
    <s v="No"/>
    <n v="3.7000000000000012E-2"/>
  </r>
  <r>
    <n v="96"/>
    <x v="4"/>
    <n v="1"/>
    <n v="4"/>
    <b v="0"/>
    <n v="3"/>
    <n v="1"/>
    <n v="0.24"/>
    <x v="10"/>
    <n v="0.48"/>
    <n v="0.22389999999999999"/>
    <n v="0"/>
    <n v="2"/>
    <n v="2"/>
    <s v="Spring"/>
    <s v="Wednesday"/>
    <s v="Clear"/>
    <x v="0"/>
    <s v="Cold"/>
    <s v="Medium"/>
    <s v="Moderate"/>
    <s v="Working Day"/>
    <s v="Mostly Registered"/>
    <n v="0"/>
    <n v="100"/>
    <s v="No"/>
    <s v="Low"/>
    <s v="No"/>
    <n v="-1.2699999999999991E-2"/>
  </r>
  <r>
    <n v="97"/>
    <x v="4"/>
    <n v="1"/>
    <n v="5"/>
    <b v="0"/>
    <n v="3"/>
    <n v="1"/>
    <n v="0.22"/>
    <x v="10"/>
    <n v="0.47"/>
    <n v="0.16420000000000001"/>
    <n v="0"/>
    <n v="3"/>
    <n v="3"/>
    <s v="Spring"/>
    <s v="Wednesday"/>
    <s v="Clear"/>
    <x v="0"/>
    <s v="Cold"/>
    <s v="Medium"/>
    <s v="Moderate"/>
    <s v="Working Day"/>
    <s v="Mostly Registered"/>
    <n v="0"/>
    <n v="100"/>
    <s v="No"/>
    <s v="Low"/>
    <s v="No"/>
    <n v="7.3000000000000009E-3"/>
  </r>
  <r>
    <n v="98"/>
    <x v="4"/>
    <n v="1"/>
    <n v="6"/>
    <b v="0"/>
    <n v="3"/>
    <n v="1"/>
    <n v="0.2"/>
    <x v="12"/>
    <n v="0.47"/>
    <n v="0.22389999999999999"/>
    <n v="0"/>
    <n v="33"/>
    <n v="33"/>
    <s v="Spring"/>
    <s v="Wednesday"/>
    <s v="Clear"/>
    <x v="1"/>
    <s v="Cold"/>
    <s v="Medium"/>
    <s v="Moderate"/>
    <s v="Working Day"/>
    <s v="Mostly Registered"/>
    <n v="0"/>
    <n v="100"/>
    <s v="No"/>
    <s v="Low"/>
    <s v="No"/>
    <n v="-3.0000000000000031E-3"/>
  </r>
  <r>
    <n v="99"/>
    <x v="4"/>
    <n v="1"/>
    <n v="7"/>
    <b v="0"/>
    <n v="3"/>
    <n v="1"/>
    <n v="0.18"/>
    <x v="17"/>
    <n v="0.43"/>
    <n v="0.19400000000000001"/>
    <n v="1"/>
    <n v="87"/>
    <n v="88"/>
    <s v="Spring"/>
    <s v="Wednesday"/>
    <s v="Clear"/>
    <x v="1"/>
    <s v="Cold"/>
    <s v="Medium"/>
    <s v="Moderate"/>
    <s v="Working Day"/>
    <s v="Mostly Registered"/>
    <n v="1.136363636363636"/>
    <n v="98.86363636363636"/>
    <s v="Yes"/>
    <s v="Low"/>
    <s v="No"/>
    <n v="1.799999999999996E-3"/>
  </r>
  <r>
    <n v="100"/>
    <x v="4"/>
    <n v="1"/>
    <n v="8"/>
    <b v="0"/>
    <n v="3"/>
    <n v="1"/>
    <n v="0.2"/>
    <x v="17"/>
    <n v="0.4"/>
    <n v="0.29849999999999999"/>
    <n v="3"/>
    <n v="192"/>
    <n v="195"/>
    <s v="Spring"/>
    <s v="Wednesday"/>
    <s v="Clear"/>
    <x v="1"/>
    <s v="Cold"/>
    <s v="Medium"/>
    <s v="Moderate"/>
    <s v="Working Day"/>
    <s v="Mostly Registered"/>
    <n v="1.538461538461539"/>
    <n v="98.461538461538467"/>
    <s v="Yes"/>
    <s v="Medium"/>
    <s v="No"/>
    <n v="-1.8200000000000022E-2"/>
  </r>
  <r>
    <n v="101"/>
    <x v="4"/>
    <n v="1"/>
    <n v="9"/>
    <b v="0"/>
    <n v="3"/>
    <n v="1"/>
    <n v="0.22"/>
    <x v="12"/>
    <n v="0.37"/>
    <n v="0.32840000000000003"/>
    <n v="6"/>
    <n v="109"/>
    <n v="115"/>
    <s v="Spring"/>
    <s v="Wednesday"/>
    <s v="Clear"/>
    <x v="1"/>
    <s v="Cold"/>
    <s v="Low"/>
    <s v="Windy"/>
    <s v="Working Day"/>
    <s v="Mostly Registered"/>
    <n v="5.2173913043478262"/>
    <n v="94.782608695652172"/>
    <s v="Yes"/>
    <s v="Medium"/>
    <s v="No"/>
    <n v="-2.2999999999999989E-2"/>
  </r>
  <r>
    <n v="102"/>
    <x v="4"/>
    <n v="1"/>
    <n v="10"/>
    <b v="0"/>
    <n v="3"/>
    <n v="1"/>
    <n v="0.22"/>
    <x v="12"/>
    <n v="0.37"/>
    <n v="0.32840000000000003"/>
    <n v="4"/>
    <n v="53"/>
    <n v="57"/>
    <s v="Spring"/>
    <s v="Wednesday"/>
    <s v="Clear"/>
    <x v="1"/>
    <s v="Cold"/>
    <s v="Low"/>
    <s v="Windy"/>
    <s v="Working Day"/>
    <s v="Mostly Registered"/>
    <n v="7.0175438596491224"/>
    <n v="92.982456140350877"/>
    <s v="No"/>
    <s v="Low"/>
    <s v="No"/>
    <n v="-2.2999999999999989E-2"/>
  </r>
  <r>
    <n v="103"/>
    <x v="4"/>
    <n v="1"/>
    <n v="11"/>
    <b v="0"/>
    <n v="3"/>
    <n v="1"/>
    <n v="0.26"/>
    <x v="10"/>
    <n v="0.33"/>
    <n v="0.32840000000000003"/>
    <n v="12"/>
    <n v="34"/>
    <n v="46"/>
    <s v="Spring"/>
    <s v="Wednesday"/>
    <s v="Clear"/>
    <x v="1"/>
    <s v="Mild"/>
    <s v="Low"/>
    <s v="Windy"/>
    <s v="Working Day"/>
    <s v="Mostly Registered"/>
    <n v="26.086956521739129"/>
    <n v="73.91304347826086"/>
    <s v="No"/>
    <s v="Low"/>
    <s v="No"/>
    <n v="-3.2700000000000007E-2"/>
  </r>
  <r>
    <n v="104"/>
    <x v="4"/>
    <n v="1"/>
    <n v="12"/>
    <b v="0"/>
    <n v="3"/>
    <n v="1"/>
    <n v="0.26"/>
    <x v="10"/>
    <n v="0.33"/>
    <n v="0.32840000000000003"/>
    <n v="5"/>
    <n v="74"/>
    <n v="79"/>
    <s v="Spring"/>
    <s v="Wednesday"/>
    <s v="Clear"/>
    <x v="2"/>
    <s v="Mild"/>
    <s v="Low"/>
    <s v="Windy"/>
    <s v="Working Day"/>
    <s v="Mostly Registered"/>
    <n v="6.3291139240506329"/>
    <n v="93.670886075949369"/>
    <s v="No"/>
    <s v="Low"/>
    <s v="No"/>
    <n v="-3.2700000000000007E-2"/>
  </r>
  <r>
    <n v="105"/>
    <x v="4"/>
    <n v="1"/>
    <n v="13"/>
    <b v="0"/>
    <n v="3"/>
    <n v="1"/>
    <n v="0.28000000000000003"/>
    <x v="2"/>
    <n v="0.3"/>
    <n v="0.29849999999999999"/>
    <n v="6"/>
    <n v="65"/>
    <n v="71"/>
    <s v="Spring"/>
    <s v="Wednesday"/>
    <s v="Clear"/>
    <x v="2"/>
    <s v="Mild"/>
    <s v="Low"/>
    <s v="Moderate"/>
    <s v="Working Day"/>
    <s v="Mostly Registered"/>
    <n v="8.4507042253521121"/>
    <n v="91.549295774647888"/>
    <s v="No"/>
    <s v="Low"/>
    <s v="No"/>
    <n v="-2.2400000000000031E-2"/>
  </r>
  <r>
    <n v="106"/>
    <x v="4"/>
    <n v="1"/>
    <n v="14"/>
    <b v="0"/>
    <n v="3"/>
    <n v="1"/>
    <n v="0.3"/>
    <x v="0"/>
    <n v="0.28000000000000003"/>
    <n v="0.19400000000000001"/>
    <n v="10"/>
    <n v="52"/>
    <n v="62"/>
    <s v="Spring"/>
    <s v="Wednesday"/>
    <s v="Clear"/>
    <x v="2"/>
    <s v="Mild"/>
    <s v="Low"/>
    <s v="Moderate"/>
    <s v="Working Day"/>
    <s v="Mostly Registered"/>
    <n v="16.12903225806452"/>
    <n v="83.870967741935488"/>
    <s v="No"/>
    <s v="Low"/>
    <s v="No"/>
    <n v="-1.21E-2"/>
  </r>
  <r>
    <n v="107"/>
    <x v="4"/>
    <n v="1"/>
    <n v="15"/>
    <b v="0"/>
    <n v="3"/>
    <n v="1"/>
    <n v="0.3"/>
    <x v="0"/>
    <n v="0.28000000000000003"/>
    <n v="0.19400000000000001"/>
    <n v="7"/>
    <n v="55"/>
    <n v="62"/>
    <s v="Spring"/>
    <s v="Wednesday"/>
    <s v="Clear"/>
    <x v="2"/>
    <s v="Mild"/>
    <s v="Low"/>
    <s v="Moderate"/>
    <s v="Working Day"/>
    <s v="Mostly Registered"/>
    <n v="11.29032258064516"/>
    <n v="88.709677419354833"/>
    <s v="No"/>
    <s v="Low"/>
    <s v="No"/>
    <n v="-1.21E-2"/>
  </r>
  <r>
    <n v="108"/>
    <x v="4"/>
    <n v="1"/>
    <n v="16"/>
    <b v="0"/>
    <n v="3"/>
    <n v="1"/>
    <n v="0.3"/>
    <x v="20"/>
    <n v="0.28000000000000003"/>
    <n v="8.9599999999999999E-2"/>
    <n v="4"/>
    <n v="85"/>
    <n v="89"/>
    <s v="Spring"/>
    <s v="Wednesday"/>
    <s v="Clear"/>
    <x v="2"/>
    <s v="Mild"/>
    <s v="Low"/>
    <s v="Calm"/>
    <s v="Working Day"/>
    <s v="Mostly Registered"/>
    <n v="4.4943820224719104"/>
    <n v="95.50561797752809"/>
    <s v="No"/>
    <s v="Low"/>
    <s v="No"/>
    <n v="1.819999999999999E-2"/>
  </r>
  <r>
    <n v="109"/>
    <x v="4"/>
    <n v="1"/>
    <n v="17"/>
    <b v="0"/>
    <n v="3"/>
    <n v="1"/>
    <n v="0.24"/>
    <x v="10"/>
    <n v="0.38"/>
    <n v="0.19400000000000001"/>
    <n v="4"/>
    <n v="186"/>
    <n v="190"/>
    <s v="Spring"/>
    <s v="Wednesday"/>
    <s v="Clear"/>
    <x v="3"/>
    <s v="Cold"/>
    <s v="Low"/>
    <s v="Moderate"/>
    <s v="Working Day"/>
    <s v="Mostly Registered"/>
    <n v="2.1052631578947372"/>
    <n v="97.894736842105274"/>
    <s v="Yes"/>
    <s v="Medium"/>
    <s v="No"/>
    <n v="-1.2699999999999991E-2"/>
  </r>
  <r>
    <n v="110"/>
    <x v="4"/>
    <n v="1"/>
    <n v="18"/>
    <b v="0"/>
    <n v="3"/>
    <n v="1"/>
    <n v="0.24"/>
    <x v="18"/>
    <n v="0.38"/>
    <n v="0.1343"/>
    <n v="3"/>
    <n v="166"/>
    <n v="169"/>
    <s v="Spring"/>
    <s v="Wednesday"/>
    <s v="Clear"/>
    <x v="3"/>
    <s v="Cold"/>
    <s v="Low"/>
    <s v="Calm"/>
    <s v="Working Day"/>
    <s v="Mostly Registered"/>
    <n v="1.775147928994083"/>
    <n v="98.224852071005913"/>
    <s v="Yes"/>
    <s v="Medium"/>
    <s v="No"/>
    <n v="2.4000000000000128E-3"/>
  </r>
  <r>
    <n v="111"/>
    <x v="4"/>
    <n v="1"/>
    <n v="19"/>
    <b v="0"/>
    <n v="3"/>
    <n v="1"/>
    <n v="0.24"/>
    <x v="2"/>
    <n v="0.38"/>
    <n v="0.1045"/>
    <n v="5"/>
    <n v="127"/>
    <n v="132"/>
    <s v="Spring"/>
    <s v="Wednesday"/>
    <s v="Clear"/>
    <x v="3"/>
    <s v="Cold"/>
    <s v="Low"/>
    <s v="Calm"/>
    <s v="Working Day"/>
    <s v="Mostly Registered"/>
    <n v="3.7878787878787881"/>
    <n v="96.212121212121218"/>
    <s v="Yes"/>
    <s v="Medium"/>
    <s v="No"/>
    <n v="1.7600000000000001E-2"/>
  </r>
  <r>
    <n v="112"/>
    <x v="4"/>
    <n v="1"/>
    <n v="20"/>
    <b v="0"/>
    <n v="3"/>
    <n v="1"/>
    <n v="0.22"/>
    <x v="10"/>
    <n v="0.47"/>
    <n v="0.16420000000000001"/>
    <n v="7"/>
    <n v="82"/>
    <n v="89"/>
    <s v="Spring"/>
    <s v="Wednesday"/>
    <s v="Clear"/>
    <x v="3"/>
    <s v="Cold"/>
    <s v="Medium"/>
    <s v="Moderate"/>
    <s v="Working Day"/>
    <s v="Mostly Registered"/>
    <n v="7.8651685393258424"/>
    <n v="92.134831460674164"/>
    <s v="No"/>
    <s v="Low"/>
    <s v="No"/>
    <n v="7.3000000000000009E-3"/>
  </r>
  <r>
    <n v="113"/>
    <x v="4"/>
    <n v="1"/>
    <n v="21"/>
    <b v="0"/>
    <n v="3"/>
    <n v="1"/>
    <n v="0.2"/>
    <x v="12"/>
    <n v="0.51"/>
    <n v="0.19400000000000001"/>
    <n v="3"/>
    <n v="40"/>
    <n v="43"/>
    <s v="Spring"/>
    <s v="Wednesday"/>
    <s v="Clear"/>
    <x v="0"/>
    <s v="Cold"/>
    <s v="Medium"/>
    <s v="Moderate"/>
    <s v="Working Day"/>
    <s v="Mostly Registered"/>
    <n v="6.9767441860465116"/>
    <n v="93.023255813953483"/>
    <s v="No"/>
    <s v="Low"/>
    <s v="No"/>
    <n v="-3.0000000000000031E-3"/>
  </r>
  <r>
    <n v="114"/>
    <x v="4"/>
    <n v="1"/>
    <n v="22"/>
    <b v="0"/>
    <n v="3"/>
    <n v="1"/>
    <n v="0.18"/>
    <x v="12"/>
    <n v="0.55000000000000004"/>
    <n v="0.1343"/>
    <n v="1"/>
    <n v="41"/>
    <n v="42"/>
    <s v="Spring"/>
    <s v="Wednesday"/>
    <s v="Clear"/>
    <x v="0"/>
    <s v="Cold"/>
    <s v="Medium"/>
    <s v="Calm"/>
    <s v="Working Day"/>
    <s v="Mostly Registered"/>
    <n v="2.3809523809523809"/>
    <n v="97.61904761904762"/>
    <s v="No"/>
    <s v="Low"/>
    <s v="No"/>
    <n v="1.7000000000000019E-2"/>
  </r>
  <r>
    <n v="115"/>
    <x v="4"/>
    <n v="1"/>
    <n v="23"/>
    <b v="0"/>
    <n v="3"/>
    <n v="1"/>
    <n v="0.2"/>
    <x v="2"/>
    <n v="0.47"/>
    <n v="0"/>
    <n v="1"/>
    <n v="18"/>
    <n v="19"/>
    <s v="Spring"/>
    <s v="Wednesday"/>
    <s v="Clear"/>
    <x v="0"/>
    <s v="Cold"/>
    <s v="Medium"/>
    <s v="Calm"/>
    <s v="Working Day"/>
    <s v="Mostly Registered"/>
    <n v="5.2631578947368416"/>
    <n v="94.73684210526315"/>
    <s v="No"/>
    <s v="Low"/>
    <s v="No"/>
    <n v="5.7599999999999978E-2"/>
  </r>
  <r>
    <n v="116"/>
    <x v="5"/>
    <n v="1"/>
    <n v="0"/>
    <b v="0"/>
    <n v="4"/>
    <n v="1"/>
    <n v="0.18"/>
    <x v="18"/>
    <n v="0.55000000000000004"/>
    <n v="0"/>
    <n v="0"/>
    <n v="11"/>
    <n v="11"/>
    <s v="Spring"/>
    <s v="Thursday"/>
    <s v="Clear"/>
    <x v="0"/>
    <s v="Cold"/>
    <s v="Medium"/>
    <s v="Calm"/>
    <s v="Working Day"/>
    <s v="Mostly Registered"/>
    <n v="0"/>
    <n v="100"/>
    <s v="No"/>
    <s v="Low"/>
    <s v="No"/>
    <n v="6.2400000000000011E-2"/>
  </r>
  <r>
    <n v="117"/>
    <x v="5"/>
    <n v="1"/>
    <n v="1"/>
    <b v="0"/>
    <n v="4"/>
    <n v="1"/>
    <n v="0.16"/>
    <x v="10"/>
    <n v="0.64"/>
    <n v="0"/>
    <n v="0"/>
    <n v="4"/>
    <n v="4"/>
    <s v="Spring"/>
    <s v="Thursday"/>
    <s v="Clear"/>
    <x v="0"/>
    <s v="Cold"/>
    <s v="Medium"/>
    <s v="Calm"/>
    <s v="Working Day"/>
    <s v="Mostly Registered"/>
    <n v="0"/>
    <n v="100"/>
    <s v="No"/>
    <s v="Low"/>
    <s v="No"/>
    <n v="6.7299999999999999E-2"/>
  </r>
  <r>
    <n v="118"/>
    <x v="5"/>
    <n v="1"/>
    <n v="2"/>
    <b v="0"/>
    <n v="4"/>
    <n v="1"/>
    <n v="0.16"/>
    <x v="10"/>
    <n v="0.64"/>
    <n v="0"/>
    <n v="0"/>
    <n v="2"/>
    <n v="2"/>
    <s v="Spring"/>
    <s v="Thursday"/>
    <s v="Clear"/>
    <x v="0"/>
    <s v="Cold"/>
    <s v="Medium"/>
    <s v="Calm"/>
    <s v="Working Day"/>
    <s v="Mostly Registered"/>
    <n v="0"/>
    <n v="100"/>
    <s v="No"/>
    <s v="Low"/>
    <s v="No"/>
    <n v="6.7299999999999999E-2"/>
  </r>
  <r>
    <n v="119"/>
    <x v="5"/>
    <n v="1"/>
    <n v="4"/>
    <b v="0"/>
    <n v="4"/>
    <n v="2"/>
    <n v="0.16"/>
    <x v="12"/>
    <n v="0.64"/>
    <n v="8.9599999999999999E-2"/>
    <n v="0"/>
    <n v="1"/>
    <n v="1"/>
    <s v="Spring"/>
    <s v="Thursday"/>
    <s v="Mist/Cloudy"/>
    <x v="0"/>
    <s v="Cold"/>
    <s v="Medium"/>
    <s v="Calm"/>
    <s v="Working Day"/>
    <s v="Mostly Registered"/>
    <n v="0"/>
    <n v="100"/>
    <s v="No"/>
    <s v="Low"/>
    <s v="No"/>
    <n v="3.7000000000000012E-2"/>
  </r>
  <r>
    <n v="120"/>
    <x v="5"/>
    <n v="1"/>
    <n v="5"/>
    <b v="0"/>
    <n v="4"/>
    <n v="2"/>
    <n v="0.14000000000000001"/>
    <x v="17"/>
    <n v="0.69"/>
    <n v="8.9599999999999999E-2"/>
    <n v="0"/>
    <n v="4"/>
    <n v="4"/>
    <s v="Spring"/>
    <s v="Thursday"/>
    <s v="Mist/Cloudy"/>
    <x v="0"/>
    <s v="Very Cold"/>
    <s v="Medium"/>
    <s v="Calm"/>
    <s v="Working Day"/>
    <s v="Mostly Registered"/>
    <n v="0"/>
    <n v="100"/>
    <s v="No"/>
    <s v="Low"/>
    <s v="No"/>
    <n v="4.1799999999999983E-2"/>
  </r>
  <r>
    <n v="121"/>
    <x v="5"/>
    <n v="1"/>
    <n v="6"/>
    <b v="0"/>
    <n v="4"/>
    <n v="2"/>
    <n v="0.14000000000000001"/>
    <x v="16"/>
    <n v="0.63"/>
    <n v="0.1045"/>
    <n v="0"/>
    <n v="36"/>
    <n v="36"/>
    <s v="Spring"/>
    <s v="Thursday"/>
    <s v="Mist/Cloudy"/>
    <x v="1"/>
    <s v="Very Cold"/>
    <s v="Medium"/>
    <s v="Calm"/>
    <s v="Working Day"/>
    <s v="Mostly Registered"/>
    <n v="0"/>
    <n v="100"/>
    <s v="No"/>
    <s v="Low"/>
    <s v="No"/>
    <n v="2.669999999999997E-2"/>
  </r>
  <r>
    <n v="122"/>
    <x v="5"/>
    <n v="1"/>
    <n v="7"/>
    <b v="0"/>
    <n v="4"/>
    <n v="2"/>
    <n v="0.16"/>
    <x v="10"/>
    <n v="0.59"/>
    <n v="0"/>
    <n v="0"/>
    <n v="95"/>
    <n v="95"/>
    <s v="Spring"/>
    <s v="Thursday"/>
    <s v="Mist/Cloudy"/>
    <x v="1"/>
    <s v="Cold"/>
    <s v="Medium"/>
    <s v="Calm"/>
    <s v="Working Day"/>
    <s v="Mostly Registered"/>
    <n v="0"/>
    <n v="100"/>
    <s v="Yes"/>
    <s v="Low"/>
    <s v="No"/>
    <n v="6.7299999999999999E-2"/>
  </r>
  <r>
    <n v="123"/>
    <x v="5"/>
    <n v="1"/>
    <n v="8"/>
    <b v="0"/>
    <n v="4"/>
    <n v="1"/>
    <n v="0.16"/>
    <x v="10"/>
    <n v="0.59"/>
    <n v="0"/>
    <n v="3"/>
    <n v="216"/>
    <n v="219"/>
    <s v="Spring"/>
    <s v="Thursday"/>
    <s v="Clear"/>
    <x v="1"/>
    <s v="Cold"/>
    <s v="Medium"/>
    <s v="Calm"/>
    <s v="Working Day"/>
    <s v="Mostly Registered"/>
    <n v="1.3698630136986301"/>
    <n v="98.630136986301366"/>
    <s v="Yes"/>
    <s v="Medium"/>
    <s v="No"/>
    <n v="6.7299999999999999E-2"/>
  </r>
  <r>
    <n v="124"/>
    <x v="5"/>
    <n v="1"/>
    <n v="9"/>
    <b v="0"/>
    <n v="4"/>
    <n v="2"/>
    <n v="0.18"/>
    <x v="18"/>
    <n v="0.51"/>
    <n v="0"/>
    <n v="6"/>
    <n v="116"/>
    <n v="122"/>
    <s v="Spring"/>
    <s v="Thursday"/>
    <s v="Mist/Cloudy"/>
    <x v="1"/>
    <s v="Cold"/>
    <s v="Medium"/>
    <s v="Calm"/>
    <s v="Working Day"/>
    <s v="Mostly Registered"/>
    <n v="4.918032786885246"/>
    <n v="95.081967213114751"/>
    <s v="Yes"/>
    <s v="Medium"/>
    <s v="No"/>
    <n v="6.2400000000000011E-2"/>
  </r>
  <r>
    <n v="125"/>
    <x v="5"/>
    <n v="1"/>
    <n v="10"/>
    <b v="0"/>
    <n v="4"/>
    <n v="1"/>
    <n v="0.2"/>
    <x v="2"/>
    <n v="0.47"/>
    <n v="0"/>
    <n v="3"/>
    <n v="42"/>
    <n v="45"/>
    <s v="Spring"/>
    <s v="Thursday"/>
    <s v="Clear"/>
    <x v="1"/>
    <s v="Cold"/>
    <s v="Medium"/>
    <s v="Calm"/>
    <s v="Working Day"/>
    <s v="Mostly Registered"/>
    <n v="6.666666666666667"/>
    <n v="93.333333333333329"/>
    <s v="No"/>
    <s v="Low"/>
    <s v="No"/>
    <n v="5.7599999999999978E-2"/>
  </r>
  <r>
    <n v="126"/>
    <x v="5"/>
    <n v="1"/>
    <n v="11"/>
    <b v="0"/>
    <n v="4"/>
    <n v="1"/>
    <n v="0.22"/>
    <x v="2"/>
    <n v="0.44"/>
    <n v="8.9599999999999999E-2"/>
    <n v="2"/>
    <n v="57"/>
    <n v="59"/>
    <s v="Spring"/>
    <s v="Thursday"/>
    <s v="Clear"/>
    <x v="1"/>
    <s v="Cold"/>
    <s v="Medium"/>
    <s v="Calm"/>
    <s v="Working Day"/>
    <s v="Mostly Registered"/>
    <n v="3.3898305084745761"/>
    <n v="96.610169491525426"/>
    <s v="No"/>
    <s v="Low"/>
    <s v="No"/>
    <n v="3.7599999999999988E-2"/>
  </r>
  <r>
    <n v="127"/>
    <x v="5"/>
    <n v="1"/>
    <n v="12"/>
    <b v="0"/>
    <n v="4"/>
    <n v="1"/>
    <n v="0.26"/>
    <x v="0"/>
    <n v="0.35"/>
    <n v="0"/>
    <n v="6"/>
    <n v="78"/>
    <n v="84"/>
    <s v="Spring"/>
    <s v="Thursday"/>
    <s v="Clear"/>
    <x v="2"/>
    <s v="Mild"/>
    <s v="Low"/>
    <s v="Calm"/>
    <s v="Working Day"/>
    <s v="Mostly Registered"/>
    <n v="7.1428571428571423"/>
    <n v="92.857142857142861"/>
    <s v="No"/>
    <s v="Low"/>
    <s v="No"/>
    <n v="2.789999999999998E-2"/>
  </r>
  <r>
    <n v="128"/>
    <x v="5"/>
    <n v="1"/>
    <n v="13"/>
    <b v="0"/>
    <n v="4"/>
    <n v="1"/>
    <n v="0.26"/>
    <x v="1"/>
    <n v="0.35"/>
    <n v="0.1045"/>
    <n v="12"/>
    <n v="55"/>
    <n v="67"/>
    <s v="Spring"/>
    <s v="Thursday"/>
    <s v="Clear"/>
    <x v="2"/>
    <s v="Mild"/>
    <s v="Low"/>
    <s v="Calm"/>
    <s v="Working Day"/>
    <s v="Mostly Registered"/>
    <n v="17.910447761194028"/>
    <n v="82.089552238805979"/>
    <s v="No"/>
    <s v="Low"/>
    <s v="No"/>
    <n v="1.2699999999999991E-2"/>
  </r>
  <r>
    <n v="129"/>
    <x v="5"/>
    <n v="1"/>
    <n v="14"/>
    <b v="0"/>
    <n v="4"/>
    <n v="1"/>
    <n v="0.28000000000000003"/>
    <x v="1"/>
    <n v="0.36"/>
    <n v="0.16420000000000001"/>
    <n v="11"/>
    <n v="59"/>
    <n v="70"/>
    <s v="Spring"/>
    <s v="Thursday"/>
    <s v="Clear"/>
    <x v="2"/>
    <s v="Mild"/>
    <s v="Low"/>
    <s v="Moderate"/>
    <s v="Working Day"/>
    <s v="Mostly Registered"/>
    <n v="15.71428571428571"/>
    <n v="84.285714285714292"/>
    <s v="No"/>
    <s v="Low"/>
    <s v="No"/>
    <n v="-7.3000000000000287E-3"/>
  </r>
  <r>
    <n v="130"/>
    <x v="5"/>
    <n v="1"/>
    <n v="15"/>
    <b v="0"/>
    <n v="4"/>
    <n v="1"/>
    <n v="0.28000000000000003"/>
    <x v="1"/>
    <n v="0.36"/>
    <n v="0"/>
    <n v="8"/>
    <n v="54"/>
    <n v="62"/>
    <s v="Spring"/>
    <s v="Thursday"/>
    <s v="Clear"/>
    <x v="2"/>
    <s v="Mild"/>
    <s v="Low"/>
    <s v="Calm"/>
    <s v="Working Day"/>
    <s v="Mostly Registered"/>
    <n v="12.90322580645161"/>
    <n v="87.096774193548384"/>
    <s v="No"/>
    <s v="Low"/>
    <s v="No"/>
    <n v="-7.3000000000000287E-3"/>
  </r>
  <r>
    <n v="131"/>
    <x v="5"/>
    <n v="1"/>
    <n v="16"/>
    <b v="0"/>
    <n v="4"/>
    <n v="1"/>
    <n v="0.26"/>
    <x v="2"/>
    <n v="0.38"/>
    <n v="0.16420000000000001"/>
    <n v="12"/>
    <n v="74"/>
    <n v="86"/>
    <s v="Spring"/>
    <s v="Thursday"/>
    <s v="Clear"/>
    <x v="2"/>
    <s v="Mild"/>
    <s v="Low"/>
    <s v="Moderate"/>
    <s v="Working Day"/>
    <s v="Mostly Registered"/>
    <n v="13.95348837209302"/>
    <n v="86.04651162790698"/>
    <s v="No"/>
    <s v="Low"/>
    <s v="No"/>
    <n v="-2.4000000000000128E-3"/>
  </r>
  <r>
    <n v="132"/>
    <x v="5"/>
    <n v="1"/>
    <n v="17"/>
    <b v="0"/>
    <n v="4"/>
    <n v="1"/>
    <n v="0.22"/>
    <x v="10"/>
    <n v="0.51"/>
    <n v="0.16420000000000001"/>
    <n v="9"/>
    <n v="163"/>
    <n v="172"/>
    <s v="Spring"/>
    <s v="Thursday"/>
    <s v="Clear"/>
    <x v="3"/>
    <s v="Cold"/>
    <s v="Medium"/>
    <s v="Moderate"/>
    <s v="Working Day"/>
    <s v="Mostly Registered"/>
    <n v="5.2325581395348841"/>
    <n v="94.767441860465112"/>
    <s v="Yes"/>
    <s v="Medium"/>
    <s v="No"/>
    <n v="7.3000000000000009E-3"/>
  </r>
  <r>
    <n v="133"/>
    <x v="5"/>
    <n v="1"/>
    <n v="18"/>
    <b v="0"/>
    <n v="4"/>
    <n v="1"/>
    <n v="0.22"/>
    <x v="10"/>
    <n v="0.51"/>
    <n v="0.1343"/>
    <n v="5"/>
    <n v="158"/>
    <n v="163"/>
    <s v="Spring"/>
    <s v="Thursday"/>
    <s v="Clear"/>
    <x v="3"/>
    <s v="Cold"/>
    <s v="Medium"/>
    <s v="Calm"/>
    <s v="Working Day"/>
    <s v="Mostly Registered"/>
    <n v="3.0674846625766872"/>
    <n v="96.932515337423311"/>
    <s v="Yes"/>
    <s v="Medium"/>
    <s v="No"/>
    <n v="7.3000000000000009E-3"/>
  </r>
  <r>
    <n v="134"/>
    <x v="5"/>
    <n v="1"/>
    <n v="19"/>
    <b v="0"/>
    <n v="4"/>
    <n v="1"/>
    <n v="0.22"/>
    <x v="2"/>
    <n v="0.55000000000000004"/>
    <n v="8.9599999999999999E-2"/>
    <n v="3"/>
    <n v="109"/>
    <n v="112"/>
    <s v="Spring"/>
    <s v="Thursday"/>
    <s v="Clear"/>
    <x v="3"/>
    <s v="Cold"/>
    <s v="Medium"/>
    <s v="Calm"/>
    <s v="Working Day"/>
    <s v="Mostly Registered"/>
    <n v="2.6785714285714279"/>
    <n v="97.321428571428569"/>
    <s v="Yes"/>
    <s v="Medium"/>
    <s v="No"/>
    <n v="3.7599999999999988E-2"/>
  </r>
  <r>
    <n v="135"/>
    <x v="5"/>
    <n v="1"/>
    <n v="20"/>
    <b v="0"/>
    <n v="4"/>
    <n v="1"/>
    <n v="0.2"/>
    <x v="11"/>
    <n v="0.51"/>
    <n v="0.16420000000000001"/>
    <n v="3"/>
    <n v="66"/>
    <n v="69"/>
    <s v="Spring"/>
    <s v="Thursday"/>
    <s v="Clear"/>
    <x v="3"/>
    <s v="Cold"/>
    <s v="Medium"/>
    <s v="Moderate"/>
    <s v="Working Day"/>
    <s v="Mostly Registered"/>
    <n v="4.3478260869565224"/>
    <n v="95.652173913043484"/>
    <s v="No"/>
    <s v="Low"/>
    <s v="No"/>
    <n v="1.21E-2"/>
  </r>
  <r>
    <n v="136"/>
    <x v="5"/>
    <n v="1"/>
    <n v="21"/>
    <b v="0"/>
    <n v="4"/>
    <n v="2"/>
    <n v="0.22"/>
    <x v="11"/>
    <n v="0.55000000000000004"/>
    <n v="0.22389999999999999"/>
    <n v="0"/>
    <n v="48"/>
    <n v="48"/>
    <s v="Spring"/>
    <s v="Thursday"/>
    <s v="Mist/Cloudy"/>
    <x v="0"/>
    <s v="Cold"/>
    <s v="Medium"/>
    <s v="Moderate"/>
    <s v="Working Day"/>
    <s v="Mostly Registered"/>
    <n v="0"/>
    <n v="100"/>
    <s v="No"/>
    <s v="Low"/>
    <s v="No"/>
    <n v="-7.8999999999999904E-3"/>
  </r>
  <r>
    <n v="137"/>
    <x v="5"/>
    <n v="1"/>
    <n v="22"/>
    <b v="0"/>
    <n v="4"/>
    <n v="2"/>
    <n v="0.22"/>
    <x v="11"/>
    <n v="0.51"/>
    <n v="0.28360000000000002"/>
    <n v="1"/>
    <n v="51"/>
    <n v="52"/>
    <s v="Spring"/>
    <s v="Thursday"/>
    <s v="Mist/Cloudy"/>
    <x v="0"/>
    <s v="Cold"/>
    <s v="Medium"/>
    <s v="Moderate"/>
    <s v="Working Day"/>
    <s v="Mostly Registered"/>
    <n v="1.9230769230769229"/>
    <n v="98.076923076923066"/>
    <s v="No"/>
    <s v="Low"/>
    <s v="No"/>
    <n v="-7.8999999999999904E-3"/>
  </r>
  <r>
    <n v="138"/>
    <x v="5"/>
    <n v="1"/>
    <n v="23"/>
    <b v="0"/>
    <n v="4"/>
    <n v="2"/>
    <n v="0.2"/>
    <x v="12"/>
    <n v="0.59"/>
    <n v="0.19400000000000001"/>
    <n v="4"/>
    <n v="19"/>
    <n v="23"/>
    <s v="Spring"/>
    <s v="Thursday"/>
    <s v="Mist/Cloudy"/>
    <x v="0"/>
    <s v="Cold"/>
    <s v="Medium"/>
    <s v="Moderate"/>
    <s v="Working Day"/>
    <s v="Mostly Registered"/>
    <n v="17.39130434782609"/>
    <n v="82.608695652173907"/>
    <s v="No"/>
    <s v="Low"/>
    <s v="No"/>
    <n v="-3.0000000000000031E-3"/>
  </r>
  <r>
    <n v="139"/>
    <x v="6"/>
    <n v="1"/>
    <n v="0"/>
    <b v="0"/>
    <n v="5"/>
    <n v="2"/>
    <n v="0.2"/>
    <x v="12"/>
    <n v="0.64"/>
    <n v="0.19400000000000001"/>
    <n v="4"/>
    <n v="13"/>
    <n v="17"/>
    <s v="Spring"/>
    <s v="Friday"/>
    <s v="Mist/Cloudy"/>
    <x v="0"/>
    <s v="Cold"/>
    <s v="Medium"/>
    <s v="Moderate"/>
    <s v="Working Day"/>
    <s v="Mostly Registered"/>
    <n v="23.52941176470588"/>
    <n v="76.470588235294116"/>
    <s v="No"/>
    <s v="Low"/>
    <s v="No"/>
    <n v="-3.0000000000000031E-3"/>
  </r>
  <r>
    <n v="140"/>
    <x v="6"/>
    <n v="1"/>
    <n v="1"/>
    <b v="0"/>
    <n v="5"/>
    <n v="2"/>
    <n v="0.2"/>
    <x v="12"/>
    <n v="0.69"/>
    <n v="0.22389999999999999"/>
    <n v="2"/>
    <n v="5"/>
    <n v="7"/>
    <s v="Spring"/>
    <s v="Friday"/>
    <s v="Mist/Cloudy"/>
    <x v="0"/>
    <s v="Cold"/>
    <s v="Medium"/>
    <s v="Moderate"/>
    <s v="Working Day"/>
    <s v="Mostly Registered"/>
    <n v="28.571428571428569"/>
    <n v="71.428571428571431"/>
    <s v="No"/>
    <s v="Low"/>
    <s v="No"/>
    <n v="-3.0000000000000031E-3"/>
  </r>
  <r>
    <n v="141"/>
    <x v="6"/>
    <n v="1"/>
    <n v="2"/>
    <b v="0"/>
    <n v="5"/>
    <n v="2"/>
    <n v="0.2"/>
    <x v="12"/>
    <n v="0.69"/>
    <n v="0.22389999999999999"/>
    <n v="0"/>
    <n v="1"/>
    <n v="1"/>
    <s v="Spring"/>
    <s v="Friday"/>
    <s v="Mist/Cloudy"/>
    <x v="0"/>
    <s v="Cold"/>
    <s v="Medium"/>
    <s v="Moderate"/>
    <s v="Working Day"/>
    <s v="Mostly Registered"/>
    <n v="0"/>
    <n v="100"/>
    <s v="No"/>
    <s v="Low"/>
    <s v="No"/>
    <n v="-3.0000000000000031E-3"/>
  </r>
  <r>
    <n v="142"/>
    <x v="6"/>
    <n v="1"/>
    <n v="4"/>
    <b v="0"/>
    <n v="5"/>
    <n v="2"/>
    <n v="0.2"/>
    <x v="11"/>
    <n v="0.69"/>
    <n v="0.1343"/>
    <n v="0"/>
    <n v="1"/>
    <n v="1"/>
    <s v="Spring"/>
    <s v="Friday"/>
    <s v="Mist/Cloudy"/>
    <x v="0"/>
    <s v="Cold"/>
    <s v="Medium"/>
    <s v="Calm"/>
    <s v="Working Day"/>
    <s v="Mostly Registered"/>
    <n v="0"/>
    <n v="100"/>
    <s v="No"/>
    <s v="Low"/>
    <s v="No"/>
    <n v="1.21E-2"/>
  </r>
  <r>
    <n v="143"/>
    <x v="6"/>
    <n v="1"/>
    <n v="5"/>
    <b v="0"/>
    <n v="5"/>
    <n v="3"/>
    <n v="0.22"/>
    <x v="1"/>
    <n v="0.55000000000000004"/>
    <n v="0"/>
    <n v="0"/>
    <n v="5"/>
    <n v="5"/>
    <s v="Spring"/>
    <s v="Friday"/>
    <s v="Light Rain/Snow"/>
    <x v="0"/>
    <s v="Cold"/>
    <s v="Medium"/>
    <s v="Calm"/>
    <s v="Working Day"/>
    <s v="Mostly Registered"/>
    <n v="0"/>
    <n v="100"/>
    <s v="No"/>
    <s v="Low"/>
    <s v="No"/>
    <n v="5.2699999999999997E-2"/>
  </r>
  <r>
    <n v="144"/>
    <x v="6"/>
    <n v="1"/>
    <n v="6"/>
    <b v="0"/>
    <n v="5"/>
    <n v="2"/>
    <n v="0.2"/>
    <x v="2"/>
    <n v="0.69"/>
    <n v="0"/>
    <n v="8"/>
    <n v="26"/>
    <n v="34"/>
    <s v="Spring"/>
    <s v="Friday"/>
    <s v="Mist/Cloudy"/>
    <x v="1"/>
    <s v="Cold"/>
    <s v="Medium"/>
    <s v="Calm"/>
    <s v="Working Day"/>
    <s v="Mostly Registered"/>
    <n v="23.52941176470588"/>
    <n v="76.470588235294116"/>
    <s v="No"/>
    <s v="Low"/>
    <s v="No"/>
    <n v="5.7599999999999978E-2"/>
  </r>
  <r>
    <n v="145"/>
    <x v="6"/>
    <n v="1"/>
    <n v="7"/>
    <b v="0"/>
    <n v="5"/>
    <n v="1"/>
    <n v="0.2"/>
    <x v="11"/>
    <n v="0.69"/>
    <n v="0.1343"/>
    <n v="8"/>
    <n v="76"/>
    <n v="84"/>
    <s v="Spring"/>
    <s v="Friday"/>
    <s v="Clear"/>
    <x v="1"/>
    <s v="Cold"/>
    <s v="Medium"/>
    <s v="Calm"/>
    <s v="Working Day"/>
    <s v="Mostly Registered"/>
    <n v="9.5238095238095237"/>
    <n v="90.476190476190482"/>
    <s v="Yes"/>
    <s v="Low"/>
    <s v="No"/>
    <n v="1.21E-2"/>
  </r>
  <r>
    <n v="146"/>
    <x v="6"/>
    <n v="1"/>
    <n v="8"/>
    <b v="0"/>
    <n v="5"/>
    <n v="1"/>
    <n v="0.2"/>
    <x v="12"/>
    <n v="0.51"/>
    <n v="0.25369999999999998"/>
    <n v="20"/>
    <n v="190"/>
    <n v="210"/>
    <s v="Spring"/>
    <s v="Friday"/>
    <s v="Clear"/>
    <x v="1"/>
    <s v="Cold"/>
    <s v="Medium"/>
    <s v="Moderate"/>
    <s v="Working Day"/>
    <s v="Mostly Registered"/>
    <n v="9.5238095238095237"/>
    <n v="90.476190476190482"/>
    <s v="Yes"/>
    <s v="Medium"/>
    <s v="No"/>
    <n v="-3.0000000000000031E-3"/>
  </r>
  <r>
    <n v="147"/>
    <x v="6"/>
    <n v="1"/>
    <n v="9"/>
    <b v="0"/>
    <n v="5"/>
    <n v="1"/>
    <n v="0.2"/>
    <x v="17"/>
    <n v="0.47"/>
    <n v="0.29849999999999999"/>
    <n v="9"/>
    <n v="125"/>
    <n v="134"/>
    <s v="Spring"/>
    <s v="Friday"/>
    <s v="Clear"/>
    <x v="1"/>
    <s v="Cold"/>
    <s v="Medium"/>
    <s v="Moderate"/>
    <s v="Working Day"/>
    <s v="Mostly Registered"/>
    <n v="6.7164179104477606"/>
    <n v="93.28358208955224"/>
    <s v="Yes"/>
    <s v="Medium"/>
    <s v="No"/>
    <n v="-1.8200000000000022E-2"/>
  </r>
  <r>
    <n v="148"/>
    <x v="6"/>
    <n v="1"/>
    <n v="10"/>
    <b v="0"/>
    <n v="5"/>
    <n v="1"/>
    <n v="0.22"/>
    <x v="12"/>
    <n v="0.37"/>
    <n v="0.32840000000000003"/>
    <n v="16"/>
    <n v="47"/>
    <n v="63"/>
    <s v="Spring"/>
    <s v="Friday"/>
    <s v="Clear"/>
    <x v="1"/>
    <s v="Cold"/>
    <s v="Low"/>
    <s v="Windy"/>
    <s v="Working Day"/>
    <s v="Mostly Registered"/>
    <n v="25.396825396825399"/>
    <n v="74.603174603174608"/>
    <s v="No"/>
    <s v="Low"/>
    <s v="No"/>
    <n v="-2.2999999999999989E-2"/>
  </r>
  <r>
    <n v="149"/>
    <x v="6"/>
    <n v="1"/>
    <n v="11"/>
    <b v="0"/>
    <n v="5"/>
    <n v="2"/>
    <n v="0.2"/>
    <x v="12"/>
    <n v="0.4"/>
    <n v="0.22389999999999999"/>
    <n v="19"/>
    <n v="48"/>
    <n v="67"/>
    <s v="Spring"/>
    <s v="Friday"/>
    <s v="Mist/Cloudy"/>
    <x v="1"/>
    <s v="Cold"/>
    <s v="Medium"/>
    <s v="Moderate"/>
    <s v="Working Day"/>
    <s v="Mostly Registered"/>
    <n v="28.35820895522388"/>
    <n v="71.641791044776113"/>
    <s v="No"/>
    <s v="Low"/>
    <s v="No"/>
    <n v="-3.0000000000000031E-3"/>
  </r>
  <r>
    <n v="150"/>
    <x v="6"/>
    <n v="1"/>
    <n v="12"/>
    <b v="0"/>
    <n v="5"/>
    <n v="2"/>
    <n v="0.2"/>
    <x v="12"/>
    <n v="0.37"/>
    <n v="0.25369999999999998"/>
    <n v="9"/>
    <n v="50"/>
    <n v="59"/>
    <s v="Spring"/>
    <s v="Friday"/>
    <s v="Mist/Cloudy"/>
    <x v="2"/>
    <s v="Cold"/>
    <s v="Low"/>
    <s v="Moderate"/>
    <s v="Working Day"/>
    <s v="Mostly Registered"/>
    <n v="15.25423728813559"/>
    <n v="84.745762711864401"/>
    <s v="No"/>
    <s v="Low"/>
    <s v="No"/>
    <n v="-3.0000000000000031E-3"/>
  </r>
  <r>
    <n v="151"/>
    <x v="6"/>
    <n v="1"/>
    <n v="13"/>
    <b v="0"/>
    <n v="5"/>
    <n v="2"/>
    <n v="0.2"/>
    <x v="17"/>
    <n v="0.37"/>
    <n v="0.28360000000000002"/>
    <n v="9"/>
    <n v="64"/>
    <n v="73"/>
    <s v="Spring"/>
    <s v="Friday"/>
    <s v="Mist/Cloudy"/>
    <x v="2"/>
    <s v="Cold"/>
    <s v="Low"/>
    <s v="Moderate"/>
    <s v="Working Day"/>
    <s v="Mostly Registered"/>
    <n v="12.328767123287671"/>
    <n v="87.671232876712324"/>
    <s v="No"/>
    <s v="Low"/>
    <s v="No"/>
    <n v="-1.8200000000000022E-2"/>
  </r>
  <r>
    <n v="152"/>
    <x v="6"/>
    <n v="1"/>
    <n v="14"/>
    <b v="0"/>
    <n v="5"/>
    <n v="2"/>
    <n v="0.2"/>
    <x v="12"/>
    <n v="0.4"/>
    <n v="0.25369999999999998"/>
    <n v="7"/>
    <n v="43"/>
    <n v="50"/>
    <s v="Spring"/>
    <s v="Friday"/>
    <s v="Mist/Cloudy"/>
    <x v="2"/>
    <s v="Cold"/>
    <s v="Medium"/>
    <s v="Moderate"/>
    <s v="Working Day"/>
    <s v="Mostly Registered"/>
    <n v="14"/>
    <n v="86"/>
    <s v="No"/>
    <s v="Low"/>
    <s v="No"/>
    <n v="-3.0000000000000031E-3"/>
  </r>
  <r>
    <n v="153"/>
    <x v="6"/>
    <n v="1"/>
    <n v="15"/>
    <b v="0"/>
    <n v="5"/>
    <n v="2"/>
    <n v="0.2"/>
    <x v="11"/>
    <n v="0.37"/>
    <n v="0.16420000000000001"/>
    <n v="9"/>
    <n v="63"/>
    <n v="72"/>
    <s v="Spring"/>
    <s v="Friday"/>
    <s v="Mist/Cloudy"/>
    <x v="2"/>
    <s v="Cold"/>
    <s v="Low"/>
    <s v="Moderate"/>
    <s v="Working Day"/>
    <s v="Mostly Registered"/>
    <n v="12.5"/>
    <n v="87.5"/>
    <s v="No"/>
    <s v="Low"/>
    <s v="No"/>
    <n v="1.21E-2"/>
  </r>
  <r>
    <n v="154"/>
    <x v="6"/>
    <n v="1"/>
    <n v="16"/>
    <b v="0"/>
    <n v="5"/>
    <n v="2"/>
    <n v="0.2"/>
    <x v="11"/>
    <n v="0.37"/>
    <n v="0.16420000000000001"/>
    <n v="5"/>
    <n v="82"/>
    <n v="87"/>
    <s v="Spring"/>
    <s v="Friday"/>
    <s v="Mist/Cloudy"/>
    <x v="2"/>
    <s v="Cold"/>
    <s v="Low"/>
    <s v="Moderate"/>
    <s v="Working Day"/>
    <s v="Mostly Registered"/>
    <n v="5.7471264367816088"/>
    <n v="94.252873563218387"/>
    <s v="No"/>
    <s v="Low"/>
    <s v="No"/>
    <n v="1.21E-2"/>
  </r>
  <r>
    <n v="155"/>
    <x v="6"/>
    <n v="1"/>
    <n v="17"/>
    <b v="0"/>
    <n v="5"/>
    <n v="2"/>
    <n v="0.2"/>
    <x v="2"/>
    <n v="0.37"/>
    <n v="0"/>
    <n v="9"/>
    <n v="178"/>
    <n v="187"/>
    <s v="Spring"/>
    <s v="Friday"/>
    <s v="Mist/Cloudy"/>
    <x v="3"/>
    <s v="Cold"/>
    <s v="Low"/>
    <s v="Calm"/>
    <s v="Working Day"/>
    <s v="Mostly Registered"/>
    <n v="4.8128342245989302"/>
    <n v="95.18716577540107"/>
    <s v="Yes"/>
    <s v="Medium"/>
    <s v="No"/>
    <n v="5.7599999999999978E-2"/>
  </r>
  <r>
    <n v="156"/>
    <x v="6"/>
    <n v="1"/>
    <n v="18"/>
    <b v="0"/>
    <n v="5"/>
    <n v="1"/>
    <n v="0.2"/>
    <x v="10"/>
    <n v="0.4"/>
    <n v="8.9599999999999999E-2"/>
    <n v="7"/>
    <n v="116"/>
    <n v="123"/>
    <s v="Spring"/>
    <s v="Friday"/>
    <s v="Clear"/>
    <x v="3"/>
    <s v="Cold"/>
    <s v="Medium"/>
    <s v="Calm"/>
    <s v="Working Day"/>
    <s v="Mostly Registered"/>
    <n v="5.6910569105691051"/>
    <n v="94.308943089430898"/>
    <s v="Yes"/>
    <s v="Medium"/>
    <s v="No"/>
    <n v="2.7299999999999991E-2"/>
  </r>
  <r>
    <n v="157"/>
    <x v="6"/>
    <n v="1"/>
    <n v="19"/>
    <b v="0"/>
    <n v="5"/>
    <n v="1"/>
    <n v="0.16"/>
    <x v="12"/>
    <n v="0.55000000000000004"/>
    <n v="8.9599999999999999E-2"/>
    <n v="3"/>
    <n v="92"/>
    <n v="95"/>
    <s v="Spring"/>
    <s v="Friday"/>
    <s v="Clear"/>
    <x v="3"/>
    <s v="Cold"/>
    <s v="Medium"/>
    <s v="Calm"/>
    <s v="Working Day"/>
    <s v="Mostly Registered"/>
    <n v="3.1578947368421049"/>
    <n v="96.84210526315789"/>
    <s v="Yes"/>
    <s v="Low"/>
    <s v="No"/>
    <n v="3.7000000000000012E-2"/>
  </r>
  <r>
    <n v="158"/>
    <x v="6"/>
    <n v="1"/>
    <n v="20"/>
    <b v="0"/>
    <n v="5"/>
    <n v="1"/>
    <n v="0.18"/>
    <x v="11"/>
    <n v="0.47"/>
    <n v="0.1045"/>
    <n v="1"/>
    <n v="50"/>
    <n v="51"/>
    <s v="Spring"/>
    <s v="Friday"/>
    <s v="Clear"/>
    <x v="3"/>
    <s v="Cold"/>
    <s v="Medium"/>
    <s v="Calm"/>
    <s v="Working Day"/>
    <s v="Mostly Registered"/>
    <n v="1.9607843137254899"/>
    <n v="98.039215686274503"/>
    <s v="No"/>
    <s v="Low"/>
    <s v="No"/>
    <n v="3.2100000000000017E-2"/>
  </r>
  <r>
    <n v="159"/>
    <x v="6"/>
    <n v="1"/>
    <n v="21"/>
    <b v="0"/>
    <n v="5"/>
    <n v="1"/>
    <n v="0.18"/>
    <x v="12"/>
    <n v="0.47"/>
    <n v="0.1343"/>
    <n v="0"/>
    <n v="39"/>
    <n v="39"/>
    <s v="Spring"/>
    <s v="Friday"/>
    <s v="Clear"/>
    <x v="0"/>
    <s v="Cold"/>
    <s v="Medium"/>
    <s v="Calm"/>
    <s v="Working Day"/>
    <s v="Mostly Registered"/>
    <n v="0"/>
    <n v="100"/>
    <s v="No"/>
    <s v="Low"/>
    <s v="No"/>
    <n v="1.7000000000000019E-2"/>
  </r>
  <r>
    <n v="160"/>
    <x v="6"/>
    <n v="1"/>
    <n v="22"/>
    <b v="0"/>
    <n v="5"/>
    <n v="2"/>
    <n v="0.18"/>
    <x v="12"/>
    <n v="0.43"/>
    <n v="0.16420000000000001"/>
    <n v="2"/>
    <n v="34"/>
    <n v="36"/>
    <s v="Spring"/>
    <s v="Friday"/>
    <s v="Mist/Cloudy"/>
    <x v="0"/>
    <s v="Cold"/>
    <s v="Medium"/>
    <s v="Moderate"/>
    <s v="Working Day"/>
    <s v="Mostly Registered"/>
    <n v="5.5555555555555554"/>
    <n v="94.444444444444443"/>
    <s v="No"/>
    <s v="Low"/>
    <s v="No"/>
    <n v="1.7000000000000019E-2"/>
  </r>
  <r>
    <n v="161"/>
    <x v="6"/>
    <n v="1"/>
    <n v="23"/>
    <b v="0"/>
    <n v="5"/>
    <n v="2"/>
    <n v="0.18"/>
    <x v="12"/>
    <n v="0.51"/>
    <n v="0.16420000000000001"/>
    <n v="1"/>
    <n v="14"/>
    <n v="15"/>
    <s v="Spring"/>
    <s v="Friday"/>
    <s v="Mist/Cloudy"/>
    <x v="0"/>
    <s v="Cold"/>
    <s v="Medium"/>
    <s v="Moderate"/>
    <s v="Working Day"/>
    <s v="Mostly Registered"/>
    <n v="6.666666666666667"/>
    <n v="93.333333333333329"/>
    <s v="No"/>
    <s v="Low"/>
    <s v="No"/>
    <n v="1.7000000000000019E-2"/>
  </r>
  <r>
    <n v="162"/>
    <x v="7"/>
    <n v="1"/>
    <n v="0"/>
    <b v="0"/>
    <n v="6"/>
    <n v="2"/>
    <n v="0.18"/>
    <x v="12"/>
    <n v="0.51"/>
    <n v="0.16420000000000001"/>
    <n v="1"/>
    <n v="24"/>
    <n v="25"/>
    <s v="Spring"/>
    <s v="Saturday"/>
    <s v="Mist/Cloudy"/>
    <x v="0"/>
    <s v="Cold"/>
    <s v="Medium"/>
    <s v="Moderate"/>
    <s v="Working Day"/>
    <s v="Mostly Registered"/>
    <n v="4"/>
    <n v="96"/>
    <s v="No"/>
    <s v="Low"/>
    <s v="Yes"/>
    <n v="1.7000000000000019E-2"/>
  </r>
  <r>
    <n v="163"/>
    <x v="7"/>
    <n v="1"/>
    <n v="1"/>
    <b v="0"/>
    <n v="6"/>
    <n v="2"/>
    <n v="0.18"/>
    <x v="11"/>
    <n v="0.55000000000000004"/>
    <n v="8.9599999999999999E-2"/>
    <n v="1"/>
    <n v="15"/>
    <n v="16"/>
    <s v="Spring"/>
    <s v="Saturday"/>
    <s v="Mist/Cloudy"/>
    <x v="0"/>
    <s v="Cold"/>
    <s v="Medium"/>
    <s v="Calm"/>
    <s v="Working Day"/>
    <s v="Mostly Registered"/>
    <n v="6.25"/>
    <n v="93.75"/>
    <s v="No"/>
    <s v="Low"/>
    <s v="Yes"/>
    <n v="3.2100000000000017E-2"/>
  </r>
  <r>
    <n v="164"/>
    <x v="7"/>
    <n v="1"/>
    <n v="2"/>
    <b v="0"/>
    <n v="6"/>
    <n v="2"/>
    <n v="0.18"/>
    <x v="18"/>
    <n v="0.55000000000000004"/>
    <n v="0"/>
    <n v="3"/>
    <n v="13"/>
    <n v="16"/>
    <s v="Spring"/>
    <s v="Saturday"/>
    <s v="Mist/Cloudy"/>
    <x v="0"/>
    <s v="Cold"/>
    <s v="Medium"/>
    <s v="Calm"/>
    <s v="Working Day"/>
    <s v="Mostly Registered"/>
    <n v="18.75"/>
    <n v="81.25"/>
    <s v="No"/>
    <s v="Low"/>
    <s v="Yes"/>
    <n v="6.2400000000000011E-2"/>
  </r>
  <r>
    <n v="165"/>
    <x v="7"/>
    <n v="1"/>
    <n v="3"/>
    <b v="0"/>
    <n v="6"/>
    <n v="3"/>
    <n v="0.18"/>
    <x v="12"/>
    <n v="0.55000000000000004"/>
    <n v="0.16420000000000001"/>
    <n v="0"/>
    <n v="7"/>
    <n v="7"/>
    <s v="Spring"/>
    <s v="Saturday"/>
    <s v="Light Rain/Snow"/>
    <x v="0"/>
    <s v="Cold"/>
    <s v="Medium"/>
    <s v="Moderate"/>
    <s v="Working Day"/>
    <s v="Mostly Registered"/>
    <n v="0"/>
    <n v="100"/>
    <s v="No"/>
    <s v="Low"/>
    <s v="Yes"/>
    <n v="1.7000000000000019E-2"/>
  </r>
  <r>
    <n v="166"/>
    <x v="7"/>
    <n v="1"/>
    <n v="4"/>
    <b v="0"/>
    <n v="6"/>
    <n v="3"/>
    <n v="0.18"/>
    <x v="12"/>
    <n v="0.55000000000000004"/>
    <n v="0.16420000000000001"/>
    <n v="0"/>
    <n v="1"/>
    <n v="1"/>
    <s v="Spring"/>
    <s v="Saturday"/>
    <s v="Light Rain/Snow"/>
    <x v="0"/>
    <s v="Cold"/>
    <s v="Medium"/>
    <s v="Moderate"/>
    <s v="Working Day"/>
    <s v="Mostly Registered"/>
    <n v="0"/>
    <n v="100"/>
    <s v="No"/>
    <s v="Low"/>
    <s v="Yes"/>
    <n v="1.7000000000000019E-2"/>
  </r>
  <r>
    <n v="167"/>
    <x v="7"/>
    <n v="1"/>
    <n v="5"/>
    <b v="0"/>
    <n v="6"/>
    <n v="2"/>
    <n v="0.16"/>
    <x v="16"/>
    <n v="0.74"/>
    <n v="0.16420000000000001"/>
    <n v="0"/>
    <n v="5"/>
    <n v="5"/>
    <s v="Spring"/>
    <s v="Saturday"/>
    <s v="Mist/Cloudy"/>
    <x v="0"/>
    <s v="Cold"/>
    <s v="High"/>
    <s v="Moderate"/>
    <s v="Working Day"/>
    <s v="Mostly Registered"/>
    <n v="0"/>
    <n v="100"/>
    <s v="No"/>
    <s v="Low"/>
    <s v="Yes"/>
    <n v="6.6999999999999837E-3"/>
  </r>
  <r>
    <n v="168"/>
    <x v="7"/>
    <n v="1"/>
    <n v="6"/>
    <b v="0"/>
    <n v="6"/>
    <n v="2"/>
    <n v="0.16"/>
    <x v="16"/>
    <n v="0.74"/>
    <n v="0.16420000000000001"/>
    <n v="0"/>
    <n v="2"/>
    <n v="2"/>
    <s v="Spring"/>
    <s v="Saturday"/>
    <s v="Mist/Cloudy"/>
    <x v="1"/>
    <s v="Cold"/>
    <s v="High"/>
    <s v="Moderate"/>
    <s v="Working Day"/>
    <s v="Mostly Registered"/>
    <n v="0"/>
    <n v="100"/>
    <s v="No"/>
    <s v="Low"/>
    <s v="Yes"/>
    <n v="6.6999999999999837E-3"/>
  </r>
  <r>
    <n v="169"/>
    <x v="7"/>
    <n v="1"/>
    <n v="7"/>
    <b v="0"/>
    <n v="6"/>
    <n v="2"/>
    <n v="0.16"/>
    <x v="17"/>
    <n v="0.74"/>
    <n v="0.1045"/>
    <n v="1"/>
    <n v="8"/>
    <n v="9"/>
    <s v="Spring"/>
    <s v="Saturday"/>
    <s v="Mist/Cloudy"/>
    <x v="1"/>
    <s v="Cold"/>
    <s v="High"/>
    <s v="Calm"/>
    <s v="Working Day"/>
    <s v="Mostly Registered"/>
    <n v="11.111111111111111"/>
    <n v="88.888888888888886"/>
    <s v="Yes"/>
    <s v="Low"/>
    <s v="Yes"/>
    <n v="2.179999999999999E-2"/>
  </r>
  <r>
    <n v="170"/>
    <x v="7"/>
    <n v="1"/>
    <n v="8"/>
    <b v="0"/>
    <n v="6"/>
    <n v="3"/>
    <n v="0.16"/>
    <x v="17"/>
    <n v="0.93"/>
    <n v="0.1045"/>
    <n v="0"/>
    <n v="15"/>
    <n v="15"/>
    <s v="Spring"/>
    <s v="Saturday"/>
    <s v="Light Rain/Snow"/>
    <x v="1"/>
    <s v="Cold"/>
    <s v="High"/>
    <s v="Calm"/>
    <s v="Working Day"/>
    <s v="Mostly Registered"/>
    <n v="0"/>
    <n v="100"/>
    <s v="Yes"/>
    <s v="Low"/>
    <s v="Yes"/>
    <n v="2.179999999999999E-2"/>
  </r>
  <r>
    <n v="171"/>
    <x v="7"/>
    <n v="1"/>
    <n v="9"/>
    <b v="0"/>
    <n v="6"/>
    <n v="3"/>
    <n v="0.16"/>
    <x v="17"/>
    <n v="0.93"/>
    <n v="0.1045"/>
    <n v="0"/>
    <n v="20"/>
    <n v="20"/>
    <s v="Spring"/>
    <s v="Saturday"/>
    <s v="Light Rain/Snow"/>
    <x v="1"/>
    <s v="Cold"/>
    <s v="High"/>
    <s v="Calm"/>
    <s v="Working Day"/>
    <s v="Mostly Registered"/>
    <n v="0"/>
    <n v="100"/>
    <s v="Yes"/>
    <s v="Low"/>
    <s v="Yes"/>
    <n v="2.179999999999999E-2"/>
  </r>
  <r>
    <n v="172"/>
    <x v="7"/>
    <n v="1"/>
    <n v="10"/>
    <b v="0"/>
    <n v="6"/>
    <n v="2"/>
    <n v="0.18"/>
    <x v="12"/>
    <n v="0.8"/>
    <n v="0.16420000000000001"/>
    <n v="5"/>
    <n v="56"/>
    <n v="61"/>
    <s v="Spring"/>
    <s v="Saturday"/>
    <s v="Mist/Cloudy"/>
    <x v="1"/>
    <s v="Cold"/>
    <s v="High"/>
    <s v="Moderate"/>
    <s v="Working Day"/>
    <s v="Mostly Registered"/>
    <n v="8.1967213114754092"/>
    <n v="91.803278688524586"/>
    <s v="No"/>
    <s v="Low"/>
    <s v="Yes"/>
    <n v="1.7000000000000019E-2"/>
  </r>
  <r>
    <n v="173"/>
    <x v="7"/>
    <n v="1"/>
    <n v="11"/>
    <b v="0"/>
    <n v="6"/>
    <n v="2"/>
    <n v="0.2"/>
    <x v="17"/>
    <n v="0.69"/>
    <n v="0.3881"/>
    <n v="2"/>
    <n v="60"/>
    <n v="62"/>
    <s v="Spring"/>
    <s v="Saturday"/>
    <s v="Mist/Cloudy"/>
    <x v="1"/>
    <s v="Cold"/>
    <s v="Medium"/>
    <s v="Windy"/>
    <s v="Working Day"/>
    <s v="Mostly Registered"/>
    <n v="3.225806451612903"/>
    <n v="96.774193548387103"/>
    <s v="No"/>
    <s v="Low"/>
    <s v="Yes"/>
    <n v="-1.8200000000000022E-2"/>
  </r>
  <r>
    <n v="174"/>
    <x v="7"/>
    <n v="1"/>
    <n v="12"/>
    <b v="0"/>
    <n v="6"/>
    <n v="2"/>
    <n v="0.2"/>
    <x v="17"/>
    <n v="0.59"/>
    <n v="0.35820000000000002"/>
    <n v="8"/>
    <n v="90"/>
    <n v="98"/>
    <s v="Spring"/>
    <s v="Saturday"/>
    <s v="Mist/Cloudy"/>
    <x v="2"/>
    <s v="Cold"/>
    <s v="Medium"/>
    <s v="Windy"/>
    <s v="Working Day"/>
    <s v="Mostly Registered"/>
    <n v="8.1632653061224492"/>
    <n v="91.83673469387756"/>
    <s v="No"/>
    <s v="Low"/>
    <s v="Yes"/>
    <n v="-1.8200000000000022E-2"/>
  </r>
  <r>
    <n v="175"/>
    <x v="7"/>
    <n v="1"/>
    <n v="13"/>
    <b v="0"/>
    <n v="6"/>
    <n v="1"/>
    <n v="0.2"/>
    <x v="17"/>
    <n v="0.44"/>
    <n v="0.32840000000000003"/>
    <n v="7"/>
    <n v="95"/>
    <n v="102"/>
    <s v="Spring"/>
    <s v="Saturday"/>
    <s v="Clear"/>
    <x v="2"/>
    <s v="Cold"/>
    <s v="Medium"/>
    <s v="Windy"/>
    <s v="Working Day"/>
    <s v="Mostly Registered"/>
    <n v="6.8627450980392162"/>
    <n v="93.137254901960787"/>
    <s v="No"/>
    <s v="Medium"/>
    <s v="Yes"/>
    <n v="-1.8200000000000022E-2"/>
  </r>
  <r>
    <n v="176"/>
    <x v="7"/>
    <n v="1"/>
    <n v="14"/>
    <b v="0"/>
    <n v="6"/>
    <n v="1"/>
    <n v="0.2"/>
    <x v="16"/>
    <n v="0.32"/>
    <n v="0.49249999999999999"/>
    <n v="12"/>
    <n v="83"/>
    <n v="95"/>
    <s v="Spring"/>
    <s v="Saturday"/>
    <s v="Clear"/>
    <x v="2"/>
    <s v="Cold"/>
    <s v="Low"/>
    <s v="Windy"/>
    <s v="Working Day"/>
    <s v="Mostly Registered"/>
    <n v="12.631578947368419"/>
    <n v="87.368421052631589"/>
    <s v="No"/>
    <s v="Low"/>
    <s v="Yes"/>
    <n v="-3.3300000000000017E-2"/>
  </r>
  <r>
    <n v="177"/>
    <x v="7"/>
    <n v="1"/>
    <n v="15"/>
    <b v="0"/>
    <n v="6"/>
    <n v="1"/>
    <n v="0.2"/>
    <x v="16"/>
    <n v="0.32"/>
    <n v="0.44779999999999998"/>
    <n v="5"/>
    <n v="69"/>
    <n v="74"/>
    <s v="Spring"/>
    <s v="Saturday"/>
    <s v="Clear"/>
    <x v="2"/>
    <s v="Cold"/>
    <s v="Low"/>
    <s v="Windy"/>
    <s v="Working Day"/>
    <s v="Mostly Registered"/>
    <n v="6.756756756756757"/>
    <n v="93.243243243243242"/>
    <s v="No"/>
    <s v="Low"/>
    <s v="Yes"/>
    <n v="-3.3300000000000017E-2"/>
  </r>
  <r>
    <n v="178"/>
    <x v="7"/>
    <n v="1"/>
    <n v="16"/>
    <b v="0"/>
    <n v="6"/>
    <n v="1"/>
    <n v="0.18"/>
    <x v="13"/>
    <n v="0.28999999999999998"/>
    <n v="0.44779999999999998"/>
    <n v="8"/>
    <n v="68"/>
    <n v="76"/>
    <s v="Spring"/>
    <s v="Saturday"/>
    <s v="Clear"/>
    <x v="2"/>
    <s v="Cold"/>
    <s v="Low"/>
    <s v="Windy"/>
    <s v="Working Day"/>
    <s v="Mostly Registered"/>
    <n v="10.52631578947368"/>
    <n v="89.473684210526315"/>
    <s v="No"/>
    <s v="Low"/>
    <s v="Yes"/>
    <n v="-4.36E-2"/>
  </r>
  <r>
    <n v="179"/>
    <x v="7"/>
    <n v="1"/>
    <n v="17"/>
    <b v="0"/>
    <n v="6"/>
    <n v="1"/>
    <n v="0.16"/>
    <x v="15"/>
    <n v="0.37"/>
    <n v="0.55220000000000002"/>
    <n v="5"/>
    <n v="64"/>
    <n v="69"/>
    <s v="Spring"/>
    <s v="Saturday"/>
    <s v="Clear"/>
    <x v="3"/>
    <s v="Cold"/>
    <s v="Low"/>
    <s v="Windy"/>
    <s v="Working Day"/>
    <s v="Mostly Registered"/>
    <n v="7.2463768115942031"/>
    <n v="92.753623188405797"/>
    <s v="Yes"/>
    <s v="Low"/>
    <s v="Yes"/>
    <n v="-3.8800000000000001E-2"/>
  </r>
  <r>
    <n v="180"/>
    <x v="7"/>
    <n v="1"/>
    <n v="18"/>
    <b v="0"/>
    <n v="6"/>
    <n v="1"/>
    <n v="0.14000000000000001"/>
    <x v="15"/>
    <n v="0.39"/>
    <n v="0.29849999999999999"/>
    <n v="3"/>
    <n v="52"/>
    <n v="55"/>
    <s v="Spring"/>
    <s v="Saturday"/>
    <s v="Clear"/>
    <x v="3"/>
    <s v="Very Cold"/>
    <s v="Low"/>
    <s v="Moderate"/>
    <s v="Working Day"/>
    <s v="Mostly Registered"/>
    <n v="5.4545454545454541"/>
    <n v="94.545454545454547"/>
    <s v="Yes"/>
    <s v="Low"/>
    <s v="Yes"/>
    <n v="-1.8800000000000011E-2"/>
  </r>
  <r>
    <n v="181"/>
    <x v="7"/>
    <n v="1"/>
    <n v="19"/>
    <b v="0"/>
    <n v="6"/>
    <n v="1"/>
    <n v="0.14000000000000001"/>
    <x v="15"/>
    <n v="0.36"/>
    <n v="0.25369999999999998"/>
    <n v="4"/>
    <n v="26"/>
    <n v="30"/>
    <s v="Spring"/>
    <s v="Saturday"/>
    <s v="Clear"/>
    <x v="3"/>
    <s v="Very Cold"/>
    <s v="Low"/>
    <s v="Moderate"/>
    <s v="Working Day"/>
    <s v="Mostly Registered"/>
    <n v="13.33333333333333"/>
    <n v="86.666666666666671"/>
    <s v="Yes"/>
    <s v="Low"/>
    <s v="Yes"/>
    <n v="-1.8800000000000011E-2"/>
  </r>
  <r>
    <n v="182"/>
    <x v="7"/>
    <n v="1"/>
    <n v="20"/>
    <b v="0"/>
    <n v="6"/>
    <n v="1"/>
    <n v="0.12"/>
    <x v="15"/>
    <n v="0.36"/>
    <n v="0.25369999999999998"/>
    <n v="0"/>
    <n v="28"/>
    <n v="28"/>
    <s v="Spring"/>
    <s v="Saturday"/>
    <s v="Clear"/>
    <x v="3"/>
    <s v="Very Cold"/>
    <s v="Low"/>
    <s v="Moderate"/>
    <s v="Working Day"/>
    <s v="Mostly Registered"/>
    <n v="0"/>
    <n v="100"/>
    <s v="No"/>
    <s v="Low"/>
    <s v="Yes"/>
    <n v="1.2000000000000071E-3"/>
  </r>
  <r>
    <n v="183"/>
    <x v="7"/>
    <n v="1"/>
    <n v="21"/>
    <b v="0"/>
    <n v="6"/>
    <n v="1"/>
    <n v="0.12"/>
    <x v="14"/>
    <n v="0.39"/>
    <n v="0.35820000000000002"/>
    <n v="2"/>
    <n v="35"/>
    <n v="37"/>
    <s v="Spring"/>
    <s v="Saturday"/>
    <s v="Clear"/>
    <x v="0"/>
    <s v="Very Cold"/>
    <s v="Low"/>
    <s v="Windy"/>
    <s v="Working Day"/>
    <s v="Mostly Registered"/>
    <n v="5.4054054054054053"/>
    <n v="94.594594594594597"/>
    <s v="No"/>
    <s v="Low"/>
    <s v="Yes"/>
    <n v="-1.3899999999999999E-2"/>
  </r>
  <r>
    <n v="184"/>
    <x v="7"/>
    <n v="1"/>
    <n v="22"/>
    <b v="0"/>
    <n v="6"/>
    <n v="1"/>
    <n v="0.12"/>
    <x v="14"/>
    <n v="0.36"/>
    <n v="0.3881"/>
    <n v="1"/>
    <n v="33"/>
    <n v="34"/>
    <s v="Spring"/>
    <s v="Saturday"/>
    <s v="Clear"/>
    <x v="0"/>
    <s v="Very Cold"/>
    <s v="Low"/>
    <s v="Windy"/>
    <s v="Working Day"/>
    <s v="Mostly Registered"/>
    <n v="2.9411764705882351"/>
    <n v="97.058823529411768"/>
    <s v="No"/>
    <s v="Low"/>
    <s v="Yes"/>
    <n v="-1.3899999999999999E-2"/>
  </r>
  <r>
    <n v="185"/>
    <x v="7"/>
    <n v="1"/>
    <n v="23"/>
    <b v="0"/>
    <n v="6"/>
    <n v="1"/>
    <n v="0.1"/>
    <x v="21"/>
    <n v="0.39"/>
    <n v="0.44779999999999998"/>
    <n v="0"/>
    <n v="22"/>
    <n v="22"/>
    <s v="Spring"/>
    <s v="Saturday"/>
    <s v="Clear"/>
    <x v="0"/>
    <s v="Very Cold"/>
    <s v="Low"/>
    <s v="Windy"/>
    <s v="Working Day"/>
    <s v="Mostly Registered"/>
    <n v="0"/>
    <n v="100"/>
    <s v="No"/>
    <s v="Low"/>
    <s v="Yes"/>
    <n v="-3.9399999999999998E-2"/>
  </r>
  <r>
    <n v="186"/>
    <x v="8"/>
    <n v="1"/>
    <n v="0"/>
    <b v="0"/>
    <n v="0"/>
    <n v="1"/>
    <n v="0.1"/>
    <x v="22"/>
    <n v="0.42"/>
    <n v="0.3881"/>
    <n v="1"/>
    <n v="24"/>
    <n v="25"/>
    <s v="Spring"/>
    <s v="Sunday"/>
    <s v="Clear"/>
    <x v="0"/>
    <s v="Very Cold"/>
    <s v="Medium"/>
    <s v="Windy"/>
    <s v="Working Day"/>
    <s v="Mostly Registered"/>
    <n v="4"/>
    <n v="96"/>
    <s v="No"/>
    <s v="Low"/>
    <s v="Yes"/>
    <n v="-2.4199999999999999E-2"/>
  </r>
  <r>
    <n v="187"/>
    <x v="8"/>
    <n v="1"/>
    <n v="1"/>
    <b v="0"/>
    <n v="0"/>
    <n v="1"/>
    <n v="0.1"/>
    <x v="21"/>
    <n v="0.42"/>
    <n v="0.4627"/>
    <n v="0"/>
    <n v="12"/>
    <n v="12"/>
    <s v="Spring"/>
    <s v="Sunday"/>
    <s v="Clear"/>
    <x v="0"/>
    <s v="Very Cold"/>
    <s v="Medium"/>
    <s v="Windy"/>
    <s v="Working Day"/>
    <s v="Mostly Registered"/>
    <n v="0"/>
    <n v="100"/>
    <s v="No"/>
    <s v="Low"/>
    <s v="Yes"/>
    <n v="-3.9399999999999998E-2"/>
  </r>
  <r>
    <n v="188"/>
    <x v="8"/>
    <n v="1"/>
    <n v="2"/>
    <b v="0"/>
    <n v="0"/>
    <n v="1"/>
    <n v="0.1"/>
    <x v="21"/>
    <n v="0.46"/>
    <n v="0.4627"/>
    <n v="0"/>
    <n v="11"/>
    <n v="11"/>
    <s v="Spring"/>
    <s v="Sunday"/>
    <s v="Clear"/>
    <x v="0"/>
    <s v="Very Cold"/>
    <s v="Medium"/>
    <s v="Windy"/>
    <s v="Working Day"/>
    <s v="Mostly Registered"/>
    <n v="0"/>
    <n v="100"/>
    <s v="No"/>
    <s v="Low"/>
    <s v="Yes"/>
    <n v="-3.9399999999999998E-2"/>
  </r>
  <r>
    <n v="189"/>
    <x v="8"/>
    <n v="1"/>
    <n v="3"/>
    <b v="0"/>
    <n v="0"/>
    <n v="1"/>
    <n v="0.1"/>
    <x v="22"/>
    <n v="0.46"/>
    <n v="0.41789999999999999"/>
    <n v="0"/>
    <n v="4"/>
    <n v="4"/>
    <s v="Spring"/>
    <s v="Sunday"/>
    <s v="Clear"/>
    <x v="0"/>
    <s v="Very Cold"/>
    <s v="Medium"/>
    <s v="Windy"/>
    <s v="Working Day"/>
    <s v="Mostly Registered"/>
    <n v="0"/>
    <n v="100"/>
    <s v="No"/>
    <s v="Low"/>
    <s v="Yes"/>
    <n v="-2.4199999999999999E-2"/>
  </r>
  <r>
    <n v="190"/>
    <x v="8"/>
    <n v="1"/>
    <n v="4"/>
    <b v="0"/>
    <n v="0"/>
    <n v="1"/>
    <n v="0.08"/>
    <x v="23"/>
    <n v="0.53"/>
    <n v="0.19400000000000001"/>
    <n v="0"/>
    <n v="1"/>
    <n v="1"/>
    <s v="Spring"/>
    <s v="Sunday"/>
    <s v="Clear"/>
    <x v="0"/>
    <s v="Very Cold"/>
    <s v="Medium"/>
    <s v="Moderate"/>
    <s v="Working Day"/>
    <s v="Mostly Registered"/>
    <n v="0"/>
    <n v="100"/>
    <s v="No"/>
    <s v="Low"/>
    <s v="Yes"/>
    <n v="1.089999999999999E-2"/>
  </r>
  <r>
    <n v="191"/>
    <x v="8"/>
    <n v="1"/>
    <n v="5"/>
    <b v="0"/>
    <n v="0"/>
    <n v="1"/>
    <n v="0.08"/>
    <x v="23"/>
    <n v="0.53"/>
    <n v="0.19400000000000001"/>
    <n v="0"/>
    <n v="1"/>
    <n v="1"/>
    <s v="Spring"/>
    <s v="Sunday"/>
    <s v="Clear"/>
    <x v="0"/>
    <s v="Very Cold"/>
    <s v="Medium"/>
    <s v="Moderate"/>
    <s v="Working Day"/>
    <s v="Mostly Registered"/>
    <n v="0"/>
    <n v="100"/>
    <s v="No"/>
    <s v="Low"/>
    <s v="Yes"/>
    <n v="1.089999999999999E-2"/>
  </r>
  <r>
    <n v="192"/>
    <x v="8"/>
    <n v="1"/>
    <n v="6"/>
    <b v="0"/>
    <n v="0"/>
    <n v="1"/>
    <n v="0.1"/>
    <x v="23"/>
    <n v="0.49"/>
    <n v="0.28360000000000002"/>
    <n v="0"/>
    <n v="1"/>
    <n v="1"/>
    <s v="Spring"/>
    <s v="Sunday"/>
    <s v="Clear"/>
    <x v="1"/>
    <s v="Very Cold"/>
    <s v="Medium"/>
    <s v="Moderate"/>
    <s v="Working Day"/>
    <s v="Mostly Registered"/>
    <n v="0"/>
    <n v="100"/>
    <s v="No"/>
    <s v="Low"/>
    <s v="Yes"/>
    <n v="-9.1000000000000109E-3"/>
  </r>
  <r>
    <n v="193"/>
    <x v="8"/>
    <n v="1"/>
    <n v="7"/>
    <b v="0"/>
    <n v="0"/>
    <n v="1"/>
    <n v="0.08"/>
    <x v="23"/>
    <n v="0.53"/>
    <n v="0.19400000000000001"/>
    <n v="1"/>
    <n v="5"/>
    <n v="6"/>
    <s v="Spring"/>
    <s v="Sunday"/>
    <s v="Clear"/>
    <x v="1"/>
    <s v="Very Cold"/>
    <s v="Medium"/>
    <s v="Moderate"/>
    <s v="Working Day"/>
    <s v="Mostly Registered"/>
    <n v="16.666666666666661"/>
    <n v="83.333333333333343"/>
    <s v="Yes"/>
    <s v="Low"/>
    <s v="Yes"/>
    <n v="1.089999999999999E-2"/>
  </r>
  <r>
    <n v="194"/>
    <x v="8"/>
    <n v="1"/>
    <n v="8"/>
    <b v="0"/>
    <n v="0"/>
    <n v="1"/>
    <n v="0.1"/>
    <x v="23"/>
    <n v="0.49"/>
    <n v="0.28360000000000002"/>
    <n v="0"/>
    <n v="10"/>
    <n v="10"/>
    <s v="Spring"/>
    <s v="Sunday"/>
    <s v="Clear"/>
    <x v="1"/>
    <s v="Very Cold"/>
    <s v="Medium"/>
    <s v="Moderate"/>
    <s v="Working Day"/>
    <s v="Mostly Registered"/>
    <n v="0"/>
    <n v="100"/>
    <s v="Yes"/>
    <s v="Low"/>
    <s v="Yes"/>
    <n v="-9.1000000000000109E-3"/>
  </r>
  <r>
    <n v="195"/>
    <x v="8"/>
    <n v="1"/>
    <n v="9"/>
    <b v="0"/>
    <n v="0"/>
    <n v="1"/>
    <n v="0.12"/>
    <x v="22"/>
    <n v="0.46"/>
    <n v="0.52239999999999998"/>
    <n v="0"/>
    <n v="19"/>
    <n v="19"/>
    <s v="Spring"/>
    <s v="Sunday"/>
    <s v="Clear"/>
    <x v="1"/>
    <s v="Very Cold"/>
    <s v="Medium"/>
    <s v="Windy"/>
    <s v="Working Day"/>
    <s v="Mostly Registered"/>
    <n v="0"/>
    <n v="100"/>
    <s v="Yes"/>
    <s v="Low"/>
    <s v="Yes"/>
    <n v="-4.4199999999999989E-2"/>
  </r>
  <r>
    <n v="196"/>
    <x v="8"/>
    <n v="1"/>
    <n v="10"/>
    <b v="0"/>
    <n v="0"/>
    <n v="1"/>
    <n v="0.14000000000000001"/>
    <x v="14"/>
    <n v="0.43"/>
    <n v="0.3881"/>
    <n v="0"/>
    <n v="49"/>
    <n v="49"/>
    <s v="Spring"/>
    <s v="Sunday"/>
    <s v="Clear"/>
    <x v="1"/>
    <s v="Very Cold"/>
    <s v="Medium"/>
    <s v="Windy"/>
    <s v="Working Day"/>
    <s v="Mostly Registered"/>
    <n v="0"/>
    <n v="100"/>
    <s v="No"/>
    <s v="Low"/>
    <s v="Yes"/>
    <n v="-3.3900000000000013E-2"/>
  </r>
  <r>
    <n v="197"/>
    <x v="8"/>
    <n v="1"/>
    <n v="11"/>
    <b v="0"/>
    <n v="0"/>
    <n v="1"/>
    <n v="0.16"/>
    <x v="15"/>
    <n v="0.4"/>
    <n v="0.52239999999999998"/>
    <n v="2"/>
    <n v="47"/>
    <n v="49"/>
    <s v="Spring"/>
    <s v="Sunday"/>
    <s v="Clear"/>
    <x v="1"/>
    <s v="Cold"/>
    <s v="Medium"/>
    <s v="Windy"/>
    <s v="Working Day"/>
    <s v="Mostly Registered"/>
    <n v="4.0816326530612246"/>
    <n v="95.918367346938766"/>
    <s v="No"/>
    <s v="Low"/>
    <s v="Yes"/>
    <n v="-3.8800000000000001E-2"/>
  </r>
  <r>
    <n v="198"/>
    <x v="8"/>
    <n v="1"/>
    <n v="12"/>
    <b v="0"/>
    <n v="0"/>
    <n v="1"/>
    <n v="0.18"/>
    <x v="13"/>
    <n v="0.37"/>
    <n v="0.44779999999999998"/>
    <n v="4"/>
    <n v="79"/>
    <n v="83"/>
    <s v="Spring"/>
    <s v="Sunday"/>
    <s v="Clear"/>
    <x v="2"/>
    <s v="Cold"/>
    <s v="Low"/>
    <s v="Windy"/>
    <s v="Working Day"/>
    <s v="Mostly Registered"/>
    <n v="4.8192771084337354"/>
    <n v="95.180722891566262"/>
    <s v="No"/>
    <s v="Low"/>
    <s v="Yes"/>
    <n v="-4.36E-2"/>
  </r>
  <r>
    <n v="199"/>
    <x v="8"/>
    <n v="1"/>
    <n v="13"/>
    <b v="0"/>
    <n v="0"/>
    <n v="1"/>
    <n v="0.2"/>
    <x v="16"/>
    <n v="0.34"/>
    <n v="0.44779999999999998"/>
    <n v="6"/>
    <n v="69"/>
    <n v="75"/>
    <s v="Spring"/>
    <s v="Sunday"/>
    <s v="Clear"/>
    <x v="2"/>
    <s v="Cold"/>
    <s v="Low"/>
    <s v="Windy"/>
    <s v="Working Day"/>
    <s v="Mostly Registered"/>
    <n v="8"/>
    <n v="92"/>
    <s v="No"/>
    <s v="Low"/>
    <s v="Yes"/>
    <n v="-3.3300000000000017E-2"/>
  </r>
  <r>
    <n v="200"/>
    <x v="8"/>
    <n v="1"/>
    <n v="14"/>
    <b v="0"/>
    <n v="0"/>
    <n v="1"/>
    <n v="0.22"/>
    <x v="17"/>
    <n v="0.32"/>
    <n v="0.4627"/>
    <n v="8"/>
    <n v="64"/>
    <n v="72"/>
    <s v="Spring"/>
    <s v="Sunday"/>
    <s v="Clear"/>
    <x v="2"/>
    <s v="Cold"/>
    <s v="Low"/>
    <s v="Windy"/>
    <s v="Working Day"/>
    <s v="Mostly Registered"/>
    <n v="11.111111111111111"/>
    <n v="88.888888888888886"/>
    <s v="No"/>
    <s v="Low"/>
    <s v="Yes"/>
    <n v="-3.8200000000000012E-2"/>
  </r>
  <r>
    <n v="201"/>
    <x v="8"/>
    <n v="1"/>
    <n v="15"/>
    <b v="0"/>
    <n v="0"/>
    <n v="1"/>
    <n v="0.22"/>
    <x v="12"/>
    <n v="0.35"/>
    <n v="0.35820000000000002"/>
    <n v="5"/>
    <n v="77"/>
    <n v="82"/>
    <s v="Spring"/>
    <s v="Sunday"/>
    <s v="Clear"/>
    <x v="2"/>
    <s v="Cold"/>
    <s v="Low"/>
    <s v="Windy"/>
    <s v="Working Day"/>
    <s v="Mostly Registered"/>
    <n v="6.0975609756097562"/>
    <n v="93.902439024390233"/>
    <s v="No"/>
    <s v="Low"/>
    <s v="Yes"/>
    <n v="-2.2999999999999989E-2"/>
  </r>
  <r>
    <n v="202"/>
    <x v="8"/>
    <n v="1"/>
    <n v="16"/>
    <b v="0"/>
    <n v="0"/>
    <n v="1"/>
    <n v="0.2"/>
    <x v="16"/>
    <n v="0.34"/>
    <n v="0.44779999999999998"/>
    <n v="13"/>
    <n v="79"/>
    <n v="92"/>
    <s v="Spring"/>
    <s v="Sunday"/>
    <s v="Clear"/>
    <x v="2"/>
    <s v="Cold"/>
    <s v="Low"/>
    <s v="Windy"/>
    <s v="Working Day"/>
    <s v="Mostly Registered"/>
    <n v="14.130434782608701"/>
    <n v="85.869565217391312"/>
    <s v="No"/>
    <s v="Low"/>
    <s v="Yes"/>
    <n v="-3.3300000000000017E-2"/>
  </r>
  <r>
    <n v="203"/>
    <x v="8"/>
    <n v="1"/>
    <n v="17"/>
    <b v="0"/>
    <n v="0"/>
    <n v="1"/>
    <n v="0.18"/>
    <x v="19"/>
    <n v="0.37"/>
    <n v="0.3881"/>
    <n v="3"/>
    <n v="59"/>
    <n v="62"/>
    <s v="Spring"/>
    <s v="Sunday"/>
    <s v="Clear"/>
    <x v="3"/>
    <s v="Cold"/>
    <s v="Low"/>
    <s v="Windy"/>
    <s v="Working Day"/>
    <s v="Mostly Registered"/>
    <n v="4.838709677419355"/>
    <n v="95.161290322580655"/>
    <s v="Yes"/>
    <s v="Low"/>
    <s v="Yes"/>
    <n v="-2.8500000000000001E-2"/>
  </r>
  <r>
    <n v="204"/>
    <x v="8"/>
    <n v="1"/>
    <n v="18"/>
    <b v="0"/>
    <n v="0"/>
    <n v="1"/>
    <n v="0.16"/>
    <x v="13"/>
    <n v="0.4"/>
    <n v="0.32840000000000003"/>
    <n v="4"/>
    <n v="44"/>
    <n v="48"/>
    <s v="Spring"/>
    <s v="Sunday"/>
    <s v="Clear"/>
    <x v="3"/>
    <s v="Cold"/>
    <s v="Medium"/>
    <s v="Windy"/>
    <s v="Working Day"/>
    <s v="Mostly Registered"/>
    <n v="8.3333333333333321"/>
    <n v="91.666666666666657"/>
    <s v="Yes"/>
    <s v="Low"/>
    <s v="Yes"/>
    <n v="-2.360000000000001E-2"/>
  </r>
  <r>
    <n v="205"/>
    <x v="8"/>
    <n v="1"/>
    <n v="19"/>
    <b v="0"/>
    <n v="0"/>
    <n v="1"/>
    <n v="0.16"/>
    <x v="13"/>
    <n v="0.43"/>
    <n v="0.32840000000000003"/>
    <n v="1"/>
    <n v="40"/>
    <n v="41"/>
    <s v="Spring"/>
    <s v="Sunday"/>
    <s v="Clear"/>
    <x v="3"/>
    <s v="Cold"/>
    <s v="Medium"/>
    <s v="Windy"/>
    <s v="Working Day"/>
    <s v="Mostly Registered"/>
    <n v="2.4390243902439019"/>
    <n v="97.560975609756099"/>
    <s v="Yes"/>
    <s v="Low"/>
    <s v="Yes"/>
    <n v="-2.360000000000001E-2"/>
  </r>
  <r>
    <n v="206"/>
    <x v="8"/>
    <n v="1"/>
    <n v="20"/>
    <b v="0"/>
    <n v="0"/>
    <n v="1"/>
    <n v="0.14000000000000001"/>
    <x v="15"/>
    <n v="0.46"/>
    <n v="0.25369999999999998"/>
    <n v="0"/>
    <n v="38"/>
    <n v="38"/>
    <s v="Spring"/>
    <s v="Sunday"/>
    <s v="Clear"/>
    <x v="3"/>
    <s v="Very Cold"/>
    <s v="Medium"/>
    <s v="Moderate"/>
    <s v="Working Day"/>
    <s v="Mostly Registered"/>
    <n v="0"/>
    <n v="100"/>
    <s v="No"/>
    <s v="Low"/>
    <s v="Yes"/>
    <n v="-1.8800000000000011E-2"/>
  </r>
  <r>
    <n v="207"/>
    <x v="8"/>
    <n v="1"/>
    <n v="21"/>
    <b v="0"/>
    <n v="0"/>
    <n v="1"/>
    <n v="0.14000000000000001"/>
    <x v="14"/>
    <n v="0.46"/>
    <n v="0.41789999999999999"/>
    <n v="1"/>
    <n v="19"/>
    <n v="20"/>
    <s v="Spring"/>
    <s v="Sunday"/>
    <s v="Clear"/>
    <x v="0"/>
    <s v="Very Cold"/>
    <s v="Medium"/>
    <s v="Windy"/>
    <s v="Working Day"/>
    <s v="Mostly Registered"/>
    <n v="5"/>
    <n v="95"/>
    <s v="No"/>
    <s v="Low"/>
    <s v="Yes"/>
    <n v="-3.3900000000000013E-2"/>
  </r>
  <r>
    <n v="208"/>
    <x v="8"/>
    <n v="1"/>
    <n v="22"/>
    <b v="0"/>
    <n v="0"/>
    <n v="1"/>
    <n v="0.14000000000000001"/>
    <x v="15"/>
    <n v="0.46"/>
    <n v="0.29849999999999999"/>
    <n v="5"/>
    <n v="10"/>
    <n v="15"/>
    <s v="Spring"/>
    <s v="Sunday"/>
    <s v="Clear"/>
    <x v="0"/>
    <s v="Very Cold"/>
    <s v="Medium"/>
    <s v="Moderate"/>
    <s v="Working Day"/>
    <s v="Mostly Registered"/>
    <n v="33.333333333333329"/>
    <n v="66.666666666666657"/>
    <s v="No"/>
    <s v="Low"/>
    <s v="Yes"/>
    <n v="-1.8800000000000011E-2"/>
  </r>
  <r>
    <n v="209"/>
    <x v="8"/>
    <n v="1"/>
    <n v="23"/>
    <b v="0"/>
    <n v="0"/>
    <n v="1"/>
    <n v="0.12"/>
    <x v="13"/>
    <n v="0.5"/>
    <n v="0.19400000000000001"/>
    <n v="0"/>
    <n v="6"/>
    <n v="6"/>
    <s v="Spring"/>
    <s v="Sunday"/>
    <s v="Clear"/>
    <x v="0"/>
    <s v="Very Cold"/>
    <s v="Medium"/>
    <s v="Moderate"/>
    <s v="Working Day"/>
    <s v="Mostly Registered"/>
    <n v="0"/>
    <n v="100"/>
    <s v="No"/>
    <s v="Low"/>
    <s v="Yes"/>
    <n v="1.6400000000000001E-2"/>
  </r>
  <r>
    <n v="210"/>
    <x v="9"/>
    <n v="1"/>
    <n v="0"/>
    <b v="0"/>
    <n v="1"/>
    <n v="1"/>
    <n v="0.12"/>
    <x v="15"/>
    <n v="0.5"/>
    <n v="0.28360000000000002"/>
    <n v="2"/>
    <n v="3"/>
    <n v="5"/>
    <s v="Spring"/>
    <s v="Monday"/>
    <s v="Clear"/>
    <x v="0"/>
    <s v="Very Cold"/>
    <s v="Medium"/>
    <s v="Moderate"/>
    <s v="Working Day"/>
    <s v="Mostly Registered"/>
    <n v="40"/>
    <n v="60"/>
    <s v="No"/>
    <s v="Low"/>
    <s v="No"/>
    <n v="1.2000000000000071E-3"/>
  </r>
  <r>
    <n v="211"/>
    <x v="9"/>
    <n v="1"/>
    <n v="1"/>
    <b v="0"/>
    <n v="1"/>
    <n v="1"/>
    <n v="0.12"/>
    <x v="15"/>
    <n v="0.5"/>
    <n v="0.28360000000000002"/>
    <n v="1"/>
    <n v="0"/>
    <n v="1"/>
    <s v="Spring"/>
    <s v="Monday"/>
    <s v="Clear"/>
    <x v="0"/>
    <s v="Very Cold"/>
    <s v="Medium"/>
    <s v="Moderate"/>
    <s v="Working Day"/>
    <s v="Mostly Casual"/>
    <n v="100"/>
    <n v="0"/>
    <s v="No"/>
    <s v="Low"/>
    <s v="No"/>
    <n v="1.2000000000000071E-3"/>
  </r>
  <r>
    <n v="212"/>
    <x v="9"/>
    <n v="1"/>
    <n v="2"/>
    <b v="0"/>
    <n v="1"/>
    <n v="1"/>
    <n v="0.12"/>
    <x v="15"/>
    <n v="0.5"/>
    <n v="0.22389999999999999"/>
    <n v="0"/>
    <n v="3"/>
    <n v="3"/>
    <s v="Spring"/>
    <s v="Monday"/>
    <s v="Clear"/>
    <x v="0"/>
    <s v="Very Cold"/>
    <s v="Medium"/>
    <s v="Moderate"/>
    <s v="Working Day"/>
    <s v="Mostly Registered"/>
    <n v="0"/>
    <n v="100"/>
    <s v="No"/>
    <s v="Low"/>
    <s v="No"/>
    <n v="1.2000000000000071E-3"/>
  </r>
  <r>
    <n v="213"/>
    <x v="9"/>
    <n v="1"/>
    <n v="3"/>
    <b v="0"/>
    <n v="1"/>
    <n v="1"/>
    <n v="0.12"/>
    <x v="15"/>
    <n v="0.5"/>
    <n v="0.22389999999999999"/>
    <n v="0"/>
    <n v="1"/>
    <n v="1"/>
    <s v="Spring"/>
    <s v="Monday"/>
    <s v="Clear"/>
    <x v="0"/>
    <s v="Very Cold"/>
    <s v="Medium"/>
    <s v="Moderate"/>
    <s v="Working Day"/>
    <s v="Mostly Registered"/>
    <n v="0"/>
    <n v="100"/>
    <s v="No"/>
    <s v="Low"/>
    <s v="No"/>
    <n v="1.2000000000000071E-3"/>
  </r>
  <r>
    <n v="214"/>
    <x v="9"/>
    <n v="1"/>
    <n v="4"/>
    <b v="0"/>
    <n v="1"/>
    <n v="1"/>
    <n v="0.1"/>
    <x v="15"/>
    <n v="0.54"/>
    <n v="0.1343"/>
    <n v="1"/>
    <n v="2"/>
    <n v="3"/>
    <s v="Spring"/>
    <s v="Monday"/>
    <s v="Clear"/>
    <x v="0"/>
    <s v="Very Cold"/>
    <s v="Medium"/>
    <s v="Calm"/>
    <s v="Working Day"/>
    <s v="Mostly Registered"/>
    <n v="33.333333333333329"/>
    <n v="66.666666666666657"/>
    <s v="No"/>
    <s v="Low"/>
    <s v="No"/>
    <n v="2.12E-2"/>
  </r>
  <r>
    <n v="215"/>
    <x v="9"/>
    <n v="1"/>
    <n v="5"/>
    <b v="0"/>
    <n v="1"/>
    <n v="1"/>
    <n v="0.1"/>
    <x v="14"/>
    <n v="0.54"/>
    <n v="0.25369999999999998"/>
    <n v="0"/>
    <n v="3"/>
    <n v="3"/>
    <s v="Spring"/>
    <s v="Monday"/>
    <s v="Clear"/>
    <x v="0"/>
    <s v="Very Cold"/>
    <s v="Medium"/>
    <s v="Moderate"/>
    <s v="Working Day"/>
    <s v="Mostly Registered"/>
    <n v="0"/>
    <n v="100"/>
    <s v="No"/>
    <s v="Low"/>
    <s v="No"/>
    <n v="6.0999999999999943E-3"/>
  </r>
  <r>
    <n v="216"/>
    <x v="9"/>
    <n v="1"/>
    <n v="6"/>
    <b v="0"/>
    <n v="1"/>
    <n v="1"/>
    <n v="0.12"/>
    <x v="15"/>
    <n v="0.5"/>
    <n v="0.28360000000000002"/>
    <n v="0"/>
    <n v="31"/>
    <n v="31"/>
    <s v="Spring"/>
    <s v="Monday"/>
    <s v="Clear"/>
    <x v="1"/>
    <s v="Very Cold"/>
    <s v="Medium"/>
    <s v="Moderate"/>
    <s v="Working Day"/>
    <s v="Mostly Registered"/>
    <n v="0"/>
    <n v="100"/>
    <s v="No"/>
    <s v="Low"/>
    <s v="No"/>
    <n v="1.2000000000000071E-3"/>
  </r>
  <r>
    <n v="217"/>
    <x v="9"/>
    <n v="1"/>
    <n v="7"/>
    <b v="0"/>
    <n v="1"/>
    <n v="1"/>
    <n v="0.12"/>
    <x v="15"/>
    <n v="0.5"/>
    <n v="0.22389999999999999"/>
    <n v="2"/>
    <n v="75"/>
    <n v="77"/>
    <s v="Spring"/>
    <s v="Monday"/>
    <s v="Clear"/>
    <x v="1"/>
    <s v="Very Cold"/>
    <s v="Medium"/>
    <s v="Moderate"/>
    <s v="Working Day"/>
    <s v="Mostly Registered"/>
    <n v="2.5974025974025969"/>
    <n v="97.402597402597408"/>
    <s v="Yes"/>
    <s v="Low"/>
    <s v="No"/>
    <n v="1.2000000000000071E-3"/>
  </r>
  <r>
    <n v="218"/>
    <x v="9"/>
    <n v="1"/>
    <n v="8"/>
    <b v="0"/>
    <n v="1"/>
    <n v="2"/>
    <n v="0.12"/>
    <x v="15"/>
    <n v="0.5"/>
    <n v="0.28360000000000002"/>
    <n v="4"/>
    <n v="184"/>
    <n v="188"/>
    <s v="Spring"/>
    <s v="Monday"/>
    <s v="Mist/Cloudy"/>
    <x v="1"/>
    <s v="Very Cold"/>
    <s v="Medium"/>
    <s v="Moderate"/>
    <s v="Working Day"/>
    <s v="Mostly Registered"/>
    <n v="2.1276595744680851"/>
    <n v="97.872340425531917"/>
    <s v="Yes"/>
    <s v="Medium"/>
    <s v="No"/>
    <n v="1.2000000000000071E-3"/>
  </r>
  <r>
    <n v="219"/>
    <x v="9"/>
    <n v="1"/>
    <n v="9"/>
    <b v="0"/>
    <n v="1"/>
    <n v="2"/>
    <n v="0.14000000000000001"/>
    <x v="15"/>
    <n v="0.5"/>
    <n v="0.25369999999999998"/>
    <n v="2"/>
    <n v="92"/>
    <n v="94"/>
    <s v="Spring"/>
    <s v="Monday"/>
    <s v="Mist/Cloudy"/>
    <x v="1"/>
    <s v="Very Cold"/>
    <s v="Medium"/>
    <s v="Moderate"/>
    <s v="Working Day"/>
    <s v="Mostly Registered"/>
    <n v="2.1276595744680851"/>
    <n v="97.872340425531917"/>
    <s v="Yes"/>
    <s v="Low"/>
    <s v="No"/>
    <n v="-1.8800000000000011E-2"/>
  </r>
  <r>
    <n v="220"/>
    <x v="9"/>
    <n v="1"/>
    <n v="10"/>
    <b v="0"/>
    <n v="1"/>
    <n v="2"/>
    <n v="0.14000000000000001"/>
    <x v="15"/>
    <n v="0.5"/>
    <n v="0.29849999999999999"/>
    <n v="0"/>
    <n v="31"/>
    <n v="31"/>
    <s v="Spring"/>
    <s v="Monday"/>
    <s v="Mist/Cloudy"/>
    <x v="1"/>
    <s v="Very Cold"/>
    <s v="Medium"/>
    <s v="Moderate"/>
    <s v="Working Day"/>
    <s v="Mostly Registered"/>
    <n v="0"/>
    <n v="100"/>
    <s v="No"/>
    <s v="Low"/>
    <s v="No"/>
    <n v="-1.8800000000000011E-2"/>
  </r>
  <r>
    <n v="221"/>
    <x v="9"/>
    <n v="1"/>
    <n v="11"/>
    <b v="0"/>
    <n v="1"/>
    <n v="2"/>
    <n v="0.16"/>
    <x v="13"/>
    <n v="0.47"/>
    <n v="0.28360000000000002"/>
    <n v="2"/>
    <n v="28"/>
    <n v="30"/>
    <s v="Spring"/>
    <s v="Monday"/>
    <s v="Mist/Cloudy"/>
    <x v="1"/>
    <s v="Cold"/>
    <s v="Medium"/>
    <s v="Moderate"/>
    <s v="Working Day"/>
    <s v="Mostly Registered"/>
    <n v="6.666666666666667"/>
    <n v="93.333333333333329"/>
    <s v="No"/>
    <s v="Low"/>
    <s v="No"/>
    <n v="-2.360000000000001E-2"/>
  </r>
  <r>
    <n v="222"/>
    <x v="9"/>
    <n v="1"/>
    <n v="12"/>
    <b v="0"/>
    <n v="1"/>
    <n v="2"/>
    <n v="0.2"/>
    <x v="17"/>
    <n v="0.4"/>
    <n v="0.28360000000000002"/>
    <n v="5"/>
    <n v="47"/>
    <n v="52"/>
    <s v="Spring"/>
    <s v="Monday"/>
    <s v="Mist/Cloudy"/>
    <x v="2"/>
    <s v="Cold"/>
    <s v="Medium"/>
    <s v="Moderate"/>
    <s v="Working Day"/>
    <s v="Mostly Registered"/>
    <n v="9.6153846153846168"/>
    <n v="90.384615384615387"/>
    <s v="No"/>
    <s v="Low"/>
    <s v="No"/>
    <n v="-1.8200000000000022E-2"/>
  </r>
  <r>
    <n v="223"/>
    <x v="9"/>
    <n v="1"/>
    <n v="13"/>
    <b v="0"/>
    <n v="1"/>
    <n v="2"/>
    <n v="0.2"/>
    <x v="17"/>
    <n v="0.4"/>
    <n v="0.28360000000000002"/>
    <n v="4"/>
    <n v="50"/>
    <n v="54"/>
    <s v="Spring"/>
    <s v="Monday"/>
    <s v="Mist/Cloudy"/>
    <x v="2"/>
    <s v="Cold"/>
    <s v="Medium"/>
    <s v="Moderate"/>
    <s v="Working Day"/>
    <s v="Mostly Registered"/>
    <n v="7.4074074074074074"/>
    <n v="92.592592592592595"/>
    <s v="No"/>
    <s v="Low"/>
    <s v="No"/>
    <n v="-1.8200000000000022E-2"/>
  </r>
  <r>
    <n v="224"/>
    <x v="9"/>
    <n v="1"/>
    <n v="14"/>
    <b v="0"/>
    <n v="1"/>
    <n v="2"/>
    <n v="0.2"/>
    <x v="12"/>
    <n v="0.4"/>
    <n v="0.22389999999999999"/>
    <n v="0"/>
    <n v="47"/>
    <n v="47"/>
    <s v="Spring"/>
    <s v="Monday"/>
    <s v="Mist/Cloudy"/>
    <x v="2"/>
    <s v="Cold"/>
    <s v="Medium"/>
    <s v="Moderate"/>
    <s v="Working Day"/>
    <s v="Mostly Registered"/>
    <n v="0"/>
    <n v="100"/>
    <s v="No"/>
    <s v="Low"/>
    <s v="No"/>
    <n v="-3.0000000000000031E-3"/>
  </r>
  <r>
    <n v="225"/>
    <x v="9"/>
    <n v="1"/>
    <n v="15"/>
    <b v="0"/>
    <n v="1"/>
    <n v="2"/>
    <n v="0.2"/>
    <x v="12"/>
    <n v="0.4"/>
    <n v="0.22389999999999999"/>
    <n v="2"/>
    <n v="43"/>
    <n v="45"/>
    <s v="Spring"/>
    <s v="Monday"/>
    <s v="Mist/Cloudy"/>
    <x v="2"/>
    <s v="Cold"/>
    <s v="Medium"/>
    <s v="Moderate"/>
    <s v="Working Day"/>
    <s v="Mostly Registered"/>
    <n v="4.4444444444444446"/>
    <n v="95.555555555555557"/>
    <s v="No"/>
    <s v="Low"/>
    <s v="No"/>
    <n v="-3.0000000000000031E-3"/>
  </r>
  <r>
    <n v="226"/>
    <x v="9"/>
    <n v="1"/>
    <n v="16"/>
    <b v="0"/>
    <n v="1"/>
    <n v="1"/>
    <n v="0.2"/>
    <x v="11"/>
    <n v="0.4"/>
    <n v="0.1343"/>
    <n v="4"/>
    <n v="70"/>
    <n v="74"/>
    <s v="Spring"/>
    <s v="Monday"/>
    <s v="Clear"/>
    <x v="2"/>
    <s v="Cold"/>
    <s v="Medium"/>
    <s v="Calm"/>
    <s v="Working Day"/>
    <s v="Mostly Registered"/>
    <n v="5.4054054054054053"/>
    <n v="94.594594594594597"/>
    <s v="No"/>
    <s v="Low"/>
    <s v="No"/>
    <n v="1.21E-2"/>
  </r>
  <r>
    <n v="227"/>
    <x v="9"/>
    <n v="1"/>
    <n v="17"/>
    <b v="0"/>
    <n v="1"/>
    <n v="1"/>
    <n v="0.2"/>
    <x v="10"/>
    <n v="0.4"/>
    <n v="0.1045"/>
    <n v="4"/>
    <n v="174"/>
    <n v="178"/>
    <s v="Spring"/>
    <s v="Monday"/>
    <s v="Clear"/>
    <x v="3"/>
    <s v="Cold"/>
    <s v="Medium"/>
    <s v="Calm"/>
    <s v="Working Day"/>
    <s v="Mostly Registered"/>
    <n v="2.2471910112359552"/>
    <n v="97.752808988764045"/>
    <s v="Yes"/>
    <s v="Medium"/>
    <s v="No"/>
    <n v="2.7299999999999991E-2"/>
  </r>
  <r>
    <n v="228"/>
    <x v="9"/>
    <n v="1"/>
    <n v="18"/>
    <b v="0"/>
    <n v="1"/>
    <n v="1"/>
    <n v="0.2"/>
    <x v="12"/>
    <n v="0.4"/>
    <n v="0.22389999999999999"/>
    <n v="1"/>
    <n v="154"/>
    <n v="155"/>
    <s v="Spring"/>
    <s v="Monday"/>
    <s v="Clear"/>
    <x v="3"/>
    <s v="Cold"/>
    <s v="Medium"/>
    <s v="Moderate"/>
    <s v="Working Day"/>
    <s v="Mostly Registered"/>
    <n v="0.64516129032258063"/>
    <n v="99.354838709677423"/>
    <s v="Yes"/>
    <s v="Medium"/>
    <s v="No"/>
    <n v="-3.0000000000000031E-3"/>
  </r>
  <r>
    <n v="229"/>
    <x v="9"/>
    <n v="1"/>
    <n v="19"/>
    <b v="0"/>
    <n v="1"/>
    <n v="1"/>
    <n v="0.16"/>
    <x v="16"/>
    <n v="0.47"/>
    <n v="0.16420000000000001"/>
    <n v="3"/>
    <n v="92"/>
    <n v="95"/>
    <s v="Spring"/>
    <s v="Monday"/>
    <s v="Clear"/>
    <x v="3"/>
    <s v="Cold"/>
    <s v="Medium"/>
    <s v="Moderate"/>
    <s v="Working Day"/>
    <s v="Mostly Registered"/>
    <n v="3.1578947368421049"/>
    <n v="96.84210526315789"/>
    <s v="Yes"/>
    <s v="Low"/>
    <s v="No"/>
    <n v="6.6999999999999837E-3"/>
  </r>
  <r>
    <n v="230"/>
    <x v="9"/>
    <n v="1"/>
    <n v="20"/>
    <b v="0"/>
    <n v="1"/>
    <n v="1"/>
    <n v="0.16"/>
    <x v="16"/>
    <n v="0.5"/>
    <n v="0.16420000000000001"/>
    <n v="1"/>
    <n v="73"/>
    <n v="74"/>
    <s v="Spring"/>
    <s v="Monday"/>
    <s v="Clear"/>
    <x v="3"/>
    <s v="Cold"/>
    <s v="Medium"/>
    <s v="Moderate"/>
    <s v="Working Day"/>
    <s v="Mostly Registered"/>
    <n v="1.3513513513513511"/>
    <n v="98.648648648648646"/>
    <s v="No"/>
    <s v="Low"/>
    <s v="No"/>
    <n v="6.6999999999999837E-3"/>
  </r>
  <r>
    <n v="231"/>
    <x v="9"/>
    <n v="1"/>
    <n v="21"/>
    <b v="0"/>
    <n v="1"/>
    <n v="1"/>
    <n v="0.14000000000000001"/>
    <x v="13"/>
    <n v="0.59"/>
    <n v="0.19400000000000001"/>
    <n v="1"/>
    <n v="37"/>
    <n v="38"/>
    <s v="Spring"/>
    <s v="Monday"/>
    <s v="Clear"/>
    <x v="0"/>
    <s v="Very Cold"/>
    <s v="Medium"/>
    <s v="Moderate"/>
    <s v="Working Day"/>
    <s v="Mostly Registered"/>
    <n v="2.6315789473684208"/>
    <n v="97.368421052631575"/>
    <s v="No"/>
    <s v="Low"/>
    <s v="No"/>
    <n v="-3.6000000000000199E-3"/>
  </r>
  <r>
    <n v="232"/>
    <x v="9"/>
    <n v="1"/>
    <n v="22"/>
    <b v="0"/>
    <n v="1"/>
    <n v="1"/>
    <n v="0.14000000000000001"/>
    <x v="19"/>
    <n v="0.59"/>
    <n v="0.16420000000000001"/>
    <n v="2"/>
    <n v="22"/>
    <n v="24"/>
    <s v="Spring"/>
    <s v="Monday"/>
    <s v="Clear"/>
    <x v="0"/>
    <s v="Very Cold"/>
    <s v="Medium"/>
    <s v="Moderate"/>
    <s v="Working Day"/>
    <s v="Mostly Registered"/>
    <n v="8.3333333333333321"/>
    <n v="91.666666666666657"/>
    <s v="No"/>
    <s v="Low"/>
    <s v="No"/>
    <n v="1.1499999999999981E-2"/>
  </r>
  <r>
    <n v="233"/>
    <x v="9"/>
    <n v="1"/>
    <n v="23"/>
    <b v="0"/>
    <n v="1"/>
    <n v="1"/>
    <n v="0.14000000000000001"/>
    <x v="19"/>
    <n v="0.59"/>
    <n v="0.16420000000000001"/>
    <n v="0"/>
    <n v="18"/>
    <n v="18"/>
    <s v="Spring"/>
    <s v="Monday"/>
    <s v="Clear"/>
    <x v="0"/>
    <s v="Very Cold"/>
    <s v="Medium"/>
    <s v="Moderate"/>
    <s v="Working Day"/>
    <s v="Mostly Registered"/>
    <n v="0"/>
    <n v="100"/>
    <s v="No"/>
    <s v="Low"/>
    <s v="No"/>
    <n v="1.1499999999999981E-2"/>
  </r>
  <r>
    <n v="234"/>
    <x v="10"/>
    <n v="1"/>
    <n v="0"/>
    <b v="0"/>
    <n v="2"/>
    <n v="1"/>
    <n v="0.14000000000000001"/>
    <x v="16"/>
    <n v="0.59"/>
    <n v="0.1045"/>
    <n v="2"/>
    <n v="10"/>
    <n v="12"/>
    <s v="Spring"/>
    <s v="Tuesday"/>
    <s v="Clear"/>
    <x v="0"/>
    <s v="Very Cold"/>
    <s v="Medium"/>
    <s v="Calm"/>
    <s v="Working Day"/>
    <s v="Mostly Registered"/>
    <n v="16.666666666666661"/>
    <n v="83.333333333333343"/>
    <s v="No"/>
    <s v="Low"/>
    <s v="No"/>
    <n v="2.669999999999997E-2"/>
  </r>
  <r>
    <n v="235"/>
    <x v="10"/>
    <n v="1"/>
    <n v="1"/>
    <b v="0"/>
    <n v="2"/>
    <n v="1"/>
    <n v="0.14000000000000001"/>
    <x v="19"/>
    <n v="0.59"/>
    <n v="0.16420000000000001"/>
    <n v="0"/>
    <n v="3"/>
    <n v="3"/>
    <s v="Spring"/>
    <s v="Tuesday"/>
    <s v="Clear"/>
    <x v="0"/>
    <s v="Very Cold"/>
    <s v="Medium"/>
    <s v="Moderate"/>
    <s v="Working Day"/>
    <s v="Mostly Registered"/>
    <n v="0"/>
    <n v="100"/>
    <s v="No"/>
    <s v="Low"/>
    <s v="No"/>
    <n v="1.1499999999999981E-2"/>
  </r>
  <r>
    <n v="236"/>
    <x v="10"/>
    <n v="1"/>
    <n v="2"/>
    <b v="0"/>
    <n v="2"/>
    <n v="2"/>
    <n v="0.16"/>
    <x v="19"/>
    <n v="0.55000000000000004"/>
    <n v="0.19400000000000001"/>
    <n v="0"/>
    <n v="3"/>
    <n v="3"/>
    <s v="Spring"/>
    <s v="Tuesday"/>
    <s v="Mist/Cloudy"/>
    <x v="0"/>
    <s v="Cold"/>
    <s v="Medium"/>
    <s v="Moderate"/>
    <s v="Working Day"/>
    <s v="Mostly Registered"/>
    <n v="0"/>
    <n v="100"/>
    <s v="No"/>
    <s v="Low"/>
    <s v="No"/>
    <n v="-8.5000000000000075E-3"/>
  </r>
  <r>
    <n v="237"/>
    <x v="10"/>
    <n v="1"/>
    <n v="5"/>
    <b v="0"/>
    <n v="2"/>
    <n v="2"/>
    <n v="0.16"/>
    <x v="17"/>
    <n v="0.55000000000000004"/>
    <n v="0.1343"/>
    <n v="0"/>
    <n v="6"/>
    <n v="6"/>
    <s v="Spring"/>
    <s v="Tuesday"/>
    <s v="Mist/Cloudy"/>
    <x v="0"/>
    <s v="Cold"/>
    <s v="Medium"/>
    <s v="Calm"/>
    <s v="Working Day"/>
    <s v="Mostly Registered"/>
    <n v="0"/>
    <n v="100"/>
    <s v="No"/>
    <s v="Low"/>
    <s v="No"/>
    <n v="2.179999999999999E-2"/>
  </r>
  <r>
    <n v="238"/>
    <x v="10"/>
    <n v="1"/>
    <n v="6"/>
    <b v="0"/>
    <n v="2"/>
    <n v="2"/>
    <n v="0.16"/>
    <x v="17"/>
    <n v="0.55000000000000004"/>
    <n v="0.1343"/>
    <n v="0"/>
    <n v="27"/>
    <n v="27"/>
    <s v="Spring"/>
    <s v="Tuesday"/>
    <s v="Mist/Cloudy"/>
    <x v="1"/>
    <s v="Cold"/>
    <s v="Medium"/>
    <s v="Calm"/>
    <s v="Working Day"/>
    <s v="Mostly Registered"/>
    <n v="0"/>
    <n v="100"/>
    <s v="No"/>
    <s v="Low"/>
    <s v="No"/>
    <n v="2.179999999999999E-2"/>
  </r>
  <r>
    <n v="239"/>
    <x v="10"/>
    <n v="1"/>
    <n v="7"/>
    <b v="0"/>
    <n v="2"/>
    <n v="2"/>
    <n v="0.16"/>
    <x v="10"/>
    <n v="0.55000000000000004"/>
    <n v="0"/>
    <n v="2"/>
    <n v="97"/>
    <n v="99"/>
    <s v="Spring"/>
    <s v="Tuesday"/>
    <s v="Mist/Cloudy"/>
    <x v="1"/>
    <s v="Cold"/>
    <s v="Medium"/>
    <s v="Calm"/>
    <s v="Working Day"/>
    <s v="Mostly Registered"/>
    <n v="2.0202020202020199"/>
    <n v="97.979797979797979"/>
    <s v="Yes"/>
    <s v="Low"/>
    <s v="No"/>
    <n v="6.7299999999999999E-2"/>
  </r>
  <r>
    <n v="240"/>
    <x v="10"/>
    <n v="1"/>
    <n v="8"/>
    <b v="0"/>
    <n v="2"/>
    <n v="2"/>
    <n v="0.18"/>
    <x v="11"/>
    <n v="0.51"/>
    <n v="8.9599999999999999E-2"/>
    <n v="3"/>
    <n v="214"/>
    <n v="217"/>
    <s v="Spring"/>
    <s v="Tuesday"/>
    <s v="Mist/Cloudy"/>
    <x v="1"/>
    <s v="Cold"/>
    <s v="Medium"/>
    <s v="Calm"/>
    <s v="Working Day"/>
    <s v="Mostly Registered"/>
    <n v="1.382488479262673"/>
    <n v="98.617511520737324"/>
    <s v="Yes"/>
    <s v="Medium"/>
    <s v="No"/>
    <n v="3.2100000000000017E-2"/>
  </r>
  <r>
    <n v="241"/>
    <x v="10"/>
    <n v="1"/>
    <n v="9"/>
    <b v="0"/>
    <n v="2"/>
    <n v="2"/>
    <n v="0.18"/>
    <x v="12"/>
    <n v="0.51"/>
    <n v="0.16420000000000001"/>
    <n v="3"/>
    <n v="127"/>
    <n v="130"/>
    <s v="Spring"/>
    <s v="Tuesday"/>
    <s v="Mist/Cloudy"/>
    <x v="1"/>
    <s v="Cold"/>
    <s v="Medium"/>
    <s v="Moderate"/>
    <s v="Working Day"/>
    <s v="Mostly Registered"/>
    <n v="2.3076923076923079"/>
    <n v="97.692307692307693"/>
    <s v="Yes"/>
    <s v="Medium"/>
    <s v="No"/>
    <n v="1.7000000000000019E-2"/>
  </r>
  <r>
    <n v="242"/>
    <x v="10"/>
    <n v="1"/>
    <n v="10"/>
    <b v="0"/>
    <n v="2"/>
    <n v="2"/>
    <n v="0.2"/>
    <x v="11"/>
    <n v="0.51"/>
    <n v="0.16420000000000001"/>
    <n v="3"/>
    <n v="51"/>
    <n v="54"/>
    <s v="Spring"/>
    <s v="Tuesday"/>
    <s v="Mist/Cloudy"/>
    <x v="1"/>
    <s v="Cold"/>
    <s v="Medium"/>
    <s v="Moderate"/>
    <s v="Working Day"/>
    <s v="Mostly Registered"/>
    <n v="5.5555555555555554"/>
    <n v="94.444444444444443"/>
    <s v="No"/>
    <s v="Low"/>
    <s v="No"/>
    <n v="1.21E-2"/>
  </r>
  <r>
    <n v="243"/>
    <x v="10"/>
    <n v="1"/>
    <n v="11"/>
    <b v="0"/>
    <n v="2"/>
    <n v="2"/>
    <n v="0.2"/>
    <x v="11"/>
    <n v="0.47"/>
    <n v="0.1343"/>
    <n v="4"/>
    <n v="31"/>
    <n v="35"/>
    <s v="Spring"/>
    <s v="Tuesday"/>
    <s v="Mist/Cloudy"/>
    <x v="1"/>
    <s v="Cold"/>
    <s v="Medium"/>
    <s v="Calm"/>
    <s v="Working Day"/>
    <s v="Mostly Registered"/>
    <n v="11.428571428571431"/>
    <n v="88.571428571428569"/>
    <s v="No"/>
    <s v="Low"/>
    <s v="No"/>
    <n v="1.21E-2"/>
  </r>
  <r>
    <n v="244"/>
    <x v="10"/>
    <n v="1"/>
    <n v="12"/>
    <b v="0"/>
    <n v="2"/>
    <n v="2"/>
    <n v="0.2"/>
    <x v="10"/>
    <n v="0.51"/>
    <n v="0.1045"/>
    <n v="2"/>
    <n v="55"/>
    <n v="57"/>
    <s v="Spring"/>
    <s v="Tuesday"/>
    <s v="Mist/Cloudy"/>
    <x v="2"/>
    <s v="Cold"/>
    <s v="Medium"/>
    <s v="Calm"/>
    <s v="Working Day"/>
    <s v="Mostly Registered"/>
    <n v="3.5087719298245612"/>
    <n v="96.491228070175438"/>
    <s v="No"/>
    <s v="Low"/>
    <s v="No"/>
    <n v="2.7299999999999991E-2"/>
  </r>
  <r>
    <n v="245"/>
    <x v="10"/>
    <n v="1"/>
    <n v="13"/>
    <b v="0"/>
    <n v="2"/>
    <n v="2"/>
    <n v="0.2"/>
    <x v="10"/>
    <n v="0.59"/>
    <n v="8.9599999999999999E-2"/>
    <n v="6"/>
    <n v="46"/>
    <n v="52"/>
    <s v="Spring"/>
    <s v="Tuesday"/>
    <s v="Mist/Cloudy"/>
    <x v="2"/>
    <s v="Cold"/>
    <s v="Medium"/>
    <s v="Calm"/>
    <s v="Working Day"/>
    <s v="Mostly Registered"/>
    <n v="11.53846153846154"/>
    <n v="88.461538461538453"/>
    <s v="No"/>
    <s v="Low"/>
    <s v="No"/>
    <n v="2.7299999999999991E-2"/>
  </r>
  <r>
    <n v="246"/>
    <x v="10"/>
    <n v="1"/>
    <n v="14"/>
    <b v="0"/>
    <n v="2"/>
    <n v="2"/>
    <n v="0.2"/>
    <x v="10"/>
    <n v="0.59"/>
    <n v="8.9599999999999999E-2"/>
    <n v="3"/>
    <n v="60"/>
    <n v="63"/>
    <s v="Spring"/>
    <s v="Tuesday"/>
    <s v="Mist/Cloudy"/>
    <x v="2"/>
    <s v="Cold"/>
    <s v="Medium"/>
    <s v="Calm"/>
    <s v="Working Day"/>
    <s v="Mostly Registered"/>
    <n v="4.7619047619047619"/>
    <n v="95.238095238095227"/>
    <s v="No"/>
    <s v="Low"/>
    <s v="No"/>
    <n v="2.7299999999999991E-2"/>
  </r>
  <r>
    <n v="247"/>
    <x v="10"/>
    <n v="1"/>
    <n v="15"/>
    <b v="0"/>
    <n v="2"/>
    <n v="2"/>
    <n v="0.16"/>
    <x v="12"/>
    <n v="0.8"/>
    <n v="8.9599999999999999E-2"/>
    <n v="2"/>
    <n v="45"/>
    <n v="47"/>
    <s v="Spring"/>
    <s v="Tuesday"/>
    <s v="Mist/Cloudy"/>
    <x v="2"/>
    <s v="Cold"/>
    <s v="High"/>
    <s v="Calm"/>
    <s v="Working Day"/>
    <s v="Mostly Registered"/>
    <n v="4.2553191489361701"/>
    <n v="95.744680851063833"/>
    <s v="No"/>
    <s v="Low"/>
    <s v="No"/>
    <n v="3.7000000000000012E-2"/>
  </r>
  <r>
    <n v="248"/>
    <x v="10"/>
    <n v="1"/>
    <n v="16"/>
    <b v="0"/>
    <n v="2"/>
    <n v="2"/>
    <n v="0.16"/>
    <x v="19"/>
    <n v="0.86"/>
    <n v="0.22389999999999999"/>
    <n v="4"/>
    <n v="72"/>
    <n v="76"/>
    <s v="Spring"/>
    <s v="Tuesday"/>
    <s v="Mist/Cloudy"/>
    <x v="2"/>
    <s v="Cold"/>
    <s v="High"/>
    <s v="Moderate"/>
    <s v="Working Day"/>
    <s v="Mostly Registered"/>
    <n v="5.2631578947368416"/>
    <n v="94.73684210526315"/>
    <s v="No"/>
    <s v="Low"/>
    <s v="No"/>
    <n v="-8.5000000000000075E-3"/>
  </r>
  <r>
    <n v="249"/>
    <x v="10"/>
    <n v="1"/>
    <n v="17"/>
    <b v="0"/>
    <n v="2"/>
    <n v="2"/>
    <n v="0.16"/>
    <x v="19"/>
    <n v="0.86"/>
    <n v="0.22389999999999999"/>
    <n v="6"/>
    <n v="130"/>
    <n v="136"/>
    <s v="Spring"/>
    <s v="Tuesday"/>
    <s v="Mist/Cloudy"/>
    <x v="3"/>
    <s v="Cold"/>
    <s v="High"/>
    <s v="Moderate"/>
    <s v="Working Day"/>
    <s v="Mostly Registered"/>
    <n v="4.4117647058823533"/>
    <n v="95.588235294117652"/>
    <s v="Yes"/>
    <s v="Medium"/>
    <s v="No"/>
    <n v="-8.5000000000000075E-3"/>
  </r>
  <r>
    <n v="250"/>
    <x v="10"/>
    <n v="1"/>
    <n v="18"/>
    <b v="0"/>
    <n v="2"/>
    <n v="3"/>
    <n v="0.16"/>
    <x v="17"/>
    <n v="0.93"/>
    <n v="0.1045"/>
    <n v="1"/>
    <n v="94"/>
    <n v="95"/>
    <s v="Spring"/>
    <s v="Tuesday"/>
    <s v="Light Rain/Snow"/>
    <x v="3"/>
    <s v="Cold"/>
    <s v="High"/>
    <s v="Calm"/>
    <s v="Working Day"/>
    <s v="Mostly Registered"/>
    <n v="1.0526315789473679"/>
    <n v="98.94736842105263"/>
    <s v="Yes"/>
    <s v="Low"/>
    <s v="No"/>
    <n v="2.179999999999999E-2"/>
  </r>
  <r>
    <n v="251"/>
    <x v="10"/>
    <n v="1"/>
    <n v="19"/>
    <b v="0"/>
    <n v="2"/>
    <n v="3"/>
    <n v="0.16"/>
    <x v="10"/>
    <n v="0.93"/>
    <n v="0"/>
    <n v="0"/>
    <n v="51"/>
    <n v="51"/>
    <s v="Spring"/>
    <s v="Tuesday"/>
    <s v="Light Rain/Snow"/>
    <x v="3"/>
    <s v="Cold"/>
    <s v="High"/>
    <s v="Calm"/>
    <s v="Working Day"/>
    <s v="Mostly Registered"/>
    <n v="0"/>
    <n v="100"/>
    <s v="Yes"/>
    <s v="Low"/>
    <s v="No"/>
    <n v="6.7299999999999999E-2"/>
  </r>
  <r>
    <n v="252"/>
    <x v="10"/>
    <n v="1"/>
    <n v="20"/>
    <b v="0"/>
    <n v="2"/>
    <n v="3"/>
    <n v="0.16"/>
    <x v="19"/>
    <n v="0.93"/>
    <n v="0.19400000000000001"/>
    <n v="0"/>
    <n v="32"/>
    <n v="32"/>
    <s v="Spring"/>
    <s v="Tuesday"/>
    <s v="Light Rain/Snow"/>
    <x v="3"/>
    <s v="Cold"/>
    <s v="High"/>
    <s v="Moderate"/>
    <s v="Working Day"/>
    <s v="Mostly Registered"/>
    <n v="0"/>
    <n v="100"/>
    <s v="No"/>
    <s v="Low"/>
    <s v="No"/>
    <n v="-8.5000000000000075E-3"/>
  </r>
  <r>
    <n v="253"/>
    <x v="10"/>
    <n v="1"/>
    <n v="21"/>
    <b v="0"/>
    <n v="2"/>
    <n v="3"/>
    <n v="0.16"/>
    <x v="12"/>
    <n v="0.86"/>
    <n v="8.9599999999999999E-2"/>
    <n v="0"/>
    <n v="20"/>
    <n v="20"/>
    <s v="Spring"/>
    <s v="Tuesday"/>
    <s v="Light Rain/Snow"/>
    <x v="0"/>
    <s v="Cold"/>
    <s v="High"/>
    <s v="Calm"/>
    <s v="Working Day"/>
    <s v="Mostly Registered"/>
    <n v="0"/>
    <n v="100"/>
    <s v="No"/>
    <s v="Low"/>
    <s v="No"/>
    <n v="3.7000000000000012E-2"/>
  </r>
  <r>
    <n v="254"/>
    <x v="10"/>
    <n v="1"/>
    <n v="22"/>
    <b v="0"/>
    <n v="2"/>
    <n v="3"/>
    <n v="0.16"/>
    <x v="17"/>
    <n v="0.93"/>
    <n v="0.1045"/>
    <n v="1"/>
    <n v="28"/>
    <n v="29"/>
    <s v="Spring"/>
    <s v="Tuesday"/>
    <s v="Light Rain/Snow"/>
    <x v="0"/>
    <s v="Cold"/>
    <s v="High"/>
    <s v="Calm"/>
    <s v="Working Day"/>
    <s v="Mostly Registered"/>
    <n v="3.4482758620689649"/>
    <n v="96.551724137931032"/>
    <s v="No"/>
    <s v="Low"/>
    <s v="No"/>
    <n v="2.179999999999999E-2"/>
  </r>
  <r>
    <n v="255"/>
    <x v="10"/>
    <n v="1"/>
    <n v="23"/>
    <b v="0"/>
    <n v="2"/>
    <n v="3"/>
    <n v="0.16"/>
    <x v="12"/>
    <n v="0.93"/>
    <n v="8.9599999999999999E-2"/>
    <n v="1"/>
    <n v="18"/>
    <n v="19"/>
    <s v="Spring"/>
    <s v="Tuesday"/>
    <s v="Light Rain/Snow"/>
    <x v="0"/>
    <s v="Cold"/>
    <s v="High"/>
    <s v="Calm"/>
    <s v="Working Day"/>
    <s v="Mostly Registered"/>
    <n v="5.2631578947368416"/>
    <n v="94.73684210526315"/>
    <s v="No"/>
    <s v="Low"/>
    <s v="No"/>
    <n v="3.7000000000000012E-2"/>
  </r>
  <r>
    <n v="256"/>
    <x v="11"/>
    <n v="1"/>
    <n v="0"/>
    <b v="0"/>
    <n v="3"/>
    <n v="2"/>
    <n v="0.16"/>
    <x v="12"/>
    <n v="0.86"/>
    <n v="8.9599999999999999E-2"/>
    <n v="0"/>
    <n v="7"/>
    <n v="7"/>
    <s v="Spring"/>
    <s v="Wednesday"/>
    <s v="Mist/Cloudy"/>
    <x v="0"/>
    <s v="Cold"/>
    <s v="High"/>
    <s v="Calm"/>
    <s v="Working Day"/>
    <s v="Mostly Registered"/>
    <n v="0"/>
    <n v="100"/>
    <s v="No"/>
    <s v="Low"/>
    <s v="No"/>
    <n v="3.7000000000000012E-2"/>
  </r>
  <r>
    <n v="257"/>
    <x v="11"/>
    <n v="1"/>
    <n v="1"/>
    <b v="0"/>
    <n v="3"/>
    <n v="2"/>
    <n v="0.16"/>
    <x v="17"/>
    <n v="0.86"/>
    <n v="0.1045"/>
    <n v="0"/>
    <n v="6"/>
    <n v="6"/>
    <s v="Spring"/>
    <s v="Wednesday"/>
    <s v="Mist/Cloudy"/>
    <x v="0"/>
    <s v="Cold"/>
    <s v="High"/>
    <s v="Calm"/>
    <s v="Working Day"/>
    <s v="Mostly Registered"/>
    <n v="0"/>
    <n v="100"/>
    <s v="No"/>
    <s v="Low"/>
    <s v="No"/>
    <n v="2.179999999999999E-2"/>
  </r>
  <r>
    <n v="258"/>
    <x v="11"/>
    <n v="1"/>
    <n v="2"/>
    <b v="0"/>
    <n v="3"/>
    <n v="1"/>
    <n v="0.14000000000000001"/>
    <x v="19"/>
    <n v="0.86"/>
    <n v="0.1343"/>
    <n v="0"/>
    <n v="1"/>
    <n v="1"/>
    <s v="Spring"/>
    <s v="Wednesday"/>
    <s v="Clear"/>
    <x v="0"/>
    <s v="Very Cold"/>
    <s v="High"/>
    <s v="Calm"/>
    <s v="Working Day"/>
    <s v="Mostly Registered"/>
    <n v="0"/>
    <n v="100"/>
    <s v="No"/>
    <s v="Low"/>
    <s v="No"/>
    <n v="1.1499999999999981E-2"/>
  </r>
  <r>
    <n v="259"/>
    <x v="11"/>
    <n v="1"/>
    <n v="5"/>
    <b v="0"/>
    <n v="3"/>
    <n v="1"/>
    <n v="0.14000000000000001"/>
    <x v="19"/>
    <n v="0.86"/>
    <n v="0.16420000000000001"/>
    <n v="0"/>
    <n v="5"/>
    <n v="5"/>
    <s v="Spring"/>
    <s v="Wednesday"/>
    <s v="Clear"/>
    <x v="0"/>
    <s v="Very Cold"/>
    <s v="High"/>
    <s v="Moderate"/>
    <s v="Working Day"/>
    <s v="Mostly Registered"/>
    <n v="0"/>
    <n v="100"/>
    <s v="No"/>
    <s v="Low"/>
    <s v="No"/>
    <n v="1.1499999999999981E-2"/>
  </r>
  <r>
    <n v="260"/>
    <x v="11"/>
    <n v="1"/>
    <n v="6"/>
    <b v="0"/>
    <n v="3"/>
    <n v="1"/>
    <n v="0.12"/>
    <x v="19"/>
    <n v="0.93"/>
    <n v="0.1343"/>
    <n v="0"/>
    <n v="16"/>
    <n v="16"/>
    <s v="Spring"/>
    <s v="Wednesday"/>
    <s v="Clear"/>
    <x v="1"/>
    <s v="Very Cold"/>
    <s v="High"/>
    <s v="Calm"/>
    <s v="Working Day"/>
    <s v="Mostly Registered"/>
    <n v="0"/>
    <n v="100"/>
    <s v="No"/>
    <s v="Low"/>
    <s v="No"/>
    <n v="3.15E-2"/>
  </r>
  <r>
    <n v="261"/>
    <x v="11"/>
    <n v="1"/>
    <n v="7"/>
    <b v="0"/>
    <n v="3"/>
    <n v="1"/>
    <n v="0.14000000000000001"/>
    <x v="19"/>
    <n v="0.69"/>
    <n v="0.1343"/>
    <n v="0"/>
    <n v="54"/>
    <n v="54"/>
    <s v="Spring"/>
    <s v="Wednesday"/>
    <s v="Clear"/>
    <x v="1"/>
    <s v="Very Cold"/>
    <s v="Medium"/>
    <s v="Calm"/>
    <s v="Working Day"/>
    <s v="Mostly Registered"/>
    <n v="0"/>
    <n v="100"/>
    <s v="Yes"/>
    <s v="Low"/>
    <s v="No"/>
    <n v="1.1499999999999981E-2"/>
  </r>
  <r>
    <n v="262"/>
    <x v="11"/>
    <n v="1"/>
    <n v="8"/>
    <b v="0"/>
    <n v="3"/>
    <n v="1"/>
    <n v="0.16"/>
    <x v="16"/>
    <n v="0.59"/>
    <n v="0.16420000000000001"/>
    <n v="3"/>
    <n v="125"/>
    <n v="128"/>
    <s v="Spring"/>
    <s v="Wednesday"/>
    <s v="Clear"/>
    <x v="1"/>
    <s v="Cold"/>
    <s v="Medium"/>
    <s v="Moderate"/>
    <s v="Working Day"/>
    <s v="Mostly Registered"/>
    <n v="2.34375"/>
    <n v="97.65625"/>
    <s v="Yes"/>
    <s v="Medium"/>
    <s v="No"/>
    <n v="6.6999999999999837E-3"/>
  </r>
  <r>
    <n v="263"/>
    <x v="11"/>
    <n v="1"/>
    <n v="9"/>
    <b v="0"/>
    <n v="3"/>
    <n v="1"/>
    <n v="0.16"/>
    <x v="13"/>
    <n v="0.59"/>
    <n v="0.32840000000000003"/>
    <n v="3"/>
    <n v="78"/>
    <n v="81"/>
    <s v="Spring"/>
    <s v="Wednesday"/>
    <s v="Clear"/>
    <x v="1"/>
    <s v="Cold"/>
    <s v="Medium"/>
    <s v="Windy"/>
    <s v="Working Day"/>
    <s v="Mostly Registered"/>
    <n v="3.7037037037037028"/>
    <n v="96.296296296296291"/>
    <s v="Yes"/>
    <s v="Low"/>
    <s v="No"/>
    <n v="-2.360000000000001E-2"/>
  </r>
  <r>
    <n v="264"/>
    <x v="11"/>
    <n v="1"/>
    <n v="10"/>
    <b v="0"/>
    <n v="3"/>
    <n v="1"/>
    <n v="0.18"/>
    <x v="17"/>
    <n v="0.55000000000000004"/>
    <n v="0.22389999999999999"/>
    <n v="0"/>
    <n v="39"/>
    <n v="39"/>
    <s v="Spring"/>
    <s v="Wednesday"/>
    <s v="Clear"/>
    <x v="1"/>
    <s v="Cold"/>
    <s v="Medium"/>
    <s v="Moderate"/>
    <s v="Working Day"/>
    <s v="Mostly Registered"/>
    <n v="0"/>
    <n v="100"/>
    <s v="No"/>
    <s v="Low"/>
    <s v="No"/>
    <n v="1.799999999999996E-3"/>
  </r>
  <r>
    <n v="265"/>
    <x v="11"/>
    <n v="1"/>
    <n v="11"/>
    <b v="0"/>
    <n v="3"/>
    <n v="1"/>
    <n v="0.2"/>
    <x v="17"/>
    <n v="0.51"/>
    <n v="0.3881"/>
    <n v="3"/>
    <n v="32"/>
    <n v="35"/>
    <s v="Spring"/>
    <s v="Wednesday"/>
    <s v="Clear"/>
    <x v="1"/>
    <s v="Cold"/>
    <s v="Medium"/>
    <s v="Windy"/>
    <s v="Working Day"/>
    <s v="Mostly Registered"/>
    <n v="8.5714285714285712"/>
    <n v="91.428571428571431"/>
    <s v="No"/>
    <s v="Low"/>
    <s v="No"/>
    <n v="-1.8200000000000022E-2"/>
  </r>
  <r>
    <n v="266"/>
    <x v="11"/>
    <n v="1"/>
    <n v="12"/>
    <b v="0"/>
    <n v="3"/>
    <n v="1"/>
    <n v="0.2"/>
    <x v="19"/>
    <n v="0.47"/>
    <n v="0.58209999999999995"/>
    <n v="3"/>
    <n v="52"/>
    <n v="55"/>
    <s v="Spring"/>
    <s v="Wednesday"/>
    <s v="Clear"/>
    <x v="2"/>
    <s v="Cold"/>
    <s v="Medium"/>
    <s v="Windy"/>
    <s v="Working Day"/>
    <s v="Mostly Registered"/>
    <n v="5.4545454545454541"/>
    <n v="94.545454545454547"/>
    <s v="No"/>
    <s v="Low"/>
    <s v="No"/>
    <n v="-4.8500000000000022E-2"/>
  </r>
  <r>
    <n v="267"/>
    <x v="11"/>
    <n v="1"/>
    <n v="13"/>
    <b v="0"/>
    <n v="3"/>
    <n v="1"/>
    <n v="0.22"/>
    <x v="12"/>
    <n v="0.44"/>
    <n v="0.35820000000000002"/>
    <n v="0"/>
    <n v="49"/>
    <n v="49"/>
    <s v="Spring"/>
    <s v="Wednesday"/>
    <s v="Clear"/>
    <x v="2"/>
    <s v="Cold"/>
    <s v="Medium"/>
    <s v="Windy"/>
    <s v="Working Day"/>
    <s v="Mostly Registered"/>
    <n v="0"/>
    <n v="100"/>
    <s v="No"/>
    <s v="Low"/>
    <s v="No"/>
    <n v="-2.2999999999999989E-2"/>
  </r>
  <r>
    <n v="268"/>
    <x v="11"/>
    <n v="1"/>
    <n v="14"/>
    <b v="0"/>
    <n v="3"/>
    <n v="1"/>
    <n v="0.2"/>
    <x v="17"/>
    <n v="0.47"/>
    <n v="0.32840000000000003"/>
    <n v="0"/>
    <n v="44"/>
    <n v="44"/>
    <s v="Spring"/>
    <s v="Wednesday"/>
    <s v="Clear"/>
    <x v="2"/>
    <s v="Cold"/>
    <s v="Medium"/>
    <s v="Windy"/>
    <s v="Working Day"/>
    <s v="Mostly Registered"/>
    <n v="0"/>
    <n v="100"/>
    <s v="No"/>
    <s v="Low"/>
    <s v="No"/>
    <n v="-1.8200000000000022E-2"/>
  </r>
  <r>
    <n v="269"/>
    <x v="11"/>
    <n v="1"/>
    <n v="15"/>
    <b v="0"/>
    <n v="3"/>
    <n v="1"/>
    <n v="0.2"/>
    <x v="16"/>
    <n v="0.47"/>
    <n v="0.41789999999999999"/>
    <n v="1"/>
    <n v="48"/>
    <n v="49"/>
    <s v="Spring"/>
    <s v="Wednesday"/>
    <s v="Clear"/>
    <x v="2"/>
    <s v="Cold"/>
    <s v="Medium"/>
    <s v="Windy"/>
    <s v="Working Day"/>
    <s v="Mostly Registered"/>
    <n v="2.0408163265306118"/>
    <n v="97.959183673469383"/>
    <s v="No"/>
    <s v="Low"/>
    <s v="No"/>
    <n v="-3.3300000000000017E-2"/>
  </r>
  <r>
    <n v="270"/>
    <x v="11"/>
    <n v="1"/>
    <n v="16"/>
    <b v="0"/>
    <n v="3"/>
    <n v="1"/>
    <n v="0.22"/>
    <x v="12"/>
    <n v="0.44"/>
    <n v="0.32840000000000003"/>
    <n v="5"/>
    <n v="63"/>
    <n v="68"/>
    <s v="Spring"/>
    <s v="Wednesday"/>
    <s v="Clear"/>
    <x v="2"/>
    <s v="Cold"/>
    <s v="Medium"/>
    <s v="Windy"/>
    <s v="Working Day"/>
    <s v="Mostly Registered"/>
    <n v="7.3529411764705888"/>
    <n v="92.64705882352942"/>
    <s v="No"/>
    <s v="Low"/>
    <s v="No"/>
    <n v="-2.2999999999999989E-2"/>
  </r>
  <r>
    <n v="271"/>
    <x v="11"/>
    <n v="1"/>
    <n v="17"/>
    <b v="0"/>
    <n v="3"/>
    <n v="1"/>
    <n v="0.2"/>
    <x v="17"/>
    <n v="0.47"/>
    <n v="0.35820000000000002"/>
    <n v="0"/>
    <n v="139"/>
    <n v="139"/>
    <s v="Spring"/>
    <s v="Wednesday"/>
    <s v="Clear"/>
    <x v="3"/>
    <s v="Cold"/>
    <s v="Medium"/>
    <s v="Windy"/>
    <s v="Working Day"/>
    <s v="Mostly Registered"/>
    <n v="0"/>
    <n v="100"/>
    <s v="Yes"/>
    <s v="Medium"/>
    <s v="No"/>
    <n v="-1.8200000000000022E-2"/>
  </r>
  <r>
    <n v="272"/>
    <x v="11"/>
    <n v="1"/>
    <n v="18"/>
    <b v="0"/>
    <n v="3"/>
    <n v="1"/>
    <n v="0.2"/>
    <x v="19"/>
    <n v="0.47"/>
    <n v="0.52239999999999998"/>
    <n v="2"/>
    <n v="135"/>
    <n v="137"/>
    <s v="Spring"/>
    <s v="Wednesday"/>
    <s v="Clear"/>
    <x v="3"/>
    <s v="Cold"/>
    <s v="Medium"/>
    <s v="Windy"/>
    <s v="Working Day"/>
    <s v="Mostly Registered"/>
    <n v="1.4598540145985399"/>
    <n v="98.540145985401466"/>
    <s v="Yes"/>
    <s v="Medium"/>
    <s v="No"/>
    <n v="-4.8500000000000022E-2"/>
  </r>
  <r>
    <n v="273"/>
    <x v="11"/>
    <n v="1"/>
    <n v="19"/>
    <b v="0"/>
    <n v="3"/>
    <n v="1"/>
    <n v="0.18"/>
    <x v="19"/>
    <n v="0.47"/>
    <n v="0.41789999999999999"/>
    <n v="1"/>
    <n v="82"/>
    <n v="83"/>
    <s v="Spring"/>
    <s v="Wednesday"/>
    <s v="Clear"/>
    <x v="3"/>
    <s v="Cold"/>
    <s v="Medium"/>
    <s v="Windy"/>
    <s v="Working Day"/>
    <s v="Mostly Registered"/>
    <n v="1.2048192771084341"/>
    <n v="98.795180722891558"/>
    <s v="Yes"/>
    <s v="Low"/>
    <s v="No"/>
    <n v="-2.8500000000000001E-2"/>
  </r>
  <r>
    <n v="274"/>
    <x v="11"/>
    <n v="1"/>
    <n v="20"/>
    <b v="0"/>
    <n v="3"/>
    <n v="1"/>
    <n v="0.16"/>
    <x v="13"/>
    <n v="0.5"/>
    <n v="0.32840000000000003"/>
    <n v="2"/>
    <n v="54"/>
    <n v="56"/>
    <s v="Spring"/>
    <s v="Wednesday"/>
    <s v="Clear"/>
    <x v="3"/>
    <s v="Cold"/>
    <s v="Medium"/>
    <s v="Windy"/>
    <s v="Working Day"/>
    <s v="Mostly Registered"/>
    <n v="3.5714285714285712"/>
    <n v="96.428571428571431"/>
    <s v="No"/>
    <s v="Low"/>
    <s v="No"/>
    <n v="-2.360000000000001E-2"/>
  </r>
  <r>
    <n v="275"/>
    <x v="11"/>
    <n v="1"/>
    <n v="21"/>
    <b v="0"/>
    <n v="3"/>
    <n v="1"/>
    <n v="0.16"/>
    <x v="13"/>
    <n v="0.55000000000000004"/>
    <n v="0.32840000000000003"/>
    <n v="0"/>
    <n v="57"/>
    <n v="57"/>
    <s v="Spring"/>
    <s v="Wednesday"/>
    <s v="Clear"/>
    <x v="0"/>
    <s v="Cold"/>
    <s v="Medium"/>
    <s v="Windy"/>
    <s v="Working Day"/>
    <s v="Mostly Registered"/>
    <n v="0"/>
    <n v="100"/>
    <s v="No"/>
    <s v="Low"/>
    <s v="No"/>
    <n v="-2.360000000000001E-2"/>
  </r>
  <r>
    <n v="276"/>
    <x v="11"/>
    <n v="1"/>
    <n v="22"/>
    <b v="0"/>
    <n v="3"/>
    <n v="1"/>
    <n v="0.16"/>
    <x v="15"/>
    <n v="0.55000000000000004"/>
    <n v="0.44779999999999998"/>
    <n v="1"/>
    <n v="32"/>
    <n v="33"/>
    <s v="Spring"/>
    <s v="Wednesday"/>
    <s v="Clear"/>
    <x v="0"/>
    <s v="Cold"/>
    <s v="Medium"/>
    <s v="Windy"/>
    <s v="Working Day"/>
    <s v="Mostly Registered"/>
    <n v="3.0303030303030298"/>
    <n v="96.969696969696969"/>
    <s v="No"/>
    <s v="Low"/>
    <s v="No"/>
    <n v="-3.8800000000000001E-2"/>
  </r>
  <r>
    <n v="277"/>
    <x v="11"/>
    <n v="1"/>
    <n v="23"/>
    <b v="0"/>
    <n v="3"/>
    <n v="1"/>
    <n v="0.14000000000000001"/>
    <x v="14"/>
    <n v="0.59"/>
    <n v="0.41789999999999999"/>
    <n v="1"/>
    <n v="19"/>
    <n v="20"/>
    <s v="Spring"/>
    <s v="Wednesday"/>
    <s v="Clear"/>
    <x v="0"/>
    <s v="Very Cold"/>
    <s v="Medium"/>
    <s v="Windy"/>
    <s v="Working Day"/>
    <s v="Mostly Registered"/>
    <n v="5"/>
    <n v="95"/>
    <s v="No"/>
    <s v="Low"/>
    <s v="No"/>
    <n v="-3.3900000000000013E-2"/>
  </r>
  <r>
    <n v="278"/>
    <x v="12"/>
    <n v="1"/>
    <n v="0"/>
    <b v="0"/>
    <n v="4"/>
    <n v="1"/>
    <n v="0.14000000000000001"/>
    <x v="15"/>
    <n v="0.59"/>
    <n v="0.28360000000000002"/>
    <n v="1"/>
    <n v="6"/>
    <n v="7"/>
    <s v="Spring"/>
    <s v="Thursday"/>
    <s v="Clear"/>
    <x v="0"/>
    <s v="Very Cold"/>
    <s v="Medium"/>
    <s v="Moderate"/>
    <s v="Working Day"/>
    <s v="Mostly Registered"/>
    <n v="14.285714285714279"/>
    <n v="85.714285714285708"/>
    <s v="No"/>
    <s v="Low"/>
    <s v="No"/>
    <n v="-1.8800000000000011E-2"/>
  </r>
  <r>
    <n v="279"/>
    <x v="12"/>
    <n v="1"/>
    <n v="1"/>
    <b v="0"/>
    <n v="4"/>
    <n v="1"/>
    <n v="0.14000000000000001"/>
    <x v="15"/>
    <n v="0.5"/>
    <n v="0.28360000000000002"/>
    <n v="0"/>
    <n v="2"/>
    <n v="2"/>
    <s v="Spring"/>
    <s v="Thursday"/>
    <s v="Clear"/>
    <x v="0"/>
    <s v="Very Cold"/>
    <s v="Medium"/>
    <s v="Moderate"/>
    <s v="Working Day"/>
    <s v="Mostly Registered"/>
    <n v="0"/>
    <n v="100"/>
    <s v="No"/>
    <s v="Low"/>
    <s v="No"/>
    <n v="-1.8800000000000011E-2"/>
  </r>
  <r>
    <n v="280"/>
    <x v="12"/>
    <n v="1"/>
    <n v="2"/>
    <b v="0"/>
    <n v="4"/>
    <n v="1"/>
    <n v="0.14000000000000001"/>
    <x v="15"/>
    <n v="0.5"/>
    <n v="0.35820000000000002"/>
    <n v="0"/>
    <n v="2"/>
    <n v="2"/>
    <s v="Spring"/>
    <s v="Thursday"/>
    <s v="Clear"/>
    <x v="0"/>
    <s v="Very Cold"/>
    <s v="Medium"/>
    <s v="Windy"/>
    <s v="Working Day"/>
    <s v="Mostly Registered"/>
    <n v="0"/>
    <n v="100"/>
    <s v="No"/>
    <s v="Low"/>
    <s v="No"/>
    <n v="-1.8800000000000011E-2"/>
  </r>
  <r>
    <n v="281"/>
    <x v="12"/>
    <n v="1"/>
    <n v="3"/>
    <b v="0"/>
    <n v="4"/>
    <n v="1"/>
    <n v="0.14000000000000001"/>
    <x v="15"/>
    <n v="0.5"/>
    <n v="0.32840000000000003"/>
    <n v="0"/>
    <n v="3"/>
    <n v="3"/>
    <s v="Spring"/>
    <s v="Thursday"/>
    <s v="Clear"/>
    <x v="0"/>
    <s v="Very Cold"/>
    <s v="Medium"/>
    <s v="Windy"/>
    <s v="Working Day"/>
    <s v="Mostly Registered"/>
    <n v="0"/>
    <n v="100"/>
    <s v="No"/>
    <s v="Low"/>
    <s v="No"/>
    <n v="-1.8800000000000011E-2"/>
  </r>
  <r>
    <n v="282"/>
    <x v="12"/>
    <n v="1"/>
    <n v="4"/>
    <b v="0"/>
    <n v="4"/>
    <n v="1"/>
    <n v="0.14000000000000001"/>
    <x v="15"/>
    <n v="0.5"/>
    <n v="0.25369999999999998"/>
    <n v="0"/>
    <n v="4"/>
    <n v="4"/>
    <s v="Spring"/>
    <s v="Thursday"/>
    <s v="Clear"/>
    <x v="0"/>
    <s v="Very Cold"/>
    <s v="Medium"/>
    <s v="Moderate"/>
    <s v="Working Day"/>
    <s v="Mostly Registered"/>
    <n v="0"/>
    <n v="100"/>
    <s v="No"/>
    <s v="Low"/>
    <s v="No"/>
    <n v="-1.8800000000000011E-2"/>
  </r>
  <r>
    <n v="283"/>
    <x v="12"/>
    <n v="1"/>
    <n v="5"/>
    <b v="0"/>
    <n v="4"/>
    <n v="1"/>
    <n v="0.14000000000000001"/>
    <x v="15"/>
    <n v="0.5"/>
    <n v="0.29849999999999999"/>
    <n v="0"/>
    <n v="3"/>
    <n v="3"/>
    <s v="Spring"/>
    <s v="Thursday"/>
    <s v="Clear"/>
    <x v="0"/>
    <s v="Very Cold"/>
    <s v="Medium"/>
    <s v="Moderate"/>
    <s v="Working Day"/>
    <s v="Mostly Registered"/>
    <n v="0"/>
    <n v="100"/>
    <s v="No"/>
    <s v="Low"/>
    <s v="No"/>
    <n v="-1.8800000000000011E-2"/>
  </r>
  <r>
    <n v="284"/>
    <x v="12"/>
    <n v="1"/>
    <n v="6"/>
    <b v="0"/>
    <n v="4"/>
    <n v="1"/>
    <n v="0.12"/>
    <x v="19"/>
    <n v="0.54"/>
    <n v="0.1343"/>
    <n v="0"/>
    <n v="28"/>
    <n v="28"/>
    <s v="Spring"/>
    <s v="Thursday"/>
    <s v="Clear"/>
    <x v="1"/>
    <s v="Very Cold"/>
    <s v="Medium"/>
    <s v="Calm"/>
    <s v="Working Day"/>
    <s v="Mostly Registered"/>
    <n v="0"/>
    <n v="100"/>
    <s v="No"/>
    <s v="Low"/>
    <s v="No"/>
    <n v="3.15E-2"/>
  </r>
  <r>
    <n v="285"/>
    <x v="12"/>
    <n v="1"/>
    <n v="7"/>
    <b v="0"/>
    <n v="4"/>
    <n v="1"/>
    <n v="0.12"/>
    <x v="19"/>
    <n v="0.54"/>
    <n v="0.1343"/>
    <n v="0"/>
    <n v="72"/>
    <n v="72"/>
    <s v="Spring"/>
    <s v="Thursday"/>
    <s v="Clear"/>
    <x v="1"/>
    <s v="Very Cold"/>
    <s v="Medium"/>
    <s v="Calm"/>
    <s v="Working Day"/>
    <s v="Mostly Registered"/>
    <n v="0"/>
    <n v="100"/>
    <s v="Yes"/>
    <s v="Low"/>
    <s v="No"/>
    <n v="3.15E-2"/>
  </r>
  <r>
    <n v="286"/>
    <x v="12"/>
    <n v="1"/>
    <n v="8"/>
    <b v="0"/>
    <n v="4"/>
    <n v="1"/>
    <n v="0.14000000000000001"/>
    <x v="13"/>
    <n v="0.5"/>
    <n v="0.19400000000000001"/>
    <n v="5"/>
    <n v="197"/>
    <n v="202"/>
    <s v="Spring"/>
    <s v="Thursday"/>
    <s v="Clear"/>
    <x v="1"/>
    <s v="Very Cold"/>
    <s v="Medium"/>
    <s v="Moderate"/>
    <s v="Working Day"/>
    <s v="Mostly Registered"/>
    <n v="2.4752475247524748"/>
    <n v="97.524752475247524"/>
    <s v="Yes"/>
    <s v="Medium"/>
    <s v="No"/>
    <n v="-3.6000000000000199E-3"/>
  </r>
  <r>
    <n v="287"/>
    <x v="12"/>
    <n v="1"/>
    <n v="9"/>
    <b v="0"/>
    <n v="4"/>
    <n v="1"/>
    <n v="0.14000000000000001"/>
    <x v="15"/>
    <n v="0.5"/>
    <n v="0.32840000000000003"/>
    <n v="2"/>
    <n v="137"/>
    <n v="139"/>
    <s v="Spring"/>
    <s v="Thursday"/>
    <s v="Clear"/>
    <x v="1"/>
    <s v="Very Cold"/>
    <s v="Medium"/>
    <s v="Windy"/>
    <s v="Working Day"/>
    <s v="Mostly Registered"/>
    <n v="1.43884892086331"/>
    <n v="98.561151079136692"/>
    <s v="Yes"/>
    <s v="Medium"/>
    <s v="No"/>
    <n v="-1.8800000000000011E-2"/>
  </r>
  <r>
    <n v="288"/>
    <x v="12"/>
    <n v="1"/>
    <n v="10"/>
    <b v="0"/>
    <n v="4"/>
    <n v="2"/>
    <n v="0.16"/>
    <x v="13"/>
    <n v="0.5"/>
    <n v="0.35820000000000002"/>
    <n v="2"/>
    <n v="36"/>
    <n v="38"/>
    <s v="Spring"/>
    <s v="Thursday"/>
    <s v="Mist/Cloudy"/>
    <x v="1"/>
    <s v="Cold"/>
    <s v="Medium"/>
    <s v="Windy"/>
    <s v="Working Day"/>
    <s v="Mostly Registered"/>
    <n v="5.2631578947368416"/>
    <n v="94.73684210526315"/>
    <s v="No"/>
    <s v="Low"/>
    <s v="No"/>
    <n v="-2.360000000000001E-2"/>
  </r>
  <r>
    <n v="289"/>
    <x v="12"/>
    <n v="1"/>
    <n v="11"/>
    <b v="0"/>
    <n v="4"/>
    <n v="2"/>
    <n v="0.2"/>
    <x v="16"/>
    <n v="0.44"/>
    <n v="0.44779999999999998"/>
    <n v="4"/>
    <n v="33"/>
    <n v="37"/>
    <s v="Spring"/>
    <s v="Thursday"/>
    <s v="Mist/Cloudy"/>
    <x v="1"/>
    <s v="Cold"/>
    <s v="Medium"/>
    <s v="Windy"/>
    <s v="Working Day"/>
    <s v="Mostly Registered"/>
    <n v="10.810810810810811"/>
    <n v="89.189189189189193"/>
    <s v="No"/>
    <s v="Low"/>
    <s v="No"/>
    <n v="-3.3300000000000017E-2"/>
  </r>
  <r>
    <n v="290"/>
    <x v="12"/>
    <n v="1"/>
    <n v="12"/>
    <b v="0"/>
    <n v="4"/>
    <n v="1"/>
    <n v="0.2"/>
    <x v="16"/>
    <n v="0.44"/>
    <n v="0.41789999999999999"/>
    <n v="3"/>
    <n v="49"/>
    <n v="52"/>
    <s v="Spring"/>
    <s v="Thursday"/>
    <s v="Clear"/>
    <x v="2"/>
    <s v="Cold"/>
    <s v="Medium"/>
    <s v="Windy"/>
    <s v="Working Day"/>
    <s v="Mostly Registered"/>
    <n v="5.7692307692307692"/>
    <n v="94.230769230769226"/>
    <s v="No"/>
    <s v="Low"/>
    <s v="No"/>
    <n v="-3.3300000000000017E-2"/>
  </r>
  <r>
    <n v="291"/>
    <x v="12"/>
    <n v="1"/>
    <n v="13"/>
    <b v="0"/>
    <n v="4"/>
    <n v="1"/>
    <n v="0.22"/>
    <x v="12"/>
    <n v="0.41"/>
    <n v="0.44779999999999998"/>
    <n v="2"/>
    <n v="81"/>
    <n v="83"/>
    <s v="Spring"/>
    <s v="Thursday"/>
    <s v="Clear"/>
    <x v="2"/>
    <s v="Cold"/>
    <s v="Medium"/>
    <s v="Windy"/>
    <s v="Working Day"/>
    <s v="Mostly Registered"/>
    <n v="2.4096385542168681"/>
    <n v="97.590361445783131"/>
    <s v="No"/>
    <s v="Low"/>
    <s v="No"/>
    <n v="-2.2999999999999989E-2"/>
  </r>
  <r>
    <n v="292"/>
    <x v="12"/>
    <n v="1"/>
    <n v="14"/>
    <b v="0"/>
    <n v="4"/>
    <n v="1"/>
    <n v="0.22"/>
    <x v="12"/>
    <n v="0.41"/>
    <n v="0.3881"/>
    <n v="3"/>
    <n v="39"/>
    <n v="42"/>
    <s v="Spring"/>
    <s v="Thursday"/>
    <s v="Clear"/>
    <x v="2"/>
    <s v="Cold"/>
    <s v="Medium"/>
    <s v="Windy"/>
    <s v="Working Day"/>
    <s v="Mostly Registered"/>
    <n v="7.1428571428571423"/>
    <n v="92.857142857142861"/>
    <s v="No"/>
    <s v="Low"/>
    <s v="No"/>
    <n v="-2.2999999999999989E-2"/>
  </r>
  <r>
    <n v="293"/>
    <x v="12"/>
    <n v="1"/>
    <n v="15"/>
    <b v="0"/>
    <n v="4"/>
    <n v="1"/>
    <n v="0.24"/>
    <x v="11"/>
    <n v="0.38"/>
    <n v="0.29849999999999999"/>
    <n v="5"/>
    <n v="55"/>
    <n v="60"/>
    <s v="Spring"/>
    <s v="Thursday"/>
    <s v="Clear"/>
    <x v="2"/>
    <s v="Cold"/>
    <s v="Low"/>
    <s v="Moderate"/>
    <s v="Working Day"/>
    <s v="Mostly Registered"/>
    <n v="8.3333333333333321"/>
    <n v="91.666666666666657"/>
    <s v="No"/>
    <s v="Low"/>
    <s v="No"/>
    <n v="-2.789999999999998E-2"/>
  </r>
  <r>
    <n v="294"/>
    <x v="12"/>
    <n v="1"/>
    <n v="16"/>
    <b v="0"/>
    <n v="4"/>
    <n v="1"/>
    <n v="0.24"/>
    <x v="11"/>
    <n v="0.38"/>
    <n v="0.35820000000000002"/>
    <n v="2"/>
    <n v="76"/>
    <n v="78"/>
    <s v="Spring"/>
    <s v="Thursday"/>
    <s v="Clear"/>
    <x v="2"/>
    <s v="Cold"/>
    <s v="Low"/>
    <s v="Windy"/>
    <s v="Working Day"/>
    <s v="Mostly Registered"/>
    <n v="2.5641025641025639"/>
    <n v="97.435897435897431"/>
    <s v="No"/>
    <s v="Low"/>
    <s v="No"/>
    <n v="-2.789999999999998E-2"/>
  </r>
  <r>
    <n v="295"/>
    <x v="12"/>
    <n v="1"/>
    <n v="17"/>
    <b v="0"/>
    <n v="4"/>
    <n v="1"/>
    <n v="0.2"/>
    <x v="17"/>
    <n v="0.4"/>
    <n v="0.28360000000000002"/>
    <n v="4"/>
    <n v="158"/>
    <n v="162"/>
    <s v="Spring"/>
    <s v="Thursday"/>
    <s v="Clear"/>
    <x v="3"/>
    <s v="Cold"/>
    <s v="Medium"/>
    <s v="Moderate"/>
    <s v="Working Day"/>
    <s v="Mostly Registered"/>
    <n v="2.4691358024691361"/>
    <n v="97.53086419753086"/>
    <s v="Yes"/>
    <s v="Medium"/>
    <s v="No"/>
    <n v="-1.8200000000000022E-2"/>
  </r>
  <r>
    <n v="296"/>
    <x v="12"/>
    <n v="1"/>
    <n v="18"/>
    <b v="0"/>
    <n v="4"/>
    <n v="1"/>
    <n v="0.2"/>
    <x v="17"/>
    <n v="0.4"/>
    <n v="0.32840000000000003"/>
    <n v="3"/>
    <n v="141"/>
    <n v="144"/>
    <s v="Spring"/>
    <s v="Thursday"/>
    <s v="Clear"/>
    <x v="3"/>
    <s v="Cold"/>
    <s v="Medium"/>
    <s v="Windy"/>
    <s v="Working Day"/>
    <s v="Mostly Registered"/>
    <n v="2.083333333333333"/>
    <n v="97.916666666666657"/>
    <s v="Yes"/>
    <s v="Medium"/>
    <s v="No"/>
    <n v="-1.8200000000000022E-2"/>
  </r>
  <r>
    <n v="297"/>
    <x v="12"/>
    <n v="1"/>
    <n v="19"/>
    <b v="0"/>
    <n v="4"/>
    <n v="1"/>
    <n v="0.16"/>
    <x v="19"/>
    <n v="0.47"/>
    <n v="0.25369999999999998"/>
    <n v="1"/>
    <n v="98"/>
    <n v="99"/>
    <s v="Spring"/>
    <s v="Thursday"/>
    <s v="Clear"/>
    <x v="3"/>
    <s v="Cold"/>
    <s v="Medium"/>
    <s v="Moderate"/>
    <s v="Working Day"/>
    <s v="Mostly Registered"/>
    <n v="1.0101010101010099"/>
    <n v="98.98989898989899"/>
    <s v="Yes"/>
    <s v="Low"/>
    <s v="No"/>
    <n v="-8.5000000000000075E-3"/>
  </r>
  <r>
    <n v="298"/>
    <x v="12"/>
    <n v="1"/>
    <n v="20"/>
    <b v="0"/>
    <n v="4"/>
    <n v="1"/>
    <n v="0.16"/>
    <x v="19"/>
    <n v="0.47"/>
    <n v="0.22389999999999999"/>
    <n v="0"/>
    <n v="64"/>
    <n v="64"/>
    <s v="Spring"/>
    <s v="Thursday"/>
    <s v="Clear"/>
    <x v="3"/>
    <s v="Cold"/>
    <s v="Medium"/>
    <s v="Moderate"/>
    <s v="Working Day"/>
    <s v="Mostly Registered"/>
    <n v="0"/>
    <n v="100"/>
    <s v="No"/>
    <s v="Low"/>
    <s v="No"/>
    <n v="-8.5000000000000075E-3"/>
  </r>
  <r>
    <n v="299"/>
    <x v="12"/>
    <n v="1"/>
    <n v="21"/>
    <b v="0"/>
    <n v="4"/>
    <n v="1"/>
    <n v="0.14000000000000001"/>
    <x v="15"/>
    <n v="0.46"/>
    <n v="0.29849999999999999"/>
    <n v="0"/>
    <n v="40"/>
    <n v="40"/>
    <s v="Spring"/>
    <s v="Thursday"/>
    <s v="Clear"/>
    <x v="0"/>
    <s v="Very Cold"/>
    <s v="Medium"/>
    <s v="Moderate"/>
    <s v="Working Day"/>
    <s v="Mostly Registered"/>
    <n v="0"/>
    <n v="100"/>
    <s v="No"/>
    <s v="Low"/>
    <s v="No"/>
    <n v="-1.8800000000000011E-2"/>
  </r>
  <r>
    <n v="300"/>
    <x v="12"/>
    <n v="1"/>
    <n v="22"/>
    <b v="0"/>
    <n v="4"/>
    <n v="1"/>
    <n v="0.14000000000000001"/>
    <x v="15"/>
    <n v="0.46"/>
    <n v="0.32840000000000003"/>
    <n v="0"/>
    <n v="30"/>
    <n v="30"/>
    <s v="Spring"/>
    <s v="Thursday"/>
    <s v="Clear"/>
    <x v="0"/>
    <s v="Very Cold"/>
    <s v="Medium"/>
    <s v="Windy"/>
    <s v="Working Day"/>
    <s v="Mostly Registered"/>
    <n v="0"/>
    <n v="100"/>
    <s v="No"/>
    <s v="Low"/>
    <s v="No"/>
    <n v="-1.8800000000000011E-2"/>
  </r>
  <r>
    <n v="301"/>
    <x v="12"/>
    <n v="1"/>
    <n v="23"/>
    <b v="0"/>
    <n v="4"/>
    <n v="1"/>
    <n v="0.12"/>
    <x v="13"/>
    <n v="0.5"/>
    <n v="0.19400000000000001"/>
    <n v="1"/>
    <n v="14"/>
    <n v="15"/>
    <s v="Spring"/>
    <s v="Thursday"/>
    <s v="Clear"/>
    <x v="0"/>
    <s v="Very Cold"/>
    <s v="Medium"/>
    <s v="Moderate"/>
    <s v="Working Day"/>
    <s v="Mostly Registered"/>
    <n v="6.666666666666667"/>
    <n v="93.333333333333329"/>
    <s v="No"/>
    <s v="Low"/>
    <s v="No"/>
    <n v="1.6400000000000001E-2"/>
  </r>
  <r>
    <n v="302"/>
    <x v="13"/>
    <n v="1"/>
    <n v="0"/>
    <b v="0"/>
    <n v="5"/>
    <n v="1"/>
    <n v="0.12"/>
    <x v="13"/>
    <n v="0.5"/>
    <n v="0.19400000000000001"/>
    <n v="0"/>
    <n v="14"/>
    <n v="14"/>
    <s v="Spring"/>
    <s v="Friday"/>
    <s v="Clear"/>
    <x v="0"/>
    <s v="Very Cold"/>
    <s v="Medium"/>
    <s v="Moderate"/>
    <s v="Working Day"/>
    <s v="Mostly Registered"/>
    <n v="0"/>
    <n v="100"/>
    <s v="No"/>
    <s v="Low"/>
    <s v="No"/>
    <n v="1.6400000000000001E-2"/>
  </r>
  <r>
    <n v="303"/>
    <x v="13"/>
    <n v="1"/>
    <n v="1"/>
    <b v="0"/>
    <n v="5"/>
    <n v="1"/>
    <n v="0.1"/>
    <x v="15"/>
    <n v="0.54"/>
    <n v="0.16420000000000001"/>
    <n v="0"/>
    <n v="5"/>
    <n v="5"/>
    <s v="Spring"/>
    <s v="Friday"/>
    <s v="Clear"/>
    <x v="0"/>
    <s v="Very Cold"/>
    <s v="Medium"/>
    <s v="Moderate"/>
    <s v="Working Day"/>
    <s v="Mostly Registered"/>
    <n v="0"/>
    <n v="100"/>
    <s v="No"/>
    <s v="Low"/>
    <s v="No"/>
    <n v="2.12E-2"/>
  </r>
  <r>
    <n v="304"/>
    <x v="13"/>
    <n v="1"/>
    <n v="2"/>
    <b v="0"/>
    <n v="5"/>
    <n v="1"/>
    <n v="0.1"/>
    <x v="15"/>
    <n v="0.54"/>
    <n v="0.1343"/>
    <n v="0"/>
    <n v="1"/>
    <n v="1"/>
    <s v="Spring"/>
    <s v="Friday"/>
    <s v="Clear"/>
    <x v="0"/>
    <s v="Very Cold"/>
    <s v="Medium"/>
    <s v="Calm"/>
    <s v="Working Day"/>
    <s v="Mostly Registered"/>
    <n v="0"/>
    <n v="100"/>
    <s v="No"/>
    <s v="Low"/>
    <s v="No"/>
    <n v="2.12E-2"/>
  </r>
  <r>
    <n v="305"/>
    <x v="13"/>
    <n v="1"/>
    <n v="3"/>
    <b v="0"/>
    <n v="5"/>
    <n v="1"/>
    <n v="0.1"/>
    <x v="13"/>
    <n v="0.54"/>
    <n v="0.1045"/>
    <n v="0"/>
    <n v="1"/>
    <n v="1"/>
    <s v="Spring"/>
    <s v="Friday"/>
    <s v="Clear"/>
    <x v="0"/>
    <s v="Very Cold"/>
    <s v="Medium"/>
    <s v="Calm"/>
    <s v="Working Day"/>
    <s v="Mostly Registered"/>
    <n v="0"/>
    <n v="100"/>
    <s v="No"/>
    <s v="Low"/>
    <s v="No"/>
    <n v="3.6399999999999988E-2"/>
  </r>
  <r>
    <n v="306"/>
    <x v="13"/>
    <n v="1"/>
    <n v="5"/>
    <b v="0"/>
    <n v="5"/>
    <n v="1"/>
    <n v="0.1"/>
    <x v="13"/>
    <n v="0.54"/>
    <n v="8.9599999999999999E-2"/>
    <n v="0"/>
    <n v="8"/>
    <n v="8"/>
    <s v="Spring"/>
    <s v="Friday"/>
    <s v="Clear"/>
    <x v="0"/>
    <s v="Very Cold"/>
    <s v="Medium"/>
    <s v="Calm"/>
    <s v="Working Day"/>
    <s v="Mostly Registered"/>
    <n v="0"/>
    <n v="100"/>
    <s v="No"/>
    <s v="Low"/>
    <s v="No"/>
    <n v="3.6399999999999988E-2"/>
  </r>
  <r>
    <n v="307"/>
    <x v="13"/>
    <n v="1"/>
    <n v="6"/>
    <b v="0"/>
    <n v="5"/>
    <n v="1"/>
    <n v="0.1"/>
    <x v="17"/>
    <n v="0.54"/>
    <n v="0"/>
    <n v="0"/>
    <n v="17"/>
    <n v="17"/>
    <s v="Spring"/>
    <s v="Friday"/>
    <s v="Clear"/>
    <x v="1"/>
    <s v="Very Cold"/>
    <s v="Medium"/>
    <s v="Calm"/>
    <s v="Working Day"/>
    <s v="Mostly Registered"/>
    <n v="0"/>
    <n v="100"/>
    <s v="No"/>
    <s v="Low"/>
    <s v="No"/>
    <n v="8.1799999999999984E-2"/>
  </r>
  <r>
    <n v="308"/>
    <x v="13"/>
    <n v="1"/>
    <n v="7"/>
    <b v="0"/>
    <n v="5"/>
    <n v="1"/>
    <n v="0.1"/>
    <x v="15"/>
    <n v="0.74"/>
    <n v="0.16420000000000001"/>
    <n v="0"/>
    <n v="70"/>
    <n v="70"/>
    <s v="Spring"/>
    <s v="Friday"/>
    <s v="Clear"/>
    <x v="1"/>
    <s v="Very Cold"/>
    <s v="High"/>
    <s v="Moderate"/>
    <s v="Working Day"/>
    <s v="Mostly Registered"/>
    <n v="0"/>
    <n v="100"/>
    <s v="Yes"/>
    <s v="Low"/>
    <s v="No"/>
    <n v="2.12E-2"/>
  </r>
  <r>
    <n v="309"/>
    <x v="13"/>
    <n v="1"/>
    <n v="8"/>
    <b v="0"/>
    <n v="5"/>
    <n v="1"/>
    <n v="0.12"/>
    <x v="16"/>
    <n v="0.68"/>
    <n v="0"/>
    <n v="2"/>
    <n v="156"/>
    <n v="158"/>
    <s v="Spring"/>
    <s v="Friday"/>
    <s v="Clear"/>
    <x v="1"/>
    <s v="Very Cold"/>
    <s v="Medium"/>
    <s v="Calm"/>
    <s v="Working Day"/>
    <s v="Mostly Registered"/>
    <n v="1.2658227848101271"/>
    <n v="98.734177215189874"/>
    <s v="Yes"/>
    <s v="Medium"/>
    <s v="No"/>
    <n v="4.6699999999999992E-2"/>
  </r>
  <r>
    <n v="310"/>
    <x v="13"/>
    <n v="1"/>
    <n v="9"/>
    <b v="0"/>
    <n v="5"/>
    <n v="1"/>
    <n v="0.14000000000000001"/>
    <x v="19"/>
    <n v="0.69"/>
    <n v="0.1343"/>
    <n v="0"/>
    <n v="117"/>
    <n v="117"/>
    <s v="Spring"/>
    <s v="Friday"/>
    <s v="Clear"/>
    <x v="1"/>
    <s v="Very Cold"/>
    <s v="Medium"/>
    <s v="Calm"/>
    <s v="Working Day"/>
    <s v="Mostly Registered"/>
    <n v="0"/>
    <n v="100"/>
    <s v="Yes"/>
    <s v="Medium"/>
    <s v="No"/>
    <n v="1.1499999999999981E-2"/>
  </r>
  <r>
    <n v="311"/>
    <x v="13"/>
    <n v="1"/>
    <n v="10"/>
    <b v="0"/>
    <n v="5"/>
    <n v="1"/>
    <n v="0.18"/>
    <x v="17"/>
    <n v="0.55000000000000004"/>
    <n v="0.19400000000000001"/>
    <n v="4"/>
    <n v="40"/>
    <n v="44"/>
    <s v="Spring"/>
    <s v="Friday"/>
    <s v="Clear"/>
    <x v="1"/>
    <s v="Cold"/>
    <s v="Medium"/>
    <s v="Moderate"/>
    <s v="Working Day"/>
    <s v="Mostly Registered"/>
    <n v="9.0909090909090917"/>
    <n v="90.909090909090907"/>
    <s v="No"/>
    <s v="Low"/>
    <s v="No"/>
    <n v="1.799999999999996E-3"/>
  </r>
  <r>
    <n v="312"/>
    <x v="13"/>
    <n v="1"/>
    <n v="11"/>
    <b v="0"/>
    <n v="5"/>
    <n v="1"/>
    <n v="0.18"/>
    <x v="16"/>
    <n v="0.51"/>
    <n v="0.28360000000000002"/>
    <n v="6"/>
    <n v="47"/>
    <n v="53"/>
    <s v="Spring"/>
    <s v="Friday"/>
    <s v="Clear"/>
    <x v="1"/>
    <s v="Cold"/>
    <s v="Medium"/>
    <s v="Moderate"/>
    <s v="Working Day"/>
    <s v="Mostly Registered"/>
    <n v="11.32075471698113"/>
    <n v="88.679245283018872"/>
    <s v="No"/>
    <s v="Low"/>
    <s v="No"/>
    <n v="-1.330000000000001E-2"/>
  </r>
  <r>
    <n v="313"/>
    <x v="13"/>
    <n v="1"/>
    <n v="12"/>
    <b v="0"/>
    <n v="5"/>
    <n v="1"/>
    <n v="0.2"/>
    <x v="12"/>
    <n v="0.44"/>
    <n v="0.25369999999999998"/>
    <n v="2"/>
    <n v="59"/>
    <n v="61"/>
    <s v="Spring"/>
    <s v="Friday"/>
    <s v="Clear"/>
    <x v="2"/>
    <s v="Cold"/>
    <s v="Medium"/>
    <s v="Moderate"/>
    <s v="Working Day"/>
    <s v="Mostly Registered"/>
    <n v="3.278688524590164"/>
    <n v="96.721311475409834"/>
    <s v="No"/>
    <s v="Low"/>
    <s v="No"/>
    <n v="-3.0000000000000031E-3"/>
  </r>
  <r>
    <n v="314"/>
    <x v="13"/>
    <n v="1"/>
    <n v="13"/>
    <b v="0"/>
    <n v="5"/>
    <n v="1"/>
    <n v="0.22"/>
    <x v="12"/>
    <n v="0.37"/>
    <n v="0.3881"/>
    <n v="4"/>
    <n v="73"/>
    <n v="77"/>
    <s v="Spring"/>
    <s v="Friday"/>
    <s v="Clear"/>
    <x v="2"/>
    <s v="Cold"/>
    <s v="Low"/>
    <s v="Windy"/>
    <s v="Working Day"/>
    <s v="Mostly Registered"/>
    <n v="5.1948051948051948"/>
    <n v="94.805194805194802"/>
    <s v="No"/>
    <s v="Low"/>
    <s v="No"/>
    <n v="-2.2999999999999989E-2"/>
  </r>
  <r>
    <n v="315"/>
    <x v="13"/>
    <n v="1"/>
    <n v="14"/>
    <b v="0"/>
    <n v="5"/>
    <n v="1"/>
    <n v="0.22"/>
    <x v="11"/>
    <n v="0.41"/>
    <n v="0.28360000000000002"/>
    <n v="5"/>
    <n v="59"/>
    <n v="64"/>
    <s v="Spring"/>
    <s v="Friday"/>
    <s v="Clear"/>
    <x v="2"/>
    <s v="Cold"/>
    <s v="Medium"/>
    <s v="Moderate"/>
    <s v="Working Day"/>
    <s v="Mostly Registered"/>
    <n v="7.8125"/>
    <n v="92.1875"/>
    <s v="No"/>
    <s v="Low"/>
    <s v="No"/>
    <n v="-7.8999999999999904E-3"/>
  </r>
  <r>
    <n v="316"/>
    <x v="13"/>
    <n v="1"/>
    <n v="15"/>
    <b v="0"/>
    <n v="5"/>
    <n v="1"/>
    <n v="0.24"/>
    <x v="18"/>
    <n v="0.38"/>
    <n v="0.16420000000000001"/>
    <n v="9"/>
    <n v="59"/>
    <n v="68"/>
    <s v="Spring"/>
    <s v="Friday"/>
    <s v="Clear"/>
    <x v="2"/>
    <s v="Cold"/>
    <s v="Low"/>
    <s v="Moderate"/>
    <s v="Working Day"/>
    <s v="Mostly Registered"/>
    <n v="13.23529411764706"/>
    <n v="86.764705882352942"/>
    <s v="No"/>
    <s v="Low"/>
    <s v="No"/>
    <n v="2.4000000000000128E-3"/>
  </r>
  <r>
    <n v="317"/>
    <x v="13"/>
    <n v="1"/>
    <n v="16"/>
    <b v="0"/>
    <n v="5"/>
    <n v="1"/>
    <n v="0.22"/>
    <x v="18"/>
    <n v="0.41"/>
    <n v="0.1045"/>
    <n v="3"/>
    <n v="87"/>
    <n v="90"/>
    <s v="Spring"/>
    <s v="Friday"/>
    <s v="Clear"/>
    <x v="2"/>
    <s v="Cold"/>
    <s v="Medium"/>
    <s v="Calm"/>
    <s v="Working Day"/>
    <s v="Mostly Registered"/>
    <n v="3.333333333333333"/>
    <n v="96.666666666666671"/>
    <s v="No"/>
    <s v="Low"/>
    <s v="No"/>
    <n v="2.24E-2"/>
  </r>
  <r>
    <n v="318"/>
    <x v="13"/>
    <n v="1"/>
    <n v="17"/>
    <b v="0"/>
    <n v="5"/>
    <n v="1"/>
    <n v="0.22"/>
    <x v="10"/>
    <n v="0.41"/>
    <n v="0.16420000000000001"/>
    <n v="4"/>
    <n v="155"/>
    <n v="159"/>
    <s v="Spring"/>
    <s v="Friday"/>
    <s v="Clear"/>
    <x v="3"/>
    <s v="Cold"/>
    <s v="Medium"/>
    <s v="Moderate"/>
    <s v="Working Day"/>
    <s v="Mostly Registered"/>
    <n v="2.5157232704402519"/>
    <n v="97.484276729559753"/>
    <s v="Yes"/>
    <s v="Medium"/>
    <s v="No"/>
    <n v="7.3000000000000009E-3"/>
  </r>
  <r>
    <n v="319"/>
    <x v="13"/>
    <n v="1"/>
    <n v="18"/>
    <b v="0"/>
    <n v="5"/>
    <n v="1"/>
    <n v="0.2"/>
    <x v="2"/>
    <n v="0.47"/>
    <n v="0"/>
    <n v="5"/>
    <n v="134"/>
    <n v="139"/>
    <s v="Spring"/>
    <s v="Friday"/>
    <s v="Clear"/>
    <x v="3"/>
    <s v="Cold"/>
    <s v="Medium"/>
    <s v="Calm"/>
    <s v="Working Day"/>
    <s v="Mostly Registered"/>
    <n v="3.5971223021582732"/>
    <n v="96.402877697841731"/>
    <s v="Yes"/>
    <s v="Medium"/>
    <s v="No"/>
    <n v="5.7599999999999978E-2"/>
  </r>
  <r>
    <n v="320"/>
    <x v="13"/>
    <n v="1"/>
    <n v="19"/>
    <b v="0"/>
    <n v="5"/>
    <n v="1"/>
    <n v="0.16"/>
    <x v="12"/>
    <n v="0.59"/>
    <n v="8.9599999999999999E-2"/>
    <n v="3"/>
    <n v="89"/>
    <n v="92"/>
    <s v="Spring"/>
    <s v="Friday"/>
    <s v="Clear"/>
    <x v="3"/>
    <s v="Cold"/>
    <s v="Medium"/>
    <s v="Calm"/>
    <s v="Working Day"/>
    <s v="Mostly Registered"/>
    <n v="3.2608695652173911"/>
    <n v="96.739130434782609"/>
    <s v="Yes"/>
    <s v="Low"/>
    <s v="No"/>
    <n v="3.7000000000000012E-2"/>
  </r>
  <r>
    <n v="321"/>
    <x v="13"/>
    <n v="1"/>
    <n v="20"/>
    <b v="0"/>
    <n v="5"/>
    <n v="1"/>
    <n v="0.18"/>
    <x v="18"/>
    <n v="0.59"/>
    <n v="0"/>
    <n v="0"/>
    <n v="68"/>
    <n v="68"/>
    <s v="Spring"/>
    <s v="Friday"/>
    <s v="Clear"/>
    <x v="3"/>
    <s v="Cold"/>
    <s v="Medium"/>
    <s v="Calm"/>
    <s v="Working Day"/>
    <s v="Mostly Registered"/>
    <n v="0"/>
    <n v="100"/>
    <s v="No"/>
    <s v="Low"/>
    <s v="No"/>
    <n v="6.2400000000000011E-2"/>
  </r>
  <r>
    <n v="322"/>
    <x v="13"/>
    <n v="1"/>
    <n v="21"/>
    <b v="0"/>
    <n v="5"/>
    <n v="1"/>
    <n v="0.16"/>
    <x v="10"/>
    <n v="0.69"/>
    <n v="0"/>
    <n v="4"/>
    <n v="48"/>
    <n v="52"/>
    <s v="Spring"/>
    <s v="Friday"/>
    <s v="Clear"/>
    <x v="0"/>
    <s v="Cold"/>
    <s v="Medium"/>
    <s v="Calm"/>
    <s v="Working Day"/>
    <s v="Mostly Registered"/>
    <n v="7.6923076923076934"/>
    <n v="92.307692307692307"/>
    <s v="No"/>
    <s v="Low"/>
    <s v="No"/>
    <n v="6.7299999999999999E-2"/>
  </r>
  <r>
    <n v="323"/>
    <x v="13"/>
    <n v="1"/>
    <n v="22"/>
    <b v="0"/>
    <n v="5"/>
    <n v="2"/>
    <n v="0.16"/>
    <x v="10"/>
    <n v="0.69"/>
    <n v="0"/>
    <n v="2"/>
    <n v="34"/>
    <n v="36"/>
    <s v="Spring"/>
    <s v="Friday"/>
    <s v="Mist/Cloudy"/>
    <x v="0"/>
    <s v="Cold"/>
    <s v="Medium"/>
    <s v="Calm"/>
    <s v="Working Day"/>
    <s v="Mostly Registered"/>
    <n v="5.5555555555555554"/>
    <n v="94.444444444444443"/>
    <s v="No"/>
    <s v="Low"/>
    <s v="No"/>
    <n v="6.7299999999999999E-2"/>
  </r>
  <r>
    <n v="324"/>
    <x v="13"/>
    <n v="1"/>
    <n v="23"/>
    <b v="0"/>
    <n v="5"/>
    <n v="2"/>
    <n v="0.18"/>
    <x v="18"/>
    <n v="0.55000000000000004"/>
    <n v="0"/>
    <n v="1"/>
    <n v="26"/>
    <n v="27"/>
    <s v="Spring"/>
    <s v="Friday"/>
    <s v="Mist/Cloudy"/>
    <x v="0"/>
    <s v="Cold"/>
    <s v="Medium"/>
    <s v="Calm"/>
    <s v="Working Day"/>
    <s v="Mostly Registered"/>
    <n v="3.7037037037037028"/>
    <n v="96.296296296296291"/>
    <s v="No"/>
    <s v="Low"/>
    <s v="No"/>
    <n v="6.2400000000000011E-2"/>
  </r>
  <r>
    <n v="325"/>
    <x v="14"/>
    <n v="1"/>
    <n v="0"/>
    <b v="0"/>
    <n v="6"/>
    <n v="1"/>
    <n v="0.18"/>
    <x v="18"/>
    <n v="0.55000000000000004"/>
    <n v="0"/>
    <n v="3"/>
    <n v="25"/>
    <n v="28"/>
    <s v="Spring"/>
    <s v="Saturday"/>
    <s v="Clear"/>
    <x v="0"/>
    <s v="Cold"/>
    <s v="Medium"/>
    <s v="Calm"/>
    <s v="Working Day"/>
    <s v="Mostly Registered"/>
    <n v="10.71428571428571"/>
    <n v="89.285714285714292"/>
    <s v="No"/>
    <s v="Low"/>
    <s v="Yes"/>
    <n v="6.2400000000000011E-2"/>
  </r>
  <r>
    <n v="326"/>
    <x v="14"/>
    <n v="1"/>
    <n v="1"/>
    <b v="0"/>
    <n v="6"/>
    <n v="2"/>
    <n v="0.16"/>
    <x v="12"/>
    <n v="0.59"/>
    <n v="8.9599999999999999E-2"/>
    <n v="2"/>
    <n v="18"/>
    <n v="20"/>
    <s v="Spring"/>
    <s v="Saturday"/>
    <s v="Mist/Cloudy"/>
    <x v="0"/>
    <s v="Cold"/>
    <s v="Medium"/>
    <s v="Calm"/>
    <s v="Working Day"/>
    <s v="Mostly Registered"/>
    <n v="10"/>
    <n v="90"/>
    <s v="No"/>
    <s v="Low"/>
    <s v="Yes"/>
    <n v="3.7000000000000012E-2"/>
  </r>
  <r>
    <n v="327"/>
    <x v="14"/>
    <n v="1"/>
    <n v="2"/>
    <b v="0"/>
    <n v="6"/>
    <n v="2"/>
    <n v="0.16"/>
    <x v="12"/>
    <n v="0.59"/>
    <n v="8.9599999999999999E-2"/>
    <n v="0"/>
    <n v="12"/>
    <n v="12"/>
    <s v="Spring"/>
    <s v="Saturday"/>
    <s v="Mist/Cloudy"/>
    <x v="0"/>
    <s v="Cold"/>
    <s v="Medium"/>
    <s v="Calm"/>
    <s v="Working Day"/>
    <s v="Mostly Registered"/>
    <n v="0"/>
    <n v="100"/>
    <s v="No"/>
    <s v="Low"/>
    <s v="Yes"/>
    <n v="3.7000000000000012E-2"/>
  </r>
  <r>
    <n v="328"/>
    <x v="14"/>
    <n v="1"/>
    <n v="3"/>
    <b v="0"/>
    <n v="6"/>
    <n v="2"/>
    <n v="0.16"/>
    <x v="10"/>
    <n v="0.59"/>
    <n v="0"/>
    <n v="1"/>
    <n v="7"/>
    <n v="8"/>
    <s v="Spring"/>
    <s v="Saturday"/>
    <s v="Mist/Cloudy"/>
    <x v="0"/>
    <s v="Cold"/>
    <s v="Medium"/>
    <s v="Calm"/>
    <s v="Working Day"/>
    <s v="Mostly Registered"/>
    <n v="12.5"/>
    <n v="87.5"/>
    <s v="No"/>
    <s v="Low"/>
    <s v="Yes"/>
    <n v="6.7299999999999999E-2"/>
  </r>
  <r>
    <n v="329"/>
    <x v="14"/>
    <n v="1"/>
    <n v="4"/>
    <b v="0"/>
    <n v="6"/>
    <n v="2"/>
    <n v="0.16"/>
    <x v="10"/>
    <n v="0.59"/>
    <n v="0"/>
    <n v="0"/>
    <n v="5"/>
    <n v="5"/>
    <s v="Spring"/>
    <s v="Saturday"/>
    <s v="Mist/Cloudy"/>
    <x v="0"/>
    <s v="Cold"/>
    <s v="Medium"/>
    <s v="Calm"/>
    <s v="Working Day"/>
    <s v="Mostly Registered"/>
    <n v="0"/>
    <n v="100"/>
    <s v="No"/>
    <s v="Low"/>
    <s v="Yes"/>
    <n v="6.7299999999999999E-2"/>
  </r>
  <r>
    <n v="330"/>
    <x v="14"/>
    <n v="1"/>
    <n v="5"/>
    <b v="0"/>
    <n v="6"/>
    <n v="1"/>
    <n v="0.16"/>
    <x v="10"/>
    <n v="0.59"/>
    <n v="0"/>
    <n v="0"/>
    <n v="1"/>
    <n v="1"/>
    <s v="Spring"/>
    <s v="Saturday"/>
    <s v="Clear"/>
    <x v="0"/>
    <s v="Cold"/>
    <s v="Medium"/>
    <s v="Calm"/>
    <s v="Working Day"/>
    <s v="Mostly Registered"/>
    <n v="0"/>
    <n v="100"/>
    <s v="No"/>
    <s v="Low"/>
    <s v="Yes"/>
    <n v="6.7299999999999999E-2"/>
  </r>
  <r>
    <n v="331"/>
    <x v="14"/>
    <n v="1"/>
    <n v="6"/>
    <b v="0"/>
    <n v="6"/>
    <n v="1"/>
    <n v="0.14000000000000001"/>
    <x v="16"/>
    <n v="0.63"/>
    <n v="0.1045"/>
    <n v="1"/>
    <n v="2"/>
    <n v="3"/>
    <s v="Spring"/>
    <s v="Saturday"/>
    <s v="Clear"/>
    <x v="1"/>
    <s v="Very Cold"/>
    <s v="Medium"/>
    <s v="Calm"/>
    <s v="Working Day"/>
    <s v="Mostly Registered"/>
    <n v="33.333333333333329"/>
    <n v="66.666666666666657"/>
    <s v="No"/>
    <s v="Low"/>
    <s v="Yes"/>
    <n v="2.669999999999997E-2"/>
  </r>
  <r>
    <n v="332"/>
    <x v="14"/>
    <n v="1"/>
    <n v="7"/>
    <b v="0"/>
    <n v="6"/>
    <n v="1"/>
    <n v="0.14000000000000001"/>
    <x v="11"/>
    <n v="0.63"/>
    <n v="0"/>
    <n v="1"/>
    <n v="9"/>
    <n v="10"/>
    <s v="Spring"/>
    <s v="Saturday"/>
    <s v="Clear"/>
    <x v="1"/>
    <s v="Very Cold"/>
    <s v="Medium"/>
    <s v="Calm"/>
    <s v="Working Day"/>
    <s v="Mostly Registered"/>
    <n v="10"/>
    <n v="90"/>
    <s v="Yes"/>
    <s v="Low"/>
    <s v="Yes"/>
    <n v="7.2099999999999997E-2"/>
  </r>
  <r>
    <n v="333"/>
    <x v="14"/>
    <n v="1"/>
    <n v="8"/>
    <b v="0"/>
    <n v="6"/>
    <n v="1"/>
    <n v="0.14000000000000001"/>
    <x v="19"/>
    <n v="0.63"/>
    <n v="0.1343"/>
    <n v="1"/>
    <n v="22"/>
    <n v="23"/>
    <s v="Spring"/>
    <s v="Saturday"/>
    <s v="Clear"/>
    <x v="1"/>
    <s v="Very Cold"/>
    <s v="Medium"/>
    <s v="Calm"/>
    <s v="Working Day"/>
    <s v="Mostly Registered"/>
    <n v="4.3478260869565224"/>
    <n v="95.652173913043484"/>
    <s v="Yes"/>
    <s v="Low"/>
    <s v="Yes"/>
    <n v="1.1499999999999981E-2"/>
  </r>
  <r>
    <n v="334"/>
    <x v="14"/>
    <n v="1"/>
    <n v="9"/>
    <b v="0"/>
    <n v="6"/>
    <n v="1"/>
    <n v="0.16"/>
    <x v="17"/>
    <n v="0.64"/>
    <n v="0.1343"/>
    <n v="2"/>
    <n v="31"/>
    <n v="33"/>
    <s v="Spring"/>
    <s v="Saturday"/>
    <s v="Clear"/>
    <x v="1"/>
    <s v="Cold"/>
    <s v="Medium"/>
    <s v="Calm"/>
    <s v="Working Day"/>
    <s v="Mostly Registered"/>
    <n v="6.0606060606060614"/>
    <n v="93.939393939393938"/>
    <s v="Yes"/>
    <s v="Low"/>
    <s v="Yes"/>
    <n v="2.179999999999999E-2"/>
  </r>
  <r>
    <n v="335"/>
    <x v="14"/>
    <n v="1"/>
    <n v="10"/>
    <b v="0"/>
    <n v="6"/>
    <n v="1"/>
    <n v="0.18"/>
    <x v="12"/>
    <n v="0.59"/>
    <n v="0.16420000000000001"/>
    <n v="2"/>
    <n v="57"/>
    <n v="59"/>
    <s v="Spring"/>
    <s v="Saturday"/>
    <s v="Clear"/>
    <x v="1"/>
    <s v="Cold"/>
    <s v="Medium"/>
    <s v="Moderate"/>
    <s v="Working Day"/>
    <s v="Mostly Registered"/>
    <n v="3.3898305084745761"/>
    <n v="96.610169491525426"/>
    <s v="No"/>
    <s v="Low"/>
    <s v="Yes"/>
    <n v="1.7000000000000019E-2"/>
  </r>
  <r>
    <n v="336"/>
    <x v="14"/>
    <n v="1"/>
    <n v="11"/>
    <b v="0"/>
    <n v="6"/>
    <n v="1"/>
    <n v="0.2"/>
    <x v="12"/>
    <n v="0.55000000000000004"/>
    <n v="0.22389999999999999"/>
    <n v="18"/>
    <n v="54"/>
    <n v="72"/>
    <s v="Spring"/>
    <s v="Saturday"/>
    <s v="Clear"/>
    <x v="1"/>
    <s v="Cold"/>
    <s v="Medium"/>
    <s v="Moderate"/>
    <s v="Working Day"/>
    <s v="Mostly Registered"/>
    <n v="25"/>
    <n v="75"/>
    <s v="No"/>
    <s v="Low"/>
    <s v="Yes"/>
    <n v="-3.0000000000000031E-3"/>
  </r>
  <r>
    <n v="337"/>
    <x v="14"/>
    <n v="1"/>
    <n v="12"/>
    <b v="0"/>
    <n v="6"/>
    <n v="1"/>
    <n v="0.24"/>
    <x v="10"/>
    <n v="0.48"/>
    <n v="0.22389999999999999"/>
    <n v="15"/>
    <n v="74"/>
    <n v="89"/>
    <s v="Spring"/>
    <s v="Saturday"/>
    <s v="Clear"/>
    <x v="2"/>
    <s v="Cold"/>
    <s v="Medium"/>
    <s v="Moderate"/>
    <s v="Working Day"/>
    <s v="Mostly Registered"/>
    <n v="16.853932584269661"/>
    <n v="83.146067415730343"/>
    <s v="No"/>
    <s v="Low"/>
    <s v="Yes"/>
    <n v="-1.2699999999999991E-2"/>
  </r>
  <r>
    <n v="338"/>
    <x v="14"/>
    <n v="1"/>
    <n v="13"/>
    <b v="0"/>
    <n v="6"/>
    <n v="1"/>
    <n v="0.28000000000000003"/>
    <x v="2"/>
    <n v="0.38"/>
    <n v="0.29849999999999999"/>
    <n v="21"/>
    <n v="80"/>
    <n v="101"/>
    <s v="Spring"/>
    <s v="Saturday"/>
    <s v="Clear"/>
    <x v="2"/>
    <s v="Mild"/>
    <s v="Low"/>
    <s v="Moderate"/>
    <s v="Working Day"/>
    <s v="Mostly Registered"/>
    <n v="20.792079207920789"/>
    <n v="79.207920792079207"/>
    <s v="No"/>
    <s v="Medium"/>
    <s v="Yes"/>
    <n v="-2.2400000000000031E-2"/>
  </r>
  <r>
    <n v="339"/>
    <x v="14"/>
    <n v="1"/>
    <n v="14"/>
    <b v="0"/>
    <n v="6"/>
    <n v="1"/>
    <n v="0.3"/>
    <x v="0"/>
    <n v="0.39"/>
    <n v="0.28360000000000002"/>
    <n v="26"/>
    <n v="92"/>
    <n v="118"/>
    <s v="Spring"/>
    <s v="Saturday"/>
    <s v="Clear"/>
    <x v="2"/>
    <s v="Mild"/>
    <s v="Low"/>
    <s v="Moderate"/>
    <s v="Working Day"/>
    <s v="Mostly Registered"/>
    <n v="22.03389830508474"/>
    <n v="77.966101694915253"/>
    <s v="No"/>
    <s v="Medium"/>
    <s v="Yes"/>
    <n v="-1.21E-2"/>
  </r>
  <r>
    <n v="340"/>
    <x v="14"/>
    <n v="1"/>
    <n v="15"/>
    <b v="0"/>
    <n v="6"/>
    <n v="2"/>
    <n v="0.32"/>
    <x v="20"/>
    <n v="0.36"/>
    <n v="0.19400000000000001"/>
    <n v="21"/>
    <n v="108"/>
    <n v="129"/>
    <s v="Spring"/>
    <s v="Saturday"/>
    <s v="Mist/Cloudy"/>
    <x v="2"/>
    <s v="Mild"/>
    <s v="Low"/>
    <s v="Moderate"/>
    <s v="Working Day"/>
    <s v="Mostly Registered"/>
    <n v="16.279069767441861"/>
    <n v="83.720930232558146"/>
    <s v="No"/>
    <s v="Medium"/>
    <s v="Yes"/>
    <n v="-1.800000000000024E-3"/>
  </r>
  <r>
    <n v="341"/>
    <x v="14"/>
    <n v="1"/>
    <n v="16"/>
    <b v="0"/>
    <n v="6"/>
    <n v="2"/>
    <n v="0.34"/>
    <x v="5"/>
    <n v="0.34"/>
    <n v="0.19400000000000001"/>
    <n v="33"/>
    <n v="95"/>
    <n v="128"/>
    <s v="Spring"/>
    <s v="Saturday"/>
    <s v="Mist/Cloudy"/>
    <x v="2"/>
    <s v="Mild"/>
    <s v="Low"/>
    <s v="Moderate"/>
    <s v="Working Day"/>
    <s v="Mostly Registered"/>
    <n v="25.78125"/>
    <n v="74.21875"/>
    <s v="No"/>
    <s v="Medium"/>
    <s v="Yes"/>
    <n v="-6.7000000000000393E-3"/>
  </r>
  <r>
    <n v="342"/>
    <x v="14"/>
    <n v="1"/>
    <n v="17"/>
    <b v="0"/>
    <n v="6"/>
    <n v="2"/>
    <n v="0.32"/>
    <x v="24"/>
    <n v="0.36"/>
    <n v="0.28360000000000002"/>
    <n v="29"/>
    <n v="54"/>
    <n v="83"/>
    <s v="Spring"/>
    <s v="Saturday"/>
    <s v="Mist/Cloudy"/>
    <x v="3"/>
    <s v="Mild"/>
    <s v="Low"/>
    <s v="Moderate"/>
    <s v="Working Day"/>
    <s v="Mostly Registered"/>
    <n v="34.939759036144579"/>
    <n v="65.060240963855421"/>
    <s v="Yes"/>
    <s v="Low"/>
    <s v="Yes"/>
    <n v="-1.7000000000000019E-2"/>
  </r>
  <r>
    <n v="343"/>
    <x v="14"/>
    <n v="1"/>
    <n v="18"/>
    <b v="0"/>
    <n v="6"/>
    <n v="2"/>
    <n v="0.3"/>
    <x v="0"/>
    <n v="0.45"/>
    <n v="0.25369999999999998"/>
    <n v="15"/>
    <n v="69"/>
    <n v="84"/>
    <s v="Spring"/>
    <s v="Saturday"/>
    <s v="Mist/Cloudy"/>
    <x v="3"/>
    <s v="Mild"/>
    <s v="Medium"/>
    <s v="Moderate"/>
    <s v="Working Day"/>
    <s v="Mostly Registered"/>
    <n v="17.857142857142861"/>
    <n v="82.142857142857139"/>
    <s v="Yes"/>
    <s v="Low"/>
    <s v="Yes"/>
    <n v="-1.21E-2"/>
  </r>
  <r>
    <n v="344"/>
    <x v="14"/>
    <n v="1"/>
    <n v="19"/>
    <b v="0"/>
    <n v="6"/>
    <n v="2"/>
    <n v="0.32"/>
    <x v="24"/>
    <n v="0.39"/>
    <n v="0.25369999999999998"/>
    <n v="14"/>
    <n v="60"/>
    <n v="74"/>
    <s v="Spring"/>
    <s v="Saturday"/>
    <s v="Mist/Cloudy"/>
    <x v="3"/>
    <s v="Mild"/>
    <s v="Low"/>
    <s v="Moderate"/>
    <s v="Working Day"/>
    <s v="Mostly Registered"/>
    <n v="18.918918918918919"/>
    <n v="81.081081081081081"/>
    <s v="Yes"/>
    <s v="Low"/>
    <s v="Yes"/>
    <n v="-1.7000000000000019E-2"/>
  </r>
  <r>
    <n v="345"/>
    <x v="14"/>
    <n v="1"/>
    <n v="20"/>
    <b v="0"/>
    <n v="6"/>
    <n v="2"/>
    <n v="0.32"/>
    <x v="24"/>
    <n v="0.39"/>
    <n v="0.25369999999999998"/>
    <n v="6"/>
    <n v="35"/>
    <n v="41"/>
    <s v="Spring"/>
    <s v="Saturday"/>
    <s v="Mist/Cloudy"/>
    <x v="3"/>
    <s v="Mild"/>
    <s v="Low"/>
    <s v="Moderate"/>
    <s v="Working Day"/>
    <s v="Mostly Registered"/>
    <n v="14.63414634146341"/>
    <n v="85.365853658536579"/>
    <s v="No"/>
    <s v="Low"/>
    <s v="Yes"/>
    <n v="-1.7000000000000019E-2"/>
  </r>
  <r>
    <n v="346"/>
    <x v="14"/>
    <n v="1"/>
    <n v="21"/>
    <b v="0"/>
    <n v="6"/>
    <n v="2"/>
    <n v="0.32"/>
    <x v="24"/>
    <n v="0.39"/>
    <n v="0.22389999999999999"/>
    <n v="6"/>
    <n v="51"/>
    <n v="57"/>
    <s v="Spring"/>
    <s v="Saturday"/>
    <s v="Mist/Cloudy"/>
    <x v="0"/>
    <s v="Mild"/>
    <s v="Low"/>
    <s v="Moderate"/>
    <s v="Working Day"/>
    <s v="Mostly Registered"/>
    <n v="10.52631578947368"/>
    <n v="89.473684210526315"/>
    <s v="No"/>
    <s v="Low"/>
    <s v="Yes"/>
    <n v="-1.7000000000000019E-2"/>
  </r>
  <r>
    <n v="347"/>
    <x v="14"/>
    <n v="1"/>
    <n v="22"/>
    <b v="0"/>
    <n v="6"/>
    <n v="2"/>
    <n v="0.3"/>
    <x v="20"/>
    <n v="0.42"/>
    <n v="0.1045"/>
    <n v="0"/>
    <n v="26"/>
    <n v="26"/>
    <s v="Spring"/>
    <s v="Saturday"/>
    <s v="Mist/Cloudy"/>
    <x v="0"/>
    <s v="Mild"/>
    <s v="Medium"/>
    <s v="Calm"/>
    <s v="Working Day"/>
    <s v="Mostly Registered"/>
    <n v="0"/>
    <n v="100"/>
    <s v="No"/>
    <s v="Low"/>
    <s v="Yes"/>
    <n v="1.819999999999999E-2"/>
  </r>
  <r>
    <n v="348"/>
    <x v="14"/>
    <n v="1"/>
    <n v="23"/>
    <b v="0"/>
    <n v="6"/>
    <n v="1"/>
    <n v="0.3"/>
    <x v="0"/>
    <n v="0.45"/>
    <n v="0.28360000000000002"/>
    <n v="5"/>
    <n v="39"/>
    <n v="44"/>
    <s v="Spring"/>
    <s v="Saturday"/>
    <s v="Clear"/>
    <x v="0"/>
    <s v="Mild"/>
    <s v="Medium"/>
    <s v="Moderate"/>
    <s v="Working Day"/>
    <s v="Mostly Registered"/>
    <n v="11.36363636363636"/>
    <n v="88.63636363636364"/>
    <s v="No"/>
    <s v="Low"/>
    <s v="Yes"/>
    <n v="-1.21E-2"/>
  </r>
  <r>
    <n v="349"/>
    <x v="15"/>
    <n v="1"/>
    <n v="0"/>
    <b v="0"/>
    <n v="0"/>
    <n v="1"/>
    <n v="0.26"/>
    <x v="24"/>
    <n v="0.56000000000000005"/>
    <n v="0"/>
    <n v="6"/>
    <n v="33"/>
    <n v="39"/>
    <s v="Spring"/>
    <s v="Sunday"/>
    <s v="Clear"/>
    <x v="0"/>
    <s v="Mild"/>
    <s v="Medium"/>
    <s v="Calm"/>
    <s v="Working Day"/>
    <s v="Mostly Registered"/>
    <n v="15.38461538461539"/>
    <n v="84.615384615384613"/>
    <s v="No"/>
    <s v="Low"/>
    <s v="Yes"/>
    <n v="4.2999999999999983E-2"/>
  </r>
  <r>
    <n v="350"/>
    <x v="15"/>
    <n v="1"/>
    <n v="1"/>
    <b v="0"/>
    <n v="0"/>
    <n v="1"/>
    <n v="0.26"/>
    <x v="1"/>
    <n v="0.56000000000000005"/>
    <n v="0.1343"/>
    <n v="4"/>
    <n v="19"/>
    <n v="23"/>
    <s v="Spring"/>
    <s v="Sunday"/>
    <s v="Clear"/>
    <x v="0"/>
    <s v="Mild"/>
    <s v="Medium"/>
    <s v="Calm"/>
    <s v="Working Day"/>
    <s v="Mostly Registered"/>
    <n v="17.39130434782609"/>
    <n v="82.608695652173907"/>
    <s v="No"/>
    <s v="Low"/>
    <s v="Yes"/>
    <n v="1.2699999999999991E-2"/>
  </r>
  <r>
    <n v="351"/>
    <x v="15"/>
    <n v="1"/>
    <n v="2"/>
    <b v="0"/>
    <n v="0"/>
    <n v="1"/>
    <n v="0.26"/>
    <x v="0"/>
    <n v="0.56000000000000005"/>
    <n v="8.9599999999999999E-2"/>
    <n v="3"/>
    <n v="13"/>
    <n v="16"/>
    <s v="Spring"/>
    <s v="Sunday"/>
    <s v="Clear"/>
    <x v="0"/>
    <s v="Mild"/>
    <s v="Medium"/>
    <s v="Calm"/>
    <s v="Working Day"/>
    <s v="Mostly Registered"/>
    <n v="18.75"/>
    <n v="81.25"/>
    <s v="No"/>
    <s v="Low"/>
    <s v="Yes"/>
    <n v="2.789999999999998E-2"/>
  </r>
  <r>
    <n v="352"/>
    <x v="15"/>
    <n v="1"/>
    <n v="3"/>
    <b v="0"/>
    <n v="0"/>
    <n v="1"/>
    <n v="0.22"/>
    <x v="1"/>
    <n v="0.69"/>
    <n v="0"/>
    <n v="9"/>
    <n v="6"/>
    <n v="15"/>
    <s v="Spring"/>
    <s v="Sunday"/>
    <s v="Clear"/>
    <x v="0"/>
    <s v="Cold"/>
    <s v="Medium"/>
    <s v="Calm"/>
    <s v="Working Day"/>
    <s v="Mostly Casual"/>
    <n v="60"/>
    <n v="40"/>
    <s v="No"/>
    <s v="Low"/>
    <s v="Yes"/>
    <n v="5.2699999999999997E-2"/>
  </r>
  <r>
    <n v="353"/>
    <x v="15"/>
    <n v="1"/>
    <n v="4"/>
    <b v="0"/>
    <n v="0"/>
    <n v="1"/>
    <n v="0.26"/>
    <x v="2"/>
    <n v="0.56000000000000005"/>
    <n v="0.16420000000000001"/>
    <n v="0"/>
    <n v="1"/>
    <n v="1"/>
    <s v="Spring"/>
    <s v="Sunday"/>
    <s v="Clear"/>
    <x v="0"/>
    <s v="Mild"/>
    <s v="Medium"/>
    <s v="Moderate"/>
    <s v="Working Day"/>
    <s v="Mostly Registered"/>
    <n v="0"/>
    <n v="100"/>
    <s v="No"/>
    <s v="Low"/>
    <s v="Yes"/>
    <n v="-2.4000000000000128E-3"/>
  </r>
  <r>
    <n v="354"/>
    <x v="15"/>
    <n v="1"/>
    <n v="5"/>
    <b v="0"/>
    <n v="0"/>
    <n v="2"/>
    <n v="0.26"/>
    <x v="2"/>
    <n v="0.56000000000000005"/>
    <n v="0.16420000000000001"/>
    <n v="1"/>
    <n v="1"/>
    <n v="2"/>
    <s v="Spring"/>
    <s v="Sunday"/>
    <s v="Mist/Cloudy"/>
    <x v="0"/>
    <s v="Mild"/>
    <s v="Medium"/>
    <s v="Moderate"/>
    <s v="Working Day"/>
    <s v="Mostly Registered"/>
    <n v="50"/>
    <n v="50"/>
    <s v="No"/>
    <s v="Low"/>
    <s v="Yes"/>
    <n v="-2.4000000000000128E-3"/>
  </r>
  <r>
    <n v="355"/>
    <x v="15"/>
    <n v="1"/>
    <n v="6"/>
    <b v="0"/>
    <n v="0"/>
    <n v="2"/>
    <n v="0.26"/>
    <x v="2"/>
    <n v="0.56000000000000005"/>
    <n v="0.16420000000000001"/>
    <n v="0"/>
    <n v="1"/>
    <n v="1"/>
    <s v="Spring"/>
    <s v="Sunday"/>
    <s v="Mist/Cloudy"/>
    <x v="1"/>
    <s v="Mild"/>
    <s v="Medium"/>
    <s v="Moderate"/>
    <s v="Working Day"/>
    <s v="Mostly Registered"/>
    <n v="0"/>
    <n v="100"/>
    <s v="No"/>
    <s v="Low"/>
    <s v="Yes"/>
    <n v="-2.4000000000000128E-3"/>
  </r>
  <r>
    <n v="356"/>
    <x v="15"/>
    <n v="1"/>
    <n v="7"/>
    <b v="0"/>
    <n v="0"/>
    <n v="2"/>
    <n v="0.24"/>
    <x v="11"/>
    <n v="0.56000000000000005"/>
    <n v="0.29849999999999999"/>
    <n v="0"/>
    <n v="3"/>
    <n v="3"/>
    <s v="Spring"/>
    <s v="Sunday"/>
    <s v="Mist/Cloudy"/>
    <x v="1"/>
    <s v="Cold"/>
    <s v="Medium"/>
    <s v="Moderate"/>
    <s v="Working Day"/>
    <s v="Mostly Registered"/>
    <n v="0"/>
    <n v="100"/>
    <s v="Yes"/>
    <s v="Low"/>
    <s v="Yes"/>
    <n v="-2.789999999999998E-2"/>
  </r>
  <r>
    <n v="357"/>
    <x v="15"/>
    <n v="1"/>
    <n v="8"/>
    <b v="0"/>
    <n v="0"/>
    <n v="1"/>
    <n v="0.22"/>
    <x v="11"/>
    <n v="0.55000000000000004"/>
    <n v="0.28360000000000002"/>
    <n v="0"/>
    <n v="18"/>
    <n v="18"/>
    <s v="Spring"/>
    <s v="Sunday"/>
    <s v="Clear"/>
    <x v="1"/>
    <s v="Cold"/>
    <s v="Medium"/>
    <s v="Moderate"/>
    <s v="Working Day"/>
    <s v="Mostly Registered"/>
    <n v="0"/>
    <n v="100"/>
    <s v="Yes"/>
    <s v="Low"/>
    <s v="Yes"/>
    <n v="-7.8999999999999904E-3"/>
  </r>
  <r>
    <n v="358"/>
    <x v="15"/>
    <n v="1"/>
    <n v="9"/>
    <b v="0"/>
    <n v="0"/>
    <n v="1"/>
    <n v="0.22"/>
    <x v="11"/>
    <n v="0.51"/>
    <n v="0.25369999999999998"/>
    <n v="3"/>
    <n v="29"/>
    <n v="32"/>
    <s v="Spring"/>
    <s v="Sunday"/>
    <s v="Clear"/>
    <x v="1"/>
    <s v="Cold"/>
    <s v="Medium"/>
    <s v="Moderate"/>
    <s v="Working Day"/>
    <s v="Mostly Registered"/>
    <n v="9.375"/>
    <n v="90.625"/>
    <s v="Yes"/>
    <s v="Low"/>
    <s v="Yes"/>
    <n v="-7.8999999999999904E-3"/>
  </r>
  <r>
    <n v="359"/>
    <x v="15"/>
    <n v="1"/>
    <n v="10"/>
    <b v="0"/>
    <n v="0"/>
    <n v="1"/>
    <n v="0.22"/>
    <x v="11"/>
    <n v="0.51"/>
    <n v="0.28360000000000002"/>
    <n v="8"/>
    <n v="71"/>
    <n v="79"/>
    <s v="Spring"/>
    <s v="Sunday"/>
    <s v="Clear"/>
    <x v="1"/>
    <s v="Cold"/>
    <s v="Medium"/>
    <s v="Moderate"/>
    <s v="Working Day"/>
    <s v="Mostly Registered"/>
    <n v="10.12658227848101"/>
    <n v="89.87341772151899"/>
    <s v="No"/>
    <s v="Low"/>
    <s v="Yes"/>
    <n v="-7.8999999999999904E-3"/>
  </r>
  <r>
    <n v="360"/>
    <x v="15"/>
    <n v="1"/>
    <n v="11"/>
    <b v="0"/>
    <n v="0"/>
    <n v="1"/>
    <n v="0.24"/>
    <x v="10"/>
    <n v="0.44"/>
    <n v="0.25369999999999998"/>
    <n v="23"/>
    <n v="70"/>
    <n v="93"/>
    <s v="Spring"/>
    <s v="Sunday"/>
    <s v="Clear"/>
    <x v="1"/>
    <s v="Cold"/>
    <s v="Medium"/>
    <s v="Moderate"/>
    <s v="Working Day"/>
    <s v="Mostly Registered"/>
    <n v="24.731182795698921"/>
    <n v="75.268817204301072"/>
    <s v="No"/>
    <s v="Low"/>
    <s v="Yes"/>
    <n v="-1.2699999999999991E-2"/>
  </r>
  <r>
    <n v="361"/>
    <x v="15"/>
    <n v="1"/>
    <n v="12"/>
    <b v="0"/>
    <n v="0"/>
    <n v="1"/>
    <n v="0.24"/>
    <x v="11"/>
    <n v="0.41"/>
    <n v="0.28360000000000002"/>
    <n v="29"/>
    <n v="75"/>
    <n v="104"/>
    <s v="Spring"/>
    <s v="Sunday"/>
    <s v="Clear"/>
    <x v="2"/>
    <s v="Cold"/>
    <s v="Medium"/>
    <s v="Moderate"/>
    <s v="Working Day"/>
    <s v="Mostly Registered"/>
    <n v="27.88461538461539"/>
    <n v="72.115384615384613"/>
    <s v="No"/>
    <s v="Medium"/>
    <s v="Yes"/>
    <n v="-2.789999999999998E-2"/>
  </r>
  <r>
    <n v="362"/>
    <x v="15"/>
    <n v="1"/>
    <n v="13"/>
    <b v="0"/>
    <n v="0"/>
    <n v="1"/>
    <n v="0.26"/>
    <x v="10"/>
    <n v="0.35"/>
    <n v="0.29849999999999999"/>
    <n v="23"/>
    <n v="95"/>
    <n v="118"/>
    <s v="Spring"/>
    <s v="Sunday"/>
    <s v="Clear"/>
    <x v="2"/>
    <s v="Mild"/>
    <s v="Low"/>
    <s v="Moderate"/>
    <s v="Working Day"/>
    <s v="Mostly Registered"/>
    <n v="19.49152542372881"/>
    <n v="80.508474576271183"/>
    <s v="No"/>
    <s v="Medium"/>
    <s v="Yes"/>
    <n v="-3.2700000000000007E-2"/>
  </r>
  <r>
    <n v="363"/>
    <x v="15"/>
    <n v="1"/>
    <n v="14"/>
    <b v="0"/>
    <n v="0"/>
    <n v="1"/>
    <n v="0.28000000000000003"/>
    <x v="1"/>
    <n v="0.36"/>
    <n v="0.25369999999999998"/>
    <n v="22"/>
    <n v="69"/>
    <n v="91"/>
    <s v="Spring"/>
    <s v="Sunday"/>
    <s v="Clear"/>
    <x v="2"/>
    <s v="Mild"/>
    <s v="Low"/>
    <s v="Moderate"/>
    <s v="Working Day"/>
    <s v="Mostly Registered"/>
    <n v="24.175824175824179"/>
    <n v="75.824175824175825"/>
    <s v="No"/>
    <s v="Low"/>
    <s v="Yes"/>
    <n v="-7.3000000000000287E-3"/>
  </r>
  <r>
    <n v="364"/>
    <x v="15"/>
    <n v="1"/>
    <n v="15"/>
    <b v="0"/>
    <n v="0"/>
    <n v="1"/>
    <n v="0.26"/>
    <x v="18"/>
    <n v="0.38"/>
    <n v="0.25369999999999998"/>
    <n v="35"/>
    <n v="78"/>
    <n v="113"/>
    <s v="Spring"/>
    <s v="Sunday"/>
    <s v="Clear"/>
    <x v="2"/>
    <s v="Mild"/>
    <s v="Low"/>
    <s v="Moderate"/>
    <s v="Working Day"/>
    <s v="Mostly Registered"/>
    <n v="30.973451327433629"/>
    <n v="69.026548672566364"/>
    <s v="No"/>
    <s v="Medium"/>
    <s v="Yes"/>
    <n v="-1.7600000000000001E-2"/>
  </r>
  <r>
    <n v="365"/>
    <x v="15"/>
    <n v="1"/>
    <n v="16"/>
    <b v="0"/>
    <n v="0"/>
    <n v="1"/>
    <n v="0.24"/>
    <x v="10"/>
    <n v="0.38"/>
    <n v="0.22389999999999999"/>
    <n v="22"/>
    <n v="77"/>
    <n v="99"/>
    <s v="Spring"/>
    <s v="Sunday"/>
    <s v="Clear"/>
    <x v="2"/>
    <s v="Cold"/>
    <s v="Low"/>
    <s v="Moderate"/>
    <s v="Working Day"/>
    <s v="Mostly Registered"/>
    <n v="22.222222222222221"/>
    <n v="77.777777777777786"/>
    <s v="No"/>
    <s v="Low"/>
    <s v="Yes"/>
    <n v="-1.2699999999999991E-2"/>
  </r>
  <r>
    <n v="366"/>
    <x v="15"/>
    <n v="1"/>
    <n v="17"/>
    <b v="0"/>
    <n v="0"/>
    <n v="1"/>
    <n v="0.22"/>
    <x v="11"/>
    <n v="0.37"/>
    <n v="0.25369999999999998"/>
    <n v="23"/>
    <n v="82"/>
    <n v="105"/>
    <s v="Spring"/>
    <s v="Sunday"/>
    <s v="Clear"/>
    <x v="3"/>
    <s v="Cold"/>
    <s v="Low"/>
    <s v="Moderate"/>
    <s v="Working Day"/>
    <s v="Mostly Registered"/>
    <n v="21.904761904761909"/>
    <n v="78.095238095238102"/>
    <s v="Yes"/>
    <s v="Medium"/>
    <s v="Yes"/>
    <n v="-7.8999999999999904E-3"/>
  </r>
  <r>
    <n v="367"/>
    <x v="15"/>
    <n v="1"/>
    <n v="18"/>
    <b v="0"/>
    <n v="0"/>
    <n v="1"/>
    <n v="0.2"/>
    <x v="11"/>
    <n v="0.4"/>
    <n v="0.16420000000000001"/>
    <n v="11"/>
    <n v="56"/>
    <n v="67"/>
    <s v="Spring"/>
    <s v="Sunday"/>
    <s v="Clear"/>
    <x v="3"/>
    <s v="Cold"/>
    <s v="Medium"/>
    <s v="Moderate"/>
    <s v="Working Day"/>
    <s v="Mostly Registered"/>
    <n v="16.417910447761191"/>
    <n v="83.582089552238799"/>
    <s v="Yes"/>
    <s v="Low"/>
    <s v="Yes"/>
    <n v="1.21E-2"/>
  </r>
  <r>
    <n v="368"/>
    <x v="15"/>
    <n v="1"/>
    <n v="19"/>
    <b v="0"/>
    <n v="0"/>
    <n v="1"/>
    <n v="0.18"/>
    <x v="12"/>
    <n v="0.47"/>
    <n v="0.1343"/>
    <n v="14"/>
    <n v="47"/>
    <n v="61"/>
    <s v="Spring"/>
    <s v="Sunday"/>
    <s v="Clear"/>
    <x v="3"/>
    <s v="Cold"/>
    <s v="Medium"/>
    <s v="Calm"/>
    <s v="Working Day"/>
    <s v="Mostly Registered"/>
    <n v="22.95081967213115"/>
    <n v="77.049180327868854"/>
    <s v="Yes"/>
    <s v="Low"/>
    <s v="Yes"/>
    <n v="1.7000000000000019E-2"/>
  </r>
  <r>
    <n v="369"/>
    <x v="15"/>
    <n v="1"/>
    <n v="20"/>
    <b v="0"/>
    <n v="0"/>
    <n v="1"/>
    <n v="0.18"/>
    <x v="12"/>
    <n v="0.47"/>
    <n v="0.16420000000000001"/>
    <n v="7"/>
    <n v="50"/>
    <n v="57"/>
    <s v="Spring"/>
    <s v="Sunday"/>
    <s v="Clear"/>
    <x v="3"/>
    <s v="Cold"/>
    <s v="Medium"/>
    <s v="Moderate"/>
    <s v="Working Day"/>
    <s v="Mostly Registered"/>
    <n v="12.28070175438596"/>
    <n v="87.719298245614027"/>
    <s v="No"/>
    <s v="Low"/>
    <s v="Yes"/>
    <n v="1.7000000000000019E-2"/>
  </r>
  <r>
    <n v="370"/>
    <x v="15"/>
    <n v="1"/>
    <n v="21"/>
    <b v="0"/>
    <n v="0"/>
    <n v="1"/>
    <n v="0.18"/>
    <x v="12"/>
    <n v="0.51"/>
    <n v="0.16420000000000001"/>
    <n v="6"/>
    <n v="22"/>
    <n v="28"/>
    <s v="Spring"/>
    <s v="Sunday"/>
    <s v="Clear"/>
    <x v="0"/>
    <s v="Cold"/>
    <s v="Medium"/>
    <s v="Moderate"/>
    <s v="Working Day"/>
    <s v="Mostly Registered"/>
    <n v="21.428571428571431"/>
    <n v="78.571428571428569"/>
    <s v="No"/>
    <s v="Low"/>
    <s v="Yes"/>
    <n v="1.7000000000000019E-2"/>
  </r>
  <r>
    <n v="371"/>
    <x v="15"/>
    <n v="1"/>
    <n v="22"/>
    <b v="0"/>
    <n v="0"/>
    <n v="2"/>
    <n v="0.2"/>
    <x v="11"/>
    <n v="0.49"/>
    <n v="0.1343"/>
    <n v="2"/>
    <n v="19"/>
    <n v="21"/>
    <s v="Spring"/>
    <s v="Sunday"/>
    <s v="Mist/Cloudy"/>
    <x v="0"/>
    <s v="Cold"/>
    <s v="Medium"/>
    <s v="Calm"/>
    <s v="Working Day"/>
    <s v="Mostly Registered"/>
    <n v="9.5238095238095237"/>
    <n v="90.476190476190482"/>
    <s v="No"/>
    <s v="Low"/>
    <s v="Yes"/>
    <n v="1.21E-2"/>
  </r>
  <r>
    <n v="372"/>
    <x v="15"/>
    <n v="1"/>
    <n v="23"/>
    <b v="0"/>
    <n v="0"/>
    <n v="2"/>
    <n v="0.2"/>
    <x v="10"/>
    <n v="0.4"/>
    <n v="0.1045"/>
    <n v="0"/>
    <n v="18"/>
    <n v="18"/>
    <s v="Spring"/>
    <s v="Sunday"/>
    <s v="Mist/Cloudy"/>
    <x v="0"/>
    <s v="Cold"/>
    <s v="Medium"/>
    <s v="Calm"/>
    <s v="Working Day"/>
    <s v="Mostly Registered"/>
    <n v="0"/>
    <n v="100"/>
    <s v="No"/>
    <s v="Low"/>
    <s v="Yes"/>
    <n v="2.7299999999999991E-2"/>
  </r>
  <r>
    <n v="373"/>
    <x v="16"/>
    <n v="1"/>
    <n v="0"/>
    <b v="1"/>
    <n v="1"/>
    <n v="2"/>
    <n v="0.2"/>
    <x v="12"/>
    <n v="0.47"/>
    <n v="0.22389999999999999"/>
    <n v="1"/>
    <n v="16"/>
    <n v="17"/>
    <s v="Spring"/>
    <s v="Monday"/>
    <s v="Mist/Cloudy"/>
    <x v="0"/>
    <s v="Cold"/>
    <s v="Medium"/>
    <s v="Moderate"/>
    <s v="Holiday"/>
    <s v="Mostly Registered"/>
    <n v="5.8823529411764701"/>
    <n v="94.117647058823522"/>
    <s v="No"/>
    <s v="Low"/>
    <s v="No"/>
    <n v="-3.0000000000000031E-3"/>
  </r>
  <r>
    <n v="374"/>
    <x v="16"/>
    <n v="1"/>
    <n v="1"/>
    <b v="1"/>
    <n v="1"/>
    <n v="2"/>
    <n v="0.2"/>
    <x v="12"/>
    <n v="0.44"/>
    <n v="0.19400000000000001"/>
    <n v="1"/>
    <n v="15"/>
    <n v="16"/>
    <s v="Spring"/>
    <s v="Monday"/>
    <s v="Mist/Cloudy"/>
    <x v="0"/>
    <s v="Cold"/>
    <s v="Medium"/>
    <s v="Moderate"/>
    <s v="Holiday"/>
    <s v="Mostly Registered"/>
    <n v="6.25"/>
    <n v="93.75"/>
    <s v="No"/>
    <s v="Low"/>
    <s v="No"/>
    <n v="-3.0000000000000031E-3"/>
  </r>
  <r>
    <n v="375"/>
    <x v="16"/>
    <n v="1"/>
    <n v="2"/>
    <b v="1"/>
    <n v="1"/>
    <n v="2"/>
    <n v="0.18"/>
    <x v="16"/>
    <n v="0.43"/>
    <n v="0.25369999999999998"/>
    <n v="0"/>
    <n v="8"/>
    <n v="8"/>
    <s v="Spring"/>
    <s v="Monday"/>
    <s v="Mist/Cloudy"/>
    <x v="0"/>
    <s v="Cold"/>
    <s v="Medium"/>
    <s v="Moderate"/>
    <s v="Holiday"/>
    <s v="Mostly Registered"/>
    <n v="0"/>
    <n v="100"/>
    <s v="No"/>
    <s v="Low"/>
    <s v="No"/>
    <n v="-1.330000000000001E-2"/>
  </r>
  <r>
    <n v="376"/>
    <x v="16"/>
    <n v="1"/>
    <n v="3"/>
    <b v="1"/>
    <n v="1"/>
    <n v="2"/>
    <n v="0.18"/>
    <x v="17"/>
    <n v="0.43"/>
    <n v="0.19400000000000001"/>
    <n v="0"/>
    <n v="2"/>
    <n v="2"/>
    <s v="Spring"/>
    <s v="Monday"/>
    <s v="Mist/Cloudy"/>
    <x v="0"/>
    <s v="Cold"/>
    <s v="Medium"/>
    <s v="Moderate"/>
    <s v="Holiday"/>
    <s v="Mostly Registered"/>
    <n v="0"/>
    <n v="100"/>
    <s v="No"/>
    <s v="Low"/>
    <s v="No"/>
    <n v="1.799999999999996E-3"/>
  </r>
  <r>
    <n v="377"/>
    <x v="16"/>
    <n v="1"/>
    <n v="4"/>
    <b v="1"/>
    <n v="1"/>
    <n v="2"/>
    <n v="0.18"/>
    <x v="12"/>
    <n v="0.43"/>
    <n v="0.1343"/>
    <n v="1"/>
    <n v="2"/>
    <n v="3"/>
    <s v="Spring"/>
    <s v="Monday"/>
    <s v="Mist/Cloudy"/>
    <x v="0"/>
    <s v="Cold"/>
    <s v="Medium"/>
    <s v="Calm"/>
    <s v="Holiday"/>
    <s v="Mostly Registered"/>
    <n v="33.333333333333329"/>
    <n v="66.666666666666657"/>
    <s v="No"/>
    <s v="Low"/>
    <s v="No"/>
    <n v="1.7000000000000019E-2"/>
  </r>
  <r>
    <n v="378"/>
    <x v="16"/>
    <n v="1"/>
    <n v="5"/>
    <b v="1"/>
    <n v="1"/>
    <n v="2"/>
    <n v="0.18"/>
    <x v="12"/>
    <n v="0.43"/>
    <n v="0.16420000000000001"/>
    <n v="0"/>
    <n v="1"/>
    <n v="1"/>
    <s v="Spring"/>
    <s v="Monday"/>
    <s v="Mist/Cloudy"/>
    <x v="0"/>
    <s v="Cold"/>
    <s v="Medium"/>
    <s v="Moderate"/>
    <s v="Holiday"/>
    <s v="Mostly Registered"/>
    <n v="0"/>
    <n v="100"/>
    <s v="No"/>
    <s v="Low"/>
    <s v="No"/>
    <n v="1.7000000000000019E-2"/>
  </r>
  <r>
    <n v="379"/>
    <x v="16"/>
    <n v="1"/>
    <n v="6"/>
    <b v="1"/>
    <n v="1"/>
    <n v="2"/>
    <n v="0.18"/>
    <x v="17"/>
    <n v="0.43"/>
    <n v="0.19400000000000001"/>
    <n v="0"/>
    <n v="5"/>
    <n v="5"/>
    <s v="Spring"/>
    <s v="Monday"/>
    <s v="Mist/Cloudy"/>
    <x v="1"/>
    <s v="Cold"/>
    <s v="Medium"/>
    <s v="Moderate"/>
    <s v="Holiday"/>
    <s v="Mostly Registered"/>
    <n v="0"/>
    <n v="100"/>
    <s v="No"/>
    <s v="Low"/>
    <s v="No"/>
    <n v="1.799999999999996E-3"/>
  </r>
  <r>
    <n v="380"/>
    <x v="16"/>
    <n v="1"/>
    <n v="7"/>
    <b v="1"/>
    <n v="1"/>
    <n v="2"/>
    <n v="0.16"/>
    <x v="17"/>
    <n v="0.5"/>
    <n v="0.1343"/>
    <n v="4"/>
    <n v="9"/>
    <n v="13"/>
    <s v="Spring"/>
    <s v="Monday"/>
    <s v="Mist/Cloudy"/>
    <x v="1"/>
    <s v="Cold"/>
    <s v="Medium"/>
    <s v="Calm"/>
    <s v="Holiday"/>
    <s v="Mostly Registered"/>
    <n v="30.76923076923077"/>
    <n v="69.230769230769226"/>
    <s v="Yes"/>
    <s v="Low"/>
    <s v="No"/>
    <n v="2.179999999999999E-2"/>
  </r>
  <r>
    <n v="381"/>
    <x v="16"/>
    <n v="1"/>
    <n v="8"/>
    <b v="1"/>
    <n v="1"/>
    <n v="2"/>
    <n v="0.16"/>
    <x v="19"/>
    <n v="0.47"/>
    <n v="0.22389999999999999"/>
    <n v="3"/>
    <n v="30"/>
    <n v="33"/>
    <s v="Spring"/>
    <s v="Monday"/>
    <s v="Mist/Cloudy"/>
    <x v="1"/>
    <s v="Cold"/>
    <s v="Medium"/>
    <s v="Moderate"/>
    <s v="Holiday"/>
    <s v="Mostly Registered"/>
    <n v="9.0909090909090917"/>
    <n v="90.909090909090907"/>
    <s v="Yes"/>
    <s v="Low"/>
    <s v="No"/>
    <n v="-8.5000000000000075E-3"/>
  </r>
  <r>
    <n v="382"/>
    <x v="16"/>
    <n v="1"/>
    <n v="9"/>
    <b v="1"/>
    <n v="1"/>
    <n v="2"/>
    <n v="0.16"/>
    <x v="19"/>
    <n v="0.47"/>
    <n v="0.22389999999999999"/>
    <n v="8"/>
    <n v="39"/>
    <n v="47"/>
    <s v="Spring"/>
    <s v="Monday"/>
    <s v="Mist/Cloudy"/>
    <x v="1"/>
    <s v="Cold"/>
    <s v="Medium"/>
    <s v="Moderate"/>
    <s v="Holiday"/>
    <s v="Mostly Registered"/>
    <n v="17.021276595744681"/>
    <n v="82.978723404255319"/>
    <s v="Yes"/>
    <s v="Low"/>
    <s v="No"/>
    <n v="-8.5000000000000075E-3"/>
  </r>
  <r>
    <n v="383"/>
    <x v="16"/>
    <n v="1"/>
    <n v="10"/>
    <b v="1"/>
    <n v="1"/>
    <n v="2"/>
    <n v="0.16"/>
    <x v="19"/>
    <n v="0.5"/>
    <n v="0.25369999999999998"/>
    <n v="7"/>
    <n v="50"/>
    <n v="57"/>
    <s v="Spring"/>
    <s v="Monday"/>
    <s v="Mist/Cloudy"/>
    <x v="1"/>
    <s v="Cold"/>
    <s v="Medium"/>
    <s v="Moderate"/>
    <s v="Holiday"/>
    <s v="Mostly Registered"/>
    <n v="12.28070175438596"/>
    <n v="87.719298245614027"/>
    <s v="No"/>
    <s v="Low"/>
    <s v="No"/>
    <n v="-8.5000000000000075E-3"/>
  </r>
  <r>
    <n v="384"/>
    <x v="16"/>
    <n v="1"/>
    <n v="11"/>
    <b v="1"/>
    <n v="1"/>
    <n v="2"/>
    <n v="0.16"/>
    <x v="19"/>
    <n v="0.55000000000000004"/>
    <n v="0.19400000000000001"/>
    <n v="9"/>
    <n v="55"/>
    <n v="64"/>
    <s v="Spring"/>
    <s v="Monday"/>
    <s v="Mist/Cloudy"/>
    <x v="1"/>
    <s v="Cold"/>
    <s v="Medium"/>
    <s v="Moderate"/>
    <s v="Holiday"/>
    <s v="Mostly Registered"/>
    <n v="14.0625"/>
    <n v="85.9375"/>
    <s v="No"/>
    <s v="Low"/>
    <s v="No"/>
    <n v="-8.5000000000000075E-3"/>
  </r>
  <r>
    <n v="385"/>
    <x v="16"/>
    <n v="1"/>
    <n v="12"/>
    <b v="1"/>
    <n v="1"/>
    <n v="2"/>
    <n v="0.18"/>
    <x v="12"/>
    <n v="0.47"/>
    <n v="0.1343"/>
    <n v="10"/>
    <n v="70"/>
    <n v="80"/>
    <s v="Spring"/>
    <s v="Monday"/>
    <s v="Mist/Cloudy"/>
    <x v="2"/>
    <s v="Cold"/>
    <s v="Medium"/>
    <s v="Calm"/>
    <s v="Holiday"/>
    <s v="Mostly Registered"/>
    <n v="12.5"/>
    <n v="87.5"/>
    <s v="No"/>
    <s v="Low"/>
    <s v="No"/>
    <n v="1.7000000000000019E-2"/>
  </r>
  <r>
    <n v="386"/>
    <x v="16"/>
    <n v="1"/>
    <n v="13"/>
    <b v="1"/>
    <n v="1"/>
    <n v="2"/>
    <n v="0.18"/>
    <x v="12"/>
    <n v="0.47"/>
    <n v="0.1343"/>
    <n v="13"/>
    <n v="80"/>
    <n v="93"/>
    <s v="Spring"/>
    <s v="Monday"/>
    <s v="Mist/Cloudy"/>
    <x v="2"/>
    <s v="Cold"/>
    <s v="Medium"/>
    <s v="Calm"/>
    <s v="Holiday"/>
    <s v="Mostly Registered"/>
    <n v="13.97849462365591"/>
    <n v="86.021505376344081"/>
    <s v="No"/>
    <s v="Low"/>
    <s v="No"/>
    <n v="1.7000000000000019E-2"/>
  </r>
  <r>
    <n v="387"/>
    <x v="16"/>
    <n v="1"/>
    <n v="14"/>
    <b v="1"/>
    <n v="1"/>
    <n v="2"/>
    <n v="0.18"/>
    <x v="11"/>
    <n v="0.43"/>
    <n v="0.1045"/>
    <n v="12"/>
    <n v="74"/>
    <n v="86"/>
    <s v="Spring"/>
    <s v="Monday"/>
    <s v="Mist/Cloudy"/>
    <x v="2"/>
    <s v="Cold"/>
    <s v="Medium"/>
    <s v="Calm"/>
    <s v="Holiday"/>
    <s v="Mostly Registered"/>
    <n v="13.95348837209302"/>
    <n v="86.04651162790698"/>
    <s v="No"/>
    <s v="Low"/>
    <s v="No"/>
    <n v="3.2100000000000017E-2"/>
  </r>
  <r>
    <n v="388"/>
    <x v="16"/>
    <n v="1"/>
    <n v="15"/>
    <b v="1"/>
    <n v="1"/>
    <n v="2"/>
    <n v="0.2"/>
    <x v="11"/>
    <n v="0.47"/>
    <n v="0.16420000000000001"/>
    <n v="21"/>
    <n v="72"/>
    <n v="93"/>
    <s v="Spring"/>
    <s v="Monday"/>
    <s v="Mist/Cloudy"/>
    <x v="2"/>
    <s v="Cold"/>
    <s v="Medium"/>
    <s v="Moderate"/>
    <s v="Holiday"/>
    <s v="Mostly Registered"/>
    <n v="22.58064516129032"/>
    <n v="77.41935483870968"/>
    <s v="No"/>
    <s v="Low"/>
    <s v="No"/>
    <n v="1.21E-2"/>
  </r>
  <r>
    <n v="389"/>
    <x v="16"/>
    <n v="1"/>
    <n v="16"/>
    <b v="1"/>
    <n v="1"/>
    <n v="2"/>
    <n v="0.2"/>
    <x v="11"/>
    <n v="0.47"/>
    <n v="0.16420000000000001"/>
    <n v="6"/>
    <n v="76"/>
    <n v="82"/>
    <s v="Spring"/>
    <s v="Monday"/>
    <s v="Mist/Cloudy"/>
    <x v="2"/>
    <s v="Cold"/>
    <s v="Medium"/>
    <s v="Moderate"/>
    <s v="Holiday"/>
    <s v="Mostly Registered"/>
    <n v="7.3170731707317067"/>
    <n v="92.682926829268297"/>
    <s v="No"/>
    <s v="Low"/>
    <s v="No"/>
    <n v="1.21E-2"/>
  </r>
  <r>
    <n v="390"/>
    <x v="16"/>
    <n v="1"/>
    <n v="17"/>
    <b v="1"/>
    <n v="1"/>
    <n v="1"/>
    <n v="0.2"/>
    <x v="12"/>
    <n v="0.51"/>
    <n v="0.19400000000000001"/>
    <n v="4"/>
    <n v="67"/>
    <n v="71"/>
    <s v="Spring"/>
    <s v="Monday"/>
    <s v="Clear"/>
    <x v="3"/>
    <s v="Cold"/>
    <s v="Medium"/>
    <s v="Moderate"/>
    <s v="Holiday"/>
    <s v="Mostly Registered"/>
    <n v="5.6338028169014089"/>
    <n v="94.366197183098592"/>
    <s v="Yes"/>
    <s v="Low"/>
    <s v="No"/>
    <n v="-3.0000000000000031E-3"/>
  </r>
  <r>
    <n v="391"/>
    <x v="16"/>
    <n v="1"/>
    <n v="18"/>
    <b v="1"/>
    <n v="1"/>
    <n v="2"/>
    <n v="0.18"/>
    <x v="16"/>
    <n v="0.55000000000000004"/>
    <n v="0.25369999999999998"/>
    <n v="7"/>
    <n v="85"/>
    <n v="92"/>
    <s v="Spring"/>
    <s v="Monday"/>
    <s v="Mist/Cloudy"/>
    <x v="3"/>
    <s v="Cold"/>
    <s v="Medium"/>
    <s v="Moderate"/>
    <s v="Holiday"/>
    <s v="Mostly Registered"/>
    <n v="7.608695652173914"/>
    <n v="92.391304347826093"/>
    <s v="Yes"/>
    <s v="Low"/>
    <s v="No"/>
    <n v="-1.330000000000001E-2"/>
  </r>
  <r>
    <n v="392"/>
    <x v="16"/>
    <n v="1"/>
    <n v="19"/>
    <b v="1"/>
    <n v="1"/>
    <n v="3"/>
    <n v="0.18"/>
    <x v="17"/>
    <n v="0.59"/>
    <n v="0.19400000000000001"/>
    <n v="2"/>
    <n v="58"/>
    <n v="60"/>
    <s v="Spring"/>
    <s v="Monday"/>
    <s v="Light Rain/Snow"/>
    <x v="3"/>
    <s v="Cold"/>
    <s v="Medium"/>
    <s v="Moderate"/>
    <s v="Holiday"/>
    <s v="Mostly Registered"/>
    <n v="3.333333333333333"/>
    <n v="96.666666666666671"/>
    <s v="Yes"/>
    <s v="Low"/>
    <s v="No"/>
    <n v="1.799999999999996E-3"/>
  </r>
  <r>
    <n v="393"/>
    <x v="16"/>
    <n v="1"/>
    <n v="20"/>
    <b v="1"/>
    <n v="1"/>
    <n v="3"/>
    <n v="0.16"/>
    <x v="19"/>
    <n v="0.8"/>
    <n v="0.19400000000000001"/>
    <n v="4"/>
    <n v="29"/>
    <n v="33"/>
    <s v="Spring"/>
    <s v="Monday"/>
    <s v="Light Rain/Snow"/>
    <x v="3"/>
    <s v="Cold"/>
    <s v="High"/>
    <s v="Moderate"/>
    <s v="Holiday"/>
    <s v="Mostly Registered"/>
    <n v="12.121212121212119"/>
    <n v="87.878787878787875"/>
    <s v="No"/>
    <s v="Low"/>
    <s v="No"/>
    <n v="-8.5000000000000075E-3"/>
  </r>
  <r>
    <n v="394"/>
    <x v="16"/>
    <n v="1"/>
    <n v="21"/>
    <b v="1"/>
    <n v="1"/>
    <n v="3"/>
    <n v="0.16"/>
    <x v="19"/>
    <n v="0.8"/>
    <n v="0.19400000000000001"/>
    <n v="3"/>
    <n v="24"/>
    <n v="27"/>
    <s v="Spring"/>
    <s v="Monday"/>
    <s v="Light Rain/Snow"/>
    <x v="0"/>
    <s v="Cold"/>
    <s v="High"/>
    <s v="Moderate"/>
    <s v="Holiday"/>
    <s v="Mostly Registered"/>
    <n v="11.111111111111111"/>
    <n v="88.888888888888886"/>
    <s v="No"/>
    <s v="Low"/>
    <s v="No"/>
    <n v="-8.5000000000000075E-3"/>
  </r>
  <r>
    <n v="395"/>
    <x v="16"/>
    <n v="1"/>
    <n v="22"/>
    <b v="1"/>
    <n v="1"/>
    <n v="3"/>
    <n v="0.14000000000000001"/>
    <x v="15"/>
    <n v="0.93"/>
    <n v="0.25369999999999998"/>
    <n v="0"/>
    <n v="13"/>
    <n v="13"/>
    <s v="Spring"/>
    <s v="Monday"/>
    <s v="Light Rain/Snow"/>
    <x v="0"/>
    <s v="Very Cold"/>
    <s v="High"/>
    <s v="Moderate"/>
    <s v="Holiday"/>
    <s v="Mostly Registered"/>
    <n v="0"/>
    <n v="100"/>
    <s v="No"/>
    <s v="Low"/>
    <s v="No"/>
    <n v="-1.8800000000000011E-2"/>
  </r>
  <r>
    <n v="396"/>
    <x v="16"/>
    <n v="1"/>
    <n v="23"/>
    <b v="1"/>
    <n v="1"/>
    <n v="3"/>
    <n v="0.16"/>
    <x v="13"/>
    <n v="0.86"/>
    <n v="0.28360000000000002"/>
    <n v="1"/>
    <n v="3"/>
    <n v="4"/>
    <s v="Spring"/>
    <s v="Monday"/>
    <s v="Light Rain/Snow"/>
    <x v="0"/>
    <s v="Cold"/>
    <s v="High"/>
    <s v="Moderate"/>
    <s v="Holiday"/>
    <s v="Mostly Registered"/>
    <n v="25"/>
    <n v="75"/>
    <s v="No"/>
    <s v="Low"/>
    <s v="No"/>
    <n v="-2.360000000000001E-2"/>
  </r>
  <r>
    <n v="397"/>
    <x v="17"/>
    <n v="1"/>
    <n v="12"/>
    <b v="0"/>
    <n v="2"/>
    <n v="2"/>
    <n v="0.2"/>
    <x v="17"/>
    <n v="0.86"/>
    <n v="0.32840000000000003"/>
    <n v="0"/>
    <n v="3"/>
    <n v="3"/>
    <s v="Spring"/>
    <s v="Tuesday"/>
    <s v="Mist/Cloudy"/>
    <x v="2"/>
    <s v="Cold"/>
    <s v="High"/>
    <s v="Windy"/>
    <s v="Working Day"/>
    <s v="Mostly Registered"/>
    <n v="0"/>
    <n v="100"/>
    <s v="No"/>
    <s v="Low"/>
    <s v="No"/>
    <n v="-1.8200000000000022E-2"/>
  </r>
  <r>
    <n v="398"/>
    <x v="17"/>
    <n v="1"/>
    <n v="13"/>
    <b v="0"/>
    <n v="2"/>
    <n v="2"/>
    <n v="0.2"/>
    <x v="12"/>
    <n v="0.86"/>
    <n v="0.22389999999999999"/>
    <n v="0"/>
    <n v="22"/>
    <n v="22"/>
    <s v="Spring"/>
    <s v="Tuesday"/>
    <s v="Mist/Cloudy"/>
    <x v="2"/>
    <s v="Cold"/>
    <s v="High"/>
    <s v="Moderate"/>
    <s v="Working Day"/>
    <s v="Mostly Registered"/>
    <n v="0"/>
    <n v="100"/>
    <s v="No"/>
    <s v="Low"/>
    <s v="No"/>
    <n v="-3.0000000000000031E-3"/>
  </r>
  <r>
    <n v="399"/>
    <x v="17"/>
    <n v="1"/>
    <n v="14"/>
    <b v="0"/>
    <n v="2"/>
    <n v="2"/>
    <n v="0.22"/>
    <x v="10"/>
    <n v="0.8"/>
    <n v="0.16420000000000001"/>
    <n v="2"/>
    <n v="26"/>
    <n v="28"/>
    <s v="Spring"/>
    <s v="Tuesday"/>
    <s v="Mist/Cloudy"/>
    <x v="2"/>
    <s v="Cold"/>
    <s v="High"/>
    <s v="Moderate"/>
    <s v="Working Day"/>
    <s v="Mostly Registered"/>
    <n v="7.1428571428571423"/>
    <n v="92.857142857142861"/>
    <s v="No"/>
    <s v="Low"/>
    <s v="No"/>
    <n v="7.3000000000000009E-3"/>
  </r>
  <r>
    <n v="400"/>
    <x v="17"/>
    <n v="1"/>
    <n v="15"/>
    <b v="0"/>
    <n v="2"/>
    <n v="2"/>
    <n v="0.22"/>
    <x v="10"/>
    <n v="0.87"/>
    <n v="0.16420000000000001"/>
    <n v="3"/>
    <n v="32"/>
    <n v="35"/>
    <s v="Spring"/>
    <s v="Tuesday"/>
    <s v="Mist/Cloudy"/>
    <x v="2"/>
    <s v="Cold"/>
    <s v="High"/>
    <s v="Moderate"/>
    <s v="Working Day"/>
    <s v="Mostly Registered"/>
    <n v="8.5714285714285712"/>
    <n v="91.428571428571431"/>
    <s v="No"/>
    <s v="Low"/>
    <s v="No"/>
    <n v="7.3000000000000009E-3"/>
  </r>
  <r>
    <n v="401"/>
    <x v="17"/>
    <n v="1"/>
    <n v="16"/>
    <b v="0"/>
    <n v="2"/>
    <n v="2"/>
    <n v="0.22"/>
    <x v="10"/>
    <n v="0.87"/>
    <n v="0.19400000000000001"/>
    <n v="0"/>
    <n v="61"/>
    <n v="61"/>
    <s v="Spring"/>
    <s v="Tuesday"/>
    <s v="Mist/Cloudy"/>
    <x v="2"/>
    <s v="Cold"/>
    <s v="High"/>
    <s v="Moderate"/>
    <s v="Working Day"/>
    <s v="Mostly Registered"/>
    <n v="0"/>
    <n v="100"/>
    <s v="No"/>
    <s v="Low"/>
    <s v="No"/>
    <n v="7.3000000000000009E-3"/>
  </r>
  <r>
    <n v="402"/>
    <x v="17"/>
    <n v="1"/>
    <n v="17"/>
    <b v="0"/>
    <n v="2"/>
    <n v="2"/>
    <n v="0.22"/>
    <x v="10"/>
    <n v="0.82"/>
    <n v="0.19400000000000001"/>
    <n v="1"/>
    <n v="124"/>
    <n v="125"/>
    <s v="Spring"/>
    <s v="Tuesday"/>
    <s v="Mist/Cloudy"/>
    <x v="3"/>
    <s v="Cold"/>
    <s v="High"/>
    <s v="Moderate"/>
    <s v="Working Day"/>
    <s v="Mostly Registered"/>
    <n v="0.8"/>
    <n v="99.2"/>
    <s v="Yes"/>
    <s v="Medium"/>
    <s v="No"/>
    <n v="7.3000000000000009E-3"/>
  </r>
  <r>
    <n v="403"/>
    <x v="17"/>
    <n v="1"/>
    <n v="18"/>
    <b v="0"/>
    <n v="2"/>
    <n v="2"/>
    <n v="0.22"/>
    <x v="10"/>
    <n v="0.8"/>
    <n v="0.16420000000000001"/>
    <n v="1"/>
    <n v="132"/>
    <n v="133"/>
    <s v="Spring"/>
    <s v="Tuesday"/>
    <s v="Mist/Cloudy"/>
    <x v="3"/>
    <s v="Cold"/>
    <s v="High"/>
    <s v="Moderate"/>
    <s v="Working Day"/>
    <s v="Mostly Registered"/>
    <n v="0.75187969924812026"/>
    <n v="99.248120300751879"/>
    <s v="Yes"/>
    <s v="Medium"/>
    <s v="No"/>
    <n v="7.3000000000000009E-3"/>
  </r>
  <r>
    <n v="404"/>
    <x v="17"/>
    <n v="1"/>
    <n v="19"/>
    <b v="0"/>
    <n v="2"/>
    <n v="2"/>
    <n v="0.22"/>
    <x v="10"/>
    <n v="0.8"/>
    <n v="0.1343"/>
    <n v="1"/>
    <n v="98"/>
    <n v="99"/>
    <s v="Spring"/>
    <s v="Tuesday"/>
    <s v="Mist/Cloudy"/>
    <x v="3"/>
    <s v="Cold"/>
    <s v="High"/>
    <s v="Calm"/>
    <s v="Working Day"/>
    <s v="Mostly Registered"/>
    <n v="1.0101010101010099"/>
    <n v="98.98989898989899"/>
    <s v="Yes"/>
    <s v="Low"/>
    <s v="No"/>
    <n v="7.3000000000000009E-3"/>
  </r>
  <r>
    <n v="405"/>
    <x v="17"/>
    <n v="1"/>
    <n v="20"/>
    <b v="0"/>
    <n v="2"/>
    <n v="2"/>
    <n v="0.22"/>
    <x v="1"/>
    <n v="0.87"/>
    <n v="0"/>
    <n v="0"/>
    <n v="83"/>
    <n v="83"/>
    <s v="Spring"/>
    <s v="Tuesday"/>
    <s v="Mist/Cloudy"/>
    <x v="3"/>
    <s v="Cold"/>
    <s v="High"/>
    <s v="Calm"/>
    <s v="Working Day"/>
    <s v="Mostly Registered"/>
    <n v="0"/>
    <n v="100"/>
    <s v="No"/>
    <s v="Low"/>
    <s v="No"/>
    <n v="5.2699999999999997E-2"/>
  </r>
  <r>
    <n v="406"/>
    <x v="17"/>
    <n v="1"/>
    <n v="21"/>
    <b v="0"/>
    <n v="2"/>
    <n v="2"/>
    <n v="0.22"/>
    <x v="18"/>
    <n v="0.93"/>
    <n v="0.1045"/>
    <n v="0"/>
    <n v="41"/>
    <n v="41"/>
    <s v="Spring"/>
    <s v="Tuesday"/>
    <s v="Mist/Cloudy"/>
    <x v="0"/>
    <s v="Cold"/>
    <s v="High"/>
    <s v="Calm"/>
    <s v="Working Day"/>
    <s v="Mostly Registered"/>
    <n v="0"/>
    <n v="100"/>
    <s v="No"/>
    <s v="Low"/>
    <s v="No"/>
    <n v="2.24E-2"/>
  </r>
  <r>
    <n v="407"/>
    <x v="17"/>
    <n v="1"/>
    <n v="22"/>
    <b v="0"/>
    <n v="2"/>
    <n v="2"/>
    <n v="0.22"/>
    <x v="2"/>
    <n v="0.93"/>
    <n v="8.9599999999999999E-2"/>
    <n v="0"/>
    <n v="33"/>
    <n v="33"/>
    <s v="Spring"/>
    <s v="Tuesday"/>
    <s v="Mist/Cloudy"/>
    <x v="0"/>
    <s v="Cold"/>
    <s v="High"/>
    <s v="Calm"/>
    <s v="Working Day"/>
    <s v="Mostly Registered"/>
    <n v="0"/>
    <n v="100"/>
    <s v="No"/>
    <s v="Low"/>
    <s v="No"/>
    <n v="3.7599999999999988E-2"/>
  </r>
  <r>
    <n v="408"/>
    <x v="17"/>
    <n v="1"/>
    <n v="23"/>
    <b v="0"/>
    <n v="2"/>
    <n v="2"/>
    <n v="0.22"/>
    <x v="1"/>
    <n v="0.93"/>
    <n v="0"/>
    <n v="1"/>
    <n v="19"/>
    <n v="20"/>
    <s v="Spring"/>
    <s v="Tuesday"/>
    <s v="Mist/Cloudy"/>
    <x v="0"/>
    <s v="Cold"/>
    <s v="High"/>
    <s v="Calm"/>
    <s v="Working Day"/>
    <s v="Mostly Registered"/>
    <n v="5"/>
    <n v="95"/>
    <s v="No"/>
    <s v="Low"/>
    <s v="No"/>
    <n v="5.2699999999999997E-2"/>
  </r>
  <r>
    <n v="409"/>
    <x v="18"/>
    <n v="1"/>
    <n v="0"/>
    <b v="0"/>
    <n v="3"/>
    <n v="2"/>
    <n v="0.22"/>
    <x v="1"/>
    <n v="0.93"/>
    <n v="0"/>
    <n v="0"/>
    <n v="3"/>
    <n v="3"/>
    <s v="Spring"/>
    <s v="Wednesday"/>
    <s v="Mist/Cloudy"/>
    <x v="0"/>
    <s v="Cold"/>
    <s v="High"/>
    <s v="Calm"/>
    <s v="Working Day"/>
    <s v="Mostly Registered"/>
    <n v="0"/>
    <n v="100"/>
    <s v="No"/>
    <s v="Low"/>
    <s v="No"/>
    <n v="5.2699999999999997E-2"/>
  </r>
  <r>
    <n v="410"/>
    <x v="18"/>
    <n v="1"/>
    <n v="1"/>
    <b v="0"/>
    <n v="3"/>
    <n v="3"/>
    <n v="0.22"/>
    <x v="10"/>
    <n v="0.93"/>
    <n v="0.1343"/>
    <n v="1"/>
    <n v="6"/>
    <n v="7"/>
    <s v="Spring"/>
    <s v="Wednesday"/>
    <s v="Light Rain/Snow"/>
    <x v="0"/>
    <s v="Cold"/>
    <s v="High"/>
    <s v="Calm"/>
    <s v="Working Day"/>
    <s v="Mostly Registered"/>
    <n v="14.285714285714279"/>
    <n v="85.714285714285708"/>
    <s v="No"/>
    <s v="Low"/>
    <s v="No"/>
    <n v="7.3000000000000009E-3"/>
  </r>
  <r>
    <n v="411"/>
    <x v="18"/>
    <n v="1"/>
    <n v="2"/>
    <b v="0"/>
    <n v="3"/>
    <n v="3"/>
    <n v="0.22"/>
    <x v="10"/>
    <n v="0.93"/>
    <n v="0.1343"/>
    <n v="0"/>
    <n v="3"/>
    <n v="3"/>
    <s v="Spring"/>
    <s v="Wednesday"/>
    <s v="Light Rain/Snow"/>
    <x v="0"/>
    <s v="Cold"/>
    <s v="High"/>
    <s v="Calm"/>
    <s v="Working Day"/>
    <s v="Mostly Registered"/>
    <n v="0"/>
    <n v="100"/>
    <s v="No"/>
    <s v="Low"/>
    <s v="No"/>
    <n v="7.3000000000000009E-3"/>
  </r>
  <r>
    <n v="412"/>
    <x v="18"/>
    <n v="1"/>
    <n v="4"/>
    <b v="0"/>
    <n v="3"/>
    <n v="3"/>
    <n v="0.22"/>
    <x v="10"/>
    <n v="0.93"/>
    <n v="0.1343"/>
    <n v="1"/>
    <n v="1"/>
    <n v="2"/>
    <s v="Spring"/>
    <s v="Wednesday"/>
    <s v="Light Rain/Snow"/>
    <x v="0"/>
    <s v="Cold"/>
    <s v="High"/>
    <s v="Calm"/>
    <s v="Working Day"/>
    <s v="Mostly Registered"/>
    <n v="50"/>
    <n v="50"/>
    <s v="No"/>
    <s v="Low"/>
    <s v="No"/>
    <n v="7.3000000000000009E-3"/>
  </r>
  <r>
    <n v="413"/>
    <x v="18"/>
    <n v="1"/>
    <n v="5"/>
    <b v="0"/>
    <n v="3"/>
    <n v="2"/>
    <n v="0.22"/>
    <x v="2"/>
    <n v="0.93"/>
    <n v="8.9599999999999999E-2"/>
    <n v="0"/>
    <n v="7"/>
    <n v="7"/>
    <s v="Spring"/>
    <s v="Wednesday"/>
    <s v="Mist/Cloudy"/>
    <x v="0"/>
    <s v="Cold"/>
    <s v="High"/>
    <s v="Calm"/>
    <s v="Working Day"/>
    <s v="Mostly Registered"/>
    <n v="0"/>
    <n v="100"/>
    <s v="No"/>
    <s v="Low"/>
    <s v="No"/>
    <n v="3.7599999999999988E-2"/>
  </r>
  <r>
    <n v="414"/>
    <x v="18"/>
    <n v="1"/>
    <n v="6"/>
    <b v="0"/>
    <n v="3"/>
    <n v="2"/>
    <n v="0.22"/>
    <x v="2"/>
    <n v="0.93"/>
    <n v="8.9599999999999999E-2"/>
    <n v="0"/>
    <n v="32"/>
    <n v="32"/>
    <s v="Spring"/>
    <s v="Wednesday"/>
    <s v="Mist/Cloudy"/>
    <x v="1"/>
    <s v="Cold"/>
    <s v="High"/>
    <s v="Calm"/>
    <s v="Working Day"/>
    <s v="Mostly Registered"/>
    <n v="0"/>
    <n v="100"/>
    <s v="No"/>
    <s v="Low"/>
    <s v="No"/>
    <n v="3.7599999999999988E-2"/>
  </r>
  <r>
    <n v="415"/>
    <x v="18"/>
    <n v="1"/>
    <n v="7"/>
    <b v="0"/>
    <n v="3"/>
    <n v="2"/>
    <n v="0.24"/>
    <x v="2"/>
    <n v="0.92"/>
    <n v="0.1045"/>
    <n v="1"/>
    <n v="89"/>
    <n v="90"/>
    <s v="Spring"/>
    <s v="Wednesday"/>
    <s v="Mist/Cloudy"/>
    <x v="1"/>
    <s v="Cold"/>
    <s v="High"/>
    <s v="Calm"/>
    <s v="Working Day"/>
    <s v="Mostly Registered"/>
    <n v="1.1111111111111109"/>
    <n v="98.888888888888886"/>
    <s v="Yes"/>
    <s v="Low"/>
    <s v="No"/>
    <n v="1.7600000000000001E-2"/>
  </r>
  <r>
    <n v="416"/>
    <x v="18"/>
    <n v="1"/>
    <n v="8"/>
    <b v="0"/>
    <n v="3"/>
    <n v="2"/>
    <n v="0.24"/>
    <x v="2"/>
    <n v="0.93"/>
    <n v="0.1045"/>
    <n v="1"/>
    <n v="196"/>
    <n v="197"/>
    <s v="Spring"/>
    <s v="Wednesday"/>
    <s v="Mist/Cloudy"/>
    <x v="1"/>
    <s v="Cold"/>
    <s v="High"/>
    <s v="Calm"/>
    <s v="Working Day"/>
    <s v="Mostly Registered"/>
    <n v="0.50761421319796951"/>
    <n v="99.492385786802032"/>
    <s v="Yes"/>
    <s v="Medium"/>
    <s v="No"/>
    <n v="1.7600000000000001E-2"/>
  </r>
  <r>
    <n v="417"/>
    <x v="18"/>
    <n v="1"/>
    <n v="9"/>
    <b v="0"/>
    <n v="3"/>
    <n v="2"/>
    <n v="0.24"/>
    <x v="2"/>
    <n v="0.93"/>
    <n v="0.1045"/>
    <n v="2"/>
    <n v="107"/>
    <n v="109"/>
    <s v="Spring"/>
    <s v="Wednesday"/>
    <s v="Mist/Cloudy"/>
    <x v="1"/>
    <s v="Cold"/>
    <s v="High"/>
    <s v="Calm"/>
    <s v="Working Day"/>
    <s v="Mostly Registered"/>
    <n v="1.834862385321101"/>
    <n v="98.165137614678898"/>
    <s v="Yes"/>
    <s v="Medium"/>
    <s v="No"/>
    <n v="1.7600000000000001E-2"/>
  </r>
  <r>
    <n v="418"/>
    <x v="18"/>
    <n v="1"/>
    <n v="10"/>
    <b v="0"/>
    <n v="3"/>
    <n v="2"/>
    <n v="0.26"/>
    <x v="1"/>
    <n v="0.93"/>
    <n v="0.1343"/>
    <n v="1"/>
    <n v="46"/>
    <n v="47"/>
    <s v="Spring"/>
    <s v="Wednesday"/>
    <s v="Mist/Cloudy"/>
    <x v="1"/>
    <s v="Mild"/>
    <s v="High"/>
    <s v="Calm"/>
    <s v="Working Day"/>
    <s v="Mostly Registered"/>
    <n v="2.1276595744680851"/>
    <n v="97.872340425531917"/>
    <s v="No"/>
    <s v="Low"/>
    <s v="No"/>
    <n v="1.2699999999999991E-2"/>
  </r>
  <r>
    <n v="419"/>
    <x v="18"/>
    <n v="1"/>
    <n v="11"/>
    <b v="0"/>
    <n v="3"/>
    <n v="2"/>
    <n v="0.28000000000000003"/>
    <x v="24"/>
    <n v="0.87"/>
    <n v="8.9599999999999999E-2"/>
    <n v="5"/>
    <n v="47"/>
    <n v="52"/>
    <s v="Spring"/>
    <s v="Wednesday"/>
    <s v="Mist/Cloudy"/>
    <x v="1"/>
    <s v="Mild"/>
    <s v="High"/>
    <s v="Calm"/>
    <s v="Working Day"/>
    <s v="Mostly Registered"/>
    <n v="9.6153846153846168"/>
    <n v="90.384615384615387"/>
    <s v="No"/>
    <s v="Low"/>
    <s v="No"/>
    <n v="2.2999999999999961E-2"/>
  </r>
  <r>
    <n v="420"/>
    <x v="18"/>
    <n v="1"/>
    <n v="12"/>
    <b v="0"/>
    <n v="3"/>
    <n v="2"/>
    <n v="0.3"/>
    <x v="20"/>
    <n v="0.81"/>
    <n v="8.9599999999999999E-2"/>
    <n v="5"/>
    <n v="65"/>
    <n v="70"/>
    <s v="Spring"/>
    <s v="Wednesday"/>
    <s v="Mist/Cloudy"/>
    <x v="2"/>
    <s v="Mild"/>
    <s v="High"/>
    <s v="Calm"/>
    <s v="Working Day"/>
    <s v="Mostly Registered"/>
    <n v="7.1428571428571423"/>
    <n v="92.857142857142861"/>
    <s v="No"/>
    <s v="Low"/>
    <s v="No"/>
    <n v="1.819999999999999E-2"/>
  </r>
  <r>
    <n v="421"/>
    <x v="18"/>
    <n v="1"/>
    <n v="13"/>
    <b v="0"/>
    <n v="3"/>
    <n v="1"/>
    <n v="0.4"/>
    <x v="9"/>
    <n v="0.62"/>
    <n v="0.28360000000000002"/>
    <n v="11"/>
    <n v="67"/>
    <n v="78"/>
    <s v="Spring"/>
    <s v="Wednesday"/>
    <s v="Clear"/>
    <x v="2"/>
    <s v="Warm"/>
    <s v="Medium"/>
    <s v="Moderate"/>
    <s v="Working Day"/>
    <s v="Mostly Registered"/>
    <n v="14.1025641025641"/>
    <n v="85.897435897435898"/>
    <s v="No"/>
    <s v="Low"/>
    <s v="No"/>
    <n v="9.099999999999997E-3"/>
  </r>
  <r>
    <n v="422"/>
    <x v="18"/>
    <n v="1"/>
    <n v="14"/>
    <b v="0"/>
    <n v="3"/>
    <n v="1"/>
    <n v="0.4"/>
    <x v="9"/>
    <n v="0.57999999999999996"/>
    <n v="0.25369999999999998"/>
    <n v="7"/>
    <n v="68"/>
    <n v="75"/>
    <s v="Spring"/>
    <s v="Wednesday"/>
    <s v="Clear"/>
    <x v="2"/>
    <s v="Warm"/>
    <s v="Medium"/>
    <s v="Moderate"/>
    <s v="Working Day"/>
    <s v="Mostly Registered"/>
    <n v="9.3333333333333339"/>
    <n v="90.666666666666657"/>
    <s v="No"/>
    <s v="Low"/>
    <s v="No"/>
    <n v="9.099999999999997E-3"/>
  </r>
  <r>
    <n v="423"/>
    <x v="18"/>
    <n v="1"/>
    <n v="15"/>
    <b v="0"/>
    <n v="3"/>
    <n v="1"/>
    <n v="0.4"/>
    <x v="9"/>
    <n v="0.54"/>
    <n v="0.28360000000000002"/>
    <n v="4"/>
    <n v="78"/>
    <n v="82"/>
    <s v="Spring"/>
    <s v="Wednesday"/>
    <s v="Clear"/>
    <x v="2"/>
    <s v="Warm"/>
    <s v="Medium"/>
    <s v="Moderate"/>
    <s v="Working Day"/>
    <s v="Mostly Registered"/>
    <n v="4.8780487804878048"/>
    <n v="95.121951219512198"/>
    <s v="No"/>
    <s v="Low"/>
    <s v="No"/>
    <n v="9.099999999999997E-3"/>
  </r>
  <r>
    <n v="424"/>
    <x v="18"/>
    <n v="1"/>
    <n v="16"/>
    <b v="0"/>
    <n v="3"/>
    <n v="1"/>
    <n v="0.38"/>
    <x v="4"/>
    <n v="0.57999999999999996"/>
    <n v="0.3881"/>
    <n v="10"/>
    <n v="94"/>
    <n v="104"/>
    <s v="Spring"/>
    <s v="Wednesday"/>
    <s v="Clear"/>
    <x v="2"/>
    <s v="Warm"/>
    <s v="Medium"/>
    <s v="Windy"/>
    <s v="Working Day"/>
    <s v="Mostly Registered"/>
    <n v="9.6153846153846168"/>
    <n v="90.384615384615387"/>
    <s v="No"/>
    <s v="Medium"/>
    <s v="No"/>
    <n v="1.389999999999997E-2"/>
  </r>
  <r>
    <n v="425"/>
    <x v="18"/>
    <n v="1"/>
    <n v="17"/>
    <b v="0"/>
    <n v="3"/>
    <n v="1"/>
    <n v="0.36"/>
    <x v="5"/>
    <n v="0.56999999999999995"/>
    <n v="0.32840000000000003"/>
    <n v="7"/>
    <n v="190"/>
    <n v="197"/>
    <s v="Spring"/>
    <s v="Wednesday"/>
    <s v="Clear"/>
    <x v="3"/>
    <s v="Warm"/>
    <s v="Medium"/>
    <s v="Windy"/>
    <s v="Working Day"/>
    <s v="Mostly Registered"/>
    <n v="3.5532994923857868"/>
    <n v="96.44670050761421"/>
    <s v="Yes"/>
    <s v="Medium"/>
    <s v="No"/>
    <n v="-2.6700000000000002E-2"/>
  </r>
  <r>
    <n v="426"/>
    <x v="18"/>
    <n v="1"/>
    <n v="18"/>
    <b v="0"/>
    <n v="3"/>
    <n v="1"/>
    <n v="0.34"/>
    <x v="20"/>
    <n v="0.61"/>
    <n v="0.28360000000000002"/>
    <n v="5"/>
    <n v="156"/>
    <n v="161"/>
    <s v="Spring"/>
    <s v="Wednesday"/>
    <s v="Clear"/>
    <x v="3"/>
    <s v="Mild"/>
    <s v="Medium"/>
    <s v="Moderate"/>
    <s v="Working Day"/>
    <s v="Mostly Registered"/>
    <n v="3.1055900621118009"/>
    <n v="96.894409937888199"/>
    <s v="Yes"/>
    <s v="Medium"/>
    <s v="No"/>
    <n v="-2.1800000000000042E-2"/>
  </r>
  <r>
    <n v="427"/>
    <x v="18"/>
    <n v="1"/>
    <n v="19"/>
    <b v="0"/>
    <n v="3"/>
    <n v="1"/>
    <n v="0.32"/>
    <x v="0"/>
    <n v="0.56999999999999995"/>
    <n v="0.41789999999999999"/>
    <n v="4"/>
    <n v="108"/>
    <n v="112"/>
    <s v="Spring"/>
    <s v="Wednesday"/>
    <s v="Clear"/>
    <x v="3"/>
    <s v="Mild"/>
    <s v="Medium"/>
    <s v="Windy"/>
    <s v="Working Day"/>
    <s v="Mostly Registered"/>
    <n v="3.5714285714285712"/>
    <n v="96.428571428571431"/>
    <s v="Yes"/>
    <s v="Medium"/>
    <s v="No"/>
    <n v="-3.2100000000000017E-2"/>
  </r>
  <r>
    <n v="428"/>
    <x v="18"/>
    <n v="1"/>
    <n v="20"/>
    <b v="0"/>
    <n v="3"/>
    <n v="1"/>
    <n v="0.32"/>
    <x v="24"/>
    <n v="0.49"/>
    <n v="0.29849999999999999"/>
    <n v="2"/>
    <n v="74"/>
    <n v="76"/>
    <s v="Spring"/>
    <s v="Wednesday"/>
    <s v="Clear"/>
    <x v="3"/>
    <s v="Mild"/>
    <s v="Medium"/>
    <s v="Moderate"/>
    <s v="Working Day"/>
    <s v="Mostly Registered"/>
    <n v="2.6315789473684208"/>
    <n v="97.368421052631575"/>
    <s v="No"/>
    <s v="Low"/>
    <s v="No"/>
    <n v="-1.7000000000000019E-2"/>
  </r>
  <r>
    <n v="429"/>
    <x v="18"/>
    <n v="1"/>
    <n v="21"/>
    <b v="0"/>
    <n v="3"/>
    <n v="1"/>
    <n v="0.32"/>
    <x v="0"/>
    <n v="0.49"/>
    <n v="0.41789999999999999"/>
    <n v="4"/>
    <n v="55"/>
    <n v="59"/>
    <s v="Spring"/>
    <s v="Wednesday"/>
    <s v="Clear"/>
    <x v="0"/>
    <s v="Mild"/>
    <s v="Medium"/>
    <s v="Windy"/>
    <s v="Working Day"/>
    <s v="Mostly Registered"/>
    <n v="6.7796610169491522"/>
    <n v="93.220338983050837"/>
    <s v="No"/>
    <s v="Low"/>
    <s v="No"/>
    <n v="-3.2100000000000017E-2"/>
  </r>
  <r>
    <n v="430"/>
    <x v="18"/>
    <n v="1"/>
    <n v="22"/>
    <b v="0"/>
    <n v="3"/>
    <n v="1"/>
    <n v="0.3"/>
    <x v="24"/>
    <n v="0.52"/>
    <n v="0.16420000000000001"/>
    <n v="6"/>
    <n v="53"/>
    <n v="59"/>
    <s v="Spring"/>
    <s v="Wednesday"/>
    <s v="Clear"/>
    <x v="0"/>
    <s v="Mild"/>
    <s v="Medium"/>
    <s v="Moderate"/>
    <s v="Working Day"/>
    <s v="Mostly Registered"/>
    <n v="10.16949152542373"/>
    <n v="89.830508474576277"/>
    <s v="No"/>
    <s v="Low"/>
    <s v="No"/>
    <n v="3.0000000000000031E-3"/>
  </r>
  <r>
    <n v="431"/>
    <x v="18"/>
    <n v="1"/>
    <n v="23"/>
    <b v="0"/>
    <n v="3"/>
    <n v="1"/>
    <n v="0.3"/>
    <x v="1"/>
    <n v="0.52"/>
    <n v="0.4627"/>
    <n v="1"/>
    <n v="27"/>
    <n v="28"/>
    <s v="Spring"/>
    <s v="Wednesday"/>
    <s v="Clear"/>
    <x v="0"/>
    <s v="Mild"/>
    <s v="Medium"/>
    <s v="Windy"/>
    <s v="Working Day"/>
    <s v="Mostly Registered"/>
    <n v="3.5714285714285712"/>
    <n v="96.428571428571431"/>
    <s v="No"/>
    <s v="Low"/>
    <s v="No"/>
    <n v="-2.7299999999999991E-2"/>
  </r>
  <r>
    <n v="432"/>
    <x v="19"/>
    <n v="1"/>
    <n v="0"/>
    <b v="0"/>
    <n v="4"/>
    <n v="1"/>
    <n v="0.26"/>
    <x v="10"/>
    <n v="0.56000000000000005"/>
    <n v="0.3881"/>
    <n v="5"/>
    <n v="8"/>
    <n v="13"/>
    <s v="Spring"/>
    <s v="Thursday"/>
    <s v="Clear"/>
    <x v="0"/>
    <s v="Mild"/>
    <s v="Medium"/>
    <s v="Windy"/>
    <s v="Working Day"/>
    <s v="Mostly Registered"/>
    <n v="38.461538461538467"/>
    <n v="61.53846153846154"/>
    <s v="No"/>
    <s v="Low"/>
    <s v="No"/>
    <n v="-3.2700000000000007E-2"/>
  </r>
  <r>
    <n v="433"/>
    <x v="19"/>
    <n v="1"/>
    <n v="1"/>
    <b v="0"/>
    <n v="4"/>
    <n v="1"/>
    <n v="0.26"/>
    <x v="1"/>
    <n v="0.56000000000000005"/>
    <n v="0"/>
    <n v="2"/>
    <n v="3"/>
    <n v="5"/>
    <s v="Spring"/>
    <s v="Thursday"/>
    <s v="Clear"/>
    <x v="0"/>
    <s v="Mild"/>
    <s v="Medium"/>
    <s v="Calm"/>
    <s v="Working Day"/>
    <s v="Mostly Registered"/>
    <n v="40"/>
    <n v="60"/>
    <s v="No"/>
    <s v="Low"/>
    <s v="No"/>
    <n v="1.2699999999999991E-2"/>
  </r>
  <r>
    <n v="434"/>
    <x v="19"/>
    <n v="1"/>
    <n v="2"/>
    <b v="0"/>
    <n v="4"/>
    <n v="1"/>
    <n v="0.26"/>
    <x v="1"/>
    <n v="0.56000000000000005"/>
    <n v="0"/>
    <n v="0"/>
    <n v="2"/>
    <n v="2"/>
    <s v="Spring"/>
    <s v="Thursday"/>
    <s v="Clear"/>
    <x v="0"/>
    <s v="Mild"/>
    <s v="Medium"/>
    <s v="Calm"/>
    <s v="Working Day"/>
    <s v="Mostly Registered"/>
    <n v="0"/>
    <n v="100"/>
    <s v="No"/>
    <s v="Low"/>
    <s v="No"/>
    <n v="1.2699999999999991E-2"/>
  </r>
  <r>
    <n v="435"/>
    <x v="19"/>
    <n v="1"/>
    <n v="3"/>
    <b v="0"/>
    <n v="4"/>
    <n v="1"/>
    <n v="0.26"/>
    <x v="2"/>
    <n v="0.56000000000000005"/>
    <n v="0.16420000000000001"/>
    <n v="0"/>
    <n v="1"/>
    <n v="1"/>
    <s v="Spring"/>
    <s v="Thursday"/>
    <s v="Clear"/>
    <x v="0"/>
    <s v="Mild"/>
    <s v="Medium"/>
    <s v="Moderate"/>
    <s v="Working Day"/>
    <s v="Mostly Registered"/>
    <n v="0"/>
    <n v="100"/>
    <s v="No"/>
    <s v="Low"/>
    <s v="No"/>
    <n v="-2.4000000000000128E-3"/>
  </r>
  <r>
    <n v="436"/>
    <x v="19"/>
    <n v="1"/>
    <n v="4"/>
    <b v="0"/>
    <n v="4"/>
    <n v="1"/>
    <n v="0.26"/>
    <x v="2"/>
    <n v="0.56000000000000005"/>
    <n v="0.16420000000000001"/>
    <n v="0"/>
    <n v="1"/>
    <n v="1"/>
    <s v="Spring"/>
    <s v="Thursday"/>
    <s v="Clear"/>
    <x v="0"/>
    <s v="Mild"/>
    <s v="Medium"/>
    <s v="Moderate"/>
    <s v="Working Day"/>
    <s v="Mostly Registered"/>
    <n v="0"/>
    <n v="100"/>
    <s v="No"/>
    <s v="Low"/>
    <s v="No"/>
    <n v="-2.4000000000000128E-3"/>
  </r>
  <r>
    <n v="437"/>
    <x v="19"/>
    <n v="1"/>
    <n v="5"/>
    <b v="0"/>
    <n v="4"/>
    <n v="1"/>
    <n v="0.24"/>
    <x v="10"/>
    <n v="0.6"/>
    <n v="0.22389999999999999"/>
    <n v="0"/>
    <n v="6"/>
    <n v="6"/>
    <s v="Spring"/>
    <s v="Thursday"/>
    <s v="Clear"/>
    <x v="0"/>
    <s v="Cold"/>
    <s v="Medium"/>
    <s v="Moderate"/>
    <s v="Working Day"/>
    <s v="Mostly Registered"/>
    <n v="0"/>
    <n v="100"/>
    <s v="No"/>
    <s v="Low"/>
    <s v="No"/>
    <n v="-1.2699999999999991E-2"/>
  </r>
  <r>
    <n v="438"/>
    <x v="19"/>
    <n v="1"/>
    <n v="6"/>
    <b v="0"/>
    <n v="4"/>
    <n v="1"/>
    <n v="0.22"/>
    <x v="11"/>
    <n v="0.6"/>
    <n v="0.22389999999999999"/>
    <n v="0"/>
    <n v="35"/>
    <n v="35"/>
    <s v="Spring"/>
    <s v="Thursday"/>
    <s v="Clear"/>
    <x v="1"/>
    <s v="Cold"/>
    <s v="Medium"/>
    <s v="Moderate"/>
    <s v="Working Day"/>
    <s v="Mostly Registered"/>
    <n v="0"/>
    <n v="100"/>
    <s v="No"/>
    <s v="Low"/>
    <s v="No"/>
    <n v="-7.8999999999999904E-3"/>
  </r>
  <r>
    <n v="439"/>
    <x v="19"/>
    <n v="1"/>
    <n v="7"/>
    <b v="0"/>
    <n v="4"/>
    <n v="1"/>
    <n v="0.22"/>
    <x v="11"/>
    <n v="0.55000000000000004"/>
    <n v="0.22389999999999999"/>
    <n v="1"/>
    <n v="100"/>
    <n v="101"/>
    <s v="Spring"/>
    <s v="Thursday"/>
    <s v="Clear"/>
    <x v="1"/>
    <s v="Cold"/>
    <s v="Medium"/>
    <s v="Moderate"/>
    <s v="Working Day"/>
    <s v="Mostly Registered"/>
    <n v="0.99009900990099009"/>
    <n v="99.009900990099013"/>
    <s v="Yes"/>
    <s v="Medium"/>
    <s v="No"/>
    <n v="-7.8999999999999904E-3"/>
  </r>
  <r>
    <n v="440"/>
    <x v="19"/>
    <n v="1"/>
    <n v="8"/>
    <b v="0"/>
    <n v="4"/>
    <n v="1"/>
    <n v="0.22"/>
    <x v="11"/>
    <n v="0.55000000000000004"/>
    <n v="0.28360000000000002"/>
    <n v="2"/>
    <n v="247"/>
    <n v="249"/>
    <s v="Spring"/>
    <s v="Thursday"/>
    <s v="Clear"/>
    <x v="1"/>
    <s v="Cold"/>
    <s v="Medium"/>
    <s v="Moderate"/>
    <s v="Working Day"/>
    <s v="Mostly Registered"/>
    <n v="0.80321285140562237"/>
    <n v="99.196787148594382"/>
    <s v="Yes"/>
    <s v="Medium"/>
    <s v="No"/>
    <n v="-7.8999999999999904E-3"/>
  </r>
  <r>
    <n v="441"/>
    <x v="19"/>
    <n v="1"/>
    <n v="9"/>
    <b v="0"/>
    <n v="4"/>
    <n v="2"/>
    <n v="0.24"/>
    <x v="10"/>
    <n v="0.52"/>
    <n v="0.22389999999999999"/>
    <n v="3"/>
    <n v="140"/>
    <n v="143"/>
    <s v="Spring"/>
    <s v="Thursday"/>
    <s v="Mist/Cloudy"/>
    <x v="1"/>
    <s v="Cold"/>
    <s v="Medium"/>
    <s v="Moderate"/>
    <s v="Working Day"/>
    <s v="Mostly Registered"/>
    <n v="2.0979020979020979"/>
    <n v="97.902097902097907"/>
    <s v="Yes"/>
    <s v="Medium"/>
    <s v="No"/>
    <n v="-1.2699999999999991E-2"/>
  </r>
  <r>
    <n v="442"/>
    <x v="19"/>
    <n v="1"/>
    <n v="10"/>
    <b v="0"/>
    <n v="4"/>
    <n v="1"/>
    <n v="0.26"/>
    <x v="10"/>
    <n v="0.48"/>
    <n v="0.29849999999999999"/>
    <n v="1"/>
    <n v="56"/>
    <n v="57"/>
    <s v="Spring"/>
    <s v="Thursday"/>
    <s v="Clear"/>
    <x v="1"/>
    <s v="Mild"/>
    <s v="Medium"/>
    <s v="Moderate"/>
    <s v="Working Day"/>
    <s v="Mostly Registered"/>
    <n v="1.754385964912281"/>
    <n v="98.245614035087712"/>
    <s v="No"/>
    <s v="Low"/>
    <s v="No"/>
    <n v="-3.2700000000000007E-2"/>
  </r>
  <r>
    <n v="443"/>
    <x v="19"/>
    <n v="1"/>
    <n v="11"/>
    <b v="0"/>
    <n v="4"/>
    <n v="2"/>
    <n v="0.28000000000000003"/>
    <x v="1"/>
    <n v="0.45"/>
    <n v="0.16420000000000001"/>
    <n v="5"/>
    <n v="63"/>
    <n v="68"/>
    <s v="Spring"/>
    <s v="Thursday"/>
    <s v="Mist/Cloudy"/>
    <x v="1"/>
    <s v="Mild"/>
    <s v="Medium"/>
    <s v="Moderate"/>
    <s v="Working Day"/>
    <s v="Mostly Registered"/>
    <n v="7.3529411764705888"/>
    <n v="92.64705882352942"/>
    <s v="No"/>
    <s v="Low"/>
    <s v="No"/>
    <n v="-7.3000000000000287E-3"/>
  </r>
  <r>
    <n v="444"/>
    <x v="19"/>
    <n v="1"/>
    <n v="12"/>
    <b v="0"/>
    <n v="4"/>
    <n v="2"/>
    <n v="0.3"/>
    <x v="5"/>
    <n v="0.42"/>
    <n v="0"/>
    <n v="7"/>
    <n v="77"/>
    <n v="84"/>
    <s v="Spring"/>
    <s v="Thursday"/>
    <s v="Mist/Cloudy"/>
    <x v="2"/>
    <s v="Mild"/>
    <s v="Medium"/>
    <s v="Calm"/>
    <s v="Working Day"/>
    <s v="Mostly Registered"/>
    <n v="8.3333333333333321"/>
    <n v="91.666666666666657"/>
    <s v="No"/>
    <s v="Low"/>
    <s v="No"/>
    <n v="3.3300000000000003E-2"/>
  </r>
  <r>
    <n v="445"/>
    <x v="19"/>
    <n v="1"/>
    <n v="13"/>
    <b v="0"/>
    <n v="4"/>
    <n v="2"/>
    <n v="0.28000000000000003"/>
    <x v="0"/>
    <n v="0.45"/>
    <n v="0.1045"/>
    <n v="12"/>
    <n v="86"/>
    <n v="98"/>
    <s v="Spring"/>
    <s v="Thursday"/>
    <s v="Mist/Cloudy"/>
    <x v="2"/>
    <s v="Mild"/>
    <s v="Medium"/>
    <s v="Calm"/>
    <s v="Working Day"/>
    <s v="Mostly Registered"/>
    <n v="12.244897959183669"/>
    <n v="87.755102040816325"/>
    <s v="No"/>
    <s v="Low"/>
    <s v="No"/>
    <n v="7.8999999999999626E-3"/>
  </r>
  <r>
    <n v="446"/>
    <x v="19"/>
    <n v="1"/>
    <n v="14"/>
    <b v="0"/>
    <n v="4"/>
    <n v="2"/>
    <n v="0.3"/>
    <x v="24"/>
    <n v="0.45"/>
    <n v="0.1343"/>
    <n v="6"/>
    <n v="75"/>
    <n v="81"/>
    <s v="Spring"/>
    <s v="Thursday"/>
    <s v="Mist/Cloudy"/>
    <x v="2"/>
    <s v="Mild"/>
    <s v="Medium"/>
    <s v="Calm"/>
    <s v="Working Day"/>
    <s v="Mostly Registered"/>
    <n v="7.4074074074074074"/>
    <n v="92.592592592592595"/>
    <s v="No"/>
    <s v="Low"/>
    <s v="No"/>
    <n v="3.0000000000000031E-3"/>
  </r>
  <r>
    <n v="447"/>
    <x v="19"/>
    <n v="1"/>
    <n v="15"/>
    <b v="0"/>
    <n v="4"/>
    <n v="2"/>
    <n v="0.32"/>
    <x v="20"/>
    <n v="0.45"/>
    <n v="0.19400000000000001"/>
    <n v="8"/>
    <n v="62"/>
    <n v="70"/>
    <s v="Spring"/>
    <s v="Thursday"/>
    <s v="Mist/Cloudy"/>
    <x v="2"/>
    <s v="Mild"/>
    <s v="Medium"/>
    <s v="Moderate"/>
    <s v="Working Day"/>
    <s v="Mostly Registered"/>
    <n v="11.428571428571431"/>
    <n v="88.571428571428569"/>
    <s v="No"/>
    <s v="Low"/>
    <s v="No"/>
    <n v="-1.800000000000024E-3"/>
  </r>
  <r>
    <n v="448"/>
    <x v="19"/>
    <n v="1"/>
    <n v="16"/>
    <b v="0"/>
    <n v="4"/>
    <n v="2"/>
    <n v="0.3"/>
    <x v="24"/>
    <n v="0.49"/>
    <n v="0.1343"/>
    <n v="8"/>
    <n v="83"/>
    <n v="91"/>
    <s v="Spring"/>
    <s v="Thursday"/>
    <s v="Mist/Cloudy"/>
    <x v="2"/>
    <s v="Mild"/>
    <s v="Medium"/>
    <s v="Calm"/>
    <s v="Working Day"/>
    <s v="Mostly Registered"/>
    <n v="8.791208791208792"/>
    <n v="91.208791208791212"/>
    <s v="No"/>
    <s v="Low"/>
    <s v="No"/>
    <n v="3.0000000000000031E-3"/>
  </r>
  <r>
    <n v="449"/>
    <x v="19"/>
    <n v="1"/>
    <n v="17"/>
    <b v="0"/>
    <n v="4"/>
    <n v="2"/>
    <n v="0.3"/>
    <x v="20"/>
    <n v="0.49"/>
    <n v="0.1045"/>
    <n v="8"/>
    <n v="207"/>
    <n v="215"/>
    <s v="Spring"/>
    <s v="Thursday"/>
    <s v="Mist/Cloudy"/>
    <x v="3"/>
    <s v="Mild"/>
    <s v="Medium"/>
    <s v="Calm"/>
    <s v="Working Day"/>
    <s v="Mostly Registered"/>
    <n v="3.720930232558139"/>
    <n v="96.279069767441854"/>
    <s v="Yes"/>
    <s v="Medium"/>
    <s v="No"/>
    <n v="1.819999999999999E-2"/>
  </r>
  <r>
    <n v="450"/>
    <x v="19"/>
    <n v="1"/>
    <n v="18"/>
    <b v="0"/>
    <n v="4"/>
    <n v="2"/>
    <n v="0.26"/>
    <x v="2"/>
    <n v="0.56000000000000005"/>
    <n v="0.19400000000000001"/>
    <n v="1"/>
    <n v="184"/>
    <n v="185"/>
    <s v="Spring"/>
    <s v="Thursday"/>
    <s v="Mist/Cloudy"/>
    <x v="3"/>
    <s v="Mild"/>
    <s v="Medium"/>
    <s v="Moderate"/>
    <s v="Working Day"/>
    <s v="Mostly Registered"/>
    <n v="0.54054054054054057"/>
    <n v="99.459459459459467"/>
    <s v="Yes"/>
    <s v="Medium"/>
    <s v="No"/>
    <n v="-2.4000000000000128E-3"/>
  </r>
  <r>
    <n v="451"/>
    <x v="19"/>
    <n v="1"/>
    <n v="19"/>
    <b v="0"/>
    <n v="4"/>
    <n v="1"/>
    <n v="0.26"/>
    <x v="10"/>
    <n v="0.56000000000000005"/>
    <n v="0.32840000000000003"/>
    <n v="6"/>
    <n v="146"/>
    <n v="152"/>
    <s v="Spring"/>
    <s v="Thursday"/>
    <s v="Clear"/>
    <x v="3"/>
    <s v="Mild"/>
    <s v="Medium"/>
    <s v="Windy"/>
    <s v="Working Day"/>
    <s v="Mostly Registered"/>
    <n v="3.947368421052631"/>
    <n v="96.05263157894737"/>
    <s v="Yes"/>
    <s v="Medium"/>
    <s v="No"/>
    <n v="-3.2700000000000007E-2"/>
  </r>
  <r>
    <n v="452"/>
    <x v="19"/>
    <n v="1"/>
    <n v="20"/>
    <b v="0"/>
    <n v="4"/>
    <n v="2"/>
    <n v="0.26"/>
    <x v="18"/>
    <n v="0.6"/>
    <n v="0.28360000000000002"/>
    <n v="2"/>
    <n v="124"/>
    <n v="126"/>
    <s v="Spring"/>
    <s v="Thursday"/>
    <s v="Mist/Cloudy"/>
    <x v="3"/>
    <s v="Mild"/>
    <s v="Medium"/>
    <s v="Moderate"/>
    <s v="Working Day"/>
    <s v="Mostly Registered"/>
    <n v="1.587301587301587"/>
    <n v="98.412698412698404"/>
    <s v="No"/>
    <s v="Medium"/>
    <s v="No"/>
    <n v="-1.7600000000000001E-2"/>
  </r>
  <r>
    <n v="453"/>
    <x v="19"/>
    <n v="1"/>
    <n v="21"/>
    <b v="0"/>
    <n v="4"/>
    <n v="2"/>
    <n v="0.24"/>
    <x v="10"/>
    <n v="0.6"/>
    <n v="0.25369999999999998"/>
    <n v="3"/>
    <n v="54"/>
    <n v="57"/>
    <s v="Spring"/>
    <s v="Thursday"/>
    <s v="Mist/Cloudy"/>
    <x v="0"/>
    <s v="Cold"/>
    <s v="Medium"/>
    <s v="Moderate"/>
    <s v="Working Day"/>
    <s v="Mostly Registered"/>
    <n v="5.2631578947368416"/>
    <n v="94.73684210526315"/>
    <s v="No"/>
    <s v="Low"/>
    <s v="No"/>
    <n v="-1.2699999999999991E-2"/>
  </r>
  <r>
    <n v="454"/>
    <x v="19"/>
    <n v="1"/>
    <n v="22"/>
    <b v="0"/>
    <n v="4"/>
    <n v="2"/>
    <n v="0.24"/>
    <x v="11"/>
    <n v="0.65"/>
    <n v="0.28360000000000002"/>
    <n v="0"/>
    <n v="56"/>
    <n v="56"/>
    <s v="Spring"/>
    <s v="Thursday"/>
    <s v="Mist/Cloudy"/>
    <x v="0"/>
    <s v="Cold"/>
    <s v="Medium"/>
    <s v="Moderate"/>
    <s v="Working Day"/>
    <s v="Mostly Registered"/>
    <n v="0"/>
    <n v="100"/>
    <s v="No"/>
    <s v="Low"/>
    <s v="No"/>
    <n v="-2.789999999999998E-2"/>
  </r>
  <r>
    <n v="455"/>
    <x v="19"/>
    <n v="1"/>
    <n v="23"/>
    <b v="0"/>
    <n v="4"/>
    <n v="2"/>
    <n v="0.24"/>
    <x v="11"/>
    <n v="0.65"/>
    <n v="0.32840000000000003"/>
    <n v="3"/>
    <n v="28"/>
    <n v="31"/>
    <s v="Spring"/>
    <s v="Thursday"/>
    <s v="Mist/Cloudy"/>
    <x v="0"/>
    <s v="Cold"/>
    <s v="Medium"/>
    <s v="Windy"/>
    <s v="Working Day"/>
    <s v="Mostly Registered"/>
    <n v="9.67741935483871"/>
    <n v="90.322580645161281"/>
    <s v="No"/>
    <s v="Low"/>
    <s v="No"/>
    <n v="-2.789999999999998E-2"/>
  </r>
  <r>
    <n v="456"/>
    <x v="20"/>
    <n v="1"/>
    <n v="0"/>
    <b v="0"/>
    <n v="5"/>
    <n v="2"/>
    <n v="0.24"/>
    <x v="10"/>
    <n v="0.7"/>
    <n v="0.25369999999999998"/>
    <n v="1"/>
    <n v="20"/>
    <n v="21"/>
    <s v="Spring"/>
    <s v="Friday"/>
    <s v="Mist/Cloudy"/>
    <x v="0"/>
    <s v="Cold"/>
    <s v="High"/>
    <s v="Moderate"/>
    <s v="Working Day"/>
    <s v="Mostly Registered"/>
    <n v="4.7619047619047619"/>
    <n v="95.238095238095227"/>
    <s v="No"/>
    <s v="Low"/>
    <s v="No"/>
    <n v="-1.2699999999999991E-2"/>
  </r>
  <r>
    <n v="457"/>
    <x v="20"/>
    <n v="1"/>
    <n v="1"/>
    <b v="0"/>
    <n v="5"/>
    <n v="2"/>
    <n v="0.24"/>
    <x v="10"/>
    <n v="0.7"/>
    <n v="0.25369999999999998"/>
    <n v="0"/>
    <n v="6"/>
    <n v="6"/>
    <s v="Spring"/>
    <s v="Friday"/>
    <s v="Mist/Cloudy"/>
    <x v="0"/>
    <s v="Cold"/>
    <s v="High"/>
    <s v="Moderate"/>
    <s v="Working Day"/>
    <s v="Mostly Registered"/>
    <n v="0"/>
    <n v="100"/>
    <s v="No"/>
    <s v="Low"/>
    <s v="No"/>
    <n v="-1.2699999999999991E-2"/>
  </r>
  <r>
    <n v="458"/>
    <x v="20"/>
    <n v="1"/>
    <n v="2"/>
    <b v="0"/>
    <n v="5"/>
    <n v="3"/>
    <n v="0.24"/>
    <x v="18"/>
    <n v="0.75"/>
    <n v="0.16420000000000001"/>
    <n v="0"/>
    <n v="2"/>
    <n v="2"/>
    <s v="Spring"/>
    <s v="Friday"/>
    <s v="Light Rain/Snow"/>
    <x v="0"/>
    <s v="Cold"/>
    <s v="High"/>
    <s v="Moderate"/>
    <s v="Working Day"/>
    <s v="Mostly Registered"/>
    <n v="0"/>
    <n v="100"/>
    <s v="No"/>
    <s v="Low"/>
    <s v="No"/>
    <n v="2.4000000000000128E-3"/>
  </r>
  <r>
    <n v="459"/>
    <x v="20"/>
    <n v="1"/>
    <n v="3"/>
    <b v="0"/>
    <n v="5"/>
    <n v="3"/>
    <n v="0.22"/>
    <x v="11"/>
    <n v="0.8"/>
    <n v="0.29849999999999999"/>
    <n v="0"/>
    <n v="1"/>
    <n v="1"/>
    <s v="Spring"/>
    <s v="Friday"/>
    <s v="Light Rain/Snow"/>
    <x v="0"/>
    <s v="Cold"/>
    <s v="High"/>
    <s v="Moderate"/>
    <s v="Working Day"/>
    <s v="Mostly Registered"/>
    <n v="0"/>
    <n v="100"/>
    <s v="No"/>
    <s v="Low"/>
    <s v="No"/>
    <n v="-7.8999999999999904E-3"/>
  </r>
  <r>
    <n v="460"/>
    <x v="20"/>
    <n v="1"/>
    <n v="4"/>
    <b v="0"/>
    <n v="5"/>
    <n v="2"/>
    <n v="0.22"/>
    <x v="2"/>
    <n v="0.87"/>
    <n v="8.9599999999999999E-2"/>
    <n v="0"/>
    <n v="1"/>
    <n v="1"/>
    <s v="Spring"/>
    <s v="Friday"/>
    <s v="Mist/Cloudy"/>
    <x v="0"/>
    <s v="Cold"/>
    <s v="High"/>
    <s v="Calm"/>
    <s v="Working Day"/>
    <s v="Mostly Registered"/>
    <n v="0"/>
    <n v="100"/>
    <s v="No"/>
    <s v="Low"/>
    <s v="No"/>
    <n v="3.7599999999999988E-2"/>
  </r>
  <r>
    <n v="461"/>
    <x v="20"/>
    <n v="1"/>
    <n v="5"/>
    <b v="0"/>
    <n v="5"/>
    <n v="1"/>
    <n v="0.24"/>
    <x v="12"/>
    <n v="0.6"/>
    <n v="0.41789999999999999"/>
    <n v="1"/>
    <n v="4"/>
    <n v="5"/>
    <s v="Spring"/>
    <s v="Friday"/>
    <s v="Clear"/>
    <x v="0"/>
    <s v="Cold"/>
    <s v="Medium"/>
    <s v="Windy"/>
    <s v="Working Day"/>
    <s v="Mostly Registered"/>
    <n v="20"/>
    <n v="80"/>
    <s v="No"/>
    <s v="Low"/>
    <s v="No"/>
    <n v="-4.2999999999999983E-2"/>
  </r>
  <r>
    <n v="462"/>
    <x v="20"/>
    <n v="1"/>
    <n v="6"/>
    <b v="0"/>
    <n v="5"/>
    <n v="1"/>
    <n v="0.22"/>
    <x v="11"/>
    <n v="0.55000000000000004"/>
    <n v="0.25369999999999998"/>
    <n v="0"/>
    <n v="27"/>
    <n v="27"/>
    <s v="Spring"/>
    <s v="Friday"/>
    <s v="Clear"/>
    <x v="1"/>
    <s v="Cold"/>
    <s v="Medium"/>
    <s v="Moderate"/>
    <s v="Working Day"/>
    <s v="Mostly Registered"/>
    <n v="0"/>
    <n v="100"/>
    <s v="No"/>
    <s v="Low"/>
    <s v="No"/>
    <n v="-7.8999999999999904E-3"/>
  </r>
  <r>
    <n v="463"/>
    <x v="20"/>
    <n v="1"/>
    <n v="7"/>
    <b v="0"/>
    <n v="5"/>
    <n v="1"/>
    <n v="0.2"/>
    <x v="17"/>
    <n v="0.51"/>
    <n v="0.28360000000000002"/>
    <n v="2"/>
    <n v="66"/>
    <n v="68"/>
    <s v="Spring"/>
    <s v="Friday"/>
    <s v="Clear"/>
    <x v="1"/>
    <s v="Cold"/>
    <s v="Medium"/>
    <s v="Moderate"/>
    <s v="Working Day"/>
    <s v="Mostly Registered"/>
    <n v="2.9411764705882351"/>
    <n v="97.058823529411768"/>
    <s v="Yes"/>
    <s v="Low"/>
    <s v="No"/>
    <n v="-1.8200000000000022E-2"/>
  </r>
  <r>
    <n v="464"/>
    <x v="20"/>
    <n v="1"/>
    <n v="8"/>
    <b v="0"/>
    <n v="5"/>
    <n v="1"/>
    <n v="0.2"/>
    <x v="17"/>
    <n v="0.47"/>
    <n v="0.32840000000000003"/>
    <n v="7"/>
    <n v="210"/>
    <n v="217"/>
    <s v="Spring"/>
    <s v="Friday"/>
    <s v="Clear"/>
    <x v="1"/>
    <s v="Cold"/>
    <s v="Medium"/>
    <s v="Windy"/>
    <s v="Working Day"/>
    <s v="Mostly Registered"/>
    <n v="3.225806451612903"/>
    <n v="96.774193548387103"/>
    <s v="Yes"/>
    <s v="Medium"/>
    <s v="No"/>
    <n v="-1.8200000000000022E-2"/>
  </r>
  <r>
    <n v="465"/>
    <x v="20"/>
    <n v="1"/>
    <n v="9"/>
    <b v="0"/>
    <n v="5"/>
    <n v="1"/>
    <n v="0.2"/>
    <x v="17"/>
    <n v="0.51"/>
    <n v="0.35820000000000002"/>
    <n v="7"/>
    <n v="159"/>
    <n v="166"/>
    <s v="Spring"/>
    <s v="Friday"/>
    <s v="Clear"/>
    <x v="1"/>
    <s v="Cold"/>
    <s v="Medium"/>
    <s v="Windy"/>
    <s v="Working Day"/>
    <s v="Mostly Registered"/>
    <n v="4.2168674698795181"/>
    <n v="95.783132530120483"/>
    <s v="Yes"/>
    <s v="Medium"/>
    <s v="No"/>
    <n v="-1.8200000000000022E-2"/>
  </r>
  <r>
    <n v="466"/>
    <x v="20"/>
    <n v="1"/>
    <n v="10"/>
    <b v="0"/>
    <n v="5"/>
    <n v="1"/>
    <n v="0.2"/>
    <x v="16"/>
    <n v="0.47"/>
    <n v="0.4627"/>
    <n v="6"/>
    <n v="57"/>
    <n v="63"/>
    <s v="Spring"/>
    <s v="Friday"/>
    <s v="Clear"/>
    <x v="1"/>
    <s v="Cold"/>
    <s v="Medium"/>
    <s v="Windy"/>
    <s v="Working Day"/>
    <s v="Mostly Registered"/>
    <n v="9.5238095238095237"/>
    <n v="90.476190476190482"/>
    <s v="No"/>
    <s v="Low"/>
    <s v="No"/>
    <n v="-3.3300000000000017E-2"/>
  </r>
  <r>
    <n v="467"/>
    <x v="20"/>
    <n v="1"/>
    <n v="11"/>
    <b v="0"/>
    <n v="5"/>
    <n v="1"/>
    <n v="0.22"/>
    <x v="17"/>
    <n v="0.41"/>
    <n v="0.4627"/>
    <n v="6"/>
    <n v="53"/>
    <n v="59"/>
    <s v="Spring"/>
    <s v="Friday"/>
    <s v="Clear"/>
    <x v="1"/>
    <s v="Cold"/>
    <s v="Medium"/>
    <s v="Windy"/>
    <s v="Working Day"/>
    <s v="Mostly Registered"/>
    <n v="10.16949152542373"/>
    <n v="89.830508474576277"/>
    <s v="No"/>
    <s v="Low"/>
    <s v="No"/>
    <n v="-3.8200000000000012E-2"/>
  </r>
  <r>
    <n v="468"/>
    <x v="20"/>
    <n v="1"/>
    <n v="12"/>
    <b v="0"/>
    <n v="5"/>
    <n v="1"/>
    <n v="0.22"/>
    <x v="17"/>
    <n v="0.27"/>
    <n v="0.58209999999999995"/>
    <n v="11"/>
    <n v="67"/>
    <n v="78"/>
    <s v="Spring"/>
    <s v="Friday"/>
    <s v="Clear"/>
    <x v="2"/>
    <s v="Cold"/>
    <s v="Low"/>
    <s v="Windy"/>
    <s v="Working Day"/>
    <s v="Mostly Registered"/>
    <n v="14.1025641025641"/>
    <n v="85.897435897435898"/>
    <s v="No"/>
    <s v="Low"/>
    <s v="No"/>
    <n v="-3.8200000000000012E-2"/>
  </r>
  <r>
    <n v="469"/>
    <x v="20"/>
    <n v="1"/>
    <n v="13"/>
    <b v="0"/>
    <n v="5"/>
    <n v="1"/>
    <n v="0.2"/>
    <x v="19"/>
    <n v="0.21"/>
    <n v="0.58209999999999995"/>
    <n v="8"/>
    <n v="65"/>
    <n v="73"/>
    <s v="Spring"/>
    <s v="Friday"/>
    <s v="Clear"/>
    <x v="2"/>
    <s v="Cold"/>
    <s v="Low"/>
    <s v="Windy"/>
    <s v="Working Day"/>
    <s v="Mostly Registered"/>
    <n v="10.95890410958904"/>
    <n v="89.041095890410958"/>
    <s v="No"/>
    <s v="Low"/>
    <s v="No"/>
    <n v="-4.8500000000000022E-2"/>
  </r>
  <r>
    <n v="470"/>
    <x v="20"/>
    <n v="1"/>
    <n v="14"/>
    <b v="0"/>
    <n v="5"/>
    <n v="1"/>
    <n v="0.2"/>
    <x v="19"/>
    <n v="0.25"/>
    <n v="0.52239999999999998"/>
    <n v="6"/>
    <n v="56"/>
    <n v="62"/>
    <s v="Spring"/>
    <s v="Friday"/>
    <s v="Clear"/>
    <x v="2"/>
    <s v="Cold"/>
    <s v="Low"/>
    <s v="Windy"/>
    <s v="Working Day"/>
    <s v="Mostly Registered"/>
    <n v="9.67741935483871"/>
    <n v="90.322580645161281"/>
    <s v="No"/>
    <s v="Low"/>
    <s v="No"/>
    <n v="-4.8500000000000022E-2"/>
  </r>
  <r>
    <n v="471"/>
    <x v="20"/>
    <n v="1"/>
    <n v="15"/>
    <b v="0"/>
    <n v="5"/>
    <n v="1"/>
    <n v="0.16"/>
    <x v="15"/>
    <n v="0.26"/>
    <n v="0.44779999999999998"/>
    <n v="4"/>
    <n v="61"/>
    <n v="65"/>
    <s v="Spring"/>
    <s v="Friday"/>
    <s v="Clear"/>
    <x v="2"/>
    <s v="Cold"/>
    <s v="Low"/>
    <s v="Windy"/>
    <s v="Working Day"/>
    <s v="Mostly Registered"/>
    <n v="6.1538461538461542"/>
    <n v="93.84615384615384"/>
    <s v="No"/>
    <s v="Low"/>
    <s v="No"/>
    <n v="-3.8800000000000001E-2"/>
  </r>
  <r>
    <n v="472"/>
    <x v="20"/>
    <n v="1"/>
    <n v="16"/>
    <b v="0"/>
    <n v="5"/>
    <n v="1"/>
    <n v="0.16"/>
    <x v="13"/>
    <n v="0.26"/>
    <n v="0.35820000000000002"/>
    <n v="0"/>
    <n v="97"/>
    <n v="97"/>
    <s v="Spring"/>
    <s v="Friday"/>
    <s v="Clear"/>
    <x v="2"/>
    <s v="Cold"/>
    <s v="Low"/>
    <s v="Windy"/>
    <s v="Working Day"/>
    <s v="Mostly Registered"/>
    <n v="0"/>
    <n v="100"/>
    <s v="No"/>
    <s v="Low"/>
    <s v="No"/>
    <n v="-2.360000000000001E-2"/>
  </r>
  <r>
    <n v="473"/>
    <x v="20"/>
    <n v="1"/>
    <n v="17"/>
    <b v="0"/>
    <n v="5"/>
    <n v="1"/>
    <n v="0.14000000000000001"/>
    <x v="15"/>
    <n v="0.28000000000000003"/>
    <n v="0.35820000000000002"/>
    <n v="10"/>
    <n v="151"/>
    <n v="161"/>
    <s v="Spring"/>
    <s v="Friday"/>
    <s v="Clear"/>
    <x v="3"/>
    <s v="Very Cold"/>
    <s v="Low"/>
    <s v="Windy"/>
    <s v="Working Day"/>
    <s v="Mostly Registered"/>
    <n v="6.2111801242236027"/>
    <n v="93.788819875776397"/>
    <s v="Yes"/>
    <s v="Medium"/>
    <s v="No"/>
    <n v="-1.8800000000000011E-2"/>
  </r>
  <r>
    <n v="474"/>
    <x v="20"/>
    <n v="1"/>
    <n v="18"/>
    <b v="0"/>
    <n v="5"/>
    <n v="1"/>
    <n v="0.12"/>
    <x v="15"/>
    <n v="0.3"/>
    <n v="0.25369999999999998"/>
    <n v="1"/>
    <n v="119"/>
    <n v="120"/>
    <s v="Spring"/>
    <s v="Friday"/>
    <s v="Clear"/>
    <x v="3"/>
    <s v="Very Cold"/>
    <s v="Low"/>
    <s v="Moderate"/>
    <s v="Working Day"/>
    <s v="Mostly Registered"/>
    <n v="0.83333333333333337"/>
    <n v="99.166666666666671"/>
    <s v="Yes"/>
    <s v="Medium"/>
    <s v="No"/>
    <n v="1.2000000000000071E-3"/>
  </r>
  <r>
    <n v="475"/>
    <x v="20"/>
    <n v="1"/>
    <n v="19"/>
    <b v="0"/>
    <n v="5"/>
    <n v="1"/>
    <n v="0.12"/>
    <x v="14"/>
    <n v="0.3"/>
    <n v="0.32840000000000003"/>
    <n v="3"/>
    <n v="93"/>
    <n v="96"/>
    <s v="Spring"/>
    <s v="Friday"/>
    <s v="Clear"/>
    <x v="3"/>
    <s v="Very Cold"/>
    <s v="Low"/>
    <s v="Windy"/>
    <s v="Working Day"/>
    <s v="Mostly Registered"/>
    <n v="3.125"/>
    <n v="96.875"/>
    <s v="Yes"/>
    <s v="Low"/>
    <s v="No"/>
    <n v="-1.3899999999999999E-2"/>
  </r>
  <r>
    <n v="476"/>
    <x v="20"/>
    <n v="1"/>
    <n v="20"/>
    <b v="0"/>
    <n v="5"/>
    <n v="1"/>
    <n v="0.1"/>
    <x v="22"/>
    <n v="0.33"/>
    <n v="0.41789999999999999"/>
    <n v="1"/>
    <n v="52"/>
    <n v="53"/>
    <s v="Spring"/>
    <s v="Friday"/>
    <s v="Clear"/>
    <x v="3"/>
    <s v="Very Cold"/>
    <s v="Low"/>
    <s v="Windy"/>
    <s v="Working Day"/>
    <s v="Mostly Registered"/>
    <n v="1.8867924528301889"/>
    <n v="98.113207547169807"/>
    <s v="No"/>
    <s v="Low"/>
    <s v="No"/>
    <n v="-2.4199999999999999E-2"/>
  </r>
  <r>
    <n v="477"/>
    <x v="20"/>
    <n v="1"/>
    <n v="21"/>
    <b v="0"/>
    <n v="5"/>
    <n v="1"/>
    <n v="0.08"/>
    <x v="22"/>
    <n v="0.38"/>
    <n v="0.28360000000000002"/>
    <n v="0"/>
    <n v="41"/>
    <n v="41"/>
    <s v="Spring"/>
    <s v="Friday"/>
    <s v="Clear"/>
    <x v="0"/>
    <s v="Very Cold"/>
    <s v="Low"/>
    <s v="Moderate"/>
    <s v="Working Day"/>
    <s v="Mostly Registered"/>
    <n v="0"/>
    <n v="100"/>
    <s v="No"/>
    <s v="Low"/>
    <s v="No"/>
    <n v="-4.1999999999999954E-3"/>
  </r>
  <r>
    <n v="478"/>
    <x v="20"/>
    <n v="1"/>
    <n v="22"/>
    <b v="0"/>
    <n v="5"/>
    <n v="1"/>
    <n v="0.06"/>
    <x v="25"/>
    <n v="0.41"/>
    <n v="0.3881"/>
    <n v="1"/>
    <n v="33"/>
    <n v="34"/>
    <s v="Spring"/>
    <s v="Friday"/>
    <s v="Clear"/>
    <x v="0"/>
    <s v="Very Cold"/>
    <s v="Medium"/>
    <s v="Windy"/>
    <s v="Working Day"/>
    <s v="Mostly Registered"/>
    <n v="2.9411764705882351"/>
    <n v="97.058823529411768"/>
    <s v="No"/>
    <s v="Low"/>
    <s v="No"/>
    <n v="-2.9700000000000001E-2"/>
  </r>
  <r>
    <n v="479"/>
    <x v="20"/>
    <n v="1"/>
    <n v="23"/>
    <b v="0"/>
    <n v="5"/>
    <n v="1"/>
    <n v="0.06"/>
    <x v="26"/>
    <n v="0.38"/>
    <n v="0.32840000000000003"/>
    <n v="0"/>
    <n v="27"/>
    <n v="27"/>
    <s v="Spring"/>
    <s v="Friday"/>
    <s v="Clear"/>
    <x v="0"/>
    <s v="Very Cold"/>
    <s v="Low"/>
    <s v="Windy"/>
    <s v="Working Day"/>
    <s v="Mostly Registered"/>
    <n v="0"/>
    <n v="100"/>
    <s v="No"/>
    <s v="Low"/>
    <s v="No"/>
    <n v="-1.4500000000000001E-2"/>
  </r>
  <r>
    <n v="480"/>
    <x v="21"/>
    <n v="1"/>
    <n v="0"/>
    <b v="0"/>
    <n v="6"/>
    <n v="1"/>
    <n v="0.04"/>
    <x v="25"/>
    <n v="0.45"/>
    <n v="0.25369999999999998"/>
    <n v="0"/>
    <n v="13"/>
    <n v="13"/>
    <s v="Spring"/>
    <s v="Saturday"/>
    <s v="Clear"/>
    <x v="0"/>
    <s v="Very Cold"/>
    <s v="Medium"/>
    <s v="Moderate"/>
    <s v="Working Day"/>
    <s v="Mostly Registered"/>
    <n v="0"/>
    <n v="100"/>
    <s v="No"/>
    <s v="Low"/>
    <s v="Yes"/>
    <n v="-9.7000000000000003E-3"/>
  </r>
  <r>
    <n v="481"/>
    <x v="21"/>
    <n v="1"/>
    <n v="1"/>
    <b v="0"/>
    <n v="6"/>
    <n v="2"/>
    <n v="0.04"/>
    <x v="27"/>
    <n v="0.41"/>
    <n v="0.3881"/>
    <n v="3"/>
    <n v="9"/>
    <n v="12"/>
    <s v="Spring"/>
    <s v="Saturday"/>
    <s v="Mist/Cloudy"/>
    <x v="0"/>
    <s v="Very Cold"/>
    <s v="Medium"/>
    <s v="Windy"/>
    <s v="Working Day"/>
    <s v="Mostly Registered"/>
    <n v="25"/>
    <n v="75"/>
    <s v="No"/>
    <s v="Low"/>
    <s v="Yes"/>
    <n v="-0.04"/>
  </r>
  <r>
    <n v="482"/>
    <x v="21"/>
    <n v="1"/>
    <n v="2"/>
    <b v="0"/>
    <n v="6"/>
    <n v="2"/>
    <n v="0.04"/>
    <x v="25"/>
    <n v="0.41"/>
    <n v="0.25369999999999998"/>
    <n v="0"/>
    <n v="11"/>
    <n v="11"/>
    <s v="Spring"/>
    <s v="Saturday"/>
    <s v="Mist/Cloudy"/>
    <x v="0"/>
    <s v="Very Cold"/>
    <s v="Medium"/>
    <s v="Moderate"/>
    <s v="Working Day"/>
    <s v="Mostly Registered"/>
    <n v="0"/>
    <n v="100"/>
    <s v="No"/>
    <s v="Low"/>
    <s v="Yes"/>
    <n v="-9.7000000000000003E-3"/>
  </r>
  <r>
    <n v="483"/>
    <x v="21"/>
    <n v="1"/>
    <n v="3"/>
    <b v="0"/>
    <n v="6"/>
    <n v="2"/>
    <n v="0.04"/>
    <x v="25"/>
    <n v="0.41"/>
    <n v="0.28360000000000002"/>
    <n v="1"/>
    <n v="6"/>
    <n v="7"/>
    <s v="Spring"/>
    <s v="Saturday"/>
    <s v="Mist/Cloudy"/>
    <x v="0"/>
    <s v="Very Cold"/>
    <s v="Medium"/>
    <s v="Moderate"/>
    <s v="Working Day"/>
    <s v="Mostly Registered"/>
    <n v="14.285714285714279"/>
    <n v="85.714285714285708"/>
    <s v="No"/>
    <s v="Low"/>
    <s v="Yes"/>
    <n v="-9.7000000000000003E-3"/>
  </r>
  <r>
    <n v="484"/>
    <x v="21"/>
    <n v="1"/>
    <n v="4"/>
    <b v="0"/>
    <n v="6"/>
    <n v="2"/>
    <n v="0.02"/>
    <x v="28"/>
    <n v="0.48"/>
    <n v="0.29849999999999999"/>
    <n v="0"/>
    <n v="3"/>
    <n v="3"/>
    <s v="Spring"/>
    <s v="Saturday"/>
    <s v="Mist/Cloudy"/>
    <x v="0"/>
    <s v="Very Cold"/>
    <s v="Medium"/>
    <s v="Moderate"/>
    <s v="Working Day"/>
    <s v="Mostly Registered"/>
    <n v="0"/>
    <n v="100"/>
    <s v="No"/>
    <s v="Low"/>
    <s v="Yes"/>
    <n v="-4.7999999999999996E-3"/>
  </r>
  <r>
    <n v="485"/>
    <x v="21"/>
    <n v="1"/>
    <n v="6"/>
    <b v="0"/>
    <n v="6"/>
    <n v="2"/>
    <n v="0.02"/>
    <x v="25"/>
    <n v="0.44"/>
    <n v="0.22389999999999999"/>
    <n v="0"/>
    <n v="2"/>
    <n v="2"/>
    <s v="Spring"/>
    <s v="Saturday"/>
    <s v="Mist/Cloudy"/>
    <x v="1"/>
    <s v="Very Cold"/>
    <s v="Medium"/>
    <s v="Moderate"/>
    <s v="Working Day"/>
    <s v="Mostly Registered"/>
    <n v="0"/>
    <n v="100"/>
    <s v="No"/>
    <s v="Low"/>
    <s v="Yes"/>
    <n v="1.03E-2"/>
  </r>
  <r>
    <n v="486"/>
    <x v="21"/>
    <n v="1"/>
    <n v="7"/>
    <b v="0"/>
    <n v="6"/>
    <n v="1"/>
    <n v="0.02"/>
    <x v="28"/>
    <n v="0.44"/>
    <n v="0.28360000000000002"/>
    <n v="0"/>
    <n v="8"/>
    <n v="8"/>
    <s v="Spring"/>
    <s v="Saturday"/>
    <s v="Clear"/>
    <x v="1"/>
    <s v="Very Cold"/>
    <s v="Medium"/>
    <s v="Moderate"/>
    <s v="Working Day"/>
    <s v="Mostly Registered"/>
    <n v="0"/>
    <n v="100"/>
    <s v="Yes"/>
    <s v="Low"/>
    <s v="Yes"/>
    <n v="-4.7999999999999996E-3"/>
  </r>
  <r>
    <n v="487"/>
    <x v="21"/>
    <n v="1"/>
    <n v="8"/>
    <b v="0"/>
    <n v="6"/>
    <n v="1"/>
    <n v="0.02"/>
    <x v="27"/>
    <n v="0.44"/>
    <n v="0.32840000000000003"/>
    <n v="1"/>
    <n v="26"/>
    <n v="27"/>
    <s v="Spring"/>
    <s v="Saturday"/>
    <s v="Clear"/>
    <x v="1"/>
    <s v="Very Cold"/>
    <s v="Medium"/>
    <s v="Windy"/>
    <s v="Working Day"/>
    <s v="Mostly Registered"/>
    <n v="3.7037037037037028"/>
    <n v="96.296296296296291"/>
    <s v="Yes"/>
    <s v="Low"/>
    <s v="Yes"/>
    <n v="-0.02"/>
  </r>
  <r>
    <n v="488"/>
    <x v="21"/>
    <n v="1"/>
    <n v="9"/>
    <b v="0"/>
    <n v="6"/>
    <n v="1"/>
    <n v="0.04"/>
    <x v="25"/>
    <n v="0.41"/>
    <n v="0.25369999999999998"/>
    <n v="3"/>
    <n v="37"/>
    <n v="40"/>
    <s v="Spring"/>
    <s v="Saturday"/>
    <s v="Clear"/>
    <x v="1"/>
    <s v="Very Cold"/>
    <s v="Medium"/>
    <s v="Moderate"/>
    <s v="Working Day"/>
    <s v="Mostly Registered"/>
    <n v="7.5"/>
    <n v="92.5"/>
    <s v="Yes"/>
    <s v="Low"/>
    <s v="Yes"/>
    <n v="-9.7000000000000003E-3"/>
  </r>
  <r>
    <n v="489"/>
    <x v="21"/>
    <n v="1"/>
    <n v="10"/>
    <b v="0"/>
    <n v="6"/>
    <n v="2"/>
    <n v="0.04"/>
    <x v="21"/>
    <n v="0.41"/>
    <n v="0.16420000000000001"/>
    <n v="3"/>
    <n v="50"/>
    <n v="53"/>
    <s v="Spring"/>
    <s v="Saturday"/>
    <s v="Mist/Cloudy"/>
    <x v="1"/>
    <s v="Very Cold"/>
    <s v="Medium"/>
    <s v="Moderate"/>
    <s v="Working Day"/>
    <s v="Mostly Registered"/>
    <n v="5.6603773584905666"/>
    <n v="94.339622641509436"/>
    <s v="No"/>
    <s v="Low"/>
    <s v="Yes"/>
    <n v="2.06E-2"/>
  </r>
  <r>
    <n v="490"/>
    <x v="21"/>
    <n v="1"/>
    <n v="11"/>
    <b v="0"/>
    <n v="6"/>
    <n v="2"/>
    <n v="0.06"/>
    <x v="22"/>
    <n v="0.38"/>
    <n v="0.1343"/>
    <n v="4"/>
    <n v="59"/>
    <n v="63"/>
    <s v="Spring"/>
    <s v="Saturday"/>
    <s v="Mist/Cloudy"/>
    <x v="1"/>
    <s v="Very Cold"/>
    <s v="Low"/>
    <s v="Calm"/>
    <s v="Working Day"/>
    <s v="Mostly Registered"/>
    <n v="6.3492063492063489"/>
    <n v="93.650793650793645"/>
    <s v="No"/>
    <s v="Low"/>
    <s v="Yes"/>
    <n v="1.5800000000000008E-2"/>
  </r>
  <r>
    <n v="491"/>
    <x v="21"/>
    <n v="1"/>
    <n v="12"/>
    <b v="0"/>
    <n v="6"/>
    <n v="2"/>
    <n v="0.06"/>
    <x v="14"/>
    <n v="0.38"/>
    <n v="0.1045"/>
    <n v="10"/>
    <n v="60"/>
    <n v="70"/>
    <s v="Spring"/>
    <s v="Saturday"/>
    <s v="Mist/Cloudy"/>
    <x v="2"/>
    <s v="Very Cold"/>
    <s v="Low"/>
    <s v="Calm"/>
    <s v="Working Day"/>
    <s v="Mostly Registered"/>
    <n v="14.285714285714279"/>
    <n v="85.714285714285708"/>
    <s v="No"/>
    <s v="Low"/>
    <s v="Yes"/>
    <n v="4.6100000000000002E-2"/>
  </r>
  <r>
    <n v="492"/>
    <x v="21"/>
    <n v="1"/>
    <n v="13"/>
    <b v="0"/>
    <n v="6"/>
    <n v="1"/>
    <n v="0.08"/>
    <x v="16"/>
    <n v="0.35"/>
    <n v="0"/>
    <n v="12"/>
    <n v="72"/>
    <n v="84"/>
    <s v="Spring"/>
    <s v="Saturday"/>
    <s v="Clear"/>
    <x v="2"/>
    <s v="Very Cold"/>
    <s v="Low"/>
    <s v="Calm"/>
    <s v="Working Day"/>
    <s v="Mostly Registered"/>
    <n v="14.285714285714279"/>
    <n v="85.714285714285708"/>
    <s v="No"/>
    <s v="Low"/>
    <s v="Yes"/>
    <n v="8.6699999999999985E-2"/>
  </r>
  <r>
    <n v="493"/>
    <x v="21"/>
    <n v="1"/>
    <n v="14"/>
    <b v="0"/>
    <n v="6"/>
    <n v="1"/>
    <n v="0.1"/>
    <x v="13"/>
    <n v="0.33"/>
    <n v="0.1045"/>
    <n v="11"/>
    <n v="64"/>
    <n v="75"/>
    <s v="Spring"/>
    <s v="Saturday"/>
    <s v="Clear"/>
    <x v="2"/>
    <s v="Very Cold"/>
    <s v="Low"/>
    <s v="Calm"/>
    <s v="Working Day"/>
    <s v="Mostly Registered"/>
    <n v="14.66666666666667"/>
    <n v="85.333333333333343"/>
    <s v="No"/>
    <s v="Low"/>
    <s v="Yes"/>
    <n v="3.6399999999999988E-2"/>
  </r>
  <r>
    <n v="494"/>
    <x v="21"/>
    <n v="1"/>
    <n v="15"/>
    <b v="0"/>
    <n v="6"/>
    <n v="1"/>
    <n v="0.12"/>
    <x v="19"/>
    <n v="0.28000000000000003"/>
    <n v="0"/>
    <n v="10"/>
    <n v="93"/>
    <n v="103"/>
    <s v="Spring"/>
    <s v="Saturday"/>
    <s v="Clear"/>
    <x v="2"/>
    <s v="Very Cold"/>
    <s v="Low"/>
    <s v="Calm"/>
    <s v="Working Day"/>
    <s v="Mostly Registered"/>
    <n v="9.7087378640776691"/>
    <n v="90.291262135922338"/>
    <s v="No"/>
    <s v="Medium"/>
    <s v="Yes"/>
    <n v="3.15E-2"/>
  </r>
  <r>
    <n v="495"/>
    <x v="21"/>
    <n v="1"/>
    <n v="16"/>
    <b v="0"/>
    <n v="6"/>
    <n v="1"/>
    <n v="0.12"/>
    <x v="13"/>
    <n v="0.28000000000000003"/>
    <n v="0.19400000000000001"/>
    <n v="11"/>
    <n v="72"/>
    <n v="83"/>
    <s v="Spring"/>
    <s v="Saturday"/>
    <s v="Clear"/>
    <x v="2"/>
    <s v="Very Cold"/>
    <s v="Low"/>
    <s v="Moderate"/>
    <s v="Working Day"/>
    <s v="Mostly Registered"/>
    <n v="13.253012048192771"/>
    <n v="86.746987951807228"/>
    <s v="No"/>
    <s v="Low"/>
    <s v="Yes"/>
    <n v="1.6400000000000001E-2"/>
  </r>
  <r>
    <n v="496"/>
    <x v="21"/>
    <n v="1"/>
    <n v="17"/>
    <b v="0"/>
    <n v="6"/>
    <n v="1"/>
    <n v="0.12"/>
    <x v="12"/>
    <n v="0.28000000000000003"/>
    <n v="0"/>
    <n v="8"/>
    <n v="59"/>
    <n v="67"/>
    <s v="Spring"/>
    <s v="Saturday"/>
    <s v="Clear"/>
    <x v="3"/>
    <s v="Very Cold"/>
    <s v="Low"/>
    <s v="Calm"/>
    <s v="Working Day"/>
    <s v="Mostly Registered"/>
    <n v="11.940298507462691"/>
    <n v="88.059701492537314"/>
    <s v="Yes"/>
    <s v="Low"/>
    <s v="Yes"/>
    <n v="7.7000000000000013E-2"/>
  </r>
  <r>
    <n v="497"/>
    <x v="21"/>
    <n v="1"/>
    <n v="18"/>
    <b v="0"/>
    <n v="6"/>
    <n v="1"/>
    <n v="0.08"/>
    <x v="23"/>
    <n v="0.35"/>
    <n v="0.19400000000000001"/>
    <n v="0"/>
    <n v="54"/>
    <n v="54"/>
    <s v="Spring"/>
    <s v="Saturday"/>
    <s v="Clear"/>
    <x v="3"/>
    <s v="Very Cold"/>
    <s v="Low"/>
    <s v="Moderate"/>
    <s v="Working Day"/>
    <s v="Mostly Registered"/>
    <n v="0"/>
    <n v="100"/>
    <s v="Yes"/>
    <s v="Low"/>
    <s v="Yes"/>
    <n v="1.089999999999999E-2"/>
  </r>
  <r>
    <n v="498"/>
    <x v="21"/>
    <n v="1"/>
    <n v="19"/>
    <b v="0"/>
    <n v="6"/>
    <n v="1"/>
    <n v="0.08"/>
    <x v="14"/>
    <n v="0.35"/>
    <n v="0.1343"/>
    <n v="6"/>
    <n v="53"/>
    <n v="59"/>
    <s v="Spring"/>
    <s v="Saturday"/>
    <s v="Clear"/>
    <x v="3"/>
    <s v="Very Cold"/>
    <s v="Low"/>
    <s v="Calm"/>
    <s v="Working Day"/>
    <s v="Mostly Registered"/>
    <n v="10.16949152542373"/>
    <n v="89.830508474576277"/>
    <s v="Yes"/>
    <s v="Low"/>
    <s v="Yes"/>
    <n v="2.6100000000000002E-2"/>
  </r>
  <r>
    <n v="499"/>
    <x v="21"/>
    <n v="1"/>
    <n v="20"/>
    <b v="0"/>
    <n v="6"/>
    <n v="1"/>
    <n v="0.06"/>
    <x v="22"/>
    <n v="0.45"/>
    <n v="0.16420000000000001"/>
    <n v="1"/>
    <n v="44"/>
    <n v="45"/>
    <s v="Spring"/>
    <s v="Saturday"/>
    <s v="Clear"/>
    <x v="3"/>
    <s v="Very Cold"/>
    <s v="Medium"/>
    <s v="Moderate"/>
    <s v="Working Day"/>
    <s v="Mostly Registered"/>
    <n v="2.2222222222222219"/>
    <n v="97.777777777777771"/>
    <s v="No"/>
    <s v="Low"/>
    <s v="Yes"/>
    <n v="1.5800000000000008E-2"/>
  </r>
  <r>
    <n v="500"/>
    <x v="21"/>
    <n v="1"/>
    <n v="21"/>
    <b v="0"/>
    <n v="6"/>
    <n v="1"/>
    <n v="0.06"/>
    <x v="14"/>
    <n v="0.41"/>
    <n v="8.9599999999999999E-2"/>
    <n v="0"/>
    <n v="39"/>
    <n v="39"/>
    <s v="Spring"/>
    <s v="Saturday"/>
    <s v="Clear"/>
    <x v="0"/>
    <s v="Very Cold"/>
    <s v="Medium"/>
    <s v="Calm"/>
    <s v="Working Day"/>
    <s v="Mostly Registered"/>
    <n v="0"/>
    <n v="100"/>
    <s v="No"/>
    <s v="Low"/>
    <s v="Yes"/>
    <n v="4.6100000000000002E-2"/>
  </r>
  <r>
    <n v="501"/>
    <x v="21"/>
    <n v="1"/>
    <n v="22"/>
    <b v="0"/>
    <n v="6"/>
    <n v="1"/>
    <n v="0.06"/>
    <x v="19"/>
    <n v="0.49"/>
    <n v="0"/>
    <n v="7"/>
    <n v="23"/>
    <n v="30"/>
    <s v="Spring"/>
    <s v="Saturday"/>
    <s v="Clear"/>
    <x v="0"/>
    <s v="Very Cold"/>
    <s v="Medium"/>
    <s v="Calm"/>
    <s v="Working Day"/>
    <s v="Mostly Registered"/>
    <n v="23.333333333333329"/>
    <n v="76.666666666666671"/>
    <s v="No"/>
    <s v="Low"/>
    <s v="Yes"/>
    <n v="9.1499999999999998E-2"/>
  </r>
  <r>
    <n v="502"/>
    <x v="21"/>
    <n v="1"/>
    <n v="23"/>
    <b v="0"/>
    <n v="6"/>
    <n v="1"/>
    <n v="0.04"/>
    <x v="22"/>
    <n v="0.56999999999999995"/>
    <n v="0.1045"/>
    <n v="2"/>
    <n v="31"/>
    <n v="33"/>
    <s v="Spring"/>
    <s v="Saturday"/>
    <s v="Clear"/>
    <x v="0"/>
    <s v="Very Cold"/>
    <s v="Medium"/>
    <s v="Calm"/>
    <s v="Working Day"/>
    <s v="Mostly Registered"/>
    <n v="6.0606060606060614"/>
    <n v="93.939393939393938"/>
    <s v="No"/>
    <s v="Low"/>
    <s v="Yes"/>
    <n v="3.5800000000000012E-2"/>
  </r>
  <r>
    <n v="503"/>
    <x v="22"/>
    <n v="1"/>
    <n v="0"/>
    <b v="0"/>
    <n v="0"/>
    <n v="1"/>
    <n v="0.04"/>
    <x v="22"/>
    <n v="0.56999999999999995"/>
    <n v="0.1045"/>
    <n v="2"/>
    <n v="20"/>
    <n v="22"/>
    <s v="Spring"/>
    <s v="Sunday"/>
    <s v="Clear"/>
    <x v="0"/>
    <s v="Very Cold"/>
    <s v="Medium"/>
    <s v="Calm"/>
    <s v="Working Day"/>
    <s v="Mostly Registered"/>
    <n v="9.0909090909090917"/>
    <n v="90.909090909090907"/>
    <s v="No"/>
    <s v="Low"/>
    <s v="Yes"/>
    <n v="3.5800000000000012E-2"/>
  </r>
  <r>
    <n v="504"/>
    <x v="22"/>
    <n v="1"/>
    <n v="1"/>
    <b v="0"/>
    <n v="0"/>
    <n v="1"/>
    <n v="0.04"/>
    <x v="22"/>
    <n v="0.56999999999999995"/>
    <n v="0.1045"/>
    <n v="1"/>
    <n v="12"/>
    <n v="13"/>
    <s v="Spring"/>
    <s v="Sunday"/>
    <s v="Clear"/>
    <x v="0"/>
    <s v="Very Cold"/>
    <s v="Medium"/>
    <s v="Calm"/>
    <s v="Working Day"/>
    <s v="Mostly Registered"/>
    <n v="7.6923076923076934"/>
    <n v="92.307692307692307"/>
    <s v="No"/>
    <s v="Low"/>
    <s v="Yes"/>
    <n v="3.5800000000000012E-2"/>
  </r>
  <r>
    <n v="505"/>
    <x v="22"/>
    <n v="1"/>
    <n v="2"/>
    <b v="0"/>
    <n v="0"/>
    <n v="1"/>
    <n v="0.02"/>
    <x v="21"/>
    <n v="0.62"/>
    <n v="0.1343"/>
    <n v="3"/>
    <n v="15"/>
    <n v="18"/>
    <s v="Spring"/>
    <s v="Sunday"/>
    <s v="Clear"/>
    <x v="0"/>
    <s v="Very Cold"/>
    <s v="Medium"/>
    <s v="Calm"/>
    <s v="Working Day"/>
    <s v="Mostly Registered"/>
    <n v="16.666666666666661"/>
    <n v="83.333333333333343"/>
    <s v="No"/>
    <s v="Low"/>
    <s v="Yes"/>
    <n v="4.0599999999999997E-2"/>
  </r>
  <r>
    <n v="506"/>
    <x v="22"/>
    <n v="1"/>
    <n v="3"/>
    <b v="0"/>
    <n v="0"/>
    <n v="1"/>
    <n v="0.02"/>
    <x v="21"/>
    <n v="0.62"/>
    <n v="0.1343"/>
    <n v="1"/>
    <n v="4"/>
    <n v="5"/>
    <s v="Spring"/>
    <s v="Sunday"/>
    <s v="Clear"/>
    <x v="0"/>
    <s v="Very Cold"/>
    <s v="Medium"/>
    <s v="Calm"/>
    <s v="Working Day"/>
    <s v="Mostly Registered"/>
    <n v="20"/>
    <n v="80"/>
    <s v="No"/>
    <s v="Low"/>
    <s v="Yes"/>
    <n v="4.0599999999999997E-2"/>
  </r>
  <r>
    <n v="507"/>
    <x v="22"/>
    <n v="1"/>
    <n v="5"/>
    <b v="0"/>
    <n v="0"/>
    <n v="2"/>
    <n v="0.04"/>
    <x v="22"/>
    <n v="0.56999999999999995"/>
    <n v="0.1045"/>
    <n v="0"/>
    <n v="3"/>
    <n v="3"/>
    <s v="Spring"/>
    <s v="Sunday"/>
    <s v="Mist/Cloudy"/>
    <x v="0"/>
    <s v="Very Cold"/>
    <s v="Medium"/>
    <s v="Calm"/>
    <s v="Working Day"/>
    <s v="Mostly Registered"/>
    <n v="0"/>
    <n v="100"/>
    <s v="No"/>
    <s v="Low"/>
    <s v="Yes"/>
    <n v="3.5800000000000012E-2"/>
  </r>
  <r>
    <n v="508"/>
    <x v="22"/>
    <n v="1"/>
    <n v="6"/>
    <b v="0"/>
    <n v="0"/>
    <n v="2"/>
    <n v="0.04"/>
    <x v="22"/>
    <n v="0.56999999999999995"/>
    <n v="0.1045"/>
    <n v="0"/>
    <n v="1"/>
    <n v="1"/>
    <s v="Spring"/>
    <s v="Sunday"/>
    <s v="Mist/Cloudy"/>
    <x v="1"/>
    <s v="Very Cold"/>
    <s v="Medium"/>
    <s v="Calm"/>
    <s v="Working Day"/>
    <s v="Mostly Registered"/>
    <n v="0"/>
    <n v="100"/>
    <s v="No"/>
    <s v="Low"/>
    <s v="Yes"/>
    <n v="3.5800000000000012E-2"/>
  </r>
  <r>
    <n v="509"/>
    <x v="22"/>
    <n v="1"/>
    <n v="7"/>
    <b v="0"/>
    <n v="0"/>
    <n v="1"/>
    <n v="0.08"/>
    <x v="14"/>
    <n v="0.57999999999999996"/>
    <n v="0.16420000000000001"/>
    <n v="1"/>
    <n v="1"/>
    <n v="2"/>
    <s v="Spring"/>
    <s v="Sunday"/>
    <s v="Clear"/>
    <x v="1"/>
    <s v="Very Cold"/>
    <s v="Medium"/>
    <s v="Moderate"/>
    <s v="Working Day"/>
    <s v="Mostly Registered"/>
    <n v="50"/>
    <n v="50"/>
    <s v="Yes"/>
    <s v="Low"/>
    <s v="Yes"/>
    <n v="2.6100000000000002E-2"/>
  </r>
  <r>
    <n v="510"/>
    <x v="22"/>
    <n v="1"/>
    <n v="8"/>
    <b v="0"/>
    <n v="0"/>
    <n v="1"/>
    <n v="0.06"/>
    <x v="22"/>
    <n v="0.62"/>
    <n v="0.16420000000000001"/>
    <n v="2"/>
    <n v="17"/>
    <n v="19"/>
    <s v="Spring"/>
    <s v="Sunday"/>
    <s v="Clear"/>
    <x v="1"/>
    <s v="Very Cold"/>
    <s v="Medium"/>
    <s v="Moderate"/>
    <s v="Working Day"/>
    <s v="Mostly Registered"/>
    <n v="10.52631578947368"/>
    <n v="89.473684210526315"/>
    <s v="Yes"/>
    <s v="Low"/>
    <s v="Yes"/>
    <n v="1.5800000000000008E-2"/>
  </r>
  <r>
    <n v="511"/>
    <x v="22"/>
    <n v="1"/>
    <n v="9"/>
    <b v="0"/>
    <n v="0"/>
    <n v="1"/>
    <n v="0.1"/>
    <x v="22"/>
    <n v="0.54"/>
    <n v="0.35820000000000002"/>
    <n v="3"/>
    <n v="25"/>
    <n v="28"/>
    <s v="Spring"/>
    <s v="Sunday"/>
    <s v="Clear"/>
    <x v="1"/>
    <s v="Very Cold"/>
    <s v="Medium"/>
    <s v="Windy"/>
    <s v="Working Day"/>
    <s v="Mostly Registered"/>
    <n v="10.71428571428571"/>
    <n v="89.285714285714292"/>
    <s v="Yes"/>
    <s v="Low"/>
    <s v="Yes"/>
    <n v="-2.4199999999999999E-2"/>
  </r>
  <r>
    <n v="512"/>
    <x v="22"/>
    <n v="1"/>
    <n v="10"/>
    <b v="0"/>
    <n v="0"/>
    <n v="1"/>
    <n v="0.14000000000000001"/>
    <x v="14"/>
    <n v="0.46"/>
    <n v="0.3881"/>
    <n v="7"/>
    <n v="51"/>
    <n v="58"/>
    <s v="Spring"/>
    <s v="Sunday"/>
    <s v="Clear"/>
    <x v="1"/>
    <s v="Very Cold"/>
    <s v="Medium"/>
    <s v="Windy"/>
    <s v="Working Day"/>
    <s v="Mostly Registered"/>
    <n v="12.068965517241381"/>
    <n v="87.931034482758619"/>
    <s v="No"/>
    <s v="Low"/>
    <s v="Yes"/>
    <n v="-3.3900000000000013E-2"/>
  </r>
  <r>
    <n v="513"/>
    <x v="22"/>
    <n v="1"/>
    <n v="11"/>
    <b v="0"/>
    <n v="0"/>
    <n v="1"/>
    <n v="0.14000000000000001"/>
    <x v="13"/>
    <n v="0.43"/>
    <n v="0.22389999999999999"/>
    <n v="22"/>
    <n v="77"/>
    <n v="99"/>
    <s v="Spring"/>
    <s v="Sunday"/>
    <s v="Clear"/>
    <x v="1"/>
    <s v="Very Cold"/>
    <s v="Medium"/>
    <s v="Moderate"/>
    <s v="Working Day"/>
    <s v="Mostly Registered"/>
    <n v="22.222222222222221"/>
    <n v="77.777777777777786"/>
    <s v="No"/>
    <s v="Low"/>
    <s v="Yes"/>
    <n v="-3.6000000000000199E-3"/>
  </r>
  <r>
    <n v="514"/>
    <x v="22"/>
    <n v="1"/>
    <n v="12"/>
    <b v="0"/>
    <n v="0"/>
    <n v="1"/>
    <n v="0.16"/>
    <x v="15"/>
    <n v="0.37"/>
    <n v="0.4627"/>
    <n v="24"/>
    <n v="92"/>
    <n v="116"/>
    <s v="Spring"/>
    <s v="Sunday"/>
    <s v="Clear"/>
    <x v="2"/>
    <s v="Cold"/>
    <s v="Low"/>
    <s v="Windy"/>
    <s v="Working Day"/>
    <s v="Mostly Registered"/>
    <n v="20.68965517241379"/>
    <n v="79.310344827586206"/>
    <s v="No"/>
    <s v="Medium"/>
    <s v="Yes"/>
    <n v="-3.8800000000000001E-2"/>
  </r>
  <r>
    <n v="515"/>
    <x v="22"/>
    <n v="1"/>
    <n v="13"/>
    <b v="0"/>
    <n v="0"/>
    <n v="1"/>
    <n v="0.14000000000000001"/>
    <x v="14"/>
    <n v="0.33"/>
    <n v="0.3881"/>
    <n v="12"/>
    <n v="75"/>
    <n v="87"/>
    <s v="Spring"/>
    <s v="Sunday"/>
    <s v="Clear"/>
    <x v="2"/>
    <s v="Very Cold"/>
    <s v="Low"/>
    <s v="Windy"/>
    <s v="Working Day"/>
    <s v="Mostly Registered"/>
    <n v="13.793103448275859"/>
    <n v="86.206896551724128"/>
    <s v="No"/>
    <s v="Low"/>
    <s v="Yes"/>
    <n v="-3.3900000000000013E-2"/>
  </r>
  <r>
    <n v="516"/>
    <x v="22"/>
    <n v="1"/>
    <n v="14"/>
    <b v="0"/>
    <n v="0"/>
    <n v="1"/>
    <n v="0.16"/>
    <x v="13"/>
    <n v="0.28000000000000003"/>
    <n v="0.35820000000000002"/>
    <n v="17"/>
    <n v="93"/>
    <n v="110"/>
    <s v="Spring"/>
    <s v="Sunday"/>
    <s v="Clear"/>
    <x v="2"/>
    <s v="Cold"/>
    <s v="Low"/>
    <s v="Windy"/>
    <s v="Working Day"/>
    <s v="Mostly Registered"/>
    <n v="15.45454545454545"/>
    <n v="84.545454545454547"/>
    <s v="No"/>
    <s v="Medium"/>
    <s v="Yes"/>
    <n v="-2.360000000000001E-2"/>
  </r>
  <r>
    <n v="517"/>
    <x v="22"/>
    <n v="1"/>
    <n v="15"/>
    <b v="0"/>
    <n v="0"/>
    <n v="1"/>
    <n v="0.16"/>
    <x v="13"/>
    <n v="0.28000000000000003"/>
    <n v="0.35820000000000002"/>
    <n v="13"/>
    <n v="64"/>
    <n v="77"/>
    <s v="Spring"/>
    <s v="Sunday"/>
    <s v="Clear"/>
    <x v="2"/>
    <s v="Cold"/>
    <s v="Low"/>
    <s v="Windy"/>
    <s v="Working Day"/>
    <s v="Mostly Registered"/>
    <n v="16.88311688311688"/>
    <n v="83.116883116883116"/>
    <s v="No"/>
    <s v="Low"/>
    <s v="Yes"/>
    <n v="-2.360000000000001E-2"/>
  </r>
  <r>
    <n v="518"/>
    <x v="22"/>
    <n v="1"/>
    <n v="16"/>
    <b v="0"/>
    <n v="0"/>
    <n v="1"/>
    <n v="0.16"/>
    <x v="13"/>
    <n v="0.26"/>
    <n v="0.32840000000000003"/>
    <n v="9"/>
    <n v="56"/>
    <n v="65"/>
    <s v="Spring"/>
    <s v="Sunday"/>
    <s v="Clear"/>
    <x v="2"/>
    <s v="Cold"/>
    <s v="Low"/>
    <s v="Windy"/>
    <s v="Working Day"/>
    <s v="Mostly Registered"/>
    <n v="13.84615384615385"/>
    <n v="86.15384615384616"/>
    <s v="No"/>
    <s v="Low"/>
    <s v="Yes"/>
    <n v="-2.360000000000001E-2"/>
  </r>
  <r>
    <n v="519"/>
    <x v="22"/>
    <n v="1"/>
    <n v="17"/>
    <b v="0"/>
    <n v="0"/>
    <n v="1"/>
    <n v="0.14000000000000001"/>
    <x v="14"/>
    <n v="0.26"/>
    <n v="0.3881"/>
    <n v="5"/>
    <n v="50"/>
    <n v="55"/>
    <s v="Spring"/>
    <s v="Sunday"/>
    <s v="Clear"/>
    <x v="3"/>
    <s v="Very Cold"/>
    <s v="Low"/>
    <s v="Windy"/>
    <s v="Working Day"/>
    <s v="Mostly Registered"/>
    <n v="9.0909090909090917"/>
    <n v="90.909090909090907"/>
    <s v="Yes"/>
    <s v="Low"/>
    <s v="Yes"/>
    <n v="-3.3900000000000013E-2"/>
  </r>
  <r>
    <n v="520"/>
    <x v="22"/>
    <n v="1"/>
    <n v="18"/>
    <b v="0"/>
    <n v="0"/>
    <n v="1"/>
    <n v="0.12"/>
    <x v="15"/>
    <n v="0.3"/>
    <n v="0.25369999999999998"/>
    <n v="5"/>
    <n v="44"/>
    <n v="49"/>
    <s v="Spring"/>
    <s v="Sunday"/>
    <s v="Clear"/>
    <x v="3"/>
    <s v="Very Cold"/>
    <s v="Low"/>
    <s v="Moderate"/>
    <s v="Working Day"/>
    <s v="Mostly Registered"/>
    <n v="10.204081632653059"/>
    <n v="89.795918367346943"/>
    <s v="Yes"/>
    <s v="Low"/>
    <s v="Yes"/>
    <n v="1.2000000000000071E-3"/>
  </r>
  <r>
    <n v="521"/>
    <x v="22"/>
    <n v="1"/>
    <n v="19"/>
    <b v="0"/>
    <n v="0"/>
    <n v="1"/>
    <n v="0.12"/>
    <x v="15"/>
    <n v="0.3"/>
    <n v="0.28360000000000002"/>
    <n v="5"/>
    <n v="45"/>
    <n v="50"/>
    <s v="Spring"/>
    <s v="Sunday"/>
    <s v="Clear"/>
    <x v="3"/>
    <s v="Very Cold"/>
    <s v="Low"/>
    <s v="Moderate"/>
    <s v="Working Day"/>
    <s v="Mostly Registered"/>
    <n v="10"/>
    <n v="90"/>
    <s v="Yes"/>
    <s v="Low"/>
    <s v="Yes"/>
    <n v="1.2000000000000071E-3"/>
  </r>
  <r>
    <n v="522"/>
    <x v="22"/>
    <n v="1"/>
    <n v="20"/>
    <b v="0"/>
    <n v="0"/>
    <n v="1"/>
    <n v="0.1"/>
    <x v="14"/>
    <n v="0.36"/>
    <n v="0.25369999999999998"/>
    <n v="4"/>
    <n v="31"/>
    <n v="35"/>
    <s v="Spring"/>
    <s v="Sunday"/>
    <s v="Clear"/>
    <x v="3"/>
    <s v="Very Cold"/>
    <s v="Low"/>
    <s v="Moderate"/>
    <s v="Working Day"/>
    <s v="Mostly Registered"/>
    <n v="11.428571428571431"/>
    <n v="88.571428571428569"/>
    <s v="No"/>
    <s v="Low"/>
    <s v="Yes"/>
    <n v="6.0999999999999943E-3"/>
  </r>
  <r>
    <n v="523"/>
    <x v="22"/>
    <n v="1"/>
    <n v="21"/>
    <b v="0"/>
    <n v="0"/>
    <n v="1"/>
    <n v="0.1"/>
    <x v="14"/>
    <n v="0.36"/>
    <n v="0.19400000000000001"/>
    <n v="5"/>
    <n v="20"/>
    <n v="25"/>
    <s v="Spring"/>
    <s v="Sunday"/>
    <s v="Clear"/>
    <x v="0"/>
    <s v="Very Cold"/>
    <s v="Low"/>
    <s v="Moderate"/>
    <s v="Working Day"/>
    <s v="Mostly Registered"/>
    <n v="20"/>
    <n v="80"/>
    <s v="No"/>
    <s v="Low"/>
    <s v="Yes"/>
    <n v="6.0999999999999943E-3"/>
  </r>
  <r>
    <n v="524"/>
    <x v="22"/>
    <n v="1"/>
    <n v="22"/>
    <b v="0"/>
    <n v="0"/>
    <n v="1"/>
    <n v="0.08"/>
    <x v="23"/>
    <n v="0.38"/>
    <n v="0.19400000000000001"/>
    <n v="5"/>
    <n v="23"/>
    <n v="28"/>
    <s v="Spring"/>
    <s v="Sunday"/>
    <s v="Clear"/>
    <x v="0"/>
    <s v="Very Cold"/>
    <s v="Low"/>
    <s v="Moderate"/>
    <s v="Working Day"/>
    <s v="Mostly Registered"/>
    <n v="17.857142857142861"/>
    <n v="82.142857142857139"/>
    <s v="No"/>
    <s v="Low"/>
    <s v="Yes"/>
    <n v="1.089999999999999E-2"/>
  </r>
  <r>
    <n v="525"/>
    <x v="22"/>
    <n v="1"/>
    <n v="23"/>
    <b v="0"/>
    <n v="0"/>
    <n v="1"/>
    <n v="0.06"/>
    <x v="21"/>
    <n v="0.41"/>
    <n v="0.22389999999999999"/>
    <n v="4"/>
    <n v="17"/>
    <n v="21"/>
    <s v="Spring"/>
    <s v="Sunday"/>
    <s v="Clear"/>
    <x v="0"/>
    <s v="Very Cold"/>
    <s v="Medium"/>
    <s v="Moderate"/>
    <s v="Working Day"/>
    <s v="Mostly Registered"/>
    <n v="19.047619047619051"/>
    <n v="80.952380952380949"/>
    <s v="No"/>
    <s v="Low"/>
    <s v="Yes"/>
    <n v="6.0000000000000331E-4"/>
  </r>
  <r>
    <n v="526"/>
    <x v="23"/>
    <n v="1"/>
    <n v="0"/>
    <b v="0"/>
    <n v="1"/>
    <n v="1"/>
    <n v="0.06"/>
    <x v="21"/>
    <n v="0.41"/>
    <n v="0.19400000000000001"/>
    <n v="0"/>
    <n v="7"/>
    <n v="7"/>
    <s v="Spring"/>
    <s v="Monday"/>
    <s v="Clear"/>
    <x v="0"/>
    <s v="Very Cold"/>
    <s v="Medium"/>
    <s v="Moderate"/>
    <s v="Working Day"/>
    <s v="Mostly Registered"/>
    <n v="0"/>
    <n v="100"/>
    <s v="No"/>
    <s v="Low"/>
    <s v="No"/>
    <n v="6.0000000000000331E-4"/>
  </r>
  <r>
    <n v="527"/>
    <x v="23"/>
    <n v="1"/>
    <n v="1"/>
    <b v="0"/>
    <n v="1"/>
    <n v="1"/>
    <n v="0.04"/>
    <x v="26"/>
    <n v="0.45"/>
    <n v="0.19400000000000001"/>
    <n v="0"/>
    <n v="1"/>
    <n v="1"/>
    <s v="Spring"/>
    <s v="Monday"/>
    <s v="Clear"/>
    <x v="0"/>
    <s v="Very Cold"/>
    <s v="Medium"/>
    <s v="Moderate"/>
    <s v="Working Day"/>
    <s v="Mostly Registered"/>
    <n v="0"/>
    <n v="100"/>
    <s v="No"/>
    <s v="Low"/>
    <s v="No"/>
    <n v="5.4999999999999979E-3"/>
  </r>
  <r>
    <n v="528"/>
    <x v="23"/>
    <n v="1"/>
    <n v="3"/>
    <b v="0"/>
    <n v="1"/>
    <n v="1"/>
    <n v="0.04"/>
    <x v="25"/>
    <n v="0.45"/>
    <n v="0.25369999999999998"/>
    <n v="0"/>
    <n v="1"/>
    <n v="1"/>
    <s v="Spring"/>
    <s v="Monday"/>
    <s v="Clear"/>
    <x v="0"/>
    <s v="Very Cold"/>
    <s v="Medium"/>
    <s v="Moderate"/>
    <s v="Working Day"/>
    <s v="Mostly Registered"/>
    <n v="0"/>
    <n v="100"/>
    <s v="No"/>
    <s v="Low"/>
    <s v="No"/>
    <n v="-9.7000000000000003E-3"/>
  </r>
  <r>
    <n v="529"/>
    <x v="23"/>
    <n v="1"/>
    <n v="4"/>
    <b v="0"/>
    <n v="1"/>
    <n v="1"/>
    <n v="0.02"/>
    <x v="21"/>
    <n v="0.48"/>
    <n v="0.1343"/>
    <n v="0"/>
    <n v="1"/>
    <n v="1"/>
    <s v="Spring"/>
    <s v="Monday"/>
    <s v="Clear"/>
    <x v="0"/>
    <s v="Very Cold"/>
    <s v="Medium"/>
    <s v="Calm"/>
    <s v="Working Day"/>
    <s v="Mostly Registered"/>
    <n v="0"/>
    <n v="100"/>
    <s v="No"/>
    <s v="Low"/>
    <s v="No"/>
    <n v="4.0599999999999997E-2"/>
  </r>
  <r>
    <n v="530"/>
    <x v="23"/>
    <n v="1"/>
    <n v="5"/>
    <b v="0"/>
    <n v="1"/>
    <n v="1"/>
    <n v="0.02"/>
    <x v="21"/>
    <n v="0.48"/>
    <n v="0.1343"/>
    <n v="0"/>
    <n v="5"/>
    <n v="5"/>
    <s v="Spring"/>
    <s v="Monday"/>
    <s v="Clear"/>
    <x v="0"/>
    <s v="Very Cold"/>
    <s v="Medium"/>
    <s v="Calm"/>
    <s v="Working Day"/>
    <s v="Mostly Registered"/>
    <n v="0"/>
    <n v="100"/>
    <s v="No"/>
    <s v="Low"/>
    <s v="No"/>
    <n v="4.0599999999999997E-2"/>
  </r>
  <r>
    <n v="531"/>
    <x v="23"/>
    <n v="1"/>
    <n v="6"/>
    <b v="0"/>
    <n v="1"/>
    <n v="1"/>
    <n v="0.02"/>
    <x v="22"/>
    <n v="0.48"/>
    <n v="8.9599999999999999E-2"/>
    <n v="0"/>
    <n v="15"/>
    <n v="15"/>
    <s v="Spring"/>
    <s v="Monday"/>
    <s v="Clear"/>
    <x v="1"/>
    <s v="Very Cold"/>
    <s v="Medium"/>
    <s v="Calm"/>
    <s v="Working Day"/>
    <s v="Mostly Registered"/>
    <n v="0"/>
    <n v="100"/>
    <s v="No"/>
    <s v="Low"/>
    <s v="No"/>
    <n v="5.5800000000000002E-2"/>
  </r>
  <r>
    <n v="532"/>
    <x v="23"/>
    <n v="1"/>
    <n v="7"/>
    <b v="0"/>
    <n v="1"/>
    <n v="1"/>
    <n v="0.02"/>
    <x v="15"/>
    <n v="0.48"/>
    <n v="0"/>
    <n v="5"/>
    <n v="79"/>
    <n v="84"/>
    <s v="Spring"/>
    <s v="Monday"/>
    <s v="Clear"/>
    <x v="1"/>
    <s v="Very Cold"/>
    <s v="Medium"/>
    <s v="Calm"/>
    <s v="Working Day"/>
    <s v="Mostly Registered"/>
    <n v="5.9523809523809517"/>
    <n v="94.047619047619051"/>
    <s v="Yes"/>
    <s v="Low"/>
    <s v="No"/>
    <n v="0.1012"/>
  </r>
  <r>
    <n v="533"/>
    <x v="23"/>
    <n v="1"/>
    <n v="8"/>
    <b v="0"/>
    <n v="1"/>
    <n v="1"/>
    <n v="0.04"/>
    <x v="13"/>
    <n v="0.49"/>
    <n v="0"/>
    <n v="6"/>
    <n v="171"/>
    <n v="177"/>
    <s v="Spring"/>
    <s v="Monday"/>
    <s v="Clear"/>
    <x v="1"/>
    <s v="Very Cold"/>
    <s v="Medium"/>
    <s v="Calm"/>
    <s v="Working Day"/>
    <s v="Mostly Registered"/>
    <n v="3.3898305084745761"/>
    <n v="96.610169491525426"/>
    <s v="Yes"/>
    <s v="Medium"/>
    <s v="No"/>
    <n v="9.6399999999999986E-2"/>
  </r>
  <r>
    <n v="534"/>
    <x v="23"/>
    <n v="1"/>
    <n v="9"/>
    <b v="0"/>
    <n v="1"/>
    <n v="1"/>
    <n v="0.06"/>
    <x v="19"/>
    <n v="0.41"/>
    <n v="0"/>
    <n v="4"/>
    <n v="98"/>
    <n v="102"/>
    <s v="Spring"/>
    <s v="Monday"/>
    <s v="Clear"/>
    <x v="1"/>
    <s v="Very Cold"/>
    <s v="Medium"/>
    <s v="Calm"/>
    <s v="Working Day"/>
    <s v="Mostly Registered"/>
    <n v="3.9215686274509798"/>
    <n v="96.078431372549019"/>
    <s v="Yes"/>
    <s v="Medium"/>
    <s v="No"/>
    <n v="9.1499999999999998E-2"/>
  </r>
  <r>
    <n v="535"/>
    <x v="23"/>
    <n v="1"/>
    <n v="10"/>
    <b v="0"/>
    <n v="1"/>
    <n v="1"/>
    <n v="0.1"/>
    <x v="13"/>
    <n v="0.42"/>
    <n v="0"/>
    <n v="6"/>
    <n v="34"/>
    <n v="40"/>
    <s v="Spring"/>
    <s v="Monday"/>
    <s v="Clear"/>
    <x v="1"/>
    <s v="Very Cold"/>
    <s v="Medium"/>
    <s v="Calm"/>
    <s v="Working Day"/>
    <s v="Mostly Registered"/>
    <n v="15"/>
    <n v="85"/>
    <s v="No"/>
    <s v="Low"/>
    <s v="No"/>
    <n v="3.6399999999999988E-2"/>
  </r>
  <r>
    <n v="536"/>
    <x v="23"/>
    <n v="1"/>
    <n v="11"/>
    <b v="0"/>
    <n v="1"/>
    <n v="1"/>
    <n v="0.1"/>
    <x v="15"/>
    <n v="0.46"/>
    <n v="0.1343"/>
    <n v="3"/>
    <n v="43"/>
    <n v="46"/>
    <s v="Spring"/>
    <s v="Monday"/>
    <s v="Clear"/>
    <x v="1"/>
    <s v="Very Cold"/>
    <s v="Medium"/>
    <s v="Calm"/>
    <s v="Working Day"/>
    <s v="Mostly Registered"/>
    <n v="6.5217391304347823"/>
    <n v="93.478260869565219"/>
    <s v="No"/>
    <s v="Low"/>
    <s v="No"/>
    <n v="2.12E-2"/>
  </r>
  <r>
    <n v="537"/>
    <x v="23"/>
    <n v="1"/>
    <n v="12"/>
    <b v="0"/>
    <n v="1"/>
    <n v="2"/>
    <n v="0.12"/>
    <x v="13"/>
    <n v="0.42"/>
    <n v="0.19400000000000001"/>
    <n v="11"/>
    <n v="52"/>
    <n v="63"/>
    <s v="Spring"/>
    <s v="Monday"/>
    <s v="Mist/Cloudy"/>
    <x v="2"/>
    <s v="Very Cold"/>
    <s v="Medium"/>
    <s v="Moderate"/>
    <s v="Working Day"/>
    <s v="Mostly Registered"/>
    <n v="17.460317460317459"/>
    <n v="82.539682539682531"/>
    <s v="No"/>
    <s v="Low"/>
    <s v="No"/>
    <n v="1.6400000000000001E-2"/>
  </r>
  <r>
    <n v="538"/>
    <x v="23"/>
    <n v="1"/>
    <n v="13"/>
    <b v="0"/>
    <n v="1"/>
    <n v="2"/>
    <n v="0.14000000000000001"/>
    <x v="13"/>
    <n v="0.43"/>
    <n v="0.22389999999999999"/>
    <n v="6"/>
    <n v="54"/>
    <n v="60"/>
    <s v="Spring"/>
    <s v="Monday"/>
    <s v="Mist/Cloudy"/>
    <x v="2"/>
    <s v="Very Cold"/>
    <s v="Medium"/>
    <s v="Moderate"/>
    <s v="Working Day"/>
    <s v="Mostly Registered"/>
    <n v="10"/>
    <n v="90"/>
    <s v="No"/>
    <s v="Low"/>
    <s v="No"/>
    <n v="-3.6000000000000199E-3"/>
  </r>
  <r>
    <n v="539"/>
    <x v="23"/>
    <n v="1"/>
    <n v="14"/>
    <b v="0"/>
    <n v="1"/>
    <n v="2"/>
    <n v="0.14000000000000001"/>
    <x v="13"/>
    <n v="0.46"/>
    <n v="0.22389999999999999"/>
    <n v="2"/>
    <n v="43"/>
    <n v="45"/>
    <s v="Spring"/>
    <s v="Monday"/>
    <s v="Mist/Cloudy"/>
    <x v="2"/>
    <s v="Very Cold"/>
    <s v="Medium"/>
    <s v="Moderate"/>
    <s v="Working Day"/>
    <s v="Mostly Registered"/>
    <n v="4.4444444444444446"/>
    <n v="95.555555555555557"/>
    <s v="No"/>
    <s v="Low"/>
    <s v="No"/>
    <n v="-3.6000000000000199E-3"/>
  </r>
  <r>
    <n v="540"/>
    <x v="23"/>
    <n v="1"/>
    <n v="15"/>
    <b v="0"/>
    <n v="1"/>
    <n v="1"/>
    <n v="0.16"/>
    <x v="16"/>
    <n v="0.4"/>
    <n v="0.16420000000000001"/>
    <n v="7"/>
    <n v="50"/>
    <n v="57"/>
    <s v="Spring"/>
    <s v="Monday"/>
    <s v="Clear"/>
    <x v="2"/>
    <s v="Cold"/>
    <s v="Medium"/>
    <s v="Moderate"/>
    <s v="Working Day"/>
    <s v="Mostly Registered"/>
    <n v="12.28070175438596"/>
    <n v="87.719298245614027"/>
    <s v="No"/>
    <s v="Low"/>
    <s v="No"/>
    <n v="6.6999999999999837E-3"/>
  </r>
  <r>
    <n v="541"/>
    <x v="23"/>
    <n v="1"/>
    <n v="16"/>
    <b v="0"/>
    <n v="1"/>
    <n v="1"/>
    <n v="0.16"/>
    <x v="19"/>
    <n v="0.47"/>
    <n v="0.25369999999999998"/>
    <n v="4"/>
    <n v="66"/>
    <n v="70"/>
    <s v="Spring"/>
    <s v="Monday"/>
    <s v="Clear"/>
    <x v="2"/>
    <s v="Cold"/>
    <s v="Medium"/>
    <s v="Moderate"/>
    <s v="Working Day"/>
    <s v="Mostly Registered"/>
    <n v="5.7142857142857144"/>
    <n v="94.285714285714278"/>
    <s v="No"/>
    <s v="Low"/>
    <s v="No"/>
    <n v="-8.5000000000000075E-3"/>
  </r>
  <r>
    <n v="542"/>
    <x v="23"/>
    <n v="1"/>
    <n v="17"/>
    <b v="0"/>
    <n v="1"/>
    <n v="1"/>
    <n v="0.14000000000000001"/>
    <x v="15"/>
    <n v="0.5"/>
    <n v="0.25369999999999998"/>
    <n v="6"/>
    <n v="178"/>
    <n v="184"/>
    <s v="Spring"/>
    <s v="Monday"/>
    <s v="Clear"/>
    <x v="3"/>
    <s v="Very Cold"/>
    <s v="Medium"/>
    <s v="Moderate"/>
    <s v="Working Day"/>
    <s v="Mostly Registered"/>
    <n v="3.2608695652173911"/>
    <n v="96.739130434782609"/>
    <s v="Yes"/>
    <s v="Medium"/>
    <s v="No"/>
    <n v="-1.8800000000000011E-2"/>
  </r>
  <r>
    <n v="543"/>
    <x v="23"/>
    <n v="1"/>
    <n v="18"/>
    <b v="0"/>
    <n v="1"/>
    <n v="1"/>
    <n v="0.14000000000000001"/>
    <x v="13"/>
    <n v="0.59"/>
    <n v="0.19400000000000001"/>
    <n v="8"/>
    <n v="145"/>
    <n v="153"/>
    <s v="Spring"/>
    <s v="Monday"/>
    <s v="Clear"/>
    <x v="3"/>
    <s v="Very Cold"/>
    <s v="Medium"/>
    <s v="Moderate"/>
    <s v="Working Day"/>
    <s v="Mostly Registered"/>
    <n v="5.2287581699346406"/>
    <n v="94.77124183006535"/>
    <s v="Yes"/>
    <s v="Medium"/>
    <s v="No"/>
    <n v="-3.6000000000000199E-3"/>
  </r>
  <r>
    <n v="544"/>
    <x v="23"/>
    <n v="1"/>
    <n v="19"/>
    <b v="0"/>
    <n v="1"/>
    <n v="1"/>
    <n v="0.14000000000000001"/>
    <x v="19"/>
    <n v="0.54"/>
    <n v="0.16420000000000001"/>
    <n v="5"/>
    <n v="101"/>
    <n v="106"/>
    <s v="Spring"/>
    <s v="Monday"/>
    <s v="Clear"/>
    <x v="3"/>
    <s v="Very Cold"/>
    <s v="Medium"/>
    <s v="Moderate"/>
    <s v="Working Day"/>
    <s v="Mostly Registered"/>
    <n v="4.716981132075472"/>
    <n v="95.283018867924525"/>
    <s v="Yes"/>
    <s v="Medium"/>
    <s v="No"/>
    <n v="1.1499999999999981E-2"/>
  </r>
  <r>
    <n v="545"/>
    <x v="23"/>
    <n v="1"/>
    <n v="20"/>
    <b v="0"/>
    <n v="1"/>
    <n v="1"/>
    <n v="0.14000000000000001"/>
    <x v="13"/>
    <n v="0.59"/>
    <n v="0.19400000000000001"/>
    <n v="1"/>
    <n v="80"/>
    <n v="81"/>
    <s v="Spring"/>
    <s v="Monday"/>
    <s v="Clear"/>
    <x v="3"/>
    <s v="Very Cold"/>
    <s v="Medium"/>
    <s v="Moderate"/>
    <s v="Working Day"/>
    <s v="Mostly Registered"/>
    <n v="1.2345679012345681"/>
    <n v="98.76543209876543"/>
    <s v="No"/>
    <s v="Low"/>
    <s v="No"/>
    <n v="-3.6000000000000199E-3"/>
  </r>
  <r>
    <n v="546"/>
    <x v="23"/>
    <n v="1"/>
    <n v="21"/>
    <b v="0"/>
    <n v="1"/>
    <n v="1"/>
    <n v="0.14000000000000001"/>
    <x v="19"/>
    <n v="0.63"/>
    <n v="0.16420000000000001"/>
    <n v="6"/>
    <n v="53"/>
    <n v="59"/>
    <s v="Spring"/>
    <s v="Monday"/>
    <s v="Clear"/>
    <x v="0"/>
    <s v="Very Cold"/>
    <s v="Medium"/>
    <s v="Moderate"/>
    <s v="Working Day"/>
    <s v="Mostly Registered"/>
    <n v="10.16949152542373"/>
    <n v="89.830508474576277"/>
    <s v="No"/>
    <s v="Low"/>
    <s v="No"/>
    <n v="1.1499999999999981E-2"/>
  </r>
  <r>
    <n v="547"/>
    <x v="23"/>
    <n v="1"/>
    <n v="22"/>
    <b v="0"/>
    <n v="1"/>
    <n v="2"/>
    <n v="0.14000000000000001"/>
    <x v="13"/>
    <n v="0.63"/>
    <n v="0.22389999999999999"/>
    <n v="3"/>
    <n v="32"/>
    <n v="35"/>
    <s v="Spring"/>
    <s v="Monday"/>
    <s v="Mist/Cloudy"/>
    <x v="0"/>
    <s v="Very Cold"/>
    <s v="Medium"/>
    <s v="Moderate"/>
    <s v="Working Day"/>
    <s v="Mostly Registered"/>
    <n v="8.5714285714285712"/>
    <n v="91.428571428571431"/>
    <s v="No"/>
    <s v="Low"/>
    <s v="No"/>
    <n v="-3.6000000000000199E-3"/>
  </r>
  <r>
    <n v="548"/>
    <x v="23"/>
    <n v="1"/>
    <n v="23"/>
    <b v="0"/>
    <n v="1"/>
    <n v="2"/>
    <n v="0.16"/>
    <x v="19"/>
    <n v="0.64"/>
    <n v="0.25369999999999998"/>
    <n v="3"/>
    <n v="21"/>
    <n v="24"/>
    <s v="Spring"/>
    <s v="Monday"/>
    <s v="Mist/Cloudy"/>
    <x v="0"/>
    <s v="Cold"/>
    <s v="Medium"/>
    <s v="Moderate"/>
    <s v="Working Day"/>
    <s v="Mostly Registered"/>
    <n v="12.5"/>
    <n v="87.5"/>
    <s v="No"/>
    <s v="Low"/>
    <s v="No"/>
    <n v="-8.5000000000000075E-3"/>
  </r>
  <r>
    <n v="549"/>
    <x v="24"/>
    <n v="1"/>
    <n v="0"/>
    <b v="0"/>
    <n v="2"/>
    <n v="2"/>
    <n v="0.16"/>
    <x v="13"/>
    <n v="0.69"/>
    <n v="0.28360000000000002"/>
    <n v="3"/>
    <n v="6"/>
    <n v="9"/>
    <s v="Spring"/>
    <s v="Tuesday"/>
    <s v="Mist/Cloudy"/>
    <x v="0"/>
    <s v="Cold"/>
    <s v="Medium"/>
    <s v="Moderate"/>
    <s v="Working Day"/>
    <s v="Mostly Registered"/>
    <n v="33.333333333333329"/>
    <n v="66.666666666666657"/>
    <s v="No"/>
    <s v="Low"/>
    <s v="No"/>
    <n v="-2.360000000000001E-2"/>
  </r>
  <r>
    <n v="550"/>
    <x v="24"/>
    <n v="1"/>
    <n v="1"/>
    <b v="0"/>
    <n v="2"/>
    <n v="2"/>
    <n v="0.16"/>
    <x v="16"/>
    <n v="0.69"/>
    <n v="0.16420000000000001"/>
    <n v="0"/>
    <n v="5"/>
    <n v="5"/>
    <s v="Spring"/>
    <s v="Tuesday"/>
    <s v="Mist/Cloudy"/>
    <x v="0"/>
    <s v="Cold"/>
    <s v="Medium"/>
    <s v="Moderate"/>
    <s v="Working Day"/>
    <s v="Mostly Registered"/>
    <n v="0"/>
    <n v="100"/>
    <s v="No"/>
    <s v="Low"/>
    <s v="No"/>
    <n v="6.6999999999999837E-3"/>
  </r>
  <r>
    <n v="551"/>
    <x v="24"/>
    <n v="1"/>
    <n v="2"/>
    <b v="0"/>
    <n v="2"/>
    <n v="1"/>
    <n v="0.16"/>
    <x v="19"/>
    <n v="0.69"/>
    <n v="0.22389999999999999"/>
    <n v="0"/>
    <n v="2"/>
    <n v="2"/>
    <s v="Spring"/>
    <s v="Tuesday"/>
    <s v="Clear"/>
    <x v="0"/>
    <s v="Cold"/>
    <s v="Medium"/>
    <s v="Moderate"/>
    <s v="Working Day"/>
    <s v="Mostly Registered"/>
    <n v="0"/>
    <n v="100"/>
    <s v="No"/>
    <s v="Low"/>
    <s v="No"/>
    <n v="-8.5000000000000075E-3"/>
  </r>
  <r>
    <n v="552"/>
    <x v="24"/>
    <n v="1"/>
    <n v="4"/>
    <b v="0"/>
    <n v="2"/>
    <n v="1"/>
    <n v="0.14000000000000001"/>
    <x v="16"/>
    <n v="0.74"/>
    <n v="0.1045"/>
    <n v="0"/>
    <n v="1"/>
    <n v="1"/>
    <s v="Spring"/>
    <s v="Tuesday"/>
    <s v="Clear"/>
    <x v="0"/>
    <s v="Very Cold"/>
    <s v="High"/>
    <s v="Calm"/>
    <s v="Working Day"/>
    <s v="Mostly Registered"/>
    <n v="0"/>
    <n v="100"/>
    <s v="No"/>
    <s v="Low"/>
    <s v="No"/>
    <n v="2.669999999999997E-2"/>
  </r>
  <r>
    <n v="553"/>
    <x v="24"/>
    <n v="1"/>
    <n v="5"/>
    <b v="0"/>
    <n v="2"/>
    <n v="1"/>
    <n v="0.14000000000000001"/>
    <x v="13"/>
    <n v="0.74"/>
    <n v="0.22389999999999999"/>
    <n v="0"/>
    <n v="9"/>
    <n v="9"/>
    <s v="Spring"/>
    <s v="Tuesday"/>
    <s v="Clear"/>
    <x v="0"/>
    <s v="Very Cold"/>
    <s v="High"/>
    <s v="Moderate"/>
    <s v="Working Day"/>
    <s v="Mostly Registered"/>
    <n v="0"/>
    <n v="100"/>
    <s v="No"/>
    <s v="Low"/>
    <s v="No"/>
    <n v="-3.6000000000000199E-3"/>
  </r>
  <r>
    <n v="554"/>
    <x v="24"/>
    <n v="1"/>
    <n v="6"/>
    <b v="0"/>
    <n v="2"/>
    <n v="1"/>
    <n v="0.16"/>
    <x v="17"/>
    <n v="0.74"/>
    <n v="0.1045"/>
    <n v="1"/>
    <n v="35"/>
    <n v="36"/>
    <s v="Spring"/>
    <s v="Tuesday"/>
    <s v="Clear"/>
    <x v="1"/>
    <s v="Cold"/>
    <s v="High"/>
    <s v="Calm"/>
    <s v="Working Day"/>
    <s v="Mostly Registered"/>
    <n v="2.7777777777777781"/>
    <n v="97.222222222222214"/>
    <s v="No"/>
    <s v="Low"/>
    <s v="No"/>
    <n v="2.179999999999999E-2"/>
  </r>
  <r>
    <n v="555"/>
    <x v="24"/>
    <n v="1"/>
    <n v="7"/>
    <b v="0"/>
    <n v="2"/>
    <n v="1"/>
    <n v="0.16"/>
    <x v="19"/>
    <n v="0.74"/>
    <n v="0.22389999999999999"/>
    <n v="5"/>
    <n v="103"/>
    <n v="108"/>
    <s v="Spring"/>
    <s v="Tuesday"/>
    <s v="Clear"/>
    <x v="1"/>
    <s v="Cold"/>
    <s v="High"/>
    <s v="Moderate"/>
    <s v="Working Day"/>
    <s v="Mostly Registered"/>
    <n v="4.6296296296296298"/>
    <n v="95.370370370370367"/>
    <s v="Yes"/>
    <s v="Medium"/>
    <s v="No"/>
    <n v="-8.5000000000000075E-3"/>
  </r>
  <r>
    <n v="556"/>
    <x v="24"/>
    <n v="1"/>
    <n v="8"/>
    <b v="0"/>
    <n v="2"/>
    <n v="2"/>
    <n v="0.16"/>
    <x v="17"/>
    <n v="0.74"/>
    <n v="0.1343"/>
    <n v="5"/>
    <n v="233"/>
    <n v="238"/>
    <s v="Spring"/>
    <s v="Tuesday"/>
    <s v="Mist/Cloudy"/>
    <x v="1"/>
    <s v="Cold"/>
    <s v="High"/>
    <s v="Calm"/>
    <s v="Working Day"/>
    <s v="Mostly Registered"/>
    <n v="2.1008403361344539"/>
    <n v="97.899159663865547"/>
    <s v="Yes"/>
    <s v="Medium"/>
    <s v="No"/>
    <n v="2.179999999999999E-2"/>
  </r>
  <r>
    <n v="557"/>
    <x v="24"/>
    <n v="1"/>
    <n v="9"/>
    <b v="0"/>
    <n v="2"/>
    <n v="2"/>
    <n v="0.2"/>
    <x v="10"/>
    <n v="0.64"/>
    <n v="8.9599999999999999E-2"/>
    <n v="10"/>
    <n v="134"/>
    <n v="144"/>
    <s v="Spring"/>
    <s v="Tuesday"/>
    <s v="Mist/Cloudy"/>
    <x v="1"/>
    <s v="Cold"/>
    <s v="Medium"/>
    <s v="Calm"/>
    <s v="Working Day"/>
    <s v="Mostly Registered"/>
    <n v="6.9444444444444446"/>
    <n v="93.055555555555557"/>
    <s v="Yes"/>
    <s v="Medium"/>
    <s v="No"/>
    <n v="2.7299999999999991E-2"/>
  </r>
  <r>
    <n v="558"/>
    <x v="24"/>
    <n v="1"/>
    <n v="10"/>
    <b v="0"/>
    <n v="2"/>
    <n v="2"/>
    <n v="0.22"/>
    <x v="18"/>
    <n v="0.6"/>
    <n v="0.1045"/>
    <n v="6"/>
    <n v="49"/>
    <n v="55"/>
    <s v="Spring"/>
    <s v="Tuesday"/>
    <s v="Mist/Cloudy"/>
    <x v="1"/>
    <s v="Cold"/>
    <s v="Medium"/>
    <s v="Calm"/>
    <s v="Working Day"/>
    <s v="Mostly Registered"/>
    <n v="10.90909090909091"/>
    <n v="89.090909090909093"/>
    <s v="No"/>
    <s v="Low"/>
    <s v="No"/>
    <n v="2.24E-2"/>
  </r>
  <r>
    <n v="559"/>
    <x v="24"/>
    <n v="1"/>
    <n v="11"/>
    <b v="0"/>
    <n v="2"/>
    <n v="2"/>
    <n v="0.24"/>
    <x v="18"/>
    <n v="0.6"/>
    <n v="0.1343"/>
    <n v="6"/>
    <n v="55"/>
    <n v="61"/>
    <s v="Spring"/>
    <s v="Tuesday"/>
    <s v="Mist/Cloudy"/>
    <x v="1"/>
    <s v="Cold"/>
    <s v="Medium"/>
    <s v="Calm"/>
    <s v="Working Day"/>
    <s v="Mostly Registered"/>
    <n v="9.8360655737704921"/>
    <n v="90.163934426229503"/>
    <s v="No"/>
    <s v="Low"/>
    <s v="No"/>
    <n v="2.4000000000000128E-3"/>
  </r>
  <r>
    <n v="560"/>
    <x v="24"/>
    <n v="1"/>
    <n v="12"/>
    <b v="0"/>
    <n v="2"/>
    <n v="2"/>
    <n v="0.26"/>
    <x v="0"/>
    <n v="0.56000000000000005"/>
    <n v="8.9599999999999999E-2"/>
    <n v="21"/>
    <n v="85"/>
    <n v="106"/>
    <s v="Spring"/>
    <s v="Tuesday"/>
    <s v="Mist/Cloudy"/>
    <x v="2"/>
    <s v="Mild"/>
    <s v="Medium"/>
    <s v="Calm"/>
    <s v="Working Day"/>
    <s v="Mostly Registered"/>
    <n v="19.811320754716981"/>
    <n v="80.188679245283026"/>
    <s v="No"/>
    <s v="Medium"/>
    <s v="No"/>
    <n v="2.789999999999998E-2"/>
  </r>
  <r>
    <n v="561"/>
    <x v="24"/>
    <n v="1"/>
    <n v="13"/>
    <b v="0"/>
    <n v="2"/>
    <n v="2"/>
    <n v="0.26"/>
    <x v="1"/>
    <n v="0.56000000000000005"/>
    <n v="0.1343"/>
    <n v="21"/>
    <n v="72"/>
    <n v="93"/>
    <s v="Spring"/>
    <s v="Tuesday"/>
    <s v="Mist/Cloudy"/>
    <x v="2"/>
    <s v="Mild"/>
    <s v="Medium"/>
    <s v="Calm"/>
    <s v="Working Day"/>
    <s v="Mostly Registered"/>
    <n v="22.58064516129032"/>
    <n v="77.41935483870968"/>
    <s v="No"/>
    <s v="Low"/>
    <s v="No"/>
    <n v="1.2699999999999991E-2"/>
  </r>
  <r>
    <n v="562"/>
    <x v="24"/>
    <n v="1"/>
    <n v="14"/>
    <b v="0"/>
    <n v="2"/>
    <n v="2"/>
    <n v="0.3"/>
    <x v="5"/>
    <n v="0.45"/>
    <n v="0"/>
    <n v="11"/>
    <n v="57"/>
    <n v="68"/>
    <s v="Spring"/>
    <s v="Tuesday"/>
    <s v="Mist/Cloudy"/>
    <x v="2"/>
    <s v="Mild"/>
    <s v="Medium"/>
    <s v="Calm"/>
    <s v="Working Day"/>
    <s v="Mostly Registered"/>
    <n v="16.17647058823529"/>
    <n v="83.82352941176471"/>
    <s v="No"/>
    <s v="Low"/>
    <s v="No"/>
    <n v="3.3300000000000003E-2"/>
  </r>
  <r>
    <n v="563"/>
    <x v="24"/>
    <n v="1"/>
    <n v="15"/>
    <b v="0"/>
    <n v="2"/>
    <n v="2"/>
    <n v="0.32"/>
    <x v="3"/>
    <n v="0.42"/>
    <n v="0"/>
    <n v="21"/>
    <n v="63"/>
    <n v="84"/>
    <s v="Spring"/>
    <s v="Tuesday"/>
    <s v="Mist/Cloudy"/>
    <x v="2"/>
    <s v="Mild"/>
    <s v="Medium"/>
    <s v="Calm"/>
    <s v="Working Day"/>
    <s v="Mostly Registered"/>
    <n v="25"/>
    <n v="75"/>
    <s v="No"/>
    <s v="Low"/>
    <s v="No"/>
    <n v="2.849999999999997E-2"/>
  </r>
  <r>
    <n v="564"/>
    <x v="24"/>
    <n v="1"/>
    <n v="16"/>
    <b v="0"/>
    <n v="2"/>
    <n v="2"/>
    <n v="0.32"/>
    <x v="3"/>
    <n v="0.42"/>
    <n v="0"/>
    <n v="14"/>
    <n v="102"/>
    <n v="116"/>
    <s v="Spring"/>
    <s v="Tuesday"/>
    <s v="Mist/Cloudy"/>
    <x v="2"/>
    <s v="Mild"/>
    <s v="Medium"/>
    <s v="Calm"/>
    <s v="Working Day"/>
    <s v="Mostly Registered"/>
    <n v="12.068965517241381"/>
    <n v="87.931034482758619"/>
    <s v="No"/>
    <s v="Medium"/>
    <s v="No"/>
    <n v="2.849999999999997E-2"/>
  </r>
  <r>
    <n v="565"/>
    <x v="24"/>
    <n v="1"/>
    <n v="17"/>
    <b v="0"/>
    <n v="2"/>
    <n v="1"/>
    <n v="0.3"/>
    <x v="5"/>
    <n v="0.45"/>
    <n v="0"/>
    <n v="14"/>
    <n v="208"/>
    <n v="222"/>
    <s v="Spring"/>
    <s v="Tuesday"/>
    <s v="Clear"/>
    <x v="3"/>
    <s v="Mild"/>
    <s v="Medium"/>
    <s v="Calm"/>
    <s v="Working Day"/>
    <s v="Mostly Registered"/>
    <n v="6.3063063063063058"/>
    <n v="93.693693693693689"/>
    <s v="Yes"/>
    <s v="Medium"/>
    <s v="No"/>
    <n v="3.3300000000000003E-2"/>
  </r>
  <r>
    <n v="566"/>
    <x v="24"/>
    <n v="1"/>
    <n v="18"/>
    <b v="0"/>
    <n v="2"/>
    <n v="2"/>
    <n v="0.3"/>
    <x v="20"/>
    <n v="0.49"/>
    <n v="8.9599999999999999E-2"/>
    <n v="7"/>
    <n v="218"/>
    <n v="225"/>
    <s v="Spring"/>
    <s v="Tuesday"/>
    <s v="Mist/Cloudy"/>
    <x v="3"/>
    <s v="Mild"/>
    <s v="Medium"/>
    <s v="Calm"/>
    <s v="Working Day"/>
    <s v="Mostly Registered"/>
    <n v="3.1111111111111112"/>
    <n v="96.888888888888886"/>
    <s v="Yes"/>
    <s v="Medium"/>
    <s v="No"/>
    <n v="1.819999999999999E-2"/>
  </r>
  <r>
    <n v="567"/>
    <x v="24"/>
    <n v="1"/>
    <n v="19"/>
    <b v="0"/>
    <n v="2"/>
    <n v="2"/>
    <n v="0.26"/>
    <x v="2"/>
    <n v="0.65"/>
    <n v="0.16420000000000001"/>
    <n v="13"/>
    <n v="133"/>
    <n v="146"/>
    <s v="Spring"/>
    <s v="Tuesday"/>
    <s v="Mist/Cloudy"/>
    <x v="3"/>
    <s v="Mild"/>
    <s v="Medium"/>
    <s v="Moderate"/>
    <s v="Working Day"/>
    <s v="Mostly Registered"/>
    <n v="8.9041095890410951"/>
    <n v="91.095890410958901"/>
    <s v="Yes"/>
    <s v="Medium"/>
    <s v="No"/>
    <n v="-2.4000000000000128E-3"/>
  </r>
  <r>
    <n v="568"/>
    <x v="24"/>
    <n v="1"/>
    <n v="20"/>
    <b v="0"/>
    <n v="2"/>
    <n v="1"/>
    <n v="0.24"/>
    <x v="10"/>
    <n v="0.65"/>
    <n v="0.19400000000000001"/>
    <n v="16"/>
    <n v="103"/>
    <n v="119"/>
    <s v="Spring"/>
    <s v="Tuesday"/>
    <s v="Clear"/>
    <x v="3"/>
    <s v="Cold"/>
    <s v="Medium"/>
    <s v="Moderate"/>
    <s v="Working Day"/>
    <s v="Mostly Registered"/>
    <n v="13.445378151260501"/>
    <n v="86.554621848739501"/>
    <s v="No"/>
    <s v="Medium"/>
    <s v="No"/>
    <n v="-1.2699999999999991E-2"/>
  </r>
  <r>
    <n v="569"/>
    <x v="24"/>
    <n v="1"/>
    <n v="21"/>
    <b v="0"/>
    <n v="2"/>
    <n v="1"/>
    <n v="0.24"/>
    <x v="10"/>
    <n v="0.65"/>
    <n v="0.19400000000000001"/>
    <n v="5"/>
    <n v="40"/>
    <n v="45"/>
    <s v="Spring"/>
    <s v="Tuesday"/>
    <s v="Clear"/>
    <x v="0"/>
    <s v="Cold"/>
    <s v="Medium"/>
    <s v="Moderate"/>
    <s v="Working Day"/>
    <s v="Mostly Registered"/>
    <n v="11.111111111111111"/>
    <n v="88.888888888888886"/>
    <s v="No"/>
    <s v="Low"/>
    <s v="No"/>
    <n v="-1.2699999999999991E-2"/>
  </r>
  <r>
    <n v="570"/>
    <x v="24"/>
    <n v="1"/>
    <n v="22"/>
    <b v="0"/>
    <n v="2"/>
    <n v="1"/>
    <n v="0.22"/>
    <x v="10"/>
    <n v="0.64"/>
    <n v="0.16420000000000001"/>
    <n v="4"/>
    <n v="49"/>
    <n v="53"/>
    <s v="Spring"/>
    <s v="Tuesday"/>
    <s v="Clear"/>
    <x v="0"/>
    <s v="Cold"/>
    <s v="Medium"/>
    <s v="Moderate"/>
    <s v="Working Day"/>
    <s v="Mostly Registered"/>
    <n v="7.5471698113207548"/>
    <n v="92.452830188679243"/>
    <s v="No"/>
    <s v="Low"/>
    <s v="No"/>
    <n v="7.3000000000000009E-3"/>
  </r>
  <r>
    <n v="571"/>
    <x v="24"/>
    <n v="1"/>
    <n v="23"/>
    <b v="0"/>
    <n v="2"/>
    <n v="2"/>
    <n v="0.22"/>
    <x v="10"/>
    <n v="0.64"/>
    <n v="0.16420000000000001"/>
    <n v="3"/>
    <n v="37"/>
    <n v="40"/>
    <s v="Spring"/>
    <s v="Tuesday"/>
    <s v="Mist/Cloudy"/>
    <x v="0"/>
    <s v="Cold"/>
    <s v="Medium"/>
    <s v="Moderate"/>
    <s v="Working Day"/>
    <s v="Mostly Registered"/>
    <n v="7.5"/>
    <n v="92.5"/>
    <s v="No"/>
    <s v="Low"/>
    <s v="No"/>
    <n v="7.3000000000000009E-3"/>
  </r>
  <r>
    <n v="572"/>
    <x v="25"/>
    <n v="1"/>
    <n v="0"/>
    <b v="0"/>
    <n v="3"/>
    <n v="2"/>
    <n v="0.22"/>
    <x v="10"/>
    <n v="0.69"/>
    <n v="0.1343"/>
    <n v="3"/>
    <n v="14"/>
    <n v="17"/>
    <s v="Spring"/>
    <s v="Wednesday"/>
    <s v="Mist/Cloudy"/>
    <x v="0"/>
    <s v="Cold"/>
    <s v="Medium"/>
    <s v="Calm"/>
    <s v="Working Day"/>
    <s v="Mostly Registered"/>
    <n v="17.647058823529409"/>
    <n v="82.35294117647058"/>
    <s v="No"/>
    <s v="Low"/>
    <s v="No"/>
    <n v="7.3000000000000009E-3"/>
  </r>
  <r>
    <n v="573"/>
    <x v="25"/>
    <n v="1"/>
    <n v="1"/>
    <b v="0"/>
    <n v="3"/>
    <n v="2"/>
    <n v="0.24"/>
    <x v="18"/>
    <n v="0.65"/>
    <n v="0.1343"/>
    <n v="0"/>
    <n v="5"/>
    <n v="5"/>
    <s v="Spring"/>
    <s v="Wednesday"/>
    <s v="Mist/Cloudy"/>
    <x v="0"/>
    <s v="Cold"/>
    <s v="Medium"/>
    <s v="Calm"/>
    <s v="Working Day"/>
    <s v="Mostly Registered"/>
    <n v="0"/>
    <n v="100"/>
    <s v="No"/>
    <s v="Low"/>
    <s v="No"/>
    <n v="2.4000000000000128E-3"/>
  </r>
  <r>
    <n v="574"/>
    <x v="25"/>
    <n v="1"/>
    <n v="2"/>
    <b v="0"/>
    <n v="3"/>
    <n v="3"/>
    <n v="0.22"/>
    <x v="10"/>
    <n v="0.69"/>
    <n v="0.19400000000000001"/>
    <n v="3"/>
    <n v="7"/>
    <n v="10"/>
    <s v="Spring"/>
    <s v="Wednesday"/>
    <s v="Light Rain/Snow"/>
    <x v="0"/>
    <s v="Cold"/>
    <s v="Medium"/>
    <s v="Moderate"/>
    <s v="Working Day"/>
    <s v="Mostly Registered"/>
    <n v="30"/>
    <n v="70"/>
    <s v="No"/>
    <s v="Low"/>
    <s v="No"/>
    <n v="7.3000000000000009E-3"/>
  </r>
  <r>
    <n v="575"/>
    <x v="25"/>
    <n v="1"/>
    <n v="5"/>
    <b v="0"/>
    <n v="3"/>
    <n v="3"/>
    <n v="0.2"/>
    <x v="17"/>
    <n v="0.86"/>
    <n v="0.28360000000000002"/>
    <n v="0"/>
    <n v="1"/>
    <n v="1"/>
    <s v="Spring"/>
    <s v="Wednesday"/>
    <s v="Light Rain/Snow"/>
    <x v="0"/>
    <s v="Cold"/>
    <s v="High"/>
    <s v="Moderate"/>
    <s v="Working Day"/>
    <s v="Mostly Registered"/>
    <n v="0"/>
    <n v="100"/>
    <s v="No"/>
    <s v="Low"/>
    <s v="No"/>
    <n v="-1.8200000000000022E-2"/>
  </r>
  <r>
    <n v="576"/>
    <x v="25"/>
    <n v="1"/>
    <n v="6"/>
    <b v="0"/>
    <n v="3"/>
    <n v="3"/>
    <n v="0.2"/>
    <x v="17"/>
    <n v="0.86"/>
    <n v="0.28360000000000002"/>
    <n v="0"/>
    <n v="8"/>
    <n v="8"/>
    <s v="Spring"/>
    <s v="Wednesday"/>
    <s v="Light Rain/Snow"/>
    <x v="1"/>
    <s v="Cold"/>
    <s v="High"/>
    <s v="Moderate"/>
    <s v="Working Day"/>
    <s v="Mostly Registered"/>
    <n v="0"/>
    <n v="100"/>
    <s v="No"/>
    <s v="Low"/>
    <s v="No"/>
    <n v="-1.8200000000000022E-2"/>
  </r>
  <r>
    <n v="577"/>
    <x v="25"/>
    <n v="1"/>
    <n v="7"/>
    <b v="0"/>
    <n v="3"/>
    <n v="3"/>
    <n v="0.22"/>
    <x v="11"/>
    <n v="0.87"/>
    <n v="0.29849999999999999"/>
    <n v="1"/>
    <n v="29"/>
    <n v="30"/>
    <s v="Spring"/>
    <s v="Wednesday"/>
    <s v="Light Rain/Snow"/>
    <x v="1"/>
    <s v="Cold"/>
    <s v="High"/>
    <s v="Moderate"/>
    <s v="Working Day"/>
    <s v="Mostly Registered"/>
    <n v="3.333333333333333"/>
    <n v="96.666666666666671"/>
    <s v="Yes"/>
    <s v="Low"/>
    <s v="No"/>
    <n v="-7.8999999999999904E-3"/>
  </r>
  <r>
    <n v="578"/>
    <x v="25"/>
    <n v="1"/>
    <n v="8"/>
    <b v="0"/>
    <n v="3"/>
    <n v="3"/>
    <n v="0.22"/>
    <x v="11"/>
    <n v="0.87"/>
    <n v="0.29849999999999999"/>
    <n v="3"/>
    <n v="69"/>
    <n v="72"/>
    <s v="Spring"/>
    <s v="Wednesday"/>
    <s v="Light Rain/Snow"/>
    <x v="1"/>
    <s v="Cold"/>
    <s v="High"/>
    <s v="Moderate"/>
    <s v="Working Day"/>
    <s v="Mostly Registered"/>
    <n v="4.1666666666666661"/>
    <n v="95.833333333333343"/>
    <s v="Yes"/>
    <s v="Low"/>
    <s v="No"/>
    <n v="-7.8999999999999904E-3"/>
  </r>
  <r>
    <n v="579"/>
    <x v="25"/>
    <n v="1"/>
    <n v="9"/>
    <b v="0"/>
    <n v="3"/>
    <n v="3"/>
    <n v="0.22"/>
    <x v="11"/>
    <n v="0.87"/>
    <n v="0.29849999999999999"/>
    <n v="3"/>
    <n v="55"/>
    <n v="58"/>
    <s v="Spring"/>
    <s v="Wednesday"/>
    <s v="Light Rain/Snow"/>
    <x v="1"/>
    <s v="Cold"/>
    <s v="High"/>
    <s v="Moderate"/>
    <s v="Working Day"/>
    <s v="Mostly Registered"/>
    <n v="5.1724137931034484"/>
    <n v="94.827586206896555"/>
    <s v="Yes"/>
    <s v="Low"/>
    <s v="No"/>
    <n v="-7.8999999999999904E-3"/>
  </r>
  <r>
    <n v="580"/>
    <x v="25"/>
    <n v="1"/>
    <n v="10"/>
    <b v="0"/>
    <n v="3"/>
    <n v="3"/>
    <n v="0.22"/>
    <x v="11"/>
    <n v="0.93"/>
    <n v="0.28360000000000002"/>
    <n v="2"/>
    <n v="26"/>
    <n v="28"/>
    <s v="Spring"/>
    <s v="Wednesday"/>
    <s v="Light Rain/Snow"/>
    <x v="1"/>
    <s v="Cold"/>
    <s v="High"/>
    <s v="Moderate"/>
    <s v="Working Day"/>
    <s v="Mostly Registered"/>
    <n v="7.1428571428571423"/>
    <n v="92.857142857142861"/>
    <s v="No"/>
    <s v="Low"/>
    <s v="No"/>
    <n v="-7.8999999999999904E-3"/>
  </r>
  <r>
    <n v="581"/>
    <x v="25"/>
    <n v="1"/>
    <n v="11"/>
    <b v="0"/>
    <n v="3"/>
    <n v="3"/>
    <n v="0.22"/>
    <x v="12"/>
    <n v="0.93"/>
    <n v="0.32840000000000003"/>
    <n v="6"/>
    <n v="35"/>
    <n v="41"/>
    <s v="Spring"/>
    <s v="Wednesday"/>
    <s v="Light Rain/Snow"/>
    <x v="1"/>
    <s v="Cold"/>
    <s v="High"/>
    <s v="Windy"/>
    <s v="Working Day"/>
    <s v="Mostly Registered"/>
    <n v="14.63414634146341"/>
    <n v="85.365853658536579"/>
    <s v="No"/>
    <s v="Low"/>
    <s v="No"/>
    <n v="-2.2999999999999989E-2"/>
  </r>
  <r>
    <n v="582"/>
    <x v="25"/>
    <n v="1"/>
    <n v="12"/>
    <b v="0"/>
    <n v="3"/>
    <n v="3"/>
    <n v="0.22"/>
    <x v="12"/>
    <n v="0.93"/>
    <n v="0.32840000000000003"/>
    <n v="7"/>
    <n v="41"/>
    <n v="48"/>
    <s v="Spring"/>
    <s v="Wednesday"/>
    <s v="Light Rain/Snow"/>
    <x v="2"/>
    <s v="Cold"/>
    <s v="High"/>
    <s v="Windy"/>
    <s v="Working Day"/>
    <s v="Mostly Registered"/>
    <n v="14.58333333333333"/>
    <n v="85.416666666666657"/>
    <s v="No"/>
    <s v="Low"/>
    <s v="No"/>
    <n v="-2.2999999999999989E-2"/>
  </r>
  <r>
    <n v="583"/>
    <x v="25"/>
    <n v="1"/>
    <n v="13"/>
    <b v="0"/>
    <n v="3"/>
    <n v="3"/>
    <n v="0.22"/>
    <x v="12"/>
    <n v="0.93"/>
    <n v="0.32840000000000003"/>
    <n v="4"/>
    <n v="43"/>
    <n v="47"/>
    <s v="Spring"/>
    <s v="Wednesday"/>
    <s v="Light Rain/Snow"/>
    <x v="2"/>
    <s v="Cold"/>
    <s v="High"/>
    <s v="Windy"/>
    <s v="Working Day"/>
    <s v="Mostly Registered"/>
    <n v="8.5106382978723403"/>
    <n v="91.489361702127653"/>
    <s v="No"/>
    <s v="Low"/>
    <s v="No"/>
    <n v="-2.2999999999999989E-2"/>
  </r>
  <r>
    <n v="584"/>
    <x v="25"/>
    <n v="1"/>
    <n v="14"/>
    <b v="0"/>
    <n v="3"/>
    <n v="3"/>
    <n v="0.22"/>
    <x v="12"/>
    <n v="0.93"/>
    <n v="0.35820000000000002"/>
    <n v="0"/>
    <n v="36"/>
    <n v="36"/>
    <s v="Spring"/>
    <s v="Wednesday"/>
    <s v="Light Rain/Snow"/>
    <x v="2"/>
    <s v="Cold"/>
    <s v="High"/>
    <s v="Windy"/>
    <s v="Working Day"/>
    <s v="Mostly Registered"/>
    <n v="0"/>
    <n v="100"/>
    <s v="No"/>
    <s v="Low"/>
    <s v="No"/>
    <n v="-2.2999999999999989E-2"/>
  </r>
  <r>
    <n v="585"/>
    <x v="25"/>
    <n v="1"/>
    <n v="15"/>
    <b v="0"/>
    <n v="3"/>
    <n v="3"/>
    <n v="0.22"/>
    <x v="17"/>
    <n v="0.93"/>
    <n v="0.4627"/>
    <n v="1"/>
    <n v="42"/>
    <n v="43"/>
    <s v="Spring"/>
    <s v="Wednesday"/>
    <s v="Light Rain/Snow"/>
    <x v="2"/>
    <s v="Cold"/>
    <s v="High"/>
    <s v="Windy"/>
    <s v="Working Day"/>
    <s v="Mostly Registered"/>
    <n v="2.3255813953488369"/>
    <n v="97.674418604651152"/>
    <s v="No"/>
    <s v="Low"/>
    <s v="No"/>
    <n v="-3.8200000000000012E-2"/>
  </r>
  <r>
    <n v="586"/>
    <x v="25"/>
    <n v="1"/>
    <n v="16"/>
    <b v="0"/>
    <n v="3"/>
    <n v="4"/>
    <n v="0.22"/>
    <x v="12"/>
    <n v="0.93"/>
    <n v="0.32840000000000003"/>
    <n v="1"/>
    <n v="35"/>
    <n v="36"/>
    <s v="Spring"/>
    <s v="Wednesday"/>
    <s v="Heavy Rain/Storm"/>
    <x v="2"/>
    <s v="Cold"/>
    <s v="High"/>
    <s v="Windy"/>
    <s v="Working Day"/>
    <s v="Mostly Registered"/>
    <n v="2.7777777777777781"/>
    <n v="97.222222222222214"/>
    <s v="No"/>
    <s v="Low"/>
    <s v="No"/>
    <n v="-2.2999999999999989E-2"/>
  </r>
  <r>
    <n v="587"/>
    <x v="25"/>
    <n v="1"/>
    <n v="17"/>
    <b v="0"/>
    <n v="3"/>
    <n v="3"/>
    <n v="0.2"/>
    <x v="17"/>
    <n v="0.93"/>
    <n v="0.35820000000000002"/>
    <n v="0"/>
    <n v="26"/>
    <n v="26"/>
    <s v="Spring"/>
    <s v="Wednesday"/>
    <s v="Light Rain/Snow"/>
    <x v="3"/>
    <s v="Cold"/>
    <s v="High"/>
    <s v="Windy"/>
    <s v="Working Day"/>
    <s v="Mostly Registered"/>
    <n v="0"/>
    <n v="100"/>
    <s v="Yes"/>
    <s v="Low"/>
    <s v="No"/>
    <n v="-1.8200000000000022E-2"/>
  </r>
  <r>
    <n v="588"/>
    <x v="26"/>
    <n v="1"/>
    <n v="16"/>
    <b v="0"/>
    <n v="4"/>
    <n v="1"/>
    <n v="0.22"/>
    <x v="10"/>
    <n v="0.55000000000000004"/>
    <n v="0.19400000000000001"/>
    <n v="1"/>
    <n v="23"/>
    <n v="24"/>
    <s v="Spring"/>
    <s v="Thursday"/>
    <s v="Clear"/>
    <x v="2"/>
    <s v="Cold"/>
    <s v="Medium"/>
    <s v="Moderate"/>
    <s v="Working Day"/>
    <s v="Mostly Registered"/>
    <n v="4.1666666666666661"/>
    <n v="95.833333333333343"/>
    <s v="No"/>
    <s v="Low"/>
    <s v="No"/>
    <n v="7.3000000000000009E-3"/>
  </r>
  <r>
    <n v="589"/>
    <x v="26"/>
    <n v="1"/>
    <n v="17"/>
    <b v="0"/>
    <n v="4"/>
    <n v="1"/>
    <n v="0.22"/>
    <x v="18"/>
    <n v="0.55000000000000004"/>
    <n v="0.1045"/>
    <n v="2"/>
    <n v="82"/>
    <n v="84"/>
    <s v="Spring"/>
    <s v="Thursday"/>
    <s v="Clear"/>
    <x v="3"/>
    <s v="Cold"/>
    <s v="Medium"/>
    <s v="Calm"/>
    <s v="Working Day"/>
    <s v="Mostly Registered"/>
    <n v="2.3809523809523809"/>
    <n v="97.61904761904762"/>
    <s v="Yes"/>
    <s v="Low"/>
    <s v="No"/>
    <n v="2.24E-2"/>
  </r>
  <r>
    <n v="590"/>
    <x v="26"/>
    <n v="1"/>
    <n v="18"/>
    <b v="0"/>
    <n v="4"/>
    <n v="1"/>
    <n v="0.2"/>
    <x v="10"/>
    <n v="0.69"/>
    <n v="8.9599999999999999E-2"/>
    <n v="3"/>
    <n v="101"/>
    <n v="104"/>
    <s v="Spring"/>
    <s v="Thursday"/>
    <s v="Clear"/>
    <x v="3"/>
    <s v="Cold"/>
    <s v="Medium"/>
    <s v="Calm"/>
    <s v="Working Day"/>
    <s v="Mostly Registered"/>
    <n v="2.884615384615385"/>
    <n v="97.115384615384613"/>
    <s v="Yes"/>
    <s v="Medium"/>
    <s v="No"/>
    <n v="2.7299999999999991E-2"/>
  </r>
  <r>
    <n v="591"/>
    <x v="26"/>
    <n v="1"/>
    <n v="19"/>
    <b v="0"/>
    <n v="4"/>
    <n v="1"/>
    <n v="0.2"/>
    <x v="10"/>
    <n v="0.69"/>
    <n v="8.9599999999999999E-2"/>
    <n v="3"/>
    <n v="76"/>
    <n v="79"/>
    <s v="Spring"/>
    <s v="Thursday"/>
    <s v="Clear"/>
    <x v="3"/>
    <s v="Cold"/>
    <s v="Medium"/>
    <s v="Calm"/>
    <s v="Working Day"/>
    <s v="Mostly Registered"/>
    <n v="3.79746835443038"/>
    <n v="96.202531645569621"/>
    <s v="Yes"/>
    <s v="Low"/>
    <s v="No"/>
    <n v="2.7299999999999991E-2"/>
  </r>
  <r>
    <n v="592"/>
    <x v="26"/>
    <n v="1"/>
    <n v="20"/>
    <b v="0"/>
    <n v="4"/>
    <n v="1"/>
    <n v="0.18"/>
    <x v="11"/>
    <n v="0.74"/>
    <n v="8.9599999999999999E-2"/>
    <n v="4"/>
    <n v="55"/>
    <n v="59"/>
    <s v="Spring"/>
    <s v="Thursday"/>
    <s v="Clear"/>
    <x v="3"/>
    <s v="Cold"/>
    <s v="High"/>
    <s v="Calm"/>
    <s v="Working Day"/>
    <s v="Mostly Registered"/>
    <n v="6.7796610169491522"/>
    <n v="93.220338983050837"/>
    <s v="No"/>
    <s v="Low"/>
    <s v="No"/>
    <n v="3.2100000000000017E-2"/>
  </r>
  <r>
    <n v="593"/>
    <x v="26"/>
    <n v="1"/>
    <n v="21"/>
    <b v="0"/>
    <n v="4"/>
    <n v="1"/>
    <n v="0.18"/>
    <x v="11"/>
    <n v="0.74"/>
    <n v="8.9599999999999999E-2"/>
    <n v="2"/>
    <n v="36"/>
    <n v="38"/>
    <s v="Spring"/>
    <s v="Thursday"/>
    <s v="Clear"/>
    <x v="0"/>
    <s v="Cold"/>
    <s v="High"/>
    <s v="Calm"/>
    <s v="Working Day"/>
    <s v="Mostly Registered"/>
    <n v="5.2631578947368416"/>
    <n v="94.73684210526315"/>
    <s v="No"/>
    <s v="Low"/>
    <s v="No"/>
    <n v="3.2100000000000017E-2"/>
  </r>
  <r>
    <n v="594"/>
    <x v="26"/>
    <n v="1"/>
    <n v="22"/>
    <b v="0"/>
    <n v="4"/>
    <n v="1"/>
    <n v="0.18"/>
    <x v="11"/>
    <n v="0.74"/>
    <n v="8.9599999999999999E-2"/>
    <n v="0"/>
    <n v="27"/>
    <n v="27"/>
    <s v="Spring"/>
    <s v="Thursday"/>
    <s v="Clear"/>
    <x v="0"/>
    <s v="Cold"/>
    <s v="High"/>
    <s v="Calm"/>
    <s v="Working Day"/>
    <s v="Mostly Registered"/>
    <n v="0"/>
    <n v="100"/>
    <s v="No"/>
    <s v="Low"/>
    <s v="No"/>
    <n v="3.2100000000000017E-2"/>
  </r>
  <r>
    <n v="595"/>
    <x v="26"/>
    <n v="1"/>
    <n v="23"/>
    <b v="0"/>
    <n v="4"/>
    <n v="1"/>
    <n v="0.18"/>
    <x v="12"/>
    <n v="0.8"/>
    <n v="0.16420000000000001"/>
    <n v="0"/>
    <n v="16"/>
    <n v="16"/>
    <s v="Spring"/>
    <s v="Thursday"/>
    <s v="Clear"/>
    <x v="0"/>
    <s v="Cold"/>
    <s v="High"/>
    <s v="Moderate"/>
    <s v="Working Day"/>
    <s v="Mostly Registered"/>
    <n v="0"/>
    <n v="100"/>
    <s v="No"/>
    <s v="Low"/>
    <s v="No"/>
    <n v="1.7000000000000019E-2"/>
  </r>
  <r>
    <n v="596"/>
    <x v="27"/>
    <n v="1"/>
    <n v="0"/>
    <b v="0"/>
    <n v="5"/>
    <n v="2"/>
    <n v="0.2"/>
    <x v="11"/>
    <n v="0.75"/>
    <n v="0.1343"/>
    <n v="0"/>
    <n v="9"/>
    <n v="9"/>
    <s v="Spring"/>
    <s v="Friday"/>
    <s v="Mist/Cloudy"/>
    <x v="0"/>
    <s v="Cold"/>
    <s v="High"/>
    <s v="Calm"/>
    <s v="Working Day"/>
    <s v="Mostly Registered"/>
    <n v="0"/>
    <n v="100"/>
    <s v="No"/>
    <s v="Low"/>
    <s v="No"/>
    <n v="1.21E-2"/>
  </r>
  <r>
    <n v="597"/>
    <x v="27"/>
    <n v="1"/>
    <n v="1"/>
    <b v="0"/>
    <n v="5"/>
    <n v="2"/>
    <n v="0.2"/>
    <x v="11"/>
    <n v="0.75"/>
    <n v="0.1343"/>
    <n v="1"/>
    <n v="2"/>
    <n v="3"/>
    <s v="Spring"/>
    <s v="Friday"/>
    <s v="Mist/Cloudy"/>
    <x v="0"/>
    <s v="Cold"/>
    <s v="High"/>
    <s v="Calm"/>
    <s v="Working Day"/>
    <s v="Mostly Registered"/>
    <n v="33.333333333333329"/>
    <n v="66.666666666666657"/>
    <s v="No"/>
    <s v="Low"/>
    <s v="No"/>
    <n v="1.21E-2"/>
  </r>
  <r>
    <n v="598"/>
    <x v="27"/>
    <n v="1"/>
    <n v="2"/>
    <b v="0"/>
    <n v="5"/>
    <n v="2"/>
    <n v="0.2"/>
    <x v="11"/>
    <n v="0.75"/>
    <n v="0.16420000000000001"/>
    <n v="0"/>
    <n v="2"/>
    <n v="2"/>
    <s v="Spring"/>
    <s v="Friday"/>
    <s v="Mist/Cloudy"/>
    <x v="0"/>
    <s v="Cold"/>
    <s v="High"/>
    <s v="Moderate"/>
    <s v="Working Day"/>
    <s v="Mostly Registered"/>
    <n v="0"/>
    <n v="100"/>
    <s v="No"/>
    <s v="Low"/>
    <s v="No"/>
    <n v="1.21E-2"/>
  </r>
  <r>
    <n v="599"/>
    <x v="27"/>
    <n v="1"/>
    <n v="3"/>
    <b v="0"/>
    <n v="5"/>
    <n v="2"/>
    <n v="0.2"/>
    <x v="10"/>
    <n v="0.75"/>
    <n v="0.1045"/>
    <n v="1"/>
    <n v="0"/>
    <n v="1"/>
    <s v="Spring"/>
    <s v="Friday"/>
    <s v="Mist/Cloudy"/>
    <x v="0"/>
    <s v="Cold"/>
    <s v="High"/>
    <s v="Calm"/>
    <s v="Working Day"/>
    <s v="Mostly Casual"/>
    <n v="100"/>
    <n v="0"/>
    <s v="No"/>
    <s v="Low"/>
    <s v="No"/>
    <n v="2.7299999999999991E-2"/>
  </r>
  <r>
    <n v="600"/>
    <x v="27"/>
    <n v="1"/>
    <n v="5"/>
    <b v="0"/>
    <n v="5"/>
    <n v="2"/>
    <n v="0.18"/>
    <x v="11"/>
    <n v="0.8"/>
    <n v="0.1045"/>
    <n v="0"/>
    <n v="4"/>
    <n v="4"/>
    <s v="Spring"/>
    <s v="Friday"/>
    <s v="Mist/Cloudy"/>
    <x v="0"/>
    <s v="Cold"/>
    <s v="High"/>
    <s v="Calm"/>
    <s v="Working Day"/>
    <s v="Mostly Registered"/>
    <n v="0"/>
    <n v="100"/>
    <s v="No"/>
    <s v="Low"/>
    <s v="No"/>
    <n v="3.2100000000000017E-2"/>
  </r>
  <r>
    <n v="601"/>
    <x v="27"/>
    <n v="1"/>
    <n v="6"/>
    <b v="0"/>
    <n v="5"/>
    <n v="2"/>
    <n v="0.18"/>
    <x v="12"/>
    <n v="0.8"/>
    <n v="0.1343"/>
    <n v="0"/>
    <n v="16"/>
    <n v="16"/>
    <s v="Spring"/>
    <s v="Friday"/>
    <s v="Mist/Cloudy"/>
    <x v="1"/>
    <s v="Cold"/>
    <s v="High"/>
    <s v="Calm"/>
    <s v="Working Day"/>
    <s v="Mostly Registered"/>
    <n v="0"/>
    <n v="100"/>
    <s v="No"/>
    <s v="Low"/>
    <s v="No"/>
    <n v="1.7000000000000019E-2"/>
  </r>
  <r>
    <n v="602"/>
    <x v="27"/>
    <n v="1"/>
    <n v="7"/>
    <b v="0"/>
    <n v="5"/>
    <n v="2"/>
    <n v="0.16"/>
    <x v="12"/>
    <n v="0.86"/>
    <n v="8.9599999999999999E-2"/>
    <n v="2"/>
    <n v="58"/>
    <n v="60"/>
    <s v="Spring"/>
    <s v="Friday"/>
    <s v="Mist/Cloudy"/>
    <x v="1"/>
    <s v="Cold"/>
    <s v="High"/>
    <s v="Calm"/>
    <s v="Working Day"/>
    <s v="Mostly Registered"/>
    <n v="3.333333333333333"/>
    <n v="96.666666666666671"/>
    <s v="Yes"/>
    <s v="Low"/>
    <s v="No"/>
    <n v="3.7000000000000012E-2"/>
  </r>
  <r>
    <n v="603"/>
    <x v="27"/>
    <n v="1"/>
    <n v="8"/>
    <b v="0"/>
    <n v="5"/>
    <n v="2"/>
    <n v="0.16"/>
    <x v="12"/>
    <n v="0.86"/>
    <n v="8.9599999999999999E-2"/>
    <n v="2"/>
    <n v="155"/>
    <n v="157"/>
    <s v="Spring"/>
    <s v="Friday"/>
    <s v="Mist/Cloudy"/>
    <x v="1"/>
    <s v="Cold"/>
    <s v="High"/>
    <s v="Calm"/>
    <s v="Working Day"/>
    <s v="Mostly Registered"/>
    <n v="1.2738853503184711"/>
    <n v="98.726114649681534"/>
    <s v="Yes"/>
    <s v="Medium"/>
    <s v="No"/>
    <n v="3.7000000000000012E-2"/>
  </r>
  <r>
    <n v="604"/>
    <x v="27"/>
    <n v="1"/>
    <n v="9"/>
    <b v="0"/>
    <n v="5"/>
    <n v="3"/>
    <n v="0.18"/>
    <x v="11"/>
    <n v="0.86"/>
    <n v="8.9599999999999999E-2"/>
    <n v="6"/>
    <n v="95"/>
    <n v="101"/>
    <s v="Spring"/>
    <s v="Friday"/>
    <s v="Light Rain/Snow"/>
    <x v="1"/>
    <s v="Cold"/>
    <s v="High"/>
    <s v="Calm"/>
    <s v="Working Day"/>
    <s v="Mostly Registered"/>
    <n v="5.9405940594059414"/>
    <n v="94.059405940594047"/>
    <s v="Yes"/>
    <s v="Medium"/>
    <s v="No"/>
    <n v="3.2100000000000017E-2"/>
  </r>
  <r>
    <n v="605"/>
    <x v="27"/>
    <n v="1"/>
    <n v="10"/>
    <b v="0"/>
    <n v="5"/>
    <n v="3"/>
    <n v="0.18"/>
    <x v="11"/>
    <n v="0.86"/>
    <n v="0.1045"/>
    <n v="0"/>
    <n v="49"/>
    <n v="49"/>
    <s v="Spring"/>
    <s v="Friday"/>
    <s v="Light Rain/Snow"/>
    <x v="1"/>
    <s v="Cold"/>
    <s v="High"/>
    <s v="Calm"/>
    <s v="Working Day"/>
    <s v="Mostly Registered"/>
    <n v="0"/>
    <n v="100"/>
    <s v="No"/>
    <s v="Low"/>
    <s v="No"/>
    <n v="3.2100000000000017E-2"/>
  </r>
  <r>
    <n v="606"/>
    <x v="27"/>
    <n v="1"/>
    <n v="11"/>
    <b v="0"/>
    <n v="5"/>
    <n v="3"/>
    <n v="0.18"/>
    <x v="11"/>
    <n v="0.93"/>
    <n v="0.1045"/>
    <n v="0"/>
    <n v="30"/>
    <n v="30"/>
    <s v="Spring"/>
    <s v="Friday"/>
    <s v="Light Rain/Snow"/>
    <x v="1"/>
    <s v="Cold"/>
    <s v="High"/>
    <s v="Calm"/>
    <s v="Working Day"/>
    <s v="Mostly Registered"/>
    <n v="0"/>
    <n v="100"/>
    <s v="No"/>
    <s v="Low"/>
    <s v="No"/>
    <n v="3.2100000000000017E-2"/>
  </r>
  <r>
    <n v="607"/>
    <x v="27"/>
    <n v="1"/>
    <n v="12"/>
    <b v="0"/>
    <n v="5"/>
    <n v="3"/>
    <n v="0.18"/>
    <x v="11"/>
    <n v="0.93"/>
    <n v="0.1045"/>
    <n v="1"/>
    <n v="28"/>
    <n v="29"/>
    <s v="Spring"/>
    <s v="Friday"/>
    <s v="Light Rain/Snow"/>
    <x v="2"/>
    <s v="Cold"/>
    <s v="High"/>
    <s v="Calm"/>
    <s v="Working Day"/>
    <s v="Mostly Registered"/>
    <n v="3.4482758620689649"/>
    <n v="96.551724137931032"/>
    <s v="No"/>
    <s v="Low"/>
    <s v="No"/>
    <n v="3.2100000000000017E-2"/>
  </r>
  <r>
    <n v="608"/>
    <x v="27"/>
    <n v="1"/>
    <n v="13"/>
    <b v="0"/>
    <n v="5"/>
    <n v="3"/>
    <n v="0.18"/>
    <x v="11"/>
    <n v="0.93"/>
    <n v="0.1045"/>
    <n v="0"/>
    <n v="31"/>
    <n v="31"/>
    <s v="Spring"/>
    <s v="Friday"/>
    <s v="Light Rain/Snow"/>
    <x v="2"/>
    <s v="Cold"/>
    <s v="High"/>
    <s v="Calm"/>
    <s v="Working Day"/>
    <s v="Mostly Registered"/>
    <n v="0"/>
    <n v="100"/>
    <s v="No"/>
    <s v="Low"/>
    <s v="No"/>
    <n v="3.2100000000000017E-2"/>
  </r>
  <r>
    <n v="609"/>
    <x v="27"/>
    <n v="1"/>
    <n v="14"/>
    <b v="0"/>
    <n v="5"/>
    <n v="3"/>
    <n v="0.22"/>
    <x v="1"/>
    <n v="0.8"/>
    <n v="0"/>
    <n v="2"/>
    <n v="36"/>
    <n v="38"/>
    <s v="Spring"/>
    <s v="Friday"/>
    <s v="Light Rain/Snow"/>
    <x v="2"/>
    <s v="Cold"/>
    <s v="High"/>
    <s v="Calm"/>
    <s v="Working Day"/>
    <s v="Mostly Registered"/>
    <n v="5.2631578947368416"/>
    <n v="94.73684210526315"/>
    <s v="No"/>
    <s v="Low"/>
    <s v="No"/>
    <n v="5.2699999999999997E-2"/>
  </r>
  <r>
    <n v="610"/>
    <x v="27"/>
    <n v="1"/>
    <n v="15"/>
    <b v="0"/>
    <n v="5"/>
    <n v="2"/>
    <n v="0.2"/>
    <x v="2"/>
    <n v="0.86"/>
    <n v="0"/>
    <n v="1"/>
    <n v="40"/>
    <n v="41"/>
    <s v="Spring"/>
    <s v="Friday"/>
    <s v="Mist/Cloudy"/>
    <x v="2"/>
    <s v="Cold"/>
    <s v="High"/>
    <s v="Calm"/>
    <s v="Working Day"/>
    <s v="Mostly Registered"/>
    <n v="2.4390243902439019"/>
    <n v="97.560975609756099"/>
    <s v="No"/>
    <s v="Low"/>
    <s v="No"/>
    <n v="5.759999999999997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A83E5E-C1EA-428C-81AD-0993851C03D1}"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5:E74" firstHeaderRow="0" firstDataRow="1" firstDataCol="1"/>
  <pivotFields count="29">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4">
    <i>
      <x/>
    </i>
    <i i="1">
      <x v="1"/>
    </i>
    <i i="2">
      <x v="2"/>
    </i>
    <i i="3">
      <x v="3"/>
    </i>
  </colItems>
  <dataFields count="4">
    <dataField name="Average of humidity" fld="9" subtotal="average" baseField="1" baseItem="0"/>
    <dataField name="Average of windspeed" fld="10" subtotal="average" baseField="1" baseItem="0"/>
    <dataField name="Average of temperature" fld="7" subtotal="average" baseField="1" baseItem="0"/>
    <dataField name="Average of assumed_temperature" fld="8" subtotal="average" baseField="1" baseItem="0"/>
  </dataFields>
  <formats count="12">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outline="0" fieldPosition="0">
        <references count="1">
          <reference field="4294967294" count="4">
            <x v="0"/>
            <x v="1"/>
            <x v="2"/>
            <x v="3"/>
          </reference>
        </references>
      </pivotArea>
    </format>
    <format dxfId="12">
      <pivotArea collapsedLevelsAreSubtotals="1" fieldPosition="0">
        <references count="1">
          <reference field="1" count="0"/>
        </references>
      </pivotArea>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outline="0" fieldPosition="0">
        <references count="1">
          <reference field="4294967294" count="4">
            <x v="0"/>
            <x v="1"/>
            <x v="2"/>
            <x v="3"/>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32F133-3EB5-4BD0-A232-A629E989F1C2}"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7:B82" firstHeaderRow="1" firstDataRow="1" firstDataCol="1"/>
  <pivotFields count="29">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Sum of total_customer" fld="13" baseField="0" baseItem="0"/>
  </dataFields>
  <formats count="10">
    <format dxfId="29">
      <pivotArea type="all" dataOnly="0" outline="0" fieldPosition="0"/>
    </format>
    <format dxfId="28">
      <pivotArea outline="0" collapsedLevelsAreSubtotals="1" fieldPosition="0"/>
    </format>
    <format dxfId="27">
      <pivotArea field="17" type="button" dataOnly="0" labelOnly="1" outline="0" axis="axisRow" fieldPosition="0"/>
    </format>
    <format dxfId="26">
      <pivotArea dataOnly="0" labelOnly="1" fieldPosition="0">
        <references count="1">
          <reference field="17" count="0"/>
        </references>
      </pivotArea>
    </format>
    <format dxfId="25">
      <pivotArea dataOnly="0" labelOnly="1" grandRow="1" outline="0" fieldPosition="0"/>
    </format>
    <format dxfId="24">
      <pivotArea dataOnly="0" labelOnly="1" outline="0" axis="axisValues" fieldPosition="0"/>
    </format>
    <format dxfId="4">
      <pivotArea collapsedLevelsAreSubtotals="1" fieldPosition="0">
        <references count="1">
          <reference field="17" count="0"/>
        </references>
      </pivotArea>
    </format>
    <format dxfId="3">
      <pivotArea field="17" type="button" dataOnly="0" labelOnly="1" outline="0" axis="axisRow" fieldPosition="0"/>
    </format>
    <format dxfId="2">
      <pivotArea dataOnly="0" labelOnly="1" fieldPosition="0">
        <references count="1">
          <reference field="17" count="0"/>
        </references>
      </pivotArea>
    </format>
    <format dxfId="1">
      <pivotArea dataOnly="0" labelOnly="1" outline="0" axis="axisValues" fieldPosition="0"/>
    </format>
  </formats>
  <chartFormats count="5">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7" count="1" selected="0">
            <x v="0"/>
          </reference>
        </references>
      </pivotArea>
    </chartFormat>
    <chartFormat chart="6" format="2">
      <pivotArea type="data" outline="0" fieldPosition="0">
        <references count="2">
          <reference field="4294967294" count="1" selected="0">
            <x v="0"/>
          </reference>
          <reference field="17" count="1" selected="0">
            <x v="3"/>
          </reference>
        </references>
      </pivotArea>
    </chartFormat>
    <chartFormat chart="6" format="3">
      <pivotArea type="data" outline="0" fieldPosition="0">
        <references count="2">
          <reference field="4294967294" count="1" selected="0">
            <x v="0"/>
          </reference>
          <reference field="17" count="1" selected="0">
            <x v="2"/>
          </reference>
        </references>
      </pivotArea>
    </chartFormat>
    <chartFormat chart="6" format="4">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5BE076-431A-43E6-A3D9-2BCC994DEE9D}"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45:J74" firstHeaderRow="0" firstDataRow="1" firstDataCol="1"/>
  <pivotFields count="29">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3">
    <i>
      <x/>
    </i>
    <i i="1">
      <x v="1"/>
    </i>
    <i i="2">
      <x v="2"/>
    </i>
  </colItems>
  <dataFields count="3">
    <dataField name="Sum of casual_customer" fld="11" baseField="0" baseItem="0"/>
    <dataField name="Sum of registered_customer" fld="12" baseField="0" baseItem="0"/>
    <dataField name="Sum of total_customer" fld="13" baseField="0" baseItem="0"/>
  </dataFields>
  <formats count="10">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fieldPosition="0">
        <references count="1">
          <reference field="4294967294" count="3">
            <x v="0"/>
            <x v="1"/>
            <x v="2"/>
          </reference>
        </references>
      </pivotArea>
    </format>
    <format dxfId="8">
      <pivotArea collapsedLevelsAreSubtotals="1" fieldPosition="0">
        <references count="1">
          <reference field="1" count="0"/>
        </references>
      </pivotArea>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outline="0" fieldPosition="0">
        <references count="1">
          <reference field="4294967294" count="3">
            <x v="0"/>
            <x v="1"/>
            <x v="2"/>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87ACF919-B507-409B-8EDD-8E85D06BF51A}" autoFormatId="16" applyNumberFormats="0" applyBorderFormats="0" applyFontFormats="0" applyPatternFormats="0" applyAlignmentFormats="0" applyWidthHeightFormats="0">
  <queryTableRefresh nextId="36">
    <queryTableFields count="14">
      <queryTableField id="1" name="instant" tableColumnId="1"/>
      <queryTableField id="17" name="date" tableColumnId="2"/>
      <queryTableField id="3" name="season" tableColumnId="3"/>
      <queryTableField id="20" name="hour" tableColumnId="6"/>
      <queryTableField id="7" name="holiday" tableColumnId="7"/>
      <queryTableField id="8" name="weekday" tableColumnId="8"/>
      <queryTableField id="21" name="weather_situation" tableColumnId="9"/>
      <queryTableField id="22" name="temperature" tableColumnId="10"/>
      <queryTableField id="23" name="assumed_temperature" tableColumnId="11"/>
      <queryTableField id="24" name="humidity" tableColumnId="12"/>
      <queryTableField id="13" name="windspeed" tableColumnId="13"/>
      <queryTableField id="25" name="casual_customer" tableColumnId="14"/>
      <queryTableField id="26" name="registered_customer" tableColumnId="15"/>
      <queryTableField id="27" name="total_customer" tableColumnId="16"/>
    </queryTableFields>
    <queryTableDeletedFields count="2">
      <deletedField name="month"/>
      <deletedField name="yea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3F8C424-6523-4150-B92A-4102DA277FDF}" sourceName="date">
  <pivotTables>
    <pivotTable tabId="3" name="PivotTable12"/>
    <pivotTable tabId="3" name="PivotTable14"/>
    <pivotTable tabId="3" name="PivotTable17"/>
  </pivotTables>
  <data>
    <tabular pivotCacheId="287251013">
      <items count="28">
        <i x="0" s="1"/>
        <i x="1" s="1"/>
        <i x="2" s="1"/>
        <i x="3" s="1"/>
        <i x="4" s="1"/>
        <i x="5" s="1"/>
        <i x="6" s="1"/>
        <i x="7" s="1"/>
        <i x="8" s="1"/>
        <i x="9" s="1"/>
        <i x="10" s="1"/>
        <i x="11" s="1"/>
        <i x="12" s="1"/>
        <i x="13" s="1"/>
        <i x="14" s="1"/>
        <i x="15" s="1"/>
        <i x="16" s="1"/>
        <i x="17" s="1"/>
        <i x="18" s="1"/>
        <i x="19" s="1"/>
        <i x="20" s="1"/>
        <i x="21" s="1"/>
        <i x="22" s="1"/>
        <i x="23" s="1"/>
        <i x="24" s="1"/>
        <i x="25" s="1"/>
        <i x="26" s="1"/>
        <i x="2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60364EB-C9A3-4977-8465-7CF1545429DE}" cache="Slicer_date" caption="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D15F95-1B16-4A19-8D49-9884CFED483C}" name="Merge1" displayName="Merge1" ref="A1:N611" tableType="queryTable" totalsRowShown="0">
  <autoFilter ref="A1:N611" xr:uid="{34D15F95-1B16-4A19-8D49-9884CFED483C}"/>
  <tableColumns count="14">
    <tableColumn id="1" xr3:uid="{FFD84A52-743A-4A2A-B1A3-08E335FE5246}" uniqueName="1" name="instant" queryTableFieldId="1" dataDxfId="64"/>
    <tableColumn id="2" xr3:uid="{332B0707-895B-4A5F-B475-3803CAD59AA7}" uniqueName="2" name="date" queryTableFieldId="17" dataDxfId="63"/>
    <tableColumn id="3" xr3:uid="{BD86DE04-4E7C-4D6D-93E3-1338E96B4E35}" uniqueName="3" name="season" queryTableFieldId="3" dataDxfId="62"/>
    <tableColumn id="6" xr3:uid="{5C3BDE00-3647-434B-8119-C0D2245CF628}" uniqueName="6" name="hour" queryTableFieldId="20" dataDxfId="61"/>
    <tableColumn id="7" xr3:uid="{3A3DA3EE-F944-48EA-8194-E8471901ED2B}" uniqueName="7" name="holiday" queryTableFieldId="7"/>
    <tableColumn id="8" xr3:uid="{E491CE0D-2D0B-4CE7-907D-F0A13B5AA7C7}" uniqueName="8" name="weekday" queryTableFieldId="8" dataDxfId="60"/>
    <tableColumn id="9" xr3:uid="{B71CFF83-5CEB-48BE-88AA-116EA265652E}" uniqueName="9" name="weather_situation" queryTableFieldId="21" dataDxfId="59"/>
    <tableColumn id="10" xr3:uid="{7B272654-57E6-4D8E-8ABE-4BD90B7E598C}" uniqueName="10" name="temperature" queryTableFieldId="22" dataDxfId="58"/>
    <tableColumn id="11" xr3:uid="{ED3297F3-F27B-44E1-BC39-077C6F371F03}" uniqueName="11" name="assumed_temperature" queryTableFieldId="23" dataDxfId="57"/>
    <tableColumn id="12" xr3:uid="{8DD8E897-F082-4860-9D75-E640B2545496}" uniqueName="12" name="humidity" queryTableFieldId="24" dataDxfId="56"/>
    <tableColumn id="13" xr3:uid="{26ADF48F-3607-4E58-AEC4-03689A844B3B}" uniqueName="13" name="windspeed" queryTableFieldId="13" dataDxfId="55"/>
    <tableColumn id="14" xr3:uid="{F5211D78-EBDB-4621-AA24-7DAAB184094D}" uniqueName="14" name="casual_customer" queryTableFieldId="25" dataDxfId="54"/>
    <tableColumn id="15" xr3:uid="{B082B72C-5669-4E25-BDE8-0F327692EABC}" uniqueName="15" name="registered_customer" queryTableFieldId="26" dataDxfId="53"/>
    <tableColumn id="16" xr3:uid="{41D10BB4-7F2E-4DF9-9A80-0C34DBB6A244}" uniqueName="16" name="total_customer" queryTableFieldId="27" dataDxfId="5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B03E9C-4BD3-4556-8225-CA63CF7A32AD}" name="Table1" displayName="Table1" ref="A1:AC611" totalsRowShown="0">
  <autoFilter ref="A1:AC611" xr:uid="{94B03E9C-4BD3-4556-8225-CA63CF7A32AD}"/>
  <tableColumns count="29">
    <tableColumn id="1" xr3:uid="{10E2C05B-D013-4FD4-8A82-392BE764621B}" name="instant" dataDxfId="51"/>
    <tableColumn id="2" xr3:uid="{D156BDB5-E029-4BD7-A79E-4D04385669DF}" name="date" dataDxfId="50"/>
    <tableColumn id="3" xr3:uid="{C71B3E34-C0E7-412C-9947-E25DA75C7BAA}" name="season" dataDxfId="49"/>
    <tableColumn id="6" xr3:uid="{D750D384-D451-4BBB-BDBC-454A8283C03D}" name="hour" dataDxfId="48"/>
    <tableColumn id="7" xr3:uid="{F52C44E2-BBCC-47D9-96BA-2C0EA8DDAB16}" name="holiday"/>
    <tableColumn id="8" xr3:uid="{240B992F-3C99-4C0B-8287-7129D0D92C9A}" name="weekday" dataDxfId="47"/>
    <tableColumn id="9" xr3:uid="{A3DD2DCF-08E5-4454-A290-8B9EC6936229}" name="weather_situation" dataDxfId="46"/>
    <tableColumn id="10" xr3:uid="{2BB1354F-4D8E-4F1C-9046-64B4B84E965B}" name="temperature" dataDxfId="45"/>
    <tableColumn id="11" xr3:uid="{05126A2B-1D5F-427D-B8B3-EDB3EDBDE680}" name="assumed_temperature" dataDxfId="44"/>
    <tableColumn id="12" xr3:uid="{1534C01A-C039-416F-9F63-32CAFD35CD21}" name="humidity" dataDxfId="43"/>
    <tableColumn id="13" xr3:uid="{8721742D-C308-40F5-9A7B-FE5C1A0395C7}" name="windspeed" dataDxfId="42"/>
    <tableColumn id="14" xr3:uid="{E2CB617C-8C81-49D6-8EEB-3021D15BE96C}" name="casual_customer" dataDxfId="41"/>
    <tableColumn id="15" xr3:uid="{AA5BA1AA-41AC-4B0A-B0E9-5742A8E88B39}" name="registered_customer" dataDxfId="40"/>
    <tableColumn id="16" xr3:uid="{2F6C7703-BECC-45E6-93B5-A96FA736DE16}" name="total_customer" dataDxfId="39"/>
    <tableColumn id="17" xr3:uid="{F031A396-0ECB-4CB9-9501-D8DF82618BF1}" name="Season_Name"/>
    <tableColumn id="18" xr3:uid="{76BF822F-A23E-43FB-80F9-81D056264B5C}" name="Weekday_Name"/>
    <tableColumn id="19" xr3:uid="{BFD34E43-3A55-4B91-88EA-B1F20C3C28CF}" name="Weather_Description"/>
    <tableColumn id="20" xr3:uid="{428B71D9-0AE9-44F4-95BB-58E3918881C2}" name="Time_of_Day"/>
    <tableColumn id="21" xr3:uid="{EB0A7C2E-4954-4980-A385-BE1833F780ED}" name="Temperature_Level"/>
    <tableColumn id="22" xr3:uid="{3CA47026-EB1C-4796-81D0-77DC0DC49954}" name="Humidity_Level"/>
    <tableColumn id="23" xr3:uid="{5D855F39-1397-4BC2-80D5-8102B25795B1}" name="Wind_Level"/>
    <tableColumn id="24" xr3:uid="{3486FAC7-7351-4377-9C23-FBF6975A92D8}" name="Day_Type"/>
    <tableColumn id="25" xr3:uid="{6A6E7739-5F6C-4ED8-87AD-623B82355F48}" name="Customer_Type"/>
    <tableColumn id="26" xr3:uid="{91DC6F6C-466B-4057-8BEC-392AC8F449CE}" name="Casual_Percentage" dataDxfId="38"/>
    <tableColumn id="27" xr3:uid="{16C0AB75-AC13-479D-A6B2-48D6B8277DAD}" name="Registered_Percentage" dataDxfId="37"/>
    <tableColumn id="28" xr3:uid="{68C6FE6C-A23A-4DCD-974F-DD7D22CC141B}" name="Rush_Hour"/>
    <tableColumn id="29" xr3:uid="{5A51936B-E13F-4C6C-8801-CC1C9696566A}" name="Demand_Level"/>
    <tableColumn id="30" xr3:uid="{CF6CB290-46C2-4247-9F03-F82BCF490DF6}" name="Weekend"/>
    <tableColumn id="31" xr3:uid="{058FE38B-3FEF-42E8-8F76-71EE109EA492}" name="Feels_Like_Difference" dataDxfId="3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57DFF7-287D-4EF6-B5F8-BFA253878818}" name="Table2" displayName="Table2" ref="A22:E64" totalsRowShown="0">
  <autoFilter ref="A22:E64" xr:uid="{1257DFF7-287D-4EF6-B5F8-BFA253878818}"/>
  <tableColumns count="5">
    <tableColumn id="1" xr3:uid="{F42F72EF-5A50-495C-AACC-7C5259B85F17}" name="date" dataDxfId="15"/>
    <tableColumn id="2" xr3:uid="{8D29A69E-6D80-477A-955D-9386742EB86D}" name="total_customer"/>
    <tableColumn id="3" xr3:uid="{85010749-CA5E-4A20-AA3D-F1A0070C4DC1}" name="Forecast(total_customer)">
      <calculatedColumnFormula>_xlfn.FORECAST.ETS(A23,$B$23:$B$50,$A$23:$A$50,1,1)</calculatedColumnFormula>
    </tableColumn>
    <tableColumn id="4" xr3:uid="{EBE2B274-3412-4880-9B1C-D845179640C5}" name="Lower Confidence Bound(total_customer)" dataDxfId="14">
      <calculatedColumnFormula>C23-_xlfn.FORECAST.ETS.CONFINT(A23,$B$23:$B$50,$A$23:$A$50,0.95,1,1)</calculatedColumnFormula>
    </tableColumn>
    <tableColumn id="5" xr3:uid="{6C227713-BB54-4F3B-9FC4-8E517C0C70BA}" name="Upper Confidence Bound(total_customer)" dataDxfId="13">
      <calculatedColumnFormula>C23+_xlfn.FORECAST.ETS.CONFINT(A23,$B$23:$B$50,$A$23:$A$50,0.95,1,1)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D31D-B3FC-4E56-961A-F24DE9489B58}">
  <dimension ref="A1:N611"/>
  <sheetViews>
    <sheetView tabSelected="1" workbookViewId="0">
      <selection activeCell="E24" sqref="E24"/>
    </sheetView>
  </sheetViews>
  <sheetFormatPr defaultRowHeight="14.4" x14ac:dyDescent="0.3"/>
  <cols>
    <col min="1" max="1" width="9" style="7" bestFit="1" customWidth="1"/>
    <col min="2" max="2" width="10.33203125" style="1" bestFit="1" customWidth="1"/>
    <col min="3" max="3" width="9" style="7" bestFit="1" customWidth="1"/>
    <col min="4" max="4" width="7.21875" style="7" bestFit="1" customWidth="1"/>
    <col min="5" max="5" width="9.44140625" bestFit="1" customWidth="1"/>
    <col min="6" max="6" width="10.77734375" style="7" bestFit="1" customWidth="1"/>
    <col min="7" max="7" width="18.5546875" style="7" bestFit="1" customWidth="1"/>
    <col min="8" max="8" width="13.77734375" style="6" bestFit="1" customWidth="1"/>
    <col min="9" max="9" width="22.44140625" style="8" bestFit="1" customWidth="1"/>
    <col min="10" max="10" width="10.77734375" style="6" bestFit="1" customWidth="1"/>
    <col min="11" max="11" width="12.33203125" style="8" bestFit="1" customWidth="1"/>
    <col min="12" max="12" width="17.44140625" style="7" bestFit="1" customWidth="1"/>
    <col min="13" max="13" width="20.6640625" style="7" bestFit="1" customWidth="1"/>
    <col min="14" max="14" width="16.109375" style="7" bestFit="1" customWidth="1"/>
  </cols>
  <sheetData>
    <row r="1" spans="1:14" x14ac:dyDescent="0.3">
      <c r="A1" s="7" t="s">
        <v>0</v>
      </c>
      <c r="B1" s="1" t="s">
        <v>1</v>
      </c>
      <c r="C1" s="7" t="s">
        <v>2</v>
      </c>
      <c r="D1" s="7" t="s">
        <v>3</v>
      </c>
      <c r="E1" t="s">
        <v>4</v>
      </c>
      <c r="F1" s="7" t="s">
        <v>5</v>
      </c>
      <c r="G1" s="7" t="s">
        <v>6</v>
      </c>
      <c r="H1" s="6" t="s">
        <v>7</v>
      </c>
      <c r="I1" s="8" t="s">
        <v>8</v>
      </c>
      <c r="J1" s="6" t="s">
        <v>9</v>
      </c>
      <c r="K1" s="8" t="s">
        <v>10</v>
      </c>
      <c r="L1" s="7" t="s">
        <v>11</v>
      </c>
      <c r="M1" s="7" t="s">
        <v>12</v>
      </c>
      <c r="N1" s="7" t="s">
        <v>13</v>
      </c>
    </row>
    <row r="2" spans="1:14" x14ac:dyDescent="0.3">
      <c r="A2" s="7">
        <v>1</v>
      </c>
      <c r="B2" s="1">
        <v>40544</v>
      </c>
      <c r="C2" s="7">
        <v>1</v>
      </c>
      <c r="D2" s="7">
        <v>0</v>
      </c>
      <c r="E2" t="b">
        <v>0</v>
      </c>
      <c r="F2" s="7">
        <v>6</v>
      </c>
      <c r="G2" s="7">
        <v>1</v>
      </c>
      <c r="H2" s="6">
        <v>0.24</v>
      </c>
      <c r="I2" s="8">
        <v>0.28789999999999999</v>
      </c>
      <c r="J2" s="6">
        <v>0.81</v>
      </c>
      <c r="K2" s="8">
        <v>0</v>
      </c>
      <c r="L2" s="7">
        <v>3</v>
      </c>
      <c r="M2" s="7">
        <v>13</v>
      </c>
      <c r="N2" s="7">
        <v>16</v>
      </c>
    </row>
    <row r="3" spans="1:14" x14ac:dyDescent="0.3">
      <c r="A3" s="7">
        <v>2</v>
      </c>
      <c r="B3" s="1">
        <v>40544</v>
      </c>
      <c r="C3" s="7">
        <v>1</v>
      </c>
      <c r="D3" s="7">
        <v>1</v>
      </c>
      <c r="E3" t="b">
        <v>0</v>
      </c>
      <c r="F3" s="7">
        <v>6</v>
      </c>
      <c r="G3" s="7">
        <v>1</v>
      </c>
      <c r="H3" s="6">
        <v>0.22</v>
      </c>
      <c r="I3" s="8">
        <v>0.2727</v>
      </c>
      <c r="J3" s="6">
        <v>0.8</v>
      </c>
      <c r="K3" s="8">
        <v>0</v>
      </c>
      <c r="L3" s="7">
        <v>8</v>
      </c>
      <c r="M3" s="7">
        <v>32</v>
      </c>
      <c r="N3" s="7">
        <v>40</v>
      </c>
    </row>
    <row r="4" spans="1:14" x14ac:dyDescent="0.3">
      <c r="A4" s="7">
        <v>3</v>
      </c>
      <c r="B4" s="1">
        <v>40544</v>
      </c>
      <c r="C4" s="7">
        <v>1</v>
      </c>
      <c r="D4" s="7">
        <v>2</v>
      </c>
      <c r="E4" t="b">
        <v>0</v>
      </c>
      <c r="F4" s="7">
        <v>6</v>
      </c>
      <c r="G4" s="7">
        <v>1</v>
      </c>
      <c r="H4" s="6">
        <v>0.22</v>
      </c>
      <c r="I4" s="8">
        <v>0.2727</v>
      </c>
      <c r="J4" s="6">
        <v>0.8</v>
      </c>
      <c r="K4" s="8">
        <v>0</v>
      </c>
      <c r="L4" s="7">
        <v>5</v>
      </c>
      <c r="M4" s="7">
        <v>27</v>
      </c>
      <c r="N4" s="7">
        <v>32</v>
      </c>
    </row>
    <row r="5" spans="1:14" x14ac:dyDescent="0.3">
      <c r="A5" s="7">
        <v>4</v>
      </c>
      <c r="B5" s="1">
        <v>40544</v>
      </c>
      <c r="C5" s="7">
        <v>1</v>
      </c>
      <c r="D5" s="7">
        <v>3</v>
      </c>
      <c r="E5" t="b">
        <v>0</v>
      </c>
      <c r="F5" s="7">
        <v>6</v>
      </c>
      <c r="G5" s="7">
        <v>1</v>
      </c>
      <c r="H5" s="6">
        <v>0.24</v>
      </c>
      <c r="I5" s="8">
        <v>0.28789999999999999</v>
      </c>
      <c r="J5" s="6">
        <v>0.75</v>
      </c>
      <c r="K5" s="8">
        <v>0</v>
      </c>
      <c r="L5" s="7">
        <v>3</v>
      </c>
      <c r="M5" s="7">
        <v>10</v>
      </c>
      <c r="N5" s="7">
        <v>13</v>
      </c>
    </row>
    <row r="6" spans="1:14" x14ac:dyDescent="0.3">
      <c r="A6" s="7">
        <v>5</v>
      </c>
      <c r="B6" s="1">
        <v>40544</v>
      </c>
      <c r="C6" s="7">
        <v>1</v>
      </c>
      <c r="D6" s="7">
        <v>4</v>
      </c>
      <c r="E6" t="b">
        <v>0</v>
      </c>
      <c r="F6" s="7">
        <v>6</v>
      </c>
      <c r="G6" s="7">
        <v>1</v>
      </c>
      <c r="H6" s="6">
        <v>0.24</v>
      </c>
      <c r="I6" s="8">
        <v>0.28789999999999999</v>
      </c>
      <c r="J6" s="6">
        <v>0.75</v>
      </c>
      <c r="K6" s="8">
        <v>0</v>
      </c>
      <c r="L6" s="7">
        <v>0</v>
      </c>
      <c r="M6" s="7">
        <v>1</v>
      </c>
      <c r="N6" s="7">
        <v>1</v>
      </c>
    </row>
    <row r="7" spans="1:14" x14ac:dyDescent="0.3">
      <c r="A7" s="7">
        <v>6</v>
      </c>
      <c r="B7" s="1">
        <v>40544</v>
      </c>
      <c r="C7" s="7">
        <v>1</v>
      </c>
      <c r="D7" s="7">
        <v>5</v>
      </c>
      <c r="E7" t="b">
        <v>0</v>
      </c>
      <c r="F7" s="7">
        <v>6</v>
      </c>
      <c r="G7" s="7">
        <v>2</v>
      </c>
      <c r="H7" s="6">
        <v>0.24</v>
      </c>
      <c r="I7" s="8">
        <v>0.2576</v>
      </c>
      <c r="J7" s="6">
        <v>0.75</v>
      </c>
      <c r="K7" s="8">
        <v>8.9599999999999999E-2</v>
      </c>
      <c r="L7" s="7">
        <v>0</v>
      </c>
      <c r="M7" s="7">
        <v>1</v>
      </c>
      <c r="N7" s="7">
        <v>1</v>
      </c>
    </row>
    <row r="8" spans="1:14" x14ac:dyDescent="0.3">
      <c r="A8" s="7">
        <v>7</v>
      </c>
      <c r="B8" s="1">
        <v>40544</v>
      </c>
      <c r="C8" s="7">
        <v>1</v>
      </c>
      <c r="D8" s="7">
        <v>6</v>
      </c>
      <c r="E8" t="b">
        <v>0</v>
      </c>
      <c r="F8" s="7">
        <v>6</v>
      </c>
      <c r="G8" s="7">
        <v>1</v>
      </c>
      <c r="H8" s="6">
        <v>0.22</v>
      </c>
      <c r="I8" s="8">
        <v>0.2727</v>
      </c>
      <c r="J8" s="6">
        <v>0.8</v>
      </c>
      <c r="K8" s="8">
        <v>0</v>
      </c>
      <c r="L8" s="7">
        <v>2</v>
      </c>
      <c r="M8" s="7">
        <v>0</v>
      </c>
      <c r="N8" s="7">
        <v>2</v>
      </c>
    </row>
    <row r="9" spans="1:14" x14ac:dyDescent="0.3">
      <c r="A9" s="7">
        <v>8</v>
      </c>
      <c r="B9" s="1">
        <v>40544</v>
      </c>
      <c r="C9" s="7">
        <v>1</v>
      </c>
      <c r="D9" s="7">
        <v>7</v>
      </c>
      <c r="E9" t="b">
        <v>0</v>
      </c>
      <c r="F9" s="7">
        <v>6</v>
      </c>
      <c r="G9" s="7">
        <v>1</v>
      </c>
      <c r="H9" s="6">
        <v>0.2</v>
      </c>
      <c r="I9" s="8">
        <v>0.2576</v>
      </c>
      <c r="J9" s="6">
        <v>0.86</v>
      </c>
      <c r="K9" s="8">
        <v>0</v>
      </c>
      <c r="L9" s="7">
        <v>1</v>
      </c>
      <c r="M9" s="7">
        <v>2</v>
      </c>
      <c r="N9" s="7">
        <v>3</v>
      </c>
    </row>
    <row r="10" spans="1:14" x14ac:dyDescent="0.3">
      <c r="A10" s="7">
        <v>9</v>
      </c>
      <c r="B10" s="1">
        <v>40544</v>
      </c>
      <c r="C10" s="7">
        <v>1</v>
      </c>
      <c r="D10" s="7">
        <v>8</v>
      </c>
      <c r="E10" t="b">
        <v>0</v>
      </c>
      <c r="F10" s="7">
        <v>6</v>
      </c>
      <c r="G10" s="7">
        <v>1</v>
      </c>
      <c r="H10" s="6">
        <v>0.24</v>
      </c>
      <c r="I10" s="8">
        <v>0.2576</v>
      </c>
      <c r="J10" s="6">
        <v>0.75</v>
      </c>
      <c r="K10" s="8">
        <v>0</v>
      </c>
      <c r="L10" s="7">
        <v>1</v>
      </c>
      <c r="M10" s="7">
        <v>7</v>
      </c>
      <c r="N10" s="7">
        <v>8</v>
      </c>
    </row>
    <row r="11" spans="1:14" x14ac:dyDescent="0.3">
      <c r="A11" s="7">
        <v>10</v>
      </c>
      <c r="B11" s="1">
        <v>40544</v>
      </c>
      <c r="C11" s="7">
        <v>1</v>
      </c>
      <c r="D11" s="7">
        <v>9</v>
      </c>
      <c r="E11" t="b">
        <v>0</v>
      </c>
      <c r="F11" s="7">
        <v>6</v>
      </c>
      <c r="G11" s="7">
        <v>1</v>
      </c>
      <c r="H11" s="6">
        <v>0.32</v>
      </c>
      <c r="I11" s="8">
        <v>0.34849999999999998</v>
      </c>
      <c r="J11" s="6">
        <v>0.76</v>
      </c>
      <c r="K11" s="8">
        <v>0</v>
      </c>
      <c r="L11" s="7">
        <v>8</v>
      </c>
      <c r="M11" s="7">
        <v>6</v>
      </c>
      <c r="N11" s="7">
        <v>14</v>
      </c>
    </row>
    <row r="12" spans="1:14" x14ac:dyDescent="0.3">
      <c r="A12" s="7">
        <v>11</v>
      </c>
      <c r="B12" s="1">
        <v>40544</v>
      </c>
      <c r="C12" s="7">
        <v>1</v>
      </c>
      <c r="D12" s="7">
        <v>10</v>
      </c>
      <c r="E12" t="b">
        <v>0</v>
      </c>
      <c r="F12" s="7">
        <v>6</v>
      </c>
      <c r="G12" s="7">
        <v>1</v>
      </c>
      <c r="H12" s="6">
        <v>0.38</v>
      </c>
      <c r="I12" s="8">
        <v>0.39389999999999997</v>
      </c>
      <c r="J12" s="6">
        <v>0.76</v>
      </c>
      <c r="K12" s="8">
        <v>0.25369999999999998</v>
      </c>
      <c r="L12" s="7">
        <v>12</v>
      </c>
      <c r="M12" s="7">
        <v>24</v>
      </c>
      <c r="N12" s="7">
        <v>36</v>
      </c>
    </row>
    <row r="13" spans="1:14" x14ac:dyDescent="0.3">
      <c r="A13" s="7">
        <v>12</v>
      </c>
      <c r="B13" s="1">
        <v>40544</v>
      </c>
      <c r="C13" s="7">
        <v>1</v>
      </c>
      <c r="D13" s="7">
        <v>11</v>
      </c>
      <c r="E13" t="b">
        <v>0</v>
      </c>
      <c r="F13" s="7">
        <v>6</v>
      </c>
      <c r="G13" s="7">
        <v>1</v>
      </c>
      <c r="H13" s="6">
        <v>0.36</v>
      </c>
      <c r="I13" s="8">
        <v>0.33329999999999999</v>
      </c>
      <c r="J13" s="6">
        <v>0.81</v>
      </c>
      <c r="K13" s="8">
        <v>0.28360000000000002</v>
      </c>
      <c r="L13" s="7">
        <v>26</v>
      </c>
      <c r="M13" s="7">
        <v>30</v>
      </c>
      <c r="N13" s="7">
        <v>56</v>
      </c>
    </row>
    <row r="14" spans="1:14" x14ac:dyDescent="0.3">
      <c r="A14" s="7">
        <v>13</v>
      </c>
      <c r="B14" s="1">
        <v>40544</v>
      </c>
      <c r="C14" s="7">
        <v>1</v>
      </c>
      <c r="D14" s="7">
        <v>12</v>
      </c>
      <c r="E14" t="b">
        <v>0</v>
      </c>
      <c r="F14" s="7">
        <v>6</v>
      </c>
      <c r="G14" s="7">
        <v>1</v>
      </c>
      <c r="H14" s="6">
        <v>0.42</v>
      </c>
      <c r="I14" s="8">
        <v>0.42420000000000002</v>
      </c>
      <c r="J14" s="6">
        <v>0.77</v>
      </c>
      <c r="K14" s="8">
        <v>0.28360000000000002</v>
      </c>
      <c r="L14" s="7">
        <v>29</v>
      </c>
      <c r="M14" s="7">
        <v>55</v>
      </c>
      <c r="N14" s="7">
        <v>84</v>
      </c>
    </row>
    <row r="15" spans="1:14" x14ac:dyDescent="0.3">
      <c r="A15" s="7">
        <v>14</v>
      </c>
      <c r="B15" s="1">
        <v>40544</v>
      </c>
      <c r="C15" s="7">
        <v>1</v>
      </c>
      <c r="D15" s="7">
        <v>13</v>
      </c>
      <c r="E15" t="b">
        <v>0</v>
      </c>
      <c r="F15" s="7">
        <v>6</v>
      </c>
      <c r="G15" s="7">
        <v>2</v>
      </c>
      <c r="H15" s="6">
        <v>0.46</v>
      </c>
      <c r="I15" s="8">
        <v>0.45450000000000002</v>
      </c>
      <c r="J15" s="6">
        <v>0.72</v>
      </c>
      <c r="K15" s="8">
        <v>0.29849999999999999</v>
      </c>
      <c r="L15" s="7">
        <v>47</v>
      </c>
      <c r="M15" s="7">
        <v>47</v>
      </c>
      <c r="N15" s="7">
        <v>94</v>
      </c>
    </row>
    <row r="16" spans="1:14" x14ac:dyDescent="0.3">
      <c r="A16" s="7">
        <v>15</v>
      </c>
      <c r="B16" s="1">
        <v>40544</v>
      </c>
      <c r="C16" s="7">
        <v>1</v>
      </c>
      <c r="D16" s="7">
        <v>14</v>
      </c>
      <c r="E16" t="b">
        <v>0</v>
      </c>
      <c r="F16" s="7">
        <v>6</v>
      </c>
      <c r="G16" s="7">
        <v>2</v>
      </c>
      <c r="H16" s="6">
        <v>0.46</v>
      </c>
      <c r="I16" s="8">
        <v>0.45450000000000002</v>
      </c>
      <c r="J16" s="6">
        <v>0.72</v>
      </c>
      <c r="K16" s="8">
        <v>0.28360000000000002</v>
      </c>
      <c r="L16" s="7">
        <v>35</v>
      </c>
      <c r="M16" s="7">
        <v>71</v>
      </c>
      <c r="N16" s="7">
        <v>106</v>
      </c>
    </row>
    <row r="17" spans="1:14" x14ac:dyDescent="0.3">
      <c r="A17" s="7">
        <v>16</v>
      </c>
      <c r="B17" s="1">
        <v>40544</v>
      </c>
      <c r="C17" s="7">
        <v>1</v>
      </c>
      <c r="D17" s="7">
        <v>15</v>
      </c>
      <c r="E17" t="b">
        <v>0</v>
      </c>
      <c r="F17" s="7">
        <v>6</v>
      </c>
      <c r="G17" s="7">
        <v>2</v>
      </c>
      <c r="H17" s="6">
        <v>0.44</v>
      </c>
      <c r="I17" s="8">
        <v>0.43940000000000001</v>
      </c>
      <c r="J17" s="6">
        <v>0.77</v>
      </c>
      <c r="K17" s="8">
        <v>0.29849999999999999</v>
      </c>
      <c r="L17" s="7">
        <v>40</v>
      </c>
      <c r="M17" s="7">
        <v>70</v>
      </c>
      <c r="N17" s="7">
        <v>110</v>
      </c>
    </row>
    <row r="18" spans="1:14" x14ac:dyDescent="0.3">
      <c r="A18" s="7">
        <v>17</v>
      </c>
      <c r="B18" s="1">
        <v>40544</v>
      </c>
      <c r="C18" s="7">
        <v>1</v>
      </c>
      <c r="D18" s="7">
        <v>16</v>
      </c>
      <c r="E18" t="b">
        <v>0</v>
      </c>
      <c r="F18" s="7">
        <v>6</v>
      </c>
      <c r="G18" s="7">
        <v>2</v>
      </c>
      <c r="H18" s="6">
        <v>0.42</v>
      </c>
      <c r="I18" s="8">
        <v>0.42420000000000002</v>
      </c>
      <c r="J18" s="6">
        <v>0.82</v>
      </c>
      <c r="K18" s="8">
        <v>0.29849999999999999</v>
      </c>
      <c r="L18" s="7">
        <v>41</v>
      </c>
      <c r="M18" s="7">
        <v>52</v>
      </c>
      <c r="N18" s="7">
        <v>93</v>
      </c>
    </row>
    <row r="19" spans="1:14" x14ac:dyDescent="0.3">
      <c r="A19" s="7">
        <v>18</v>
      </c>
      <c r="B19" s="1">
        <v>40544</v>
      </c>
      <c r="C19" s="7">
        <v>1</v>
      </c>
      <c r="D19" s="7">
        <v>17</v>
      </c>
      <c r="E19" t="b">
        <v>0</v>
      </c>
      <c r="F19" s="7">
        <v>6</v>
      </c>
      <c r="G19" s="7">
        <v>2</v>
      </c>
      <c r="H19" s="6">
        <v>0.44</v>
      </c>
      <c r="I19" s="8">
        <v>0.42420000000000002</v>
      </c>
      <c r="J19" s="6">
        <v>0.82</v>
      </c>
      <c r="K19" s="8">
        <v>0.28360000000000002</v>
      </c>
      <c r="L19" s="7">
        <v>15</v>
      </c>
      <c r="M19" s="7">
        <v>52</v>
      </c>
      <c r="N19" s="7">
        <v>67</v>
      </c>
    </row>
    <row r="20" spans="1:14" x14ac:dyDescent="0.3">
      <c r="A20" s="7">
        <v>19</v>
      </c>
      <c r="B20" s="1">
        <v>40544</v>
      </c>
      <c r="C20" s="7">
        <v>1</v>
      </c>
      <c r="D20" s="7">
        <v>18</v>
      </c>
      <c r="E20" t="b">
        <v>0</v>
      </c>
      <c r="F20" s="7">
        <v>6</v>
      </c>
      <c r="G20" s="7">
        <v>3</v>
      </c>
      <c r="H20" s="6">
        <v>0.42</v>
      </c>
      <c r="I20" s="8">
        <v>0.42420000000000002</v>
      </c>
      <c r="J20" s="6">
        <v>0.88</v>
      </c>
      <c r="K20" s="8">
        <v>0.25369999999999998</v>
      </c>
      <c r="L20" s="7">
        <v>9</v>
      </c>
      <c r="M20" s="7">
        <v>26</v>
      </c>
      <c r="N20" s="7">
        <v>35</v>
      </c>
    </row>
    <row r="21" spans="1:14" x14ac:dyDescent="0.3">
      <c r="A21" s="7">
        <v>20</v>
      </c>
      <c r="B21" s="1">
        <v>40544</v>
      </c>
      <c r="C21" s="7">
        <v>1</v>
      </c>
      <c r="D21" s="7">
        <v>19</v>
      </c>
      <c r="E21" t="b">
        <v>0</v>
      </c>
      <c r="F21" s="7">
        <v>6</v>
      </c>
      <c r="G21" s="7">
        <v>3</v>
      </c>
      <c r="H21" s="6">
        <v>0.42</v>
      </c>
      <c r="I21" s="8">
        <v>0.42420000000000002</v>
      </c>
      <c r="J21" s="6">
        <v>0.88</v>
      </c>
      <c r="K21" s="8">
        <v>0.25369999999999998</v>
      </c>
      <c r="L21" s="7">
        <v>6</v>
      </c>
      <c r="M21" s="7">
        <v>31</v>
      </c>
      <c r="N21" s="7">
        <v>37</v>
      </c>
    </row>
    <row r="22" spans="1:14" x14ac:dyDescent="0.3">
      <c r="A22" s="7">
        <v>21</v>
      </c>
      <c r="B22" s="1">
        <v>40544</v>
      </c>
      <c r="C22" s="7">
        <v>1</v>
      </c>
      <c r="D22" s="7">
        <v>20</v>
      </c>
      <c r="E22" t="b">
        <v>0</v>
      </c>
      <c r="F22" s="7">
        <v>6</v>
      </c>
      <c r="G22" s="7">
        <v>2</v>
      </c>
      <c r="H22" s="6">
        <v>0.4</v>
      </c>
      <c r="I22" s="8">
        <v>0.40910000000000002</v>
      </c>
      <c r="J22" s="6">
        <v>0.87</v>
      </c>
      <c r="K22" s="8">
        <v>0.25369999999999998</v>
      </c>
      <c r="L22" s="7">
        <v>11</v>
      </c>
      <c r="M22" s="7">
        <v>25</v>
      </c>
      <c r="N22" s="7">
        <v>36</v>
      </c>
    </row>
    <row r="23" spans="1:14" x14ac:dyDescent="0.3">
      <c r="A23" s="7">
        <v>22</v>
      </c>
      <c r="B23" s="1">
        <v>40544</v>
      </c>
      <c r="C23" s="7">
        <v>1</v>
      </c>
      <c r="D23" s="7">
        <v>21</v>
      </c>
      <c r="E23" t="b">
        <v>0</v>
      </c>
      <c r="F23" s="7">
        <v>6</v>
      </c>
      <c r="G23" s="7">
        <v>2</v>
      </c>
      <c r="H23" s="6">
        <v>0.4</v>
      </c>
      <c r="I23" s="8">
        <v>0.40910000000000002</v>
      </c>
      <c r="J23" s="6">
        <v>0.87</v>
      </c>
      <c r="K23" s="8">
        <v>0.19400000000000001</v>
      </c>
      <c r="L23" s="7">
        <v>3</v>
      </c>
      <c r="M23" s="7">
        <v>31</v>
      </c>
      <c r="N23" s="7">
        <v>34</v>
      </c>
    </row>
    <row r="24" spans="1:14" x14ac:dyDescent="0.3">
      <c r="A24" s="7">
        <v>23</v>
      </c>
      <c r="B24" s="1">
        <v>40544</v>
      </c>
      <c r="C24" s="7">
        <v>1</v>
      </c>
      <c r="D24" s="7">
        <v>22</v>
      </c>
      <c r="E24" t="b">
        <v>0</v>
      </c>
      <c r="F24" s="7">
        <v>6</v>
      </c>
      <c r="G24" s="7">
        <v>2</v>
      </c>
      <c r="H24" s="6">
        <v>0.4</v>
      </c>
      <c r="I24" s="8">
        <v>0.40910000000000002</v>
      </c>
      <c r="J24" s="6">
        <v>0.94</v>
      </c>
      <c r="K24" s="8">
        <v>0.22389999999999999</v>
      </c>
      <c r="L24" s="7">
        <v>11</v>
      </c>
      <c r="M24" s="7">
        <v>17</v>
      </c>
      <c r="N24" s="7">
        <v>28</v>
      </c>
    </row>
    <row r="25" spans="1:14" x14ac:dyDescent="0.3">
      <c r="A25" s="7">
        <v>24</v>
      </c>
      <c r="B25" s="1">
        <v>40544</v>
      </c>
      <c r="C25" s="7">
        <v>1</v>
      </c>
      <c r="D25" s="7">
        <v>23</v>
      </c>
      <c r="E25" t="b">
        <v>0</v>
      </c>
      <c r="F25" s="7">
        <v>6</v>
      </c>
      <c r="G25" s="7">
        <v>2</v>
      </c>
      <c r="H25" s="6">
        <v>0.46</v>
      </c>
      <c r="I25" s="8">
        <v>0.40910000000000002</v>
      </c>
      <c r="J25" s="6">
        <v>0.88</v>
      </c>
      <c r="K25" s="8">
        <v>0.29849999999999999</v>
      </c>
      <c r="L25" s="7">
        <v>15</v>
      </c>
      <c r="M25" s="7">
        <v>24</v>
      </c>
      <c r="N25" s="7">
        <v>39</v>
      </c>
    </row>
    <row r="26" spans="1:14" x14ac:dyDescent="0.3">
      <c r="A26" s="7">
        <v>25</v>
      </c>
      <c r="B26" s="1">
        <v>40545</v>
      </c>
      <c r="C26" s="7">
        <v>1</v>
      </c>
      <c r="D26" s="7">
        <v>0</v>
      </c>
      <c r="E26" t="b">
        <v>0</v>
      </c>
      <c r="F26" s="7">
        <v>0</v>
      </c>
      <c r="G26" s="7">
        <v>2</v>
      </c>
      <c r="H26" s="6">
        <v>0.46</v>
      </c>
      <c r="I26" s="8">
        <v>0.45450000000000002</v>
      </c>
      <c r="J26" s="6">
        <v>0.88</v>
      </c>
      <c r="K26" s="8">
        <v>0.29849999999999999</v>
      </c>
      <c r="L26" s="7">
        <v>4</v>
      </c>
      <c r="M26" s="7">
        <v>13</v>
      </c>
      <c r="N26" s="7">
        <v>17</v>
      </c>
    </row>
    <row r="27" spans="1:14" x14ac:dyDescent="0.3">
      <c r="A27" s="7">
        <v>26</v>
      </c>
      <c r="B27" s="1">
        <v>40545</v>
      </c>
      <c r="C27" s="7">
        <v>1</v>
      </c>
      <c r="D27" s="7">
        <v>1</v>
      </c>
      <c r="E27" t="b">
        <v>0</v>
      </c>
      <c r="F27" s="7">
        <v>0</v>
      </c>
      <c r="G27" s="7">
        <v>2</v>
      </c>
      <c r="H27" s="6">
        <v>0.44</v>
      </c>
      <c r="I27" s="8">
        <v>0.43940000000000001</v>
      </c>
      <c r="J27" s="6">
        <v>0.94</v>
      </c>
      <c r="K27" s="8">
        <v>0.25369999999999998</v>
      </c>
      <c r="L27" s="7">
        <v>1</v>
      </c>
      <c r="M27" s="7">
        <v>16</v>
      </c>
      <c r="N27" s="7">
        <v>17</v>
      </c>
    </row>
    <row r="28" spans="1:14" x14ac:dyDescent="0.3">
      <c r="A28" s="7">
        <v>27</v>
      </c>
      <c r="B28" s="1">
        <v>40545</v>
      </c>
      <c r="C28" s="7">
        <v>1</v>
      </c>
      <c r="D28" s="7">
        <v>2</v>
      </c>
      <c r="E28" t="b">
        <v>0</v>
      </c>
      <c r="F28" s="7">
        <v>0</v>
      </c>
      <c r="G28" s="7">
        <v>2</v>
      </c>
      <c r="H28" s="6">
        <v>0.42</v>
      </c>
      <c r="I28" s="8">
        <v>0.42420000000000002</v>
      </c>
      <c r="J28" s="6">
        <v>1</v>
      </c>
      <c r="K28" s="8">
        <v>0.28360000000000002</v>
      </c>
      <c r="L28" s="7">
        <v>1</v>
      </c>
      <c r="M28" s="7">
        <v>8</v>
      </c>
      <c r="N28" s="7">
        <v>9</v>
      </c>
    </row>
    <row r="29" spans="1:14" x14ac:dyDescent="0.3">
      <c r="A29" s="7">
        <v>28</v>
      </c>
      <c r="B29" s="1">
        <v>40545</v>
      </c>
      <c r="C29" s="7">
        <v>1</v>
      </c>
      <c r="D29" s="7">
        <v>3</v>
      </c>
      <c r="E29" t="b">
        <v>0</v>
      </c>
      <c r="F29" s="7">
        <v>0</v>
      </c>
      <c r="G29" s="7">
        <v>2</v>
      </c>
      <c r="H29" s="6">
        <v>0.46</v>
      </c>
      <c r="I29" s="8">
        <v>0.45450000000000002</v>
      </c>
      <c r="J29" s="6">
        <v>0.94</v>
      </c>
      <c r="K29" s="8">
        <v>0.19400000000000001</v>
      </c>
      <c r="L29" s="7">
        <v>2</v>
      </c>
      <c r="M29" s="7">
        <v>4</v>
      </c>
      <c r="N29" s="7">
        <v>6</v>
      </c>
    </row>
    <row r="30" spans="1:14" x14ac:dyDescent="0.3">
      <c r="A30" s="7">
        <v>29</v>
      </c>
      <c r="B30" s="1">
        <v>40545</v>
      </c>
      <c r="C30" s="7">
        <v>1</v>
      </c>
      <c r="D30" s="7">
        <v>4</v>
      </c>
      <c r="E30" t="b">
        <v>0</v>
      </c>
      <c r="F30" s="7">
        <v>0</v>
      </c>
      <c r="G30" s="7">
        <v>2</v>
      </c>
      <c r="H30" s="6">
        <v>0.46</v>
      </c>
      <c r="I30" s="8">
        <v>0.45450000000000002</v>
      </c>
      <c r="J30" s="6">
        <v>0.94</v>
      </c>
      <c r="K30" s="8">
        <v>0.19400000000000001</v>
      </c>
      <c r="L30" s="7">
        <v>2</v>
      </c>
      <c r="M30" s="7">
        <v>1</v>
      </c>
      <c r="N30" s="7">
        <v>3</v>
      </c>
    </row>
    <row r="31" spans="1:14" x14ac:dyDescent="0.3">
      <c r="A31" s="7">
        <v>30</v>
      </c>
      <c r="B31" s="1">
        <v>40545</v>
      </c>
      <c r="C31" s="7">
        <v>1</v>
      </c>
      <c r="D31" s="7">
        <v>6</v>
      </c>
      <c r="E31" t="b">
        <v>0</v>
      </c>
      <c r="F31" s="7">
        <v>0</v>
      </c>
      <c r="G31" s="7">
        <v>3</v>
      </c>
      <c r="H31" s="6">
        <v>0.42</v>
      </c>
      <c r="I31" s="8">
        <v>0.42420000000000002</v>
      </c>
      <c r="J31" s="6">
        <v>0.77</v>
      </c>
      <c r="K31" s="8">
        <v>0.29849999999999999</v>
      </c>
      <c r="L31" s="7">
        <v>0</v>
      </c>
      <c r="M31" s="7">
        <v>2</v>
      </c>
      <c r="N31" s="7">
        <v>2</v>
      </c>
    </row>
    <row r="32" spans="1:14" x14ac:dyDescent="0.3">
      <c r="A32" s="7">
        <v>31</v>
      </c>
      <c r="B32" s="1">
        <v>40545</v>
      </c>
      <c r="C32" s="7">
        <v>1</v>
      </c>
      <c r="D32" s="7">
        <v>7</v>
      </c>
      <c r="E32" t="b">
        <v>0</v>
      </c>
      <c r="F32" s="7">
        <v>0</v>
      </c>
      <c r="G32" s="7">
        <v>2</v>
      </c>
      <c r="H32" s="6">
        <v>0.4</v>
      </c>
      <c r="I32" s="8">
        <v>0.40910000000000002</v>
      </c>
      <c r="J32" s="6">
        <v>0.76</v>
      </c>
      <c r="K32" s="8">
        <v>0.19400000000000001</v>
      </c>
      <c r="L32" s="7">
        <v>0</v>
      </c>
      <c r="M32" s="7">
        <v>1</v>
      </c>
      <c r="N32" s="7">
        <v>1</v>
      </c>
    </row>
    <row r="33" spans="1:14" x14ac:dyDescent="0.3">
      <c r="A33" s="7">
        <v>32</v>
      </c>
      <c r="B33" s="1">
        <v>40545</v>
      </c>
      <c r="C33" s="7">
        <v>1</v>
      </c>
      <c r="D33" s="7">
        <v>8</v>
      </c>
      <c r="E33" t="b">
        <v>0</v>
      </c>
      <c r="F33" s="7">
        <v>0</v>
      </c>
      <c r="G33" s="7">
        <v>3</v>
      </c>
      <c r="H33" s="6">
        <v>0.4</v>
      </c>
      <c r="I33" s="8">
        <v>0.40910000000000002</v>
      </c>
      <c r="J33" s="6">
        <v>0.71</v>
      </c>
      <c r="K33" s="8">
        <v>0.22389999999999999</v>
      </c>
      <c r="L33" s="7">
        <v>0</v>
      </c>
      <c r="M33" s="7">
        <v>8</v>
      </c>
      <c r="N33" s="7">
        <v>8</v>
      </c>
    </row>
    <row r="34" spans="1:14" x14ac:dyDescent="0.3">
      <c r="A34" s="7">
        <v>33</v>
      </c>
      <c r="B34" s="1">
        <v>40545</v>
      </c>
      <c r="C34" s="7">
        <v>1</v>
      </c>
      <c r="D34" s="7">
        <v>9</v>
      </c>
      <c r="E34" t="b">
        <v>0</v>
      </c>
      <c r="F34" s="7">
        <v>0</v>
      </c>
      <c r="G34" s="7">
        <v>2</v>
      </c>
      <c r="H34" s="6">
        <v>0.38</v>
      </c>
      <c r="I34" s="8">
        <v>0.40910000000000002</v>
      </c>
      <c r="J34" s="6">
        <v>0.76</v>
      </c>
      <c r="K34" s="8">
        <v>0.22389999999999999</v>
      </c>
      <c r="L34" s="7">
        <v>1</v>
      </c>
      <c r="M34" s="7">
        <v>19</v>
      </c>
      <c r="N34" s="7">
        <v>20</v>
      </c>
    </row>
    <row r="35" spans="1:14" x14ac:dyDescent="0.3">
      <c r="A35" s="7">
        <v>34</v>
      </c>
      <c r="B35" s="1">
        <v>40545</v>
      </c>
      <c r="C35" s="7">
        <v>1</v>
      </c>
      <c r="D35" s="7">
        <v>10</v>
      </c>
      <c r="E35" t="b">
        <v>0</v>
      </c>
      <c r="F35" s="7">
        <v>0</v>
      </c>
      <c r="G35" s="7">
        <v>2</v>
      </c>
      <c r="H35" s="6">
        <v>0.36</v>
      </c>
      <c r="I35" s="8">
        <v>0.34849999999999998</v>
      </c>
      <c r="J35" s="6">
        <v>0.81</v>
      </c>
      <c r="K35" s="8">
        <v>0.22389999999999999</v>
      </c>
      <c r="L35" s="7">
        <v>7</v>
      </c>
      <c r="M35" s="7">
        <v>46</v>
      </c>
      <c r="N35" s="7">
        <v>53</v>
      </c>
    </row>
    <row r="36" spans="1:14" x14ac:dyDescent="0.3">
      <c r="A36" s="7">
        <v>35</v>
      </c>
      <c r="B36" s="1">
        <v>40545</v>
      </c>
      <c r="C36" s="7">
        <v>1</v>
      </c>
      <c r="D36" s="7">
        <v>11</v>
      </c>
      <c r="E36" t="b">
        <v>0</v>
      </c>
      <c r="F36" s="7">
        <v>0</v>
      </c>
      <c r="G36" s="7">
        <v>2</v>
      </c>
      <c r="H36" s="6">
        <v>0.36</v>
      </c>
      <c r="I36" s="8">
        <v>0.33329999999999999</v>
      </c>
      <c r="J36" s="6">
        <v>0.71</v>
      </c>
      <c r="K36" s="8">
        <v>0.25369999999999998</v>
      </c>
      <c r="L36" s="7">
        <v>16</v>
      </c>
      <c r="M36" s="7">
        <v>54</v>
      </c>
      <c r="N36" s="7">
        <v>70</v>
      </c>
    </row>
    <row r="37" spans="1:14" x14ac:dyDescent="0.3">
      <c r="A37" s="7">
        <v>36</v>
      </c>
      <c r="B37" s="1">
        <v>40545</v>
      </c>
      <c r="C37" s="7">
        <v>1</v>
      </c>
      <c r="D37" s="7">
        <v>12</v>
      </c>
      <c r="E37" t="b">
        <v>0</v>
      </c>
      <c r="F37" s="7">
        <v>0</v>
      </c>
      <c r="G37" s="7">
        <v>2</v>
      </c>
      <c r="H37" s="6">
        <v>0.36</v>
      </c>
      <c r="I37" s="8">
        <v>0.33329999999999999</v>
      </c>
      <c r="J37" s="6">
        <v>0.66</v>
      </c>
      <c r="K37" s="8">
        <v>0.29849999999999999</v>
      </c>
      <c r="L37" s="7">
        <v>20</v>
      </c>
      <c r="M37" s="7">
        <v>73</v>
      </c>
      <c r="N37" s="7">
        <v>93</v>
      </c>
    </row>
    <row r="38" spans="1:14" x14ac:dyDescent="0.3">
      <c r="A38" s="7">
        <v>37</v>
      </c>
      <c r="B38" s="1">
        <v>40545</v>
      </c>
      <c r="C38" s="7">
        <v>1</v>
      </c>
      <c r="D38" s="7">
        <v>13</v>
      </c>
      <c r="E38" t="b">
        <v>0</v>
      </c>
      <c r="F38" s="7">
        <v>0</v>
      </c>
      <c r="G38" s="7">
        <v>2</v>
      </c>
      <c r="H38" s="6">
        <v>0.36</v>
      </c>
      <c r="I38" s="8">
        <v>0.34849999999999998</v>
      </c>
      <c r="J38" s="6">
        <v>0.66</v>
      </c>
      <c r="K38" s="8">
        <v>0.1343</v>
      </c>
      <c r="L38" s="7">
        <v>11</v>
      </c>
      <c r="M38" s="7">
        <v>64</v>
      </c>
      <c r="N38" s="7">
        <v>75</v>
      </c>
    </row>
    <row r="39" spans="1:14" x14ac:dyDescent="0.3">
      <c r="A39" s="7">
        <v>38</v>
      </c>
      <c r="B39" s="1">
        <v>40545</v>
      </c>
      <c r="C39" s="7">
        <v>1</v>
      </c>
      <c r="D39" s="7">
        <v>14</v>
      </c>
      <c r="E39" t="b">
        <v>0</v>
      </c>
      <c r="F39" s="7">
        <v>0</v>
      </c>
      <c r="G39" s="7">
        <v>3</v>
      </c>
      <c r="H39" s="6">
        <v>0.36</v>
      </c>
      <c r="I39" s="8">
        <v>0.34849999999999998</v>
      </c>
      <c r="J39" s="6">
        <v>0.76</v>
      </c>
      <c r="K39" s="8">
        <v>0.19400000000000001</v>
      </c>
      <c r="L39" s="7">
        <v>4</v>
      </c>
      <c r="M39" s="7">
        <v>55</v>
      </c>
      <c r="N39" s="7">
        <v>59</v>
      </c>
    </row>
    <row r="40" spans="1:14" x14ac:dyDescent="0.3">
      <c r="A40" s="7">
        <v>39</v>
      </c>
      <c r="B40" s="1">
        <v>40545</v>
      </c>
      <c r="C40" s="7">
        <v>1</v>
      </c>
      <c r="D40" s="7">
        <v>15</v>
      </c>
      <c r="E40" t="b">
        <v>0</v>
      </c>
      <c r="F40" s="7">
        <v>0</v>
      </c>
      <c r="G40" s="7">
        <v>3</v>
      </c>
      <c r="H40" s="6">
        <v>0.34</v>
      </c>
      <c r="I40" s="8">
        <v>0.33329999999999999</v>
      </c>
      <c r="J40" s="6">
        <v>0.81</v>
      </c>
      <c r="K40" s="8">
        <v>0.16420000000000001</v>
      </c>
      <c r="L40" s="7">
        <v>19</v>
      </c>
      <c r="M40" s="7">
        <v>55</v>
      </c>
      <c r="N40" s="7">
        <v>74</v>
      </c>
    </row>
    <row r="41" spans="1:14" x14ac:dyDescent="0.3">
      <c r="A41" s="7">
        <v>40</v>
      </c>
      <c r="B41" s="1">
        <v>40545</v>
      </c>
      <c r="C41" s="7">
        <v>1</v>
      </c>
      <c r="D41" s="7">
        <v>16</v>
      </c>
      <c r="E41" t="b">
        <v>0</v>
      </c>
      <c r="F41" s="7">
        <v>0</v>
      </c>
      <c r="G41" s="7">
        <v>3</v>
      </c>
      <c r="H41" s="6">
        <v>0.34</v>
      </c>
      <c r="I41" s="8">
        <v>0.33329999999999999</v>
      </c>
      <c r="J41" s="6">
        <v>0.71</v>
      </c>
      <c r="K41" s="8">
        <v>0.16420000000000001</v>
      </c>
      <c r="L41" s="7">
        <v>9</v>
      </c>
      <c r="M41" s="7">
        <v>67</v>
      </c>
      <c r="N41" s="7">
        <v>76</v>
      </c>
    </row>
    <row r="42" spans="1:14" x14ac:dyDescent="0.3">
      <c r="A42" s="7">
        <v>41</v>
      </c>
      <c r="B42" s="1">
        <v>40545</v>
      </c>
      <c r="C42" s="7">
        <v>1</v>
      </c>
      <c r="D42" s="7">
        <v>17</v>
      </c>
      <c r="E42" t="b">
        <v>0</v>
      </c>
      <c r="F42" s="7">
        <v>0</v>
      </c>
      <c r="G42" s="7">
        <v>1</v>
      </c>
      <c r="H42" s="6">
        <v>0.34</v>
      </c>
      <c r="I42" s="8">
        <v>0.33329999999999999</v>
      </c>
      <c r="J42" s="6">
        <v>0.56999999999999995</v>
      </c>
      <c r="K42" s="8">
        <v>0.19400000000000001</v>
      </c>
      <c r="L42" s="7">
        <v>7</v>
      </c>
      <c r="M42" s="7">
        <v>58</v>
      </c>
      <c r="N42" s="7">
        <v>65</v>
      </c>
    </row>
    <row r="43" spans="1:14" x14ac:dyDescent="0.3">
      <c r="A43" s="7">
        <v>42</v>
      </c>
      <c r="B43" s="1">
        <v>40545</v>
      </c>
      <c r="C43" s="7">
        <v>1</v>
      </c>
      <c r="D43" s="7">
        <v>18</v>
      </c>
      <c r="E43" t="b">
        <v>0</v>
      </c>
      <c r="F43" s="7">
        <v>0</v>
      </c>
      <c r="G43" s="7">
        <v>2</v>
      </c>
      <c r="H43" s="6">
        <v>0.36</v>
      </c>
      <c r="I43" s="8">
        <v>0.33329999999999999</v>
      </c>
      <c r="J43" s="6">
        <v>0.46</v>
      </c>
      <c r="K43" s="8">
        <v>0.32840000000000003</v>
      </c>
      <c r="L43" s="7">
        <v>10</v>
      </c>
      <c r="M43" s="7">
        <v>43</v>
      </c>
      <c r="N43" s="7">
        <v>53</v>
      </c>
    </row>
    <row r="44" spans="1:14" x14ac:dyDescent="0.3">
      <c r="A44" s="7">
        <v>43</v>
      </c>
      <c r="B44" s="1">
        <v>40545</v>
      </c>
      <c r="C44" s="7">
        <v>1</v>
      </c>
      <c r="D44" s="7">
        <v>19</v>
      </c>
      <c r="E44" t="b">
        <v>0</v>
      </c>
      <c r="F44" s="7">
        <v>0</v>
      </c>
      <c r="G44" s="7">
        <v>1</v>
      </c>
      <c r="H44" s="6">
        <v>0.32</v>
      </c>
      <c r="I44" s="8">
        <v>0.28789999999999999</v>
      </c>
      <c r="J44" s="6">
        <v>0.42</v>
      </c>
      <c r="K44" s="8">
        <v>0.44779999999999998</v>
      </c>
      <c r="L44" s="7">
        <v>1</v>
      </c>
      <c r="M44" s="7">
        <v>29</v>
      </c>
      <c r="N44" s="7">
        <v>30</v>
      </c>
    </row>
    <row r="45" spans="1:14" x14ac:dyDescent="0.3">
      <c r="A45" s="7">
        <v>44</v>
      </c>
      <c r="B45" s="1">
        <v>40545</v>
      </c>
      <c r="C45" s="7">
        <v>1</v>
      </c>
      <c r="D45" s="7">
        <v>20</v>
      </c>
      <c r="E45" t="b">
        <v>0</v>
      </c>
      <c r="F45" s="7">
        <v>0</v>
      </c>
      <c r="G45" s="7">
        <v>1</v>
      </c>
      <c r="H45" s="6">
        <v>0.3</v>
      </c>
      <c r="I45" s="8">
        <v>0.28789999999999999</v>
      </c>
      <c r="J45" s="6">
        <v>0.39</v>
      </c>
      <c r="K45" s="8">
        <v>0.35820000000000002</v>
      </c>
      <c r="L45" s="7">
        <v>5</v>
      </c>
      <c r="M45" s="7">
        <v>17</v>
      </c>
      <c r="N45" s="7">
        <v>22</v>
      </c>
    </row>
    <row r="46" spans="1:14" x14ac:dyDescent="0.3">
      <c r="A46" s="7">
        <v>45</v>
      </c>
      <c r="B46" s="1">
        <v>40545</v>
      </c>
      <c r="C46" s="7">
        <v>1</v>
      </c>
      <c r="D46" s="7">
        <v>21</v>
      </c>
      <c r="E46" t="b">
        <v>0</v>
      </c>
      <c r="F46" s="7">
        <v>0</v>
      </c>
      <c r="G46" s="7">
        <v>1</v>
      </c>
      <c r="H46" s="6">
        <v>0.26</v>
      </c>
      <c r="I46" s="8">
        <v>0.2273</v>
      </c>
      <c r="J46" s="6">
        <v>0.44</v>
      </c>
      <c r="K46" s="8">
        <v>0.32840000000000003</v>
      </c>
      <c r="L46" s="7">
        <v>11</v>
      </c>
      <c r="M46" s="7">
        <v>20</v>
      </c>
      <c r="N46" s="7">
        <v>31</v>
      </c>
    </row>
    <row r="47" spans="1:14" x14ac:dyDescent="0.3">
      <c r="A47" s="7">
        <v>46</v>
      </c>
      <c r="B47" s="1">
        <v>40545</v>
      </c>
      <c r="C47" s="7">
        <v>1</v>
      </c>
      <c r="D47" s="7">
        <v>22</v>
      </c>
      <c r="E47" t="b">
        <v>0</v>
      </c>
      <c r="F47" s="7">
        <v>0</v>
      </c>
      <c r="G47" s="7">
        <v>1</v>
      </c>
      <c r="H47" s="6">
        <v>0.24</v>
      </c>
      <c r="I47" s="8">
        <v>0.21210000000000001</v>
      </c>
      <c r="J47" s="6">
        <v>0.44</v>
      </c>
      <c r="K47" s="8">
        <v>0.29849999999999999</v>
      </c>
      <c r="L47" s="7">
        <v>0</v>
      </c>
      <c r="M47" s="7">
        <v>9</v>
      </c>
      <c r="N47" s="7">
        <v>9</v>
      </c>
    </row>
    <row r="48" spans="1:14" x14ac:dyDescent="0.3">
      <c r="A48" s="7">
        <v>47</v>
      </c>
      <c r="B48" s="1">
        <v>40545</v>
      </c>
      <c r="C48" s="7">
        <v>1</v>
      </c>
      <c r="D48" s="7">
        <v>23</v>
      </c>
      <c r="E48" t="b">
        <v>0</v>
      </c>
      <c r="F48" s="7">
        <v>0</v>
      </c>
      <c r="G48" s="7">
        <v>1</v>
      </c>
      <c r="H48" s="6">
        <v>0.22</v>
      </c>
      <c r="I48" s="8">
        <v>0.2273</v>
      </c>
      <c r="J48" s="6">
        <v>0.47</v>
      </c>
      <c r="K48" s="8">
        <v>0.16420000000000001</v>
      </c>
      <c r="L48" s="7">
        <v>0</v>
      </c>
      <c r="M48" s="7">
        <v>8</v>
      </c>
      <c r="N48" s="7">
        <v>8</v>
      </c>
    </row>
    <row r="49" spans="1:14" x14ac:dyDescent="0.3">
      <c r="A49" s="7">
        <v>48</v>
      </c>
      <c r="B49" s="1">
        <v>40546</v>
      </c>
      <c r="C49" s="7">
        <v>1</v>
      </c>
      <c r="D49" s="7">
        <v>0</v>
      </c>
      <c r="E49" t="b">
        <v>0</v>
      </c>
      <c r="F49" s="7">
        <v>1</v>
      </c>
      <c r="G49" s="7">
        <v>1</v>
      </c>
      <c r="H49" s="6">
        <v>0.22</v>
      </c>
      <c r="I49" s="8">
        <v>0.19700000000000001</v>
      </c>
      <c r="J49" s="6">
        <v>0.44</v>
      </c>
      <c r="K49" s="8">
        <v>0.35820000000000002</v>
      </c>
      <c r="L49" s="7">
        <v>0</v>
      </c>
      <c r="M49" s="7">
        <v>5</v>
      </c>
      <c r="N49" s="7">
        <v>5</v>
      </c>
    </row>
    <row r="50" spans="1:14" x14ac:dyDescent="0.3">
      <c r="A50" s="7">
        <v>49</v>
      </c>
      <c r="B50" s="1">
        <v>40546</v>
      </c>
      <c r="C50" s="7">
        <v>1</v>
      </c>
      <c r="D50" s="7">
        <v>1</v>
      </c>
      <c r="E50" t="b">
        <v>0</v>
      </c>
      <c r="F50" s="7">
        <v>1</v>
      </c>
      <c r="G50" s="7">
        <v>1</v>
      </c>
      <c r="H50" s="6">
        <v>0.2</v>
      </c>
      <c r="I50" s="8">
        <v>0.19700000000000001</v>
      </c>
      <c r="J50" s="6">
        <v>0.44</v>
      </c>
      <c r="K50" s="8">
        <v>0.41789999999999999</v>
      </c>
      <c r="L50" s="7">
        <v>0</v>
      </c>
      <c r="M50" s="7">
        <v>2</v>
      </c>
      <c r="N50" s="7">
        <v>2</v>
      </c>
    </row>
    <row r="51" spans="1:14" x14ac:dyDescent="0.3">
      <c r="A51" s="7">
        <v>50</v>
      </c>
      <c r="B51" s="1">
        <v>40546</v>
      </c>
      <c r="C51" s="7">
        <v>1</v>
      </c>
      <c r="D51" s="7">
        <v>4</v>
      </c>
      <c r="E51" t="b">
        <v>0</v>
      </c>
      <c r="F51" s="7">
        <v>1</v>
      </c>
      <c r="G51" s="7">
        <v>1</v>
      </c>
      <c r="H51" s="6">
        <v>0.16</v>
      </c>
      <c r="I51" s="8">
        <v>0.13639999999999999</v>
      </c>
      <c r="J51" s="6">
        <v>0.47</v>
      </c>
      <c r="K51" s="8">
        <v>0.3881</v>
      </c>
      <c r="L51" s="7">
        <v>0</v>
      </c>
      <c r="M51" s="7">
        <v>1</v>
      </c>
      <c r="N51" s="7">
        <v>1</v>
      </c>
    </row>
    <row r="52" spans="1:14" x14ac:dyDescent="0.3">
      <c r="A52" s="7">
        <v>51</v>
      </c>
      <c r="B52" s="1">
        <v>40546</v>
      </c>
      <c r="C52" s="7">
        <v>1</v>
      </c>
      <c r="D52" s="7">
        <v>5</v>
      </c>
      <c r="E52" t="b">
        <v>0</v>
      </c>
      <c r="F52" s="7">
        <v>1</v>
      </c>
      <c r="G52" s="7">
        <v>1</v>
      </c>
      <c r="H52" s="6">
        <v>0.16</v>
      </c>
      <c r="I52" s="8">
        <v>0.13639999999999999</v>
      </c>
      <c r="J52" s="6">
        <v>0.47</v>
      </c>
      <c r="K52" s="8">
        <v>0.28360000000000002</v>
      </c>
      <c r="L52" s="7">
        <v>0</v>
      </c>
      <c r="M52" s="7">
        <v>3</v>
      </c>
      <c r="N52" s="7">
        <v>3</v>
      </c>
    </row>
    <row r="53" spans="1:14" x14ac:dyDescent="0.3">
      <c r="A53" s="7">
        <v>52</v>
      </c>
      <c r="B53" s="1">
        <v>40546</v>
      </c>
      <c r="C53" s="7">
        <v>1</v>
      </c>
      <c r="D53" s="7">
        <v>6</v>
      </c>
      <c r="E53" t="b">
        <v>0</v>
      </c>
      <c r="F53" s="7">
        <v>1</v>
      </c>
      <c r="G53" s="7">
        <v>1</v>
      </c>
      <c r="H53" s="6">
        <v>0.14000000000000001</v>
      </c>
      <c r="I53" s="8">
        <v>0.1061</v>
      </c>
      <c r="J53" s="6">
        <v>0.5</v>
      </c>
      <c r="K53" s="8">
        <v>0.3881</v>
      </c>
      <c r="L53" s="7">
        <v>0</v>
      </c>
      <c r="M53" s="7">
        <v>30</v>
      </c>
      <c r="N53" s="7">
        <v>30</v>
      </c>
    </row>
    <row r="54" spans="1:14" x14ac:dyDescent="0.3">
      <c r="A54" s="7">
        <v>53</v>
      </c>
      <c r="B54" s="1">
        <v>40546</v>
      </c>
      <c r="C54" s="7">
        <v>1</v>
      </c>
      <c r="D54" s="7">
        <v>7</v>
      </c>
      <c r="E54" t="b">
        <v>0</v>
      </c>
      <c r="F54" s="7">
        <v>1</v>
      </c>
      <c r="G54" s="7">
        <v>1</v>
      </c>
      <c r="H54" s="6">
        <v>0.14000000000000001</v>
      </c>
      <c r="I54" s="8">
        <v>0.13639999999999999</v>
      </c>
      <c r="J54" s="6">
        <v>0.5</v>
      </c>
      <c r="K54" s="8">
        <v>0.19400000000000001</v>
      </c>
      <c r="L54" s="7">
        <v>1</v>
      </c>
      <c r="M54" s="7">
        <v>63</v>
      </c>
      <c r="N54" s="7">
        <v>64</v>
      </c>
    </row>
    <row r="55" spans="1:14" x14ac:dyDescent="0.3">
      <c r="A55" s="7">
        <v>54</v>
      </c>
      <c r="B55" s="1">
        <v>40546</v>
      </c>
      <c r="C55" s="7">
        <v>1</v>
      </c>
      <c r="D55" s="7">
        <v>8</v>
      </c>
      <c r="E55" t="b">
        <v>0</v>
      </c>
      <c r="F55" s="7">
        <v>1</v>
      </c>
      <c r="G55" s="7">
        <v>1</v>
      </c>
      <c r="H55" s="6">
        <v>0.14000000000000001</v>
      </c>
      <c r="I55" s="8">
        <v>0.1212</v>
      </c>
      <c r="J55" s="6">
        <v>0.5</v>
      </c>
      <c r="K55" s="8">
        <v>0.28360000000000002</v>
      </c>
      <c r="L55" s="7">
        <v>1</v>
      </c>
      <c r="M55" s="7">
        <v>153</v>
      </c>
      <c r="N55" s="7">
        <v>154</v>
      </c>
    </row>
    <row r="56" spans="1:14" x14ac:dyDescent="0.3">
      <c r="A56" s="7">
        <v>55</v>
      </c>
      <c r="B56" s="1">
        <v>40546</v>
      </c>
      <c r="C56" s="7">
        <v>1</v>
      </c>
      <c r="D56" s="7">
        <v>9</v>
      </c>
      <c r="E56" t="b">
        <v>0</v>
      </c>
      <c r="F56" s="7">
        <v>1</v>
      </c>
      <c r="G56" s="7">
        <v>1</v>
      </c>
      <c r="H56" s="6">
        <v>0.16</v>
      </c>
      <c r="I56" s="8">
        <v>0.13639999999999999</v>
      </c>
      <c r="J56" s="6">
        <v>0.43</v>
      </c>
      <c r="K56" s="8">
        <v>0.3881</v>
      </c>
      <c r="L56" s="7">
        <v>7</v>
      </c>
      <c r="M56" s="7">
        <v>81</v>
      </c>
      <c r="N56" s="7">
        <v>88</v>
      </c>
    </row>
    <row r="57" spans="1:14" x14ac:dyDescent="0.3">
      <c r="A57" s="7">
        <v>56</v>
      </c>
      <c r="B57" s="1">
        <v>40546</v>
      </c>
      <c r="C57" s="7">
        <v>1</v>
      </c>
      <c r="D57" s="7">
        <v>10</v>
      </c>
      <c r="E57" t="b">
        <v>0</v>
      </c>
      <c r="F57" s="7">
        <v>1</v>
      </c>
      <c r="G57" s="7">
        <v>1</v>
      </c>
      <c r="H57" s="6">
        <v>0.18</v>
      </c>
      <c r="I57" s="8">
        <v>0.16669999999999999</v>
      </c>
      <c r="J57" s="6">
        <v>0.43</v>
      </c>
      <c r="K57" s="8">
        <v>0.25369999999999998</v>
      </c>
      <c r="L57" s="7">
        <v>11</v>
      </c>
      <c r="M57" s="7">
        <v>33</v>
      </c>
      <c r="N57" s="7">
        <v>44</v>
      </c>
    </row>
    <row r="58" spans="1:14" x14ac:dyDescent="0.3">
      <c r="A58" s="7">
        <v>57</v>
      </c>
      <c r="B58" s="1">
        <v>40546</v>
      </c>
      <c r="C58" s="7">
        <v>1</v>
      </c>
      <c r="D58" s="7">
        <v>11</v>
      </c>
      <c r="E58" t="b">
        <v>0</v>
      </c>
      <c r="F58" s="7">
        <v>1</v>
      </c>
      <c r="G58" s="7">
        <v>1</v>
      </c>
      <c r="H58" s="6">
        <v>0.2</v>
      </c>
      <c r="I58" s="8">
        <v>0.18179999999999999</v>
      </c>
      <c r="J58" s="6">
        <v>0.4</v>
      </c>
      <c r="K58" s="8">
        <v>0.32840000000000003</v>
      </c>
      <c r="L58" s="7">
        <v>10</v>
      </c>
      <c r="M58" s="7">
        <v>41</v>
      </c>
      <c r="N58" s="7">
        <v>51</v>
      </c>
    </row>
    <row r="59" spans="1:14" x14ac:dyDescent="0.3">
      <c r="A59" s="7">
        <v>58</v>
      </c>
      <c r="B59" s="1">
        <v>40546</v>
      </c>
      <c r="C59" s="7">
        <v>1</v>
      </c>
      <c r="D59" s="7">
        <v>12</v>
      </c>
      <c r="E59" t="b">
        <v>0</v>
      </c>
      <c r="F59" s="7">
        <v>1</v>
      </c>
      <c r="G59" s="7">
        <v>1</v>
      </c>
      <c r="H59" s="6">
        <v>0.22</v>
      </c>
      <c r="I59" s="8">
        <v>0.21210000000000001</v>
      </c>
      <c r="J59" s="6">
        <v>0.35</v>
      </c>
      <c r="K59" s="8">
        <v>0.29849999999999999</v>
      </c>
      <c r="L59" s="7">
        <v>13</v>
      </c>
      <c r="M59" s="7">
        <v>48</v>
      </c>
      <c r="N59" s="7">
        <v>61</v>
      </c>
    </row>
    <row r="60" spans="1:14" x14ac:dyDescent="0.3">
      <c r="A60" s="7">
        <v>59</v>
      </c>
      <c r="B60" s="1">
        <v>40546</v>
      </c>
      <c r="C60" s="7">
        <v>1</v>
      </c>
      <c r="D60" s="7">
        <v>13</v>
      </c>
      <c r="E60" t="b">
        <v>0</v>
      </c>
      <c r="F60" s="7">
        <v>1</v>
      </c>
      <c r="G60" s="7">
        <v>1</v>
      </c>
      <c r="H60" s="6">
        <v>0.24</v>
      </c>
      <c r="I60" s="8">
        <v>0.21210000000000001</v>
      </c>
      <c r="J60" s="6">
        <v>0.35</v>
      </c>
      <c r="K60" s="8">
        <v>0.28360000000000002</v>
      </c>
      <c r="L60" s="7">
        <v>8</v>
      </c>
      <c r="M60" s="7">
        <v>53</v>
      </c>
      <c r="N60" s="7">
        <v>61</v>
      </c>
    </row>
    <row r="61" spans="1:14" x14ac:dyDescent="0.3">
      <c r="A61" s="7">
        <v>60</v>
      </c>
      <c r="B61" s="1">
        <v>40546</v>
      </c>
      <c r="C61" s="7">
        <v>1</v>
      </c>
      <c r="D61" s="7">
        <v>14</v>
      </c>
      <c r="E61" t="b">
        <v>0</v>
      </c>
      <c r="F61" s="7">
        <v>1</v>
      </c>
      <c r="G61" s="7">
        <v>1</v>
      </c>
      <c r="H61" s="6">
        <v>0.26</v>
      </c>
      <c r="I61" s="8">
        <v>0.2424</v>
      </c>
      <c r="J61" s="6">
        <v>0.3</v>
      </c>
      <c r="K61" s="8">
        <v>0.28360000000000002</v>
      </c>
      <c r="L61" s="7">
        <v>11</v>
      </c>
      <c r="M61" s="7">
        <v>66</v>
      </c>
      <c r="N61" s="7">
        <v>77</v>
      </c>
    </row>
    <row r="62" spans="1:14" x14ac:dyDescent="0.3">
      <c r="A62" s="7">
        <v>61</v>
      </c>
      <c r="B62" s="1">
        <v>40546</v>
      </c>
      <c r="C62" s="7">
        <v>1</v>
      </c>
      <c r="D62" s="7">
        <v>15</v>
      </c>
      <c r="E62" t="b">
        <v>0</v>
      </c>
      <c r="F62" s="7">
        <v>1</v>
      </c>
      <c r="G62" s="7">
        <v>1</v>
      </c>
      <c r="H62" s="6">
        <v>0.26</v>
      </c>
      <c r="I62" s="8">
        <v>0.2424</v>
      </c>
      <c r="J62" s="6">
        <v>0.3</v>
      </c>
      <c r="K62" s="8">
        <v>0.25369999999999998</v>
      </c>
      <c r="L62" s="7">
        <v>14</v>
      </c>
      <c r="M62" s="7">
        <v>58</v>
      </c>
      <c r="N62" s="7">
        <v>72</v>
      </c>
    </row>
    <row r="63" spans="1:14" x14ac:dyDescent="0.3">
      <c r="A63" s="7">
        <v>62</v>
      </c>
      <c r="B63" s="1">
        <v>40546</v>
      </c>
      <c r="C63" s="7">
        <v>1</v>
      </c>
      <c r="D63" s="7">
        <v>16</v>
      </c>
      <c r="E63" t="b">
        <v>0</v>
      </c>
      <c r="F63" s="7">
        <v>1</v>
      </c>
      <c r="G63" s="7">
        <v>1</v>
      </c>
      <c r="H63" s="6">
        <v>0.26</v>
      </c>
      <c r="I63" s="8">
        <v>0.2424</v>
      </c>
      <c r="J63" s="6">
        <v>0.3</v>
      </c>
      <c r="K63" s="8">
        <v>0.25369999999999998</v>
      </c>
      <c r="L63" s="7">
        <v>9</v>
      </c>
      <c r="M63" s="7">
        <v>67</v>
      </c>
      <c r="N63" s="7">
        <v>76</v>
      </c>
    </row>
    <row r="64" spans="1:14" x14ac:dyDescent="0.3">
      <c r="A64" s="7">
        <v>63</v>
      </c>
      <c r="B64" s="1">
        <v>40546</v>
      </c>
      <c r="C64" s="7">
        <v>1</v>
      </c>
      <c r="D64" s="7">
        <v>17</v>
      </c>
      <c r="E64" t="b">
        <v>0</v>
      </c>
      <c r="F64" s="7">
        <v>1</v>
      </c>
      <c r="G64" s="7">
        <v>1</v>
      </c>
      <c r="H64" s="6">
        <v>0.24</v>
      </c>
      <c r="I64" s="8">
        <v>0.2273</v>
      </c>
      <c r="J64" s="6">
        <v>0.3</v>
      </c>
      <c r="K64" s="8">
        <v>0.22389999999999999</v>
      </c>
      <c r="L64" s="7">
        <v>11</v>
      </c>
      <c r="M64" s="7">
        <v>146</v>
      </c>
      <c r="N64" s="7">
        <v>157</v>
      </c>
    </row>
    <row r="65" spans="1:14" x14ac:dyDescent="0.3">
      <c r="A65" s="7">
        <v>64</v>
      </c>
      <c r="B65" s="1">
        <v>40546</v>
      </c>
      <c r="C65" s="7">
        <v>1</v>
      </c>
      <c r="D65" s="7">
        <v>18</v>
      </c>
      <c r="E65" t="b">
        <v>0</v>
      </c>
      <c r="F65" s="7">
        <v>1</v>
      </c>
      <c r="G65" s="7">
        <v>1</v>
      </c>
      <c r="H65" s="6">
        <v>0.24</v>
      </c>
      <c r="I65" s="8">
        <v>0.2576</v>
      </c>
      <c r="J65" s="6">
        <v>0.32</v>
      </c>
      <c r="K65" s="8">
        <v>0.1045</v>
      </c>
      <c r="L65" s="7">
        <v>9</v>
      </c>
      <c r="M65" s="7">
        <v>148</v>
      </c>
      <c r="N65" s="7">
        <v>157</v>
      </c>
    </row>
    <row r="66" spans="1:14" x14ac:dyDescent="0.3">
      <c r="A66" s="7">
        <v>65</v>
      </c>
      <c r="B66" s="1">
        <v>40546</v>
      </c>
      <c r="C66" s="7">
        <v>1</v>
      </c>
      <c r="D66" s="7">
        <v>19</v>
      </c>
      <c r="E66" t="b">
        <v>0</v>
      </c>
      <c r="F66" s="7">
        <v>1</v>
      </c>
      <c r="G66" s="7">
        <v>1</v>
      </c>
      <c r="H66" s="6">
        <v>0.2</v>
      </c>
      <c r="I66" s="8">
        <v>0.2576</v>
      </c>
      <c r="J66" s="6">
        <v>0.47</v>
      </c>
      <c r="K66" s="8">
        <v>0</v>
      </c>
      <c r="L66" s="7">
        <v>8</v>
      </c>
      <c r="M66" s="7">
        <v>102</v>
      </c>
      <c r="N66" s="7">
        <v>110</v>
      </c>
    </row>
    <row r="67" spans="1:14" x14ac:dyDescent="0.3">
      <c r="A67" s="7">
        <v>66</v>
      </c>
      <c r="B67" s="1">
        <v>40546</v>
      </c>
      <c r="C67" s="7">
        <v>1</v>
      </c>
      <c r="D67" s="7">
        <v>20</v>
      </c>
      <c r="E67" t="b">
        <v>0</v>
      </c>
      <c r="F67" s="7">
        <v>1</v>
      </c>
      <c r="G67" s="7">
        <v>1</v>
      </c>
      <c r="H67" s="6">
        <v>0.2</v>
      </c>
      <c r="I67" s="8">
        <v>0.2576</v>
      </c>
      <c r="J67" s="6">
        <v>0.47</v>
      </c>
      <c r="K67" s="8">
        <v>0.1045</v>
      </c>
      <c r="L67" s="7">
        <v>3</v>
      </c>
      <c r="M67" s="7">
        <v>49</v>
      </c>
      <c r="N67" s="7">
        <v>52</v>
      </c>
    </row>
    <row r="68" spans="1:14" x14ac:dyDescent="0.3">
      <c r="A68" s="7">
        <v>67</v>
      </c>
      <c r="B68" s="1">
        <v>40546</v>
      </c>
      <c r="C68" s="7">
        <v>1</v>
      </c>
      <c r="D68" s="7">
        <v>21</v>
      </c>
      <c r="E68" t="b">
        <v>0</v>
      </c>
      <c r="F68" s="7">
        <v>1</v>
      </c>
      <c r="G68" s="7">
        <v>1</v>
      </c>
      <c r="H68" s="6">
        <v>0.18</v>
      </c>
      <c r="I68" s="8">
        <v>0.19700000000000001</v>
      </c>
      <c r="J68" s="6">
        <v>0.64</v>
      </c>
      <c r="K68" s="8">
        <v>0.1343</v>
      </c>
      <c r="L68" s="7">
        <v>3</v>
      </c>
      <c r="M68" s="7">
        <v>49</v>
      </c>
      <c r="N68" s="7">
        <v>52</v>
      </c>
    </row>
    <row r="69" spans="1:14" x14ac:dyDescent="0.3">
      <c r="A69" s="7">
        <v>68</v>
      </c>
      <c r="B69" s="1">
        <v>40546</v>
      </c>
      <c r="C69" s="7">
        <v>1</v>
      </c>
      <c r="D69" s="7">
        <v>22</v>
      </c>
      <c r="E69" t="b">
        <v>0</v>
      </c>
      <c r="F69" s="7">
        <v>1</v>
      </c>
      <c r="G69" s="7">
        <v>1</v>
      </c>
      <c r="H69" s="6">
        <v>0.14000000000000001</v>
      </c>
      <c r="I69" s="8">
        <v>0.1515</v>
      </c>
      <c r="J69" s="6">
        <v>0.69</v>
      </c>
      <c r="K69" s="8">
        <v>0.1343</v>
      </c>
      <c r="L69" s="7">
        <v>0</v>
      </c>
      <c r="M69" s="7">
        <v>20</v>
      </c>
      <c r="N69" s="7">
        <v>20</v>
      </c>
    </row>
    <row r="70" spans="1:14" x14ac:dyDescent="0.3">
      <c r="A70" s="7">
        <v>69</v>
      </c>
      <c r="B70" s="1">
        <v>40546</v>
      </c>
      <c r="C70" s="7">
        <v>1</v>
      </c>
      <c r="D70" s="7">
        <v>23</v>
      </c>
      <c r="E70" t="b">
        <v>0</v>
      </c>
      <c r="F70" s="7">
        <v>1</v>
      </c>
      <c r="G70" s="7">
        <v>1</v>
      </c>
      <c r="H70" s="6">
        <v>0.18</v>
      </c>
      <c r="I70" s="8">
        <v>0.21210000000000001</v>
      </c>
      <c r="J70" s="6">
        <v>0.55000000000000004</v>
      </c>
      <c r="K70" s="8">
        <v>0.1045</v>
      </c>
      <c r="L70" s="7">
        <v>1</v>
      </c>
      <c r="M70" s="7">
        <v>11</v>
      </c>
      <c r="N70" s="7">
        <v>12</v>
      </c>
    </row>
    <row r="71" spans="1:14" x14ac:dyDescent="0.3">
      <c r="A71" s="7">
        <v>70</v>
      </c>
      <c r="B71" s="1">
        <v>40547</v>
      </c>
      <c r="C71" s="7">
        <v>1</v>
      </c>
      <c r="D71" s="7">
        <v>0</v>
      </c>
      <c r="E71" t="b">
        <v>0</v>
      </c>
      <c r="F71" s="7">
        <v>2</v>
      </c>
      <c r="G71" s="7">
        <v>1</v>
      </c>
      <c r="H71" s="6">
        <v>0.16</v>
      </c>
      <c r="I71" s="8">
        <v>0.21210000000000001</v>
      </c>
      <c r="J71" s="6">
        <v>0.55000000000000004</v>
      </c>
      <c r="K71" s="8">
        <v>0.1045</v>
      </c>
      <c r="L71" s="7">
        <v>0</v>
      </c>
      <c r="M71" s="7">
        <v>5</v>
      </c>
      <c r="N71" s="7">
        <v>5</v>
      </c>
    </row>
    <row r="72" spans="1:14" x14ac:dyDescent="0.3">
      <c r="A72" s="7">
        <v>71</v>
      </c>
      <c r="B72" s="1">
        <v>40547</v>
      </c>
      <c r="C72" s="7">
        <v>1</v>
      </c>
      <c r="D72" s="7">
        <v>1</v>
      </c>
      <c r="E72" t="b">
        <v>0</v>
      </c>
      <c r="F72" s="7">
        <v>2</v>
      </c>
      <c r="G72" s="7">
        <v>1</v>
      </c>
      <c r="H72" s="6">
        <v>0.16</v>
      </c>
      <c r="I72" s="8">
        <v>0.18179999999999999</v>
      </c>
      <c r="J72" s="6">
        <v>0.59</v>
      </c>
      <c r="K72" s="8">
        <v>0.1045</v>
      </c>
      <c r="L72" s="7">
        <v>0</v>
      </c>
      <c r="M72" s="7">
        <v>2</v>
      </c>
      <c r="N72" s="7">
        <v>2</v>
      </c>
    </row>
    <row r="73" spans="1:14" x14ac:dyDescent="0.3">
      <c r="A73" s="7">
        <v>72</v>
      </c>
      <c r="B73" s="1">
        <v>40547</v>
      </c>
      <c r="C73" s="7">
        <v>1</v>
      </c>
      <c r="D73" s="7">
        <v>2</v>
      </c>
      <c r="E73" t="b">
        <v>0</v>
      </c>
      <c r="F73" s="7">
        <v>2</v>
      </c>
      <c r="G73" s="7">
        <v>1</v>
      </c>
      <c r="H73" s="6">
        <v>0.14000000000000001</v>
      </c>
      <c r="I73" s="8">
        <v>0.1515</v>
      </c>
      <c r="J73" s="6">
        <v>0.63</v>
      </c>
      <c r="K73" s="8">
        <v>0.1343</v>
      </c>
      <c r="L73" s="7">
        <v>0</v>
      </c>
      <c r="M73" s="7">
        <v>1</v>
      </c>
      <c r="N73" s="7">
        <v>1</v>
      </c>
    </row>
    <row r="74" spans="1:14" x14ac:dyDescent="0.3">
      <c r="A74" s="7">
        <v>73</v>
      </c>
      <c r="B74" s="1">
        <v>40547</v>
      </c>
      <c r="C74" s="7">
        <v>1</v>
      </c>
      <c r="D74" s="7">
        <v>4</v>
      </c>
      <c r="E74" t="b">
        <v>0</v>
      </c>
      <c r="F74" s="7">
        <v>2</v>
      </c>
      <c r="G74" s="7">
        <v>1</v>
      </c>
      <c r="H74" s="6">
        <v>0.14000000000000001</v>
      </c>
      <c r="I74" s="8">
        <v>0.18179999999999999</v>
      </c>
      <c r="J74" s="6">
        <v>0.63</v>
      </c>
      <c r="K74" s="8">
        <v>8.9599999999999999E-2</v>
      </c>
      <c r="L74" s="7">
        <v>0</v>
      </c>
      <c r="M74" s="7">
        <v>2</v>
      </c>
      <c r="N74" s="7">
        <v>2</v>
      </c>
    </row>
    <row r="75" spans="1:14" x14ac:dyDescent="0.3">
      <c r="A75" s="7">
        <v>74</v>
      </c>
      <c r="B75" s="1">
        <v>40547</v>
      </c>
      <c r="C75" s="7">
        <v>1</v>
      </c>
      <c r="D75" s="7">
        <v>5</v>
      </c>
      <c r="E75" t="b">
        <v>0</v>
      </c>
      <c r="F75" s="7">
        <v>2</v>
      </c>
      <c r="G75" s="7">
        <v>1</v>
      </c>
      <c r="H75" s="6">
        <v>0.12</v>
      </c>
      <c r="I75" s="8">
        <v>0.1515</v>
      </c>
      <c r="J75" s="6">
        <v>0.68</v>
      </c>
      <c r="K75" s="8">
        <v>0.1045</v>
      </c>
      <c r="L75" s="7">
        <v>0</v>
      </c>
      <c r="M75" s="7">
        <v>4</v>
      </c>
      <c r="N75" s="7">
        <v>4</v>
      </c>
    </row>
    <row r="76" spans="1:14" x14ac:dyDescent="0.3">
      <c r="A76" s="7">
        <v>75</v>
      </c>
      <c r="B76" s="1">
        <v>40547</v>
      </c>
      <c r="C76" s="7">
        <v>1</v>
      </c>
      <c r="D76" s="7">
        <v>6</v>
      </c>
      <c r="E76" t="b">
        <v>0</v>
      </c>
      <c r="F76" s="7">
        <v>2</v>
      </c>
      <c r="G76" s="7">
        <v>1</v>
      </c>
      <c r="H76" s="6">
        <v>0.12</v>
      </c>
      <c r="I76" s="8">
        <v>0.1515</v>
      </c>
      <c r="J76" s="6">
        <v>0.74</v>
      </c>
      <c r="K76" s="8">
        <v>0.1045</v>
      </c>
      <c r="L76" s="7">
        <v>0</v>
      </c>
      <c r="M76" s="7">
        <v>36</v>
      </c>
      <c r="N76" s="7">
        <v>36</v>
      </c>
    </row>
    <row r="77" spans="1:14" x14ac:dyDescent="0.3">
      <c r="A77" s="7">
        <v>76</v>
      </c>
      <c r="B77" s="1">
        <v>40547</v>
      </c>
      <c r="C77" s="7">
        <v>1</v>
      </c>
      <c r="D77" s="7">
        <v>7</v>
      </c>
      <c r="E77" t="b">
        <v>0</v>
      </c>
      <c r="F77" s="7">
        <v>2</v>
      </c>
      <c r="G77" s="7">
        <v>1</v>
      </c>
      <c r="H77" s="6">
        <v>0.12</v>
      </c>
      <c r="I77" s="8">
        <v>0.1515</v>
      </c>
      <c r="J77" s="6">
        <v>0.74</v>
      </c>
      <c r="K77" s="8">
        <v>0.1343</v>
      </c>
      <c r="L77" s="7">
        <v>2</v>
      </c>
      <c r="M77" s="7">
        <v>92</v>
      </c>
      <c r="N77" s="7">
        <v>94</v>
      </c>
    </row>
    <row r="78" spans="1:14" x14ac:dyDescent="0.3">
      <c r="A78" s="7">
        <v>77</v>
      </c>
      <c r="B78" s="1">
        <v>40547</v>
      </c>
      <c r="C78" s="7">
        <v>1</v>
      </c>
      <c r="D78" s="7">
        <v>8</v>
      </c>
      <c r="E78" t="b">
        <v>0</v>
      </c>
      <c r="F78" s="7">
        <v>2</v>
      </c>
      <c r="G78" s="7">
        <v>1</v>
      </c>
      <c r="H78" s="6">
        <v>0.14000000000000001</v>
      </c>
      <c r="I78" s="8">
        <v>0.1515</v>
      </c>
      <c r="J78" s="6">
        <v>0.69</v>
      </c>
      <c r="K78" s="8">
        <v>0.16420000000000001</v>
      </c>
      <c r="L78" s="7">
        <v>2</v>
      </c>
      <c r="M78" s="7">
        <v>177</v>
      </c>
      <c r="N78" s="7">
        <v>179</v>
      </c>
    </row>
    <row r="79" spans="1:14" x14ac:dyDescent="0.3">
      <c r="A79" s="7">
        <v>78</v>
      </c>
      <c r="B79" s="1">
        <v>40547</v>
      </c>
      <c r="C79" s="7">
        <v>1</v>
      </c>
      <c r="D79" s="7">
        <v>9</v>
      </c>
      <c r="E79" t="b">
        <v>0</v>
      </c>
      <c r="F79" s="7">
        <v>2</v>
      </c>
      <c r="G79" s="7">
        <v>1</v>
      </c>
      <c r="H79" s="6">
        <v>0.16</v>
      </c>
      <c r="I79" s="8">
        <v>0.1515</v>
      </c>
      <c r="J79" s="6">
        <v>0.64</v>
      </c>
      <c r="K79" s="8">
        <v>0.22389999999999999</v>
      </c>
      <c r="L79" s="7">
        <v>2</v>
      </c>
      <c r="M79" s="7">
        <v>98</v>
      </c>
      <c r="N79" s="7">
        <v>100</v>
      </c>
    </row>
    <row r="80" spans="1:14" x14ac:dyDescent="0.3">
      <c r="A80" s="7">
        <v>79</v>
      </c>
      <c r="B80" s="1">
        <v>40547</v>
      </c>
      <c r="C80" s="7">
        <v>1</v>
      </c>
      <c r="D80" s="7">
        <v>10</v>
      </c>
      <c r="E80" t="b">
        <v>0</v>
      </c>
      <c r="F80" s="7">
        <v>2</v>
      </c>
      <c r="G80" s="7">
        <v>2</v>
      </c>
      <c r="H80" s="6">
        <v>0.16</v>
      </c>
      <c r="I80" s="8">
        <v>0.13639999999999999</v>
      </c>
      <c r="J80" s="6">
        <v>0.69</v>
      </c>
      <c r="K80" s="8">
        <v>0.32840000000000003</v>
      </c>
      <c r="L80" s="7">
        <v>5</v>
      </c>
      <c r="M80" s="7">
        <v>37</v>
      </c>
      <c r="N80" s="7">
        <v>42</v>
      </c>
    </row>
    <row r="81" spans="1:14" x14ac:dyDescent="0.3">
      <c r="A81" s="7">
        <v>80</v>
      </c>
      <c r="B81" s="1">
        <v>40547</v>
      </c>
      <c r="C81" s="7">
        <v>1</v>
      </c>
      <c r="D81" s="7">
        <v>11</v>
      </c>
      <c r="E81" t="b">
        <v>0</v>
      </c>
      <c r="F81" s="7">
        <v>2</v>
      </c>
      <c r="G81" s="7">
        <v>1</v>
      </c>
      <c r="H81" s="6">
        <v>0.22</v>
      </c>
      <c r="I81" s="8">
        <v>0.21210000000000001</v>
      </c>
      <c r="J81" s="6">
        <v>0.51</v>
      </c>
      <c r="K81" s="8">
        <v>0.29849999999999999</v>
      </c>
      <c r="L81" s="7">
        <v>7</v>
      </c>
      <c r="M81" s="7">
        <v>50</v>
      </c>
      <c r="N81" s="7">
        <v>57</v>
      </c>
    </row>
    <row r="82" spans="1:14" x14ac:dyDescent="0.3">
      <c r="A82" s="7">
        <v>81</v>
      </c>
      <c r="B82" s="1">
        <v>40547</v>
      </c>
      <c r="C82" s="7">
        <v>1</v>
      </c>
      <c r="D82" s="7">
        <v>12</v>
      </c>
      <c r="E82" t="b">
        <v>0</v>
      </c>
      <c r="F82" s="7">
        <v>2</v>
      </c>
      <c r="G82" s="7">
        <v>1</v>
      </c>
      <c r="H82" s="6">
        <v>0.22</v>
      </c>
      <c r="I82" s="8">
        <v>0.2273</v>
      </c>
      <c r="J82" s="6">
        <v>0.51</v>
      </c>
      <c r="K82" s="8">
        <v>0.16420000000000001</v>
      </c>
      <c r="L82" s="7">
        <v>12</v>
      </c>
      <c r="M82" s="7">
        <v>66</v>
      </c>
      <c r="N82" s="7">
        <v>78</v>
      </c>
    </row>
    <row r="83" spans="1:14" x14ac:dyDescent="0.3">
      <c r="A83" s="7">
        <v>82</v>
      </c>
      <c r="B83" s="1">
        <v>40547</v>
      </c>
      <c r="C83" s="7">
        <v>1</v>
      </c>
      <c r="D83" s="7">
        <v>13</v>
      </c>
      <c r="E83" t="b">
        <v>0</v>
      </c>
      <c r="F83" s="7">
        <v>2</v>
      </c>
      <c r="G83" s="7">
        <v>1</v>
      </c>
      <c r="H83" s="6">
        <v>0.24</v>
      </c>
      <c r="I83" s="8">
        <v>0.2273</v>
      </c>
      <c r="J83" s="6">
        <v>0.56000000000000005</v>
      </c>
      <c r="K83" s="8">
        <v>0.19400000000000001</v>
      </c>
      <c r="L83" s="7">
        <v>18</v>
      </c>
      <c r="M83" s="7">
        <v>79</v>
      </c>
      <c r="N83" s="7">
        <v>97</v>
      </c>
    </row>
    <row r="84" spans="1:14" x14ac:dyDescent="0.3">
      <c r="A84" s="7">
        <v>83</v>
      </c>
      <c r="B84" s="1">
        <v>40547</v>
      </c>
      <c r="C84" s="7">
        <v>1</v>
      </c>
      <c r="D84" s="7">
        <v>14</v>
      </c>
      <c r="E84" t="b">
        <v>0</v>
      </c>
      <c r="F84" s="7">
        <v>2</v>
      </c>
      <c r="G84" s="7">
        <v>1</v>
      </c>
      <c r="H84" s="6">
        <v>0.26</v>
      </c>
      <c r="I84" s="8">
        <v>0.2576</v>
      </c>
      <c r="J84" s="6">
        <v>0.52</v>
      </c>
      <c r="K84" s="8">
        <v>0.22389999999999999</v>
      </c>
      <c r="L84" s="7">
        <v>9</v>
      </c>
      <c r="M84" s="7">
        <v>54</v>
      </c>
      <c r="N84" s="7">
        <v>63</v>
      </c>
    </row>
    <row r="85" spans="1:14" x14ac:dyDescent="0.3">
      <c r="A85" s="7">
        <v>84</v>
      </c>
      <c r="B85" s="1">
        <v>40547</v>
      </c>
      <c r="C85" s="7">
        <v>1</v>
      </c>
      <c r="D85" s="7">
        <v>15</v>
      </c>
      <c r="E85" t="b">
        <v>0</v>
      </c>
      <c r="F85" s="7">
        <v>2</v>
      </c>
      <c r="G85" s="7">
        <v>1</v>
      </c>
      <c r="H85" s="6">
        <v>0.28000000000000003</v>
      </c>
      <c r="I85" s="8">
        <v>0.2727</v>
      </c>
      <c r="J85" s="6">
        <v>0.52</v>
      </c>
      <c r="K85" s="8">
        <v>0.25369999999999998</v>
      </c>
      <c r="L85" s="7">
        <v>17</v>
      </c>
      <c r="M85" s="7">
        <v>48</v>
      </c>
      <c r="N85" s="7">
        <v>65</v>
      </c>
    </row>
    <row r="86" spans="1:14" x14ac:dyDescent="0.3">
      <c r="A86" s="7">
        <v>85</v>
      </c>
      <c r="B86" s="1">
        <v>40547</v>
      </c>
      <c r="C86" s="7">
        <v>1</v>
      </c>
      <c r="D86" s="7">
        <v>16</v>
      </c>
      <c r="E86" t="b">
        <v>0</v>
      </c>
      <c r="F86" s="7">
        <v>2</v>
      </c>
      <c r="G86" s="7">
        <v>1</v>
      </c>
      <c r="H86" s="6">
        <v>0.3</v>
      </c>
      <c r="I86" s="8">
        <v>0.28789999999999999</v>
      </c>
      <c r="J86" s="6">
        <v>0.49</v>
      </c>
      <c r="K86" s="8">
        <v>0.25369999999999998</v>
      </c>
      <c r="L86" s="7">
        <v>15</v>
      </c>
      <c r="M86" s="7">
        <v>68</v>
      </c>
      <c r="N86" s="7">
        <v>83</v>
      </c>
    </row>
    <row r="87" spans="1:14" x14ac:dyDescent="0.3">
      <c r="A87" s="7">
        <v>86</v>
      </c>
      <c r="B87" s="1">
        <v>40547</v>
      </c>
      <c r="C87" s="7">
        <v>1</v>
      </c>
      <c r="D87" s="7">
        <v>17</v>
      </c>
      <c r="E87" t="b">
        <v>0</v>
      </c>
      <c r="F87" s="7">
        <v>2</v>
      </c>
      <c r="G87" s="7">
        <v>1</v>
      </c>
      <c r="H87" s="6">
        <v>0.28000000000000003</v>
      </c>
      <c r="I87" s="8">
        <v>0.2727</v>
      </c>
      <c r="J87" s="6">
        <v>0.48</v>
      </c>
      <c r="K87" s="8">
        <v>0.22389999999999999</v>
      </c>
      <c r="L87" s="7">
        <v>10</v>
      </c>
      <c r="M87" s="7">
        <v>202</v>
      </c>
      <c r="N87" s="7">
        <v>212</v>
      </c>
    </row>
    <row r="88" spans="1:14" x14ac:dyDescent="0.3">
      <c r="A88" s="7">
        <v>87</v>
      </c>
      <c r="B88" s="1">
        <v>40547</v>
      </c>
      <c r="C88" s="7">
        <v>1</v>
      </c>
      <c r="D88" s="7">
        <v>18</v>
      </c>
      <c r="E88" t="b">
        <v>0</v>
      </c>
      <c r="F88" s="7">
        <v>2</v>
      </c>
      <c r="G88" s="7">
        <v>1</v>
      </c>
      <c r="H88" s="6">
        <v>0.26</v>
      </c>
      <c r="I88" s="8">
        <v>0.2576</v>
      </c>
      <c r="J88" s="6">
        <v>0.48</v>
      </c>
      <c r="K88" s="8">
        <v>0.19400000000000001</v>
      </c>
      <c r="L88" s="7">
        <v>3</v>
      </c>
      <c r="M88" s="7">
        <v>179</v>
      </c>
      <c r="N88" s="7">
        <v>182</v>
      </c>
    </row>
    <row r="89" spans="1:14" x14ac:dyDescent="0.3">
      <c r="A89" s="7">
        <v>88</v>
      </c>
      <c r="B89" s="1">
        <v>40547</v>
      </c>
      <c r="C89" s="7">
        <v>1</v>
      </c>
      <c r="D89" s="7">
        <v>19</v>
      </c>
      <c r="E89" t="b">
        <v>0</v>
      </c>
      <c r="F89" s="7">
        <v>2</v>
      </c>
      <c r="G89" s="7">
        <v>1</v>
      </c>
      <c r="H89" s="6">
        <v>0.24</v>
      </c>
      <c r="I89" s="8">
        <v>0.2576</v>
      </c>
      <c r="J89" s="6">
        <v>0.48</v>
      </c>
      <c r="K89" s="8">
        <v>0.1045</v>
      </c>
      <c r="L89" s="7">
        <v>2</v>
      </c>
      <c r="M89" s="7">
        <v>110</v>
      </c>
      <c r="N89" s="7">
        <v>112</v>
      </c>
    </row>
    <row r="90" spans="1:14" x14ac:dyDescent="0.3">
      <c r="A90" s="7">
        <v>89</v>
      </c>
      <c r="B90" s="1">
        <v>40547</v>
      </c>
      <c r="C90" s="7">
        <v>1</v>
      </c>
      <c r="D90" s="7">
        <v>20</v>
      </c>
      <c r="E90" t="b">
        <v>0</v>
      </c>
      <c r="F90" s="7">
        <v>2</v>
      </c>
      <c r="G90" s="7">
        <v>1</v>
      </c>
      <c r="H90" s="6">
        <v>0.24</v>
      </c>
      <c r="I90" s="8">
        <v>0.2576</v>
      </c>
      <c r="J90" s="6">
        <v>0.48</v>
      </c>
      <c r="K90" s="8">
        <v>0.1045</v>
      </c>
      <c r="L90" s="7">
        <v>1</v>
      </c>
      <c r="M90" s="7">
        <v>53</v>
      </c>
      <c r="N90" s="7">
        <v>54</v>
      </c>
    </row>
    <row r="91" spans="1:14" x14ac:dyDescent="0.3">
      <c r="A91" s="7">
        <v>90</v>
      </c>
      <c r="B91" s="1">
        <v>40547</v>
      </c>
      <c r="C91" s="7">
        <v>1</v>
      </c>
      <c r="D91" s="7">
        <v>21</v>
      </c>
      <c r="E91" t="b">
        <v>0</v>
      </c>
      <c r="F91" s="7">
        <v>2</v>
      </c>
      <c r="G91" s="7">
        <v>1</v>
      </c>
      <c r="H91" s="6">
        <v>0.22</v>
      </c>
      <c r="I91" s="8">
        <v>0.2727</v>
      </c>
      <c r="J91" s="6">
        <v>0.64</v>
      </c>
      <c r="K91" s="8">
        <v>0</v>
      </c>
      <c r="L91" s="7">
        <v>0</v>
      </c>
      <c r="M91" s="7">
        <v>48</v>
      </c>
      <c r="N91" s="7">
        <v>48</v>
      </c>
    </row>
    <row r="92" spans="1:14" x14ac:dyDescent="0.3">
      <c r="A92" s="7">
        <v>91</v>
      </c>
      <c r="B92" s="1">
        <v>40547</v>
      </c>
      <c r="C92" s="7">
        <v>1</v>
      </c>
      <c r="D92" s="7">
        <v>22</v>
      </c>
      <c r="E92" t="b">
        <v>0</v>
      </c>
      <c r="F92" s="7">
        <v>2</v>
      </c>
      <c r="G92" s="7">
        <v>1</v>
      </c>
      <c r="H92" s="6">
        <v>0.22</v>
      </c>
      <c r="I92" s="8">
        <v>0.2576</v>
      </c>
      <c r="J92" s="6">
        <v>0.64</v>
      </c>
      <c r="K92" s="8">
        <v>8.9599999999999999E-2</v>
      </c>
      <c r="L92" s="7">
        <v>1</v>
      </c>
      <c r="M92" s="7">
        <v>34</v>
      </c>
      <c r="N92" s="7">
        <v>35</v>
      </c>
    </row>
    <row r="93" spans="1:14" x14ac:dyDescent="0.3">
      <c r="A93" s="7">
        <v>92</v>
      </c>
      <c r="B93" s="1">
        <v>40547</v>
      </c>
      <c r="C93" s="7">
        <v>1</v>
      </c>
      <c r="D93" s="7">
        <v>23</v>
      </c>
      <c r="E93" t="b">
        <v>0</v>
      </c>
      <c r="F93" s="7">
        <v>2</v>
      </c>
      <c r="G93" s="7">
        <v>1</v>
      </c>
      <c r="H93" s="6">
        <v>0.2</v>
      </c>
      <c r="I93" s="8">
        <v>0.2273</v>
      </c>
      <c r="J93" s="6">
        <v>0.69</v>
      </c>
      <c r="K93" s="8">
        <v>8.9599999999999999E-2</v>
      </c>
      <c r="L93" s="7">
        <v>2</v>
      </c>
      <c r="M93" s="7">
        <v>9</v>
      </c>
      <c r="N93" s="7">
        <v>11</v>
      </c>
    </row>
    <row r="94" spans="1:14" x14ac:dyDescent="0.3">
      <c r="A94" s="7">
        <v>93</v>
      </c>
      <c r="B94" s="1">
        <v>40548</v>
      </c>
      <c r="C94" s="7">
        <v>1</v>
      </c>
      <c r="D94" s="7">
        <v>0</v>
      </c>
      <c r="E94" t="b">
        <v>0</v>
      </c>
      <c r="F94" s="7">
        <v>3</v>
      </c>
      <c r="G94" s="7">
        <v>1</v>
      </c>
      <c r="H94" s="6">
        <v>0.2</v>
      </c>
      <c r="I94" s="8">
        <v>0.2576</v>
      </c>
      <c r="J94" s="6">
        <v>0.64</v>
      </c>
      <c r="K94" s="8">
        <v>0</v>
      </c>
      <c r="L94" s="7">
        <v>0</v>
      </c>
      <c r="M94" s="7">
        <v>6</v>
      </c>
      <c r="N94" s="7">
        <v>6</v>
      </c>
    </row>
    <row r="95" spans="1:14" x14ac:dyDescent="0.3">
      <c r="A95" s="7">
        <v>94</v>
      </c>
      <c r="B95" s="1">
        <v>40548</v>
      </c>
      <c r="C95" s="7">
        <v>1</v>
      </c>
      <c r="D95" s="7">
        <v>1</v>
      </c>
      <c r="E95" t="b">
        <v>0</v>
      </c>
      <c r="F95" s="7">
        <v>3</v>
      </c>
      <c r="G95" s="7">
        <v>1</v>
      </c>
      <c r="H95" s="6">
        <v>0.16</v>
      </c>
      <c r="I95" s="8">
        <v>0.19700000000000001</v>
      </c>
      <c r="J95" s="6">
        <v>0.74</v>
      </c>
      <c r="K95" s="8">
        <v>8.9599999999999999E-2</v>
      </c>
      <c r="L95" s="7">
        <v>0</v>
      </c>
      <c r="M95" s="7">
        <v>6</v>
      </c>
      <c r="N95" s="7">
        <v>6</v>
      </c>
    </row>
    <row r="96" spans="1:14" x14ac:dyDescent="0.3">
      <c r="A96" s="7">
        <v>95</v>
      </c>
      <c r="B96" s="1">
        <v>40548</v>
      </c>
      <c r="C96" s="7">
        <v>1</v>
      </c>
      <c r="D96" s="7">
        <v>2</v>
      </c>
      <c r="E96" t="b">
        <v>0</v>
      </c>
      <c r="F96" s="7">
        <v>3</v>
      </c>
      <c r="G96" s="7">
        <v>1</v>
      </c>
      <c r="H96" s="6">
        <v>0.16</v>
      </c>
      <c r="I96" s="8">
        <v>0.19700000000000001</v>
      </c>
      <c r="J96" s="6">
        <v>0.74</v>
      </c>
      <c r="K96" s="8">
        <v>8.9599999999999999E-2</v>
      </c>
      <c r="L96" s="7">
        <v>0</v>
      </c>
      <c r="M96" s="7">
        <v>2</v>
      </c>
      <c r="N96" s="7">
        <v>2</v>
      </c>
    </row>
    <row r="97" spans="1:14" x14ac:dyDescent="0.3">
      <c r="A97" s="7">
        <v>96</v>
      </c>
      <c r="B97" s="1">
        <v>40548</v>
      </c>
      <c r="C97" s="7">
        <v>1</v>
      </c>
      <c r="D97" s="7">
        <v>4</v>
      </c>
      <c r="E97" t="b">
        <v>0</v>
      </c>
      <c r="F97" s="7">
        <v>3</v>
      </c>
      <c r="G97" s="7">
        <v>1</v>
      </c>
      <c r="H97" s="6">
        <v>0.24</v>
      </c>
      <c r="I97" s="8">
        <v>0.2273</v>
      </c>
      <c r="J97" s="6">
        <v>0.48</v>
      </c>
      <c r="K97" s="8">
        <v>0.22389999999999999</v>
      </c>
      <c r="L97" s="7">
        <v>0</v>
      </c>
      <c r="M97" s="7">
        <v>2</v>
      </c>
      <c r="N97" s="7">
        <v>2</v>
      </c>
    </row>
    <row r="98" spans="1:14" x14ac:dyDescent="0.3">
      <c r="A98" s="7">
        <v>97</v>
      </c>
      <c r="B98" s="1">
        <v>40548</v>
      </c>
      <c r="C98" s="7">
        <v>1</v>
      </c>
      <c r="D98" s="7">
        <v>5</v>
      </c>
      <c r="E98" t="b">
        <v>0</v>
      </c>
      <c r="F98" s="7">
        <v>3</v>
      </c>
      <c r="G98" s="7">
        <v>1</v>
      </c>
      <c r="H98" s="6">
        <v>0.22</v>
      </c>
      <c r="I98" s="8">
        <v>0.2273</v>
      </c>
      <c r="J98" s="6">
        <v>0.47</v>
      </c>
      <c r="K98" s="8">
        <v>0.16420000000000001</v>
      </c>
      <c r="L98" s="7">
        <v>0</v>
      </c>
      <c r="M98" s="7">
        <v>3</v>
      </c>
      <c r="N98" s="7">
        <v>3</v>
      </c>
    </row>
    <row r="99" spans="1:14" x14ac:dyDescent="0.3">
      <c r="A99" s="7">
        <v>98</v>
      </c>
      <c r="B99" s="1">
        <v>40548</v>
      </c>
      <c r="C99" s="7">
        <v>1</v>
      </c>
      <c r="D99" s="7">
        <v>6</v>
      </c>
      <c r="E99" t="b">
        <v>0</v>
      </c>
      <c r="F99" s="7">
        <v>3</v>
      </c>
      <c r="G99" s="7">
        <v>1</v>
      </c>
      <c r="H99" s="6">
        <v>0.2</v>
      </c>
      <c r="I99" s="8">
        <v>0.19700000000000001</v>
      </c>
      <c r="J99" s="6">
        <v>0.47</v>
      </c>
      <c r="K99" s="8">
        <v>0.22389999999999999</v>
      </c>
      <c r="L99" s="7">
        <v>0</v>
      </c>
      <c r="M99" s="7">
        <v>33</v>
      </c>
      <c r="N99" s="7">
        <v>33</v>
      </c>
    </row>
    <row r="100" spans="1:14" x14ac:dyDescent="0.3">
      <c r="A100" s="7">
        <v>99</v>
      </c>
      <c r="B100" s="1">
        <v>40548</v>
      </c>
      <c r="C100" s="7">
        <v>1</v>
      </c>
      <c r="D100" s="7">
        <v>7</v>
      </c>
      <c r="E100" t="b">
        <v>0</v>
      </c>
      <c r="F100" s="7">
        <v>3</v>
      </c>
      <c r="G100" s="7">
        <v>1</v>
      </c>
      <c r="H100" s="6">
        <v>0.18</v>
      </c>
      <c r="I100" s="8">
        <v>0.18179999999999999</v>
      </c>
      <c r="J100" s="6">
        <v>0.43</v>
      </c>
      <c r="K100" s="8">
        <v>0.19400000000000001</v>
      </c>
      <c r="L100" s="7">
        <v>1</v>
      </c>
      <c r="M100" s="7">
        <v>87</v>
      </c>
      <c r="N100" s="7">
        <v>88</v>
      </c>
    </row>
    <row r="101" spans="1:14" x14ac:dyDescent="0.3">
      <c r="A101" s="7">
        <v>100</v>
      </c>
      <c r="B101" s="1">
        <v>40548</v>
      </c>
      <c r="C101" s="7">
        <v>1</v>
      </c>
      <c r="D101" s="7">
        <v>8</v>
      </c>
      <c r="E101" t="b">
        <v>0</v>
      </c>
      <c r="F101" s="7">
        <v>3</v>
      </c>
      <c r="G101" s="7">
        <v>1</v>
      </c>
      <c r="H101" s="6">
        <v>0.2</v>
      </c>
      <c r="I101" s="8">
        <v>0.18179999999999999</v>
      </c>
      <c r="J101" s="6">
        <v>0.4</v>
      </c>
      <c r="K101" s="8">
        <v>0.29849999999999999</v>
      </c>
      <c r="L101" s="7">
        <v>3</v>
      </c>
      <c r="M101" s="7">
        <v>192</v>
      </c>
      <c r="N101" s="7">
        <v>195</v>
      </c>
    </row>
    <row r="102" spans="1:14" x14ac:dyDescent="0.3">
      <c r="A102" s="7">
        <v>101</v>
      </c>
      <c r="B102" s="1">
        <v>40548</v>
      </c>
      <c r="C102" s="7">
        <v>1</v>
      </c>
      <c r="D102" s="7">
        <v>9</v>
      </c>
      <c r="E102" t="b">
        <v>0</v>
      </c>
      <c r="F102" s="7">
        <v>3</v>
      </c>
      <c r="G102" s="7">
        <v>1</v>
      </c>
      <c r="H102" s="6">
        <v>0.22</v>
      </c>
      <c r="I102" s="8">
        <v>0.19700000000000001</v>
      </c>
      <c r="J102" s="6">
        <v>0.37</v>
      </c>
      <c r="K102" s="8">
        <v>0.32840000000000003</v>
      </c>
      <c r="L102" s="7">
        <v>6</v>
      </c>
      <c r="M102" s="7">
        <v>109</v>
      </c>
      <c r="N102" s="7">
        <v>115</v>
      </c>
    </row>
    <row r="103" spans="1:14" x14ac:dyDescent="0.3">
      <c r="A103" s="7">
        <v>102</v>
      </c>
      <c r="B103" s="1">
        <v>40548</v>
      </c>
      <c r="C103" s="7">
        <v>1</v>
      </c>
      <c r="D103" s="7">
        <v>10</v>
      </c>
      <c r="E103" t="b">
        <v>0</v>
      </c>
      <c r="F103" s="7">
        <v>3</v>
      </c>
      <c r="G103" s="7">
        <v>1</v>
      </c>
      <c r="H103" s="6">
        <v>0.22</v>
      </c>
      <c r="I103" s="8">
        <v>0.19700000000000001</v>
      </c>
      <c r="J103" s="6">
        <v>0.37</v>
      </c>
      <c r="K103" s="8">
        <v>0.32840000000000003</v>
      </c>
      <c r="L103" s="7">
        <v>4</v>
      </c>
      <c r="M103" s="7">
        <v>53</v>
      </c>
      <c r="N103" s="7">
        <v>57</v>
      </c>
    </row>
    <row r="104" spans="1:14" x14ac:dyDescent="0.3">
      <c r="A104" s="7">
        <v>103</v>
      </c>
      <c r="B104" s="1">
        <v>40548</v>
      </c>
      <c r="C104" s="7">
        <v>1</v>
      </c>
      <c r="D104" s="7">
        <v>11</v>
      </c>
      <c r="E104" t="b">
        <v>0</v>
      </c>
      <c r="F104" s="7">
        <v>3</v>
      </c>
      <c r="G104" s="7">
        <v>1</v>
      </c>
      <c r="H104" s="6">
        <v>0.26</v>
      </c>
      <c r="I104" s="8">
        <v>0.2273</v>
      </c>
      <c r="J104" s="6">
        <v>0.33</v>
      </c>
      <c r="K104" s="8">
        <v>0.32840000000000003</v>
      </c>
      <c r="L104" s="7">
        <v>12</v>
      </c>
      <c r="M104" s="7">
        <v>34</v>
      </c>
      <c r="N104" s="7">
        <v>46</v>
      </c>
    </row>
    <row r="105" spans="1:14" x14ac:dyDescent="0.3">
      <c r="A105" s="7">
        <v>104</v>
      </c>
      <c r="B105" s="1">
        <v>40548</v>
      </c>
      <c r="C105" s="7">
        <v>1</v>
      </c>
      <c r="D105" s="7">
        <v>12</v>
      </c>
      <c r="E105" t="b">
        <v>0</v>
      </c>
      <c r="F105" s="7">
        <v>3</v>
      </c>
      <c r="G105" s="7">
        <v>1</v>
      </c>
      <c r="H105" s="6">
        <v>0.26</v>
      </c>
      <c r="I105" s="8">
        <v>0.2273</v>
      </c>
      <c r="J105" s="6">
        <v>0.33</v>
      </c>
      <c r="K105" s="8">
        <v>0.32840000000000003</v>
      </c>
      <c r="L105" s="7">
        <v>5</v>
      </c>
      <c r="M105" s="7">
        <v>74</v>
      </c>
      <c r="N105" s="7">
        <v>79</v>
      </c>
    </row>
    <row r="106" spans="1:14" x14ac:dyDescent="0.3">
      <c r="A106" s="7">
        <v>105</v>
      </c>
      <c r="B106" s="1">
        <v>40548</v>
      </c>
      <c r="C106" s="7">
        <v>1</v>
      </c>
      <c r="D106" s="7">
        <v>13</v>
      </c>
      <c r="E106" t="b">
        <v>0</v>
      </c>
      <c r="F106" s="7">
        <v>3</v>
      </c>
      <c r="G106" s="7">
        <v>1</v>
      </c>
      <c r="H106" s="6">
        <v>0.28000000000000003</v>
      </c>
      <c r="I106" s="8">
        <v>0.2576</v>
      </c>
      <c r="J106" s="6">
        <v>0.3</v>
      </c>
      <c r="K106" s="8">
        <v>0.29849999999999999</v>
      </c>
      <c r="L106" s="7">
        <v>6</v>
      </c>
      <c r="M106" s="7">
        <v>65</v>
      </c>
      <c r="N106" s="7">
        <v>71</v>
      </c>
    </row>
    <row r="107" spans="1:14" x14ac:dyDescent="0.3">
      <c r="A107" s="7">
        <v>106</v>
      </c>
      <c r="B107" s="1">
        <v>40548</v>
      </c>
      <c r="C107" s="7">
        <v>1</v>
      </c>
      <c r="D107" s="7">
        <v>14</v>
      </c>
      <c r="E107" t="b">
        <v>0</v>
      </c>
      <c r="F107" s="7">
        <v>3</v>
      </c>
      <c r="G107" s="7">
        <v>1</v>
      </c>
      <c r="H107" s="6">
        <v>0.3</v>
      </c>
      <c r="I107" s="8">
        <v>0.28789999999999999</v>
      </c>
      <c r="J107" s="6">
        <v>0.28000000000000003</v>
      </c>
      <c r="K107" s="8">
        <v>0.19400000000000001</v>
      </c>
      <c r="L107" s="7">
        <v>10</v>
      </c>
      <c r="M107" s="7">
        <v>52</v>
      </c>
      <c r="N107" s="7">
        <v>62</v>
      </c>
    </row>
    <row r="108" spans="1:14" x14ac:dyDescent="0.3">
      <c r="A108" s="7">
        <v>107</v>
      </c>
      <c r="B108" s="1">
        <v>40548</v>
      </c>
      <c r="C108" s="7">
        <v>1</v>
      </c>
      <c r="D108" s="7">
        <v>15</v>
      </c>
      <c r="E108" t="b">
        <v>0</v>
      </c>
      <c r="F108" s="7">
        <v>3</v>
      </c>
      <c r="G108" s="7">
        <v>1</v>
      </c>
      <c r="H108" s="6">
        <v>0.3</v>
      </c>
      <c r="I108" s="8">
        <v>0.28789999999999999</v>
      </c>
      <c r="J108" s="6">
        <v>0.28000000000000003</v>
      </c>
      <c r="K108" s="8">
        <v>0.19400000000000001</v>
      </c>
      <c r="L108" s="7">
        <v>7</v>
      </c>
      <c r="M108" s="7">
        <v>55</v>
      </c>
      <c r="N108" s="7">
        <v>62</v>
      </c>
    </row>
    <row r="109" spans="1:14" x14ac:dyDescent="0.3">
      <c r="A109" s="7">
        <v>108</v>
      </c>
      <c r="B109" s="1">
        <v>40548</v>
      </c>
      <c r="C109" s="7">
        <v>1</v>
      </c>
      <c r="D109" s="7">
        <v>16</v>
      </c>
      <c r="E109" t="b">
        <v>0</v>
      </c>
      <c r="F109" s="7">
        <v>3</v>
      </c>
      <c r="G109" s="7">
        <v>1</v>
      </c>
      <c r="H109" s="6">
        <v>0.3</v>
      </c>
      <c r="I109" s="8">
        <v>0.31819999999999998</v>
      </c>
      <c r="J109" s="6">
        <v>0.28000000000000003</v>
      </c>
      <c r="K109" s="8">
        <v>8.9599999999999999E-2</v>
      </c>
      <c r="L109" s="7">
        <v>4</v>
      </c>
      <c r="M109" s="7">
        <v>85</v>
      </c>
      <c r="N109" s="7">
        <v>89</v>
      </c>
    </row>
    <row r="110" spans="1:14" x14ac:dyDescent="0.3">
      <c r="A110" s="7">
        <v>109</v>
      </c>
      <c r="B110" s="1">
        <v>40548</v>
      </c>
      <c r="C110" s="7">
        <v>1</v>
      </c>
      <c r="D110" s="7">
        <v>17</v>
      </c>
      <c r="E110" t="b">
        <v>0</v>
      </c>
      <c r="F110" s="7">
        <v>3</v>
      </c>
      <c r="G110" s="7">
        <v>1</v>
      </c>
      <c r="H110" s="6">
        <v>0.24</v>
      </c>
      <c r="I110" s="8">
        <v>0.2273</v>
      </c>
      <c r="J110" s="6">
        <v>0.38</v>
      </c>
      <c r="K110" s="8">
        <v>0.19400000000000001</v>
      </c>
      <c r="L110" s="7">
        <v>4</v>
      </c>
      <c r="M110" s="7">
        <v>186</v>
      </c>
      <c r="N110" s="7">
        <v>190</v>
      </c>
    </row>
    <row r="111" spans="1:14" x14ac:dyDescent="0.3">
      <c r="A111" s="7">
        <v>110</v>
      </c>
      <c r="B111" s="1">
        <v>40548</v>
      </c>
      <c r="C111" s="7">
        <v>1</v>
      </c>
      <c r="D111" s="7">
        <v>18</v>
      </c>
      <c r="E111" t="b">
        <v>0</v>
      </c>
      <c r="F111" s="7">
        <v>3</v>
      </c>
      <c r="G111" s="7">
        <v>1</v>
      </c>
      <c r="H111" s="6">
        <v>0.24</v>
      </c>
      <c r="I111" s="8">
        <v>0.2424</v>
      </c>
      <c r="J111" s="6">
        <v>0.38</v>
      </c>
      <c r="K111" s="8">
        <v>0.1343</v>
      </c>
      <c r="L111" s="7">
        <v>3</v>
      </c>
      <c r="M111" s="7">
        <v>166</v>
      </c>
      <c r="N111" s="7">
        <v>169</v>
      </c>
    </row>
    <row r="112" spans="1:14" x14ac:dyDescent="0.3">
      <c r="A112" s="7">
        <v>111</v>
      </c>
      <c r="B112" s="1">
        <v>40548</v>
      </c>
      <c r="C112" s="7">
        <v>1</v>
      </c>
      <c r="D112" s="7">
        <v>19</v>
      </c>
      <c r="E112" t="b">
        <v>0</v>
      </c>
      <c r="F112" s="7">
        <v>3</v>
      </c>
      <c r="G112" s="7">
        <v>1</v>
      </c>
      <c r="H112" s="6">
        <v>0.24</v>
      </c>
      <c r="I112" s="8">
        <v>0.2576</v>
      </c>
      <c r="J112" s="6">
        <v>0.38</v>
      </c>
      <c r="K112" s="8">
        <v>0.1045</v>
      </c>
      <c r="L112" s="7">
        <v>5</v>
      </c>
      <c r="M112" s="7">
        <v>127</v>
      </c>
      <c r="N112" s="7">
        <v>132</v>
      </c>
    </row>
    <row r="113" spans="1:14" x14ac:dyDescent="0.3">
      <c r="A113" s="7">
        <v>112</v>
      </c>
      <c r="B113" s="1">
        <v>40548</v>
      </c>
      <c r="C113" s="7">
        <v>1</v>
      </c>
      <c r="D113" s="7">
        <v>20</v>
      </c>
      <c r="E113" t="b">
        <v>0</v>
      </c>
      <c r="F113" s="7">
        <v>3</v>
      </c>
      <c r="G113" s="7">
        <v>1</v>
      </c>
      <c r="H113" s="6">
        <v>0.22</v>
      </c>
      <c r="I113" s="8">
        <v>0.2273</v>
      </c>
      <c r="J113" s="6">
        <v>0.47</v>
      </c>
      <c r="K113" s="8">
        <v>0.16420000000000001</v>
      </c>
      <c r="L113" s="7">
        <v>7</v>
      </c>
      <c r="M113" s="7">
        <v>82</v>
      </c>
      <c r="N113" s="7">
        <v>89</v>
      </c>
    </row>
    <row r="114" spans="1:14" x14ac:dyDescent="0.3">
      <c r="A114" s="7">
        <v>113</v>
      </c>
      <c r="B114" s="1">
        <v>40548</v>
      </c>
      <c r="C114" s="7">
        <v>1</v>
      </c>
      <c r="D114" s="7">
        <v>21</v>
      </c>
      <c r="E114" t="b">
        <v>0</v>
      </c>
      <c r="F114" s="7">
        <v>3</v>
      </c>
      <c r="G114" s="7">
        <v>1</v>
      </c>
      <c r="H114" s="6">
        <v>0.2</v>
      </c>
      <c r="I114" s="8">
        <v>0.19700000000000001</v>
      </c>
      <c r="J114" s="6">
        <v>0.51</v>
      </c>
      <c r="K114" s="8">
        <v>0.19400000000000001</v>
      </c>
      <c r="L114" s="7">
        <v>3</v>
      </c>
      <c r="M114" s="7">
        <v>40</v>
      </c>
      <c r="N114" s="7">
        <v>43</v>
      </c>
    </row>
    <row r="115" spans="1:14" x14ac:dyDescent="0.3">
      <c r="A115" s="7">
        <v>114</v>
      </c>
      <c r="B115" s="1">
        <v>40548</v>
      </c>
      <c r="C115" s="7">
        <v>1</v>
      </c>
      <c r="D115" s="7">
        <v>22</v>
      </c>
      <c r="E115" t="b">
        <v>0</v>
      </c>
      <c r="F115" s="7">
        <v>3</v>
      </c>
      <c r="G115" s="7">
        <v>1</v>
      </c>
      <c r="H115" s="6">
        <v>0.18</v>
      </c>
      <c r="I115" s="8">
        <v>0.19700000000000001</v>
      </c>
      <c r="J115" s="6">
        <v>0.55000000000000004</v>
      </c>
      <c r="K115" s="8">
        <v>0.1343</v>
      </c>
      <c r="L115" s="7">
        <v>1</v>
      </c>
      <c r="M115" s="7">
        <v>41</v>
      </c>
      <c r="N115" s="7">
        <v>42</v>
      </c>
    </row>
    <row r="116" spans="1:14" x14ac:dyDescent="0.3">
      <c r="A116" s="7">
        <v>115</v>
      </c>
      <c r="B116" s="1">
        <v>40548</v>
      </c>
      <c r="C116" s="7">
        <v>1</v>
      </c>
      <c r="D116" s="7">
        <v>23</v>
      </c>
      <c r="E116" t="b">
        <v>0</v>
      </c>
      <c r="F116" s="7">
        <v>3</v>
      </c>
      <c r="G116" s="7">
        <v>1</v>
      </c>
      <c r="H116" s="6">
        <v>0.2</v>
      </c>
      <c r="I116" s="8">
        <v>0.2576</v>
      </c>
      <c r="J116" s="6">
        <v>0.47</v>
      </c>
      <c r="K116" s="8">
        <v>0</v>
      </c>
      <c r="L116" s="7">
        <v>1</v>
      </c>
      <c r="M116" s="7">
        <v>18</v>
      </c>
      <c r="N116" s="7">
        <v>19</v>
      </c>
    </row>
    <row r="117" spans="1:14" x14ac:dyDescent="0.3">
      <c r="A117" s="7">
        <v>116</v>
      </c>
      <c r="B117" s="1">
        <v>40549</v>
      </c>
      <c r="C117" s="7">
        <v>1</v>
      </c>
      <c r="D117" s="7">
        <v>0</v>
      </c>
      <c r="E117" t="b">
        <v>0</v>
      </c>
      <c r="F117" s="7">
        <v>4</v>
      </c>
      <c r="G117" s="7">
        <v>1</v>
      </c>
      <c r="H117" s="6">
        <v>0.18</v>
      </c>
      <c r="I117" s="8">
        <v>0.2424</v>
      </c>
      <c r="J117" s="6">
        <v>0.55000000000000004</v>
      </c>
      <c r="K117" s="8">
        <v>0</v>
      </c>
      <c r="L117" s="7">
        <v>0</v>
      </c>
      <c r="M117" s="7">
        <v>11</v>
      </c>
      <c r="N117" s="7">
        <v>11</v>
      </c>
    </row>
    <row r="118" spans="1:14" x14ac:dyDescent="0.3">
      <c r="A118" s="7">
        <v>117</v>
      </c>
      <c r="B118" s="1">
        <v>40549</v>
      </c>
      <c r="C118" s="7">
        <v>1</v>
      </c>
      <c r="D118" s="7">
        <v>1</v>
      </c>
      <c r="E118" t="b">
        <v>0</v>
      </c>
      <c r="F118" s="7">
        <v>4</v>
      </c>
      <c r="G118" s="7">
        <v>1</v>
      </c>
      <c r="H118" s="6">
        <v>0.16</v>
      </c>
      <c r="I118" s="8">
        <v>0.2273</v>
      </c>
      <c r="J118" s="6">
        <v>0.64</v>
      </c>
      <c r="K118" s="8">
        <v>0</v>
      </c>
      <c r="L118" s="7">
        <v>0</v>
      </c>
      <c r="M118" s="7">
        <v>4</v>
      </c>
      <c r="N118" s="7">
        <v>4</v>
      </c>
    </row>
    <row r="119" spans="1:14" x14ac:dyDescent="0.3">
      <c r="A119" s="7">
        <v>118</v>
      </c>
      <c r="B119" s="1">
        <v>40549</v>
      </c>
      <c r="C119" s="7">
        <v>1</v>
      </c>
      <c r="D119" s="7">
        <v>2</v>
      </c>
      <c r="E119" t="b">
        <v>0</v>
      </c>
      <c r="F119" s="7">
        <v>4</v>
      </c>
      <c r="G119" s="7">
        <v>1</v>
      </c>
      <c r="H119" s="6">
        <v>0.16</v>
      </c>
      <c r="I119" s="8">
        <v>0.2273</v>
      </c>
      <c r="J119" s="6">
        <v>0.64</v>
      </c>
      <c r="K119" s="8">
        <v>0</v>
      </c>
      <c r="L119" s="7">
        <v>0</v>
      </c>
      <c r="M119" s="7">
        <v>2</v>
      </c>
      <c r="N119" s="7">
        <v>2</v>
      </c>
    </row>
    <row r="120" spans="1:14" x14ac:dyDescent="0.3">
      <c r="A120" s="7">
        <v>119</v>
      </c>
      <c r="B120" s="1">
        <v>40549</v>
      </c>
      <c r="C120" s="7">
        <v>1</v>
      </c>
      <c r="D120" s="7">
        <v>4</v>
      </c>
      <c r="E120" t="b">
        <v>0</v>
      </c>
      <c r="F120" s="7">
        <v>4</v>
      </c>
      <c r="G120" s="7">
        <v>2</v>
      </c>
      <c r="H120" s="6">
        <v>0.16</v>
      </c>
      <c r="I120" s="8">
        <v>0.19700000000000001</v>
      </c>
      <c r="J120" s="6">
        <v>0.64</v>
      </c>
      <c r="K120" s="8">
        <v>8.9599999999999999E-2</v>
      </c>
      <c r="L120" s="7">
        <v>0</v>
      </c>
      <c r="M120" s="7">
        <v>1</v>
      </c>
      <c r="N120" s="7">
        <v>1</v>
      </c>
    </row>
    <row r="121" spans="1:14" x14ac:dyDescent="0.3">
      <c r="A121" s="7">
        <v>120</v>
      </c>
      <c r="B121" s="1">
        <v>40549</v>
      </c>
      <c r="C121" s="7">
        <v>1</v>
      </c>
      <c r="D121" s="7">
        <v>5</v>
      </c>
      <c r="E121" t="b">
        <v>0</v>
      </c>
      <c r="F121" s="7">
        <v>4</v>
      </c>
      <c r="G121" s="7">
        <v>2</v>
      </c>
      <c r="H121" s="6">
        <v>0.14000000000000001</v>
      </c>
      <c r="I121" s="8">
        <v>0.18179999999999999</v>
      </c>
      <c r="J121" s="6">
        <v>0.69</v>
      </c>
      <c r="K121" s="8">
        <v>8.9599999999999999E-2</v>
      </c>
      <c r="L121" s="7">
        <v>0</v>
      </c>
      <c r="M121" s="7">
        <v>4</v>
      </c>
      <c r="N121" s="7">
        <v>4</v>
      </c>
    </row>
    <row r="122" spans="1:14" x14ac:dyDescent="0.3">
      <c r="A122" s="7">
        <v>121</v>
      </c>
      <c r="B122" s="1">
        <v>40549</v>
      </c>
      <c r="C122" s="7">
        <v>1</v>
      </c>
      <c r="D122" s="7">
        <v>6</v>
      </c>
      <c r="E122" t="b">
        <v>0</v>
      </c>
      <c r="F122" s="7">
        <v>4</v>
      </c>
      <c r="G122" s="7">
        <v>2</v>
      </c>
      <c r="H122" s="6">
        <v>0.14000000000000001</v>
      </c>
      <c r="I122" s="8">
        <v>0.16669999999999999</v>
      </c>
      <c r="J122" s="6">
        <v>0.63</v>
      </c>
      <c r="K122" s="8">
        <v>0.1045</v>
      </c>
      <c r="L122" s="7">
        <v>0</v>
      </c>
      <c r="M122" s="7">
        <v>36</v>
      </c>
      <c r="N122" s="7">
        <v>36</v>
      </c>
    </row>
    <row r="123" spans="1:14" x14ac:dyDescent="0.3">
      <c r="A123" s="7">
        <v>122</v>
      </c>
      <c r="B123" s="1">
        <v>40549</v>
      </c>
      <c r="C123" s="7">
        <v>1</v>
      </c>
      <c r="D123" s="7">
        <v>7</v>
      </c>
      <c r="E123" t="b">
        <v>0</v>
      </c>
      <c r="F123" s="7">
        <v>4</v>
      </c>
      <c r="G123" s="7">
        <v>2</v>
      </c>
      <c r="H123" s="6">
        <v>0.16</v>
      </c>
      <c r="I123" s="8">
        <v>0.2273</v>
      </c>
      <c r="J123" s="6">
        <v>0.59</v>
      </c>
      <c r="K123" s="8">
        <v>0</v>
      </c>
      <c r="L123" s="7">
        <v>0</v>
      </c>
      <c r="M123" s="7">
        <v>95</v>
      </c>
      <c r="N123" s="7">
        <v>95</v>
      </c>
    </row>
    <row r="124" spans="1:14" x14ac:dyDescent="0.3">
      <c r="A124" s="7">
        <v>123</v>
      </c>
      <c r="B124" s="1">
        <v>40549</v>
      </c>
      <c r="C124" s="7">
        <v>1</v>
      </c>
      <c r="D124" s="7">
        <v>8</v>
      </c>
      <c r="E124" t="b">
        <v>0</v>
      </c>
      <c r="F124" s="7">
        <v>4</v>
      </c>
      <c r="G124" s="7">
        <v>1</v>
      </c>
      <c r="H124" s="6">
        <v>0.16</v>
      </c>
      <c r="I124" s="8">
        <v>0.2273</v>
      </c>
      <c r="J124" s="6">
        <v>0.59</v>
      </c>
      <c r="K124" s="8">
        <v>0</v>
      </c>
      <c r="L124" s="7">
        <v>3</v>
      </c>
      <c r="M124" s="7">
        <v>216</v>
      </c>
      <c r="N124" s="7">
        <v>219</v>
      </c>
    </row>
    <row r="125" spans="1:14" x14ac:dyDescent="0.3">
      <c r="A125" s="7">
        <v>124</v>
      </c>
      <c r="B125" s="1">
        <v>40549</v>
      </c>
      <c r="C125" s="7">
        <v>1</v>
      </c>
      <c r="D125" s="7">
        <v>9</v>
      </c>
      <c r="E125" t="b">
        <v>0</v>
      </c>
      <c r="F125" s="7">
        <v>4</v>
      </c>
      <c r="G125" s="7">
        <v>2</v>
      </c>
      <c r="H125" s="6">
        <v>0.18</v>
      </c>
      <c r="I125" s="8">
        <v>0.2424</v>
      </c>
      <c r="J125" s="6">
        <v>0.51</v>
      </c>
      <c r="K125" s="8">
        <v>0</v>
      </c>
      <c r="L125" s="7">
        <v>6</v>
      </c>
      <c r="M125" s="7">
        <v>116</v>
      </c>
      <c r="N125" s="7">
        <v>122</v>
      </c>
    </row>
    <row r="126" spans="1:14" x14ac:dyDescent="0.3">
      <c r="A126" s="7">
        <v>125</v>
      </c>
      <c r="B126" s="1">
        <v>40549</v>
      </c>
      <c r="C126" s="7">
        <v>1</v>
      </c>
      <c r="D126" s="7">
        <v>10</v>
      </c>
      <c r="E126" t="b">
        <v>0</v>
      </c>
      <c r="F126" s="7">
        <v>4</v>
      </c>
      <c r="G126" s="7">
        <v>1</v>
      </c>
      <c r="H126" s="6">
        <v>0.2</v>
      </c>
      <c r="I126" s="8">
        <v>0.2576</v>
      </c>
      <c r="J126" s="6">
        <v>0.47</v>
      </c>
      <c r="K126" s="8">
        <v>0</v>
      </c>
      <c r="L126" s="7">
        <v>3</v>
      </c>
      <c r="M126" s="7">
        <v>42</v>
      </c>
      <c r="N126" s="7">
        <v>45</v>
      </c>
    </row>
    <row r="127" spans="1:14" x14ac:dyDescent="0.3">
      <c r="A127" s="7">
        <v>126</v>
      </c>
      <c r="B127" s="1">
        <v>40549</v>
      </c>
      <c r="C127" s="7">
        <v>1</v>
      </c>
      <c r="D127" s="7">
        <v>11</v>
      </c>
      <c r="E127" t="b">
        <v>0</v>
      </c>
      <c r="F127" s="7">
        <v>4</v>
      </c>
      <c r="G127" s="7">
        <v>1</v>
      </c>
      <c r="H127" s="6">
        <v>0.22</v>
      </c>
      <c r="I127" s="8">
        <v>0.2576</v>
      </c>
      <c r="J127" s="6">
        <v>0.44</v>
      </c>
      <c r="K127" s="8">
        <v>8.9599999999999999E-2</v>
      </c>
      <c r="L127" s="7">
        <v>2</v>
      </c>
      <c r="M127" s="7">
        <v>57</v>
      </c>
      <c r="N127" s="7">
        <v>59</v>
      </c>
    </row>
    <row r="128" spans="1:14" x14ac:dyDescent="0.3">
      <c r="A128" s="7">
        <v>127</v>
      </c>
      <c r="B128" s="1">
        <v>40549</v>
      </c>
      <c r="C128" s="7">
        <v>1</v>
      </c>
      <c r="D128" s="7">
        <v>12</v>
      </c>
      <c r="E128" t="b">
        <v>0</v>
      </c>
      <c r="F128" s="7">
        <v>4</v>
      </c>
      <c r="G128" s="7">
        <v>1</v>
      </c>
      <c r="H128" s="6">
        <v>0.26</v>
      </c>
      <c r="I128" s="8">
        <v>0.28789999999999999</v>
      </c>
      <c r="J128" s="6">
        <v>0.35</v>
      </c>
      <c r="K128" s="8">
        <v>0</v>
      </c>
      <c r="L128" s="7">
        <v>6</v>
      </c>
      <c r="M128" s="7">
        <v>78</v>
      </c>
      <c r="N128" s="7">
        <v>84</v>
      </c>
    </row>
    <row r="129" spans="1:14" x14ac:dyDescent="0.3">
      <c r="A129" s="7">
        <v>128</v>
      </c>
      <c r="B129" s="1">
        <v>40549</v>
      </c>
      <c r="C129" s="7">
        <v>1</v>
      </c>
      <c r="D129" s="7">
        <v>13</v>
      </c>
      <c r="E129" t="b">
        <v>0</v>
      </c>
      <c r="F129" s="7">
        <v>4</v>
      </c>
      <c r="G129" s="7">
        <v>1</v>
      </c>
      <c r="H129" s="6">
        <v>0.26</v>
      </c>
      <c r="I129" s="8">
        <v>0.2727</v>
      </c>
      <c r="J129" s="6">
        <v>0.35</v>
      </c>
      <c r="K129" s="8">
        <v>0.1045</v>
      </c>
      <c r="L129" s="7">
        <v>12</v>
      </c>
      <c r="M129" s="7">
        <v>55</v>
      </c>
      <c r="N129" s="7">
        <v>67</v>
      </c>
    </row>
    <row r="130" spans="1:14" x14ac:dyDescent="0.3">
      <c r="A130" s="7">
        <v>129</v>
      </c>
      <c r="B130" s="1">
        <v>40549</v>
      </c>
      <c r="C130" s="7">
        <v>1</v>
      </c>
      <c r="D130" s="7">
        <v>14</v>
      </c>
      <c r="E130" t="b">
        <v>0</v>
      </c>
      <c r="F130" s="7">
        <v>4</v>
      </c>
      <c r="G130" s="7">
        <v>1</v>
      </c>
      <c r="H130" s="6">
        <v>0.28000000000000003</v>
      </c>
      <c r="I130" s="8">
        <v>0.2727</v>
      </c>
      <c r="J130" s="6">
        <v>0.36</v>
      </c>
      <c r="K130" s="8">
        <v>0.16420000000000001</v>
      </c>
      <c r="L130" s="7">
        <v>11</v>
      </c>
      <c r="M130" s="7">
        <v>59</v>
      </c>
      <c r="N130" s="7">
        <v>70</v>
      </c>
    </row>
    <row r="131" spans="1:14" x14ac:dyDescent="0.3">
      <c r="A131" s="7">
        <v>130</v>
      </c>
      <c r="B131" s="1">
        <v>40549</v>
      </c>
      <c r="C131" s="7">
        <v>1</v>
      </c>
      <c r="D131" s="7">
        <v>15</v>
      </c>
      <c r="E131" t="b">
        <v>0</v>
      </c>
      <c r="F131" s="7">
        <v>4</v>
      </c>
      <c r="G131" s="7">
        <v>1</v>
      </c>
      <c r="H131" s="6">
        <v>0.28000000000000003</v>
      </c>
      <c r="I131" s="8">
        <v>0.2727</v>
      </c>
      <c r="J131" s="6">
        <v>0.36</v>
      </c>
      <c r="K131" s="8">
        <v>0</v>
      </c>
      <c r="L131" s="7">
        <v>8</v>
      </c>
      <c r="M131" s="7">
        <v>54</v>
      </c>
      <c r="N131" s="7">
        <v>62</v>
      </c>
    </row>
    <row r="132" spans="1:14" x14ac:dyDescent="0.3">
      <c r="A132" s="7">
        <v>131</v>
      </c>
      <c r="B132" s="1">
        <v>40549</v>
      </c>
      <c r="C132" s="7">
        <v>1</v>
      </c>
      <c r="D132" s="7">
        <v>16</v>
      </c>
      <c r="E132" t="b">
        <v>0</v>
      </c>
      <c r="F132" s="7">
        <v>4</v>
      </c>
      <c r="G132" s="7">
        <v>1</v>
      </c>
      <c r="H132" s="6">
        <v>0.26</v>
      </c>
      <c r="I132" s="8">
        <v>0.2576</v>
      </c>
      <c r="J132" s="6">
        <v>0.38</v>
      </c>
      <c r="K132" s="8">
        <v>0.16420000000000001</v>
      </c>
      <c r="L132" s="7">
        <v>12</v>
      </c>
      <c r="M132" s="7">
        <v>74</v>
      </c>
      <c r="N132" s="7">
        <v>86</v>
      </c>
    </row>
    <row r="133" spans="1:14" x14ac:dyDescent="0.3">
      <c r="A133" s="7">
        <v>132</v>
      </c>
      <c r="B133" s="1">
        <v>40549</v>
      </c>
      <c r="C133" s="7">
        <v>1</v>
      </c>
      <c r="D133" s="7">
        <v>17</v>
      </c>
      <c r="E133" t="b">
        <v>0</v>
      </c>
      <c r="F133" s="7">
        <v>4</v>
      </c>
      <c r="G133" s="7">
        <v>1</v>
      </c>
      <c r="H133" s="6">
        <v>0.22</v>
      </c>
      <c r="I133" s="8">
        <v>0.2273</v>
      </c>
      <c r="J133" s="6">
        <v>0.51</v>
      </c>
      <c r="K133" s="8">
        <v>0.16420000000000001</v>
      </c>
      <c r="L133" s="7">
        <v>9</v>
      </c>
      <c r="M133" s="7">
        <v>163</v>
      </c>
      <c r="N133" s="7">
        <v>172</v>
      </c>
    </row>
    <row r="134" spans="1:14" x14ac:dyDescent="0.3">
      <c r="A134" s="7">
        <v>133</v>
      </c>
      <c r="B134" s="1">
        <v>40549</v>
      </c>
      <c r="C134" s="7">
        <v>1</v>
      </c>
      <c r="D134" s="7">
        <v>18</v>
      </c>
      <c r="E134" t="b">
        <v>0</v>
      </c>
      <c r="F134" s="7">
        <v>4</v>
      </c>
      <c r="G134" s="7">
        <v>1</v>
      </c>
      <c r="H134" s="6">
        <v>0.22</v>
      </c>
      <c r="I134" s="8">
        <v>0.2273</v>
      </c>
      <c r="J134" s="6">
        <v>0.51</v>
      </c>
      <c r="K134" s="8">
        <v>0.1343</v>
      </c>
      <c r="L134" s="7">
        <v>5</v>
      </c>
      <c r="M134" s="7">
        <v>158</v>
      </c>
      <c r="N134" s="7">
        <v>163</v>
      </c>
    </row>
    <row r="135" spans="1:14" x14ac:dyDescent="0.3">
      <c r="A135" s="7">
        <v>134</v>
      </c>
      <c r="B135" s="1">
        <v>40549</v>
      </c>
      <c r="C135" s="7">
        <v>1</v>
      </c>
      <c r="D135" s="7">
        <v>19</v>
      </c>
      <c r="E135" t="b">
        <v>0</v>
      </c>
      <c r="F135" s="7">
        <v>4</v>
      </c>
      <c r="G135" s="7">
        <v>1</v>
      </c>
      <c r="H135" s="6">
        <v>0.22</v>
      </c>
      <c r="I135" s="8">
        <v>0.2576</v>
      </c>
      <c r="J135" s="6">
        <v>0.55000000000000004</v>
      </c>
      <c r="K135" s="8">
        <v>8.9599999999999999E-2</v>
      </c>
      <c r="L135" s="7">
        <v>3</v>
      </c>
      <c r="M135" s="7">
        <v>109</v>
      </c>
      <c r="N135" s="7">
        <v>112</v>
      </c>
    </row>
    <row r="136" spans="1:14" x14ac:dyDescent="0.3">
      <c r="A136" s="7">
        <v>135</v>
      </c>
      <c r="B136" s="1">
        <v>40549</v>
      </c>
      <c r="C136" s="7">
        <v>1</v>
      </c>
      <c r="D136" s="7">
        <v>20</v>
      </c>
      <c r="E136" t="b">
        <v>0</v>
      </c>
      <c r="F136" s="7">
        <v>4</v>
      </c>
      <c r="G136" s="7">
        <v>1</v>
      </c>
      <c r="H136" s="6">
        <v>0.2</v>
      </c>
      <c r="I136" s="8">
        <v>0.21210000000000001</v>
      </c>
      <c r="J136" s="6">
        <v>0.51</v>
      </c>
      <c r="K136" s="8">
        <v>0.16420000000000001</v>
      </c>
      <c r="L136" s="7">
        <v>3</v>
      </c>
      <c r="M136" s="7">
        <v>66</v>
      </c>
      <c r="N136" s="7">
        <v>69</v>
      </c>
    </row>
    <row r="137" spans="1:14" x14ac:dyDescent="0.3">
      <c r="A137" s="7">
        <v>136</v>
      </c>
      <c r="B137" s="1">
        <v>40549</v>
      </c>
      <c r="C137" s="7">
        <v>1</v>
      </c>
      <c r="D137" s="7">
        <v>21</v>
      </c>
      <c r="E137" t="b">
        <v>0</v>
      </c>
      <c r="F137" s="7">
        <v>4</v>
      </c>
      <c r="G137" s="7">
        <v>2</v>
      </c>
      <c r="H137" s="6">
        <v>0.22</v>
      </c>
      <c r="I137" s="8">
        <v>0.21210000000000001</v>
      </c>
      <c r="J137" s="6">
        <v>0.55000000000000004</v>
      </c>
      <c r="K137" s="8">
        <v>0.22389999999999999</v>
      </c>
      <c r="L137" s="7">
        <v>0</v>
      </c>
      <c r="M137" s="7">
        <v>48</v>
      </c>
      <c r="N137" s="7">
        <v>48</v>
      </c>
    </row>
    <row r="138" spans="1:14" x14ac:dyDescent="0.3">
      <c r="A138" s="7">
        <v>137</v>
      </c>
      <c r="B138" s="1">
        <v>40549</v>
      </c>
      <c r="C138" s="7">
        <v>1</v>
      </c>
      <c r="D138" s="7">
        <v>22</v>
      </c>
      <c r="E138" t="b">
        <v>0</v>
      </c>
      <c r="F138" s="7">
        <v>4</v>
      </c>
      <c r="G138" s="7">
        <v>2</v>
      </c>
      <c r="H138" s="6">
        <v>0.22</v>
      </c>
      <c r="I138" s="8">
        <v>0.21210000000000001</v>
      </c>
      <c r="J138" s="6">
        <v>0.51</v>
      </c>
      <c r="K138" s="8">
        <v>0.28360000000000002</v>
      </c>
      <c r="L138" s="7">
        <v>1</v>
      </c>
      <c r="M138" s="7">
        <v>51</v>
      </c>
      <c r="N138" s="7">
        <v>52</v>
      </c>
    </row>
    <row r="139" spans="1:14" x14ac:dyDescent="0.3">
      <c r="A139" s="7">
        <v>138</v>
      </c>
      <c r="B139" s="1">
        <v>40549</v>
      </c>
      <c r="C139" s="7">
        <v>1</v>
      </c>
      <c r="D139" s="7">
        <v>23</v>
      </c>
      <c r="E139" t="b">
        <v>0</v>
      </c>
      <c r="F139" s="7">
        <v>4</v>
      </c>
      <c r="G139" s="7">
        <v>2</v>
      </c>
      <c r="H139" s="6">
        <v>0.2</v>
      </c>
      <c r="I139" s="8">
        <v>0.19700000000000001</v>
      </c>
      <c r="J139" s="6">
        <v>0.59</v>
      </c>
      <c r="K139" s="8">
        <v>0.19400000000000001</v>
      </c>
      <c r="L139" s="7">
        <v>4</v>
      </c>
      <c r="M139" s="7">
        <v>19</v>
      </c>
      <c r="N139" s="7">
        <v>23</v>
      </c>
    </row>
    <row r="140" spans="1:14" x14ac:dyDescent="0.3">
      <c r="A140" s="7">
        <v>139</v>
      </c>
      <c r="B140" s="1">
        <v>40550</v>
      </c>
      <c r="C140" s="7">
        <v>1</v>
      </c>
      <c r="D140" s="7">
        <v>0</v>
      </c>
      <c r="E140" t="b">
        <v>0</v>
      </c>
      <c r="F140" s="7">
        <v>5</v>
      </c>
      <c r="G140" s="7">
        <v>2</v>
      </c>
      <c r="H140" s="6">
        <v>0.2</v>
      </c>
      <c r="I140" s="8">
        <v>0.19700000000000001</v>
      </c>
      <c r="J140" s="6">
        <v>0.64</v>
      </c>
      <c r="K140" s="8">
        <v>0.19400000000000001</v>
      </c>
      <c r="L140" s="7">
        <v>4</v>
      </c>
      <c r="M140" s="7">
        <v>13</v>
      </c>
      <c r="N140" s="7">
        <v>17</v>
      </c>
    </row>
    <row r="141" spans="1:14" x14ac:dyDescent="0.3">
      <c r="A141" s="7">
        <v>140</v>
      </c>
      <c r="B141" s="1">
        <v>40550</v>
      </c>
      <c r="C141" s="7">
        <v>1</v>
      </c>
      <c r="D141" s="7">
        <v>1</v>
      </c>
      <c r="E141" t="b">
        <v>0</v>
      </c>
      <c r="F141" s="7">
        <v>5</v>
      </c>
      <c r="G141" s="7">
        <v>2</v>
      </c>
      <c r="H141" s="6">
        <v>0.2</v>
      </c>
      <c r="I141" s="8">
        <v>0.19700000000000001</v>
      </c>
      <c r="J141" s="6">
        <v>0.69</v>
      </c>
      <c r="K141" s="8">
        <v>0.22389999999999999</v>
      </c>
      <c r="L141" s="7">
        <v>2</v>
      </c>
      <c r="M141" s="7">
        <v>5</v>
      </c>
      <c r="N141" s="7">
        <v>7</v>
      </c>
    </row>
    <row r="142" spans="1:14" x14ac:dyDescent="0.3">
      <c r="A142" s="7">
        <v>141</v>
      </c>
      <c r="B142" s="1">
        <v>40550</v>
      </c>
      <c r="C142" s="7">
        <v>1</v>
      </c>
      <c r="D142" s="7">
        <v>2</v>
      </c>
      <c r="E142" t="b">
        <v>0</v>
      </c>
      <c r="F142" s="7">
        <v>5</v>
      </c>
      <c r="G142" s="7">
        <v>2</v>
      </c>
      <c r="H142" s="6">
        <v>0.2</v>
      </c>
      <c r="I142" s="8">
        <v>0.19700000000000001</v>
      </c>
      <c r="J142" s="6">
        <v>0.69</v>
      </c>
      <c r="K142" s="8">
        <v>0.22389999999999999</v>
      </c>
      <c r="L142" s="7">
        <v>0</v>
      </c>
      <c r="M142" s="7">
        <v>1</v>
      </c>
      <c r="N142" s="7">
        <v>1</v>
      </c>
    </row>
    <row r="143" spans="1:14" x14ac:dyDescent="0.3">
      <c r="A143" s="7">
        <v>142</v>
      </c>
      <c r="B143" s="1">
        <v>40550</v>
      </c>
      <c r="C143" s="7">
        <v>1</v>
      </c>
      <c r="D143" s="7">
        <v>4</v>
      </c>
      <c r="E143" t="b">
        <v>0</v>
      </c>
      <c r="F143" s="7">
        <v>5</v>
      </c>
      <c r="G143" s="7">
        <v>2</v>
      </c>
      <c r="H143" s="6">
        <v>0.2</v>
      </c>
      <c r="I143" s="8">
        <v>0.21210000000000001</v>
      </c>
      <c r="J143" s="6">
        <v>0.69</v>
      </c>
      <c r="K143" s="8">
        <v>0.1343</v>
      </c>
      <c r="L143" s="7">
        <v>0</v>
      </c>
      <c r="M143" s="7">
        <v>1</v>
      </c>
      <c r="N143" s="7">
        <v>1</v>
      </c>
    </row>
    <row r="144" spans="1:14" x14ac:dyDescent="0.3">
      <c r="A144" s="7">
        <v>143</v>
      </c>
      <c r="B144" s="1">
        <v>40550</v>
      </c>
      <c r="C144" s="7">
        <v>1</v>
      </c>
      <c r="D144" s="7">
        <v>5</v>
      </c>
      <c r="E144" t="b">
        <v>0</v>
      </c>
      <c r="F144" s="7">
        <v>5</v>
      </c>
      <c r="G144" s="7">
        <v>3</v>
      </c>
      <c r="H144" s="6">
        <v>0.22</v>
      </c>
      <c r="I144" s="8">
        <v>0.2727</v>
      </c>
      <c r="J144" s="6">
        <v>0.55000000000000004</v>
      </c>
      <c r="K144" s="8">
        <v>0</v>
      </c>
      <c r="L144" s="7">
        <v>0</v>
      </c>
      <c r="M144" s="7">
        <v>5</v>
      </c>
      <c r="N144" s="7">
        <v>5</v>
      </c>
    </row>
    <row r="145" spans="1:14" x14ac:dyDescent="0.3">
      <c r="A145" s="7">
        <v>144</v>
      </c>
      <c r="B145" s="1">
        <v>40550</v>
      </c>
      <c r="C145" s="7">
        <v>1</v>
      </c>
      <c r="D145" s="7">
        <v>6</v>
      </c>
      <c r="E145" t="b">
        <v>0</v>
      </c>
      <c r="F145" s="7">
        <v>5</v>
      </c>
      <c r="G145" s="7">
        <v>2</v>
      </c>
      <c r="H145" s="6">
        <v>0.2</v>
      </c>
      <c r="I145" s="8">
        <v>0.2576</v>
      </c>
      <c r="J145" s="6">
        <v>0.69</v>
      </c>
      <c r="K145" s="8">
        <v>0</v>
      </c>
      <c r="L145" s="7">
        <v>8</v>
      </c>
      <c r="M145" s="7">
        <v>26</v>
      </c>
      <c r="N145" s="7">
        <v>34</v>
      </c>
    </row>
    <row r="146" spans="1:14" x14ac:dyDescent="0.3">
      <c r="A146" s="7">
        <v>145</v>
      </c>
      <c r="B146" s="1">
        <v>40550</v>
      </c>
      <c r="C146" s="7">
        <v>1</v>
      </c>
      <c r="D146" s="7">
        <v>7</v>
      </c>
      <c r="E146" t="b">
        <v>0</v>
      </c>
      <c r="F146" s="7">
        <v>5</v>
      </c>
      <c r="G146" s="7">
        <v>1</v>
      </c>
      <c r="H146" s="6">
        <v>0.2</v>
      </c>
      <c r="I146" s="8">
        <v>0.21210000000000001</v>
      </c>
      <c r="J146" s="6">
        <v>0.69</v>
      </c>
      <c r="K146" s="8">
        <v>0.1343</v>
      </c>
      <c r="L146" s="7">
        <v>8</v>
      </c>
      <c r="M146" s="7">
        <v>76</v>
      </c>
      <c r="N146" s="7">
        <v>84</v>
      </c>
    </row>
    <row r="147" spans="1:14" x14ac:dyDescent="0.3">
      <c r="A147" s="7">
        <v>146</v>
      </c>
      <c r="B147" s="1">
        <v>40550</v>
      </c>
      <c r="C147" s="7">
        <v>1</v>
      </c>
      <c r="D147" s="7">
        <v>8</v>
      </c>
      <c r="E147" t="b">
        <v>0</v>
      </c>
      <c r="F147" s="7">
        <v>5</v>
      </c>
      <c r="G147" s="7">
        <v>1</v>
      </c>
      <c r="H147" s="6">
        <v>0.2</v>
      </c>
      <c r="I147" s="8">
        <v>0.19700000000000001</v>
      </c>
      <c r="J147" s="6">
        <v>0.51</v>
      </c>
      <c r="K147" s="8">
        <v>0.25369999999999998</v>
      </c>
      <c r="L147" s="7">
        <v>20</v>
      </c>
      <c r="M147" s="7">
        <v>190</v>
      </c>
      <c r="N147" s="7">
        <v>210</v>
      </c>
    </row>
    <row r="148" spans="1:14" x14ac:dyDescent="0.3">
      <c r="A148" s="7">
        <v>147</v>
      </c>
      <c r="B148" s="1">
        <v>40550</v>
      </c>
      <c r="C148" s="7">
        <v>1</v>
      </c>
      <c r="D148" s="7">
        <v>9</v>
      </c>
      <c r="E148" t="b">
        <v>0</v>
      </c>
      <c r="F148" s="7">
        <v>5</v>
      </c>
      <c r="G148" s="7">
        <v>1</v>
      </c>
      <c r="H148" s="6">
        <v>0.2</v>
      </c>
      <c r="I148" s="8">
        <v>0.18179999999999999</v>
      </c>
      <c r="J148" s="6">
        <v>0.47</v>
      </c>
      <c r="K148" s="8">
        <v>0.29849999999999999</v>
      </c>
      <c r="L148" s="7">
        <v>9</v>
      </c>
      <c r="M148" s="7">
        <v>125</v>
      </c>
      <c r="N148" s="7">
        <v>134</v>
      </c>
    </row>
    <row r="149" spans="1:14" x14ac:dyDescent="0.3">
      <c r="A149" s="7">
        <v>148</v>
      </c>
      <c r="B149" s="1">
        <v>40550</v>
      </c>
      <c r="C149" s="7">
        <v>1</v>
      </c>
      <c r="D149" s="7">
        <v>10</v>
      </c>
      <c r="E149" t="b">
        <v>0</v>
      </c>
      <c r="F149" s="7">
        <v>5</v>
      </c>
      <c r="G149" s="7">
        <v>1</v>
      </c>
      <c r="H149" s="6">
        <v>0.22</v>
      </c>
      <c r="I149" s="8">
        <v>0.19700000000000001</v>
      </c>
      <c r="J149" s="6">
        <v>0.37</v>
      </c>
      <c r="K149" s="8">
        <v>0.32840000000000003</v>
      </c>
      <c r="L149" s="7">
        <v>16</v>
      </c>
      <c r="M149" s="7">
        <v>47</v>
      </c>
      <c r="N149" s="7">
        <v>63</v>
      </c>
    </row>
    <row r="150" spans="1:14" x14ac:dyDescent="0.3">
      <c r="A150" s="7">
        <v>149</v>
      </c>
      <c r="B150" s="1">
        <v>40550</v>
      </c>
      <c r="C150" s="7">
        <v>1</v>
      </c>
      <c r="D150" s="7">
        <v>11</v>
      </c>
      <c r="E150" t="b">
        <v>0</v>
      </c>
      <c r="F150" s="7">
        <v>5</v>
      </c>
      <c r="G150" s="7">
        <v>2</v>
      </c>
      <c r="H150" s="6">
        <v>0.2</v>
      </c>
      <c r="I150" s="8">
        <v>0.19700000000000001</v>
      </c>
      <c r="J150" s="6">
        <v>0.4</v>
      </c>
      <c r="K150" s="8">
        <v>0.22389999999999999</v>
      </c>
      <c r="L150" s="7">
        <v>19</v>
      </c>
      <c r="M150" s="7">
        <v>48</v>
      </c>
      <c r="N150" s="7">
        <v>67</v>
      </c>
    </row>
    <row r="151" spans="1:14" x14ac:dyDescent="0.3">
      <c r="A151" s="7">
        <v>150</v>
      </c>
      <c r="B151" s="1">
        <v>40550</v>
      </c>
      <c r="C151" s="7">
        <v>1</v>
      </c>
      <c r="D151" s="7">
        <v>12</v>
      </c>
      <c r="E151" t="b">
        <v>0</v>
      </c>
      <c r="F151" s="7">
        <v>5</v>
      </c>
      <c r="G151" s="7">
        <v>2</v>
      </c>
      <c r="H151" s="6">
        <v>0.2</v>
      </c>
      <c r="I151" s="8">
        <v>0.19700000000000001</v>
      </c>
      <c r="J151" s="6">
        <v>0.37</v>
      </c>
      <c r="K151" s="8">
        <v>0.25369999999999998</v>
      </c>
      <c r="L151" s="7">
        <v>9</v>
      </c>
      <c r="M151" s="7">
        <v>50</v>
      </c>
      <c r="N151" s="7">
        <v>59</v>
      </c>
    </row>
    <row r="152" spans="1:14" x14ac:dyDescent="0.3">
      <c r="A152" s="7">
        <v>151</v>
      </c>
      <c r="B152" s="1">
        <v>40550</v>
      </c>
      <c r="C152" s="7">
        <v>1</v>
      </c>
      <c r="D152" s="7">
        <v>13</v>
      </c>
      <c r="E152" t="b">
        <v>0</v>
      </c>
      <c r="F152" s="7">
        <v>5</v>
      </c>
      <c r="G152" s="7">
        <v>2</v>
      </c>
      <c r="H152" s="6">
        <v>0.2</v>
      </c>
      <c r="I152" s="8">
        <v>0.18179999999999999</v>
      </c>
      <c r="J152" s="6">
        <v>0.37</v>
      </c>
      <c r="K152" s="8">
        <v>0.28360000000000002</v>
      </c>
      <c r="L152" s="7">
        <v>9</v>
      </c>
      <c r="M152" s="7">
        <v>64</v>
      </c>
      <c r="N152" s="7">
        <v>73</v>
      </c>
    </row>
    <row r="153" spans="1:14" x14ac:dyDescent="0.3">
      <c r="A153" s="7">
        <v>152</v>
      </c>
      <c r="B153" s="1">
        <v>40550</v>
      </c>
      <c r="C153" s="7">
        <v>1</v>
      </c>
      <c r="D153" s="7">
        <v>14</v>
      </c>
      <c r="E153" t="b">
        <v>0</v>
      </c>
      <c r="F153" s="7">
        <v>5</v>
      </c>
      <c r="G153" s="7">
        <v>2</v>
      </c>
      <c r="H153" s="6">
        <v>0.2</v>
      </c>
      <c r="I153" s="8">
        <v>0.19700000000000001</v>
      </c>
      <c r="J153" s="6">
        <v>0.4</v>
      </c>
      <c r="K153" s="8">
        <v>0.25369999999999998</v>
      </c>
      <c r="L153" s="7">
        <v>7</v>
      </c>
      <c r="M153" s="7">
        <v>43</v>
      </c>
      <c r="N153" s="7">
        <v>50</v>
      </c>
    </row>
    <row r="154" spans="1:14" x14ac:dyDescent="0.3">
      <c r="A154" s="7">
        <v>153</v>
      </c>
      <c r="B154" s="1">
        <v>40550</v>
      </c>
      <c r="C154" s="7">
        <v>1</v>
      </c>
      <c r="D154" s="7">
        <v>15</v>
      </c>
      <c r="E154" t="b">
        <v>0</v>
      </c>
      <c r="F154" s="7">
        <v>5</v>
      </c>
      <c r="G154" s="7">
        <v>2</v>
      </c>
      <c r="H154" s="6">
        <v>0.2</v>
      </c>
      <c r="I154" s="8">
        <v>0.21210000000000001</v>
      </c>
      <c r="J154" s="6">
        <v>0.37</v>
      </c>
      <c r="K154" s="8">
        <v>0.16420000000000001</v>
      </c>
      <c r="L154" s="7">
        <v>9</v>
      </c>
      <c r="M154" s="7">
        <v>63</v>
      </c>
      <c r="N154" s="7">
        <v>72</v>
      </c>
    </row>
    <row r="155" spans="1:14" x14ac:dyDescent="0.3">
      <c r="A155" s="7">
        <v>154</v>
      </c>
      <c r="B155" s="1">
        <v>40550</v>
      </c>
      <c r="C155" s="7">
        <v>1</v>
      </c>
      <c r="D155" s="7">
        <v>16</v>
      </c>
      <c r="E155" t="b">
        <v>0</v>
      </c>
      <c r="F155" s="7">
        <v>5</v>
      </c>
      <c r="G155" s="7">
        <v>2</v>
      </c>
      <c r="H155" s="6">
        <v>0.2</v>
      </c>
      <c r="I155" s="8">
        <v>0.21210000000000001</v>
      </c>
      <c r="J155" s="6">
        <v>0.37</v>
      </c>
      <c r="K155" s="8">
        <v>0.16420000000000001</v>
      </c>
      <c r="L155" s="7">
        <v>5</v>
      </c>
      <c r="M155" s="7">
        <v>82</v>
      </c>
      <c r="N155" s="7">
        <v>87</v>
      </c>
    </row>
    <row r="156" spans="1:14" x14ac:dyDescent="0.3">
      <c r="A156" s="7">
        <v>155</v>
      </c>
      <c r="B156" s="1">
        <v>40550</v>
      </c>
      <c r="C156" s="7">
        <v>1</v>
      </c>
      <c r="D156" s="7">
        <v>17</v>
      </c>
      <c r="E156" t="b">
        <v>0</v>
      </c>
      <c r="F156" s="7">
        <v>5</v>
      </c>
      <c r="G156" s="7">
        <v>2</v>
      </c>
      <c r="H156" s="6">
        <v>0.2</v>
      </c>
      <c r="I156" s="8">
        <v>0.2576</v>
      </c>
      <c r="J156" s="6">
        <v>0.37</v>
      </c>
      <c r="K156" s="8">
        <v>0</v>
      </c>
      <c r="L156" s="7">
        <v>9</v>
      </c>
      <c r="M156" s="7">
        <v>178</v>
      </c>
      <c r="N156" s="7">
        <v>187</v>
      </c>
    </row>
    <row r="157" spans="1:14" x14ac:dyDescent="0.3">
      <c r="A157" s="7">
        <v>156</v>
      </c>
      <c r="B157" s="1">
        <v>40550</v>
      </c>
      <c r="C157" s="7">
        <v>1</v>
      </c>
      <c r="D157" s="7">
        <v>18</v>
      </c>
      <c r="E157" t="b">
        <v>0</v>
      </c>
      <c r="F157" s="7">
        <v>5</v>
      </c>
      <c r="G157" s="7">
        <v>1</v>
      </c>
      <c r="H157" s="6">
        <v>0.2</v>
      </c>
      <c r="I157" s="8">
        <v>0.2273</v>
      </c>
      <c r="J157" s="6">
        <v>0.4</v>
      </c>
      <c r="K157" s="8">
        <v>8.9599999999999999E-2</v>
      </c>
      <c r="L157" s="7">
        <v>7</v>
      </c>
      <c r="M157" s="7">
        <v>116</v>
      </c>
      <c r="N157" s="7">
        <v>123</v>
      </c>
    </row>
    <row r="158" spans="1:14" x14ac:dyDescent="0.3">
      <c r="A158" s="7">
        <v>157</v>
      </c>
      <c r="B158" s="1">
        <v>40550</v>
      </c>
      <c r="C158" s="7">
        <v>1</v>
      </c>
      <c r="D158" s="7">
        <v>19</v>
      </c>
      <c r="E158" t="b">
        <v>0</v>
      </c>
      <c r="F158" s="7">
        <v>5</v>
      </c>
      <c r="G158" s="7">
        <v>1</v>
      </c>
      <c r="H158" s="6">
        <v>0.16</v>
      </c>
      <c r="I158" s="8">
        <v>0.19700000000000001</v>
      </c>
      <c r="J158" s="6">
        <v>0.55000000000000004</v>
      </c>
      <c r="K158" s="8">
        <v>8.9599999999999999E-2</v>
      </c>
      <c r="L158" s="7">
        <v>3</v>
      </c>
      <c r="M158" s="7">
        <v>92</v>
      </c>
      <c r="N158" s="7">
        <v>95</v>
      </c>
    </row>
    <row r="159" spans="1:14" x14ac:dyDescent="0.3">
      <c r="A159" s="7">
        <v>158</v>
      </c>
      <c r="B159" s="1">
        <v>40550</v>
      </c>
      <c r="C159" s="7">
        <v>1</v>
      </c>
      <c r="D159" s="7">
        <v>20</v>
      </c>
      <c r="E159" t="b">
        <v>0</v>
      </c>
      <c r="F159" s="7">
        <v>5</v>
      </c>
      <c r="G159" s="7">
        <v>1</v>
      </c>
      <c r="H159" s="6">
        <v>0.18</v>
      </c>
      <c r="I159" s="8">
        <v>0.21210000000000001</v>
      </c>
      <c r="J159" s="6">
        <v>0.47</v>
      </c>
      <c r="K159" s="8">
        <v>0.1045</v>
      </c>
      <c r="L159" s="7">
        <v>1</v>
      </c>
      <c r="M159" s="7">
        <v>50</v>
      </c>
      <c r="N159" s="7">
        <v>51</v>
      </c>
    </row>
    <row r="160" spans="1:14" x14ac:dyDescent="0.3">
      <c r="A160" s="7">
        <v>159</v>
      </c>
      <c r="B160" s="1">
        <v>40550</v>
      </c>
      <c r="C160" s="7">
        <v>1</v>
      </c>
      <c r="D160" s="7">
        <v>21</v>
      </c>
      <c r="E160" t="b">
        <v>0</v>
      </c>
      <c r="F160" s="7">
        <v>5</v>
      </c>
      <c r="G160" s="7">
        <v>1</v>
      </c>
      <c r="H160" s="6">
        <v>0.18</v>
      </c>
      <c r="I160" s="8">
        <v>0.19700000000000001</v>
      </c>
      <c r="J160" s="6">
        <v>0.47</v>
      </c>
      <c r="K160" s="8">
        <v>0.1343</v>
      </c>
      <c r="L160" s="7">
        <v>0</v>
      </c>
      <c r="M160" s="7">
        <v>39</v>
      </c>
      <c r="N160" s="7">
        <v>39</v>
      </c>
    </row>
    <row r="161" spans="1:14" x14ac:dyDescent="0.3">
      <c r="A161" s="7">
        <v>160</v>
      </c>
      <c r="B161" s="1">
        <v>40550</v>
      </c>
      <c r="C161" s="7">
        <v>1</v>
      </c>
      <c r="D161" s="7">
        <v>22</v>
      </c>
      <c r="E161" t="b">
        <v>0</v>
      </c>
      <c r="F161" s="7">
        <v>5</v>
      </c>
      <c r="G161" s="7">
        <v>2</v>
      </c>
      <c r="H161" s="6">
        <v>0.18</v>
      </c>
      <c r="I161" s="8">
        <v>0.19700000000000001</v>
      </c>
      <c r="J161" s="6">
        <v>0.43</v>
      </c>
      <c r="K161" s="8">
        <v>0.16420000000000001</v>
      </c>
      <c r="L161" s="7">
        <v>2</v>
      </c>
      <c r="M161" s="7">
        <v>34</v>
      </c>
      <c r="N161" s="7">
        <v>36</v>
      </c>
    </row>
    <row r="162" spans="1:14" x14ac:dyDescent="0.3">
      <c r="A162" s="7">
        <v>161</v>
      </c>
      <c r="B162" s="1">
        <v>40550</v>
      </c>
      <c r="C162" s="7">
        <v>1</v>
      </c>
      <c r="D162" s="7">
        <v>23</v>
      </c>
      <c r="E162" t="b">
        <v>0</v>
      </c>
      <c r="F162" s="7">
        <v>5</v>
      </c>
      <c r="G162" s="7">
        <v>2</v>
      </c>
      <c r="H162" s="6">
        <v>0.18</v>
      </c>
      <c r="I162" s="8">
        <v>0.19700000000000001</v>
      </c>
      <c r="J162" s="6">
        <v>0.51</v>
      </c>
      <c r="K162" s="8">
        <v>0.16420000000000001</v>
      </c>
      <c r="L162" s="7">
        <v>1</v>
      </c>
      <c r="M162" s="7">
        <v>14</v>
      </c>
      <c r="N162" s="7">
        <v>15</v>
      </c>
    </row>
    <row r="163" spans="1:14" x14ac:dyDescent="0.3">
      <c r="A163" s="7">
        <v>162</v>
      </c>
      <c r="B163" s="1">
        <v>40551</v>
      </c>
      <c r="C163" s="7">
        <v>1</v>
      </c>
      <c r="D163" s="7">
        <v>0</v>
      </c>
      <c r="E163" t="b">
        <v>0</v>
      </c>
      <c r="F163" s="7">
        <v>6</v>
      </c>
      <c r="G163" s="7">
        <v>2</v>
      </c>
      <c r="H163" s="6">
        <v>0.18</v>
      </c>
      <c r="I163" s="8">
        <v>0.19700000000000001</v>
      </c>
      <c r="J163" s="6">
        <v>0.51</v>
      </c>
      <c r="K163" s="8">
        <v>0.16420000000000001</v>
      </c>
      <c r="L163" s="7">
        <v>1</v>
      </c>
      <c r="M163" s="7">
        <v>24</v>
      </c>
      <c r="N163" s="7">
        <v>25</v>
      </c>
    </row>
    <row r="164" spans="1:14" x14ac:dyDescent="0.3">
      <c r="A164" s="7">
        <v>163</v>
      </c>
      <c r="B164" s="1">
        <v>40551</v>
      </c>
      <c r="C164" s="7">
        <v>1</v>
      </c>
      <c r="D164" s="7">
        <v>1</v>
      </c>
      <c r="E164" t="b">
        <v>0</v>
      </c>
      <c r="F164" s="7">
        <v>6</v>
      </c>
      <c r="G164" s="7">
        <v>2</v>
      </c>
      <c r="H164" s="6">
        <v>0.18</v>
      </c>
      <c r="I164" s="8">
        <v>0.21210000000000001</v>
      </c>
      <c r="J164" s="6">
        <v>0.55000000000000004</v>
      </c>
      <c r="K164" s="8">
        <v>8.9599999999999999E-2</v>
      </c>
      <c r="L164" s="7">
        <v>1</v>
      </c>
      <c r="M164" s="7">
        <v>15</v>
      </c>
      <c r="N164" s="7">
        <v>16</v>
      </c>
    </row>
    <row r="165" spans="1:14" x14ac:dyDescent="0.3">
      <c r="A165" s="7">
        <v>164</v>
      </c>
      <c r="B165" s="1">
        <v>40551</v>
      </c>
      <c r="C165" s="7">
        <v>1</v>
      </c>
      <c r="D165" s="7">
        <v>2</v>
      </c>
      <c r="E165" t="b">
        <v>0</v>
      </c>
      <c r="F165" s="7">
        <v>6</v>
      </c>
      <c r="G165" s="7">
        <v>2</v>
      </c>
      <c r="H165" s="6">
        <v>0.18</v>
      </c>
      <c r="I165" s="8">
        <v>0.2424</v>
      </c>
      <c r="J165" s="6">
        <v>0.55000000000000004</v>
      </c>
      <c r="K165" s="8">
        <v>0</v>
      </c>
      <c r="L165" s="7">
        <v>3</v>
      </c>
      <c r="M165" s="7">
        <v>13</v>
      </c>
      <c r="N165" s="7">
        <v>16</v>
      </c>
    </row>
    <row r="166" spans="1:14" x14ac:dyDescent="0.3">
      <c r="A166" s="7">
        <v>165</v>
      </c>
      <c r="B166" s="1">
        <v>40551</v>
      </c>
      <c r="C166" s="7">
        <v>1</v>
      </c>
      <c r="D166" s="7">
        <v>3</v>
      </c>
      <c r="E166" t="b">
        <v>0</v>
      </c>
      <c r="F166" s="7">
        <v>6</v>
      </c>
      <c r="G166" s="7">
        <v>3</v>
      </c>
      <c r="H166" s="6">
        <v>0.18</v>
      </c>
      <c r="I166" s="8">
        <v>0.19700000000000001</v>
      </c>
      <c r="J166" s="6">
        <v>0.55000000000000004</v>
      </c>
      <c r="K166" s="8">
        <v>0.16420000000000001</v>
      </c>
      <c r="L166" s="7">
        <v>0</v>
      </c>
      <c r="M166" s="7">
        <v>7</v>
      </c>
      <c r="N166" s="7">
        <v>7</v>
      </c>
    </row>
    <row r="167" spans="1:14" x14ac:dyDescent="0.3">
      <c r="A167" s="7">
        <v>166</v>
      </c>
      <c r="B167" s="1">
        <v>40551</v>
      </c>
      <c r="C167" s="7">
        <v>1</v>
      </c>
      <c r="D167" s="7">
        <v>4</v>
      </c>
      <c r="E167" t="b">
        <v>0</v>
      </c>
      <c r="F167" s="7">
        <v>6</v>
      </c>
      <c r="G167" s="7">
        <v>3</v>
      </c>
      <c r="H167" s="6">
        <v>0.18</v>
      </c>
      <c r="I167" s="8">
        <v>0.19700000000000001</v>
      </c>
      <c r="J167" s="6">
        <v>0.55000000000000004</v>
      </c>
      <c r="K167" s="8">
        <v>0.16420000000000001</v>
      </c>
      <c r="L167" s="7">
        <v>0</v>
      </c>
      <c r="M167" s="7">
        <v>1</v>
      </c>
      <c r="N167" s="7">
        <v>1</v>
      </c>
    </row>
    <row r="168" spans="1:14" x14ac:dyDescent="0.3">
      <c r="A168" s="7">
        <v>167</v>
      </c>
      <c r="B168" s="1">
        <v>40551</v>
      </c>
      <c r="C168" s="7">
        <v>1</v>
      </c>
      <c r="D168" s="7">
        <v>5</v>
      </c>
      <c r="E168" t="b">
        <v>0</v>
      </c>
      <c r="F168" s="7">
        <v>6</v>
      </c>
      <c r="G168" s="7">
        <v>2</v>
      </c>
      <c r="H168" s="6">
        <v>0.16</v>
      </c>
      <c r="I168" s="8">
        <v>0.16669999999999999</v>
      </c>
      <c r="J168" s="6">
        <v>0.74</v>
      </c>
      <c r="K168" s="8">
        <v>0.16420000000000001</v>
      </c>
      <c r="L168" s="7">
        <v>0</v>
      </c>
      <c r="M168" s="7">
        <v>5</v>
      </c>
      <c r="N168" s="7">
        <v>5</v>
      </c>
    </row>
    <row r="169" spans="1:14" x14ac:dyDescent="0.3">
      <c r="A169" s="7">
        <v>168</v>
      </c>
      <c r="B169" s="1">
        <v>40551</v>
      </c>
      <c r="C169" s="7">
        <v>1</v>
      </c>
      <c r="D169" s="7">
        <v>6</v>
      </c>
      <c r="E169" t="b">
        <v>0</v>
      </c>
      <c r="F169" s="7">
        <v>6</v>
      </c>
      <c r="G169" s="7">
        <v>2</v>
      </c>
      <c r="H169" s="6">
        <v>0.16</v>
      </c>
      <c r="I169" s="8">
        <v>0.16669999999999999</v>
      </c>
      <c r="J169" s="6">
        <v>0.74</v>
      </c>
      <c r="K169" s="8">
        <v>0.16420000000000001</v>
      </c>
      <c r="L169" s="7">
        <v>0</v>
      </c>
      <c r="M169" s="7">
        <v>2</v>
      </c>
      <c r="N169" s="7">
        <v>2</v>
      </c>
    </row>
    <row r="170" spans="1:14" x14ac:dyDescent="0.3">
      <c r="A170" s="7">
        <v>169</v>
      </c>
      <c r="B170" s="1">
        <v>40551</v>
      </c>
      <c r="C170" s="7">
        <v>1</v>
      </c>
      <c r="D170" s="7">
        <v>7</v>
      </c>
      <c r="E170" t="b">
        <v>0</v>
      </c>
      <c r="F170" s="7">
        <v>6</v>
      </c>
      <c r="G170" s="7">
        <v>2</v>
      </c>
      <c r="H170" s="6">
        <v>0.16</v>
      </c>
      <c r="I170" s="8">
        <v>0.18179999999999999</v>
      </c>
      <c r="J170" s="6">
        <v>0.74</v>
      </c>
      <c r="K170" s="8">
        <v>0.1045</v>
      </c>
      <c r="L170" s="7">
        <v>1</v>
      </c>
      <c r="M170" s="7">
        <v>8</v>
      </c>
      <c r="N170" s="7">
        <v>9</v>
      </c>
    </row>
    <row r="171" spans="1:14" x14ac:dyDescent="0.3">
      <c r="A171" s="7">
        <v>170</v>
      </c>
      <c r="B171" s="1">
        <v>40551</v>
      </c>
      <c r="C171" s="7">
        <v>1</v>
      </c>
      <c r="D171" s="7">
        <v>8</v>
      </c>
      <c r="E171" t="b">
        <v>0</v>
      </c>
      <c r="F171" s="7">
        <v>6</v>
      </c>
      <c r="G171" s="7">
        <v>3</v>
      </c>
      <c r="H171" s="6">
        <v>0.16</v>
      </c>
      <c r="I171" s="8">
        <v>0.18179999999999999</v>
      </c>
      <c r="J171" s="6">
        <v>0.93</v>
      </c>
      <c r="K171" s="8">
        <v>0.1045</v>
      </c>
      <c r="L171" s="7">
        <v>0</v>
      </c>
      <c r="M171" s="7">
        <v>15</v>
      </c>
      <c r="N171" s="7">
        <v>15</v>
      </c>
    </row>
    <row r="172" spans="1:14" x14ac:dyDescent="0.3">
      <c r="A172" s="7">
        <v>171</v>
      </c>
      <c r="B172" s="1">
        <v>40551</v>
      </c>
      <c r="C172" s="7">
        <v>1</v>
      </c>
      <c r="D172" s="7">
        <v>9</v>
      </c>
      <c r="E172" t="b">
        <v>0</v>
      </c>
      <c r="F172" s="7">
        <v>6</v>
      </c>
      <c r="G172" s="7">
        <v>3</v>
      </c>
      <c r="H172" s="6">
        <v>0.16</v>
      </c>
      <c r="I172" s="8">
        <v>0.18179999999999999</v>
      </c>
      <c r="J172" s="6">
        <v>0.93</v>
      </c>
      <c r="K172" s="8">
        <v>0.1045</v>
      </c>
      <c r="L172" s="7">
        <v>0</v>
      </c>
      <c r="M172" s="7">
        <v>20</v>
      </c>
      <c r="N172" s="7">
        <v>20</v>
      </c>
    </row>
    <row r="173" spans="1:14" x14ac:dyDescent="0.3">
      <c r="A173" s="7">
        <v>172</v>
      </c>
      <c r="B173" s="1">
        <v>40551</v>
      </c>
      <c r="C173" s="7">
        <v>1</v>
      </c>
      <c r="D173" s="7">
        <v>10</v>
      </c>
      <c r="E173" t="b">
        <v>0</v>
      </c>
      <c r="F173" s="7">
        <v>6</v>
      </c>
      <c r="G173" s="7">
        <v>2</v>
      </c>
      <c r="H173" s="6">
        <v>0.18</v>
      </c>
      <c r="I173" s="8">
        <v>0.19700000000000001</v>
      </c>
      <c r="J173" s="6">
        <v>0.8</v>
      </c>
      <c r="K173" s="8">
        <v>0.16420000000000001</v>
      </c>
      <c r="L173" s="7">
        <v>5</v>
      </c>
      <c r="M173" s="7">
        <v>56</v>
      </c>
      <c r="N173" s="7">
        <v>61</v>
      </c>
    </row>
    <row r="174" spans="1:14" x14ac:dyDescent="0.3">
      <c r="A174" s="7">
        <v>173</v>
      </c>
      <c r="B174" s="1">
        <v>40551</v>
      </c>
      <c r="C174" s="7">
        <v>1</v>
      </c>
      <c r="D174" s="7">
        <v>11</v>
      </c>
      <c r="E174" t="b">
        <v>0</v>
      </c>
      <c r="F174" s="7">
        <v>6</v>
      </c>
      <c r="G174" s="7">
        <v>2</v>
      </c>
      <c r="H174" s="6">
        <v>0.2</v>
      </c>
      <c r="I174" s="8">
        <v>0.18179999999999999</v>
      </c>
      <c r="J174" s="6">
        <v>0.69</v>
      </c>
      <c r="K174" s="8">
        <v>0.3881</v>
      </c>
      <c r="L174" s="7">
        <v>2</v>
      </c>
      <c r="M174" s="7">
        <v>60</v>
      </c>
      <c r="N174" s="7">
        <v>62</v>
      </c>
    </row>
    <row r="175" spans="1:14" x14ac:dyDescent="0.3">
      <c r="A175" s="7">
        <v>174</v>
      </c>
      <c r="B175" s="1">
        <v>40551</v>
      </c>
      <c r="C175" s="7">
        <v>1</v>
      </c>
      <c r="D175" s="7">
        <v>12</v>
      </c>
      <c r="E175" t="b">
        <v>0</v>
      </c>
      <c r="F175" s="7">
        <v>6</v>
      </c>
      <c r="G175" s="7">
        <v>2</v>
      </c>
      <c r="H175" s="6">
        <v>0.2</v>
      </c>
      <c r="I175" s="8">
        <v>0.18179999999999999</v>
      </c>
      <c r="J175" s="6">
        <v>0.59</v>
      </c>
      <c r="K175" s="8">
        <v>0.35820000000000002</v>
      </c>
      <c r="L175" s="7">
        <v>8</v>
      </c>
      <c r="M175" s="7">
        <v>90</v>
      </c>
      <c r="N175" s="7">
        <v>98</v>
      </c>
    </row>
    <row r="176" spans="1:14" x14ac:dyDescent="0.3">
      <c r="A176" s="7">
        <v>175</v>
      </c>
      <c r="B176" s="1">
        <v>40551</v>
      </c>
      <c r="C176" s="7">
        <v>1</v>
      </c>
      <c r="D176" s="7">
        <v>13</v>
      </c>
      <c r="E176" t="b">
        <v>0</v>
      </c>
      <c r="F176" s="7">
        <v>6</v>
      </c>
      <c r="G176" s="7">
        <v>1</v>
      </c>
      <c r="H176" s="6">
        <v>0.2</v>
      </c>
      <c r="I176" s="8">
        <v>0.18179999999999999</v>
      </c>
      <c r="J176" s="6">
        <v>0.44</v>
      </c>
      <c r="K176" s="8">
        <v>0.32840000000000003</v>
      </c>
      <c r="L176" s="7">
        <v>7</v>
      </c>
      <c r="M176" s="7">
        <v>95</v>
      </c>
      <c r="N176" s="7">
        <v>102</v>
      </c>
    </row>
    <row r="177" spans="1:14" x14ac:dyDescent="0.3">
      <c r="A177" s="7">
        <v>176</v>
      </c>
      <c r="B177" s="1">
        <v>40551</v>
      </c>
      <c r="C177" s="7">
        <v>1</v>
      </c>
      <c r="D177" s="7">
        <v>14</v>
      </c>
      <c r="E177" t="b">
        <v>0</v>
      </c>
      <c r="F177" s="7">
        <v>6</v>
      </c>
      <c r="G177" s="7">
        <v>1</v>
      </c>
      <c r="H177" s="6">
        <v>0.2</v>
      </c>
      <c r="I177" s="8">
        <v>0.16669999999999999</v>
      </c>
      <c r="J177" s="6">
        <v>0.32</v>
      </c>
      <c r="K177" s="8">
        <v>0.49249999999999999</v>
      </c>
      <c r="L177" s="7">
        <v>12</v>
      </c>
      <c r="M177" s="7">
        <v>83</v>
      </c>
      <c r="N177" s="7">
        <v>95</v>
      </c>
    </row>
    <row r="178" spans="1:14" x14ac:dyDescent="0.3">
      <c r="A178" s="7">
        <v>177</v>
      </c>
      <c r="B178" s="1">
        <v>40551</v>
      </c>
      <c r="C178" s="7">
        <v>1</v>
      </c>
      <c r="D178" s="7">
        <v>15</v>
      </c>
      <c r="E178" t="b">
        <v>0</v>
      </c>
      <c r="F178" s="7">
        <v>6</v>
      </c>
      <c r="G178" s="7">
        <v>1</v>
      </c>
      <c r="H178" s="6">
        <v>0.2</v>
      </c>
      <c r="I178" s="8">
        <v>0.16669999999999999</v>
      </c>
      <c r="J178" s="6">
        <v>0.32</v>
      </c>
      <c r="K178" s="8">
        <v>0.44779999999999998</v>
      </c>
      <c r="L178" s="7">
        <v>5</v>
      </c>
      <c r="M178" s="7">
        <v>69</v>
      </c>
      <c r="N178" s="7">
        <v>74</v>
      </c>
    </row>
    <row r="179" spans="1:14" x14ac:dyDescent="0.3">
      <c r="A179" s="7">
        <v>178</v>
      </c>
      <c r="B179" s="1">
        <v>40551</v>
      </c>
      <c r="C179" s="7">
        <v>1</v>
      </c>
      <c r="D179" s="7">
        <v>16</v>
      </c>
      <c r="E179" t="b">
        <v>0</v>
      </c>
      <c r="F179" s="7">
        <v>6</v>
      </c>
      <c r="G179" s="7">
        <v>1</v>
      </c>
      <c r="H179" s="6">
        <v>0.18</v>
      </c>
      <c r="I179" s="8">
        <v>0.13639999999999999</v>
      </c>
      <c r="J179" s="6">
        <v>0.28999999999999998</v>
      </c>
      <c r="K179" s="8">
        <v>0.44779999999999998</v>
      </c>
      <c r="L179" s="7">
        <v>8</v>
      </c>
      <c r="M179" s="7">
        <v>68</v>
      </c>
      <c r="N179" s="7">
        <v>76</v>
      </c>
    </row>
    <row r="180" spans="1:14" x14ac:dyDescent="0.3">
      <c r="A180" s="7">
        <v>179</v>
      </c>
      <c r="B180" s="1">
        <v>40551</v>
      </c>
      <c r="C180" s="7">
        <v>1</v>
      </c>
      <c r="D180" s="7">
        <v>17</v>
      </c>
      <c r="E180" t="b">
        <v>0</v>
      </c>
      <c r="F180" s="7">
        <v>6</v>
      </c>
      <c r="G180" s="7">
        <v>1</v>
      </c>
      <c r="H180" s="6">
        <v>0.16</v>
      </c>
      <c r="I180" s="8">
        <v>0.1212</v>
      </c>
      <c r="J180" s="6">
        <v>0.37</v>
      </c>
      <c r="K180" s="8">
        <v>0.55220000000000002</v>
      </c>
      <c r="L180" s="7">
        <v>5</v>
      </c>
      <c r="M180" s="7">
        <v>64</v>
      </c>
      <c r="N180" s="7">
        <v>69</v>
      </c>
    </row>
    <row r="181" spans="1:14" x14ac:dyDescent="0.3">
      <c r="A181" s="7">
        <v>180</v>
      </c>
      <c r="B181" s="1">
        <v>40551</v>
      </c>
      <c r="C181" s="7">
        <v>1</v>
      </c>
      <c r="D181" s="7">
        <v>18</v>
      </c>
      <c r="E181" t="b">
        <v>0</v>
      </c>
      <c r="F181" s="7">
        <v>6</v>
      </c>
      <c r="G181" s="7">
        <v>1</v>
      </c>
      <c r="H181" s="6">
        <v>0.14000000000000001</v>
      </c>
      <c r="I181" s="8">
        <v>0.1212</v>
      </c>
      <c r="J181" s="6">
        <v>0.39</v>
      </c>
      <c r="K181" s="8">
        <v>0.29849999999999999</v>
      </c>
      <c r="L181" s="7">
        <v>3</v>
      </c>
      <c r="M181" s="7">
        <v>52</v>
      </c>
      <c r="N181" s="7">
        <v>55</v>
      </c>
    </row>
    <row r="182" spans="1:14" x14ac:dyDescent="0.3">
      <c r="A182" s="7">
        <v>181</v>
      </c>
      <c r="B182" s="1">
        <v>40551</v>
      </c>
      <c r="C182" s="7">
        <v>1</v>
      </c>
      <c r="D182" s="7">
        <v>19</v>
      </c>
      <c r="E182" t="b">
        <v>0</v>
      </c>
      <c r="F182" s="7">
        <v>6</v>
      </c>
      <c r="G182" s="7">
        <v>1</v>
      </c>
      <c r="H182" s="6">
        <v>0.14000000000000001</v>
      </c>
      <c r="I182" s="8">
        <v>0.1212</v>
      </c>
      <c r="J182" s="6">
        <v>0.36</v>
      </c>
      <c r="K182" s="8">
        <v>0.25369999999999998</v>
      </c>
      <c r="L182" s="7">
        <v>4</v>
      </c>
      <c r="M182" s="7">
        <v>26</v>
      </c>
      <c r="N182" s="7">
        <v>30</v>
      </c>
    </row>
    <row r="183" spans="1:14" x14ac:dyDescent="0.3">
      <c r="A183" s="7">
        <v>182</v>
      </c>
      <c r="B183" s="1">
        <v>40551</v>
      </c>
      <c r="C183" s="7">
        <v>1</v>
      </c>
      <c r="D183" s="7">
        <v>20</v>
      </c>
      <c r="E183" t="b">
        <v>0</v>
      </c>
      <c r="F183" s="7">
        <v>6</v>
      </c>
      <c r="G183" s="7">
        <v>1</v>
      </c>
      <c r="H183" s="6">
        <v>0.12</v>
      </c>
      <c r="I183" s="8">
        <v>0.1212</v>
      </c>
      <c r="J183" s="6">
        <v>0.36</v>
      </c>
      <c r="K183" s="8">
        <v>0.25369999999999998</v>
      </c>
      <c r="L183" s="7">
        <v>0</v>
      </c>
      <c r="M183" s="7">
        <v>28</v>
      </c>
      <c r="N183" s="7">
        <v>28</v>
      </c>
    </row>
    <row r="184" spans="1:14" x14ac:dyDescent="0.3">
      <c r="A184" s="7">
        <v>183</v>
      </c>
      <c r="B184" s="1">
        <v>40551</v>
      </c>
      <c r="C184" s="7">
        <v>1</v>
      </c>
      <c r="D184" s="7">
        <v>21</v>
      </c>
      <c r="E184" t="b">
        <v>0</v>
      </c>
      <c r="F184" s="7">
        <v>6</v>
      </c>
      <c r="G184" s="7">
        <v>1</v>
      </c>
      <c r="H184" s="6">
        <v>0.12</v>
      </c>
      <c r="I184" s="8">
        <v>0.1061</v>
      </c>
      <c r="J184" s="6">
        <v>0.39</v>
      </c>
      <c r="K184" s="8">
        <v>0.35820000000000002</v>
      </c>
      <c r="L184" s="7">
        <v>2</v>
      </c>
      <c r="M184" s="7">
        <v>35</v>
      </c>
      <c r="N184" s="7">
        <v>37</v>
      </c>
    </row>
    <row r="185" spans="1:14" x14ac:dyDescent="0.3">
      <c r="A185" s="7">
        <v>184</v>
      </c>
      <c r="B185" s="1">
        <v>40551</v>
      </c>
      <c r="C185" s="7">
        <v>1</v>
      </c>
      <c r="D185" s="7">
        <v>22</v>
      </c>
      <c r="E185" t="b">
        <v>0</v>
      </c>
      <c r="F185" s="7">
        <v>6</v>
      </c>
      <c r="G185" s="7">
        <v>1</v>
      </c>
      <c r="H185" s="6">
        <v>0.12</v>
      </c>
      <c r="I185" s="8">
        <v>0.1061</v>
      </c>
      <c r="J185" s="6">
        <v>0.36</v>
      </c>
      <c r="K185" s="8">
        <v>0.3881</v>
      </c>
      <c r="L185" s="7">
        <v>1</v>
      </c>
      <c r="M185" s="7">
        <v>33</v>
      </c>
      <c r="N185" s="7">
        <v>34</v>
      </c>
    </row>
    <row r="186" spans="1:14" x14ac:dyDescent="0.3">
      <c r="A186" s="7">
        <v>185</v>
      </c>
      <c r="B186" s="1">
        <v>40551</v>
      </c>
      <c r="C186" s="7">
        <v>1</v>
      </c>
      <c r="D186" s="7">
        <v>23</v>
      </c>
      <c r="E186" t="b">
        <v>0</v>
      </c>
      <c r="F186" s="7">
        <v>6</v>
      </c>
      <c r="G186" s="7">
        <v>1</v>
      </c>
      <c r="H186" s="6">
        <v>0.1</v>
      </c>
      <c r="I186" s="8">
        <v>6.0600000000000001E-2</v>
      </c>
      <c r="J186" s="6">
        <v>0.39</v>
      </c>
      <c r="K186" s="8">
        <v>0.44779999999999998</v>
      </c>
      <c r="L186" s="7">
        <v>0</v>
      </c>
      <c r="M186" s="7">
        <v>22</v>
      </c>
      <c r="N186" s="7">
        <v>22</v>
      </c>
    </row>
    <row r="187" spans="1:14" x14ac:dyDescent="0.3">
      <c r="A187" s="7">
        <v>186</v>
      </c>
      <c r="B187" s="1">
        <v>40552</v>
      </c>
      <c r="C187" s="7">
        <v>1</v>
      </c>
      <c r="D187" s="7">
        <v>0</v>
      </c>
      <c r="E187" t="b">
        <v>0</v>
      </c>
      <c r="F187" s="7">
        <v>0</v>
      </c>
      <c r="G187" s="7">
        <v>1</v>
      </c>
      <c r="H187" s="6">
        <v>0.1</v>
      </c>
      <c r="I187" s="8">
        <v>7.5800000000000006E-2</v>
      </c>
      <c r="J187" s="6">
        <v>0.42</v>
      </c>
      <c r="K187" s="8">
        <v>0.3881</v>
      </c>
      <c r="L187" s="7">
        <v>1</v>
      </c>
      <c r="M187" s="7">
        <v>24</v>
      </c>
      <c r="N187" s="7">
        <v>25</v>
      </c>
    </row>
    <row r="188" spans="1:14" x14ac:dyDescent="0.3">
      <c r="A188" s="7">
        <v>187</v>
      </c>
      <c r="B188" s="1">
        <v>40552</v>
      </c>
      <c r="C188" s="7">
        <v>1</v>
      </c>
      <c r="D188" s="7">
        <v>1</v>
      </c>
      <c r="E188" t="b">
        <v>0</v>
      </c>
      <c r="F188" s="7">
        <v>0</v>
      </c>
      <c r="G188" s="7">
        <v>1</v>
      </c>
      <c r="H188" s="6">
        <v>0.1</v>
      </c>
      <c r="I188" s="8">
        <v>6.0600000000000001E-2</v>
      </c>
      <c r="J188" s="6">
        <v>0.42</v>
      </c>
      <c r="K188" s="8">
        <v>0.4627</v>
      </c>
      <c r="L188" s="7">
        <v>0</v>
      </c>
      <c r="M188" s="7">
        <v>12</v>
      </c>
      <c r="N188" s="7">
        <v>12</v>
      </c>
    </row>
    <row r="189" spans="1:14" x14ac:dyDescent="0.3">
      <c r="A189" s="7">
        <v>188</v>
      </c>
      <c r="B189" s="1">
        <v>40552</v>
      </c>
      <c r="C189" s="7">
        <v>1</v>
      </c>
      <c r="D189" s="7">
        <v>2</v>
      </c>
      <c r="E189" t="b">
        <v>0</v>
      </c>
      <c r="F189" s="7">
        <v>0</v>
      </c>
      <c r="G189" s="7">
        <v>1</v>
      </c>
      <c r="H189" s="6">
        <v>0.1</v>
      </c>
      <c r="I189" s="8">
        <v>6.0600000000000001E-2</v>
      </c>
      <c r="J189" s="6">
        <v>0.46</v>
      </c>
      <c r="K189" s="8">
        <v>0.4627</v>
      </c>
      <c r="L189" s="7">
        <v>0</v>
      </c>
      <c r="M189" s="7">
        <v>11</v>
      </c>
      <c r="N189" s="7">
        <v>11</v>
      </c>
    </row>
    <row r="190" spans="1:14" x14ac:dyDescent="0.3">
      <c r="A190" s="7">
        <v>189</v>
      </c>
      <c r="B190" s="1">
        <v>40552</v>
      </c>
      <c r="C190" s="7">
        <v>1</v>
      </c>
      <c r="D190" s="7">
        <v>3</v>
      </c>
      <c r="E190" t="b">
        <v>0</v>
      </c>
      <c r="F190" s="7">
        <v>0</v>
      </c>
      <c r="G190" s="7">
        <v>1</v>
      </c>
      <c r="H190" s="6">
        <v>0.1</v>
      </c>
      <c r="I190" s="8">
        <v>7.5800000000000006E-2</v>
      </c>
      <c r="J190" s="6">
        <v>0.46</v>
      </c>
      <c r="K190" s="8">
        <v>0.41789999999999999</v>
      </c>
      <c r="L190" s="7">
        <v>0</v>
      </c>
      <c r="M190" s="7">
        <v>4</v>
      </c>
      <c r="N190" s="7">
        <v>4</v>
      </c>
    </row>
    <row r="191" spans="1:14" x14ac:dyDescent="0.3">
      <c r="A191" s="7">
        <v>190</v>
      </c>
      <c r="B191" s="1">
        <v>40552</v>
      </c>
      <c r="C191" s="7">
        <v>1</v>
      </c>
      <c r="D191" s="7">
        <v>4</v>
      </c>
      <c r="E191" t="b">
        <v>0</v>
      </c>
      <c r="F191" s="7">
        <v>0</v>
      </c>
      <c r="G191" s="7">
        <v>1</v>
      </c>
      <c r="H191" s="6">
        <v>0.08</v>
      </c>
      <c r="I191" s="8">
        <v>9.0899999999999995E-2</v>
      </c>
      <c r="J191" s="6">
        <v>0.53</v>
      </c>
      <c r="K191" s="8">
        <v>0.19400000000000001</v>
      </c>
      <c r="L191" s="7">
        <v>0</v>
      </c>
      <c r="M191" s="7">
        <v>1</v>
      </c>
      <c r="N191" s="7">
        <v>1</v>
      </c>
    </row>
    <row r="192" spans="1:14" x14ac:dyDescent="0.3">
      <c r="A192" s="7">
        <v>191</v>
      </c>
      <c r="B192" s="1">
        <v>40552</v>
      </c>
      <c r="C192" s="7">
        <v>1</v>
      </c>
      <c r="D192" s="7">
        <v>5</v>
      </c>
      <c r="E192" t="b">
        <v>0</v>
      </c>
      <c r="F192" s="7">
        <v>0</v>
      </c>
      <c r="G192" s="7">
        <v>1</v>
      </c>
      <c r="H192" s="6">
        <v>0.08</v>
      </c>
      <c r="I192" s="8">
        <v>9.0899999999999995E-2</v>
      </c>
      <c r="J192" s="6">
        <v>0.53</v>
      </c>
      <c r="K192" s="8">
        <v>0.19400000000000001</v>
      </c>
      <c r="L192" s="7">
        <v>0</v>
      </c>
      <c r="M192" s="7">
        <v>1</v>
      </c>
      <c r="N192" s="7">
        <v>1</v>
      </c>
    </row>
    <row r="193" spans="1:14" x14ac:dyDescent="0.3">
      <c r="A193" s="7">
        <v>192</v>
      </c>
      <c r="B193" s="1">
        <v>40552</v>
      </c>
      <c r="C193" s="7">
        <v>1</v>
      </c>
      <c r="D193" s="7">
        <v>6</v>
      </c>
      <c r="E193" t="b">
        <v>0</v>
      </c>
      <c r="F193" s="7">
        <v>0</v>
      </c>
      <c r="G193" s="7">
        <v>1</v>
      </c>
      <c r="H193" s="6">
        <v>0.1</v>
      </c>
      <c r="I193" s="8">
        <v>9.0899999999999995E-2</v>
      </c>
      <c r="J193" s="6">
        <v>0.49</v>
      </c>
      <c r="K193" s="8">
        <v>0.28360000000000002</v>
      </c>
      <c r="L193" s="7">
        <v>0</v>
      </c>
      <c r="M193" s="7">
        <v>1</v>
      </c>
      <c r="N193" s="7">
        <v>1</v>
      </c>
    </row>
    <row r="194" spans="1:14" x14ac:dyDescent="0.3">
      <c r="A194" s="7">
        <v>193</v>
      </c>
      <c r="B194" s="1">
        <v>40552</v>
      </c>
      <c r="C194" s="7">
        <v>1</v>
      </c>
      <c r="D194" s="7">
        <v>7</v>
      </c>
      <c r="E194" t="b">
        <v>0</v>
      </c>
      <c r="F194" s="7">
        <v>0</v>
      </c>
      <c r="G194" s="7">
        <v>1</v>
      </c>
      <c r="H194" s="6">
        <v>0.08</v>
      </c>
      <c r="I194" s="8">
        <v>9.0899999999999995E-2</v>
      </c>
      <c r="J194" s="6">
        <v>0.53</v>
      </c>
      <c r="K194" s="8">
        <v>0.19400000000000001</v>
      </c>
      <c r="L194" s="7">
        <v>1</v>
      </c>
      <c r="M194" s="7">
        <v>5</v>
      </c>
      <c r="N194" s="7">
        <v>6</v>
      </c>
    </row>
    <row r="195" spans="1:14" x14ac:dyDescent="0.3">
      <c r="A195" s="7">
        <v>194</v>
      </c>
      <c r="B195" s="1">
        <v>40552</v>
      </c>
      <c r="C195" s="7">
        <v>1</v>
      </c>
      <c r="D195" s="7">
        <v>8</v>
      </c>
      <c r="E195" t="b">
        <v>0</v>
      </c>
      <c r="F195" s="7">
        <v>0</v>
      </c>
      <c r="G195" s="7">
        <v>1</v>
      </c>
      <c r="H195" s="6">
        <v>0.1</v>
      </c>
      <c r="I195" s="8">
        <v>9.0899999999999995E-2</v>
      </c>
      <c r="J195" s="6">
        <v>0.49</v>
      </c>
      <c r="K195" s="8">
        <v>0.28360000000000002</v>
      </c>
      <c r="L195" s="7">
        <v>0</v>
      </c>
      <c r="M195" s="7">
        <v>10</v>
      </c>
      <c r="N195" s="7">
        <v>10</v>
      </c>
    </row>
    <row r="196" spans="1:14" x14ac:dyDescent="0.3">
      <c r="A196" s="7">
        <v>195</v>
      </c>
      <c r="B196" s="1">
        <v>40552</v>
      </c>
      <c r="C196" s="7">
        <v>1</v>
      </c>
      <c r="D196" s="7">
        <v>9</v>
      </c>
      <c r="E196" t="b">
        <v>0</v>
      </c>
      <c r="F196" s="7">
        <v>0</v>
      </c>
      <c r="G196" s="7">
        <v>1</v>
      </c>
      <c r="H196" s="6">
        <v>0.12</v>
      </c>
      <c r="I196" s="8">
        <v>7.5800000000000006E-2</v>
      </c>
      <c r="J196" s="6">
        <v>0.46</v>
      </c>
      <c r="K196" s="8">
        <v>0.52239999999999998</v>
      </c>
      <c r="L196" s="7">
        <v>0</v>
      </c>
      <c r="M196" s="7">
        <v>19</v>
      </c>
      <c r="N196" s="7">
        <v>19</v>
      </c>
    </row>
    <row r="197" spans="1:14" x14ac:dyDescent="0.3">
      <c r="A197" s="7">
        <v>196</v>
      </c>
      <c r="B197" s="1">
        <v>40552</v>
      </c>
      <c r="C197" s="7">
        <v>1</v>
      </c>
      <c r="D197" s="7">
        <v>10</v>
      </c>
      <c r="E197" t="b">
        <v>0</v>
      </c>
      <c r="F197" s="7">
        <v>0</v>
      </c>
      <c r="G197" s="7">
        <v>1</v>
      </c>
      <c r="H197" s="6">
        <v>0.14000000000000001</v>
      </c>
      <c r="I197" s="8">
        <v>0.1061</v>
      </c>
      <c r="J197" s="6">
        <v>0.43</v>
      </c>
      <c r="K197" s="8">
        <v>0.3881</v>
      </c>
      <c r="L197" s="7">
        <v>0</v>
      </c>
      <c r="M197" s="7">
        <v>49</v>
      </c>
      <c r="N197" s="7">
        <v>49</v>
      </c>
    </row>
    <row r="198" spans="1:14" x14ac:dyDescent="0.3">
      <c r="A198" s="7">
        <v>197</v>
      </c>
      <c r="B198" s="1">
        <v>40552</v>
      </c>
      <c r="C198" s="7">
        <v>1</v>
      </c>
      <c r="D198" s="7">
        <v>11</v>
      </c>
      <c r="E198" t="b">
        <v>0</v>
      </c>
      <c r="F198" s="7">
        <v>0</v>
      </c>
      <c r="G198" s="7">
        <v>1</v>
      </c>
      <c r="H198" s="6">
        <v>0.16</v>
      </c>
      <c r="I198" s="8">
        <v>0.1212</v>
      </c>
      <c r="J198" s="6">
        <v>0.4</v>
      </c>
      <c r="K198" s="8">
        <v>0.52239999999999998</v>
      </c>
      <c r="L198" s="7">
        <v>2</v>
      </c>
      <c r="M198" s="7">
        <v>47</v>
      </c>
      <c r="N198" s="7">
        <v>49</v>
      </c>
    </row>
    <row r="199" spans="1:14" x14ac:dyDescent="0.3">
      <c r="A199" s="7">
        <v>198</v>
      </c>
      <c r="B199" s="1">
        <v>40552</v>
      </c>
      <c r="C199" s="7">
        <v>1</v>
      </c>
      <c r="D199" s="7">
        <v>12</v>
      </c>
      <c r="E199" t="b">
        <v>0</v>
      </c>
      <c r="F199" s="7">
        <v>0</v>
      </c>
      <c r="G199" s="7">
        <v>1</v>
      </c>
      <c r="H199" s="6">
        <v>0.18</v>
      </c>
      <c r="I199" s="8">
        <v>0.13639999999999999</v>
      </c>
      <c r="J199" s="6">
        <v>0.37</v>
      </c>
      <c r="K199" s="8">
        <v>0.44779999999999998</v>
      </c>
      <c r="L199" s="7">
        <v>4</v>
      </c>
      <c r="M199" s="7">
        <v>79</v>
      </c>
      <c r="N199" s="7">
        <v>83</v>
      </c>
    </row>
    <row r="200" spans="1:14" x14ac:dyDescent="0.3">
      <c r="A200" s="7">
        <v>199</v>
      </c>
      <c r="B200" s="1">
        <v>40552</v>
      </c>
      <c r="C200" s="7">
        <v>1</v>
      </c>
      <c r="D200" s="7">
        <v>13</v>
      </c>
      <c r="E200" t="b">
        <v>0</v>
      </c>
      <c r="F200" s="7">
        <v>0</v>
      </c>
      <c r="G200" s="7">
        <v>1</v>
      </c>
      <c r="H200" s="6">
        <v>0.2</v>
      </c>
      <c r="I200" s="8">
        <v>0.16669999999999999</v>
      </c>
      <c r="J200" s="6">
        <v>0.34</v>
      </c>
      <c r="K200" s="8">
        <v>0.44779999999999998</v>
      </c>
      <c r="L200" s="7">
        <v>6</v>
      </c>
      <c r="M200" s="7">
        <v>69</v>
      </c>
      <c r="N200" s="7">
        <v>75</v>
      </c>
    </row>
    <row r="201" spans="1:14" x14ac:dyDescent="0.3">
      <c r="A201" s="7">
        <v>200</v>
      </c>
      <c r="B201" s="1">
        <v>40552</v>
      </c>
      <c r="C201" s="7">
        <v>1</v>
      </c>
      <c r="D201" s="7">
        <v>14</v>
      </c>
      <c r="E201" t="b">
        <v>0</v>
      </c>
      <c r="F201" s="7">
        <v>0</v>
      </c>
      <c r="G201" s="7">
        <v>1</v>
      </c>
      <c r="H201" s="6">
        <v>0.22</v>
      </c>
      <c r="I201" s="8">
        <v>0.18179999999999999</v>
      </c>
      <c r="J201" s="6">
        <v>0.32</v>
      </c>
      <c r="K201" s="8">
        <v>0.4627</v>
      </c>
      <c r="L201" s="7">
        <v>8</v>
      </c>
      <c r="M201" s="7">
        <v>64</v>
      </c>
      <c r="N201" s="7">
        <v>72</v>
      </c>
    </row>
    <row r="202" spans="1:14" x14ac:dyDescent="0.3">
      <c r="A202" s="7">
        <v>201</v>
      </c>
      <c r="B202" s="1">
        <v>40552</v>
      </c>
      <c r="C202" s="7">
        <v>1</v>
      </c>
      <c r="D202" s="7">
        <v>15</v>
      </c>
      <c r="E202" t="b">
        <v>0</v>
      </c>
      <c r="F202" s="7">
        <v>0</v>
      </c>
      <c r="G202" s="7">
        <v>1</v>
      </c>
      <c r="H202" s="6">
        <v>0.22</v>
      </c>
      <c r="I202" s="8">
        <v>0.19700000000000001</v>
      </c>
      <c r="J202" s="6">
        <v>0.35</v>
      </c>
      <c r="K202" s="8">
        <v>0.35820000000000002</v>
      </c>
      <c r="L202" s="7">
        <v>5</v>
      </c>
      <c r="M202" s="7">
        <v>77</v>
      </c>
      <c r="N202" s="7">
        <v>82</v>
      </c>
    </row>
    <row r="203" spans="1:14" x14ac:dyDescent="0.3">
      <c r="A203" s="7">
        <v>202</v>
      </c>
      <c r="B203" s="1">
        <v>40552</v>
      </c>
      <c r="C203" s="7">
        <v>1</v>
      </c>
      <c r="D203" s="7">
        <v>16</v>
      </c>
      <c r="E203" t="b">
        <v>0</v>
      </c>
      <c r="F203" s="7">
        <v>0</v>
      </c>
      <c r="G203" s="7">
        <v>1</v>
      </c>
      <c r="H203" s="6">
        <v>0.2</v>
      </c>
      <c r="I203" s="8">
        <v>0.16669999999999999</v>
      </c>
      <c r="J203" s="6">
        <v>0.34</v>
      </c>
      <c r="K203" s="8">
        <v>0.44779999999999998</v>
      </c>
      <c r="L203" s="7">
        <v>13</v>
      </c>
      <c r="M203" s="7">
        <v>79</v>
      </c>
      <c r="N203" s="7">
        <v>92</v>
      </c>
    </row>
    <row r="204" spans="1:14" x14ac:dyDescent="0.3">
      <c r="A204" s="7">
        <v>203</v>
      </c>
      <c r="B204" s="1">
        <v>40552</v>
      </c>
      <c r="C204" s="7">
        <v>1</v>
      </c>
      <c r="D204" s="7">
        <v>17</v>
      </c>
      <c r="E204" t="b">
        <v>0</v>
      </c>
      <c r="F204" s="7">
        <v>0</v>
      </c>
      <c r="G204" s="7">
        <v>1</v>
      </c>
      <c r="H204" s="6">
        <v>0.18</v>
      </c>
      <c r="I204" s="8">
        <v>0.1515</v>
      </c>
      <c r="J204" s="6">
        <v>0.37</v>
      </c>
      <c r="K204" s="8">
        <v>0.3881</v>
      </c>
      <c r="L204" s="7">
        <v>3</v>
      </c>
      <c r="M204" s="7">
        <v>59</v>
      </c>
      <c r="N204" s="7">
        <v>62</v>
      </c>
    </row>
    <row r="205" spans="1:14" x14ac:dyDescent="0.3">
      <c r="A205" s="7">
        <v>204</v>
      </c>
      <c r="B205" s="1">
        <v>40552</v>
      </c>
      <c r="C205" s="7">
        <v>1</v>
      </c>
      <c r="D205" s="7">
        <v>18</v>
      </c>
      <c r="E205" t="b">
        <v>0</v>
      </c>
      <c r="F205" s="7">
        <v>0</v>
      </c>
      <c r="G205" s="7">
        <v>1</v>
      </c>
      <c r="H205" s="6">
        <v>0.16</v>
      </c>
      <c r="I205" s="8">
        <v>0.13639999999999999</v>
      </c>
      <c r="J205" s="6">
        <v>0.4</v>
      </c>
      <c r="K205" s="8">
        <v>0.32840000000000003</v>
      </c>
      <c r="L205" s="7">
        <v>4</v>
      </c>
      <c r="M205" s="7">
        <v>44</v>
      </c>
      <c r="N205" s="7">
        <v>48</v>
      </c>
    </row>
    <row r="206" spans="1:14" x14ac:dyDescent="0.3">
      <c r="A206" s="7">
        <v>205</v>
      </c>
      <c r="B206" s="1">
        <v>40552</v>
      </c>
      <c r="C206" s="7">
        <v>1</v>
      </c>
      <c r="D206" s="7">
        <v>19</v>
      </c>
      <c r="E206" t="b">
        <v>0</v>
      </c>
      <c r="F206" s="7">
        <v>0</v>
      </c>
      <c r="G206" s="7">
        <v>1</v>
      </c>
      <c r="H206" s="6">
        <v>0.16</v>
      </c>
      <c r="I206" s="8">
        <v>0.13639999999999999</v>
      </c>
      <c r="J206" s="6">
        <v>0.43</v>
      </c>
      <c r="K206" s="8">
        <v>0.32840000000000003</v>
      </c>
      <c r="L206" s="7">
        <v>1</v>
      </c>
      <c r="M206" s="7">
        <v>40</v>
      </c>
      <c r="N206" s="7">
        <v>41</v>
      </c>
    </row>
    <row r="207" spans="1:14" x14ac:dyDescent="0.3">
      <c r="A207" s="7">
        <v>206</v>
      </c>
      <c r="B207" s="1">
        <v>40552</v>
      </c>
      <c r="C207" s="7">
        <v>1</v>
      </c>
      <c r="D207" s="7">
        <v>20</v>
      </c>
      <c r="E207" t="b">
        <v>0</v>
      </c>
      <c r="F207" s="7">
        <v>0</v>
      </c>
      <c r="G207" s="7">
        <v>1</v>
      </c>
      <c r="H207" s="6">
        <v>0.14000000000000001</v>
      </c>
      <c r="I207" s="8">
        <v>0.1212</v>
      </c>
      <c r="J207" s="6">
        <v>0.46</v>
      </c>
      <c r="K207" s="8">
        <v>0.25369999999999998</v>
      </c>
      <c r="L207" s="7">
        <v>0</v>
      </c>
      <c r="M207" s="7">
        <v>38</v>
      </c>
      <c r="N207" s="7">
        <v>38</v>
      </c>
    </row>
    <row r="208" spans="1:14" x14ac:dyDescent="0.3">
      <c r="A208" s="7">
        <v>207</v>
      </c>
      <c r="B208" s="1">
        <v>40552</v>
      </c>
      <c r="C208" s="7">
        <v>1</v>
      </c>
      <c r="D208" s="7">
        <v>21</v>
      </c>
      <c r="E208" t="b">
        <v>0</v>
      </c>
      <c r="F208" s="7">
        <v>0</v>
      </c>
      <c r="G208" s="7">
        <v>1</v>
      </c>
      <c r="H208" s="6">
        <v>0.14000000000000001</v>
      </c>
      <c r="I208" s="8">
        <v>0.1061</v>
      </c>
      <c r="J208" s="6">
        <v>0.46</v>
      </c>
      <c r="K208" s="8">
        <v>0.41789999999999999</v>
      </c>
      <c r="L208" s="7">
        <v>1</v>
      </c>
      <c r="M208" s="7">
        <v>19</v>
      </c>
      <c r="N208" s="7">
        <v>20</v>
      </c>
    </row>
    <row r="209" spans="1:14" x14ac:dyDescent="0.3">
      <c r="A209" s="7">
        <v>208</v>
      </c>
      <c r="B209" s="1">
        <v>40552</v>
      </c>
      <c r="C209" s="7">
        <v>1</v>
      </c>
      <c r="D209" s="7">
        <v>22</v>
      </c>
      <c r="E209" t="b">
        <v>0</v>
      </c>
      <c r="F209" s="7">
        <v>0</v>
      </c>
      <c r="G209" s="7">
        <v>1</v>
      </c>
      <c r="H209" s="6">
        <v>0.14000000000000001</v>
      </c>
      <c r="I209" s="8">
        <v>0.1212</v>
      </c>
      <c r="J209" s="6">
        <v>0.46</v>
      </c>
      <c r="K209" s="8">
        <v>0.29849999999999999</v>
      </c>
      <c r="L209" s="7">
        <v>5</v>
      </c>
      <c r="M209" s="7">
        <v>10</v>
      </c>
      <c r="N209" s="7">
        <v>15</v>
      </c>
    </row>
    <row r="210" spans="1:14" x14ac:dyDescent="0.3">
      <c r="A210" s="7">
        <v>209</v>
      </c>
      <c r="B210" s="1">
        <v>40552</v>
      </c>
      <c r="C210" s="7">
        <v>1</v>
      </c>
      <c r="D210" s="7">
        <v>23</v>
      </c>
      <c r="E210" t="b">
        <v>0</v>
      </c>
      <c r="F210" s="7">
        <v>0</v>
      </c>
      <c r="G210" s="7">
        <v>1</v>
      </c>
      <c r="H210" s="6">
        <v>0.12</v>
      </c>
      <c r="I210" s="8">
        <v>0.13639999999999999</v>
      </c>
      <c r="J210" s="6">
        <v>0.5</v>
      </c>
      <c r="K210" s="8">
        <v>0.19400000000000001</v>
      </c>
      <c r="L210" s="7">
        <v>0</v>
      </c>
      <c r="M210" s="7">
        <v>6</v>
      </c>
      <c r="N210" s="7">
        <v>6</v>
      </c>
    </row>
    <row r="211" spans="1:14" x14ac:dyDescent="0.3">
      <c r="A211" s="7">
        <v>210</v>
      </c>
      <c r="B211" s="1">
        <v>40553</v>
      </c>
      <c r="C211" s="7">
        <v>1</v>
      </c>
      <c r="D211" s="7">
        <v>0</v>
      </c>
      <c r="E211" t="b">
        <v>0</v>
      </c>
      <c r="F211" s="7">
        <v>1</v>
      </c>
      <c r="G211" s="7">
        <v>1</v>
      </c>
      <c r="H211" s="6">
        <v>0.12</v>
      </c>
      <c r="I211" s="8">
        <v>0.1212</v>
      </c>
      <c r="J211" s="6">
        <v>0.5</v>
      </c>
      <c r="K211" s="8">
        <v>0.28360000000000002</v>
      </c>
      <c r="L211" s="7">
        <v>2</v>
      </c>
      <c r="M211" s="7">
        <v>3</v>
      </c>
      <c r="N211" s="7">
        <v>5</v>
      </c>
    </row>
    <row r="212" spans="1:14" x14ac:dyDescent="0.3">
      <c r="A212" s="7">
        <v>211</v>
      </c>
      <c r="B212" s="1">
        <v>40553</v>
      </c>
      <c r="C212" s="7">
        <v>1</v>
      </c>
      <c r="D212" s="7">
        <v>1</v>
      </c>
      <c r="E212" t="b">
        <v>0</v>
      </c>
      <c r="F212" s="7">
        <v>1</v>
      </c>
      <c r="G212" s="7">
        <v>1</v>
      </c>
      <c r="H212" s="6">
        <v>0.12</v>
      </c>
      <c r="I212" s="8">
        <v>0.1212</v>
      </c>
      <c r="J212" s="6">
        <v>0.5</v>
      </c>
      <c r="K212" s="8">
        <v>0.28360000000000002</v>
      </c>
      <c r="L212" s="7">
        <v>1</v>
      </c>
      <c r="M212" s="7">
        <v>0</v>
      </c>
      <c r="N212" s="7">
        <v>1</v>
      </c>
    </row>
    <row r="213" spans="1:14" x14ac:dyDescent="0.3">
      <c r="A213" s="7">
        <v>212</v>
      </c>
      <c r="B213" s="1">
        <v>40553</v>
      </c>
      <c r="C213" s="7">
        <v>1</v>
      </c>
      <c r="D213" s="7">
        <v>2</v>
      </c>
      <c r="E213" t="b">
        <v>0</v>
      </c>
      <c r="F213" s="7">
        <v>1</v>
      </c>
      <c r="G213" s="7">
        <v>1</v>
      </c>
      <c r="H213" s="6">
        <v>0.12</v>
      </c>
      <c r="I213" s="8">
        <v>0.1212</v>
      </c>
      <c r="J213" s="6">
        <v>0.5</v>
      </c>
      <c r="K213" s="8">
        <v>0.22389999999999999</v>
      </c>
      <c r="L213" s="7">
        <v>0</v>
      </c>
      <c r="M213" s="7">
        <v>3</v>
      </c>
      <c r="N213" s="7">
        <v>3</v>
      </c>
    </row>
    <row r="214" spans="1:14" x14ac:dyDescent="0.3">
      <c r="A214" s="7">
        <v>213</v>
      </c>
      <c r="B214" s="1">
        <v>40553</v>
      </c>
      <c r="C214" s="7">
        <v>1</v>
      </c>
      <c r="D214" s="7">
        <v>3</v>
      </c>
      <c r="E214" t="b">
        <v>0</v>
      </c>
      <c r="F214" s="7">
        <v>1</v>
      </c>
      <c r="G214" s="7">
        <v>1</v>
      </c>
      <c r="H214" s="6">
        <v>0.12</v>
      </c>
      <c r="I214" s="8">
        <v>0.1212</v>
      </c>
      <c r="J214" s="6">
        <v>0.5</v>
      </c>
      <c r="K214" s="8">
        <v>0.22389999999999999</v>
      </c>
      <c r="L214" s="7">
        <v>0</v>
      </c>
      <c r="M214" s="7">
        <v>1</v>
      </c>
      <c r="N214" s="7">
        <v>1</v>
      </c>
    </row>
    <row r="215" spans="1:14" x14ac:dyDescent="0.3">
      <c r="A215" s="7">
        <v>214</v>
      </c>
      <c r="B215" s="1">
        <v>40553</v>
      </c>
      <c r="C215" s="7">
        <v>1</v>
      </c>
      <c r="D215" s="7">
        <v>4</v>
      </c>
      <c r="E215" t="b">
        <v>0</v>
      </c>
      <c r="F215" s="7">
        <v>1</v>
      </c>
      <c r="G215" s="7">
        <v>1</v>
      </c>
      <c r="H215" s="6">
        <v>0.1</v>
      </c>
      <c r="I215" s="8">
        <v>0.1212</v>
      </c>
      <c r="J215" s="6">
        <v>0.54</v>
      </c>
      <c r="K215" s="8">
        <v>0.1343</v>
      </c>
      <c r="L215" s="7">
        <v>1</v>
      </c>
      <c r="M215" s="7">
        <v>2</v>
      </c>
      <c r="N215" s="7">
        <v>3</v>
      </c>
    </row>
    <row r="216" spans="1:14" x14ac:dyDescent="0.3">
      <c r="A216" s="7">
        <v>215</v>
      </c>
      <c r="B216" s="1">
        <v>40553</v>
      </c>
      <c r="C216" s="7">
        <v>1</v>
      </c>
      <c r="D216" s="7">
        <v>5</v>
      </c>
      <c r="E216" t="b">
        <v>0</v>
      </c>
      <c r="F216" s="7">
        <v>1</v>
      </c>
      <c r="G216" s="7">
        <v>1</v>
      </c>
      <c r="H216" s="6">
        <v>0.1</v>
      </c>
      <c r="I216" s="8">
        <v>0.1061</v>
      </c>
      <c r="J216" s="6">
        <v>0.54</v>
      </c>
      <c r="K216" s="8">
        <v>0.25369999999999998</v>
      </c>
      <c r="L216" s="7">
        <v>0</v>
      </c>
      <c r="M216" s="7">
        <v>3</v>
      </c>
      <c r="N216" s="7">
        <v>3</v>
      </c>
    </row>
    <row r="217" spans="1:14" x14ac:dyDescent="0.3">
      <c r="A217" s="7">
        <v>216</v>
      </c>
      <c r="B217" s="1">
        <v>40553</v>
      </c>
      <c r="C217" s="7">
        <v>1</v>
      </c>
      <c r="D217" s="7">
        <v>6</v>
      </c>
      <c r="E217" t="b">
        <v>0</v>
      </c>
      <c r="F217" s="7">
        <v>1</v>
      </c>
      <c r="G217" s="7">
        <v>1</v>
      </c>
      <c r="H217" s="6">
        <v>0.12</v>
      </c>
      <c r="I217" s="8">
        <v>0.1212</v>
      </c>
      <c r="J217" s="6">
        <v>0.5</v>
      </c>
      <c r="K217" s="8">
        <v>0.28360000000000002</v>
      </c>
      <c r="L217" s="7">
        <v>0</v>
      </c>
      <c r="M217" s="7">
        <v>31</v>
      </c>
      <c r="N217" s="7">
        <v>31</v>
      </c>
    </row>
    <row r="218" spans="1:14" x14ac:dyDescent="0.3">
      <c r="A218" s="7">
        <v>217</v>
      </c>
      <c r="B218" s="1">
        <v>40553</v>
      </c>
      <c r="C218" s="7">
        <v>1</v>
      </c>
      <c r="D218" s="7">
        <v>7</v>
      </c>
      <c r="E218" t="b">
        <v>0</v>
      </c>
      <c r="F218" s="7">
        <v>1</v>
      </c>
      <c r="G218" s="7">
        <v>1</v>
      </c>
      <c r="H218" s="6">
        <v>0.12</v>
      </c>
      <c r="I218" s="8">
        <v>0.1212</v>
      </c>
      <c r="J218" s="6">
        <v>0.5</v>
      </c>
      <c r="K218" s="8">
        <v>0.22389999999999999</v>
      </c>
      <c r="L218" s="7">
        <v>2</v>
      </c>
      <c r="M218" s="7">
        <v>75</v>
      </c>
      <c r="N218" s="7">
        <v>77</v>
      </c>
    </row>
    <row r="219" spans="1:14" x14ac:dyDescent="0.3">
      <c r="A219" s="7">
        <v>218</v>
      </c>
      <c r="B219" s="1">
        <v>40553</v>
      </c>
      <c r="C219" s="7">
        <v>1</v>
      </c>
      <c r="D219" s="7">
        <v>8</v>
      </c>
      <c r="E219" t="b">
        <v>0</v>
      </c>
      <c r="F219" s="7">
        <v>1</v>
      </c>
      <c r="G219" s="7">
        <v>2</v>
      </c>
      <c r="H219" s="6">
        <v>0.12</v>
      </c>
      <c r="I219" s="8">
        <v>0.1212</v>
      </c>
      <c r="J219" s="6">
        <v>0.5</v>
      </c>
      <c r="K219" s="8">
        <v>0.28360000000000002</v>
      </c>
      <c r="L219" s="7">
        <v>4</v>
      </c>
      <c r="M219" s="7">
        <v>184</v>
      </c>
      <c r="N219" s="7">
        <v>188</v>
      </c>
    </row>
    <row r="220" spans="1:14" x14ac:dyDescent="0.3">
      <c r="A220" s="7">
        <v>219</v>
      </c>
      <c r="B220" s="1">
        <v>40553</v>
      </c>
      <c r="C220" s="7">
        <v>1</v>
      </c>
      <c r="D220" s="7">
        <v>9</v>
      </c>
      <c r="E220" t="b">
        <v>0</v>
      </c>
      <c r="F220" s="7">
        <v>1</v>
      </c>
      <c r="G220" s="7">
        <v>2</v>
      </c>
      <c r="H220" s="6">
        <v>0.14000000000000001</v>
      </c>
      <c r="I220" s="8">
        <v>0.1212</v>
      </c>
      <c r="J220" s="6">
        <v>0.5</v>
      </c>
      <c r="K220" s="8">
        <v>0.25369999999999998</v>
      </c>
      <c r="L220" s="7">
        <v>2</v>
      </c>
      <c r="M220" s="7">
        <v>92</v>
      </c>
      <c r="N220" s="7">
        <v>94</v>
      </c>
    </row>
    <row r="221" spans="1:14" x14ac:dyDescent="0.3">
      <c r="A221" s="7">
        <v>220</v>
      </c>
      <c r="B221" s="1">
        <v>40553</v>
      </c>
      <c r="C221" s="7">
        <v>1</v>
      </c>
      <c r="D221" s="7">
        <v>10</v>
      </c>
      <c r="E221" t="b">
        <v>0</v>
      </c>
      <c r="F221" s="7">
        <v>1</v>
      </c>
      <c r="G221" s="7">
        <v>2</v>
      </c>
      <c r="H221" s="6">
        <v>0.14000000000000001</v>
      </c>
      <c r="I221" s="8">
        <v>0.1212</v>
      </c>
      <c r="J221" s="6">
        <v>0.5</v>
      </c>
      <c r="K221" s="8">
        <v>0.29849999999999999</v>
      </c>
      <c r="L221" s="7">
        <v>0</v>
      </c>
      <c r="M221" s="7">
        <v>31</v>
      </c>
      <c r="N221" s="7">
        <v>31</v>
      </c>
    </row>
    <row r="222" spans="1:14" x14ac:dyDescent="0.3">
      <c r="A222" s="7">
        <v>221</v>
      </c>
      <c r="B222" s="1">
        <v>40553</v>
      </c>
      <c r="C222" s="7">
        <v>1</v>
      </c>
      <c r="D222" s="7">
        <v>11</v>
      </c>
      <c r="E222" t="b">
        <v>0</v>
      </c>
      <c r="F222" s="7">
        <v>1</v>
      </c>
      <c r="G222" s="7">
        <v>2</v>
      </c>
      <c r="H222" s="6">
        <v>0.16</v>
      </c>
      <c r="I222" s="8">
        <v>0.13639999999999999</v>
      </c>
      <c r="J222" s="6">
        <v>0.47</v>
      </c>
      <c r="K222" s="8">
        <v>0.28360000000000002</v>
      </c>
      <c r="L222" s="7">
        <v>2</v>
      </c>
      <c r="M222" s="7">
        <v>28</v>
      </c>
      <c r="N222" s="7">
        <v>30</v>
      </c>
    </row>
    <row r="223" spans="1:14" x14ac:dyDescent="0.3">
      <c r="A223" s="7">
        <v>222</v>
      </c>
      <c r="B223" s="1">
        <v>40553</v>
      </c>
      <c r="C223" s="7">
        <v>1</v>
      </c>
      <c r="D223" s="7">
        <v>12</v>
      </c>
      <c r="E223" t="b">
        <v>0</v>
      </c>
      <c r="F223" s="7">
        <v>1</v>
      </c>
      <c r="G223" s="7">
        <v>2</v>
      </c>
      <c r="H223" s="6">
        <v>0.2</v>
      </c>
      <c r="I223" s="8">
        <v>0.18179999999999999</v>
      </c>
      <c r="J223" s="6">
        <v>0.4</v>
      </c>
      <c r="K223" s="8">
        <v>0.28360000000000002</v>
      </c>
      <c r="L223" s="7">
        <v>5</v>
      </c>
      <c r="M223" s="7">
        <v>47</v>
      </c>
      <c r="N223" s="7">
        <v>52</v>
      </c>
    </row>
    <row r="224" spans="1:14" x14ac:dyDescent="0.3">
      <c r="A224" s="7">
        <v>223</v>
      </c>
      <c r="B224" s="1">
        <v>40553</v>
      </c>
      <c r="C224" s="7">
        <v>1</v>
      </c>
      <c r="D224" s="7">
        <v>13</v>
      </c>
      <c r="E224" t="b">
        <v>0</v>
      </c>
      <c r="F224" s="7">
        <v>1</v>
      </c>
      <c r="G224" s="7">
        <v>2</v>
      </c>
      <c r="H224" s="6">
        <v>0.2</v>
      </c>
      <c r="I224" s="8">
        <v>0.18179999999999999</v>
      </c>
      <c r="J224" s="6">
        <v>0.4</v>
      </c>
      <c r="K224" s="8">
        <v>0.28360000000000002</v>
      </c>
      <c r="L224" s="7">
        <v>4</v>
      </c>
      <c r="M224" s="7">
        <v>50</v>
      </c>
      <c r="N224" s="7">
        <v>54</v>
      </c>
    </row>
    <row r="225" spans="1:14" x14ac:dyDescent="0.3">
      <c r="A225" s="7">
        <v>224</v>
      </c>
      <c r="B225" s="1">
        <v>40553</v>
      </c>
      <c r="C225" s="7">
        <v>1</v>
      </c>
      <c r="D225" s="7">
        <v>14</v>
      </c>
      <c r="E225" t="b">
        <v>0</v>
      </c>
      <c r="F225" s="7">
        <v>1</v>
      </c>
      <c r="G225" s="7">
        <v>2</v>
      </c>
      <c r="H225" s="6">
        <v>0.2</v>
      </c>
      <c r="I225" s="8">
        <v>0.19700000000000001</v>
      </c>
      <c r="J225" s="6">
        <v>0.4</v>
      </c>
      <c r="K225" s="8">
        <v>0.22389999999999999</v>
      </c>
      <c r="L225" s="7">
        <v>0</v>
      </c>
      <c r="M225" s="7">
        <v>47</v>
      </c>
      <c r="N225" s="7">
        <v>47</v>
      </c>
    </row>
    <row r="226" spans="1:14" x14ac:dyDescent="0.3">
      <c r="A226" s="7">
        <v>225</v>
      </c>
      <c r="B226" s="1">
        <v>40553</v>
      </c>
      <c r="C226" s="7">
        <v>1</v>
      </c>
      <c r="D226" s="7">
        <v>15</v>
      </c>
      <c r="E226" t="b">
        <v>0</v>
      </c>
      <c r="F226" s="7">
        <v>1</v>
      </c>
      <c r="G226" s="7">
        <v>2</v>
      </c>
      <c r="H226" s="6">
        <v>0.2</v>
      </c>
      <c r="I226" s="8">
        <v>0.19700000000000001</v>
      </c>
      <c r="J226" s="6">
        <v>0.4</v>
      </c>
      <c r="K226" s="8">
        <v>0.22389999999999999</v>
      </c>
      <c r="L226" s="7">
        <v>2</v>
      </c>
      <c r="M226" s="7">
        <v>43</v>
      </c>
      <c r="N226" s="7">
        <v>45</v>
      </c>
    </row>
    <row r="227" spans="1:14" x14ac:dyDescent="0.3">
      <c r="A227" s="7">
        <v>226</v>
      </c>
      <c r="B227" s="1">
        <v>40553</v>
      </c>
      <c r="C227" s="7">
        <v>1</v>
      </c>
      <c r="D227" s="7">
        <v>16</v>
      </c>
      <c r="E227" t="b">
        <v>0</v>
      </c>
      <c r="F227" s="7">
        <v>1</v>
      </c>
      <c r="G227" s="7">
        <v>1</v>
      </c>
      <c r="H227" s="6">
        <v>0.2</v>
      </c>
      <c r="I227" s="8">
        <v>0.21210000000000001</v>
      </c>
      <c r="J227" s="6">
        <v>0.4</v>
      </c>
      <c r="K227" s="8">
        <v>0.1343</v>
      </c>
      <c r="L227" s="7">
        <v>4</v>
      </c>
      <c r="M227" s="7">
        <v>70</v>
      </c>
      <c r="N227" s="7">
        <v>74</v>
      </c>
    </row>
    <row r="228" spans="1:14" x14ac:dyDescent="0.3">
      <c r="A228" s="7">
        <v>227</v>
      </c>
      <c r="B228" s="1">
        <v>40553</v>
      </c>
      <c r="C228" s="7">
        <v>1</v>
      </c>
      <c r="D228" s="7">
        <v>17</v>
      </c>
      <c r="E228" t="b">
        <v>0</v>
      </c>
      <c r="F228" s="7">
        <v>1</v>
      </c>
      <c r="G228" s="7">
        <v>1</v>
      </c>
      <c r="H228" s="6">
        <v>0.2</v>
      </c>
      <c r="I228" s="8">
        <v>0.2273</v>
      </c>
      <c r="J228" s="6">
        <v>0.4</v>
      </c>
      <c r="K228" s="8">
        <v>0.1045</v>
      </c>
      <c r="L228" s="7">
        <v>4</v>
      </c>
      <c r="M228" s="7">
        <v>174</v>
      </c>
      <c r="N228" s="7">
        <v>178</v>
      </c>
    </row>
    <row r="229" spans="1:14" x14ac:dyDescent="0.3">
      <c r="A229" s="7">
        <v>228</v>
      </c>
      <c r="B229" s="1">
        <v>40553</v>
      </c>
      <c r="C229" s="7">
        <v>1</v>
      </c>
      <c r="D229" s="7">
        <v>18</v>
      </c>
      <c r="E229" t="b">
        <v>0</v>
      </c>
      <c r="F229" s="7">
        <v>1</v>
      </c>
      <c r="G229" s="7">
        <v>1</v>
      </c>
      <c r="H229" s="6">
        <v>0.2</v>
      </c>
      <c r="I229" s="8">
        <v>0.19700000000000001</v>
      </c>
      <c r="J229" s="6">
        <v>0.4</v>
      </c>
      <c r="K229" s="8">
        <v>0.22389999999999999</v>
      </c>
      <c r="L229" s="7">
        <v>1</v>
      </c>
      <c r="M229" s="7">
        <v>154</v>
      </c>
      <c r="N229" s="7">
        <v>155</v>
      </c>
    </row>
    <row r="230" spans="1:14" x14ac:dyDescent="0.3">
      <c r="A230" s="7">
        <v>229</v>
      </c>
      <c r="B230" s="1">
        <v>40553</v>
      </c>
      <c r="C230" s="7">
        <v>1</v>
      </c>
      <c r="D230" s="7">
        <v>19</v>
      </c>
      <c r="E230" t="b">
        <v>0</v>
      </c>
      <c r="F230" s="7">
        <v>1</v>
      </c>
      <c r="G230" s="7">
        <v>1</v>
      </c>
      <c r="H230" s="6">
        <v>0.16</v>
      </c>
      <c r="I230" s="8">
        <v>0.16669999999999999</v>
      </c>
      <c r="J230" s="6">
        <v>0.47</v>
      </c>
      <c r="K230" s="8">
        <v>0.16420000000000001</v>
      </c>
      <c r="L230" s="7">
        <v>3</v>
      </c>
      <c r="M230" s="7">
        <v>92</v>
      </c>
      <c r="N230" s="7">
        <v>95</v>
      </c>
    </row>
    <row r="231" spans="1:14" x14ac:dyDescent="0.3">
      <c r="A231" s="7">
        <v>230</v>
      </c>
      <c r="B231" s="1">
        <v>40553</v>
      </c>
      <c r="C231" s="7">
        <v>1</v>
      </c>
      <c r="D231" s="7">
        <v>20</v>
      </c>
      <c r="E231" t="b">
        <v>0</v>
      </c>
      <c r="F231" s="7">
        <v>1</v>
      </c>
      <c r="G231" s="7">
        <v>1</v>
      </c>
      <c r="H231" s="6">
        <v>0.16</v>
      </c>
      <c r="I231" s="8">
        <v>0.16669999999999999</v>
      </c>
      <c r="J231" s="6">
        <v>0.5</v>
      </c>
      <c r="K231" s="8">
        <v>0.16420000000000001</v>
      </c>
      <c r="L231" s="7">
        <v>1</v>
      </c>
      <c r="M231" s="7">
        <v>73</v>
      </c>
      <c r="N231" s="7">
        <v>74</v>
      </c>
    </row>
    <row r="232" spans="1:14" x14ac:dyDescent="0.3">
      <c r="A232" s="7">
        <v>231</v>
      </c>
      <c r="B232" s="1">
        <v>40553</v>
      </c>
      <c r="C232" s="7">
        <v>1</v>
      </c>
      <c r="D232" s="7">
        <v>21</v>
      </c>
      <c r="E232" t="b">
        <v>0</v>
      </c>
      <c r="F232" s="7">
        <v>1</v>
      </c>
      <c r="G232" s="7">
        <v>1</v>
      </c>
      <c r="H232" s="6">
        <v>0.14000000000000001</v>
      </c>
      <c r="I232" s="8">
        <v>0.13639999999999999</v>
      </c>
      <c r="J232" s="6">
        <v>0.59</v>
      </c>
      <c r="K232" s="8">
        <v>0.19400000000000001</v>
      </c>
      <c r="L232" s="7">
        <v>1</v>
      </c>
      <c r="M232" s="7">
        <v>37</v>
      </c>
      <c r="N232" s="7">
        <v>38</v>
      </c>
    </row>
    <row r="233" spans="1:14" x14ac:dyDescent="0.3">
      <c r="A233" s="7">
        <v>232</v>
      </c>
      <c r="B233" s="1">
        <v>40553</v>
      </c>
      <c r="C233" s="7">
        <v>1</v>
      </c>
      <c r="D233" s="7">
        <v>22</v>
      </c>
      <c r="E233" t="b">
        <v>0</v>
      </c>
      <c r="F233" s="7">
        <v>1</v>
      </c>
      <c r="G233" s="7">
        <v>1</v>
      </c>
      <c r="H233" s="6">
        <v>0.14000000000000001</v>
      </c>
      <c r="I233" s="8">
        <v>0.1515</v>
      </c>
      <c r="J233" s="6">
        <v>0.59</v>
      </c>
      <c r="K233" s="8">
        <v>0.16420000000000001</v>
      </c>
      <c r="L233" s="7">
        <v>2</v>
      </c>
      <c r="M233" s="7">
        <v>22</v>
      </c>
      <c r="N233" s="7">
        <v>24</v>
      </c>
    </row>
    <row r="234" spans="1:14" x14ac:dyDescent="0.3">
      <c r="A234" s="7">
        <v>233</v>
      </c>
      <c r="B234" s="1">
        <v>40553</v>
      </c>
      <c r="C234" s="7">
        <v>1</v>
      </c>
      <c r="D234" s="7">
        <v>23</v>
      </c>
      <c r="E234" t="b">
        <v>0</v>
      </c>
      <c r="F234" s="7">
        <v>1</v>
      </c>
      <c r="G234" s="7">
        <v>1</v>
      </c>
      <c r="H234" s="6">
        <v>0.14000000000000001</v>
      </c>
      <c r="I234" s="8">
        <v>0.1515</v>
      </c>
      <c r="J234" s="6">
        <v>0.59</v>
      </c>
      <c r="K234" s="8">
        <v>0.16420000000000001</v>
      </c>
      <c r="L234" s="7">
        <v>0</v>
      </c>
      <c r="M234" s="7">
        <v>18</v>
      </c>
      <c r="N234" s="7">
        <v>18</v>
      </c>
    </row>
    <row r="235" spans="1:14" x14ac:dyDescent="0.3">
      <c r="A235" s="7">
        <v>234</v>
      </c>
      <c r="B235" s="1">
        <v>40554</v>
      </c>
      <c r="C235" s="7">
        <v>1</v>
      </c>
      <c r="D235" s="7">
        <v>0</v>
      </c>
      <c r="E235" t="b">
        <v>0</v>
      </c>
      <c r="F235" s="7">
        <v>2</v>
      </c>
      <c r="G235" s="7">
        <v>1</v>
      </c>
      <c r="H235" s="6">
        <v>0.14000000000000001</v>
      </c>
      <c r="I235" s="8">
        <v>0.16669999999999999</v>
      </c>
      <c r="J235" s="6">
        <v>0.59</v>
      </c>
      <c r="K235" s="8">
        <v>0.1045</v>
      </c>
      <c r="L235" s="7">
        <v>2</v>
      </c>
      <c r="M235" s="7">
        <v>10</v>
      </c>
      <c r="N235" s="7">
        <v>12</v>
      </c>
    </row>
    <row r="236" spans="1:14" x14ac:dyDescent="0.3">
      <c r="A236" s="7">
        <v>235</v>
      </c>
      <c r="B236" s="1">
        <v>40554</v>
      </c>
      <c r="C236" s="7">
        <v>1</v>
      </c>
      <c r="D236" s="7">
        <v>1</v>
      </c>
      <c r="E236" t="b">
        <v>0</v>
      </c>
      <c r="F236" s="7">
        <v>2</v>
      </c>
      <c r="G236" s="7">
        <v>1</v>
      </c>
      <c r="H236" s="6">
        <v>0.14000000000000001</v>
      </c>
      <c r="I236" s="8">
        <v>0.1515</v>
      </c>
      <c r="J236" s="6">
        <v>0.59</v>
      </c>
      <c r="K236" s="8">
        <v>0.16420000000000001</v>
      </c>
      <c r="L236" s="7">
        <v>0</v>
      </c>
      <c r="M236" s="7">
        <v>3</v>
      </c>
      <c r="N236" s="7">
        <v>3</v>
      </c>
    </row>
    <row r="237" spans="1:14" x14ac:dyDescent="0.3">
      <c r="A237" s="7">
        <v>236</v>
      </c>
      <c r="B237" s="1">
        <v>40554</v>
      </c>
      <c r="C237" s="7">
        <v>1</v>
      </c>
      <c r="D237" s="7">
        <v>2</v>
      </c>
      <c r="E237" t="b">
        <v>0</v>
      </c>
      <c r="F237" s="7">
        <v>2</v>
      </c>
      <c r="G237" s="7">
        <v>2</v>
      </c>
      <c r="H237" s="6">
        <v>0.16</v>
      </c>
      <c r="I237" s="8">
        <v>0.1515</v>
      </c>
      <c r="J237" s="6">
        <v>0.55000000000000004</v>
      </c>
      <c r="K237" s="8">
        <v>0.19400000000000001</v>
      </c>
      <c r="L237" s="7">
        <v>0</v>
      </c>
      <c r="M237" s="7">
        <v>3</v>
      </c>
      <c r="N237" s="7">
        <v>3</v>
      </c>
    </row>
    <row r="238" spans="1:14" x14ac:dyDescent="0.3">
      <c r="A238" s="7">
        <v>237</v>
      </c>
      <c r="B238" s="1">
        <v>40554</v>
      </c>
      <c r="C238" s="7">
        <v>1</v>
      </c>
      <c r="D238" s="7">
        <v>5</v>
      </c>
      <c r="E238" t="b">
        <v>0</v>
      </c>
      <c r="F238" s="7">
        <v>2</v>
      </c>
      <c r="G238" s="7">
        <v>2</v>
      </c>
      <c r="H238" s="6">
        <v>0.16</v>
      </c>
      <c r="I238" s="8">
        <v>0.18179999999999999</v>
      </c>
      <c r="J238" s="6">
        <v>0.55000000000000004</v>
      </c>
      <c r="K238" s="8">
        <v>0.1343</v>
      </c>
      <c r="L238" s="7">
        <v>0</v>
      </c>
      <c r="M238" s="7">
        <v>6</v>
      </c>
      <c r="N238" s="7">
        <v>6</v>
      </c>
    </row>
    <row r="239" spans="1:14" x14ac:dyDescent="0.3">
      <c r="A239" s="7">
        <v>238</v>
      </c>
      <c r="B239" s="1">
        <v>40554</v>
      </c>
      <c r="C239" s="7">
        <v>1</v>
      </c>
      <c r="D239" s="7">
        <v>6</v>
      </c>
      <c r="E239" t="b">
        <v>0</v>
      </c>
      <c r="F239" s="7">
        <v>2</v>
      </c>
      <c r="G239" s="7">
        <v>2</v>
      </c>
      <c r="H239" s="6">
        <v>0.16</v>
      </c>
      <c r="I239" s="8">
        <v>0.18179999999999999</v>
      </c>
      <c r="J239" s="6">
        <v>0.55000000000000004</v>
      </c>
      <c r="K239" s="8">
        <v>0.1343</v>
      </c>
      <c r="L239" s="7">
        <v>0</v>
      </c>
      <c r="M239" s="7">
        <v>27</v>
      </c>
      <c r="N239" s="7">
        <v>27</v>
      </c>
    </row>
    <row r="240" spans="1:14" x14ac:dyDescent="0.3">
      <c r="A240" s="7">
        <v>239</v>
      </c>
      <c r="B240" s="1">
        <v>40554</v>
      </c>
      <c r="C240" s="7">
        <v>1</v>
      </c>
      <c r="D240" s="7">
        <v>7</v>
      </c>
      <c r="E240" t="b">
        <v>0</v>
      </c>
      <c r="F240" s="7">
        <v>2</v>
      </c>
      <c r="G240" s="7">
        <v>2</v>
      </c>
      <c r="H240" s="6">
        <v>0.16</v>
      </c>
      <c r="I240" s="8">
        <v>0.2273</v>
      </c>
      <c r="J240" s="6">
        <v>0.55000000000000004</v>
      </c>
      <c r="K240" s="8">
        <v>0</v>
      </c>
      <c r="L240" s="7">
        <v>2</v>
      </c>
      <c r="M240" s="7">
        <v>97</v>
      </c>
      <c r="N240" s="7">
        <v>99</v>
      </c>
    </row>
    <row r="241" spans="1:14" x14ac:dyDescent="0.3">
      <c r="A241" s="7">
        <v>240</v>
      </c>
      <c r="B241" s="1">
        <v>40554</v>
      </c>
      <c r="C241" s="7">
        <v>1</v>
      </c>
      <c r="D241" s="7">
        <v>8</v>
      </c>
      <c r="E241" t="b">
        <v>0</v>
      </c>
      <c r="F241" s="7">
        <v>2</v>
      </c>
      <c r="G241" s="7">
        <v>2</v>
      </c>
      <c r="H241" s="6">
        <v>0.18</v>
      </c>
      <c r="I241" s="8">
        <v>0.21210000000000001</v>
      </c>
      <c r="J241" s="6">
        <v>0.51</v>
      </c>
      <c r="K241" s="8">
        <v>8.9599999999999999E-2</v>
      </c>
      <c r="L241" s="7">
        <v>3</v>
      </c>
      <c r="M241" s="7">
        <v>214</v>
      </c>
      <c r="N241" s="7">
        <v>217</v>
      </c>
    </row>
    <row r="242" spans="1:14" x14ac:dyDescent="0.3">
      <c r="A242" s="7">
        <v>241</v>
      </c>
      <c r="B242" s="1">
        <v>40554</v>
      </c>
      <c r="C242" s="7">
        <v>1</v>
      </c>
      <c r="D242" s="7">
        <v>9</v>
      </c>
      <c r="E242" t="b">
        <v>0</v>
      </c>
      <c r="F242" s="7">
        <v>2</v>
      </c>
      <c r="G242" s="7">
        <v>2</v>
      </c>
      <c r="H242" s="6">
        <v>0.18</v>
      </c>
      <c r="I242" s="8">
        <v>0.19700000000000001</v>
      </c>
      <c r="J242" s="6">
        <v>0.51</v>
      </c>
      <c r="K242" s="8">
        <v>0.16420000000000001</v>
      </c>
      <c r="L242" s="7">
        <v>3</v>
      </c>
      <c r="M242" s="7">
        <v>127</v>
      </c>
      <c r="N242" s="7">
        <v>130</v>
      </c>
    </row>
    <row r="243" spans="1:14" x14ac:dyDescent="0.3">
      <c r="A243" s="7">
        <v>242</v>
      </c>
      <c r="B243" s="1">
        <v>40554</v>
      </c>
      <c r="C243" s="7">
        <v>1</v>
      </c>
      <c r="D243" s="7">
        <v>10</v>
      </c>
      <c r="E243" t="b">
        <v>0</v>
      </c>
      <c r="F243" s="7">
        <v>2</v>
      </c>
      <c r="G243" s="7">
        <v>2</v>
      </c>
      <c r="H243" s="6">
        <v>0.2</v>
      </c>
      <c r="I243" s="8">
        <v>0.21210000000000001</v>
      </c>
      <c r="J243" s="6">
        <v>0.51</v>
      </c>
      <c r="K243" s="8">
        <v>0.16420000000000001</v>
      </c>
      <c r="L243" s="7">
        <v>3</v>
      </c>
      <c r="M243" s="7">
        <v>51</v>
      </c>
      <c r="N243" s="7">
        <v>54</v>
      </c>
    </row>
    <row r="244" spans="1:14" x14ac:dyDescent="0.3">
      <c r="A244" s="7">
        <v>243</v>
      </c>
      <c r="B244" s="1">
        <v>40554</v>
      </c>
      <c r="C244" s="7">
        <v>1</v>
      </c>
      <c r="D244" s="7">
        <v>11</v>
      </c>
      <c r="E244" t="b">
        <v>0</v>
      </c>
      <c r="F244" s="7">
        <v>2</v>
      </c>
      <c r="G244" s="7">
        <v>2</v>
      </c>
      <c r="H244" s="6">
        <v>0.2</v>
      </c>
      <c r="I244" s="8">
        <v>0.21210000000000001</v>
      </c>
      <c r="J244" s="6">
        <v>0.47</v>
      </c>
      <c r="K244" s="8">
        <v>0.1343</v>
      </c>
      <c r="L244" s="7">
        <v>4</v>
      </c>
      <c r="M244" s="7">
        <v>31</v>
      </c>
      <c r="N244" s="7">
        <v>35</v>
      </c>
    </row>
    <row r="245" spans="1:14" x14ac:dyDescent="0.3">
      <c r="A245" s="7">
        <v>244</v>
      </c>
      <c r="B245" s="1">
        <v>40554</v>
      </c>
      <c r="C245" s="7">
        <v>1</v>
      </c>
      <c r="D245" s="7">
        <v>12</v>
      </c>
      <c r="E245" t="b">
        <v>0</v>
      </c>
      <c r="F245" s="7">
        <v>2</v>
      </c>
      <c r="G245" s="7">
        <v>2</v>
      </c>
      <c r="H245" s="6">
        <v>0.2</v>
      </c>
      <c r="I245" s="8">
        <v>0.2273</v>
      </c>
      <c r="J245" s="6">
        <v>0.51</v>
      </c>
      <c r="K245" s="8">
        <v>0.1045</v>
      </c>
      <c r="L245" s="7">
        <v>2</v>
      </c>
      <c r="M245" s="7">
        <v>55</v>
      </c>
      <c r="N245" s="7">
        <v>57</v>
      </c>
    </row>
    <row r="246" spans="1:14" x14ac:dyDescent="0.3">
      <c r="A246" s="7">
        <v>245</v>
      </c>
      <c r="B246" s="1">
        <v>40554</v>
      </c>
      <c r="C246" s="7">
        <v>1</v>
      </c>
      <c r="D246" s="7">
        <v>13</v>
      </c>
      <c r="E246" t="b">
        <v>0</v>
      </c>
      <c r="F246" s="7">
        <v>2</v>
      </c>
      <c r="G246" s="7">
        <v>2</v>
      </c>
      <c r="H246" s="6">
        <v>0.2</v>
      </c>
      <c r="I246" s="8">
        <v>0.2273</v>
      </c>
      <c r="J246" s="6">
        <v>0.59</v>
      </c>
      <c r="K246" s="8">
        <v>8.9599999999999999E-2</v>
      </c>
      <c r="L246" s="7">
        <v>6</v>
      </c>
      <c r="M246" s="7">
        <v>46</v>
      </c>
      <c r="N246" s="7">
        <v>52</v>
      </c>
    </row>
    <row r="247" spans="1:14" x14ac:dyDescent="0.3">
      <c r="A247" s="7">
        <v>246</v>
      </c>
      <c r="B247" s="1">
        <v>40554</v>
      </c>
      <c r="C247" s="7">
        <v>1</v>
      </c>
      <c r="D247" s="7">
        <v>14</v>
      </c>
      <c r="E247" t="b">
        <v>0</v>
      </c>
      <c r="F247" s="7">
        <v>2</v>
      </c>
      <c r="G247" s="7">
        <v>2</v>
      </c>
      <c r="H247" s="6">
        <v>0.2</v>
      </c>
      <c r="I247" s="8">
        <v>0.2273</v>
      </c>
      <c r="J247" s="6">
        <v>0.59</v>
      </c>
      <c r="K247" s="8">
        <v>8.9599999999999999E-2</v>
      </c>
      <c r="L247" s="7">
        <v>3</v>
      </c>
      <c r="M247" s="7">
        <v>60</v>
      </c>
      <c r="N247" s="7">
        <v>63</v>
      </c>
    </row>
    <row r="248" spans="1:14" x14ac:dyDescent="0.3">
      <c r="A248" s="7">
        <v>247</v>
      </c>
      <c r="B248" s="1">
        <v>40554</v>
      </c>
      <c r="C248" s="7">
        <v>1</v>
      </c>
      <c r="D248" s="7">
        <v>15</v>
      </c>
      <c r="E248" t="b">
        <v>0</v>
      </c>
      <c r="F248" s="7">
        <v>2</v>
      </c>
      <c r="G248" s="7">
        <v>2</v>
      </c>
      <c r="H248" s="6">
        <v>0.16</v>
      </c>
      <c r="I248" s="8">
        <v>0.19700000000000001</v>
      </c>
      <c r="J248" s="6">
        <v>0.8</v>
      </c>
      <c r="K248" s="8">
        <v>8.9599999999999999E-2</v>
      </c>
      <c r="L248" s="7">
        <v>2</v>
      </c>
      <c r="M248" s="7">
        <v>45</v>
      </c>
      <c r="N248" s="7">
        <v>47</v>
      </c>
    </row>
    <row r="249" spans="1:14" x14ac:dyDescent="0.3">
      <c r="A249" s="7">
        <v>248</v>
      </c>
      <c r="B249" s="1">
        <v>40554</v>
      </c>
      <c r="C249" s="7">
        <v>1</v>
      </c>
      <c r="D249" s="7">
        <v>16</v>
      </c>
      <c r="E249" t="b">
        <v>0</v>
      </c>
      <c r="F249" s="7">
        <v>2</v>
      </c>
      <c r="G249" s="7">
        <v>2</v>
      </c>
      <c r="H249" s="6">
        <v>0.16</v>
      </c>
      <c r="I249" s="8">
        <v>0.1515</v>
      </c>
      <c r="J249" s="6">
        <v>0.86</v>
      </c>
      <c r="K249" s="8">
        <v>0.22389999999999999</v>
      </c>
      <c r="L249" s="7">
        <v>4</v>
      </c>
      <c r="M249" s="7">
        <v>72</v>
      </c>
      <c r="N249" s="7">
        <v>76</v>
      </c>
    </row>
    <row r="250" spans="1:14" x14ac:dyDescent="0.3">
      <c r="A250" s="7">
        <v>249</v>
      </c>
      <c r="B250" s="1">
        <v>40554</v>
      </c>
      <c r="C250" s="7">
        <v>1</v>
      </c>
      <c r="D250" s="7">
        <v>17</v>
      </c>
      <c r="E250" t="b">
        <v>0</v>
      </c>
      <c r="F250" s="7">
        <v>2</v>
      </c>
      <c r="G250" s="7">
        <v>2</v>
      </c>
      <c r="H250" s="6">
        <v>0.16</v>
      </c>
      <c r="I250" s="8">
        <v>0.1515</v>
      </c>
      <c r="J250" s="6">
        <v>0.86</v>
      </c>
      <c r="K250" s="8">
        <v>0.22389999999999999</v>
      </c>
      <c r="L250" s="7">
        <v>6</v>
      </c>
      <c r="M250" s="7">
        <v>130</v>
      </c>
      <c r="N250" s="7">
        <v>136</v>
      </c>
    </row>
    <row r="251" spans="1:14" x14ac:dyDescent="0.3">
      <c r="A251" s="7">
        <v>250</v>
      </c>
      <c r="B251" s="1">
        <v>40554</v>
      </c>
      <c r="C251" s="7">
        <v>1</v>
      </c>
      <c r="D251" s="7">
        <v>18</v>
      </c>
      <c r="E251" t="b">
        <v>0</v>
      </c>
      <c r="F251" s="7">
        <v>2</v>
      </c>
      <c r="G251" s="7">
        <v>3</v>
      </c>
      <c r="H251" s="6">
        <v>0.16</v>
      </c>
      <c r="I251" s="8">
        <v>0.18179999999999999</v>
      </c>
      <c r="J251" s="6">
        <v>0.93</v>
      </c>
      <c r="K251" s="8">
        <v>0.1045</v>
      </c>
      <c r="L251" s="7">
        <v>1</v>
      </c>
      <c r="M251" s="7">
        <v>94</v>
      </c>
      <c r="N251" s="7">
        <v>95</v>
      </c>
    </row>
    <row r="252" spans="1:14" x14ac:dyDescent="0.3">
      <c r="A252" s="7">
        <v>251</v>
      </c>
      <c r="B252" s="1">
        <v>40554</v>
      </c>
      <c r="C252" s="7">
        <v>1</v>
      </c>
      <c r="D252" s="7">
        <v>19</v>
      </c>
      <c r="E252" t="b">
        <v>0</v>
      </c>
      <c r="F252" s="7">
        <v>2</v>
      </c>
      <c r="G252" s="7">
        <v>3</v>
      </c>
      <c r="H252" s="6">
        <v>0.16</v>
      </c>
      <c r="I252" s="8">
        <v>0.2273</v>
      </c>
      <c r="J252" s="6">
        <v>0.93</v>
      </c>
      <c r="K252" s="8">
        <v>0</v>
      </c>
      <c r="L252" s="7">
        <v>0</v>
      </c>
      <c r="M252" s="7">
        <v>51</v>
      </c>
      <c r="N252" s="7">
        <v>51</v>
      </c>
    </row>
    <row r="253" spans="1:14" x14ac:dyDescent="0.3">
      <c r="A253" s="7">
        <v>252</v>
      </c>
      <c r="B253" s="1">
        <v>40554</v>
      </c>
      <c r="C253" s="7">
        <v>1</v>
      </c>
      <c r="D253" s="7">
        <v>20</v>
      </c>
      <c r="E253" t="b">
        <v>0</v>
      </c>
      <c r="F253" s="7">
        <v>2</v>
      </c>
      <c r="G253" s="7">
        <v>3</v>
      </c>
      <c r="H253" s="6">
        <v>0.16</v>
      </c>
      <c r="I253" s="8">
        <v>0.1515</v>
      </c>
      <c r="J253" s="6">
        <v>0.93</v>
      </c>
      <c r="K253" s="8">
        <v>0.19400000000000001</v>
      </c>
      <c r="L253" s="7">
        <v>0</v>
      </c>
      <c r="M253" s="7">
        <v>32</v>
      </c>
      <c r="N253" s="7">
        <v>32</v>
      </c>
    </row>
    <row r="254" spans="1:14" x14ac:dyDescent="0.3">
      <c r="A254" s="7">
        <v>253</v>
      </c>
      <c r="B254" s="1">
        <v>40554</v>
      </c>
      <c r="C254" s="7">
        <v>1</v>
      </c>
      <c r="D254" s="7">
        <v>21</v>
      </c>
      <c r="E254" t="b">
        <v>0</v>
      </c>
      <c r="F254" s="7">
        <v>2</v>
      </c>
      <c r="G254" s="7">
        <v>3</v>
      </c>
      <c r="H254" s="6">
        <v>0.16</v>
      </c>
      <c r="I254" s="8">
        <v>0.19700000000000001</v>
      </c>
      <c r="J254" s="6">
        <v>0.86</v>
      </c>
      <c r="K254" s="8">
        <v>8.9599999999999999E-2</v>
      </c>
      <c r="L254" s="7">
        <v>0</v>
      </c>
      <c r="M254" s="7">
        <v>20</v>
      </c>
      <c r="N254" s="7">
        <v>20</v>
      </c>
    </row>
    <row r="255" spans="1:14" x14ac:dyDescent="0.3">
      <c r="A255" s="7">
        <v>254</v>
      </c>
      <c r="B255" s="1">
        <v>40554</v>
      </c>
      <c r="C255" s="7">
        <v>1</v>
      </c>
      <c r="D255" s="7">
        <v>22</v>
      </c>
      <c r="E255" t="b">
        <v>0</v>
      </c>
      <c r="F255" s="7">
        <v>2</v>
      </c>
      <c r="G255" s="7">
        <v>3</v>
      </c>
      <c r="H255" s="6">
        <v>0.16</v>
      </c>
      <c r="I255" s="8">
        <v>0.18179999999999999</v>
      </c>
      <c r="J255" s="6">
        <v>0.93</v>
      </c>
      <c r="K255" s="8">
        <v>0.1045</v>
      </c>
      <c r="L255" s="7">
        <v>1</v>
      </c>
      <c r="M255" s="7">
        <v>28</v>
      </c>
      <c r="N255" s="7">
        <v>29</v>
      </c>
    </row>
    <row r="256" spans="1:14" x14ac:dyDescent="0.3">
      <c r="A256" s="7">
        <v>255</v>
      </c>
      <c r="B256" s="1">
        <v>40554</v>
      </c>
      <c r="C256" s="7">
        <v>1</v>
      </c>
      <c r="D256" s="7">
        <v>23</v>
      </c>
      <c r="E256" t="b">
        <v>0</v>
      </c>
      <c r="F256" s="7">
        <v>2</v>
      </c>
      <c r="G256" s="7">
        <v>3</v>
      </c>
      <c r="H256" s="6">
        <v>0.16</v>
      </c>
      <c r="I256" s="8">
        <v>0.19700000000000001</v>
      </c>
      <c r="J256" s="6">
        <v>0.93</v>
      </c>
      <c r="K256" s="8">
        <v>8.9599999999999999E-2</v>
      </c>
      <c r="L256" s="7">
        <v>1</v>
      </c>
      <c r="M256" s="7">
        <v>18</v>
      </c>
      <c r="N256" s="7">
        <v>19</v>
      </c>
    </row>
    <row r="257" spans="1:14" x14ac:dyDescent="0.3">
      <c r="A257" s="7">
        <v>256</v>
      </c>
      <c r="B257" s="1">
        <v>40555</v>
      </c>
      <c r="C257" s="7">
        <v>1</v>
      </c>
      <c r="D257" s="7">
        <v>0</v>
      </c>
      <c r="E257" t="b">
        <v>0</v>
      </c>
      <c r="F257" s="7">
        <v>3</v>
      </c>
      <c r="G257" s="7">
        <v>2</v>
      </c>
      <c r="H257" s="6">
        <v>0.16</v>
      </c>
      <c r="I257" s="8">
        <v>0.19700000000000001</v>
      </c>
      <c r="J257" s="6">
        <v>0.86</v>
      </c>
      <c r="K257" s="8">
        <v>8.9599999999999999E-2</v>
      </c>
      <c r="L257" s="7">
        <v>0</v>
      </c>
      <c r="M257" s="7">
        <v>7</v>
      </c>
      <c r="N257" s="7">
        <v>7</v>
      </c>
    </row>
    <row r="258" spans="1:14" x14ac:dyDescent="0.3">
      <c r="A258" s="7">
        <v>257</v>
      </c>
      <c r="B258" s="1">
        <v>40555</v>
      </c>
      <c r="C258" s="7">
        <v>1</v>
      </c>
      <c r="D258" s="7">
        <v>1</v>
      </c>
      <c r="E258" t="b">
        <v>0</v>
      </c>
      <c r="F258" s="7">
        <v>3</v>
      </c>
      <c r="G258" s="7">
        <v>2</v>
      </c>
      <c r="H258" s="6">
        <v>0.16</v>
      </c>
      <c r="I258" s="8">
        <v>0.18179999999999999</v>
      </c>
      <c r="J258" s="6">
        <v>0.86</v>
      </c>
      <c r="K258" s="8">
        <v>0.1045</v>
      </c>
      <c r="L258" s="7">
        <v>0</v>
      </c>
      <c r="M258" s="7">
        <v>6</v>
      </c>
      <c r="N258" s="7">
        <v>6</v>
      </c>
    </row>
    <row r="259" spans="1:14" x14ac:dyDescent="0.3">
      <c r="A259" s="7">
        <v>258</v>
      </c>
      <c r="B259" s="1">
        <v>40555</v>
      </c>
      <c r="C259" s="7">
        <v>1</v>
      </c>
      <c r="D259" s="7">
        <v>2</v>
      </c>
      <c r="E259" t="b">
        <v>0</v>
      </c>
      <c r="F259" s="7">
        <v>3</v>
      </c>
      <c r="G259" s="7">
        <v>1</v>
      </c>
      <c r="H259" s="6">
        <v>0.14000000000000001</v>
      </c>
      <c r="I259" s="8">
        <v>0.1515</v>
      </c>
      <c r="J259" s="6">
        <v>0.86</v>
      </c>
      <c r="K259" s="8">
        <v>0.1343</v>
      </c>
      <c r="L259" s="7">
        <v>0</v>
      </c>
      <c r="M259" s="7">
        <v>1</v>
      </c>
      <c r="N259" s="7">
        <v>1</v>
      </c>
    </row>
    <row r="260" spans="1:14" x14ac:dyDescent="0.3">
      <c r="A260" s="7">
        <v>259</v>
      </c>
      <c r="B260" s="1">
        <v>40555</v>
      </c>
      <c r="C260" s="7">
        <v>1</v>
      </c>
      <c r="D260" s="7">
        <v>5</v>
      </c>
      <c r="E260" t="b">
        <v>0</v>
      </c>
      <c r="F260" s="7">
        <v>3</v>
      </c>
      <c r="G260" s="7">
        <v>1</v>
      </c>
      <c r="H260" s="6">
        <v>0.14000000000000001</v>
      </c>
      <c r="I260" s="8">
        <v>0.1515</v>
      </c>
      <c r="J260" s="6">
        <v>0.86</v>
      </c>
      <c r="K260" s="8">
        <v>0.16420000000000001</v>
      </c>
      <c r="L260" s="7">
        <v>0</v>
      </c>
      <c r="M260" s="7">
        <v>5</v>
      </c>
      <c r="N260" s="7">
        <v>5</v>
      </c>
    </row>
    <row r="261" spans="1:14" x14ac:dyDescent="0.3">
      <c r="A261" s="7">
        <v>260</v>
      </c>
      <c r="B261" s="1">
        <v>40555</v>
      </c>
      <c r="C261" s="7">
        <v>1</v>
      </c>
      <c r="D261" s="7">
        <v>6</v>
      </c>
      <c r="E261" t="b">
        <v>0</v>
      </c>
      <c r="F261" s="7">
        <v>3</v>
      </c>
      <c r="G261" s="7">
        <v>1</v>
      </c>
      <c r="H261" s="6">
        <v>0.12</v>
      </c>
      <c r="I261" s="8">
        <v>0.1515</v>
      </c>
      <c r="J261" s="6">
        <v>0.93</v>
      </c>
      <c r="K261" s="8">
        <v>0.1343</v>
      </c>
      <c r="L261" s="7">
        <v>0</v>
      </c>
      <c r="M261" s="7">
        <v>16</v>
      </c>
      <c r="N261" s="7">
        <v>16</v>
      </c>
    </row>
    <row r="262" spans="1:14" x14ac:dyDescent="0.3">
      <c r="A262" s="7">
        <v>261</v>
      </c>
      <c r="B262" s="1">
        <v>40555</v>
      </c>
      <c r="C262" s="7">
        <v>1</v>
      </c>
      <c r="D262" s="7">
        <v>7</v>
      </c>
      <c r="E262" t="b">
        <v>0</v>
      </c>
      <c r="F262" s="7">
        <v>3</v>
      </c>
      <c r="G262" s="7">
        <v>1</v>
      </c>
      <c r="H262" s="6">
        <v>0.14000000000000001</v>
      </c>
      <c r="I262" s="8">
        <v>0.1515</v>
      </c>
      <c r="J262" s="6">
        <v>0.69</v>
      </c>
      <c r="K262" s="8">
        <v>0.1343</v>
      </c>
      <c r="L262" s="7">
        <v>0</v>
      </c>
      <c r="M262" s="7">
        <v>54</v>
      </c>
      <c r="N262" s="7">
        <v>54</v>
      </c>
    </row>
    <row r="263" spans="1:14" x14ac:dyDescent="0.3">
      <c r="A263" s="7">
        <v>262</v>
      </c>
      <c r="B263" s="1">
        <v>40555</v>
      </c>
      <c r="C263" s="7">
        <v>1</v>
      </c>
      <c r="D263" s="7">
        <v>8</v>
      </c>
      <c r="E263" t="b">
        <v>0</v>
      </c>
      <c r="F263" s="7">
        <v>3</v>
      </c>
      <c r="G263" s="7">
        <v>1</v>
      </c>
      <c r="H263" s="6">
        <v>0.16</v>
      </c>
      <c r="I263" s="8">
        <v>0.16669999999999999</v>
      </c>
      <c r="J263" s="6">
        <v>0.59</v>
      </c>
      <c r="K263" s="8">
        <v>0.16420000000000001</v>
      </c>
      <c r="L263" s="7">
        <v>3</v>
      </c>
      <c r="M263" s="7">
        <v>125</v>
      </c>
      <c r="N263" s="7">
        <v>128</v>
      </c>
    </row>
    <row r="264" spans="1:14" x14ac:dyDescent="0.3">
      <c r="A264" s="7">
        <v>263</v>
      </c>
      <c r="B264" s="1">
        <v>40555</v>
      </c>
      <c r="C264" s="7">
        <v>1</v>
      </c>
      <c r="D264" s="7">
        <v>9</v>
      </c>
      <c r="E264" t="b">
        <v>0</v>
      </c>
      <c r="F264" s="7">
        <v>3</v>
      </c>
      <c r="G264" s="7">
        <v>1</v>
      </c>
      <c r="H264" s="6">
        <v>0.16</v>
      </c>
      <c r="I264" s="8">
        <v>0.13639999999999999</v>
      </c>
      <c r="J264" s="6">
        <v>0.59</v>
      </c>
      <c r="K264" s="8">
        <v>0.32840000000000003</v>
      </c>
      <c r="L264" s="7">
        <v>3</v>
      </c>
      <c r="M264" s="7">
        <v>78</v>
      </c>
      <c r="N264" s="7">
        <v>81</v>
      </c>
    </row>
    <row r="265" spans="1:14" x14ac:dyDescent="0.3">
      <c r="A265" s="7">
        <v>264</v>
      </c>
      <c r="B265" s="1">
        <v>40555</v>
      </c>
      <c r="C265" s="7">
        <v>1</v>
      </c>
      <c r="D265" s="7">
        <v>10</v>
      </c>
      <c r="E265" t="b">
        <v>0</v>
      </c>
      <c r="F265" s="7">
        <v>3</v>
      </c>
      <c r="G265" s="7">
        <v>1</v>
      </c>
      <c r="H265" s="6">
        <v>0.18</v>
      </c>
      <c r="I265" s="8">
        <v>0.18179999999999999</v>
      </c>
      <c r="J265" s="6">
        <v>0.55000000000000004</v>
      </c>
      <c r="K265" s="8">
        <v>0.22389999999999999</v>
      </c>
      <c r="L265" s="7">
        <v>0</v>
      </c>
      <c r="M265" s="7">
        <v>39</v>
      </c>
      <c r="N265" s="7">
        <v>39</v>
      </c>
    </row>
    <row r="266" spans="1:14" x14ac:dyDescent="0.3">
      <c r="A266" s="7">
        <v>265</v>
      </c>
      <c r="B266" s="1">
        <v>40555</v>
      </c>
      <c r="C266" s="7">
        <v>1</v>
      </c>
      <c r="D266" s="7">
        <v>11</v>
      </c>
      <c r="E266" t="b">
        <v>0</v>
      </c>
      <c r="F266" s="7">
        <v>3</v>
      </c>
      <c r="G266" s="7">
        <v>1</v>
      </c>
      <c r="H266" s="6">
        <v>0.2</v>
      </c>
      <c r="I266" s="8">
        <v>0.18179999999999999</v>
      </c>
      <c r="J266" s="6">
        <v>0.51</v>
      </c>
      <c r="K266" s="8">
        <v>0.3881</v>
      </c>
      <c r="L266" s="7">
        <v>3</v>
      </c>
      <c r="M266" s="7">
        <v>32</v>
      </c>
      <c r="N266" s="7">
        <v>35</v>
      </c>
    </row>
    <row r="267" spans="1:14" x14ac:dyDescent="0.3">
      <c r="A267" s="7">
        <v>266</v>
      </c>
      <c r="B267" s="1">
        <v>40555</v>
      </c>
      <c r="C267" s="7">
        <v>1</v>
      </c>
      <c r="D267" s="7">
        <v>12</v>
      </c>
      <c r="E267" t="b">
        <v>0</v>
      </c>
      <c r="F267" s="7">
        <v>3</v>
      </c>
      <c r="G267" s="7">
        <v>1</v>
      </c>
      <c r="H267" s="6">
        <v>0.2</v>
      </c>
      <c r="I267" s="8">
        <v>0.1515</v>
      </c>
      <c r="J267" s="6">
        <v>0.47</v>
      </c>
      <c r="K267" s="8">
        <v>0.58209999999999995</v>
      </c>
      <c r="L267" s="7">
        <v>3</v>
      </c>
      <c r="M267" s="7">
        <v>52</v>
      </c>
      <c r="N267" s="7">
        <v>55</v>
      </c>
    </row>
    <row r="268" spans="1:14" x14ac:dyDescent="0.3">
      <c r="A268" s="7">
        <v>267</v>
      </c>
      <c r="B268" s="1">
        <v>40555</v>
      </c>
      <c r="C268" s="7">
        <v>1</v>
      </c>
      <c r="D268" s="7">
        <v>13</v>
      </c>
      <c r="E268" t="b">
        <v>0</v>
      </c>
      <c r="F268" s="7">
        <v>3</v>
      </c>
      <c r="G268" s="7">
        <v>1</v>
      </c>
      <c r="H268" s="6">
        <v>0.22</v>
      </c>
      <c r="I268" s="8">
        <v>0.19700000000000001</v>
      </c>
      <c r="J268" s="6">
        <v>0.44</v>
      </c>
      <c r="K268" s="8">
        <v>0.35820000000000002</v>
      </c>
      <c r="L268" s="7">
        <v>0</v>
      </c>
      <c r="M268" s="7">
        <v>49</v>
      </c>
      <c r="N268" s="7">
        <v>49</v>
      </c>
    </row>
    <row r="269" spans="1:14" x14ac:dyDescent="0.3">
      <c r="A269" s="7">
        <v>268</v>
      </c>
      <c r="B269" s="1">
        <v>40555</v>
      </c>
      <c r="C269" s="7">
        <v>1</v>
      </c>
      <c r="D269" s="7">
        <v>14</v>
      </c>
      <c r="E269" t="b">
        <v>0</v>
      </c>
      <c r="F269" s="7">
        <v>3</v>
      </c>
      <c r="G269" s="7">
        <v>1</v>
      </c>
      <c r="H269" s="6">
        <v>0.2</v>
      </c>
      <c r="I269" s="8">
        <v>0.18179999999999999</v>
      </c>
      <c r="J269" s="6">
        <v>0.47</v>
      </c>
      <c r="K269" s="8">
        <v>0.32840000000000003</v>
      </c>
      <c r="L269" s="7">
        <v>0</v>
      </c>
      <c r="M269" s="7">
        <v>44</v>
      </c>
      <c r="N269" s="7">
        <v>44</v>
      </c>
    </row>
    <row r="270" spans="1:14" x14ac:dyDescent="0.3">
      <c r="A270" s="7">
        <v>269</v>
      </c>
      <c r="B270" s="1">
        <v>40555</v>
      </c>
      <c r="C270" s="7">
        <v>1</v>
      </c>
      <c r="D270" s="7">
        <v>15</v>
      </c>
      <c r="E270" t="b">
        <v>0</v>
      </c>
      <c r="F270" s="7">
        <v>3</v>
      </c>
      <c r="G270" s="7">
        <v>1</v>
      </c>
      <c r="H270" s="6">
        <v>0.2</v>
      </c>
      <c r="I270" s="8">
        <v>0.16669999999999999</v>
      </c>
      <c r="J270" s="6">
        <v>0.47</v>
      </c>
      <c r="K270" s="8">
        <v>0.41789999999999999</v>
      </c>
      <c r="L270" s="7">
        <v>1</v>
      </c>
      <c r="M270" s="7">
        <v>48</v>
      </c>
      <c r="N270" s="7">
        <v>49</v>
      </c>
    </row>
    <row r="271" spans="1:14" x14ac:dyDescent="0.3">
      <c r="A271" s="7">
        <v>270</v>
      </c>
      <c r="B271" s="1">
        <v>40555</v>
      </c>
      <c r="C271" s="7">
        <v>1</v>
      </c>
      <c r="D271" s="7">
        <v>16</v>
      </c>
      <c r="E271" t="b">
        <v>0</v>
      </c>
      <c r="F271" s="7">
        <v>3</v>
      </c>
      <c r="G271" s="7">
        <v>1</v>
      </c>
      <c r="H271" s="6">
        <v>0.22</v>
      </c>
      <c r="I271" s="8">
        <v>0.19700000000000001</v>
      </c>
      <c r="J271" s="6">
        <v>0.44</v>
      </c>
      <c r="K271" s="8">
        <v>0.32840000000000003</v>
      </c>
      <c r="L271" s="7">
        <v>5</v>
      </c>
      <c r="M271" s="7">
        <v>63</v>
      </c>
      <c r="N271" s="7">
        <v>68</v>
      </c>
    </row>
    <row r="272" spans="1:14" x14ac:dyDescent="0.3">
      <c r="A272" s="7">
        <v>271</v>
      </c>
      <c r="B272" s="1">
        <v>40555</v>
      </c>
      <c r="C272" s="7">
        <v>1</v>
      </c>
      <c r="D272" s="7">
        <v>17</v>
      </c>
      <c r="E272" t="b">
        <v>0</v>
      </c>
      <c r="F272" s="7">
        <v>3</v>
      </c>
      <c r="G272" s="7">
        <v>1</v>
      </c>
      <c r="H272" s="6">
        <v>0.2</v>
      </c>
      <c r="I272" s="8">
        <v>0.18179999999999999</v>
      </c>
      <c r="J272" s="6">
        <v>0.47</v>
      </c>
      <c r="K272" s="8">
        <v>0.35820000000000002</v>
      </c>
      <c r="L272" s="7">
        <v>0</v>
      </c>
      <c r="M272" s="7">
        <v>139</v>
      </c>
      <c r="N272" s="7">
        <v>139</v>
      </c>
    </row>
    <row r="273" spans="1:14" x14ac:dyDescent="0.3">
      <c r="A273" s="7">
        <v>272</v>
      </c>
      <c r="B273" s="1">
        <v>40555</v>
      </c>
      <c r="C273" s="7">
        <v>1</v>
      </c>
      <c r="D273" s="7">
        <v>18</v>
      </c>
      <c r="E273" t="b">
        <v>0</v>
      </c>
      <c r="F273" s="7">
        <v>3</v>
      </c>
      <c r="G273" s="7">
        <v>1</v>
      </c>
      <c r="H273" s="6">
        <v>0.2</v>
      </c>
      <c r="I273" s="8">
        <v>0.1515</v>
      </c>
      <c r="J273" s="6">
        <v>0.47</v>
      </c>
      <c r="K273" s="8">
        <v>0.52239999999999998</v>
      </c>
      <c r="L273" s="7">
        <v>2</v>
      </c>
      <c r="M273" s="7">
        <v>135</v>
      </c>
      <c r="N273" s="7">
        <v>137</v>
      </c>
    </row>
    <row r="274" spans="1:14" x14ac:dyDescent="0.3">
      <c r="A274" s="7">
        <v>273</v>
      </c>
      <c r="B274" s="1">
        <v>40555</v>
      </c>
      <c r="C274" s="7">
        <v>1</v>
      </c>
      <c r="D274" s="7">
        <v>19</v>
      </c>
      <c r="E274" t="b">
        <v>0</v>
      </c>
      <c r="F274" s="7">
        <v>3</v>
      </c>
      <c r="G274" s="7">
        <v>1</v>
      </c>
      <c r="H274" s="6">
        <v>0.18</v>
      </c>
      <c r="I274" s="8">
        <v>0.1515</v>
      </c>
      <c r="J274" s="6">
        <v>0.47</v>
      </c>
      <c r="K274" s="8">
        <v>0.41789999999999999</v>
      </c>
      <c r="L274" s="7">
        <v>1</v>
      </c>
      <c r="M274" s="7">
        <v>82</v>
      </c>
      <c r="N274" s="7">
        <v>83</v>
      </c>
    </row>
    <row r="275" spans="1:14" x14ac:dyDescent="0.3">
      <c r="A275" s="7">
        <v>274</v>
      </c>
      <c r="B275" s="1">
        <v>40555</v>
      </c>
      <c r="C275" s="7">
        <v>1</v>
      </c>
      <c r="D275" s="7">
        <v>20</v>
      </c>
      <c r="E275" t="b">
        <v>0</v>
      </c>
      <c r="F275" s="7">
        <v>3</v>
      </c>
      <c r="G275" s="7">
        <v>1</v>
      </c>
      <c r="H275" s="6">
        <v>0.16</v>
      </c>
      <c r="I275" s="8">
        <v>0.13639999999999999</v>
      </c>
      <c r="J275" s="6">
        <v>0.5</v>
      </c>
      <c r="K275" s="8">
        <v>0.32840000000000003</v>
      </c>
      <c r="L275" s="7">
        <v>2</v>
      </c>
      <c r="M275" s="7">
        <v>54</v>
      </c>
      <c r="N275" s="7">
        <v>56</v>
      </c>
    </row>
    <row r="276" spans="1:14" x14ac:dyDescent="0.3">
      <c r="A276" s="7">
        <v>275</v>
      </c>
      <c r="B276" s="1">
        <v>40555</v>
      </c>
      <c r="C276" s="7">
        <v>1</v>
      </c>
      <c r="D276" s="7">
        <v>21</v>
      </c>
      <c r="E276" t="b">
        <v>0</v>
      </c>
      <c r="F276" s="7">
        <v>3</v>
      </c>
      <c r="G276" s="7">
        <v>1</v>
      </c>
      <c r="H276" s="6">
        <v>0.16</v>
      </c>
      <c r="I276" s="8">
        <v>0.13639999999999999</v>
      </c>
      <c r="J276" s="6">
        <v>0.55000000000000004</v>
      </c>
      <c r="K276" s="8">
        <v>0.32840000000000003</v>
      </c>
      <c r="L276" s="7">
        <v>0</v>
      </c>
      <c r="M276" s="7">
        <v>57</v>
      </c>
      <c r="N276" s="7">
        <v>57</v>
      </c>
    </row>
    <row r="277" spans="1:14" x14ac:dyDescent="0.3">
      <c r="A277" s="7">
        <v>276</v>
      </c>
      <c r="B277" s="1">
        <v>40555</v>
      </c>
      <c r="C277" s="7">
        <v>1</v>
      </c>
      <c r="D277" s="7">
        <v>22</v>
      </c>
      <c r="E277" t="b">
        <v>0</v>
      </c>
      <c r="F277" s="7">
        <v>3</v>
      </c>
      <c r="G277" s="7">
        <v>1</v>
      </c>
      <c r="H277" s="6">
        <v>0.16</v>
      </c>
      <c r="I277" s="8">
        <v>0.1212</v>
      </c>
      <c r="J277" s="6">
        <v>0.55000000000000004</v>
      </c>
      <c r="K277" s="8">
        <v>0.44779999999999998</v>
      </c>
      <c r="L277" s="7">
        <v>1</v>
      </c>
      <c r="M277" s="7">
        <v>32</v>
      </c>
      <c r="N277" s="7">
        <v>33</v>
      </c>
    </row>
    <row r="278" spans="1:14" x14ac:dyDescent="0.3">
      <c r="A278" s="7">
        <v>277</v>
      </c>
      <c r="B278" s="1">
        <v>40555</v>
      </c>
      <c r="C278" s="7">
        <v>1</v>
      </c>
      <c r="D278" s="7">
        <v>23</v>
      </c>
      <c r="E278" t="b">
        <v>0</v>
      </c>
      <c r="F278" s="7">
        <v>3</v>
      </c>
      <c r="G278" s="7">
        <v>1</v>
      </c>
      <c r="H278" s="6">
        <v>0.14000000000000001</v>
      </c>
      <c r="I278" s="8">
        <v>0.1061</v>
      </c>
      <c r="J278" s="6">
        <v>0.59</v>
      </c>
      <c r="K278" s="8">
        <v>0.41789999999999999</v>
      </c>
      <c r="L278" s="7">
        <v>1</v>
      </c>
      <c r="M278" s="7">
        <v>19</v>
      </c>
      <c r="N278" s="7">
        <v>20</v>
      </c>
    </row>
    <row r="279" spans="1:14" x14ac:dyDescent="0.3">
      <c r="A279" s="7">
        <v>278</v>
      </c>
      <c r="B279" s="1">
        <v>40556</v>
      </c>
      <c r="C279" s="7">
        <v>1</v>
      </c>
      <c r="D279" s="7">
        <v>0</v>
      </c>
      <c r="E279" t="b">
        <v>0</v>
      </c>
      <c r="F279" s="7">
        <v>4</v>
      </c>
      <c r="G279" s="7">
        <v>1</v>
      </c>
      <c r="H279" s="6">
        <v>0.14000000000000001</v>
      </c>
      <c r="I279" s="8">
        <v>0.1212</v>
      </c>
      <c r="J279" s="6">
        <v>0.59</v>
      </c>
      <c r="K279" s="8">
        <v>0.28360000000000002</v>
      </c>
      <c r="L279" s="7">
        <v>1</v>
      </c>
      <c r="M279" s="7">
        <v>6</v>
      </c>
      <c r="N279" s="7">
        <v>7</v>
      </c>
    </row>
    <row r="280" spans="1:14" x14ac:dyDescent="0.3">
      <c r="A280" s="7">
        <v>279</v>
      </c>
      <c r="B280" s="1">
        <v>40556</v>
      </c>
      <c r="C280" s="7">
        <v>1</v>
      </c>
      <c r="D280" s="7">
        <v>1</v>
      </c>
      <c r="E280" t="b">
        <v>0</v>
      </c>
      <c r="F280" s="7">
        <v>4</v>
      </c>
      <c r="G280" s="7">
        <v>1</v>
      </c>
      <c r="H280" s="6">
        <v>0.14000000000000001</v>
      </c>
      <c r="I280" s="8">
        <v>0.1212</v>
      </c>
      <c r="J280" s="6">
        <v>0.5</v>
      </c>
      <c r="K280" s="8">
        <v>0.28360000000000002</v>
      </c>
      <c r="L280" s="7">
        <v>0</v>
      </c>
      <c r="M280" s="7">
        <v>2</v>
      </c>
      <c r="N280" s="7">
        <v>2</v>
      </c>
    </row>
    <row r="281" spans="1:14" x14ac:dyDescent="0.3">
      <c r="A281" s="7">
        <v>280</v>
      </c>
      <c r="B281" s="1">
        <v>40556</v>
      </c>
      <c r="C281" s="7">
        <v>1</v>
      </c>
      <c r="D281" s="7">
        <v>2</v>
      </c>
      <c r="E281" t="b">
        <v>0</v>
      </c>
      <c r="F281" s="7">
        <v>4</v>
      </c>
      <c r="G281" s="7">
        <v>1</v>
      </c>
      <c r="H281" s="6">
        <v>0.14000000000000001</v>
      </c>
      <c r="I281" s="8">
        <v>0.1212</v>
      </c>
      <c r="J281" s="6">
        <v>0.5</v>
      </c>
      <c r="K281" s="8">
        <v>0.35820000000000002</v>
      </c>
      <c r="L281" s="7">
        <v>0</v>
      </c>
      <c r="M281" s="7">
        <v>2</v>
      </c>
      <c r="N281" s="7">
        <v>2</v>
      </c>
    </row>
    <row r="282" spans="1:14" x14ac:dyDescent="0.3">
      <c r="A282" s="7">
        <v>281</v>
      </c>
      <c r="B282" s="1">
        <v>40556</v>
      </c>
      <c r="C282" s="7">
        <v>1</v>
      </c>
      <c r="D282" s="7">
        <v>3</v>
      </c>
      <c r="E282" t="b">
        <v>0</v>
      </c>
      <c r="F282" s="7">
        <v>4</v>
      </c>
      <c r="G282" s="7">
        <v>1</v>
      </c>
      <c r="H282" s="6">
        <v>0.14000000000000001</v>
      </c>
      <c r="I282" s="8">
        <v>0.1212</v>
      </c>
      <c r="J282" s="6">
        <v>0.5</v>
      </c>
      <c r="K282" s="8">
        <v>0.32840000000000003</v>
      </c>
      <c r="L282" s="7">
        <v>0</v>
      </c>
      <c r="M282" s="7">
        <v>3</v>
      </c>
      <c r="N282" s="7">
        <v>3</v>
      </c>
    </row>
    <row r="283" spans="1:14" x14ac:dyDescent="0.3">
      <c r="A283" s="7">
        <v>282</v>
      </c>
      <c r="B283" s="1">
        <v>40556</v>
      </c>
      <c r="C283" s="7">
        <v>1</v>
      </c>
      <c r="D283" s="7">
        <v>4</v>
      </c>
      <c r="E283" t="b">
        <v>0</v>
      </c>
      <c r="F283" s="7">
        <v>4</v>
      </c>
      <c r="G283" s="7">
        <v>1</v>
      </c>
      <c r="H283" s="6">
        <v>0.14000000000000001</v>
      </c>
      <c r="I283" s="8">
        <v>0.1212</v>
      </c>
      <c r="J283" s="6">
        <v>0.5</v>
      </c>
      <c r="K283" s="8">
        <v>0.25369999999999998</v>
      </c>
      <c r="L283" s="7">
        <v>0</v>
      </c>
      <c r="M283" s="7">
        <v>4</v>
      </c>
      <c r="N283" s="7">
        <v>4</v>
      </c>
    </row>
    <row r="284" spans="1:14" x14ac:dyDescent="0.3">
      <c r="A284" s="7">
        <v>283</v>
      </c>
      <c r="B284" s="1">
        <v>40556</v>
      </c>
      <c r="C284" s="7">
        <v>1</v>
      </c>
      <c r="D284" s="7">
        <v>5</v>
      </c>
      <c r="E284" t="b">
        <v>0</v>
      </c>
      <c r="F284" s="7">
        <v>4</v>
      </c>
      <c r="G284" s="7">
        <v>1</v>
      </c>
      <c r="H284" s="6">
        <v>0.14000000000000001</v>
      </c>
      <c r="I284" s="8">
        <v>0.1212</v>
      </c>
      <c r="J284" s="6">
        <v>0.5</v>
      </c>
      <c r="K284" s="8">
        <v>0.29849999999999999</v>
      </c>
      <c r="L284" s="7">
        <v>0</v>
      </c>
      <c r="M284" s="7">
        <v>3</v>
      </c>
      <c r="N284" s="7">
        <v>3</v>
      </c>
    </row>
    <row r="285" spans="1:14" x14ac:dyDescent="0.3">
      <c r="A285" s="7">
        <v>284</v>
      </c>
      <c r="B285" s="1">
        <v>40556</v>
      </c>
      <c r="C285" s="7">
        <v>1</v>
      </c>
      <c r="D285" s="7">
        <v>6</v>
      </c>
      <c r="E285" t="b">
        <v>0</v>
      </c>
      <c r="F285" s="7">
        <v>4</v>
      </c>
      <c r="G285" s="7">
        <v>1</v>
      </c>
      <c r="H285" s="6">
        <v>0.12</v>
      </c>
      <c r="I285" s="8">
        <v>0.1515</v>
      </c>
      <c r="J285" s="6">
        <v>0.54</v>
      </c>
      <c r="K285" s="8">
        <v>0.1343</v>
      </c>
      <c r="L285" s="7">
        <v>0</v>
      </c>
      <c r="M285" s="7">
        <v>28</v>
      </c>
      <c r="N285" s="7">
        <v>28</v>
      </c>
    </row>
    <row r="286" spans="1:14" x14ac:dyDescent="0.3">
      <c r="A286" s="7">
        <v>285</v>
      </c>
      <c r="B286" s="1">
        <v>40556</v>
      </c>
      <c r="C286" s="7">
        <v>1</v>
      </c>
      <c r="D286" s="7">
        <v>7</v>
      </c>
      <c r="E286" t="b">
        <v>0</v>
      </c>
      <c r="F286" s="7">
        <v>4</v>
      </c>
      <c r="G286" s="7">
        <v>1</v>
      </c>
      <c r="H286" s="6">
        <v>0.12</v>
      </c>
      <c r="I286" s="8">
        <v>0.1515</v>
      </c>
      <c r="J286" s="6">
        <v>0.54</v>
      </c>
      <c r="K286" s="8">
        <v>0.1343</v>
      </c>
      <c r="L286" s="7">
        <v>0</v>
      </c>
      <c r="M286" s="7">
        <v>72</v>
      </c>
      <c r="N286" s="7">
        <v>72</v>
      </c>
    </row>
    <row r="287" spans="1:14" x14ac:dyDescent="0.3">
      <c r="A287" s="7">
        <v>286</v>
      </c>
      <c r="B287" s="1">
        <v>40556</v>
      </c>
      <c r="C287" s="7">
        <v>1</v>
      </c>
      <c r="D287" s="7">
        <v>8</v>
      </c>
      <c r="E287" t="b">
        <v>0</v>
      </c>
      <c r="F287" s="7">
        <v>4</v>
      </c>
      <c r="G287" s="7">
        <v>1</v>
      </c>
      <c r="H287" s="6">
        <v>0.14000000000000001</v>
      </c>
      <c r="I287" s="8">
        <v>0.13639999999999999</v>
      </c>
      <c r="J287" s="6">
        <v>0.5</v>
      </c>
      <c r="K287" s="8">
        <v>0.19400000000000001</v>
      </c>
      <c r="L287" s="7">
        <v>5</v>
      </c>
      <c r="M287" s="7">
        <v>197</v>
      </c>
      <c r="N287" s="7">
        <v>202</v>
      </c>
    </row>
    <row r="288" spans="1:14" x14ac:dyDescent="0.3">
      <c r="A288" s="7">
        <v>287</v>
      </c>
      <c r="B288" s="1">
        <v>40556</v>
      </c>
      <c r="C288" s="7">
        <v>1</v>
      </c>
      <c r="D288" s="7">
        <v>9</v>
      </c>
      <c r="E288" t="b">
        <v>0</v>
      </c>
      <c r="F288" s="7">
        <v>4</v>
      </c>
      <c r="G288" s="7">
        <v>1</v>
      </c>
      <c r="H288" s="6">
        <v>0.14000000000000001</v>
      </c>
      <c r="I288" s="8">
        <v>0.1212</v>
      </c>
      <c r="J288" s="6">
        <v>0.5</v>
      </c>
      <c r="K288" s="8">
        <v>0.32840000000000003</v>
      </c>
      <c r="L288" s="7">
        <v>2</v>
      </c>
      <c r="M288" s="7">
        <v>137</v>
      </c>
      <c r="N288" s="7">
        <v>139</v>
      </c>
    </row>
    <row r="289" spans="1:14" x14ac:dyDescent="0.3">
      <c r="A289" s="7">
        <v>288</v>
      </c>
      <c r="B289" s="1">
        <v>40556</v>
      </c>
      <c r="C289" s="7">
        <v>1</v>
      </c>
      <c r="D289" s="7">
        <v>10</v>
      </c>
      <c r="E289" t="b">
        <v>0</v>
      </c>
      <c r="F289" s="7">
        <v>4</v>
      </c>
      <c r="G289" s="7">
        <v>2</v>
      </c>
      <c r="H289" s="6">
        <v>0.16</v>
      </c>
      <c r="I289" s="8">
        <v>0.13639999999999999</v>
      </c>
      <c r="J289" s="6">
        <v>0.5</v>
      </c>
      <c r="K289" s="8">
        <v>0.35820000000000002</v>
      </c>
      <c r="L289" s="7">
        <v>2</v>
      </c>
      <c r="M289" s="7">
        <v>36</v>
      </c>
      <c r="N289" s="7">
        <v>38</v>
      </c>
    </row>
    <row r="290" spans="1:14" x14ac:dyDescent="0.3">
      <c r="A290" s="7">
        <v>289</v>
      </c>
      <c r="B290" s="1">
        <v>40556</v>
      </c>
      <c r="C290" s="7">
        <v>1</v>
      </c>
      <c r="D290" s="7">
        <v>11</v>
      </c>
      <c r="E290" t="b">
        <v>0</v>
      </c>
      <c r="F290" s="7">
        <v>4</v>
      </c>
      <c r="G290" s="7">
        <v>2</v>
      </c>
      <c r="H290" s="6">
        <v>0.2</v>
      </c>
      <c r="I290" s="8">
        <v>0.16669999999999999</v>
      </c>
      <c r="J290" s="6">
        <v>0.44</v>
      </c>
      <c r="K290" s="8">
        <v>0.44779999999999998</v>
      </c>
      <c r="L290" s="7">
        <v>4</v>
      </c>
      <c r="M290" s="7">
        <v>33</v>
      </c>
      <c r="N290" s="7">
        <v>37</v>
      </c>
    </row>
    <row r="291" spans="1:14" x14ac:dyDescent="0.3">
      <c r="A291" s="7">
        <v>290</v>
      </c>
      <c r="B291" s="1">
        <v>40556</v>
      </c>
      <c r="C291" s="7">
        <v>1</v>
      </c>
      <c r="D291" s="7">
        <v>12</v>
      </c>
      <c r="E291" t="b">
        <v>0</v>
      </c>
      <c r="F291" s="7">
        <v>4</v>
      </c>
      <c r="G291" s="7">
        <v>1</v>
      </c>
      <c r="H291" s="6">
        <v>0.2</v>
      </c>
      <c r="I291" s="8">
        <v>0.16669999999999999</v>
      </c>
      <c r="J291" s="6">
        <v>0.44</v>
      </c>
      <c r="K291" s="8">
        <v>0.41789999999999999</v>
      </c>
      <c r="L291" s="7">
        <v>3</v>
      </c>
      <c r="M291" s="7">
        <v>49</v>
      </c>
      <c r="N291" s="7">
        <v>52</v>
      </c>
    </row>
    <row r="292" spans="1:14" x14ac:dyDescent="0.3">
      <c r="A292" s="7">
        <v>291</v>
      </c>
      <c r="B292" s="1">
        <v>40556</v>
      </c>
      <c r="C292" s="7">
        <v>1</v>
      </c>
      <c r="D292" s="7">
        <v>13</v>
      </c>
      <c r="E292" t="b">
        <v>0</v>
      </c>
      <c r="F292" s="7">
        <v>4</v>
      </c>
      <c r="G292" s="7">
        <v>1</v>
      </c>
      <c r="H292" s="6">
        <v>0.22</v>
      </c>
      <c r="I292" s="8">
        <v>0.19700000000000001</v>
      </c>
      <c r="J292" s="6">
        <v>0.41</v>
      </c>
      <c r="K292" s="8">
        <v>0.44779999999999998</v>
      </c>
      <c r="L292" s="7">
        <v>2</v>
      </c>
      <c r="M292" s="7">
        <v>81</v>
      </c>
      <c r="N292" s="7">
        <v>83</v>
      </c>
    </row>
    <row r="293" spans="1:14" x14ac:dyDescent="0.3">
      <c r="A293" s="7">
        <v>292</v>
      </c>
      <c r="B293" s="1">
        <v>40556</v>
      </c>
      <c r="C293" s="7">
        <v>1</v>
      </c>
      <c r="D293" s="7">
        <v>14</v>
      </c>
      <c r="E293" t="b">
        <v>0</v>
      </c>
      <c r="F293" s="7">
        <v>4</v>
      </c>
      <c r="G293" s="7">
        <v>1</v>
      </c>
      <c r="H293" s="6">
        <v>0.22</v>
      </c>
      <c r="I293" s="8">
        <v>0.19700000000000001</v>
      </c>
      <c r="J293" s="6">
        <v>0.41</v>
      </c>
      <c r="K293" s="8">
        <v>0.3881</v>
      </c>
      <c r="L293" s="7">
        <v>3</v>
      </c>
      <c r="M293" s="7">
        <v>39</v>
      </c>
      <c r="N293" s="7">
        <v>42</v>
      </c>
    </row>
    <row r="294" spans="1:14" x14ac:dyDescent="0.3">
      <c r="A294" s="7">
        <v>293</v>
      </c>
      <c r="B294" s="1">
        <v>40556</v>
      </c>
      <c r="C294" s="7">
        <v>1</v>
      </c>
      <c r="D294" s="7">
        <v>15</v>
      </c>
      <c r="E294" t="b">
        <v>0</v>
      </c>
      <c r="F294" s="7">
        <v>4</v>
      </c>
      <c r="G294" s="7">
        <v>1</v>
      </c>
      <c r="H294" s="6">
        <v>0.24</v>
      </c>
      <c r="I294" s="8">
        <v>0.21210000000000001</v>
      </c>
      <c r="J294" s="6">
        <v>0.38</v>
      </c>
      <c r="K294" s="8">
        <v>0.29849999999999999</v>
      </c>
      <c r="L294" s="7">
        <v>5</v>
      </c>
      <c r="M294" s="7">
        <v>55</v>
      </c>
      <c r="N294" s="7">
        <v>60</v>
      </c>
    </row>
    <row r="295" spans="1:14" x14ac:dyDescent="0.3">
      <c r="A295" s="7">
        <v>294</v>
      </c>
      <c r="B295" s="1">
        <v>40556</v>
      </c>
      <c r="C295" s="7">
        <v>1</v>
      </c>
      <c r="D295" s="7">
        <v>16</v>
      </c>
      <c r="E295" t="b">
        <v>0</v>
      </c>
      <c r="F295" s="7">
        <v>4</v>
      </c>
      <c r="G295" s="7">
        <v>1</v>
      </c>
      <c r="H295" s="6">
        <v>0.24</v>
      </c>
      <c r="I295" s="8">
        <v>0.21210000000000001</v>
      </c>
      <c r="J295" s="6">
        <v>0.38</v>
      </c>
      <c r="K295" s="8">
        <v>0.35820000000000002</v>
      </c>
      <c r="L295" s="7">
        <v>2</v>
      </c>
      <c r="M295" s="7">
        <v>76</v>
      </c>
      <c r="N295" s="7">
        <v>78</v>
      </c>
    </row>
    <row r="296" spans="1:14" x14ac:dyDescent="0.3">
      <c r="A296" s="7">
        <v>295</v>
      </c>
      <c r="B296" s="1">
        <v>40556</v>
      </c>
      <c r="C296" s="7">
        <v>1</v>
      </c>
      <c r="D296" s="7">
        <v>17</v>
      </c>
      <c r="E296" t="b">
        <v>0</v>
      </c>
      <c r="F296" s="7">
        <v>4</v>
      </c>
      <c r="G296" s="7">
        <v>1</v>
      </c>
      <c r="H296" s="6">
        <v>0.2</v>
      </c>
      <c r="I296" s="8">
        <v>0.18179999999999999</v>
      </c>
      <c r="J296" s="6">
        <v>0.4</v>
      </c>
      <c r="K296" s="8">
        <v>0.28360000000000002</v>
      </c>
      <c r="L296" s="7">
        <v>4</v>
      </c>
      <c r="M296" s="7">
        <v>158</v>
      </c>
      <c r="N296" s="7">
        <v>162</v>
      </c>
    </row>
    <row r="297" spans="1:14" x14ac:dyDescent="0.3">
      <c r="A297" s="7">
        <v>296</v>
      </c>
      <c r="B297" s="1">
        <v>40556</v>
      </c>
      <c r="C297" s="7">
        <v>1</v>
      </c>
      <c r="D297" s="7">
        <v>18</v>
      </c>
      <c r="E297" t="b">
        <v>0</v>
      </c>
      <c r="F297" s="7">
        <v>4</v>
      </c>
      <c r="G297" s="7">
        <v>1</v>
      </c>
      <c r="H297" s="6">
        <v>0.2</v>
      </c>
      <c r="I297" s="8">
        <v>0.18179999999999999</v>
      </c>
      <c r="J297" s="6">
        <v>0.4</v>
      </c>
      <c r="K297" s="8">
        <v>0.32840000000000003</v>
      </c>
      <c r="L297" s="7">
        <v>3</v>
      </c>
      <c r="M297" s="7">
        <v>141</v>
      </c>
      <c r="N297" s="7">
        <v>144</v>
      </c>
    </row>
    <row r="298" spans="1:14" x14ac:dyDescent="0.3">
      <c r="A298" s="7">
        <v>297</v>
      </c>
      <c r="B298" s="1">
        <v>40556</v>
      </c>
      <c r="C298" s="7">
        <v>1</v>
      </c>
      <c r="D298" s="7">
        <v>19</v>
      </c>
      <c r="E298" t="b">
        <v>0</v>
      </c>
      <c r="F298" s="7">
        <v>4</v>
      </c>
      <c r="G298" s="7">
        <v>1</v>
      </c>
      <c r="H298" s="6">
        <v>0.16</v>
      </c>
      <c r="I298" s="8">
        <v>0.1515</v>
      </c>
      <c r="J298" s="6">
        <v>0.47</v>
      </c>
      <c r="K298" s="8">
        <v>0.25369999999999998</v>
      </c>
      <c r="L298" s="7">
        <v>1</v>
      </c>
      <c r="M298" s="7">
        <v>98</v>
      </c>
      <c r="N298" s="7">
        <v>99</v>
      </c>
    </row>
    <row r="299" spans="1:14" x14ac:dyDescent="0.3">
      <c r="A299" s="7">
        <v>298</v>
      </c>
      <c r="B299" s="1">
        <v>40556</v>
      </c>
      <c r="C299" s="7">
        <v>1</v>
      </c>
      <c r="D299" s="7">
        <v>20</v>
      </c>
      <c r="E299" t="b">
        <v>0</v>
      </c>
      <c r="F299" s="7">
        <v>4</v>
      </c>
      <c r="G299" s="7">
        <v>1</v>
      </c>
      <c r="H299" s="6">
        <v>0.16</v>
      </c>
      <c r="I299" s="8">
        <v>0.1515</v>
      </c>
      <c r="J299" s="6">
        <v>0.47</v>
      </c>
      <c r="K299" s="8">
        <v>0.22389999999999999</v>
      </c>
      <c r="L299" s="7">
        <v>0</v>
      </c>
      <c r="M299" s="7">
        <v>64</v>
      </c>
      <c r="N299" s="7">
        <v>64</v>
      </c>
    </row>
    <row r="300" spans="1:14" x14ac:dyDescent="0.3">
      <c r="A300" s="7">
        <v>299</v>
      </c>
      <c r="B300" s="1">
        <v>40556</v>
      </c>
      <c r="C300" s="7">
        <v>1</v>
      </c>
      <c r="D300" s="7">
        <v>21</v>
      </c>
      <c r="E300" t="b">
        <v>0</v>
      </c>
      <c r="F300" s="7">
        <v>4</v>
      </c>
      <c r="G300" s="7">
        <v>1</v>
      </c>
      <c r="H300" s="6">
        <v>0.14000000000000001</v>
      </c>
      <c r="I300" s="8">
        <v>0.1212</v>
      </c>
      <c r="J300" s="6">
        <v>0.46</v>
      </c>
      <c r="K300" s="8">
        <v>0.29849999999999999</v>
      </c>
      <c r="L300" s="7">
        <v>0</v>
      </c>
      <c r="M300" s="7">
        <v>40</v>
      </c>
      <c r="N300" s="7">
        <v>40</v>
      </c>
    </row>
    <row r="301" spans="1:14" x14ac:dyDescent="0.3">
      <c r="A301" s="7">
        <v>300</v>
      </c>
      <c r="B301" s="1">
        <v>40556</v>
      </c>
      <c r="C301" s="7">
        <v>1</v>
      </c>
      <c r="D301" s="7">
        <v>22</v>
      </c>
      <c r="E301" t="b">
        <v>0</v>
      </c>
      <c r="F301" s="7">
        <v>4</v>
      </c>
      <c r="G301" s="7">
        <v>1</v>
      </c>
      <c r="H301" s="6">
        <v>0.14000000000000001</v>
      </c>
      <c r="I301" s="8">
        <v>0.1212</v>
      </c>
      <c r="J301" s="6">
        <v>0.46</v>
      </c>
      <c r="K301" s="8">
        <v>0.32840000000000003</v>
      </c>
      <c r="L301" s="7">
        <v>0</v>
      </c>
      <c r="M301" s="7">
        <v>30</v>
      </c>
      <c r="N301" s="7">
        <v>30</v>
      </c>
    </row>
    <row r="302" spans="1:14" x14ac:dyDescent="0.3">
      <c r="A302" s="7">
        <v>301</v>
      </c>
      <c r="B302" s="1">
        <v>40556</v>
      </c>
      <c r="C302" s="7">
        <v>1</v>
      </c>
      <c r="D302" s="7">
        <v>23</v>
      </c>
      <c r="E302" t="b">
        <v>0</v>
      </c>
      <c r="F302" s="7">
        <v>4</v>
      </c>
      <c r="G302" s="7">
        <v>1</v>
      </c>
      <c r="H302" s="6">
        <v>0.12</v>
      </c>
      <c r="I302" s="8">
        <v>0.13639999999999999</v>
      </c>
      <c r="J302" s="6">
        <v>0.5</v>
      </c>
      <c r="K302" s="8">
        <v>0.19400000000000001</v>
      </c>
      <c r="L302" s="7">
        <v>1</v>
      </c>
      <c r="M302" s="7">
        <v>14</v>
      </c>
      <c r="N302" s="7">
        <v>15</v>
      </c>
    </row>
    <row r="303" spans="1:14" x14ac:dyDescent="0.3">
      <c r="A303" s="7">
        <v>302</v>
      </c>
      <c r="B303" s="1">
        <v>40557</v>
      </c>
      <c r="C303" s="7">
        <v>1</v>
      </c>
      <c r="D303" s="7">
        <v>0</v>
      </c>
      <c r="E303" t="b">
        <v>0</v>
      </c>
      <c r="F303" s="7">
        <v>5</v>
      </c>
      <c r="G303" s="7">
        <v>1</v>
      </c>
      <c r="H303" s="6">
        <v>0.12</v>
      </c>
      <c r="I303" s="8">
        <v>0.13639999999999999</v>
      </c>
      <c r="J303" s="6">
        <v>0.5</v>
      </c>
      <c r="K303" s="8">
        <v>0.19400000000000001</v>
      </c>
      <c r="L303" s="7">
        <v>0</v>
      </c>
      <c r="M303" s="7">
        <v>14</v>
      </c>
      <c r="N303" s="7">
        <v>14</v>
      </c>
    </row>
    <row r="304" spans="1:14" x14ac:dyDescent="0.3">
      <c r="A304" s="7">
        <v>303</v>
      </c>
      <c r="B304" s="1">
        <v>40557</v>
      </c>
      <c r="C304" s="7">
        <v>1</v>
      </c>
      <c r="D304" s="7">
        <v>1</v>
      </c>
      <c r="E304" t="b">
        <v>0</v>
      </c>
      <c r="F304" s="7">
        <v>5</v>
      </c>
      <c r="G304" s="7">
        <v>1</v>
      </c>
      <c r="H304" s="6">
        <v>0.1</v>
      </c>
      <c r="I304" s="8">
        <v>0.1212</v>
      </c>
      <c r="J304" s="6">
        <v>0.54</v>
      </c>
      <c r="K304" s="8">
        <v>0.16420000000000001</v>
      </c>
      <c r="L304" s="7">
        <v>0</v>
      </c>
      <c r="M304" s="7">
        <v>5</v>
      </c>
      <c r="N304" s="7">
        <v>5</v>
      </c>
    </row>
    <row r="305" spans="1:14" x14ac:dyDescent="0.3">
      <c r="A305" s="7">
        <v>304</v>
      </c>
      <c r="B305" s="1">
        <v>40557</v>
      </c>
      <c r="C305" s="7">
        <v>1</v>
      </c>
      <c r="D305" s="7">
        <v>2</v>
      </c>
      <c r="E305" t="b">
        <v>0</v>
      </c>
      <c r="F305" s="7">
        <v>5</v>
      </c>
      <c r="G305" s="7">
        <v>1</v>
      </c>
      <c r="H305" s="6">
        <v>0.1</v>
      </c>
      <c r="I305" s="8">
        <v>0.1212</v>
      </c>
      <c r="J305" s="6">
        <v>0.54</v>
      </c>
      <c r="K305" s="8">
        <v>0.1343</v>
      </c>
      <c r="L305" s="7">
        <v>0</v>
      </c>
      <c r="M305" s="7">
        <v>1</v>
      </c>
      <c r="N305" s="7">
        <v>1</v>
      </c>
    </row>
    <row r="306" spans="1:14" x14ac:dyDescent="0.3">
      <c r="A306" s="7">
        <v>305</v>
      </c>
      <c r="B306" s="1">
        <v>40557</v>
      </c>
      <c r="C306" s="7">
        <v>1</v>
      </c>
      <c r="D306" s="7">
        <v>3</v>
      </c>
      <c r="E306" t="b">
        <v>0</v>
      </c>
      <c r="F306" s="7">
        <v>5</v>
      </c>
      <c r="G306" s="7">
        <v>1</v>
      </c>
      <c r="H306" s="6">
        <v>0.1</v>
      </c>
      <c r="I306" s="8">
        <v>0.13639999999999999</v>
      </c>
      <c r="J306" s="6">
        <v>0.54</v>
      </c>
      <c r="K306" s="8">
        <v>0.1045</v>
      </c>
      <c r="L306" s="7">
        <v>0</v>
      </c>
      <c r="M306" s="7">
        <v>1</v>
      </c>
      <c r="N306" s="7">
        <v>1</v>
      </c>
    </row>
    <row r="307" spans="1:14" x14ac:dyDescent="0.3">
      <c r="A307" s="7">
        <v>306</v>
      </c>
      <c r="B307" s="1">
        <v>40557</v>
      </c>
      <c r="C307" s="7">
        <v>1</v>
      </c>
      <c r="D307" s="7">
        <v>5</v>
      </c>
      <c r="E307" t="b">
        <v>0</v>
      </c>
      <c r="F307" s="7">
        <v>5</v>
      </c>
      <c r="G307" s="7">
        <v>1</v>
      </c>
      <c r="H307" s="6">
        <v>0.1</v>
      </c>
      <c r="I307" s="8">
        <v>0.13639999999999999</v>
      </c>
      <c r="J307" s="6">
        <v>0.54</v>
      </c>
      <c r="K307" s="8">
        <v>8.9599999999999999E-2</v>
      </c>
      <c r="L307" s="7">
        <v>0</v>
      </c>
      <c r="M307" s="7">
        <v>8</v>
      </c>
      <c r="N307" s="7">
        <v>8</v>
      </c>
    </row>
    <row r="308" spans="1:14" x14ac:dyDescent="0.3">
      <c r="A308" s="7">
        <v>307</v>
      </c>
      <c r="B308" s="1">
        <v>40557</v>
      </c>
      <c r="C308" s="7">
        <v>1</v>
      </c>
      <c r="D308" s="7">
        <v>6</v>
      </c>
      <c r="E308" t="b">
        <v>0</v>
      </c>
      <c r="F308" s="7">
        <v>5</v>
      </c>
      <c r="G308" s="7">
        <v>1</v>
      </c>
      <c r="H308" s="6">
        <v>0.1</v>
      </c>
      <c r="I308" s="8">
        <v>0.18179999999999999</v>
      </c>
      <c r="J308" s="6">
        <v>0.54</v>
      </c>
      <c r="K308" s="8">
        <v>0</v>
      </c>
      <c r="L308" s="7">
        <v>0</v>
      </c>
      <c r="M308" s="7">
        <v>17</v>
      </c>
      <c r="N308" s="7">
        <v>17</v>
      </c>
    </row>
    <row r="309" spans="1:14" x14ac:dyDescent="0.3">
      <c r="A309" s="7">
        <v>308</v>
      </c>
      <c r="B309" s="1">
        <v>40557</v>
      </c>
      <c r="C309" s="7">
        <v>1</v>
      </c>
      <c r="D309" s="7">
        <v>7</v>
      </c>
      <c r="E309" t="b">
        <v>0</v>
      </c>
      <c r="F309" s="7">
        <v>5</v>
      </c>
      <c r="G309" s="7">
        <v>1</v>
      </c>
      <c r="H309" s="6">
        <v>0.1</v>
      </c>
      <c r="I309" s="8">
        <v>0.1212</v>
      </c>
      <c r="J309" s="6">
        <v>0.74</v>
      </c>
      <c r="K309" s="8">
        <v>0.16420000000000001</v>
      </c>
      <c r="L309" s="7">
        <v>0</v>
      </c>
      <c r="M309" s="7">
        <v>70</v>
      </c>
      <c r="N309" s="7">
        <v>70</v>
      </c>
    </row>
    <row r="310" spans="1:14" x14ac:dyDescent="0.3">
      <c r="A310" s="7">
        <v>309</v>
      </c>
      <c r="B310" s="1">
        <v>40557</v>
      </c>
      <c r="C310" s="7">
        <v>1</v>
      </c>
      <c r="D310" s="7">
        <v>8</v>
      </c>
      <c r="E310" t="b">
        <v>0</v>
      </c>
      <c r="F310" s="7">
        <v>5</v>
      </c>
      <c r="G310" s="7">
        <v>1</v>
      </c>
      <c r="H310" s="6">
        <v>0.12</v>
      </c>
      <c r="I310" s="8">
        <v>0.16669999999999999</v>
      </c>
      <c r="J310" s="6">
        <v>0.68</v>
      </c>
      <c r="K310" s="8">
        <v>0</v>
      </c>
      <c r="L310" s="7">
        <v>2</v>
      </c>
      <c r="M310" s="7">
        <v>156</v>
      </c>
      <c r="N310" s="7">
        <v>158</v>
      </c>
    </row>
    <row r="311" spans="1:14" x14ac:dyDescent="0.3">
      <c r="A311" s="7">
        <v>310</v>
      </c>
      <c r="B311" s="1">
        <v>40557</v>
      </c>
      <c r="C311" s="7">
        <v>1</v>
      </c>
      <c r="D311" s="7">
        <v>9</v>
      </c>
      <c r="E311" t="b">
        <v>0</v>
      </c>
      <c r="F311" s="7">
        <v>5</v>
      </c>
      <c r="G311" s="7">
        <v>1</v>
      </c>
      <c r="H311" s="6">
        <v>0.14000000000000001</v>
      </c>
      <c r="I311" s="8">
        <v>0.1515</v>
      </c>
      <c r="J311" s="6">
        <v>0.69</v>
      </c>
      <c r="K311" s="8">
        <v>0.1343</v>
      </c>
      <c r="L311" s="7">
        <v>0</v>
      </c>
      <c r="M311" s="7">
        <v>117</v>
      </c>
      <c r="N311" s="7">
        <v>117</v>
      </c>
    </row>
    <row r="312" spans="1:14" x14ac:dyDescent="0.3">
      <c r="A312" s="7">
        <v>311</v>
      </c>
      <c r="B312" s="1">
        <v>40557</v>
      </c>
      <c r="C312" s="7">
        <v>1</v>
      </c>
      <c r="D312" s="7">
        <v>10</v>
      </c>
      <c r="E312" t="b">
        <v>0</v>
      </c>
      <c r="F312" s="7">
        <v>5</v>
      </c>
      <c r="G312" s="7">
        <v>1</v>
      </c>
      <c r="H312" s="6">
        <v>0.18</v>
      </c>
      <c r="I312" s="8">
        <v>0.18179999999999999</v>
      </c>
      <c r="J312" s="6">
        <v>0.55000000000000004</v>
      </c>
      <c r="K312" s="8">
        <v>0.19400000000000001</v>
      </c>
      <c r="L312" s="7">
        <v>4</v>
      </c>
      <c r="M312" s="7">
        <v>40</v>
      </c>
      <c r="N312" s="7">
        <v>44</v>
      </c>
    </row>
    <row r="313" spans="1:14" x14ac:dyDescent="0.3">
      <c r="A313" s="7">
        <v>312</v>
      </c>
      <c r="B313" s="1">
        <v>40557</v>
      </c>
      <c r="C313" s="7">
        <v>1</v>
      </c>
      <c r="D313" s="7">
        <v>11</v>
      </c>
      <c r="E313" t="b">
        <v>0</v>
      </c>
      <c r="F313" s="7">
        <v>5</v>
      </c>
      <c r="G313" s="7">
        <v>1</v>
      </c>
      <c r="H313" s="6">
        <v>0.18</v>
      </c>
      <c r="I313" s="8">
        <v>0.16669999999999999</v>
      </c>
      <c r="J313" s="6">
        <v>0.51</v>
      </c>
      <c r="K313" s="8">
        <v>0.28360000000000002</v>
      </c>
      <c r="L313" s="7">
        <v>6</v>
      </c>
      <c r="M313" s="7">
        <v>47</v>
      </c>
      <c r="N313" s="7">
        <v>53</v>
      </c>
    </row>
    <row r="314" spans="1:14" x14ac:dyDescent="0.3">
      <c r="A314" s="7">
        <v>313</v>
      </c>
      <c r="B314" s="1">
        <v>40557</v>
      </c>
      <c r="C314" s="7">
        <v>1</v>
      </c>
      <c r="D314" s="7">
        <v>12</v>
      </c>
      <c r="E314" t="b">
        <v>0</v>
      </c>
      <c r="F314" s="7">
        <v>5</v>
      </c>
      <c r="G314" s="7">
        <v>1</v>
      </c>
      <c r="H314" s="6">
        <v>0.2</v>
      </c>
      <c r="I314" s="8">
        <v>0.19700000000000001</v>
      </c>
      <c r="J314" s="6">
        <v>0.44</v>
      </c>
      <c r="K314" s="8">
        <v>0.25369999999999998</v>
      </c>
      <c r="L314" s="7">
        <v>2</v>
      </c>
      <c r="M314" s="7">
        <v>59</v>
      </c>
      <c r="N314" s="7">
        <v>61</v>
      </c>
    </row>
    <row r="315" spans="1:14" x14ac:dyDescent="0.3">
      <c r="A315" s="7">
        <v>314</v>
      </c>
      <c r="B315" s="1">
        <v>40557</v>
      </c>
      <c r="C315" s="7">
        <v>1</v>
      </c>
      <c r="D315" s="7">
        <v>13</v>
      </c>
      <c r="E315" t="b">
        <v>0</v>
      </c>
      <c r="F315" s="7">
        <v>5</v>
      </c>
      <c r="G315" s="7">
        <v>1</v>
      </c>
      <c r="H315" s="6">
        <v>0.22</v>
      </c>
      <c r="I315" s="8">
        <v>0.19700000000000001</v>
      </c>
      <c r="J315" s="6">
        <v>0.37</v>
      </c>
      <c r="K315" s="8">
        <v>0.3881</v>
      </c>
      <c r="L315" s="7">
        <v>4</v>
      </c>
      <c r="M315" s="7">
        <v>73</v>
      </c>
      <c r="N315" s="7">
        <v>77</v>
      </c>
    </row>
    <row r="316" spans="1:14" x14ac:dyDescent="0.3">
      <c r="A316" s="7">
        <v>315</v>
      </c>
      <c r="B316" s="1">
        <v>40557</v>
      </c>
      <c r="C316" s="7">
        <v>1</v>
      </c>
      <c r="D316" s="7">
        <v>14</v>
      </c>
      <c r="E316" t="b">
        <v>0</v>
      </c>
      <c r="F316" s="7">
        <v>5</v>
      </c>
      <c r="G316" s="7">
        <v>1</v>
      </c>
      <c r="H316" s="6">
        <v>0.22</v>
      </c>
      <c r="I316" s="8">
        <v>0.21210000000000001</v>
      </c>
      <c r="J316" s="6">
        <v>0.41</v>
      </c>
      <c r="K316" s="8">
        <v>0.28360000000000002</v>
      </c>
      <c r="L316" s="7">
        <v>5</v>
      </c>
      <c r="M316" s="7">
        <v>59</v>
      </c>
      <c r="N316" s="7">
        <v>64</v>
      </c>
    </row>
    <row r="317" spans="1:14" x14ac:dyDescent="0.3">
      <c r="A317" s="7">
        <v>316</v>
      </c>
      <c r="B317" s="1">
        <v>40557</v>
      </c>
      <c r="C317" s="7">
        <v>1</v>
      </c>
      <c r="D317" s="7">
        <v>15</v>
      </c>
      <c r="E317" t="b">
        <v>0</v>
      </c>
      <c r="F317" s="7">
        <v>5</v>
      </c>
      <c r="G317" s="7">
        <v>1</v>
      </c>
      <c r="H317" s="6">
        <v>0.24</v>
      </c>
      <c r="I317" s="8">
        <v>0.2424</v>
      </c>
      <c r="J317" s="6">
        <v>0.38</v>
      </c>
      <c r="K317" s="8">
        <v>0.16420000000000001</v>
      </c>
      <c r="L317" s="7">
        <v>9</v>
      </c>
      <c r="M317" s="7">
        <v>59</v>
      </c>
      <c r="N317" s="7">
        <v>68</v>
      </c>
    </row>
    <row r="318" spans="1:14" x14ac:dyDescent="0.3">
      <c r="A318" s="7">
        <v>317</v>
      </c>
      <c r="B318" s="1">
        <v>40557</v>
      </c>
      <c r="C318" s="7">
        <v>1</v>
      </c>
      <c r="D318" s="7">
        <v>16</v>
      </c>
      <c r="E318" t="b">
        <v>0</v>
      </c>
      <c r="F318" s="7">
        <v>5</v>
      </c>
      <c r="G318" s="7">
        <v>1</v>
      </c>
      <c r="H318" s="6">
        <v>0.22</v>
      </c>
      <c r="I318" s="8">
        <v>0.2424</v>
      </c>
      <c r="J318" s="6">
        <v>0.41</v>
      </c>
      <c r="K318" s="8">
        <v>0.1045</v>
      </c>
      <c r="L318" s="7">
        <v>3</v>
      </c>
      <c r="M318" s="7">
        <v>87</v>
      </c>
      <c r="N318" s="7">
        <v>90</v>
      </c>
    </row>
    <row r="319" spans="1:14" x14ac:dyDescent="0.3">
      <c r="A319" s="7">
        <v>318</v>
      </c>
      <c r="B319" s="1">
        <v>40557</v>
      </c>
      <c r="C319" s="7">
        <v>1</v>
      </c>
      <c r="D319" s="7">
        <v>17</v>
      </c>
      <c r="E319" t="b">
        <v>0</v>
      </c>
      <c r="F319" s="7">
        <v>5</v>
      </c>
      <c r="G319" s="7">
        <v>1</v>
      </c>
      <c r="H319" s="6">
        <v>0.22</v>
      </c>
      <c r="I319" s="8">
        <v>0.2273</v>
      </c>
      <c r="J319" s="6">
        <v>0.41</v>
      </c>
      <c r="K319" s="8">
        <v>0.16420000000000001</v>
      </c>
      <c r="L319" s="7">
        <v>4</v>
      </c>
      <c r="M319" s="7">
        <v>155</v>
      </c>
      <c r="N319" s="7">
        <v>159</v>
      </c>
    </row>
    <row r="320" spans="1:14" x14ac:dyDescent="0.3">
      <c r="A320" s="7">
        <v>319</v>
      </c>
      <c r="B320" s="1">
        <v>40557</v>
      </c>
      <c r="C320" s="7">
        <v>1</v>
      </c>
      <c r="D320" s="7">
        <v>18</v>
      </c>
      <c r="E320" t="b">
        <v>0</v>
      </c>
      <c r="F320" s="7">
        <v>5</v>
      </c>
      <c r="G320" s="7">
        <v>1</v>
      </c>
      <c r="H320" s="6">
        <v>0.2</v>
      </c>
      <c r="I320" s="8">
        <v>0.2576</v>
      </c>
      <c r="J320" s="6">
        <v>0.47</v>
      </c>
      <c r="K320" s="8">
        <v>0</v>
      </c>
      <c r="L320" s="7">
        <v>5</v>
      </c>
      <c r="M320" s="7">
        <v>134</v>
      </c>
      <c r="N320" s="7">
        <v>139</v>
      </c>
    </row>
    <row r="321" spans="1:14" x14ac:dyDescent="0.3">
      <c r="A321" s="7">
        <v>320</v>
      </c>
      <c r="B321" s="1">
        <v>40557</v>
      </c>
      <c r="C321" s="7">
        <v>1</v>
      </c>
      <c r="D321" s="7">
        <v>19</v>
      </c>
      <c r="E321" t="b">
        <v>0</v>
      </c>
      <c r="F321" s="7">
        <v>5</v>
      </c>
      <c r="G321" s="7">
        <v>1</v>
      </c>
      <c r="H321" s="6">
        <v>0.16</v>
      </c>
      <c r="I321" s="8">
        <v>0.19700000000000001</v>
      </c>
      <c r="J321" s="6">
        <v>0.59</v>
      </c>
      <c r="K321" s="8">
        <v>8.9599999999999999E-2</v>
      </c>
      <c r="L321" s="7">
        <v>3</v>
      </c>
      <c r="M321" s="7">
        <v>89</v>
      </c>
      <c r="N321" s="7">
        <v>92</v>
      </c>
    </row>
    <row r="322" spans="1:14" x14ac:dyDescent="0.3">
      <c r="A322" s="7">
        <v>321</v>
      </c>
      <c r="B322" s="1">
        <v>40557</v>
      </c>
      <c r="C322" s="7">
        <v>1</v>
      </c>
      <c r="D322" s="7">
        <v>20</v>
      </c>
      <c r="E322" t="b">
        <v>0</v>
      </c>
      <c r="F322" s="7">
        <v>5</v>
      </c>
      <c r="G322" s="7">
        <v>1</v>
      </c>
      <c r="H322" s="6">
        <v>0.18</v>
      </c>
      <c r="I322" s="8">
        <v>0.2424</v>
      </c>
      <c r="J322" s="6">
        <v>0.59</v>
      </c>
      <c r="K322" s="8">
        <v>0</v>
      </c>
      <c r="L322" s="7">
        <v>0</v>
      </c>
      <c r="M322" s="7">
        <v>68</v>
      </c>
      <c r="N322" s="7">
        <v>68</v>
      </c>
    </row>
    <row r="323" spans="1:14" x14ac:dyDescent="0.3">
      <c r="A323" s="7">
        <v>322</v>
      </c>
      <c r="B323" s="1">
        <v>40557</v>
      </c>
      <c r="C323" s="7">
        <v>1</v>
      </c>
      <c r="D323" s="7">
        <v>21</v>
      </c>
      <c r="E323" t="b">
        <v>0</v>
      </c>
      <c r="F323" s="7">
        <v>5</v>
      </c>
      <c r="G323" s="7">
        <v>1</v>
      </c>
      <c r="H323" s="6">
        <v>0.16</v>
      </c>
      <c r="I323" s="8">
        <v>0.2273</v>
      </c>
      <c r="J323" s="6">
        <v>0.69</v>
      </c>
      <c r="K323" s="8">
        <v>0</v>
      </c>
      <c r="L323" s="7">
        <v>4</v>
      </c>
      <c r="M323" s="7">
        <v>48</v>
      </c>
      <c r="N323" s="7">
        <v>52</v>
      </c>
    </row>
    <row r="324" spans="1:14" x14ac:dyDescent="0.3">
      <c r="A324" s="7">
        <v>323</v>
      </c>
      <c r="B324" s="1">
        <v>40557</v>
      </c>
      <c r="C324" s="7">
        <v>1</v>
      </c>
      <c r="D324" s="7">
        <v>22</v>
      </c>
      <c r="E324" t="b">
        <v>0</v>
      </c>
      <c r="F324" s="7">
        <v>5</v>
      </c>
      <c r="G324" s="7">
        <v>2</v>
      </c>
      <c r="H324" s="6">
        <v>0.16</v>
      </c>
      <c r="I324" s="8">
        <v>0.2273</v>
      </c>
      <c r="J324" s="6">
        <v>0.69</v>
      </c>
      <c r="K324" s="8">
        <v>0</v>
      </c>
      <c r="L324" s="7">
        <v>2</v>
      </c>
      <c r="M324" s="7">
        <v>34</v>
      </c>
      <c r="N324" s="7">
        <v>36</v>
      </c>
    </row>
    <row r="325" spans="1:14" x14ac:dyDescent="0.3">
      <c r="A325" s="7">
        <v>324</v>
      </c>
      <c r="B325" s="1">
        <v>40557</v>
      </c>
      <c r="C325" s="7">
        <v>1</v>
      </c>
      <c r="D325" s="7">
        <v>23</v>
      </c>
      <c r="E325" t="b">
        <v>0</v>
      </c>
      <c r="F325" s="7">
        <v>5</v>
      </c>
      <c r="G325" s="7">
        <v>2</v>
      </c>
      <c r="H325" s="6">
        <v>0.18</v>
      </c>
      <c r="I325" s="8">
        <v>0.2424</v>
      </c>
      <c r="J325" s="6">
        <v>0.55000000000000004</v>
      </c>
      <c r="K325" s="8">
        <v>0</v>
      </c>
      <c r="L325" s="7">
        <v>1</v>
      </c>
      <c r="M325" s="7">
        <v>26</v>
      </c>
      <c r="N325" s="7">
        <v>27</v>
      </c>
    </row>
    <row r="326" spans="1:14" x14ac:dyDescent="0.3">
      <c r="A326" s="7">
        <v>325</v>
      </c>
      <c r="B326" s="1">
        <v>40558</v>
      </c>
      <c r="C326" s="7">
        <v>1</v>
      </c>
      <c r="D326" s="7">
        <v>0</v>
      </c>
      <c r="E326" t="b">
        <v>0</v>
      </c>
      <c r="F326" s="7">
        <v>6</v>
      </c>
      <c r="G326" s="7">
        <v>1</v>
      </c>
      <c r="H326" s="6">
        <v>0.18</v>
      </c>
      <c r="I326" s="8">
        <v>0.2424</v>
      </c>
      <c r="J326" s="6">
        <v>0.55000000000000004</v>
      </c>
      <c r="K326" s="8">
        <v>0</v>
      </c>
      <c r="L326" s="7">
        <v>3</v>
      </c>
      <c r="M326" s="7">
        <v>25</v>
      </c>
      <c r="N326" s="7">
        <v>28</v>
      </c>
    </row>
    <row r="327" spans="1:14" x14ac:dyDescent="0.3">
      <c r="A327" s="7">
        <v>326</v>
      </c>
      <c r="B327" s="1">
        <v>40558</v>
      </c>
      <c r="C327" s="7">
        <v>1</v>
      </c>
      <c r="D327" s="7">
        <v>1</v>
      </c>
      <c r="E327" t="b">
        <v>0</v>
      </c>
      <c r="F327" s="7">
        <v>6</v>
      </c>
      <c r="G327" s="7">
        <v>2</v>
      </c>
      <c r="H327" s="6">
        <v>0.16</v>
      </c>
      <c r="I327" s="8">
        <v>0.19700000000000001</v>
      </c>
      <c r="J327" s="6">
        <v>0.59</v>
      </c>
      <c r="K327" s="8">
        <v>8.9599999999999999E-2</v>
      </c>
      <c r="L327" s="7">
        <v>2</v>
      </c>
      <c r="M327" s="7">
        <v>18</v>
      </c>
      <c r="N327" s="7">
        <v>20</v>
      </c>
    </row>
    <row r="328" spans="1:14" x14ac:dyDescent="0.3">
      <c r="A328" s="7">
        <v>327</v>
      </c>
      <c r="B328" s="1">
        <v>40558</v>
      </c>
      <c r="C328" s="7">
        <v>1</v>
      </c>
      <c r="D328" s="7">
        <v>2</v>
      </c>
      <c r="E328" t="b">
        <v>0</v>
      </c>
      <c r="F328" s="7">
        <v>6</v>
      </c>
      <c r="G328" s="7">
        <v>2</v>
      </c>
      <c r="H328" s="6">
        <v>0.16</v>
      </c>
      <c r="I328" s="8">
        <v>0.19700000000000001</v>
      </c>
      <c r="J328" s="6">
        <v>0.59</v>
      </c>
      <c r="K328" s="8">
        <v>8.9599999999999999E-2</v>
      </c>
      <c r="L328" s="7">
        <v>0</v>
      </c>
      <c r="M328" s="7">
        <v>12</v>
      </c>
      <c r="N328" s="7">
        <v>12</v>
      </c>
    </row>
    <row r="329" spans="1:14" x14ac:dyDescent="0.3">
      <c r="A329" s="7">
        <v>328</v>
      </c>
      <c r="B329" s="1">
        <v>40558</v>
      </c>
      <c r="C329" s="7">
        <v>1</v>
      </c>
      <c r="D329" s="7">
        <v>3</v>
      </c>
      <c r="E329" t="b">
        <v>0</v>
      </c>
      <c r="F329" s="7">
        <v>6</v>
      </c>
      <c r="G329" s="7">
        <v>2</v>
      </c>
      <c r="H329" s="6">
        <v>0.16</v>
      </c>
      <c r="I329" s="8">
        <v>0.2273</v>
      </c>
      <c r="J329" s="6">
        <v>0.59</v>
      </c>
      <c r="K329" s="8">
        <v>0</v>
      </c>
      <c r="L329" s="7">
        <v>1</v>
      </c>
      <c r="M329" s="7">
        <v>7</v>
      </c>
      <c r="N329" s="7">
        <v>8</v>
      </c>
    </row>
    <row r="330" spans="1:14" x14ac:dyDescent="0.3">
      <c r="A330" s="7">
        <v>329</v>
      </c>
      <c r="B330" s="1">
        <v>40558</v>
      </c>
      <c r="C330" s="7">
        <v>1</v>
      </c>
      <c r="D330" s="7">
        <v>4</v>
      </c>
      <c r="E330" t="b">
        <v>0</v>
      </c>
      <c r="F330" s="7">
        <v>6</v>
      </c>
      <c r="G330" s="7">
        <v>2</v>
      </c>
      <c r="H330" s="6">
        <v>0.16</v>
      </c>
      <c r="I330" s="8">
        <v>0.2273</v>
      </c>
      <c r="J330" s="6">
        <v>0.59</v>
      </c>
      <c r="K330" s="8">
        <v>0</v>
      </c>
      <c r="L330" s="7">
        <v>0</v>
      </c>
      <c r="M330" s="7">
        <v>5</v>
      </c>
      <c r="N330" s="7">
        <v>5</v>
      </c>
    </row>
    <row r="331" spans="1:14" x14ac:dyDescent="0.3">
      <c r="A331" s="7">
        <v>330</v>
      </c>
      <c r="B331" s="1">
        <v>40558</v>
      </c>
      <c r="C331" s="7">
        <v>1</v>
      </c>
      <c r="D331" s="7">
        <v>5</v>
      </c>
      <c r="E331" t="b">
        <v>0</v>
      </c>
      <c r="F331" s="7">
        <v>6</v>
      </c>
      <c r="G331" s="7">
        <v>1</v>
      </c>
      <c r="H331" s="6">
        <v>0.16</v>
      </c>
      <c r="I331" s="8">
        <v>0.2273</v>
      </c>
      <c r="J331" s="6">
        <v>0.59</v>
      </c>
      <c r="K331" s="8">
        <v>0</v>
      </c>
      <c r="L331" s="7">
        <v>0</v>
      </c>
      <c r="M331" s="7">
        <v>1</v>
      </c>
      <c r="N331" s="7">
        <v>1</v>
      </c>
    </row>
    <row r="332" spans="1:14" x14ac:dyDescent="0.3">
      <c r="A332" s="7">
        <v>331</v>
      </c>
      <c r="B332" s="1">
        <v>40558</v>
      </c>
      <c r="C332" s="7">
        <v>1</v>
      </c>
      <c r="D332" s="7">
        <v>6</v>
      </c>
      <c r="E332" t="b">
        <v>0</v>
      </c>
      <c r="F332" s="7">
        <v>6</v>
      </c>
      <c r="G332" s="7">
        <v>1</v>
      </c>
      <c r="H332" s="6">
        <v>0.14000000000000001</v>
      </c>
      <c r="I332" s="8">
        <v>0.16669999999999999</v>
      </c>
      <c r="J332" s="6">
        <v>0.63</v>
      </c>
      <c r="K332" s="8">
        <v>0.1045</v>
      </c>
      <c r="L332" s="7">
        <v>1</v>
      </c>
      <c r="M332" s="7">
        <v>2</v>
      </c>
      <c r="N332" s="7">
        <v>3</v>
      </c>
    </row>
    <row r="333" spans="1:14" x14ac:dyDescent="0.3">
      <c r="A333" s="7">
        <v>332</v>
      </c>
      <c r="B333" s="1">
        <v>40558</v>
      </c>
      <c r="C333" s="7">
        <v>1</v>
      </c>
      <c r="D333" s="7">
        <v>7</v>
      </c>
      <c r="E333" t="b">
        <v>0</v>
      </c>
      <c r="F333" s="7">
        <v>6</v>
      </c>
      <c r="G333" s="7">
        <v>1</v>
      </c>
      <c r="H333" s="6">
        <v>0.14000000000000001</v>
      </c>
      <c r="I333" s="8">
        <v>0.21210000000000001</v>
      </c>
      <c r="J333" s="6">
        <v>0.63</v>
      </c>
      <c r="K333" s="8">
        <v>0</v>
      </c>
      <c r="L333" s="7">
        <v>1</v>
      </c>
      <c r="M333" s="7">
        <v>9</v>
      </c>
      <c r="N333" s="7">
        <v>10</v>
      </c>
    </row>
    <row r="334" spans="1:14" x14ac:dyDescent="0.3">
      <c r="A334" s="7">
        <v>333</v>
      </c>
      <c r="B334" s="1">
        <v>40558</v>
      </c>
      <c r="C334" s="7">
        <v>1</v>
      </c>
      <c r="D334" s="7">
        <v>8</v>
      </c>
      <c r="E334" t="b">
        <v>0</v>
      </c>
      <c r="F334" s="7">
        <v>6</v>
      </c>
      <c r="G334" s="7">
        <v>1</v>
      </c>
      <c r="H334" s="6">
        <v>0.14000000000000001</v>
      </c>
      <c r="I334" s="8">
        <v>0.1515</v>
      </c>
      <c r="J334" s="6">
        <v>0.63</v>
      </c>
      <c r="K334" s="8">
        <v>0.1343</v>
      </c>
      <c r="L334" s="7">
        <v>1</v>
      </c>
      <c r="M334" s="7">
        <v>22</v>
      </c>
      <c r="N334" s="7">
        <v>23</v>
      </c>
    </row>
    <row r="335" spans="1:14" x14ac:dyDescent="0.3">
      <c r="A335" s="7">
        <v>334</v>
      </c>
      <c r="B335" s="1">
        <v>40558</v>
      </c>
      <c r="C335" s="7">
        <v>1</v>
      </c>
      <c r="D335" s="7">
        <v>9</v>
      </c>
      <c r="E335" t="b">
        <v>0</v>
      </c>
      <c r="F335" s="7">
        <v>6</v>
      </c>
      <c r="G335" s="7">
        <v>1</v>
      </c>
      <c r="H335" s="6">
        <v>0.16</v>
      </c>
      <c r="I335" s="8">
        <v>0.18179999999999999</v>
      </c>
      <c r="J335" s="6">
        <v>0.64</v>
      </c>
      <c r="K335" s="8">
        <v>0.1343</v>
      </c>
      <c r="L335" s="7">
        <v>2</v>
      </c>
      <c r="M335" s="7">
        <v>31</v>
      </c>
      <c r="N335" s="7">
        <v>33</v>
      </c>
    </row>
    <row r="336" spans="1:14" x14ac:dyDescent="0.3">
      <c r="A336" s="7">
        <v>335</v>
      </c>
      <c r="B336" s="1">
        <v>40558</v>
      </c>
      <c r="C336" s="7">
        <v>1</v>
      </c>
      <c r="D336" s="7">
        <v>10</v>
      </c>
      <c r="E336" t="b">
        <v>0</v>
      </c>
      <c r="F336" s="7">
        <v>6</v>
      </c>
      <c r="G336" s="7">
        <v>1</v>
      </c>
      <c r="H336" s="6">
        <v>0.18</v>
      </c>
      <c r="I336" s="8">
        <v>0.19700000000000001</v>
      </c>
      <c r="J336" s="6">
        <v>0.59</v>
      </c>
      <c r="K336" s="8">
        <v>0.16420000000000001</v>
      </c>
      <c r="L336" s="7">
        <v>2</v>
      </c>
      <c r="M336" s="7">
        <v>57</v>
      </c>
      <c r="N336" s="7">
        <v>59</v>
      </c>
    </row>
    <row r="337" spans="1:14" x14ac:dyDescent="0.3">
      <c r="A337" s="7">
        <v>336</v>
      </c>
      <c r="B337" s="1">
        <v>40558</v>
      </c>
      <c r="C337" s="7">
        <v>1</v>
      </c>
      <c r="D337" s="7">
        <v>11</v>
      </c>
      <c r="E337" t="b">
        <v>0</v>
      </c>
      <c r="F337" s="7">
        <v>6</v>
      </c>
      <c r="G337" s="7">
        <v>1</v>
      </c>
      <c r="H337" s="6">
        <v>0.2</v>
      </c>
      <c r="I337" s="8">
        <v>0.19700000000000001</v>
      </c>
      <c r="J337" s="6">
        <v>0.55000000000000004</v>
      </c>
      <c r="K337" s="8">
        <v>0.22389999999999999</v>
      </c>
      <c r="L337" s="7">
        <v>18</v>
      </c>
      <c r="M337" s="7">
        <v>54</v>
      </c>
      <c r="N337" s="7">
        <v>72</v>
      </c>
    </row>
    <row r="338" spans="1:14" x14ac:dyDescent="0.3">
      <c r="A338" s="7">
        <v>337</v>
      </c>
      <c r="B338" s="1">
        <v>40558</v>
      </c>
      <c r="C338" s="7">
        <v>1</v>
      </c>
      <c r="D338" s="7">
        <v>12</v>
      </c>
      <c r="E338" t="b">
        <v>0</v>
      </c>
      <c r="F338" s="7">
        <v>6</v>
      </c>
      <c r="G338" s="7">
        <v>1</v>
      </c>
      <c r="H338" s="6">
        <v>0.24</v>
      </c>
      <c r="I338" s="8">
        <v>0.2273</v>
      </c>
      <c r="J338" s="6">
        <v>0.48</v>
      </c>
      <c r="K338" s="8">
        <v>0.22389999999999999</v>
      </c>
      <c r="L338" s="7">
        <v>15</v>
      </c>
      <c r="M338" s="7">
        <v>74</v>
      </c>
      <c r="N338" s="7">
        <v>89</v>
      </c>
    </row>
    <row r="339" spans="1:14" x14ac:dyDescent="0.3">
      <c r="A339" s="7">
        <v>338</v>
      </c>
      <c r="B339" s="1">
        <v>40558</v>
      </c>
      <c r="C339" s="7">
        <v>1</v>
      </c>
      <c r="D339" s="7">
        <v>13</v>
      </c>
      <c r="E339" t="b">
        <v>0</v>
      </c>
      <c r="F339" s="7">
        <v>6</v>
      </c>
      <c r="G339" s="7">
        <v>1</v>
      </c>
      <c r="H339" s="6">
        <v>0.28000000000000003</v>
      </c>
      <c r="I339" s="8">
        <v>0.2576</v>
      </c>
      <c r="J339" s="6">
        <v>0.38</v>
      </c>
      <c r="K339" s="8">
        <v>0.29849999999999999</v>
      </c>
      <c r="L339" s="7">
        <v>21</v>
      </c>
      <c r="M339" s="7">
        <v>80</v>
      </c>
      <c r="N339" s="7">
        <v>101</v>
      </c>
    </row>
    <row r="340" spans="1:14" x14ac:dyDescent="0.3">
      <c r="A340" s="7">
        <v>339</v>
      </c>
      <c r="B340" s="1">
        <v>40558</v>
      </c>
      <c r="C340" s="7">
        <v>1</v>
      </c>
      <c r="D340" s="7">
        <v>14</v>
      </c>
      <c r="E340" t="b">
        <v>0</v>
      </c>
      <c r="F340" s="7">
        <v>6</v>
      </c>
      <c r="G340" s="7">
        <v>1</v>
      </c>
      <c r="H340" s="6">
        <v>0.3</v>
      </c>
      <c r="I340" s="8">
        <v>0.28789999999999999</v>
      </c>
      <c r="J340" s="6">
        <v>0.39</v>
      </c>
      <c r="K340" s="8">
        <v>0.28360000000000002</v>
      </c>
      <c r="L340" s="7">
        <v>26</v>
      </c>
      <c r="M340" s="7">
        <v>92</v>
      </c>
      <c r="N340" s="7">
        <v>118</v>
      </c>
    </row>
    <row r="341" spans="1:14" x14ac:dyDescent="0.3">
      <c r="A341" s="7">
        <v>340</v>
      </c>
      <c r="B341" s="1">
        <v>40558</v>
      </c>
      <c r="C341" s="7">
        <v>1</v>
      </c>
      <c r="D341" s="7">
        <v>15</v>
      </c>
      <c r="E341" t="b">
        <v>0</v>
      </c>
      <c r="F341" s="7">
        <v>6</v>
      </c>
      <c r="G341" s="7">
        <v>2</v>
      </c>
      <c r="H341" s="6">
        <v>0.32</v>
      </c>
      <c r="I341" s="8">
        <v>0.31819999999999998</v>
      </c>
      <c r="J341" s="6">
        <v>0.36</v>
      </c>
      <c r="K341" s="8">
        <v>0.19400000000000001</v>
      </c>
      <c r="L341" s="7">
        <v>21</v>
      </c>
      <c r="M341" s="7">
        <v>108</v>
      </c>
      <c r="N341" s="7">
        <v>129</v>
      </c>
    </row>
    <row r="342" spans="1:14" x14ac:dyDescent="0.3">
      <c r="A342" s="7">
        <v>341</v>
      </c>
      <c r="B342" s="1">
        <v>40558</v>
      </c>
      <c r="C342" s="7">
        <v>1</v>
      </c>
      <c r="D342" s="7">
        <v>16</v>
      </c>
      <c r="E342" t="b">
        <v>0</v>
      </c>
      <c r="F342" s="7">
        <v>6</v>
      </c>
      <c r="G342" s="7">
        <v>2</v>
      </c>
      <c r="H342" s="6">
        <v>0.34</v>
      </c>
      <c r="I342" s="8">
        <v>0.33329999999999999</v>
      </c>
      <c r="J342" s="6">
        <v>0.34</v>
      </c>
      <c r="K342" s="8">
        <v>0.19400000000000001</v>
      </c>
      <c r="L342" s="7">
        <v>33</v>
      </c>
      <c r="M342" s="7">
        <v>95</v>
      </c>
      <c r="N342" s="7">
        <v>128</v>
      </c>
    </row>
    <row r="343" spans="1:14" x14ac:dyDescent="0.3">
      <c r="A343" s="7">
        <v>342</v>
      </c>
      <c r="B343" s="1">
        <v>40558</v>
      </c>
      <c r="C343" s="7">
        <v>1</v>
      </c>
      <c r="D343" s="7">
        <v>17</v>
      </c>
      <c r="E343" t="b">
        <v>0</v>
      </c>
      <c r="F343" s="7">
        <v>6</v>
      </c>
      <c r="G343" s="7">
        <v>2</v>
      </c>
      <c r="H343" s="6">
        <v>0.32</v>
      </c>
      <c r="I343" s="8">
        <v>0.30299999999999999</v>
      </c>
      <c r="J343" s="6">
        <v>0.36</v>
      </c>
      <c r="K343" s="8">
        <v>0.28360000000000002</v>
      </c>
      <c r="L343" s="7">
        <v>29</v>
      </c>
      <c r="M343" s="7">
        <v>54</v>
      </c>
      <c r="N343" s="7">
        <v>83</v>
      </c>
    </row>
    <row r="344" spans="1:14" x14ac:dyDescent="0.3">
      <c r="A344" s="7">
        <v>343</v>
      </c>
      <c r="B344" s="1">
        <v>40558</v>
      </c>
      <c r="C344" s="7">
        <v>1</v>
      </c>
      <c r="D344" s="7">
        <v>18</v>
      </c>
      <c r="E344" t="b">
        <v>0</v>
      </c>
      <c r="F344" s="7">
        <v>6</v>
      </c>
      <c r="G344" s="7">
        <v>2</v>
      </c>
      <c r="H344" s="6">
        <v>0.3</v>
      </c>
      <c r="I344" s="8">
        <v>0.28789999999999999</v>
      </c>
      <c r="J344" s="6">
        <v>0.45</v>
      </c>
      <c r="K344" s="8">
        <v>0.25369999999999998</v>
      </c>
      <c r="L344" s="7">
        <v>15</v>
      </c>
      <c r="M344" s="7">
        <v>69</v>
      </c>
      <c r="N344" s="7">
        <v>84</v>
      </c>
    </row>
    <row r="345" spans="1:14" x14ac:dyDescent="0.3">
      <c r="A345" s="7">
        <v>344</v>
      </c>
      <c r="B345" s="1">
        <v>40558</v>
      </c>
      <c r="C345" s="7">
        <v>1</v>
      </c>
      <c r="D345" s="7">
        <v>19</v>
      </c>
      <c r="E345" t="b">
        <v>0</v>
      </c>
      <c r="F345" s="7">
        <v>6</v>
      </c>
      <c r="G345" s="7">
        <v>2</v>
      </c>
      <c r="H345" s="6">
        <v>0.32</v>
      </c>
      <c r="I345" s="8">
        <v>0.30299999999999999</v>
      </c>
      <c r="J345" s="6">
        <v>0.39</v>
      </c>
      <c r="K345" s="8">
        <v>0.25369999999999998</v>
      </c>
      <c r="L345" s="7">
        <v>14</v>
      </c>
      <c r="M345" s="7">
        <v>60</v>
      </c>
      <c r="N345" s="7">
        <v>74</v>
      </c>
    </row>
    <row r="346" spans="1:14" x14ac:dyDescent="0.3">
      <c r="A346" s="7">
        <v>345</v>
      </c>
      <c r="B346" s="1">
        <v>40558</v>
      </c>
      <c r="C346" s="7">
        <v>1</v>
      </c>
      <c r="D346" s="7">
        <v>20</v>
      </c>
      <c r="E346" t="b">
        <v>0</v>
      </c>
      <c r="F346" s="7">
        <v>6</v>
      </c>
      <c r="G346" s="7">
        <v>2</v>
      </c>
      <c r="H346" s="6">
        <v>0.32</v>
      </c>
      <c r="I346" s="8">
        <v>0.30299999999999999</v>
      </c>
      <c r="J346" s="6">
        <v>0.39</v>
      </c>
      <c r="K346" s="8">
        <v>0.25369999999999998</v>
      </c>
      <c r="L346" s="7">
        <v>6</v>
      </c>
      <c r="M346" s="7">
        <v>35</v>
      </c>
      <c r="N346" s="7">
        <v>41</v>
      </c>
    </row>
    <row r="347" spans="1:14" x14ac:dyDescent="0.3">
      <c r="A347" s="7">
        <v>346</v>
      </c>
      <c r="B347" s="1">
        <v>40558</v>
      </c>
      <c r="C347" s="7">
        <v>1</v>
      </c>
      <c r="D347" s="7">
        <v>21</v>
      </c>
      <c r="E347" t="b">
        <v>0</v>
      </c>
      <c r="F347" s="7">
        <v>6</v>
      </c>
      <c r="G347" s="7">
        <v>2</v>
      </c>
      <c r="H347" s="6">
        <v>0.32</v>
      </c>
      <c r="I347" s="8">
        <v>0.30299999999999999</v>
      </c>
      <c r="J347" s="6">
        <v>0.39</v>
      </c>
      <c r="K347" s="8">
        <v>0.22389999999999999</v>
      </c>
      <c r="L347" s="7">
        <v>6</v>
      </c>
      <c r="M347" s="7">
        <v>51</v>
      </c>
      <c r="N347" s="7">
        <v>57</v>
      </c>
    </row>
    <row r="348" spans="1:14" x14ac:dyDescent="0.3">
      <c r="A348" s="7">
        <v>347</v>
      </c>
      <c r="B348" s="1">
        <v>40558</v>
      </c>
      <c r="C348" s="7">
        <v>1</v>
      </c>
      <c r="D348" s="7">
        <v>22</v>
      </c>
      <c r="E348" t="b">
        <v>0</v>
      </c>
      <c r="F348" s="7">
        <v>6</v>
      </c>
      <c r="G348" s="7">
        <v>2</v>
      </c>
      <c r="H348" s="6">
        <v>0.3</v>
      </c>
      <c r="I348" s="8">
        <v>0.31819999999999998</v>
      </c>
      <c r="J348" s="6">
        <v>0.42</v>
      </c>
      <c r="K348" s="8">
        <v>0.1045</v>
      </c>
      <c r="L348" s="7">
        <v>0</v>
      </c>
      <c r="M348" s="7">
        <v>26</v>
      </c>
      <c r="N348" s="7">
        <v>26</v>
      </c>
    </row>
    <row r="349" spans="1:14" x14ac:dyDescent="0.3">
      <c r="A349" s="7">
        <v>348</v>
      </c>
      <c r="B349" s="1">
        <v>40558</v>
      </c>
      <c r="C349" s="7">
        <v>1</v>
      </c>
      <c r="D349" s="7">
        <v>23</v>
      </c>
      <c r="E349" t="b">
        <v>0</v>
      </c>
      <c r="F349" s="7">
        <v>6</v>
      </c>
      <c r="G349" s="7">
        <v>1</v>
      </c>
      <c r="H349" s="6">
        <v>0.3</v>
      </c>
      <c r="I349" s="8">
        <v>0.28789999999999999</v>
      </c>
      <c r="J349" s="6">
        <v>0.45</v>
      </c>
      <c r="K349" s="8">
        <v>0.28360000000000002</v>
      </c>
      <c r="L349" s="7">
        <v>5</v>
      </c>
      <c r="M349" s="7">
        <v>39</v>
      </c>
      <c r="N349" s="7">
        <v>44</v>
      </c>
    </row>
    <row r="350" spans="1:14" x14ac:dyDescent="0.3">
      <c r="A350" s="7">
        <v>349</v>
      </c>
      <c r="B350" s="1">
        <v>40559</v>
      </c>
      <c r="C350" s="7">
        <v>1</v>
      </c>
      <c r="D350" s="7">
        <v>0</v>
      </c>
      <c r="E350" t="b">
        <v>0</v>
      </c>
      <c r="F350" s="7">
        <v>0</v>
      </c>
      <c r="G350" s="7">
        <v>1</v>
      </c>
      <c r="H350" s="6">
        <v>0.26</v>
      </c>
      <c r="I350" s="8">
        <v>0.30299999999999999</v>
      </c>
      <c r="J350" s="6">
        <v>0.56000000000000005</v>
      </c>
      <c r="K350" s="8">
        <v>0</v>
      </c>
      <c r="L350" s="7">
        <v>6</v>
      </c>
      <c r="M350" s="7">
        <v>33</v>
      </c>
      <c r="N350" s="7">
        <v>39</v>
      </c>
    </row>
    <row r="351" spans="1:14" x14ac:dyDescent="0.3">
      <c r="A351" s="7">
        <v>350</v>
      </c>
      <c r="B351" s="1">
        <v>40559</v>
      </c>
      <c r="C351" s="7">
        <v>1</v>
      </c>
      <c r="D351" s="7">
        <v>1</v>
      </c>
      <c r="E351" t="b">
        <v>0</v>
      </c>
      <c r="F351" s="7">
        <v>0</v>
      </c>
      <c r="G351" s="7">
        <v>1</v>
      </c>
      <c r="H351" s="6">
        <v>0.26</v>
      </c>
      <c r="I351" s="8">
        <v>0.2727</v>
      </c>
      <c r="J351" s="6">
        <v>0.56000000000000005</v>
      </c>
      <c r="K351" s="8">
        <v>0.1343</v>
      </c>
      <c r="L351" s="7">
        <v>4</v>
      </c>
      <c r="M351" s="7">
        <v>19</v>
      </c>
      <c r="N351" s="7">
        <v>23</v>
      </c>
    </row>
    <row r="352" spans="1:14" x14ac:dyDescent="0.3">
      <c r="A352" s="7">
        <v>351</v>
      </c>
      <c r="B352" s="1">
        <v>40559</v>
      </c>
      <c r="C352" s="7">
        <v>1</v>
      </c>
      <c r="D352" s="7">
        <v>2</v>
      </c>
      <c r="E352" t="b">
        <v>0</v>
      </c>
      <c r="F352" s="7">
        <v>0</v>
      </c>
      <c r="G352" s="7">
        <v>1</v>
      </c>
      <c r="H352" s="6">
        <v>0.26</v>
      </c>
      <c r="I352" s="8">
        <v>0.28789999999999999</v>
      </c>
      <c r="J352" s="6">
        <v>0.56000000000000005</v>
      </c>
      <c r="K352" s="8">
        <v>8.9599999999999999E-2</v>
      </c>
      <c r="L352" s="7">
        <v>3</v>
      </c>
      <c r="M352" s="7">
        <v>13</v>
      </c>
      <c r="N352" s="7">
        <v>16</v>
      </c>
    </row>
    <row r="353" spans="1:14" x14ac:dyDescent="0.3">
      <c r="A353" s="7">
        <v>352</v>
      </c>
      <c r="B353" s="1">
        <v>40559</v>
      </c>
      <c r="C353" s="7">
        <v>1</v>
      </c>
      <c r="D353" s="7">
        <v>3</v>
      </c>
      <c r="E353" t="b">
        <v>0</v>
      </c>
      <c r="F353" s="7">
        <v>0</v>
      </c>
      <c r="G353" s="7">
        <v>1</v>
      </c>
      <c r="H353" s="6">
        <v>0.22</v>
      </c>
      <c r="I353" s="8">
        <v>0.2727</v>
      </c>
      <c r="J353" s="6">
        <v>0.69</v>
      </c>
      <c r="K353" s="8">
        <v>0</v>
      </c>
      <c r="L353" s="7">
        <v>9</v>
      </c>
      <c r="M353" s="7">
        <v>6</v>
      </c>
      <c r="N353" s="7">
        <v>15</v>
      </c>
    </row>
    <row r="354" spans="1:14" x14ac:dyDescent="0.3">
      <c r="A354" s="7">
        <v>353</v>
      </c>
      <c r="B354" s="1">
        <v>40559</v>
      </c>
      <c r="C354" s="7">
        <v>1</v>
      </c>
      <c r="D354" s="7">
        <v>4</v>
      </c>
      <c r="E354" t="b">
        <v>0</v>
      </c>
      <c r="F354" s="7">
        <v>0</v>
      </c>
      <c r="G354" s="7">
        <v>1</v>
      </c>
      <c r="H354" s="6">
        <v>0.26</v>
      </c>
      <c r="I354" s="8">
        <v>0.2576</v>
      </c>
      <c r="J354" s="6">
        <v>0.56000000000000005</v>
      </c>
      <c r="K354" s="8">
        <v>0.16420000000000001</v>
      </c>
      <c r="L354" s="7">
        <v>0</v>
      </c>
      <c r="M354" s="7">
        <v>1</v>
      </c>
      <c r="N354" s="7">
        <v>1</v>
      </c>
    </row>
    <row r="355" spans="1:14" x14ac:dyDescent="0.3">
      <c r="A355" s="7">
        <v>354</v>
      </c>
      <c r="B355" s="1">
        <v>40559</v>
      </c>
      <c r="C355" s="7">
        <v>1</v>
      </c>
      <c r="D355" s="7">
        <v>5</v>
      </c>
      <c r="E355" t="b">
        <v>0</v>
      </c>
      <c r="F355" s="7">
        <v>0</v>
      </c>
      <c r="G355" s="7">
        <v>2</v>
      </c>
      <c r="H355" s="6">
        <v>0.26</v>
      </c>
      <c r="I355" s="8">
        <v>0.2576</v>
      </c>
      <c r="J355" s="6">
        <v>0.56000000000000005</v>
      </c>
      <c r="K355" s="8">
        <v>0.16420000000000001</v>
      </c>
      <c r="L355" s="7">
        <v>1</v>
      </c>
      <c r="M355" s="7">
        <v>1</v>
      </c>
      <c r="N355" s="7">
        <v>2</v>
      </c>
    </row>
    <row r="356" spans="1:14" x14ac:dyDescent="0.3">
      <c r="A356" s="7">
        <v>355</v>
      </c>
      <c r="B356" s="1">
        <v>40559</v>
      </c>
      <c r="C356" s="7">
        <v>1</v>
      </c>
      <c r="D356" s="7">
        <v>6</v>
      </c>
      <c r="E356" t="b">
        <v>0</v>
      </c>
      <c r="F356" s="7">
        <v>0</v>
      </c>
      <c r="G356" s="7">
        <v>2</v>
      </c>
      <c r="H356" s="6">
        <v>0.26</v>
      </c>
      <c r="I356" s="8">
        <v>0.2576</v>
      </c>
      <c r="J356" s="6">
        <v>0.56000000000000005</v>
      </c>
      <c r="K356" s="8">
        <v>0.16420000000000001</v>
      </c>
      <c r="L356" s="7">
        <v>0</v>
      </c>
      <c r="M356" s="7">
        <v>1</v>
      </c>
      <c r="N356" s="7">
        <v>1</v>
      </c>
    </row>
    <row r="357" spans="1:14" x14ac:dyDescent="0.3">
      <c r="A357" s="7">
        <v>356</v>
      </c>
      <c r="B357" s="1">
        <v>40559</v>
      </c>
      <c r="C357" s="7">
        <v>1</v>
      </c>
      <c r="D357" s="7">
        <v>7</v>
      </c>
      <c r="E357" t="b">
        <v>0</v>
      </c>
      <c r="F357" s="7">
        <v>0</v>
      </c>
      <c r="G357" s="7">
        <v>2</v>
      </c>
      <c r="H357" s="6">
        <v>0.24</v>
      </c>
      <c r="I357" s="8">
        <v>0.21210000000000001</v>
      </c>
      <c r="J357" s="6">
        <v>0.56000000000000005</v>
      </c>
      <c r="K357" s="8">
        <v>0.29849999999999999</v>
      </c>
      <c r="L357" s="7">
        <v>0</v>
      </c>
      <c r="M357" s="7">
        <v>3</v>
      </c>
      <c r="N357" s="7">
        <v>3</v>
      </c>
    </row>
    <row r="358" spans="1:14" x14ac:dyDescent="0.3">
      <c r="A358" s="7">
        <v>357</v>
      </c>
      <c r="B358" s="1">
        <v>40559</v>
      </c>
      <c r="C358" s="7">
        <v>1</v>
      </c>
      <c r="D358" s="7">
        <v>8</v>
      </c>
      <c r="E358" t="b">
        <v>0</v>
      </c>
      <c r="F358" s="7">
        <v>0</v>
      </c>
      <c r="G358" s="7">
        <v>1</v>
      </c>
      <c r="H358" s="6">
        <v>0.22</v>
      </c>
      <c r="I358" s="8">
        <v>0.21210000000000001</v>
      </c>
      <c r="J358" s="6">
        <v>0.55000000000000004</v>
      </c>
      <c r="K358" s="8">
        <v>0.28360000000000002</v>
      </c>
      <c r="L358" s="7">
        <v>0</v>
      </c>
      <c r="M358" s="7">
        <v>18</v>
      </c>
      <c r="N358" s="7">
        <v>18</v>
      </c>
    </row>
    <row r="359" spans="1:14" x14ac:dyDescent="0.3">
      <c r="A359" s="7">
        <v>358</v>
      </c>
      <c r="B359" s="1">
        <v>40559</v>
      </c>
      <c r="C359" s="7">
        <v>1</v>
      </c>
      <c r="D359" s="7">
        <v>9</v>
      </c>
      <c r="E359" t="b">
        <v>0</v>
      </c>
      <c r="F359" s="7">
        <v>0</v>
      </c>
      <c r="G359" s="7">
        <v>1</v>
      </c>
      <c r="H359" s="6">
        <v>0.22</v>
      </c>
      <c r="I359" s="8">
        <v>0.21210000000000001</v>
      </c>
      <c r="J359" s="6">
        <v>0.51</v>
      </c>
      <c r="K359" s="8">
        <v>0.25369999999999998</v>
      </c>
      <c r="L359" s="7">
        <v>3</v>
      </c>
      <c r="M359" s="7">
        <v>29</v>
      </c>
      <c r="N359" s="7">
        <v>32</v>
      </c>
    </row>
    <row r="360" spans="1:14" x14ac:dyDescent="0.3">
      <c r="A360" s="7">
        <v>359</v>
      </c>
      <c r="B360" s="1">
        <v>40559</v>
      </c>
      <c r="C360" s="7">
        <v>1</v>
      </c>
      <c r="D360" s="7">
        <v>10</v>
      </c>
      <c r="E360" t="b">
        <v>0</v>
      </c>
      <c r="F360" s="7">
        <v>0</v>
      </c>
      <c r="G360" s="7">
        <v>1</v>
      </c>
      <c r="H360" s="6">
        <v>0.22</v>
      </c>
      <c r="I360" s="8">
        <v>0.21210000000000001</v>
      </c>
      <c r="J360" s="6">
        <v>0.51</v>
      </c>
      <c r="K360" s="8">
        <v>0.28360000000000002</v>
      </c>
      <c r="L360" s="7">
        <v>8</v>
      </c>
      <c r="M360" s="7">
        <v>71</v>
      </c>
      <c r="N360" s="7">
        <v>79</v>
      </c>
    </row>
    <row r="361" spans="1:14" x14ac:dyDescent="0.3">
      <c r="A361" s="7">
        <v>360</v>
      </c>
      <c r="B361" s="1">
        <v>40559</v>
      </c>
      <c r="C361" s="7">
        <v>1</v>
      </c>
      <c r="D361" s="7">
        <v>11</v>
      </c>
      <c r="E361" t="b">
        <v>0</v>
      </c>
      <c r="F361" s="7">
        <v>0</v>
      </c>
      <c r="G361" s="7">
        <v>1</v>
      </c>
      <c r="H361" s="6">
        <v>0.24</v>
      </c>
      <c r="I361" s="8">
        <v>0.2273</v>
      </c>
      <c r="J361" s="6">
        <v>0.44</v>
      </c>
      <c r="K361" s="8">
        <v>0.25369999999999998</v>
      </c>
      <c r="L361" s="7">
        <v>23</v>
      </c>
      <c r="M361" s="7">
        <v>70</v>
      </c>
      <c r="N361" s="7">
        <v>93</v>
      </c>
    </row>
    <row r="362" spans="1:14" x14ac:dyDescent="0.3">
      <c r="A362" s="7">
        <v>361</v>
      </c>
      <c r="B362" s="1">
        <v>40559</v>
      </c>
      <c r="C362" s="7">
        <v>1</v>
      </c>
      <c r="D362" s="7">
        <v>12</v>
      </c>
      <c r="E362" t="b">
        <v>0</v>
      </c>
      <c r="F362" s="7">
        <v>0</v>
      </c>
      <c r="G362" s="7">
        <v>1</v>
      </c>
      <c r="H362" s="6">
        <v>0.24</v>
      </c>
      <c r="I362" s="8">
        <v>0.21210000000000001</v>
      </c>
      <c r="J362" s="6">
        <v>0.41</v>
      </c>
      <c r="K362" s="8">
        <v>0.28360000000000002</v>
      </c>
      <c r="L362" s="7">
        <v>29</v>
      </c>
      <c r="M362" s="7">
        <v>75</v>
      </c>
      <c r="N362" s="7">
        <v>104</v>
      </c>
    </row>
    <row r="363" spans="1:14" x14ac:dyDescent="0.3">
      <c r="A363" s="7">
        <v>362</v>
      </c>
      <c r="B363" s="1">
        <v>40559</v>
      </c>
      <c r="C363" s="7">
        <v>1</v>
      </c>
      <c r="D363" s="7">
        <v>13</v>
      </c>
      <c r="E363" t="b">
        <v>0</v>
      </c>
      <c r="F363" s="7">
        <v>0</v>
      </c>
      <c r="G363" s="7">
        <v>1</v>
      </c>
      <c r="H363" s="6">
        <v>0.26</v>
      </c>
      <c r="I363" s="8">
        <v>0.2273</v>
      </c>
      <c r="J363" s="6">
        <v>0.35</v>
      </c>
      <c r="K363" s="8">
        <v>0.29849999999999999</v>
      </c>
      <c r="L363" s="7">
        <v>23</v>
      </c>
      <c r="M363" s="7">
        <v>95</v>
      </c>
      <c r="N363" s="7">
        <v>118</v>
      </c>
    </row>
    <row r="364" spans="1:14" x14ac:dyDescent="0.3">
      <c r="A364" s="7">
        <v>363</v>
      </c>
      <c r="B364" s="1">
        <v>40559</v>
      </c>
      <c r="C364" s="7">
        <v>1</v>
      </c>
      <c r="D364" s="7">
        <v>14</v>
      </c>
      <c r="E364" t="b">
        <v>0</v>
      </c>
      <c r="F364" s="7">
        <v>0</v>
      </c>
      <c r="G364" s="7">
        <v>1</v>
      </c>
      <c r="H364" s="6">
        <v>0.28000000000000003</v>
      </c>
      <c r="I364" s="8">
        <v>0.2727</v>
      </c>
      <c r="J364" s="6">
        <v>0.36</v>
      </c>
      <c r="K364" s="8">
        <v>0.25369999999999998</v>
      </c>
      <c r="L364" s="7">
        <v>22</v>
      </c>
      <c r="M364" s="7">
        <v>69</v>
      </c>
      <c r="N364" s="7">
        <v>91</v>
      </c>
    </row>
    <row r="365" spans="1:14" x14ac:dyDescent="0.3">
      <c r="A365" s="7">
        <v>364</v>
      </c>
      <c r="B365" s="1">
        <v>40559</v>
      </c>
      <c r="C365" s="7">
        <v>1</v>
      </c>
      <c r="D365" s="7">
        <v>15</v>
      </c>
      <c r="E365" t="b">
        <v>0</v>
      </c>
      <c r="F365" s="7">
        <v>0</v>
      </c>
      <c r="G365" s="7">
        <v>1</v>
      </c>
      <c r="H365" s="6">
        <v>0.26</v>
      </c>
      <c r="I365" s="8">
        <v>0.2424</v>
      </c>
      <c r="J365" s="6">
        <v>0.38</v>
      </c>
      <c r="K365" s="8">
        <v>0.25369999999999998</v>
      </c>
      <c r="L365" s="7">
        <v>35</v>
      </c>
      <c r="M365" s="7">
        <v>78</v>
      </c>
      <c r="N365" s="7">
        <v>113</v>
      </c>
    </row>
    <row r="366" spans="1:14" x14ac:dyDescent="0.3">
      <c r="A366" s="7">
        <v>365</v>
      </c>
      <c r="B366" s="1">
        <v>40559</v>
      </c>
      <c r="C366" s="7">
        <v>1</v>
      </c>
      <c r="D366" s="7">
        <v>16</v>
      </c>
      <c r="E366" t="b">
        <v>0</v>
      </c>
      <c r="F366" s="7">
        <v>0</v>
      </c>
      <c r="G366" s="7">
        <v>1</v>
      </c>
      <c r="H366" s="6">
        <v>0.24</v>
      </c>
      <c r="I366" s="8">
        <v>0.2273</v>
      </c>
      <c r="J366" s="6">
        <v>0.38</v>
      </c>
      <c r="K366" s="8">
        <v>0.22389999999999999</v>
      </c>
      <c r="L366" s="7">
        <v>22</v>
      </c>
      <c r="M366" s="7">
        <v>77</v>
      </c>
      <c r="N366" s="7">
        <v>99</v>
      </c>
    </row>
    <row r="367" spans="1:14" x14ac:dyDescent="0.3">
      <c r="A367" s="7">
        <v>366</v>
      </c>
      <c r="B367" s="1">
        <v>40559</v>
      </c>
      <c r="C367" s="7">
        <v>1</v>
      </c>
      <c r="D367" s="7">
        <v>17</v>
      </c>
      <c r="E367" t="b">
        <v>0</v>
      </c>
      <c r="F367" s="7">
        <v>0</v>
      </c>
      <c r="G367" s="7">
        <v>1</v>
      </c>
      <c r="H367" s="6">
        <v>0.22</v>
      </c>
      <c r="I367" s="8">
        <v>0.21210000000000001</v>
      </c>
      <c r="J367" s="6">
        <v>0.37</v>
      </c>
      <c r="K367" s="8">
        <v>0.25369999999999998</v>
      </c>
      <c r="L367" s="7">
        <v>23</v>
      </c>
      <c r="M367" s="7">
        <v>82</v>
      </c>
      <c r="N367" s="7">
        <v>105</v>
      </c>
    </row>
    <row r="368" spans="1:14" x14ac:dyDescent="0.3">
      <c r="A368" s="7">
        <v>367</v>
      </c>
      <c r="B368" s="1">
        <v>40559</v>
      </c>
      <c r="C368" s="7">
        <v>1</v>
      </c>
      <c r="D368" s="7">
        <v>18</v>
      </c>
      <c r="E368" t="b">
        <v>0</v>
      </c>
      <c r="F368" s="7">
        <v>0</v>
      </c>
      <c r="G368" s="7">
        <v>1</v>
      </c>
      <c r="H368" s="6">
        <v>0.2</v>
      </c>
      <c r="I368" s="8">
        <v>0.21210000000000001</v>
      </c>
      <c r="J368" s="6">
        <v>0.4</v>
      </c>
      <c r="K368" s="8">
        <v>0.16420000000000001</v>
      </c>
      <c r="L368" s="7">
        <v>11</v>
      </c>
      <c r="M368" s="7">
        <v>56</v>
      </c>
      <c r="N368" s="7">
        <v>67</v>
      </c>
    </row>
    <row r="369" spans="1:14" x14ac:dyDescent="0.3">
      <c r="A369" s="7">
        <v>368</v>
      </c>
      <c r="B369" s="1">
        <v>40559</v>
      </c>
      <c r="C369" s="7">
        <v>1</v>
      </c>
      <c r="D369" s="7">
        <v>19</v>
      </c>
      <c r="E369" t="b">
        <v>0</v>
      </c>
      <c r="F369" s="7">
        <v>0</v>
      </c>
      <c r="G369" s="7">
        <v>1</v>
      </c>
      <c r="H369" s="6">
        <v>0.18</v>
      </c>
      <c r="I369" s="8">
        <v>0.19700000000000001</v>
      </c>
      <c r="J369" s="6">
        <v>0.47</v>
      </c>
      <c r="K369" s="8">
        <v>0.1343</v>
      </c>
      <c r="L369" s="7">
        <v>14</v>
      </c>
      <c r="M369" s="7">
        <v>47</v>
      </c>
      <c r="N369" s="7">
        <v>61</v>
      </c>
    </row>
    <row r="370" spans="1:14" x14ac:dyDescent="0.3">
      <c r="A370" s="7">
        <v>369</v>
      </c>
      <c r="B370" s="1">
        <v>40559</v>
      </c>
      <c r="C370" s="7">
        <v>1</v>
      </c>
      <c r="D370" s="7">
        <v>20</v>
      </c>
      <c r="E370" t="b">
        <v>0</v>
      </c>
      <c r="F370" s="7">
        <v>0</v>
      </c>
      <c r="G370" s="7">
        <v>1</v>
      </c>
      <c r="H370" s="6">
        <v>0.18</v>
      </c>
      <c r="I370" s="8">
        <v>0.19700000000000001</v>
      </c>
      <c r="J370" s="6">
        <v>0.47</v>
      </c>
      <c r="K370" s="8">
        <v>0.16420000000000001</v>
      </c>
      <c r="L370" s="7">
        <v>7</v>
      </c>
      <c r="M370" s="7">
        <v>50</v>
      </c>
      <c r="N370" s="7">
        <v>57</v>
      </c>
    </row>
    <row r="371" spans="1:14" x14ac:dyDescent="0.3">
      <c r="A371" s="7">
        <v>370</v>
      </c>
      <c r="B371" s="1">
        <v>40559</v>
      </c>
      <c r="C371" s="7">
        <v>1</v>
      </c>
      <c r="D371" s="7">
        <v>21</v>
      </c>
      <c r="E371" t="b">
        <v>0</v>
      </c>
      <c r="F371" s="7">
        <v>0</v>
      </c>
      <c r="G371" s="7">
        <v>1</v>
      </c>
      <c r="H371" s="6">
        <v>0.18</v>
      </c>
      <c r="I371" s="8">
        <v>0.19700000000000001</v>
      </c>
      <c r="J371" s="6">
        <v>0.51</v>
      </c>
      <c r="K371" s="8">
        <v>0.16420000000000001</v>
      </c>
      <c r="L371" s="7">
        <v>6</v>
      </c>
      <c r="M371" s="7">
        <v>22</v>
      </c>
      <c r="N371" s="7">
        <v>28</v>
      </c>
    </row>
    <row r="372" spans="1:14" x14ac:dyDescent="0.3">
      <c r="A372" s="7">
        <v>371</v>
      </c>
      <c r="B372" s="1">
        <v>40559</v>
      </c>
      <c r="C372" s="7">
        <v>1</v>
      </c>
      <c r="D372" s="7">
        <v>22</v>
      </c>
      <c r="E372" t="b">
        <v>0</v>
      </c>
      <c r="F372" s="7">
        <v>0</v>
      </c>
      <c r="G372" s="7">
        <v>2</v>
      </c>
      <c r="H372" s="6">
        <v>0.2</v>
      </c>
      <c r="I372" s="8">
        <v>0.21210000000000001</v>
      </c>
      <c r="J372" s="6">
        <v>0.49</v>
      </c>
      <c r="K372" s="8">
        <v>0.1343</v>
      </c>
      <c r="L372" s="7">
        <v>2</v>
      </c>
      <c r="M372" s="7">
        <v>19</v>
      </c>
      <c r="N372" s="7">
        <v>21</v>
      </c>
    </row>
    <row r="373" spans="1:14" x14ac:dyDescent="0.3">
      <c r="A373" s="7">
        <v>372</v>
      </c>
      <c r="B373" s="1">
        <v>40559</v>
      </c>
      <c r="C373" s="7">
        <v>1</v>
      </c>
      <c r="D373" s="7">
        <v>23</v>
      </c>
      <c r="E373" t="b">
        <v>0</v>
      </c>
      <c r="F373" s="7">
        <v>0</v>
      </c>
      <c r="G373" s="7">
        <v>2</v>
      </c>
      <c r="H373" s="6">
        <v>0.2</v>
      </c>
      <c r="I373" s="8">
        <v>0.2273</v>
      </c>
      <c r="J373" s="6">
        <v>0.4</v>
      </c>
      <c r="K373" s="8">
        <v>0.1045</v>
      </c>
      <c r="L373" s="7">
        <v>0</v>
      </c>
      <c r="M373" s="7">
        <v>18</v>
      </c>
      <c r="N373" s="7">
        <v>18</v>
      </c>
    </row>
    <row r="374" spans="1:14" x14ac:dyDescent="0.3">
      <c r="A374" s="7">
        <v>373</v>
      </c>
      <c r="B374" s="1">
        <v>40560</v>
      </c>
      <c r="C374" s="7">
        <v>1</v>
      </c>
      <c r="D374" s="7">
        <v>0</v>
      </c>
      <c r="E374" t="b">
        <v>1</v>
      </c>
      <c r="F374" s="7">
        <v>1</v>
      </c>
      <c r="G374" s="7">
        <v>2</v>
      </c>
      <c r="H374" s="6">
        <v>0.2</v>
      </c>
      <c r="I374" s="8">
        <v>0.19700000000000001</v>
      </c>
      <c r="J374" s="6">
        <v>0.47</v>
      </c>
      <c r="K374" s="8">
        <v>0.22389999999999999</v>
      </c>
      <c r="L374" s="7">
        <v>1</v>
      </c>
      <c r="M374" s="7">
        <v>16</v>
      </c>
      <c r="N374" s="7">
        <v>17</v>
      </c>
    </row>
    <row r="375" spans="1:14" x14ac:dyDescent="0.3">
      <c r="A375" s="7">
        <v>374</v>
      </c>
      <c r="B375" s="1">
        <v>40560</v>
      </c>
      <c r="C375" s="7">
        <v>1</v>
      </c>
      <c r="D375" s="7">
        <v>1</v>
      </c>
      <c r="E375" t="b">
        <v>1</v>
      </c>
      <c r="F375" s="7">
        <v>1</v>
      </c>
      <c r="G375" s="7">
        <v>2</v>
      </c>
      <c r="H375" s="6">
        <v>0.2</v>
      </c>
      <c r="I375" s="8">
        <v>0.19700000000000001</v>
      </c>
      <c r="J375" s="6">
        <v>0.44</v>
      </c>
      <c r="K375" s="8">
        <v>0.19400000000000001</v>
      </c>
      <c r="L375" s="7">
        <v>1</v>
      </c>
      <c r="M375" s="7">
        <v>15</v>
      </c>
      <c r="N375" s="7">
        <v>16</v>
      </c>
    </row>
    <row r="376" spans="1:14" x14ac:dyDescent="0.3">
      <c r="A376" s="7">
        <v>375</v>
      </c>
      <c r="B376" s="1">
        <v>40560</v>
      </c>
      <c r="C376" s="7">
        <v>1</v>
      </c>
      <c r="D376" s="7">
        <v>2</v>
      </c>
      <c r="E376" t="b">
        <v>1</v>
      </c>
      <c r="F376" s="7">
        <v>1</v>
      </c>
      <c r="G376" s="7">
        <v>2</v>
      </c>
      <c r="H376" s="6">
        <v>0.18</v>
      </c>
      <c r="I376" s="8">
        <v>0.16669999999999999</v>
      </c>
      <c r="J376" s="6">
        <v>0.43</v>
      </c>
      <c r="K376" s="8">
        <v>0.25369999999999998</v>
      </c>
      <c r="L376" s="7">
        <v>0</v>
      </c>
      <c r="M376" s="7">
        <v>8</v>
      </c>
      <c r="N376" s="7">
        <v>8</v>
      </c>
    </row>
    <row r="377" spans="1:14" x14ac:dyDescent="0.3">
      <c r="A377" s="7">
        <v>376</v>
      </c>
      <c r="B377" s="1">
        <v>40560</v>
      </c>
      <c r="C377" s="7">
        <v>1</v>
      </c>
      <c r="D377" s="7">
        <v>3</v>
      </c>
      <c r="E377" t="b">
        <v>1</v>
      </c>
      <c r="F377" s="7">
        <v>1</v>
      </c>
      <c r="G377" s="7">
        <v>2</v>
      </c>
      <c r="H377" s="6">
        <v>0.18</v>
      </c>
      <c r="I377" s="8">
        <v>0.18179999999999999</v>
      </c>
      <c r="J377" s="6">
        <v>0.43</v>
      </c>
      <c r="K377" s="8">
        <v>0.19400000000000001</v>
      </c>
      <c r="L377" s="7">
        <v>0</v>
      </c>
      <c r="M377" s="7">
        <v>2</v>
      </c>
      <c r="N377" s="7">
        <v>2</v>
      </c>
    </row>
    <row r="378" spans="1:14" x14ac:dyDescent="0.3">
      <c r="A378" s="7">
        <v>377</v>
      </c>
      <c r="B378" s="1">
        <v>40560</v>
      </c>
      <c r="C378" s="7">
        <v>1</v>
      </c>
      <c r="D378" s="7">
        <v>4</v>
      </c>
      <c r="E378" t="b">
        <v>1</v>
      </c>
      <c r="F378" s="7">
        <v>1</v>
      </c>
      <c r="G378" s="7">
        <v>2</v>
      </c>
      <c r="H378" s="6">
        <v>0.18</v>
      </c>
      <c r="I378" s="8">
        <v>0.19700000000000001</v>
      </c>
      <c r="J378" s="6">
        <v>0.43</v>
      </c>
      <c r="K378" s="8">
        <v>0.1343</v>
      </c>
      <c r="L378" s="7">
        <v>1</v>
      </c>
      <c r="M378" s="7">
        <v>2</v>
      </c>
      <c r="N378" s="7">
        <v>3</v>
      </c>
    </row>
    <row r="379" spans="1:14" x14ac:dyDescent="0.3">
      <c r="A379" s="7">
        <v>378</v>
      </c>
      <c r="B379" s="1">
        <v>40560</v>
      </c>
      <c r="C379" s="7">
        <v>1</v>
      </c>
      <c r="D379" s="7">
        <v>5</v>
      </c>
      <c r="E379" t="b">
        <v>1</v>
      </c>
      <c r="F379" s="7">
        <v>1</v>
      </c>
      <c r="G379" s="7">
        <v>2</v>
      </c>
      <c r="H379" s="6">
        <v>0.18</v>
      </c>
      <c r="I379" s="8">
        <v>0.19700000000000001</v>
      </c>
      <c r="J379" s="6">
        <v>0.43</v>
      </c>
      <c r="K379" s="8">
        <v>0.16420000000000001</v>
      </c>
      <c r="L379" s="7">
        <v>0</v>
      </c>
      <c r="M379" s="7">
        <v>1</v>
      </c>
      <c r="N379" s="7">
        <v>1</v>
      </c>
    </row>
    <row r="380" spans="1:14" x14ac:dyDescent="0.3">
      <c r="A380" s="7">
        <v>379</v>
      </c>
      <c r="B380" s="1">
        <v>40560</v>
      </c>
      <c r="C380" s="7">
        <v>1</v>
      </c>
      <c r="D380" s="7">
        <v>6</v>
      </c>
      <c r="E380" t="b">
        <v>1</v>
      </c>
      <c r="F380" s="7">
        <v>1</v>
      </c>
      <c r="G380" s="7">
        <v>2</v>
      </c>
      <c r="H380" s="6">
        <v>0.18</v>
      </c>
      <c r="I380" s="8">
        <v>0.18179999999999999</v>
      </c>
      <c r="J380" s="6">
        <v>0.43</v>
      </c>
      <c r="K380" s="8">
        <v>0.19400000000000001</v>
      </c>
      <c r="L380" s="7">
        <v>0</v>
      </c>
      <c r="M380" s="7">
        <v>5</v>
      </c>
      <c r="N380" s="7">
        <v>5</v>
      </c>
    </row>
    <row r="381" spans="1:14" x14ac:dyDescent="0.3">
      <c r="A381" s="7">
        <v>380</v>
      </c>
      <c r="B381" s="1">
        <v>40560</v>
      </c>
      <c r="C381" s="7">
        <v>1</v>
      </c>
      <c r="D381" s="7">
        <v>7</v>
      </c>
      <c r="E381" t="b">
        <v>1</v>
      </c>
      <c r="F381" s="7">
        <v>1</v>
      </c>
      <c r="G381" s="7">
        <v>2</v>
      </c>
      <c r="H381" s="6">
        <v>0.16</v>
      </c>
      <c r="I381" s="8">
        <v>0.18179999999999999</v>
      </c>
      <c r="J381" s="6">
        <v>0.5</v>
      </c>
      <c r="K381" s="8">
        <v>0.1343</v>
      </c>
      <c r="L381" s="7">
        <v>4</v>
      </c>
      <c r="M381" s="7">
        <v>9</v>
      </c>
      <c r="N381" s="7">
        <v>13</v>
      </c>
    </row>
    <row r="382" spans="1:14" x14ac:dyDescent="0.3">
      <c r="A382" s="7">
        <v>381</v>
      </c>
      <c r="B382" s="1">
        <v>40560</v>
      </c>
      <c r="C382" s="7">
        <v>1</v>
      </c>
      <c r="D382" s="7">
        <v>8</v>
      </c>
      <c r="E382" t="b">
        <v>1</v>
      </c>
      <c r="F382" s="7">
        <v>1</v>
      </c>
      <c r="G382" s="7">
        <v>2</v>
      </c>
      <c r="H382" s="6">
        <v>0.16</v>
      </c>
      <c r="I382" s="8">
        <v>0.1515</v>
      </c>
      <c r="J382" s="6">
        <v>0.47</v>
      </c>
      <c r="K382" s="8">
        <v>0.22389999999999999</v>
      </c>
      <c r="L382" s="7">
        <v>3</v>
      </c>
      <c r="M382" s="7">
        <v>30</v>
      </c>
      <c r="N382" s="7">
        <v>33</v>
      </c>
    </row>
    <row r="383" spans="1:14" x14ac:dyDescent="0.3">
      <c r="A383" s="7">
        <v>382</v>
      </c>
      <c r="B383" s="1">
        <v>40560</v>
      </c>
      <c r="C383" s="7">
        <v>1</v>
      </c>
      <c r="D383" s="7">
        <v>9</v>
      </c>
      <c r="E383" t="b">
        <v>1</v>
      </c>
      <c r="F383" s="7">
        <v>1</v>
      </c>
      <c r="G383" s="7">
        <v>2</v>
      </c>
      <c r="H383" s="6">
        <v>0.16</v>
      </c>
      <c r="I383" s="8">
        <v>0.1515</v>
      </c>
      <c r="J383" s="6">
        <v>0.47</v>
      </c>
      <c r="K383" s="8">
        <v>0.22389999999999999</v>
      </c>
      <c r="L383" s="7">
        <v>8</v>
      </c>
      <c r="M383" s="7">
        <v>39</v>
      </c>
      <c r="N383" s="7">
        <v>47</v>
      </c>
    </row>
    <row r="384" spans="1:14" x14ac:dyDescent="0.3">
      <c r="A384" s="7">
        <v>383</v>
      </c>
      <c r="B384" s="1">
        <v>40560</v>
      </c>
      <c r="C384" s="7">
        <v>1</v>
      </c>
      <c r="D384" s="7">
        <v>10</v>
      </c>
      <c r="E384" t="b">
        <v>1</v>
      </c>
      <c r="F384" s="7">
        <v>1</v>
      </c>
      <c r="G384" s="7">
        <v>2</v>
      </c>
      <c r="H384" s="6">
        <v>0.16</v>
      </c>
      <c r="I384" s="8">
        <v>0.1515</v>
      </c>
      <c r="J384" s="6">
        <v>0.5</v>
      </c>
      <c r="K384" s="8">
        <v>0.25369999999999998</v>
      </c>
      <c r="L384" s="7">
        <v>7</v>
      </c>
      <c r="M384" s="7">
        <v>50</v>
      </c>
      <c r="N384" s="7">
        <v>57</v>
      </c>
    </row>
    <row r="385" spans="1:14" x14ac:dyDescent="0.3">
      <c r="A385" s="7">
        <v>384</v>
      </c>
      <c r="B385" s="1">
        <v>40560</v>
      </c>
      <c r="C385" s="7">
        <v>1</v>
      </c>
      <c r="D385" s="7">
        <v>11</v>
      </c>
      <c r="E385" t="b">
        <v>1</v>
      </c>
      <c r="F385" s="7">
        <v>1</v>
      </c>
      <c r="G385" s="7">
        <v>2</v>
      </c>
      <c r="H385" s="6">
        <v>0.16</v>
      </c>
      <c r="I385" s="8">
        <v>0.1515</v>
      </c>
      <c r="J385" s="6">
        <v>0.55000000000000004</v>
      </c>
      <c r="K385" s="8">
        <v>0.19400000000000001</v>
      </c>
      <c r="L385" s="7">
        <v>9</v>
      </c>
      <c r="M385" s="7">
        <v>55</v>
      </c>
      <c r="N385" s="7">
        <v>64</v>
      </c>
    </row>
    <row r="386" spans="1:14" x14ac:dyDescent="0.3">
      <c r="A386" s="7">
        <v>385</v>
      </c>
      <c r="B386" s="1">
        <v>40560</v>
      </c>
      <c r="C386" s="7">
        <v>1</v>
      </c>
      <c r="D386" s="7">
        <v>12</v>
      </c>
      <c r="E386" t="b">
        <v>1</v>
      </c>
      <c r="F386" s="7">
        <v>1</v>
      </c>
      <c r="G386" s="7">
        <v>2</v>
      </c>
      <c r="H386" s="6">
        <v>0.18</v>
      </c>
      <c r="I386" s="8">
        <v>0.19700000000000001</v>
      </c>
      <c r="J386" s="6">
        <v>0.47</v>
      </c>
      <c r="K386" s="8">
        <v>0.1343</v>
      </c>
      <c r="L386" s="7">
        <v>10</v>
      </c>
      <c r="M386" s="7">
        <v>70</v>
      </c>
      <c r="N386" s="7">
        <v>80</v>
      </c>
    </row>
    <row r="387" spans="1:14" x14ac:dyDescent="0.3">
      <c r="A387" s="7">
        <v>386</v>
      </c>
      <c r="B387" s="1">
        <v>40560</v>
      </c>
      <c r="C387" s="7">
        <v>1</v>
      </c>
      <c r="D387" s="7">
        <v>13</v>
      </c>
      <c r="E387" t="b">
        <v>1</v>
      </c>
      <c r="F387" s="7">
        <v>1</v>
      </c>
      <c r="G387" s="7">
        <v>2</v>
      </c>
      <c r="H387" s="6">
        <v>0.18</v>
      </c>
      <c r="I387" s="8">
        <v>0.19700000000000001</v>
      </c>
      <c r="J387" s="6">
        <v>0.47</v>
      </c>
      <c r="K387" s="8">
        <v>0.1343</v>
      </c>
      <c r="L387" s="7">
        <v>13</v>
      </c>
      <c r="M387" s="7">
        <v>80</v>
      </c>
      <c r="N387" s="7">
        <v>93</v>
      </c>
    </row>
    <row r="388" spans="1:14" x14ac:dyDescent="0.3">
      <c r="A388" s="7">
        <v>387</v>
      </c>
      <c r="B388" s="1">
        <v>40560</v>
      </c>
      <c r="C388" s="7">
        <v>1</v>
      </c>
      <c r="D388" s="7">
        <v>14</v>
      </c>
      <c r="E388" t="b">
        <v>1</v>
      </c>
      <c r="F388" s="7">
        <v>1</v>
      </c>
      <c r="G388" s="7">
        <v>2</v>
      </c>
      <c r="H388" s="6">
        <v>0.18</v>
      </c>
      <c r="I388" s="8">
        <v>0.21210000000000001</v>
      </c>
      <c r="J388" s="6">
        <v>0.43</v>
      </c>
      <c r="K388" s="8">
        <v>0.1045</v>
      </c>
      <c r="L388" s="7">
        <v>12</v>
      </c>
      <c r="M388" s="7">
        <v>74</v>
      </c>
      <c r="N388" s="7">
        <v>86</v>
      </c>
    </row>
    <row r="389" spans="1:14" x14ac:dyDescent="0.3">
      <c r="A389" s="7">
        <v>388</v>
      </c>
      <c r="B389" s="1">
        <v>40560</v>
      </c>
      <c r="C389" s="7">
        <v>1</v>
      </c>
      <c r="D389" s="7">
        <v>15</v>
      </c>
      <c r="E389" t="b">
        <v>1</v>
      </c>
      <c r="F389" s="7">
        <v>1</v>
      </c>
      <c r="G389" s="7">
        <v>2</v>
      </c>
      <c r="H389" s="6">
        <v>0.2</v>
      </c>
      <c r="I389" s="8">
        <v>0.21210000000000001</v>
      </c>
      <c r="J389" s="6">
        <v>0.47</v>
      </c>
      <c r="K389" s="8">
        <v>0.16420000000000001</v>
      </c>
      <c r="L389" s="7">
        <v>21</v>
      </c>
      <c r="M389" s="7">
        <v>72</v>
      </c>
      <c r="N389" s="7">
        <v>93</v>
      </c>
    </row>
    <row r="390" spans="1:14" x14ac:dyDescent="0.3">
      <c r="A390" s="7">
        <v>389</v>
      </c>
      <c r="B390" s="1">
        <v>40560</v>
      </c>
      <c r="C390" s="7">
        <v>1</v>
      </c>
      <c r="D390" s="7">
        <v>16</v>
      </c>
      <c r="E390" t="b">
        <v>1</v>
      </c>
      <c r="F390" s="7">
        <v>1</v>
      </c>
      <c r="G390" s="7">
        <v>2</v>
      </c>
      <c r="H390" s="6">
        <v>0.2</v>
      </c>
      <c r="I390" s="8">
        <v>0.21210000000000001</v>
      </c>
      <c r="J390" s="6">
        <v>0.47</v>
      </c>
      <c r="K390" s="8">
        <v>0.16420000000000001</v>
      </c>
      <c r="L390" s="7">
        <v>6</v>
      </c>
      <c r="M390" s="7">
        <v>76</v>
      </c>
      <c r="N390" s="7">
        <v>82</v>
      </c>
    </row>
    <row r="391" spans="1:14" x14ac:dyDescent="0.3">
      <c r="A391" s="7">
        <v>390</v>
      </c>
      <c r="B391" s="1">
        <v>40560</v>
      </c>
      <c r="C391" s="7">
        <v>1</v>
      </c>
      <c r="D391" s="7">
        <v>17</v>
      </c>
      <c r="E391" t="b">
        <v>1</v>
      </c>
      <c r="F391" s="7">
        <v>1</v>
      </c>
      <c r="G391" s="7">
        <v>1</v>
      </c>
      <c r="H391" s="6">
        <v>0.2</v>
      </c>
      <c r="I391" s="8">
        <v>0.19700000000000001</v>
      </c>
      <c r="J391" s="6">
        <v>0.51</v>
      </c>
      <c r="K391" s="8">
        <v>0.19400000000000001</v>
      </c>
      <c r="L391" s="7">
        <v>4</v>
      </c>
      <c r="M391" s="7">
        <v>67</v>
      </c>
      <c r="N391" s="7">
        <v>71</v>
      </c>
    </row>
    <row r="392" spans="1:14" x14ac:dyDescent="0.3">
      <c r="A392" s="7">
        <v>391</v>
      </c>
      <c r="B392" s="1">
        <v>40560</v>
      </c>
      <c r="C392" s="7">
        <v>1</v>
      </c>
      <c r="D392" s="7">
        <v>18</v>
      </c>
      <c r="E392" t="b">
        <v>1</v>
      </c>
      <c r="F392" s="7">
        <v>1</v>
      </c>
      <c r="G392" s="7">
        <v>2</v>
      </c>
      <c r="H392" s="6">
        <v>0.18</v>
      </c>
      <c r="I392" s="8">
        <v>0.16669999999999999</v>
      </c>
      <c r="J392" s="6">
        <v>0.55000000000000004</v>
      </c>
      <c r="K392" s="8">
        <v>0.25369999999999998</v>
      </c>
      <c r="L392" s="7">
        <v>7</v>
      </c>
      <c r="M392" s="7">
        <v>85</v>
      </c>
      <c r="N392" s="7">
        <v>92</v>
      </c>
    </row>
    <row r="393" spans="1:14" x14ac:dyDescent="0.3">
      <c r="A393" s="7">
        <v>392</v>
      </c>
      <c r="B393" s="1">
        <v>40560</v>
      </c>
      <c r="C393" s="7">
        <v>1</v>
      </c>
      <c r="D393" s="7">
        <v>19</v>
      </c>
      <c r="E393" t="b">
        <v>1</v>
      </c>
      <c r="F393" s="7">
        <v>1</v>
      </c>
      <c r="G393" s="7">
        <v>3</v>
      </c>
      <c r="H393" s="6">
        <v>0.18</v>
      </c>
      <c r="I393" s="8">
        <v>0.18179999999999999</v>
      </c>
      <c r="J393" s="6">
        <v>0.59</v>
      </c>
      <c r="K393" s="8">
        <v>0.19400000000000001</v>
      </c>
      <c r="L393" s="7">
        <v>2</v>
      </c>
      <c r="M393" s="7">
        <v>58</v>
      </c>
      <c r="N393" s="7">
        <v>60</v>
      </c>
    </row>
    <row r="394" spans="1:14" x14ac:dyDescent="0.3">
      <c r="A394" s="7">
        <v>393</v>
      </c>
      <c r="B394" s="1">
        <v>40560</v>
      </c>
      <c r="C394" s="7">
        <v>1</v>
      </c>
      <c r="D394" s="7">
        <v>20</v>
      </c>
      <c r="E394" t="b">
        <v>1</v>
      </c>
      <c r="F394" s="7">
        <v>1</v>
      </c>
      <c r="G394" s="7">
        <v>3</v>
      </c>
      <c r="H394" s="6">
        <v>0.16</v>
      </c>
      <c r="I394" s="8">
        <v>0.1515</v>
      </c>
      <c r="J394" s="6">
        <v>0.8</v>
      </c>
      <c r="K394" s="8">
        <v>0.19400000000000001</v>
      </c>
      <c r="L394" s="7">
        <v>4</v>
      </c>
      <c r="M394" s="7">
        <v>29</v>
      </c>
      <c r="N394" s="7">
        <v>33</v>
      </c>
    </row>
    <row r="395" spans="1:14" x14ac:dyDescent="0.3">
      <c r="A395" s="7">
        <v>394</v>
      </c>
      <c r="B395" s="1">
        <v>40560</v>
      </c>
      <c r="C395" s="7">
        <v>1</v>
      </c>
      <c r="D395" s="7">
        <v>21</v>
      </c>
      <c r="E395" t="b">
        <v>1</v>
      </c>
      <c r="F395" s="7">
        <v>1</v>
      </c>
      <c r="G395" s="7">
        <v>3</v>
      </c>
      <c r="H395" s="6">
        <v>0.16</v>
      </c>
      <c r="I395" s="8">
        <v>0.1515</v>
      </c>
      <c r="J395" s="6">
        <v>0.8</v>
      </c>
      <c r="K395" s="8">
        <v>0.19400000000000001</v>
      </c>
      <c r="L395" s="7">
        <v>3</v>
      </c>
      <c r="M395" s="7">
        <v>24</v>
      </c>
      <c r="N395" s="7">
        <v>27</v>
      </c>
    </row>
    <row r="396" spans="1:14" x14ac:dyDescent="0.3">
      <c r="A396" s="7">
        <v>395</v>
      </c>
      <c r="B396" s="1">
        <v>40560</v>
      </c>
      <c r="C396" s="7">
        <v>1</v>
      </c>
      <c r="D396" s="7">
        <v>22</v>
      </c>
      <c r="E396" t="b">
        <v>1</v>
      </c>
      <c r="F396" s="7">
        <v>1</v>
      </c>
      <c r="G396" s="7">
        <v>3</v>
      </c>
      <c r="H396" s="6">
        <v>0.14000000000000001</v>
      </c>
      <c r="I396" s="8">
        <v>0.1212</v>
      </c>
      <c r="J396" s="6">
        <v>0.93</v>
      </c>
      <c r="K396" s="8">
        <v>0.25369999999999998</v>
      </c>
      <c r="L396" s="7">
        <v>0</v>
      </c>
      <c r="M396" s="7">
        <v>13</v>
      </c>
      <c r="N396" s="7">
        <v>13</v>
      </c>
    </row>
    <row r="397" spans="1:14" x14ac:dyDescent="0.3">
      <c r="A397" s="7">
        <v>396</v>
      </c>
      <c r="B397" s="1">
        <v>40560</v>
      </c>
      <c r="C397" s="7">
        <v>1</v>
      </c>
      <c r="D397" s="7">
        <v>23</v>
      </c>
      <c r="E397" t="b">
        <v>1</v>
      </c>
      <c r="F397" s="7">
        <v>1</v>
      </c>
      <c r="G397" s="7">
        <v>3</v>
      </c>
      <c r="H397" s="6">
        <v>0.16</v>
      </c>
      <c r="I397" s="8">
        <v>0.13639999999999999</v>
      </c>
      <c r="J397" s="6">
        <v>0.86</v>
      </c>
      <c r="K397" s="8">
        <v>0.28360000000000002</v>
      </c>
      <c r="L397" s="7">
        <v>1</v>
      </c>
      <c r="M397" s="7">
        <v>3</v>
      </c>
      <c r="N397" s="7">
        <v>4</v>
      </c>
    </row>
    <row r="398" spans="1:14" x14ac:dyDescent="0.3">
      <c r="A398" s="7">
        <v>397</v>
      </c>
      <c r="B398" s="1">
        <v>40561</v>
      </c>
      <c r="C398" s="7">
        <v>1</v>
      </c>
      <c r="D398" s="7">
        <v>12</v>
      </c>
      <c r="E398" t="b">
        <v>0</v>
      </c>
      <c r="F398" s="7">
        <v>2</v>
      </c>
      <c r="G398" s="7">
        <v>2</v>
      </c>
      <c r="H398" s="6">
        <v>0.2</v>
      </c>
      <c r="I398" s="8">
        <v>0.18179999999999999</v>
      </c>
      <c r="J398" s="6">
        <v>0.86</v>
      </c>
      <c r="K398" s="8">
        <v>0.32840000000000003</v>
      </c>
      <c r="L398" s="7">
        <v>0</v>
      </c>
      <c r="M398" s="7">
        <v>3</v>
      </c>
      <c r="N398" s="7">
        <v>3</v>
      </c>
    </row>
    <row r="399" spans="1:14" x14ac:dyDescent="0.3">
      <c r="A399" s="7">
        <v>398</v>
      </c>
      <c r="B399" s="1">
        <v>40561</v>
      </c>
      <c r="C399" s="7">
        <v>1</v>
      </c>
      <c r="D399" s="7">
        <v>13</v>
      </c>
      <c r="E399" t="b">
        <v>0</v>
      </c>
      <c r="F399" s="7">
        <v>2</v>
      </c>
      <c r="G399" s="7">
        <v>2</v>
      </c>
      <c r="H399" s="6">
        <v>0.2</v>
      </c>
      <c r="I399" s="8">
        <v>0.19700000000000001</v>
      </c>
      <c r="J399" s="6">
        <v>0.86</v>
      </c>
      <c r="K399" s="8">
        <v>0.22389999999999999</v>
      </c>
      <c r="L399" s="7">
        <v>0</v>
      </c>
      <c r="M399" s="7">
        <v>22</v>
      </c>
      <c r="N399" s="7">
        <v>22</v>
      </c>
    </row>
    <row r="400" spans="1:14" x14ac:dyDescent="0.3">
      <c r="A400" s="7">
        <v>399</v>
      </c>
      <c r="B400" s="1">
        <v>40561</v>
      </c>
      <c r="C400" s="7">
        <v>1</v>
      </c>
      <c r="D400" s="7">
        <v>14</v>
      </c>
      <c r="E400" t="b">
        <v>0</v>
      </c>
      <c r="F400" s="7">
        <v>2</v>
      </c>
      <c r="G400" s="7">
        <v>2</v>
      </c>
      <c r="H400" s="6">
        <v>0.22</v>
      </c>
      <c r="I400" s="8">
        <v>0.2273</v>
      </c>
      <c r="J400" s="6">
        <v>0.8</v>
      </c>
      <c r="K400" s="8">
        <v>0.16420000000000001</v>
      </c>
      <c r="L400" s="7">
        <v>2</v>
      </c>
      <c r="M400" s="7">
        <v>26</v>
      </c>
      <c r="N400" s="7">
        <v>28</v>
      </c>
    </row>
    <row r="401" spans="1:14" x14ac:dyDescent="0.3">
      <c r="A401" s="7">
        <v>400</v>
      </c>
      <c r="B401" s="1">
        <v>40561</v>
      </c>
      <c r="C401" s="7">
        <v>1</v>
      </c>
      <c r="D401" s="7">
        <v>15</v>
      </c>
      <c r="E401" t="b">
        <v>0</v>
      </c>
      <c r="F401" s="7">
        <v>2</v>
      </c>
      <c r="G401" s="7">
        <v>2</v>
      </c>
      <c r="H401" s="6">
        <v>0.22</v>
      </c>
      <c r="I401" s="8">
        <v>0.2273</v>
      </c>
      <c r="J401" s="6">
        <v>0.87</v>
      </c>
      <c r="K401" s="8">
        <v>0.16420000000000001</v>
      </c>
      <c r="L401" s="7">
        <v>3</v>
      </c>
      <c r="M401" s="7">
        <v>32</v>
      </c>
      <c r="N401" s="7">
        <v>35</v>
      </c>
    </row>
    <row r="402" spans="1:14" x14ac:dyDescent="0.3">
      <c r="A402" s="7">
        <v>401</v>
      </c>
      <c r="B402" s="1">
        <v>40561</v>
      </c>
      <c r="C402" s="7">
        <v>1</v>
      </c>
      <c r="D402" s="7">
        <v>16</v>
      </c>
      <c r="E402" t="b">
        <v>0</v>
      </c>
      <c r="F402" s="7">
        <v>2</v>
      </c>
      <c r="G402" s="7">
        <v>2</v>
      </c>
      <c r="H402" s="6">
        <v>0.22</v>
      </c>
      <c r="I402" s="8">
        <v>0.2273</v>
      </c>
      <c r="J402" s="6">
        <v>0.87</v>
      </c>
      <c r="K402" s="8">
        <v>0.19400000000000001</v>
      </c>
      <c r="L402" s="7">
        <v>0</v>
      </c>
      <c r="M402" s="7">
        <v>61</v>
      </c>
      <c r="N402" s="7">
        <v>61</v>
      </c>
    </row>
    <row r="403" spans="1:14" x14ac:dyDescent="0.3">
      <c r="A403" s="7">
        <v>402</v>
      </c>
      <c r="B403" s="1">
        <v>40561</v>
      </c>
      <c r="C403" s="7">
        <v>1</v>
      </c>
      <c r="D403" s="7">
        <v>17</v>
      </c>
      <c r="E403" t="b">
        <v>0</v>
      </c>
      <c r="F403" s="7">
        <v>2</v>
      </c>
      <c r="G403" s="7">
        <v>2</v>
      </c>
      <c r="H403" s="6">
        <v>0.22</v>
      </c>
      <c r="I403" s="8">
        <v>0.2273</v>
      </c>
      <c r="J403" s="6">
        <v>0.82</v>
      </c>
      <c r="K403" s="8">
        <v>0.19400000000000001</v>
      </c>
      <c r="L403" s="7">
        <v>1</v>
      </c>
      <c r="M403" s="7">
        <v>124</v>
      </c>
      <c r="N403" s="7">
        <v>125</v>
      </c>
    </row>
    <row r="404" spans="1:14" x14ac:dyDescent="0.3">
      <c r="A404" s="7">
        <v>403</v>
      </c>
      <c r="B404" s="1">
        <v>40561</v>
      </c>
      <c r="C404" s="7">
        <v>1</v>
      </c>
      <c r="D404" s="7">
        <v>18</v>
      </c>
      <c r="E404" t="b">
        <v>0</v>
      </c>
      <c r="F404" s="7">
        <v>2</v>
      </c>
      <c r="G404" s="7">
        <v>2</v>
      </c>
      <c r="H404" s="6">
        <v>0.22</v>
      </c>
      <c r="I404" s="8">
        <v>0.2273</v>
      </c>
      <c r="J404" s="6">
        <v>0.8</v>
      </c>
      <c r="K404" s="8">
        <v>0.16420000000000001</v>
      </c>
      <c r="L404" s="7">
        <v>1</v>
      </c>
      <c r="M404" s="7">
        <v>132</v>
      </c>
      <c r="N404" s="7">
        <v>133</v>
      </c>
    </row>
    <row r="405" spans="1:14" x14ac:dyDescent="0.3">
      <c r="A405" s="7">
        <v>404</v>
      </c>
      <c r="B405" s="1">
        <v>40561</v>
      </c>
      <c r="C405" s="7">
        <v>1</v>
      </c>
      <c r="D405" s="7">
        <v>19</v>
      </c>
      <c r="E405" t="b">
        <v>0</v>
      </c>
      <c r="F405" s="7">
        <v>2</v>
      </c>
      <c r="G405" s="7">
        <v>2</v>
      </c>
      <c r="H405" s="6">
        <v>0.22</v>
      </c>
      <c r="I405" s="8">
        <v>0.2273</v>
      </c>
      <c r="J405" s="6">
        <v>0.8</v>
      </c>
      <c r="K405" s="8">
        <v>0.1343</v>
      </c>
      <c r="L405" s="7">
        <v>1</v>
      </c>
      <c r="M405" s="7">
        <v>98</v>
      </c>
      <c r="N405" s="7">
        <v>99</v>
      </c>
    </row>
    <row r="406" spans="1:14" x14ac:dyDescent="0.3">
      <c r="A406" s="7">
        <v>405</v>
      </c>
      <c r="B406" s="1">
        <v>40561</v>
      </c>
      <c r="C406" s="7">
        <v>1</v>
      </c>
      <c r="D406" s="7">
        <v>20</v>
      </c>
      <c r="E406" t="b">
        <v>0</v>
      </c>
      <c r="F406" s="7">
        <v>2</v>
      </c>
      <c r="G406" s="7">
        <v>2</v>
      </c>
      <c r="H406" s="6">
        <v>0.22</v>
      </c>
      <c r="I406" s="8">
        <v>0.2727</v>
      </c>
      <c r="J406" s="6">
        <v>0.87</v>
      </c>
      <c r="K406" s="8">
        <v>0</v>
      </c>
      <c r="L406" s="7">
        <v>0</v>
      </c>
      <c r="M406" s="7">
        <v>83</v>
      </c>
      <c r="N406" s="7">
        <v>83</v>
      </c>
    </row>
    <row r="407" spans="1:14" x14ac:dyDescent="0.3">
      <c r="A407" s="7">
        <v>406</v>
      </c>
      <c r="B407" s="1">
        <v>40561</v>
      </c>
      <c r="C407" s="7">
        <v>1</v>
      </c>
      <c r="D407" s="7">
        <v>21</v>
      </c>
      <c r="E407" t="b">
        <v>0</v>
      </c>
      <c r="F407" s="7">
        <v>2</v>
      </c>
      <c r="G407" s="7">
        <v>2</v>
      </c>
      <c r="H407" s="6">
        <v>0.22</v>
      </c>
      <c r="I407" s="8">
        <v>0.2424</v>
      </c>
      <c r="J407" s="6">
        <v>0.93</v>
      </c>
      <c r="K407" s="8">
        <v>0.1045</v>
      </c>
      <c r="L407" s="7">
        <v>0</v>
      </c>
      <c r="M407" s="7">
        <v>41</v>
      </c>
      <c r="N407" s="7">
        <v>41</v>
      </c>
    </row>
    <row r="408" spans="1:14" x14ac:dyDescent="0.3">
      <c r="A408" s="7">
        <v>407</v>
      </c>
      <c r="B408" s="1">
        <v>40561</v>
      </c>
      <c r="C408" s="7">
        <v>1</v>
      </c>
      <c r="D408" s="7">
        <v>22</v>
      </c>
      <c r="E408" t="b">
        <v>0</v>
      </c>
      <c r="F408" s="7">
        <v>2</v>
      </c>
      <c r="G408" s="7">
        <v>2</v>
      </c>
      <c r="H408" s="6">
        <v>0.22</v>
      </c>
      <c r="I408" s="8">
        <v>0.2576</v>
      </c>
      <c r="J408" s="6">
        <v>0.93</v>
      </c>
      <c r="K408" s="8">
        <v>8.9599999999999999E-2</v>
      </c>
      <c r="L408" s="7">
        <v>0</v>
      </c>
      <c r="M408" s="7">
        <v>33</v>
      </c>
      <c r="N408" s="7">
        <v>33</v>
      </c>
    </row>
    <row r="409" spans="1:14" x14ac:dyDescent="0.3">
      <c r="A409" s="7">
        <v>408</v>
      </c>
      <c r="B409" s="1">
        <v>40561</v>
      </c>
      <c r="C409" s="7">
        <v>1</v>
      </c>
      <c r="D409" s="7">
        <v>23</v>
      </c>
      <c r="E409" t="b">
        <v>0</v>
      </c>
      <c r="F409" s="7">
        <v>2</v>
      </c>
      <c r="G409" s="7">
        <v>2</v>
      </c>
      <c r="H409" s="6">
        <v>0.22</v>
      </c>
      <c r="I409" s="8">
        <v>0.2727</v>
      </c>
      <c r="J409" s="6">
        <v>0.93</v>
      </c>
      <c r="K409" s="8">
        <v>0</v>
      </c>
      <c r="L409" s="7">
        <v>1</v>
      </c>
      <c r="M409" s="7">
        <v>19</v>
      </c>
      <c r="N409" s="7">
        <v>20</v>
      </c>
    </row>
    <row r="410" spans="1:14" x14ac:dyDescent="0.3">
      <c r="A410" s="7">
        <v>409</v>
      </c>
      <c r="B410" s="1">
        <v>40562</v>
      </c>
      <c r="C410" s="7">
        <v>1</v>
      </c>
      <c r="D410" s="7">
        <v>0</v>
      </c>
      <c r="E410" t="b">
        <v>0</v>
      </c>
      <c r="F410" s="7">
        <v>3</v>
      </c>
      <c r="G410" s="7">
        <v>2</v>
      </c>
      <c r="H410" s="6">
        <v>0.22</v>
      </c>
      <c r="I410" s="8">
        <v>0.2727</v>
      </c>
      <c r="J410" s="6">
        <v>0.93</v>
      </c>
      <c r="K410" s="8">
        <v>0</v>
      </c>
      <c r="L410" s="7">
        <v>0</v>
      </c>
      <c r="M410" s="7">
        <v>3</v>
      </c>
      <c r="N410" s="7">
        <v>3</v>
      </c>
    </row>
    <row r="411" spans="1:14" x14ac:dyDescent="0.3">
      <c r="A411" s="7">
        <v>410</v>
      </c>
      <c r="B411" s="1">
        <v>40562</v>
      </c>
      <c r="C411" s="7">
        <v>1</v>
      </c>
      <c r="D411" s="7">
        <v>1</v>
      </c>
      <c r="E411" t="b">
        <v>0</v>
      </c>
      <c r="F411" s="7">
        <v>3</v>
      </c>
      <c r="G411" s="7">
        <v>3</v>
      </c>
      <c r="H411" s="6">
        <v>0.22</v>
      </c>
      <c r="I411" s="8">
        <v>0.2273</v>
      </c>
      <c r="J411" s="6">
        <v>0.93</v>
      </c>
      <c r="K411" s="8">
        <v>0.1343</v>
      </c>
      <c r="L411" s="7">
        <v>1</v>
      </c>
      <c r="M411" s="7">
        <v>6</v>
      </c>
      <c r="N411" s="7">
        <v>7</v>
      </c>
    </row>
    <row r="412" spans="1:14" x14ac:dyDescent="0.3">
      <c r="A412" s="7">
        <v>411</v>
      </c>
      <c r="B412" s="1">
        <v>40562</v>
      </c>
      <c r="C412" s="7">
        <v>1</v>
      </c>
      <c r="D412" s="7">
        <v>2</v>
      </c>
      <c r="E412" t="b">
        <v>0</v>
      </c>
      <c r="F412" s="7">
        <v>3</v>
      </c>
      <c r="G412" s="7">
        <v>3</v>
      </c>
      <c r="H412" s="6">
        <v>0.22</v>
      </c>
      <c r="I412" s="8">
        <v>0.2273</v>
      </c>
      <c r="J412" s="6">
        <v>0.93</v>
      </c>
      <c r="K412" s="8">
        <v>0.1343</v>
      </c>
      <c r="L412" s="7">
        <v>0</v>
      </c>
      <c r="M412" s="7">
        <v>3</v>
      </c>
      <c r="N412" s="7">
        <v>3</v>
      </c>
    </row>
    <row r="413" spans="1:14" x14ac:dyDescent="0.3">
      <c r="A413" s="7">
        <v>412</v>
      </c>
      <c r="B413" s="1">
        <v>40562</v>
      </c>
      <c r="C413" s="7">
        <v>1</v>
      </c>
      <c r="D413" s="7">
        <v>4</v>
      </c>
      <c r="E413" t="b">
        <v>0</v>
      </c>
      <c r="F413" s="7">
        <v>3</v>
      </c>
      <c r="G413" s="7">
        <v>3</v>
      </c>
      <c r="H413" s="6">
        <v>0.22</v>
      </c>
      <c r="I413" s="8">
        <v>0.2273</v>
      </c>
      <c r="J413" s="6">
        <v>0.93</v>
      </c>
      <c r="K413" s="8">
        <v>0.1343</v>
      </c>
      <c r="L413" s="7">
        <v>1</v>
      </c>
      <c r="M413" s="7">
        <v>1</v>
      </c>
      <c r="N413" s="7">
        <v>2</v>
      </c>
    </row>
    <row r="414" spans="1:14" x14ac:dyDescent="0.3">
      <c r="A414" s="7">
        <v>413</v>
      </c>
      <c r="B414" s="1">
        <v>40562</v>
      </c>
      <c r="C414" s="7">
        <v>1</v>
      </c>
      <c r="D414" s="7">
        <v>5</v>
      </c>
      <c r="E414" t="b">
        <v>0</v>
      </c>
      <c r="F414" s="7">
        <v>3</v>
      </c>
      <c r="G414" s="7">
        <v>2</v>
      </c>
      <c r="H414" s="6">
        <v>0.22</v>
      </c>
      <c r="I414" s="8">
        <v>0.2576</v>
      </c>
      <c r="J414" s="6">
        <v>0.93</v>
      </c>
      <c r="K414" s="8">
        <v>8.9599999999999999E-2</v>
      </c>
      <c r="L414" s="7">
        <v>0</v>
      </c>
      <c r="M414" s="7">
        <v>7</v>
      </c>
      <c r="N414" s="7">
        <v>7</v>
      </c>
    </row>
    <row r="415" spans="1:14" x14ac:dyDescent="0.3">
      <c r="A415" s="7">
        <v>414</v>
      </c>
      <c r="B415" s="1">
        <v>40562</v>
      </c>
      <c r="C415" s="7">
        <v>1</v>
      </c>
      <c r="D415" s="7">
        <v>6</v>
      </c>
      <c r="E415" t="b">
        <v>0</v>
      </c>
      <c r="F415" s="7">
        <v>3</v>
      </c>
      <c r="G415" s="7">
        <v>2</v>
      </c>
      <c r="H415" s="6">
        <v>0.22</v>
      </c>
      <c r="I415" s="8">
        <v>0.2576</v>
      </c>
      <c r="J415" s="6">
        <v>0.93</v>
      </c>
      <c r="K415" s="8">
        <v>8.9599999999999999E-2</v>
      </c>
      <c r="L415" s="7">
        <v>0</v>
      </c>
      <c r="M415" s="7">
        <v>32</v>
      </c>
      <c r="N415" s="7">
        <v>32</v>
      </c>
    </row>
    <row r="416" spans="1:14" x14ac:dyDescent="0.3">
      <c r="A416" s="7">
        <v>415</v>
      </c>
      <c r="B416" s="1">
        <v>40562</v>
      </c>
      <c r="C416" s="7">
        <v>1</v>
      </c>
      <c r="D416" s="7">
        <v>7</v>
      </c>
      <c r="E416" t="b">
        <v>0</v>
      </c>
      <c r="F416" s="7">
        <v>3</v>
      </c>
      <c r="G416" s="7">
        <v>2</v>
      </c>
      <c r="H416" s="6">
        <v>0.24</v>
      </c>
      <c r="I416" s="8">
        <v>0.2576</v>
      </c>
      <c r="J416" s="6">
        <v>0.92</v>
      </c>
      <c r="K416" s="8">
        <v>0.1045</v>
      </c>
      <c r="L416" s="7">
        <v>1</v>
      </c>
      <c r="M416" s="7">
        <v>89</v>
      </c>
      <c r="N416" s="7">
        <v>90</v>
      </c>
    </row>
    <row r="417" spans="1:14" x14ac:dyDescent="0.3">
      <c r="A417" s="7">
        <v>416</v>
      </c>
      <c r="B417" s="1">
        <v>40562</v>
      </c>
      <c r="C417" s="7">
        <v>1</v>
      </c>
      <c r="D417" s="7">
        <v>8</v>
      </c>
      <c r="E417" t="b">
        <v>0</v>
      </c>
      <c r="F417" s="7">
        <v>3</v>
      </c>
      <c r="G417" s="7">
        <v>2</v>
      </c>
      <c r="H417" s="6">
        <v>0.24</v>
      </c>
      <c r="I417" s="8">
        <v>0.2576</v>
      </c>
      <c r="J417" s="6">
        <v>0.93</v>
      </c>
      <c r="K417" s="8">
        <v>0.1045</v>
      </c>
      <c r="L417" s="7">
        <v>1</v>
      </c>
      <c r="M417" s="7">
        <v>196</v>
      </c>
      <c r="N417" s="7">
        <v>197</v>
      </c>
    </row>
    <row r="418" spans="1:14" x14ac:dyDescent="0.3">
      <c r="A418" s="7">
        <v>417</v>
      </c>
      <c r="B418" s="1">
        <v>40562</v>
      </c>
      <c r="C418" s="7">
        <v>1</v>
      </c>
      <c r="D418" s="7">
        <v>9</v>
      </c>
      <c r="E418" t="b">
        <v>0</v>
      </c>
      <c r="F418" s="7">
        <v>3</v>
      </c>
      <c r="G418" s="7">
        <v>2</v>
      </c>
      <c r="H418" s="6">
        <v>0.24</v>
      </c>
      <c r="I418" s="8">
        <v>0.2576</v>
      </c>
      <c r="J418" s="6">
        <v>0.93</v>
      </c>
      <c r="K418" s="8">
        <v>0.1045</v>
      </c>
      <c r="L418" s="7">
        <v>2</v>
      </c>
      <c r="M418" s="7">
        <v>107</v>
      </c>
      <c r="N418" s="7">
        <v>109</v>
      </c>
    </row>
    <row r="419" spans="1:14" x14ac:dyDescent="0.3">
      <c r="A419" s="7">
        <v>418</v>
      </c>
      <c r="B419" s="1">
        <v>40562</v>
      </c>
      <c r="C419" s="7">
        <v>1</v>
      </c>
      <c r="D419" s="7">
        <v>10</v>
      </c>
      <c r="E419" t="b">
        <v>0</v>
      </c>
      <c r="F419" s="7">
        <v>3</v>
      </c>
      <c r="G419" s="7">
        <v>2</v>
      </c>
      <c r="H419" s="6">
        <v>0.26</v>
      </c>
      <c r="I419" s="8">
        <v>0.2727</v>
      </c>
      <c r="J419" s="6">
        <v>0.93</v>
      </c>
      <c r="K419" s="8">
        <v>0.1343</v>
      </c>
      <c r="L419" s="7">
        <v>1</v>
      </c>
      <c r="M419" s="7">
        <v>46</v>
      </c>
      <c r="N419" s="7">
        <v>47</v>
      </c>
    </row>
    <row r="420" spans="1:14" x14ac:dyDescent="0.3">
      <c r="A420" s="7">
        <v>419</v>
      </c>
      <c r="B420" s="1">
        <v>40562</v>
      </c>
      <c r="C420" s="7">
        <v>1</v>
      </c>
      <c r="D420" s="7">
        <v>11</v>
      </c>
      <c r="E420" t="b">
        <v>0</v>
      </c>
      <c r="F420" s="7">
        <v>3</v>
      </c>
      <c r="G420" s="7">
        <v>2</v>
      </c>
      <c r="H420" s="6">
        <v>0.28000000000000003</v>
      </c>
      <c r="I420" s="8">
        <v>0.30299999999999999</v>
      </c>
      <c r="J420" s="6">
        <v>0.87</v>
      </c>
      <c r="K420" s="8">
        <v>8.9599999999999999E-2</v>
      </c>
      <c r="L420" s="7">
        <v>5</v>
      </c>
      <c r="M420" s="7">
        <v>47</v>
      </c>
      <c r="N420" s="7">
        <v>52</v>
      </c>
    </row>
    <row r="421" spans="1:14" x14ac:dyDescent="0.3">
      <c r="A421" s="7">
        <v>420</v>
      </c>
      <c r="B421" s="1">
        <v>40562</v>
      </c>
      <c r="C421" s="7">
        <v>1</v>
      </c>
      <c r="D421" s="7">
        <v>12</v>
      </c>
      <c r="E421" t="b">
        <v>0</v>
      </c>
      <c r="F421" s="7">
        <v>3</v>
      </c>
      <c r="G421" s="7">
        <v>2</v>
      </c>
      <c r="H421" s="6">
        <v>0.3</v>
      </c>
      <c r="I421" s="8">
        <v>0.31819999999999998</v>
      </c>
      <c r="J421" s="6">
        <v>0.81</v>
      </c>
      <c r="K421" s="8">
        <v>8.9599999999999999E-2</v>
      </c>
      <c r="L421" s="7">
        <v>5</v>
      </c>
      <c r="M421" s="7">
        <v>65</v>
      </c>
      <c r="N421" s="7">
        <v>70</v>
      </c>
    </row>
    <row r="422" spans="1:14" x14ac:dyDescent="0.3">
      <c r="A422" s="7">
        <v>421</v>
      </c>
      <c r="B422" s="1">
        <v>40562</v>
      </c>
      <c r="C422" s="7">
        <v>1</v>
      </c>
      <c r="D422" s="7">
        <v>13</v>
      </c>
      <c r="E422" t="b">
        <v>0</v>
      </c>
      <c r="F422" s="7">
        <v>3</v>
      </c>
      <c r="G422" s="7">
        <v>1</v>
      </c>
      <c r="H422" s="6">
        <v>0.4</v>
      </c>
      <c r="I422" s="8">
        <v>0.40910000000000002</v>
      </c>
      <c r="J422" s="6">
        <v>0.62</v>
      </c>
      <c r="K422" s="8">
        <v>0.28360000000000002</v>
      </c>
      <c r="L422" s="7">
        <v>11</v>
      </c>
      <c r="M422" s="7">
        <v>67</v>
      </c>
      <c r="N422" s="7">
        <v>78</v>
      </c>
    </row>
    <row r="423" spans="1:14" x14ac:dyDescent="0.3">
      <c r="A423" s="7">
        <v>422</v>
      </c>
      <c r="B423" s="1">
        <v>40562</v>
      </c>
      <c r="C423" s="7">
        <v>1</v>
      </c>
      <c r="D423" s="7">
        <v>14</v>
      </c>
      <c r="E423" t="b">
        <v>0</v>
      </c>
      <c r="F423" s="7">
        <v>3</v>
      </c>
      <c r="G423" s="7">
        <v>1</v>
      </c>
      <c r="H423" s="6">
        <v>0.4</v>
      </c>
      <c r="I423" s="8">
        <v>0.40910000000000002</v>
      </c>
      <c r="J423" s="6">
        <v>0.57999999999999996</v>
      </c>
      <c r="K423" s="8">
        <v>0.25369999999999998</v>
      </c>
      <c r="L423" s="7">
        <v>7</v>
      </c>
      <c r="M423" s="7">
        <v>68</v>
      </c>
      <c r="N423" s="7">
        <v>75</v>
      </c>
    </row>
    <row r="424" spans="1:14" x14ac:dyDescent="0.3">
      <c r="A424" s="7">
        <v>423</v>
      </c>
      <c r="B424" s="1">
        <v>40562</v>
      </c>
      <c r="C424" s="7">
        <v>1</v>
      </c>
      <c r="D424" s="7">
        <v>15</v>
      </c>
      <c r="E424" t="b">
        <v>0</v>
      </c>
      <c r="F424" s="7">
        <v>3</v>
      </c>
      <c r="G424" s="7">
        <v>1</v>
      </c>
      <c r="H424" s="6">
        <v>0.4</v>
      </c>
      <c r="I424" s="8">
        <v>0.40910000000000002</v>
      </c>
      <c r="J424" s="6">
        <v>0.54</v>
      </c>
      <c r="K424" s="8">
        <v>0.28360000000000002</v>
      </c>
      <c r="L424" s="7">
        <v>4</v>
      </c>
      <c r="M424" s="7">
        <v>78</v>
      </c>
      <c r="N424" s="7">
        <v>82</v>
      </c>
    </row>
    <row r="425" spans="1:14" x14ac:dyDescent="0.3">
      <c r="A425" s="7">
        <v>424</v>
      </c>
      <c r="B425" s="1">
        <v>40562</v>
      </c>
      <c r="C425" s="7">
        <v>1</v>
      </c>
      <c r="D425" s="7">
        <v>16</v>
      </c>
      <c r="E425" t="b">
        <v>0</v>
      </c>
      <c r="F425" s="7">
        <v>3</v>
      </c>
      <c r="G425" s="7">
        <v>1</v>
      </c>
      <c r="H425" s="6">
        <v>0.38</v>
      </c>
      <c r="I425" s="8">
        <v>0.39389999999999997</v>
      </c>
      <c r="J425" s="6">
        <v>0.57999999999999996</v>
      </c>
      <c r="K425" s="8">
        <v>0.3881</v>
      </c>
      <c r="L425" s="7">
        <v>10</v>
      </c>
      <c r="M425" s="7">
        <v>94</v>
      </c>
      <c r="N425" s="7">
        <v>104</v>
      </c>
    </row>
    <row r="426" spans="1:14" x14ac:dyDescent="0.3">
      <c r="A426" s="7">
        <v>425</v>
      </c>
      <c r="B426" s="1">
        <v>40562</v>
      </c>
      <c r="C426" s="7">
        <v>1</v>
      </c>
      <c r="D426" s="7">
        <v>17</v>
      </c>
      <c r="E426" t="b">
        <v>0</v>
      </c>
      <c r="F426" s="7">
        <v>3</v>
      </c>
      <c r="G426" s="7">
        <v>1</v>
      </c>
      <c r="H426" s="6">
        <v>0.36</v>
      </c>
      <c r="I426" s="8">
        <v>0.33329999999999999</v>
      </c>
      <c r="J426" s="6">
        <v>0.56999999999999995</v>
      </c>
      <c r="K426" s="8">
        <v>0.32840000000000003</v>
      </c>
      <c r="L426" s="7">
        <v>7</v>
      </c>
      <c r="M426" s="7">
        <v>190</v>
      </c>
      <c r="N426" s="7">
        <v>197</v>
      </c>
    </row>
    <row r="427" spans="1:14" x14ac:dyDescent="0.3">
      <c r="A427" s="7">
        <v>426</v>
      </c>
      <c r="B427" s="1">
        <v>40562</v>
      </c>
      <c r="C427" s="7">
        <v>1</v>
      </c>
      <c r="D427" s="7">
        <v>18</v>
      </c>
      <c r="E427" t="b">
        <v>0</v>
      </c>
      <c r="F427" s="7">
        <v>3</v>
      </c>
      <c r="G427" s="7">
        <v>1</v>
      </c>
      <c r="H427" s="6">
        <v>0.34</v>
      </c>
      <c r="I427" s="8">
        <v>0.31819999999999998</v>
      </c>
      <c r="J427" s="6">
        <v>0.61</v>
      </c>
      <c r="K427" s="8">
        <v>0.28360000000000002</v>
      </c>
      <c r="L427" s="7">
        <v>5</v>
      </c>
      <c r="M427" s="7">
        <v>156</v>
      </c>
      <c r="N427" s="7">
        <v>161</v>
      </c>
    </row>
    <row r="428" spans="1:14" x14ac:dyDescent="0.3">
      <c r="A428" s="7">
        <v>427</v>
      </c>
      <c r="B428" s="1">
        <v>40562</v>
      </c>
      <c r="C428" s="7">
        <v>1</v>
      </c>
      <c r="D428" s="7">
        <v>19</v>
      </c>
      <c r="E428" t="b">
        <v>0</v>
      </c>
      <c r="F428" s="7">
        <v>3</v>
      </c>
      <c r="G428" s="7">
        <v>1</v>
      </c>
      <c r="H428" s="6">
        <v>0.32</v>
      </c>
      <c r="I428" s="8">
        <v>0.28789999999999999</v>
      </c>
      <c r="J428" s="6">
        <v>0.56999999999999995</v>
      </c>
      <c r="K428" s="8">
        <v>0.41789999999999999</v>
      </c>
      <c r="L428" s="7">
        <v>4</v>
      </c>
      <c r="M428" s="7">
        <v>108</v>
      </c>
      <c r="N428" s="7">
        <v>112</v>
      </c>
    </row>
    <row r="429" spans="1:14" x14ac:dyDescent="0.3">
      <c r="A429" s="7">
        <v>428</v>
      </c>
      <c r="B429" s="1">
        <v>40562</v>
      </c>
      <c r="C429" s="7">
        <v>1</v>
      </c>
      <c r="D429" s="7">
        <v>20</v>
      </c>
      <c r="E429" t="b">
        <v>0</v>
      </c>
      <c r="F429" s="7">
        <v>3</v>
      </c>
      <c r="G429" s="7">
        <v>1</v>
      </c>
      <c r="H429" s="6">
        <v>0.32</v>
      </c>
      <c r="I429" s="8">
        <v>0.30299999999999999</v>
      </c>
      <c r="J429" s="6">
        <v>0.49</v>
      </c>
      <c r="K429" s="8">
        <v>0.29849999999999999</v>
      </c>
      <c r="L429" s="7">
        <v>2</v>
      </c>
      <c r="M429" s="7">
        <v>74</v>
      </c>
      <c r="N429" s="7">
        <v>76</v>
      </c>
    </row>
    <row r="430" spans="1:14" x14ac:dyDescent="0.3">
      <c r="A430" s="7">
        <v>429</v>
      </c>
      <c r="B430" s="1">
        <v>40562</v>
      </c>
      <c r="C430" s="7">
        <v>1</v>
      </c>
      <c r="D430" s="7">
        <v>21</v>
      </c>
      <c r="E430" t="b">
        <v>0</v>
      </c>
      <c r="F430" s="7">
        <v>3</v>
      </c>
      <c r="G430" s="7">
        <v>1</v>
      </c>
      <c r="H430" s="6">
        <v>0.32</v>
      </c>
      <c r="I430" s="8">
        <v>0.28789999999999999</v>
      </c>
      <c r="J430" s="6">
        <v>0.49</v>
      </c>
      <c r="K430" s="8">
        <v>0.41789999999999999</v>
      </c>
      <c r="L430" s="7">
        <v>4</v>
      </c>
      <c r="M430" s="7">
        <v>55</v>
      </c>
      <c r="N430" s="7">
        <v>59</v>
      </c>
    </row>
    <row r="431" spans="1:14" x14ac:dyDescent="0.3">
      <c r="A431" s="7">
        <v>430</v>
      </c>
      <c r="B431" s="1">
        <v>40562</v>
      </c>
      <c r="C431" s="7">
        <v>1</v>
      </c>
      <c r="D431" s="7">
        <v>22</v>
      </c>
      <c r="E431" t="b">
        <v>0</v>
      </c>
      <c r="F431" s="7">
        <v>3</v>
      </c>
      <c r="G431" s="7">
        <v>1</v>
      </c>
      <c r="H431" s="6">
        <v>0.3</v>
      </c>
      <c r="I431" s="8">
        <v>0.30299999999999999</v>
      </c>
      <c r="J431" s="6">
        <v>0.52</v>
      </c>
      <c r="K431" s="8">
        <v>0.16420000000000001</v>
      </c>
      <c r="L431" s="7">
        <v>6</v>
      </c>
      <c r="M431" s="7">
        <v>53</v>
      </c>
      <c r="N431" s="7">
        <v>59</v>
      </c>
    </row>
    <row r="432" spans="1:14" x14ac:dyDescent="0.3">
      <c r="A432" s="7">
        <v>431</v>
      </c>
      <c r="B432" s="1">
        <v>40562</v>
      </c>
      <c r="C432" s="7">
        <v>1</v>
      </c>
      <c r="D432" s="7">
        <v>23</v>
      </c>
      <c r="E432" t="b">
        <v>0</v>
      </c>
      <c r="F432" s="7">
        <v>3</v>
      </c>
      <c r="G432" s="7">
        <v>1</v>
      </c>
      <c r="H432" s="6">
        <v>0.3</v>
      </c>
      <c r="I432" s="8">
        <v>0.2727</v>
      </c>
      <c r="J432" s="6">
        <v>0.52</v>
      </c>
      <c r="K432" s="8">
        <v>0.4627</v>
      </c>
      <c r="L432" s="7">
        <v>1</v>
      </c>
      <c r="M432" s="7">
        <v>27</v>
      </c>
      <c r="N432" s="7">
        <v>28</v>
      </c>
    </row>
    <row r="433" spans="1:14" x14ac:dyDescent="0.3">
      <c r="A433" s="7">
        <v>432</v>
      </c>
      <c r="B433" s="1">
        <v>40563</v>
      </c>
      <c r="C433" s="7">
        <v>1</v>
      </c>
      <c r="D433" s="7">
        <v>0</v>
      </c>
      <c r="E433" t="b">
        <v>0</v>
      </c>
      <c r="F433" s="7">
        <v>4</v>
      </c>
      <c r="G433" s="7">
        <v>1</v>
      </c>
      <c r="H433" s="6">
        <v>0.26</v>
      </c>
      <c r="I433" s="8">
        <v>0.2273</v>
      </c>
      <c r="J433" s="6">
        <v>0.56000000000000005</v>
      </c>
      <c r="K433" s="8">
        <v>0.3881</v>
      </c>
      <c r="L433" s="7">
        <v>5</v>
      </c>
      <c r="M433" s="7">
        <v>8</v>
      </c>
      <c r="N433" s="7">
        <v>13</v>
      </c>
    </row>
    <row r="434" spans="1:14" x14ac:dyDescent="0.3">
      <c r="A434" s="7">
        <v>433</v>
      </c>
      <c r="B434" s="1">
        <v>40563</v>
      </c>
      <c r="C434" s="7">
        <v>1</v>
      </c>
      <c r="D434" s="7">
        <v>1</v>
      </c>
      <c r="E434" t="b">
        <v>0</v>
      </c>
      <c r="F434" s="7">
        <v>4</v>
      </c>
      <c r="G434" s="7">
        <v>1</v>
      </c>
      <c r="H434" s="6">
        <v>0.26</v>
      </c>
      <c r="I434" s="8">
        <v>0.2727</v>
      </c>
      <c r="J434" s="6">
        <v>0.56000000000000005</v>
      </c>
      <c r="K434" s="8">
        <v>0</v>
      </c>
      <c r="L434" s="7">
        <v>2</v>
      </c>
      <c r="M434" s="7">
        <v>3</v>
      </c>
      <c r="N434" s="7">
        <v>5</v>
      </c>
    </row>
    <row r="435" spans="1:14" x14ac:dyDescent="0.3">
      <c r="A435" s="7">
        <v>434</v>
      </c>
      <c r="B435" s="1">
        <v>40563</v>
      </c>
      <c r="C435" s="7">
        <v>1</v>
      </c>
      <c r="D435" s="7">
        <v>2</v>
      </c>
      <c r="E435" t="b">
        <v>0</v>
      </c>
      <c r="F435" s="7">
        <v>4</v>
      </c>
      <c r="G435" s="7">
        <v>1</v>
      </c>
      <c r="H435" s="6">
        <v>0.26</v>
      </c>
      <c r="I435" s="8">
        <v>0.2727</v>
      </c>
      <c r="J435" s="6">
        <v>0.56000000000000005</v>
      </c>
      <c r="K435" s="8">
        <v>0</v>
      </c>
      <c r="L435" s="7">
        <v>0</v>
      </c>
      <c r="M435" s="7">
        <v>2</v>
      </c>
      <c r="N435" s="7">
        <v>2</v>
      </c>
    </row>
    <row r="436" spans="1:14" x14ac:dyDescent="0.3">
      <c r="A436" s="7">
        <v>435</v>
      </c>
      <c r="B436" s="1">
        <v>40563</v>
      </c>
      <c r="C436" s="7">
        <v>1</v>
      </c>
      <c r="D436" s="7">
        <v>3</v>
      </c>
      <c r="E436" t="b">
        <v>0</v>
      </c>
      <c r="F436" s="7">
        <v>4</v>
      </c>
      <c r="G436" s="7">
        <v>1</v>
      </c>
      <c r="H436" s="6">
        <v>0.26</v>
      </c>
      <c r="I436" s="8">
        <v>0.2576</v>
      </c>
      <c r="J436" s="6">
        <v>0.56000000000000005</v>
      </c>
      <c r="K436" s="8">
        <v>0.16420000000000001</v>
      </c>
      <c r="L436" s="7">
        <v>0</v>
      </c>
      <c r="M436" s="7">
        <v>1</v>
      </c>
      <c r="N436" s="7">
        <v>1</v>
      </c>
    </row>
    <row r="437" spans="1:14" x14ac:dyDescent="0.3">
      <c r="A437" s="7">
        <v>436</v>
      </c>
      <c r="B437" s="1">
        <v>40563</v>
      </c>
      <c r="C437" s="7">
        <v>1</v>
      </c>
      <c r="D437" s="7">
        <v>4</v>
      </c>
      <c r="E437" t="b">
        <v>0</v>
      </c>
      <c r="F437" s="7">
        <v>4</v>
      </c>
      <c r="G437" s="7">
        <v>1</v>
      </c>
      <c r="H437" s="6">
        <v>0.26</v>
      </c>
      <c r="I437" s="8">
        <v>0.2576</v>
      </c>
      <c r="J437" s="6">
        <v>0.56000000000000005</v>
      </c>
      <c r="K437" s="8">
        <v>0.16420000000000001</v>
      </c>
      <c r="L437" s="7">
        <v>0</v>
      </c>
      <c r="M437" s="7">
        <v>1</v>
      </c>
      <c r="N437" s="7">
        <v>1</v>
      </c>
    </row>
    <row r="438" spans="1:14" x14ac:dyDescent="0.3">
      <c r="A438" s="7">
        <v>437</v>
      </c>
      <c r="B438" s="1">
        <v>40563</v>
      </c>
      <c r="C438" s="7">
        <v>1</v>
      </c>
      <c r="D438" s="7">
        <v>5</v>
      </c>
      <c r="E438" t="b">
        <v>0</v>
      </c>
      <c r="F438" s="7">
        <v>4</v>
      </c>
      <c r="G438" s="7">
        <v>1</v>
      </c>
      <c r="H438" s="6">
        <v>0.24</v>
      </c>
      <c r="I438" s="8">
        <v>0.2273</v>
      </c>
      <c r="J438" s="6">
        <v>0.6</v>
      </c>
      <c r="K438" s="8">
        <v>0.22389999999999999</v>
      </c>
      <c r="L438" s="7">
        <v>0</v>
      </c>
      <c r="M438" s="7">
        <v>6</v>
      </c>
      <c r="N438" s="7">
        <v>6</v>
      </c>
    </row>
    <row r="439" spans="1:14" x14ac:dyDescent="0.3">
      <c r="A439" s="7">
        <v>438</v>
      </c>
      <c r="B439" s="1">
        <v>40563</v>
      </c>
      <c r="C439" s="7">
        <v>1</v>
      </c>
      <c r="D439" s="7">
        <v>6</v>
      </c>
      <c r="E439" t="b">
        <v>0</v>
      </c>
      <c r="F439" s="7">
        <v>4</v>
      </c>
      <c r="G439" s="7">
        <v>1</v>
      </c>
      <c r="H439" s="6">
        <v>0.22</v>
      </c>
      <c r="I439" s="8">
        <v>0.21210000000000001</v>
      </c>
      <c r="J439" s="6">
        <v>0.6</v>
      </c>
      <c r="K439" s="8">
        <v>0.22389999999999999</v>
      </c>
      <c r="L439" s="7">
        <v>0</v>
      </c>
      <c r="M439" s="7">
        <v>35</v>
      </c>
      <c r="N439" s="7">
        <v>35</v>
      </c>
    </row>
    <row r="440" spans="1:14" x14ac:dyDescent="0.3">
      <c r="A440" s="7">
        <v>439</v>
      </c>
      <c r="B440" s="1">
        <v>40563</v>
      </c>
      <c r="C440" s="7">
        <v>1</v>
      </c>
      <c r="D440" s="7">
        <v>7</v>
      </c>
      <c r="E440" t="b">
        <v>0</v>
      </c>
      <c r="F440" s="7">
        <v>4</v>
      </c>
      <c r="G440" s="7">
        <v>1</v>
      </c>
      <c r="H440" s="6">
        <v>0.22</v>
      </c>
      <c r="I440" s="8">
        <v>0.21210000000000001</v>
      </c>
      <c r="J440" s="6">
        <v>0.55000000000000004</v>
      </c>
      <c r="K440" s="8">
        <v>0.22389999999999999</v>
      </c>
      <c r="L440" s="7">
        <v>1</v>
      </c>
      <c r="M440" s="7">
        <v>100</v>
      </c>
      <c r="N440" s="7">
        <v>101</v>
      </c>
    </row>
    <row r="441" spans="1:14" x14ac:dyDescent="0.3">
      <c r="A441" s="7">
        <v>440</v>
      </c>
      <c r="B441" s="1">
        <v>40563</v>
      </c>
      <c r="C441" s="7">
        <v>1</v>
      </c>
      <c r="D441" s="7">
        <v>8</v>
      </c>
      <c r="E441" t="b">
        <v>0</v>
      </c>
      <c r="F441" s="7">
        <v>4</v>
      </c>
      <c r="G441" s="7">
        <v>1</v>
      </c>
      <c r="H441" s="6">
        <v>0.22</v>
      </c>
      <c r="I441" s="8">
        <v>0.21210000000000001</v>
      </c>
      <c r="J441" s="6">
        <v>0.55000000000000004</v>
      </c>
      <c r="K441" s="8">
        <v>0.28360000000000002</v>
      </c>
      <c r="L441" s="7">
        <v>2</v>
      </c>
      <c r="M441" s="7">
        <v>247</v>
      </c>
      <c r="N441" s="7">
        <v>249</v>
      </c>
    </row>
    <row r="442" spans="1:14" x14ac:dyDescent="0.3">
      <c r="A442" s="7">
        <v>441</v>
      </c>
      <c r="B442" s="1">
        <v>40563</v>
      </c>
      <c r="C442" s="7">
        <v>1</v>
      </c>
      <c r="D442" s="7">
        <v>9</v>
      </c>
      <c r="E442" t="b">
        <v>0</v>
      </c>
      <c r="F442" s="7">
        <v>4</v>
      </c>
      <c r="G442" s="7">
        <v>2</v>
      </c>
      <c r="H442" s="6">
        <v>0.24</v>
      </c>
      <c r="I442" s="8">
        <v>0.2273</v>
      </c>
      <c r="J442" s="6">
        <v>0.52</v>
      </c>
      <c r="K442" s="8">
        <v>0.22389999999999999</v>
      </c>
      <c r="L442" s="7">
        <v>3</v>
      </c>
      <c r="M442" s="7">
        <v>140</v>
      </c>
      <c r="N442" s="7">
        <v>143</v>
      </c>
    </row>
    <row r="443" spans="1:14" x14ac:dyDescent="0.3">
      <c r="A443" s="7">
        <v>442</v>
      </c>
      <c r="B443" s="1">
        <v>40563</v>
      </c>
      <c r="C443" s="7">
        <v>1</v>
      </c>
      <c r="D443" s="7">
        <v>10</v>
      </c>
      <c r="E443" t="b">
        <v>0</v>
      </c>
      <c r="F443" s="7">
        <v>4</v>
      </c>
      <c r="G443" s="7">
        <v>1</v>
      </c>
      <c r="H443" s="6">
        <v>0.26</v>
      </c>
      <c r="I443" s="8">
        <v>0.2273</v>
      </c>
      <c r="J443" s="6">
        <v>0.48</v>
      </c>
      <c r="K443" s="8">
        <v>0.29849999999999999</v>
      </c>
      <c r="L443" s="7">
        <v>1</v>
      </c>
      <c r="M443" s="7">
        <v>56</v>
      </c>
      <c r="N443" s="7">
        <v>57</v>
      </c>
    </row>
    <row r="444" spans="1:14" x14ac:dyDescent="0.3">
      <c r="A444" s="7">
        <v>443</v>
      </c>
      <c r="B444" s="1">
        <v>40563</v>
      </c>
      <c r="C444" s="7">
        <v>1</v>
      </c>
      <c r="D444" s="7">
        <v>11</v>
      </c>
      <c r="E444" t="b">
        <v>0</v>
      </c>
      <c r="F444" s="7">
        <v>4</v>
      </c>
      <c r="G444" s="7">
        <v>2</v>
      </c>
      <c r="H444" s="6">
        <v>0.28000000000000003</v>
      </c>
      <c r="I444" s="8">
        <v>0.2727</v>
      </c>
      <c r="J444" s="6">
        <v>0.45</v>
      </c>
      <c r="K444" s="8">
        <v>0.16420000000000001</v>
      </c>
      <c r="L444" s="7">
        <v>5</v>
      </c>
      <c r="M444" s="7">
        <v>63</v>
      </c>
      <c r="N444" s="7">
        <v>68</v>
      </c>
    </row>
    <row r="445" spans="1:14" x14ac:dyDescent="0.3">
      <c r="A445" s="7">
        <v>444</v>
      </c>
      <c r="B445" s="1">
        <v>40563</v>
      </c>
      <c r="C445" s="7">
        <v>1</v>
      </c>
      <c r="D445" s="7">
        <v>12</v>
      </c>
      <c r="E445" t="b">
        <v>0</v>
      </c>
      <c r="F445" s="7">
        <v>4</v>
      </c>
      <c r="G445" s="7">
        <v>2</v>
      </c>
      <c r="H445" s="6">
        <v>0.3</v>
      </c>
      <c r="I445" s="8">
        <v>0.33329999999999999</v>
      </c>
      <c r="J445" s="6">
        <v>0.42</v>
      </c>
      <c r="K445" s="8">
        <v>0</v>
      </c>
      <c r="L445" s="7">
        <v>7</v>
      </c>
      <c r="M445" s="7">
        <v>77</v>
      </c>
      <c r="N445" s="7">
        <v>84</v>
      </c>
    </row>
    <row r="446" spans="1:14" x14ac:dyDescent="0.3">
      <c r="A446" s="7">
        <v>445</v>
      </c>
      <c r="B446" s="1">
        <v>40563</v>
      </c>
      <c r="C446" s="7">
        <v>1</v>
      </c>
      <c r="D446" s="7">
        <v>13</v>
      </c>
      <c r="E446" t="b">
        <v>0</v>
      </c>
      <c r="F446" s="7">
        <v>4</v>
      </c>
      <c r="G446" s="7">
        <v>2</v>
      </c>
      <c r="H446" s="6">
        <v>0.28000000000000003</v>
      </c>
      <c r="I446" s="8">
        <v>0.28789999999999999</v>
      </c>
      <c r="J446" s="6">
        <v>0.45</v>
      </c>
      <c r="K446" s="8">
        <v>0.1045</v>
      </c>
      <c r="L446" s="7">
        <v>12</v>
      </c>
      <c r="M446" s="7">
        <v>86</v>
      </c>
      <c r="N446" s="7">
        <v>98</v>
      </c>
    </row>
    <row r="447" spans="1:14" x14ac:dyDescent="0.3">
      <c r="A447" s="7">
        <v>446</v>
      </c>
      <c r="B447" s="1">
        <v>40563</v>
      </c>
      <c r="C447" s="7">
        <v>1</v>
      </c>
      <c r="D447" s="7">
        <v>14</v>
      </c>
      <c r="E447" t="b">
        <v>0</v>
      </c>
      <c r="F447" s="7">
        <v>4</v>
      </c>
      <c r="G447" s="7">
        <v>2</v>
      </c>
      <c r="H447" s="6">
        <v>0.3</v>
      </c>
      <c r="I447" s="8">
        <v>0.30299999999999999</v>
      </c>
      <c r="J447" s="6">
        <v>0.45</v>
      </c>
      <c r="K447" s="8">
        <v>0.1343</v>
      </c>
      <c r="L447" s="7">
        <v>6</v>
      </c>
      <c r="M447" s="7">
        <v>75</v>
      </c>
      <c r="N447" s="7">
        <v>81</v>
      </c>
    </row>
    <row r="448" spans="1:14" x14ac:dyDescent="0.3">
      <c r="A448" s="7">
        <v>447</v>
      </c>
      <c r="B448" s="1">
        <v>40563</v>
      </c>
      <c r="C448" s="7">
        <v>1</v>
      </c>
      <c r="D448" s="7">
        <v>15</v>
      </c>
      <c r="E448" t="b">
        <v>0</v>
      </c>
      <c r="F448" s="7">
        <v>4</v>
      </c>
      <c r="G448" s="7">
        <v>2</v>
      </c>
      <c r="H448" s="6">
        <v>0.32</v>
      </c>
      <c r="I448" s="8">
        <v>0.31819999999999998</v>
      </c>
      <c r="J448" s="6">
        <v>0.45</v>
      </c>
      <c r="K448" s="8">
        <v>0.19400000000000001</v>
      </c>
      <c r="L448" s="7">
        <v>8</v>
      </c>
      <c r="M448" s="7">
        <v>62</v>
      </c>
      <c r="N448" s="7">
        <v>70</v>
      </c>
    </row>
    <row r="449" spans="1:14" x14ac:dyDescent="0.3">
      <c r="A449" s="7">
        <v>448</v>
      </c>
      <c r="B449" s="1">
        <v>40563</v>
      </c>
      <c r="C449" s="7">
        <v>1</v>
      </c>
      <c r="D449" s="7">
        <v>16</v>
      </c>
      <c r="E449" t="b">
        <v>0</v>
      </c>
      <c r="F449" s="7">
        <v>4</v>
      </c>
      <c r="G449" s="7">
        <v>2</v>
      </c>
      <c r="H449" s="6">
        <v>0.3</v>
      </c>
      <c r="I449" s="8">
        <v>0.30299999999999999</v>
      </c>
      <c r="J449" s="6">
        <v>0.49</v>
      </c>
      <c r="K449" s="8">
        <v>0.1343</v>
      </c>
      <c r="L449" s="7">
        <v>8</v>
      </c>
      <c r="M449" s="7">
        <v>83</v>
      </c>
      <c r="N449" s="7">
        <v>91</v>
      </c>
    </row>
    <row r="450" spans="1:14" x14ac:dyDescent="0.3">
      <c r="A450" s="7">
        <v>449</v>
      </c>
      <c r="B450" s="1">
        <v>40563</v>
      </c>
      <c r="C450" s="7">
        <v>1</v>
      </c>
      <c r="D450" s="7">
        <v>17</v>
      </c>
      <c r="E450" t="b">
        <v>0</v>
      </c>
      <c r="F450" s="7">
        <v>4</v>
      </c>
      <c r="G450" s="7">
        <v>2</v>
      </c>
      <c r="H450" s="6">
        <v>0.3</v>
      </c>
      <c r="I450" s="8">
        <v>0.31819999999999998</v>
      </c>
      <c r="J450" s="6">
        <v>0.49</v>
      </c>
      <c r="K450" s="8">
        <v>0.1045</v>
      </c>
      <c r="L450" s="7">
        <v>8</v>
      </c>
      <c r="M450" s="7">
        <v>207</v>
      </c>
      <c r="N450" s="7">
        <v>215</v>
      </c>
    </row>
    <row r="451" spans="1:14" x14ac:dyDescent="0.3">
      <c r="A451" s="7">
        <v>450</v>
      </c>
      <c r="B451" s="1">
        <v>40563</v>
      </c>
      <c r="C451" s="7">
        <v>1</v>
      </c>
      <c r="D451" s="7">
        <v>18</v>
      </c>
      <c r="E451" t="b">
        <v>0</v>
      </c>
      <c r="F451" s="7">
        <v>4</v>
      </c>
      <c r="G451" s="7">
        <v>2</v>
      </c>
      <c r="H451" s="6">
        <v>0.26</v>
      </c>
      <c r="I451" s="8">
        <v>0.2576</v>
      </c>
      <c r="J451" s="6">
        <v>0.56000000000000005</v>
      </c>
      <c r="K451" s="8">
        <v>0.19400000000000001</v>
      </c>
      <c r="L451" s="7">
        <v>1</v>
      </c>
      <c r="M451" s="7">
        <v>184</v>
      </c>
      <c r="N451" s="7">
        <v>185</v>
      </c>
    </row>
    <row r="452" spans="1:14" x14ac:dyDescent="0.3">
      <c r="A452" s="7">
        <v>451</v>
      </c>
      <c r="B452" s="1">
        <v>40563</v>
      </c>
      <c r="C452" s="7">
        <v>1</v>
      </c>
      <c r="D452" s="7">
        <v>19</v>
      </c>
      <c r="E452" t="b">
        <v>0</v>
      </c>
      <c r="F452" s="7">
        <v>4</v>
      </c>
      <c r="G452" s="7">
        <v>1</v>
      </c>
      <c r="H452" s="6">
        <v>0.26</v>
      </c>
      <c r="I452" s="8">
        <v>0.2273</v>
      </c>
      <c r="J452" s="6">
        <v>0.56000000000000005</v>
      </c>
      <c r="K452" s="8">
        <v>0.32840000000000003</v>
      </c>
      <c r="L452" s="7">
        <v>6</v>
      </c>
      <c r="M452" s="7">
        <v>146</v>
      </c>
      <c r="N452" s="7">
        <v>152</v>
      </c>
    </row>
    <row r="453" spans="1:14" x14ac:dyDescent="0.3">
      <c r="A453" s="7">
        <v>452</v>
      </c>
      <c r="B453" s="1">
        <v>40563</v>
      </c>
      <c r="C453" s="7">
        <v>1</v>
      </c>
      <c r="D453" s="7">
        <v>20</v>
      </c>
      <c r="E453" t="b">
        <v>0</v>
      </c>
      <c r="F453" s="7">
        <v>4</v>
      </c>
      <c r="G453" s="7">
        <v>2</v>
      </c>
      <c r="H453" s="6">
        <v>0.26</v>
      </c>
      <c r="I453" s="8">
        <v>0.2424</v>
      </c>
      <c r="J453" s="6">
        <v>0.6</v>
      </c>
      <c r="K453" s="8">
        <v>0.28360000000000002</v>
      </c>
      <c r="L453" s="7">
        <v>2</v>
      </c>
      <c r="M453" s="7">
        <v>124</v>
      </c>
      <c r="N453" s="7">
        <v>126</v>
      </c>
    </row>
    <row r="454" spans="1:14" x14ac:dyDescent="0.3">
      <c r="A454" s="7">
        <v>453</v>
      </c>
      <c r="B454" s="1">
        <v>40563</v>
      </c>
      <c r="C454" s="7">
        <v>1</v>
      </c>
      <c r="D454" s="7">
        <v>21</v>
      </c>
      <c r="E454" t="b">
        <v>0</v>
      </c>
      <c r="F454" s="7">
        <v>4</v>
      </c>
      <c r="G454" s="7">
        <v>2</v>
      </c>
      <c r="H454" s="6">
        <v>0.24</v>
      </c>
      <c r="I454" s="8">
        <v>0.2273</v>
      </c>
      <c r="J454" s="6">
        <v>0.6</v>
      </c>
      <c r="K454" s="8">
        <v>0.25369999999999998</v>
      </c>
      <c r="L454" s="7">
        <v>3</v>
      </c>
      <c r="M454" s="7">
        <v>54</v>
      </c>
      <c r="N454" s="7">
        <v>57</v>
      </c>
    </row>
    <row r="455" spans="1:14" x14ac:dyDescent="0.3">
      <c r="A455" s="7">
        <v>454</v>
      </c>
      <c r="B455" s="1">
        <v>40563</v>
      </c>
      <c r="C455" s="7">
        <v>1</v>
      </c>
      <c r="D455" s="7">
        <v>22</v>
      </c>
      <c r="E455" t="b">
        <v>0</v>
      </c>
      <c r="F455" s="7">
        <v>4</v>
      </c>
      <c r="G455" s="7">
        <v>2</v>
      </c>
      <c r="H455" s="6">
        <v>0.24</v>
      </c>
      <c r="I455" s="8">
        <v>0.21210000000000001</v>
      </c>
      <c r="J455" s="6">
        <v>0.65</v>
      </c>
      <c r="K455" s="8">
        <v>0.28360000000000002</v>
      </c>
      <c r="L455" s="7">
        <v>0</v>
      </c>
      <c r="M455" s="7">
        <v>56</v>
      </c>
      <c r="N455" s="7">
        <v>56</v>
      </c>
    </row>
    <row r="456" spans="1:14" x14ac:dyDescent="0.3">
      <c r="A456" s="7">
        <v>455</v>
      </c>
      <c r="B456" s="1">
        <v>40563</v>
      </c>
      <c r="C456" s="7">
        <v>1</v>
      </c>
      <c r="D456" s="7">
        <v>23</v>
      </c>
      <c r="E456" t="b">
        <v>0</v>
      </c>
      <c r="F456" s="7">
        <v>4</v>
      </c>
      <c r="G456" s="7">
        <v>2</v>
      </c>
      <c r="H456" s="6">
        <v>0.24</v>
      </c>
      <c r="I456" s="8">
        <v>0.21210000000000001</v>
      </c>
      <c r="J456" s="6">
        <v>0.65</v>
      </c>
      <c r="K456" s="8">
        <v>0.32840000000000003</v>
      </c>
      <c r="L456" s="7">
        <v>3</v>
      </c>
      <c r="M456" s="7">
        <v>28</v>
      </c>
      <c r="N456" s="7">
        <v>31</v>
      </c>
    </row>
    <row r="457" spans="1:14" x14ac:dyDescent="0.3">
      <c r="A457" s="7">
        <v>456</v>
      </c>
      <c r="B457" s="1">
        <v>40564</v>
      </c>
      <c r="C457" s="7">
        <v>1</v>
      </c>
      <c r="D457" s="7">
        <v>0</v>
      </c>
      <c r="E457" t="b">
        <v>0</v>
      </c>
      <c r="F457" s="7">
        <v>5</v>
      </c>
      <c r="G457" s="7">
        <v>2</v>
      </c>
      <c r="H457" s="6">
        <v>0.24</v>
      </c>
      <c r="I457" s="8">
        <v>0.2273</v>
      </c>
      <c r="J457" s="6">
        <v>0.7</v>
      </c>
      <c r="K457" s="8">
        <v>0.25369999999999998</v>
      </c>
      <c r="L457" s="7">
        <v>1</v>
      </c>
      <c r="M457" s="7">
        <v>20</v>
      </c>
      <c r="N457" s="7">
        <v>21</v>
      </c>
    </row>
    <row r="458" spans="1:14" x14ac:dyDescent="0.3">
      <c r="A458" s="7">
        <v>457</v>
      </c>
      <c r="B458" s="1">
        <v>40564</v>
      </c>
      <c r="C458" s="7">
        <v>1</v>
      </c>
      <c r="D458" s="7">
        <v>1</v>
      </c>
      <c r="E458" t="b">
        <v>0</v>
      </c>
      <c r="F458" s="7">
        <v>5</v>
      </c>
      <c r="G458" s="7">
        <v>2</v>
      </c>
      <c r="H458" s="6">
        <v>0.24</v>
      </c>
      <c r="I458" s="8">
        <v>0.2273</v>
      </c>
      <c r="J458" s="6">
        <v>0.7</v>
      </c>
      <c r="K458" s="8">
        <v>0.25369999999999998</v>
      </c>
      <c r="L458" s="7">
        <v>0</v>
      </c>
      <c r="M458" s="7">
        <v>6</v>
      </c>
      <c r="N458" s="7">
        <v>6</v>
      </c>
    </row>
    <row r="459" spans="1:14" x14ac:dyDescent="0.3">
      <c r="A459" s="7">
        <v>458</v>
      </c>
      <c r="B459" s="1">
        <v>40564</v>
      </c>
      <c r="C459" s="7">
        <v>1</v>
      </c>
      <c r="D459" s="7">
        <v>2</v>
      </c>
      <c r="E459" t="b">
        <v>0</v>
      </c>
      <c r="F459" s="7">
        <v>5</v>
      </c>
      <c r="G459" s="7">
        <v>3</v>
      </c>
      <c r="H459" s="6">
        <v>0.24</v>
      </c>
      <c r="I459" s="8">
        <v>0.2424</v>
      </c>
      <c r="J459" s="6">
        <v>0.75</v>
      </c>
      <c r="K459" s="8">
        <v>0.16420000000000001</v>
      </c>
      <c r="L459" s="7">
        <v>0</v>
      </c>
      <c r="M459" s="7">
        <v>2</v>
      </c>
      <c r="N459" s="7">
        <v>2</v>
      </c>
    </row>
    <row r="460" spans="1:14" x14ac:dyDescent="0.3">
      <c r="A460" s="7">
        <v>459</v>
      </c>
      <c r="B460" s="1">
        <v>40564</v>
      </c>
      <c r="C460" s="7">
        <v>1</v>
      </c>
      <c r="D460" s="7">
        <v>3</v>
      </c>
      <c r="E460" t="b">
        <v>0</v>
      </c>
      <c r="F460" s="7">
        <v>5</v>
      </c>
      <c r="G460" s="7">
        <v>3</v>
      </c>
      <c r="H460" s="6">
        <v>0.22</v>
      </c>
      <c r="I460" s="8">
        <v>0.21210000000000001</v>
      </c>
      <c r="J460" s="6">
        <v>0.8</v>
      </c>
      <c r="K460" s="8">
        <v>0.29849999999999999</v>
      </c>
      <c r="L460" s="7">
        <v>0</v>
      </c>
      <c r="M460" s="7">
        <v>1</v>
      </c>
      <c r="N460" s="7">
        <v>1</v>
      </c>
    </row>
    <row r="461" spans="1:14" x14ac:dyDescent="0.3">
      <c r="A461" s="7">
        <v>460</v>
      </c>
      <c r="B461" s="1">
        <v>40564</v>
      </c>
      <c r="C461" s="7">
        <v>1</v>
      </c>
      <c r="D461" s="7">
        <v>4</v>
      </c>
      <c r="E461" t="b">
        <v>0</v>
      </c>
      <c r="F461" s="7">
        <v>5</v>
      </c>
      <c r="G461" s="7">
        <v>2</v>
      </c>
      <c r="H461" s="6">
        <v>0.22</v>
      </c>
      <c r="I461" s="8">
        <v>0.2576</v>
      </c>
      <c r="J461" s="6">
        <v>0.87</v>
      </c>
      <c r="K461" s="8">
        <v>8.9599999999999999E-2</v>
      </c>
      <c r="L461" s="7">
        <v>0</v>
      </c>
      <c r="M461" s="7">
        <v>1</v>
      </c>
      <c r="N461" s="7">
        <v>1</v>
      </c>
    </row>
    <row r="462" spans="1:14" x14ac:dyDescent="0.3">
      <c r="A462" s="7">
        <v>461</v>
      </c>
      <c r="B462" s="1">
        <v>40564</v>
      </c>
      <c r="C462" s="7">
        <v>1</v>
      </c>
      <c r="D462" s="7">
        <v>5</v>
      </c>
      <c r="E462" t="b">
        <v>0</v>
      </c>
      <c r="F462" s="7">
        <v>5</v>
      </c>
      <c r="G462" s="7">
        <v>1</v>
      </c>
      <c r="H462" s="6">
        <v>0.24</v>
      </c>
      <c r="I462" s="8">
        <v>0.19700000000000001</v>
      </c>
      <c r="J462" s="6">
        <v>0.6</v>
      </c>
      <c r="K462" s="8">
        <v>0.41789999999999999</v>
      </c>
      <c r="L462" s="7">
        <v>1</v>
      </c>
      <c r="M462" s="7">
        <v>4</v>
      </c>
      <c r="N462" s="7">
        <v>5</v>
      </c>
    </row>
    <row r="463" spans="1:14" x14ac:dyDescent="0.3">
      <c r="A463" s="7">
        <v>462</v>
      </c>
      <c r="B463" s="1">
        <v>40564</v>
      </c>
      <c r="C463" s="7">
        <v>1</v>
      </c>
      <c r="D463" s="7">
        <v>6</v>
      </c>
      <c r="E463" t="b">
        <v>0</v>
      </c>
      <c r="F463" s="7">
        <v>5</v>
      </c>
      <c r="G463" s="7">
        <v>1</v>
      </c>
      <c r="H463" s="6">
        <v>0.22</v>
      </c>
      <c r="I463" s="8">
        <v>0.21210000000000001</v>
      </c>
      <c r="J463" s="6">
        <v>0.55000000000000004</v>
      </c>
      <c r="K463" s="8">
        <v>0.25369999999999998</v>
      </c>
      <c r="L463" s="7">
        <v>0</v>
      </c>
      <c r="M463" s="7">
        <v>27</v>
      </c>
      <c r="N463" s="7">
        <v>27</v>
      </c>
    </row>
    <row r="464" spans="1:14" x14ac:dyDescent="0.3">
      <c r="A464" s="7">
        <v>463</v>
      </c>
      <c r="B464" s="1">
        <v>40564</v>
      </c>
      <c r="C464" s="7">
        <v>1</v>
      </c>
      <c r="D464" s="7">
        <v>7</v>
      </c>
      <c r="E464" t="b">
        <v>0</v>
      </c>
      <c r="F464" s="7">
        <v>5</v>
      </c>
      <c r="G464" s="7">
        <v>1</v>
      </c>
      <c r="H464" s="6">
        <v>0.2</v>
      </c>
      <c r="I464" s="8">
        <v>0.18179999999999999</v>
      </c>
      <c r="J464" s="6">
        <v>0.51</v>
      </c>
      <c r="K464" s="8">
        <v>0.28360000000000002</v>
      </c>
      <c r="L464" s="7">
        <v>2</v>
      </c>
      <c r="M464" s="7">
        <v>66</v>
      </c>
      <c r="N464" s="7">
        <v>68</v>
      </c>
    </row>
    <row r="465" spans="1:14" x14ac:dyDescent="0.3">
      <c r="A465" s="7">
        <v>464</v>
      </c>
      <c r="B465" s="1">
        <v>40564</v>
      </c>
      <c r="C465" s="7">
        <v>1</v>
      </c>
      <c r="D465" s="7">
        <v>8</v>
      </c>
      <c r="E465" t="b">
        <v>0</v>
      </c>
      <c r="F465" s="7">
        <v>5</v>
      </c>
      <c r="G465" s="7">
        <v>1</v>
      </c>
      <c r="H465" s="6">
        <v>0.2</v>
      </c>
      <c r="I465" s="8">
        <v>0.18179999999999999</v>
      </c>
      <c r="J465" s="6">
        <v>0.47</v>
      </c>
      <c r="K465" s="8">
        <v>0.32840000000000003</v>
      </c>
      <c r="L465" s="7">
        <v>7</v>
      </c>
      <c r="M465" s="7">
        <v>210</v>
      </c>
      <c r="N465" s="7">
        <v>217</v>
      </c>
    </row>
    <row r="466" spans="1:14" x14ac:dyDescent="0.3">
      <c r="A466" s="7">
        <v>465</v>
      </c>
      <c r="B466" s="1">
        <v>40564</v>
      </c>
      <c r="C466" s="7">
        <v>1</v>
      </c>
      <c r="D466" s="7">
        <v>9</v>
      </c>
      <c r="E466" t="b">
        <v>0</v>
      </c>
      <c r="F466" s="7">
        <v>5</v>
      </c>
      <c r="G466" s="7">
        <v>1</v>
      </c>
      <c r="H466" s="6">
        <v>0.2</v>
      </c>
      <c r="I466" s="8">
        <v>0.18179999999999999</v>
      </c>
      <c r="J466" s="6">
        <v>0.51</v>
      </c>
      <c r="K466" s="8">
        <v>0.35820000000000002</v>
      </c>
      <c r="L466" s="7">
        <v>7</v>
      </c>
      <c r="M466" s="7">
        <v>159</v>
      </c>
      <c r="N466" s="7">
        <v>166</v>
      </c>
    </row>
    <row r="467" spans="1:14" x14ac:dyDescent="0.3">
      <c r="A467" s="7">
        <v>466</v>
      </c>
      <c r="B467" s="1">
        <v>40564</v>
      </c>
      <c r="C467" s="7">
        <v>1</v>
      </c>
      <c r="D467" s="7">
        <v>10</v>
      </c>
      <c r="E467" t="b">
        <v>0</v>
      </c>
      <c r="F467" s="7">
        <v>5</v>
      </c>
      <c r="G467" s="7">
        <v>1</v>
      </c>
      <c r="H467" s="6">
        <v>0.2</v>
      </c>
      <c r="I467" s="8">
        <v>0.16669999999999999</v>
      </c>
      <c r="J467" s="6">
        <v>0.47</v>
      </c>
      <c r="K467" s="8">
        <v>0.4627</v>
      </c>
      <c r="L467" s="7">
        <v>6</v>
      </c>
      <c r="M467" s="7">
        <v>57</v>
      </c>
      <c r="N467" s="7">
        <v>63</v>
      </c>
    </row>
    <row r="468" spans="1:14" x14ac:dyDescent="0.3">
      <c r="A468" s="7">
        <v>467</v>
      </c>
      <c r="B468" s="1">
        <v>40564</v>
      </c>
      <c r="C468" s="7">
        <v>1</v>
      </c>
      <c r="D468" s="7">
        <v>11</v>
      </c>
      <c r="E468" t="b">
        <v>0</v>
      </c>
      <c r="F468" s="7">
        <v>5</v>
      </c>
      <c r="G468" s="7">
        <v>1</v>
      </c>
      <c r="H468" s="6">
        <v>0.22</v>
      </c>
      <c r="I468" s="8">
        <v>0.18179999999999999</v>
      </c>
      <c r="J468" s="6">
        <v>0.41</v>
      </c>
      <c r="K468" s="8">
        <v>0.4627</v>
      </c>
      <c r="L468" s="7">
        <v>6</v>
      </c>
      <c r="M468" s="7">
        <v>53</v>
      </c>
      <c r="N468" s="7">
        <v>59</v>
      </c>
    </row>
    <row r="469" spans="1:14" x14ac:dyDescent="0.3">
      <c r="A469" s="7">
        <v>468</v>
      </c>
      <c r="B469" s="1">
        <v>40564</v>
      </c>
      <c r="C469" s="7">
        <v>1</v>
      </c>
      <c r="D469" s="7">
        <v>12</v>
      </c>
      <c r="E469" t="b">
        <v>0</v>
      </c>
      <c r="F469" s="7">
        <v>5</v>
      </c>
      <c r="G469" s="7">
        <v>1</v>
      </c>
      <c r="H469" s="6">
        <v>0.22</v>
      </c>
      <c r="I469" s="8">
        <v>0.18179999999999999</v>
      </c>
      <c r="J469" s="6">
        <v>0.27</v>
      </c>
      <c r="K469" s="8">
        <v>0.58209999999999995</v>
      </c>
      <c r="L469" s="7">
        <v>11</v>
      </c>
      <c r="M469" s="7">
        <v>67</v>
      </c>
      <c r="N469" s="7">
        <v>78</v>
      </c>
    </row>
    <row r="470" spans="1:14" x14ac:dyDescent="0.3">
      <c r="A470" s="7">
        <v>469</v>
      </c>
      <c r="B470" s="1">
        <v>40564</v>
      </c>
      <c r="C470" s="7">
        <v>1</v>
      </c>
      <c r="D470" s="7">
        <v>13</v>
      </c>
      <c r="E470" t="b">
        <v>0</v>
      </c>
      <c r="F470" s="7">
        <v>5</v>
      </c>
      <c r="G470" s="7">
        <v>1</v>
      </c>
      <c r="H470" s="6">
        <v>0.2</v>
      </c>
      <c r="I470" s="8">
        <v>0.1515</v>
      </c>
      <c r="J470" s="6">
        <v>0.21</v>
      </c>
      <c r="K470" s="8">
        <v>0.58209999999999995</v>
      </c>
      <c r="L470" s="7">
        <v>8</v>
      </c>
      <c r="M470" s="7">
        <v>65</v>
      </c>
      <c r="N470" s="7">
        <v>73</v>
      </c>
    </row>
    <row r="471" spans="1:14" x14ac:dyDescent="0.3">
      <c r="A471" s="7">
        <v>470</v>
      </c>
      <c r="B471" s="1">
        <v>40564</v>
      </c>
      <c r="C471" s="7">
        <v>1</v>
      </c>
      <c r="D471" s="7">
        <v>14</v>
      </c>
      <c r="E471" t="b">
        <v>0</v>
      </c>
      <c r="F471" s="7">
        <v>5</v>
      </c>
      <c r="G471" s="7">
        <v>1</v>
      </c>
      <c r="H471" s="6">
        <v>0.2</v>
      </c>
      <c r="I471" s="8">
        <v>0.1515</v>
      </c>
      <c r="J471" s="6">
        <v>0.25</v>
      </c>
      <c r="K471" s="8">
        <v>0.52239999999999998</v>
      </c>
      <c r="L471" s="7">
        <v>6</v>
      </c>
      <c r="M471" s="7">
        <v>56</v>
      </c>
      <c r="N471" s="7">
        <v>62</v>
      </c>
    </row>
    <row r="472" spans="1:14" x14ac:dyDescent="0.3">
      <c r="A472" s="7">
        <v>471</v>
      </c>
      <c r="B472" s="1">
        <v>40564</v>
      </c>
      <c r="C472" s="7">
        <v>1</v>
      </c>
      <c r="D472" s="7">
        <v>15</v>
      </c>
      <c r="E472" t="b">
        <v>0</v>
      </c>
      <c r="F472" s="7">
        <v>5</v>
      </c>
      <c r="G472" s="7">
        <v>1</v>
      </c>
      <c r="H472" s="6">
        <v>0.16</v>
      </c>
      <c r="I472" s="8">
        <v>0.1212</v>
      </c>
      <c r="J472" s="6">
        <v>0.26</v>
      </c>
      <c r="K472" s="8">
        <v>0.44779999999999998</v>
      </c>
      <c r="L472" s="7">
        <v>4</v>
      </c>
      <c r="M472" s="7">
        <v>61</v>
      </c>
      <c r="N472" s="7">
        <v>65</v>
      </c>
    </row>
    <row r="473" spans="1:14" x14ac:dyDescent="0.3">
      <c r="A473" s="7">
        <v>472</v>
      </c>
      <c r="B473" s="1">
        <v>40564</v>
      </c>
      <c r="C473" s="7">
        <v>1</v>
      </c>
      <c r="D473" s="7">
        <v>16</v>
      </c>
      <c r="E473" t="b">
        <v>0</v>
      </c>
      <c r="F473" s="7">
        <v>5</v>
      </c>
      <c r="G473" s="7">
        <v>1</v>
      </c>
      <c r="H473" s="6">
        <v>0.16</v>
      </c>
      <c r="I473" s="8">
        <v>0.13639999999999999</v>
      </c>
      <c r="J473" s="6">
        <v>0.26</v>
      </c>
      <c r="K473" s="8">
        <v>0.35820000000000002</v>
      </c>
      <c r="L473" s="7">
        <v>0</v>
      </c>
      <c r="M473" s="7">
        <v>97</v>
      </c>
      <c r="N473" s="7">
        <v>97</v>
      </c>
    </row>
    <row r="474" spans="1:14" x14ac:dyDescent="0.3">
      <c r="A474" s="7">
        <v>473</v>
      </c>
      <c r="B474" s="1">
        <v>40564</v>
      </c>
      <c r="C474" s="7">
        <v>1</v>
      </c>
      <c r="D474" s="7">
        <v>17</v>
      </c>
      <c r="E474" t="b">
        <v>0</v>
      </c>
      <c r="F474" s="7">
        <v>5</v>
      </c>
      <c r="G474" s="7">
        <v>1</v>
      </c>
      <c r="H474" s="6">
        <v>0.14000000000000001</v>
      </c>
      <c r="I474" s="8">
        <v>0.1212</v>
      </c>
      <c r="J474" s="6">
        <v>0.28000000000000003</v>
      </c>
      <c r="K474" s="8">
        <v>0.35820000000000002</v>
      </c>
      <c r="L474" s="7">
        <v>10</v>
      </c>
      <c r="M474" s="7">
        <v>151</v>
      </c>
      <c r="N474" s="7">
        <v>161</v>
      </c>
    </row>
    <row r="475" spans="1:14" x14ac:dyDescent="0.3">
      <c r="A475" s="7">
        <v>474</v>
      </c>
      <c r="B475" s="1">
        <v>40564</v>
      </c>
      <c r="C475" s="7">
        <v>1</v>
      </c>
      <c r="D475" s="7">
        <v>18</v>
      </c>
      <c r="E475" t="b">
        <v>0</v>
      </c>
      <c r="F475" s="7">
        <v>5</v>
      </c>
      <c r="G475" s="7">
        <v>1</v>
      </c>
      <c r="H475" s="6">
        <v>0.12</v>
      </c>
      <c r="I475" s="8">
        <v>0.1212</v>
      </c>
      <c r="J475" s="6">
        <v>0.3</v>
      </c>
      <c r="K475" s="8">
        <v>0.25369999999999998</v>
      </c>
      <c r="L475" s="7">
        <v>1</v>
      </c>
      <c r="M475" s="7">
        <v>119</v>
      </c>
      <c r="N475" s="7">
        <v>120</v>
      </c>
    </row>
    <row r="476" spans="1:14" x14ac:dyDescent="0.3">
      <c r="A476" s="7">
        <v>475</v>
      </c>
      <c r="B476" s="1">
        <v>40564</v>
      </c>
      <c r="C476" s="7">
        <v>1</v>
      </c>
      <c r="D476" s="7">
        <v>19</v>
      </c>
      <c r="E476" t="b">
        <v>0</v>
      </c>
      <c r="F476" s="7">
        <v>5</v>
      </c>
      <c r="G476" s="7">
        <v>1</v>
      </c>
      <c r="H476" s="6">
        <v>0.12</v>
      </c>
      <c r="I476" s="8">
        <v>0.1061</v>
      </c>
      <c r="J476" s="6">
        <v>0.3</v>
      </c>
      <c r="K476" s="8">
        <v>0.32840000000000003</v>
      </c>
      <c r="L476" s="7">
        <v>3</v>
      </c>
      <c r="M476" s="7">
        <v>93</v>
      </c>
      <c r="N476" s="7">
        <v>96</v>
      </c>
    </row>
    <row r="477" spans="1:14" x14ac:dyDescent="0.3">
      <c r="A477" s="7">
        <v>476</v>
      </c>
      <c r="B477" s="1">
        <v>40564</v>
      </c>
      <c r="C477" s="7">
        <v>1</v>
      </c>
      <c r="D477" s="7">
        <v>20</v>
      </c>
      <c r="E477" t="b">
        <v>0</v>
      </c>
      <c r="F477" s="7">
        <v>5</v>
      </c>
      <c r="G477" s="7">
        <v>1</v>
      </c>
      <c r="H477" s="6">
        <v>0.1</v>
      </c>
      <c r="I477" s="8">
        <v>7.5800000000000006E-2</v>
      </c>
      <c r="J477" s="6">
        <v>0.33</v>
      </c>
      <c r="K477" s="8">
        <v>0.41789999999999999</v>
      </c>
      <c r="L477" s="7">
        <v>1</v>
      </c>
      <c r="M477" s="7">
        <v>52</v>
      </c>
      <c r="N477" s="7">
        <v>53</v>
      </c>
    </row>
    <row r="478" spans="1:14" x14ac:dyDescent="0.3">
      <c r="A478" s="7">
        <v>477</v>
      </c>
      <c r="B478" s="1">
        <v>40564</v>
      </c>
      <c r="C478" s="7">
        <v>1</v>
      </c>
      <c r="D478" s="7">
        <v>21</v>
      </c>
      <c r="E478" t="b">
        <v>0</v>
      </c>
      <c r="F478" s="7">
        <v>5</v>
      </c>
      <c r="G478" s="7">
        <v>1</v>
      </c>
      <c r="H478" s="6">
        <v>0.08</v>
      </c>
      <c r="I478" s="8">
        <v>7.5800000000000006E-2</v>
      </c>
      <c r="J478" s="6">
        <v>0.38</v>
      </c>
      <c r="K478" s="8">
        <v>0.28360000000000002</v>
      </c>
      <c r="L478" s="7">
        <v>0</v>
      </c>
      <c r="M478" s="7">
        <v>41</v>
      </c>
      <c r="N478" s="7">
        <v>41</v>
      </c>
    </row>
    <row r="479" spans="1:14" x14ac:dyDescent="0.3">
      <c r="A479" s="7">
        <v>478</v>
      </c>
      <c r="B479" s="1">
        <v>40564</v>
      </c>
      <c r="C479" s="7">
        <v>1</v>
      </c>
      <c r="D479" s="7">
        <v>22</v>
      </c>
      <c r="E479" t="b">
        <v>0</v>
      </c>
      <c r="F479" s="7">
        <v>5</v>
      </c>
      <c r="G479" s="7">
        <v>1</v>
      </c>
      <c r="H479" s="6">
        <v>0.06</v>
      </c>
      <c r="I479" s="8">
        <v>3.0300000000000001E-2</v>
      </c>
      <c r="J479" s="6">
        <v>0.41</v>
      </c>
      <c r="K479" s="8">
        <v>0.3881</v>
      </c>
      <c r="L479" s="7">
        <v>1</v>
      </c>
      <c r="M479" s="7">
        <v>33</v>
      </c>
      <c r="N479" s="7">
        <v>34</v>
      </c>
    </row>
    <row r="480" spans="1:14" x14ac:dyDescent="0.3">
      <c r="A480" s="7">
        <v>479</v>
      </c>
      <c r="B480" s="1">
        <v>40564</v>
      </c>
      <c r="C480" s="7">
        <v>1</v>
      </c>
      <c r="D480" s="7">
        <v>23</v>
      </c>
      <c r="E480" t="b">
        <v>0</v>
      </c>
      <c r="F480" s="7">
        <v>5</v>
      </c>
      <c r="G480" s="7">
        <v>1</v>
      </c>
      <c r="H480" s="6">
        <v>0.06</v>
      </c>
      <c r="I480" s="8">
        <v>4.5499999999999999E-2</v>
      </c>
      <c r="J480" s="6">
        <v>0.38</v>
      </c>
      <c r="K480" s="8">
        <v>0.32840000000000003</v>
      </c>
      <c r="L480" s="7">
        <v>0</v>
      </c>
      <c r="M480" s="7">
        <v>27</v>
      </c>
      <c r="N480" s="7">
        <v>27</v>
      </c>
    </row>
    <row r="481" spans="1:14" x14ac:dyDescent="0.3">
      <c r="A481" s="7">
        <v>480</v>
      </c>
      <c r="B481" s="1">
        <v>40565</v>
      </c>
      <c r="C481" s="7">
        <v>1</v>
      </c>
      <c r="D481" s="7">
        <v>0</v>
      </c>
      <c r="E481" t="b">
        <v>0</v>
      </c>
      <c r="F481" s="7">
        <v>6</v>
      </c>
      <c r="G481" s="7">
        <v>1</v>
      </c>
      <c r="H481" s="6">
        <v>0.04</v>
      </c>
      <c r="I481" s="8">
        <v>3.0300000000000001E-2</v>
      </c>
      <c r="J481" s="6">
        <v>0.45</v>
      </c>
      <c r="K481" s="8">
        <v>0.25369999999999998</v>
      </c>
      <c r="L481" s="7">
        <v>0</v>
      </c>
      <c r="M481" s="7">
        <v>13</v>
      </c>
      <c r="N481" s="7">
        <v>13</v>
      </c>
    </row>
    <row r="482" spans="1:14" x14ac:dyDescent="0.3">
      <c r="A482" s="7">
        <v>481</v>
      </c>
      <c r="B482" s="1">
        <v>40565</v>
      </c>
      <c r="C482" s="7">
        <v>1</v>
      </c>
      <c r="D482" s="7">
        <v>1</v>
      </c>
      <c r="E482" t="b">
        <v>0</v>
      </c>
      <c r="F482" s="7">
        <v>6</v>
      </c>
      <c r="G482" s="7">
        <v>2</v>
      </c>
      <c r="H482" s="6">
        <v>0.04</v>
      </c>
      <c r="I482" s="8">
        <v>0</v>
      </c>
      <c r="J482" s="6">
        <v>0.41</v>
      </c>
      <c r="K482" s="8">
        <v>0.3881</v>
      </c>
      <c r="L482" s="7">
        <v>3</v>
      </c>
      <c r="M482" s="7">
        <v>9</v>
      </c>
      <c r="N482" s="7">
        <v>12</v>
      </c>
    </row>
    <row r="483" spans="1:14" x14ac:dyDescent="0.3">
      <c r="A483" s="7">
        <v>482</v>
      </c>
      <c r="B483" s="1">
        <v>40565</v>
      </c>
      <c r="C483" s="7">
        <v>1</v>
      </c>
      <c r="D483" s="7">
        <v>2</v>
      </c>
      <c r="E483" t="b">
        <v>0</v>
      </c>
      <c r="F483" s="7">
        <v>6</v>
      </c>
      <c r="G483" s="7">
        <v>2</v>
      </c>
      <c r="H483" s="6">
        <v>0.04</v>
      </c>
      <c r="I483" s="8">
        <v>3.0300000000000001E-2</v>
      </c>
      <c r="J483" s="6">
        <v>0.41</v>
      </c>
      <c r="K483" s="8">
        <v>0.25369999999999998</v>
      </c>
      <c r="L483" s="7">
        <v>0</v>
      </c>
      <c r="M483" s="7">
        <v>11</v>
      </c>
      <c r="N483" s="7">
        <v>11</v>
      </c>
    </row>
    <row r="484" spans="1:14" x14ac:dyDescent="0.3">
      <c r="A484" s="7">
        <v>483</v>
      </c>
      <c r="B484" s="1">
        <v>40565</v>
      </c>
      <c r="C484" s="7">
        <v>1</v>
      </c>
      <c r="D484" s="7">
        <v>3</v>
      </c>
      <c r="E484" t="b">
        <v>0</v>
      </c>
      <c r="F484" s="7">
        <v>6</v>
      </c>
      <c r="G484" s="7">
        <v>2</v>
      </c>
      <c r="H484" s="6">
        <v>0.04</v>
      </c>
      <c r="I484" s="8">
        <v>3.0300000000000001E-2</v>
      </c>
      <c r="J484" s="6">
        <v>0.41</v>
      </c>
      <c r="K484" s="8">
        <v>0.28360000000000002</v>
      </c>
      <c r="L484" s="7">
        <v>1</v>
      </c>
      <c r="M484" s="7">
        <v>6</v>
      </c>
      <c r="N484" s="7">
        <v>7</v>
      </c>
    </row>
    <row r="485" spans="1:14" x14ac:dyDescent="0.3">
      <c r="A485" s="7">
        <v>484</v>
      </c>
      <c r="B485" s="1">
        <v>40565</v>
      </c>
      <c r="C485" s="7">
        <v>1</v>
      </c>
      <c r="D485" s="7">
        <v>4</v>
      </c>
      <c r="E485" t="b">
        <v>0</v>
      </c>
      <c r="F485" s="7">
        <v>6</v>
      </c>
      <c r="G485" s="7">
        <v>2</v>
      </c>
      <c r="H485" s="6">
        <v>0.02</v>
      </c>
      <c r="I485" s="8">
        <v>1.52E-2</v>
      </c>
      <c r="J485" s="6">
        <v>0.48</v>
      </c>
      <c r="K485" s="8">
        <v>0.29849999999999999</v>
      </c>
      <c r="L485" s="7">
        <v>0</v>
      </c>
      <c r="M485" s="7">
        <v>3</v>
      </c>
      <c r="N485" s="7">
        <v>3</v>
      </c>
    </row>
    <row r="486" spans="1:14" x14ac:dyDescent="0.3">
      <c r="A486" s="7">
        <v>485</v>
      </c>
      <c r="B486" s="1">
        <v>40565</v>
      </c>
      <c r="C486" s="7">
        <v>1</v>
      </c>
      <c r="D486" s="7">
        <v>6</v>
      </c>
      <c r="E486" t="b">
        <v>0</v>
      </c>
      <c r="F486" s="7">
        <v>6</v>
      </c>
      <c r="G486" s="7">
        <v>2</v>
      </c>
      <c r="H486" s="6">
        <v>0.02</v>
      </c>
      <c r="I486" s="8">
        <v>3.0300000000000001E-2</v>
      </c>
      <c r="J486" s="6">
        <v>0.44</v>
      </c>
      <c r="K486" s="8">
        <v>0.22389999999999999</v>
      </c>
      <c r="L486" s="7">
        <v>0</v>
      </c>
      <c r="M486" s="7">
        <v>2</v>
      </c>
      <c r="N486" s="7">
        <v>2</v>
      </c>
    </row>
    <row r="487" spans="1:14" x14ac:dyDescent="0.3">
      <c r="A487" s="7">
        <v>486</v>
      </c>
      <c r="B487" s="1">
        <v>40565</v>
      </c>
      <c r="C487" s="7">
        <v>1</v>
      </c>
      <c r="D487" s="7">
        <v>7</v>
      </c>
      <c r="E487" t="b">
        <v>0</v>
      </c>
      <c r="F487" s="7">
        <v>6</v>
      </c>
      <c r="G487" s="7">
        <v>1</v>
      </c>
      <c r="H487" s="6">
        <v>0.02</v>
      </c>
      <c r="I487" s="8">
        <v>1.52E-2</v>
      </c>
      <c r="J487" s="6">
        <v>0.44</v>
      </c>
      <c r="K487" s="8">
        <v>0.28360000000000002</v>
      </c>
      <c r="L487" s="7">
        <v>0</v>
      </c>
      <c r="M487" s="7">
        <v>8</v>
      </c>
      <c r="N487" s="7">
        <v>8</v>
      </c>
    </row>
    <row r="488" spans="1:14" x14ac:dyDescent="0.3">
      <c r="A488" s="7">
        <v>487</v>
      </c>
      <c r="B488" s="1">
        <v>40565</v>
      </c>
      <c r="C488" s="7">
        <v>1</v>
      </c>
      <c r="D488" s="7">
        <v>8</v>
      </c>
      <c r="E488" t="b">
        <v>0</v>
      </c>
      <c r="F488" s="7">
        <v>6</v>
      </c>
      <c r="G488" s="7">
        <v>1</v>
      </c>
      <c r="H488" s="6">
        <v>0.02</v>
      </c>
      <c r="I488" s="8">
        <v>0</v>
      </c>
      <c r="J488" s="6">
        <v>0.44</v>
      </c>
      <c r="K488" s="8">
        <v>0.32840000000000003</v>
      </c>
      <c r="L488" s="7">
        <v>1</v>
      </c>
      <c r="M488" s="7">
        <v>26</v>
      </c>
      <c r="N488" s="7">
        <v>27</v>
      </c>
    </row>
    <row r="489" spans="1:14" x14ac:dyDescent="0.3">
      <c r="A489" s="7">
        <v>488</v>
      </c>
      <c r="B489" s="1">
        <v>40565</v>
      </c>
      <c r="C489" s="7">
        <v>1</v>
      </c>
      <c r="D489" s="7">
        <v>9</v>
      </c>
      <c r="E489" t="b">
        <v>0</v>
      </c>
      <c r="F489" s="7">
        <v>6</v>
      </c>
      <c r="G489" s="7">
        <v>1</v>
      </c>
      <c r="H489" s="6">
        <v>0.04</v>
      </c>
      <c r="I489" s="8">
        <v>3.0300000000000001E-2</v>
      </c>
      <c r="J489" s="6">
        <v>0.41</v>
      </c>
      <c r="K489" s="8">
        <v>0.25369999999999998</v>
      </c>
      <c r="L489" s="7">
        <v>3</v>
      </c>
      <c r="M489" s="7">
        <v>37</v>
      </c>
      <c r="N489" s="7">
        <v>40</v>
      </c>
    </row>
    <row r="490" spans="1:14" x14ac:dyDescent="0.3">
      <c r="A490" s="7">
        <v>489</v>
      </c>
      <c r="B490" s="1">
        <v>40565</v>
      </c>
      <c r="C490" s="7">
        <v>1</v>
      </c>
      <c r="D490" s="7">
        <v>10</v>
      </c>
      <c r="E490" t="b">
        <v>0</v>
      </c>
      <c r="F490" s="7">
        <v>6</v>
      </c>
      <c r="G490" s="7">
        <v>2</v>
      </c>
      <c r="H490" s="6">
        <v>0.04</v>
      </c>
      <c r="I490" s="8">
        <v>6.0600000000000001E-2</v>
      </c>
      <c r="J490" s="6">
        <v>0.41</v>
      </c>
      <c r="K490" s="8">
        <v>0.16420000000000001</v>
      </c>
      <c r="L490" s="7">
        <v>3</v>
      </c>
      <c r="M490" s="7">
        <v>50</v>
      </c>
      <c r="N490" s="7">
        <v>53</v>
      </c>
    </row>
    <row r="491" spans="1:14" x14ac:dyDescent="0.3">
      <c r="A491" s="7">
        <v>490</v>
      </c>
      <c r="B491" s="1">
        <v>40565</v>
      </c>
      <c r="C491" s="7">
        <v>1</v>
      </c>
      <c r="D491" s="7">
        <v>11</v>
      </c>
      <c r="E491" t="b">
        <v>0</v>
      </c>
      <c r="F491" s="7">
        <v>6</v>
      </c>
      <c r="G491" s="7">
        <v>2</v>
      </c>
      <c r="H491" s="6">
        <v>0.06</v>
      </c>
      <c r="I491" s="8">
        <v>7.5800000000000006E-2</v>
      </c>
      <c r="J491" s="6">
        <v>0.38</v>
      </c>
      <c r="K491" s="8">
        <v>0.1343</v>
      </c>
      <c r="L491" s="7">
        <v>4</v>
      </c>
      <c r="M491" s="7">
        <v>59</v>
      </c>
      <c r="N491" s="7">
        <v>63</v>
      </c>
    </row>
    <row r="492" spans="1:14" x14ac:dyDescent="0.3">
      <c r="A492" s="7">
        <v>491</v>
      </c>
      <c r="B492" s="1">
        <v>40565</v>
      </c>
      <c r="C492" s="7">
        <v>1</v>
      </c>
      <c r="D492" s="7">
        <v>12</v>
      </c>
      <c r="E492" t="b">
        <v>0</v>
      </c>
      <c r="F492" s="7">
        <v>6</v>
      </c>
      <c r="G492" s="7">
        <v>2</v>
      </c>
      <c r="H492" s="6">
        <v>0.06</v>
      </c>
      <c r="I492" s="8">
        <v>0.1061</v>
      </c>
      <c r="J492" s="6">
        <v>0.38</v>
      </c>
      <c r="K492" s="8">
        <v>0.1045</v>
      </c>
      <c r="L492" s="7">
        <v>10</v>
      </c>
      <c r="M492" s="7">
        <v>60</v>
      </c>
      <c r="N492" s="7">
        <v>70</v>
      </c>
    </row>
    <row r="493" spans="1:14" x14ac:dyDescent="0.3">
      <c r="A493" s="7">
        <v>492</v>
      </c>
      <c r="B493" s="1">
        <v>40565</v>
      </c>
      <c r="C493" s="7">
        <v>1</v>
      </c>
      <c r="D493" s="7">
        <v>13</v>
      </c>
      <c r="E493" t="b">
        <v>0</v>
      </c>
      <c r="F493" s="7">
        <v>6</v>
      </c>
      <c r="G493" s="7">
        <v>1</v>
      </c>
      <c r="H493" s="6">
        <v>0.08</v>
      </c>
      <c r="I493" s="8">
        <v>0.16669999999999999</v>
      </c>
      <c r="J493" s="6">
        <v>0.35</v>
      </c>
      <c r="K493" s="8">
        <v>0</v>
      </c>
      <c r="L493" s="7">
        <v>12</v>
      </c>
      <c r="M493" s="7">
        <v>72</v>
      </c>
      <c r="N493" s="7">
        <v>84</v>
      </c>
    </row>
    <row r="494" spans="1:14" x14ac:dyDescent="0.3">
      <c r="A494" s="7">
        <v>493</v>
      </c>
      <c r="B494" s="1">
        <v>40565</v>
      </c>
      <c r="C494" s="7">
        <v>1</v>
      </c>
      <c r="D494" s="7">
        <v>14</v>
      </c>
      <c r="E494" t="b">
        <v>0</v>
      </c>
      <c r="F494" s="7">
        <v>6</v>
      </c>
      <c r="G494" s="7">
        <v>1</v>
      </c>
      <c r="H494" s="6">
        <v>0.1</v>
      </c>
      <c r="I494" s="8">
        <v>0.13639999999999999</v>
      </c>
      <c r="J494" s="6">
        <v>0.33</v>
      </c>
      <c r="K494" s="8">
        <v>0.1045</v>
      </c>
      <c r="L494" s="7">
        <v>11</v>
      </c>
      <c r="M494" s="7">
        <v>64</v>
      </c>
      <c r="N494" s="7">
        <v>75</v>
      </c>
    </row>
    <row r="495" spans="1:14" x14ac:dyDescent="0.3">
      <c r="A495" s="7">
        <v>494</v>
      </c>
      <c r="B495" s="1">
        <v>40565</v>
      </c>
      <c r="C495" s="7">
        <v>1</v>
      </c>
      <c r="D495" s="7">
        <v>15</v>
      </c>
      <c r="E495" t="b">
        <v>0</v>
      </c>
      <c r="F495" s="7">
        <v>6</v>
      </c>
      <c r="G495" s="7">
        <v>1</v>
      </c>
      <c r="H495" s="6">
        <v>0.12</v>
      </c>
      <c r="I495" s="8">
        <v>0.1515</v>
      </c>
      <c r="J495" s="6">
        <v>0.28000000000000003</v>
      </c>
      <c r="K495" s="8">
        <v>0</v>
      </c>
      <c r="L495" s="7">
        <v>10</v>
      </c>
      <c r="M495" s="7">
        <v>93</v>
      </c>
      <c r="N495" s="7">
        <v>103</v>
      </c>
    </row>
    <row r="496" spans="1:14" x14ac:dyDescent="0.3">
      <c r="A496" s="7">
        <v>495</v>
      </c>
      <c r="B496" s="1">
        <v>40565</v>
      </c>
      <c r="C496" s="7">
        <v>1</v>
      </c>
      <c r="D496" s="7">
        <v>16</v>
      </c>
      <c r="E496" t="b">
        <v>0</v>
      </c>
      <c r="F496" s="7">
        <v>6</v>
      </c>
      <c r="G496" s="7">
        <v>1</v>
      </c>
      <c r="H496" s="6">
        <v>0.12</v>
      </c>
      <c r="I496" s="8">
        <v>0.13639999999999999</v>
      </c>
      <c r="J496" s="6">
        <v>0.28000000000000003</v>
      </c>
      <c r="K496" s="8">
        <v>0.19400000000000001</v>
      </c>
      <c r="L496" s="7">
        <v>11</v>
      </c>
      <c r="M496" s="7">
        <v>72</v>
      </c>
      <c r="N496" s="7">
        <v>83</v>
      </c>
    </row>
    <row r="497" spans="1:14" x14ac:dyDescent="0.3">
      <c r="A497" s="7">
        <v>496</v>
      </c>
      <c r="B497" s="1">
        <v>40565</v>
      </c>
      <c r="C497" s="7">
        <v>1</v>
      </c>
      <c r="D497" s="7">
        <v>17</v>
      </c>
      <c r="E497" t="b">
        <v>0</v>
      </c>
      <c r="F497" s="7">
        <v>6</v>
      </c>
      <c r="G497" s="7">
        <v>1</v>
      </c>
      <c r="H497" s="6">
        <v>0.12</v>
      </c>
      <c r="I497" s="8">
        <v>0.19700000000000001</v>
      </c>
      <c r="J497" s="6">
        <v>0.28000000000000003</v>
      </c>
      <c r="K497" s="8">
        <v>0</v>
      </c>
      <c r="L497" s="7">
        <v>8</v>
      </c>
      <c r="M497" s="7">
        <v>59</v>
      </c>
      <c r="N497" s="7">
        <v>67</v>
      </c>
    </row>
    <row r="498" spans="1:14" x14ac:dyDescent="0.3">
      <c r="A498" s="7">
        <v>497</v>
      </c>
      <c r="B498" s="1">
        <v>40565</v>
      </c>
      <c r="C498" s="7">
        <v>1</v>
      </c>
      <c r="D498" s="7">
        <v>18</v>
      </c>
      <c r="E498" t="b">
        <v>0</v>
      </c>
      <c r="F498" s="7">
        <v>6</v>
      </c>
      <c r="G498" s="7">
        <v>1</v>
      </c>
      <c r="H498" s="6">
        <v>0.08</v>
      </c>
      <c r="I498" s="8">
        <v>9.0899999999999995E-2</v>
      </c>
      <c r="J498" s="6">
        <v>0.35</v>
      </c>
      <c r="K498" s="8">
        <v>0.19400000000000001</v>
      </c>
      <c r="L498" s="7">
        <v>0</v>
      </c>
      <c r="M498" s="7">
        <v>54</v>
      </c>
      <c r="N498" s="7">
        <v>54</v>
      </c>
    </row>
    <row r="499" spans="1:14" x14ac:dyDescent="0.3">
      <c r="A499" s="7">
        <v>498</v>
      </c>
      <c r="B499" s="1">
        <v>40565</v>
      </c>
      <c r="C499" s="7">
        <v>1</v>
      </c>
      <c r="D499" s="7">
        <v>19</v>
      </c>
      <c r="E499" t="b">
        <v>0</v>
      </c>
      <c r="F499" s="7">
        <v>6</v>
      </c>
      <c r="G499" s="7">
        <v>1</v>
      </c>
      <c r="H499" s="6">
        <v>0.08</v>
      </c>
      <c r="I499" s="8">
        <v>0.1061</v>
      </c>
      <c r="J499" s="6">
        <v>0.35</v>
      </c>
      <c r="K499" s="8">
        <v>0.1343</v>
      </c>
      <c r="L499" s="7">
        <v>6</v>
      </c>
      <c r="M499" s="7">
        <v>53</v>
      </c>
      <c r="N499" s="7">
        <v>59</v>
      </c>
    </row>
    <row r="500" spans="1:14" x14ac:dyDescent="0.3">
      <c r="A500" s="7">
        <v>499</v>
      </c>
      <c r="B500" s="1">
        <v>40565</v>
      </c>
      <c r="C500" s="7">
        <v>1</v>
      </c>
      <c r="D500" s="7">
        <v>20</v>
      </c>
      <c r="E500" t="b">
        <v>0</v>
      </c>
      <c r="F500" s="7">
        <v>6</v>
      </c>
      <c r="G500" s="7">
        <v>1</v>
      </c>
      <c r="H500" s="6">
        <v>0.06</v>
      </c>
      <c r="I500" s="8">
        <v>7.5800000000000006E-2</v>
      </c>
      <c r="J500" s="6">
        <v>0.45</v>
      </c>
      <c r="K500" s="8">
        <v>0.16420000000000001</v>
      </c>
      <c r="L500" s="7">
        <v>1</v>
      </c>
      <c r="M500" s="7">
        <v>44</v>
      </c>
      <c r="N500" s="7">
        <v>45</v>
      </c>
    </row>
    <row r="501" spans="1:14" x14ac:dyDescent="0.3">
      <c r="A501" s="7">
        <v>500</v>
      </c>
      <c r="B501" s="1">
        <v>40565</v>
      </c>
      <c r="C501" s="7">
        <v>1</v>
      </c>
      <c r="D501" s="7">
        <v>21</v>
      </c>
      <c r="E501" t="b">
        <v>0</v>
      </c>
      <c r="F501" s="7">
        <v>6</v>
      </c>
      <c r="G501" s="7">
        <v>1</v>
      </c>
      <c r="H501" s="6">
        <v>0.06</v>
      </c>
      <c r="I501" s="8">
        <v>0.1061</v>
      </c>
      <c r="J501" s="6">
        <v>0.41</v>
      </c>
      <c r="K501" s="8">
        <v>8.9599999999999999E-2</v>
      </c>
      <c r="L501" s="7">
        <v>0</v>
      </c>
      <c r="M501" s="7">
        <v>39</v>
      </c>
      <c r="N501" s="7">
        <v>39</v>
      </c>
    </row>
    <row r="502" spans="1:14" x14ac:dyDescent="0.3">
      <c r="A502" s="7">
        <v>501</v>
      </c>
      <c r="B502" s="1">
        <v>40565</v>
      </c>
      <c r="C502" s="7">
        <v>1</v>
      </c>
      <c r="D502" s="7">
        <v>22</v>
      </c>
      <c r="E502" t="b">
        <v>0</v>
      </c>
      <c r="F502" s="7">
        <v>6</v>
      </c>
      <c r="G502" s="7">
        <v>1</v>
      </c>
      <c r="H502" s="6">
        <v>0.06</v>
      </c>
      <c r="I502" s="8">
        <v>0.1515</v>
      </c>
      <c r="J502" s="6">
        <v>0.49</v>
      </c>
      <c r="K502" s="8">
        <v>0</v>
      </c>
      <c r="L502" s="7">
        <v>7</v>
      </c>
      <c r="M502" s="7">
        <v>23</v>
      </c>
      <c r="N502" s="7">
        <v>30</v>
      </c>
    </row>
    <row r="503" spans="1:14" x14ac:dyDescent="0.3">
      <c r="A503" s="7">
        <v>502</v>
      </c>
      <c r="B503" s="1">
        <v>40565</v>
      </c>
      <c r="C503" s="7">
        <v>1</v>
      </c>
      <c r="D503" s="7">
        <v>23</v>
      </c>
      <c r="E503" t="b">
        <v>0</v>
      </c>
      <c r="F503" s="7">
        <v>6</v>
      </c>
      <c r="G503" s="7">
        <v>1</v>
      </c>
      <c r="H503" s="6">
        <v>0.04</v>
      </c>
      <c r="I503" s="8">
        <v>7.5800000000000006E-2</v>
      </c>
      <c r="J503" s="6">
        <v>0.56999999999999995</v>
      </c>
      <c r="K503" s="8">
        <v>0.1045</v>
      </c>
      <c r="L503" s="7">
        <v>2</v>
      </c>
      <c r="M503" s="7">
        <v>31</v>
      </c>
      <c r="N503" s="7">
        <v>33</v>
      </c>
    </row>
    <row r="504" spans="1:14" x14ac:dyDescent="0.3">
      <c r="A504" s="7">
        <v>503</v>
      </c>
      <c r="B504" s="1">
        <v>40566</v>
      </c>
      <c r="C504" s="7">
        <v>1</v>
      </c>
      <c r="D504" s="7">
        <v>0</v>
      </c>
      <c r="E504" t="b">
        <v>0</v>
      </c>
      <c r="F504" s="7">
        <v>0</v>
      </c>
      <c r="G504" s="7">
        <v>1</v>
      </c>
      <c r="H504" s="6">
        <v>0.04</v>
      </c>
      <c r="I504" s="8">
        <v>7.5800000000000006E-2</v>
      </c>
      <c r="J504" s="6">
        <v>0.56999999999999995</v>
      </c>
      <c r="K504" s="8">
        <v>0.1045</v>
      </c>
      <c r="L504" s="7">
        <v>2</v>
      </c>
      <c r="M504" s="7">
        <v>20</v>
      </c>
      <c r="N504" s="7">
        <v>22</v>
      </c>
    </row>
    <row r="505" spans="1:14" x14ac:dyDescent="0.3">
      <c r="A505" s="7">
        <v>504</v>
      </c>
      <c r="B505" s="1">
        <v>40566</v>
      </c>
      <c r="C505" s="7">
        <v>1</v>
      </c>
      <c r="D505" s="7">
        <v>1</v>
      </c>
      <c r="E505" t="b">
        <v>0</v>
      </c>
      <c r="F505" s="7">
        <v>0</v>
      </c>
      <c r="G505" s="7">
        <v>1</v>
      </c>
      <c r="H505" s="6">
        <v>0.04</v>
      </c>
      <c r="I505" s="8">
        <v>7.5800000000000006E-2</v>
      </c>
      <c r="J505" s="6">
        <v>0.56999999999999995</v>
      </c>
      <c r="K505" s="8">
        <v>0.1045</v>
      </c>
      <c r="L505" s="7">
        <v>1</v>
      </c>
      <c r="M505" s="7">
        <v>12</v>
      </c>
      <c r="N505" s="7">
        <v>13</v>
      </c>
    </row>
    <row r="506" spans="1:14" x14ac:dyDescent="0.3">
      <c r="A506" s="7">
        <v>505</v>
      </c>
      <c r="B506" s="1">
        <v>40566</v>
      </c>
      <c r="C506" s="7">
        <v>1</v>
      </c>
      <c r="D506" s="7">
        <v>2</v>
      </c>
      <c r="E506" t="b">
        <v>0</v>
      </c>
      <c r="F506" s="7">
        <v>0</v>
      </c>
      <c r="G506" s="7">
        <v>1</v>
      </c>
      <c r="H506" s="6">
        <v>0.02</v>
      </c>
      <c r="I506" s="8">
        <v>6.0600000000000001E-2</v>
      </c>
      <c r="J506" s="6">
        <v>0.62</v>
      </c>
      <c r="K506" s="8">
        <v>0.1343</v>
      </c>
      <c r="L506" s="7">
        <v>3</v>
      </c>
      <c r="M506" s="7">
        <v>15</v>
      </c>
      <c r="N506" s="7">
        <v>18</v>
      </c>
    </row>
    <row r="507" spans="1:14" x14ac:dyDescent="0.3">
      <c r="A507" s="7">
        <v>506</v>
      </c>
      <c r="B507" s="1">
        <v>40566</v>
      </c>
      <c r="C507" s="7">
        <v>1</v>
      </c>
      <c r="D507" s="7">
        <v>3</v>
      </c>
      <c r="E507" t="b">
        <v>0</v>
      </c>
      <c r="F507" s="7">
        <v>0</v>
      </c>
      <c r="G507" s="7">
        <v>1</v>
      </c>
      <c r="H507" s="6">
        <v>0.02</v>
      </c>
      <c r="I507" s="8">
        <v>6.0600000000000001E-2</v>
      </c>
      <c r="J507" s="6">
        <v>0.62</v>
      </c>
      <c r="K507" s="8">
        <v>0.1343</v>
      </c>
      <c r="L507" s="7">
        <v>1</v>
      </c>
      <c r="M507" s="7">
        <v>4</v>
      </c>
      <c r="N507" s="7">
        <v>5</v>
      </c>
    </row>
    <row r="508" spans="1:14" x14ac:dyDescent="0.3">
      <c r="A508" s="7">
        <v>507</v>
      </c>
      <c r="B508" s="1">
        <v>40566</v>
      </c>
      <c r="C508" s="7">
        <v>1</v>
      </c>
      <c r="D508" s="7">
        <v>5</v>
      </c>
      <c r="E508" t="b">
        <v>0</v>
      </c>
      <c r="F508" s="7">
        <v>0</v>
      </c>
      <c r="G508" s="7">
        <v>2</v>
      </c>
      <c r="H508" s="6">
        <v>0.04</v>
      </c>
      <c r="I508" s="8">
        <v>7.5800000000000006E-2</v>
      </c>
      <c r="J508" s="6">
        <v>0.56999999999999995</v>
      </c>
      <c r="K508" s="8">
        <v>0.1045</v>
      </c>
      <c r="L508" s="7">
        <v>0</v>
      </c>
      <c r="M508" s="7">
        <v>3</v>
      </c>
      <c r="N508" s="7">
        <v>3</v>
      </c>
    </row>
    <row r="509" spans="1:14" x14ac:dyDescent="0.3">
      <c r="A509" s="7">
        <v>508</v>
      </c>
      <c r="B509" s="1">
        <v>40566</v>
      </c>
      <c r="C509" s="7">
        <v>1</v>
      </c>
      <c r="D509" s="7">
        <v>6</v>
      </c>
      <c r="E509" t="b">
        <v>0</v>
      </c>
      <c r="F509" s="7">
        <v>0</v>
      </c>
      <c r="G509" s="7">
        <v>2</v>
      </c>
      <c r="H509" s="6">
        <v>0.04</v>
      </c>
      <c r="I509" s="8">
        <v>7.5800000000000006E-2</v>
      </c>
      <c r="J509" s="6">
        <v>0.56999999999999995</v>
      </c>
      <c r="K509" s="8">
        <v>0.1045</v>
      </c>
      <c r="L509" s="7">
        <v>0</v>
      </c>
      <c r="M509" s="7">
        <v>1</v>
      </c>
      <c r="N509" s="7">
        <v>1</v>
      </c>
    </row>
    <row r="510" spans="1:14" x14ac:dyDescent="0.3">
      <c r="A510" s="7">
        <v>509</v>
      </c>
      <c r="B510" s="1">
        <v>40566</v>
      </c>
      <c r="C510" s="7">
        <v>1</v>
      </c>
      <c r="D510" s="7">
        <v>7</v>
      </c>
      <c r="E510" t="b">
        <v>0</v>
      </c>
      <c r="F510" s="7">
        <v>0</v>
      </c>
      <c r="G510" s="7">
        <v>1</v>
      </c>
      <c r="H510" s="6">
        <v>0.08</v>
      </c>
      <c r="I510" s="8">
        <v>0.1061</v>
      </c>
      <c r="J510" s="6">
        <v>0.57999999999999996</v>
      </c>
      <c r="K510" s="8">
        <v>0.16420000000000001</v>
      </c>
      <c r="L510" s="7">
        <v>1</v>
      </c>
      <c r="M510" s="7">
        <v>1</v>
      </c>
      <c r="N510" s="7">
        <v>2</v>
      </c>
    </row>
    <row r="511" spans="1:14" x14ac:dyDescent="0.3">
      <c r="A511" s="7">
        <v>510</v>
      </c>
      <c r="B511" s="1">
        <v>40566</v>
      </c>
      <c r="C511" s="7">
        <v>1</v>
      </c>
      <c r="D511" s="7">
        <v>8</v>
      </c>
      <c r="E511" t="b">
        <v>0</v>
      </c>
      <c r="F511" s="7">
        <v>0</v>
      </c>
      <c r="G511" s="7">
        <v>1</v>
      </c>
      <c r="H511" s="6">
        <v>0.06</v>
      </c>
      <c r="I511" s="8">
        <v>7.5800000000000006E-2</v>
      </c>
      <c r="J511" s="6">
        <v>0.62</v>
      </c>
      <c r="K511" s="8">
        <v>0.16420000000000001</v>
      </c>
      <c r="L511" s="7">
        <v>2</v>
      </c>
      <c r="M511" s="7">
        <v>17</v>
      </c>
      <c r="N511" s="7">
        <v>19</v>
      </c>
    </row>
    <row r="512" spans="1:14" x14ac:dyDescent="0.3">
      <c r="A512" s="7">
        <v>511</v>
      </c>
      <c r="B512" s="1">
        <v>40566</v>
      </c>
      <c r="C512" s="7">
        <v>1</v>
      </c>
      <c r="D512" s="7">
        <v>9</v>
      </c>
      <c r="E512" t="b">
        <v>0</v>
      </c>
      <c r="F512" s="7">
        <v>0</v>
      </c>
      <c r="G512" s="7">
        <v>1</v>
      </c>
      <c r="H512" s="6">
        <v>0.1</v>
      </c>
      <c r="I512" s="8">
        <v>7.5800000000000006E-2</v>
      </c>
      <c r="J512" s="6">
        <v>0.54</v>
      </c>
      <c r="K512" s="8">
        <v>0.35820000000000002</v>
      </c>
      <c r="L512" s="7">
        <v>3</v>
      </c>
      <c r="M512" s="7">
        <v>25</v>
      </c>
      <c r="N512" s="7">
        <v>28</v>
      </c>
    </row>
    <row r="513" spans="1:14" x14ac:dyDescent="0.3">
      <c r="A513" s="7">
        <v>512</v>
      </c>
      <c r="B513" s="1">
        <v>40566</v>
      </c>
      <c r="C513" s="7">
        <v>1</v>
      </c>
      <c r="D513" s="7">
        <v>10</v>
      </c>
      <c r="E513" t="b">
        <v>0</v>
      </c>
      <c r="F513" s="7">
        <v>0</v>
      </c>
      <c r="G513" s="7">
        <v>1</v>
      </c>
      <c r="H513" s="6">
        <v>0.14000000000000001</v>
      </c>
      <c r="I513" s="8">
        <v>0.1061</v>
      </c>
      <c r="J513" s="6">
        <v>0.46</v>
      </c>
      <c r="K513" s="8">
        <v>0.3881</v>
      </c>
      <c r="L513" s="7">
        <v>7</v>
      </c>
      <c r="M513" s="7">
        <v>51</v>
      </c>
      <c r="N513" s="7">
        <v>58</v>
      </c>
    </row>
    <row r="514" spans="1:14" x14ac:dyDescent="0.3">
      <c r="A514" s="7">
        <v>513</v>
      </c>
      <c r="B514" s="1">
        <v>40566</v>
      </c>
      <c r="C514" s="7">
        <v>1</v>
      </c>
      <c r="D514" s="7">
        <v>11</v>
      </c>
      <c r="E514" t="b">
        <v>0</v>
      </c>
      <c r="F514" s="7">
        <v>0</v>
      </c>
      <c r="G514" s="7">
        <v>1</v>
      </c>
      <c r="H514" s="6">
        <v>0.14000000000000001</v>
      </c>
      <c r="I514" s="8">
        <v>0.13639999999999999</v>
      </c>
      <c r="J514" s="6">
        <v>0.43</v>
      </c>
      <c r="K514" s="8">
        <v>0.22389999999999999</v>
      </c>
      <c r="L514" s="7">
        <v>22</v>
      </c>
      <c r="M514" s="7">
        <v>77</v>
      </c>
      <c r="N514" s="7">
        <v>99</v>
      </c>
    </row>
    <row r="515" spans="1:14" x14ac:dyDescent="0.3">
      <c r="A515" s="7">
        <v>514</v>
      </c>
      <c r="B515" s="1">
        <v>40566</v>
      </c>
      <c r="C515" s="7">
        <v>1</v>
      </c>
      <c r="D515" s="7">
        <v>12</v>
      </c>
      <c r="E515" t="b">
        <v>0</v>
      </c>
      <c r="F515" s="7">
        <v>0</v>
      </c>
      <c r="G515" s="7">
        <v>1</v>
      </c>
      <c r="H515" s="6">
        <v>0.16</v>
      </c>
      <c r="I515" s="8">
        <v>0.1212</v>
      </c>
      <c r="J515" s="6">
        <v>0.37</v>
      </c>
      <c r="K515" s="8">
        <v>0.4627</v>
      </c>
      <c r="L515" s="7">
        <v>24</v>
      </c>
      <c r="M515" s="7">
        <v>92</v>
      </c>
      <c r="N515" s="7">
        <v>116</v>
      </c>
    </row>
    <row r="516" spans="1:14" x14ac:dyDescent="0.3">
      <c r="A516" s="7">
        <v>515</v>
      </c>
      <c r="B516" s="1">
        <v>40566</v>
      </c>
      <c r="C516" s="7">
        <v>1</v>
      </c>
      <c r="D516" s="7">
        <v>13</v>
      </c>
      <c r="E516" t="b">
        <v>0</v>
      </c>
      <c r="F516" s="7">
        <v>0</v>
      </c>
      <c r="G516" s="7">
        <v>1</v>
      </c>
      <c r="H516" s="6">
        <v>0.14000000000000001</v>
      </c>
      <c r="I516" s="8">
        <v>0.1061</v>
      </c>
      <c r="J516" s="6">
        <v>0.33</v>
      </c>
      <c r="K516" s="8">
        <v>0.3881</v>
      </c>
      <c r="L516" s="7">
        <v>12</v>
      </c>
      <c r="M516" s="7">
        <v>75</v>
      </c>
      <c r="N516" s="7">
        <v>87</v>
      </c>
    </row>
    <row r="517" spans="1:14" x14ac:dyDescent="0.3">
      <c r="A517" s="7">
        <v>516</v>
      </c>
      <c r="B517" s="1">
        <v>40566</v>
      </c>
      <c r="C517" s="7">
        <v>1</v>
      </c>
      <c r="D517" s="7">
        <v>14</v>
      </c>
      <c r="E517" t="b">
        <v>0</v>
      </c>
      <c r="F517" s="7">
        <v>0</v>
      </c>
      <c r="G517" s="7">
        <v>1</v>
      </c>
      <c r="H517" s="6">
        <v>0.16</v>
      </c>
      <c r="I517" s="8">
        <v>0.13639999999999999</v>
      </c>
      <c r="J517" s="6">
        <v>0.28000000000000003</v>
      </c>
      <c r="K517" s="8">
        <v>0.35820000000000002</v>
      </c>
      <c r="L517" s="7">
        <v>17</v>
      </c>
      <c r="M517" s="7">
        <v>93</v>
      </c>
      <c r="N517" s="7">
        <v>110</v>
      </c>
    </row>
    <row r="518" spans="1:14" x14ac:dyDescent="0.3">
      <c r="A518" s="7">
        <v>517</v>
      </c>
      <c r="B518" s="1">
        <v>40566</v>
      </c>
      <c r="C518" s="7">
        <v>1</v>
      </c>
      <c r="D518" s="7">
        <v>15</v>
      </c>
      <c r="E518" t="b">
        <v>0</v>
      </c>
      <c r="F518" s="7">
        <v>0</v>
      </c>
      <c r="G518" s="7">
        <v>1</v>
      </c>
      <c r="H518" s="6">
        <v>0.16</v>
      </c>
      <c r="I518" s="8">
        <v>0.13639999999999999</v>
      </c>
      <c r="J518" s="6">
        <v>0.28000000000000003</v>
      </c>
      <c r="K518" s="8">
        <v>0.35820000000000002</v>
      </c>
      <c r="L518" s="7">
        <v>13</v>
      </c>
      <c r="M518" s="7">
        <v>64</v>
      </c>
      <c r="N518" s="7">
        <v>77</v>
      </c>
    </row>
    <row r="519" spans="1:14" x14ac:dyDescent="0.3">
      <c r="A519" s="7">
        <v>518</v>
      </c>
      <c r="B519" s="1">
        <v>40566</v>
      </c>
      <c r="C519" s="7">
        <v>1</v>
      </c>
      <c r="D519" s="7">
        <v>16</v>
      </c>
      <c r="E519" t="b">
        <v>0</v>
      </c>
      <c r="F519" s="7">
        <v>0</v>
      </c>
      <c r="G519" s="7">
        <v>1</v>
      </c>
      <c r="H519" s="6">
        <v>0.16</v>
      </c>
      <c r="I519" s="8">
        <v>0.13639999999999999</v>
      </c>
      <c r="J519" s="6">
        <v>0.26</v>
      </c>
      <c r="K519" s="8">
        <v>0.32840000000000003</v>
      </c>
      <c r="L519" s="7">
        <v>9</v>
      </c>
      <c r="M519" s="7">
        <v>56</v>
      </c>
      <c r="N519" s="7">
        <v>65</v>
      </c>
    </row>
    <row r="520" spans="1:14" x14ac:dyDescent="0.3">
      <c r="A520" s="7">
        <v>519</v>
      </c>
      <c r="B520" s="1">
        <v>40566</v>
      </c>
      <c r="C520" s="7">
        <v>1</v>
      </c>
      <c r="D520" s="7">
        <v>17</v>
      </c>
      <c r="E520" t="b">
        <v>0</v>
      </c>
      <c r="F520" s="7">
        <v>0</v>
      </c>
      <c r="G520" s="7">
        <v>1</v>
      </c>
      <c r="H520" s="6">
        <v>0.14000000000000001</v>
      </c>
      <c r="I520" s="8">
        <v>0.1061</v>
      </c>
      <c r="J520" s="6">
        <v>0.26</v>
      </c>
      <c r="K520" s="8">
        <v>0.3881</v>
      </c>
      <c r="L520" s="7">
        <v>5</v>
      </c>
      <c r="M520" s="7">
        <v>50</v>
      </c>
      <c r="N520" s="7">
        <v>55</v>
      </c>
    </row>
    <row r="521" spans="1:14" x14ac:dyDescent="0.3">
      <c r="A521" s="7">
        <v>520</v>
      </c>
      <c r="B521" s="1">
        <v>40566</v>
      </c>
      <c r="C521" s="7">
        <v>1</v>
      </c>
      <c r="D521" s="7">
        <v>18</v>
      </c>
      <c r="E521" t="b">
        <v>0</v>
      </c>
      <c r="F521" s="7">
        <v>0</v>
      </c>
      <c r="G521" s="7">
        <v>1</v>
      </c>
      <c r="H521" s="6">
        <v>0.12</v>
      </c>
      <c r="I521" s="8">
        <v>0.1212</v>
      </c>
      <c r="J521" s="6">
        <v>0.3</v>
      </c>
      <c r="K521" s="8">
        <v>0.25369999999999998</v>
      </c>
      <c r="L521" s="7">
        <v>5</v>
      </c>
      <c r="M521" s="7">
        <v>44</v>
      </c>
      <c r="N521" s="7">
        <v>49</v>
      </c>
    </row>
    <row r="522" spans="1:14" x14ac:dyDescent="0.3">
      <c r="A522" s="7">
        <v>521</v>
      </c>
      <c r="B522" s="1">
        <v>40566</v>
      </c>
      <c r="C522" s="7">
        <v>1</v>
      </c>
      <c r="D522" s="7">
        <v>19</v>
      </c>
      <c r="E522" t="b">
        <v>0</v>
      </c>
      <c r="F522" s="7">
        <v>0</v>
      </c>
      <c r="G522" s="7">
        <v>1</v>
      </c>
      <c r="H522" s="6">
        <v>0.12</v>
      </c>
      <c r="I522" s="8">
        <v>0.1212</v>
      </c>
      <c r="J522" s="6">
        <v>0.3</v>
      </c>
      <c r="K522" s="8">
        <v>0.28360000000000002</v>
      </c>
      <c r="L522" s="7">
        <v>5</v>
      </c>
      <c r="M522" s="7">
        <v>45</v>
      </c>
      <c r="N522" s="7">
        <v>50</v>
      </c>
    </row>
    <row r="523" spans="1:14" x14ac:dyDescent="0.3">
      <c r="A523" s="7">
        <v>522</v>
      </c>
      <c r="B523" s="1">
        <v>40566</v>
      </c>
      <c r="C523" s="7">
        <v>1</v>
      </c>
      <c r="D523" s="7">
        <v>20</v>
      </c>
      <c r="E523" t="b">
        <v>0</v>
      </c>
      <c r="F523" s="7">
        <v>0</v>
      </c>
      <c r="G523" s="7">
        <v>1</v>
      </c>
      <c r="H523" s="6">
        <v>0.1</v>
      </c>
      <c r="I523" s="8">
        <v>0.1061</v>
      </c>
      <c r="J523" s="6">
        <v>0.36</v>
      </c>
      <c r="K523" s="8">
        <v>0.25369999999999998</v>
      </c>
      <c r="L523" s="7">
        <v>4</v>
      </c>
      <c r="M523" s="7">
        <v>31</v>
      </c>
      <c r="N523" s="7">
        <v>35</v>
      </c>
    </row>
    <row r="524" spans="1:14" x14ac:dyDescent="0.3">
      <c r="A524" s="7">
        <v>523</v>
      </c>
      <c r="B524" s="1">
        <v>40566</v>
      </c>
      <c r="C524" s="7">
        <v>1</v>
      </c>
      <c r="D524" s="7">
        <v>21</v>
      </c>
      <c r="E524" t="b">
        <v>0</v>
      </c>
      <c r="F524" s="7">
        <v>0</v>
      </c>
      <c r="G524" s="7">
        <v>1</v>
      </c>
      <c r="H524" s="6">
        <v>0.1</v>
      </c>
      <c r="I524" s="8">
        <v>0.1061</v>
      </c>
      <c r="J524" s="6">
        <v>0.36</v>
      </c>
      <c r="K524" s="8">
        <v>0.19400000000000001</v>
      </c>
      <c r="L524" s="7">
        <v>5</v>
      </c>
      <c r="M524" s="7">
        <v>20</v>
      </c>
      <c r="N524" s="7">
        <v>25</v>
      </c>
    </row>
    <row r="525" spans="1:14" x14ac:dyDescent="0.3">
      <c r="A525" s="7">
        <v>524</v>
      </c>
      <c r="B525" s="1">
        <v>40566</v>
      </c>
      <c r="C525" s="7">
        <v>1</v>
      </c>
      <c r="D525" s="7">
        <v>22</v>
      </c>
      <c r="E525" t="b">
        <v>0</v>
      </c>
      <c r="F525" s="7">
        <v>0</v>
      </c>
      <c r="G525" s="7">
        <v>1</v>
      </c>
      <c r="H525" s="6">
        <v>0.08</v>
      </c>
      <c r="I525" s="8">
        <v>9.0899999999999995E-2</v>
      </c>
      <c r="J525" s="6">
        <v>0.38</v>
      </c>
      <c r="K525" s="8">
        <v>0.19400000000000001</v>
      </c>
      <c r="L525" s="7">
        <v>5</v>
      </c>
      <c r="M525" s="7">
        <v>23</v>
      </c>
      <c r="N525" s="7">
        <v>28</v>
      </c>
    </row>
    <row r="526" spans="1:14" x14ac:dyDescent="0.3">
      <c r="A526" s="7">
        <v>525</v>
      </c>
      <c r="B526" s="1">
        <v>40566</v>
      </c>
      <c r="C526" s="7">
        <v>1</v>
      </c>
      <c r="D526" s="7">
        <v>23</v>
      </c>
      <c r="E526" t="b">
        <v>0</v>
      </c>
      <c r="F526" s="7">
        <v>0</v>
      </c>
      <c r="G526" s="7">
        <v>1</v>
      </c>
      <c r="H526" s="6">
        <v>0.06</v>
      </c>
      <c r="I526" s="8">
        <v>6.0600000000000001E-2</v>
      </c>
      <c r="J526" s="6">
        <v>0.41</v>
      </c>
      <c r="K526" s="8">
        <v>0.22389999999999999</v>
      </c>
      <c r="L526" s="7">
        <v>4</v>
      </c>
      <c r="M526" s="7">
        <v>17</v>
      </c>
      <c r="N526" s="7">
        <v>21</v>
      </c>
    </row>
    <row r="527" spans="1:14" x14ac:dyDescent="0.3">
      <c r="A527" s="7">
        <v>526</v>
      </c>
      <c r="B527" s="1">
        <v>40567</v>
      </c>
      <c r="C527" s="7">
        <v>1</v>
      </c>
      <c r="D527" s="7">
        <v>0</v>
      </c>
      <c r="E527" t="b">
        <v>0</v>
      </c>
      <c r="F527" s="7">
        <v>1</v>
      </c>
      <c r="G527" s="7">
        <v>1</v>
      </c>
      <c r="H527" s="6">
        <v>0.06</v>
      </c>
      <c r="I527" s="8">
        <v>6.0600000000000001E-2</v>
      </c>
      <c r="J527" s="6">
        <v>0.41</v>
      </c>
      <c r="K527" s="8">
        <v>0.19400000000000001</v>
      </c>
      <c r="L527" s="7">
        <v>0</v>
      </c>
      <c r="M527" s="7">
        <v>7</v>
      </c>
      <c r="N527" s="7">
        <v>7</v>
      </c>
    </row>
    <row r="528" spans="1:14" x14ac:dyDescent="0.3">
      <c r="A528" s="7">
        <v>527</v>
      </c>
      <c r="B528" s="1">
        <v>40567</v>
      </c>
      <c r="C528" s="7">
        <v>1</v>
      </c>
      <c r="D528" s="7">
        <v>1</v>
      </c>
      <c r="E528" t="b">
        <v>0</v>
      </c>
      <c r="F528" s="7">
        <v>1</v>
      </c>
      <c r="G528" s="7">
        <v>1</v>
      </c>
      <c r="H528" s="6">
        <v>0.04</v>
      </c>
      <c r="I528" s="8">
        <v>4.5499999999999999E-2</v>
      </c>
      <c r="J528" s="6">
        <v>0.45</v>
      </c>
      <c r="K528" s="8">
        <v>0.19400000000000001</v>
      </c>
      <c r="L528" s="7">
        <v>0</v>
      </c>
      <c r="M528" s="7">
        <v>1</v>
      </c>
      <c r="N528" s="7">
        <v>1</v>
      </c>
    </row>
    <row r="529" spans="1:14" x14ac:dyDescent="0.3">
      <c r="A529" s="7">
        <v>528</v>
      </c>
      <c r="B529" s="1">
        <v>40567</v>
      </c>
      <c r="C529" s="7">
        <v>1</v>
      </c>
      <c r="D529" s="7">
        <v>3</v>
      </c>
      <c r="E529" t="b">
        <v>0</v>
      </c>
      <c r="F529" s="7">
        <v>1</v>
      </c>
      <c r="G529" s="7">
        <v>1</v>
      </c>
      <c r="H529" s="6">
        <v>0.04</v>
      </c>
      <c r="I529" s="8">
        <v>3.0300000000000001E-2</v>
      </c>
      <c r="J529" s="6">
        <v>0.45</v>
      </c>
      <c r="K529" s="8">
        <v>0.25369999999999998</v>
      </c>
      <c r="L529" s="7">
        <v>0</v>
      </c>
      <c r="M529" s="7">
        <v>1</v>
      </c>
      <c r="N529" s="7">
        <v>1</v>
      </c>
    </row>
    <row r="530" spans="1:14" x14ac:dyDescent="0.3">
      <c r="A530" s="7">
        <v>529</v>
      </c>
      <c r="B530" s="1">
        <v>40567</v>
      </c>
      <c r="C530" s="7">
        <v>1</v>
      </c>
      <c r="D530" s="7">
        <v>4</v>
      </c>
      <c r="E530" t="b">
        <v>0</v>
      </c>
      <c r="F530" s="7">
        <v>1</v>
      </c>
      <c r="G530" s="7">
        <v>1</v>
      </c>
      <c r="H530" s="6">
        <v>0.02</v>
      </c>
      <c r="I530" s="8">
        <v>6.0600000000000001E-2</v>
      </c>
      <c r="J530" s="6">
        <v>0.48</v>
      </c>
      <c r="K530" s="8">
        <v>0.1343</v>
      </c>
      <c r="L530" s="7">
        <v>0</v>
      </c>
      <c r="M530" s="7">
        <v>1</v>
      </c>
      <c r="N530" s="7">
        <v>1</v>
      </c>
    </row>
    <row r="531" spans="1:14" x14ac:dyDescent="0.3">
      <c r="A531" s="7">
        <v>530</v>
      </c>
      <c r="B531" s="1">
        <v>40567</v>
      </c>
      <c r="C531" s="7">
        <v>1</v>
      </c>
      <c r="D531" s="7">
        <v>5</v>
      </c>
      <c r="E531" t="b">
        <v>0</v>
      </c>
      <c r="F531" s="7">
        <v>1</v>
      </c>
      <c r="G531" s="7">
        <v>1</v>
      </c>
      <c r="H531" s="6">
        <v>0.02</v>
      </c>
      <c r="I531" s="8">
        <v>6.0600000000000001E-2</v>
      </c>
      <c r="J531" s="6">
        <v>0.48</v>
      </c>
      <c r="K531" s="8">
        <v>0.1343</v>
      </c>
      <c r="L531" s="7">
        <v>0</v>
      </c>
      <c r="M531" s="7">
        <v>5</v>
      </c>
      <c r="N531" s="7">
        <v>5</v>
      </c>
    </row>
    <row r="532" spans="1:14" x14ac:dyDescent="0.3">
      <c r="A532" s="7">
        <v>531</v>
      </c>
      <c r="B532" s="1">
        <v>40567</v>
      </c>
      <c r="C532" s="7">
        <v>1</v>
      </c>
      <c r="D532" s="7">
        <v>6</v>
      </c>
      <c r="E532" t="b">
        <v>0</v>
      </c>
      <c r="F532" s="7">
        <v>1</v>
      </c>
      <c r="G532" s="7">
        <v>1</v>
      </c>
      <c r="H532" s="6">
        <v>0.02</v>
      </c>
      <c r="I532" s="8">
        <v>7.5800000000000006E-2</v>
      </c>
      <c r="J532" s="6">
        <v>0.48</v>
      </c>
      <c r="K532" s="8">
        <v>8.9599999999999999E-2</v>
      </c>
      <c r="L532" s="7">
        <v>0</v>
      </c>
      <c r="M532" s="7">
        <v>15</v>
      </c>
      <c r="N532" s="7">
        <v>15</v>
      </c>
    </row>
    <row r="533" spans="1:14" x14ac:dyDescent="0.3">
      <c r="A533" s="7">
        <v>532</v>
      </c>
      <c r="B533" s="1">
        <v>40567</v>
      </c>
      <c r="C533" s="7">
        <v>1</v>
      </c>
      <c r="D533" s="7">
        <v>7</v>
      </c>
      <c r="E533" t="b">
        <v>0</v>
      </c>
      <c r="F533" s="7">
        <v>1</v>
      </c>
      <c r="G533" s="7">
        <v>1</v>
      </c>
      <c r="H533" s="6">
        <v>0.02</v>
      </c>
      <c r="I533" s="8">
        <v>0.1212</v>
      </c>
      <c r="J533" s="6">
        <v>0.48</v>
      </c>
      <c r="K533" s="8">
        <v>0</v>
      </c>
      <c r="L533" s="7">
        <v>5</v>
      </c>
      <c r="M533" s="7">
        <v>79</v>
      </c>
      <c r="N533" s="7">
        <v>84</v>
      </c>
    </row>
    <row r="534" spans="1:14" x14ac:dyDescent="0.3">
      <c r="A534" s="7">
        <v>533</v>
      </c>
      <c r="B534" s="1">
        <v>40567</v>
      </c>
      <c r="C534" s="7">
        <v>1</v>
      </c>
      <c r="D534" s="7">
        <v>8</v>
      </c>
      <c r="E534" t="b">
        <v>0</v>
      </c>
      <c r="F534" s="7">
        <v>1</v>
      </c>
      <c r="G534" s="7">
        <v>1</v>
      </c>
      <c r="H534" s="6">
        <v>0.04</v>
      </c>
      <c r="I534" s="8">
        <v>0.13639999999999999</v>
      </c>
      <c r="J534" s="6">
        <v>0.49</v>
      </c>
      <c r="K534" s="8">
        <v>0</v>
      </c>
      <c r="L534" s="7">
        <v>6</v>
      </c>
      <c r="M534" s="7">
        <v>171</v>
      </c>
      <c r="N534" s="7">
        <v>177</v>
      </c>
    </row>
    <row r="535" spans="1:14" x14ac:dyDescent="0.3">
      <c r="A535" s="7">
        <v>534</v>
      </c>
      <c r="B535" s="1">
        <v>40567</v>
      </c>
      <c r="C535" s="7">
        <v>1</v>
      </c>
      <c r="D535" s="7">
        <v>9</v>
      </c>
      <c r="E535" t="b">
        <v>0</v>
      </c>
      <c r="F535" s="7">
        <v>1</v>
      </c>
      <c r="G535" s="7">
        <v>1</v>
      </c>
      <c r="H535" s="6">
        <v>0.06</v>
      </c>
      <c r="I535" s="8">
        <v>0.1515</v>
      </c>
      <c r="J535" s="6">
        <v>0.41</v>
      </c>
      <c r="K535" s="8">
        <v>0</v>
      </c>
      <c r="L535" s="7">
        <v>4</v>
      </c>
      <c r="M535" s="7">
        <v>98</v>
      </c>
      <c r="N535" s="7">
        <v>102</v>
      </c>
    </row>
    <row r="536" spans="1:14" x14ac:dyDescent="0.3">
      <c r="A536" s="7">
        <v>535</v>
      </c>
      <c r="B536" s="1">
        <v>40567</v>
      </c>
      <c r="C536" s="7">
        <v>1</v>
      </c>
      <c r="D536" s="7">
        <v>10</v>
      </c>
      <c r="E536" t="b">
        <v>0</v>
      </c>
      <c r="F536" s="7">
        <v>1</v>
      </c>
      <c r="G536" s="7">
        <v>1</v>
      </c>
      <c r="H536" s="6">
        <v>0.1</v>
      </c>
      <c r="I536" s="8">
        <v>0.13639999999999999</v>
      </c>
      <c r="J536" s="6">
        <v>0.42</v>
      </c>
      <c r="K536" s="8">
        <v>0</v>
      </c>
      <c r="L536" s="7">
        <v>6</v>
      </c>
      <c r="M536" s="7">
        <v>34</v>
      </c>
      <c r="N536" s="7">
        <v>40</v>
      </c>
    </row>
    <row r="537" spans="1:14" x14ac:dyDescent="0.3">
      <c r="A537" s="7">
        <v>536</v>
      </c>
      <c r="B537" s="1">
        <v>40567</v>
      </c>
      <c r="C537" s="7">
        <v>1</v>
      </c>
      <c r="D537" s="7">
        <v>11</v>
      </c>
      <c r="E537" t="b">
        <v>0</v>
      </c>
      <c r="F537" s="7">
        <v>1</v>
      </c>
      <c r="G537" s="7">
        <v>1</v>
      </c>
      <c r="H537" s="6">
        <v>0.1</v>
      </c>
      <c r="I537" s="8">
        <v>0.1212</v>
      </c>
      <c r="J537" s="6">
        <v>0.46</v>
      </c>
      <c r="K537" s="8">
        <v>0.1343</v>
      </c>
      <c r="L537" s="7">
        <v>3</v>
      </c>
      <c r="M537" s="7">
        <v>43</v>
      </c>
      <c r="N537" s="7">
        <v>46</v>
      </c>
    </row>
    <row r="538" spans="1:14" x14ac:dyDescent="0.3">
      <c r="A538" s="7">
        <v>537</v>
      </c>
      <c r="B538" s="1">
        <v>40567</v>
      </c>
      <c r="C538" s="7">
        <v>1</v>
      </c>
      <c r="D538" s="7">
        <v>12</v>
      </c>
      <c r="E538" t="b">
        <v>0</v>
      </c>
      <c r="F538" s="7">
        <v>1</v>
      </c>
      <c r="G538" s="7">
        <v>2</v>
      </c>
      <c r="H538" s="6">
        <v>0.12</v>
      </c>
      <c r="I538" s="8">
        <v>0.13639999999999999</v>
      </c>
      <c r="J538" s="6">
        <v>0.42</v>
      </c>
      <c r="K538" s="8">
        <v>0.19400000000000001</v>
      </c>
      <c r="L538" s="7">
        <v>11</v>
      </c>
      <c r="M538" s="7">
        <v>52</v>
      </c>
      <c r="N538" s="7">
        <v>63</v>
      </c>
    </row>
    <row r="539" spans="1:14" x14ac:dyDescent="0.3">
      <c r="A539" s="7">
        <v>538</v>
      </c>
      <c r="B539" s="1">
        <v>40567</v>
      </c>
      <c r="C539" s="7">
        <v>1</v>
      </c>
      <c r="D539" s="7">
        <v>13</v>
      </c>
      <c r="E539" t="b">
        <v>0</v>
      </c>
      <c r="F539" s="7">
        <v>1</v>
      </c>
      <c r="G539" s="7">
        <v>2</v>
      </c>
      <c r="H539" s="6">
        <v>0.14000000000000001</v>
      </c>
      <c r="I539" s="8">
        <v>0.13639999999999999</v>
      </c>
      <c r="J539" s="6">
        <v>0.43</v>
      </c>
      <c r="K539" s="8">
        <v>0.22389999999999999</v>
      </c>
      <c r="L539" s="7">
        <v>6</v>
      </c>
      <c r="M539" s="7">
        <v>54</v>
      </c>
      <c r="N539" s="7">
        <v>60</v>
      </c>
    </row>
    <row r="540" spans="1:14" x14ac:dyDescent="0.3">
      <c r="A540" s="7">
        <v>539</v>
      </c>
      <c r="B540" s="1">
        <v>40567</v>
      </c>
      <c r="C540" s="7">
        <v>1</v>
      </c>
      <c r="D540" s="7">
        <v>14</v>
      </c>
      <c r="E540" t="b">
        <v>0</v>
      </c>
      <c r="F540" s="7">
        <v>1</v>
      </c>
      <c r="G540" s="7">
        <v>2</v>
      </c>
      <c r="H540" s="6">
        <v>0.14000000000000001</v>
      </c>
      <c r="I540" s="8">
        <v>0.13639999999999999</v>
      </c>
      <c r="J540" s="6">
        <v>0.46</v>
      </c>
      <c r="K540" s="8">
        <v>0.22389999999999999</v>
      </c>
      <c r="L540" s="7">
        <v>2</v>
      </c>
      <c r="M540" s="7">
        <v>43</v>
      </c>
      <c r="N540" s="7">
        <v>45</v>
      </c>
    </row>
    <row r="541" spans="1:14" x14ac:dyDescent="0.3">
      <c r="A541" s="7">
        <v>540</v>
      </c>
      <c r="B541" s="1">
        <v>40567</v>
      </c>
      <c r="C541" s="7">
        <v>1</v>
      </c>
      <c r="D541" s="7">
        <v>15</v>
      </c>
      <c r="E541" t="b">
        <v>0</v>
      </c>
      <c r="F541" s="7">
        <v>1</v>
      </c>
      <c r="G541" s="7">
        <v>1</v>
      </c>
      <c r="H541" s="6">
        <v>0.16</v>
      </c>
      <c r="I541" s="8">
        <v>0.16669999999999999</v>
      </c>
      <c r="J541" s="6">
        <v>0.4</v>
      </c>
      <c r="K541" s="8">
        <v>0.16420000000000001</v>
      </c>
      <c r="L541" s="7">
        <v>7</v>
      </c>
      <c r="M541" s="7">
        <v>50</v>
      </c>
      <c r="N541" s="7">
        <v>57</v>
      </c>
    </row>
    <row r="542" spans="1:14" x14ac:dyDescent="0.3">
      <c r="A542" s="7">
        <v>541</v>
      </c>
      <c r="B542" s="1">
        <v>40567</v>
      </c>
      <c r="C542" s="7">
        <v>1</v>
      </c>
      <c r="D542" s="7">
        <v>16</v>
      </c>
      <c r="E542" t="b">
        <v>0</v>
      </c>
      <c r="F542" s="7">
        <v>1</v>
      </c>
      <c r="G542" s="7">
        <v>1</v>
      </c>
      <c r="H542" s="6">
        <v>0.16</v>
      </c>
      <c r="I542" s="8">
        <v>0.1515</v>
      </c>
      <c r="J542" s="6">
        <v>0.47</v>
      </c>
      <c r="K542" s="8">
        <v>0.25369999999999998</v>
      </c>
      <c r="L542" s="7">
        <v>4</v>
      </c>
      <c r="M542" s="7">
        <v>66</v>
      </c>
      <c r="N542" s="7">
        <v>70</v>
      </c>
    </row>
    <row r="543" spans="1:14" x14ac:dyDescent="0.3">
      <c r="A543" s="7">
        <v>542</v>
      </c>
      <c r="B543" s="1">
        <v>40567</v>
      </c>
      <c r="C543" s="7">
        <v>1</v>
      </c>
      <c r="D543" s="7">
        <v>17</v>
      </c>
      <c r="E543" t="b">
        <v>0</v>
      </c>
      <c r="F543" s="7">
        <v>1</v>
      </c>
      <c r="G543" s="7">
        <v>1</v>
      </c>
      <c r="H543" s="6">
        <v>0.14000000000000001</v>
      </c>
      <c r="I543" s="8">
        <v>0.1212</v>
      </c>
      <c r="J543" s="6">
        <v>0.5</v>
      </c>
      <c r="K543" s="8">
        <v>0.25369999999999998</v>
      </c>
      <c r="L543" s="7">
        <v>6</v>
      </c>
      <c r="M543" s="7">
        <v>178</v>
      </c>
      <c r="N543" s="7">
        <v>184</v>
      </c>
    </row>
    <row r="544" spans="1:14" x14ac:dyDescent="0.3">
      <c r="A544" s="7">
        <v>543</v>
      </c>
      <c r="B544" s="1">
        <v>40567</v>
      </c>
      <c r="C544" s="7">
        <v>1</v>
      </c>
      <c r="D544" s="7">
        <v>18</v>
      </c>
      <c r="E544" t="b">
        <v>0</v>
      </c>
      <c r="F544" s="7">
        <v>1</v>
      </c>
      <c r="G544" s="7">
        <v>1</v>
      </c>
      <c r="H544" s="6">
        <v>0.14000000000000001</v>
      </c>
      <c r="I544" s="8">
        <v>0.13639999999999999</v>
      </c>
      <c r="J544" s="6">
        <v>0.59</v>
      </c>
      <c r="K544" s="8">
        <v>0.19400000000000001</v>
      </c>
      <c r="L544" s="7">
        <v>8</v>
      </c>
      <c r="M544" s="7">
        <v>145</v>
      </c>
      <c r="N544" s="7">
        <v>153</v>
      </c>
    </row>
    <row r="545" spans="1:14" x14ac:dyDescent="0.3">
      <c r="A545" s="7">
        <v>544</v>
      </c>
      <c r="B545" s="1">
        <v>40567</v>
      </c>
      <c r="C545" s="7">
        <v>1</v>
      </c>
      <c r="D545" s="7">
        <v>19</v>
      </c>
      <c r="E545" t="b">
        <v>0</v>
      </c>
      <c r="F545" s="7">
        <v>1</v>
      </c>
      <c r="G545" s="7">
        <v>1</v>
      </c>
      <c r="H545" s="6">
        <v>0.14000000000000001</v>
      </c>
      <c r="I545" s="8">
        <v>0.1515</v>
      </c>
      <c r="J545" s="6">
        <v>0.54</v>
      </c>
      <c r="K545" s="8">
        <v>0.16420000000000001</v>
      </c>
      <c r="L545" s="7">
        <v>5</v>
      </c>
      <c r="M545" s="7">
        <v>101</v>
      </c>
      <c r="N545" s="7">
        <v>106</v>
      </c>
    </row>
    <row r="546" spans="1:14" x14ac:dyDescent="0.3">
      <c r="A546" s="7">
        <v>545</v>
      </c>
      <c r="B546" s="1">
        <v>40567</v>
      </c>
      <c r="C546" s="7">
        <v>1</v>
      </c>
      <c r="D546" s="7">
        <v>20</v>
      </c>
      <c r="E546" t="b">
        <v>0</v>
      </c>
      <c r="F546" s="7">
        <v>1</v>
      </c>
      <c r="G546" s="7">
        <v>1</v>
      </c>
      <c r="H546" s="6">
        <v>0.14000000000000001</v>
      </c>
      <c r="I546" s="8">
        <v>0.13639999999999999</v>
      </c>
      <c r="J546" s="6">
        <v>0.59</v>
      </c>
      <c r="K546" s="8">
        <v>0.19400000000000001</v>
      </c>
      <c r="L546" s="7">
        <v>1</v>
      </c>
      <c r="M546" s="7">
        <v>80</v>
      </c>
      <c r="N546" s="7">
        <v>81</v>
      </c>
    </row>
    <row r="547" spans="1:14" x14ac:dyDescent="0.3">
      <c r="A547" s="7">
        <v>546</v>
      </c>
      <c r="B547" s="1">
        <v>40567</v>
      </c>
      <c r="C547" s="7">
        <v>1</v>
      </c>
      <c r="D547" s="7">
        <v>21</v>
      </c>
      <c r="E547" t="b">
        <v>0</v>
      </c>
      <c r="F547" s="7">
        <v>1</v>
      </c>
      <c r="G547" s="7">
        <v>1</v>
      </c>
      <c r="H547" s="6">
        <v>0.14000000000000001</v>
      </c>
      <c r="I547" s="8">
        <v>0.1515</v>
      </c>
      <c r="J547" s="6">
        <v>0.63</v>
      </c>
      <c r="K547" s="8">
        <v>0.16420000000000001</v>
      </c>
      <c r="L547" s="7">
        <v>6</v>
      </c>
      <c r="M547" s="7">
        <v>53</v>
      </c>
      <c r="N547" s="7">
        <v>59</v>
      </c>
    </row>
    <row r="548" spans="1:14" x14ac:dyDescent="0.3">
      <c r="A548" s="7">
        <v>547</v>
      </c>
      <c r="B548" s="1">
        <v>40567</v>
      </c>
      <c r="C548" s="7">
        <v>1</v>
      </c>
      <c r="D548" s="7">
        <v>22</v>
      </c>
      <c r="E548" t="b">
        <v>0</v>
      </c>
      <c r="F548" s="7">
        <v>1</v>
      </c>
      <c r="G548" s="7">
        <v>2</v>
      </c>
      <c r="H548" s="6">
        <v>0.14000000000000001</v>
      </c>
      <c r="I548" s="8">
        <v>0.13639999999999999</v>
      </c>
      <c r="J548" s="6">
        <v>0.63</v>
      </c>
      <c r="K548" s="8">
        <v>0.22389999999999999</v>
      </c>
      <c r="L548" s="7">
        <v>3</v>
      </c>
      <c r="M548" s="7">
        <v>32</v>
      </c>
      <c r="N548" s="7">
        <v>35</v>
      </c>
    </row>
    <row r="549" spans="1:14" x14ac:dyDescent="0.3">
      <c r="A549" s="7">
        <v>548</v>
      </c>
      <c r="B549" s="1">
        <v>40567</v>
      </c>
      <c r="C549" s="7">
        <v>1</v>
      </c>
      <c r="D549" s="7">
        <v>23</v>
      </c>
      <c r="E549" t="b">
        <v>0</v>
      </c>
      <c r="F549" s="7">
        <v>1</v>
      </c>
      <c r="G549" s="7">
        <v>2</v>
      </c>
      <c r="H549" s="6">
        <v>0.16</v>
      </c>
      <c r="I549" s="8">
        <v>0.1515</v>
      </c>
      <c r="J549" s="6">
        <v>0.64</v>
      </c>
      <c r="K549" s="8">
        <v>0.25369999999999998</v>
      </c>
      <c r="L549" s="7">
        <v>3</v>
      </c>
      <c r="M549" s="7">
        <v>21</v>
      </c>
      <c r="N549" s="7">
        <v>24</v>
      </c>
    </row>
    <row r="550" spans="1:14" x14ac:dyDescent="0.3">
      <c r="A550" s="7">
        <v>549</v>
      </c>
      <c r="B550" s="1">
        <v>40568</v>
      </c>
      <c r="C550" s="7">
        <v>1</v>
      </c>
      <c r="D550" s="7">
        <v>0</v>
      </c>
      <c r="E550" t="b">
        <v>0</v>
      </c>
      <c r="F550" s="7">
        <v>2</v>
      </c>
      <c r="G550" s="7">
        <v>2</v>
      </c>
      <c r="H550" s="6">
        <v>0.16</v>
      </c>
      <c r="I550" s="8">
        <v>0.13639999999999999</v>
      </c>
      <c r="J550" s="6">
        <v>0.69</v>
      </c>
      <c r="K550" s="8">
        <v>0.28360000000000002</v>
      </c>
      <c r="L550" s="7">
        <v>3</v>
      </c>
      <c r="M550" s="7">
        <v>6</v>
      </c>
      <c r="N550" s="7">
        <v>9</v>
      </c>
    </row>
    <row r="551" spans="1:14" x14ac:dyDescent="0.3">
      <c r="A551" s="7">
        <v>550</v>
      </c>
      <c r="B551" s="1">
        <v>40568</v>
      </c>
      <c r="C551" s="7">
        <v>1</v>
      </c>
      <c r="D551" s="7">
        <v>1</v>
      </c>
      <c r="E551" t="b">
        <v>0</v>
      </c>
      <c r="F551" s="7">
        <v>2</v>
      </c>
      <c r="G551" s="7">
        <v>2</v>
      </c>
      <c r="H551" s="6">
        <v>0.16</v>
      </c>
      <c r="I551" s="8">
        <v>0.16669999999999999</v>
      </c>
      <c r="J551" s="6">
        <v>0.69</v>
      </c>
      <c r="K551" s="8">
        <v>0.16420000000000001</v>
      </c>
      <c r="L551" s="7">
        <v>0</v>
      </c>
      <c r="M551" s="7">
        <v>5</v>
      </c>
      <c r="N551" s="7">
        <v>5</v>
      </c>
    </row>
    <row r="552" spans="1:14" x14ac:dyDescent="0.3">
      <c r="A552" s="7">
        <v>551</v>
      </c>
      <c r="B552" s="1">
        <v>40568</v>
      </c>
      <c r="C552" s="7">
        <v>1</v>
      </c>
      <c r="D552" s="7">
        <v>2</v>
      </c>
      <c r="E552" t="b">
        <v>0</v>
      </c>
      <c r="F552" s="7">
        <v>2</v>
      </c>
      <c r="G552" s="7">
        <v>1</v>
      </c>
      <c r="H552" s="6">
        <v>0.16</v>
      </c>
      <c r="I552" s="8">
        <v>0.1515</v>
      </c>
      <c r="J552" s="6">
        <v>0.69</v>
      </c>
      <c r="K552" s="8">
        <v>0.22389999999999999</v>
      </c>
      <c r="L552" s="7">
        <v>0</v>
      </c>
      <c r="M552" s="7">
        <v>2</v>
      </c>
      <c r="N552" s="7">
        <v>2</v>
      </c>
    </row>
    <row r="553" spans="1:14" x14ac:dyDescent="0.3">
      <c r="A553" s="7">
        <v>552</v>
      </c>
      <c r="B553" s="1">
        <v>40568</v>
      </c>
      <c r="C553" s="7">
        <v>1</v>
      </c>
      <c r="D553" s="7">
        <v>4</v>
      </c>
      <c r="E553" t="b">
        <v>0</v>
      </c>
      <c r="F553" s="7">
        <v>2</v>
      </c>
      <c r="G553" s="7">
        <v>1</v>
      </c>
      <c r="H553" s="6">
        <v>0.14000000000000001</v>
      </c>
      <c r="I553" s="8">
        <v>0.16669999999999999</v>
      </c>
      <c r="J553" s="6">
        <v>0.74</v>
      </c>
      <c r="K553" s="8">
        <v>0.1045</v>
      </c>
      <c r="L553" s="7">
        <v>0</v>
      </c>
      <c r="M553" s="7">
        <v>1</v>
      </c>
      <c r="N553" s="7">
        <v>1</v>
      </c>
    </row>
    <row r="554" spans="1:14" x14ac:dyDescent="0.3">
      <c r="A554" s="7">
        <v>553</v>
      </c>
      <c r="B554" s="1">
        <v>40568</v>
      </c>
      <c r="C554" s="7">
        <v>1</v>
      </c>
      <c r="D554" s="7">
        <v>5</v>
      </c>
      <c r="E554" t="b">
        <v>0</v>
      </c>
      <c r="F554" s="7">
        <v>2</v>
      </c>
      <c r="G554" s="7">
        <v>1</v>
      </c>
      <c r="H554" s="6">
        <v>0.14000000000000001</v>
      </c>
      <c r="I554" s="8">
        <v>0.13639999999999999</v>
      </c>
      <c r="J554" s="6">
        <v>0.74</v>
      </c>
      <c r="K554" s="8">
        <v>0.22389999999999999</v>
      </c>
      <c r="L554" s="7">
        <v>0</v>
      </c>
      <c r="M554" s="7">
        <v>9</v>
      </c>
      <c r="N554" s="7">
        <v>9</v>
      </c>
    </row>
    <row r="555" spans="1:14" x14ac:dyDescent="0.3">
      <c r="A555" s="7">
        <v>554</v>
      </c>
      <c r="B555" s="1">
        <v>40568</v>
      </c>
      <c r="C555" s="7">
        <v>1</v>
      </c>
      <c r="D555" s="7">
        <v>6</v>
      </c>
      <c r="E555" t="b">
        <v>0</v>
      </c>
      <c r="F555" s="7">
        <v>2</v>
      </c>
      <c r="G555" s="7">
        <v>1</v>
      </c>
      <c r="H555" s="6">
        <v>0.16</v>
      </c>
      <c r="I555" s="8">
        <v>0.18179999999999999</v>
      </c>
      <c r="J555" s="6">
        <v>0.74</v>
      </c>
      <c r="K555" s="8">
        <v>0.1045</v>
      </c>
      <c r="L555" s="7">
        <v>1</v>
      </c>
      <c r="M555" s="7">
        <v>35</v>
      </c>
      <c r="N555" s="7">
        <v>36</v>
      </c>
    </row>
    <row r="556" spans="1:14" x14ac:dyDescent="0.3">
      <c r="A556" s="7">
        <v>555</v>
      </c>
      <c r="B556" s="1">
        <v>40568</v>
      </c>
      <c r="C556" s="7">
        <v>1</v>
      </c>
      <c r="D556" s="7">
        <v>7</v>
      </c>
      <c r="E556" t="b">
        <v>0</v>
      </c>
      <c r="F556" s="7">
        <v>2</v>
      </c>
      <c r="G556" s="7">
        <v>1</v>
      </c>
      <c r="H556" s="6">
        <v>0.16</v>
      </c>
      <c r="I556" s="8">
        <v>0.1515</v>
      </c>
      <c r="J556" s="6">
        <v>0.74</v>
      </c>
      <c r="K556" s="8">
        <v>0.22389999999999999</v>
      </c>
      <c r="L556" s="7">
        <v>5</v>
      </c>
      <c r="M556" s="7">
        <v>103</v>
      </c>
      <c r="N556" s="7">
        <v>108</v>
      </c>
    </row>
    <row r="557" spans="1:14" x14ac:dyDescent="0.3">
      <c r="A557" s="7">
        <v>556</v>
      </c>
      <c r="B557" s="1">
        <v>40568</v>
      </c>
      <c r="C557" s="7">
        <v>1</v>
      </c>
      <c r="D557" s="7">
        <v>8</v>
      </c>
      <c r="E557" t="b">
        <v>0</v>
      </c>
      <c r="F557" s="7">
        <v>2</v>
      </c>
      <c r="G557" s="7">
        <v>2</v>
      </c>
      <c r="H557" s="6">
        <v>0.16</v>
      </c>
      <c r="I557" s="8">
        <v>0.18179999999999999</v>
      </c>
      <c r="J557" s="6">
        <v>0.74</v>
      </c>
      <c r="K557" s="8">
        <v>0.1343</v>
      </c>
      <c r="L557" s="7">
        <v>5</v>
      </c>
      <c r="M557" s="7">
        <v>233</v>
      </c>
      <c r="N557" s="7">
        <v>238</v>
      </c>
    </row>
    <row r="558" spans="1:14" x14ac:dyDescent="0.3">
      <c r="A558" s="7">
        <v>557</v>
      </c>
      <c r="B558" s="1">
        <v>40568</v>
      </c>
      <c r="C558" s="7">
        <v>1</v>
      </c>
      <c r="D558" s="7">
        <v>9</v>
      </c>
      <c r="E558" t="b">
        <v>0</v>
      </c>
      <c r="F558" s="7">
        <v>2</v>
      </c>
      <c r="G558" s="7">
        <v>2</v>
      </c>
      <c r="H558" s="6">
        <v>0.2</v>
      </c>
      <c r="I558" s="8">
        <v>0.2273</v>
      </c>
      <c r="J558" s="6">
        <v>0.64</v>
      </c>
      <c r="K558" s="8">
        <v>8.9599999999999999E-2</v>
      </c>
      <c r="L558" s="7">
        <v>10</v>
      </c>
      <c r="M558" s="7">
        <v>134</v>
      </c>
      <c r="N558" s="7">
        <v>144</v>
      </c>
    </row>
    <row r="559" spans="1:14" x14ac:dyDescent="0.3">
      <c r="A559" s="7">
        <v>558</v>
      </c>
      <c r="B559" s="1">
        <v>40568</v>
      </c>
      <c r="C559" s="7">
        <v>1</v>
      </c>
      <c r="D559" s="7">
        <v>10</v>
      </c>
      <c r="E559" t="b">
        <v>0</v>
      </c>
      <c r="F559" s="7">
        <v>2</v>
      </c>
      <c r="G559" s="7">
        <v>2</v>
      </c>
      <c r="H559" s="6">
        <v>0.22</v>
      </c>
      <c r="I559" s="8">
        <v>0.2424</v>
      </c>
      <c r="J559" s="6">
        <v>0.6</v>
      </c>
      <c r="K559" s="8">
        <v>0.1045</v>
      </c>
      <c r="L559" s="7">
        <v>6</v>
      </c>
      <c r="M559" s="7">
        <v>49</v>
      </c>
      <c r="N559" s="7">
        <v>55</v>
      </c>
    </row>
    <row r="560" spans="1:14" x14ac:dyDescent="0.3">
      <c r="A560" s="7">
        <v>559</v>
      </c>
      <c r="B560" s="1">
        <v>40568</v>
      </c>
      <c r="C560" s="7">
        <v>1</v>
      </c>
      <c r="D560" s="7">
        <v>11</v>
      </c>
      <c r="E560" t="b">
        <v>0</v>
      </c>
      <c r="F560" s="7">
        <v>2</v>
      </c>
      <c r="G560" s="7">
        <v>2</v>
      </c>
      <c r="H560" s="6">
        <v>0.24</v>
      </c>
      <c r="I560" s="8">
        <v>0.2424</v>
      </c>
      <c r="J560" s="6">
        <v>0.6</v>
      </c>
      <c r="K560" s="8">
        <v>0.1343</v>
      </c>
      <c r="L560" s="7">
        <v>6</v>
      </c>
      <c r="M560" s="7">
        <v>55</v>
      </c>
      <c r="N560" s="7">
        <v>61</v>
      </c>
    </row>
    <row r="561" spans="1:14" x14ac:dyDescent="0.3">
      <c r="A561" s="7">
        <v>560</v>
      </c>
      <c r="B561" s="1">
        <v>40568</v>
      </c>
      <c r="C561" s="7">
        <v>1</v>
      </c>
      <c r="D561" s="7">
        <v>12</v>
      </c>
      <c r="E561" t="b">
        <v>0</v>
      </c>
      <c r="F561" s="7">
        <v>2</v>
      </c>
      <c r="G561" s="7">
        <v>2</v>
      </c>
      <c r="H561" s="6">
        <v>0.26</v>
      </c>
      <c r="I561" s="8">
        <v>0.28789999999999999</v>
      </c>
      <c r="J561" s="6">
        <v>0.56000000000000005</v>
      </c>
      <c r="K561" s="8">
        <v>8.9599999999999999E-2</v>
      </c>
      <c r="L561" s="7">
        <v>21</v>
      </c>
      <c r="M561" s="7">
        <v>85</v>
      </c>
      <c r="N561" s="7">
        <v>106</v>
      </c>
    </row>
    <row r="562" spans="1:14" x14ac:dyDescent="0.3">
      <c r="A562" s="7">
        <v>561</v>
      </c>
      <c r="B562" s="1">
        <v>40568</v>
      </c>
      <c r="C562" s="7">
        <v>1</v>
      </c>
      <c r="D562" s="7">
        <v>13</v>
      </c>
      <c r="E562" t="b">
        <v>0</v>
      </c>
      <c r="F562" s="7">
        <v>2</v>
      </c>
      <c r="G562" s="7">
        <v>2</v>
      </c>
      <c r="H562" s="6">
        <v>0.26</v>
      </c>
      <c r="I562" s="8">
        <v>0.2727</v>
      </c>
      <c r="J562" s="6">
        <v>0.56000000000000005</v>
      </c>
      <c r="K562" s="8">
        <v>0.1343</v>
      </c>
      <c r="L562" s="7">
        <v>21</v>
      </c>
      <c r="M562" s="7">
        <v>72</v>
      </c>
      <c r="N562" s="7">
        <v>93</v>
      </c>
    </row>
    <row r="563" spans="1:14" x14ac:dyDescent="0.3">
      <c r="A563" s="7">
        <v>562</v>
      </c>
      <c r="B563" s="1">
        <v>40568</v>
      </c>
      <c r="C563" s="7">
        <v>1</v>
      </c>
      <c r="D563" s="7">
        <v>14</v>
      </c>
      <c r="E563" t="b">
        <v>0</v>
      </c>
      <c r="F563" s="7">
        <v>2</v>
      </c>
      <c r="G563" s="7">
        <v>2</v>
      </c>
      <c r="H563" s="6">
        <v>0.3</v>
      </c>
      <c r="I563" s="8">
        <v>0.33329999999999999</v>
      </c>
      <c r="J563" s="6">
        <v>0.45</v>
      </c>
      <c r="K563" s="8">
        <v>0</v>
      </c>
      <c r="L563" s="7">
        <v>11</v>
      </c>
      <c r="M563" s="7">
        <v>57</v>
      </c>
      <c r="N563" s="7">
        <v>68</v>
      </c>
    </row>
    <row r="564" spans="1:14" x14ac:dyDescent="0.3">
      <c r="A564" s="7">
        <v>563</v>
      </c>
      <c r="B564" s="1">
        <v>40568</v>
      </c>
      <c r="C564" s="7">
        <v>1</v>
      </c>
      <c r="D564" s="7">
        <v>15</v>
      </c>
      <c r="E564" t="b">
        <v>0</v>
      </c>
      <c r="F564" s="7">
        <v>2</v>
      </c>
      <c r="G564" s="7">
        <v>2</v>
      </c>
      <c r="H564" s="6">
        <v>0.32</v>
      </c>
      <c r="I564" s="8">
        <v>0.34849999999999998</v>
      </c>
      <c r="J564" s="6">
        <v>0.42</v>
      </c>
      <c r="K564" s="8">
        <v>0</v>
      </c>
      <c r="L564" s="7">
        <v>21</v>
      </c>
      <c r="M564" s="7">
        <v>63</v>
      </c>
      <c r="N564" s="7">
        <v>84</v>
      </c>
    </row>
    <row r="565" spans="1:14" x14ac:dyDescent="0.3">
      <c r="A565" s="7">
        <v>564</v>
      </c>
      <c r="B565" s="1">
        <v>40568</v>
      </c>
      <c r="C565" s="7">
        <v>1</v>
      </c>
      <c r="D565" s="7">
        <v>16</v>
      </c>
      <c r="E565" t="b">
        <v>0</v>
      </c>
      <c r="F565" s="7">
        <v>2</v>
      </c>
      <c r="G565" s="7">
        <v>2</v>
      </c>
      <c r="H565" s="6">
        <v>0.32</v>
      </c>
      <c r="I565" s="8">
        <v>0.34849999999999998</v>
      </c>
      <c r="J565" s="6">
        <v>0.42</v>
      </c>
      <c r="K565" s="8">
        <v>0</v>
      </c>
      <c r="L565" s="7">
        <v>14</v>
      </c>
      <c r="M565" s="7">
        <v>102</v>
      </c>
      <c r="N565" s="7">
        <v>116</v>
      </c>
    </row>
    <row r="566" spans="1:14" x14ac:dyDescent="0.3">
      <c r="A566" s="7">
        <v>565</v>
      </c>
      <c r="B566" s="1">
        <v>40568</v>
      </c>
      <c r="C566" s="7">
        <v>1</v>
      </c>
      <c r="D566" s="7">
        <v>17</v>
      </c>
      <c r="E566" t="b">
        <v>0</v>
      </c>
      <c r="F566" s="7">
        <v>2</v>
      </c>
      <c r="G566" s="7">
        <v>1</v>
      </c>
      <c r="H566" s="6">
        <v>0.3</v>
      </c>
      <c r="I566" s="8">
        <v>0.33329999999999999</v>
      </c>
      <c r="J566" s="6">
        <v>0.45</v>
      </c>
      <c r="K566" s="8">
        <v>0</v>
      </c>
      <c r="L566" s="7">
        <v>14</v>
      </c>
      <c r="M566" s="7">
        <v>208</v>
      </c>
      <c r="N566" s="7">
        <v>222</v>
      </c>
    </row>
    <row r="567" spans="1:14" x14ac:dyDescent="0.3">
      <c r="A567" s="7">
        <v>566</v>
      </c>
      <c r="B567" s="1">
        <v>40568</v>
      </c>
      <c r="C567" s="7">
        <v>1</v>
      </c>
      <c r="D567" s="7">
        <v>18</v>
      </c>
      <c r="E567" t="b">
        <v>0</v>
      </c>
      <c r="F567" s="7">
        <v>2</v>
      </c>
      <c r="G567" s="7">
        <v>2</v>
      </c>
      <c r="H567" s="6">
        <v>0.3</v>
      </c>
      <c r="I567" s="8">
        <v>0.31819999999999998</v>
      </c>
      <c r="J567" s="6">
        <v>0.49</v>
      </c>
      <c r="K567" s="8">
        <v>8.9599999999999999E-2</v>
      </c>
      <c r="L567" s="7">
        <v>7</v>
      </c>
      <c r="M567" s="7">
        <v>218</v>
      </c>
      <c r="N567" s="7">
        <v>225</v>
      </c>
    </row>
    <row r="568" spans="1:14" x14ac:dyDescent="0.3">
      <c r="A568" s="7">
        <v>567</v>
      </c>
      <c r="B568" s="1">
        <v>40568</v>
      </c>
      <c r="C568" s="7">
        <v>1</v>
      </c>
      <c r="D568" s="7">
        <v>19</v>
      </c>
      <c r="E568" t="b">
        <v>0</v>
      </c>
      <c r="F568" s="7">
        <v>2</v>
      </c>
      <c r="G568" s="7">
        <v>2</v>
      </c>
      <c r="H568" s="6">
        <v>0.26</v>
      </c>
      <c r="I568" s="8">
        <v>0.2576</v>
      </c>
      <c r="J568" s="6">
        <v>0.65</v>
      </c>
      <c r="K568" s="8">
        <v>0.16420000000000001</v>
      </c>
      <c r="L568" s="7">
        <v>13</v>
      </c>
      <c r="M568" s="7">
        <v>133</v>
      </c>
      <c r="N568" s="7">
        <v>146</v>
      </c>
    </row>
    <row r="569" spans="1:14" x14ac:dyDescent="0.3">
      <c r="A569" s="7">
        <v>568</v>
      </c>
      <c r="B569" s="1">
        <v>40568</v>
      </c>
      <c r="C569" s="7">
        <v>1</v>
      </c>
      <c r="D569" s="7">
        <v>20</v>
      </c>
      <c r="E569" t="b">
        <v>0</v>
      </c>
      <c r="F569" s="7">
        <v>2</v>
      </c>
      <c r="G569" s="7">
        <v>1</v>
      </c>
      <c r="H569" s="6">
        <v>0.24</v>
      </c>
      <c r="I569" s="8">
        <v>0.2273</v>
      </c>
      <c r="J569" s="6">
        <v>0.65</v>
      </c>
      <c r="K569" s="8">
        <v>0.19400000000000001</v>
      </c>
      <c r="L569" s="7">
        <v>16</v>
      </c>
      <c r="M569" s="7">
        <v>103</v>
      </c>
      <c r="N569" s="7">
        <v>119</v>
      </c>
    </row>
    <row r="570" spans="1:14" x14ac:dyDescent="0.3">
      <c r="A570" s="7">
        <v>569</v>
      </c>
      <c r="B570" s="1">
        <v>40568</v>
      </c>
      <c r="C570" s="7">
        <v>1</v>
      </c>
      <c r="D570" s="7">
        <v>21</v>
      </c>
      <c r="E570" t="b">
        <v>0</v>
      </c>
      <c r="F570" s="7">
        <v>2</v>
      </c>
      <c r="G570" s="7">
        <v>1</v>
      </c>
      <c r="H570" s="6">
        <v>0.24</v>
      </c>
      <c r="I570" s="8">
        <v>0.2273</v>
      </c>
      <c r="J570" s="6">
        <v>0.65</v>
      </c>
      <c r="K570" s="8">
        <v>0.19400000000000001</v>
      </c>
      <c r="L570" s="7">
        <v>5</v>
      </c>
      <c r="M570" s="7">
        <v>40</v>
      </c>
      <c r="N570" s="7">
        <v>45</v>
      </c>
    </row>
    <row r="571" spans="1:14" x14ac:dyDescent="0.3">
      <c r="A571" s="7">
        <v>570</v>
      </c>
      <c r="B571" s="1">
        <v>40568</v>
      </c>
      <c r="C571" s="7">
        <v>1</v>
      </c>
      <c r="D571" s="7">
        <v>22</v>
      </c>
      <c r="E571" t="b">
        <v>0</v>
      </c>
      <c r="F571" s="7">
        <v>2</v>
      </c>
      <c r="G571" s="7">
        <v>1</v>
      </c>
      <c r="H571" s="6">
        <v>0.22</v>
      </c>
      <c r="I571" s="8">
        <v>0.2273</v>
      </c>
      <c r="J571" s="6">
        <v>0.64</v>
      </c>
      <c r="K571" s="8">
        <v>0.16420000000000001</v>
      </c>
      <c r="L571" s="7">
        <v>4</v>
      </c>
      <c r="M571" s="7">
        <v>49</v>
      </c>
      <c r="N571" s="7">
        <v>53</v>
      </c>
    </row>
    <row r="572" spans="1:14" x14ac:dyDescent="0.3">
      <c r="A572" s="7">
        <v>571</v>
      </c>
      <c r="B572" s="1">
        <v>40568</v>
      </c>
      <c r="C572" s="7">
        <v>1</v>
      </c>
      <c r="D572" s="7">
        <v>23</v>
      </c>
      <c r="E572" t="b">
        <v>0</v>
      </c>
      <c r="F572" s="7">
        <v>2</v>
      </c>
      <c r="G572" s="7">
        <v>2</v>
      </c>
      <c r="H572" s="6">
        <v>0.22</v>
      </c>
      <c r="I572" s="8">
        <v>0.2273</v>
      </c>
      <c r="J572" s="6">
        <v>0.64</v>
      </c>
      <c r="K572" s="8">
        <v>0.16420000000000001</v>
      </c>
      <c r="L572" s="7">
        <v>3</v>
      </c>
      <c r="M572" s="7">
        <v>37</v>
      </c>
      <c r="N572" s="7">
        <v>40</v>
      </c>
    </row>
    <row r="573" spans="1:14" x14ac:dyDescent="0.3">
      <c r="A573" s="7">
        <v>572</v>
      </c>
      <c r="B573" s="1">
        <v>40569</v>
      </c>
      <c r="C573" s="7">
        <v>1</v>
      </c>
      <c r="D573" s="7">
        <v>0</v>
      </c>
      <c r="E573" t="b">
        <v>0</v>
      </c>
      <c r="F573" s="7">
        <v>3</v>
      </c>
      <c r="G573" s="7">
        <v>2</v>
      </c>
      <c r="H573" s="6">
        <v>0.22</v>
      </c>
      <c r="I573" s="8">
        <v>0.2273</v>
      </c>
      <c r="J573" s="6">
        <v>0.69</v>
      </c>
      <c r="K573" s="8">
        <v>0.1343</v>
      </c>
      <c r="L573" s="7">
        <v>3</v>
      </c>
      <c r="M573" s="7">
        <v>14</v>
      </c>
      <c r="N573" s="7">
        <v>17</v>
      </c>
    </row>
    <row r="574" spans="1:14" x14ac:dyDescent="0.3">
      <c r="A574" s="7">
        <v>573</v>
      </c>
      <c r="B574" s="1">
        <v>40569</v>
      </c>
      <c r="C574" s="7">
        <v>1</v>
      </c>
      <c r="D574" s="7">
        <v>1</v>
      </c>
      <c r="E574" t="b">
        <v>0</v>
      </c>
      <c r="F574" s="7">
        <v>3</v>
      </c>
      <c r="G574" s="7">
        <v>2</v>
      </c>
      <c r="H574" s="6">
        <v>0.24</v>
      </c>
      <c r="I574" s="8">
        <v>0.2424</v>
      </c>
      <c r="J574" s="6">
        <v>0.65</v>
      </c>
      <c r="K574" s="8">
        <v>0.1343</v>
      </c>
      <c r="L574" s="7">
        <v>0</v>
      </c>
      <c r="M574" s="7">
        <v>5</v>
      </c>
      <c r="N574" s="7">
        <v>5</v>
      </c>
    </row>
    <row r="575" spans="1:14" x14ac:dyDescent="0.3">
      <c r="A575" s="7">
        <v>574</v>
      </c>
      <c r="B575" s="1">
        <v>40569</v>
      </c>
      <c r="C575" s="7">
        <v>1</v>
      </c>
      <c r="D575" s="7">
        <v>2</v>
      </c>
      <c r="E575" t="b">
        <v>0</v>
      </c>
      <c r="F575" s="7">
        <v>3</v>
      </c>
      <c r="G575" s="7">
        <v>3</v>
      </c>
      <c r="H575" s="6">
        <v>0.22</v>
      </c>
      <c r="I575" s="8">
        <v>0.2273</v>
      </c>
      <c r="J575" s="6">
        <v>0.69</v>
      </c>
      <c r="K575" s="8">
        <v>0.19400000000000001</v>
      </c>
      <c r="L575" s="7">
        <v>3</v>
      </c>
      <c r="M575" s="7">
        <v>7</v>
      </c>
      <c r="N575" s="7">
        <v>10</v>
      </c>
    </row>
    <row r="576" spans="1:14" x14ac:dyDescent="0.3">
      <c r="A576" s="7">
        <v>575</v>
      </c>
      <c r="B576" s="1">
        <v>40569</v>
      </c>
      <c r="C576" s="7">
        <v>1</v>
      </c>
      <c r="D576" s="7">
        <v>5</v>
      </c>
      <c r="E576" t="b">
        <v>0</v>
      </c>
      <c r="F576" s="7">
        <v>3</v>
      </c>
      <c r="G576" s="7">
        <v>3</v>
      </c>
      <c r="H576" s="6">
        <v>0.2</v>
      </c>
      <c r="I576" s="8">
        <v>0.18179999999999999</v>
      </c>
      <c r="J576" s="6">
        <v>0.86</v>
      </c>
      <c r="K576" s="8">
        <v>0.28360000000000002</v>
      </c>
      <c r="L576" s="7">
        <v>0</v>
      </c>
      <c r="M576" s="7">
        <v>1</v>
      </c>
      <c r="N576" s="7">
        <v>1</v>
      </c>
    </row>
    <row r="577" spans="1:14" x14ac:dyDescent="0.3">
      <c r="A577" s="7">
        <v>576</v>
      </c>
      <c r="B577" s="1">
        <v>40569</v>
      </c>
      <c r="C577" s="7">
        <v>1</v>
      </c>
      <c r="D577" s="7">
        <v>6</v>
      </c>
      <c r="E577" t="b">
        <v>0</v>
      </c>
      <c r="F577" s="7">
        <v>3</v>
      </c>
      <c r="G577" s="7">
        <v>3</v>
      </c>
      <c r="H577" s="6">
        <v>0.2</v>
      </c>
      <c r="I577" s="8">
        <v>0.18179999999999999</v>
      </c>
      <c r="J577" s="6">
        <v>0.86</v>
      </c>
      <c r="K577" s="8">
        <v>0.28360000000000002</v>
      </c>
      <c r="L577" s="7">
        <v>0</v>
      </c>
      <c r="M577" s="7">
        <v>8</v>
      </c>
      <c r="N577" s="7">
        <v>8</v>
      </c>
    </row>
    <row r="578" spans="1:14" x14ac:dyDescent="0.3">
      <c r="A578" s="7">
        <v>577</v>
      </c>
      <c r="B578" s="1">
        <v>40569</v>
      </c>
      <c r="C578" s="7">
        <v>1</v>
      </c>
      <c r="D578" s="7">
        <v>7</v>
      </c>
      <c r="E578" t="b">
        <v>0</v>
      </c>
      <c r="F578" s="7">
        <v>3</v>
      </c>
      <c r="G578" s="7">
        <v>3</v>
      </c>
      <c r="H578" s="6">
        <v>0.22</v>
      </c>
      <c r="I578" s="8">
        <v>0.21210000000000001</v>
      </c>
      <c r="J578" s="6">
        <v>0.87</v>
      </c>
      <c r="K578" s="8">
        <v>0.29849999999999999</v>
      </c>
      <c r="L578" s="7">
        <v>1</v>
      </c>
      <c r="M578" s="7">
        <v>29</v>
      </c>
      <c r="N578" s="7">
        <v>30</v>
      </c>
    </row>
    <row r="579" spans="1:14" x14ac:dyDescent="0.3">
      <c r="A579" s="7">
        <v>578</v>
      </c>
      <c r="B579" s="1">
        <v>40569</v>
      </c>
      <c r="C579" s="7">
        <v>1</v>
      </c>
      <c r="D579" s="7">
        <v>8</v>
      </c>
      <c r="E579" t="b">
        <v>0</v>
      </c>
      <c r="F579" s="7">
        <v>3</v>
      </c>
      <c r="G579" s="7">
        <v>3</v>
      </c>
      <c r="H579" s="6">
        <v>0.22</v>
      </c>
      <c r="I579" s="8">
        <v>0.21210000000000001</v>
      </c>
      <c r="J579" s="6">
        <v>0.87</v>
      </c>
      <c r="K579" s="8">
        <v>0.29849999999999999</v>
      </c>
      <c r="L579" s="7">
        <v>3</v>
      </c>
      <c r="M579" s="7">
        <v>69</v>
      </c>
      <c r="N579" s="7">
        <v>72</v>
      </c>
    </row>
    <row r="580" spans="1:14" x14ac:dyDescent="0.3">
      <c r="A580" s="7">
        <v>579</v>
      </c>
      <c r="B580" s="1">
        <v>40569</v>
      </c>
      <c r="C580" s="7">
        <v>1</v>
      </c>
      <c r="D580" s="7">
        <v>9</v>
      </c>
      <c r="E580" t="b">
        <v>0</v>
      </c>
      <c r="F580" s="7">
        <v>3</v>
      </c>
      <c r="G580" s="7">
        <v>3</v>
      </c>
      <c r="H580" s="6">
        <v>0.22</v>
      </c>
      <c r="I580" s="8">
        <v>0.21210000000000001</v>
      </c>
      <c r="J580" s="6">
        <v>0.87</v>
      </c>
      <c r="K580" s="8">
        <v>0.29849999999999999</v>
      </c>
      <c r="L580" s="7">
        <v>3</v>
      </c>
      <c r="M580" s="7">
        <v>55</v>
      </c>
      <c r="N580" s="7">
        <v>58</v>
      </c>
    </row>
    <row r="581" spans="1:14" x14ac:dyDescent="0.3">
      <c r="A581" s="7">
        <v>580</v>
      </c>
      <c r="B581" s="1">
        <v>40569</v>
      </c>
      <c r="C581" s="7">
        <v>1</v>
      </c>
      <c r="D581" s="7">
        <v>10</v>
      </c>
      <c r="E581" t="b">
        <v>0</v>
      </c>
      <c r="F581" s="7">
        <v>3</v>
      </c>
      <c r="G581" s="7">
        <v>3</v>
      </c>
      <c r="H581" s="6">
        <v>0.22</v>
      </c>
      <c r="I581" s="8">
        <v>0.21210000000000001</v>
      </c>
      <c r="J581" s="6">
        <v>0.93</v>
      </c>
      <c r="K581" s="8">
        <v>0.28360000000000002</v>
      </c>
      <c r="L581" s="7">
        <v>2</v>
      </c>
      <c r="M581" s="7">
        <v>26</v>
      </c>
      <c r="N581" s="7">
        <v>28</v>
      </c>
    </row>
    <row r="582" spans="1:14" x14ac:dyDescent="0.3">
      <c r="A582" s="7">
        <v>581</v>
      </c>
      <c r="B582" s="1">
        <v>40569</v>
      </c>
      <c r="C582" s="7">
        <v>1</v>
      </c>
      <c r="D582" s="7">
        <v>11</v>
      </c>
      <c r="E582" t="b">
        <v>0</v>
      </c>
      <c r="F582" s="7">
        <v>3</v>
      </c>
      <c r="G582" s="7">
        <v>3</v>
      </c>
      <c r="H582" s="6">
        <v>0.22</v>
      </c>
      <c r="I582" s="8">
        <v>0.19700000000000001</v>
      </c>
      <c r="J582" s="6">
        <v>0.93</v>
      </c>
      <c r="K582" s="8">
        <v>0.32840000000000003</v>
      </c>
      <c r="L582" s="7">
        <v>6</v>
      </c>
      <c r="M582" s="7">
        <v>35</v>
      </c>
      <c r="N582" s="7">
        <v>41</v>
      </c>
    </row>
    <row r="583" spans="1:14" x14ac:dyDescent="0.3">
      <c r="A583" s="7">
        <v>582</v>
      </c>
      <c r="B583" s="1">
        <v>40569</v>
      </c>
      <c r="C583" s="7">
        <v>1</v>
      </c>
      <c r="D583" s="7">
        <v>12</v>
      </c>
      <c r="E583" t="b">
        <v>0</v>
      </c>
      <c r="F583" s="7">
        <v>3</v>
      </c>
      <c r="G583" s="7">
        <v>3</v>
      </c>
      <c r="H583" s="6">
        <v>0.22</v>
      </c>
      <c r="I583" s="8">
        <v>0.19700000000000001</v>
      </c>
      <c r="J583" s="6">
        <v>0.93</v>
      </c>
      <c r="K583" s="8">
        <v>0.32840000000000003</v>
      </c>
      <c r="L583" s="7">
        <v>7</v>
      </c>
      <c r="M583" s="7">
        <v>41</v>
      </c>
      <c r="N583" s="7">
        <v>48</v>
      </c>
    </row>
    <row r="584" spans="1:14" x14ac:dyDescent="0.3">
      <c r="A584" s="7">
        <v>583</v>
      </c>
      <c r="B584" s="1">
        <v>40569</v>
      </c>
      <c r="C584" s="7">
        <v>1</v>
      </c>
      <c r="D584" s="7">
        <v>13</v>
      </c>
      <c r="E584" t="b">
        <v>0</v>
      </c>
      <c r="F584" s="7">
        <v>3</v>
      </c>
      <c r="G584" s="7">
        <v>3</v>
      </c>
      <c r="H584" s="6">
        <v>0.22</v>
      </c>
      <c r="I584" s="8">
        <v>0.19700000000000001</v>
      </c>
      <c r="J584" s="6">
        <v>0.93</v>
      </c>
      <c r="K584" s="8">
        <v>0.32840000000000003</v>
      </c>
      <c r="L584" s="7">
        <v>4</v>
      </c>
      <c r="M584" s="7">
        <v>43</v>
      </c>
      <c r="N584" s="7">
        <v>47</v>
      </c>
    </row>
    <row r="585" spans="1:14" x14ac:dyDescent="0.3">
      <c r="A585" s="7">
        <v>584</v>
      </c>
      <c r="B585" s="1">
        <v>40569</v>
      </c>
      <c r="C585" s="7">
        <v>1</v>
      </c>
      <c r="D585" s="7">
        <v>14</v>
      </c>
      <c r="E585" t="b">
        <v>0</v>
      </c>
      <c r="F585" s="7">
        <v>3</v>
      </c>
      <c r="G585" s="7">
        <v>3</v>
      </c>
      <c r="H585" s="6">
        <v>0.22</v>
      </c>
      <c r="I585" s="8">
        <v>0.19700000000000001</v>
      </c>
      <c r="J585" s="6">
        <v>0.93</v>
      </c>
      <c r="K585" s="8">
        <v>0.35820000000000002</v>
      </c>
      <c r="L585" s="7">
        <v>0</v>
      </c>
      <c r="M585" s="7">
        <v>36</v>
      </c>
      <c r="N585" s="7">
        <v>36</v>
      </c>
    </row>
    <row r="586" spans="1:14" x14ac:dyDescent="0.3">
      <c r="A586" s="7">
        <v>585</v>
      </c>
      <c r="B586" s="1">
        <v>40569</v>
      </c>
      <c r="C586" s="7">
        <v>1</v>
      </c>
      <c r="D586" s="7">
        <v>15</v>
      </c>
      <c r="E586" t="b">
        <v>0</v>
      </c>
      <c r="F586" s="7">
        <v>3</v>
      </c>
      <c r="G586" s="7">
        <v>3</v>
      </c>
      <c r="H586" s="6">
        <v>0.22</v>
      </c>
      <c r="I586" s="8">
        <v>0.18179999999999999</v>
      </c>
      <c r="J586" s="6">
        <v>0.93</v>
      </c>
      <c r="K586" s="8">
        <v>0.4627</v>
      </c>
      <c r="L586" s="7">
        <v>1</v>
      </c>
      <c r="M586" s="7">
        <v>42</v>
      </c>
      <c r="N586" s="7">
        <v>43</v>
      </c>
    </row>
    <row r="587" spans="1:14" x14ac:dyDescent="0.3">
      <c r="A587" s="7">
        <v>586</v>
      </c>
      <c r="B587" s="1">
        <v>40569</v>
      </c>
      <c r="C587" s="7">
        <v>1</v>
      </c>
      <c r="D587" s="7">
        <v>16</v>
      </c>
      <c r="E587" t="b">
        <v>0</v>
      </c>
      <c r="F587" s="7">
        <v>3</v>
      </c>
      <c r="G587" s="7">
        <v>4</v>
      </c>
      <c r="H587" s="6">
        <v>0.22</v>
      </c>
      <c r="I587" s="8">
        <v>0.19700000000000001</v>
      </c>
      <c r="J587" s="6">
        <v>0.93</v>
      </c>
      <c r="K587" s="8">
        <v>0.32840000000000003</v>
      </c>
      <c r="L587" s="7">
        <v>1</v>
      </c>
      <c r="M587" s="7">
        <v>35</v>
      </c>
      <c r="N587" s="7">
        <v>36</v>
      </c>
    </row>
    <row r="588" spans="1:14" x14ac:dyDescent="0.3">
      <c r="A588" s="7">
        <v>587</v>
      </c>
      <c r="B588" s="1">
        <v>40569</v>
      </c>
      <c r="C588" s="7">
        <v>1</v>
      </c>
      <c r="D588" s="7">
        <v>17</v>
      </c>
      <c r="E588" t="b">
        <v>0</v>
      </c>
      <c r="F588" s="7">
        <v>3</v>
      </c>
      <c r="G588" s="7">
        <v>3</v>
      </c>
      <c r="H588" s="6">
        <v>0.2</v>
      </c>
      <c r="I588" s="8">
        <v>0.18179999999999999</v>
      </c>
      <c r="J588" s="6">
        <v>0.93</v>
      </c>
      <c r="K588" s="8">
        <v>0.35820000000000002</v>
      </c>
      <c r="L588" s="7">
        <v>0</v>
      </c>
      <c r="M588" s="7">
        <v>26</v>
      </c>
      <c r="N588" s="7">
        <v>26</v>
      </c>
    </row>
    <row r="589" spans="1:14" x14ac:dyDescent="0.3">
      <c r="A589" s="7">
        <v>588</v>
      </c>
      <c r="B589" s="1">
        <v>40570</v>
      </c>
      <c r="C589" s="7">
        <v>1</v>
      </c>
      <c r="D589" s="7">
        <v>16</v>
      </c>
      <c r="E589" t="b">
        <v>0</v>
      </c>
      <c r="F589" s="7">
        <v>4</v>
      </c>
      <c r="G589" s="7">
        <v>1</v>
      </c>
      <c r="H589" s="6">
        <v>0.22</v>
      </c>
      <c r="I589" s="8">
        <v>0.2273</v>
      </c>
      <c r="J589" s="6">
        <v>0.55000000000000004</v>
      </c>
      <c r="K589" s="8">
        <v>0.19400000000000001</v>
      </c>
      <c r="L589" s="7">
        <v>1</v>
      </c>
      <c r="M589" s="7">
        <v>23</v>
      </c>
      <c r="N589" s="7">
        <v>24</v>
      </c>
    </row>
    <row r="590" spans="1:14" x14ac:dyDescent="0.3">
      <c r="A590" s="7">
        <v>589</v>
      </c>
      <c r="B590" s="1">
        <v>40570</v>
      </c>
      <c r="C590" s="7">
        <v>1</v>
      </c>
      <c r="D590" s="7">
        <v>17</v>
      </c>
      <c r="E590" t="b">
        <v>0</v>
      </c>
      <c r="F590" s="7">
        <v>4</v>
      </c>
      <c r="G590" s="7">
        <v>1</v>
      </c>
      <c r="H590" s="6">
        <v>0.22</v>
      </c>
      <c r="I590" s="8">
        <v>0.2424</v>
      </c>
      <c r="J590" s="6">
        <v>0.55000000000000004</v>
      </c>
      <c r="K590" s="8">
        <v>0.1045</v>
      </c>
      <c r="L590" s="7">
        <v>2</v>
      </c>
      <c r="M590" s="7">
        <v>82</v>
      </c>
      <c r="N590" s="7">
        <v>84</v>
      </c>
    </row>
    <row r="591" spans="1:14" x14ac:dyDescent="0.3">
      <c r="A591" s="7">
        <v>590</v>
      </c>
      <c r="B591" s="1">
        <v>40570</v>
      </c>
      <c r="C591" s="7">
        <v>1</v>
      </c>
      <c r="D591" s="7">
        <v>18</v>
      </c>
      <c r="E591" t="b">
        <v>0</v>
      </c>
      <c r="F591" s="7">
        <v>4</v>
      </c>
      <c r="G591" s="7">
        <v>1</v>
      </c>
      <c r="H591" s="6">
        <v>0.2</v>
      </c>
      <c r="I591" s="8">
        <v>0.2273</v>
      </c>
      <c r="J591" s="6">
        <v>0.69</v>
      </c>
      <c r="K591" s="8">
        <v>8.9599999999999999E-2</v>
      </c>
      <c r="L591" s="7">
        <v>3</v>
      </c>
      <c r="M591" s="7">
        <v>101</v>
      </c>
      <c r="N591" s="7">
        <v>104</v>
      </c>
    </row>
    <row r="592" spans="1:14" x14ac:dyDescent="0.3">
      <c r="A592" s="7">
        <v>591</v>
      </c>
      <c r="B592" s="1">
        <v>40570</v>
      </c>
      <c r="C592" s="7">
        <v>1</v>
      </c>
      <c r="D592" s="7">
        <v>19</v>
      </c>
      <c r="E592" t="b">
        <v>0</v>
      </c>
      <c r="F592" s="7">
        <v>4</v>
      </c>
      <c r="G592" s="7">
        <v>1</v>
      </c>
      <c r="H592" s="6">
        <v>0.2</v>
      </c>
      <c r="I592" s="8">
        <v>0.2273</v>
      </c>
      <c r="J592" s="6">
        <v>0.69</v>
      </c>
      <c r="K592" s="8">
        <v>8.9599999999999999E-2</v>
      </c>
      <c r="L592" s="7">
        <v>3</v>
      </c>
      <c r="M592" s="7">
        <v>76</v>
      </c>
      <c r="N592" s="7">
        <v>79</v>
      </c>
    </row>
    <row r="593" spans="1:14" x14ac:dyDescent="0.3">
      <c r="A593" s="7">
        <v>592</v>
      </c>
      <c r="B593" s="1">
        <v>40570</v>
      </c>
      <c r="C593" s="7">
        <v>1</v>
      </c>
      <c r="D593" s="7">
        <v>20</v>
      </c>
      <c r="E593" t="b">
        <v>0</v>
      </c>
      <c r="F593" s="7">
        <v>4</v>
      </c>
      <c r="G593" s="7">
        <v>1</v>
      </c>
      <c r="H593" s="6">
        <v>0.18</v>
      </c>
      <c r="I593" s="8">
        <v>0.21210000000000001</v>
      </c>
      <c r="J593" s="6">
        <v>0.74</v>
      </c>
      <c r="K593" s="8">
        <v>8.9599999999999999E-2</v>
      </c>
      <c r="L593" s="7">
        <v>4</v>
      </c>
      <c r="M593" s="7">
        <v>55</v>
      </c>
      <c r="N593" s="7">
        <v>59</v>
      </c>
    </row>
    <row r="594" spans="1:14" x14ac:dyDescent="0.3">
      <c r="A594" s="7">
        <v>593</v>
      </c>
      <c r="B594" s="1">
        <v>40570</v>
      </c>
      <c r="C594" s="7">
        <v>1</v>
      </c>
      <c r="D594" s="7">
        <v>21</v>
      </c>
      <c r="E594" t="b">
        <v>0</v>
      </c>
      <c r="F594" s="7">
        <v>4</v>
      </c>
      <c r="G594" s="7">
        <v>1</v>
      </c>
      <c r="H594" s="6">
        <v>0.18</v>
      </c>
      <c r="I594" s="8">
        <v>0.21210000000000001</v>
      </c>
      <c r="J594" s="6">
        <v>0.74</v>
      </c>
      <c r="K594" s="8">
        <v>8.9599999999999999E-2</v>
      </c>
      <c r="L594" s="7">
        <v>2</v>
      </c>
      <c r="M594" s="7">
        <v>36</v>
      </c>
      <c r="N594" s="7">
        <v>38</v>
      </c>
    </row>
    <row r="595" spans="1:14" x14ac:dyDescent="0.3">
      <c r="A595" s="7">
        <v>594</v>
      </c>
      <c r="B595" s="1">
        <v>40570</v>
      </c>
      <c r="C595" s="7">
        <v>1</v>
      </c>
      <c r="D595" s="7">
        <v>22</v>
      </c>
      <c r="E595" t="b">
        <v>0</v>
      </c>
      <c r="F595" s="7">
        <v>4</v>
      </c>
      <c r="G595" s="7">
        <v>1</v>
      </c>
      <c r="H595" s="6">
        <v>0.18</v>
      </c>
      <c r="I595" s="8">
        <v>0.21210000000000001</v>
      </c>
      <c r="J595" s="6">
        <v>0.74</v>
      </c>
      <c r="K595" s="8">
        <v>8.9599999999999999E-2</v>
      </c>
      <c r="L595" s="7">
        <v>0</v>
      </c>
      <c r="M595" s="7">
        <v>27</v>
      </c>
      <c r="N595" s="7">
        <v>27</v>
      </c>
    </row>
    <row r="596" spans="1:14" x14ac:dyDescent="0.3">
      <c r="A596" s="7">
        <v>595</v>
      </c>
      <c r="B596" s="1">
        <v>40570</v>
      </c>
      <c r="C596" s="7">
        <v>1</v>
      </c>
      <c r="D596" s="7">
        <v>23</v>
      </c>
      <c r="E596" t="b">
        <v>0</v>
      </c>
      <c r="F596" s="7">
        <v>4</v>
      </c>
      <c r="G596" s="7">
        <v>1</v>
      </c>
      <c r="H596" s="6">
        <v>0.18</v>
      </c>
      <c r="I596" s="8">
        <v>0.19700000000000001</v>
      </c>
      <c r="J596" s="6">
        <v>0.8</v>
      </c>
      <c r="K596" s="8">
        <v>0.16420000000000001</v>
      </c>
      <c r="L596" s="7">
        <v>0</v>
      </c>
      <c r="M596" s="7">
        <v>16</v>
      </c>
      <c r="N596" s="7">
        <v>16</v>
      </c>
    </row>
    <row r="597" spans="1:14" x14ac:dyDescent="0.3">
      <c r="A597" s="7">
        <v>596</v>
      </c>
      <c r="B597" s="1">
        <v>40571</v>
      </c>
      <c r="C597" s="7">
        <v>1</v>
      </c>
      <c r="D597" s="7">
        <v>0</v>
      </c>
      <c r="E597" t="b">
        <v>0</v>
      </c>
      <c r="F597" s="7">
        <v>5</v>
      </c>
      <c r="G597" s="7">
        <v>2</v>
      </c>
      <c r="H597" s="6">
        <v>0.2</v>
      </c>
      <c r="I597" s="8">
        <v>0.21210000000000001</v>
      </c>
      <c r="J597" s="6">
        <v>0.75</v>
      </c>
      <c r="K597" s="8">
        <v>0.1343</v>
      </c>
      <c r="L597" s="7">
        <v>0</v>
      </c>
      <c r="M597" s="7">
        <v>9</v>
      </c>
      <c r="N597" s="7">
        <v>9</v>
      </c>
    </row>
    <row r="598" spans="1:14" x14ac:dyDescent="0.3">
      <c r="A598" s="7">
        <v>597</v>
      </c>
      <c r="B598" s="1">
        <v>40571</v>
      </c>
      <c r="C598" s="7">
        <v>1</v>
      </c>
      <c r="D598" s="7">
        <v>1</v>
      </c>
      <c r="E598" t="b">
        <v>0</v>
      </c>
      <c r="F598" s="7">
        <v>5</v>
      </c>
      <c r="G598" s="7">
        <v>2</v>
      </c>
      <c r="H598" s="6">
        <v>0.2</v>
      </c>
      <c r="I598" s="8">
        <v>0.21210000000000001</v>
      </c>
      <c r="J598" s="6">
        <v>0.75</v>
      </c>
      <c r="K598" s="8">
        <v>0.1343</v>
      </c>
      <c r="L598" s="7">
        <v>1</v>
      </c>
      <c r="M598" s="7">
        <v>2</v>
      </c>
      <c r="N598" s="7">
        <v>3</v>
      </c>
    </row>
    <row r="599" spans="1:14" x14ac:dyDescent="0.3">
      <c r="A599" s="7">
        <v>598</v>
      </c>
      <c r="B599" s="1">
        <v>40571</v>
      </c>
      <c r="C599" s="7">
        <v>1</v>
      </c>
      <c r="D599" s="7">
        <v>2</v>
      </c>
      <c r="E599" t="b">
        <v>0</v>
      </c>
      <c r="F599" s="7">
        <v>5</v>
      </c>
      <c r="G599" s="7">
        <v>2</v>
      </c>
      <c r="H599" s="6">
        <v>0.2</v>
      </c>
      <c r="I599" s="8">
        <v>0.21210000000000001</v>
      </c>
      <c r="J599" s="6">
        <v>0.75</v>
      </c>
      <c r="K599" s="8">
        <v>0.16420000000000001</v>
      </c>
      <c r="L599" s="7">
        <v>0</v>
      </c>
      <c r="M599" s="7">
        <v>2</v>
      </c>
      <c r="N599" s="7">
        <v>2</v>
      </c>
    </row>
    <row r="600" spans="1:14" x14ac:dyDescent="0.3">
      <c r="A600" s="7">
        <v>599</v>
      </c>
      <c r="B600" s="1">
        <v>40571</v>
      </c>
      <c r="C600" s="7">
        <v>1</v>
      </c>
      <c r="D600" s="7">
        <v>3</v>
      </c>
      <c r="E600" t="b">
        <v>0</v>
      </c>
      <c r="F600" s="7">
        <v>5</v>
      </c>
      <c r="G600" s="7">
        <v>2</v>
      </c>
      <c r="H600" s="6">
        <v>0.2</v>
      </c>
      <c r="I600" s="8">
        <v>0.2273</v>
      </c>
      <c r="J600" s="6">
        <v>0.75</v>
      </c>
      <c r="K600" s="8">
        <v>0.1045</v>
      </c>
      <c r="L600" s="7">
        <v>1</v>
      </c>
      <c r="M600" s="7">
        <v>0</v>
      </c>
      <c r="N600" s="7">
        <v>1</v>
      </c>
    </row>
    <row r="601" spans="1:14" x14ac:dyDescent="0.3">
      <c r="A601" s="7">
        <v>600</v>
      </c>
      <c r="B601" s="1">
        <v>40571</v>
      </c>
      <c r="C601" s="7">
        <v>1</v>
      </c>
      <c r="D601" s="7">
        <v>5</v>
      </c>
      <c r="E601" t="b">
        <v>0</v>
      </c>
      <c r="F601" s="7">
        <v>5</v>
      </c>
      <c r="G601" s="7">
        <v>2</v>
      </c>
      <c r="H601" s="6">
        <v>0.18</v>
      </c>
      <c r="I601" s="8">
        <v>0.21210000000000001</v>
      </c>
      <c r="J601" s="6">
        <v>0.8</v>
      </c>
      <c r="K601" s="8">
        <v>0.1045</v>
      </c>
      <c r="L601" s="7">
        <v>0</v>
      </c>
      <c r="M601" s="7">
        <v>4</v>
      </c>
      <c r="N601" s="7">
        <v>4</v>
      </c>
    </row>
    <row r="602" spans="1:14" x14ac:dyDescent="0.3">
      <c r="A602" s="7">
        <v>601</v>
      </c>
      <c r="B602" s="1">
        <v>40571</v>
      </c>
      <c r="C602" s="7">
        <v>1</v>
      </c>
      <c r="D602" s="7">
        <v>6</v>
      </c>
      <c r="E602" t="b">
        <v>0</v>
      </c>
      <c r="F602" s="7">
        <v>5</v>
      </c>
      <c r="G602" s="7">
        <v>2</v>
      </c>
      <c r="H602" s="6">
        <v>0.18</v>
      </c>
      <c r="I602" s="8">
        <v>0.19700000000000001</v>
      </c>
      <c r="J602" s="6">
        <v>0.8</v>
      </c>
      <c r="K602" s="8">
        <v>0.1343</v>
      </c>
      <c r="L602" s="7">
        <v>0</v>
      </c>
      <c r="M602" s="7">
        <v>16</v>
      </c>
      <c r="N602" s="7">
        <v>16</v>
      </c>
    </row>
    <row r="603" spans="1:14" x14ac:dyDescent="0.3">
      <c r="A603" s="7">
        <v>602</v>
      </c>
      <c r="B603" s="1">
        <v>40571</v>
      </c>
      <c r="C603" s="7">
        <v>1</v>
      </c>
      <c r="D603" s="7">
        <v>7</v>
      </c>
      <c r="E603" t="b">
        <v>0</v>
      </c>
      <c r="F603" s="7">
        <v>5</v>
      </c>
      <c r="G603" s="7">
        <v>2</v>
      </c>
      <c r="H603" s="6">
        <v>0.16</v>
      </c>
      <c r="I603" s="8">
        <v>0.19700000000000001</v>
      </c>
      <c r="J603" s="6">
        <v>0.86</v>
      </c>
      <c r="K603" s="8">
        <v>8.9599999999999999E-2</v>
      </c>
      <c r="L603" s="7">
        <v>2</v>
      </c>
      <c r="M603" s="7">
        <v>58</v>
      </c>
      <c r="N603" s="7">
        <v>60</v>
      </c>
    </row>
    <row r="604" spans="1:14" x14ac:dyDescent="0.3">
      <c r="A604" s="7">
        <v>603</v>
      </c>
      <c r="B604" s="1">
        <v>40571</v>
      </c>
      <c r="C604" s="7">
        <v>1</v>
      </c>
      <c r="D604" s="7">
        <v>8</v>
      </c>
      <c r="E604" t="b">
        <v>0</v>
      </c>
      <c r="F604" s="7">
        <v>5</v>
      </c>
      <c r="G604" s="7">
        <v>2</v>
      </c>
      <c r="H604" s="6">
        <v>0.16</v>
      </c>
      <c r="I604" s="8">
        <v>0.19700000000000001</v>
      </c>
      <c r="J604" s="6">
        <v>0.86</v>
      </c>
      <c r="K604" s="8">
        <v>8.9599999999999999E-2</v>
      </c>
      <c r="L604" s="7">
        <v>2</v>
      </c>
      <c r="M604" s="7">
        <v>155</v>
      </c>
      <c r="N604" s="7">
        <v>157</v>
      </c>
    </row>
    <row r="605" spans="1:14" x14ac:dyDescent="0.3">
      <c r="A605" s="7">
        <v>604</v>
      </c>
      <c r="B605" s="1">
        <v>40571</v>
      </c>
      <c r="C605" s="7">
        <v>1</v>
      </c>
      <c r="D605" s="7">
        <v>9</v>
      </c>
      <c r="E605" t="b">
        <v>0</v>
      </c>
      <c r="F605" s="7">
        <v>5</v>
      </c>
      <c r="G605" s="7">
        <v>3</v>
      </c>
      <c r="H605" s="6">
        <v>0.18</v>
      </c>
      <c r="I605" s="8">
        <v>0.21210000000000001</v>
      </c>
      <c r="J605" s="6">
        <v>0.86</v>
      </c>
      <c r="K605" s="8">
        <v>8.9599999999999999E-2</v>
      </c>
      <c r="L605" s="7">
        <v>6</v>
      </c>
      <c r="M605" s="7">
        <v>95</v>
      </c>
      <c r="N605" s="7">
        <v>101</v>
      </c>
    </row>
    <row r="606" spans="1:14" x14ac:dyDescent="0.3">
      <c r="A606" s="7">
        <v>605</v>
      </c>
      <c r="B606" s="1">
        <v>40571</v>
      </c>
      <c r="C606" s="7">
        <v>1</v>
      </c>
      <c r="D606" s="7">
        <v>10</v>
      </c>
      <c r="E606" t="b">
        <v>0</v>
      </c>
      <c r="F606" s="7">
        <v>5</v>
      </c>
      <c r="G606" s="7">
        <v>3</v>
      </c>
      <c r="H606" s="6">
        <v>0.18</v>
      </c>
      <c r="I606" s="8">
        <v>0.21210000000000001</v>
      </c>
      <c r="J606" s="6">
        <v>0.86</v>
      </c>
      <c r="K606" s="8">
        <v>0.1045</v>
      </c>
      <c r="L606" s="7">
        <v>0</v>
      </c>
      <c r="M606" s="7">
        <v>49</v>
      </c>
      <c r="N606" s="7">
        <v>49</v>
      </c>
    </row>
    <row r="607" spans="1:14" x14ac:dyDescent="0.3">
      <c r="A607" s="7">
        <v>606</v>
      </c>
      <c r="B607" s="1">
        <v>40571</v>
      </c>
      <c r="C607" s="7">
        <v>1</v>
      </c>
      <c r="D607" s="7">
        <v>11</v>
      </c>
      <c r="E607" t="b">
        <v>0</v>
      </c>
      <c r="F607" s="7">
        <v>5</v>
      </c>
      <c r="G607" s="7">
        <v>3</v>
      </c>
      <c r="H607" s="6">
        <v>0.18</v>
      </c>
      <c r="I607" s="8">
        <v>0.21210000000000001</v>
      </c>
      <c r="J607" s="6">
        <v>0.93</v>
      </c>
      <c r="K607" s="8">
        <v>0.1045</v>
      </c>
      <c r="L607" s="7">
        <v>0</v>
      </c>
      <c r="M607" s="7">
        <v>30</v>
      </c>
      <c r="N607" s="7">
        <v>30</v>
      </c>
    </row>
    <row r="608" spans="1:14" x14ac:dyDescent="0.3">
      <c r="A608" s="7">
        <v>607</v>
      </c>
      <c r="B608" s="1">
        <v>40571</v>
      </c>
      <c r="C608" s="7">
        <v>1</v>
      </c>
      <c r="D608" s="7">
        <v>12</v>
      </c>
      <c r="E608" t="b">
        <v>0</v>
      </c>
      <c r="F608" s="7">
        <v>5</v>
      </c>
      <c r="G608" s="7">
        <v>3</v>
      </c>
      <c r="H608" s="6">
        <v>0.18</v>
      </c>
      <c r="I608" s="8">
        <v>0.21210000000000001</v>
      </c>
      <c r="J608" s="6">
        <v>0.93</v>
      </c>
      <c r="K608" s="8">
        <v>0.1045</v>
      </c>
      <c r="L608" s="7">
        <v>1</v>
      </c>
      <c r="M608" s="7">
        <v>28</v>
      </c>
      <c r="N608" s="7">
        <v>29</v>
      </c>
    </row>
    <row r="609" spans="1:14" x14ac:dyDescent="0.3">
      <c r="A609" s="7">
        <v>608</v>
      </c>
      <c r="B609" s="1">
        <v>40571</v>
      </c>
      <c r="C609" s="7">
        <v>1</v>
      </c>
      <c r="D609" s="7">
        <v>13</v>
      </c>
      <c r="E609" t="b">
        <v>0</v>
      </c>
      <c r="F609" s="7">
        <v>5</v>
      </c>
      <c r="G609" s="7">
        <v>3</v>
      </c>
      <c r="H609" s="6">
        <v>0.18</v>
      </c>
      <c r="I609" s="8">
        <v>0.21210000000000001</v>
      </c>
      <c r="J609" s="6">
        <v>0.93</v>
      </c>
      <c r="K609" s="8">
        <v>0.1045</v>
      </c>
      <c r="L609" s="7">
        <v>0</v>
      </c>
      <c r="M609" s="7">
        <v>31</v>
      </c>
      <c r="N609" s="7">
        <v>31</v>
      </c>
    </row>
    <row r="610" spans="1:14" x14ac:dyDescent="0.3">
      <c r="A610" s="7">
        <v>609</v>
      </c>
      <c r="B610" s="1">
        <v>40571</v>
      </c>
      <c r="C610" s="7">
        <v>1</v>
      </c>
      <c r="D610" s="7">
        <v>14</v>
      </c>
      <c r="E610" t="b">
        <v>0</v>
      </c>
      <c r="F610" s="7">
        <v>5</v>
      </c>
      <c r="G610" s="7">
        <v>3</v>
      </c>
      <c r="H610" s="6">
        <v>0.22</v>
      </c>
      <c r="I610" s="8">
        <v>0.2727</v>
      </c>
      <c r="J610" s="6">
        <v>0.8</v>
      </c>
      <c r="K610" s="8">
        <v>0</v>
      </c>
      <c r="L610" s="7">
        <v>2</v>
      </c>
      <c r="M610" s="7">
        <v>36</v>
      </c>
      <c r="N610" s="7">
        <v>38</v>
      </c>
    </row>
    <row r="611" spans="1:14" x14ac:dyDescent="0.3">
      <c r="A611" s="7">
        <v>610</v>
      </c>
      <c r="B611" s="1">
        <v>40571</v>
      </c>
      <c r="C611" s="7">
        <v>1</v>
      </c>
      <c r="D611" s="7">
        <v>15</v>
      </c>
      <c r="E611" t="b">
        <v>0</v>
      </c>
      <c r="F611" s="7">
        <v>5</v>
      </c>
      <c r="G611" s="7">
        <v>2</v>
      </c>
      <c r="H611" s="6">
        <v>0.2</v>
      </c>
      <c r="I611" s="8">
        <v>0.2576</v>
      </c>
      <c r="J611" s="6">
        <v>0.86</v>
      </c>
      <c r="K611" s="8">
        <v>0</v>
      </c>
      <c r="L611" s="7">
        <v>1</v>
      </c>
      <c r="M611" s="7">
        <v>40</v>
      </c>
      <c r="N611" s="7">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11"/>
  <sheetViews>
    <sheetView topLeftCell="S2" workbookViewId="0">
      <selection activeCell="AD8" sqref="AD8"/>
    </sheetView>
  </sheetViews>
  <sheetFormatPr defaultRowHeight="14.4" x14ac:dyDescent="0.3"/>
  <cols>
    <col min="1" max="1" width="9" bestFit="1" customWidth="1"/>
    <col min="2" max="2" width="10.33203125" bestFit="1" customWidth="1"/>
    <col min="3" max="3" width="9" bestFit="1" customWidth="1"/>
    <col min="4" max="4" width="7.21875" bestFit="1" customWidth="1"/>
    <col min="5" max="5" width="9.44140625" bestFit="1" customWidth="1"/>
    <col min="6" max="6" width="10.77734375" bestFit="1" customWidth="1"/>
    <col min="7" max="7" width="18.5546875" bestFit="1" customWidth="1"/>
    <col min="8" max="8" width="13.77734375" bestFit="1" customWidth="1"/>
    <col min="9" max="9" width="22.44140625" bestFit="1" customWidth="1"/>
    <col min="10" max="10" width="10.77734375" bestFit="1" customWidth="1"/>
    <col min="11" max="11" width="12.33203125" bestFit="1" customWidth="1"/>
    <col min="12" max="12" width="17.44140625" bestFit="1" customWidth="1"/>
    <col min="13" max="13" width="20.6640625" bestFit="1" customWidth="1"/>
    <col min="14" max="14" width="16.109375" bestFit="1" customWidth="1"/>
    <col min="15" max="15" width="15.33203125" bestFit="1" customWidth="1"/>
    <col min="16" max="16" width="17.21875" bestFit="1" customWidth="1"/>
    <col min="17" max="17" width="21.109375" bestFit="1" customWidth="1"/>
    <col min="18" max="18" width="14.33203125" bestFit="1" customWidth="1"/>
    <col min="19" max="19" width="19.6640625" bestFit="1" customWidth="1"/>
    <col min="20" max="20" width="16.33203125" bestFit="1" customWidth="1"/>
    <col min="21" max="21" width="13" bestFit="1" customWidth="1"/>
    <col min="22" max="22" width="11.5546875" bestFit="1" customWidth="1"/>
    <col min="23" max="23" width="16.5546875" bestFit="1" customWidth="1"/>
    <col min="24" max="24" width="19.21875" bestFit="1" customWidth="1"/>
    <col min="25" max="25" width="22.6640625" bestFit="1" customWidth="1"/>
    <col min="26" max="26" width="12.44140625" bestFit="1" customWidth="1"/>
    <col min="27" max="27" width="15.77734375" bestFit="1" customWidth="1"/>
    <col min="28" max="28" width="11.21875" bestFit="1" customWidth="1"/>
    <col min="29" max="29" width="21.5546875" bestFit="1" customWidth="1"/>
  </cols>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
      <c r="A2" s="7">
        <v>1</v>
      </c>
      <c r="B2" s="1">
        <v>40544</v>
      </c>
      <c r="C2" s="7">
        <v>1</v>
      </c>
      <c r="D2" s="7">
        <v>0</v>
      </c>
      <c r="E2" t="b">
        <v>0</v>
      </c>
      <c r="F2" s="7">
        <v>6</v>
      </c>
      <c r="G2" s="7">
        <v>1</v>
      </c>
      <c r="H2" s="6">
        <v>0.24</v>
      </c>
      <c r="I2" s="8">
        <v>0.28789999999999999</v>
      </c>
      <c r="J2" s="6">
        <v>0.81</v>
      </c>
      <c r="K2" s="8">
        <v>0</v>
      </c>
      <c r="L2" s="7">
        <v>3</v>
      </c>
      <c r="M2" s="7">
        <v>13</v>
      </c>
      <c r="N2" s="7">
        <v>16</v>
      </c>
      <c r="O2" t="s">
        <v>29</v>
      </c>
      <c r="P2" t="s">
        <v>30</v>
      </c>
      <c r="Q2" t="s">
        <v>31</v>
      </c>
      <c r="R2" t="s">
        <v>32</v>
      </c>
      <c r="S2" t="s">
        <v>33</v>
      </c>
      <c r="T2" t="s">
        <v>34</v>
      </c>
      <c r="U2" t="s">
        <v>35</v>
      </c>
      <c r="V2" t="s">
        <v>36</v>
      </c>
      <c r="W2" t="s">
        <v>37</v>
      </c>
      <c r="X2" s="6">
        <v>18.75</v>
      </c>
      <c r="Y2" s="6">
        <v>81.25</v>
      </c>
      <c r="Z2" t="s">
        <v>38</v>
      </c>
      <c r="AA2" t="s">
        <v>39</v>
      </c>
      <c r="AB2" t="s">
        <v>40</v>
      </c>
      <c r="AC2" s="8">
        <v>4.7899999999999998E-2</v>
      </c>
    </row>
    <row r="3" spans="1:29" x14ac:dyDescent="0.3">
      <c r="A3" s="7">
        <v>2</v>
      </c>
      <c r="B3" s="1">
        <v>40544</v>
      </c>
      <c r="C3" s="7">
        <v>1</v>
      </c>
      <c r="D3" s="7">
        <v>1</v>
      </c>
      <c r="E3" t="b">
        <v>0</v>
      </c>
      <c r="F3" s="7">
        <v>6</v>
      </c>
      <c r="G3" s="7">
        <v>1</v>
      </c>
      <c r="H3" s="6">
        <v>0.22</v>
      </c>
      <c r="I3" s="8">
        <v>0.2727</v>
      </c>
      <c r="J3" s="6">
        <v>0.8</v>
      </c>
      <c r="K3" s="8">
        <v>0</v>
      </c>
      <c r="L3" s="7">
        <v>8</v>
      </c>
      <c r="M3" s="7">
        <v>32</v>
      </c>
      <c r="N3" s="7">
        <v>40</v>
      </c>
      <c r="O3" t="s">
        <v>29</v>
      </c>
      <c r="P3" t="s">
        <v>30</v>
      </c>
      <c r="Q3" t="s">
        <v>31</v>
      </c>
      <c r="R3" t="s">
        <v>32</v>
      </c>
      <c r="S3" t="s">
        <v>33</v>
      </c>
      <c r="T3" t="s">
        <v>34</v>
      </c>
      <c r="U3" t="s">
        <v>35</v>
      </c>
      <c r="V3" t="s">
        <v>36</v>
      </c>
      <c r="W3" t="s">
        <v>37</v>
      </c>
      <c r="X3" s="6">
        <v>20</v>
      </c>
      <c r="Y3" s="6">
        <v>80</v>
      </c>
      <c r="Z3" t="s">
        <v>38</v>
      </c>
      <c r="AA3" t="s">
        <v>39</v>
      </c>
      <c r="AB3" t="s">
        <v>40</v>
      </c>
      <c r="AC3" s="8">
        <v>5.2699999999999997E-2</v>
      </c>
    </row>
    <row r="4" spans="1:29" x14ac:dyDescent="0.3">
      <c r="A4" s="7">
        <v>3</v>
      </c>
      <c r="B4" s="1">
        <v>40544</v>
      </c>
      <c r="C4" s="7">
        <v>1</v>
      </c>
      <c r="D4" s="7">
        <v>2</v>
      </c>
      <c r="E4" t="b">
        <v>0</v>
      </c>
      <c r="F4" s="7">
        <v>6</v>
      </c>
      <c r="G4" s="7">
        <v>1</v>
      </c>
      <c r="H4" s="6">
        <v>0.22</v>
      </c>
      <c r="I4" s="8">
        <v>0.2727</v>
      </c>
      <c r="J4" s="6">
        <v>0.8</v>
      </c>
      <c r="K4" s="8">
        <v>0</v>
      </c>
      <c r="L4" s="7">
        <v>5</v>
      </c>
      <c r="M4" s="7">
        <v>27</v>
      </c>
      <c r="N4" s="7">
        <v>32</v>
      </c>
      <c r="O4" t="s">
        <v>29</v>
      </c>
      <c r="P4" t="s">
        <v>30</v>
      </c>
      <c r="Q4" t="s">
        <v>31</v>
      </c>
      <c r="R4" t="s">
        <v>32</v>
      </c>
      <c r="S4" t="s">
        <v>33</v>
      </c>
      <c r="T4" t="s">
        <v>34</v>
      </c>
      <c r="U4" t="s">
        <v>35</v>
      </c>
      <c r="V4" t="s">
        <v>36</v>
      </c>
      <c r="W4" t="s">
        <v>37</v>
      </c>
      <c r="X4" s="6">
        <v>15.625</v>
      </c>
      <c r="Y4" s="6">
        <v>84.375</v>
      </c>
      <c r="Z4" t="s">
        <v>38</v>
      </c>
      <c r="AA4" t="s">
        <v>39</v>
      </c>
      <c r="AB4" t="s">
        <v>40</v>
      </c>
      <c r="AC4" s="8">
        <v>5.2699999999999997E-2</v>
      </c>
    </row>
    <row r="5" spans="1:29" x14ac:dyDescent="0.3">
      <c r="A5" s="7">
        <v>4</v>
      </c>
      <c r="B5" s="1">
        <v>40544</v>
      </c>
      <c r="C5" s="7">
        <v>1</v>
      </c>
      <c r="D5" s="7">
        <v>3</v>
      </c>
      <c r="E5" t="b">
        <v>0</v>
      </c>
      <c r="F5" s="7">
        <v>6</v>
      </c>
      <c r="G5" s="7">
        <v>1</v>
      </c>
      <c r="H5" s="6">
        <v>0.24</v>
      </c>
      <c r="I5" s="8">
        <v>0.28789999999999999</v>
      </c>
      <c r="J5" s="6">
        <v>0.75</v>
      </c>
      <c r="K5" s="8">
        <v>0</v>
      </c>
      <c r="L5" s="7">
        <v>3</v>
      </c>
      <c r="M5" s="7">
        <v>10</v>
      </c>
      <c r="N5" s="7">
        <v>13</v>
      </c>
      <c r="O5" t="s">
        <v>29</v>
      </c>
      <c r="P5" t="s">
        <v>30</v>
      </c>
      <c r="Q5" t="s">
        <v>31</v>
      </c>
      <c r="R5" t="s">
        <v>32</v>
      </c>
      <c r="S5" t="s">
        <v>33</v>
      </c>
      <c r="T5" t="s">
        <v>34</v>
      </c>
      <c r="U5" t="s">
        <v>35</v>
      </c>
      <c r="V5" t="s">
        <v>36</v>
      </c>
      <c r="W5" t="s">
        <v>37</v>
      </c>
      <c r="X5" s="6">
        <v>23.07692307692308</v>
      </c>
      <c r="Y5" s="6">
        <v>76.923076923076934</v>
      </c>
      <c r="Z5" t="s">
        <v>38</v>
      </c>
      <c r="AA5" t="s">
        <v>39</v>
      </c>
      <c r="AB5" t="s">
        <v>40</v>
      </c>
      <c r="AC5" s="8">
        <v>4.7899999999999998E-2</v>
      </c>
    </row>
    <row r="6" spans="1:29" x14ac:dyDescent="0.3">
      <c r="A6" s="7">
        <v>5</v>
      </c>
      <c r="B6" s="1">
        <v>40544</v>
      </c>
      <c r="C6" s="7">
        <v>1</v>
      </c>
      <c r="D6" s="7">
        <v>4</v>
      </c>
      <c r="E6" t="b">
        <v>0</v>
      </c>
      <c r="F6" s="7">
        <v>6</v>
      </c>
      <c r="G6" s="7">
        <v>1</v>
      </c>
      <c r="H6" s="6">
        <v>0.24</v>
      </c>
      <c r="I6" s="8">
        <v>0.28789999999999999</v>
      </c>
      <c r="J6" s="6">
        <v>0.75</v>
      </c>
      <c r="K6" s="8">
        <v>0</v>
      </c>
      <c r="L6" s="7">
        <v>0</v>
      </c>
      <c r="M6" s="7">
        <v>1</v>
      </c>
      <c r="N6" s="7">
        <v>1</v>
      </c>
      <c r="O6" t="s">
        <v>29</v>
      </c>
      <c r="P6" t="s">
        <v>30</v>
      </c>
      <c r="Q6" t="s">
        <v>31</v>
      </c>
      <c r="R6" t="s">
        <v>32</v>
      </c>
      <c r="S6" t="s">
        <v>33</v>
      </c>
      <c r="T6" t="s">
        <v>34</v>
      </c>
      <c r="U6" t="s">
        <v>35</v>
      </c>
      <c r="V6" t="s">
        <v>36</v>
      </c>
      <c r="W6" t="s">
        <v>37</v>
      </c>
      <c r="X6" s="6">
        <v>0</v>
      </c>
      <c r="Y6" s="6">
        <v>100</v>
      </c>
      <c r="Z6" t="s">
        <v>38</v>
      </c>
      <c r="AA6" t="s">
        <v>39</v>
      </c>
      <c r="AB6" t="s">
        <v>40</v>
      </c>
      <c r="AC6" s="8">
        <v>4.7899999999999998E-2</v>
      </c>
    </row>
    <row r="7" spans="1:29" x14ac:dyDescent="0.3">
      <c r="A7" s="7">
        <v>6</v>
      </c>
      <c r="B7" s="1">
        <v>40544</v>
      </c>
      <c r="C7" s="7">
        <v>1</v>
      </c>
      <c r="D7" s="7">
        <v>5</v>
      </c>
      <c r="E7" t="b">
        <v>0</v>
      </c>
      <c r="F7" s="7">
        <v>6</v>
      </c>
      <c r="G7" s="7">
        <v>2</v>
      </c>
      <c r="H7" s="6">
        <v>0.24</v>
      </c>
      <c r="I7" s="8">
        <v>0.2576</v>
      </c>
      <c r="J7" s="6">
        <v>0.75</v>
      </c>
      <c r="K7" s="8">
        <v>8.9599999999999999E-2</v>
      </c>
      <c r="L7" s="7">
        <v>0</v>
      </c>
      <c r="M7" s="7">
        <v>1</v>
      </c>
      <c r="N7" s="7">
        <v>1</v>
      </c>
      <c r="O7" t="s">
        <v>29</v>
      </c>
      <c r="P7" t="s">
        <v>30</v>
      </c>
      <c r="Q7" t="s">
        <v>41</v>
      </c>
      <c r="R7" t="s">
        <v>32</v>
      </c>
      <c r="S7" t="s">
        <v>33</v>
      </c>
      <c r="T7" t="s">
        <v>34</v>
      </c>
      <c r="U7" t="s">
        <v>35</v>
      </c>
      <c r="V7" t="s">
        <v>36</v>
      </c>
      <c r="W7" t="s">
        <v>37</v>
      </c>
      <c r="X7" s="6">
        <v>0</v>
      </c>
      <c r="Y7" s="6">
        <v>100</v>
      </c>
      <c r="Z7" t="s">
        <v>38</v>
      </c>
      <c r="AA7" t="s">
        <v>39</v>
      </c>
      <c r="AB7" t="s">
        <v>40</v>
      </c>
      <c r="AC7" s="8">
        <v>1.7600000000000001E-2</v>
      </c>
    </row>
    <row r="8" spans="1:29" x14ac:dyDescent="0.3">
      <c r="A8" s="7">
        <v>7</v>
      </c>
      <c r="B8" s="1">
        <v>40544</v>
      </c>
      <c r="C8" s="7">
        <v>1</v>
      </c>
      <c r="D8" s="7">
        <v>6</v>
      </c>
      <c r="E8" t="b">
        <v>0</v>
      </c>
      <c r="F8" s="7">
        <v>6</v>
      </c>
      <c r="G8" s="7">
        <v>1</v>
      </c>
      <c r="H8" s="6">
        <v>0.22</v>
      </c>
      <c r="I8" s="8">
        <v>0.2727</v>
      </c>
      <c r="J8" s="6">
        <v>0.8</v>
      </c>
      <c r="K8" s="8">
        <v>0</v>
      </c>
      <c r="L8" s="7">
        <v>2</v>
      </c>
      <c r="M8" s="7">
        <v>0</v>
      </c>
      <c r="N8" s="7">
        <v>2</v>
      </c>
      <c r="O8" t="s">
        <v>29</v>
      </c>
      <c r="P8" t="s">
        <v>30</v>
      </c>
      <c r="Q8" t="s">
        <v>31</v>
      </c>
      <c r="R8" t="s">
        <v>42</v>
      </c>
      <c r="S8" t="s">
        <v>33</v>
      </c>
      <c r="T8" t="s">
        <v>34</v>
      </c>
      <c r="U8" t="s">
        <v>35</v>
      </c>
      <c r="V8" t="s">
        <v>36</v>
      </c>
      <c r="W8" t="s">
        <v>43</v>
      </c>
      <c r="X8" s="6">
        <v>100</v>
      </c>
      <c r="Y8" s="6">
        <v>0</v>
      </c>
      <c r="Z8" t="s">
        <v>38</v>
      </c>
      <c r="AA8" t="s">
        <v>39</v>
      </c>
      <c r="AB8" t="s">
        <v>40</v>
      </c>
      <c r="AC8" s="8">
        <v>5.2699999999999997E-2</v>
      </c>
    </row>
    <row r="9" spans="1:29" x14ac:dyDescent="0.3">
      <c r="A9" s="7">
        <v>8</v>
      </c>
      <c r="B9" s="1">
        <v>40544</v>
      </c>
      <c r="C9" s="7">
        <v>1</v>
      </c>
      <c r="D9" s="7">
        <v>7</v>
      </c>
      <c r="E9" t="b">
        <v>0</v>
      </c>
      <c r="F9" s="7">
        <v>6</v>
      </c>
      <c r="G9" s="7">
        <v>1</v>
      </c>
      <c r="H9" s="6">
        <v>0.2</v>
      </c>
      <c r="I9" s="8">
        <v>0.2576</v>
      </c>
      <c r="J9" s="6">
        <v>0.86</v>
      </c>
      <c r="K9" s="8">
        <v>0</v>
      </c>
      <c r="L9" s="7">
        <v>1</v>
      </c>
      <c r="M9" s="7">
        <v>2</v>
      </c>
      <c r="N9" s="7">
        <v>3</v>
      </c>
      <c r="O9" t="s">
        <v>29</v>
      </c>
      <c r="P9" t="s">
        <v>30</v>
      </c>
      <c r="Q9" t="s">
        <v>31</v>
      </c>
      <c r="R9" t="s">
        <v>42</v>
      </c>
      <c r="S9" t="s">
        <v>33</v>
      </c>
      <c r="T9" t="s">
        <v>34</v>
      </c>
      <c r="U9" t="s">
        <v>35</v>
      </c>
      <c r="V9" t="s">
        <v>36</v>
      </c>
      <c r="W9" t="s">
        <v>37</v>
      </c>
      <c r="X9" s="6">
        <v>33.333333333333329</v>
      </c>
      <c r="Y9" s="6">
        <v>66.666666666666657</v>
      </c>
      <c r="Z9" t="s">
        <v>40</v>
      </c>
      <c r="AA9" t="s">
        <v>39</v>
      </c>
      <c r="AB9" t="s">
        <v>40</v>
      </c>
      <c r="AC9" s="8">
        <v>5.7599999999999978E-2</v>
      </c>
    </row>
    <row r="10" spans="1:29" x14ac:dyDescent="0.3">
      <c r="A10" s="7">
        <v>9</v>
      </c>
      <c r="B10" s="1">
        <v>40544</v>
      </c>
      <c r="C10" s="7">
        <v>1</v>
      </c>
      <c r="D10" s="7">
        <v>8</v>
      </c>
      <c r="E10" t="b">
        <v>0</v>
      </c>
      <c r="F10" s="7">
        <v>6</v>
      </c>
      <c r="G10" s="7">
        <v>1</v>
      </c>
      <c r="H10" s="6">
        <v>0.24</v>
      </c>
      <c r="I10" s="8">
        <v>0.2576</v>
      </c>
      <c r="J10" s="6">
        <v>0.75</v>
      </c>
      <c r="K10" s="8">
        <v>0</v>
      </c>
      <c r="L10" s="7">
        <v>1</v>
      </c>
      <c r="M10" s="7">
        <v>7</v>
      </c>
      <c r="N10" s="7">
        <v>8</v>
      </c>
      <c r="O10" t="s">
        <v>29</v>
      </c>
      <c r="P10" t="s">
        <v>30</v>
      </c>
      <c r="Q10" t="s">
        <v>31</v>
      </c>
      <c r="R10" t="s">
        <v>42</v>
      </c>
      <c r="S10" t="s">
        <v>33</v>
      </c>
      <c r="T10" t="s">
        <v>34</v>
      </c>
      <c r="U10" t="s">
        <v>35</v>
      </c>
      <c r="V10" t="s">
        <v>36</v>
      </c>
      <c r="W10" t="s">
        <v>37</v>
      </c>
      <c r="X10" s="6">
        <v>12.5</v>
      </c>
      <c r="Y10" s="6">
        <v>87.5</v>
      </c>
      <c r="Z10" t="s">
        <v>40</v>
      </c>
      <c r="AA10" t="s">
        <v>39</v>
      </c>
      <c r="AB10" t="s">
        <v>40</v>
      </c>
      <c r="AC10" s="8">
        <v>1.7600000000000001E-2</v>
      </c>
    </row>
    <row r="11" spans="1:29" x14ac:dyDescent="0.3">
      <c r="A11" s="7">
        <v>10</v>
      </c>
      <c r="B11" s="1">
        <v>40544</v>
      </c>
      <c r="C11" s="7">
        <v>1</v>
      </c>
      <c r="D11" s="7">
        <v>9</v>
      </c>
      <c r="E11" t="b">
        <v>0</v>
      </c>
      <c r="F11" s="7">
        <v>6</v>
      </c>
      <c r="G11" s="7">
        <v>1</v>
      </c>
      <c r="H11" s="6">
        <v>0.32</v>
      </c>
      <c r="I11" s="8">
        <v>0.34849999999999998</v>
      </c>
      <c r="J11" s="6">
        <v>0.76</v>
      </c>
      <c r="K11" s="8">
        <v>0</v>
      </c>
      <c r="L11" s="7">
        <v>8</v>
      </c>
      <c r="M11" s="7">
        <v>6</v>
      </c>
      <c r="N11" s="7">
        <v>14</v>
      </c>
      <c r="O11" t="s">
        <v>29</v>
      </c>
      <c r="P11" t="s">
        <v>30</v>
      </c>
      <c r="Q11" t="s">
        <v>31</v>
      </c>
      <c r="R11" t="s">
        <v>42</v>
      </c>
      <c r="S11" t="s">
        <v>44</v>
      </c>
      <c r="T11" t="s">
        <v>34</v>
      </c>
      <c r="U11" t="s">
        <v>35</v>
      </c>
      <c r="V11" t="s">
        <v>36</v>
      </c>
      <c r="W11" t="s">
        <v>43</v>
      </c>
      <c r="X11" s="6">
        <v>57.142857142857139</v>
      </c>
      <c r="Y11" s="6">
        <v>42.857142857142847</v>
      </c>
      <c r="Z11" t="s">
        <v>40</v>
      </c>
      <c r="AA11" t="s">
        <v>39</v>
      </c>
      <c r="AB11" t="s">
        <v>40</v>
      </c>
      <c r="AC11" s="8">
        <v>2.849999999999997E-2</v>
      </c>
    </row>
    <row r="12" spans="1:29" x14ac:dyDescent="0.3">
      <c r="A12" s="7">
        <v>11</v>
      </c>
      <c r="B12" s="1">
        <v>40544</v>
      </c>
      <c r="C12" s="7">
        <v>1</v>
      </c>
      <c r="D12" s="7">
        <v>10</v>
      </c>
      <c r="E12" t="b">
        <v>0</v>
      </c>
      <c r="F12" s="7">
        <v>6</v>
      </c>
      <c r="G12" s="7">
        <v>1</v>
      </c>
      <c r="H12" s="6">
        <v>0.38</v>
      </c>
      <c r="I12" s="8">
        <v>0.39389999999999997</v>
      </c>
      <c r="J12" s="6">
        <v>0.76</v>
      </c>
      <c r="K12" s="8">
        <v>0.25369999999999998</v>
      </c>
      <c r="L12" s="7">
        <v>12</v>
      </c>
      <c r="M12" s="7">
        <v>24</v>
      </c>
      <c r="N12" s="7">
        <v>36</v>
      </c>
      <c r="O12" t="s">
        <v>29</v>
      </c>
      <c r="P12" t="s">
        <v>30</v>
      </c>
      <c r="Q12" t="s">
        <v>31</v>
      </c>
      <c r="R12" t="s">
        <v>42</v>
      </c>
      <c r="S12" t="s">
        <v>45</v>
      </c>
      <c r="T12" t="s">
        <v>34</v>
      </c>
      <c r="U12" t="s">
        <v>46</v>
      </c>
      <c r="V12" t="s">
        <v>36</v>
      </c>
      <c r="W12" t="s">
        <v>37</v>
      </c>
      <c r="X12" s="6">
        <v>33.333333333333329</v>
      </c>
      <c r="Y12" s="6">
        <v>66.666666666666657</v>
      </c>
      <c r="Z12" t="s">
        <v>38</v>
      </c>
      <c r="AA12" t="s">
        <v>39</v>
      </c>
      <c r="AB12" t="s">
        <v>40</v>
      </c>
      <c r="AC12" s="8">
        <v>1.389999999999997E-2</v>
      </c>
    </row>
    <row r="13" spans="1:29" x14ac:dyDescent="0.3">
      <c r="A13" s="7">
        <v>12</v>
      </c>
      <c r="B13" s="1">
        <v>40544</v>
      </c>
      <c r="C13" s="7">
        <v>1</v>
      </c>
      <c r="D13" s="7">
        <v>11</v>
      </c>
      <c r="E13" t="b">
        <v>0</v>
      </c>
      <c r="F13" s="7">
        <v>6</v>
      </c>
      <c r="G13" s="7">
        <v>1</v>
      </c>
      <c r="H13" s="6">
        <v>0.36</v>
      </c>
      <c r="I13" s="8">
        <v>0.33329999999999999</v>
      </c>
      <c r="J13" s="6">
        <v>0.81</v>
      </c>
      <c r="K13" s="8">
        <v>0.28360000000000002</v>
      </c>
      <c r="L13" s="7">
        <v>26</v>
      </c>
      <c r="M13" s="7">
        <v>30</v>
      </c>
      <c r="N13" s="7">
        <v>56</v>
      </c>
      <c r="O13" t="s">
        <v>29</v>
      </c>
      <c r="P13" t="s">
        <v>30</v>
      </c>
      <c r="Q13" t="s">
        <v>31</v>
      </c>
      <c r="R13" t="s">
        <v>42</v>
      </c>
      <c r="S13" t="s">
        <v>45</v>
      </c>
      <c r="T13" t="s">
        <v>34</v>
      </c>
      <c r="U13" t="s">
        <v>46</v>
      </c>
      <c r="V13" t="s">
        <v>36</v>
      </c>
      <c r="W13" t="s">
        <v>37</v>
      </c>
      <c r="X13" s="6">
        <v>46.428571428571431</v>
      </c>
      <c r="Y13" s="6">
        <v>53.571428571428569</v>
      </c>
      <c r="Z13" t="s">
        <v>38</v>
      </c>
      <c r="AA13" t="s">
        <v>39</v>
      </c>
      <c r="AB13" t="s">
        <v>40</v>
      </c>
      <c r="AC13" s="8">
        <v>-2.6700000000000002E-2</v>
      </c>
    </row>
    <row r="14" spans="1:29" x14ac:dyDescent="0.3">
      <c r="A14" s="7">
        <v>13</v>
      </c>
      <c r="B14" s="1">
        <v>40544</v>
      </c>
      <c r="C14" s="7">
        <v>1</v>
      </c>
      <c r="D14" s="7">
        <v>12</v>
      </c>
      <c r="E14" t="b">
        <v>0</v>
      </c>
      <c r="F14" s="7">
        <v>6</v>
      </c>
      <c r="G14" s="7">
        <v>1</v>
      </c>
      <c r="H14" s="6">
        <v>0.42</v>
      </c>
      <c r="I14" s="8">
        <v>0.42420000000000002</v>
      </c>
      <c r="J14" s="6">
        <v>0.77</v>
      </c>
      <c r="K14" s="8">
        <v>0.28360000000000002</v>
      </c>
      <c r="L14" s="7">
        <v>29</v>
      </c>
      <c r="M14" s="7">
        <v>55</v>
      </c>
      <c r="N14" s="7">
        <v>84</v>
      </c>
      <c r="O14" t="s">
        <v>29</v>
      </c>
      <c r="P14" t="s">
        <v>30</v>
      </c>
      <c r="Q14" t="s">
        <v>31</v>
      </c>
      <c r="R14" t="s">
        <v>47</v>
      </c>
      <c r="S14" t="s">
        <v>45</v>
      </c>
      <c r="T14" t="s">
        <v>34</v>
      </c>
      <c r="U14" t="s">
        <v>46</v>
      </c>
      <c r="V14" t="s">
        <v>36</v>
      </c>
      <c r="W14" t="s">
        <v>37</v>
      </c>
      <c r="X14" s="6">
        <v>34.523809523809533</v>
      </c>
      <c r="Y14" s="6">
        <v>65.476190476190482</v>
      </c>
      <c r="Z14" t="s">
        <v>38</v>
      </c>
      <c r="AA14" t="s">
        <v>39</v>
      </c>
      <c r="AB14" t="s">
        <v>40</v>
      </c>
      <c r="AC14" s="8">
        <v>4.200000000000037E-3</v>
      </c>
    </row>
    <row r="15" spans="1:29" x14ac:dyDescent="0.3">
      <c r="A15" s="7">
        <v>14</v>
      </c>
      <c r="B15" s="1">
        <v>40544</v>
      </c>
      <c r="C15" s="7">
        <v>1</v>
      </c>
      <c r="D15" s="7">
        <v>13</v>
      </c>
      <c r="E15" t="b">
        <v>0</v>
      </c>
      <c r="F15" s="7">
        <v>6</v>
      </c>
      <c r="G15" s="7">
        <v>2</v>
      </c>
      <c r="H15" s="6">
        <v>0.46</v>
      </c>
      <c r="I15" s="8">
        <v>0.45450000000000002</v>
      </c>
      <c r="J15" s="6">
        <v>0.72</v>
      </c>
      <c r="K15" s="8">
        <v>0.29849999999999999</v>
      </c>
      <c r="L15" s="7">
        <v>47</v>
      </c>
      <c r="M15" s="7">
        <v>47</v>
      </c>
      <c r="N15" s="7">
        <v>94</v>
      </c>
      <c r="O15" t="s">
        <v>29</v>
      </c>
      <c r="P15" t="s">
        <v>30</v>
      </c>
      <c r="Q15" t="s">
        <v>41</v>
      </c>
      <c r="R15" t="s">
        <v>47</v>
      </c>
      <c r="S15" t="s">
        <v>48</v>
      </c>
      <c r="T15" t="s">
        <v>34</v>
      </c>
      <c r="U15" t="s">
        <v>46</v>
      </c>
      <c r="V15" t="s">
        <v>36</v>
      </c>
      <c r="W15" t="s">
        <v>37</v>
      </c>
      <c r="X15" s="6">
        <v>50</v>
      </c>
      <c r="Y15" s="6">
        <v>50</v>
      </c>
      <c r="Z15" t="s">
        <v>38</v>
      </c>
      <c r="AA15" t="s">
        <v>39</v>
      </c>
      <c r="AB15" t="s">
        <v>40</v>
      </c>
      <c r="AC15" s="8">
        <v>-5.5000000000000049E-3</v>
      </c>
    </row>
    <row r="16" spans="1:29" x14ac:dyDescent="0.3">
      <c r="A16" s="7">
        <v>15</v>
      </c>
      <c r="B16" s="1">
        <v>40544</v>
      </c>
      <c r="C16" s="7">
        <v>1</v>
      </c>
      <c r="D16" s="7">
        <v>14</v>
      </c>
      <c r="E16" t="b">
        <v>0</v>
      </c>
      <c r="F16" s="7">
        <v>6</v>
      </c>
      <c r="G16" s="7">
        <v>2</v>
      </c>
      <c r="H16" s="6">
        <v>0.46</v>
      </c>
      <c r="I16" s="8">
        <v>0.45450000000000002</v>
      </c>
      <c r="J16" s="6">
        <v>0.72</v>
      </c>
      <c r="K16" s="8">
        <v>0.28360000000000002</v>
      </c>
      <c r="L16" s="7">
        <v>35</v>
      </c>
      <c r="M16" s="7">
        <v>71</v>
      </c>
      <c r="N16" s="7">
        <v>106</v>
      </c>
      <c r="O16" t="s">
        <v>29</v>
      </c>
      <c r="P16" t="s">
        <v>30</v>
      </c>
      <c r="Q16" t="s">
        <v>41</v>
      </c>
      <c r="R16" t="s">
        <v>47</v>
      </c>
      <c r="S16" t="s">
        <v>48</v>
      </c>
      <c r="T16" t="s">
        <v>34</v>
      </c>
      <c r="U16" t="s">
        <v>46</v>
      </c>
      <c r="V16" t="s">
        <v>36</v>
      </c>
      <c r="W16" t="s">
        <v>37</v>
      </c>
      <c r="X16" s="6">
        <v>33.018867924528301</v>
      </c>
      <c r="Y16" s="6">
        <v>66.981132075471692</v>
      </c>
      <c r="Z16" t="s">
        <v>38</v>
      </c>
      <c r="AA16" t="s">
        <v>49</v>
      </c>
      <c r="AB16" t="s">
        <v>40</v>
      </c>
      <c r="AC16" s="8">
        <v>-5.5000000000000049E-3</v>
      </c>
    </row>
    <row r="17" spans="1:29" x14ac:dyDescent="0.3">
      <c r="A17" s="7">
        <v>16</v>
      </c>
      <c r="B17" s="1">
        <v>40544</v>
      </c>
      <c r="C17" s="7">
        <v>1</v>
      </c>
      <c r="D17" s="7">
        <v>15</v>
      </c>
      <c r="E17" t="b">
        <v>0</v>
      </c>
      <c r="F17" s="7">
        <v>6</v>
      </c>
      <c r="G17" s="7">
        <v>2</v>
      </c>
      <c r="H17" s="6">
        <v>0.44</v>
      </c>
      <c r="I17" s="8">
        <v>0.43940000000000001</v>
      </c>
      <c r="J17" s="6">
        <v>0.77</v>
      </c>
      <c r="K17" s="8">
        <v>0.29849999999999999</v>
      </c>
      <c r="L17" s="7">
        <v>40</v>
      </c>
      <c r="M17" s="7">
        <v>70</v>
      </c>
      <c r="N17" s="7">
        <v>110</v>
      </c>
      <c r="O17" t="s">
        <v>29</v>
      </c>
      <c r="P17" t="s">
        <v>30</v>
      </c>
      <c r="Q17" t="s">
        <v>41</v>
      </c>
      <c r="R17" t="s">
        <v>47</v>
      </c>
      <c r="S17" t="s">
        <v>45</v>
      </c>
      <c r="T17" t="s">
        <v>34</v>
      </c>
      <c r="U17" t="s">
        <v>46</v>
      </c>
      <c r="V17" t="s">
        <v>36</v>
      </c>
      <c r="W17" t="s">
        <v>37</v>
      </c>
      <c r="X17" s="6">
        <v>36.363636363636367</v>
      </c>
      <c r="Y17" s="6">
        <v>63.636363636363633</v>
      </c>
      <c r="Z17" t="s">
        <v>38</v>
      </c>
      <c r="AA17" t="s">
        <v>49</v>
      </c>
      <c r="AB17" t="s">
        <v>40</v>
      </c>
      <c r="AC17" s="8">
        <v>-5.9999999999998943E-4</v>
      </c>
    </row>
    <row r="18" spans="1:29" x14ac:dyDescent="0.3">
      <c r="A18" s="7">
        <v>17</v>
      </c>
      <c r="B18" s="1">
        <v>40544</v>
      </c>
      <c r="C18" s="7">
        <v>1</v>
      </c>
      <c r="D18" s="7">
        <v>16</v>
      </c>
      <c r="E18" t="b">
        <v>0</v>
      </c>
      <c r="F18" s="7">
        <v>6</v>
      </c>
      <c r="G18" s="7">
        <v>2</v>
      </c>
      <c r="H18" s="6">
        <v>0.42</v>
      </c>
      <c r="I18" s="8">
        <v>0.42420000000000002</v>
      </c>
      <c r="J18" s="6">
        <v>0.82</v>
      </c>
      <c r="K18" s="8">
        <v>0.29849999999999999</v>
      </c>
      <c r="L18" s="7">
        <v>41</v>
      </c>
      <c r="M18" s="7">
        <v>52</v>
      </c>
      <c r="N18" s="7">
        <v>93</v>
      </c>
      <c r="O18" t="s">
        <v>29</v>
      </c>
      <c r="P18" t="s">
        <v>30</v>
      </c>
      <c r="Q18" t="s">
        <v>41</v>
      </c>
      <c r="R18" t="s">
        <v>47</v>
      </c>
      <c r="S18" t="s">
        <v>45</v>
      </c>
      <c r="T18" t="s">
        <v>34</v>
      </c>
      <c r="U18" t="s">
        <v>46</v>
      </c>
      <c r="V18" t="s">
        <v>36</v>
      </c>
      <c r="W18" t="s">
        <v>37</v>
      </c>
      <c r="X18" s="6">
        <v>44.086021505376337</v>
      </c>
      <c r="Y18" s="6">
        <v>55.913978494623649</v>
      </c>
      <c r="Z18" t="s">
        <v>38</v>
      </c>
      <c r="AA18" t="s">
        <v>39</v>
      </c>
      <c r="AB18" t="s">
        <v>40</v>
      </c>
      <c r="AC18" s="8">
        <v>4.200000000000037E-3</v>
      </c>
    </row>
    <row r="19" spans="1:29" x14ac:dyDescent="0.3">
      <c r="A19" s="7">
        <v>18</v>
      </c>
      <c r="B19" s="1">
        <v>40544</v>
      </c>
      <c r="C19" s="7">
        <v>1</v>
      </c>
      <c r="D19" s="7">
        <v>17</v>
      </c>
      <c r="E19" t="b">
        <v>0</v>
      </c>
      <c r="F19" s="7">
        <v>6</v>
      </c>
      <c r="G19" s="7">
        <v>2</v>
      </c>
      <c r="H19" s="6">
        <v>0.44</v>
      </c>
      <c r="I19" s="8">
        <v>0.42420000000000002</v>
      </c>
      <c r="J19" s="6">
        <v>0.82</v>
      </c>
      <c r="K19" s="8">
        <v>0.28360000000000002</v>
      </c>
      <c r="L19" s="7">
        <v>15</v>
      </c>
      <c r="M19" s="7">
        <v>52</v>
      </c>
      <c r="N19" s="7">
        <v>67</v>
      </c>
      <c r="O19" t="s">
        <v>29</v>
      </c>
      <c r="P19" t="s">
        <v>30</v>
      </c>
      <c r="Q19" t="s">
        <v>41</v>
      </c>
      <c r="R19" t="s">
        <v>50</v>
      </c>
      <c r="S19" t="s">
        <v>45</v>
      </c>
      <c r="T19" t="s">
        <v>34</v>
      </c>
      <c r="U19" t="s">
        <v>46</v>
      </c>
      <c r="V19" t="s">
        <v>36</v>
      </c>
      <c r="W19" t="s">
        <v>37</v>
      </c>
      <c r="X19" s="6">
        <v>22.388059701492541</v>
      </c>
      <c r="Y19" s="6">
        <v>77.611940298507463</v>
      </c>
      <c r="Z19" t="s">
        <v>40</v>
      </c>
      <c r="AA19" t="s">
        <v>39</v>
      </c>
      <c r="AB19" t="s">
        <v>40</v>
      </c>
      <c r="AC19" s="8">
        <v>-1.5799999999999981E-2</v>
      </c>
    </row>
    <row r="20" spans="1:29" x14ac:dyDescent="0.3">
      <c r="A20" s="7">
        <v>19</v>
      </c>
      <c r="B20" s="1">
        <v>40544</v>
      </c>
      <c r="C20" s="7">
        <v>1</v>
      </c>
      <c r="D20" s="7">
        <v>18</v>
      </c>
      <c r="E20" t="b">
        <v>0</v>
      </c>
      <c r="F20" s="7">
        <v>6</v>
      </c>
      <c r="G20" s="7">
        <v>3</v>
      </c>
      <c r="H20" s="6">
        <v>0.42</v>
      </c>
      <c r="I20" s="8">
        <v>0.42420000000000002</v>
      </c>
      <c r="J20" s="6">
        <v>0.88</v>
      </c>
      <c r="K20" s="8">
        <v>0.25369999999999998</v>
      </c>
      <c r="L20" s="7">
        <v>9</v>
      </c>
      <c r="M20" s="7">
        <v>26</v>
      </c>
      <c r="N20" s="7">
        <v>35</v>
      </c>
      <c r="O20" t="s">
        <v>29</v>
      </c>
      <c r="P20" t="s">
        <v>30</v>
      </c>
      <c r="Q20" t="s">
        <v>51</v>
      </c>
      <c r="R20" t="s">
        <v>50</v>
      </c>
      <c r="S20" t="s">
        <v>45</v>
      </c>
      <c r="T20" t="s">
        <v>34</v>
      </c>
      <c r="U20" t="s">
        <v>46</v>
      </c>
      <c r="V20" t="s">
        <v>36</v>
      </c>
      <c r="W20" t="s">
        <v>37</v>
      </c>
      <c r="X20" s="6">
        <v>25.714285714285712</v>
      </c>
      <c r="Y20" s="6">
        <v>74.285714285714292</v>
      </c>
      <c r="Z20" t="s">
        <v>40</v>
      </c>
      <c r="AA20" t="s">
        <v>39</v>
      </c>
      <c r="AB20" t="s">
        <v>40</v>
      </c>
      <c r="AC20" s="8">
        <v>4.200000000000037E-3</v>
      </c>
    </row>
    <row r="21" spans="1:29" x14ac:dyDescent="0.3">
      <c r="A21" s="7">
        <v>20</v>
      </c>
      <c r="B21" s="1">
        <v>40544</v>
      </c>
      <c r="C21" s="7">
        <v>1</v>
      </c>
      <c r="D21" s="7">
        <v>19</v>
      </c>
      <c r="E21" t="b">
        <v>0</v>
      </c>
      <c r="F21" s="7">
        <v>6</v>
      </c>
      <c r="G21" s="7">
        <v>3</v>
      </c>
      <c r="H21" s="6">
        <v>0.42</v>
      </c>
      <c r="I21" s="8">
        <v>0.42420000000000002</v>
      </c>
      <c r="J21" s="6">
        <v>0.88</v>
      </c>
      <c r="K21" s="8">
        <v>0.25369999999999998</v>
      </c>
      <c r="L21" s="7">
        <v>6</v>
      </c>
      <c r="M21" s="7">
        <v>31</v>
      </c>
      <c r="N21" s="7">
        <v>37</v>
      </c>
      <c r="O21" t="s">
        <v>29</v>
      </c>
      <c r="P21" t="s">
        <v>30</v>
      </c>
      <c r="Q21" t="s">
        <v>51</v>
      </c>
      <c r="R21" t="s">
        <v>50</v>
      </c>
      <c r="S21" t="s">
        <v>45</v>
      </c>
      <c r="T21" t="s">
        <v>34</v>
      </c>
      <c r="U21" t="s">
        <v>46</v>
      </c>
      <c r="V21" t="s">
        <v>36</v>
      </c>
      <c r="W21" t="s">
        <v>37</v>
      </c>
      <c r="X21" s="6">
        <v>16.216216216216221</v>
      </c>
      <c r="Y21" s="6">
        <v>83.78378378378379</v>
      </c>
      <c r="Z21" t="s">
        <v>40</v>
      </c>
      <c r="AA21" t="s">
        <v>39</v>
      </c>
      <c r="AB21" t="s">
        <v>40</v>
      </c>
      <c r="AC21" s="8">
        <v>4.200000000000037E-3</v>
      </c>
    </row>
    <row r="22" spans="1:29" x14ac:dyDescent="0.3">
      <c r="A22" s="7">
        <v>21</v>
      </c>
      <c r="B22" s="1">
        <v>40544</v>
      </c>
      <c r="C22" s="7">
        <v>1</v>
      </c>
      <c r="D22" s="7">
        <v>20</v>
      </c>
      <c r="E22" t="b">
        <v>0</v>
      </c>
      <c r="F22" s="7">
        <v>6</v>
      </c>
      <c r="G22" s="7">
        <v>2</v>
      </c>
      <c r="H22" s="6">
        <v>0.4</v>
      </c>
      <c r="I22" s="8">
        <v>0.40910000000000002</v>
      </c>
      <c r="J22" s="6">
        <v>0.87</v>
      </c>
      <c r="K22" s="8">
        <v>0.25369999999999998</v>
      </c>
      <c r="L22" s="7">
        <v>11</v>
      </c>
      <c r="M22" s="7">
        <v>25</v>
      </c>
      <c r="N22" s="7">
        <v>36</v>
      </c>
      <c r="O22" t="s">
        <v>29</v>
      </c>
      <c r="P22" t="s">
        <v>30</v>
      </c>
      <c r="Q22" t="s">
        <v>41</v>
      </c>
      <c r="R22" t="s">
        <v>50</v>
      </c>
      <c r="S22" t="s">
        <v>45</v>
      </c>
      <c r="T22" t="s">
        <v>34</v>
      </c>
      <c r="U22" t="s">
        <v>46</v>
      </c>
      <c r="V22" t="s">
        <v>36</v>
      </c>
      <c r="W22" t="s">
        <v>37</v>
      </c>
      <c r="X22" s="6">
        <v>30.555555555555561</v>
      </c>
      <c r="Y22" s="6">
        <v>69.444444444444443</v>
      </c>
      <c r="Z22" t="s">
        <v>38</v>
      </c>
      <c r="AA22" t="s">
        <v>39</v>
      </c>
      <c r="AB22" t="s">
        <v>40</v>
      </c>
      <c r="AC22" s="8">
        <v>9.099999999999997E-3</v>
      </c>
    </row>
    <row r="23" spans="1:29" x14ac:dyDescent="0.3">
      <c r="A23" s="7">
        <v>22</v>
      </c>
      <c r="B23" s="1">
        <v>40544</v>
      </c>
      <c r="C23" s="7">
        <v>1</v>
      </c>
      <c r="D23" s="7">
        <v>21</v>
      </c>
      <c r="E23" t="b">
        <v>0</v>
      </c>
      <c r="F23" s="7">
        <v>6</v>
      </c>
      <c r="G23" s="7">
        <v>2</v>
      </c>
      <c r="H23" s="6">
        <v>0.4</v>
      </c>
      <c r="I23" s="8">
        <v>0.40910000000000002</v>
      </c>
      <c r="J23" s="6">
        <v>0.87</v>
      </c>
      <c r="K23" s="8">
        <v>0.19400000000000001</v>
      </c>
      <c r="L23" s="7">
        <v>3</v>
      </c>
      <c r="M23" s="7">
        <v>31</v>
      </c>
      <c r="N23" s="7">
        <v>34</v>
      </c>
      <c r="O23" t="s">
        <v>29</v>
      </c>
      <c r="P23" t="s">
        <v>30</v>
      </c>
      <c r="Q23" t="s">
        <v>41</v>
      </c>
      <c r="R23" t="s">
        <v>32</v>
      </c>
      <c r="S23" t="s">
        <v>45</v>
      </c>
      <c r="T23" t="s">
        <v>34</v>
      </c>
      <c r="U23" t="s">
        <v>46</v>
      </c>
      <c r="V23" t="s">
        <v>36</v>
      </c>
      <c r="W23" t="s">
        <v>37</v>
      </c>
      <c r="X23" s="6">
        <v>8.8235294117647065</v>
      </c>
      <c r="Y23" s="6">
        <v>91.17647058823529</v>
      </c>
      <c r="Z23" t="s">
        <v>38</v>
      </c>
      <c r="AA23" t="s">
        <v>39</v>
      </c>
      <c r="AB23" t="s">
        <v>40</v>
      </c>
      <c r="AC23" s="8">
        <v>9.099999999999997E-3</v>
      </c>
    </row>
    <row r="24" spans="1:29" x14ac:dyDescent="0.3">
      <c r="A24" s="7">
        <v>23</v>
      </c>
      <c r="B24" s="1">
        <v>40544</v>
      </c>
      <c r="C24" s="7">
        <v>1</v>
      </c>
      <c r="D24" s="7">
        <v>22</v>
      </c>
      <c r="E24" t="b">
        <v>0</v>
      </c>
      <c r="F24" s="7">
        <v>6</v>
      </c>
      <c r="G24" s="7">
        <v>2</v>
      </c>
      <c r="H24" s="6">
        <v>0.4</v>
      </c>
      <c r="I24" s="8">
        <v>0.40910000000000002</v>
      </c>
      <c r="J24" s="6">
        <v>0.94</v>
      </c>
      <c r="K24" s="8">
        <v>0.22389999999999999</v>
      </c>
      <c r="L24" s="7">
        <v>11</v>
      </c>
      <c r="M24" s="7">
        <v>17</v>
      </c>
      <c r="N24" s="7">
        <v>28</v>
      </c>
      <c r="O24" t="s">
        <v>29</v>
      </c>
      <c r="P24" t="s">
        <v>30</v>
      </c>
      <c r="Q24" t="s">
        <v>41</v>
      </c>
      <c r="R24" t="s">
        <v>32</v>
      </c>
      <c r="S24" t="s">
        <v>45</v>
      </c>
      <c r="T24" t="s">
        <v>34</v>
      </c>
      <c r="U24" t="s">
        <v>46</v>
      </c>
      <c r="V24" t="s">
        <v>36</v>
      </c>
      <c r="W24" t="s">
        <v>37</v>
      </c>
      <c r="X24" s="6">
        <v>39.285714285714278</v>
      </c>
      <c r="Y24" s="6">
        <v>60.714285714285708</v>
      </c>
      <c r="Z24" t="s">
        <v>38</v>
      </c>
      <c r="AA24" t="s">
        <v>39</v>
      </c>
      <c r="AB24" t="s">
        <v>40</v>
      </c>
      <c r="AC24" s="8">
        <v>9.099999999999997E-3</v>
      </c>
    </row>
    <row r="25" spans="1:29" x14ac:dyDescent="0.3">
      <c r="A25" s="7">
        <v>24</v>
      </c>
      <c r="B25" s="1">
        <v>40544</v>
      </c>
      <c r="C25" s="7">
        <v>1</v>
      </c>
      <c r="D25" s="7">
        <v>23</v>
      </c>
      <c r="E25" t="b">
        <v>0</v>
      </c>
      <c r="F25" s="7">
        <v>6</v>
      </c>
      <c r="G25" s="7">
        <v>2</v>
      </c>
      <c r="H25" s="6">
        <v>0.46</v>
      </c>
      <c r="I25" s="8">
        <v>0.40910000000000002</v>
      </c>
      <c r="J25" s="6">
        <v>0.88</v>
      </c>
      <c r="K25" s="8">
        <v>0.29849999999999999</v>
      </c>
      <c r="L25" s="7">
        <v>15</v>
      </c>
      <c r="M25" s="7">
        <v>24</v>
      </c>
      <c r="N25" s="7">
        <v>39</v>
      </c>
      <c r="O25" t="s">
        <v>29</v>
      </c>
      <c r="P25" t="s">
        <v>30</v>
      </c>
      <c r="Q25" t="s">
        <v>41</v>
      </c>
      <c r="R25" t="s">
        <v>32</v>
      </c>
      <c r="S25" t="s">
        <v>48</v>
      </c>
      <c r="T25" t="s">
        <v>34</v>
      </c>
      <c r="U25" t="s">
        <v>46</v>
      </c>
      <c r="V25" t="s">
        <v>36</v>
      </c>
      <c r="W25" t="s">
        <v>37</v>
      </c>
      <c r="X25" s="6">
        <v>38.461538461538467</v>
      </c>
      <c r="Y25" s="6">
        <v>61.53846153846154</v>
      </c>
      <c r="Z25" t="s">
        <v>38</v>
      </c>
      <c r="AA25" t="s">
        <v>39</v>
      </c>
      <c r="AB25" t="s">
        <v>40</v>
      </c>
      <c r="AC25" s="8">
        <v>-5.0900000000000001E-2</v>
      </c>
    </row>
    <row r="26" spans="1:29" x14ac:dyDescent="0.3">
      <c r="A26" s="7">
        <v>25</v>
      </c>
      <c r="B26" s="1">
        <v>40545</v>
      </c>
      <c r="C26" s="7">
        <v>1</v>
      </c>
      <c r="D26" s="7">
        <v>0</v>
      </c>
      <c r="E26" t="b">
        <v>0</v>
      </c>
      <c r="F26" s="7">
        <v>0</v>
      </c>
      <c r="G26" s="7">
        <v>2</v>
      </c>
      <c r="H26" s="6">
        <v>0.46</v>
      </c>
      <c r="I26" s="8">
        <v>0.45450000000000002</v>
      </c>
      <c r="J26" s="6">
        <v>0.88</v>
      </c>
      <c r="K26" s="8">
        <v>0.29849999999999999</v>
      </c>
      <c r="L26" s="7">
        <v>4</v>
      </c>
      <c r="M26" s="7">
        <v>13</v>
      </c>
      <c r="N26" s="7">
        <v>17</v>
      </c>
      <c r="O26" t="s">
        <v>29</v>
      </c>
      <c r="P26" t="s">
        <v>52</v>
      </c>
      <c r="Q26" t="s">
        <v>41</v>
      </c>
      <c r="R26" t="s">
        <v>32</v>
      </c>
      <c r="S26" t="s">
        <v>48</v>
      </c>
      <c r="T26" t="s">
        <v>34</v>
      </c>
      <c r="U26" t="s">
        <v>46</v>
      </c>
      <c r="V26" t="s">
        <v>36</v>
      </c>
      <c r="W26" t="s">
        <v>37</v>
      </c>
      <c r="X26" s="6">
        <v>23.52941176470588</v>
      </c>
      <c r="Y26" s="6">
        <v>76.470588235294116</v>
      </c>
      <c r="Z26" t="s">
        <v>38</v>
      </c>
      <c r="AA26" t="s">
        <v>39</v>
      </c>
      <c r="AB26" t="s">
        <v>40</v>
      </c>
      <c r="AC26" s="8">
        <v>-5.5000000000000049E-3</v>
      </c>
    </row>
    <row r="27" spans="1:29" x14ac:dyDescent="0.3">
      <c r="A27" s="7">
        <v>26</v>
      </c>
      <c r="B27" s="1">
        <v>40545</v>
      </c>
      <c r="C27" s="7">
        <v>1</v>
      </c>
      <c r="D27" s="7">
        <v>1</v>
      </c>
      <c r="E27" t="b">
        <v>0</v>
      </c>
      <c r="F27" s="7">
        <v>0</v>
      </c>
      <c r="G27" s="7">
        <v>2</v>
      </c>
      <c r="H27" s="6">
        <v>0.44</v>
      </c>
      <c r="I27" s="8">
        <v>0.43940000000000001</v>
      </c>
      <c r="J27" s="6">
        <v>0.94</v>
      </c>
      <c r="K27" s="8">
        <v>0.25369999999999998</v>
      </c>
      <c r="L27" s="7">
        <v>1</v>
      </c>
      <c r="M27" s="7">
        <v>16</v>
      </c>
      <c r="N27" s="7">
        <v>17</v>
      </c>
      <c r="O27" t="s">
        <v>29</v>
      </c>
      <c r="P27" t="s">
        <v>52</v>
      </c>
      <c r="Q27" t="s">
        <v>41</v>
      </c>
      <c r="R27" t="s">
        <v>32</v>
      </c>
      <c r="S27" t="s">
        <v>45</v>
      </c>
      <c r="T27" t="s">
        <v>34</v>
      </c>
      <c r="U27" t="s">
        <v>46</v>
      </c>
      <c r="V27" t="s">
        <v>36</v>
      </c>
      <c r="W27" t="s">
        <v>37</v>
      </c>
      <c r="X27" s="6">
        <v>5.8823529411764701</v>
      </c>
      <c r="Y27" s="6">
        <v>94.117647058823522</v>
      </c>
      <c r="Z27" t="s">
        <v>38</v>
      </c>
      <c r="AA27" t="s">
        <v>39</v>
      </c>
      <c r="AB27" t="s">
        <v>40</v>
      </c>
      <c r="AC27" s="8">
        <v>-5.9999999999998943E-4</v>
      </c>
    </row>
    <row r="28" spans="1:29" x14ac:dyDescent="0.3">
      <c r="A28" s="7">
        <v>27</v>
      </c>
      <c r="B28" s="1">
        <v>40545</v>
      </c>
      <c r="C28" s="7">
        <v>1</v>
      </c>
      <c r="D28" s="7">
        <v>2</v>
      </c>
      <c r="E28" t="b">
        <v>0</v>
      </c>
      <c r="F28" s="7">
        <v>0</v>
      </c>
      <c r="G28" s="7">
        <v>2</v>
      </c>
      <c r="H28" s="6">
        <v>0.42</v>
      </c>
      <c r="I28" s="8">
        <v>0.42420000000000002</v>
      </c>
      <c r="J28" s="6">
        <v>1</v>
      </c>
      <c r="K28" s="8">
        <v>0.28360000000000002</v>
      </c>
      <c r="L28" s="7">
        <v>1</v>
      </c>
      <c r="M28" s="7">
        <v>8</v>
      </c>
      <c r="N28" s="7">
        <v>9</v>
      </c>
      <c r="O28" t="s">
        <v>29</v>
      </c>
      <c r="P28" t="s">
        <v>52</v>
      </c>
      <c r="Q28" t="s">
        <v>41</v>
      </c>
      <c r="R28" t="s">
        <v>32</v>
      </c>
      <c r="S28" t="s">
        <v>45</v>
      </c>
      <c r="T28" t="s">
        <v>34</v>
      </c>
      <c r="U28" t="s">
        <v>46</v>
      </c>
      <c r="V28" t="s">
        <v>36</v>
      </c>
      <c r="W28" t="s">
        <v>37</v>
      </c>
      <c r="X28" s="6">
        <v>11.111111111111111</v>
      </c>
      <c r="Y28" s="6">
        <v>88.888888888888886</v>
      </c>
      <c r="Z28" t="s">
        <v>38</v>
      </c>
      <c r="AA28" t="s">
        <v>39</v>
      </c>
      <c r="AB28" t="s">
        <v>40</v>
      </c>
      <c r="AC28" s="8">
        <v>4.200000000000037E-3</v>
      </c>
    </row>
    <row r="29" spans="1:29" x14ac:dyDescent="0.3">
      <c r="A29" s="7">
        <v>28</v>
      </c>
      <c r="B29" s="1">
        <v>40545</v>
      </c>
      <c r="C29" s="7">
        <v>1</v>
      </c>
      <c r="D29" s="7">
        <v>3</v>
      </c>
      <c r="E29" t="b">
        <v>0</v>
      </c>
      <c r="F29" s="7">
        <v>0</v>
      </c>
      <c r="G29" s="7">
        <v>2</v>
      </c>
      <c r="H29" s="6">
        <v>0.46</v>
      </c>
      <c r="I29" s="8">
        <v>0.45450000000000002</v>
      </c>
      <c r="J29" s="6">
        <v>0.94</v>
      </c>
      <c r="K29" s="8">
        <v>0.19400000000000001</v>
      </c>
      <c r="L29" s="7">
        <v>2</v>
      </c>
      <c r="M29" s="7">
        <v>4</v>
      </c>
      <c r="N29" s="7">
        <v>6</v>
      </c>
      <c r="O29" t="s">
        <v>29</v>
      </c>
      <c r="P29" t="s">
        <v>52</v>
      </c>
      <c r="Q29" t="s">
        <v>41</v>
      </c>
      <c r="R29" t="s">
        <v>32</v>
      </c>
      <c r="S29" t="s">
        <v>48</v>
      </c>
      <c r="T29" t="s">
        <v>34</v>
      </c>
      <c r="U29" t="s">
        <v>46</v>
      </c>
      <c r="V29" t="s">
        <v>36</v>
      </c>
      <c r="W29" t="s">
        <v>37</v>
      </c>
      <c r="X29" s="6">
        <v>33.333333333333329</v>
      </c>
      <c r="Y29" s="6">
        <v>66.666666666666657</v>
      </c>
      <c r="Z29" t="s">
        <v>38</v>
      </c>
      <c r="AA29" t="s">
        <v>39</v>
      </c>
      <c r="AB29" t="s">
        <v>40</v>
      </c>
      <c r="AC29" s="8">
        <v>-5.5000000000000049E-3</v>
      </c>
    </row>
    <row r="30" spans="1:29" x14ac:dyDescent="0.3">
      <c r="A30" s="7">
        <v>29</v>
      </c>
      <c r="B30" s="1">
        <v>40545</v>
      </c>
      <c r="C30" s="7">
        <v>1</v>
      </c>
      <c r="D30" s="7">
        <v>4</v>
      </c>
      <c r="E30" t="b">
        <v>0</v>
      </c>
      <c r="F30" s="7">
        <v>0</v>
      </c>
      <c r="G30" s="7">
        <v>2</v>
      </c>
      <c r="H30" s="6">
        <v>0.46</v>
      </c>
      <c r="I30" s="8">
        <v>0.45450000000000002</v>
      </c>
      <c r="J30" s="6">
        <v>0.94</v>
      </c>
      <c r="K30" s="8">
        <v>0.19400000000000001</v>
      </c>
      <c r="L30" s="7">
        <v>2</v>
      </c>
      <c r="M30" s="7">
        <v>1</v>
      </c>
      <c r="N30" s="7">
        <v>3</v>
      </c>
      <c r="O30" t="s">
        <v>29</v>
      </c>
      <c r="P30" t="s">
        <v>52</v>
      </c>
      <c r="Q30" t="s">
        <v>41</v>
      </c>
      <c r="R30" t="s">
        <v>32</v>
      </c>
      <c r="S30" t="s">
        <v>48</v>
      </c>
      <c r="T30" t="s">
        <v>34</v>
      </c>
      <c r="U30" t="s">
        <v>46</v>
      </c>
      <c r="V30" t="s">
        <v>36</v>
      </c>
      <c r="W30" t="s">
        <v>43</v>
      </c>
      <c r="X30" s="6">
        <v>66.666666666666657</v>
      </c>
      <c r="Y30" s="6">
        <v>33.333333333333329</v>
      </c>
      <c r="Z30" t="s">
        <v>38</v>
      </c>
      <c r="AA30" t="s">
        <v>39</v>
      </c>
      <c r="AB30" t="s">
        <v>40</v>
      </c>
      <c r="AC30" s="8">
        <v>-5.5000000000000049E-3</v>
      </c>
    </row>
    <row r="31" spans="1:29" x14ac:dyDescent="0.3">
      <c r="A31" s="7">
        <v>30</v>
      </c>
      <c r="B31" s="1">
        <v>40545</v>
      </c>
      <c r="C31" s="7">
        <v>1</v>
      </c>
      <c r="D31" s="7">
        <v>6</v>
      </c>
      <c r="E31" t="b">
        <v>0</v>
      </c>
      <c r="F31" s="7">
        <v>0</v>
      </c>
      <c r="G31" s="7">
        <v>3</v>
      </c>
      <c r="H31" s="6">
        <v>0.42</v>
      </c>
      <c r="I31" s="8">
        <v>0.42420000000000002</v>
      </c>
      <c r="J31" s="6">
        <v>0.77</v>
      </c>
      <c r="K31" s="8">
        <v>0.29849999999999999</v>
      </c>
      <c r="L31" s="7">
        <v>0</v>
      </c>
      <c r="M31" s="7">
        <v>2</v>
      </c>
      <c r="N31" s="7">
        <v>2</v>
      </c>
      <c r="O31" t="s">
        <v>29</v>
      </c>
      <c r="P31" t="s">
        <v>52</v>
      </c>
      <c r="Q31" t="s">
        <v>51</v>
      </c>
      <c r="R31" t="s">
        <v>42</v>
      </c>
      <c r="S31" t="s">
        <v>45</v>
      </c>
      <c r="T31" t="s">
        <v>34</v>
      </c>
      <c r="U31" t="s">
        <v>46</v>
      </c>
      <c r="V31" t="s">
        <v>36</v>
      </c>
      <c r="W31" t="s">
        <v>37</v>
      </c>
      <c r="X31" s="6">
        <v>0</v>
      </c>
      <c r="Y31" s="6">
        <v>100</v>
      </c>
      <c r="Z31" t="s">
        <v>38</v>
      </c>
      <c r="AA31" t="s">
        <v>39</v>
      </c>
      <c r="AB31" t="s">
        <v>40</v>
      </c>
      <c r="AC31" s="8">
        <v>4.200000000000037E-3</v>
      </c>
    </row>
    <row r="32" spans="1:29" x14ac:dyDescent="0.3">
      <c r="A32" s="7">
        <v>31</v>
      </c>
      <c r="B32" s="1">
        <v>40545</v>
      </c>
      <c r="C32" s="7">
        <v>1</v>
      </c>
      <c r="D32" s="7">
        <v>7</v>
      </c>
      <c r="E32" t="b">
        <v>0</v>
      </c>
      <c r="F32" s="7">
        <v>0</v>
      </c>
      <c r="G32" s="7">
        <v>2</v>
      </c>
      <c r="H32" s="6">
        <v>0.4</v>
      </c>
      <c r="I32" s="8">
        <v>0.40910000000000002</v>
      </c>
      <c r="J32" s="6">
        <v>0.76</v>
      </c>
      <c r="K32" s="8">
        <v>0.19400000000000001</v>
      </c>
      <c r="L32" s="7">
        <v>0</v>
      </c>
      <c r="M32" s="7">
        <v>1</v>
      </c>
      <c r="N32" s="7">
        <v>1</v>
      </c>
      <c r="O32" t="s">
        <v>29</v>
      </c>
      <c r="P32" t="s">
        <v>52</v>
      </c>
      <c r="Q32" t="s">
        <v>41</v>
      </c>
      <c r="R32" t="s">
        <v>42</v>
      </c>
      <c r="S32" t="s">
        <v>45</v>
      </c>
      <c r="T32" t="s">
        <v>34</v>
      </c>
      <c r="U32" t="s">
        <v>46</v>
      </c>
      <c r="V32" t="s">
        <v>36</v>
      </c>
      <c r="W32" t="s">
        <v>37</v>
      </c>
      <c r="X32" s="6">
        <v>0</v>
      </c>
      <c r="Y32" s="6">
        <v>100</v>
      </c>
      <c r="Z32" t="s">
        <v>40</v>
      </c>
      <c r="AA32" t="s">
        <v>39</v>
      </c>
      <c r="AB32" t="s">
        <v>40</v>
      </c>
      <c r="AC32" s="8">
        <v>9.099999999999997E-3</v>
      </c>
    </row>
    <row r="33" spans="1:29" x14ac:dyDescent="0.3">
      <c r="A33" s="7">
        <v>32</v>
      </c>
      <c r="B33" s="1">
        <v>40545</v>
      </c>
      <c r="C33" s="7">
        <v>1</v>
      </c>
      <c r="D33" s="7">
        <v>8</v>
      </c>
      <c r="E33" t="b">
        <v>0</v>
      </c>
      <c r="F33" s="7">
        <v>0</v>
      </c>
      <c r="G33" s="7">
        <v>3</v>
      </c>
      <c r="H33" s="6">
        <v>0.4</v>
      </c>
      <c r="I33" s="8">
        <v>0.40910000000000002</v>
      </c>
      <c r="J33" s="6">
        <v>0.71</v>
      </c>
      <c r="K33" s="8">
        <v>0.22389999999999999</v>
      </c>
      <c r="L33" s="7">
        <v>0</v>
      </c>
      <c r="M33" s="7">
        <v>8</v>
      </c>
      <c r="N33" s="7">
        <v>8</v>
      </c>
      <c r="O33" t="s">
        <v>29</v>
      </c>
      <c r="P33" t="s">
        <v>52</v>
      </c>
      <c r="Q33" t="s">
        <v>51</v>
      </c>
      <c r="R33" t="s">
        <v>42</v>
      </c>
      <c r="S33" t="s">
        <v>45</v>
      </c>
      <c r="T33" t="s">
        <v>34</v>
      </c>
      <c r="U33" t="s">
        <v>46</v>
      </c>
      <c r="V33" t="s">
        <v>36</v>
      </c>
      <c r="W33" t="s">
        <v>37</v>
      </c>
      <c r="X33" s="6">
        <v>0</v>
      </c>
      <c r="Y33" s="6">
        <v>100</v>
      </c>
      <c r="Z33" t="s">
        <v>40</v>
      </c>
      <c r="AA33" t="s">
        <v>39</v>
      </c>
      <c r="AB33" t="s">
        <v>40</v>
      </c>
      <c r="AC33" s="8">
        <v>9.099999999999997E-3</v>
      </c>
    </row>
    <row r="34" spans="1:29" x14ac:dyDescent="0.3">
      <c r="A34" s="7">
        <v>33</v>
      </c>
      <c r="B34" s="1">
        <v>40545</v>
      </c>
      <c r="C34" s="7">
        <v>1</v>
      </c>
      <c r="D34" s="7">
        <v>9</v>
      </c>
      <c r="E34" t="b">
        <v>0</v>
      </c>
      <c r="F34" s="7">
        <v>0</v>
      </c>
      <c r="G34" s="7">
        <v>2</v>
      </c>
      <c r="H34" s="6">
        <v>0.38</v>
      </c>
      <c r="I34" s="8">
        <v>0.40910000000000002</v>
      </c>
      <c r="J34" s="6">
        <v>0.76</v>
      </c>
      <c r="K34" s="8">
        <v>0.22389999999999999</v>
      </c>
      <c r="L34" s="7">
        <v>1</v>
      </c>
      <c r="M34" s="7">
        <v>19</v>
      </c>
      <c r="N34" s="7">
        <v>20</v>
      </c>
      <c r="O34" t="s">
        <v>29</v>
      </c>
      <c r="P34" t="s">
        <v>52</v>
      </c>
      <c r="Q34" t="s">
        <v>41</v>
      </c>
      <c r="R34" t="s">
        <v>42</v>
      </c>
      <c r="S34" t="s">
        <v>45</v>
      </c>
      <c r="T34" t="s">
        <v>34</v>
      </c>
      <c r="U34" t="s">
        <v>46</v>
      </c>
      <c r="V34" t="s">
        <v>36</v>
      </c>
      <c r="W34" t="s">
        <v>37</v>
      </c>
      <c r="X34" s="6">
        <v>5</v>
      </c>
      <c r="Y34" s="6">
        <v>95</v>
      </c>
      <c r="Z34" t="s">
        <v>40</v>
      </c>
      <c r="AA34" t="s">
        <v>39</v>
      </c>
      <c r="AB34" t="s">
        <v>40</v>
      </c>
      <c r="AC34" s="8">
        <v>2.9100000000000011E-2</v>
      </c>
    </row>
    <row r="35" spans="1:29" x14ac:dyDescent="0.3">
      <c r="A35" s="7">
        <v>34</v>
      </c>
      <c r="B35" s="1">
        <v>40545</v>
      </c>
      <c r="C35" s="7">
        <v>1</v>
      </c>
      <c r="D35" s="7">
        <v>10</v>
      </c>
      <c r="E35" t="b">
        <v>0</v>
      </c>
      <c r="F35" s="7">
        <v>0</v>
      </c>
      <c r="G35" s="7">
        <v>2</v>
      </c>
      <c r="H35" s="6">
        <v>0.36</v>
      </c>
      <c r="I35" s="8">
        <v>0.34849999999999998</v>
      </c>
      <c r="J35" s="6">
        <v>0.81</v>
      </c>
      <c r="K35" s="8">
        <v>0.22389999999999999</v>
      </c>
      <c r="L35" s="7">
        <v>7</v>
      </c>
      <c r="M35" s="7">
        <v>46</v>
      </c>
      <c r="N35" s="7">
        <v>53</v>
      </c>
      <c r="O35" t="s">
        <v>29</v>
      </c>
      <c r="P35" t="s">
        <v>52</v>
      </c>
      <c r="Q35" t="s">
        <v>41</v>
      </c>
      <c r="R35" t="s">
        <v>42</v>
      </c>
      <c r="S35" t="s">
        <v>45</v>
      </c>
      <c r="T35" t="s">
        <v>34</v>
      </c>
      <c r="U35" t="s">
        <v>46</v>
      </c>
      <c r="V35" t="s">
        <v>36</v>
      </c>
      <c r="W35" t="s">
        <v>37</v>
      </c>
      <c r="X35" s="6">
        <v>13.20754716981132</v>
      </c>
      <c r="Y35" s="6">
        <v>86.79245283018868</v>
      </c>
      <c r="Z35" t="s">
        <v>38</v>
      </c>
      <c r="AA35" t="s">
        <v>39</v>
      </c>
      <c r="AB35" t="s">
        <v>40</v>
      </c>
      <c r="AC35" s="8">
        <v>-1.150000000000001E-2</v>
      </c>
    </row>
    <row r="36" spans="1:29" x14ac:dyDescent="0.3">
      <c r="A36" s="7">
        <v>35</v>
      </c>
      <c r="B36" s="1">
        <v>40545</v>
      </c>
      <c r="C36" s="7">
        <v>1</v>
      </c>
      <c r="D36" s="7">
        <v>11</v>
      </c>
      <c r="E36" t="b">
        <v>0</v>
      </c>
      <c r="F36" s="7">
        <v>0</v>
      </c>
      <c r="G36" s="7">
        <v>2</v>
      </c>
      <c r="H36" s="6">
        <v>0.36</v>
      </c>
      <c r="I36" s="8">
        <v>0.33329999999999999</v>
      </c>
      <c r="J36" s="6">
        <v>0.71</v>
      </c>
      <c r="K36" s="8">
        <v>0.25369999999999998</v>
      </c>
      <c r="L36" s="7">
        <v>16</v>
      </c>
      <c r="M36" s="7">
        <v>54</v>
      </c>
      <c r="N36" s="7">
        <v>70</v>
      </c>
      <c r="O36" t="s">
        <v>29</v>
      </c>
      <c r="P36" t="s">
        <v>52</v>
      </c>
      <c r="Q36" t="s">
        <v>41</v>
      </c>
      <c r="R36" t="s">
        <v>42</v>
      </c>
      <c r="S36" t="s">
        <v>45</v>
      </c>
      <c r="T36" t="s">
        <v>34</v>
      </c>
      <c r="U36" t="s">
        <v>46</v>
      </c>
      <c r="V36" t="s">
        <v>36</v>
      </c>
      <c r="W36" t="s">
        <v>37</v>
      </c>
      <c r="X36" s="6">
        <v>22.857142857142861</v>
      </c>
      <c r="Y36" s="6">
        <v>77.142857142857153</v>
      </c>
      <c r="Z36" t="s">
        <v>38</v>
      </c>
      <c r="AA36" t="s">
        <v>39</v>
      </c>
      <c r="AB36" t="s">
        <v>40</v>
      </c>
      <c r="AC36" s="8">
        <v>-2.6700000000000002E-2</v>
      </c>
    </row>
    <row r="37" spans="1:29" x14ac:dyDescent="0.3">
      <c r="A37" s="7">
        <v>36</v>
      </c>
      <c r="B37" s="1">
        <v>40545</v>
      </c>
      <c r="C37" s="7">
        <v>1</v>
      </c>
      <c r="D37" s="7">
        <v>12</v>
      </c>
      <c r="E37" t="b">
        <v>0</v>
      </c>
      <c r="F37" s="7">
        <v>0</v>
      </c>
      <c r="G37" s="7">
        <v>2</v>
      </c>
      <c r="H37" s="6">
        <v>0.36</v>
      </c>
      <c r="I37" s="8">
        <v>0.33329999999999999</v>
      </c>
      <c r="J37" s="6">
        <v>0.66</v>
      </c>
      <c r="K37" s="8">
        <v>0.29849999999999999</v>
      </c>
      <c r="L37" s="7">
        <v>20</v>
      </c>
      <c r="M37" s="7">
        <v>73</v>
      </c>
      <c r="N37" s="7">
        <v>93</v>
      </c>
      <c r="O37" t="s">
        <v>29</v>
      </c>
      <c r="P37" t="s">
        <v>52</v>
      </c>
      <c r="Q37" t="s">
        <v>41</v>
      </c>
      <c r="R37" t="s">
        <v>47</v>
      </c>
      <c r="S37" t="s">
        <v>45</v>
      </c>
      <c r="T37" t="s">
        <v>49</v>
      </c>
      <c r="U37" t="s">
        <v>46</v>
      </c>
      <c r="V37" t="s">
        <v>36</v>
      </c>
      <c r="W37" t="s">
        <v>37</v>
      </c>
      <c r="X37" s="6">
        <v>21.50537634408602</v>
      </c>
      <c r="Y37" s="6">
        <v>78.494623655913969</v>
      </c>
      <c r="Z37" t="s">
        <v>38</v>
      </c>
      <c r="AA37" t="s">
        <v>39</v>
      </c>
      <c r="AB37" t="s">
        <v>40</v>
      </c>
      <c r="AC37" s="8">
        <v>-2.6700000000000002E-2</v>
      </c>
    </row>
    <row r="38" spans="1:29" x14ac:dyDescent="0.3">
      <c r="A38" s="7">
        <v>37</v>
      </c>
      <c r="B38" s="1">
        <v>40545</v>
      </c>
      <c r="C38" s="7">
        <v>1</v>
      </c>
      <c r="D38" s="7">
        <v>13</v>
      </c>
      <c r="E38" t="b">
        <v>0</v>
      </c>
      <c r="F38" s="7">
        <v>0</v>
      </c>
      <c r="G38" s="7">
        <v>2</v>
      </c>
      <c r="H38" s="6">
        <v>0.36</v>
      </c>
      <c r="I38" s="8">
        <v>0.34849999999999998</v>
      </c>
      <c r="J38" s="6">
        <v>0.66</v>
      </c>
      <c r="K38" s="8">
        <v>0.1343</v>
      </c>
      <c r="L38" s="7">
        <v>11</v>
      </c>
      <c r="M38" s="7">
        <v>64</v>
      </c>
      <c r="N38" s="7">
        <v>75</v>
      </c>
      <c r="O38" t="s">
        <v>29</v>
      </c>
      <c r="P38" t="s">
        <v>52</v>
      </c>
      <c r="Q38" t="s">
        <v>41</v>
      </c>
      <c r="R38" t="s">
        <v>47</v>
      </c>
      <c r="S38" t="s">
        <v>45</v>
      </c>
      <c r="T38" t="s">
        <v>49</v>
      </c>
      <c r="U38" t="s">
        <v>35</v>
      </c>
      <c r="V38" t="s">
        <v>36</v>
      </c>
      <c r="W38" t="s">
        <v>37</v>
      </c>
      <c r="X38" s="6">
        <v>14.66666666666667</v>
      </c>
      <c r="Y38" s="6">
        <v>85.333333333333343</v>
      </c>
      <c r="Z38" t="s">
        <v>38</v>
      </c>
      <c r="AA38" t="s">
        <v>39</v>
      </c>
      <c r="AB38" t="s">
        <v>40</v>
      </c>
      <c r="AC38" s="8">
        <v>-1.150000000000001E-2</v>
      </c>
    </row>
    <row r="39" spans="1:29" x14ac:dyDescent="0.3">
      <c r="A39" s="7">
        <v>38</v>
      </c>
      <c r="B39" s="1">
        <v>40545</v>
      </c>
      <c r="C39" s="7">
        <v>1</v>
      </c>
      <c r="D39" s="7">
        <v>14</v>
      </c>
      <c r="E39" t="b">
        <v>0</v>
      </c>
      <c r="F39" s="7">
        <v>0</v>
      </c>
      <c r="G39" s="7">
        <v>3</v>
      </c>
      <c r="H39" s="6">
        <v>0.36</v>
      </c>
      <c r="I39" s="8">
        <v>0.34849999999999998</v>
      </c>
      <c r="J39" s="6">
        <v>0.76</v>
      </c>
      <c r="K39" s="8">
        <v>0.19400000000000001</v>
      </c>
      <c r="L39" s="7">
        <v>4</v>
      </c>
      <c r="M39" s="7">
        <v>55</v>
      </c>
      <c r="N39" s="7">
        <v>59</v>
      </c>
      <c r="O39" t="s">
        <v>29</v>
      </c>
      <c r="P39" t="s">
        <v>52</v>
      </c>
      <c r="Q39" t="s">
        <v>51</v>
      </c>
      <c r="R39" t="s">
        <v>47</v>
      </c>
      <c r="S39" t="s">
        <v>45</v>
      </c>
      <c r="T39" t="s">
        <v>34</v>
      </c>
      <c r="U39" t="s">
        <v>46</v>
      </c>
      <c r="V39" t="s">
        <v>36</v>
      </c>
      <c r="W39" t="s">
        <v>37</v>
      </c>
      <c r="X39" s="6">
        <v>6.7796610169491522</v>
      </c>
      <c r="Y39" s="6">
        <v>93.220338983050837</v>
      </c>
      <c r="Z39" t="s">
        <v>38</v>
      </c>
      <c r="AA39" t="s">
        <v>39</v>
      </c>
      <c r="AB39" t="s">
        <v>40</v>
      </c>
      <c r="AC39" s="8">
        <v>-1.150000000000001E-2</v>
      </c>
    </row>
    <row r="40" spans="1:29" x14ac:dyDescent="0.3">
      <c r="A40" s="7">
        <v>39</v>
      </c>
      <c r="B40" s="1">
        <v>40545</v>
      </c>
      <c r="C40" s="7">
        <v>1</v>
      </c>
      <c r="D40" s="7">
        <v>15</v>
      </c>
      <c r="E40" t="b">
        <v>0</v>
      </c>
      <c r="F40" s="7">
        <v>0</v>
      </c>
      <c r="G40" s="7">
        <v>3</v>
      </c>
      <c r="H40" s="6">
        <v>0.34</v>
      </c>
      <c r="I40" s="8">
        <v>0.33329999999999999</v>
      </c>
      <c r="J40" s="6">
        <v>0.81</v>
      </c>
      <c r="K40" s="8">
        <v>0.16420000000000001</v>
      </c>
      <c r="L40" s="7">
        <v>19</v>
      </c>
      <c r="M40" s="7">
        <v>55</v>
      </c>
      <c r="N40" s="7">
        <v>74</v>
      </c>
      <c r="O40" t="s">
        <v>29</v>
      </c>
      <c r="P40" t="s">
        <v>52</v>
      </c>
      <c r="Q40" t="s">
        <v>51</v>
      </c>
      <c r="R40" t="s">
        <v>47</v>
      </c>
      <c r="S40" t="s">
        <v>44</v>
      </c>
      <c r="T40" t="s">
        <v>34</v>
      </c>
      <c r="U40" t="s">
        <v>46</v>
      </c>
      <c r="V40" t="s">
        <v>36</v>
      </c>
      <c r="W40" t="s">
        <v>37</v>
      </c>
      <c r="X40" s="6">
        <v>25.67567567567567</v>
      </c>
      <c r="Y40" s="6">
        <v>74.324324324324323</v>
      </c>
      <c r="Z40" t="s">
        <v>38</v>
      </c>
      <c r="AA40" t="s">
        <v>39</v>
      </c>
      <c r="AB40" t="s">
        <v>40</v>
      </c>
      <c r="AC40" s="8">
        <v>-6.7000000000000393E-3</v>
      </c>
    </row>
    <row r="41" spans="1:29" x14ac:dyDescent="0.3">
      <c r="A41" s="7">
        <v>40</v>
      </c>
      <c r="B41" s="1">
        <v>40545</v>
      </c>
      <c r="C41" s="7">
        <v>1</v>
      </c>
      <c r="D41" s="7">
        <v>16</v>
      </c>
      <c r="E41" t="b">
        <v>0</v>
      </c>
      <c r="F41" s="7">
        <v>0</v>
      </c>
      <c r="G41" s="7">
        <v>3</v>
      </c>
      <c r="H41" s="6">
        <v>0.34</v>
      </c>
      <c r="I41" s="8">
        <v>0.33329999999999999</v>
      </c>
      <c r="J41" s="6">
        <v>0.71</v>
      </c>
      <c r="K41" s="8">
        <v>0.16420000000000001</v>
      </c>
      <c r="L41" s="7">
        <v>9</v>
      </c>
      <c r="M41" s="7">
        <v>67</v>
      </c>
      <c r="N41" s="7">
        <v>76</v>
      </c>
      <c r="O41" t="s">
        <v>29</v>
      </c>
      <c r="P41" t="s">
        <v>52</v>
      </c>
      <c r="Q41" t="s">
        <v>51</v>
      </c>
      <c r="R41" t="s">
        <v>47</v>
      </c>
      <c r="S41" t="s">
        <v>44</v>
      </c>
      <c r="T41" t="s">
        <v>34</v>
      </c>
      <c r="U41" t="s">
        <v>46</v>
      </c>
      <c r="V41" t="s">
        <v>36</v>
      </c>
      <c r="W41" t="s">
        <v>37</v>
      </c>
      <c r="X41" s="6">
        <v>11.84210526315789</v>
      </c>
      <c r="Y41" s="6">
        <v>88.157894736842096</v>
      </c>
      <c r="Z41" t="s">
        <v>38</v>
      </c>
      <c r="AA41" t="s">
        <v>39</v>
      </c>
      <c r="AB41" t="s">
        <v>40</v>
      </c>
      <c r="AC41" s="8">
        <v>-6.7000000000000393E-3</v>
      </c>
    </row>
    <row r="42" spans="1:29" x14ac:dyDescent="0.3">
      <c r="A42" s="7">
        <v>41</v>
      </c>
      <c r="B42" s="1">
        <v>40545</v>
      </c>
      <c r="C42" s="7">
        <v>1</v>
      </c>
      <c r="D42" s="7">
        <v>17</v>
      </c>
      <c r="E42" t="b">
        <v>0</v>
      </c>
      <c r="F42" s="7">
        <v>0</v>
      </c>
      <c r="G42" s="7">
        <v>1</v>
      </c>
      <c r="H42" s="6">
        <v>0.34</v>
      </c>
      <c r="I42" s="8">
        <v>0.33329999999999999</v>
      </c>
      <c r="J42" s="6">
        <v>0.56999999999999995</v>
      </c>
      <c r="K42" s="8">
        <v>0.19400000000000001</v>
      </c>
      <c r="L42" s="7">
        <v>7</v>
      </c>
      <c r="M42" s="7">
        <v>58</v>
      </c>
      <c r="N42" s="7">
        <v>65</v>
      </c>
      <c r="O42" t="s">
        <v>29</v>
      </c>
      <c r="P42" t="s">
        <v>52</v>
      </c>
      <c r="Q42" t="s">
        <v>31</v>
      </c>
      <c r="R42" t="s">
        <v>50</v>
      </c>
      <c r="S42" t="s">
        <v>44</v>
      </c>
      <c r="T42" t="s">
        <v>49</v>
      </c>
      <c r="U42" t="s">
        <v>46</v>
      </c>
      <c r="V42" t="s">
        <v>36</v>
      </c>
      <c r="W42" t="s">
        <v>37</v>
      </c>
      <c r="X42" s="6">
        <v>10.76923076923077</v>
      </c>
      <c r="Y42" s="6">
        <v>89.230769230769241</v>
      </c>
      <c r="Z42" t="s">
        <v>40</v>
      </c>
      <c r="AA42" t="s">
        <v>39</v>
      </c>
      <c r="AB42" t="s">
        <v>40</v>
      </c>
      <c r="AC42" s="8">
        <v>-6.7000000000000393E-3</v>
      </c>
    </row>
    <row r="43" spans="1:29" x14ac:dyDescent="0.3">
      <c r="A43" s="7">
        <v>42</v>
      </c>
      <c r="B43" s="1">
        <v>40545</v>
      </c>
      <c r="C43" s="7">
        <v>1</v>
      </c>
      <c r="D43" s="7">
        <v>18</v>
      </c>
      <c r="E43" t="b">
        <v>0</v>
      </c>
      <c r="F43" s="7">
        <v>0</v>
      </c>
      <c r="G43" s="7">
        <v>2</v>
      </c>
      <c r="H43" s="6">
        <v>0.36</v>
      </c>
      <c r="I43" s="8">
        <v>0.33329999999999999</v>
      </c>
      <c r="J43" s="6">
        <v>0.46</v>
      </c>
      <c r="K43" s="8">
        <v>0.32840000000000003</v>
      </c>
      <c r="L43" s="7">
        <v>10</v>
      </c>
      <c r="M43" s="7">
        <v>43</v>
      </c>
      <c r="N43" s="7">
        <v>53</v>
      </c>
      <c r="O43" t="s">
        <v>29</v>
      </c>
      <c r="P43" t="s">
        <v>52</v>
      </c>
      <c r="Q43" t="s">
        <v>41</v>
      </c>
      <c r="R43" t="s">
        <v>50</v>
      </c>
      <c r="S43" t="s">
        <v>45</v>
      </c>
      <c r="T43" t="s">
        <v>49</v>
      </c>
      <c r="U43" t="s">
        <v>53</v>
      </c>
      <c r="V43" t="s">
        <v>36</v>
      </c>
      <c r="W43" t="s">
        <v>37</v>
      </c>
      <c r="X43" s="6">
        <v>18.867924528301891</v>
      </c>
      <c r="Y43" s="6">
        <v>81.132075471698116</v>
      </c>
      <c r="Z43" t="s">
        <v>40</v>
      </c>
      <c r="AA43" t="s">
        <v>39</v>
      </c>
      <c r="AB43" t="s">
        <v>40</v>
      </c>
      <c r="AC43" s="8">
        <v>-2.6700000000000002E-2</v>
      </c>
    </row>
    <row r="44" spans="1:29" x14ac:dyDescent="0.3">
      <c r="A44" s="7">
        <v>43</v>
      </c>
      <c r="B44" s="1">
        <v>40545</v>
      </c>
      <c r="C44" s="7">
        <v>1</v>
      </c>
      <c r="D44" s="7">
        <v>19</v>
      </c>
      <c r="E44" t="b">
        <v>0</v>
      </c>
      <c r="F44" s="7">
        <v>0</v>
      </c>
      <c r="G44" s="7">
        <v>1</v>
      </c>
      <c r="H44" s="6">
        <v>0.32</v>
      </c>
      <c r="I44" s="8">
        <v>0.28789999999999999</v>
      </c>
      <c r="J44" s="6">
        <v>0.42</v>
      </c>
      <c r="K44" s="8">
        <v>0.44779999999999998</v>
      </c>
      <c r="L44" s="7">
        <v>1</v>
      </c>
      <c r="M44" s="7">
        <v>29</v>
      </c>
      <c r="N44" s="7">
        <v>30</v>
      </c>
      <c r="O44" t="s">
        <v>29</v>
      </c>
      <c r="P44" t="s">
        <v>52</v>
      </c>
      <c r="Q44" t="s">
        <v>31</v>
      </c>
      <c r="R44" t="s">
        <v>50</v>
      </c>
      <c r="S44" t="s">
        <v>44</v>
      </c>
      <c r="T44" t="s">
        <v>49</v>
      </c>
      <c r="U44" t="s">
        <v>53</v>
      </c>
      <c r="V44" t="s">
        <v>36</v>
      </c>
      <c r="W44" t="s">
        <v>37</v>
      </c>
      <c r="X44" s="6">
        <v>3.333333333333333</v>
      </c>
      <c r="Y44" s="6">
        <v>96.666666666666671</v>
      </c>
      <c r="Z44" t="s">
        <v>40</v>
      </c>
      <c r="AA44" t="s">
        <v>39</v>
      </c>
      <c r="AB44" t="s">
        <v>40</v>
      </c>
      <c r="AC44" s="8">
        <v>-3.2100000000000017E-2</v>
      </c>
    </row>
    <row r="45" spans="1:29" x14ac:dyDescent="0.3">
      <c r="A45" s="7">
        <v>44</v>
      </c>
      <c r="B45" s="1">
        <v>40545</v>
      </c>
      <c r="C45" s="7">
        <v>1</v>
      </c>
      <c r="D45" s="7">
        <v>20</v>
      </c>
      <c r="E45" t="b">
        <v>0</v>
      </c>
      <c r="F45" s="7">
        <v>0</v>
      </c>
      <c r="G45" s="7">
        <v>1</v>
      </c>
      <c r="H45" s="6">
        <v>0.3</v>
      </c>
      <c r="I45" s="8">
        <v>0.28789999999999999</v>
      </c>
      <c r="J45" s="6">
        <v>0.39</v>
      </c>
      <c r="K45" s="8">
        <v>0.35820000000000002</v>
      </c>
      <c r="L45" s="7">
        <v>5</v>
      </c>
      <c r="M45" s="7">
        <v>17</v>
      </c>
      <c r="N45" s="7">
        <v>22</v>
      </c>
      <c r="O45" t="s">
        <v>29</v>
      </c>
      <c r="P45" t="s">
        <v>52</v>
      </c>
      <c r="Q45" t="s">
        <v>31</v>
      </c>
      <c r="R45" t="s">
        <v>50</v>
      </c>
      <c r="S45" t="s">
        <v>44</v>
      </c>
      <c r="T45" t="s">
        <v>39</v>
      </c>
      <c r="U45" t="s">
        <v>53</v>
      </c>
      <c r="V45" t="s">
        <v>36</v>
      </c>
      <c r="W45" t="s">
        <v>37</v>
      </c>
      <c r="X45" s="6">
        <v>22.72727272727273</v>
      </c>
      <c r="Y45" s="6">
        <v>77.272727272727266</v>
      </c>
      <c r="Z45" t="s">
        <v>38</v>
      </c>
      <c r="AA45" t="s">
        <v>39</v>
      </c>
      <c r="AB45" t="s">
        <v>40</v>
      </c>
      <c r="AC45" s="8">
        <v>-1.21E-2</v>
      </c>
    </row>
    <row r="46" spans="1:29" x14ac:dyDescent="0.3">
      <c r="A46" s="7">
        <v>45</v>
      </c>
      <c r="B46" s="1">
        <v>40545</v>
      </c>
      <c r="C46" s="7">
        <v>1</v>
      </c>
      <c r="D46" s="7">
        <v>21</v>
      </c>
      <c r="E46" t="b">
        <v>0</v>
      </c>
      <c r="F46" s="7">
        <v>0</v>
      </c>
      <c r="G46" s="7">
        <v>1</v>
      </c>
      <c r="H46" s="6">
        <v>0.26</v>
      </c>
      <c r="I46" s="8">
        <v>0.2273</v>
      </c>
      <c r="J46" s="6">
        <v>0.44</v>
      </c>
      <c r="K46" s="8">
        <v>0.32840000000000003</v>
      </c>
      <c r="L46" s="7">
        <v>11</v>
      </c>
      <c r="M46" s="7">
        <v>20</v>
      </c>
      <c r="N46" s="7">
        <v>31</v>
      </c>
      <c r="O46" t="s">
        <v>29</v>
      </c>
      <c r="P46" t="s">
        <v>52</v>
      </c>
      <c r="Q46" t="s">
        <v>31</v>
      </c>
      <c r="R46" t="s">
        <v>32</v>
      </c>
      <c r="S46" t="s">
        <v>44</v>
      </c>
      <c r="T46" t="s">
        <v>49</v>
      </c>
      <c r="U46" t="s">
        <v>53</v>
      </c>
      <c r="V46" t="s">
        <v>36</v>
      </c>
      <c r="W46" t="s">
        <v>37</v>
      </c>
      <c r="X46" s="6">
        <v>35.483870967741943</v>
      </c>
      <c r="Y46" s="6">
        <v>64.516129032258064</v>
      </c>
      <c r="Z46" t="s">
        <v>38</v>
      </c>
      <c r="AA46" t="s">
        <v>39</v>
      </c>
      <c r="AB46" t="s">
        <v>40</v>
      </c>
      <c r="AC46" s="8">
        <v>-3.2700000000000007E-2</v>
      </c>
    </row>
    <row r="47" spans="1:29" x14ac:dyDescent="0.3">
      <c r="A47" s="7">
        <v>46</v>
      </c>
      <c r="B47" s="1">
        <v>40545</v>
      </c>
      <c r="C47" s="7">
        <v>1</v>
      </c>
      <c r="D47" s="7">
        <v>22</v>
      </c>
      <c r="E47" t="b">
        <v>0</v>
      </c>
      <c r="F47" s="7">
        <v>0</v>
      </c>
      <c r="G47" s="7">
        <v>1</v>
      </c>
      <c r="H47" s="6">
        <v>0.24</v>
      </c>
      <c r="I47" s="8">
        <v>0.21210000000000001</v>
      </c>
      <c r="J47" s="6">
        <v>0.44</v>
      </c>
      <c r="K47" s="8">
        <v>0.29849999999999999</v>
      </c>
      <c r="L47" s="7">
        <v>0</v>
      </c>
      <c r="M47" s="7">
        <v>9</v>
      </c>
      <c r="N47" s="7">
        <v>9</v>
      </c>
      <c r="O47" t="s">
        <v>29</v>
      </c>
      <c r="P47" t="s">
        <v>52</v>
      </c>
      <c r="Q47" t="s">
        <v>31</v>
      </c>
      <c r="R47" t="s">
        <v>32</v>
      </c>
      <c r="S47" t="s">
        <v>33</v>
      </c>
      <c r="T47" t="s">
        <v>49</v>
      </c>
      <c r="U47" t="s">
        <v>46</v>
      </c>
      <c r="V47" t="s">
        <v>36</v>
      </c>
      <c r="W47" t="s">
        <v>37</v>
      </c>
      <c r="X47" s="6">
        <v>0</v>
      </c>
      <c r="Y47" s="6">
        <v>100</v>
      </c>
      <c r="Z47" t="s">
        <v>38</v>
      </c>
      <c r="AA47" t="s">
        <v>39</v>
      </c>
      <c r="AB47" t="s">
        <v>40</v>
      </c>
      <c r="AC47" s="8">
        <v>-2.789999999999998E-2</v>
      </c>
    </row>
    <row r="48" spans="1:29" x14ac:dyDescent="0.3">
      <c r="A48" s="7">
        <v>47</v>
      </c>
      <c r="B48" s="1">
        <v>40545</v>
      </c>
      <c r="C48" s="7">
        <v>1</v>
      </c>
      <c r="D48" s="7">
        <v>23</v>
      </c>
      <c r="E48" t="b">
        <v>0</v>
      </c>
      <c r="F48" s="7">
        <v>0</v>
      </c>
      <c r="G48" s="7">
        <v>1</v>
      </c>
      <c r="H48" s="6">
        <v>0.22</v>
      </c>
      <c r="I48" s="8">
        <v>0.2273</v>
      </c>
      <c r="J48" s="6">
        <v>0.47</v>
      </c>
      <c r="K48" s="8">
        <v>0.16420000000000001</v>
      </c>
      <c r="L48" s="7">
        <v>0</v>
      </c>
      <c r="M48" s="7">
        <v>8</v>
      </c>
      <c r="N48" s="7">
        <v>8</v>
      </c>
      <c r="O48" t="s">
        <v>29</v>
      </c>
      <c r="P48" t="s">
        <v>52</v>
      </c>
      <c r="Q48" t="s">
        <v>31</v>
      </c>
      <c r="R48" t="s">
        <v>32</v>
      </c>
      <c r="S48" t="s">
        <v>33</v>
      </c>
      <c r="T48" t="s">
        <v>49</v>
      </c>
      <c r="U48" t="s">
        <v>46</v>
      </c>
      <c r="V48" t="s">
        <v>36</v>
      </c>
      <c r="W48" t="s">
        <v>37</v>
      </c>
      <c r="X48" s="6">
        <v>0</v>
      </c>
      <c r="Y48" s="6">
        <v>100</v>
      </c>
      <c r="Z48" t="s">
        <v>38</v>
      </c>
      <c r="AA48" t="s">
        <v>39</v>
      </c>
      <c r="AB48" t="s">
        <v>40</v>
      </c>
      <c r="AC48" s="8">
        <v>7.3000000000000009E-3</v>
      </c>
    </row>
    <row r="49" spans="1:29" x14ac:dyDescent="0.3">
      <c r="A49" s="7">
        <v>48</v>
      </c>
      <c r="B49" s="1">
        <v>40546</v>
      </c>
      <c r="C49" s="7">
        <v>1</v>
      </c>
      <c r="D49" s="7">
        <v>0</v>
      </c>
      <c r="E49" t="b">
        <v>0</v>
      </c>
      <c r="F49" s="7">
        <v>1</v>
      </c>
      <c r="G49" s="7">
        <v>1</v>
      </c>
      <c r="H49" s="6">
        <v>0.22</v>
      </c>
      <c r="I49" s="8">
        <v>0.19700000000000001</v>
      </c>
      <c r="J49" s="6">
        <v>0.44</v>
      </c>
      <c r="K49" s="8">
        <v>0.35820000000000002</v>
      </c>
      <c r="L49" s="7">
        <v>0</v>
      </c>
      <c r="M49" s="7">
        <v>5</v>
      </c>
      <c r="N49" s="7">
        <v>5</v>
      </c>
      <c r="O49" t="s">
        <v>29</v>
      </c>
      <c r="P49" t="s">
        <v>54</v>
      </c>
      <c r="Q49" t="s">
        <v>31</v>
      </c>
      <c r="R49" t="s">
        <v>32</v>
      </c>
      <c r="S49" t="s">
        <v>33</v>
      </c>
      <c r="T49" t="s">
        <v>49</v>
      </c>
      <c r="U49" t="s">
        <v>53</v>
      </c>
      <c r="V49" t="s">
        <v>36</v>
      </c>
      <c r="W49" t="s">
        <v>37</v>
      </c>
      <c r="X49" s="6">
        <v>0</v>
      </c>
      <c r="Y49" s="6">
        <v>100</v>
      </c>
      <c r="Z49" t="s">
        <v>38</v>
      </c>
      <c r="AA49" t="s">
        <v>39</v>
      </c>
      <c r="AB49" t="s">
        <v>38</v>
      </c>
      <c r="AC49" s="8">
        <v>-2.2999999999999989E-2</v>
      </c>
    </row>
    <row r="50" spans="1:29" x14ac:dyDescent="0.3">
      <c r="A50" s="7">
        <v>49</v>
      </c>
      <c r="B50" s="1">
        <v>40546</v>
      </c>
      <c r="C50" s="7">
        <v>1</v>
      </c>
      <c r="D50" s="7">
        <v>1</v>
      </c>
      <c r="E50" t="b">
        <v>0</v>
      </c>
      <c r="F50" s="7">
        <v>1</v>
      </c>
      <c r="G50" s="7">
        <v>1</v>
      </c>
      <c r="H50" s="6">
        <v>0.2</v>
      </c>
      <c r="I50" s="8">
        <v>0.19700000000000001</v>
      </c>
      <c r="J50" s="6">
        <v>0.44</v>
      </c>
      <c r="K50" s="8">
        <v>0.41789999999999999</v>
      </c>
      <c r="L50" s="7">
        <v>0</v>
      </c>
      <c r="M50" s="7">
        <v>2</v>
      </c>
      <c r="N50" s="7">
        <v>2</v>
      </c>
      <c r="O50" t="s">
        <v>29</v>
      </c>
      <c r="P50" t="s">
        <v>54</v>
      </c>
      <c r="Q50" t="s">
        <v>31</v>
      </c>
      <c r="R50" t="s">
        <v>32</v>
      </c>
      <c r="S50" t="s">
        <v>33</v>
      </c>
      <c r="T50" t="s">
        <v>49</v>
      </c>
      <c r="U50" t="s">
        <v>53</v>
      </c>
      <c r="V50" t="s">
        <v>36</v>
      </c>
      <c r="W50" t="s">
        <v>37</v>
      </c>
      <c r="X50" s="6">
        <v>0</v>
      </c>
      <c r="Y50" s="6">
        <v>100</v>
      </c>
      <c r="Z50" t="s">
        <v>38</v>
      </c>
      <c r="AA50" t="s">
        <v>39</v>
      </c>
      <c r="AB50" t="s">
        <v>38</v>
      </c>
      <c r="AC50" s="8">
        <v>-3.0000000000000031E-3</v>
      </c>
    </row>
    <row r="51" spans="1:29" x14ac:dyDescent="0.3">
      <c r="A51" s="7">
        <v>50</v>
      </c>
      <c r="B51" s="1">
        <v>40546</v>
      </c>
      <c r="C51" s="7">
        <v>1</v>
      </c>
      <c r="D51" s="7">
        <v>4</v>
      </c>
      <c r="E51" t="b">
        <v>0</v>
      </c>
      <c r="F51" s="7">
        <v>1</v>
      </c>
      <c r="G51" s="7">
        <v>1</v>
      </c>
      <c r="H51" s="6">
        <v>0.16</v>
      </c>
      <c r="I51" s="8">
        <v>0.13639999999999999</v>
      </c>
      <c r="J51" s="6">
        <v>0.47</v>
      </c>
      <c r="K51" s="8">
        <v>0.3881</v>
      </c>
      <c r="L51" s="7">
        <v>0</v>
      </c>
      <c r="M51" s="7">
        <v>1</v>
      </c>
      <c r="N51" s="7">
        <v>1</v>
      </c>
      <c r="O51" t="s">
        <v>29</v>
      </c>
      <c r="P51" t="s">
        <v>54</v>
      </c>
      <c r="Q51" t="s">
        <v>31</v>
      </c>
      <c r="R51" t="s">
        <v>32</v>
      </c>
      <c r="S51" t="s">
        <v>33</v>
      </c>
      <c r="T51" t="s">
        <v>49</v>
      </c>
      <c r="U51" t="s">
        <v>53</v>
      </c>
      <c r="V51" t="s">
        <v>36</v>
      </c>
      <c r="W51" t="s">
        <v>37</v>
      </c>
      <c r="X51" s="6">
        <v>0</v>
      </c>
      <c r="Y51" s="6">
        <v>100</v>
      </c>
      <c r="Z51" t="s">
        <v>38</v>
      </c>
      <c r="AA51" t="s">
        <v>39</v>
      </c>
      <c r="AB51" t="s">
        <v>38</v>
      </c>
      <c r="AC51" s="8">
        <v>-2.360000000000001E-2</v>
      </c>
    </row>
    <row r="52" spans="1:29" x14ac:dyDescent="0.3">
      <c r="A52" s="7">
        <v>51</v>
      </c>
      <c r="B52" s="1">
        <v>40546</v>
      </c>
      <c r="C52" s="7">
        <v>1</v>
      </c>
      <c r="D52" s="7">
        <v>5</v>
      </c>
      <c r="E52" t="b">
        <v>0</v>
      </c>
      <c r="F52" s="7">
        <v>1</v>
      </c>
      <c r="G52" s="7">
        <v>1</v>
      </c>
      <c r="H52" s="6">
        <v>0.16</v>
      </c>
      <c r="I52" s="8">
        <v>0.13639999999999999</v>
      </c>
      <c r="J52" s="6">
        <v>0.47</v>
      </c>
      <c r="K52" s="8">
        <v>0.28360000000000002</v>
      </c>
      <c r="L52" s="7">
        <v>0</v>
      </c>
      <c r="M52" s="7">
        <v>3</v>
      </c>
      <c r="N52" s="7">
        <v>3</v>
      </c>
      <c r="O52" t="s">
        <v>29</v>
      </c>
      <c r="P52" t="s">
        <v>54</v>
      </c>
      <c r="Q52" t="s">
        <v>31</v>
      </c>
      <c r="R52" t="s">
        <v>32</v>
      </c>
      <c r="S52" t="s">
        <v>33</v>
      </c>
      <c r="T52" t="s">
        <v>49</v>
      </c>
      <c r="U52" t="s">
        <v>46</v>
      </c>
      <c r="V52" t="s">
        <v>36</v>
      </c>
      <c r="W52" t="s">
        <v>37</v>
      </c>
      <c r="X52" s="6">
        <v>0</v>
      </c>
      <c r="Y52" s="6">
        <v>100</v>
      </c>
      <c r="Z52" t="s">
        <v>38</v>
      </c>
      <c r="AA52" t="s">
        <v>39</v>
      </c>
      <c r="AB52" t="s">
        <v>38</v>
      </c>
      <c r="AC52" s="8">
        <v>-2.360000000000001E-2</v>
      </c>
    </row>
    <row r="53" spans="1:29" x14ac:dyDescent="0.3">
      <c r="A53" s="7">
        <v>52</v>
      </c>
      <c r="B53" s="1">
        <v>40546</v>
      </c>
      <c r="C53" s="7">
        <v>1</v>
      </c>
      <c r="D53" s="7">
        <v>6</v>
      </c>
      <c r="E53" t="b">
        <v>0</v>
      </c>
      <c r="F53" s="7">
        <v>1</v>
      </c>
      <c r="G53" s="7">
        <v>1</v>
      </c>
      <c r="H53" s="6">
        <v>0.14000000000000001</v>
      </c>
      <c r="I53" s="8">
        <v>0.1061</v>
      </c>
      <c r="J53" s="6">
        <v>0.5</v>
      </c>
      <c r="K53" s="8">
        <v>0.3881</v>
      </c>
      <c r="L53" s="7">
        <v>0</v>
      </c>
      <c r="M53" s="7">
        <v>30</v>
      </c>
      <c r="N53" s="7">
        <v>30</v>
      </c>
      <c r="O53" t="s">
        <v>29</v>
      </c>
      <c r="P53" t="s">
        <v>54</v>
      </c>
      <c r="Q53" t="s">
        <v>31</v>
      </c>
      <c r="R53" t="s">
        <v>42</v>
      </c>
      <c r="S53" t="s">
        <v>55</v>
      </c>
      <c r="T53" t="s">
        <v>49</v>
      </c>
      <c r="U53" t="s">
        <v>53</v>
      </c>
      <c r="V53" t="s">
        <v>36</v>
      </c>
      <c r="W53" t="s">
        <v>37</v>
      </c>
      <c r="X53" s="6">
        <v>0</v>
      </c>
      <c r="Y53" s="6">
        <v>100</v>
      </c>
      <c r="Z53" t="s">
        <v>38</v>
      </c>
      <c r="AA53" t="s">
        <v>39</v>
      </c>
      <c r="AB53" t="s">
        <v>38</v>
      </c>
      <c r="AC53" s="8">
        <v>-3.3900000000000013E-2</v>
      </c>
    </row>
    <row r="54" spans="1:29" x14ac:dyDescent="0.3">
      <c r="A54" s="7">
        <v>53</v>
      </c>
      <c r="B54" s="1">
        <v>40546</v>
      </c>
      <c r="C54" s="7">
        <v>1</v>
      </c>
      <c r="D54" s="7">
        <v>7</v>
      </c>
      <c r="E54" t="b">
        <v>0</v>
      </c>
      <c r="F54" s="7">
        <v>1</v>
      </c>
      <c r="G54" s="7">
        <v>1</v>
      </c>
      <c r="H54" s="6">
        <v>0.14000000000000001</v>
      </c>
      <c r="I54" s="8">
        <v>0.13639999999999999</v>
      </c>
      <c r="J54" s="6">
        <v>0.5</v>
      </c>
      <c r="K54" s="8">
        <v>0.19400000000000001</v>
      </c>
      <c r="L54" s="7">
        <v>1</v>
      </c>
      <c r="M54" s="7">
        <v>63</v>
      </c>
      <c r="N54" s="7">
        <v>64</v>
      </c>
      <c r="O54" t="s">
        <v>29</v>
      </c>
      <c r="P54" t="s">
        <v>54</v>
      </c>
      <c r="Q54" t="s">
        <v>31</v>
      </c>
      <c r="R54" t="s">
        <v>42</v>
      </c>
      <c r="S54" t="s">
        <v>55</v>
      </c>
      <c r="T54" t="s">
        <v>49</v>
      </c>
      <c r="U54" t="s">
        <v>46</v>
      </c>
      <c r="V54" t="s">
        <v>36</v>
      </c>
      <c r="W54" t="s">
        <v>37</v>
      </c>
      <c r="X54" s="6">
        <v>1.5625</v>
      </c>
      <c r="Y54" s="6">
        <v>98.4375</v>
      </c>
      <c r="Z54" t="s">
        <v>40</v>
      </c>
      <c r="AA54" t="s">
        <v>39</v>
      </c>
      <c r="AB54" t="s">
        <v>38</v>
      </c>
      <c r="AC54" s="8">
        <v>-3.6000000000000199E-3</v>
      </c>
    </row>
    <row r="55" spans="1:29" x14ac:dyDescent="0.3">
      <c r="A55" s="7">
        <v>54</v>
      </c>
      <c r="B55" s="1">
        <v>40546</v>
      </c>
      <c r="C55" s="7">
        <v>1</v>
      </c>
      <c r="D55" s="7">
        <v>8</v>
      </c>
      <c r="E55" t="b">
        <v>0</v>
      </c>
      <c r="F55" s="7">
        <v>1</v>
      </c>
      <c r="G55" s="7">
        <v>1</v>
      </c>
      <c r="H55" s="6">
        <v>0.14000000000000001</v>
      </c>
      <c r="I55" s="8">
        <v>0.1212</v>
      </c>
      <c r="J55" s="6">
        <v>0.5</v>
      </c>
      <c r="K55" s="8">
        <v>0.28360000000000002</v>
      </c>
      <c r="L55" s="7">
        <v>1</v>
      </c>
      <c r="M55" s="7">
        <v>153</v>
      </c>
      <c r="N55" s="7">
        <v>154</v>
      </c>
      <c r="O55" t="s">
        <v>29</v>
      </c>
      <c r="P55" t="s">
        <v>54</v>
      </c>
      <c r="Q55" t="s">
        <v>31</v>
      </c>
      <c r="R55" t="s">
        <v>42</v>
      </c>
      <c r="S55" t="s">
        <v>55</v>
      </c>
      <c r="T55" t="s">
        <v>49</v>
      </c>
      <c r="U55" t="s">
        <v>46</v>
      </c>
      <c r="V55" t="s">
        <v>36</v>
      </c>
      <c r="W55" t="s">
        <v>37</v>
      </c>
      <c r="X55" s="6">
        <v>0.64935064935064934</v>
      </c>
      <c r="Y55" s="6">
        <v>99.350649350649363</v>
      </c>
      <c r="Z55" t="s">
        <v>40</v>
      </c>
      <c r="AA55" t="s">
        <v>49</v>
      </c>
      <c r="AB55" t="s">
        <v>38</v>
      </c>
      <c r="AC55" s="8">
        <v>-1.8800000000000011E-2</v>
      </c>
    </row>
    <row r="56" spans="1:29" x14ac:dyDescent="0.3">
      <c r="A56" s="7">
        <v>55</v>
      </c>
      <c r="B56" s="1">
        <v>40546</v>
      </c>
      <c r="C56" s="7">
        <v>1</v>
      </c>
      <c r="D56" s="7">
        <v>9</v>
      </c>
      <c r="E56" t="b">
        <v>0</v>
      </c>
      <c r="F56" s="7">
        <v>1</v>
      </c>
      <c r="G56" s="7">
        <v>1</v>
      </c>
      <c r="H56" s="6">
        <v>0.16</v>
      </c>
      <c r="I56" s="8">
        <v>0.13639999999999999</v>
      </c>
      <c r="J56" s="6">
        <v>0.43</v>
      </c>
      <c r="K56" s="8">
        <v>0.3881</v>
      </c>
      <c r="L56" s="7">
        <v>7</v>
      </c>
      <c r="M56" s="7">
        <v>81</v>
      </c>
      <c r="N56" s="7">
        <v>88</v>
      </c>
      <c r="O56" t="s">
        <v>29</v>
      </c>
      <c r="P56" t="s">
        <v>54</v>
      </c>
      <c r="Q56" t="s">
        <v>31</v>
      </c>
      <c r="R56" t="s">
        <v>42</v>
      </c>
      <c r="S56" t="s">
        <v>33</v>
      </c>
      <c r="T56" t="s">
        <v>49</v>
      </c>
      <c r="U56" t="s">
        <v>53</v>
      </c>
      <c r="V56" t="s">
        <v>36</v>
      </c>
      <c r="W56" t="s">
        <v>37</v>
      </c>
      <c r="X56" s="6">
        <v>7.9545454545454541</v>
      </c>
      <c r="Y56" s="6">
        <v>92.045454545454547</v>
      </c>
      <c r="Z56" t="s">
        <v>40</v>
      </c>
      <c r="AA56" t="s">
        <v>39</v>
      </c>
      <c r="AB56" t="s">
        <v>38</v>
      </c>
      <c r="AC56" s="8">
        <v>-2.360000000000001E-2</v>
      </c>
    </row>
    <row r="57" spans="1:29" x14ac:dyDescent="0.3">
      <c r="A57" s="7">
        <v>56</v>
      </c>
      <c r="B57" s="1">
        <v>40546</v>
      </c>
      <c r="C57" s="7">
        <v>1</v>
      </c>
      <c r="D57" s="7">
        <v>10</v>
      </c>
      <c r="E57" t="b">
        <v>0</v>
      </c>
      <c r="F57" s="7">
        <v>1</v>
      </c>
      <c r="G57" s="7">
        <v>1</v>
      </c>
      <c r="H57" s="6">
        <v>0.18</v>
      </c>
      <c r="I57" s="8">
        <v>0.16669999999999999</v>
      </c>
      <c r="J57" s="6">
        <v>0.43</v>
      </c>
      <c r="K57" s="8">
        <v>0.25369999999999998</v>
      </c>
      <c r="L57" s="7">
        <v>11</v>
      </c>
      <c r="M57" s="7">
        <v>33</v>
      </c>
      <c r="N57" s="7">
        <v>44</v>
      </c>
      <c r="O57" t="s">
        <v>29</v>
      </c>
      <c r="P57" t="s">
        <v>54</v>
      </c>
      <c r="Q57" t="s">
        <v>31</v>
      </c>
      <c r="R57" t="s">
        <v>42</v>
      </c>
      <c r="S57" t="s">
        <v>33</v>
      </c>
      <c r="T57" t="s">
        <v>49</v>
      </c>
      <c r="U57" t="s">
        <v>46</v>
      </c>
      <c r="V57" t="s">
        <v>36</v>
      </c>
      <c r="W57" t="s">
        <v>37</v>
      </c>
      <c r="X57" s="6">
        <v>25</v>
      </c>
      <c r="Y57" s="6">
        <v>75</v>
      </c>
      <c r="Z57" t="s">
        <v>38</v>
      </c>
      <c r="AA57" t="s">
        <v>39</v>
      </c>
      <c r="AB57" t="s">
        <v>38</v>
      </c>
      <c r="AC57" s="8">
        <v>-1.330000000000001E-2</v>
      </c>
    </row>
    <row r="58" spans="1:29" x14ac:dyDescent="0.3">
      <c r="A58" s="7">
        <v>57</v>
      </c>
      <c r="B58" s="1">
        <v>40546</v>
      </c>
      <c r="C58" s="7">
        <v>1</v>
      </c>
      <c r="D58" s="7">
        <v>11</v>
      </c>
      <c r="E58" t="b">
        <v>0</v>
      </c>
      <c r="F58" s="7">
        <v>1</v>
      </c>
      <c r="G58" s="7">
        <v>1</v>
      </c>
      <c r="H58" s="6">
        <v>0.2</v>
      </c>
      <c r="I58" s="8">
        <v>0.18179999999999999</v>
      </c>
      <c r="J58" s="6">
        <v>0.4</v>
      </c>
      <c r="K58" s="8">
        <v>0.32840000000000003</v>
      </c>
      <c r="L58" s="7">
        <v>10</v>
      </c>
      <c r="M58" s="7">
        <v>41</v>
      </c>
      <c r="N58" s="7">
        <v>51</v>
      </c>
      <c r="O58" t="s">
        <v>29</v>
      </c>
      <c r="P58" t="s">
        <v>54</v>
      </c>
      <c r="Q58" t="s">
        <v>31</v>
      </c>
      <c r="R58" t="s">
        <v>42</v>
      </c>
      <c r="S58" t="s">
        <v>33</v>
      </c>
      <c r="T58" t="s">
        <v>49</v>
      </c>
      <c r="U58" t="s">
        <v>53</v>
      </c>
      <c r="V58" t="s">
        <v>36</v>
      </c>
      <c r="W58" t="s">
        <v>37</v>
      </c>
      <c r="X58" s="6">
        <v>19.6078431372549</v>
      </c>
      <c r="Y58" s="6">
        <v>80.392156862745097</v>
      </c>
      <c r="Z58" t="s">
        <v>38</v>
      </c>
      <c r="AA58" t="s">
        <v>39</v>
      </c>
      <c r="AB58" t="s">
        <v>38</v>
      </c>
      <c r="AC58" s="8">
        <v>-1.8200000000000022E-2</v>
      </c>
    </row>
    <row r="59" spans="1:29" x14ac:dyDescent="0.3">
      <c r="A59" s="7">
        <v>58</v>
      </c>
      <c r="B59" s="1">
        <v>40546</v>
      </c>
      <c r="C59" s="7">
        <v>1</v>
      </c>
      <c r="D59" s="7">
        <v>12</v>
      </c>
      <c r="E59" t="b">
        <v>0</v>
      </c>
      <c r="F59" s="7">
        <v>1</v>
      </c>
      <c r="G59" s="7">
        <v>1</v>
      </c>
      <c r="H59" s="6">
        <v>0.22</v>
      </c>
      <c r="I59" s="8">
        <v>0.21210000000000001</v>
      </c>
      <c r="J59" s="6">
        <v>0.35</v>
      </c>
      <c r="K59" s="8">
        <v>0.29849999999999999</v>
      </c>
      <c r="L59" s="7">
        <v>13</v>
      </c>
      <c r="M59" s="7">
        <v>48</v>
      </c>
      <c r="N59" s="7">
        <v>61</v>
      </c>
      <c r="O59" t="s">
        <v>29</v>
      </c>
      <c r="P59" t="s">
        <v>54</v>
      </c>
      <c r="Q59" t="s">
        <v>31</v>
      </c>
      <c r="R59" t="s">
        <v>47</v>
      </c>
      <c r="S59" t="s">
        <v>33</v>
      </c>
      <c r="T59" t="s">
        <v>39</v>
      </c>
      <c r="U59" t="s">
        <v>46</v>
      </c>
      <c r="V59" t="s">
        <v>36</v>
      </c>
      <c r="W59" t="s">
        <v>37</v>
      </c>
      <c r="X59" s="6">
        <v>21.31147540983606</v>
      </c>
      <c r="Y59" s="6">
        <v>78.688524590163937</v>
      </c>
      <c r="Z59" t="s">
        <v>38</v>
      </c>
      <c r="AA59" t="s">
        <v>39</v>
      </c>
      <c r="AB59" t="s">
        <v>38</v>
      </c>
      <c r="AC59" s="8">
        <v>-7.8999999999999904E-3</v>
      </c>
    </row>
    <row r="60" spans="1:29" x14ac:dyDescent="0.3">
      <c r="A60" s="7">
        <v>59</v>
      </c>
      <c r="B60" s="1">
        <v>40546</v>
      </c>
      <c r="C60" s="7">
        <v>1</v>
      </c>
      <c r="D60" s="7">
        <v>13</v>
      </c>
      <c r="E60" t="b">
        <v>0</v>
      </c>
      <c r="F60" s="7">
        <v>1</v>
      </c>
      <c r="G60" s="7">
        <v>1</v>
      </c>
      <c r="H60" s="6">
        <v>0.24</v>
      </c>
      <c r="I60" s="8">
        <v>0.21210000000000001</v>
      </c>
      <c r="J60" s="6">
        <v>0.35</v>
      </c>
      <c r="K60" s="8">
        <v>0.28360000000000002</v>
      </c>
      <c r="L60" s="7">
        <v>8</v>
      </c>
      <c r="M60" s="7">
        <v>53</v>
      </c>
      <c r="N60" s="7">
        <v>61</v>
      </c>
      <c r="O60" t="s">
        <v>29</v>
      </c>
      <c r="P60" t="s">
        <v>54</v>
      </c>
      <c r="Q60" t="s">
        <v>31</v>
      </c>
      <c r="R60" t="s">
        <v>47</v>
      </c>
      <c r="S60" t="s">
        <v>33</v>
      </c>
      <c r="T60" t="s">
        <v>39</v>
      </c>
      <c r="U60" t="s">
        <v>46</v>
      </c>
      <c r="V60" t="s">
        <v>36</v>
      </c>
      <c r="W60" t="s">
        <v>37</v>
      </c>
      <c r="X60" s="6">
        <v>13.11475409836066</v>
      </c>
      <c r="Y60" s="6">
        <v>86.885245901639337</v>
      </c>
      <c r="Z60" t="s">
        <v>38</v>
      </c>
      <c r="AA60" t="s">
        <v>39</v>
      </c>
      <c r="AB60" t="s">
        <v>38</v>
      </c>
      <c r="AC60" s="8">
        <v>-2.789999999999998E-2</v>
      </c>
    </row>
    <row r="61" spans="1:29" x14ac:dyDescent="0.3">
      <c r="A61" s="7">
        <v>60</v>
      </c>
      <c r="B61" s="1">
        <v>40546</v>
      </c>
      <c r="C61" s="7">
        <v>1</v>
      </c>
      <c r="D61" s="7">
        <v>14</v>
      </c>
      <c r="E61" t="b">
        <v>0</v>
      </c>
      <c r="F61" s="7">
        <v>1</v>
      </c>
      <c r="G61" s="7">
        <v>1</v>
      </c>
      <c r="H61" s="6">
        <v>0.26</v>
      </c>
      <c r="I61" s="8">
        <v>0.2424</v>
      </c>
      <c r="J61" s="6">
        <v>0.3</v>
      </c>
      <c r="K61" s="8">
        <v>0.28360000000000002</v>
      </c>
      <c r="L61" s="7">
        <v>11</v>
      </c>
      <c r="M61" s="7">
        <v>66</v>
      </c>
      <c r="N61" s="7">
        <v>77</v>
      </c>
      <c r="O61" t="s">
        <v>29</v>
      </c>
      <c r="P61" t="s">
        <v>54</v>
      </c>
      <c r="Q61" t="s">
        <v>31</v>
      </c>
      <c r="R61" t="s">
        <v>47</v>
      </c>
      <c r="S61" t="s">
        <v>44</v>
      </c>
      <c r="T61" t="s">
        <v>39</v>
      </c>
      <c r="U61" t="s">
        <v>46</v>
      </c>
      <c r="V61" t="s">
        <v>36</v>
      </c>
      <c r="W61" t="s">
        <v>37</v>
      </c>
      <c r="X61" s="6">
        <v>14.285714285714279</v>
      </c>
      <c r="Y61" s="6">
        <v>85.714285714285708</v>
      </c>
      <c r="Z61" t="s">
        <v>38</v>
      </c>
      <c r="AA61" t="s">
        <v>39</v>
      </c>
      <c r="AB61" t="s">
        <v>38</v>
      </c>
      <c r="AC61" s="8">
        <v>-1.7600000000000001E-2</v>
      </c>
    </row>
    <row r="62" spans="1:29" x14ac:dyDescent="0.3">
      <c r="A62" s="7">
        <v>61</v>
      </c>
      <c r="B62" s="1">
        <v>40546</v>
      </c>
      <c r="C62" s="7">
        <v>1</v>
      </c>
      <c r="D62" s="7">
        <v>15</v>
      </c>
      <c r="E62" t="b">
        <v>0</v>
      </c>
      <c r="F62" s="7">
        <v>1</v>
      </c>
      <c r="G62" s="7">
        <v>1</v>
      </c>
      <c r="H62" s="6">
        <v>0.26</v>
      </c>
      <c r="I62" s="8">
        <v>0.2424</v>
      </c>
      <c r="J62" s="6">
        <v>0.3</v>
      </c>
      <c r="K62" s="8">
        <v>0.25369999999999998</v>
      </c>
      <c r="L62" s="7">
        <v>14</v>
      </c>
      <c r="M62" s="7">
        <v>58</v>
      </c>
      <c r="N62" s="7">
        <v>72</v>
      </c>
      <c r="O62" t="s">
        <v>29</v>
      </c>
      <c r="P62" t="s">
        <v>54</v>
      </c>
      <c r="Q62" t="s">
        <v>31</v>
      </c>
      <c r="R62" t="s">
        <v>47</v>
      </c>
      <c r="S62" t="s">
        <v>44</v>
      </c>
      <c r="T62" t="s">
        <v>39</v>
      </c>
      <c r="U62" t="s">
        <v>46</v>
      </c>
      <c r="V62" t="s">
        <v>36</v>
      </c>
      <c r="W62" t="s">
        <v>37</v>
      </c>
      <c r="X62" s="6">
        <v>19.44444444444445</v>
      </c>
      <c r="Y62" s="6">
        <v>80.555555555555557</v>
      </c>
      <c r="Z62" t="s">
        <v>38</v>
      </c>
      <c r="AA62" t="s">
        <v>39</v>
      </c>
      <c r="AB62" t="s">
        <v>38</v>
      </c>
      <c r="AC62" s="8">
        <v>-1.7600000000000001E-2</v>
      </c>
    </row>
    <row r="63" spans="1:29" x14ac:dyDescent="0.3">
      <c r="A63" s="7">
        <v>62</v>
      </c>
      <c r="B63" s="1">
        <v>40546</v>
      </c>
      <c r="C63" s="7">
        <v>1</v>
      </c>
      <c r="D63" s="7">
        <v>16</v>
      </c>
      <c r="E63" t="b">
        <v>0</v>
      </c>
      <c r="F63" s="7">
        <v>1</v>
      </c>
      <c r="G63" s="7">
        <v>1</v>
      </c>
      <c r="H63" s="6">
        <v>0.26</v>
      </c>
      <c r="I63" s="8">
        <v>0.2424</v>
      </c>
      <c r="J63" s="6">
        <v>0.3</v>
      </c>
      <c r="K63" s="8">
        <v>0.25369999999999998</v>
      </c>
      <c r="L63" s="7">
        <v>9</v>
      </c>
      <c r="M63" s="7">
        <v>67</v>
      </c>
      <c r="N63" s="7">
        <v>76</v>
      </c>
      <c r="O63" t="s">
        <v>29</v>
      </c>
      <c r="P63" t="s">
        <v>54</v>
      </c>
      <c r="Q63" t="s">
        <v>31</v>
      </c>
      <c r="R63" t="s">
        <v>47</v>
      </c>
      <c r="S63" t="s">
        <v>44</v>
      </c>
      <c r="T63" t="s">
        <v>39</v>
      </c>
      <c r="U63" t="s">
        <v>46</v>
      </c>
      <c r="V63" t="s">
        <v>36</v>
      </c>
      <c r="W63" t="s">
        <v>37</v>
      </c>
      <c r="X63" s="6">
        <v>11.84210526315789</v>
      </c>
      <c r="Y63" s="6">
        <v>88.157894736842096</v>
      </c>
      <c r="Z63" t="s">
        <v>38</v>
      </c>
      <c r="AA63" t="s">
        <v>39</v>
      </c>
      <c r="AB63" t="s">
        <v>38</v>
      </c>
      <c r="AC63" s="8">
        <v>-1.7600000000000001E-2</v>
      </c>
    </row>
    <row r="64" spans="1:29" x14ac:dyDescent="0.3">
      <c r="A64" s="7">
        <v>63</v>
      </c>
      <c r="B64" s="1">
        <v>40546</v>
      </c>
      <c r="C64" s="7">
        <v>1</v>
      </c>
      <c r="D64" s="7">
        <v>17</v>
      </c>
      <c r="E64" t="b">
        <v>0</v>
      </c>
      <c r="F64" s="7">
        <v>1</v>
      </c>
      <c r="G64" s="7">
        <v>1</v>
      </c>
      <c r="H64" s="6">
        <v>0.24</v>
      </c>
      <c r="I64" s="8">
        <v>0.2273</v>
      </c>
      <c r="J64" s="6">
        <v>0.3</v>
      </c>
      <c r="K64" s="8">
        <v>0.22389999999999999</v>
      </c>
      <c r="L64" s="7">
        <v>11</v>
      </c>
      <c r="M64" s="7">
        <v>146</v>
      </c>
      <c r="N64" s="7">
        <v>157</v>
      </c>
      <c r="O64" t="s">
        <v>29</v>
      </c>
      <c r="P64" t="s">
        <v>54</v>
      </c>
      <c r="Q64" t="s">
        <v>31</v>
      </c>
      <c r="R64" t="s">
        <v>50</v>
      </c>
      <c r="S64" t="s">
        <v>33</v>
      </c>
      <c r="T64" t="s">
        <v>39</v>
      </c>
      <c r="U64" t="s">
        <v>46</v>
      </c>
      <c r="V64" t="s">
        <v>36</v>
      </c>
      <c r="W64" t="s">
        <v>37</v>
      </c>
      <c r="X64" s="6">
        <v>7.0063694267515926</v>
      </c>
      <c r="Y64" s="6">
        <v>92.99363057324841</v>
      </c>
      <c r="Z64" t="s">
        <v>40</v>
      </c>
      <c r="AA64" t="s">
        <v>49</v>
      </c>
      <c r="AB64" t="s">
        <v>38</v>
      </c>
      <c r="AC64" s="8">
        <v>-1.2699999999999991E-2</v>
      </c>
    </row>
    <row r="65" spans="1:29" x14ac:dyDescent="0.3">
      <c r="A65" s="7">
        <v>64</v>
      </c>
      <c r="B65" s="1">
        <v>40546</v>
      </c>
      <c r="C65" s="7">
        <v>1</v>
      </c>
      <c r="D65" s="7">
        <v>18</v>
      </c>
      <c r="E65" t="b">
        <v>0</v>
      </c>
      <c r="F65" s="7">
        <v>1</v>
      </c>
      <c r="G65" s="7">
        <v>1</v>
      </c>
      <c r="H65" s="6">
        <v>0.24</v>
      </c>
      <c r="I65" s="8">
        <v>0.2576</v>
      </c>
      <c r="J65" s="6">
        <v>0.32</v>
      </c>
      <c r="K65" s="8">
        <v>0.1045</v>
      </c>
      <c r="L65" s="7">
        <v>9</v>
      </c>
      <c r="M65" s="7">
        <v>148</v>
      </c>
      <c r="N65" s="7">
        <v>157</v>
      </c>
      <c r="O65" t="s">
        <v>29</v>
      </c>
      <c r="P65" t="s">
        <v>54</v>
      </c>
      <c r="Q65" t="s">
        <v>31</v>
      </c>
      <c r="R65" t="s">
        <v>50</v>
      </c>
      <c r="S65" t="s">
        <v>33</v>
      </c>
      <c r="T65" t="s">
        <v>39</v>
      </c>
      <c r="U65" t="s">
        <v>35</v>
      </c>
      <c r="V65" t="s">
        <v>36</v>
      </c>
      <c r="W65" t="s">
        <v>37</v>
      </c>
      <c r="X65" s="6">
        <v>5.7324840764331224</v>
      </c>
      <c r="Y65" s="6">
        <v>94.267515923566876</v>
      </c>
      <c r="Z65" t="s">
        <v>40</v>
      </c>
      <c r="AA65" t="s">
        <v>49</v>
      </c>
      <c r="AB65" t="s">
        <v>38</v>
      </c>
      <c r="AC65" s="8">
        <v>1.7600000000000001E-2</v>
      </c>
    </row>
    <row r="66" spans="1:29" x14ac:dyDescent="0.3">
      <c r="A66" s="7">
        <v>65</v>
      </c>
      <c r="B66" s="1">
        <v>40546</v>
      </c>
      <c r="C66" s="7">
        <v>1</v>
      </c>
      <c r="D66" s="7">
        <v>19</v>
      </c>
      <c r="E66" t="b">
        <v>0</v>
      </c>
      <c r="F66" s="7">
        <v>1</v>
      </c>
      <c r="G66" s="7">
        <v>1</v>
      </c>
      <c r="H66" s="6">
        <v>0.2</v>
      </c>
      <c r="I66" s="8">
        <v>0.2576</v>
      </c>
      <c r="J66" s="6">
        <v>0.47</v>
      </c>
      <c r="K66" s="8">
        <v>0</v>
      </c>
      <c r="L66" s="7">
        <v>8</v>
      </c>
      <c r="M66" s="7">
        <v>102</v>
      </c>
      <c r="N66" s="7">
        <v>110</v>
      </c>
      <c r="O66" t="s">
        <v>29</v>
      </c>
      <c r="P66" t="s">
        <v>54</v>
      </c>
      <c r="Q66" t="s">
        <v>31</v>
      </c>
      <c r="R66" t="s">
        <v>50</v>
      </c>
      <c r="S66" t="s">
        <v>33</v>
      </c>
      <c r="T66" t="s">
        <v>49</v>
      </c>
      <c r="U66" t="s">
        <v>35</v>
      </c>
      <c r="V66" t="s">
        <v>36</v>
      </c>
      <c r="W66" t="s">
        <v>37</v>
      </c>
      <c r="X66" s="6">
        <v>7.2727272727272716</v>
      </c>
      <c r="Y66" s="6">
        <v>92.72727272727272</v>
      </c>
      <c r="Z66" t="s">
        <v>40</v>
      </c>
      <c r="AA66" t="s">
        <v>49</v>
      </c>
      <c r="AB66" t="s">
        <v>38</v>
      </c>
      <c r="AC66" s="8">
        <v>5.7599999999999978E-2</v>
      </c>
    </row>
    <row r="67" spans="1:29" x14ac:dyDescent="0.3">
      <c r="A67" s="7">
        <v>66</v>
      </c>
      <c r="B67" s="1">
        <v>40546</v>
      </c>
      <c r="C67" s="7">
        <v>1</v>
      </c>
      <c r="D67" s="7">
        <v>20</v>
      </c>
      <c r="E67" t="b">
        <v>0</v>
      </c>
      <c r="F67" s="7">
        <v>1</v>
      </c>
      <c r="G67" s="7">
        <v>1</v>
      </c>
      <c r="H67" s="6">
        <v>0.2</v>
      </c>
      <c r="I67" s="8">
        <v>0.2576</v>
      </c>
      <c r="J67" s="6">
        <v>0.47</v>
      </c>
      <c r="K67" s="8">
        <v>0.1045</v>
      </c>
      <c r="L67" s="7">
        <v>3</v>
      </c>
      <c r="M67" s="7">
        <v>49</v>
      </c>
      <c r="N67" s="7">
        <v>52</v>
      </c>
      <c r="O67" t="s">
        <v>29</v>
      </c>
      <c r="P67" t="s">
        <v>54</v>
      </c>
      <c r="Q67" t="s">
        <v>31</v>
      </c>
      <c r="R67" t="s">
        <v>50</v>
      </c>
      <c r="S67" t="s">
        <v>33</v>
      </c>
      <c r="T67" t="s">
        <v>49</v>
      </c>
      <c r="U67" t="s">
        <v>35</v>
      </c>
      <c r="V67" t="s">
        <v>36</v>
      </c>
      <c r="W67" t="s">
        <v>37</v>
      </c>
      <c r="X67" s="6">
        <v>5.7692307692307692</v>
      </c>
      <c r="Y67" s="6">
        <v>94.230769230769226</v>
      </c>
      <c r="Z67" t="s">
        <v>38</v>
      </c>
      <c r="AA67" t="s">
        <v>39</v>
      </c>
      <c r="AB67" t="s">
        <v>38</v>
      </c>
      <c r="AC67" s="8">
        <v>5.7599999999999978E-2</v>
      </c>
    </row>
    <row r="68" spans="1:29" x14ac:dyDescent="0.3">
      <c r="A68" s="7">
        <v>67</v>
      </c>
      <c r="B68" s="1">
        <v>40546</v>
      </c>
      <c r="C68" s="7">
        <v>1</v>
      </c>
      <c r="D68" s="7">
        <v>21</v>
      </c>
      <c r="E68" t="b">
        <v>0</v>
      </c>
      <c r="F68" s="7">
        <v>1</v>
      </c>
      <c r="G68" s="7">
        <v>1</v>
      </c>
      <c r="H68" s="6">
        <v>0.18</v>
      </c>
      <c r="I68" s="8">
        <v>0.19700000000000001</v>
      </c>
      <c r="J68" s="6">
        <v>0.64</v>
      </c>
      <c r="K68" s="8">
        <v>0.1343</v>
      </c>
      <c r="L68" s="7">
        <v>3</v>
      </c>
      <c r="M68" s="7">
        <v>49</v>
      </c>
      <c r="N68" s="7">
        <v>52</v>
      </c>
      <c r="O68" t="s">
        <v>29</v>
      </c>
      <c r="P68" t="s">
        <v>54</v>
      </c>
      <c r="Q68" t="s">
        <v>31</v>
      </c>
      <c r="R68" t="s">
        <v>32</v>
      </c>
      <c r="S68" t="s">
        <v>33</v>
      </c>
      <c r="T68" t="s">
        <v>49</v>
      </c>
      <c r="U68" t="s">
        <v>35</v>
      </c>
      <c r="V68" t="s">
        <v>36</v>
      </c>
      <c r="W68" t="s">
        <v>37</v>
      </c>
      <c r="X68" s="6">
        <v>5.7692307692307692</v>
      </c>
      <c r="Y68" s="6">
        <v>94.230769230769226</v>
      </c>
      <c r="Z68" t="s">
        <v>38</v>
      </c>
      <c r="AA68" t="s">
        <v>39</v>
      </c>
      <c r="AB68" t="s">
        <v>38</v>
      </c>
      <c r="AC68" s="8">
        <v>1.7000000000000019E-2</v>
      </c>
    </row>
    <row r="69" spans="1:29" x14ac:dyDescent="0.3">
      <c r="A69" s="7">
        <v>68</v>
      </c>
      <c r="B69" s="1">
        <v>40546</v>
      </c>
      <c r="C69" s="7">
        <v>1</v>
      </c>
      <c r="D69" s="7">
        <v>22</v>
      </c>
      <c r="E69" t="b">
        <v>0</v>
      </c>
      <c r="F69" s="7">
        <v>1</v>
      </c>
      <c r="G69" s="7">
        <v>1</v>
      </c>
      <c r="H69" s="6">
        <v>0.14000000000000001</v>
      </c>
      <c r="I69" s="8">
        <v>0.1515</v>
      </c>
      <c r="J69" s="6">
        <v>0.69</v>
      </c>
      <c r="K69" s="8">
        <v>0.1343</v>
      </c>
      <c r="L69" s="7">
        <v>0</v>
      </c>
      <c r="M69" s="7">
        <v>20</v>
      </c>
      <c r="N69" s="7">
        <v>20</v>
      </c>
      <c r="O69" t="s">
        <v>29</v>
      </c>
      <c r="P69" t="s">
        <v>54</v>
      </c>
      <c r="Q69" t="s">
        <v>31</v>
      </c>
      <c r="R69" t="s">
        <v>32</v>
      </c>
      <c r="S69" t="s">
        <v>55</v>
      </c>
      <c r="T69" t="s">
        <v>49</v>
      </c>
      <c r="U69" t="s">
        <v>35</v>
      </c>
      <c r="V69" t="s">
        <v>36</v>
      </c>
      <c r="W69" t="s">
        <v>37</v>
      </c>
      <c r="X69" s="6">
        <v>0</v>
      </c>
      <c r="Y69" s="6">
        <v>100</v>
      </c>
      <c r="Z69" t="s">
        <v>38</v>
      </c>
      <c r="AA69" t="s">
        <v>39</v>
      </c>
      <c r="AB69" t="s">
        <v>38</v>
      </c>
      <c r="AC69" s="8">
        <v>1.1499999999999981E-2</v>
      </c>
    </row>
    <row r="70" spans="1:29" x14ac:dyDescent="0.3">
      <c r="A70" s="7">
        <v>69</v>
      </c>
      <c r="B70" s="1">
        <v>40546</v>
      </c>
      <c r="C70" s="7">
        <v>1</v>
      </c>
      <c r="D70" s="7">
        <v>23</v>
      </c>
      <c r="E70" t="b">
        <v>0</v>
      </c>
      <c r="F70" s="7">
        <v>1</v>
      </c>
      <c r="G70" s="7">
        <v>1</v>
      </c>
      <c r="H70" s="6">
        <v>0.18</v>
      </c>
      <c r="I70" s="8">
        <v>0.21210000000000001</v>
      </c>
      <c r="J70" s="6">
        <v>0.55000000000000004</v>
      </c>
      <c r="K70" s="8">
        <v>0.1045</v>
      </c>
      <c r="L70" s="7">
        <v>1</v>
      </c>
      <c r="M70" s="7">
        <v>11</v>
      </c>
      <c r="N70" s="7">
        <v>12</v>
      </c>
      <c r="O70" t="s">
        <v>29</v>
      </c>
      <c r="P70" t="s">
        <v>54</v>
      </c>
      <c r="Q70" t="s">
        <v>31</v>
      </c>
      <c r="R70" t="s">
        <v>32</v>
      </c>
      <c r="S70" t="s">
        <v>33</v>
      </c>
      <c r="T70" t="s">
        <v>49</v>
      </c>
      <c r="U70" t="s">
        <v>35</v>
      </c>
      <c r="V70" t="s">
        <v>36</v>
      </c>
      <c r="W70" t="s">
        <v>37</v>
      </c>
      <c r="X70" s="6">
        <v>8.3333333333333321</v>
      </c>
      <c r="Y70" s="6">
        <v>91.666666666666657</v>
      </c>
      <c r="Z70" t="s">
        <v>38</v>
      </c>
      <c r="AA70" t="s">
        <v>39</v>
      </c>
      <c r="AB70" t="s">
        <v>38</v>
      </c>
      <c r="AC70" s="8">
        <v>3.2100000000000017E-2</v>
      </c>
    </row>
    <row r="71" spans="1:29" x14ac:dyDescent="0.3">
      <c r="A71" s="7">
        <v>70</v>
      </c>
      <c r="B71" s="1">
        <v>40547</v>
      </c>
      <c r="C71" s="7">
        <v>1</v>
      </c>
      <c r="D71" s="7">
        <v>0</v>
      </c>
      <c r="E71" t="b">
        <v>0</v>
      </c>
      <c r="F71" s="7">
        <v>2</v>
      </c>
      <c r="G71" s="7">
        <v>1</v>
      </c>
      <c r="H71" s="6">
        <v>0.16</v>
      </c>
      <c r="I71" s="8">
        <v>0.21210000000000001</v>
      </c>
      <c r="J71" s="6">
        <v>0.55000000000000004</v>
      </c>
      <c r="K71" s="8">
        <v>0.1045</v>
      </c>
      <c r="L71" s="7">
        <v>0</v>
      </c>
      <c r="M71" s="7">
        <v>5</v>
      </c>
      <c r="N71" s="7">
        <v>5</v>
      </c>
      <c r="O71" t="s">
        <v>29</v>
      </c>
      <c r="P71" t="s">
        <v>56</v>
      </c>
      <c r="Q71" t="s">
        <v>31</v>
      </c>
      <c r="R71" t="s">
        <v>32</v>
      </c>
      <c r="S71" t="s">
        <v>33</v>
      </c>
      <c r="T71" t="s">
        <v>49</v>
      </c>
      <c r="U71" t="s">
        <v>35</v>
      </c>
      <c r="V71" t="s">
        <v>36</v>
      </c>
      <c r="W71" t="s">
        <v>37</v>
      </c>
      <c r="X71" s="6">
        <v>0</v>
      </c>
      <c r="Y71" s="6">
        <v>100</v>
      </c>
      <c r="Z71" t="s">
        <v>38</v>
      </c>
      <c r="AA71" t="s">
        <v>39</v>
      </c>
      <c r="AB71" t="s">
        <v>38</v>
      </c>
      <c r="AC71" s="8">
        <v>5.2100000000000007E-2</v>
      </c>
    </row>
    <row r="72" spans="1:29" x14ac:dyDescent="0.3">
      <c r="A72" s="7">
        <v>71</v>
      </c>
      <c r="B72" s="1">
        <v>40547</v>
      </c>
      <c r="C72" s="7">
        <v>1</v>
      </c>
      <c r="D72" s="7">
        <v>1</v>
      </c>
      <c r="E72" t="b">
        <v>0</v>
      </c>
      <c r="F72" s="7">
        <v>2</v>
      </c>
      <c r="G72" s="7">
        <v>1</v>
      </c>
      <c r="H72" s="6">
        <v>0.16</v>
      </c>
      <c r="I72" s="8">
        <v>0.18179999999999999</v>
      </c>
      <c r="J72" s="6">
        <v>0.59</v>
      </c>
      <c r="K72" s="8">
        <v>0.1045</v>
      </c>
      <c r="L72" s="7">
        <v>0</v>
      </c>
      <c r="M72" s="7">
        <v>2</v>
      </c>
      <c r="N72" s="7">
        <v>2</v>
      </c>
      <c r="O72" t="s">
        <v>29</v>
      </c>
      <c r="P72" t="s">
        <v>56</v>
      </c>
      <c r="Q72" t="s">
        <v>31</v>
      </c>
      <c r="R72" t="s">
        <v>32</v>
      </c>
      <c r="S72" t="s">
        <v>33</v>
      </c>
      <c r="T72" t="s">
        <v>49</v>
      </c>
      <c r="U72" t="s">
        <v>35</v>
      </c>
      <c r="V72" t="s">
        <v>36</v>
      </c>
      <c r="W72" t="s">
        <v>37</v>
      </c>
      <c r="X72" s="6">
        <v>0</v>
      </c>
      <c r="Y72" s="6">
        <v>100</v>
      </c>
      <c r="Z72" t="s">
        <v>38</v>
      </c>
      <c r="AA72" t="s">
        <v>39</v>
      </c>
      <c r="AB72" t="s">
        <v>38</v>
      </c>
      <c r="AC72" s="8">
        <v>2.179999999999999E-2</v>
      </c>
    </row>
    <row r="73" spans="1:29" x14ac:dyDescent="0.3">
      <c r="A73" s="7">
        <v>72</v>
      </c>
      <c r="B73" s="1">
        <v>40547</v>
      </c>
      <c r="C73" s="7">
        <v>1</v>
      </c>
      <c r="D73" s="7">
        <v>2</v>
      </c>
      <c r="E73" t="b">
        <v>0</v>
      </c>
      <c r="F73" s="7">
        <v>2</v>
      </c>
      <c r="G73" s="7">
        <v>1</v>
      </c>
      <c r="H73" s="6">
        <v>0.14000000000000001</v>
      </c>
      <c r="I73" s="8">
        <v>0.1515</v>
      </c>
      <c r="J73" s="6">
        <v>0.63</v>
      </c>
      <c r="K73" s="8">
        <v>0.1343</v>
      </c>
      <c r="L73" s="7">
        <v>0</v>
      </c>
      <c r="M73" s="7">
        <v>1</v>
      </c>
      <c r="N73" s="7">
        <v>1</v>
      </c>
      <c r="O73" t="s">
        <v>29</v>
      </c>
      <c r="P73" t="s">
        <v>56</v>
      </c>
      <c r="Q73" t="s">
        <v>31</v>
      </c>
      <c r="R73" t="s">
        <v>32</v>
      </c>
      <c r="S73" t="s">
        <v>55</v>
      </c>
      <c r="T73" t="s">
        <v>49</v>
      </c>
      <c r="U73" t="s">
        <v>35</v>
      </c>
      <c r="V73" t="s">
        <v>36</v>
      </c>
      <c r="W73" t="s">
        <v>37</v>
      </c>
      <c r="X73" s="6">
        <v>0</v>
      </c>
      <c r="Y73" s="6">
        <v>100</v>
      </c>
      <c r="Z73" t="s">
        <v>38</v>
      </c>
      <c r="AA73" t="s">
        <v>39</v>
      </c>
      <c r="AB73" t="s">
        <v>38</v>
      </c>
      <c r="AC73" s="8">
        <v>1.1499999999999981E-2</v>
      </c>
    </row>
    <row r="74" spans="1:29" x14ac:dyDescent="0.3">
      <c r="A74" s="7">
        <v>73</v>
      </c>
      <c r="B74" s="1">
        <v>40547</v>
      </c>
      <c r="C74" s="7">
        <v>1</v>
      </c>
      <c r="D74" s="7">
        <v>4</v>
      </c>
      <c r="E74" t="b">
        <v>0</v>
      </c>
      <c r="F74" s="7">
        <v>2</v>
      </c>
      <c r="G74" s="7">
        <v>1</v>
      </c>
      <c r="H74" s="6">
        <v>0.14000000000000001</v>
      </c>
      <c r="I74" s="8">
        <v>0.18179999999999999</v>
      </c>
      <c r="J74" s="6">
        <v>0.63</v>
      </c>
      <c r="K74" s="8">
        <v>8.9599999999999999E-2</v>
      </c>
      <c r="L74" s="7">
        <v>0</v>
      </c>
      <c r="M74" s="7">
        <v>2</v>
      </c>
      <c r="N74" s="7">
        <v>2</v>
      </c>
      <c r="O74" t="s">
        <v>29</v>
      </c>
      <c r="P74" t="s">
        <v>56</v>
      </c>
      <c r="Q74" t="s">
        <v>31</v>
      </c>
      <c r="R74" t="s">
        <v>32</v>
      </c>
      <c r="S74" t="s">
        <v>55</v>
      </c>
      <c r="T74" t="s">
        <v>49</v>
      </c>
      <c r="U74" t="s">
        <v>35</v>
      </c>
      <c r="V74" t="s">
        <v>36</v>
      </c>
      <c r="W74" t="s">
        <v>37</v>
      </c>
      <c r="X74" s="6">
        <v>0</v>
      </c>
      <c r="Y74" s="6">
        <v>100</v>
      </c>
      <c r="Z74" t="s">
        <v>38</v>
      </c>
      <c r="AA74" t="s">
        <v>39</v>
      </c>
      <c r="AB74" t="s">
        <v>38</v>
      </c>
      <c r="AC74" s="8">
        <v>4.1799999999999983E-2</v>
      </c>
    </row>
    <row r="75" spans="1:29" x14ac:dyDescent="0.3">
      <c r="A75" s="7">
        <v>74</v>
      </c>
      <c r="B75" s="1">
        <v>40547</v>
      </c>
      <c r="C75" s="7">
        <v>1</v>
      </c>
      <c r="D75" s="7">
        <v>5</v>
      </c>
      <c r="E75" t="b">
        <v>0</v>
      </c>
      <c r="F75" s="7">
        <v>2</v>
      </c>
      <c r="G75" s="7">
        <v>1</v>
      </c>
      <c r="H75" s="6">
        <v>0.12</v>
      </c>
      <c r="I75" s="8">
        <v>0.1515</v>
      </c>
      <c r="J75" s="6">
        <v>0.68</v>
      </c>
      <c r="K75" s="8">
        <v>0.1045</v>
      </c>
      <c r="L75" s="7">
        <v>0</v>
      </c>
      <c r="M75" s="7">
        <v>4</v>
      </c>
      <c r="N75" s="7">
        <v>4</v>
      </c>
      <c r="O75" t="s">
        <v>29</v>
      </c>
      <c r="P75" t="s">
        <v>56</v>
      </c>
      <c r="Q75" t="s">
        <v>31</v>
      </c>
      <c r="R75" t="s">
        <v>32</v>
      </c>
      <c r="S75" t="s">
        <v>55</v>
      </c>
      <c r="T75" t="s">
        <v>49</v>
      </c>
      <c r="U75" t="s">
        <v>35</v>
      </c>
      <c r="V75" t="s">
        <v>36</v>
      </c>
      <c r="W75" t="s">
        <v>37</v>
      </c>
      <c r="X75" s="6">
        <v>0</v>
      </c>
      <c r="Y75" s="6">
        <v>100</v>
      </c>
      <c r="Z75" t="s">
        <v>38</v>
      </c>
      <c r="AA75" t="s">
        <v>39</v>
      </c>
      <c r="AB75" t="s">
        <v>38</v>
      </c>
      <c r="AC75" s="8">
        <v>3.15E-2</v>
      </c>
    </row>
    <row r="76" spans="1:29" x14ac:dyDescent="0.3">
      <c r="A76" s="7">
        <v>75</v>
      </c>
      <c r="B76" s="1">
        <v>40547</v>
      </c>
      <c r="C76" s="7">
        <v>1</v>
      </c>
      <c r="D76" s="7">
        <v>6</v>
      </c>
      <c r="E76" t="b">
        <v>0</v>
      </c>
      <c r="F76" s="7">
        <v>2</v>
      </c>
      <c r="G76" s="7">
        <v>1</v>
      </c>
      <c r="H76" s="6">
        <v>0.12</v>
      </c>
      <c r="I76" s="8">
        <v>0.1515</v>
      </c>
      <c r="J76" s="6">
        <v>0.74</v>
      </c>
      <c r="K76" s="8">
        <v>0.1045</v>
      </c>
      <c r="L76" s="7">
        <v>0</v>
      </c>
      <c r="M76" s="7">
        <v>36</v>
      </c>
      <c r="N76" s="7">
        <v>36</v>
      </c>
      <c r="O76" t="s">
        <v>29</v>
      </c>
      <c r="P76" t="s">
        <v>56</v>
      </c>
      <c r="Q76" t="s">
        <v>31</v>
      </c>
      <c r="R76" t="s">
        <v>42</v>
      </c>
      <c r="S76" t="s">
        <v>55</v>
      </c>
      <c r="T76" t="s">
        <v>34</v>
      </c>
      <c r="U76" t="s">
        <v>35</v>
      </c>
      <c r="V76" t="s">
        <v>36</v>
      </c>
      <c r="W76" t="s">
        <v>37</v>
      </c>
      <c r="X76" s="6">
        <v>0</v>
      </c>
      <c r="Y76" s="6">
        <v>100</v>
      </c>
      <c r="Z76" t="s">
        <v>38</v>
      </c>
      <c r="AA76" t="s">
        <v>39</v>
      </c>
      <c r="AB76" t="s">
        <v>38</v>
      </c>
      <c r="AC76" s="8">
        <v>3.15E-2</v>
      </c>
    </row>
    <row r="77" spans="1:29" x14ac:dyDescent="0.3">
      <c r="A77" s="7">
        <v>76</v>
      </c>
      <c r="B77" s="1">
        <v>40547</v>
      </c>
      <c r="C77" s="7">
        <v>1</v>
      </c>
      <c r="D77" s="7">
        <v>7</v>
      </c>
      <c r="E77" t="b">
        <v>0</v>
      </c>
      <c r="F77" s="7">
        <v>2</v>
      </c>
      <c r="G77" s="7">
        <v>1</v>
      </c>
      <c r="H77" s="6">
        <v>0.12</v>
      </c>
      <c r="I77" s="8">
        <v>0.1515</v>
      </c>
      <c r="J77" s="6">
        <v>0.74</v>
      </c>
      <c r="K77" s="8">
        <v>0.1343</v>
      </c>
      <c r="L77" s="7">
        <v>2</v>
      </c>
      <c r="M77" s="7">
        <v>92</v>
      </c>
      <c r="N77" s="7">
        <v>94</v>
      </c>
      <c r="O77" t="s">
        <v>29</v>
      </c>
      <c r="P77" t="s">
        <v>56</v>
      </c>
      <c r="Q77" t="s">
        <v>31</v>
      </c>
      <c r="R77" t="s">
        <v>42</v>
      </c>
      <c r="S77" t="s">
        <v>55</v>
      </c>
      <c r="T77" t="s">
        <v>34</v>
      </c>
      <c r="U77" t="s">
        <v>35</v>
      </c>
      <c r="V77" t="s">
        <v>36</v>
      </c>
      <c r="W77" t="s">
        <v>37</v>
      </c>
      <c r="X77" s="6">
        <v>2.1276595744680851</v>
      </c>
      <c r="Y77" s="6">
        <v>97.872340425531917</v>
      </c>
      <c r="Z77" t="s">
        <v>40</v>
      </c>
      <c r="AA77" t="s">
        <v>39</v>
      </c>
      <c r="AB77" t="s">
        <v>38</v>
      </c>
      <c r="AC77" s="8">
        <v>3.15E-2</v>
      </c>
    </row>
    <row r="78" spans="1:29" x14ac:dyDescent="0.3">
      <c r="A78" s="7">
        <v>77</v>
      </c>
      <c r="B78" s="1">
        <v>40547</v>
      </c>
      <c r="C78" s="7">
        <v>1</v>
      </c>
      <c r="D78" s="7">
        <v>8</v>
      </c>
      <c r="E78" t="b">
        <v>0</v>
      </c>
      <c r="F78" s="7">
        <v>2</v>
      </c>
      <c r="G78" s="7">
        <v>1</v>
      </c>
      <c r="H78" s="6">
        <v>0.14000000000000001</v>
      </c>
      <c r="I78" s="8">
        <v>0.1515</v>
      </c>
      <c r="J78" s="6">
        <v>0.69</v>
      </c>
      <c r="K78" s="8">
        <v>0.16420000000000001</v>
      </c>
      <c r="L78" s="7">
        <v>2</v>
      </c>
      <c r="M78" s="7">
        <v>177</v>
      </c>
      <c r="N78" s="7">
        <v>179</v>
      </c>
      <c r="O78" t="s">
        <v>29</v>
      </c>
      <c r="P78" t="s">
        <v>56</v>
      </c>
      <c r="Q78" t="s">
        <v>31</v>
      </c>
      <c r="R78" t="s">
        <v>42</v>
      </c>
      <c r="S78" t="s">
        <v>55</v>
      </c>
      <c r="T78" t="s">
        <v>49</v>
      </c>
      <c r="U78" t="s">
        <v>46</v>
      </c>
      <c r="V78" t="s">
        <v>36</v>
      </c>
      <c r="W78" t="s">
        <v>37</v>
      </c>
      <c r="X78" s="6">
        <v>1.1173184357541901</v>
      </c>
      <c r="Y78" s="6">
        <v>98.882681564245814</v>
      </c>
      <c r="Z78" t="s">
        <v>40</v>
      </c>
      <c r="AA78" t="s">
        <v>49</v>
      </c>
      <c r="AB78" t="s">
        <v>38</v>
      </c>
      <c r="AC78" s="8">
        <v>1.1499999999999981E-2</v>
      </c>
    </row>
    <row r="79" spans="1:29" x14ac:dyDescent="0.3">
      <c r="A79" s="7">
        <v>78</v>
      </c>
      <c r="B79" s="1">
        <v>40547</v>
      </c>
      <c r="C79" s="7">
        <v>1</v>
      </c>
      <c r="D79" s="7">
        <v>9</v>
      </c>
      <c r="E79" t="b">
        <v>0</v>
      </c>
      <c r="F79" s="7">
        <v>2</v>
      </c>
      <c r="G79" s="7">
        <v>1</v>
      </c>
      <c r="H79" s="6">
        <v>0.16</v>
      </c>
      <c r="I79" s="8">
        <v>0.1515</v>
      </c>
      <c r="J79" s="6">
        <v>0.64</v>
      </c>
      <c r="K79" s="8">
        <v>0.22389999999999999</v>
      </c>
      <c r="L79" s="7">
        <v>2</v>
      </c>
      <c r="M79" s="7">
        <v>98</v>
      </c>
      <c r="N79" s="7">
        <v>100</v>
      </c>
      <c r="O79" t="s">
        <v>29</v>
      </c>
      <c r="P79" t="s">
        <v>56</v>
      </c>
      <c r="Q79" t="s">
        <v>31</v>
      </c>
      <c r="R79" t="s">
        <v>42</v>
      </c>
      <c r="S79" t="s">
        <v>33</v>
      </c>
      <c r="T79" t="s">
        <v>49</v>
      </c>
      <c r="U79" t="s">
        <v>46</v>
      </c>
      <c r="V79" t="s">
        <v>36</v>
      </c>
      <c r="W79" t="s">
        <v>37</v>
      </c>
      <c r="X79" s="6">
        <v>2</v>
      </c>
      <c r="Y79" s="6">
        <v>98</v>
      </c>
      <c r="Z79" t="s">
        <v>40</v>
      </c>
      <c r="AA79" t="s">
        <v>49</v>
      </c>
      <c r="AB79" t="s">
        <v>38</v>
      </c>
      <c r="AC79" s="8">
        <v>-8.5000000000000075E-3</v>
      </c>
    </row>
    <row r="80" spans="1:29" x14ac:dyDescent="0.3">
      <c r="A80" s="7">
        <v>79</v>
      </c>
      <c r="B80" s="1">
        <v>40547</v>
      </c>
      <c r="C80" s="7">
        <v>1</v>
      </c>
      <c r="D80" s="7">
        <v>10</v>
      </c>
      <c r="E80" t="b">
        <v>0</v>
      </c>
      <c r="F80" s="7">
        <v>2</v>
      </c>
      <c r="G80" s="7">
        <v>2</v>
      </c>
      <c r="H80" s="6">
        <v>0.16</v>
      </c>
      <c r="I80" s="8">
        <v>0.13639999999999999</v>
      </c>
      <c r="J80" s="6">
        <v>0.69</v>
      </c>
      <c r="K80" s="8">
        <v>0.32840000000000003</v>
      </c>
      <c r="L80" s="7">
        <v>5</v>
      </c>
      <c r="M80" s="7">
        <v>37</v>
      </c>
      <c r="N80" s="7">
        <v>42</v>
      </c>
      <c r="O80" t="s">
        <v>29</v>
      </c>
      <c r="P80" t="s">
        <v>56</v>
      </c>
      <c r="Q80" t="s">
        <v>41</v>
      </c>
      <c r="R80" t="s">
        <v>42</v>
      </c>
      <c r="S80" t="s">
        <v>33</v>
      </c>
      <c r="T80" t="s">
        <v>49</v>
      </c>
      <c r="U80" t="s">
        <v>53</v>
      </c>
      <c r="V80" t="s">
        <v>36</v>
      </c>
      <c r="W80" t="s">
        <v>37</v>
      </c>
      <c r="X80" s="6">
        <v>11.9047619047619</v>
      </c>
      <c r="Y80" s="6">
        <v>88.095238095238088</v>
      </c>
      <c r="Z80" t="s">
        <v>38</v>
      </c>
      <c r="AA80" t="s">
        <v>39</v>
      </c>
      <c r="AB80" t="s">
        <v>38</v>
      </c>
      <c r="AC80" s="8">
        <v>-2.360000000000001E-2</v>
      </c>
    </row>
    <row r="81" spans="1:29" x14ac:dyDescent="0.3">
      <c r="A81" s="7">
        <v>80</v>
      </c>
      <c r="B81" s="1">
        <v>40547</v>
      </c>
      <c r="C81" s="7">
        <v>1</v>
      </c>
      <c r="D81" s="7">
        <v>11</v>
      </c>
      <c r="E81" t="b">
        <v>0</v>
      </c>
      <c r="F81" s="7">
        <v>2</v>
      </c>
      <c r="G81" s="7">
        <v>1</v>
      </c>
      <c r="H81" s="6">
        <v>0.22</v>
      </c>
      <c r="I81" s="8">
        <v>0.21210000000000001</v>
      </c>
      <c r="J81" s="6">
        <v>0.51</v>
      </c>
      <c r="K81" s="8">
        <v>0.29849999999999999</v>
      </c>
      <c r="L81" s="7">
        <v>7</v>
      </c>
      <c r="M81" s="7">
        <v>50</v>
      </c>
      <c r="N81" s="7">
        <v>57</v>
      </c>
      <c r="O81" t="s">
        <v>29</v>
      </c>
      <c r="P81" t="s">
        <v>56</v>
      </c>
      <c r="Q81" t="s">
        <v>31</v>
      </c>
      <c r="R81" t="s">
        <v>42</v>
      </c>
      <c r="S81" t="s">
        <v>33</v>
      </c>
      <c r="T81" t="s">
        <v>49</v>
      </c>
      <c r="U81" t="s">
        <v>46</v>
      </c>
      <c r="V81" t="s">
        <v>36</v>
      </c>
      <c r="W81" t="s">
        <v>37</v>
      </c>
      <c r="X81" s="6">
        <v>12.28070175438596</v>
      </c>
      <c r="Y81" s="6">
        <v>87.719298245614027</v>
      </c>
      <c r="Z81" t="s">
        <v>38</v>
      </c>
      <c r="AA81" t="s">
        <v>39</v>
      </c>
      <c r="AB81" t="s">
        <v>38</v>
      </c>
      <c r="AC81" s="8">
        <v>-7.8999999999999904E-3</v>
      </c>
    </row>
    <row r="82" spans="1:29" x14ac:dyDescent="0.3">
      <c r="A82" s="7">
        <v>81</v>
      </c>
      <c r="B82" s="1">
        <v>40547</v>
      </c>
      <c r="C82" s="7">
        <v>1</v>
      </c>
      <c r="D82" s="7">
        <v>12</v>
      </c>
      <c r="E82" t="b">
        <v>0</v>
      </c>
      <c r="F82" s="7">
        <v>2</v>
      </c>
      <c r="G82" s="7">
        <v>1</v>
      </c>
      <c r="H82" s="6">
        <v>0.22</v>
      </c>
      <c r="I82" s="8">
        <v>0.2273</v>
      </c>
      <c r="J82" s="6">
        <v>0.51</v>
      </c>
      <c r="K82" s="8">
        <v>0.16420000000000001</v>
      </c>
      <c r="L82" s="7">
        <v>12</v>
      </c>
      <c r="M82" s="7">
        <v>66</v>
      </c>
      <c r="N82" s="7">
        <v>78</v>
      </c>
      <c r="O82" t="s">
        <v>29</v>
      </c>
      <c r="P82" t="s">
        <v>56</v>
      </c>
      <c r="Q82" t="s">
        <v>31</v>
      </c>
      <c r="R82" t="s">
        <v>47</v>
      </c>
      <c r="S82" t="s">
        <v>33</v>
      </c>
      <c r="T82" t="s">
        <v>49</v>
      </c>
      <c r="U82" t="s">
        <v>46</v>
      </c>
      <c r="V82" t="s">
        <v>36</v>
      </c>
      <c r="W82" t="s">
        <v>37</v>
      </c>
      <c r="X82" s="6">
        <v>15.38461538461539</v>
      </c>
      <c r="Y82" s="6">
        <v>84.615384615384613</v>
      </c>
      <c r="Z82" t="s">
        <v>38</v>
      </c>
      <c r="AA82" t="s">
        <v>39</v>
      </c>
      <c r="AB82" t="s">
        <v>38</v>
      </c>
      <c r="AC82" s="8">
        <v>7.3000000000000009E-3</v>
      </c>
    </row>
    <row r="83" spans="1:29" x14ac:dyDescent="0.3">
      <c r="A83" s="7">
        <v>82</v>
      </c>
      <c r="B83" s="1">
        <v>40547</v>
      </c>
      <c r="C83" s="7">
        <v>1</v>
      </c>
      <c r="D83" s="7">
        <v>13</v>
      </c>
      <c r="E83" t="b">
        <v>0</v>
      </c>
      <c r="F83" s="7">
        <v>2</v>
      </c>
      <c r="G83" s="7">
        <v>1</v>
      </c>
      <c r="H83" s="6">
        <v>0.24</v>
      </c>
      <c r="I83" s="8">
        <v>0.2273</v>
      </c>
      <c r="J83" s="6">
        <v>0.56000000000000005</v>
      </c>
      <c r="K83" s="8">
        <v>0.19400000000000001</v>
      </c>
      <c r="L83" s="7">
        <v>18</v>
      </c>
      <c r="M83" s="7">
        <v>79</v>
      </c>
      <c r="N83" s="7">
        <v>97</v>
      </c>
      <c r="O83" t="s">
        <v>29</v>
      </c>
      <c r="P83" t="s">
        <v>56</v>
      </c>
      <c r="Q83" t="s">
        <v>31</v>
      </c>
      <c r="R83" t="s">
        <v>47</v>
      </c>
      <c r="S83" t="s">
        <v>33</v>
      </c>
      <c r="T83" t="s">
        <v>49</v>
      </c>
      <c r="U83" t="s">
        <v>46</v>
      </c>
      <c r="V83" t="s">
        <v>36</v>
      </c>
      <c r="W83" t="s">
        <v>37</v>
      </c>
      <c r="X83" s="6">
        <v>18.55670103092784</v>
      </c>
      <c r="Y83" s="6">
        <v>81.44329896907216</v>
      </c>
      <c r="Z83" t="s">
        <v>38</v>
      </c>
      <c r="AA83" t="s">
        <v>39</v>
      </c>
      <c r="AB83" t="s">
        <v>38</v>
      </c>
      <c r="AC83" s="8">
        <v>-1.2699999999999991E-2</v>
      </c>
    </row>
    <row r="84" spans="1:29" x14ac:dyDescent="0.3">
      <c r="A84" s="7">
        <v>83</v>
      </c>
      <c r="B84" s="1">
        <v>40547</v>
      </c>
      <c r="C84" s="7">
        <v>1</v>
      </c>
      <c r="D84" s="7">
        <v>14</v>
      </c>
      <c r="E84" t="b">
        <v>0</v>
      </c>
      <c r="F84" s="7">
        <v>2</v>
      </c>
      <c r="G84" s="7">
        <v>1</v>
      </c>
      <c r="H84" s="6">
        <v>0.26</v>
      </c>
      <c r="I84" s="8">
        <v>0.2576</v>
      </c>
      <c r="J84" s="6">
        <v>0.52</v>
      </c>
      <c r="K84" s="8">
        <v>0.22389999999999999</v>
      </c>
      <c r="L84" s="7">
        <v>9</v>
      </c>
      <c r="M84" s="7">
        <v>54</v>
      </c>
      <c r="N84" s="7">
        <v>63</v>
      </c>
      <c r="O84" t="s">
        <v>29</v>
      </c>
      <c r="P84" t="s">
        <v>56</v>
      </c>
      <c r="Q84" t="s">
        <v>31</v>
      </c>
      <c r="R84" t="s">
        <v>47</v>
      </c>
      <c r="S84" t="s">
        <v>44</v>
      </c>
      <c r="T84" t="s">
        <v>49</v>
      </c>
      <c r="U84" t="s">
        <v>46</v>
      </c>
      <c r="V84" t="s">
        <v>36</v>
      </c>
      <c r="W84" t="s">
        <v>37</v>
      </c>
      <c r="X84" s="6">
        <v>14.285714285714279</v>
      </c>
      <c r="Y84" s="6">
        <v>85.714285714285708</v>
      </c>
      <c r="Z84" t="s">
        <v>38</v>
      </c>
      <c r="AA84" t="s">
        <v>39</v>
      </c>
      <c r="AB84" t="s">
        <v>38</v>
      </c>
      <c r="AC84" s="8">
        <v>-2.4000000000000128E-3</v>
      </c>
    </row>
    <row r="85" spans="1:29" x14ac:dyDescent="0.3">
      <c r="A85" s="7">
        <v>84</v>
      </c>
      <c r="B85" s="1">
        <v>40547</v>
      </c>
      <c r="C85" s="7">
        <v>1</v>
      </c>
      <c r="D85" s="7">
        <v>15</v>
      </c>
      <c r="E85" t="b">
        <v>0</v>
      </c>
      <c r="F85" s="7">
        <v>2</v>
      </c>
      <c r="G85" s="7">
        <v>1</v>
      </c>
      <c r="H85" s="6">
        <v>0.28000000000000003</v>
      </c>
      <c r="I85" s="8">
        <v>0.2727</v>
      </c>
      <c r="J85" s="6">
        <v>0.52</v>
      </c>
      <c r="K85" s="8">
        <v>0.25369999999999998</v>
      </c>
      <c r="L85" s="7">
        <v>17</v>
      </c>
      <c r="M85" s="7">
        <v>48</v>
      </c>
      <c r="N85" s="7">
        <v>65</v>
      </c>
      <c r="O85" t="s">
        <v>29</v>
      </c>
      <c r="P85" t="s">
        <v>56</v>
      </c>
      <c r="Q85" t="s">
        <v>31</v>
      </c>
      <c r="R85" t="s">
        <v>47</v>
      </c>
      <c r="S85" t="s">
        <v>44</v>
      </c>
      <c r="T85" t="s">
        <v>49</v>
      </c>
      <c r="U85" t="s">
        <v>46</v>
      </c>
      <c r="V85" t="s">
        <v>36</v>
      </c>
      <c r="W85" t="s">
        <v>37</v>
      </c>
      <c r="X85" s="6">
        <v>26.15384615384616</v>
      </c>
      <c r="Y85" s="6">
        <v>73.846153846153854</v>
      </c>
      <c r="Z85" t="s">
        <v>38</v>
      </c>
      <c r="AA85" t="s">
        <v>39</v>
      </c>
      <c r="AB85" t="s">
        <v>38</v>
      </c>
      <c r="AC85" s="8">
        <v>-7.3000000000000287E-3</v>
      </c>
    </row>
    <row r="86" spans="1:29" x14ac:dyDescent="0.3">
      <c r="A86" s="7">
        <v>85</v>
      </c>
      <c r="B86" s="1">
        <v>40547</v>
      </c>
      <c r="C86" s="7">
        <v>1</v>
      </c>
      <c r="D86" s="7">
        <v>16</v>
      </c>
      <c r="E86" t="b">
        <v>0</v>
      </c>
      <c r="F86" s="7">
        <v>2</v>
      </c>
      <c r="G86" s="7">
        <v>1</v>
      </c>
      <c r="H86" s="6">
        <v>0.3</v>
      </c>
      <c r="I86" s="8">
        <v>0.28789999999999999</v>
      </c>
      <c r="J86" s="6">
        <v>0.49</v>
      </c>
      <c r="K86" s="8">
        <v>0.25369999999999998</v>
      </c>
      <c r="L86" s="7">
        <v>15</v>
      </c>
      <c r="M86" s="7">
        <v>68</v>
      </c>
      <c r="N86" s="7">
        <v>83</v>
      </c>
      <c r="O86" t="s">
        <v>29</v>
      </c>
      <c r="P86" t="s">
        <v>56</v>
      </c>
      <c r="Q86" t="s">
        <v>31</v>
      </c>
      <c r="R86" t="s">
        <v>47</v>
      </c>
      <c r="S86" t="s">
        <v>44</v>
      </c>
      <c r="T86" t="s">
        <v>49</v>
      </c>
      <c r="U86" t="s">
        <v>46</v>
      </c>
      <c r="V86" t="s">
        <v>36</v>
      </c>
      <c r="W86" t="s">
        <v>37</v>
      </c>
      <c r="X86" s="6">
        <v>18.07228915662651</v>
      </c>
      <c r="Y86" s="6">
        <v>81.92771084337349</v>
      </c>
      <c r="Z86" t="s">
        <v>38</v>
      </c>
      <c r="AA86" t="s">
        <v>39</v>
      </c>
      <c r="AB86" t="s">
        <v>38</v>
      </c>
      <c r="AC86" s="8">
        <v>-1.21E-2</v>
      </c>
    </row>
    <row r="87" spans="1:29" x14ac:dyDescent="0.3">
      <c r="A87" s="7">
        <v>86</v>
      </c>
      <c r="B87" s="1">
        <v>40547</v>
      </c>
      <c r="C87" s="7">
        <v>1</v>
      </c>
      <c r="D87" s="7">
        <v>17</v>
      </c>
      <c r="E87" t="b">
        <v>0</v>
      </c>
      <c r="F87" s="7">
        <v>2</v>
      </c>
      <c r="G87" s="7">
        <v>1</v>
      </c>
      <c r="H87" s="6">
        <v>0.28000000000000003</v>
      </c>
      <c r="I87" s="8">
        <v>0.2727</v>
      </c>
      <c r="J87" s="6">
        <v>0.48</v>
      </c>
      <c r="K87" s="8">
        <v>0.22389999999999999</v>
      </c>
      <c r="L87" s="7">
        <v>10</v>
      </c>
      <c r="M87" s="7">
        <v>202</v>
      </c>
      <c r="N87" s="7">
        <v>212</v>
      </c>
      <c r="O87" t="s">
        <v>29</v>
      </c>
      <c r="P87" t="s">
        <v>56</v>
      </c>
      <c r="Q87" t="s">
        <v>31</v>
      </c>
      <c r="R87" t="s">
        <v>50</v>
      </c>
      <c r="S87" t="s">
        <v>44</v>
      </c>
      <c r="T87" t="s">
        <v>49</v>
      </c>
      <c r="U87" t="s">
        <v>46</v>
      </c>
      <c r="V87" t="s">
        <v>36</v>
      </c>
      <c r="W87" t="s">
        <v>37</v>
      </c>
      <c r="X87" s="6">
        <v>4.716981132075472</v>
      </c>
      <c r="Y87" s="6">
        <v>95.283018867924525</v>
      </c>
      <c r="Z87" t="s">
        <v>40</v>
      </c>
      <c r="AA87" t="s">
        <v>49</v>
      </c>
      <c r="AB87" t="s">
        <v>38</v>
      </c>
      <c r="AC87" s="8">
        <v>-7.3000000000000287E-3</v>
      </c>
    </row>
    <row r="88" spans="1:29" x14ac:dyDescent="0.3">
      <c r="A88" s="7">
        <v>87</v>
      </c>
      <c r="B88" s="1">
        <v>40547</v>
      </c>
      <c r="C88" s="7">
        <v>1</v>
      </c>
      <c r="D88" s="7">
        <v>18</v>
      </c>
      <c r="E88" t="b">
        <v>0</v>
      </c>
      <c r="F88" s="7">
        <v>2</v>
      </c>
      <c r="G88" s="7">
        <v>1</v>
      </c>
      <c r="H88" s="6">
        <v>0.26</v>
      </c>
      <c r="I88" s="8">
        <v>0.2576</v>
      </c>
      <c r="J88" s="6">
        <v>0.48</v>
      </c>
      <c r="K88" s="8">
        <v>0.19400000000000001</v>
      </c>
      <c r="L88" s="7">
        <v>3</v>
      </c>
      <c r="M88" s="7">
        <v>179</v>
      </c>
      <c r="N88" s="7">
        <v>182</v>
      </c>
      <c r="O88" t="s">
        <v>29</v>
      </c>
      <c r="P88" t="s">
        <v>56</v>
      </c>
      <c r="Q88" t="s">
        <v>31</v>
      </c>
      <c r="R88" t="s">
        <v>50</v>
      </c>
      <c r="S88" t="s">
        <v>44</v>
      </c>
      <c r="T88" t="s">
        <v>49</v>
      </c>
      <c r="U88" t="s">
        <v>46</v>
      </c>
      <c r="V88" t="s">
        <v>36</v>
      </c>
      <c r="W88" t="s">
        <v>37</v>
      </c>
      <c r="X88" s="6">
        <v>1.648351648351648</v>
      </c>
      <c r="Y88" s="6">
        <v>98.35164835164835</v>
      </c>
      <c r="Z88" t="s">
        <v>40</v>
      </c>
      <c r="AA88" t="s">
        <v>49</v>
      </c>
      <c r="AB88" t="s">
        <v>38</v>
      </c>
      <c r="AC88" s="8">
        <v>-2.4000000000000128E-3</v>
      </c>
    </row>
    <row r="89" spans="1:29" x14ac:dyDescent="0.3">
      <c r="A89" s="7">
        <v>88</v>
      </c>
      <c r="B89" s="1">
        <v>40547</v>
      </c>
      <c r="C89" s="7">
        <v>1</v>
      </c>
      <c r="D89" s="7">
        <v>19</v>
      </c>
      <c r="E89" t="b">
        <v>0</v>
      </c>
      <c r="F89" s="7">
        <v>2</v>
      </c>
      <c r="G89" s="7">
        <v>1</v>
      </c>
      <c r="H89" s="6">
        <v>0.24</v>
      </c>
      <c r="I89" s="8">
        <v>0.2576</v>
      </c>
      <c r="J89" s="6">
        <v>0.48</v>
      </c>
      <c r="K89" s="8">
        <v>0.1045</v>
      </c>
      <c r="L89" s="7">
        <v>2</v>
      </c>
      <c r="M89" s="7">
        <v>110</v>
      </c>
      <c r="N89" s="7">
        <v>112</v>
      </c>
      <c r="O89" t="s">
        <v>29</v>
      </c>
      <c r="P89" t="s">
        <v>56</v>
      </c>
      <c r="Q89" t="s">
        <v>31</v>
      </c>
      <c r="R89" t="s">
        <v>50</v>
      </c>
      <c r="S89" t="s">
        <v>33</v>
      </c>
      <c r="T89" t="s">
        <v>49</v>
      </c>
      <c r="U89" t="s">
        <v>35</v>
      </c>
      <c r="V89" t="s">
        <v>36</v>
      </c>
      <c r="W89" t="s">
        <v>37</v>
      </c>
      <c r="X89" s="6">
        <v>1.785714285714286</v>
      </c>
      <c r="Y89" s="6">
        <v>98.214285714285708</v>
      </c>
      <c r="Z89" t="s">
        <v>40</v>
      </c>
      <c r="AA89" t="s">
        <v>49</v>
      </c>
      <c r="AB89" t="s">
        <v>38</v>
      </c>
      <c r="AC89" s="8">
        <v>1.7600000000000001E-2</v>
      </c>
    </row>
    <row r="90" spans="1:29" x14ac:dyDescent="0.3">
      <c r="A90" s="7">
        <v>89</v>
      </c>
      <c r="B90" s="1">
        <v>40547</v>
      </c>
      <c r="C90" s="7">
        <v>1</v>
      </c>
      <c r="D90" s="7">
        <v>20</v>
      </c>
      <c r="E90" t="b">
        <v>0</v>
      </c>
      <c r="F90" s="7">
        <v>2</v>
      </c>
      <c r="G90" s="7">
        <v>1</v>
      </c>
      <c r="H90" s="6">
        <v>0.24</v>
      </c>
      <c r="I90" s="8">
        <v>0.2576</v>
      </c>
      <c r="J90" s="6">
        <v>0.48</v>
      </c>
      <c r="K90" s="8">
        <v>0.1045</v>
      </c>
      <c r="L90" s="7">
        <v>1</v>
      </c>
      <c r="M90" s="7">
        <v>53</v>
      </c>
      <c r="N90" s="7">
        <v>54</v>
      </c>
      <c r="O90" t="s">
        <v>29</v>
      </c>
      <c r="P90" t="s">
        <v>56</v>
      </c>
      <c r="Q90" t="s">
        <v>31</v>
      </c>
      <c r="R90" t="s">
        <v>50</v>
      </c>
      <c r="S90" t="s">
        <v>33</v>
      </c>
      <c r="T90" t="s">
        <v>49</v>
      </c>
      <c r="U90" t="s">
        <v>35</v>
      </c>
      <c r="V90" t="s">
        <v>36</v>
      </c>
      <c r="W90" t="s">
        <v>37</v>
      </c>
      <c r="X90" s="6">
        <v>1.8518518518518521</v>
      </c>
      <c r="Y90" s="6">
        <v>98.148148148148152</v>
      </c>
      <c r="Z90" t="s">
        <v>38</v>
      </c>
      <c r="AA90" t="s">
        <v>39</v>
      </c>
      <c r="AB90" t="s">
        <v>38</v>
      </c>
      <c r="AC90" s="8">
        <v>1.7600000000000001E-2</v>
      </c>
    </row>
    <row r="91" spans="1:29" x14ac:dyDescent="0.3">
      <c r="A91" s="7">
        <v>90</v>
      </c>
      <c r="B91" s="1">
        <v>40547</v>
      </c>
      <c r="C91" s="7">
        <v>1</v>
      </c>
      <c r="D91" s="7">
        <v>21</v>
      </c>
      <c r="E91" t="b">
        <v>0</v>
      </c>
      <c r="F91" s="7">
        <v>2</v>
      </c>
      <c r="G91" s="7">
        <v>1</v>
      </c>
      <c r="H91" s="6">
        <v>0.22</v>
      </c>
      <c r="I91" s="8">
        <v>0.2727</v>
      </c>
      <c r="J91" s="6">
        <v>0.64</v>
      </c>
      <c r="K91" s="8">
        <v>0</v>
      </c>
      <c r="L91" s="7">
        <v>0</v>
      </c>
      <c r="M91" s="7">
        <v>48</v>
      </c>
      <c r="N91" s="7">
        <v>48</v>
      </c>
      <c r="O91" t="s">
        <v>29</v>
      </c>
      <c r="P91" t="s">
        <v>56</v>
      </c>
      <c r="Q91" t="s">
        <v>31</v>
      </c>
      <c r="R91" t="s">
        <v>32</v>
      </c>
      <c r="S91" t="s">
        <v>33</v>
      </c>
      <c r="T91" t="s">
        <v>49</v>
      </c>
      <c r="U91" t="s">
        <v>35</v>
      </c>
      <c r="V91" t="s">
        <v>36</v>
      </c>
      <c r="W91" t="s">
        <v>37</v>
      </c>
      <c r="X91" s="6">
        <v>0</v>
      </c>
      <c r="Y91" s="6">
        <v>100</v>
      </c>
      <c r="Z91" t="s">
        <v>38</v>
      </c>
      <c r="AA91" t="s">
        <v>39</v>
      </c>
      <c r="AB91" t="s">
        <v>38</v>
      </c>
      <c r="AC91" s="8">
        <v>5.2699999999999997E-2</v>
      </c>
    </row>
    <row r="92" spans="1:29" x14ac:dyDescent="0.3">
      <c r="A92" s="7">
        <v>91</v>
      </c>
      <c r="B92" s="1">
        <v>40547</v>
      </c>
      <c r="C92" s="7">
        <v>1</v>
      </c>
      <c r="D92" s="7">
        <v>22</v>
      </c>
      <c r="E92" t="b">
        <v>0</v>
      </c>
      <c r="F92" s="7">
        <v>2</v>
      </c>
      <c r="G92" s="7">
        <v>1</v>
      </c>
      <c r="H92" s="6">
        <v>0.22</v>
      </c>
      <c r="I92" s="8">
        <v>0.2576</v>
      </c>
      <c r="J92" s="6">
        <v>0.64</v>
      </c>
      <c r="K92" s="8">
        <v>8.9599999999999999E-2</v>
      </c>
      <c r="L92" s="7">
        <v>1</v>
      </c>
      <c r="M92" s="7">
        <v>34</v>
      </c>
      <c r="N92" s="7">
        <v>35</v>
      </c>
      <c r="O92" t="s">
        <v>29</v>
      </c>
      <c r="P92" t="s">
        <v>56</v>
      </c>
      <c r="Q92" t="s">
        <v>31</v>
      </c>
      <c r="R92" t="s">
        <v>32</v>
      </c>
      <c r="S92" t="s">
        <v>33</v>
      </c>
      <c r="T92" t="s">
        <v>49</v>
      </c>
      <c r="U92" t="s">
        <v>35</v>
      </c>
      <c r="V92" t="s">
        <v>36</v>
      </c>
      <c r="W92" t="s">
        <v>37</v>
      </c>
      <c r="X92" s="6">
        <v>2.8571428571428572</v>
      </c>
      <c r="Y92" s="6">
        <v>97.142857142857139</v>
      </c>
      <c r="Z92" t="s">
        <v>38</v>
      </c>
      <c r="AA92" t="s">
        <v>39</v>
      </c>
      <c r="AB92" t="s">
        <v>38</v>
      </c>
      <c r="AC92" s="8">
        <v>3.7599999999999988E-2</v>
      </c>
    </row>
    <row r="93" spans="1:29" x14ac:dyDescent="0.3">
      <c r="A93" s="7">
        <v>92</v>
      </c>
      <c r="B93" s="1">
        <v>40547</v>
      </c>
      <c r="C93" s="7">
        <v>1</v>
      </c>
      <c r="D93" s="7">
        <v>23</v>
      </c>
      <c r="E93" t="b">
        <v>0</v>
      </c>
      <c r="F93" s="7">
        <v>2</v>
      </c>
      <c r="G93" s="7">
        <v>1</v>
      </c>
      <c r="H93" s="6">
        <v>0.2</v>
      </c>
      <c r="I93" s="8">
        <v>0.2273</v>
      </c>
      <c r="J93" s="6">
        <v>0.69</v>
      </c>
      <c r="K93" s="8">
        <v>8.9599999999999999E-2</v>
      </c>
      <c r="L93" s="7">
        <v>2</v>
      </c>
      <c r="M93" s="7">
        <v>9</v>
      </c>
      <c r="N93" s="7">
        <v>11</v>
      </c>
      <c r="O93" t="s">
        <v>29</v>
      </c>
      <c r="P93" t="s">
        <v>56</v>
      </c>
      <c r="Q93" t="s">
        <v>31</v>
      </c>
      <c r="R93" t="s">
        <v>32</v>
      </c>
      <c r="S93" t="s">
        <v>33</v>
      </c>
      <c r="T93" t="s">
        <v>49</v>
      </c>
      <c r="U93" t="s">
        <v>35</v>
      </c>
      <c r="V93" t="s">
        <v>36</v>
      </c>
      <c r="W93" t="s">
        <v>37</v>
      </c>
      <c r="X93" s="6">
        <v>18.18181818181818</v>
      </c>
      <c r="Y93" s="6">
        <v>81.818181818181827</v>
      </c>
      <c r="Z93" t="s">
        <v>38</v>
      </c>
      <c r="AA93" t="s">
        <v>39</v>
      </c>
      <c r="AB93" t="s">
        <v>38</v>
      </c>
      <c r="AC93" s="8">
        <v>2.7299999999999991E-2</v>
      </c>
    </row>
    <row r="94" spans="1:29" x14ac:dyDescent="0.3">
      <c r="A94" s="7">
        <v>93</v>
      </c>
      <c r="B94" s="1">
        <v>40548</v>
      </c>
      <c r="C94" s="7">
        <v>1</v>
      </c>
      <c r="D94" s="7">
        <v>0</v>
      </c>
      <c r="E94" t="b">
        <v>0</v>
      </c>
      <c r="F94" s="7">
        <v>3</v>
      </c>
      <c r="G94" s="7">
        <v>1</v>
      </c>
      <c r="H94" s="6">
        <v>0.2</v>
      </c>
      <c r="I94" s="8">
        <v>0.2576</v>
      </c>
      <c r="J94" s="6">
        <v>0.64</v>
      </c>
      <c r="K94" s="8">
        <v>0</v>
      </c>
      <c r="L94" s="7">
        <v>0</v>
      </c>
      <c r="M94" s="7">
        <v>6</v>
      </c>
      <c r="N94" s="7">
        <v>6</v>
      </c>
      <c r="O94" t="s">
        <v>29</v>
      </c>
      <c r="P94" t="s">
        <v>57</v>
      </c>
      <c r="Q94" t="s">
        <v>31</v>
      </c>
      <c r="R94" t="s">
        <v>32</v>
      </c>
      <c r="S94" t="s">
        <v>33</v>
      </c>
      <c r="T94" t="s">
        <v>49</v>
      </c>
      <c r="U94" t="s">
        <v>35</v>
      </c>
      <c r="V94" t="s">
        <v>36</v>
      </c>
      <c r="W94" t="s">
        <v>37</v>
      </c>
      <c r="X94" s="6">
        <v>0</v>
      </c>
      <c r="Y94" s="6">
        <v>100</v>
      </c>
      <c r="Z94" t="s">
        <v>38</v>
      </c>
      <c r="AA94" t="s">
        <v>39</v>
      </c>
      <c r="AB94" t="s">
        <v>38</v>
      </c>
      <c r="AC94" s="8">
        <v>5.7599999999999978E-2</v>
      </c>
    </row>
    <row r="95" spans="1:29" x14ac:dyDescent="0.3">
      <c r="A95" s="7">
        <v>94</v>
      </c>
      <c r="B95" s="1">
        <v>40548</v>
      </c>
      <c r="C95" s="7">
        <v>1</v>
      </c>
      <c r="D95" s="7">
        <v>1</v>
      </c>
      <c r="E95" t="b">
        <v>0</v>
      </c>
      <c r="F95" s="7">
        <v>3</v>
      </c>
      <c r="G95" s="7">
        <v>1</v>
      </c>
      <c r="H95" s="6">
        <v>0.16</v>
      </c>
      <c r="I95" s="8">
        <v>0.19700000000000001</v>
      </c>
      <c r="J95" s="6">
        <v>0.74</v>
      </c>
      <c r="K95" s="8">
        <v>8.9599999999999999E-2</v>
      </c>
      <c r="L95" s="7">
        <v>0</v>
      </c>
      <c r="M95" s="7">
        <v>6</v>
      </c>
      <c r="N95" s="7">
        <v>6</v>
      </c>
      <c r="O95" t="s">
        <v>29</v>
      </c>
      <c r="P95" t="s">
        <v>57</v>
      </c>
      <c r="Q95" t="s">
        <v>31</v>
      </c>
      <c r="R95" t="s">
        <v>32</v>
      </c>
      <c r="S95" t="s">
        <v>33</v>
      </c>
      <c r="T95" t="s">
        <v>34</v>
      </c>
      <c r="U95" t="s">
        <v>35</v>
      </c>
      <c r="V95" t="s">
        <v>36</v>
      </c>
      <c r="W95" t="s">
        <v>37</v>
      </c>
      <c r="X95" s="6">
        <v>0</v>
      </c>
      <c r="Y95" s="6">
        <v>100</v>
      </c>
      <c r="Z95" t="s">
        <v>38</v>
      </c>
      <c r="AA95" t="s">
        <v>39</v>
      </c>
      <c r="AB95" t="s">
        <v>38</v>
      </c>
      <c r="AC95" s="8">
        <v>3.7000000000000012E-2</v>
      </c>
    </row>
    <row r="96" spans="1:29" x14ac:dyDescent="0.3">
      <c r="A96" s="7">
        <v>95</v>
      </c>
      <c r="B96" s="1">
        <v>40548</v>
      </c>
      <c r="C96" s="7">
        <v>1</v>
      </c>
      <c r="D96" s="7">
        <v>2</v>
      </c>
      <c r="E96" t="b">
        <v>0</v>
      </c>
      <c r="F96" s="7">
        <v>3</v>
      </c>
      <c r="G96" s="7">
        <v>1</v>
      </c>
      <c r="H96" s="6">
        <v>0.16</v>
      </c>
      <c r="I96" s="8">
        <v>0.19700000000000001</v>
      </c>
      <c r="J96" s="6">
        <v>0.74</v>
      </c>
      <c r="K96" s="8">
        <v>8.9599999999999999E-2</v>
      </c>
      <c r="L96" s="7">
        <v>0</v>
      </c>
      <c r="M96" s="7">
        <v>2</v>
      </c>
      <c r="N96" s="7">
        <v>2</v>
      </c>
      <c r="O96" t="s">
        <v>29</v>
      </c>
      <c r="P96" t="s">
        <v>57</v>
      </c>
      <c r="Q96" t="s">
        <v>31</v>
      </c>
      <c r="R96" t="s">
        <v>32</v>
      </c>
      <c r="S96" t="s">
        <v>33</v>
      </c>
      <c r="T96" t="s">
        <v>34</v>
      </c>
      <c r="U96" t="s">
        <v>35</v>
      </c>
      <c r="V96" t="s">
        <v>36</v>
      </c>
      <c r="W96" t="s">
        <v>37</v>
      </c>
      <c r="X96" s="6">
        <v>0</v>
      </c>
      <c r="Y96" s="6">
        <v>100</v>
      </c>
      <c r="Z96" t="s">
        <v>38</v>
      </c>
      <c r="AA96" t="s">
        <v>39</v>
      </c>
      <c r="AB96" t="s">
        <v>38</v>
      </c>
      <c r="AC96" s="8">
        <v>3.7000000000000012E-2</v>
      </c>
    </row>
    <row r="97" spans="1:29" x14ac:dyDescent="0.3">
      <c r="A97" s="7">
        <v>96</v>
      </c>
      <c r="B97" s="1">
        <v>40548</v>
      </c>
      <c r="C97" s="7">
        <v>1</v>
      </c>
      <c r="D97" s="7">
        <v>4</v>
      </c>
      <c r="E97" t="b">
        <v>0</v>
      </c>
      <c r="F97" s="7">
        <v>3</v>
      </c>
      <c r="G97" s="7">
        <v>1</v>
      </c>
      <c r="H97" s="6">
        <v>0.24</v>
      </c>
      <c r="I97" s="8">
        <v>0.2273</v>
      </c>
      <c r="J97" s="6">
        <v>0.48</v>
      </c>
      <c r="K97" s="8">
        <v>0.22389999999999999</v>
      </c>
      <c r="L97" s="7">
        <v>0</v>
      </c>
      <c r="M97" s="7">
        <v>2</v>
      </c>
      <c r="N97" s="7">
        <v>2</v>
      </c>
      <c r="O97" t="s">
        <v>29</v>
      </c>
      <c r="P97" t="s">
        <v>57</v>
      </c>
      <c r="Q97" t="s">
        <v>31</v>
      </c>
      <c r="R97" t="s">
        <v>32</v>
      </c>
      <c r="S97" t="s">
        <v>33</v>
      </c>
      <c r="T97" t="s">
        <v>49</v>
      </c>
      <c r="U97" t="s">
        <v>46</v>
      </c>
      <c r="V97" t="s">
        <v>36</v>
      </c>
      <c r="W97" t="s">
        <v>37</v>
      </c>
      <c r="X97" s="6">
        <v>0</v>
      </c>
      <c r="Y97" s="6">
        <v>100</v>
      </c>
      <c r="Z97" t="s">
        <v>38</v>
      </c>
      <c r="AA97" t="s">
        <v>39</v>
      </c>
      <c r="AB97" t="s">
        <v>38</v>
      </c>
      <c r="AC97" s="8">
        <v>-1.2699999999999991E-2</v>
      </c>
    </row>
    <row r="98" spans="1:29" x14ac:dyDescent="0.3">
      <c r="A98" s="7">
        <v>97</v>
      </c>
      <c r="B98" s="1">
        <v>40548</v>
      </c>
      <c r="C98" s="7">
        <v>1</v>
      </c>
      <c r="D98" s="7">
        <v>5</v>
      </c>
      <c r="E98" t="b">
        <v>0</v>
      </c>
      <c r="F98" s="7">
        <v>3</v>
      </c>
      <c r="G98" s="7">
        <v>1</v>
      </c>
      <c r="H98" s="6">
        <v>0.22</v>
      </c>
      <c r="I98" s="8">
        <v>0.2273</v>
      </c>
      <c r="J98" s="6">
        <v>0.47</v>
      </c>
      <c r="K98" s="8">
        <v>0.16420000000000001</v>
      </c>
      <c r="L98" s="7">
        <v>0</v>
      </c>
      <c r="M98" s="7">
        <v>3</v>
      </c>
      <c r="N98" s="7">
        <v>3</v>
      </c>
      <c r="O98" t="s">
        <v>29</v>
      </c>
      <c r="P98" t="s">
        <v>57</v>
      </c>
      <c r="Q98" t="s">
        <v>31</v>
      </c>
      <c r="R98" t="s">
        <v>32</v>
      </c>
      <c r="S98" t="s">
        <v>33</v>
      </c>
      <c r="T98" t="s">
        <v>49</v>
      </c>
      <c r="U98" t="s">
        <v>46</v>
      </c>
      <c r="V98" t="s">
        <v>36</v>
      </c>
      <c r="W98" t="s">
        <v>37</v>
      </c>
      <c r="X98" s="6">
        <v>0</v>
      </c>
      <c r="Y98" s="6">
        <v>100</v>
      </c>
      <c r="Z98" t="s">
        <v>38</v>
      </c>
      <c r="AA98" t="s">
        <v>39</v>
      </c>
      <c r="AB98" t="s">
        <v>38</v>
      </c>
      <c r="AC98" s="8">
        <v>7.3000000000000009E-3</v>
      </c>
    </row>
    <row r="99" spans="1:29" x14ac:dyDescent="0.3">
      <c r="A99" s="7">
        <v>98</v>
      </c>
      <c r="B99" s="1">
        <v>40548</v>
      </c>
      <c r="C99" s="7">
        <v>1</v>
      </c>
      <c r="D99" s="7">
        <v>6</v>
      </c>
      <c r="E99" t="b">
        <v>0</v>
      </c>
      <c r="F99" s="7">
        <v>3</v>
      </c>
      <c r="G99" s="7">
        <v>1</v>
      </c>
      <c r="H99" s="6">
        <v>0.2</v>
      </c>
      <c r="I99" s="8">
        <v>0.19700000000000001</v>
      </c>
      <c r="J99" s="6">
        <v>0.47</v>
      </c>
      <c r="K99" s="8">
        <v>0.22389999999999999</v>
      </c>
      <c r="L99" s="7">
        <v>0</v>
      </c>
      <c r="M99" s="7">
        <v>33</v>
      </c>
      <c r="N99" s="7">
        <v>33</v>
      </c>
      <c r="O99" t="s">
        <v>29</v>
      </c>
      <c r="P99" t="s">
        <v>57</v>
      </c>
      <c r="Q99" t="s">
        <v>31</v>
      </c>
      <c r="R99" t="s">
        <v>42</v>
      </c>
      <c r="S99" t="s">
        <v>33</v>
      </c>
      <c r="T99" t="s">
        <v>49</v>
      </c>
      <c r="U99" t="s">
        <v>46</v>
      </c>
      <c r="V99" t="s">
        <v>36</v>
      </c>
      <c r="W99" t="s">
        <v>37</v>
      </c>
      <c r="X99" s="6">
        <v>0</v>
      </c>
      <c r="Y99" s="6">
        <v>100</v>
      </c>
      <c r="Z99" t="s">
        <v>38</v>
      </c>
      <c r="AA99" t="s">
        <v>39</v>
      </c>
      <c r="AB99" t="s">
        <v>38</v>
      </c>
      <c r="AC99" s="8">
        <v>-3.0000000000000031E-3</v>
      </c>
    </row>
    <row r="100" spans="1:29" x14ac:dyDescent="0.3">
      <c r="A100" s="7">
        <v>99</v>
      </c>
      <c r="B100" s="1">
        <v>40548</v>
      </c>
      <c r="C100" s="7">
        <v>1</v>
      </c>
      <c r="D100" s="7">
        <v>7</v>
      </c>
      <c r="E100" t="b">
        <v>0</v>
      </c>
      <c r="F100" s="7">
        <v>3</v>
      </c>
      <c r="G100" s="7">
        <v>1</v>
      </c>
      <c r="H100" s="6">
        <v>0.18</v>
      </c>
      <c r="I100" s="8">
        <v>0.18179999999999999</v>
      </c>
      <c r="J100" s="6">
        <v>0.43</v>
      </c>
      <c r="K100" s="8">
        <v>0.19400000000000001</v>
      </c>
      <c r="L100" s="7">
        <v>1</v>
      </c>
      <c r="M100" s="7">
        <v>87</v>
      </c>
      <c r="N100" s="7">
        <v>88</v>
      </c>
      <c r="O100" t="s">
        <v>29</v>
      </c>
      <c r="P100" t="s">
        <v>57</v>
      </c>
      <c r="Q100" t="s">
        <v>31</v>
      </c>
      <c r="R100" t="s">
        <v>42</v>
      </c>
      <c r="S100" t="s">
        <v>33</v>
      </c>
      <c r="T100" t="s">
        <v>49</v>
      </c>
      <c r="U100" t="s">
        <v>46</v>
      </c>
      <c r="V100" t="s">
        <v>36</v>
      </c>
      <c r="W100" t="s">
        <v>37</v>
      </c>
      <c r="X100" s="6">
        <v>1.136363636363636</v>
      </c>
      <c r="Y100" s="6">
        <v>98.86363636363636</v>
      </c>
      <c r="Z100" t="s">
        <v>40</v>
      </c>
      <c r="AA100" t="s">
        <v>39</v>
      </c>
      <c r="AB100" t="s">
        <v>38</v>
      </c>
      <c r="AC100" s="8">
        <v>1.799999999999996E-3</v>
      </c>
    </row>
    <row r="101" spans="1:29" x14ac:dyDescent="0.3">
      <c r="A101" s="7">
        <v>100</v>
      </c>
      <c r="B101" s="1">
        <v>40548</v>
      </c>
      <c r="C101" s="7">
        <v>1</v>
      </c>
      <c r="D101" s="7">
        <v>8</v>
      </c>
      <c r="E101" t="b">
        <v>0</v>
      </c>
      <c r="F101" s="7">
        <v>3</v>
      </c>
      <c r="G101" s="7">
        <v>1</v>
      </c>
      <c r="H101" s="6">
        <v>0.2</v>
      </c>
      <c r="I101" s="8">
        <v>0.18179999999999999</v>
      </c>
      <c r="J101" s="6">
        <v>0.4</v>
      </c>
      <c r="K101" s="8">
        <v>0.29849999999999999</v>
      </c>
      <c r="L101" s="7">
        <v>3</v>
      </c>
      <c r="M101" s="7">
        <v>192</v>
      </c>
      <c r="N101" s="7">
        <v>195</v>
      </c>
      <c r="O101" t="s">
        <v>29</v>
      </c>
      <c r="P101" t="s">
        <v>57</v>
      </c>
      <c r="Q101" t="s">
        <v>31</v>
      </c>
      <c r="R101" t="s">
        <v>42</v>
      </c>
      <c r="S101" t="s">
        <v>33</v>
      </c>
      <c r="T101" t="s">
        <v>49</v>
      </c>
      <c r="U101" t="s">
        <v>46</v>
      </c>
      <c r="V101" t="s">
        <v>36</v>
      </c>
      <c r="W101" t="s">
        <v>37</v>
      </c>
      <c r="X101" s="6">
        <v>1.538461538461539</v>
      </c>
      <c r="Y101" s="6">
        <v>98.461538461538467</v>
      </c>
      <c r="Z101" t="s">
        <v>40</v>
      </c>
      <c r="AA101" t="s">
        <v>49</v>
      </c>
      <c r="AB101" t="s">
        <v>38</v>
      </c>
      <c r="AC101" s="8">
        <v>-1.8200000000000022E-2</v>
      </c>
    </row>
    <row r="102" spans="1:29" x14ac:dyDescent="0.3">
      <c r="A102" s="7">
        <v>101</v>
      </c>
      <c r="B102" s="1">
        <v>40548</v>
      </c>
      <c r="C102" s="7">
        <v>1</v>
      </c>
      <c r="D102" s="7">
        <v>9</v>
      </c>
      <c r="E102" t="b">
        <v>0</v>
      </c>
      <c r="F102" s="7">
        <v>3</v>
      </c>
      <c r="G102" s="7">
        <v>1</v>
      </c>
      <c r="H102" s="6">
        <v>0.22</v>
      </c>
      <c r="I102" s="8">
        <v>0.19700000000000001</v>
      </c>
      <c r="J102" s="6">
        <v>0.37</v>
      </c>
      <c r="K102" s="8">
        <v>0.32840000000000003</v>
      </c>
      <c r="L102" s="7">
        <v>6</v>
      </c>
      <c r="M102" s="7">
        <v>109</v>
      </c>
      <c r="N102" s="7">
        <v>115</v>
      </c>
      <c r="O102" t="s">
        <v>29</v>
      </c>
      <c r="P102" t="s">
        <v>57</v>
      </c>
      <c r="Q102" t="s">
        <v>31</v>
      </c>
      <c r="R102" t="s">
        <v>42</v>
      </c>
      <c r="S102" t="s">
        <v>33</v>
      </c>
      <c r="T102" t="s">
        <v>39</v>
      </c>
      <c r="U102" t="s">
        <v>53</v>
      </c>
      <c r="V102" t="s">
        <v>36</v>
      </c>
      <c r="W102" t="s">
        <v>37</v>
      </c>
      <c r="X102" s="6">
        <v>5.2173913043478262</v>
      </c>
      <c r="Y102" s="6">
        <v>94.782608695652172</v>
      </c>
      <c r="Z102" t="s">
        <v>40</v>
      </c>
      <c r="AA102" t="s">
        <v>49</v>
      </c>
      <c r="AB102" t="s">
        <v>38</v>
      </c>
      <c r="AC102" s="8">
        <v>-2.2999999999999989E-2</v>
      </c>
    </row>
    <row r="103" spans="1:29" x14ac:dyDescent="0.3">
      <c r="A103" s="7">
        <v>102</v>
      </c>
      <c r="B103" s="1">
        <v>40548</v>
      </c>
      <c r="C103" s="7">
        <v>1</v>
      </c>
      <c r="D103" s="7">
        <v>10</v>
      </c>
      <c r="E103" t="b">
        <v>0</v>
      </c>
      <c r="F103" s="7">
        <v>3</v>
      </c>
      <c r="G103" s="7">
        <v>1</v>
      </c>
      <c r="H103" s="6">
        <v>0.22</v>
      </c>
      <c r="I103" s="8">
        <v>0.19700000000000001</v>
      </c>
      <c r="J103" s="6">
        <v>0.37</v>
      </c>
      <c r="K103" s="8">
        <v>0.32840000000000003</v>
      </c>
      <c r="L103" s="7">
        <v>4</v>
      </c>
      <c r="M103" s="7">
        <v>53</v>
      </c>
      <c r="N103" s="7">
        <v>57</v>
      </c>
      <c r="O103" t="s">
        <v>29</v>
      </c>
      <c r="P103" t="s">
        <v>57</v>
      </c>
      <c r="Q103" t="s">
        <v>31</v>
      </c>
      <c r="R103" t="s">
        <v>42</v>
      </c>
      <c r="S103" t="s">
        <v>33</v>
      </c>
      <c r="T103" t="s">
        <v>39</v>
      </c>
      <c r="U103" t="s">
        <v>53</v>
      </c>
      <c r="V103" t="s">
        <v>36</v>
      </c>
      <c r="W103" t="s">
        <v>37</v>
      </c>
      <c r="X103" s="6">
        <v>7.0175438596491224</v>
      </c>
      <c r="Y103" s="6">
        <v>92.982456140350877</v>
      </c>
      <c r="Z103" t="s">
        <v>38</v>
      </c>
      <c r="AA103" t="s">
        <v>39</v>
      </c>
      <c r="AB103" t="s">
        <v>38</v>
      </c>
      <c r="AC103" s="8">
        <v>-2.2999999999999989E-2</v>
      </c>
    </row>
    <row r="104" spans="1:29" x14ac:dyDescent="0.3">
      <c r="A104" s="7">
        <v>103</v>
      </c>
      <c r="B104" s="1">
        <v>40548</v>
      </c>
      <c r="C104" s="7">
        <v>1</v>
      </c>
      <c r="D104" s="7">
        <v>11</v>
      </c>
      <c r="E104" t="b">
        <v>0</v>
      </c>
      <c r="F104" s="7">
        <v>3</v>
      </c>
      <c r="G104" s="7">
        <v>1</v>
      </c>
      <c r="H104" s="6">
        <v>0.26</v>
      </c>
      <c r="I104" s="8">
        <v>0.2273</v>
      </c>
      <c r="J104" s="6">
        <v>0.33</v>
      </c>
      <c r="K104" s="8">
        <v>0.32840000000000003</v>
      </c>
      <c r="L104" s="7">
        <v>12</v>
      </c>
      <c r="M104" s="7">
        <v>34</v>
      </c>
      <c r="N104" s="7">
        <v>46</v>
      </c>
      <c r="O104" t="s">
        <v>29</v>
      </c>
      <c r="P104" t="s">
        <v>57</v>
      </c>
      <c r="Q104" t="s">
        <v>31</v>
      </c>
      <c r="R104" t="s">
        <v>42</v>
      </c>
      <c r="S104" t="s">
        <v>44</v>
      </c>
      <c r="T104" t="s">
        <v>39</v>
      </c>
      <c r="U104" t="s">
        <v>53</v>
      </c>
      <c r="V104" t="s">
        <v>36</v>
      </c>
      <c r="W104" t="s">
        <v>37</v>
      </c>
      <c r="X104" s="6">
        <v>26.086956521739129</v>
      </c>
      <c r="Y104" s="6">
        <v>73.91304347826086</v>
      </c>
      <c r="Z104" t="s">
        <v>38</v>
      </c>
      <c r="AA104" t="s">
        <v>39</v>
      </c>
      <c r="AB104" t="s">
        <v>38</v>
      </c>
      <c r="AC104" s="8">
        <v>-3.2700000000000007E-2</v>
      </c>
    </row>
    <row r="105" spans="1:29" x14ac:dyDescent="0.3">
      <c r="A105" s="7">
        <v>104</v>
      </c>
      <c r="B105" s="1">
        <v>40548</v>
      </c>
      <c r="C105" s="7">
        <v>1</v>
      </c>
      <c r="D105" s="7">
        <v>12</v>
      </c>
      <c r="E105" t="b">
        <v>0</v>
      </c>
      <c r="F105" s="7">
        <v>3</v>
      </c>
      <c r="G105" s="7">
        <v>1</v>
      </c>
      <c r="H105" s="6">
        <v>0.26</v>
      </c>
      <c r="I105" s="8">
        <v>0.2273</v>
      </c>
      <c r="J105" s="6">
        <v>0.33</v>
      </c>
      <c r="K105" s="8">
        <v>0.32840000000000003</v>
      </c>
      <c r="L105" s="7">
        <v>5</v>
      </c>
      <c r="M105" s="7">
        <v>74</v>
      </c>
      <c r="N105" s="7">
        <v>79</v>
      </c>
      <c r="O105" t="s">
        <v>29</v>
      </c>
      <c r="P105" t="s">
        <v>57</v>
      </c>
      <c r="Q105" t="s">
        <v>31</v>
      </c>
      <c r="R105" t="s">
        <v>47</v>
      </c>
      <c r="S105" t="s">
        <v>44</v>
      </c>
      <c r="T105" t="s">
        <v>39</v>
      </c>
      <c r="U105" t="s">
        <v>53</v>
      </c>
      <c r="V105" t="s">
        <v>36</v>
      </c>
      <c r="W105" t="s">
        <v>37</v>
      </c>
      <c r="X105" s="6">
        <v>6.3291139240506329</v>
      </c>
      <c r="Y105" s="6">
        <v>93.670886075949369</v>
      </c>
      <c r="Z105" t="s">
        <v>38</v>
      </c>
      <c r="AA105" t="s">
        <v>39</v>
      </c>
      <c r="AB105" t="s">
        <v>38</v>
      </c>
      <c r="AC105" s="8">
        <v>-3.2700000000000007E-2</v>
      </c>
    </row>
    <row r="106" spans="1:29" x14ac:dyDescent="0.3">
      <c r="A106" s="7">
        <v>105</v>
      </c>
      <c r="B106" s="1">
        <v>40548</v>
      </c>
      <c r="C106" s="7">
        <v>1</v>
      </c>
      <c r="D106" s="7">
        <v>13</v>
      </c>
      <c r="E106" t="b">
        <v>0</v>
      </c>
      <c r="F106" s="7">
        <v>3</v>
      </c>
      <c r="G106" s="7">
        <v>1</v>
      </c>
      <c r="H106" s="6">
        <v>0.28000000000000003</v>
      </c>
      <c r="I106" s="8">
        <v>0.2576</v>
      </c>
      <c r="J106" s="6">
        <v>0.3</v>
      </c>
      <c r="K106" s="8">
        <v>0.29849999999999999</v>
      </c>
      <c r="L106" s="7">
        <v>6</v>
      </c>
      <c r="M106" s="7">
        <v>65</v>
      </c>
      <c r="N106" s="7">
        <v>71</v>
      </c>
      <c r="O106" t="s">
        <v>29</v>
      </c>
      <c r="P106" t="s">
        <v>57</v>
      </c>
      <c r="Q106" t="s">
        <v>31</v>
      </c>
      <c r="R106" t="s">
        <v>47</v>
      </c>
      <c r="S106" t="s">
        <v>44</v>
      </c>
      <c r="T106" t="s">
        <v>39</v>
      </c>
      <c r="U106" t="s">
        <v>46</v>
      </c>
      <c r="V106" t="s">
        <v>36</v>
      </c>
      <c r="W106" t="s">
        <v>37</v>
      </c>
      <c r="X106" s="6">
        <v>8.4507042253521121</v>
      </c>
      <c r="Y106" s="6">
        <v>91.549295774647888</v>
      </c>
      <c r="Z106" t="s">
        <v>38</v>
      </c>
      <c r="AA106" t="s">
        <v>39</v>
      </c>
      <c r="AB106" t="s">
        <v>38</v>
      </c>
      <c r="AC106" s="8">
        <v>-2.2400000000000031E-2</v>
      </c>
    </row>
    <row r="107" spans="1:29" x14ac:dyDescent="0.3">
      <c r="A107" s="7">
        <v>106</v>
      </c>
      <c r="B107" s="1">
        <v>40548</v>
      </c>
      <c r="C107" s="7">
        <v>1</v>
      </c>
      <c r="D107" s="7">
        <v>14</v>
      </c>
      <c r="E107" t="b">
        <v>0</v>
      </c>
      <c r="F107" s="7">
        <v>3</v>
      </c>
      <c r="G107" s="7">
        <v>1</v>
      </c>
      <c r="H107" s="6">
        <v>0.3</v>
      </c>
      <c r="I107" s="8">
        <v>0.28789999999999999</v>
      </c>
      <c r="J107" s="6">
        <v>0.28000000000000003</v>
      </c>
      <c r="K107" s="8">
        <v>0.19400000000000001</v>
      </c>
      <c r="L107" s="7">
        <v>10</v>
      </c>
      <c r="M107" s="7">
        <v>52</v>
      </c>
      <c r="N107" s="7">
        <v>62</v>
      </c>
      <c r="O107" t="s">
        <v>29</v>
      </c>
      <c r="P107" t="s">
        <v>57</v>
      </c>
      <c r="Q107" t="s">
        <v>31</v>
      </c>
      <c r="R107" t="s">
        <v>47</v>
      </c>
      <c r="S107" t="s">
        <v>44</v>
      </c>
      <c r="T107" t="s">
        <v>39</v>
      </c>
      <c r="U107" t="s">
        <v>46</v>
      </c>
      <c r="V107" t="s">
        <v>36</v>
      </c>
      <c r="W107" t="s">
        <v>37</v>
      </c>
      <c r="X107" s="6">
        <v>16.12903225806452</v>
      </c>
      <c r="Y107" s="6">
        <v>83.870967741935488</v>
      </c>
      <c r="Z107" t="s">
        <v>38</v>
      </c>
      <c r="AA107" t="s">
        <v>39</v>
      </c>
      <c r="AB107" t="s">
        <v>38</v>
      </c>
      <c r="AC107" s="8">
        <v>-1.21E-2</v>
      </c>
    </row>
    <row r="108" spans="1:29" x14ac:dyDescent="0.3">
      <c r="A108" s="7">
        <v>107</v>
      </c>
      <c r="B108" s="1">
        <v>40548</v>
      </c>
      <c r="C108" s="7">
        <v>1</v>
      </c>
      <c r="D108" s="7">
        <v>15</v>
      </c>
      <c r="E108" t="b">
        <v>0</v>
      </c>
      <c r="F108" s="7">
        <v>3</v>
      </c>
      <c r="G108" s="7">
        <v>1</v>
      </c>
      <c r="H108" s="6">
        <v>0.3</v>
      </c>
      <c r="I108" s="8">
        <v>0.28789999999999999</v>
      </c>
      <c r="J108" s="6">
        <v>0.28000000000000003</v>
      </c>
      <c r="K108" s="8">
        <v>0.19400000000000001</v>
      </c>
      <c r="L108" s="7">
        <v>7</v>
      </c>
      <c r="M108" s="7">
        <v>55</v>
      </c>
      <c r="N108" s="7">
        <v>62</v>
      </c>
      <c r="O108" t="s">
        <v>29</v>
      </c>
      <c r="P108" t="s">
        <v>57</v>
      </c>
      <c r="Q108" t="s">
        <v>31</v>
      </c>
      <c r="R108" t="s">
        <v>47</v>
      </c>
      <c r="S108" t="s">
        <v>44</v>
      </c>
      <c r="T108" t="s">
        <v>39</v>
      </c>
      <c r="U108" t="s">
        <v>46</v>
      </c>
      <c r="V108" t="s">
        <v>36</v>
      </c>
      <c r="W108" t="s">
        <v>37</v>
      </c>
      <c r="X108" s="6">
        <v>11.29032258064516</v>
      </c>
      <c r="Y108" s="6">
        <v>88.709677419354833</v>
      </c>
      <c r="Z108" t="s">
        <v>38</v>
      </c>
      <c r="AA108" t="s">
        <v>39</v>
      </c>
      <c r="AB108" t="s">
        <v>38</v>
      </c>
      <c r="AC108" s="8">
        <v>-1.21E-2</v>
      </c>
    </row>
    <row r="109" spans="1:29" x14ac:dyDescent="0.3">
      <c r="A109" s="7">
        <v>108</v>
      </c>
      <c r="B109" s="1">
        <v>40548</v>
      </c>
      <c r="C109" s="7">
        <v>1</v>
      </c>
      <c r="D109" s="7">
        <v>16</v>
      </c>
      <c r="E109" t="b">
        <v>0</v>
      </c>
      <c r="F109" s="7">
        <v>3</v>
      </c>
      <c r="G109" s="7">
        <v>1</v>
      </c>
      <c r="H109" s="6">
        <v>0.3</v>
      </c>
      <c r="I109" s="8">
        <v>0.31819999999999998</v>
      </c>
      <c r="J109" s="6">
        <v>0.28000000000000003</v>
      </c>
      <c r="K109" s="8">
        <v>8.9599999999999999E-2</v>
      </c>
      <c r="L109" s="7">
        <v>4</v>
      </c>
      <c r="M109" s="7">
        <v>85</v>
      </c>
      <c r="N109" s="7">
        <v>89</v>
      </c>
      <c r="O109" t="s">
        <v>29</v>
      </c>
      <c r="P109" t="s">
        <v>57</v>
      </c>
      <c r="Q109" t="s">
        <v>31</v>
      </c>
      <c r="R109" t="s">
        <v>47</v>
      </c>
      <c r="S109" t="s">
        <v>44</v>
      </c>
      <c r="T109" t="s">
        <v>39</v>
      </c>
      <c r="U109" t="s">
        <v>35</v>
      </c>
      <c r="V109" t="s">
        <v>36</v>
      </c>
      <c r="W109" t="s">
        <v>37</v>
      </c>
      <c r="X109" s="6">
        <v>4.4943820224719104</v>
      </c>
      <c r="Y109" s="6">
        <v>95.50561797752809</v>
      </c>
      <c r="Z109" t="s">
        <v>38</v>
      </c>
      <c r="AA109" t="s">
        <v>39</v>
      </c>
      <c r="AB109" t="s">
        <v>38</v>
      </c>
      <c r="AC109" s="8">
        <v>1.819999999999999E-2</v>
      </c>
    </row>
    <row r="110" spans="1:29" x14ac:dyDescent="0.3">
      <c r="A110" s="7">
        <v>109</v>
      </c>
      <c r="B110" s="1">
        <v>40548</v>
      </c>
      <c r="C110" s="7">
        <v>1</v>
      </c>
      <c r="D110" s="7">
        <v>17</v>
      </c>
      <c r="E110" t="b">
        <v>0</v>
      </c>
      <c r="F110" s="7">
        <v>3</v>
      </c>
      <c r="G110" s="7">
        <v>1</v>
      </c>
      <c r="H110" s="6">
        <v>0.24</v>
      </c>
      <c r="I110" s="8">
        <v>0.2273</v>
      </c>
      <c r="J110" s="6">
        <v>0.38</v>
      </c>
      <c r="K110" s="8">
        <v>0.19400000000000001</v>
      </c>
      <c r="L110" s="7">
        <v>4</v>
      </c>
      <c r="M110" s="7">
        <v>186</v>
      </c>
      <c r="N110" s="7">
        <v>190</v>
      </c>
      <c r="O110" t="s">
        <v>29</v>
      </c>
      <c r="P110" t="s">
        <v>57</v>
      </c>
      <c r="Q110" t="s">
        <v>31</v>
      </c>
      <c r="R110" t="s">
        <v>50</v>
      </c>
      <c r="S110" t="s">
        <v>33</v>
      </c>
      <c r="T110" t="s">
        <v>39</v>
      </c>
      <c r="U110" t="s">
        <v>46</v>
      </c>
      <c r="V110" t="s">
        <v>36</v>
      </c>
      <c r="W110" t="s">
        <v>37</v>
      </c>
      <c r="X110" s="6">
        <v>2.1052631578947372</v>
      </c>
      <c r="Y110" s="6">
        <v>97.894736842105274</v>
      </c>
      <c r="Z110" t="s">
        <v>40</v>
      </c>
      <c r="AA110" t="s">
        <v>49</v>
      </c>
      <c r="AB110" t="s">
        <v>38</v>
      </c>
      <c r="AC110" s="8">
        <v>-1.2699999999999991E-2</v>
      </c>
    </row>
    <row r="111" spans="1:29" x14ac:dyDescent="0.3">
      <c r="A111" s="7">
        <v>110</v>
      </c>
      <c r="B111" s="1">
        <v>40548</v>
      </c>
      <c r="C111" s="7">
        <v>1</v>
      </c>
      <c r="D111" s="7">
        <v>18</v>
      </c>
      <c r="E111" t="b">
        <v>0</v>
      </c>
      <c r="F111" s="7">
        <v>3</v>
      </c>
      <c r="G111" s="7">
        <v>1</v>
      </c>
      <c r="H111" s="6">
        <v>0.24</v>
      </c>
      <c r="I111" s="8">
        <v>0.2424</v>
      </c>
      <c r="J111" s="6">
        <v>0.38</v>
      </c>
      <c r="K111" s="8">
        <v>0.1343</v>
      </c>
      <c r="L111" s="7">
        <v>3</v>
      </c>
      <c r="M111" s="7">
        <v>166</v>
      </c>
      <c r="N111" s="7">
        <v>169</v>
      </c>
      <c r="O111" t="s">
        <v>29</v>
      </c>
      <c r="P111" t="s">
        <v>57</v>
      </c>
      <c r="Q111" t="s">
        <v>31</v>
      </c>
      <c r="R111" t="s">
        <v>50</v>
      </c>
      <c r="S111" t="s">
        <v>33</v>
      </c>
      <c r="T111" t="s">
        <v>39</v>
      </c>
      <c r="U111" t="s">
        <v>35</v>
      </c>
      <c r="V111" t="s">
        <v>36</v>
      </c>
      <c r="W111" t="s">
        <v>37</v>
      </c>
      <c r="X111" s="6">
        <v>1.775147928994083</v>
      </c>
      <c r="Y111" s="6">
        <v>98.224852071005913</v>
      </c>
      <c r="Z111" t="s">
        <v>40</v>
      </c>
      <c r="AA111" t="s">
        <v>49</v>
      </c>
      <c r="AB111" t="s">
        <v>38</v>
      </c>
      <c r="AC111" s="8">
        <v>2.4000000000000128E-3</v>
      </c>
    </row>
    <row r="112" spans="1:29" x14ac:dyDescent="0.3">
      <c r="A112" s="7">
        <v>111</v>
      </c>
      <c r="B112" s="1">
        <v>40548</v>
      </c>
      <c r="C112" s="7">
        <v>1</v>
      </c>
      <c r="D112" s="7">
        <v>19</v>
      </c>
      <c r="E112" t="b">
        <v>0</v>
      </c>
      <c r="F112" s="7">
        <v>3</v>
      </c>
      <c r="G112" s="7">
        <v>1</v>
      </c>
      <c r="H112" s="6">
        <v>0.24</v>
      </c>
      <c r="I112" s="8">
        <v>0.2576</v>
      </c>
      <c r="J112" s="6">
        <v>0.38</v>
      </c>
      <c r="K112" s="8">
        <v>0.1045</v>
      </c>
      <c r="L112" s="7">
        <v>5</v>
      </c>
      <c r="M112" s="7">
        <v>127</v>
      </c>
      <c r="N112" s="7">
        <v>132</v>
      </c>
      <c r="O112" t="s">
        <v>29</v>
      </c>
      <c r="P112" t="s">
        <v>57</v>
      </c>
      <c r="Q112" t="s">
        <v>31</v>
      </c>
      <c r="R112" t="s">
        <v>50</v>
      </c>
      <c r="S112" t="s">
        <v>33</v>
      </c>
      <c r="T112" t="s">
        <v>39</v>
      </c>
      <c r="U112" t="s">
        <v>35</v>
      </c>
      <c r="V112" t="s">
        <v>36</v>
      </c>
      <c r="W112" t="s">
        <v>37</v>
      </c>
      <c r="X112" s="6">
        <v>3.7878787878787881</v>
      </c>
      <c r="Y112" s="6">
        <v>96.212121212121218</v>
      </c>
      <c r="Z112" t="s">
        <v>40</v>
      </c>
      <c r="AA112" t="s">
        <v>49</v>
      </c>
      <c r="AB112" t="s">
        <v>38</v>
      </c>
      <c r="AC112" s="8">
        <v>1.7600000000000001E-2</v>
      </c>
    </row>
    <row r="113" spans="1:29" x14ac:dyDescent="0.3">
      <c r="A113" s="7">
        <v>112</v>
      </c>
      <c r="B113" s="1">
        <v>40548</v>
      </c>
      <c r="C113" s="7">
        <v>1</v>
      </c>
      <c r="D113" s="7">
        <v>20</v>
      </c>
      <c r="E113" t="b">
        <v>0</v>
      </c>
      <c r="F113" s="7">
        <v>3</v>
      </c>
      <c r="G113" s="7">
        <v>1</v>
      </c>
      <c r="H113" s="6">
        <v>0.22</v>
      </c>
      <c r="I113" s="8">
        <v>0.2273</v>
      </c>
      <c r="J113" s="6">
        <v>0.47</v>
      </c>
      <c r="K113" s="8">
        <v>0.16420000000000001</v>
      </c>
      <c r="L113" s="7">
        <v>7</v>
      </c>
      <c r="M113" s="7">
        <v>82</v>
      </c>
      <c r="N113" s="7">
        <v>89</v>
      </c>
      <c r="O113" t="s">
        <v>29</v>
      </c>
      <c r="P113" t="s">
        <v>57</v>
      </c>
      <c r="Q113" t="s">
        <v>31</v>
      </c>
      <c r="R113" t="s">
        <v>50</v>
      </c>
      <c r="S113" t="s">
        <v>33</v>
      </c>
      <c r="T113" t="s">
        <v>49</v>
      </c>
      <c r="U113" t="s">
        <v>46</v>
      </c>
      <c r="V113" t="s">
        <v>36</v>
      </c>
      <c r="W113" t="s">
        <v>37</v>
      </c>
      <c r="X113" s="6">
        <v>7.8651685393258424</v>
      </c>
      <c r="Y113" s="6">
        <v>92.134831460674164</v>
      </c>
      <c r="Z113" t="s">
        <v>38</v>
      </c>
      <c r="AA113" t="s">
        <v>39</v>
      </c>
      <c r="AB113" t="s">
        <v>38</v>
      </c>
      <c r="AC113" s="8">
        <v>7.3000000000000009E-3</v>
      </c>
    </row>
    <row r="114" spans="1:29" x14ac:dyDescent="0.3">
      <c r="A114" s="7">
        <v>113</v>
      </c>
      <c r="B114" s="1">
        <v>40548</v>
      </c>
      <c r="C114" s="7">
        <v>1</v>
      </c>
      <c r="D114" s="7">
        <v>21</v>
      </c>
      <c r="E114" t="b">
        <v>0</v>
      </c>
      <c r="F114" s="7">
        <v>3</v>
      </c>
      <c r="G114" s="7">
        <v>1</v>
      </c>
      <c r="H114" s="6">
        <v>0.2</v>
      </c>
      <c r="I114" s="8">
        <v>0.19700000000000001</v>
      </c>
      <c r="J114" s="6">
        <v>0.51</v>
      </c>
      <c r="K114" s="8">
        <v>0.19400000000000001</v>
      </c>
      <c r="L114" s="7">
        <v>3</v>
      </c>
      <c r="M114" s="7">
        <v>40</v>
      </c>
      <c r="N114" s="7">
        <v>43</v>
      </c>
      <c r="O114" t="s">
        <v>29</v>
      </c>
      <c r="P114" t="s">
        <v>57</v>
      </c>
      <c r="Q114" t="s">
        <v>31</v>
      </c>
      <c r="R114" t="s">
        <v>32</v>
      </c>
      <c r="S114" t="s">
        <v>33</v>
      </c>
      <c r="T114" t="s">
        <v>49</v>
      </c>
      <c r="U114" t="s">
        <v>46</v>
      </c>
      <c r="V114" t="s">
        <v>36</v>
      </c>
      <c r="W114" t="s">
        <v>37</v>
      </c>
      <c r="X114" s="6">
        <v>6.9767441860465116</v>
      </c>
      <c r="Y114" s="6">
        <v>93.023255813953483</v>
      </c>
      <c r="Z114" t="s">
        <v>38</v>
      </c>
      <c r="AA114" t="s">
        <v>39</v>
      </c>
      <c r="AB114" t="s">
        <v>38</v>
      </c>
      <c r="AC114" s="8">
        <v>-3.0000000000000031E-3</v>
      </c>
    </row>
    <row r="115" spans="1:29" x14ac:dyDescent="0.3">
      <c r="A115" s="7">
        <v>114</v>
      </c>
      <c r="B115" s="1">
        <v>40548</v>
      </c>
      <c r="C115" s="7">
        <v>1</v>
      </c>
      <c r="D115" s="7">
        <v>22</v>
      </c>
      <c r="E115" t="b">
        <v>0</v>
      </c>
      <c r="F115" s="7">
        <v>3</v>
      </c>
      <c r="G115" s="7">
        <v>1</v>
      </c>
      <c r="H115" s="6">
        <v>0.18</v>
      </c>
      <c r="I115" s="8">
        <v>0.19700000000000001</v>
      </c>
      <c r="J115" s="6">
        <v>0.55000000000000004</v>
      </c>
      <c r="K115" s="8">
        <v>0.1343</v>
      </c>
      <c r="L115" s="7">
        <v>1</v>
      </c>
      <c r="M115" s="7">
        <v>41</v>
      </c>
      <c r="N115" s="7">
        <v>42</v>
      </c>
      <c r="O115" t="s">
        <v>29</v>
      </c>
      <c r="P115" t="s">
        <v>57</v>
      </c>
      <c r="Q115" t="s">
        <v>31</v>
      </c>
      <c r="R115" t="s">
        <v>32</v>
      </c>
      <c r="S115" t="s">
        <v>33</v>
      </c>
      <c r="T115" t="s">
        <v>49</v>
      </c>
      <c r="U115" t="s">
        <v>35</v>
      </c>
      <c r="V115" t="s">
        <v>36</v>
      </c>
      <c r="W115" t="s">
        <v>37</v>
      </c>
      <c r="X115" s="6">
        <v>2.3809523809523809</v>
      </c>
      <c r="Y115" s="6">
        <v>97.61904761904762</v>
      </c>
      <c r="Z115" t="s">
        <v>38</v>
      </c>
      <c r="AA115" t="s">
        <v>39</v>
      </c>
      <c r="AB115" t="s">
        <v>38</v>
      </c>
      <c r="AC115" s="8">
        <v>1.7000000000000019E-2</v>
      </c>
    </row>
    <row r="116" spans="1:29" x14ac:dyDescent="0.3">
      <c r="A116" s="7">
        <v>115</v>
      </c>
      <c r="B116" s="1">
        <v>40548</v>
      </c>
      <c r="C116" s="7">
        <v>1</v>
      </c>
      <c r="D116" s="7">
        <v>23</v>
      </c>
      <c r="E116" t="b">
        <v>0</v>
      </c>
      <c r="F116" s="7">
        <v>3</v>
      </c>
      <c r="G116" s="7">
        <v>1</v>
      </c>
      <c r="H116" s="6">
        <v>0.2</v>
      </c>
      <c r="I116" s="8">
        <v>0.2576</v>
      </c>
      <c r="J116" s="6">
        <v>0.47</v>
      </c>
      <c r="K116" s="8">
        <v>0</v>
      </c>
      <c r="L116" s="7">
        <v>1</v>
      </c>
      <c r="M116" s="7">
        <v>18</v>
      </c>
      <c r="N116" s="7">
        <v>19</v>
      </c>
      <c r="O116" t="s">
        <v>29</v>
      </c>
      <c r="P116" t="s">
        <v>57</v>
      </c>
      <c r="Q116" t="s">
        <v>31</v>
      </c>
      <c r="R116" t="s">
        <v>32</v>
      </c>
      <c r="S116" t="s">
        <v>33</v>
      </c>
      <c r="T116" t="s">
        <v>49</v>
      </c>
      <c r="U116" t="s">
        <v>35</v>
      </c>
      <c r="V116" t="s">
        <v>36</v>
      </c>
      <c r="W116" t="s">
        <v>37</v>
      </c>
      <c r="X116" s="6">
        <v>5.2631578947368416</v>
      </c>
      <c r="Y116" s="6">
        <v>94.73684210526315</v>
      </c>
      <c r="Z116" t="s">
        <v>38</v>
      </c>
      <c r="AA116" t="s">
        <v>39</v>
      </c>
      <c r="AB116" t="s">
        <v>38</v>
      </c>
      <c r="AC116" s="8">
        <v>5.7599999999999978E-2</v>
      </c>
    </row>
    <row r="117" spans="1:29" x14ac:dyDescent="0.3">
      <c r="A117" s="7">
        <v>116</v>
      </c>
      <c r="B117" s="1">
        <v>40549</v>
      </c>
      <c r="C117" s="7">
        <v>1</v>
      </c>
      <c r="D117" s="7">
        <v>0</v>
      </c>
      <c r="E117" t="b">
        <v>0</v>
      </c>
      <c r="F117" s="7">
        <v>4</v>
      </c>
      <c r="G117" s="7">
        <v>1</v>
      </c>
      <c r="H117" s="6">
        <v>0.18</v>
      </c>
      <c r="I117" s="8">
        <v>0.2424</v>
      </c>
      <c r="J117" s="6">
        <v>0.55000000000000004</v>
      </c>
      <c r="K117" s="8">
        <v>0</v>
      </c>
      <c r="L117" s="7">
        <v>0</v>
      </c>
      <c r="M117" s="7">
        <v>11</v>
      </c>
      <c r="N117" s="7">
        <v>11</v>
      </c>
      <c r="O117" t="s">
        <v>29</v>
      </c>
      <c r="P117" t="s">
        <v>58</v>
      </c>
      <c r="Q117" t="s">
        <v>31</v>
      </c>
      <c r="R117" t="s">
        <v>32</v>
      </c>
      <c r="S117" t="s">
        <v>33</v>
      </c>
      <c r="T117" t="s">
        <v>49</v>
      </c>
      <c r="U117" t="s">
        <v>35</v>
      </c>
      <c r="V117" t="s">
        <v>36</v>
      </c>
      <c r="W117" t="s">
        <v>37</v>
      </c>
      <c r="X117" s="6">
        <v>0</v>
      </c>
      <c r="Y117" s="6">
        <v>100</v>
      </c>
      <c r="Z117" t="s">
        <v>38</v>
      </c>
      <c r="AA117" t="s">
        <v>39</v>
      </c>
      <c r="AB117" t="s">
        <v>38</v>
      </c>
      <c r="AC117" s="8">
        <v>6.2400000000000011E-2</v>
      </c>
    </row>
    <row r="118" spans="1:29" x14ac:dyDescent="0.3">
      <c r="A118" s="7">
        <v>117</v>
      </c>
      <c r="B118" s="1">
        <v>40549</v>
      </c>
      <c r="C118" s="7">
        <v>1</v>
      </c>
      <c r="D118" s="7">
        <v>1</v>
      </c>
      <c r="E118" t="b">
        <v>0</v>
      </c>
      <c r="F118" s="7">
        <v>4</v>
      </c>
      <c r="G118" s="7">
        <v>1</v>
      </c>
      <c r="H118" s="6">
        <v>0.16</v>
      </c>
      <c r="I118" s="8">
        <v>0.2273</v>
      </c>
      <c r="J118" s="6">
        <v>0.64</v>
      </c>
      <c r="K118" s="8">
        <v>0</v>
      </c>
      <c r="L118" s="7">
        <v>0</v>
      </c>
      <c r="M118" s="7">
        <v>4</v>
      </c>
      <c r="N118" s="7">
        <v>4</v>
      </c>
      <c r="O118" t="s">
        <v>29</v>
      </c>
      <c r="P118" t="s">
        <v>58</v>
      </c>
      <c r="Q118" t="s">
        <v>31</v>
      </c>
      <c r="R118" t="s">
        <v>32</v>
      </c>
      <c r="S118" t="s">
        <v>33</v>
      </c>
      <c r="T118" t="s">
        <v>49</v>
      </c>
      <c r="U118" t="s">
        <v>35</v>
      </c>
      <c r="V118" t="s">
        <v>36</v>
      </c>
      <c r="W118" t="s">
        <v>37</v>
      </c>
      <c r="X118" s="6">
        <v>0</v>
      </c>
      <c r="Y118" s="6">
        <v>100</v>
      </c>
      <c r="Z118" t="s">
        <v>38</v>
      </c>
      <c r="AA118" t="s">
        <v>39</v>
      </c>
      <c r="AB118" t="s">
        <v>38</v>
      </c>
      <c r="AC118" s="8">
        <v>6.7299999999999999E-2</v>
      </c>
    </row>
    <row r="119" spans="1:29" x14ac:dyDescent="0.3">
      <c r="A119" s="7">
        <v>118</v>
      </c>
      <c r="B119" s="1">
        <v>40549</v>
      </c>
      <c r="C119" s="7">
        <v>1</v>
      </c>
      <c r="D119" s="7">
        <v>2</v>
      </c>
      <c r="E119" t="b">
        <v>0</v>
      </c>
      <c r="F119" s="7">
        <v>4</v>
      </c>
      <c r="G119" s="7">
        <v>1</v>
      </c>
      <c r="H119" s="6">
        <v>0.16</v>
      </c>
      <c r="I119" s="8">
        <v>0.2273</v>
      </c>
      <c r="J119" s="6">
        <v>0.64</v>
      </c>
      <c r="K119" s="8">
        <v>0</v>
      </c>
      <c r="L119" s="7">
        <v>0</v>
      </c>
      <c r="M119" s="7">
        <v>2</v>
      </c>
      <c r="N119" s="7">
        <v>2</v>
      </c>
      <c r="O119" t="s">
        <v>29</v>
      </c>
      <c r="P119" t="s">
        <v>58</v>
      </c>
      <c r="Q119" t="s">
        <v>31</v>
      </c>
      <c r="R119" t="s">
        <v>32</v>
      </c>
      <c r="S119" t="s">
        <v>33</v>
      </c>
      <c r="T119" t="s">
        <v>49</v>
      </c>
      <c r="U119" t="s">
        <v>35</v>
      </c>
      <c r="V119" t="s">
        <v>36</v>
      </c>
      <c r="W119" t="s">
        <v>37</v>
      </c>
      <c r="X119" s="6">
        <v>0</v>
      </c>
      <c r="Y119" s="6">
        <v>100</v>
      </c>
      <c r="Z119" t="s">
        <v>38</v>
      </c>
      <c r="AA119" t="s">
        <v>39</v>
      </c>
      <c r="AB119" t="s">
        <v>38</v>
      </c>
      <c r="AC119" s="8">
        <v>6.7299999999999999E-2</v>
      </c>
    </row>
    <row r="120" spans="1:29" x14ac:dyDescent="0.3">
      <c r="A120" s="7">
        <v>119</v>
      </c>
      <c r="B120" s="1">
        <v>40549</v>
      </c>
      <c r="C120" s="7">
        <v>1</v>
      </c>
      <c r="D120" s="7">
        <v>4</v>
      </c>
      <c r="E120" t="b">
        <v>0</v>
      </c>
      <c r="F120" s="7">
        <v>4</v>
      </c>
      <c r="G120" s="7">
        <v>2</v>
      </c>
      <c r="H120" s="6">
        <v>0.16</v>
      </c>
      <c r="I120" s="8">
        <v>0.19700000000000001</v>
      </c>
      <c r="J120" s="6">
        <v>0.64</v>
      </c>
      <c r="K120" s="8">
        <v>8.9599999999999999E-2</v>
      </c>
      <c r="L120" s="7">
        <v>0</v>
      </c>
      <c r="M120" s="7">
        <v>1</v>
      </c>
      <c r="N120" s="7">
        <v>1</v>
      </c>
      <c r="O120" t="s">
        <v>29</v>
      </c>
      <c r="P120" t="s">
        <v>58</v>
      </c>
      <c r="Q120" t="s">
        <v>41</v>
      </c>
      <c r="R120" t="s">
        <v>32</v>
      </c>
      <c r="S120" t="s">
        <v>33</v>
      </c>
      <c r="T120" t="s">
        <v>49</v>
      </c>
      <c r="U120" t="s">
        <v>35</v>
      </c>
      <c r="V120" t="s">
        <v>36</v>
      </c>
      <c r="W120" t="s">
        <v>37</v>
      </c>
      <c r="X120" s="6">
        <v>0</v>
      </c>
      <c r="Y120" s="6">
        <v>100</v>
      </c>
      <c r="Z120" t="s">
        <v>38</v>
      </c>
      <c r="AA120" t="s">
        <v>39</v>
      </c>
      <c r="AB120" t="s">
        <v>38</v>
      </c>
      <c r="AC120" s="8">
        <v>3.7000000000000012E-2</v>
      </c>
    </row>
    <row r="121" spans="1:29" x14ac:dyDescent="0.3">
      <c r="A121" s="7">
        <v>120</v>
      </c>
      <c r="B121" s="1">
        <v>40549</v>
      </c>
      <c r="C121" s="7">
        <v>1</v>
      </c>
      <c r="D121" s="7">
        <v>5</v>
      </c>
      <c r="E121" t="b">
        <v>0</v>
      </c>
      <c r="F121" s="7">
        <v>4</v>
      </c>
      <c r="G121" s="7">
        <v>2</v>
      </c>
      <c r="H121" s="6">
        <v>0.14000000000000001</v>
      </c>
      <c r="I121" s="8">
        <v>0.18179999999999999</v>
      </c>
      <c r="J121" s="6">
        <v>0.69</v>
      </c>
      <c r="K121" s="8">
        <v>8.9599999999999999E-2</v>
      </c>
      <c r="L121" s="7">
        <v>0</v>
      </c>
      <c r="M121" s="7">
        <v>4</v>
      </c>
      <c r="N121" s="7">
        <v>4</v>
      </c>
      <c r="O121" t="s">
        <v>29</v>
      </c>
      <c r="P121" t="s">
        <v>58</v>
      </c>
      <c r="Q121" t="s">
        <v>41</v>
      </c>
      <c r="R121" t="s">
        <v>32</v>
      </c>
      <c r="S121" t="s">
        <v>55</v>
      </c>
      <c r="T121" t="s">
        <v>49</v>
      </c>
      <c r="U121" t="s">
        <v>35</v>
      </c>
      <c r="V121" t="s">
        <v>36</v>
      </c>
      <c r="W121" t="s">
        <v>37</v>
      </c>
      <c r="X121" s="6">
        <v>0</v>
      </c>
      <c r="Y121" s="6">
        <v>100</v>
      </c>
      <c r="Z121" t="s">
        <v>38</v>
      </c>
      <c r="AA121" t="s">
        <v>39</v>
      </c>
      <c r="AB121" t="s">
        <v>38</v>
      </c>
      <c r="AC121" s="8">
        <v>4.1799999999999983E-2</v>
      </c>
    </row>
    <row r="122" spans="1:29" x14ac:dyDescent="0.3">
      <c r="A122" s="7">
        <v>121</v>
      </c>
      <c r="B122" s="1">
        <v>40549</v>
      </c>
      <c r="C122" s="7">
        <v>1</v>
      </c>
      <c r="D122" s="7">
        <v>6</v>
      </c>
      <c r="E122" t="b">
        <v>0</v>
      </c>
      <c r="F122" s="7">
        <v>4</v>
      </c>
      <c r="G122" s="7">
        <v>2</v>
      </c>
      <c r="H122" s="6">
        <v>0.14000000000000001</v>
      </c>
      <c r="I122" s="8">
        <v>0.16669999999999999</v>
      </c>
      <c r="J122" s="6">
        <v>0.63</v>
      </c>
      <c r="K122" s="8">
        <v>0.1045</v>
      </c>
      <c r="L122" s="7">
        <v>0</v>
      </c>
      <c r="M122" s="7">
        <v>36</v>
      </c>
      <c r="N122" s="7">
        <v>36</v>
      </c>
      <c r="O122" t="s">
        <v>29</v>
      </c>
      <c r="P122" t="s">
        <v>58</v>
      </c>
      <c r="Q122" t="s">
        <v>41</v>
      </c>
      <c r="R122" t="s">
        <v>42</v>
      </c>
      <c r="S122" t="s">
        <v>55</v>
      </c>
      <c r="T122" t="s">
        <v>49</v>
      </c>
      <c r="U122" t="s">
        <v>35</v>
      </c>
      <c r="V122" t="s">
        <v>36</v>
      </c>
      <c r="W122" t="s">
        <v>37</v>
      </c>
      <c r="X122" s="6">
        <v>0</v>
      </c>
      <c r="Y122" s="6">
        <v>100</v>
      </c>
      <c r="Z122" t="s">
        <v>38</v>
      </c>
      <c r="AA122" t="s">
        <v>39</v>
      </c>
      <c r="AB122" t="s">
        <v>38</v>
      </c>
      <c r="AC122" s="8">
        <v>2.669999999999997E-2</v>
      </c>
    </row>
    <row r="123" spans="1:29" x14ac:dyDescent="0.3">
      <c r="A123" s="7">
        <v>122</v>
      </c>
      <c r="B123" s="1">
        <v>40549</v>
      </c>
      <c r="C123" s="7">
        <v>1</v>
      </c>
      <c r="D123" s="7">
        <v>7</v>
      </c>
      <c r="E123" t="b">
        <v>0</v>
      </c>
      <c r="F123" s="7">
        <v>4</v>
      </c>
      <c r="G123" s="7">
        <v>2</v>
      </c>
      <c r="H123" s="6">
        <v>0.16</v>
      </c>
      <c r="I123" s="8">
        <v>0.2273</v>
      </c>
      <c r="J123" s="6">
        <v>0.59</v>
      </c>
      <c r="K123" s="8">
        <v>0</v>
      </c>
      <c r="L123" s="7">
        <v>0</v>
      </c>
      <c r="M123" s="7">
        <v>95</v>
      </c>
      <c r="N123" s="7">
        <v>95</v>
      </c>
      <c r="O123" t="s">
        <v>29</v>
      </c>
      <c r="P123" t="s">
        <v>58</v>
      </c>
      <c r="Q123" t="s">
        <v>41</v>
      </c>
      <c r="R123" t="s">
        <v>42</v>
      </c>
      <c r="S123" t="s">
        <v>33</v>
      </c>
      <c r="T123" t="s">
        <v>49</v>
      </c>
      <c r="U123" t="s">
        <v>35</v>
      </c>
      <c r="V123" t="s">
        <v>36</v>
      </c>
      <c r="W123" t="s">
        <v>37</v>
      </c>
      <c r="X123" s="6">
        <v>0</v>
      </c>
      <c r="Y123" s="6">
        <v>100</v>
      </c>
      <c r="Z123" t="s">
        <v>40</v>
      </c>
      <c r="AA123" t="s">
        <v>39</v>
      </c>
      <c r="AB123" t="s">
        <v>38</v>
      </c>
      <c r="AC123" s="8">
        <v>6.7299999999999999E-2</v>
      </c>
    </row>
    <row r="124" spans="1:29" x14ac:dyDescent="0.3">
      <c r="A124" s="7">
        <v>123</v>
      </c>
      <c r="B124" s="1">
        <v>40549</v>
      </c>
      <c r="C124" s="7">
        <v>1</v>
      </c>
      <c r="D124" s="7">
        <v>8</v>
      </c>
      <c r="E124" t="b">
        <v>0</v>
      </c>
      <c r="F124" s="7">
        <v>4</v>
      </c>
      <c r="G124" s="7">
        <v>1</v>
      </c>
      <c r="H124" s="6">
        <v>0.16</v>
      </c>
      <c r="I124" s="8">
        <v>0.2273</v>
      </c>
      <c r="J124" s="6">
        <v>0.59</v>
      </c>
      <c r="K124" s="8">
        <v>0</v>
      </c>
      <c r="L124" s="7">
        <v>3</v>
      </c>
      <c r="M124" s="7">
        <v>216</v>
      </c>
      <c r="N124" s="7">
        <v>219</v>
      </c>
      <c r="O124" t="s">
        <v>29</v>
      </c>
      <c r="P124" t="s">
        <v>58</v>
      </c>
      <c r="Q124" t="s">
        <v>31</v>
      </c>
      <c r="R124" t="s">
        <v>42</v>
      </c>
      <c r="S124" t="s">
        <v>33</v>
      </c>
      <c r="T124" t="s">
        <v>49</v>
      </c>
      <c r="U124" t="s">
        <v>35</v>
      </c>
      <c r="V124" t="s">
        <v>36</v>
      </c>
      <c r="W124" t="s">
        <v>37</v>
      </c>
      <c r="X124" s="6">
        <v>1.3698630136986301</v>
      </c>
      <c r="Y124" s="6">
        <v>98.630136986301366</v>
      </c>
      <c r="Z124" t="s">
        <v>40</v>
      </c>
      <c r="AA124" t="s">
        <v>49</v>
      </c>
      <c r="AB124" t="s">
        <v>38</v>
      </c>
      <c r="AC124" s="8">
        <v>6.7299999999999999E-2</v>
      </c>
    </row>
    <row r="125" spans="1:29" x14ac:dyDescent="0.3">
      <c r="A125" s="7">
        <v>124</v>
      </c>
      <c r="B125" s="1">
        <v>40549</v>
      </c>
      <c r="C125" s="7">
        <v>1</v>
      </c>
      <c r="D125" s="7">
        <v>9</v>
      </c>
      <c r="E125" t="b">
        <v>0</v>
      </c>
      <c r="F125" s="7">
        <v>4</v>
      </c>
      <c r="G125" s="7">
        <v>2</v>
      </c>
      <c r="H125" s="6">
        <v>0.18</v>
      </c>
      <c r="I125" s="8">
        <v>0.2424</v>
      </c>
      <c r="J125" s="6">
        <v>0.51</v>
      </c>
      <c r="K125" s="8">
        <v>0</v>
      </c>
      <c r="L125" s="7">
        <v>6</v>
      </c>
      <c r="M125" s="7">
        <v>116</v>
      </c>
      <c r="N125" s="7">
        <v>122</v>
      </c>
      <c r="O125" t="s">
        <v>29</v>
      </c>
      <c r="P125" t="s">
        <v>58</v>
      </c>
      <c r="Q125" t="s">
        <v>41</v>
      </c>
      <c r="R125" t="s">
        <v>42</v>
      </c>
      <c r="S125" t="s">
        <v>33</v>
      </c>
      <c r="T125" t="s">
        <v>49</v>
      </c>
      <c r="U125" t="s">
        <v>35</v>
      </c>
      <c r="V125" t="s">
        <v>36</v>
      </c>
      <c r="W125" t="s">
        <v>37</v>
      </c>
      <c r="X125" s="6">
        <v>4.918032786885246</v>
      </c>
      <c r="Y125" s="6">
        <v>95.081967213114751</v>
      </c>
      <c r="Z125" t="s">
        <v>40</v>
      </c>
      <c r="AA125" t="s">
        <v>49</v>
      </c>
      <c r="AB125" t="s">
        <v>38</v>
      </c>
      <c r="AC125" s="8">
        <v>6.2400000000000011E-2</v>
      </c>
    </row>
    <row r="126" spans="1:29" x14ac:dyDescent="0.3">
      <c r="A126" s="7">
        <v>125</v>
      </c>
      <c r="B126" s="1">
        <v>40549</v>
      </c>
      <c r="C126" s="7">
        <v>1</v>
      </c>
      <c r="D126" s="7">
        <v>10</v>
      </c>
      <c r="E126" t="b">
        <v>0</v>
      </c>
      <c r="F126" s="7">
        <v>4</v>
      </c>
      <c r="G126" s="7">
        <v>1</v>
      </c>
      <c r="H126" s="6">
        <v>0.2</v>
      </c>
      <c r="I126" s="8">
        <v>0.2576</v>
      </c>
      <c r="J126" s="6">
        <v>0.47</v>
      </c>
      <c r="K126" s="8">
        <v>0</v>
      </c>
      <c r="L126" s="7">
        <v>3</v>
      </c>
      <c r="M126" s="7">
        <v>42</v>
      </c>
      <c r="N126" s="7">
        <v>45</v>
      </c>
      <c r="O126" t="s">
        <v>29</v>
      </c>
      <c r="P126" t="s">
        <v>58</v>
      </c>
      <c r="Q126" t="s">
        <v>31</v>
      </c>
      <c r="R126" t="s">
        <v>42</v>
      </c>
      <c r="S126" t="s">
        <v>33</v>
      </c>
      <c r="T126" t="s">
        <v>49</v>
      </c>
      <c r="U126" t="s">
        <v>35</v>
      </c>
      <c r="V126" t="s">
        <v>36</v>
      </c>
      <c r="W126" t="s">
        <v>37</v>
      </c>
      <c r="X126" s="6">
        <v>6.666666666666667</v>
      </c>
      <c r="Y126" s="6">
        <v>93.333333333333329</v>
      </c>
      <c r="Z126" t="s">
        <v>38</v>
      </c>
      <c r="AA126" t="s">
        <v>39</v>
      </c>
      <c r="AB126" t="s">
        <v>38</v>
      </c>
      <c r="AC126" s="8">
        <v>5.7599999999999978E-2</v>
      </c>
    </row>
    <row r="127" spans="1:29" x14ac:dyDescent="0.3">
      <c r="A127" s="7">
        <v>126</v>
      </c>
      <c r="B127" s="1">
        <v>40549</v>
      </c>
      <c r="C127" s="7">
        <v>1</v>
      </c>
      <c r="D127" s="7">
        <v>11</v>
      </c>
      <c r="E127" t="b">
        <v>0</v>
      </c>
      <c r="F127" s="7">
        <v>4</v>
      </c>
      <c r="G127" s="7">
        <v>1</v>
      </c>
      <c r="H127" s="6">
        <v>0.22</v>
      </c>
      <c r="I127" s="8">
        <v>0.2576</v>
      </c>
      <c r="J127" s="6">
        <v>0.44</v>
      </c>
      <c r="K127" s="8">
        <v>8.9599999999999999E-2</v>
      </c>
      <c r="L127" s="7">
        <v>2</v>
      </c>
      <c r="M127" s="7">
        <v>57</v>
      </c>
      <c r="N127" s="7">
        <v>59</v>
      </c>
      <c r="O127" t="s">
        <v>29</v>
      </c>
      <c r="P127" t="s">
        <v>58</v>
      </c>
      <c r="Q127" t="s">
        <v>31</v>
      </c>
      <c r="R127" t="s">
        <v>42</v>
      </c>
      <c r="S127" t="s">
        <v>33</v>
      </c>
      <c r="T127" t="s">
        <v>49</v>
      </c>
      <c r="U127" t="s">
        <v>35</v>
      </c>
      <c r="V127" t="s">
        <v>36</v>
      </c>
      <c r="W127" t="s">
        <v>37</v>
      </c>
      <c r="X127" s="6">
        <v>3.3898305084745761</v>
      </c>
      <c r="Y127" s="6">
        <v>96.610169491525426</v>
      </c>
      <c r="Z127" t="s">
        <v>38</v>
      </c>
      <c r="AA127" t="s">
        <v>39</v>
      </c>
      <c r="AB127" t="s">
        <v>38</v>
      </c>
      <c r="AC127" s="8">
        <v>3.7599999999999988E-2</v>
      </c>
    </row>
    <row r="128" spans="1:29" x14ac:dyDescent="0.3">
      <c r="A128" s="7">
        <v>127</v>
      </c>
      <c r="B128" s="1">
        <v>40549</v>
      </c>
      <c r="C128" s="7">
        <v>1</v>
      </c>
      <c r="D128" s="7">
        <v>12</v>
      </c>
      <c r="E128" t="b">
        <v>0</v>
      </c>
      <c r="F128" s="7">
        <v>4</v>
      </c>
      <c r="G128" s="7">
        <v>1</v>
      </c>
      <c r="H128" s="6">
        <v>0.26</v>
      </c>
      <c r="I128" s="8">
        <v>0.28789999999999999</v>
      </c>
      <c r="J128" s="6">
        <v>0.35</v>
      </c>
      <c r="K128" s="8">
        <v>0</v>
      </c>
      <c r="L128" s="7">
        <v>6</v>
      </c>
      <c r="M128" s="7">
        <v>78</v>
      </c>
      <c r="N128" s="7">
        <v>84</v>
      </c>
      <c r="O128" t="s">
        <v>29</v>
      </c>
      <c r="P128" t="s">
        <v>58</v>
      </c>
      <c r="Q128" t="s">
        <v>31</v>
      </c>
      <c r="R128" t="s">
        <v>47</v>
      </c>
      <c r="S128" t="s">
        <v>44</v>
      </c>
      <c r="T128" t="s">
        <v>39</v>
      </c>
      <c r="U128" t="s">
        <v>35</v>
      </c>
      <c r="V128" t="s">
        <v>36</v>
      </c>
      <c r="W128" t="s">
        <v>37</v>
      </c>
      <c r="X128" s="6">
        <v>7.1428571428571423</v>
      </c>
      <c r="Y128" s="6">
        <v>92.857142857142861</v>
      </c>
      <c r="Z128" t="s">
        <v>38</v>
      </c>
      <c r="AA128" t="s">
        <v>39</v>
      </c>
      <c r="AB128" t="s">
        <v>38</v>
      </c>
      <c r="AC128" s="8">
        <v>2.789999999999998E-2</v>
      </c>
    </row>
    <row r="129" spans="1:29" x14ac:dyDescent="0.3">
      <c r="A129" s="7">
        <v>128</v>
      </c>
      <c r="B129" s="1">
        <v>40549</v>
      </c>
      <c r="C129" s="7">
        <v>1</v>
      </c>
      <c r="D129" s="7">
        <v>13</v>
      </c>
      <c r="E129" t="b">
        <v>0</v>
      </c>
      <c r="F129" s="7">
        <v>4</v>
      </c>
      <c r="G129" s="7">
        <v>1</v>
      </c>
      <c r="H129" s="6">
        <v>0.26</v>
      </c>
      <c r="I129" s="8">
        <v>0.2727</v>
      </c>
      <c r="J129" s="6">
        <v>0.35</v>
      </c>
      <c r="K129" s="8">
        <v>0.1045</v>
      </c>
      <c r="L129" s="7">
        <v>12</v>
      </c>
      <c r="M129" s="7">
        <v>55</v>
      </c>
      <c r="N129" s="7">
        <v>67</v>
      </c>
      <c r="O129" t="s">
        <v>29</v>
      </c>
      <c r="P129" t="s">
        <v>58</v>
      </c>
      <c r="Q129" t="s">
        <v>31</v>
      </c>
      <c r="R129" t="s">
        <v>47</v>
      </c>
      <c r="S129" t="s">
        <v>44</v>
      </c>
      <c r="T129" t="s">
        <v>39</v>
      </c>
      <c r="U129" t="s">
        <v>35</v>
      </c>
      <c r="V129" t="s">
        <v>36</v>
      </c>
      <c r="W129" t="s">
        <v>37</v>
      </c>
      <c r="X129" s="6">
        <v>17.910447761194028</v>
      </c>
      <c r="Y129" s="6">
        <v>82.089552238805979</v>
      </c>
      <c r="Z129" t="s">
        <v>38</v>
      </c>
      <c r="AA129" t="s">
        <v>39</v>
      </c>
      <c r="AB129" t="s">
        <v>38</v>
      </c>
      <c r="AC129" s="8">
        <v>1.2699999999999991E-2</v>
      </c>
    </row>
    <row r="130" spans="1:29" x14ac:dyDescent="0.3">
      <c r="A130" s="7">
        <v>129</v>
      </c>
      <c r="B130" s="1">
        <v>40549</v>
      </c>
      <c r="C130" s="7">
        <v>1</v>
      </c>
      <c r="D130" s="7">
        <v>14</v>
      </c>
      <c r="E130" t="b">
        <v>0</v>
      </c>
      <c r="F130" s="7">
        <v>4</v>
      </c>
      <c r="G130" s="7">
        <v>1</v>
      </c>
      <c r="H130" s="6">
        <v>0.28000000000000003</v>
      </c>
      <c r="I130" s="8">
        <v>0.2727</v>
      </c>
      <c r="J130" s="6">
        <v>0.36</v>
      </c>
      <c r="K130" s="8">
        <v>0.16420000000000001</v>
      </c>
      <c r="L130" s="7">
        <v>11</v>
      </c>
      <c r="M130" s="7">
        <v>59</v>
      </c>
      <c r="N130" s="7">
        <v>70</v>
      </c>
      <c r="O130" t="s">
        <v>29</v>
      </c>
      <c r="P130" t="s">
        <v>58</v>
      </c>
      <c r="Q130" t="s">
        <v>31</v>
      </c>
      <c r="R130" t="s">
        <v>47</v>
      </c>
      <c r="S130" t="s">
        <v>44</v>
      </c>
      <c r="T130" t="s">
        <v>39</v>
      </c>
      <c r="U130" t="s">
        <v>46</v>
      </c>
      <c r="V130" t="s">
        <v>36</v>
      </c>
      <c r="W130" t="s">
        <v>37</v>
      </c>
      <c r="X130" s="6">
        <v>15.71428571428571</v>
      </c>
      <c r="Y130" s="6">
        <v>84.285714285714292</v>
      </c>
      <c r="Z130" t="s">
        <v>38</v>
      </c>
      <c r="AA130" t="s">
        <v>39</v>
      </c>
      <c r="AB130" t="s">
        <v>38</v>
      </c>
      <c r="AC130" s="8">
        <v>-7.3000000000000287E-3</v>
      </c>
    </row>
    <row r="131" spans="1:29" x14ac:dyDescent="0.3">
      <c r="A131" s="7">
        <v>130</v>
      </c>
      <c r="B131" s="1">
        <v>40549</v>
      </c>
      <c r="C131" s="7">
        <v>1</v>
      </c>
      <c r="D131" s="7">
        <v>15</v>
      </c>
      <c r="E131" t="b">
        <v>0</v>
      </c>
      <c r="F131" s="7">
        <v>4</v>
      </c>
      <c r="G131" s="7">
        <v>1</v>
      </c>
      <c r="H131" s="6">
        <v>0.28000000000000003</v>
      </c>
      <c r="I131" s="8">
        <v>0.2727</v>
      </c>
      <c r="J131" s="6">
        <v>0.36</v>
      </c>
      <c r="K131" s="8">
        <v>0</v>
      </c>
      <c r="L131" s="7">
        <v>8</v>
      </c>
      <c r="M131" s="7">
        <v>54</v>
      </c>
      <c r="N131" s="7">
        <v>62</v>
      </c>
      <c r="O131" t="s">
        <v>29</v>
      </c>
      <c r="P131" t="s">
        <v>58</v>
      </c>
      <c r="Q131" t="s">
        <v>31</v>
      </c>
      <c r="R131" t="s">
        <v>47</v>
      </c>
      <c r="S131" t="s">
        <v>44</v>
      </c>
      <c r="T131" t="s">
        <v>39</v>
      </c>
      <c r="U131" t="s">
        <v>35</v>
      </c>
      <c r="V131" t="s">
        <v>36</v>
      </c>
      <c r="W131" t="s">
        <v>37</v>
      </c>
      <c r="X131" s="6">
        <v>12.90322580645161</v>
      </c>
      <c r="Y131" s="6">
        <v>87.096774193548384</v>
      </c>
      <c r="Z131" t="s">
        <v>38</v>
      </c>
      <c r="AA131" t="s">
        <v>39</v>
      </c>
      <c r="AB131" t="s">
        <v>38</v>
      </c>
      <c r="AC131" s="8">
        <v>-7.3000000000000287E-3</v>
      </c>
    </row>
    <row r="132" spans="1:29" x14ac:dyDescent="0.3">
      <c r="A132" s="7">
        <v>131</v>
      </c>
      <c r="B132" s="1">
        <v>40549</v>
      </c>
      <c r="C132" s="7">
        <v>1</v>
      </c>
      <c r="D132" s="7">
        <v>16</v>
      </c>
      <c r="E132" t="b">
        <v>0</v>
      </c>
      <c r="F132" s="7">
        <v>4</v>
      </c>
      <c r="G132" s="7">
        <v>1</v>
      </c>
      <c r="H132" s="6">
        <v>0.26</v>
      </c>
      <c r="I132" s="8">
        <v>0.2576</v>
      </c>
      <c r="J132" s="6">
        <v>0.38</v>
      </c>
      <c r="K132" s="8">
        <v>0.16420000000000001</v>
      </c>
      <c r="L132" s="7">
        <v>12</v>
      </c>
      <c r="M132" s="7">
        <v>74</v>
      </c>
      <c r="N132" s="7">
        <v>86</v>
      </c>
      <c r="O132" t="s">
        <v>29</v>
      </c>
      <c r="P132" t="s">
        <v>58</v>
      </c>
      <c r="Q132" t="s">
        <v>31</v>
      </c>
      <c r="R132" t="s">
        <v>47</v>
      </c>
      <c r="S132" t="s">
        <v>44</v>
      </c>
      <c r="T132" t="s">
        <v>39</v>
      </c>
      <c r="U132" t="s">
        <v>46</v>
      </c>
      <c r="V132" t="s">
        <v>36</v>
      </c>
      <c r="W132" t="s">
        <v>37</v>
      </c>
      <c r="X132" s="6">
        <v>13.95348837209302</v>
      </c>
      <c r="Y132" s="6">
        <v>86.04651162790698</v>
      </c>
      <c r="Z132" t="s">
        <v>38</v>
      </c>
      <c r="AA132" t="s">
        <v>39</v>
      </c>
      <c r="AB132" t="s">
        <v>38</v>
      </c>
      <c r="AC132" s="8">
        <v>-2.4000000000000128E-3</v>
      </c>
    </row>
    <row r="133" spans="1:29" x14ac:dyDescent="0.3">
      <c r="A133" s="7">
        <v>132</v>
      </c>
      <c r="B133" s="1">
        <v>40549</v>
      </c>
      <c r="C133" s="7">
        <v>1</v>
      </c>
      <c r="D133" s="7">
        <v>17</v>
      </c>
      <c r="E133" t="b">
        <v>0</v>
      </c>
      <c r="F133" s="7">
        <v>4</v>
      </c>
      <c r="G133" s="7">
        <v>1</v>
      </c>
      <c r="H133" s="6">
        <v>0.22</v>
      </c>
      <c r="I133" s="8">
        <v>0.2273</v>
      </c>
      <c r="J133" s="6">
        <v>0.51</v>
      </c>
      <c r="K133" s="8">
        <v>0.16420000000000001</v>
      </c>
      <c r="L133" s="7">
        <v>9</v>
      </c>
      <c r="M133" s="7">
        <v>163</v>
      </c>
      <c r="N133" s="7">
        <v>172</v>
      </c>
      <c r="O133" t="s">
        <v>29</v>
      </c>
      <c r="P133" t="s">
        <v>58</v>
      </c>
      <c r="Q133" t="s">
        <v>31</v>
      </c>
      <c r="R133" t="s">
        <v>50</v>
      </c>
      <c r="S133" t="s">
        <v>33</v>
      </c>
      <c r="T133" t="s">
        <v>49</v>
      </c>
      <c r="U133" t="s">
        <v>46</v>
      </c>
      <c r="V133" t="s">
        <v>36</v>
      </c>
      <c r="W133" t="s">
        <v>37</v>
      </c>
      <c r="X133" s="6">
        <v>5.2325581395348841</v>
      </c>
      <c r="Y133" s="6">
        <v>94.767441860465112</v>
      </c>
      <c r="Z133" t="s">
        <v>40</v>
      </c>
      <c r="AA133" t="s">
        <v>49</v>
      </c>
      <c r="AB133" t="s">
        <v>38</v>
      </c>
      <c r="AC133" s="8">
        <v>7.3000000000000009E-3</v>
      </c>
    </row>
    <row r="134" spans="1:29" x14ac:dyDescent="0.3">
      <c r="A134" s="7">
        <v>133</v>
      </c>
      <c r="B134" s="1">
        <v>40549</v>
      </c>
      <c r="C134" s="7">
        <v>1</v>
      </c>
      <c r="D134" s="7">
        <v>18</v>
      </c>
      <c r="E134" t="b">
        <v>0</v>
      </c>
      <c r="F134" s="7">
        <v>4</v>
      </c>
      <c r="G134" s="7">
        <v>1</v>
      </c>
      <c r="H134" s="6">
        <v>0.22</v>
      </c>
      <c r="I134" s="8">
        <v>0.2273</v>
      </c>
      <c r="J134" s="6">
        <v>0.51</v>
      </c>
      <c r="K134" s="8">
        <v>0.1343</v>
      </c>
      <c r="L134" s="7">
        <v>5</v>
      </c>
      <c r="M134" s="7">
        <v>158</v>
      </c>
      <c r="N134" s="7">
        <v>163</v>
      </c>
      <c r="O134" t="s">
        <v>29</v>
      </c>
      <c r="P134" t="s">
        <v>58</v>
      </c>
      <c r="Q134" t="s">
        <v>31</v>
      </c>
      <c r="R134" t="s">
        <v>50</v>
      </c>
      <c r="S134" t="s">
        <v>33</v>
      </c>
      <c r="T134" t="s">
        <v>49</v>
      </c>
      <c r="U134" t="s">
        <v>35</v>
      </c>
      <c r="V134" t="s">
        <v>36</v>
      </c>
      <c r="W134" t="s">
        <v>37</v>
      </c>
      <c r="X134" s="6">
        <v>3.0674846625766872</v>
      </c>
      <c r="Y134" s="6">
        <v>96.932515337423311</v>
      </c>
      <c r="Z134" t="s">
        <v>40</v>
      </c>
      <c r="AA134" t="s">
        <v>49</v>
      </c>
      <c r="AB134" t="s">
        <v>38</v>
      </c>
      <c r="AC134" s="8">
        <v>7.3000000000000009E-3</v>
      </c>
    </row>
    <row r="135" spans="1:29" x14ac:dyDescent="0.3">
      <c r="A135" s="7">
        <v>134</v>
      </c>
      <c r="B135" s="1">
        <v>40549</v>
      </c>
      <c r="C135" s="7">
        <v>1</v>
      </c>
      <c r="D135" s="7">
        <v>19</v>
      </c>
      <c r="E135" t="b">
        <v>0</v>
      </c>
      <c r="F135" s="7">
        <v>4</v>
      </c>
      <c r="G135" s="7">
        <v>1</v>
      </c>
      <c r="H135" s="6">
        <v>0.22</v>
      </c>
      <c r="I135" s="8">
        <v>0.2576</v>
      </c>
      <c r="J135" s="6">
        <v>0.55000000000000004</v>
      </c>
      <c r="K135" s="8">
        <v>8.9599999999999999E-2</v>
      </c>
      <c r="L135" s="7">
        <v>3</v>
      </c>
      <c r="M135" s="7">
        <v>109</v>
      </c>
      <c r="N135" s="7">
        <v>112</v>
      </c>
      <c r="O135" t="s">
        <v>29</v>
      </c>
      <c r="P135" t="s">
        <v>58</v>
      </c>
      <c r="Q135" t="s">
        <v>31</v>
      </c>
      <c r="R135" t="s">
        <v>50</v>
      </c>
      <c r="S135" t="s">
        <v>33</v>
      </c>
      <c r="T135" t="s">
        <v>49</v>
      </c>
      <c r="U135" t="s">
        <v>35</v>
      </c>
      <c r="V135" t="s">
        <v>36</v>
      </c>
      <c r="W135" t="s">
        <v>37</v>
      </c>
      <c r="X135" s="6">
        <v>2.6785714285714279</v>
      </c>
      <c r="Y135" s="6">
        <v>97.321428571428569</v>
      </c>
      <c r="Z135" t="s">
        <v>40</v>
      </c>
      <c r="AA135" t="s">
        <v>49</v>
      </c>
      <c r="AB135" t="s">
        <v>38</v>
      </c>
      <c r="AC135" s="8">
        <v>3.7599999999999988E-2</v>
      </c>
    </row>
    <row r="136" spans="1:29" x14ac:dyDescent="0.3">
      <c r="A136" s="7">
        <v>135</v>
      </c>
      <c r="B136" s="1">
        <v>40549</v>
      </c>
      <c r="C136" s="7">
        <v>1</v>
      </c>
      <c r="D136" s="7">
        <v>20</v>
      </c>
      <c r="E136" t="b">
        <v>0</v>
      </c>
      <c r="F136" s="7">
        <v>4</v>
      </c>
      <c r="G136" s="7">
        <v>1</v>
      </c>
      <c r="H136" s="6">
        <v>0.2</v>
      </c>
      <c r="I136" s="8">
        <v>0.21210000000000001</v>
      </c>
      <c r="J136" s="6">
        <v>0.51</v>
      </c>
      <c r="K136" s="8">
        <v>0.16420000000000001</v>
      </c>
      <c r="L136" s="7">
        <v>3</v>
      </c>
      <c r="M136" s="7">
        <v>66</v>
      </c>
      <c r="N136" s="7">
        <v>69</v>
      </c>
      <c r="O136" t="s">
        <v>29</v>
      </c>
      <c r="P136" t="s">
        <v>58</v>
      </c>
      <c r="Q136" t="s">
        <v>31</v>
      </c>
      <c r="R136" t="s">
        <v>50</v>
      </c>
      <c r="S136" t="s">
        <v>33</v>
      </c>
      <c r="T136" t="s">
        <v>49</v>
      </c>
      <c r="U136" t="s">
        <v>46</v>
      </c>
      <c r="V136" t="s">
        <v>36</v>
      </c>
      <c r="W136" t="s">
        <v>37</v>
      </c>
      <c r="X136" s="6">
        <v>4.3478260869565224</v>
      </c>
      <c r="Y136" s="6">
        <v>95.652173913043484</v>
      </c>
      <c r="Z136" t="s">
        <v>38</v>
      </c>
      <c r="AA136" t="s">
        <v>39</v>
      </c>
      <c r="AB136" t="s">
        <v>38</v>
      </c>
      <c r="AC136" s="8">
        <v>1.21E-2</v>
      </c>
    </row>
    <row r="137" spans="1:29" x14ac:dyDescent="0.3">
      <c r="A137" s="7">
        <v>136</v>
      </c>
      <c r="B137" s="1">
        <v>40549</v>
      </c>
      <c r="C137" s="7">
        <v>1</v>
      </c>
      <c r="D137" s="7">
        <v>21</v>
      </c>
      <c r="E137" t="b">
        <v>0</v>
      </c>
      <c r="F137" s="7">
        <v>4</v>
      </c>
      <c r="G137" s="7">
        <v>2</v>
      </c>
      <c r="H137" s="6">
        <v>0.22</v>
      </c>
      <c r="I137" s="8">
        <v>0.21210000000000001</v>
      </c>
      <c r="J137" s="6">
        <v>0.55000000000000004</v>
      </c>
      <c r="K137" s="8">
        <v>0.22389999999999999</v>
      </c>
      <c r="L137" s="7">
        <v>0</v>
      </c>
      <c r="M137" s="7">
        <v>48</v>
      </c>
      <c r="N137" s="7">
        <v>48</v>
      </c>
      <c r="O137" t="s">
        <v>29</v>
      </c>
      <c r="P137" t="s">
        <v>58</v>
      </c>
      <c r="Q137" t="s">
        <v>41</v>
      </c>
      <c r="R137" t="s">
        <v>32</v>
      </c>
      <c r="S137" t="s">
        <v>33</v>
      </c>
      <c r="T137" t="s">
        <v>49</v>
      </c>
      <c r="U137" t="s">
        <v>46</v>
      </c>
      <c r="V137" t="s">
        <v>36</v>
      </c>
      <c r="W137" t="s">
        <v>37</v>
      </c>
      <c r="X137" s="6">
        <v>0</v>
      </c>
      <c r="Y137" s="6">
        <v>100</v>
      </c>
      <c r="Z137" t="s">
        <v>38</v>
      </c>
      <c r="AA137" t="s">
        <v>39</v>
      </c>
      <c r="AB137" t="s">
        <v>38</v>
      </c>
      <c r="AC137" s="8">
        <v>-7.8999999999999904E-3</v>
      </c>
    </row>
    <row r="138" spans="1:29" x14ac:dyDescent="0.3">
      <c r="A138" s="7">
        <v>137</v>
      </c>
      <c r="B138" s="1">
        <v>40549</v>
      </c>
      <c r="C138" s="7">
        <v>1</v>
      </c>
      <c r="D138" s="7">
        <v>22</v>
      </c>
      <c r="E138" t="b">
        <v>0</v>
      </c>
      <c r="F138" s="7">
        <v>4</v>
      </c>
      <c r="G138" s="7">
        <v>2</v>
      </c>
      <c r="H138" s="6">
        <v>0.22</v>
      </c>
      <c r="I138" s="8">
        <v>0.21210000000000001</v>
      </c>
      <c r="J138" s="6">
        <v>0.51</v>
      </c>
      <c r="K138" s="8">
        <v>0.28360000000000002</v>
      </c>
      <c r="L138" s="7">
        <v>1</v>
      </c>
      <c r="M138" s="7">
        <v>51</v>
      </c>
      <c r="N138" s="7">
        <v>52</v>
      </c>
      <c r="O138" t="s">
        <v>29</v>
      </c>
      <c r="P138" t="s">
        <v>58</v>
      </c>
      <c r="Q138" t="s">
        <v>41</v>
      </c>
      <c r="R138" t="s">
        <v>32</v>
      </c>
      <c r="S138" t="s">
        <v>33</v>
      </c>
      <c r="T138" t="s">
        <v>49</v>
      </c>
      <c r="U138" t="s">
        <v>46</v>
      </c>
      <c r="V138" t="s">
        <v>36</v>
      </c>
      <c r="W138" t="s">
        <v>37</v>
      </c>
      <c r="X138" s="6">
        <v>1.9230769230769229</v>
      </c>
      <c r="Y138" s="6">
        <v>98.076923076923066</v>
      </c>
      <c r="Z138" t="s">
        <v>38</v>
      </c>
      <c r="AA138" t="s">
        <v>39</v>
      </c>
      <c r="AB138" t="s">
        <v>38</v>
      </c>
      <c r="AC138" s="8">
        <v>-7.8999999999999904E-3</v>
      </c>
    </row>
    <row r="139" spans="1:29" x14ac:dyDescent="0.3">
      <c r="A139" s="7">
        <v>138</v>
      </c>
      <c r="B139" s="1">
        <v>40549</v>
      </c>
      <c r="C139" s="7">
        <v>1</v>
      </c>
      <c r="D139" s="7">
        <v>23</v>
      </c>
      <c r="E139" t="b">
        <v>0</v>
      </c>
      <c r="F139" s="7">
        <v>4</v>
      </c>
      <c r="G139" s="7">
        <v>2</v>
      </c>
      <c r="H139" s="6">
        <v>0.2</v>
      </c>
      <c r="I139" s="8">
        <v>0.19700000000000001</v>
      </c>
      <c r="J139" s="6">
        <v>0.59</v>
      </c>
      <c r="K139" s="8">
        <v>0.19400000000000001</v>
      </c>
      <c r="L139" s="7">
        <v>4</v>
      </c>
      <c r="M139" s="7">
        <v>19</v>
      </c>
      <c r="N139" s="7">
        <v>23</v>
      </c>
      <c r="O139" t="s">
        <v>29</v>
      </c>
      <c r="P139" t="s">
        <v>58</v>
      </c>
      <c r="Q139" t="s">
        <v>41</v>
      </c>
      <c r="R139" t="s">
        <v>32</v>
      </c>
      <c r="S139" t="s">
        <v>33</v>
      </c>
      <c r="T139" t="s">
        <v>49</v>
      </c>
      <c r="U139" t="s">
        <v>46</v>
      </c>
      <c r="V139" t="s">
        <v>36</v>
      </c>
      <c r="W139" t="s">
        <v>37</v>
      </c>
      <c r="X139" s="6">
        <v>17.39130434782609</v>
      </c>
      <c r="Y139" s="6">
        <v>82.608695652173907</v>
      </c>
      <c r="Z139" t="s">
        <v>38</v>
      </c>
      <c r="AA139" t="s">
        <v>39</v>
      </c>
      <c r="AB139" t="s">
        <v>38</v>
      </c>
      <c r="AC139" s="8">
        <v>-3.0000000000000031E-3</v>
      </c>
    </row>
    <row r="140" spans="1:29" x14ac:dyDescent="0.3">
      <c r="A140" s="7">
        <v>139</v>
      </c>
      <c r="B140" s="1">
        <v>40550</v>
      </c>
      <c r="C140" s="7">
        <v>1</v>
      </c>
      <c r="D140" s="7">
        <v>0</v>
      </c>
      <c r="E140" t="b">
        <v>0</v>
      </c>
      <c r="F140" s="7">
        <v>5</v>
      </c>
      <c r="G140" s="7">
        <v>2</v>
      </c>
      <c r="H140" s="6">
        <v>0.2</v>
      </c>
      <c r="I140" s="8">
        <v>0.19700000000000001</v>
      </c>
      <c r="J140" s="6">
        <v>0.64</v>
      </c>
      <c r="K140" s="8">
        <v>0.19400000000000001</v>
      </c>
      <c r="L140" s="7">
        <v>4</v>
      </c>
      <c r="M140" s="7">
        <v>13</v>
      </c>
      <c r="N140" s="7">
        <v>17</v>
      </c>
      <c r="O140" t="s">
        <v>29</v>
      </c>
      <c r="P140" t="s">
        <v>59</v>
      </c>
      <c r="Q140" t="s">
        <v>41</v>
      </c>
      <c r="R140" t="s">
        <v>32</v>
      </c>
      <c r="S140" t="s">
        <v>33</v>
      </c>
      <c r="T140" t="s">
        <v>49</v>
      </c>
      <c r="U140" t="s">
        <v>46</v>
      </c>
      <c r="V140" t="s">
        <v>36</v>
      </c>
      <c r="W140" t="s">
        <v>37</v>
      </c>
      <c r="X140" s="6">
        <v>23.52941176470588</v>
      </c>
      <c r="Y140" s="6">
        <v>76.470588235294116</v>
      </c>
      <c r="Z140" t="s">
        <v>38</v>
      </c>
      <c r="AA140" t="s">
        <v>39</v>
      </c>
      <c r="AB140" t="s">
        <v>38</v>
      </c>
      <c r="AC140" s="8">
        <v>-3.0000000000000031E-3</v>
      </c>
    </row>
    <row r="141" spans="1:29" x14ac:dyDescent="0.3">
      <c r="A141" s="7">
        <v>140</v>
      </c>
      <c r="B141" s="1">
        <v>40550</v>
      </c>
      <c r="C141" s="7">
        <v>1</v>
      </c>
      <c r="D141" s="7">
        <v>1</v>
      </c>
      <c r="E141" t="b">
        <v>0</v>
      </c>
      <c r="F141" s="7">
        <v>5</v>
      </c>
      <c r="G141" s="7">
        <v>2</v>
      </c>
      <c r="H141" s="6">
        <v>0.2</v>
      </c>
      <c r="I141" s="8">
        <v>0.19700000000000001</v>
      </c>
      <c r="J141" s="6">
        <v>0.69</v>
      </c>
      <c r="K141" s="8">
        <v>0.22389999999999999</v>
      </c>
      <c r="L141" s="7">
        <v>2</v>
      </c>
      <c r="M141" s="7">
        <v>5</v>
      </c>
      <c r="N141" s="7">
        <v>7</v>
      </c>
      <c r="O141" t="s">
        <v>29</v>
      </c>
      <c r="P141" t="s">
        <v>59</v>
      </c>
      <c r="Q141" t="s">
        <v>41</v>
      </c>
      <c r="R141" t="s">
        <v>32</v>
      </c>
      <c r="S141" t="s">
        <v>33</v>
      </c>
      <c r="T141" t="s">
        <v>49</v>
      </c>
      <c r="U141" t="s">
        <v>46</v>
      </c>
      <c r="V141" t="s">
        <v>36</v>
      </c>
      <c r="W141" t="s">
        <v>37</v>
      </c>
      <c r="X141" s="6">
        <v>28.571428571428569</v>
      </c>
      <c r="Y141" s="6">
        <v>71.428571428571431</v>
      </c>
      <c r="Z141" t="s">
        <v>38</v>
      </c>
      <c r="AA141" t="s">
        <v>39</v>
      </c>
      <c r="AB141" t="s">
        <v>38</v>
      </c>
      <c r="AC141" s="8">
        <v>-3.0000000000000031E-3</v>
      </c>
    </row>
    <row r="142" spans="1:29" x14ac:dyDescent="0.3">
      <c r="A142" s="7">
        <v>141</v>
      </c>
      <c r="B142" s="1">
        <v>40550</v>
      </c>
      <c r="C142" s="7">
        <v>1</v>
      </c>
      <c r="D142" s="7">
        <v>2</v>
      </c>
      <c r="E142" t="b">
        <v>0</v>
      </c>
      <c r="F142" s="7">
        <v>5</v>
      </c>
      <c r="G142" s="7">
        <v>2</v>
      </c>
      <c r="H142" s="6">
        <v>0.2</v>
      </c>
      <c r="I142" s="8">
        <v>0.19700000000000001</v>
      </c>
      <c r="J142" s="6">
        <v>0.69</v>
      </c>
      <c r="K142" s="8">
        <v>0.22389999999999999</v>
      </c>
      <c r="L142" s="7">
        <v>0</v>
      </c>
      <c r="M142" s="7">
        <v>1</v>
      </c>
      <c r="N142" s="7">
        <v>1</v>
      </c>
      <c r="O142" t="s">
        <v>29</v>
      </c>
      <c r="P142" t="s">
        <v>59</v>
      </c>
      <c r="Q142" t="s">
        <v>41</v>
      </c>
      <c r="R142" t="s">
        <v>32</v>
      </c>
      <c r="S142" t="s">
        <v>33</v>
      </c>
      <c r="T142" t="s">
        <v>49</v>
      </c>
      <c r="U142" t="s">
        <v>46</v>
      </c>
      <c r="V142" t="s">
        <v>36</v>
      </c>
      <c r="W142" t="s">
        <v>37</v>
      </c>
      <c r="X142" s="6">
        <v>0</v>
      </c>
      <c r="Y142" s="6">
        <v>100</v>
      </c>
      <c r="Z142" t="s">
        <v>38</v>
      </c>
      <c r="AA142" t="s">
        <v>39</v>
      </c>
      <c r="AB142" t="s">
        <v>38</v>
      </c>
      <c r="AC142" s="8">
        <v>-3.0000000000000031E-3</v>
      </c>
    </row>
    <row r="143" spans="1:29" x14ac:dyDescent="0.3">
      <c r="A143" s="7">
        <v>142</v>
      </c>
      <c r="B143" s="1">
        <v>40550</v>
      </c>
      <c r="C143" s="7">
        <v>1</v>
      </c>
      <c r="D143" s="7">
        <v>4</v>
      </c>
      <c r="E143" t="b">
        <v>0</v>
      </c>
      <c r="F143" s="7">
        <v>5</v>
      </c>
      <c r="G143" s="7">
        <v>2</v>
      </c>
      <c r="H143" s="6">
        <v>0.2</v>
      </c>
      <c r="I143" s="8">
        <v>0.21210000000000001</v>
      </c>
      <c r="J143" s="6">
        <v>0.69</v>
      </c>
      <c r="K143" s="8">
        <v>0.1343</v>
      </c>
      <c r="L143" s="7">
        <v>0</v>
      </c>
      <c r="M143" s="7">
        <v>1</v>
      </c>
      <c r="N143" s="7">
        <v>1</v>
      </c>
      <c r="O143" t="s">
        <v>29</v>
      </c>
      <c r="P143" t="s">
        <v>59</v>
      </c>
      <c r="Q143" t="s">
        <v>41</v>
      </c>
      <c r="R143" t="s">
        <v>32</v>
      </c>
      <c r="S143" t="s">
        <v>33</v>
      </c>
      <c r="T143" t="s">
        <v>49</v>
      </c>
      <c r="U143" t="s">
        <v>35</v>
      </c>
      <c r="V143" t="s">
        <v>36</v>
      </c>
      <c r="W143" t="s">
        <v>37</v>
      </c>
      <c r="X143" s="6">
        <v>0</v>
      </c>
      <c r="Y143" s="6">
        <v>100</v>
      </c>
      <c r="Z143" t="s">
        <v>38</v>
      </c>
      <c r="AA143" t="s">
        <v>39</v>
      </c>
      <c r="AB143" t="s">
        <v>38</v>
      </c>
      <c r="AC143" s="8">
        <v>1.21E-2</v>
      </c>
    </row>
    <row r="144" spans="1:29" x14ac:dyDescent="0.3">
      <c r="A144" s="7">
        <v>143</v>
      </c>
      <c r="B144" s="1">
        <v>40550</v>
      </c>
      <c r="C144" s="7">
        <v>1</v>
      </c>
      <c r="D144" s="7">
        <v>5</v>
      </c>
      <c r="E144" t="b">
        <v>0</v>
      </c>
      <c r="F144" s="7">
        <v>5</v>
      </c>
      <c r="G144" s="7">
        <v>3</v>
      </c>
      <c r="H144" s="6">
        <v>0.22</v>
      </c>
      <c r="I144" s="8">
        <v>0.2727</v>
      </c>
      <c r="J144" s="6">
        <v>0.55000000000000004</v>
      </c>
      <c r="K144" s="8">
        <v>0</v>
      </c>
      <c r="L144" s="7">
        <v>0</v>
      </c>
      <c r="M144" s="7">
        <v>5</v>
      </c>
      <c r="N144" s="7">
        <v>5</v>
      </c>
      <c r="O144" t="s">
        <v>29</v>
      </c>
      <c r="P144" t="s">
        <v>59</v>
      </c>
      <c r="Q144" t="s">
        <v>51</v>
      </c>
      <c r="R144" t="s">
        <v>32</v>
      </c>
      <c r="S144" t="s">
        <v>33</v>
      </c>
      <c r="T144" t="s">
        <v>49</v>
      </c>
      <c r="U144" t="s">
        <v>35</v>
      </c>
      <c r="V144" t="s">
        <v>36</v>
      </c>
      <c r="W144" t="s">
        <v>37</v>
      </c>
      <c r="X144" s="6">
        <v>0</v>
      </c>
      <c r="Y144" s="6">
        <v>100</v>
      </c>
      <c r="Z144" t="s">
        <v>38</v>
      </c>
      <c r="AA144" t="s">
        <v>39</v>
      </c>
      <c r="AB144" t="s">
        <v>38</v>
      </c>
      <c r="AC144" s="8">
        <v>5.2699999999999997E-2</v>
      </c>
    </row>
    <row r="145" spans="1:29" x14ac:dyDescent="0.3">
      <c r="A145" s="7">
        <v>144</v>
      </c>
      <c r="B145" s="1">
        <v>40550</v>
      </c>
      <c r="C145" s="7">
        <v>1</v>
      </c>
      <c r="D145" s="7">
        <v>6</v>
      </c>
      <c r="E145" t="b">
        <v>0</v>
      </c>
      <c r="F145" s="7">
        <v>5</v>
      </c>
      <c r="G145" s="7">
        <v>2</v>
      </c>
      <c r="H145" s="6">
        <v>0.2</v>
      </c>
      <c r="I145" s="8">
        <v>0.2576</v>
      </c>
      <c r="J145" s="6">
        <v>0.69</v>
      </c>
      <c r="K145" s="8">
        <v>0</v>
      </c>
      <c r="L145" s="7">
        <v>8</v>
      </c>
      <c r="M145" s="7">
        <v>26</v>
      </c>
      <c r="N145" s="7">
        <v>34</v>
      </c>
      <c r="O145" t="s">
        <v>29</v>
      </c>
      <c r="P145" t="s">
        <v>59</v>
      </c>
      <c r="Q145" t="s">
        <v>41</v>
      </c>
      <c r="R145" t="s">
        <v>42</v>
      </c>
      <c r="S145" t="s">
        <v>33</v>
      </c>
      <c r="T145" t="s">
        <v>49</v>
      </c>
      <c r="U145" t="s">
        <v>35</v>
      </c>
      <c r="V145" t="s">
        <v>36</v>
      </c>
      <c r="W145" t="s">
        <v>37</v>
      </c>
      <c r="X145" s="6">
        <v>23.52941176470588</v>
      </c>
      <c r="Y145" s="6">
        <v>76.470588235294116</v>
      </c>
      <c r="Z145" t="s">
        <v>38</v>
      </c>
      <c r="AA145" t="s">
        <v>39</v>
      </c>
      <c r="AB145" t="s">
        <v>38</v>
      </c>
      <c r="AC145" s="8">
        <v>5.7599999999999978E-2</v>
      </c>
    </row>
    <row r="146" spans="1:29" x14ac:dyDescent="0.3">
      <c r="A146" s="7">
        <v>145</v>
      </c>
      <c r="B146" s="1">
        <v>40550</v>
      </c>
      <c r="C146" s="7">
        <v>1</v>
      </c>
      <c r="D146" s="7">
        <v>7</v>
      </c>
      <c r="E146" t="b">
        <v>0</v>
      </c>
      <c r="F146" s="7">
        <v>5</v>
      </c>
      <c r="G146" s="7">
        <v>1</v>
      </c>
      <c r="H146" s="6">
        <v>0.2</v>
      </c>
      <c r="I146" s="8">
        <v>0.21210000000000001</v>
      </c>
      <c r="J146" s="6">
        <v>0.69</v>
      </c>
      <c r="K146" s="8">
        <v>0.1343</v>
      </c>
      <c r="L146" s="7">
        <v>8</v>
      </c>
      <c r="M146" s="7">
        <v>76</v>
      </c>
      <c r="N146" s="7">
        <v>84</v>
      </c>
      <c r="O146" t="s">
        <v>29</v>
      </c>
      <c r="P146" t="s">
        <v>59</v>
      </c>
      <c r="Q146" t="s">
        <v>31</v>
      </c>
      <c r="R146" t="s">
        <v>42</v>
      </c>
      <c r="S146" t="s">
        <v>33</v>
      </c>
      <c r="T146" t="s">
        <v>49</v>
      </c>
      <c r="U146" t="s">
        <v>35</v>
      </c>
      <c r="V146" t="s">
        <v>36</v>
      </c>
      <c r="W146" t="s">
        <v>37</v>
      </c>
      <c r="X146" s="6">
        <v>9.5238095238095237</v>
      </c>
      <c r="Y146" s="6">
        <v>90.476190476190482</v>
      </c>
      <c r="Z146" t="s">
        <v>40</v>
      </c>
      <c r="AA146" t="s">
        <v>39</v>
      </c>
      <c r="AB146" t="s">
        <v>38</v>
      </c>
      <c r="AC146" s="8">
        <v>1.21E-2</v>
      </c>
    </row>
    <row r="147" spans="1:29" x14ac:dyDescent="0.3">
      <c r="A147" s="7">
        <v>146</v>
      </c>
      <c r="B147" s="1">
        <v>40550</v>
      </c>
      <c r="C147" s="7">
        <v>1</v>
      </c>
      <c r="D147" s="7">
        <v>8</v>
      </c>
      <c r="E147" t="b">
        <v>0</v>
      </c>
      <c r="F147" s="7">
        <v>5</v>
      </c>
      <c r="G147" s="7">
        <v>1</v>
      </c>
      <c r="H147" s="6">
        <v>0.2</v>
      </c>
      <c r="I147" s="8">
        <v>0.19700000000000001</v>
      </c>
      <c r="J147" s="6">
        <v>0.51</v>
      </c>
      <c r="K147" s="8">
        <v>0.25369999999999998</v>
      </c>
      <c r="L147" s="7">
        <v>20</v>
      </c>
      <c r="M147" s="7">
        <v>190</v>
      </c>
      <c r="N147" s="7">
        <v>210</v>
      </c>
      <c r="O147" t="s">
        <v>29</v>
      </c>
      <c r="P147" t="s">
        <v>59</v>
      </c>
      <c r="Q147" t="s">
        <v>31</v>
      </c>
      <c r="R147" t="s">
        <v>42</v>
      </c>
      <c r="S147" t="s">
        <v>33</v>
      </c>
      <c r="T147" t="s">
        <v>49</v>
      </c>
      <c r="U147" t="s">
        <v>46</v>
      </c>
      <c r="V147" t="s">
        <v>36</v>
      </c>
      <c r="W147" t="s">
        <v>37</v>
      </c>
      <c r="X147" s="6">
        <v>9.5238095238095237</v>
      </c>
      <c r="Y147" s="6">
        <v>90.476190476190482</v>
      </c>
      <c r="Z147" t="s">
        <v>40</v>
      </c>
      <c r="AA147" t="s">
        <v>49</v>
      </c>
      <c r="AB147" t="s">
        <v>38</v>
      </c>
      <c r="AC147" s="8">
        <v>-3.0000000000000031E-3</v>
      </c>
    </row>
    <row r="148" spans="1:29" x14ac:dyDescent="0.3">
      <c r="A148" s="7">
        <v>147</v>
      </c>
      <c r="B148" s="1">
        <v>40550</v>
      </c>
      <c r="C148" s="7">
        <v>1</v>
      </c>
      <c r="D148" s="7">
        <v>9</v>
      </c>
      <c r="E148" t="b">
        <v>0</v>
      </c>
      <c r="F148" s="7">
        <v>5</v>
      </c>
      <c r="G148" s="7">
        <v>1</v>
      </c>
      <c r="H148" s="6">
        <v>0.2</v>
      </c>
      <c r="I148" s="8">
        <v>0.18179999999999999</v>
      </c>
      <c r="J148" s="6">
        <v>0.47</v>
      </c>
      <c r="K148" s="8">
        <v>0.29849999999999999</v>
      </c>
      <c r="L148" s="7">
        <v>9</v>
      </c>
      <c r="M148" s="7">
        <v>125</v>
      </c>
      <c r="N148" s="7">
        <v>134</v>
      </c>
      <c r="O148" t="s">
        <v>29</v>
      </c>
      <c r="P148" t="s">
        <v>59</v>
      </c>
      <c r="Q148" t="s">
        <v>31</v>
      </c>
      <c r="R148" t="s">
        <v>42</v>
      </c>
      <c r="S148" t="s">
        <v>33</v>
      </c>
      <c r="T148" t="s">
        <v>49</v>
      </c>
      <c r="U148" t="s">
        <v>46</v>
      </c>
      <c r="V148" t="s">
        <v>36</v>
      </c>
      <c r="W148" t="s">
        <v>37</v>
      </c>
      <c r="X148" s="6">
        <v>6.7164179104477606</v>
      </c>
      <c r="Y148" s="6">
        <v>93.28358208955224</v>
      </c>
      <c r="Z148" t="s">
        <v>40</v>
      </c>
      <c r="AA148" t="s">
        <v>49</v>
      </c>
      <c r="AB148" t="s">
        <v>38</v>
      </c>
      <c r="AC148" s="8">
        <v>-1.8200000000000022E-2</v>
      </c>
    </row>
    <row r="149" spans="1:29" x14ac:dyDescent="0.3">
      <c r="A149" s="7">
        <v>148</v>
      </c>
      <c r="B149" s="1">
        <v>40550</v>
      </c>
      <c r="C149" s="7">
        <v>1</v>
      </c>
      <c r="D149" s="7">
        <v>10</v>
      </c>
      <c r="E149" t="b">
        <v>0</v>
      </c>
      <c r="F149" s="7">
        <v>5</v>
      </c>
      <c r="G149" s="7">
        <v>1</v>
      </c>
      <c r="H149" s="6">
        <v>0.22</v>
      </c>
      <c r="I149" s="8">
        <v>0.19700000000000001</v>
      </c>
      <c r="J149" s="6">
        <v>0.37</v>
      </c>
      <c r="K149" s="8">
        <v>0.32840000000000003</v>
      </c>
      <c r="L149" s="7">
        <v>16</v>
      </c>
      <c r="M149" s="7">
        <v>47</v>
      </c>
      <c r="N149" s="7">
        <v>63</v>
      </c>
      <c r="O149" t="s">
        <v>29</v>
      </c>
      <c r="P149" t="s">
        <v>59</v>
      </c>
      <c r="Q149" t="s">
        <v>31</v>
      </c>
      <c r="R149" t="s">
        <v>42</v>
      </c>
      <c r="S149" t="s">
        <v>33</v>
      </c>
      <c r="T149" t="s">
        <v>39</v>
      </c>
      <c r="U149" t="s">
        <v>53</v>
      </c>
      <c r="V149" t="s">
        <v>36</v>
      </c>
      <c r="W149" t="s">
        <v>37</v>
      </c>
      <c r="X149" s="6">
        <v>25.396825396825399</v>
      </c>
      <c r="Y149" s="6">
        <v>74.603174603174608</v>
      </c>
      <c r="Z149" t="s">
        <v>38</v>
      </c>
      <c r="AA149" t="s">
        <v>39</v>
      </c>
      <c r="AB149" t="s">
        <v>38</v>
      </c>
      <c r="AC149" s="8">
        <v>-2.2999999999999989E-2</v>
      </c>
    </row>
    <row r="150" spans="1:29" x14ac:dyDescent="0.3">
      <c r="A150" s="7">
        <v>149</v>
      </c>
      <c r="B150" s="1">
        <v>40550</v>
      </c>
      <c r="C150" s="7">
        <v>1</v>
      </c>
      <c r="D150" s="7">
        <v>11</v>
      </c>
      <c r="E150" t="b">
        <v>0</v>
      </c>
      <c r="F150" s="7">
        <v>5</v>
      </c>
      <c r="G150" s="7">
        <v>2</v>
      </c>
      <c r="H150" s="6">
        <v>0.2</v>
      </c>
      <c r="I150" s="8">
        <v>0.19700000000000001</v>
      </c>
      <c r="J150" s="6">
        <v>0.4</v>
      </c>
      <c r="K150" s="8">
        <v>0.22389999999999999</v>
      </c>
      <c r="L150" s="7">
        <v>19</v>
      </c>
      <c r="M150" s="7">
        <v>48</v>
      </c>
      <c r="N150" s="7">
        <v>67</v>
      </c>
      <c r="O150" t="s">
        <v>29</v>
      </c>
      <c r="P150" t="s">
        <v>59</v>
      </c>
      <c r="Q150" t="s">
        <v>41</v>
      </c>
      <c r="R150" t="s">
        <v>42</v>
      </c>
      <c r="S150" t="s">
        <v>33</v>
      </c>
      <c r="T150" t="s">
        <v>49</v>
      </c>
      <c r="U150" t="s">
        <v>46</v>
      </c>
      <c r="V150" t="s">
        <v>36</v>
      </c>
      <c r="W150" t="s">
        <v>37</v>
      </c>
      <c r="X150" s="6">
        <v>28.35820895522388</v>
      </c>
      <c r="Y150" s="6">
        <v>71.641791044776113</v>
      </c>
      <c r="Z150" t="s">
        <v>38</v>
      </c>
      <c r="AA150" t="s">
        <v>39</v>
      </c>
      <c r="AB150" t="s">
        <v>38</v>
      </c>
      <c r="AC150" s="8">
        <v>-3.0000000000000031E-3</v>
      </c>
    </row>
    <row r="151" spans="1:29" x14ac:dyDescent="0.3">
      <c r="A151" s="7">
        <v>150</v>
      </c>
      <c r="B151" s="1">
        <v>40550</v>
      </c>
      <c r="C151" s="7">
        <v>1</v>
      </c>
      <c r="D151" s="7">
        <v>12</v>
      </c>
      <c r="E151" t="b">
        <v>0</v>
      </c>
      <c r="F151" s="7">
        <v>5</v>
      </c>
      <c r="G151" s="7">
        <v>2</v>
      </c>
      <c r="H151" s="6">
        <v>0.2</v>
      </c>
      <c r="I151" s="8">
        <v>0.19700000000000001</v>
      </c>
      <c r="J151" s="6">
        <v>0.37</v>
      </c>
      <c r="K151" s="8">
        <v>0.25369999999999998</v>
      </c>
      <c r="L151" s="7">
        <v>9</v>
      </c>
      <c r="M151" s="7">
        <v>50</v>
      </c>
      <c r="N151" s="7">
        <v>59</v>
      </c>
      <c r="O151" t="s">
        <v>29</v>
      </c>
      <c r="P151" t="s">
        <v>59</v>
      </c>
      <c r="Q151" t="s">
        <v>41</v>
      </c>
      <c r="R151" t="s">
        <v>47</v>
      </c>
      <c r="S151" t="s">
        <v>33</v>
      </c>
      <c r="T151" t="s">
        <v>39</v>
      </c>
      <c r="U151" t="s">
        <v>46</v>
      </c>
      <c r="V151" t="s">
        <v>36</v>
      </c>
      <c r="W151" t="s">
        <v>37</v>
      </c>
      <c r="X151" s="6">
        <v>15.25423728813559</v>
      </c>
      <c r="Y151" s="6">
        <v>84.745762711864401</v>
      </c>
      <c r="Z151" t="s">
        <v>38</v>
      </c>
      <c r="AA151" t="s">
        <v>39</v>
      </c>
      <c r="AB151" t="s">
        <v>38</v>
      </c>
      <c r="AC151" s="8">
        <v>-3.0000000000000031E-3</v>
      </c>
    </row>
    <row r="152" spans="1:29" x14ac:dyDescent="0.3">
      <c r="A152" s="7">
        <v>151</v>
      </c>
      <c r="B152" s="1">
        <v>40550</v>
      </c>
      <c r="C152" s="7">
        <v>1</v>
      </c>
      <c r="D152" s="7">
        <v>13</v>
      </c>
      <c r="E152" t="b">
        <v>0</v>
      </c>
      <c r="F152" s="7">
        <v>5</v>
      </c>
      <c r="G152" s="7">
        <v>2</v>
      </c>
      <c r="H152" s="6">
        <v>0.2</v>
      </c>
      <c r="I152" s="8">
        <v>0.18179999999999999</v>
      </c>
      <c r="J152" s="6">
        <v>0.37</v>
      </c>
      <c r="K152" s="8">
        <v>0.28360000000000002</v>
      </c>
      <c r="L152" s="7">
        <v>9</v>
      </c>
      <c r="M152" s="7">
        <v>64</v>
      </c>
      <c r="N152" s="7">
        <v>73</v>
      </c>
      <c r="O152" t="s">
        <v>29</v>
      </c>
      <c r="P152" t="s">
        <v>59</v>
      </c>
      <c r="Q152" t="s">
        <v>41</v>
      </c>
      <c r="R152" t="s">
        <v>47</v>
      </c>
      <c r="S152" t="s">
        <v>33</v>
      </c>
      <c r="T152" t="s">
        <v>39</v>
      </c>
      <c r="U152" t="s">
        <v>46</v>
      </c>
      <c r="V152" t="s">
        <v>36</v>
      </c>
      <c r="W152" t="s">
        <v>37</v>
      </c>
      <c r="X152" s="6">
        <v>12.328767123287671</v>
      </c>
      <c r="Y152" s="6">
        <v>87.671232876712324</v>
      </c>
      <c r="Z152" t="s">
        <v>38</v>
      </c>
      <c r="AA152" t="s">
        <v>39</v>
      </c>
      <c r="AB152" t="s">
        <v>38</v>
      </c>
      <c r="AC152" s="8">
        <v>-1.8200000000000022E-2</v>
      </c>
    </row>
    <row r="153" spans="1:29" x14ac:dyDescent="0.3">
      <c r="A153" s="7">
        <v>152</v>
      </c>
      <c r="B153" s="1">
        <v>40550</v>
      </c>
      <c r="C153" s="7">
        <v>1</v>
      </c>
      <c r="D153" s="7">
        <v>14</v>
      </c>
      <c r="E153" t="b">
        <v>0</v>
      </c>
      <c r="F153" s="7">
        <v>5</v>
      </c>
      <c r="G153" s="7">
        <v>2</v>
      </c>
      <c r="H153" s="6">
        <v>0.2</v>
      </c>
      <c r="I153" s="8">
        <v>0.19700000000000001</v>
      </c>
      <c r="J153" s="6">
        <v>0.4</v>
      </c>
      <c r="K153" s="8">
        <v>0.25369999999999998</v>
      </c>
      <c r="L153" s="7">
        <v>7</v>
      </c>
      <c r="M153" s="7">
        <v>43</v>
      </c>
      <c r="N153" s="7">
        <v>50</v>
      </c>
      <c r="O153" t="s">
        <v>29</v>
      </c>
      <c r="P153" t="s">
        <v>59</v>
      </c>
      <c r="Q153" t="s">
        <v>41</v>
      </c>
      <c r="R153" t="s">
        <v>47</v>
      </c>
      <c r="S153" t="s">
        <v>33</v>
      </c>
      <c r="T153" t="s">
        <v>49</v>
      </c>
      <c r="U153" t="s">
        <v>46</v>
      </c>
      <c r="V153" t="s">
        <v>36</v>
      </c>
      <c r="W153" t="s">
        <v>37</v>
      </c>
      <c r="X153" s="6">
        <v>14</v>
      </c>
      <c r="Y153" s="6">
        <v>86</v>
      </c>
      <c r="Z153" t="s">
        <v>38</v>
      </c>
      <c r="AA153" t="s">
        <v>39</v>
      </c>
      <c r="AB153" t="s">
        <v>38</v>
      </c>
      <c r="AC153" s="8">
        <v>-3.0000000000000031E-3</v>
      </c>
    </row>
    <row r="154" spans="1:29" x14ac:dyDescent="0.3">
      <c r="A154" s="7">
        <v>153</v>
      </c>
      <c r="B154" s="1">
        <v>40550</v>
      </c>
      <c r="C154" s="7">
        <v>1</v>
      </c>
      <c r="D154" s="7">
        <v>15</v>
      </c>
      <c r="E154" t="b">
        <v>0</v>
      </c>
      <c r="F154" s="7">
        <v>5</v>
      </c>
      <c r="G154" s="7">
        <v>2</v>
      </c>
      <c r="H154" s="6">
        <v>0.2</v>
      </c>
      <c r="I154" s="8">
        <v>0.21210000000000001</v>
      </c>
      <c r="J154" s="6">
        <v>0.37</v>
      </c>
      <c r="K154" s="8">
        <v>0.16420000000000001</v>
      </c>
      <c r="L154" s="7">
        <v>9</v>
      </c>
      <c r="M154" s="7">
        <v>63</v>
      </c>
      <c r="N154" s="7">
        <v>72</v>
      </c>
      <c r="O154" t="s">
        <v>29</v>
      </c>
      <c r="P154" t="s">
        <v>59</v>
      </c>
      <c r="Q154" t="s">
        <v>41</v>
      </c>
      <c r="R154" t="s">
        <v>47</v>
      </c>
      <c r="S154" t="s">
        <v>33</v>
      </c>
      <c r="T154" t="s">
        <v>39</v>
      </c>
      <c r="U154" t="s">
        <v>46</v>
      </c>
      <c r="V154" t="s">
        <v>36</v>
      </c>
      <c r="W154" t="s">
        <v>37</v>
      </c>
      <c r="X154" s="6">
        <v>12.5</v>
      </c>
      <c r="Y154" s="6">
        <v>87.5</v>
      </c>
      <c r="Z154" t="s">
        <v>38</v>
      </c>
      <c r="AA154" t="s">
        <v>39</v>
      </c>
      <c r="AB154" t="s">
        <v>38</v>
      </c>
      <c r="AC154" s="8">
        <v>1.21E-2</v>
      </c>
    </row>
    <row r="155" spans="1:29" x14ac:dyDescent="0.3">
      <c r="A155" s="7">
        <v>154</v>
      </c>
      <c r="B155" s="1">
        <v>40550</v>
      </c>
      <c r="C155" s="7">
        <v>1</v>
      </c>
      <c r="D155" s="7">
        <v>16</v>
      </c>
      <c r="E155" t="b">
        <v>0</v>
      </c>
      <c r="F155" s="7">
        <v>5</v>
      </c>
      <c r="G155" s="7">
        <v>2</v>
      </c>
      <c r="H155" s="6">
        <v>0.2</v>
      </c>
      <c r="I155" s="8">
        <v>0.21210000000000001</v>
      </c>
      <c r="J155" s="6">
        <v>0.37</v>
      </c>
      <c r="K155" s="8">
        <v>0.16420000000000001</v>
      </c>
      <c r="L155" s="7">
        <v>5</v>
      </c>
      <c r="M155" s="7">
        <v>82</v>
      </c>
      <c r="N155" s="7">
        <v>87</v>
      </c>
      <c r="O155" t="s">
        <v>29</v>
      </c>
      <c r="P155" t="s">
        <v>59</v>
      </c>
      <c r="Q155" t="s">
        <v>41</v>
      </c>
      <c r="R155" t="s">
        <v>47</v>
      </c>
      <c r="S155" t="s">
        <v>33</v>
      </c>
      <c r="T155" t="s">
        <v>39</v>
      </c>
      <c r="U155" t="s">
        <v>46</v>
      </c>
      <c r="V155" t="s">
        <v>36</v>
      </c>
      <c r="W155" t="s">
        <v>37</v>
      </c>
      <c r="X155" s="6">
        <v>5.7471264367816088</v>
      </c>
      <c r="Y155" s="6">
        <v>94.252873563218387</v>
      </c>
      <c r="Z155" t="s">
        <v>38</v>
      </c>
      <c r="AA155" t="s">
        <v>39</v>
      </c>
      <c r="AB155" t="s">
        <v>38</v>
      </c>
      <c r="AC155" s="8">
        <v>1.21E-2</v>
      </c>
    </row>
    <row r="156" spans="1:29" x14ac:dyDescent="0.3">
      <c r="A156" s="7">
        <v>155</v>
      </c>
      <c r="B156" s="1">
        <v>40550</v>
      </c>
      <c r="C156" s="7">
        <v>1</v>
      </c>
      <c r="D156" s="7">
        <v>17</v>
      </c>
      <c r="E156" t="b">
        <v>0</v>
      </c>
      <c r="F156" s="7">
        <v>5</v>
      </c>
      <c r="G156" s="7">
        <v>2</v>
      </c>
      <c r="H156" s="6">
        <v>0.2</v>
      </c>
      <c r="I156" s="8">
        <v>0.2576</v>
      </c>
      <c r="J156" s="6">
        <v>0.37</v>
      </c>
      <c r="K156" s="8">
        <v>0</v>
      </c>
      <c r="L156" s="7">
        <v>9</v>
      </c>
      <c r="M156" s="7">
        <v>178</v>
      </c>
      <c r="N156" s="7">
        <v>187</v>
      </c>
      <c r="O156" t="s">
        <v>29</v>
      </c>
      <c r="P156" t="s">
        <v>59</v>
      </c>
      <c r="Q156" t="s">
        <v>41</v>
      </c>
      <c r="R156" t="s">
        <v>50</v>
      </c>
      <c r="S156" t="s">
        <v>33</v>
      </c>
      <c r="T156" t="s">
        <v>39</v>
      </c>
      <c r="U156" t="s">
        <v>35</v>
      </c>
      <c r="V156" t="s">
        <v>36</v>
      </c>
      <c r="W156" t="s">
        <v>37</v>
      </c>
      <c r="X156" s="6">
        <v>4.8128342245989302</v>
      </c>
      <c r="Y156" s="6">
        <v>95.18716577540107</v>
      </c>
      <c r="Z156" t="s">
        <v>40</v>
      </c>
      <c r="AA156" t="s">
        <v>49</v>
      </c>
      <c r="AB156" t="s">
        <v>38</v>
      </c>
      <c r="AC156" s="8">
        <v>5.7599999999999978E-2</v>
      </c>
    </row>
    <row r="157" spans="1:29" x14ac:dyDescent="0.3">
      <c r="A157" s="7">
        <v>156</v>
      </c>
      <c r="B157" s="1">
        <v>40550</v>
      </c>
      <c r="C157" s="7">
        <v>1</v>
      </c>
      <c r="D157" s="7">
        <v>18</v>
      </c>
      <c r="E157" t="b">
        <v>0</v>
      </c>
      <c r="F157" s="7">
        <v>5</v>
      </c>
      <c r="G157" s="7">
        <v>1</v>
      </c>
      <c r="H157" s="6">
        <v>0.2</v>
      </c>
      <c r="I157" s="8">
        <v>0.2273</v>
      </c>
      <c r="J157" s="6">
        <v>0.4</v>
      </c>
      <c r="K157" s="8">
        <v>8.9599999999999999E-2</v>
      </c>
      <c r="L157" s="7">
        <v>7</v>
      </c>
      <c r="M157" s="7">
        <v>116</v>
      </c>
      <c r="N157" s="7">
        <v>123</v>
      </c>
      <c r="O157" t="s">
        <v>29</v>
      </c>
      <c r="P157" t="s">
        <v>59</v>
      </c>
      <c r="Q157" t="s">
        <v>31</v>
      </c>
      <c r="R157" t="s">
        <v>50</v>
      </c>
      <c r="S157" t="s">
        <v>33</v>
      </c>
      <c r="T157" t="s">
        <v>49</v>
      </c>
      <c r="U157" t="s">
        <v>35</v>
      </c>
      <c r="V157" t="s">
        <v>36</v>
      </c>
      <c r="W157" t="s">
        <v>37</v>
      </c>
      <c r="X157" s="6">
        <v>5.6910569105691051</v>
      </c>
      <c r="Y157" s="6">
        <v>94.308943089430898</v>
      </c>
      <c r="Z157" t="s">
        <v>40</v>
      </c>
      <c r="AA157" t="s">
        <v>49</v>
      </c>
      <c r="AB157" t="s">
        <v>38</v>
      </c>
      <c r="AC157" s="8">
        <v>2.7299999999999991E-2</v>
      </c>
    </row>
    <row r="158" spans="1:29" x14ac:dyDescent="0.3">
      <c r="A158" s="7">
        <v>157</v>
      </c>
      <c r="B158" s="1">
        <v>40550</v>
      </c>
      <c r="C158" s="7">
        <v>1</v>
      </c>
      <c r="D158" s="7">
        <v>19</v>
      </c>
      <c r="E158" t="b">
        <v>0</v>
      </c>
      <c r="F158" s="7">
        <v>5</v>
      </c>
      <c r="G158" s="7">
        <v>1</v>
      </c>
      <c r="H158" s="6">
        <v>0.16</v>
      </c>
      <c r="I158" s="8">
        <v>0.19700000000000001</v>
      </c>
      <c r="J158" s="6">
        <v>0.55000000000000004</v>
      </c>
      <c r="K158" s="8">
        <v>8.9599999999999999E-2</v>
      </c>
      <c r="L158" s="7">
        <v>3</v>
      </c>
      <c r="M158" s="7">
        <v>92</v>
      </c>
      <c r="N158" s="7">
        <v>95</v>
      </c>
      <c r="O158" t="s">
        <v>29</v>
      </c>
      <c r="P158" t="s">
        <v>59</v>
      </c>
      <c r="Q158" t="s">
        <v>31</v>
      </c>
      <c r="R158" t="s">
        <v>50</v>
      </c>
      <c r="S158" t="s">
        <v>33</v>
      </c>
      <c r="T158" t="s">
        <v>49</v>
      </c>
      <c r="U158" t="s">
        <v>35</v>
      </c>
      <c r="V158" t="s">
        <v>36</v>
      </c>
      <c r="W158" t="s">
        <v>37</v>
      </c>
      <c r="X158" s="6">
        <v>3.1578947368421049</v>
      </c>
      <c r="Y158" s="6">
        <v>96.84210526315789</v>
      </c>
      <c r="Z158" t="s">
        <v>40</v>
      </c>
      <c r="AA158" t="s">
        <v>39</v>
      </c>
      <c r="AB158" t="s">
        <v>38</v>
      </c>
      <c r="AC158" s="8">
        <v>3.7000000000000012E-2</v>
      </c>
    </row>
    <row r="159" spans="1:29" x14ac:dyDescent="0.3">
      <c r="A159" s="7">
        <v>158</v>
      </c>
      <c r="B159" s="1">
        <v>40550</v>
      </c>
      <c r="C159" s="7">
        <v>1</v>
      </c>
      <c r="D159" s="7">
        <v>20</v>
      </c>
      <c r="E159" t="b">
        <v>0</v>
      </c>
      <c r="F159" s="7">
        <v>5</v>
      </c>
      <c r="G159" s="7">
        <v>1</v>
      </c>
      <c r="H159" s="6">
        <v>0.18</v>
      </c>
      <c r="I159" s="8">
        <v>0.21210000000000001</v>
      </c>
      <c r="J159" s="6">
        <v>0.47</v>
      </c>
      <c r="K159" s="8">
        <v>0.1045</v>
      </c>
      <c r="L159" s="7">
        <v>1</v>
      </c>
      <c r="M159" s="7">
        <v>50</v>
      </c>
      <c r="N159" s="7">
        <v>51</v>
      </c>
      <c r="O159" t="s">
        <v>29</v>
      </c>
      <c r="P159" t="s">
        <v>59</v>
      </c>
      <c r="Q159" t="s">
        <v>31</v>
      </c>
      <c r="R159" t="s">
        <v>50</v>
      </c>
      <c r="S159" t="s">
        <v>33</v>
      </c>
      <c r="T159" t="s">
        <v>49</v>
      </c>
      <c r="U159" t="s">
        <v>35</v>
      </c>
      <c r="V159" t="s">
        <v>36</v>
      </c>
      <c r="W159" t="s">
        <v>37</v>
      </c>
      <c r="X159" s="6">
        <v>1.9607843137254899</v>
      </c>
      <c r="Y159" s="6">
        <v>98.039215686274503</v>
      </c>
      <c r="Z159" t="s">
        <v>38</v>
      </c>
      <c r="AA159" t="s">
        <v>39</v>
      </c>
      <c r="AB159" t="s">
        <v>38</v>
      </c>
      <c r="AC159" s="8">
        <v>3.2100000000000017E-2</v>
      </c>
    </row>
    <row r="160" spans="1:29" x14ac:dyDescent="0.3">
      <c r="A160" s="7">
        <v>159</v>
      </c>
      <c r="B160" s="1">
        <v>40550</v>
      </c>
      <c r="C160" s="7">
        <v>1</v>
      </c>
      <c r="D160" s="7">
        <v>21</v>
      </c>
      <c r="E160" t="b">
        <v>0</v>
      </c>
      <c r="F160" s="7">
        <v>5</v>
      </c>
      <c r="G160" s="7">
        <v>1</v>
      </c>
      <c r="H160" s="6">
        <v>0.18</v>
      </c>
      <c r="I160" s="8">
        <v>0.19700000000000001</v>
      </c>
      <c r="J160" s="6">
        <v>0.47</v>
      </c>
      <c r="K160" s="8">
        <v>0.1343</v>
      </c>
      <c r="L160" s="7">
        <v>0</v>
      </c>
      <c r="M160" s="7">
        <v>39</v>
      </c>
      <c r="N160" s="7">
        <v>39</v>
      </c>
      <c r="O160" t="s">
        <v>29</v>
      </c>
      <c r="P160" t="s">
        <v>59</v>
      </c>
      <c r="Q160" t="s">
        <v>31</v>
      </c>
      <c r="R160" t="s">
        <v>32</v>
      </c>
      <c r="S160" t="s">
        <v>33</v>
      </c>
      <c r="T160" t="s">
        <v>49</v>
      </c>
      <c r="U160" t="s">
        <v>35</v>
      </c>
      <c r="V160" t="s">
        <v>36</v>
      </c>
      <c r="W160" t="s">
        <v>37</v>
      </c>
      <c r="X160" s="6">
        <v>0</v>
      </c>
      <c r="Y160" s="6">
        <v>100</v>
      </c>
      <c r="Z160" t="s">
        <v>38</v>
      </c>
      <c r="AA160" t="s">
        <v>39</v>
      </c>
      <c r="AB160" t="s">
        <v>38</v>
      </c>
      <c r="AC160" s="8">
        <v>1.7000000000000019E-2</v>
      </c>
    </row>
    <row r="161" spans="1:29" x14ac:dyDescent="0.3">
      <c r="A161" s="7">
        <v>160</v>
      </c>
      <c r="B161" s="1">
        <v>40550</v>
      </c>
      <c r="C161" s="7">
        <v>1</v>
      </c>
      <c r="D161" s="7">
        <v>22</v>
      </c>
      <c r="E161" t="b">
        <v>0</v>
      </c>
      <c r="F161" s="7">
        <v>5</v>
      </c>
      <c r="G161" s="7">
        <v>2</v>
      </c>
      <c r="H161" s="6">
        <v>0.18</v>
      </c>
      <c r="I161" s="8">
        <v>0.19700000000000001</v>
      </c>
      <c r="J161" s="6">
        <v>0.43</v>
      </c>
      <c r="K161" s="8">
        <v>0.16420000000000001</v>
      </c>
      <c r="L161" s="7">
        <v>2</v>
      </c>
      <c r="M161" s="7">
        <v>34</v>
      </c>
      <c r="N161" s="7">
        <v>36</v>
      </c>
      <c r="O161" t="s">
        <v>29</v>
      </c>
      <c r="P161" t="s">
        <v>59</v>
      </c>
      <c r="Q161" t="s">
        <v>41</v>
      </c>
      <c r="R161" t="s">
        <v>32</v>
      </c>
      <c r="S161" t="s">
        <v>33</v>
      </c>
      <c r="T161" t="s">
        <v>49</v>
      </c>
      <c r="U161" t="s">
        <v>46</v>
      </c>
      <c r="V161" t="s">
        <v>36</v>
      </c>
      <c r="W161" t="s">
        <v>37</v>
      </c>
      <c r="X161" s="6">
        <v>5.5555555555555554</v>
      </c>
      <c r="Y161" s="6">
        <v>94.444444444444443</v>
      </c>
      <c r="Z161" t="s">
        <v>38</v>
      </c>
      <c r="AA161" t="s">
        <v>39</v>
      </c>
      <c r="AB161" t="s">
        <v>38</v>
      </c>
      <c r="AC161" s="8">
        <v>1.7000000000000019E-2</v>
      </c>
    </row>
    <row r="162" spans="1:29" x14ac:dyDescent="0.3">
      <c r="A162" s="7">
        <v>161</v>
      </c>
      <c r="B162" s="1">
        <v>40550</v>
      </c>
      <c r="C162" s="7">
        <v>1</v>
      </c>
      <c r="D162" s="7">
        <v>23</v>
      </c>
      <c r="E162" t="b">
        <v>0</v>
      </c>
      <c r="F162" s="7">
        <v>5</v>
      </c>
      <c r="G162" s="7">
        <v>2</v>
      </c>
      <c r="H162" s="6">
        <v>0.18</v>
      </c>
      <c r="I162" s="8">
        <v>0.19700000000000001</v>
      </c>
      <c r="J162" s="6">
        <v>0.51</v>
      </c>
      <c r="K162" s="8">
        <v>0.16420000000000001</v>
      </c>
      <c r="L162" s="7">
        <v>1</v>
      </c>
      <c r="M162" s="7">
        <v>14</v>
      </c>
      <c r="N162" s="7">
        <v>15</v>
      </c>
      <c r="O162" t="s">
        <v>29</v>
      </c>
      <c r="P162" t="s">
        <v>59</v>
      </c>
      <c r="Q162" t="s">
        <v>41</v>
      </c>
      <c r="R162" t="s">
        <v>32</v>
      </c>
      <c r="S162" t="s">
        <v>33</v>
      </c>
      <c r="T162" t="s">
        <v>49</v>
      </c>
      <c r="U162" t="s">
        <v>46</v>
      </c>
      <c r="V162" t="s">
        <v>36</v>
      </c>
      <c r="W162" t="s">
        <v>37</v>
      </c>
      <c r="X162" s="6">
        <v>6.666666666666667</v>
      </c>
      <c r="Y162" s="6">
        <v>93.333333333333329</v>
      </c>
      <c r="Z162" t="s">
        <v>38</v>
      </c>
      <c r="AA162" t="s">
        <v>39</v>
      </c>
      <c r="AB162" t="s">
        <v>38</v>
      </c>
      <c r="AC162" s="8">
        <v>1.7000000000000019E-2</v>
      </c>
    </row>
    <row r="163" spans="1:29" x14ac:dyDescent="0.3">
      <c r="A163" s="7">
        <v>162</v>
      </c>
      <c r="B163" s="1">
        <v>40551</v>
      </c>
      <c r="C163" s="7">
        <v>1</v>
      </c>
      <c r="D163" s="7">
        <v>0</v>
      </c>
      <c r="E163" t="b">
        <v>0</v>
      </c>
      <c r="F163" s="7">
        <v>6</v>
      </c>
      <c r="G163" s="7">
        <v>2</v>
      </c>
      <c r="H163" s="6">
        <v>0.18</v>
      </c>
      <c r="I163" s="8">
        <v>0.19700000000000001</v>
      </c>
      <c r="J163" s="6">
        <v>0.51</v>
      </c>
      <c r="K163" s="8">
        <v>0.16420000000000001</v>
      </c>
      <c r="L163" s="7">
        <v>1</v>
      </c>
      <c r="M163" s="7">
        <v>24</v>
      </c>
      <c r="N163" s="7">
        <v>25</v>
      </c>
      <c r="O163" t="s">
        <v>29</v>
      </c>
      <c r="P163" t="s">
        <v>30</v>
      </c>
      <c r="Q163" t="s">
        <v>41</v>
      </c>
      <c r="R163" t="s">
        <v>32</v>
      </c>
      <c r="S163" t="s">
        <v>33</v>
      </c>
      <c r="T163" t="s">
        <v>49</v>
      </c>
      <c r="U163" t="s">
        <v>46</v>
      </c>
      <c r="V163" t="s">
        <v>36</v>
      </c>
      <c r="W163" t="s">
        <v>37</v>
      </c>
      <c r="X163" s="6">
        <v>4</v>
      </c>
      <c r="Y163" s="6">
        <v>96</v>
      </c>
      <c r="Z163" t="s">
        <v>38</v>
      </c>
      <c r="AA163" t="s">
        <v>39</v>
      </c>
      <c r="AB163" t="s">
        <v>40</v>
      </c>
      <c r="AC163" s="8">
        <v>1.7000000000000019E-2</v>
      </c>
    </row>
    <row r="164" spans="1:29" x14ac:dyDescent="0.3">
      <c r="A164" s="7">
        <v>163</v>
      </c>
      <c r="B164" s="1">
        <v>40551</v>
      </c>
      <c r="C164" s="7">
        <v>1</v>
      </c>
      <c r="D164" s="7">
        <v>1</v>
      </c>
      <c r="E164" t="b">
        <v>0</v>
      </c>
      <c r="F164" s="7">
        <v>6</v>
      </c>
      <c r="G164" s="7">
        <v>2</v>
      </c>
      <c r="H164" s="6">
        <v>0.18</v>
      </c>
      <c r="I164" s="8">
        <v>0.21210000000000001</v>
      </c>
      <c r="J164" s="6">
        <v>0.55000000000000004</v>
      </c>
      <c r="K164" s="8">
        <v>8.9599999999999999E-2</v>
      </c>
      <c r="L164" s="7">
        <v>1</v>
      </c>
      <c r="M164" s="7">
        <v>15</v>
      </c>
      <c r="N164" s="7">
        <v>16</v>
      </c>
      <c r="O164" t="s">
        <v>29</v>
      </c>
      <c r="P164" t="s">
        <v>30</v>
      </c>
      <c r="Q164" t="s">
        <v>41</v>
      </c>
      <c r="R164" t="s">
        <v>32</v>
      </c>
      <c r="S164" t="s">
        <v>33</v>
      </c>
      <c r="T164" t="s">
        <v>49</v>
      </c>
      <c r="U164" t="s">
        <v>35</v>
      </c>
      <c r="V164" t="s">
        <v>36</v>
      </c>
      <c r="W164" t="s">
        <v>37</v>
      </c>
      <c r="X164" s="6">
        <v>6.25</v>
      </c>
      <c r="Y164" s="6">
        <v>93.75</v>
      </c>
      <c r="Z164" t="s">
        <v>38</v>
      </c>
      <c r="AA164" t="s">
        <v>39</v>
      </c>
      <c r="AB164" t="s">
        <v>40</v>
      </c>
      <c r="AC164" s="8">
        <v>3.2100000000000017E-2</v>
      </c>
    </row>
    <row r="165" spans="1:29" x14ac:dyDescent="0.3">
      <c r="A165" s="7">
        <v>164</v>
      </c>
      <c r="B165" s="1">
        <v>40551</v>
      </c>
      <c r="C165" s="7">
        <v>1</v>
      </c>
      <c r="D165" s="7">
        <v>2</v>
      </c>
      <c r="E165" t="b">
        <v>0</v>
      </c>
      <c r="F165" s="7">
        <v>6</v>
      </c>
      <c r="G165" s="7">
        <v>2</v>
      </c>
      <c r="H165" s="6">
        <v>0.18</v>
      </c>
      <c r="I165" s="8">
        <v>0.2424</v>
      </c>
      <c r="J165" s="6">
        <v>0.55000000000000004</v>
      </c>
      <c r="K165" s="8">
        <v>0</v>
      </c>
      <c r="L165" s="7">
        <v>3</v>
      </c>
      <c r="M165" s="7">
        <v>13</v>
      </c>
      <c r="N165" s="7">
        <v>16</v>
      </c>
      <c r="O165" t="s">
        <v>29</v>
      </c>
      <c r="P165" t="s">
        <v>30</v>
      </c>
      <c r="Q165" t="s">
        <v>41</v>
      </c>
      <c r="R165" t="s">
        <v>32</v>
      </c>
      <c r="S165" t="s">
        <v>33</v>
      </c>
      <c r="T165" t="s">
        <v>49</v>
      </c>
      <c r="U165" t="s">
        <v>35</v>
      </c>
      <c r="V165" t="s">
        <v>36</v>
      </c>
      <c r="W165" t="s">
        <v>37</v>
      </c>
      <c r="X165" s="6">
        <v>18.75</v>
      </c>
      <c r="Y165" s="6">
        <v>81.25</v>
      </c>
      <c r="Z165" t="s">
        <v>38</v>
      </c>
      <c r="AA165" t="s">
        <v>39</v>
      </c>
      <c r="AB165" t="s">
        <v>40</v>
      </c>
      <c r="AC165" s="8">
        <v>6.2400000000000011E-2</v>
      </c>
    </row>
    <row r="166" spans="1:29" x14ac:dyDescent="0.3">
      <c r="A166" s="7">
        <v>165</v>
      </c>
      <c r="B166" s="1">
        <v>40551</v>
      </c>
      <c r="C166" s="7">
        <v>1</v>
      </c>
      <c r="D166" s="7">
        <v>3</v>
      </c>
      <c r="E166" t="b">
        <v>0</v>
      </c>
      <c r="F166" s="7">
        <v>6</v>
      </c>
      <c r="G166" s="7">
        <v>3</v>
      </c>
      <c r="H166" s="6">
        <v>0.18</v>
      </c>
      <c r="I166" s="8">
        <v>0.19700000000000001</v>
      </c>
      <c r="J166" s="6">
        <v>0.55000000000000004</v>
      </c>
      <c r="K166" s="8">
        <v>0.16420000000000001</v>
      </c>
      <c r="L166" s="7">
        <v>0</v>
      </c>
      <c r="M166" s="7">
        <v>7</v>
      </c>
      <c r="N166" s="7">
        <v>7</v>
      </c>
      <c r="O166" t="s">
        <v>29</v>
      </c>
      <c r="P166" t="s">
        <v>30</v>
      </c>
      <c r="Q166" t="s">
        <v>51</v>
      </c>
      <c r="R166" t="s">
        <v>32</v>
      </c>
      <c r="S166" t="s">
        <v>33</v>
      </c>
      <c r="T166" t="s">
        <v>49</v>
      </c>
      <c r="U166" t="s">
        <v>46</v>
      </c>
      <c r="V166" t="s">
        <v>36</v>
      </c>
      <c r="W166" t="s">
        <v>37</v>
      </c>
      <c r="X166" s="6">
        <v>0</v>
      </c>
      <c r="Y166" s="6">
        <v>100</v>
      </c>
      <c r="Z166" t="s">
        <v>38</v>
      </c>
      <c r="AA166" t="s">
        <v>39</v>
      </c>
      <c r="AB166" t="s">
        <v>40</v>
      </c>
      <c r="AC166" s="8">
        <v>1.7000000000000019E-2</v>
      </c>
    </row>
    <row r="167" spans="1:29" x14ac:dyDescent="0.3">
      <c r="A167" s="7">
        <v>166</v>
      </c>
      <c r="B167" s="1">
        <v>40551</v>
      </c>
      <c r="C167" s="7">
        <v>1</v>
      </c>
      <c r="D167" s="7">
        <v>4</v>
      </c>
      <c r="E167" t="b">
        <v>0</v>
      </c>
      <c r="F167" s="7">
        <v>6</v>
      </c>
      <c r="G167" s="7">
        <v>3</v>
      </c>
      <c r="H167" s="6">
        <v>0.18</v>
      </c>
      <c r="I167" s="8">
        <v>0.19700000000000001</v>
      </c>
      <c r="J167" s="6">
        <v>0.55000000000000004</v>
      </c>
      <c r="K167" s="8">
        <v>0.16420000000000001</v>
      </c>
      <c r="L167" s="7">
        <v>0</v>
      </c>
      <c r="M167" s="7">
        <v>1</v>
      </c>
      <c r="N167" s="7">
        <v>1</v>
      </c>
      <c r="O167" t="s">
        <v>29</v>
      </c>
      <c r="P167" t="s">
        <v>30</v>
      </c>
      <c r="Q167" t="s">
        <v>51</v>
      </c>
      <c r="R167" t="s">
        <v>32</v>
      </c>
      <c r="S167" t="s">
        <v>33</v>
      </c>
      <c r="T167" t="s">
        <v>49</v>
      </c>
      <c r="U167" t="s">
        <v>46</v>
      </c>
      <c r="V167" t="s">
        <v>36</v>
      </c>
      <c r="W167" t="s">
        <v>37</v>
      </c>
      <c r="X167" s="6">
        <v>0</v>
      </c>
      <c r="Y167" s="6">
        <v>100</v>
      </c>
      <c r="Z167" t="s">
        <v>38</v>
      </c>
      <c r="AA167" t="s">
        <v>39</v>
      </c>
      <c r="AB167" t="s">
        <v>40</v>
      </c>
      <c r="AC167" s="8">
        <v>1.7000000000000019E-2</v>
      </c>
    </row>
    <row r="168" spans="1:29" x14ac:dyDescent="0.3">
      <c r="A168" s="7">
        <v>167</v>
      </c>
      <c r="B168" s="1">
        <v>40551</v>
      </c>
      <c r="C168" s="7">
        <v>1</v>
      </c>
      <c r="D168" s="7">
        <v>5</v>
      </c>
      <c r="E168" t="b">
        <v>0</v>
      </c>
      <c r="F168" s="7">
        <v>6</v>
      </c>
      <c r="G168" s="7">
        <v>2</v>
      </c>
      <c r="H168" s="6">
        <v>0.16</v>
      </c>
      <c r="I168" s="8">
        <v>0.16669999999999999</v>
      </c>
      <c r="J168" s="6">
        <v>0.74</v>
      </c>
      <c r="K168" s="8">
        <v>0.16420000000000001</v>
      </c>
      <c r="L168" s="7">
        <v>0</v>
      </c>
      <c r="M168" s="7">
        <v>5</v>
      </c>
      <c r="N168" s="7">
        <v>5</v>
      </c>
      <c r="O168" t="s">
        <v>29</v>
      </c>
      <c r="P168" t="s">
        <v>30</v>
      </c>
      <c r="Q168" t="s">
        <v>41</v>
      </c>
      <c r="R168" t="s">
        <v>32</v>
      </c>
      <c r="S168" t="s">
        <v>33</v>
      </c>
      <c r="T168" t="s">
        <v>34</v>
      </c>
      <c r="U168" t="s">
        <v>46</v>
      </c>
      <c r="V168" t="s">
        <v>36</v>
      </c>
      <c r="W168" t="s">
        <v>37</v>
      </c>
      <c r="X168" s="6">
        <v>0</v>
      </c>
      <c r="Y168" s="6">
        <v>100</v>
      </c>
      <c r="Z168" t="s">
        <v>38</v>
      </c>
      <c r="AA168" t="s">
        <v>39</v>
      </c>
      <c r="AB168" t="s">
        <v>40</v>
      </c>
      <c r="AC168" s="8">
        <v>6.6999999999999837E-3</v>
      </c>
    </row>
    <row r="169" spans="1:29" x14ac:dyDescent="0.3">
      <c r="A169" s="7">
        <v>168</v>
      </c>
      <c r="B169" s="1">
        <v>40551</v>
      </c>
      <c r="C169" s="7">
        <v>1</v>
      </c>
      <c r="D169" s="7">
        <v>6</v>
      </c>
      <c r="E169" t="b">
        <v>0</v>
      </c>
      <c r="F169" s="7">
        <v>6</v>
      </c>
      <c r="G169" s="7">
        <v>2</v>
      </c>
      <c r="H169" s="6">
        <v>0.16</v>
      </c>
      <c r="I169" s="8">
        <v>0.16669999999999999</v>
      </c>
      <c r="J169" s="6">
        <v>0.74</v>
      </c>
      <c r="K169" s="8">
        <v>0.16420000000000001</v>
      </c>
      <c r="L169" s="7">
        <v>0</v>
      </c>
      <c r="M169" s="7">
        <v>2</v>
      </c>
      <c r="N169" s="7">
        <v>2</v>
      </c>
      <c r="O169" t="s">
        <v>29</v>
      </c>
      <c r="P169" t="s">
        <v>30</v>
      </c>
      <c r="Q169" t="s">
        <v>41</v>
      </c>
      <c r="R169" t="s">
        <v>42</v>
      </c>
      <c r="S169" t="s">
        <v>33</v>
      </c>
      <c r="T169" t="s">
        <v>34</v>
      </c>
      <c r="U169" t="s">
        <v>46</v>
      </c>
      <c r="V169" t="s">
        <v>36</v>
      </c>
      <c r="W169" t="s">
        <v>37</v>
      </c>
      <c r="X169" s="6">
        <v>0</v>
      </c>
      <c r="Y169" s="6">
        <v>100</v>
      </c>
      <c r="Z169" t="s">
        <v>38</v>
      </c>
      <c r="AA169" t="s">
        <v>39</v>
      </c>
      <c r="AB169" t="s">
        <v>40</v>
      </c>
      <c r="AC169" s="8">
        <v>6.6999999999999837E-3</v>
      </c>
    </row>
    <row r="170" spans="1:29" x14ac:dyDescent="0.3">
      <c r="A170" s="7">
        <v>169</v>
      </c>
      <c r="B170" s="1">
        <v>40551</v>
      </c>
      <c r="C170" s="7">
        <v>1</v>
      </c>
      <c r="D170" s="7">
        <v>7</v>
      </c>
      <c r="E170" t="b">
        <v>0</v>
      </c>
      <c r="F170" s="7">
        <v>6</v>
      </c>
      <c r="G170" s="7">
        <v>2</v>
      </c>
      <c r="H170" s="6">
        <v>0.16</v>
      </c>
      <c r="I170" s="8">
        <v>0.18179999999999999</v>
      </c>
      <c r="J170" s="6">
        <v>0.74</v>
      </c>
      <c r="K170" s="8">
        <v>0.1045</v>
      </c>
      <c r="L170" s="7">
        <v>1</v>
      </c>
      <c r="M170" s="7">
        <v>8</v>
      </c>
      <c r="N170" s="7">
        <v>9</v>
      </c>
      <c r="O170" t="s">
        <v>29</v>
      </c>
      <c r="P170" t="s">
        <v>30</v>
      </c>
      <c r="Q170" t="s">
        <v>41</v>
      </c>
      <c r="R170" t="s">
        <v>42</v>
      </c>
      <c r="S170" t="s">
        <v>33</v>
      </c>
      <c r="T170" t="s">
        <v>34</v>
      </c>
      <c r="U170" t="s">
        <v>35</v>
      </c>
      <c r="V170" t="s">
        <v>36</v>
      </c>
      <c r="W170" t="s">
        <v>37</v>
      </c>
      <c r="X170" s="6">
        <v>11.111111111111111</v>
      </c>
      <c r="Y170" s="6">
        <v>88.888888888888886</v>
      </c>
      <c r="Z170" t="s">
        <v>40</v>
      </c>
      <c r="AA170" t="s">
        <v>39</v>
      </c>
      <c r="AB170" t="s">
        <v>40</v>
      </c>
      <c r="AC170" s="8">
        <v>2.179999999999999E-2</v>
      </c>
    </row>
    <row r="171" spans="1:29" x14ac:dyDescent="0.3">
      <c r="A171" s="7">
        <v>170</v>
      </c>
      <c r="B171" s="1">
        <v>40551</v>
      </c>
      <c r="C171" s="7">
        <v>1</v>
      </c>
      <c r="D171" s="7">
        <v>8</v>
      </c>
      <c r="E171" t="b">
        <v>0</v>
      </c>
      <c r="F171" s="7">
        <v>6</v>
      </c>
      <c r="G171" s="7">
        <v>3</v>
      </c>
      <c r="H171" s="6">
        <v>0.16</v>
      </c>
      <c r="I171" s="8">
        <v>0.18179999999999999</v>
      </c>
      <c r="J171" s="6">
        <v>0.93</v>
      </c>
      <c r="K171" s="8">
        <v>0.1045</v>
      </c>
      <c r="L171" s="7">
        <v>0</v>
      </c>
      <c r="M171" s="7">
        <v>15</v>
      </c>
      <c r="N171" s="7">
        <v>15</v>
      </c>
      <c r="O171" t="s">
        <v>29</v>
      </c>
      <c r="P171" t="s">
        <v>30</v>
      </c>
      <c r="Q171" t="s">
        <v>51</v>
      </c>
      <c r="R171" t="s">
        <v>42</v>
      </c>
      <c r="S171" t="s">
        <v>33</v>
      </c>
      <c r="T171" t="s">
        <v>34</v>
      </c>
      <c r="U171" t="s">
        <v>35</v>
      </c>
      <c r="V171" t="s">
        <v>36</v>
      </c>
      <c r="W171" t="s">
        <v>37</v>
      </c>
      <c r="X171" s="6">
        <v>0</v>
      </c>
      <c r="Y171" s="6">
        <v>100</v>
      </c>
      <c r="Z171" t="s">
        <v>40</v>
      </c>
      <c r="AA171" t="s">
        <v>39</v>
      </c>
      <c r="AB171" t="s">
        <v>40</v>
      </c>
      <c r="AC171" s="8">
        <v>2.179999999999999E-2</v>
      </c>
    </row>
    <row r="172" spans="1:29" x14ac:dyDescent="0.3">
      <c r="A172" s="7">
        <v>171</v>
      </c>
      <c r="B172" s="1">
        <v>40551</v>
      </c>
      <c r="C172" s="7">
        <v>1</v>
      </c>
      <c r="D172" s="7">
        <v>9</v>
      </c>
      <c r="E172" t="b">
        <v>0</v>
      </c>
      <c r="F172" s="7">
        <v>6</v>
      </c>
      <c r="G172" s="7">
        <v>3</v>
      </c>
      <c r="H172" s="6">
        <v>0.16</v>
      </c>
      <c r="I172" s="8">
        <v>0.18179999999999999</v>
      </c>
      <c r="J172" s="6">
        <v>0.93</v>
      </c>
      <c r="K172" s="8">
        <v>0.1045</v>
      </c>
      <c r="L172" s="7">
        <v>0</v>
      </c>
      <c r="M172" s="7">
        <v>20</v>
      </c>
      <c r="N172" s="7">
        <v>20</v>
      </c>
      <c r="O172" t="s">
        <v>29</v>
      </c>
      <c r="P172" t="s">
        <v>30</v>
      </c>
      <c r="Q172" t="s">
        <v>51</v>
      </c>
      <c r="R172" t="s">
        <v>42</v>
      </c>
      <c r="S172" t="s">
        <v>33</v>
      </c>
      <c r="T172" t="s">
        <v>34</v>
      </c>
      <c r="U172" t="s">
        <v>35</v>
      </c>
      <c r="V172" t="s">
        <v>36</v>
      </c>
      <c r="W172" t="s">
        <v>37</v>
      </c>
      <c r="X172" s="6">
        <v>0</v>
      </c>
      <c r="Y172" s="6">
        <v>100</v>
      </c>
      <c r="Z172" t="s">
        <v>40</v>
      </c>
      <c r="AA172" t="s">
        <v>39</v>
      </c>
      <c r="AB172" t="s">
        <v>40</v>
      </c>
      <c r="AC172" s="8">
        <v>2.179999999999999E-2</v>
      </c>
    </row>
    <row r="173" spans="1:29" x14ac:dyDescent="0.3">
      <c r="A173" s="7">
        <v>172</v>
      </c>
      <c r="B173" s="1">
        <v>40551</v>
      </c>
      <c r="C173" s="7">
        <v>1</v>
      </c>
      <c r="D173" s="7">
        <v>10</v>
      </c>
      <c r="E173" t="b">
        <v>0</v>
      </c>
      <c r="F173" s="7">
        <v>6</v>
      </c>
      <c r="G173" s="7">
        <v>2</v>
      </c>
      <c r="H173" s="6">
        <v>0.18</v>
      </c>
      <c r="I173" s="8">
        <v>0.19700000000000001</v>
      </c>
      <c r="J173" s="6">
        <v>0.8</v>
      </c>
      <c r="K173" s="8">
        <v>0.16420000000000001</v>
      </c>
      <c r="L173" s="7">
        <v>5</v>
      </c>
      <c r="M173" s="7">
        <v>56</v>
      </c>
      <c r="N173" s="7">
        <v>61</v>
      </c>
      <c r="O173" t="s">
        <v>29</v>
      </c>
      <c r="P173" t="s">
        <v>30</v>
      </c>
      <c r="Q173" t="s">
        <v>41</v>
      </c>
      <c r="R173" t="s">
        <v>42</v>
      </c>
      <c r="S173" t="s">
        <v>33</v>
      </c>
      <c r="T173" t="s">
        <v>34</v>
      </c>
      <c r="U173" t="s">
        <v>46</v>
      </c>
      <c r="V173" t="s">
        <v>36</v>
      </c>
      <c r="W173" t="s">
        <v>37</v>
      </c>
      <c r="X173" s="6">
        <v>8.1967213114754092</v>
      </c>
      <c r="Y173" s="6">
        <v>91.803278688524586</v>
      </c>
      <c r="Z173" t="s">
        <v>38</v>
      </c>
      <c r="AA173" t="s">
        <v>39</v>
      </c>
      <c r="AB173" t="s">
        <v>40</v>
      </c>
      <c r="AC173" s="8">
        <v>1.7000000000000019E-2</v>
      </c>
    </row>
    <row r="174" spans="1:29" x14ac:dyDescent="0.3">
      <c r="A174" s="7">
        <v>173</v>
      </c>
      <c r="B174" s="1">
        <v>40551</v>
      </c>
      <c r="C174" s="7">
        <v>1</v>
      </c>
      <c r="D174" s="7">
        <v>11</v>
      </c>
      <c r="E174" t="b">
        <v>0</v>
      </c>
      <c r="F174" s="7">
        <v>6</v>
      </c>
      <c r="G174" s="7">
        <v>2</v>
      </c>
      <c r="H174" s="6">
        <v>0.2</v>
      </c>
      <c r="I174" s="8">
        <v>0.18179999999999999</v>
      </c>
      <c r="J174" s="6">
        <v>0.69</v>
      </c>
      <c r="K174" s="8">
        <v>0.3881</v>
      </c>
      <c r="L174" s="7">
        <v>2</v>
      </c>
      <c r="M174" s="7">
        <v>60</v>
      </c>
      <c r="N174" s="7">
        <v>62</v>
      </c>
      <c r="O174" t="s">
        <v>29</v>
      </c>
      <c r="P174" t="s">
        <v>30</v>
      </c>
      <c r="Q174" t="s">
        <v>41</v>
      </c>
      <c r="R174" t="s">
        <v>42</v>
      </c>
      <c r="S174" t="s">
        <v>33</v>
      </c>
      <c r="T174" t="s">
        <v>49</v>
      </c>
      <c r="U174" t="s">
        <v>53</v>
      </c>
      <c r="V174" t="s">
        <v>36</v>
      </c>
      <c r="W174" t="s">
        <v>37</v>
      </c>
      <c r="X174" s="6">
        <v>3.225806451612903</v>
      </c>
      <c r="Y174" s="6">
        <v>96.774193548387103</v>
      </c>
      <c r="Z174" t="s">
        <v>38</v>
      </c>
      <c r="AA174" t="s">
        <v>39</v>
      </c>
      <c r="AB174" t="s">
        <v>40</v>
      </c>
      <c r="AC174" s="8">
        <v>-1.8200000000000022E-2</v>
      </c>
    </row>
    <row r="175" spans="1:29" x14ac:dyDescent="0.3">
      <c r="A175" s="7">
        <v>174</v>
      </c>
      <c r="B175" s="1">
        <v>40551</v>
      </c>
      <c r="C175" s="7">
        <v>1</v>
      </c>
      <c r="D175" s="7">
        <v>12</v>
      </c>
      <c r="E175" t="b">
        <v>0</v>
      </c>
      <c r="F175" s="7">
        <v>6</v>
      </c>
      <c r="G175" s="7">
        <v>2</v>
      </c>
      <c r="H175" s="6">
        <v>0.2</v>
      </c>
      <c r="I175" s="8">
        <v>0.18179999999999999</v>
      </c>
      <c r="J175" s="6">
        <v>0.59</v>
      </c>
      <c r="K175" s="8">
        <v>0.35820000000000002</v>
      </c>
      <c r="L175" s="7">
        <v>8</v>
      </c>
      <c r="M175" s="7">
        <v>90</v>
      </c>
      <c r="N175" s="7">
        <v>98</v>
      </c>
      <c r="O175" t="s">
        <v>29</v>
      </c>
      <c r="P175" t="s">
        <v>30</v>
      </c>
      <c r="Q175" t="s">
        <v>41</v>
      </c>
      <c r="R175" t="s">
        <v>47</v>
      </c>
      <c r="S175" t="s">
        <v>33</v>
      </c>
      <c r="T175" t="s">
        <v>49</v>
      </c>
      <c r="U175" t="s">
        <v>53</v>
      </c>
      <c r="V175" t="s">
        <v>36</v>
      </c>
      <c r="W175" t="s">
        <v>37</v>
      </c>
      <c r="X175" s="6">
        <v>8.1632653061224492</v>
      </c>
      <c r="Y175" s="6">
        <v>91.83673469387756</v>
      </c>
      <c r="Z175" t="s">
        <v>38</v>
      </c>
      <c r="AA175" t="s">
        <v>39</v>
      </c>
      <c r="AB175" t="s">
        <v>40</v>
      </c>
      <c r="AC175" s="8">
        <v>-1.8200000000000022E-2</v>
      </c>
    </row>
    <row r="176" spans="1:29" x14ac:dyDescent="0.3">
      <c r="A176" s="7">
        <v>175</v>
      </c>
      <c r="B176" s="1">
        <v>40551</v>
      </c>
      <c r="C176" s="7">
        <v>1</v>
      </c>
      <c r="D176" s="7">
        <v>13</v>
      </c>
      <c r="E176" t="b">
        <v>0</v>
      </c>
      <c r="F176" s="7">
        <v>6</v>
      </c>
      <c r="G176" s="7">
        <v>1</v>
      </c>
      <c r="H176" s="6">
        <v>0.2</v>
      </c>
      <c r="I176" s="8">
        <v>0.18179999999999999</v>
      </c>
      <c r="J176" s="6">
        <v>0.44</v>
      </c>
      <c r="K176" s="8">
        <v>0.32840000000000003</v>
      </c>
      <c r="L176" s="7">
        <v>7</v>
      </c>
      <c r="M176" s="7">
        <v>95</v>
      </c>
      <c r="N176" s="7">
        <v>102</v>
      </c>
      <c r="O176" t="s">
        <v>29</v>
      </c>
      <c r="P176" t="s">
        <v>30</v>
      </c>
      <c r="Q176" t="s">
        <v>31</v>
      </c>
      <c r="R176" t="s">
        <v>47</v>
      </c>
      <c r="S176" t="s">
        <v>33</v>
      </c>
      <c r="T176" t="s">
        <v>49</v>
      </c>
      <c r="U176" t="s">
        <v>53</v>
      </c>
      <c r="V176" t="s">
        <v>36</v>
      </c>
      <c r="W176" t="s">
        <v>37</v>
      </c>
      <c r="X176" s="6">
        <v>6.8627450980392162</v>
      </c>
      <c r="Y176" s="6">
        <v>93.137254901960787</v>
      </c>
      <c r="Z176" t="s">
        <v>38</v>
      </c>
      <c r="AA176" t="s">
        <v>49</v>
      </c>
      <c r="AB176" t="s">
        <v>40</v>
      </c>
      <c r="AC176" s="8">
        <v>-1.8200000000000022E-2</v>
      </c>
    </row>
    <row r="177" spans="1:29" x14ac:dyDescent="0.3">
      <c r="A177" s="7">
        <v>176</v>
      </c>
      <c r="B177" s="1">
        <v>40551</v>
      </c>
      <c r="C177" s="7">
        <v>1</v>
      </c>
      <c r="D177" s="7">
        <v>14</v>
      </c>
      <c r="E177" t="b">
        <v>0</v>
      </c>
      <c r="F177" s="7">
        <v>6</v>
      </c>
      <c r="G177" s="7">
        <v>1</v>
      </c>
      <c r="H177" s="6">
        <v>0.2</v>
      </c>
      <c r="I177" s="8">
        <v>0.16669999999999999</v>
      </c>
      <c r="J177" s="6">
        <v>0.32</v>
      </c>
      <c r="K177" s="8">
        <v>0.49249999999999999</v>
      </c>
      <c r="L177" s="7">
        <v>12</v>
      </c>
      <c r="M177" s="7">
        <v>83</v>
      </c>
      <c r="N177" s="7">
        <v>95</v>
      </c>
      <c r="O177" t="s">
        <v>29</v>
      </c>
      <c r="P177" t="s">
        <v>30</v>
      </c>
      <c r="Q177" t="s">
        <v>31</v>
      </c>
      <c r="R177" t="s">
        <v>47</v>
      </c>
      <c r="S177" t="s">
        <v>33</v>
      </c>
      <c r="T177" t="s">
        <v>39</v>
      </c>
      <c r="U177" t="s">
        <v>53</v>
      </c>
      <c r="V177" t="s">
        <v>36</v>
      </c>
      <c r="W177" t="s">
        <v>37</v>
      </c>
      <c r="X177" s="6">
        <v>12.631578947368419</v>
      </c>
      <c r="Y177" s="6">
        <v>87.368421052631589</v>
      </c>
      <c r="Z177" t="s">
        <v>38</v>
      </c>
      <c r="AA177" t="s">
        <v>39</v>
      </c>
      <c r="AB177" t="s">
        <v>40</v>
      </c>
      <c r="AC177" s="8">
        <v>-3.3300000000000017E-2</v>
      </c>
    </row>
    <row r="178" spans="1:29" x14ac:dyDescent="0.3">
      <c r="A178" s="7">
        <v>177</v>
      </c>
      <c r="B178" s="1">
        <v>40551</v>
      </c>
      <c r="C178" s="7">
        <v>1</v>
      </c>
      <c r="D178" s="7">
        <v>15</v>
      </c>
      <c r="E178" t="b">
        <v>0</v>
      </c>
      <c r="F178" s="7">
        <v>6</v>
      </c>
      <c r="G178" s="7">
        <v>1</v>
      </c>
      <c r="H178" s="6">
        <v>0.2</v>
      </c>
      <c r="I178" s="8">
        <v>0.16669999999999999</v>
      </c>
      <c r="J178" s="6">
        <v>0.32</v>
      </c>
      <c r="K178" s="8">
        <v>0.44779999999999998</v>
      </c>
      <c r="L178" s="7">
        <v>5</v>
      </c>
      <c r="M178" s="7">
        <v>69</v>
      </c>
      <c r="N178" s="7">
        <v>74</v>
      </c>
      <c r="O178" t="s">
        <v>29</v>
      </c>
      <c r="P178" t="s">
        <v>30</v>
      </c>
      <c r="Q178" t="s">
        <v>31</v>
      </c>
      <c r="R178" t="s">
        <v>47</v>
      </c>
      <c r="S178" t="s">
        <v>33</v>
      </c>
      <c r="T178" t="s">
        <v>39</v>
      </c>
      <c r="U178" t="s">
        <v>53</v>
      </c>
      <c r="V178" t="s">
        <v>36</v>
      </c>
      <c r="W178" t="s">
        <v>37</v>
      </c>
      <c r="X178" s="6">
        <v>6.756756756756757</v>
      </c>
      <c r="Y178" s="6">
        <v>93.243243243243242</v>
      </c>
      <c r="Z178" t="s">
        <v>38</v>
      </c>
      <c r="AA178" t="s">
        <v>39</v>
      </c>
      <c r="AB178" t="s">
        <v>40</v>
      </c>
      <c r="AC178" s="8">
        <v>-3.3300000000000017E-2</v>
      </c>
    </row>
    <row r="179" spans="1:29" x14ac:dyDescent="0.3">
      <c r="A179" s="7">
        <v>178</v>
      </c>
      <c r="B179" s="1">
        <v>40551</v>
      </c>
      <c r="C179" s="7">
        <v>1</v>
      </c>
      <c r="D179" s="7">
        <v>16</v>
      </c>
      <c r="E179" t="b">
        <v>0</v>
      </c>
      <c r="F179" s="7">
        <v>6</v>
      </c>
      <c r="G179" s="7">
        <v>1</v>
      </c>
      <c r="H179" s="6">
        <v>0.18</v>
      </c>
      <c r="I179" s="8">
        <v>0.13639999999999999</v>
      </c>
      <c r="J179" s="6">
        <v>0.28999999999999998</v>
      </c>
      <c r="K179" s="8">
        <v>0.44779999999999998</v>
      </c>
      <c r="L179" s="7">
        <v>8</v>
      </c>
      <c r="M179" s="7">
        <v>68</v>
      </c>
      <c r="N179" s="7">
        <v>76</v>
      </c>
      <c r="O179" t="s">
        <v>29</v>
      </c>
      <c r="P179" t="s">
        <v>30</v>
      </c>
      <c r="Q179" t="s">
        <v>31</v>
      </c>
      <c r="R179" t="s">
        <v>47</v>
      </c>
      <c r="S179" t="s">
        <v>33</v>
      </c>
      <c r="T179" t="s">
        <v>39</v>
      </c>
      <c r="U179" t="s">
        <v>53</v>
      </c>
      <c r="V179" t="s">
        <v>36</v>
      </c>
      <c r="W179" t="s">
        <v>37</v>
      </c>
      <c r="X179" s="6">
        <v>10.52631578947368</v>
      </c>
      <c r="Y179" s="6">
        <v>89.473684210526315</v>
      </c>
      <c r="Z179" t="s">
        <v>38</v>
      </c>
      <c r="AA179" t="s">
        <v>39</v>
      </c>
      <c r="AB179" t="s">
        <v>40</v>
      </c>
      <c r="AC179" s="8">
        <v>-4.36E-2</v>
      </c>
    </row>
    <row r="180" spans="1:29" x14ac:dyDescent="0.3">
      <c r="A180" s="7">
        <v>179</v>
      </c>
      <c r="B180" s="1">
        <v>40551</v>
      </c>
      <c r="C180" s="7">
        <v>1</v>
      </c>
      <c r="D180" s="7">
        <v>17</v>
      </c>
      <c r="E180" t="b">
        <v>0</v>
      </c>
      <c r="F180" s="7">
        <v>6</v>
      </c>
      <c r="G180" s="7">
        <v>1</v>
      </c>
      <c r="H180" s="6">
        <v>0.16</v>
      </c>
      <c r="I180" s="8">
        <v>0.1212</v>
      </c>
      <c r="J180" s="6">
        <v>0.37</v>
      </c>
      <c r="K180" s="8">
        <v>0.55220000000000002</v>
      </c>
      <c r="L180" s="7">
        <v>5</v>
      </c>
      <c r="M180" s="7">
        <v>64</v>
      </c>
      <c r="N180" s="7">
        <v>69</v>
      </c>
      <c r="O180" t="s">
        <v>29</v>
      </c>
      <c r="P180" t="s">
        <v>30</v>
      </c>
      <c r="Q180" t="s">
        <v>31</v>
      </c>
      <c r="R180" t="s">
        <v>50</v>
      </c>
      <c r="S180" t="s">
        <v>33</v>
      </c>
      <c r="T180" t="s">
        <v>39</v>
      </c>
      <c r="U180" t="s">
        <v>53</v>
      </c>
      <c r="V180" t="s">
        <v>36</v>
      </c>
      <c r="W180" t="s">
        <v>37</v>
      </c>
      <c r="X180" s="6">
        <v>7.2463768115942031</v>
      </c>
      <c r="Y180" s="6">
        <v>92.753623188405797</v>
      </c>
      <c r="Z180" t="s">
        <v>40</v>
      </c>
      <c r="AA180" t="s">
        <v>39</v>
      </c>
      <c r="AB180" t="s">
        <v>40</v>
      </c>
      <c r="AC180" s="8">
        <v>-3.8800000000000001E-2</v>
      </c>
    </row>
    <row r="181" spans="1:29" x14ac:dyDescent="0.3">
      <c r="A181" s="7">
        <v>180</v>
      </c>
      <c r="B181" s="1">
        <v>40551</v>
      </c>
      <c r="C181" s="7">
        <v>1</v>
      </c>
      <c r="D181" s="7">
        <v>18</v>
      </c>
      <c r="E181" t="b">
        <v>0</v>
      </c>
      <c r="F181" s="7">
        <v>6</v>
      </c>
      <c r="G181" s="7">
        <v>1</v>
      </c>
      <c r="H181" s="6">
        <v>0.14000000000000001</v>
      </c>
      <c r="I181" s="8">
        <v>0.1212</v>
      </c>
      <c r="J181" s="6">
        <v>0.39</v>
      </c>
      <c r="K181" s="8">
        <v>0.29849999999999999</v>
      </c>
      <c r="L181" s="7">
        <v>3</v>
      </c>
      <c r="M181" s="7">
        <v>52</v>
      </c>
      <c r="N181" s="7">
        <v>55</v>
      </c>
      <c r="O181" t="s">
        <v>29</v>
      </c>
      <c r="P181" t="s">
        <v>30</v>
      </c>
      <c r="Q181" t="s">
        <v>31</v>
      </c>
      <c r="R181" t="s">
        <v>50</v>
      </c>
      <c r="S181" t="s">
        <v>55</v>
      </c>
      <c r="T181" t="s">
        <v>39</v>
      </c>
      <c r="U181" t="s">
        <v>46</v>
      </c>
      <c r="V181" t="s">
        <v>36</v>
      </c>
      <c r="W181" t="s">
        <v>37</v>
      </c>
      <c r="X181" s="6">
        <v>5.4545454545454541</v>
      </c>
      <c r="Y181" s="6">
        <v>94.545454545454547</v>
      </c>
      <c r="Z181" t="s">
        <v>40</v>
      </c>
      <c r="AA181" t="s">
        <v>39</v>
      </c>
      <c r="AB181" t="s">
        <v>40</v>
      </c>
      <c r="AC181" s="8">
        <v>-1.8800000000000011E-2</v>
      </c>
    </row>
    <row r="182" spans="1:29" x14ac:dyDescent="0.3">
      <c r="A182" s="7">
        <v>181</v>
      </c>
      <c r="B182" s="1">
        <v>40551</v>
      </c>
      <c r="C182" s="7">
        <v>1</v>
      </c>
      <c r="D182" s="7">
        <v>19</v>
      </c>
      <c r="E182" t="b">
        <v>0</v>
      </c>
      <c r="F182" s="7">
        <v>6</v>
      </c>
      <c r="G182" s="7">
        <v>1</v>
      </c>
      <c r="H182" s="6">
        <v>0.14000000000000001</v>
      </c>
      <c r="I182" s="8">
        <v>0.1212</v>
      </c>
      <c r="J182" s="6">
        <v>0.36</v>
      </c>
      <c r="K182" s="8">
        <v>0.25369999999999998</v>
      </c>
      <c r="L182" s="7">
        <v>4</v>
      </c>
      <c r="M182" s="7">
        <v>26</v>
      </c>
      <c r="N182" s="7">
        <v>30</v>
      </c>
      <c r="O182" t="s">
        <v>29</v>
      </c>
      <c r="P182" t="s">
        <v>30</v>
      </c>
      <c r="Q182" t="s">
        <v>31</v>
      </c>
      <c r="R182" t="s">
        <v>50</v>
      </c>
      <c r="S182" t="s">
        <v>55</v>
      </c>
      <c r="T182" t="s">
        <v>39</v>
      </c>
      <c r="U182" t="s">
        <v>46</v>
      </c>
      <c r="V182" t="s">
        <v>36</v>
      </c>
      <c r="W182" t="s">
        <v>37</v>
      </c>
      <c r="X182" s="6">
        <v>13.33333333333333</v>
      </c>
      <c r="Y182" s="6">
        <v>86.666666666666671</v>
      </c>
      <c r="Z182" t="s">
        <v>40</v>
      </c>
      <c r="AA182" t="s">
        <v>39</v>
      </c>
      <c r="AB182" t="s">
        <v>40</v>
      </c>
      <c r="AC182" s="8">
        <v>-1.8800000000000011E-2</v>
      </c>
    </row>
    <row r="183" spans="1:29" x14ac:dyDescent="0.3">
      <c r="A183" s="7">
        <v>182</v>
      </c>
      <c r="B183" s="1">
        <v>40551</v>
      </c>
      <c r="C183" s="7">
        <v>1</v>
      </c>
      <c r="D183" s="7">
        <v>20</v>
      </c>
      <c r="E183" t="b">
        <v>0</v>
      </c>
      <c r="F183" s="7">
        <v>6</v>
      </c>
      <c r="G183" s="7">
        <v>1</v>
      </c>
      <c r="H183" s="6">
        <v>0.12</v>
      </c>
      <c r="I183" s="8">
        <v>0.1212</v>
      </c>
      <c r="J183" s="6">
        <v>0.36</v>
      </c>
      <c r="K183" s="8">
        <v>0.25369999999999998</v>
      </c>
      <c r="L183" s="7">
        <v>0</v>
      </c>
      <c r="M183" s="7">
        <v>28</v>
      </c>
      <c r="N183" s="7">
        <v>28</v>
      </c>
      <c r="O183" t="s">
        <v>29</v>
      </c>
      <c r="P183" t="s">
        <v>30</v>
      </c>
      <c r="Q183" t="s">
        <v>31</v>
      </c>
      <c r="R183" t="s">
        <v>50</v>
      </c>
      <c r="S183" t="s">
        <v>55</v>
      </c>
      <c r="T183" t="s">
        <v>39</v>
      </c>
      <c r="U183" t="s">
        <v>46</v>
      </c>
      <c r="V183" t="s">
        <v>36</v>
      </c>
      <c r="W183" t="s">
        <v>37</v>
      </c>
      <c r="X183" s="6">
        <v>0</v>
      </c>
      <c r="Y183" s="6">
        <v>100</v>
      </c>
      <c r="Z183" t="s">
        <v>38</v>
      </c>
      <c r="AA183" t="s">
        <v>39</v>
      </c>
      <c r="AB183" t="s">
        <v>40</v>
      </c>
      <c r="AC183" s="8">
        <v>1.2000000000000071E-3</v>
      </c>
    </row>
    <row r="184" spans="1:29" x14ac:dyDescent="0.3">
      <c r="A184" s="7">
        <v>183</v>
      </c>
      <c r="B184" s="1">
        <v>40551</v>
      </c>
      <c r="C184" s="7">
        <v>1</v>
      </c>
      <c r="D184" s="7">
        <v>21</v>
      </c>
      <c r="E184" t="b">
        <v>0</v>
      </c>
      <c r="F184" s="7">
        <v>6</v>
      </c>
      <c r="G184" s="7">
        <v>1</v>
      </c>
      <c r="H184" s="6">
        <v>0.12</v>
      </c>
      <c r="I184" s="8">
        <v>0.1061</v>
      </c>
      <c r="J184" s="6">
        <v>0.39</v>
      </c>
      <c r="K184" s="8">
        <v>0.35820000000000002</v>
      </c>
      <c r="L184" s="7">
        <v>2</v>
      </c>
      <c r="M184" s="7">
        <v>35</v>
      </c>
      <c r="N184" s="7">
        <v>37</v>
      </c>
      <c r="O184" t="s">
        <v>29</v>
      </c>
      <c r="P184" t="s">
        <v>30</v>
      </c>
      <c r="Q184" t="s">
        <v>31</v>
      </c>
      <c r="R184" t="s">
        <v>32</v>
      </c>
      <c r="S184" t="s">
        <v>55</v>
      </c>
      <c r="T184" t="s">
        <v>39</v>
      </c>
      <c r="U184" t="s">
        <v>53</v>
      </c>
      <c r="V184" t="s">
        <v>36</v>
      </c>
      <c r="W184" t="s">
        <v>37</v>
      </c>
      <c r="X184" s="6">
        <v>5.4054054054054053</v>
      </c>
      <c r="Y184" s="6">
        <v>94.594594594594597</v>
      </c>
      <c r="Z184" t="s">
        <v>38</v>
      </c>
      <c r="AA184" t="s">
        <v>39</v>
      </c>
      <c r="AB184" t="s">
        <v>40</v>
      </c>
      <c r="AC184" s="8">
        <v>-1.3899999999999999E-2</v>
      </c>
    </row>
    <row r="185" spans="1:29" x14ac:dyDescent="0.3">
      <c r="A185" s="7">
        <v>184</v>
      </c>
      <c r="B185" s="1">
        <v>40551</v>
      </c>
      <c r="C185" s="7">
        <v>1</v>
      </c>
      <c r="D185" s="7">
        <v>22</v>
      </c>
      <c r="E185" t="b">
        <v>0</v>
      </c>
      <c r="F185" s="7">
        <v>6</v>
      </c>
      <c r="G185" s="7">
        <v>1</v>
      </c>
      <c r="H185" s="6">
        <v>0.12</v>
      </c>
      <c r="I185" s="8">
        <v>0.1061</v>
      </c>
      <c r="J185" s="6">
        <v>0.36</v>
      </c>
      <c r="K185" s="8">
        <v>0.3881</v>
      </c>
      <c r="L185" s="7">
        <v>1</v>
      </c>
      <c r="M185" s="7">
        <v>33</v>
      </c>
      <c r="N185" s="7">
        <v>34</v>
      </c>
      <c r="O185" t="s">
        <v>29</v>
      </c>
      <c r="P185" t="s">
        <v>30</v>
      </c>
      <c r="Q185" t="s">
        <v>31</v>
      </c>
      <c r="R185" t="s">
        <v>32</v>
      </c>
      <c r="S185" t="s">
        <v>55</v>
      </c>
      <c r="T185" t="s">
        <v>39</v>
      </c>
      <c r="U185" t="s">
        <v>53</v>
      </c>
      <c r="V185" t="s">
        <v>36</v>
      </c>
      <c r="W185" t="s">
        <v>37</v>
      </c>
      <c r="X185" s="6">
        <v>2.9411764705882351</v>
      </c>
      <c r="Y185" s="6">
        <v>97.058823529411768</v>
      </c>
      <c r="Z185" t="s">
        <v>38</v>
      </c>
      <c r="AA185" t="s">
        <v>39</v>
      </c>
      <c r="AB185" t="s">
        <v>40</v>
      </c>
      <c r="AC185" s="8">
        <v>-1.3899999999999999E-2</v>
      </c>
    </row>
    <row r="186" spans="1:29" x14ac:dyDescent="0.3">
      <c r="A186" s="7">
        <v>185</v>
      </c>
      <c r="B186" s="1">
        <v>40551</v>
      </c>
      <c r="C186" s="7">
        <v>1</v>
      </c>
      <c r="D186" s="7">
        <v>23</v>
      </c>
      <c r="E186" t="b">
        <v>0</v>
      </c>
      <c r="F186" s="7">
        <v>6</v>
      </c>
      <c r="G186" s="7">
        <v>1</v>
      </c>
      <c r="H186" s="6">
        <v>0.1</v>
      </c>
      <c r="I186" s="8">
        <v>6.0600000000000001E-2</v>
      </c>
      <c r="J186" s="6">
        <v>0.39</v>
      </c>
      <c r="K186" s="8">
        <v>0.44779999999999998</v>
      </c>
      <c r="L186" s="7">
        <v>0</v>
      </c>
      <c r="M186" s="7">
        <v>22</v>
      </c>
      <c r="N186" s="7">
        <v>22</v>
      </c>
      <c r="O186" t="s">
        <v>29</v>
      </c>
      <c r="P186" t="s">
        <v>30</v>
      </c>
      <c r="Q186" t="s">
        <v>31</v>
      </c>
      <c r="R186" t="s">
        <v>32</v>
      </c>
      <c r="S186" t="s">
        <v>55</v>
      </c>
      <c r="T186" t="s">
        <v>39</v>
      </c>
      <c r="U186" t="s">
        <v>53</v>
      </c>
      <c r="V186" t="s">
        <v>36</v>
      </c>
      <c r="W186" t="s">
        <v>37</v>
      </c>
      <c r="X186" s="6">
        <v>0</v>
      </c>
      <c r="Y186" s="6">
        <v>100</v>
      </c>
      <c r="Z186" t="s">
        <v>38</v>
      </c>
      <c r="AA186" t="s">
        <v>39</v>
      </c>
      <c r="AB186" t="s">
        <v>40</v>
      </c>
      <c r="AC186" s="8">
        <v>-3.9399999999999998E-2</v>
      </c>
    </row>
    <row r="187" spans="1:29" x14ac:dyDescent="0.3">
      <c r="A187" s="7">
        <v>186</v>
      </c>
      <c r="B187" s="1">
        <v>40552</v>
      </c>
      <c r="C187" s="7">
        <v>1</v>
      </c>
      <c r="D187" s="7">
        <v>0</v>
      </c>
      <c r="E187" t="b">
        <v>0</v>
      </c>
      <c r="F187" s="7">
        <v>0</v>
      </c>
      <c r="G187" s="7">
        <v>1</v>
      </c>
      <c r="H187" s="6">
        <v>0.1</v>
      </c>
      <c r="I187" s="8">
        <v>7.5800000000000006E-2</v>
      </c>
      <c r="J187" s="6">
        <v>0.42</v>
      </c>
      <c r="K187" s="8">
        <v>0.3881</v>
      </c>
      <c r="L187" s="7">
        <v>1</v>
      </c>
      <c r="M187" s="7">
        <v>24</v>
      </c>
      <c r="N187" s="7">
        <v>25</v>
      </c>
      <c r="O187" t="s">
        <v>29</v>
      </c>
      <c r="P187" t="s">
        <v>52</v>
      </c>
      <c r="Q187" t="s">
        <v>31</v>
      </c>
      <c r="R187" t="s">
        <v>32</v>
      </c>
      <c r="S187" t="s">
        <v>55</v>
      </c>
      <c r="T187" t="s">
        <v>49</v>
      </c>
      <c r="U187" t="s">
        <v>53</v>
      </c>
      <c r="V187" t="s">
        <v>36</v>
      </c>
      <c r="W187" t="s">
        <v>37</v>
      </c>
      <c r="X187" s="6">
        <v>4</v>
      </c>
      <c r="Y187" s="6">
        <v>96</v>
      </c>
      <c r="Z187" t="s">
        <v>38</v>
      </c>
      <c r="AA187" t="s">
        <v>39</v>
      </c>
      <c r="AB187" t="s">
        <v>40</v>
      </c>
      <c r="AC187" s="8">
        <v>-2.4199999999999999E-2</v>
      </c>
    </row>
    <row r="188" spans="1:29" x14ac:dyDescent="0.3">
      <c r="A188" s="7">
        <v>187</v>
      </c>
      <c r="B188" s="1">
        <v>40552</v>
      </c>
      <c r="C188" s="7">
        <v>1</v>
      </c>
      <c r="D188" s="7">
        <v>1</v>
      </c>
      <c r="E188" t="b">
        <v>0</v>
      </c>
      <c r="F188" s="7">
        <v>0</v>
      </c>
      <c r="G188" s="7">
        <v>1</v>
      </c>
      <c r="H188" s="6">
        <v>0.1</v>
      </c>
      <c r="I188" s="8">
        <v>6.0600000000000001E-2</v>
      </c>
      <c r="J188" s="6">
        <v>0.42</v>
      </c>
      <c r="K188" s="8">
        <v>0.4627</v>
      </c>
      <c r="L188" s="7">
        <v>0</v>
      </c>
      <c r="M188" s="7">
        <v>12</v>
      </c>
      <c r="N188" s="7">
        <v>12</v>
      </c>
      <c r="O188" t="s">
        <v>29</v>
      </c>
      <c r="P188" t="s">
        <v>52</v>
      </c>
      <c r="Q188" t="s">
        <v>31</v>
      </c>
      <c r="R188" t="s">
        <v>32</v>
      </c>
      <c r="S188" t="s">
        <v>55</v>
      </c>
      <c r="T188" t="s">
        <v>49</v>
      </c>
      <c r="U188" t="s">
        <v>53</v>
      </c>
      <c r="V188" t="s">
        <v>36</v>
      </c>
      <c r="W188" t="s">
        <v>37</v>
      </c>
      <c r="X188" s="6">
        <v>0</v>
      </c>
      <c r="Y188" s="6">
        <v>100</v>
      </c>
      <c r="Z188" t="s">
        <v>38</v>
      </c>
      <c r="AA188" t="s">
        <v>39</v>
      </c>
      <c r="AB188" t="s">
        <v>40</v>
      </c>
      <c r="AC188" s="8">
        <v>-3.9399999999999998E-2</v>
      </c>
    </row>
    <row r="189" spans="1:29" x14ac:dyDescent="0.3">
      <c r="A189" s="7">
        <v>188</v>
      </c>
      <c r="B189" s="1">
        <v>40552</v>
      </c>
      <c r="C189" s="7">
        <v>1</v>
      </c>
      <c r="D189" s="7">
        <v>2</v>
      </c>
      <c r="E189" t="b">
        <v>0</v>
      </c>
      <c r="F189" s="7">
        <v>0</v>
      </c>
      <c r="G189" s="7">
        <v>1</v>
      </c>
      <c r="H189" s="6">
        <v>0.1</v>
      </c>
      <c r="I189" s="8">
        <v>6.0600000000000001E-2</v>
      </c>
      <c r="J189" s="6">
        <v>0.46</v>
      </c>
      <c r="K189" s="8">
        <v>0.4627</v>
      </c>
      <c r="L189" s="7">
        <v>0</v>
      </c>
      <c r="M189" s="7">
        <v>11</v>
      </c>
      <c r="N189" s="7">
        <v>11</v>
      </c>
      <c r="O189" t="s">
        <v>29</v>
      </c>
      <c r="P189" t="s">
        <v>52</v>
      </c>
      <c r="Q189" t="s">
        <v>31</v>
      </c>
      <c r="R189" t="s">
        <v>32</v>
      </c>
      <c r="S189" t="s">
        <v>55</v>
      </c>
      <c r="T189" t="s">
        <v>49</v>
      </c>
      <c r="U189" t="s">
        <v>53</v>
      </c>
      <c r="V189" t="s">
        <v>36</v>
      </c>
      <c r="W189" t="s">
        <v>37</v>
      </c>
      <c r="X189" s="6">
        <v>0</v>
      </c>
      <c r="Y189" s="6">
        <v>100</v>
      </c>
      <c r="Z189" t="s">
        <v>38</v>
      </c>
      <c r="AA189" t="s">
        <v>39</v>
      </c>
      <c r="AB189" t="s">
        <v>40</v>
      </c>
      <c r="AC189" s="8">
        <v>-3.9399999999999998E-2</v>
      </c>
    </row>
    <row r="190" spans="1:29" x14ac:dyDescent="0.3">
      <c r="A190" s="7">
        <v>189</v>
      </c>
      <c r="B190" s="1">
        <v>40552</v>
      </c>
      <c r="C190" s="7">
        <v>1</v>
      </c>
      <c r="D190" s="7">
        <v>3</v>
      </c>
      <c r="E190" t="b">
        <v>0</v>
      </c>
      <c r="F190" s="7">
        <v>0</v>
      </c>
      <c r="G190" s="7">
        <v>1</v>
      </c>
      <c r="H190" s="6">
        <v>0.1</v>
      </c>
      <c r="I190" s="8">
        <v>7.5800000000000006E-2</v>
      </c>
      <c r="J190" s="6">
        <v>0.46</v>
      </c>
      <c r="K190" s="8">
        <v>0.41789999999999999</v>
      </c>
      <c r="L190" s="7">
        <v>0</v>
      </c>
      <c r="M190" s="7">
        <v>4</v>
      </c>
      <c r="N190" s="7">
        <v>4</v>
      </c>
      <c r="O190" t="s">
        <v>29</v>
      </c>
      <c r="P190" t="s">
        <v>52</v>
      </c>
      <c r="Q190" t="s">
        <v>31</v>
      </c>
      <c r="R190" t="s">
        <v>32</v>
      </c>
      <c r="S190" t="s">
        <v>55</v>
      </c>
      <c r="T190" t="s">
        <v>49</v>
      </c>
      <c r="U190" t="s">
        <v>53</v>
      </c>
      <c r="V190" t="s">
        <v>36</v>
      </c>
      <c r="W190" t="s">
        <v>37</v>
      </c>
      <c r="X190" s="6">
        <v>0</v>
      </c>
      <c r="Y190" s="6">
        <v>100</v>
      </c>
      <c r="Z190" t="s">
        <v>38</v>
      </c>
      <c r="AA190" t="s">
        <v>39</v>
      </c>
      <c r="AB190" t="s">
        <v>40</v>
      </c>
      <c r="AC190" s="8">
        <v>-2.4199999999999999E-2</v>
      </c>
    </row>
    <row r="191" spans="1:29" x14ac:dyDescent="0.3">
      <c r="A191" s="7">
        <v>190</v>
      </c>
      <c r="B191" s="1">
        <v>40552</v>
      </c>
      <c r="C191" s="7">
        <v>1</v>
      </c>
      <c r="D191" s="7">
        <v>4</v>
      </c>
      <c r="E191" t="b">
        <v>0</v>
      </c>
      <c r="F191" s="7">
        <v>0</v>
      </c>
      <c r="G191" s="7">
        <v>1</v>
      </c>
      <c r="H191" s="6">
        <v>0.08</v>
      </c>
      <c r="I191" s="8">
        <v>9.0899999999999995E-2</v>
      </c>
      <c r="J191" s="6">
        <v>0.53</v>
      </c>
      <c r="K191" s="8">
        <v>0.19400000000000001</v>
      </c>
      <c r="L191" s="7">
        <v>0</v>
      </c>
      <c r="M191" s="7">
        <v>1</v>
      </c>
      <c r="N191" s="7">
        <v>1</v>
      </c>
      <c r="O191" t="s">
        <v>29</v>
      </c>
      <c r="P191" t="s">
        <v>52</v>
      </c>
      <c r="Q191" t="s">
        <v>31</v>
      </c>
      <c r="R191" t="s">
        <v>32</v>
      </c>
      <c r="S191" t="s">
        <v>55</v>
      </c>
      <c r="T191" t="s">
        <v>49</v>
      </c>
      <c r="U191" t="s">
        <v>46</v>
      </c>
      <c r="V191" t="s">
        <v>36</v>
      </c>
      <c r="W191" t="s">
        <v>37</v>
      </c>
      <c r="X191" s="6">
        <v>0</v>
      </c>
      <c r="Y191" s="6">
        <v>100</v>
      </c>
      <c r="Z191" t="s">
        <v>38</v>
      </c>
      <c r="AA191" t="s">
        <v>39</v>
      </c>
      <c r="AB191" t="s">
        <v>40</v>
      </c>
      <c r="AC191" s="8">
        <v>1.089999999999999E-2</v>
      </c>
    </row>
    <row r="192" spans="1:29" x14ac:dyDescent="0.3">
      <c r="A192" s="7">
        <v>191</v>
      </c>
      <c r="B192" s="1">
        <v>40552</v>
      </c>
      <c r="C192" s="7">
        <v>1</v>
      </c>
      <c r="D192" s="7">
        <v>5</v>
      </c>
      <c r="E192" t="b">
        <v>0</v>
      </c>
      <c r="F192" s="7">
        <v>0</v>
      </c>
      <c r="G192" s="7">
        <v>1</v>
      </c>
      <c r="H192" s="6">
        <v>0.08</v>
      </c>
      <c r="I192" s="8">
        <v>9.0899999999999995E-2</v>
      </c>
      <c r="J192" s="6">
        <v>0.53</v>
      </c>
      <c r="K192" s="8">
        <v>0.19400000000000001</v>
      </c>
      <c r="L192" s="7">
        <v>0</v>
      </c>
      <c r="M192" s="7">
        <v>1</v>
      </c>
      <c r="N192" s="7">
        <v>1</v>
      </c>
      <c r="O192" t="s">
        <v>29</v>
      </c>
      <c r="P192" t="s">
        <v>52</v>
      </c>
      <c r="Q192" t="s">
        <v>31</v>
      </c>
      <c r="R192" t="s">
        <v>32</v>
      </c>
      <c r="S192" t="s">
        <v>55</v>
      </c>
      <c r="T192" t="s">
        <v>49</v>
      </c>
      <c r="U192" t="s">
        <v>46</v>
      </c>
      <c r="V192" t="s">
        <v>36</v>
      </c>
      <c r="W192" t="s">
        <v>37</v>
      </c>
      <c r="X192" s="6">
        <v>0</v>
      </c>
      <c r="Y192" s="6">
        <v>100</v>
      </c>
      <c r="Z192" t="s">
        <v>38</v>
      </c>
      <c r="AA192" t="s">
        <v>39</v>
      </c>
      <c r="AB192" t="s">
        <v>40</v>
      </c>
      <c r="AC192" s="8">
        <v>1.089999999999999E-2</v>
      </c>
    </row>
    <row r="193" spans="1:29" x14ac:dyDescent="0.3">
      <c r="A193" s="7">
        <v>192</v>
      </c>
      <c r="B193" s="1">
        <v>40552</v>
      </c>
      <c r="C193" s="7">
        <v>1</v>
      </c>
      <c r="D193" s="7">
        <v>6</v>
      </c>
      <c r="E193" t="b">
        <v>0</v>
      </c>
      <c r="F193" s="7">
        <v>0</v>
      </c>
      <c r="G193" s="7">
        <v>1</v>
      </c>
      <c r="H193" s="6">
        <v>0.1</v>
      </c>
      <c r="I193" s="8">
        <v>9.0899999999999995E-2</v>
      </c>
      <c r="J193" s="6">
        <v>0.49</v>
      </c>
      <c r="K193" s="8">
        <v>0.28360000000000002</v>
      </c>
      <c r="L193" s="7">
        <v>0</v>
      </c>
      <c r="M193" s="7">
        <v>1</v>
      </c>
      <c r="N193" s="7">
        <v>1</v>
      </c>
      <c r="O193" t="s">
        <v>29</v>
      </c>
      <c r="P193" t="s">
        <v>52</v>
      </c>
      <c r="Q193" t="s">
        <v>31</v>
      </c>
      <c r="R193" t="s">
        <v>42</v>
      </c>
      <c r="S193" t="s">
        <v>55</v>
      </c>
      <c r="T193" t="s">
        <v>49</v>
      </c>
      <c r="U193" t="s">
        <v>46</v>
      </c>
      <c r="V193" t="s">
        <v>36</v>
      </c>
      <c r="W193" t="s">
        <v>37</v>
      </c>
      <c r="X193" s="6">
        <v>0</v>
      </c>
      <c r="Y193" s="6">
        <v>100</v>
      </c>
      <c r="Z193" t="s">
        <v>38</v>
      </c>
      <c r="AA193" t="s">
        <v>39</v>
      </c>
      <c r="AB193" t="s">
        <v>40</v>
      </c>
      <c r="AC193" s="8">
        <v>-9.1000000000000109E-3</v>
      </c>
    </row>
    <row r="194" spans="1:29" x14ac:dyDescent="0.3">
      <c r="A194" s="7">
        <v>193</v>
      </c>
      <c r="B194" s="1">
        <v>40552</v>
      </c>
      <c r="C194" s="7">
        <v>1</v>
      </c>
      <c r="D194" s="7">
        <v>7</v>
      </c>
      <c r="E194" t="b">
        <v>0</v>
      </c>
      <c r="F194" s="7">
        <v>0</v>
      </c>
      <c r="G194" s="7">
        <v>1</v>
      </c>
      <c r="H194" s="6">
        <v>0.08</v>
      </c>
      <c r="I194" s="8">
        <v>9.0899999999999995E-2</v>
      </c>
      <c r="J194" s="6">
        <v>0.53</v>
      </c>
      <c r="K194" s="8">
        <v>0.19400000000000001</v>
      </c>
      <c r="L194" s="7">
        <v>1</v>
      </c>
      <c r="M194" s="7">
        <v>5</v>
      </c>
      <c r="N194" s="7">
        <v>6</v>
      </c>
      <c r="O194" t="s">
        <v>29</v>
      </c>
      <c r="P194" t="s">
        <v>52</v>
      </c>
      <c r="Q194" t="s">
        <v>31</v>
      </c>
      <c r="R194" t="s">
        <v>42</v>
      </c>
      <c r="S194" t="s">
        <v>55</v>
      </c>
      <c r="T194" t="s">
        <v>49</v>
      </c>
      <c r="U194" t="s">
        <v>46</v>
      </c>
      <c r="V194" t="s">
        <v>36</v>
      </c>
      <c r="W194" t="s">
        <v>37</v>
      </c>
      <c r="X194" s="6">
        <v>16.666666666666661</v>
      </c>
      <c r="Y194" s="6">
        <v>83.333333333333343</v>
      </c>
      <c r="Z194" t="s">
        <v>40</v>
      </c>
      <c r="AA194" t="s">
        <v>39</v>
      </c>
      <c r="AB194" t="s">
        <v>40</v>
      </c>
      <c r="AC194" s="8">
        <v>1.089999999999999E-2</v>
      </c>
    </row>
    <row r="195" spans="1:29" x14ac:dyDescent="0.3">
      <c r="A195" s="7">
        <v>194</v>
      </c>
      <c r="B195" s="1">
        <v>40552</v>
      </c>
      <c r="C195" s="7">
        <v>1</v>
      </c>
      <c r="D195" s="7">
        <v>8</v>
      </c>
      <c r="E195" t="b">
        <v>0</v>
      </c>
      <c r="F195" s="7">
        <v>0</v>
      </c>
      <c r="G195" s="7">
        <v>1</v>
      </c>
      <c r="H195" s="6">
        <v>0.1</v>
      </c>
      <c r="I195" s="8">
        <v>9.0899999999999995E-2</v>
      </c>
      <c r="J195" s="6">
        <v>0.49</v>
      </c>
      <c r="K195" s="8">
        <v>0.28360000000000002</v>
      </c>
      <c r="L195" s="7">
        <v>0</v>
      </c>
      <c r="M195" s="7">
        <v>10</v>
      </c>
      <c r="N195" s="7">
        <v>10</v>
      </c>
      <c r="O195" t="s">
        <v>29</v>
      </c>
      <c r="P195" t="s">
        <v>52</v>
      </c>
      <c r="Q195" t="s">
        <v>31</v>
      </c>
      <c r="R195" t="s">
        <v>42</v>
      </c>
      <c r="S195" t="s">
        <v>55</v>
      </c>
      <c r="T195" t="s">
        <v>49</v>
      </c>
      <c r="U195" t="s">
        <v>46</v>
      </c>
      <c r="V195" t="s">
        <v>36</v>
      </c>
      <c r="W195" t="s">
        <v>37</v>
      </c>
      <c r="X195" s="6">
        <v>0</v>
      </c>
      <c r="Y195" s="6">
        <v>100</v>
      </c>
      <c r="Z195" t="s">
        <v>40</v>
      </c>
      <c r="AA195" t="s">
        <v>39</v>
      </c>
      <c r="AB195" t="s">
        <v>40</v>
      </c>
      <c r="AC195" s="8">
        <v>-9.1000000000000109E-3</v>
      </c>
    </row>
    <row r="196" spans="1:29" x14ac:dyDescent="0.3">
      <c r="A196" s="7">
        <v>195</v>
      </c>
      <c r="B196" s="1">
        <v>40552</v>
      </c>
      <c r="C196" s="7">
        <v>1</v>
      </c>
      <c r="D196" s="7">
        <v>9</v>
      </c>
      <c r="E196" t="b">
        <v>0</v>
      </c>
      <c r="F196" s="7">
        <v>0</v>
      </c>
      <c r="G196" s="7">
        <v>1</v>
      </c>
      <c r="H196" s="6">
        <v>0.12</v>
      </c>
      <c r="I196" s="8">
        <v>7.5800000000000006E-2</v>
      </c>
      <c r="J196" s="6">
        <v>0.46</v>
      </c>
      <c r="K196" s="8">
        <v>0.52239999999999998</v>
      </c>
      <c r="L196" s="7">
        <v>0</v>
      </c>
      <c r="M196" s="7">
        <v>19</v>
      </c>
      <c r="N196" s="7">
        <v>19</v>
      </c>
      <c r="O196" t="s">
        <v>29</v>
      </c>
      <c r="P196" t="s">
        <v>52</v>
      </c>
      <c r="Q196" t="s">
        <v>31</v>
      </c>
      <c r="R196" t="s">
        <v>42</v>
      </c>
      <c r="S196" t="s">
        <v>55</v>
      </c>
      <c r="T196" t="s">
        <v>49</v>
      </c>
      <c r="U196" t="s">
        <v>53</v>
      </c>
      <c r="V196" t="s">
        <v>36</v>
      </c>
      <c r="W196" t="s">
        <v>37</v>
      </c>
      <c r="X196" s="6">
        <v>0</v>
      </c>
      <c r="Y196" s="6">
        <v>100</v>
      </c>
      <c r="Z196" t="s">
        <v>40</v>
      </c>
      <c r="AA196" t="s">
        <v>39</v>
      </c>
      <c r="AB196" t="s">
        <v>40</v>
      </c>
      <c r="AC196" s="8">
        <v>-4.4199999999999989E-2</v>
      </c>
    </row>
    <row r="197" spans="1:29" x14ac:dyDescent="0.3">
      <c r="A197" s="7">
        <v>196</v>
      </c>
      <c r="B197" s="1">
        <v>40552</v>
      </c>
      <c r="C197" s="7">
        <v>1</v>
      </c>
      <c r="D197" s="7">
        <v>10</v>
      </c>
      <c r="E197" t="b">
        <v>0</v>
      </c>
      <c r="F197" s="7">
        <v>0</v>
      </c>
      <c r="G197" s="7">
        <v>1</v>
      </c>
      <c r="H197" s="6">
        <v>0.14000000000000001</v>
      </c>
      <c r="I197" s="8">
        <v>0.1061</v>
      </c>
      <c r="J197" s="6">
        <v>0.43</v>
      </c>
      <c r="K197" s="8">
        <v>0.3881</v>
      </c>
      <c r="L197" s="7">
        <v>0</v>
      </c>
      <c r="M197" s="7">
        <v>49</v>
      </c>
      <c r="N197" s="7">
        <v>49</v>
      </c>
      <c r="O197" t="s">
        <v>29</v>
      </c>
      <c r="P197" t="s">
        <v>52</v>
      </c>
      <c r="Q197" t="s">
        <v>31</v>
      </c>
      <c r="R197" t="s">
        <v>42</v>
      </c>
      <c r="S197" t="s">
        <v>55</v>
      </c>
      <c r="T197" t="s">
        <v>49</v>
      </c>
      <c r="U197" t="s">
        <v>53</v>
      </c>
      <c r="V197" t="s">
        <v>36</v>
      </c>
      <c r="W197" t="s">
        <v>37</v>
      </c>
      <c r="X197" s="6">
        <v>0</v>
      </c>
      <c r="Y197" s="6">
        <v>100</v>
      </c>
      <c r="Z197" t="s">
        <v>38</v>
      </c>
      <c r="AA197" t="s">
        <v>39</v>
      </c>
      <c r="AB197" t="s">
        <v>40</v>
      </c>
      <c r="AC197" s="8">
        <v>-3.3900000000000013E-2</v>
      </c>
    </row>
    <row r="198" spans="1:29" x14ac:dyDescent="0.3">
      <c r="A198" s="7">
        <v>197</v>
      </c>
      <c r="B198" s="1">
        <v>40552</v>
      </c>
      <c r="C198" s="7">
        <v>1</v>
      </c>
      <c r="D198" s="7">
        <v>11</v>
      </c>
      <c r="E198" t="b">
        <v>0</v>
      </c>
      <c r="F198" s="7">
        <v>0</v>
      </c>
      <c r="G198" s="7">
        <v>1</v>
      </c>
      <c r="H198" s="6">
        <v>0.16</v>
      </c>
      <c r="I198" s="8">
        <v>0.1212</v>
      </c>
      <c r="J198" s="6">
        <v>0.4</v>
      </c>
      <c r="K198" s="8">
        <v>0.52239999999999998</v>
      </c>
      <c r="L198" s="7">
        <v>2</v>
      </c>
      <c r="M198" s="7">
        <v>47</v>
      </c>
      <c r="N198" s="7">
        <v>49</v>
      </c>
      <c r="O198" t="s">
        <v>29</v>
      </c>
      <c r="P198" t="s">
        <v>52</v>
      </c>
      <c r="Q198" t="s">
        <v>31</v>
      </c>
      <c r="R198" t="s">
        <v>42</v>
      </c>
      <c r="S198" t="s">
        <v>33</v>
      </c>
      <c r="T198" t="s">
        <v>49</v>
      </c>
      <c r="U198" t="s">
        <v>53</v>
      </c>
      <c r="V198" t="s">
        <v>36</v>
      </c>
      <c r="W198" t="s">
        <v>37</v>
      </c>
      <c r="X198" s="6">
        <v>4.0816326530612246</v>
      </c>
      <c r="Y198" s="6">
        <v>95.918367346938766</v>
      </c>
      <c r="Z198" t="s">
        <v>38</v>
      </c>
      <c r="AA198" t="s">
        <v>39</v>
      </c>
      <c r="AB198" t="s">
        <v>40</v>
      </c>
      <c r="AC198" s="8">
        <v>-3.8800000000000001E-2</v>
      </c>
    </row>
    <row r="199" spans="1:29" x14ac:dyDescent="0.3">
      <c r="A199" s="7">
        <v>198</v>
      </c>
      <c r="B199" s="1">
        <v>40552</v>
      </c>
      <c r="C199" s="7">
        <v>1</v>
      </c>
      <c r="D199" s="7">
        <v>12</v>
      </c>
      <c r="E199" t="b">
        <v>0</v>
      </c>
      <c r="F199" s="7">
        <v>0</v>
      </c>
      <c r="G199" s="7">
        <v>1</v>
      </c>
      <c r="H199" s="6">
        <v>0.18</v>
      </c>
      <c r="I199" s="8">
        <v>0.13639999999999999</v>
      </c>
      <c r="J199" s="6">
        <v>0.37</v>
      </c>
      <c r="K199" s="8">
        <v>0.44779999999999998</v>
      </c>
      <c r="L199" s="7">
        <v>4</v>
      </c>
      <c r="M199" s="7">
        <v>79</v>
      </c>
      <c r="N199" s="7">
        <v>83</v>
      </c>
      <c r="O199" t="s">
        <v>29</v>
      </c>
      <c r="P199" t="s">
        <v>52</v>
      </c>
      <c r="Q199" t="s">
        <v>31</v>
      </c>
      <c r="R199" t="s">
        <v>47</v>
      </c>
      <c r="S199" t="s">
        <v>33</v>
      </c>
      <c r="T199" t="s">
        <v>39</v>
      </c>
      <c r="U199" t="s">
        <v>53</v>
      </c>
      <c r="V199" t="s">
        <v>36</v>
      </c>
      <c r="W199" t="s">
        <v>37</v>
      </c>
      <c r="X199" s="6">
        <v>4.8192771084337354</v>
      </c>
      <c r="Y199" s="6">
        <v>95.180722891566262</v>
      </c>
      <c r="Z199" t="s">
        <v>38</v>
      </c>
      <c r="AA199" t="s">
        <v>39</v>
      </c>
      <c r="AB199" t="s">
        <v>40</v>
      </c>
      <c r="AC199" s="8">
        <v>-4.36E-2</v>
      </c>
    </row>
    <row r="200" spans="1:29" x14ac:dyDescent="0.3">
      <c r="A200" s="7">
        <v>199</v>
      </c>
      <c r="B200" s="1">
        <v>40552</v>
      </c>
      <c r="C200" s="7">
        <v>1</v>
      </c>
      <c r="D200" s="7">
        <v>13</v>
      </c>
      <c r="E200" t="b">
        <v>0</v>
      </c>
      <c r="F200" s="7">
        <v>0</v>
      </c>
      <c r="G200" s="7">
        <v>1</v>
      </c>
      <c r="H200" s="6">
        <v>0.2</v>
      </c>
      <c r="I200" s="8">
        <v>0.16669999999999999</v>
      </c>
      <c r="J200" s="6">
        <v>0.34</v>
      </c>
      <c r="K200" s="8">
        <v>0.44779999999999998</v>
      </c>
      <c r="L200" s="7">
        <v>6</v>
      </c>
      <c r="M200" s="7">
        <v>69</v>
      </c>
      <c r="N200" s="7">
        <v>75</v>
      </c>
      <c r="O200" t="s">
        <v>29</v>
      </c>
      <c r="P200" t="s">
        <v>52</v>
      </c>
      <c r="Q200" t="s">
        <v>31</v>
      </c>
      <c r="R200" t="s">
        <v>47</v>
      </c>
      <c r="S200" t="s">
        <v>33</v>
      </c>
      <c r="T200" t="s">
        <v>39</v>
      </c>
      <c r="U200" t="s">
        <v>53</v>
      </c>
      <c r="V200" t="s">
        <v>36</v>
      </c>
      <c r="W200" t="s">
        <v>37</v>
      </c>
      <c r="X200" s="6">
        <v>8</v>
      </c>
      <c r="Y200" s="6">
        <v>92</v>
      </c>
      <c r="Z200" t="s">
        <v>38</v>
      </c>
      <c r="AA200" t="s">
        <v>39</v>
      </c>
      <c r="AB200" t="s">
        <v>40</v>
      </c>
      <c r="AC200" s="8">
        <v>-3.3300000000000017E-2</v>
      </c>
    </row>
    <row r="201" spans="1:29" x14ac:dyDescent="0.3">
      <c r="A201" s="7">
        <v>200</v>
      </c>
      <c r="B201" s="1">
        <v>40552</v>
      </c>
      <c r="C201" s="7">
        <v>1</v>
      </c>
      <c r="D201" s="7">
        <v>14</v>
      </c>
      <c r="E201" t="b">
        <v>0</v>
      </c>
      <c r="F201" s="7">
        <v>0</v>
      </c>
      <c r="G201" s="7">
        <v>1</v>
      </c>
      <c r="H201" s="6">
        <v>0.22</v>
      </c>
      <c r="I201" s="8">
        <v>0.18179999999999999</v>
      </c>
      <c r="J201" s="6">
        <v>0.32</v>
      </c>
      <c r="K201" s="8">
        <v>0.4627</v>
      </c>
      <c r="L201" s="7">
        <v>8</v>
      </c>
      <c r="M201" s="7">
        <v>64</v>
      </c>
      <c r="N201" s="7">
        <v>72</v>
      </c>
      <c r="O201" t="s">
        <v>29</v>
      </c>
      <c r="P201" t="s">
        <v>52</v>
      </c>
      <c r="Q201" t="s">
        <v>31</v>
      </c>
      <c r="R201" t="s">
        <v>47</v>
      </c>
      <c r="S201" t="s">
        <v>33</v>
      </c>
      <c r="T201" t="s">
        <v>39</v>
      </c>
      <c r="U201" t="s">
        <v>53</v>
      </c>
      <c r="V201" t="s">
        <v>36</v>
      </c>
      <c r="W201" t="s">
        <v>37</v>
      </c>
      <c r="X201" s="6">
        <v>11.111111111111111</v>
      </c>
      <c r="Y201" s="6">
        <v>88.888888888888886</v>
      </c>
      <c r="Z201" t="s">
        <v>38</v>
      </c>
      <c r="AA201" t="s">
        <v>39</v>
      </c>
      <c r="AB201" t="s">
        <v>40</v>
      </c>
      <c r="AC201" s="8">
        <v>-3.8200000000000012E-2</v>
      </c>
    </row>
    <row r="202" spans="1:29" x14ac:dyDescent="0.3">
      <c r="A202" s="7">
        <v>201</v>
      </c>
      <c r="B202" s="1">
        <v>40552</v>
      </c>
      <c r="C202" s="7">
        <v>1</v>
      </c>
      <c r="D202" s="7">
        <v>15</v>
      </c>
      <c r="E202" t="b">
        <v>0</v>
      </c>
      <c r="F202" s="7">
        <v>0</v>
      </c>
      <c r="G202" s="7">
        <v>1</v>
      </c>
      <c r="H202" s="6">
        <v>0.22</v>
      </c>
      <c r="I202" s="8">
        <v>0.19700000000000001</v>
      </c>
      <c r="J202" s="6">
        <v>0.35</v>
      </c>
      <c r="K202" s="8">
        <v>0.35820000000000002</v>
      </c>
      <c r="L202" s="7">
        <v>5</v>
      </c>
      <c r="M202" s="7">
        <v>77</v>
      </c>
      <c r="N202" s="7">
        <v>82</v>
      </c>
      <c r="O202" t="s">
        <v>29</v>
      </c>
      <c r="P202" t="s">
        <v>52</v>
      </c>
      <c r="Q202" t="s">
        <v>31</v>
      </c>
      <c r="R202" t="s">
        <v>47</v>
      </c>
      <c r="S202" t="s">
        <v>33</v>
      </c>
      <c r="T202" t="s">
        <v>39</v>
      </c>
      <c r="U202" t="s">
        <v>53</v>
      </c>
      <c r="V202" t="s">
        <v>36</v>
      </c>
      <c r="W202" t="s">
        <v>37</v>
      </c>
      <c r="X202" s="6">
        <v>6.0975609756097562</v>
      </c>
      <c r="Y202" s="6">
        <v>93.902439024390233</v>
      </c>
      <c r="Z202" t="s">
        <v>38</v>
      </c>
      <c r="AA202" t="s">
        <v>39</v>
      </c>
      <c r="AB202" t="s">
        <v>40</v>
      </c>
      <c r="AC202" s="8">
        <v>-2.2999999999999989E-2</v>
      </c>
    </row>
    <row r="203" spans="1:29" x14ac:dyDescent="0.3">
      <c r="A203" s="7">
        <v>202</v>
      </c>
      <c r="B203" s="1">
        <v>40552</v>
      </c>
      <c r="C203" s="7">
        <v>1</v>
      </c>
      <c r="D203" s="7">
        <v>16</v>
      </c>
      <c r="E203" t="b">
        <v>0</v>
      </c>
      <c r="F203" s="7">
        <v>0</v>
      </c>
      <c r="G203" s="7">
        <v>1</v>
      </c>
      <c r="H203" s="6">
        <v>0.2</v>
      </c>
      <c r="I203" s="8">
        <v>0.16669999999999999</v>
      </c>
      <c r="J203" s="6">
        <v>0.34</v>
      </c>
      <c r="K203" s="8">
        <v>0.44779999999999998</v>
      </c>
      <c r="L203" s="7">
        <v>13</v>
      </c>
      <c r="M203" s="7">
        <v>79</v>
      </c>
      <c r="N203" s="7">
        <v>92</v>
      </c>
      <c r="O203" t="s">
        <v>29</v>
      </c>
      <c r="P203" t="s">
        <v>52</v>
      </c>
      <c r="Q203" t="s">
        <v>31</v>
      </c>
      <c r="R203" t="s">
        <v>47</v>
      </c>
      <c r="S203" t="s">
        <v>33</v>
      </c>
      <c r="T203" t="s">
        <v>39</v>
      </c>
      <c r="U203" t="s">
        <v>53</v>
      </c>
      <c r="V203" t="s">
        <v>36</v>
      </c>
      <c r="W203" t="s">
        <v>37</v>
      </c>
      <c r="X203" s="6">
        <v>14.130434782608701</v>
      </c>
      <c r="Y203" s="6">
        <v>85.869565217391312</v>
      </c>
      <c r="Z203" t="s">
        <v>38</v>
      </c>
      <c r="AA203" t="s">
        <v>39</v>
      </c>
      <c r="AB203" t="s">
        <v>40</v>
      </c>
      <c r="AC203" s="8">
        <v>-3.3300000000000017E-2</v>
      </c>
    </row>
    <row r="204" spans="1:29" x14ac:dyDescent="0.3">
      <c r="A204" s="7">
        <v>203</v>
      </c>
      <c r="B204" s="1">
        <v>40552</v>
      </c>
      <c r="C204" s="7">
        <v>1</v>
      </c>
      <c r="D204" s="7">
        <v>17</v>
      </c>
      <c r="E204" t="b">
        <v>0</v>
      </c>
      <c r="F204" s="7">
        <v>0</v>
      </c>
      <c r="G204" s="7">
        <v>1</v>
      </c>
      <c r="H204" s="6">
        <v>0.18</v>
      </c>
      <c r="I204" s="8">
        <v>0.1515</v>
      </c>
      <c r="J204" s="6">
        <v>0.37</v>
      </c>
      <c r="K204" s="8">
        <v>0.3881</v>
      </c>
      <c r="L204" s="7">
        <v>3</v>
      </c>
      <c r="M204" s="7">
        <v>59</v>
      </c>
      <c r="N204" s="7">
        <v>62</v>
      </c>
      <c r="O204" t="s">
        <v>29</v>
      </c>
      <c r="P204" t="s">
        <v>52</v>
      </c>
      <c r="Q204" t="s">
        <v>31</v>
      </c>
      <c r="R204" t="s">
        <v>50</v>
      </c>
      <c r="S204" t="s">
        <v>33</v>
      </c>
      <c r="T204" t="s">
        <v>39</v>
      </c>
      <c r="U204" t="s">
        <v>53</v>
      </c>
      <c r="V204" t="s">
        <v>36</v>
      </c>
      <c r="W204" t="s">
        <v>37</v>
      </c>
      <c r="X204" s="6">
        <v>4.838709677419355</v>
      </c>
      <c r="Y204" s="6">
        <v>95.161290322580655</v>
      </c>
      <c r="Z204" t="s">
        <v>40</v>
      </c>
      <c r="AA204" t="s">
        <v>39</v>
      </c>
      <c r="AB204" t="s">
        <v>40</v>
      </c>
      <c r="AC204" s="8">
        <v>-2.8500000000000001E-2</v>
      </c>
    </row>
    <row r="205" spans="1:29" x14ac:dyDescent="0.3">
      <c r="A205" s="7">
        <v>204</v>
      </c>
      <c r="B205" s="1">
        <v>40552</v>
      </c>
      <c r="C205" s="7">
        <v>1</v>
      </c>
      <c r="D205" s="7">
        <v>18</v>
      </c>
      <c r="E205" t="b">
        <v>0</v>
      </c>
      <c r="F205" s="7">
        <v>0</v>
      </c>
      <c r="G205" s="7">
        <v>1</v>
      </c>
      <c r="H205" s="6">
        <v>0.16</v>
      </c>
      <c r="I205" s="8">
        <v>0.13639999999999999</v>
      </c>
      <c r="J205" s="6">
        <v>0.4</v>
      </c>
      <c r="K205" s="8">
        <v>0.32840000000000003</v>
      </c>
      <c r="L205" s="7">
        <v>4</v>
      </c>
      <c r="M205" s="7">
        <v>44</v>
      </c>
      <c r="N205" s="7">
        <v>48</v>
      </c>
      <c r="O205" t="s">
        <v>29</v>
      </c>
      <c r="P205" t="s">
        <v>52</v>
      </c>
      <c r="Q205" t="s">
        <v>31</v>
      </c>
      <c r="R205" t="s">
        <v>50</v>
      </c>
      <c r="S205" t="s">
        <v>33</v>
      </c>
      <c r="T205" t="s">
        <v>49</v>
      </c>
      <c r="U205" t="s">
        <v>53</v>
      </c>
      <c r="V205" t="s">
        <v>36</v>
      </c>
      <c r="W205" t="s">
        <v>37</v>
      </c>
      <c r="X205" s="6">
        <v>8.3333333333333321</v>
      </c>
      <c r="Y205" s="6">
        <v>91.666666666666657</v>
      </c>
      <c r="Z205" t="s">
        <v>40</v>
      </c>
      <c r="AA205" t="s">
        <v>39</v>
      </c>
      <c r="AB205" t="s">
        <v>40</v>
      </c>
      <c r="AC205" s="8">
        <v>-2.360000000000001E-2</v>
      </c>
    </row>
    <row r="206" spans="1:29" x14ac:dyDescent="0.3">
      <c r="A206" s="7">
        <v>205</v>
      </c>
      <c r="B206" s="1">
        <v>40552</v>
      </c>
      <c r="C206" s="7">
        <v>1</v>
      </c>
      <c r="D206" s="7">
        <v>19</v>
      </c>
      <c r="E206" t="b">
        <v>0</v>
      </c>
      <c r="F206" s="7">
        <v>0</v>
      </c>
      <c r="G206" s="7">
        <v>1</v>
      </c>
      <c r="H206" s="6">
        <v>0.16</v>
      </c>
      <c r="I206" s="8">
        <v>0.13639999999999999</v>
      </c>
      <c r="J206" s="6">
        <v>0.43</v>
      </c>
      <c r="K206" s="8">
        <v>0.32840000000000003</v>
      </c>
      <c r="L206" s="7">
        <v>1</v>
      </c>
      <c r="M206" s="7">
        <v>40</v>
      </c>
      <c r="N206" s="7">
        <v>41</v>
      </c>
      <c r="O206" t="s">
        <v>29</v>
      </c>
      <c r="P206" t="s">
        <v>52</v>
      </c>
      <c r="Q206" t="s">
        <v>31</v>
      </c>
      <c r="R206" t="s">
        <v>50</v>
      </c>
      <c r="S206" t="s">
        <v>33</v>
      </c>
      <c r="T206" t="s">
        <v>49</v>
      </c>
      <c r="U206" t="s">
        <v>53</v>
      </c>
      <c r="V206" t="s">
        <v>36</v>
      </c>
      <c r="W206" t="s">
        <v>37</v>
      </c>
      <c r="X206" s="6">
        <v>2.4390243902439019</v>
      </c>
      <c r="Y206" s="6">
        <v>97.560975609756099</v>
      </c>
      <c r="Z206" t="s">
        <v>40</v>
      </c>
      <c r="AA206" t="s">
        <v>39</v>
      </c>
      <c r="AB206" t="s">
        <v>40</v>
      </c>
      <c r="AC206" s="8">
        <v>-2.360000000000001E-2</v>
      </c>
    </row>
    <row r="207" spans="1:29" x14ac:dyDescent="0.3">
      <c r="A207" s="7">
        <v>206</v>
      </c>
      <c r="B207" s="1">
        <v>40552</v>
      </c>
      <c r="C207" s="7">
        <v>1</v>
      </c>
      <c r="D207" s="7">
        <v>20</v>
      </c>
      <c r="E207" t="b">
        <v>0</v>
      </c>
      <c r="F207" s="7">
        <v>0</v>
      </c>
      <c r="G207" s="7">
        <v>1</v>
      </c>
      <c r="H207" s="6">
        <v>0.14000000000000001</v>
      </c>
      <c r="I207" s="8">
        <v>0.1212</v>
      </c>
      <c r="J207" s="6">
        <v>0.46</v>
      </c>
      <c r="K207" s="8">
        <v>0.25369999999999998</v>
      </c>
      <c r="L207" s="7">
        <v>0</v>
      </c>
      <c r="M207" s="7">
        <v>38</v>
      </c>
      <c r="N207" s="7">
        <v>38</v>
      </c>
      <c r="O207" t="s">
        <v>29</v>
      </c>
      <c r="P207" t="s">
        <v>52</v>
      </c>
      <c r="Q207" t="s">
        <v>31</v>
      </c>
      <c r="R207" t="s">
        <v>50</v>
      </c>
      <c r="S207" t="s">
        <v>55</v>
      </c>
      <c r="T207" t="s">
        <v>49</v>
      </c>
      <c r="U207" t="s">
        <v>46</v>
      </c>
      <c r="V207" t="s">
        <v>36</v>
      </c>
      <c r="W207" t="s">
        <v>37</v>
      </c>
      <c r="X207" s="6">
        <v>0</v>
      </c>
      <c r="Y207" s="6">
        <v>100</v>
      </c>
      <c r="Z207" t="s">
        <v>38</v>
      </c>
      <c r="AA207" t="s">
        <v>39</v>
      </c>
      <c r="AB207" t="s">
        <v>40</v>
      </c>
      <c r="AC207" s="8">
        <v>-1.8800000000000011E-2</v>
      </c>
    </row>
    <row r="208" spans="1:29" x14ac:dyDescent="0.3">
      <c r="A208" s="7">
        <v>207</v>
      </c>
      <c r="B208" s="1">
        <v>40552</v>
      </c>
      <c r="C208" s="7">
        <v>1</v>
      </c>
      <c r="D208" s="7">
        <v>21</v>
      </c>
      <c r="E208" t="b">
        <v>0</v>
      </c>
      <c r="F208" s="7">
        <v>0</v>
      </c>
      <c r="G208" s="7">
        <v>1</v>
      </c>
      <c r="H208" s="6">
        <v>0.14000000000000001</v>
      </c>
      <c r="I208" s="8">
        <v>0.1061</v>
      </c>
      <c r="J208" s="6">
        <v>0.46</v>
      </c>
      <c r="K208" s="8">
        <v>0.41789999999999999</v>
      </c>
      <c r="L208" s="7">
        <v>1</v>
      </c>
      <c r="M208" s="7">
        <v>19</v>
      </c>
      <c r="N208" s="7">
        <v>20</v>
      </c>
      <c r="O208" t="s">
        <v>29</v>
      </c>
      <c r="P208" t="s">
        <v>52</v>
      </c>
      <c r="Q208" t="s">
        <v>31</v>
      </c>
      <c r="R208" t="s">
        <v>32</v>
      </c>
      <c r="S208" t="s">
        <v>55</v>
      </c>
      <c r="T208" t="s">
        <v>49</v>
      </c>
      <c r="U208" t="s">
        <v>53</v>
      </c>
      <c r="V208" t="s">
        <v>36</v>
      </c>
      <c r="W208" t="s">
        <v>37</v>
      </c>
      <c r="X208" s="6">
        <v>5</v>
      </c>
      <c r="Y208" s="6">
        <v>95</v>
      </c>
      <c r="Z208" t="s">
        <v>38</v>
      </c>
      <c r="AA208" t="s">
        <v>39</v>
      </c>
      <c r="AB208" t="s">
        <v>40</v>
      </c>
      <c r="AC208" s="8">
        <v>-3.3900000000000013E-2</v>
      </c>
    </row>
    <row r="209" spans="1:29" x14ac:dyDescent="0.3">
      <c r="A209" s="7">
        <v>208</v>
      </c>
      <c r="B209" s="1">
        <v>40552</v>
      </c>
      <c r="C209" s="7">
        <v>1</v>
      </c>
      <c r="D209" s="7">
        <v>22</v>
      </c>
      <c r="E209" t="b">
        <v>0</v>
      </c>
      <c r="F209" s="7">
        <v>0</v>
      </c>
      <c r="G209" s="7">
        <v>1</v>
      </c>
      <c r="H209" s="6">
        <v>0.14000000000000001</v>
      </c>
      <c r="I209" s="8">
        <v>0.1212</v>
      </c>
      <c r="J209" s="6">
        <v>0.46</v>
      </c>
      <c r="K209" s="8">
        <v>0.29849999999999999</v>
      </c>
      <c r="L209" s="7">
        <v>5</v>
      </c>
      <c r="M209" s="7">
        <v>10</v>
      </c>
      <c r="N209" s="7">
        <v>15</v>
      </c>
      <c r="O209" t="s">
        <v>29</v>
      </c>
      <c r="P209" t="s">
        <v>52</v>
      </c>
      <c r="Q209" t="s">
        <v>31</v>
      </c>
      <c r="R209" t="s">
        <v>32</v>
      </c>
      <c r="S209" t="s">
        <v>55</v>
      </c>
      <c r="T209" t="s">
        <v>49</v>
      </c>
      <c r="U209" t="s">
        <v>46</v>
      </c>
      <c r="V209" t="s">
        <v>36</v>
      </c>
      <c r="W209" t="s">
        <v>37</v>
      </c>
      <c r="X209" s="6">
        <v>33.333333333333329</v>
      </c>
      <c r="Y209" s="6">
        <v>66.666666666666657</v>
      </c>
      <c r="Z209" t="s">
        <v>38</v>
      </c>
      <c r="AA209" t="s">
        <v>39</v>
      </c>
      <c r="AB209" t="s">
        <v>40</v>
      </c>
      <c r="AC209" s="8">
        <v>-1.8800000000000011E-2</v>
      </c>
    </row>
    <row r="210" spans="1:29" x14ac:dyDescent="0.3">
      <c r="A210" s="7">
        <v>209</v>
      </c>
      <c r="B210" s="1">
        <v>40552</v>
      </c>
      <c r="C210" s="7">
        <v>1</v>
      </c>
      <c r="D210" s="7">
        <v>23</v>
      </c>
      <c r="E210" t="b">
        <v>0</v>
      </c>
      <c r="F210" s="7">
        <v>0</v>
      </c>
      <c r="G210" s="7">
        <v>1</v>
      </c>
      <c r="H210" s="6">
        <v>0.12</v>
      </c>
      <c r="I210" s="8">
        <v>0.13639999999999999</v>
      </c>
      <c r="J210" s="6">
        <v>0.5</v>
      </c>
      <c r="K210" s="8">
        <v>0.19400000000000001</v>
      </c>
      <c r="L210" s="7">
        <v>0</v>
      </c>
      <c r="M210" s="7">
        <v>6</v>
      </c>
      <c r="N210" s="7">
        <v>6</v>
      </c>
      <c r="O210" t="s">
        <v>29</v>
      </c>
      <c r="P210" t="s">
        <v>52</v>
      </c>
      <c r="Q210" t="s">
        <v>31</v>
      </c>
      <c r="R210" t="s">
        <v>32</v>
      </c>
      <c r="S210" t="s">
        <v>55</v>
      </c>
      <c r="T210" t="s">
        <v>49</v>
      </c>
      <c r="U210" t="s">
        <v>46</v>
      </c>
      <c r="V210" t="s">
        <v>36</v>
      </c>
      <c r="W210" t="s">
        <v>37</v>
      </c>
      <c r="X210" s="6">
        <v>0</v>
      </c>
      <c r="Y210" s="6">
        <v>100</v>
      </c>
      <c r="Z210" t="s">
        <v>38</v>
      </c>
      <c r="AA210" t="s">
        <v>39</v>
      </c>
      <c r="AB210" t="s">
        <v>40</v>
      </c>
      <c r="AC210" s="8">
        <v>1.6400000000000001E-2</v>
      </c>
    </row>
    <row r="211" spans="1:29" x14ac:dyDescent="0.3">
      <c r="A211" s="7">
        <v>210</v>
      </c>
      <c r="B211" s="1">
        <v>40553</v>
      </c>
      <c r="C211" s="7">
        <v>1</v>
      </c>
      <c r="D211" s="7">
        <v>0</v>
      </c>
      <c r="E211" t="b">
        <v>0</v>
      </c>
      <c r="F211" s="7">
        <v>1</v>
      </c>
      <c r="G211" s="7">
        <v>1</v>
      </c>
      <c r="H211" s="6">
        <v>0.12</v>
      </c>
      <c r="I211" s="8">
        <v>0.1212</v>
      </c>
      <c r="J211" s="6">
        <v>0.5</v>
      </c>
      <c r="K211" s="8">
        <v>0.28360000000000002</v>
      </c>
      <c r="L211" s="7">
        <v>2</v>
      </c>
      <c r="M211" s="7">
        <v>3</v>
      </c>
      <c r="N211" s="7">
        <v>5</v>
      </c>
      <c r="O211" t="s">
        <v>29</v>
      </c>
      <c r="P211" t="s">
        <v>54</v>
      </c>
      <c r="Q211" t="s">
        <v>31</v>
      </c>
      <c r="R211" t="s">
        <v>32</v>
      </c>
      <c r="S211" t="s">
        <v>55</v>
      </c>
      <c r="T211" t="s">
        <v>49</v>
      </c>
      <c r="U211" t="s">
        <v>46</v>
      </c>
      <c r="V211" t="s">
        <v>36</v>
      </c>
      <c r="W211" t="s">
        <v>37</v>
      </c>
      <c r="X211" s="6">
        <v>40</v>
      </c>
      <c r="Y211" s="6">
        <v>60</v>
      </c>
      <c r="Z211" t="s">
        <v>38</v>
      </c>
      <c r="AA211" t="s">
        <v>39</v>
      </c>
      <c r="AB211" t="s">
        <v>38</v>
      </c>
      <c r="AC211" s="8">
        <v>1.2000000000000071E-3</v>
      </c>
    </row>
    <row r="212" spans="1:29" x14ac:dyDescent="0.3">
      <c r="A212" s="7">
        <v>211</v>
      </c>
      <c r="B212" s="1">
        <v>40553</v>
      </c>
      <c r="C212" s="7">
        <v>1</v>
      </c>
      <c r="D212" s="7">
        <v>1</v>
      </c>
      <c r="E212" t="b">
        <v>0</v>
      </c>
      <c r="F212" s="7">
        <v>1</v>
      </c>
      <c r="G212" s="7">
        <v>1</v>
      </c>
      <c r="H212" s="6">
        <v>0.12</v>
      </c>
      <c r="I212" s="8">
        <v>0.1212</v>
      </c>
      <c r="J212" s="6">
        <v>0.5</v>
      </c>
      <c r="K212" s="8">
        <v>0.28360000000000002</v>
      </c>
      <c r="L212" s="7">
        <v>1</v>
      </c>
      <c r="M212" s="7">
        <v>0</v>
      </c>
      <c r="N212" s="7">
        <v>1</v>
      </c>
      <c r="O212" t="s">
        <v>29</v>
      </c>
      <c r="P212" t="s">
        <v>54</v>
      </c>
      <c r="Q212" t="s">
        <v>31</v>
      </c>
      <c r="R212" t="s">
        <v>32</v>
      </c>
      <c r="S212" t="s">
        <v>55</v>
      </c>
      <c r="T212" t="s">
        <v>49</v>
      </c>
      <c r="U212" t="s">
        <v>46</v>
      </c>
      <c r="V212" t="s">
        <v>36</v>
      </c>
      <c r="W212" t="s">
        <v>43</v>
      </c>
      <c r="X212" s="6">
        <v>100</v>
      </c>
      <c r="Y212" s="6">
        <v>0</v>
      </c>
      <c r="Z212" t="s">
        <v>38</v>
      </c>
      <c r="AA212" t="s">
        <v>39</v>
      </c>
      <c r="AB212" t="s">
        <v>38</v>
      </c>
      <c r="AC212" s="8">
        <v>1.2000000000000071E-3</v>
      </c>
    </row>
    <row r="213" spans="1:29" x14ac:dyDescent="0.3">
      <c r="A213" s="7">
        <v>212</v>
      </c>
      <c r="B213" s="1">
        <v>40553</v>
      </c>
      <c r="C213" s="7">
        <v>1</v>
      </c>
      <c r="D213" s="7">
        <v>2</v>
      </c>
      <c r="E213" t="b">
        <v>0</v>
      </c>
      <c r="F213" s="7">
        <v>1</v>
      </c>
      <c r="G213" s="7">
        <v>1</v>
      </c>
      <c r="H213" s="6">
        <v>0.12</v>
      </c>
      <c r="I213" s="8">
        <v>0.1212</v>
      </c>
      <c r="J213" s="6">
        <v>0.5</v>
      </c>
      <c r="K213" s="8">
        <v>0.22389999999999999</v>
      </c>
      <c r="L213" s="7">
        <v>0</v>
      </c>
      <c r="M213" s="7">
        <v>3</v>
      </c>
      <c r="N213" s="7">
        <v>3</v>
      </c>
      <c r="O213" t="s">
        <v>29</v>
      </c>
      <c r="P213" t="s">
        <v>54</v>
      </c>
      <c r="Q213" t="s">
        <v>31</v>
      </c>
      <c r="R213" t="s">
        <v>32</v>
      </c>
      <c r="S213" t="s">
        <v>55</v>
      </c>
      <c r="T213" t="s">
        <v>49</v>
      </c>
      <c r="U213" t="s">
        <v>46</v>
      </c>
      <c r="V213" t="s">
        <v>36</v>
      </c>
      <c r="W213" t="s">
        <v>37</v>
      </c>
      <c r="X213" s="6">
        <v>0</v>
      </c>
      <c r="Y213" s="6">
        <v>100</v>
      </c>
      <c r="Z213" t="s">
        <v>38</v>
      </c>
      <c r="AA213" t="s">
        <v>39</v>
      </c>
      <c r="AB213" t="s">
        <v>38</v>
      </c>
      <c r="AC213" s="8">
        <v>1.2000000000000071E-3</v>
      </c>
    </row>
    <row r="214" spans="1:29" x14ac:dyDescent="0.3">
      <c r="A214" s="7">
        <v>213</v>
      </c>
      <c r="B214" s="1">
        <v>40553</v>
      </c>
      <c r="C214" s="7">
        <v>1</v>
      </c>
      <c r="D214" s="7">
        <v>3</v>
      </c>
      <c r="E214" t="b">
        <v>0</v>
      </c>
      <c r="F214" s="7">
        <v>1</v>
      </c>
      <c r="G214" s="7">
        <v>1</v>
      </c>
      <c r="H214" s="6">
        <v>0.12</v>
      </c>
      <c r="I214" s="8">
        <v>0.1212</v>
      </c>
      <c r="J214" s="6">
        <v>0.5</v>
      </c>
      <c r="K214" s="8">
        <v>0.22389999999999999</v>
      </c>
      <c r="L214" s="7">
        <v>0</v>
      </c>
      <c r="M214" s="7">
        <v>1</v>
      </c>
      <c r="N214" s="7">
        <v>1</v>
      </c>
      <c r="O214" t="s">
        <v>29</v>
      </c>
      <c r="P214" t="s">
        <v>54</v>
      </c>
      <c r="Q214" t="s">
        <v>31</v>
      </c>
      <c r="R214" t="s">
        <v>32</v>
      </c>
      <c r="S214" t="s">
        <v>55</v>
      </c>
      <c r="T214" t="s">
        <v>49</v>
      </c>
      <c r="U214" t="s">
        <v>46</v>
      </c>
      <c r="V214" t="s">
        <v>36</v>
      </c>
      <c r="W214" t="s">
        <v>37</v>
      </c>
      <c r="X214" s="6">
        <v>0</v>
      </c>
      <c r="Y214" s="6">
        <v>100</v>
      </c>
      <c r="Z214" t="s">
        <v>38</v>
      </c>
      <c r="AA214" t="s">
        <v>39</v>
      </c>
      <c r="AB214" t="s">
        <v>38</v>
      </c>
      <c r="AC214" s="8">
        <v>1.2000000000000071E-3</v>
      </c>
    </row>
    <row r="215" spans="1:29" x14ac:dyDescent="0.3">
      <c r="A215" s="7">
        <v>214</v>
      </c>
      <c r="B215" s="1">
        <v>40553</v>
      </c>
      <c r="C215" s="7">
        <v>1</v>
      </c>
      <c r="D215" s="7">
        <v>4</v>
      </c>
      <c r="E215" t="b">
        <v>0</v>
      </c>
      <c r="F215" s="7">
        <v>1</v>
      </c>
      <c r="G215" s="7">
        <v>1</v>
      </c>
      <c r="H215" s="6">
        <v>0.1</v>
      </c>
      <c r="I215" s="8">
        <v>0.1212</v>
      </c>
      <c r="J215" s="6">
        <v>0.54</v>
      </c>
      <c r="K215" s="8">
        <v>0.1343</v>
      </c>
      <c r="L215" s="7">
        <v>1</v>
      </c>
      <c r="M215" s="7">
        <v>2</v>
      </c>
      <c r="N215" s="7">
        <v>3</v>
      </c>
      <c r="O215" t="s">
        <v>29</v>
      </c>
      <c r="P215" t="s">
        <v>54</v>
      </c>
      <c r="Q215" t="s">
        <v>31</v>
      </c>
      <c r="R215" t="s">
        <v>32</v>
      </c>
      <c r="S215" t="s">
        <v>55</v>
      </c>
      <c r="T215" t="s">
        <v>49</v>
      </c>
      <c r="U215" t="s">
        <v>35</v>
      </c>
      <c r="V215" t="s">
        <v>36</v>
      </c>
      <c r="W215" t="s">
        <v>37</v>
      </c>
      <c r="X215" s="6">
        <v>33.333333333333329</v>
      </c>
      <c r="Y215" s="6">
        <v>66.666666666666657</v>
      </c>
      <c r="Z215" t="s">
        <v>38</v>
      </c>
      <c r="AA215" t="s">
        <v>39</v>
      </c>
      <c r="AB215" t="s">
        <v>38</v>
      </c>
      <c r="AC215" s="8">
        <v>2.12E-2</v>
      </c>
    </row>
    <row r="216" spans="1:29" x14ac:dyDescent="0.3">
      <c r="A216" s="7">
        <v>215</v>
      </c>
      <c r="B216" s="1">
        <v>40553</v>
      </c>
      <c r="C216" s="7">
        <v>1</v>
      </c>
      <c r="D216" s="7">
        <v>5</v>
      </c>
      <c r="E216" t="b">
        <v>0</v>
      </c>
      <c r="F216" s="7">
        <v>1</v>
      </c>
      <c r="G216" s="7">
        <v>1</v>
      </c>
      <c r="H216" s="6">
        <v>0.1</v>
      </c>
      <c r="I216" s="8">
        <v>0.1061</v>
      </c>
      <c r="J216" s="6">
        <v>0.54</v>
      </c>
      <c r="K216" s="8">
        <v>0.25369999999999998</v>
      </c>
      <c r="L216" s="7">
        <v>0</v>
      </c>
      <c r="M216" s="7">
        <v>3</v>
      </c>
      <c r="N216" s="7">
        <v>3</v>
      </c>
      <c r="O216" t="s">
        <v>29</v>
      </c>
      <c r="P216" t="s">
        <v>54</v>
      </c>
      <c r="Q216" t="s">
        <v>31</v>
      </c>
      <c r="R216" t="s">
        <v>32</v>
      </c>
      <c r="S216" t="s">
        <v>55</v>
      </c>
      <c r="T216" t="s">
        <v>49</v>
      </c>
      <c r="U216" t="s">
        <v>46</v>
      </c>
      <c r="V216" t="s">
        <v>36</v>
      </c>
      <c r="W216" t="s">
        <v>37</v>
      </c>
      <c r="X216" s="6">
        <v>0</v>
      </c>
      <c r="Y216" s="6">
        <v>100</v>
      </c>
      <c r="Z216" t="s">
        <v>38</v>
      </c>
      <c r="AA216" t="s">
        <v>39</v>
      </c>
      <c r="AB216" t="s">
        <v>38</v>
      </c>
      <c r="AC216" s="8">
        <v>6.0999999999999943E-3</v>
      </c>
    </row>
    <row r="217" spans="1:29" x14ac:dyDescent="0.3">
      <c r="A217" s="7">
        <v>216</v>
      </c>
      <c r="B217" s="1">
        <v>40553</v>
      </c>
      <c r="C217" s="7">
        <v>1</v>
      </c>
      <c r="D217" s="7">
        <v>6</v>
      </c>
      <c r="E217" t="b">
        <v>0</v>
      </c>
      <c r="F217" s="7">
        <v>1</v>
      </c>
      <c r="G217" s="7">
        <v>1</v>
      </c>
      <c r="H217" s="6">
        <v>0.12</v>
      </c>
      <c r="I217" s="8">
        <v>0.1212</v>
      </c>
      <c r="J217" s="6">
        <v>0.5</v>
      </c>
      <c r="K217" s="8">
        <v>0.28360000000000002</v>
      </c>
      <c r="L217" s="7">
        <v>0</v>
      </c>
      <c r="M217" s="7">
        <v>31</v>
      </c>
      <c r="N217" s="7">
        <v>31</v>
      </c>
      <c r="O217" t="s">
        <v>29</v>
      </c>
      <c r="P217" t="s">
        <v>54</v>
      </c>
      <c r="Q217" t="s">
        <v>31</v>
      </c>
      <c r="R217" t="s">
        <v>42</v>
      </c>
      <c r="S217" t="s">
        <v>55</v>
      </c>
      <c r="T217" t="s">
        <v>49</v>
      </c>
      <c r="U217" t="s">
        <v>46</v>
      </c>
      <c r="V217" t="s">
        <v>36</v>
      </c>
      <c r="W217" t="s">
        <v>37</v>
      </c>
      <c r="X217" s="6">
        <v>0</v>
      </c>
      <c r="Y217" s="6">
        <v>100</v>
      </c>
      <c r="Z217" t="s">
        <v>38</v>
      </c>
      <c r="AA217" t="s">
        <v>39</v>
      </c>
      <c r="AB217" t="s">
        <v>38</v>
      </c>
      <c r="AC217" s="8">
        <v>1.2000000000000071E-3</v>
      </c>
    </row>
    <row r="218" spans="1:29" x14ac:dyDescent="0.3">
      <c r="A218" s="7">
        <v>217</v>
      </c>
      <c r="B218" s="1">
        <v>40553</v>
      </c>
      <c r="C218" s="7">
        <v>1</v>
      </c>
      <c r="D218" s="7">
        <v>7</v>
      </c>
      <c r="E218" t="b">
        <v>0</v>
      </c>
      <c r="F218" s="7">
        <v>1</v>
      </c>
      <c r="G218" s="7">
        <v>1</v>
      </c>
      <c r="H218" s="6">
        <v>0.12</v>
      </c>
      <c r="I218" s="8">
        <v>0.1212</v>
      </c>
      <c r="J218" s="6">
        <v>0.5</v>
      </c>
      <c r="K218" s="8">
        <v>0.22389999999999999</v>
      </c>
      <c r="L218" s="7">
        <v>2</v>
      </c>
      <c r="M218" s="7">
        <v>75</v>
      </c>
      <c r="N218" s="7">
        <v>77</v>
      </c>
      <c r="O218" t="s">
        <v>29</v>
      </c>
      <c r="P218" t="s">
        <v>54</v>
      </c>
      <c r="Q218" t="s">
        <v>31</v>
      </c>
      <c r="R218" t="s">
        <v>42</v>
      </c>
      <c r="S218" t="s">
        <v>55</v>
      </c>
      <c r="T218" t="s">
        <v>49</v>
      </c>
      <c r="U218" t="s">
        <v>46</v>
      </c>
      <c r="V218" t="s">
        <v>36</v>
      </c>
      <c r="W218" t="s">
        <v>37</v>
      </c>
      <c r="X218" s="6">
        <v>2.5974025974025969</v>
      </c>
      <c r="Y218" s="6">
        <v>97.402597402597408</v>
      </c>
      <c r="Z218" t="s">
        <v>40</v>
      </c>
      <c r="AA218" t="s">
        <v>39</v>
      </c>
      <c r="AB218" t="s">
        <v>38</v>
      </c>
      <c r="AC218" s="8">
        <v>1.2000000000000071E-3</v>
      </c>
    </row>
    <row r="219" spans="1:29" x14ac:dyDescent="0.3">
      <c r="A219" s="7">
        <v>218</v>
      </c>
      <c r="B219" s="1">
        <v>40553</v>
      </c>
      <c r="C219" s="7">
        <v>1</v>
      </c>
      <c r="D219" s="7">
        <v>8</v>
      </c>
      <c r="E219" t="b">
        <v>0</v>
      </c>
      <c r="F219" s="7">
        <v>1</v>
      </c>
      <c r="G219" s="7">
        <v>2</v>
      </c>
      <c r="H219" s="6">
        <v>0.12</v>
      </c>
      <c r="I219" s="8">
        <v>0.1212</v>
      </c>
      <c r="J219" s="6">
        <v>0.5</v>
      </c>
      <c r="K219" s="8">
        <v>0.28360000000000002</v>
      </c>
      <c r="L219" s="7">
        <v>4</v>
      </c>
      <c r="M219" s="7">
        <v>184</v>
      </c>
      <c r="N219" s="7">
        <v>188</v>
      </c>
      <c r="O219" t="s">
        <v>29</v>
      </c>
      <c r="P219" t="s">
        <v>54</v>
      </c>
      <c r="Q219" t="s">
        <v>41</v>
      </c>
      <c r="R219" t="s">
        <v>42</v>
      </c>
      <c r="S219" t="s">
        <v>55</v>
      </c>
      <c r="T219" t="s">
        <v>49</v>
      </c>
      <c r="U219" t="s">
        <v>46</v>
      </c>
      <c r="V219" t="s">
        <v>36</v>
      </c>
      <c r="W219" t="s">
        <v>37</v>
      </c>
      <c r="X219" s="6">
        <v>2.1276595744680851</v>
      </c>
      <c r="Y219" s="6">
        <v>97.872340425531917</v>
      </c>
      <c r="Z219" t="s">
        <v>40</v>
      </c>
      <c r="AA219" t="s">
        <v>49</v>
      </c>
      <c r="AB219" t="s">
        <v>38</v>
      </c>
      <c r="AC219" s="8">
        <v>1.2000000000000071E-3</v>
      </c>
    </row>
    <row r="220" spans="1:29" x14ac:dyDescent="0.3">
      <c r="A220" s="7">
        <v>219</v>
      </c>
      <c r="B220" s="1">
        <v>40553</v>
      </c>
      <c r="C220" s="7">
        <v>1</v>
      </c>
      <c r="D220" s="7">
        <v>9</v>
      </c>
      <c r="E220" t="b">
        <v>0</v>
      </c>
      <c r="F220" s="7">
        <v>1</v>
      </c>
      <c r="G220" s="7">
        <v>2</v>
      </c>
      <c r="H220" s="6">
        <v>0.14000000000000001</v>
      </c>
      <c r="I220" s="8">
        <v>0.1212</v>
      </c>
      <c r="J220" s="6">
        <v>0.5</v>
      </c>
      <c r="K220" s="8">
        <v>0.25369999999999998</v>
      </c>
      <c r="L220" s="7">
        <v>2</v>
      </c>
      <c r="M220" s="7">
        <v>92</v>
      </c>
      <c r="N220" s="7">
        <v>94</v>
      </c>
      <c r="O220" t="s">
        <v>29</v>
      </c>
      <c r="P220" t="s">
        <v>54</v>
      </c>
      <c r="Q220" t="s">
        <v>41</v>
      </c>
      <c r="R220" t="s">
        <v>42</v>
      </c>
      <c r="S220" t="s">
        <v>55</v>
      </c>
      <c r="T220" t="s">
        <v>49</v>
      </c>
      <c r="U220" t="s">
        <v>46</v>
      </c>
      <c r="V220" t="s">
        <v>36</v>
      </c>
      <c r="W220" t="s">
        <v>37</v>
      </c>
      <c r="X220" s="6">
        <v>2.1276595744680851</v>
      </c>
      <c r="Y220" s="6">
        <v>97.872340425531917</v>
      </c>
      <c r="Z220" t="s">
        <v>40</v>
      </c>
      <c r="AA220" t="s">
        <v>39</v>
      </c>
      <c r="AB220" t="s">
        <v>38</v>
      </c>
      <c r="AC220" s="8">
        <v>-1.8800000000000011E-2</v>
      </c>
    </row>
    <row r="221" spans="1:29" x14ac:dyDescent="0.3">
      <c r="A221" s="7">
        <v>220</v>
      </c>
      <c r="B221" s="1">
        <v>40553</v>
      </c>
      <c r="C221" s="7">
        <v>1</v>
      </c>
      <c r="D221" s="7">
        <v>10</v>
      </c>
      <c r="E221" t="b">
        <v>0</v>
      </c>
      <c r="F221" s="7">
        <v>1</v>
      </c>
      <c r="G221" s="7">
        <v>2</v>
      </c>
      <c r="H221" s="6">
        <v>0.14000000000000001</v>
      </c>
      <c r="I221" s="8">
        <v>0.1212</v>
      </c>
      <c r="J221" s="6">
        <v>0.5</v>
      </c>
      <c r="K221" s="8">
        <v>0.29849999999999999</v>
      </c>
      <c r="L221" s="7">
        <v>0</v>
      </c>
      <c r="M221" s="7">
        <v>31</v>
      </c>
      <c r="N221" s="7">
        <v>31</v>
      </c>
      <c r="O221" t="s">
        <v>29</v>
      </c>
      <c r="P221" t="s">
        <v>54</v>
      </c>
      <c r="Q221" t="s">
        <v>41</v>
      </c>
      <c r="R221" t="s">
        <v>42</v>
      </c>
      <c r="S221" t="s">
        <v>55</v>
      </c>
      <c r="T221" t="s">
        <v>49</v>
      </c>
      <c r="U221" t="s">
        <v>46</v>
      </c>
      <c r="V221" t="s">
        <v>36</v>
      </c>
      <c r="W221" t="s">
        <v>37</v>
      </c>
      <c r="X221" s="6">
        <v>0</v>
      </c>
      <c r="Y221" s="6">
        <v>100</v>
      </c>
      <c r="Z221" t="s">
        <v>38</v>
      </c>
      <c r="AA221" t="s">
        <v>39</v>
      </c>
      <c r="AB221" t="s">
        <v>38</v>
      </c>
      <c r="AC221" s="8">
        <v>-1.8800000000000011E-2</v>
      </c>
    </row>
    <row r="222" spans="1:29" x14ac:dyDescent="0.3">
      <c r="A222" s="7">
        <v>221</v>
      </c>
      <c r="B222" s="1">
        <v>40553</v>
      </c>
      <c r="C222" s="7">
        <v>1</v>
      </c>
      <c r="D222" s="7">
        <v>11</v>
      </c>
      <c r="E222" t="b">
        <v>0</v>
      </c>
      <c r="F222" s="7">
        <v>1</v>
      </c>
      <c r="G222" s="7">
        <v>2</v>
      </c>
      <c r="H222" s="6">
        <v>0.16</v>
      </c>
      <c r="I222" s="8">
        <v>0.13639999999999999</v>
      </c>
      <c r="J222" s="6">
        <v>0.47</v>
      </c>
      <c r="K222" s="8">
        <v>0.28360000000000002</v>
      </c>
      <c r="L222" s="7">
        <v>2</v>
      </c>
      <c r="M222" s="7">
        <v>28</v>
      </c>
      <c r="N222" s="7">
        <v>30</v>
      </c>
      <c r="O222" t="s">
        <v>29</v>
      </c>
      <c r="P222" t="s">
        <v>54</v>
      </c>
      <c r="Q222" t="s">
        <v>41</v>
      </c>
      <c r="R222" t="s">
        <v>42</v>
      </c>
      <c r="S222" t="s">
        <v>33</v>
      </c>
      <c r="T222" t="s">
        <v>49</v>
      </c>
      <c r="U222" t="s">
        <v>46</v>
      </c>
      <c r="V222" t="s">
        <v>36</v>
      </c>
      <c r="W222" t="s">
        <v>37</v>
      </c>
      <c r="X222" s="6">
        <v>6.666666666666667</v>
      </c>
      <c r="Y222" s="6">
        <v>93.333333333333329</v>
      </c>
      <c r="Z222" t="s">
        <v>38</v>
      </c>
      <c r="AA222" t="s">
        <v>39</v>
      </c>
      <c r="AB222" t="s">
        <v>38</v>
      </c>
      <c r="AC222" s="8">
        <v>-2.360000000000001E-2</v>
      </c>
    </row>
    <row r="223" spans="1:29" x14ac:dyDescent="0.3">
      <c r="A223" s="7">
        <v>222</v>
      </c>
      <c r="B223" s="1">
        <v>40553</v>
      </c>
      <c r="C223" s="7">
        <v>1</v>
      </c>
      <c r="D223" s="7">
        <v>12</v>
      </c>
      <c r="E223" t="b">
        <v>0</v>
      </c>
      <c r="F223" s="7">
        <v>1</v>
      </c>
      <c r="G223" s="7">
        <v>2</v>
      </c>
      <c r="H223" s="6">
        <v>0.2</v>
      </c>
      <c r="I223" s="8">
        <v>0.18179999999999999</v>
      </c>
      <c r="J223" s="6">
        <v>0.4</v>
      </c>
      <c r="K223" s="8">
        <v>0.28360000000000002</v>
      </c>
      <c r="L223" s="7">
        <v>5</v>
      </c>
      <c r="M223" s="7">
        <v>47</v>
      </c>
      <c r="N223" s="7">
        <v>52</v>
      </c>
      <c r="O223" t="s">
        <v>29</v>
      </c>
      <c r="P223" t="s">
        <v>54</v>
      </c>
      <c r="Q223" t="s">
        <v>41</v>
      </c>
      <c r="R223" t="s">
        <v>47</v>
      </c>
      <c r="S223" t="s">
        <v>33</v>
      </c>
      <c r="T223" t="s">
        <v>49</v>
      </c>
      <c r="U223" t="s">
        <v>46</v>
      </c>
      <c r="V223" t="s">
        <v>36</v>
      </c>
      <c r="W223" t="s">
        <v>37</v>
      </c>
      <c r="X223" s="6">
        <v>9.6153846153846168</v>
      </c>
      <c r="Y223" s="6">
        <v>90.384615384615387</v>
      </c>
      <c r="Z223" t="s">
        <v>38</v>
      </c>
      <c r="AA223" t="s">
        <v>39</v>
      </c>
      <c r="AB223" t="s">
        <v>38</v>
      </c>
      <c r="AC223" s="8">
        <v>-1.8200000000000022E-2</v>
      </c>
    </row>
    <row r="224" spans="1:29" x14ac:dyDescent="0.3">
      <c r="A224" s="7">
        <v>223</v>
      </c>
      <c r="B224" s="1">
        <v>40553</v>
      </c>
      <c r="C224" s="7">
        <v>1</v>
      </c>
      <c r="D224" s="7">
        <v>13</v>
      </c>
      <c r="E224" t="b">
        <v>0</v>
      </c>
      <c r="F224" s="7">
        <v>1</v>
      </c>
      <c r="G224" s="7">
        <v>2</v>
      </c>
      <c r="H224" s="6">
        <v>0.2</v>
      </c>
      <c r="I224" s="8">
        <v>0.18179999999999999</v>
      </c>
      <c r="J224" s="6">
        <v>0.4</v>
      </c>
      <c r="K224" s="8">
        <v>0.28360000000000002</v>
      </c>
      <c r="L224" s="7">
        <v>4</v>
      </c>
      <c r="M224" s="7">
        <v>50</v>
      </c>
      <c r="N224" s="7">
        <v>54</v>
      </c>
      <c r="O224" t="s">
        <v>29</v>
      </c>
      <c r="P224" t="s">
        <v>54</v>
      </c>
      <c r="Q224" t="s">
        <v>41</v>
      </c>
      <c r="R224" t="s">
        <v>47</v>
      </c>
      <c r="S224" t="s">
        <v>33</v>
      </c>
      <c r="T224" t="s">
        <v>49</v>
      </c>
      <c r="U224" t="s">
        <v>46</v>
      </c>
      <c r="V224" t="s">
        <v>36</v>
      </c>
      <c r="W224" t="s">
        <v>37</v>
      </c>
      <c r="X224" s="6">
        <v>7.4074074074074074</v>
      </c>
      <c r="Y224" s="6">
        <v>92.592592592592595</v>
      </c>
      <c r="Z224" t="s">
        <v>38</v>
      </c>
      <c r="AA224" t="s">
        <v>39</v>
      </c>
      <c r="AB224" t="s">
        <v>38</v>
      </c>
      <c r="AC224" s="8">
        <v>-1.8200000000000022E-2</v>
      </c>
    </row>
    <row r="225" spans="1:29" x14ac:dyDescent="0.3">
      <c r="A225" s="7">
        <v>224</v>
      </c>
      <c r="B225" s="1">
        <v>40553</v>
      </c>
      <c r="C225" s="7">
        <v>1</v>
      </c>
      <c r="D225" s="7">
        <v>14</v>
      </c>
      <c r="E225" t="b">
        <v>0</v>
      </c>
      <c r="F225" s="7">
        <v>1</v>
      </c>
      <c r="G225" s="7">
        <v>2</v>
      </c>
      <c r="H225" s="6">
        <v>0.2</v>
      </c>
      <c r="I225" s="8">
        <v>0.19700000000000001</v>
      </c>
      <c r="J225" s="6">
        <v>0.4</v>
      </c>
      <c r="K225" s="8">
        <v>0.22389999999999999</v>
      </c>
      <c r="L225" s="7">
        <v>0</v>
      </c>
      <c r="M225" s="7">
        <v>47</v>
      </c>
      <c r="N225" s="7">
        <v>47</v>
      </c>
      <c r="O225" t="s">
        <v>29</v>
      </c>
      <c r="P225" t="s">
        <v>54</v>
      </c>
      <c r="Q225" t="s">
        <v>41</v>
      </c>
      <c r="R225" t="s">
        <v>47</v>
      </c>
      <c r="S225" t="s">
        <v>33</v>
      </c>
      <c r="T225" t="s">
        <v>49</v>
      </c>
      <c r="U225" t="s">
        <v>46</v>
      </c>
      <c r="V225" t="s">
        <v>36</v>
      </c>
      <c r="W225" t="s">
        <v>37</v>
      </c>
      <c r="X225" s="6">
        <v>0</v>
      </c>
      <c r="Y225" s="6">
        <v>100</v>
      </c>
      <c r="Z225" t="s">
        <v>38</v>
      </c>
      <c r="AA225" t="s">
        <v>39</v>
      </c>
      <c r="AB225" t="s">
        <v>38</v>
      </c>
      <c r="AC225" s="8">
        <v>-3.0000000000000031E-3</v>
      </c>
    </row>
    <row r="226" spans="1:29" x14ac:dyDescent="0.3">
      <c r="A226" s="7">
        <v>225</v>
      </c>
      <c r="B226" s="1">
        <v>40553</v>
      </c>
      <c r="C226" s="7">
        <v>1</v>
      </c>
      <c r="D226" s="7">
        <v>15</v>
      </c>
      <c r="E226" t="b">
        <v>0</v>
      </c>
      <c r="F226" s="7">
        <v>1</v>
      </c>
      <c r="G226" s="7">
        <v>2</v>
      </c>
      <c r="H226" s="6">
        <v>0.2</v>
      </c>
      <c r="I226" s="8">
        <v>0.19700000000000001</v>
      </c>
      <c r="J226" s="6">
        <v>0.4</v>
      </c>
      <c r="K226" s="8">
        <v>0.22389999999999999</v>
      </c>
      <c r="L226" s="7">
        <v>2</v>
      </c>
      <c r="M226" s="7">
        <v>43</v>
      </c>
      <c r="N226" s="7">
        <v>45</v>
      </c>
      <c r="O226" t="s">
        <v>29</v>
      </c>
      <c r="P226" t="s">
        <v>54</v>
      </c>
      <c r="Q226" t="s">
        <v>41</v>
      </c>
      <c r="R226" t="s">
        <v>47</v>
      </c>
      <c r="S226" t="s">
        <v>33</v>
      </c>
      <c r="T226" t="s">
        <v>49</v>
      </c>
      <c r="U226" t="s">
        <v>46</v>
      </c>
      <c r="V226" t="s">
        <v>36</v>
      </c>
      <c r="W226" t="s">
        <v>37</v>
      </c>
      <c r="X226" s="6">
        <v>4.4444444444444446</v>
      </c>
      <c r="Y226" s="6">
        <v>95.555555555555557</v>
      </c>
      <c r="Z226" t="s">
        <v>38</v>
      </c>
      <c r="AA226" t="s">
        <v>39</v>
      </c>
      <c r="AB226" t="s">
        <v>38</v>
      </c>
      <c r="AC226" s="8">
        <v>-3.0000000000000031E-3</v>
      </c>
    </row>
    <row r="227" spans="1:29" x14ac:dyDescent="0.3">
      <c r="A227" s="7">
        <v>226</v>
      </c>
      <c r="B227" s="1">
        <v>40553</v>
      </c>
      <c r="C227" s="7">
        <v>1</v>
      </c>
      <c r="D227" s="7">
        <v>16</v>
      </c>
      <c r="E227" t="b">
        <v>0</v>
      </c>
      <c r="F227" s="7">
        <v>1</v>
      </c>
      <c r="G227" s="7">
        <v>1</v>
      </c>
      <c r="H227" s="6">
        <v>0.2</v>
      </c>
      <c r="I227" s="8">
        <v>0.21210000000000001</v>
      </c>
      <c r="J227" s="6">
        <v>0.4</v>
      </c>
      <c r="K227" s="8">
        <v>0.1343</v>
      </c>
      <c r="L227" s="7">
        <v>4</v>
      </c>
      <c r="M227" s="7">
        <v>70</v>
      </c>
      <c r="N227" s="7">
        <v>74</v>
      </c>
      <c r="O227" t="s">
        <v>29</v>
      </c>
      <c r="P227" t="s">
        <v>54</v>
      </c>
      <c r="Q227" t="s">
        <v>31</v>
      </c>
      <c r="R227" t="s">
        <v>47</v>
      </c>
      <c r="S227" t="s">
        <v>33</v>
      </c>
      <c r="T227" t="s">
        <v>49</v>
      </c>
      <c r="U227" t="s">
        <v>35</v>
      </c>
      <c r="V227" t="s">
        <v>36</v>
      </c>
      <c r="W227" t="s">
        <v>37</v>
      </c>
      <c r="X227" s="6">
        <v>5.4054054054054053</v>
      </c>
      <c r="Y227" s="6">
        <v>94.594594594594597</v>
      </c>
      <c r="Z227" t="s">
        <v>38</v>
      </c>
      <c r="AA227" t="s">
        <v>39</v>
      </c>
      <c r="AB227" t="s">
        <v>38</v>
      </c>
      <c r="AC227" s="8">
        <v>1.21E-2</v>
      </c>
    </row>
    <row r="228" spans="1:29" x14ac:dyDescent="0.3">
      <c r="A228" s="7">
        <v>227</v>
      </c>
      <c r="B228" s="1">
        <v>40553</v>
      </c>
      <c r="C228" s="7">
        <v>1</v>
      </c>
      <c r="D228" s="7">
        <v>17</v>
      </c>
      <c r="E228" t="b">
        <v>0</v>
      </c>
      <c r="F228" s="7">
        <v>1</v>
      </c>
      <c r="G228" s="7">
        <v>1</v>
      </c>
      <c r="H228" s="6">
        <v>0.2</v>
      </c>
      <c r="I228" s="8">
        <v>0.2273</v>
      </c>
      <c r="J228" s="6">
        <v>0.4</v>
      </c>
      <c r="K228" s="8">
        <v>0.1045</v>
      </c>
      <c r="L228" s="7">
        <v>4</v>
      </c>
      <c r="M228" s="7">
        <v>174</v>
      </c>
      <c r="N228" s="7">
        <v>178</v>
      </c>
      <c r="O228" t="s">
        <v>29</v>
      </c>
      <c r="P228" t="s">
        <v>54</v>
      </c>
      <c r="Q228" t="s">
        <v>31</v>
      </c>
      <c r="R228" t="s">
        <v>50</v>
      </c>
      <c r="S228" t="s">
        <v>33</v>
      </c>
      <c r="T228" t="s">
        <v>49</v>
      </c>
      <c r="U228" t="s">
        <v>35</v>
      </c>
      <c r="V228" t="s">
        <v>36</v>
      </c>
      <c r="W228" t="s">
        <v>37</v>
      </c>
      <c r="X228" s="6">
        <v>2.2471910112359552</v>
      </c>
      <c r="Y228" s="6">
        <v>97.752808988764045</v>
      </c>
      <c r="Z228" t="s">
        <v>40</v>
      </c>
      <c r="AA228" t="s">
        <v>49</v>
      </c>
      <c r="AB228" t="s">
        <v>38</v>
      </c>
      <c r="AC228" s="8">
        <v>2.7299999999999991E-2</v>
      </c>
    </row>
    <row r="229" spans="1:29" x14ac:dyDescent="0.3">
      <c r="A229" s="7">
        <v>228</v>
      </c>
      <c r="B229" s="1">
        <v>40553</v>
      </c>
      <c r="C229" s="7">
        <v>1</v>
      </c>
      <c r="D229" s="7">
        <v>18</v>
      </c>
      <c r="E229" t="b">
        <v>0</v>
      </c>
      <c r="F229" s="7">
        <v>1</v>
      </c>
      <c r="G229" s="7">
        <v>1</v>
      </c>
      <c r="H229" s="6">
        <v>0.2</v>
      </c>
      <c r="I229" s="8">
        <v>0.19700000000000001</v>
      </c>
      <c r="J229" s="6">
        <v>0.4</v>
      </c>
      <c r="K229" s="8">
        <v>0.22389999999999999</v>
      </c>
      <c r="L229" s="7">
        <v>1</v>
      </c>
      <c r="M229" s="7">
        <v>154</v>
      </c>
      <c r="N229" s="7">
        <v>155</v>
      </c>
      <c r="O229" t="s">
        <v>29</v>
      </c>
      <c r="P229" t="s">
        <v>54</v>
      </c>
      <c r="Q229" t="s">
        <v>31</v>
      </c>
      <c r="R229" t="s">
        <v>50</v>
      </c>
      <c r="S229" t="s">
        <v>33</v>
      </c>
      <c r="T229" t="s">
        <v>49</v>
      </c>
      <c r="U229" t="s">
        <v>46</v>
      </c>
      <c r="V229" t="s">
        <v>36</v>
      </c>
      <c r="W229" t="s">
        <v>37</v>
      </c>
      <c r="X229" s="6">
        <v>0.64516129032258063</v>
      </c>
      <c r="Y229" s="6">
        <v>99.354838709677423</v>
      </c>
      <c r="Z229" t="s">
        <v>40</v>
      </c>
      <c r="AA229" t="s">
        <v>49</v>
      </c>
      <c r="AB229" t="s">
        <v>38</v>
      </c>
      <c r="AC229" s="8">
        <v>-3.0000000000000031E-3</v>
      </c>
    </row>
    <row r="230" spans="1:29" x14ac:dyDescent="0.3">
      <c r="A230" s="7">
        <v>229</v>
      </c>
      <c r="B230" s="1">
        <v>40553</v>
      </c>
      <c r="C230" s="7">
        <v>1</v>
      </c>
      <c r="D230" s="7">
        <v>19</v>
      </c>
      <c r="E230" t="b">
        <v>0</v>
      </c>
      <c r="F230" s="7">
        <v>1</v>
      </c>
      <c r="G230" s="7">
        <v>1</v>
      </c>
      <c r="H230" s="6">
        <v>0.16</v>
      </c>
      <c r="I230" s="8">
        <v>0.16669999999999999</v>
      </c>
      <c r="J230" s="6">
        <v>0.47</v>
      </c>
      <c r="K230" s="8">
        <v>0.16420000000000001</v>
      </c>
      <c r="L230" s="7">
        <v>3</v>
      </c>
      <c r="M230" s="7">
        <v>92</v>
      </c>
      <c r="N230" s="7">
        <v>95</v>
      </c>
      <c r="O230" t="s">
        <v>29</v>
      </c>
      <c r="P230" t="s">
        <v>54</v>
      </c>
      <c r="Q230" t="s">
        <v>31</v>
      </c>
      <c r="R230" t="s">
        <v>50</v>
      </c>
      <c r="S230" t="s">
        <v>33</v>
      </c>
      <c r="T230" t="s">
        <v>49</v>
      </c>
      <c r="U230" t="s">
        <v>46</v>
      </c>
      <c r="V230" t="s">
        <v>36</v>
      </c>
      <c r="W230" t="s">
        <v>37</v>
      </c>
      <c r="X230" s="6">
        <v>3.1578947368421049</v>
      </c>
      <c r="Y230" s="6">
        <v>96.84210526315789</v>
      </c>
      <c r="Z230" t="s">
        <v>40</v>
      </c>
      <c r="AA230" t="s">
        <v>39</v>
      </c>
      <c r="AB230" t="s">
        <v>38</v>
      </c>
      <c r="AC230" s="8">
        <v>6.6999999999999837E-3</v>
      </c>
    </row>
    <row r="231" spans="1:29" x14ac:dyDescent="0.3">
      <c r="A231" s="7">
        <v>230</v>
      </c>
      <c r="B231" s="1">
        <v>40553</v>
      </c>
      <c r="C231" s="7">
        <v>1</v>
      </c>
      <c r="D231" s="7">
        <v>20</v>
      </c>
      <c r="E231" t="b">
        <v>0</v>
      </c>
      <c r="F231" s="7">
        <v>1</v>
      </c>
      <c r="G231" s="7">
        <v>1</v>
      </c>
      <c r="H231" s="6">
        <v>0.16</v>
      </c>
      <c r="I231" s="8">
        <v>0.16669999999999999</v>
      </c>
      <c r="J231" s="6">
        <v>0.5</v>
      </c>
      <c r="K231" s="8">
        <v>0.16420000000000001</v>
      </c>
      <c r="L231" s="7">
        <v>1</v>
      </c>
      <c r="M231" s="7">
        <v>73</v>
      </c>
      <c r="N231" s="7">
        <v>74</v>
      </c>
      <c r="O231" t="s">
        <v>29</v>
      </c>
      <c r="P231" t="s">
        <v>54</v>
      </c>
      <c r="Q231" t="s">
        <v>31</v>
      </c>
      <c r="R231" t="s">
        <v>50</v>
      </c>
      <c r="S231" t="s">
        <v>33</v>
      </c>
      <c r="T231" t="s">
        <v>49</v>
      </c>
      <c r="U231" t="s">
        <v>46</v>
      </c>
      <c r="V231" t="s">
        <v>36</v>
      </c>
      <c r="W231" t="s">
        <v>37</v>
      </c>
      <c r="X231" s="6">
        <v>1.3513513513513511</v>
      </c>
      <c r="Y231" s="6">
        <v>98.648648648648646</v>
      </c>
      <c r="Z231" t="s">
        <v>38</v>
      </c>
      <c r="AA231" t="s">
        <v>39</v>
      </c>
      <c r="AB231" t="s">
        <v>38</v>
      </c>
      <c r="AC231" s="8">
        <v>6.6999999999999837E-3</v>
      </c>
    </row>
    <row r="232" spans="1:29" x14ac:dyDescent="0.3">
      <c r="A232" s="7">
        <v>231</v>
      </c>
      <c r="B232" s="1">
        <v>40553</v>
      </c>
      <c r="C232" s="7">
        <v>1</v>
      </c>
      <c r="D232" s="7">
        <v>21</v>
      </c>
      <c r="E232" t="b">
        <v>0</v>
      </c>
      <c r="F232" s="7">
        <v>1</v>
      </c>
      <c r="G232" s="7">
        <v>1</v>
      </c>
      <c r="H232" s="6">
        <v>0.14000000000000001</v>
      </c>
      <c r="I232" s="8">
        <v>0.13639999999999999</v>
      </c>
      <c r="J232" s="6">
        <v>0.59</v>
      </c>
      <c r="K232" s="8">
        <v>0.19400000000000001</v>
      </c>
      <c r="L232" s="7">
        <v>1</v>
      </c>
      <c r="M232" s="7">
        <v>37</v>
      </c>
      <c r="N232" s="7">
        <v>38</v>
      </c>
      <c r="O232" t="s">
        <v>29</v>
      </c>
      <c r="P232" t="s">
        <v>54</v>
      </c>
      <c r="Q232" t="s">
        <v>31</v>
      </c>
      <c r="R232" t="s">
        <v>32</v>
      </c>
      <c r="S232" t="s">
        <v>55</v>
      </c>
      <c r="T232" t="s">
        <v>49</v>
      </c>
      <c r="U232" t="s">
        <v>46</v>
      </c>
      <c r="V232" t="s">
        <v>36</v>
      </c>
      <c r="W232" t="s">
        <v>37</v>
      </c>
      <c r="X232" s="6">
        <v>2.6315789473684208</v>
      </c>
      <c r="Y232" s="6">
        <v>97.368421052631575</v>
      </c>
      <c r="Z232" t="s">
        <v>38</v>
      </c>
      <c r="AA232" t="s">
        <v>39</v>
      </c>
      <c r="AB232" t="s">
        <v>38</v>
      </c>
      <c r="AC232" s="8">
        <v>-3.6000000000000199E-3</v>
      </c>
    </row>
    <row r="233" spans="1:29" x14ac:dyDescent="0.3">
      <c r="A233" s="7">
        <v>232</v>
      </c>
      <c r="B233" s="1">
        <v>40553</v>
      </c>
      <c r="C233" s="7">
        <v>1</v>
      </c>
      <c r="D233" s="7">
        <v>22</v>
      </c>
      <c r="E233" t="b">
        <v>0</v>
      </c>
      <c r="F233" s="7">
        <v>1</v>
      </c>
      <c r="G233" s="7">
        <v>1</v>
      </c>
      <c r="H233" s="6">
        <v>0.14000000000000001</v>
      </c>
      <c r="I233" s="8">
        <v>0.1515</v>
      </c>
      <c r="J233" s="6">
        <v>0.59</v>
      </c>
      <c r="K233" s="8">
        <v>0.16420000000000001</v>
      </c>
      <c r="L233" s="7">
        <v>2</v>
      </c>
      <c r="M233" s="7">
        <v>22</v>
      </c>
      <c r="N233" s="7">
        <v>24</v>
      </c>
      <c r="O233" t="s">
        <v>29</v>
      </c>
      <c r="P233" t="s">
        <v>54</v>
      </c>
      <c r="Q233" t="s">
        <v>31</v>
      </c>
      <c r="R233" t="s">
        <v>32</v>
      </c>
      <c r="S233" t="s">
        <v>55</v>
      </c>
      <c r="T233" t="s">
        <v>49</v>
      </c>
      <c r="U233" t="s">
        <v>46</v>
      </c>
      <c r="V233" t="s">
        <v>36</v>
      </c>
      <c r="W233" t="s">
        <v>37</v>
      </c>
      <c r="X233" s="6">
        <v>8.3333333333333321</v>
      </c>
      <c r="Y233" s="6">
        <v>91.666666666666657</v>
      </c>
      <c r="Z233" t="s">
        <v>38</v>
      </c>
      <c r="AA233" t="s">
        <v>39</v>
      </c>
      <c r="AB233" t="s">
        <v>38</v>
      </c>
      <c r="AC233" s="8">
        <v>1.1499999999999981E-2</v>
      </c>
    </row>
    <row r="234" spans="1:29" x14ac:dyDescent="0.3">
      <c r="A234" s="7">
        <v>233</v>
      </c>
      <c r="B234" s="1">
        <v>40553</v>
      </c>
      <c r="C234" s="7">
        <v>1</v>
      </c>
      <c r="D234" s="7">
        <v>23</v>
      </c>
      <c r="E234" t="b">
        <v>0</v>
      </c>
      <c r="F234" s="7">
        <v>1</v>
      </c>
      <c r="G234" s="7">
        <v>1</v>
      </c>
      <c r="H234" s="6">
        <v>0.14000000000000001</v>
      </c>
      <c r="I234" s="8">
        <v>0.1515</v>
      </c>
      <c r="J234" s="6">
        <v>0.59</v>
      </c>
      <c r="K234" s="8">
        <v>0.16420000000000001</v>
      </c>
      <c r="L234" s="7">
        <v>0</v>
      </c>
      <c r="M234" s="7">
        <v>18</v>
      </c>
      <c r="N234" s="7">
        <v>18</v>
      </c>
      <c r="O234" t="s">
        <v>29</v>
      </c>
      <c r="P234" t="s">
        <v>54</v>
      </c>
      <c r="Q234" t="s">
        <v>31</v>
      </c>
      <c r="R234" t="s">
        <v>32</v>
      </c>
      <c r="S234" t="s">
        <v>55</v>
      </c>
      <c r="T234" t="s">
        <v>49</v>
      </c>
      <c r="U234" t="s">
        <v>46</v>
      </c>
      <c r="V234" t="s">
        <v>36</v>
      </c>
      <c r="W234" t="s">
        <v>37</v>
      </c>
      <c r="X234" s="6">
        <v>0</v>
      </c>
      <c r="Y234" s="6">
        <v>100</v>
      </c>
      <c r="Z234" t="s">
        <v>38</v>
      </c>
      <c r="AA234" t="s">
        <v>39</v>
      </c>
      <c r="AB234" t="s">
        <v>38</v>
      </c>
      <c r="AC234" s="8">
        <v>1.1499999999999981E-2</v>
      </c>
    </row>
    <row r="235" spans="1:29" x14ac:dyDescent="0.3">
      <c r="A235" s="7">
        <v>234</v>
      </c>
      <c r="B235" s="1">
        <v>40554</v>
      </c>
      <c r="C235" s="7">
        <v>1</v>
      </c>
      <c r="D235" s="7">
        <v>0</v>
      </c>
      <c r="E235" t="b">
        <v>0</v>
      </c>
      <c r="F235" s="7">
        <v>2</v>
      </c>
      <c r="G235" s="7">
        <v>1</v>
      </c>
      <c r="H235" s="6">
        <v>0.14000000000000001</v>
      </c>
      <c r="I235" s="8">
        <v>0.16669999999999999</v>
      </c>
      <c r="J235" s="6">
        <v>0.59</v>
      </c>
      <c r="K235" s="8">
        <v>0.1045</v>
      </c>
      <c r="L235" s="7">
        <v>2</v>
      </c>
      <c r="M235" s="7">
        <v>10</v>
      </c>
      <c r="N235" s="7">
        <v>12</v>
      </c>
      <c r="O235" t="s">
        <v>29</v>
      </c>
      <c r="P235" t="s">
        <v>56</v>
      </c>
      <c r="Q235" t="s">
        <v>31</v>
      </c>
      <c r="R235" t="s">
        <v>32</v>
      </c>
      <c r="S235" t="s">
        <v>55</v>
      </c>
      <c r="T235" t="s">
        <v>49</v>
      </c>
      <c r="U235" t="s">
        <v>35</v>
      </c>
      <c r="V235" t="s">
        <v>36</v>
      </c>
      <c r="W235" t="s">
        <v>37</v>
      </c>
      <c r="X235" s="6">
        <v>16.666666666666661</v>
      </c>
      <c r="Y235" s="6">
        <v>83.333333333333343</v>
      </c>
      <c r="Z235" t="s">
        <v>38</v>
      </c>
      <c r="AA235" t="s">
        <v>39</v>
      </c>
      <c r="AB235" t="s">
        <v>38</v>
      </c>
      <c r="AC235" s="8">
        <v>2.669999999999997E-2</v>
      </c>
    </row>
    <row r="236" spans="1:29" x14ac:dyDescent="0.3">
      <c r="A236" s="7">
        <v>235</v>
      </c>
      <c r="B236" s="1">
        <v>40554</v>
      </c>
      <c r="C236" s="7">
        <v>1</v>
      </c>
      <c r="D236" s="7">
        <v>1</v>
      </c>
      <c r="E236" t="b">
        <v>0</v>
      </c>
      <c r="F236" s="7">
        <v>2</v>
      </c>
      <c r="G236" s="7">
        <v>1</v>
      </c>
      <c r="H236" s="6">
        <v>0.14000000000000001</v>
      </c>
      <c r="I236" s="8">
        <v>0.1515</v>
      </c>
      <c r="J236" s="6">
        <v>0.59</v>
      </c>
      <c r="K236" s="8">
        <v>0.16420000000000001</v>
      </c>
      <c r="L236" s="7">
        <v>0</v>
      </c>
      <c r="M236" s="7">
        <v>3</v>
      </c>
      <c r="N236" s="7">
        <v>3</v>
      </c>
      <c r="O236" t="s">
        <v>29</v>
      </c>
      <c r="P236" t="s">
        <v>56</v>
      </c>
      <c r="Q236" t="s">
        <v>31</v>
      </c>
      <c r="R236" t="s">
        <v>32</v>
      </c>
      <c r="S236" t="s">
        <v>55</v>
      </c>
      <c r="T236" t="s">
        <v>49</v>
      </c>
      <c r="U236" t="s">
        <v>46</v>
      </c>
      <c r="V236" t="s">
        <v>36</v>
      </c>
      <c r="W236" t="s">
        <v>37</v>
      </c>
      <c r="X236" s="6">
        <v>0</v>
      </c>
      <c r="Y236" s="6">
        <v>100</v>
      </c>
      <c r="Z236" t="s">
        <v>38</v>
      </c>
      <c r="AA236" t="s">
        <v>39</v>
      </c>
      <c r="AB236" t="s">
        <v>38</v>
      </c>
      <c r="AC236" s="8">
        <v>1.1499999999999981E-2</v>
      </c>
    </row>
    <row r="237" spans="1:29" x14ac:dyDescent="0.3">
      <c r="A237" s="7">
        <v>236</v>
      </c>
      <c r="B237" s="1">
        <v>40554</v>
      </c>
      <c r="C237" s="7">
        <v>1</v>
      </c>
      <c r="D237" s="7">
        <v>2</v>
      </c>
      <c r="E237" t="b">
        <v>0</v>
      </c>
      <c r="F237" s="7">
        <v>2</v>
      </c>
      <c r="G237" s="7">
        <v>2</v>
      </c>
      <c r="H237" s="6">
        <v>0.16</v>
      </c>
      <c r="I237" s="8">
        <v>0.1515</v>
      </c>
      <c r="J237" s="6">
        <v>0.55000000000000004</v>
      </c>
      <c r="K237" s="8">
        <v>0.19400000000000001</v>
      </c>
      <c r="L237" s="7">
        <v>0</v>
      </c>
      <c r="M237" s="7">
        <v>3</v>
      </c>
      <c r="N237" s="7">
        <v>3</v>
      </c>
      <c r="O237" t="s">
        <v>29</v>
      </c>
      <c r="P237" t="s">
        <v>56</v>
      </c>
      <c r="Q237" t="s">
        <v>41</v>
      </c>
      <c r="R237" t="s">
        <v>32</v>
      </c>
      <c r="S237" t="s">
        <v>33</v>
      </c>
      <c r="T237" t="s">
        <v>49</v>
      </c>
      <c r="U237" t="s">
        <v>46</v>
      </c>
      <c r="V237" t="s">
        <v>36</v>
      </c>
      <c r="W237" t="s">
        <v>37</v>
      </c>
      <c r="X237" s="6">
        <v>0</v>
      </c>
      <c r="Y237" s="6">
        <v>100</v>
      </c>
      <c r="Z237" t="s">
        <v>38</v>
      </c>
      <c r="AA237" t="s">
        <v>39</v>
      </c>
      <c r="AB237" t="s">
        <v>38</v>
      </c>
      <c r="AC237" s="8">
        <v>-8.5000000000000075E-3</v>
      </c>
    </row>
    <row r="238" spans="1:29" x14ac:dyDescent="0.3">
      <c r="A238" s="7">
        <v>237</v>
      </c>
      <c r="B238" s="1">
        <v>40554</v>
      </c>
      <c r="C238" s="7">
        <v>1</v>
      </c>
      <c r="D238" s="7">
        <v>5</v>
      </c>
      <c r="E238" t="b">
        <v>0</v>
      </c>
      <c r="F238" s="7">
        <v>2</v>
      </c>
      <c r="G238" s="7">
        <v>2</v>
      </c>
      <c r="H238" s="6">
        <v>0.16</v>
      </c>
      <c r="I238" s="8">
        <v>0.18179999999999999</v>
      </c>
      <c r="J238" s="6">
        <v>0.55000000000000004</v>
      </c>
      <c r="K238" s="8">
        <v>0.1343</v>
      </c>
      <c r="L238" s="7">
        <v>0</v>
      </c>
      <c r="M238" s="7">
        <v>6</v>
      </c>
      <c r="N238" s="7">
        <v>6</v>
      </c>
      <c r="O238" t="s">
        <v>29</v>
      </c>
      <c r="P238" t="s">
        <v>56</v>
      </c>
      <c r="Q238" t="s">
        <v>41</v>
      </c>
      <c r="R238" t="s">
        <v>32</v>
      </c>
      <c r="S238" t="s">
        <v>33</v>
      </c>
      <c r="T238" t="s">
        <v>49</v>
      </c>
      <c r="U238" t="s">
        <v>35</v>
      </c>
      <c r="V238" t="s">
        <v>36</v>
      </c>
      <c r="W238" t="s">
        <v>37</v>
      </c>
      <c r="X238" s="6">
        <v>0</v>
      </c>
      <c r="Y238" s="6">
        <v>100</v>
      </c>
      <c r="Z238" t="s">
        <v>38</v>
      </c>
      <c r="AA238" t="s">
        <v>39</v>
      </c>
      <c r="AB238" t="s">
        <v>38</v>
      </c>
      <c r="AC238" s="8">
        <v>2.179999999999999E-2</v>
      </c>
    </row>
    <row r="239" spans="1:29" x14ac:dyDescent="0.3">
      <c r="A239" s="7">
        <v>238</v>
      </c>
      <c r="B239" s="1">
        <v>40554</v>
      </c>
      <c r="C239" s="7">
        <v>1</v>
      </c>
      <c r="D239" s="7">
        <v>6</v>
      </c>
      <c r="E239" t="b">
        <v>0</v>
      </c>
      <c r="F239" s="7">
        <v>2</v>
      </c>
      <c r="G239" s="7">
        <v>2</v>
      </c>
      <c r="H239" s="6">
        <v>0.16</v>
      </c>
      <c r="I239" s="8">
        <v>0.18179999999999999</v>
      </c>
      <c r="J239" s="6">
        <v>0.55000000000000004</v>
      </c>
      <c r="K239" s="8">
        <v>0.1343</v>
      </c>
      <c r="L239" s="7">
        <v>0</v>
      </c>
      <c r="M239" s="7">
        <v>27</v>
      </c>
      <c r="N239" s="7">
        <v>27</v>
      </c>
      <c r="O239" t="s">
        <v>29</v>
      </c>
      <c r="P239" t="s">
        <v>56</v>
      </c>
      <c r="Q239" t="s">
        <v>41</v>
      </c>
      <c r="R239" t="s">
        <v>42</v>
      </c>
      <c r="S239" t="s">
        <v>33</v>
      </c>
      <c r="T239" t="s">
        <v>49</v>
      </c>
      <c r="U239" t="s">
        <v>35</v>
      </c>
      <c r="V239" t="s">
        <v>36</v>
      </c>
      <c r="W239" t="s">
        <v>37</v>
      </c>
      <c r="X239" s="6">
        <v>0</v>
      </c>
      <c r="Y239" s="6">
        <v>100</v>
      </c>
      <c r="Z239" t="s">
        <v>38</v>
      </c>
      <c r="AA239" t="s">
        <v>39</v>
      </c>
      <c r="AB239" t="s">
        <v>38</v>
      </c>
      <c r="AC239" s="8">
        <v>2.179999999999999E-2</v>
      </c>
    </row>
    <row r="240" spans="1:29" x14ac:dyDescent="0.3">
      <c r="A240" s="7">
        <v>239</v>
      </c>
      <c r="B240" s="1">
        <v>40554</v>
      </c>
      <c r="C240" s="7">
        <v>1</v>
      </c>
      <c r="D240" s="7">
        <v>7</v>
      </c>
      <c r="E240" t="b">
        <v>0</v>
      </c>
      <c r="F240" s="7">
        <v>2</v>
      </c>
      <c r="G240" s="7">
        <v>2</v>
      </c>
      <c r="H240" s="6">
        <v>0.16</v>
      </c>
      <c r="I240" s="8">
        <v>0.2273</v>
      </c>
      <c r="J240" s="6">
        <v>0.55000000000000004</v>
      </c>
      <c r="K240" s="8">
        <v>0</v>
      </c>
      <c r="L240" s="7">
        <v>2</v>
      </c>
      <c r="M240" s="7">
        <v>97</v>
      </c>
      <c r="N240" s="7">
        <v>99</v>
      </c>
      <c r="O240" t="s">
        <v>29</v>
      </c>
      <c r="P240" t="s">
        <v>56</v>
      </c>
      <c r="Q240" t="s">
        <v>41</v>
      </c>
      <c r="R240" t="s">
        <v>42</v>
      </c>
      <c r="S240" t="s">
        <v>33</v>
      </c>
      <c r="T240" t="s">
        <v>49</v>
      </c>
      <c r="U240" t="s">
        <v>35</v>
      </c>
      <c r="V240" t="s">
        <v>36</v>
      </c>
      <c r="W240" t="s">
        <v>37</v>
      </c>
      <c r="X240" s="6">
        <v>2.0202020202020199</v>
      </c>
      <c r="Y240" s="6">
        <v>97.979797979797979</v>
      </c>
      <c r="Z240" t="s">
        <v>40</v>
      </c>
      <c r="AA240" t="s">
        <v>39</v>
      </c>
      <c r="AB240" t="s">
        <v>38</v>
      </c>
      <c r="AC240" s="8">
        <v>6.7299999999999999E-2</v>
      </c>
    </row>
    <row r="241" spans="1:29" x14ac:dyDescent="0.3">
      <c r="A241" s="7">
        <v>240</v>
      </c>
      <c r="B241" s="1">
        <v>40554</v>
      </c>
      <c r="C241" s="7">
        <v>1</v>
      </c>
      <c r="D241" s="7">
        <v>8</v>
      </c>
      <c r="E241" t="b">
        <v>0</v>
      </c>
      <c r="F241" s="7">
        <v>2</v>
      </c>
      <c r="G241" s="7">
        <v>2</v>
      </c>
      <c r="H241" s="6">
        <v>0.18</v>
      </c>
      <c r="I241" s="8">
        <v>0.21210000000000001</v>
      </c>
      <c r="J241" s="6">
        <v>0.51</v>
      </c>
      <c r="K241" s="8">
        <v>8.9599999999999999E-2</v>
      </c>
      <c r="L241" s="7">
        <v>3</v>
      </c>
      <c r="M241" s="7">
        <v>214</v>
      </c>
      <c r="N241" s="7">
        <v>217</v>
      </c>
      <c r="O241" t="s">
        <v>29</v>
      </c>
      <c r="P241" t="s">
        <v>56</v>
      </c>
      <c r="Q241" t="s">
        <v>41</v>
      </c>
      <c r="R241" t="s">
        <v>42</v>
      </c>
      <c r="S241" t="s">
        <v>33</v>
      </c>
      <c r="T241" t="s">
        <v>49</v>
      </c>
      <c r="U241" t="s">
        <v>35</v>
      </c>
      <c r="V241" t="s">
        <v>36</v>
      </c>
      <c r="W241" t="s">
        <v>37</v>
      </c>
      <c r="X241" s="6">
        <v>1.382488479262673</v>
      </c>
      <c r="Y241" s="6">
        <v>98.617511520737324</v>
      </c>
      <c r="Z241" t="s">
        <v>40</v>
      </c>
      <c r="AA241" t="s">
        <v>49</v>
      </c>
      <c r="AB241" t="s">
        <v>38</v>
      </c>
      <c r="AC241" s="8">
        <v>3.2100000000000017E-2</v>
      </c>
    </row>
    <row r="242" spans="1:29" x14ac:dyDescent="0.3">
      <c r="A242" s="7">
        <v>241</v>
      </c>
      <c r="B242" s="1">
        <v>40554</v>
      </c>
      <c r="C242" s="7">
        <v>1</v>
      </c>
      <c r="D242" s="7">
        <v>9</v>
      </c>
      <c r="E242" t="b">
        <v>0</v>
      </c>
      <c r="F242" s="7">
        <v>2</v>
      </c>
      <c r="G242" s="7">
        <v>2</v>
      </c>
      <c r="H242" s="6">
        <v>0.18</v>
      </c>
      <c r="I242" s="8">
        <v>0.19700000000000001</v>
      </c>
      <c r="J242" s="6">
        <v>0.51</v>
      </c>
      <c r="K242" s="8">
        <v>0.16420000000000001</v>
      </c>
      <c r="L242" s="7">
        <v>3</v>
      </c>
      <c r="M242" s="7">
        <v>127</v>
      </c>
      <c r="N242" s="7">
        <v>130</v>
      </c>
      <c r="O242" t="s">
        <v>29</v>
      </c>
      <c r="P242" t="s">
        <v>56</v>
      </c>
      <c r="Q242" t="s">
        <v>41</v>
      </c>
      <c r="R242" t="s">
        <v>42</v>
      </c>
      <c r="S242" t="s">
        <v>33</v>
      </c>
      <c r="T242" t="s">
        <v>49</v>
      </c>
      <c r="U242" t="s">
        <v>46</v>
      </c>
      <c r="V242" t="s">
        <v>36</v>
      </c>
      <c r="W242" t="s">
        <v>37</v>
      </c>
      <c r="X242" s="6">
        <v>2.3076923076923079</v>
      </c>
      <c r="Y242" s="6">
        <v>97.692307692307693</v>
      </c>
      <c r="Z242" t="s">
        <v>40</v>
      </c>
      <c r="AA242" t="s">
        <v>49</v>
      </c>
      <c r="AB242" t="s">
        <v>38</v>
      </c>
      <c r="AC242" s="8">
        <v>1.7000000000000019E-2</v>
      </c>
    </row>
    <row r="243" spans="1:29" x14ac:dyDescent="0.3">
      <c r="A243" s="7">
        <v>242</v>
      </c>
      <c r="B243" s="1">
        <v>40554</v>
      </c>
      <c r="C243" s="7">
        <v>1</v>
      </c>
      <c r="D243" s="7">
        <v>10</v>
      </c>
      <c r="E243" t="b">
        <v>0</v>
      </c>
      <c r="F243" s="7">
        <v>2</v>
      </c>
      <c r="G243" s="7">
        <v>2</v>
      </c>
      <c r="H243" s="6">
        <v>0.2</v>
      </c>
      <c r="I243" s="8">
        <v>0.21210000000000001</v>
      </c>
      <c r="J243" s="6">
        <v>0.51</v>
      </c>
      <c r="K243" s="8">
        <v>0.16420000000000001</v>
      </c>
      <c r="L243" s="7">
        <v>3</v>
      </c>
      <c r="M243" s="7">
        <v>51</v>
      </c>
      <c r="N243" s="7">
        <v>54</v>
      </c>
      <c r="O243" t="s">
        <v>29</v>
      </c>
      <c r="P243" t="s">
        <v>56</v>
      </c>
      <c r="Q243" t="s">
        <v>41</v>
      </c>
      <c r="R243" t="s">
        <v>42</v>
      </c>
      <c r="S243" t="s">
        <v>33</v>
      </c>
      <c r="T243" t="s">
        <v>49</v>
      </c>
      <c r="U243" t="s">
        <v>46</v>
      </c>
      <c r="V243" t="s">
        <v>36</v>
      </c>
      <c r="W243" t="s">
        <v>37</v>
      </c>
      <c r="X243" s="6">
        <v>5.5555555555555554</v>
      </c>
      <c r="Y243" s="6">
        <v>94.444444444444443</v>
      </c>
      <c r="Z243" t="s">
        <v>38</v>
      </c>
      <c r="AA243" t="s">
        <v>39</v>
      </c>
      <c r="AB243" t="s">
        <v>38</v>
      </c>
      <c r="AC243" s="8">
        <v>1.21E-2</v>
      </c>
    </row>
    <row r="244" spans="1:29" x14ac:dyDescent="0.3">
      <c r="A244" s="7">
        <v>243</v>
      </c>
      <c r="B244" s="1">
        <v>40554</v>
      </c>
      <c r="C244" s="7">
        <v>1</v>
      </c>
      <c r="D244" s="7">
        <v>11</v>
      </c>
      <c r="E244" t="b">
        <v>0</v>
      </c>
      <c r="F244" s="7">
        <v>2</v>
      </c>
      <c r="G244" s="7">
        <v>2</v>
      </c>
      <c r="H244" s="6">
        <v>0.2</v>
      </c>
      <c r="I244" s="8">
        <v>0.21210000000000001</v>
      </c>
      <c r="J244" s="6">
        <v>0.47</v>
      </c>
      <c r="K244" s="8">
        <v>0.1343</v>
      </c>
      <c r="L244" s="7">
        <v>4</v>
      </c>
      <c r="M244" s="7">
        <v>31</v>
      </c>
      <c r="N244" s="7">
        <v>35</v>
      </c>
      <c r="O244" t="s">
        <v>29</v>
      </c>
      <c r="P244" t="s">
        <v>56</v>
      </c>
      <c r="Q244" t="s">
        <v>41</v>
      </c>
      <c r="R244" t="s">
        <v>42</v>
      </c>
      <c r="S244" t="s">
        <v>33</v>
      </c>
      <c r="T244" t="s">
        <v>49</v>
      </c>
      <c r="U244" t="s">
        <v>35</v>
      </c>
      <c r="V244" t="s">
        <v>36</v>
      </c>
      <c r="W244" t="s">
        <v>37</v>
      </c>
      <c r="X244" s="6">
        <v>11.428571428571431</v>
      </c>
      <c r="Y244" s="6">
        <v>88.571428571428569</v>
      </c>
      <c r="Z244" t="s">
        <v>38</v>
      </c>
      <c r="AA244" t="s">
        <v>39</v>
      </c>
      <c r="AB244" t="s">
        <v>38</v>
      </c>
      <c r="AC244" s="8">
        <v>1.21E-2</v>
      </c>
    </row>
    <row r="245" spans="1:29" x14ac:dyDescent="0.3">
      <c r="A245" s="7">
        <v>244</v>
      </c>
      <c r="B245" s="1">
        <v>40554</v>
      </c>
      <c r="C245" s="7">
        <v>1</v>
      </c>
      <c r="D245" s="7">
        <v>12</v>
      </c>
      <c r="E245" t="b">
        <v>0</v>
      </c>
      <c r="F245" s="7">
        <v>2</v>
      </c>
      <c r="G245" s="7">
        <v>2</v>
      </c>
      <c r="H245" s="6">
        <v>0.2</v>
      </c>
      <c r="I245" s="8">
        <v>0.2273</v>
      </c>
      <c r="J245" s="6">
        <v>0.51</v>
      </c>
      <c r="K245" s="8">
        <v>0.1045</v>
      </c>
      <c r="L245" s="7">
        <v>2</v>
      </c>
      <c r="M245" s="7">
        <v>55</v>
      </c>
      <c r="N245" s="7">
        <v>57</v>
      </c>
      <c r="O245" t="s">
        <v>29</v>
      </c>
      <c r="P245" t="s">
        <v>56</v>
      </c>
      <c r="Q245" t="s">
        <v>41</v>
      </c>
      <c r="R245" t="s">
        <v>47</v>
      </c>
      <c r="S245" t="s">
        <v>33</v>
      </c>
      <c r="T245" t="s">
        <v>49</v>
      </c>
      <c r="U245" t="s">
        <v>35</v>
      </c>
      <c r="V245" t="s">
        <v>36</v>
      </c>
      <c r="W245" t="s">
        <v>37</v>
      </c>
      <c r="X245" s="6">
        <v>3.5087719298245612</v>
      </c>
      <c r="Y245" s="6">
        <v>96.491228070175438</v>
      </c>
      <c r="Z245" t="s">
        <v>38</v>
      </c>
      <c r="AA245" t="s">
        <v>39</v>
      </c>
      <c r="AB245" t="s">
        <v>38</v>
      </c>
      <c r="AC245" s="8">
        <v>2.7299999999999991E-2</v>
      </c>
    </row>
    <row r="246" spans="1:29" x14ac:dyDescent="0.3">
      <c r="A246" s="7">
        <v>245</v>
      </c>
      <c r="B246" s="1">
        <v>40554</v>
      </c>
      <c r="C246" s="7">
        <v>1</v>
      </c>
      <c r="D246" s="7">
        <v>13</v>
      </c>
      <c r="E246" t="b">
        <v>0</v>
      </c>
      <c r="F246" s="7">
        <v>2</v>
      </c>
      <c r="G246" s="7">
        <v>2</v>
      </c>
      <c r="H246" s="6">
        <v>0.2</v>
      </c>
      <c r="I246" s="8">
        <v>0.2273</v>
      </c>
      <c r="J246" s="6">
        <v>0.59</v>
      </c>
      <c r="K246" s="8">
        <v>8.9599999999999999E-2</v>
      </c>
      <c r="L246" s="7">
        <v>6</v>
      </c>
      <c r="M246" s="7">
        <v>46</v>
      </c>
      <c r="N246" s="7">
        <v>52</v>
      </c>
      <c r="O246" t="s">
        <v>29</v>
      </c>
      <c r="P246" t="s">
        <v>56</v>
      </c>
      <c r="Q246" t="s">
        <v>41</v>
      </c>
      <c r="R246" t="s">
        <v>47</v>
      </c>
      <c r="S246" t="s">
        <v>33</v>
      </c>
      <c r="T246" t="s">
        <v>49</v>
      </c>
      <c r="U246" t="s">
        <v>35</v>
      </c>
      <c r="V246" t="s">
        <v>36</v>
      </c>
      <c r="W246" t="s">
        <v>37</v>
      </c>
      <c r="X246" s="6">
        <v>11.53846153846154</v>
      </c>
      <c r="Y246" s="6">
        <v>88.461538461538453</v>
      </c>
      <c r="Z246" t="s">
        <v>38</v>
      </c>
      <c r="AA246" t="s">
        <v>39</v>
      </c>
      <c r="AB246" t="s">
        <v>38</v>
      </c>
      <c r="AC246" s="8">
        <v>2.7299999999999991E-2</v>
      </c>
    </row>
    <row r="247" spans="1:29" x14ac:dyDescent="0.3">
      <c r="A247" s="7">
        <v>246</v>
      </c>
      <c r="B247" s="1">
        <v>40554</v>
      </c>
      <c r="C247" s="7">
        <v>1</v>
      </c>
      <c r="D247" s="7">
        <v>14</v>
      </c>
      <c r="E247" t="b">
        <v>0</v>
      </c>
      <c r="F247" s="7">
        <v>2</v>
      </c>
      <c r="G247" s="7">
        <v>2</v>
      </c>
      <c r="H247" s="6">
        <v>0.2</v>
      </c>
      <c r="I247" s="8">
        <v>0.2273</v>
      </c>
      <c r="J247" s="6">
        <v>0.59</v>
      </c>
      <c r="K247" s="8">
        <v>8.9599999999999999E-2</v>
      </c>
      <c r="L247" s="7">
        <v>3</v>
      </c>
      <c r="M247" s="7">
        <v>60</v>
      </c>
      <c r="N247" s="7">
        <v>63</v>
      </c>
      <c r="O247" t="s">
        <v>29</v>
      </c>
      <c r="P247" t="s">
        <v>56</v>
      </c>
      <c r="Q247" t="s">
        <v>41</v>
      </c>
      <c r="R247" t="s">
        <v>47</v>
      </c>
      <c r="S247" t="s">
        <v>33</v>
      </c>
      <c r="T247" t="s">
        <v>49</v>
      </c>
      <c r="U247" t="s">
        <v>35</v>
      </c>
      <c r="V247" t="s">
        <v>36</v>
      </c>
      <c r="W247" t="s">
        <v>37</v>
      </c>
      <c r="X247" s="6">
        <v>4.7619047619047619</v>
      </c>
      <c r="Y247" s="6">
        <v>95.238095238095227</v>
      </c>
      <c r="Z247" t="s">
        <v>38</v>
      </c>
      <c r="AA247" t="s">
        <v>39</v>
      </c>
      <c r="AB247" t="s">
        <v>38</v>
      </c>
      <c r="AC247" s="8">
        <v>2.7299999999999991E-2</v>
      </c>
    </row>
    <row r="248" spans="1:29" x14ac:dyDescent="0.3">
      <c r="A248" s="7">
        <v>247</v>
      </c>
      <c r="B248" s="1">
        <v>40554</v>
      </c>
      <c r="C248" s="7">
        <v>1</v>
      </c>
      <c r="D248" s="7">
        <v>15</v>
      </c>
      <c r="E248" t="b">
        <v>0</v>
      </c>
      <c r="F248" s="7">
        <v>2</v>
      </c>
      <c r="G248" s="7">
        <v>2</v>
      </c>
      <c r="H248" s="6">
        <v>0.16</v>
      </c>
      <c r="I248" s="8">
        <v>0.19700000000000001</v>
      </c>
      <c r="J248" s="6">
        <v>0.8</v>
      </c>
      <c r="K248" s="8">
        <v>8.9599999999999999E-2</v>
      </c>
      <c r="L248" s="7">
        <v>2</v>
      </c>
      <c r="M248" s="7">
        <v>45</v>
      </c>
      <c r="N248" s="7">
        <v>47</v>
      </c>
      <c r="O248" t="s">
        <v>29</v>
      </c>
      <c r="P248" t="s">
        <v>56</v>
      </c>
      <c r="Q248" t="s">
        <v>41</v>
      </c>
      <c r="R248" t="s">
        <v>47</v>
      </c>
      <c r="S248" t="s">
        <v>33</v>
      </c>
      <c r="T248" t="s">
        <v>34</v>
      </c>
      <c r="U248" t="s">
        <v>35</v>
      </c>
      <c r="V248" t="s">
        <v>36</v>
      </c>
      <c r="W248" t="s">
        <v>37</v>
      </c>
      <c r="X248" s="6">
        <v>4.2553191489361701</v>
      </c>
      <c r="Y248" s="6">
        <v>95.744680851063833</v>
      </c>
      <c r="Z248" t="s">
        <v>38</v>
      </c>
      <c r="AA248" t="s">
        <v>39</v>
      </c>
      <c r="AB248" t="s">
        <v>38</v>
      </c>
      <c r="AC248" s="8">
        <v>3.7000000000000012E-2</v>
      </c>
    </row>
    <row r="249" spans="1:29" x14ac:dyDescent="0.3">
      <c r="A249" s="7">
        <v>248</v>
      </c>
      <c r="B249" s="1">
        <v>40554</v>
      </c>
      <c r="C249" s="7">
        <v>1</v>
      </c>
      <c r="D249" s="7">
        <v>16</v>
      </c>
      <c r="E249" t="b">
        <v>0</v>
      </c>
      <c r="F249" s="7">
        <v>2</v>
      </c>
      <c r="G249" s="7">
        <v>2</v>
      </c>
      <c r="H249" s="6">
        <v>0.16</v>
      </c>
      <c r="I249" s="8">
        <v>0.1515</v>
      </c>
      <c r="J249" s="6">
        <v>0.86</v>
      </c>
      <c r="K249" s="8">
        <v>0.22389999999999999</v>
      </c>
      <c r="L249" s="7">
        <v>4</v>
      </c>
      <c r="M249" s="7">
        <v>72</v>
      </c>
      <c r="N249" s="7">
        <v>76</v>
      </c>
      <c r="O249" t="s">
        <v>29</v>
      </c>
      <c r="P249" t="s">
        <v>56</v>
      </c>
      <c r="Q249" t="s">
        <v>41</v>
      </c>
      <c r="R249" t="s">
        <v>47</v>
      </c>
      <c r="S249" t="s">
        <v>33</v>
      </c>
      <c r="T249" t="s">
        <v>34</v>
      </c>
      <c r="U249" t="s">
        <v>46</v>
      </c>
      <c r="V249" t="s">
        <v>36</v>
      </c>
      <c r="W249" t="s">
        <v>37</v>
      </c>
      <c r="X249" s="6">
        <v>5.2631578947368416</v>
      </c>
      <c r="Y249" s="6">
        <v>94.73684210526315</v>
      </c>
      <c r="Z249" t="s">
        <v>38</v>
      </c>
      <c r="AA249" t="s">
        <v>39</v>
      </c>
      <c r="AB249" t="s">
        <v>38</v>
      </c>
      <c r="AC249" s="8">
        <v>-8.5000000000000075E-3</v>
      </c>
    </row>
    <row r="250" spans="1:29" x14ac:dyDescent="0.3">
      <c r="A250" s="7">
        <v>249</v>
      </c>
      <c r="B250" s="1">
        <v>40554</v>
      </c>
      <c r="C250" s="7">
        <v>1</v>
      </c>
      <c r="D250" s="7">
        <v>17</v>
      </c>
      <c r="E250" t="b">
        <v>0</v>
      </c>
      <c r="F250" s="7">
        <v>2</v>
      </c>
      <c r="G250" s="7">
        <v>2</v>
      </c>
      <c r="H250" s="6">
        <v>0.16</v>
      </c>
      <c r="I250" s="8">
        <v>0.1515</v>
      </c>
      <c r="J250" s="6">
        <v>0.86</v>
      </c>
      <c r="K250" s="8">
        <v>0.22389999999999999</v>
      </c>
      <c r="L250" s="7">
        <v>6</v>
      </c>
      <c r="M250" s="7">
        <v>130</v>
      </c>
      <c r="N250" s="7">
        <v>136</v>
      </c>
      <c r="O250" t="s">
        <v>29</v>
      </c>
      <c r="P250" t="s">
        <v>56</v>
      </c>
      <c r="Q250" t="s">
        <v>41</v>
      </c>
      <c r="R250" t="s">
        <v>50</v>
      </c>
      <c r="S250" t="s">
        <v>33</v>
      </c>
      <c r="T250" t="s">
        <v>34</v>
      </c>
      <c r="U250" t="s">
        <v>46</v>
      </c>
      <c r="V250" t="s">
        <v>36</v>
      </c>
      <c r="W250" t="s">
        <v>37</v>
      </c>
      <c r="X250" s="6">
        <v>4.4117647058823533</v>
      </c>
      <c r="Y250" s="6">
        <v>95.588235294117652</v>
      </c>
      <c r="Z250" t="s">
        <v>40</v>
      </c>
      <c r="AA250" t="s">
        <v>49</v>
      </c>
      <c r="AB250" t="s">
        <v>38</v>
      </c>
      <c r="AC250" s="8">
        <v>-8.5000000000000075E-3</v>
      </c>
    </row>
    <row r="251" spans="1:29" x14ac:dyDescent="0.3">
      <c r="A251" s="7">
        <v>250</v>
      </c>
      <c r="B251" s="1">
        <v>40554</v>
      </c>
      <c r="C251" s="7">
        <v>1</v>
      </c>
      <c r="D251" s="7">
        <v>18</v>
      </c>
      <c r="E251" t="b">
        <v>0</v>
      </c>
      <c r="F251" s="7">
        <v>2</v>
      </c>
      <c r="G251" s="7">
        <v>3</v>
      </c>
      <c r="H251" s="6">
        <v>0.16</v>
      </c>
      <c r="I251" s="8">
        <v>0.18179999999999999</v>
      </c>
      <c r="J251" s="6">
        <v>0.93</v>
      </c>
      <c r="K251" s="8">
        <v>0.1045</v>
      </c>
      <c r="L251" s="7">
        <v>1</v>
      </c>
      <c r="M251" s="7">
        <v>94</v>
      </c>
      <c r="N251" s="7">
        <v>95</v>
      </c>
      <c r="O251" t="s">
        <v>29</v>
      </c>
      <c r="P251" t="s">
        <v>56</v>
      </c>
      <c r="Q251" t="s">
        <v>51</v>
      </c>
      <c r="R251" t="s">
        <v>50</v>
      </c>
      <c r="S251" t="s">
        <v>33</v>
      </c>
      <c r="T251" t="s">
        <v>34</v>
      </c>
      <c r="U251" t="s">
        <v>35</v>
      </c>
      <c r="V251" t="s">
        <v>36</v>
      </c>
      <c r="W251" t="s">
        <v>37</v>
      </c>
      <c r="X251" s="6">
        <v>1.0526315789473679</v>
      </c>
      <c r="Y251" s="6">
        <v>98.94736842105263</v>
      </c>
      <c r="Z251" t="s">
        <v>40</v>
      </c>
      <c r="AA251" t="s">
        <v>39</v>
      </c>
      <c r="AB251" t="s">
        <v>38</v>
      </c>
      <c r="AC251" s="8">
        <v>2.179999999999999E-2</v>
      </c>
    </row>
    <row r="252" spans="1:29" x14ac:dyDescent="0.3">
      <c r="A252" s="7">
        <v>251</v>
      </c>
      <c r="B252" s="1">
        <v>40554</v>
      </c>
      <c r="C252" s="7">
        <v>1</v>
      </c>
      <c r="D252" s="7">
        <v>19</v>
      </c>
      <c r="E252" t="b">
        <v>0</v>
      </c>
      <c r="F252" s="7">
        <v>2</v>
      </c>
      <c r="G252" s="7">
        <v>3</v>
      </c>
      <c r="H252" s="6">
        <v>0.16</v>
      </c>
      <c r="I252" s="8">
        <v>0.2273</v>
      </c>
      <c r="J252" s="6">
        <v>0.93</v>
      </c>
      <c r="K252" s="8">
        <v>0</v>
      </c>
      <c r="L252" s="7">
        <v>0</v>
      </c>
      <c r="M252" s="7">
        <v>51</v>
      </c>
      <c r="N252" s="7">
        <v>51</v>
      </c>
      <c r="O252" t="s">
        <v>29</v>
      </c>
      <c r="P252" t="s">
        <v>56</v>
      </c>
      <c r="Q252" t="s">
        <v>51</v>
      </c>
      <c r="R252" t="s">
        <v>50</v>
      </c>
      <c r="S252" t="s">
        <v>33</v>
      </c>
      <c r="T252" t="s">
        <v>34</v>
      </c>
      <c r="U252" t="s">
        <v>35</v>
      </c>
      <c r="V252" t="s">
        <v>36</v>
      </c>
      <c r="W252" t="s">
        <v>37</v>
      </c>
      <c r="X252" s="6">
        <v>0</v>
      </c>
      <c r="Y252" s="6">
        <v>100</v>
      </c>
      <c r="Z252" t="s">
        <v>40</v>
      </c>
      <c r="AA252" t="s">
        <v>39</v>
      </c>
      <c r="AB252" t="s">
        <v>38</v>
      </c>
      <c r="AC252" s="8">
        <v>6.7299999999999999E-2</v>
      </c>
    </row>
    <row r="253" spans="1:29" x14ac:dyDescent="0.3">
      <c r="A253" s="7">
        <v>252</v>
      </c>
      <c r="B253" s="1">
        <v>40554</v>
      </c>
      <c r="C253" s="7">
        <v>1</v>
      </c>
      <c r="D253" s="7">
        <v>20</v>
      </c>
      <c r="E253" t="b">
        <v>0</v>
      </c>
      <c r="F253" s="7">
        <v>2</v>
      </c>
      <c r="G253" s="7">
        <v>3</v>
      </c>
      <c r="H253" s="6">
        <v>0.16</v>
      </c>
      <c r="I253" s="8">
        <v>0.1515</v>
      </c>
      <c r="J253" s="6">
        <v>0.93</v>
      </c>
      <c r="K253" s="8">
        <v>0.19400000000000001</v>
      </c>
      <c r="L253" s="7">
        <v>0</v>
      </c>
      <c r="M253" s="7">
        <v>32</v>
      </c>
      <c r="N253" s="7">
        <v>32</v>
      </c>
      <c r="O253" t="s">
        <v>29</v>
      </c>
      <c r="P253" t="s">
        <v>56</v>
      </c>
      <c r="Q253" t="s">
        <v>51</v>
      </c>
      <c r="R253" t="s">
        <v>50</v>
      </c>
      <c r="S253" t="s">
        <v>33</v>
      </c>
      <c r="T253" t="s">
        <v>34</v>
      </c>
      <c r="U253" t="s">
        <v>46</v>
      </c>
      <c r="V253" t="s">
        <v>36</v>
      </c>
      <c r="W253" t="s">
        <v>37</v>
      </c>
      <c r="X253" s="6">
        <v>0</v>
      </c>
      <c r="Y253" s="6">
        <v>100</v>
      </c>
      <c r="Z253" t="s">
        <v>38</v>
      </c>
      <c r="AA253" t="s">
        <v>39</v>
      </c>
      <c r="AB253" t="s">
        <v>38</v>
      </c>
      <c r="AC253" s="8">
        <v>-8.5000000000000075E-3</v>
      </c>
    </row>
    <row r="254" spans="1:29" x14ac:dyDescent="0.3">
      <c r="A254" s="7">
        <v>253</v>
      </c>
      <c r="B254" s="1">
        <v>40554</v>
      </c>
      <c r="C254" s="7">
        <v>1</v>
      </c>
      <c r="D254" s="7">
        <v>21</v>
      </c>
      <c r="E254" t="b">
        <v>0</v>
      </c>
      <c r="F254" s="7">
        <v>2</v>
      </c>
      <c r="G254" s="7">
        <v>3</v>
      </c>
      <c r="H254" s="6">
        <v>0.16</v>
      </c>
      <c r="I254" s="8">
        <v>0.19700000000000001</v>
      </c>
      <c r="J254" s="6">
        <v>0.86</v>
      </c>
      <c r="K254" s="8">
        <v>8.9599999999999999E-2</v>
      </c>
      <c r="L254" s="7">
        <v>0</v>
      </c>
      <c r="M254" s="7">
        <v>20</v>
      </c>
      <c r="N254" s="7">
        <v>20</v>
      </c>
      <c r="O254" t="s">
        <v>29</v>
      </c>
      <c r="P254" t="s">
        <v>56</v>
      </c>
      <c r="Q254" t="s">
        <v>51</v>
      </c>
      <c r="R254" t="s">
        <v>32</v>
      </c>
      <c r="S254" t="s">
        <v>33</v>
      </c>
      <c r="T254" t="s">
        <v>34</v>
      </c>
      <c r="U254" t="s">
        <v>35</v>
      </c>
      <c r="V254" t="s">
        <v>36</v>
      </c>
      <c r="W254" t="s">
        <v>37</v>
      </c>
      <c r="X254" s="6">
        <v>0</v>
      </c>
      <c r="Y254" s="6">
        <v>100</v>
      </c>
      <c r="Z254" t="s">
        <v>38</v>
      </c>
      <c r="AA254" t="s">
        <v>39</v>
      </c>
      <c r="AB254" t="s">
        <v>38</v>
      </c>
      <c r="AC254" s="8">
        <v>3.7000000000000012E-2</v>
      </c>
    </row>
    <row r="255" spans="1:29" x14ac:dyDescent="0.3">
      <c r="A255" s="7">
        <v>254</v>
      </c>
      <c r="B255" s="1">
        <v>40554</v>
      </c>
      <c r="C255" s="7">
        <v>1</v>
      </c>
      <c r="D255" s="7">
        <v>22</v>
      </c>
      <c r="E255" t="b">
        <v>0</v>
      </c>
      <c r="F255" s="7">
        <v>2</v>
      </c>
      <c r="G255" s="7">
        <v>3</v>
      </c>
      <c r="H255" s="6">
        <v>0.16</v>
      </c>
      <c r="I255" s="8">
        <v>0.18179999999999999</v>
      </c>
      <c r="J255" s="6">
        <v>0.93</v>
      </c>
      <c r="K255" s="8">
        <v>0.1045</v>
      </c>
      <c r="L255" s="7">
        <v>1</v>
      </c>
      <c r="M255" s="7">
        <v>28</v>
      </c>
      <c r="N255" s="7">
        <v>29</v>
      </c>
      <c r="O255" t="s">
        <v>29</v>
      </c>
      <c r="P255" t="s">
        <v>56</v>
      </c>
      <c r="Q255" t="s">
        <v>51</v>
      </c>
      <c r="R255" t="s">
        <v>32</v>
      </c>
      <c r="S255" t="s">
        <v>33</v>
      </c>
      <c r="T255" t="s">
        <v>34</v>
      </c>
      <c r="U255" t="s">
        <v>35</v>
      </c>
      <c r="V255" t="s">
        <v>36</v>
      </c>
      <c r="W255" t="s">
        <v>37</v>
      </c>
      <c r="X255" s="6">
        <v>3.4482758620689649</v>
      </c>
      <c r="Y255" s="6">
        <v>96.551724137931032</v>
      </c>
      <c r="Z255" t="s">
        <v>38</v>
      </c>
      <c r="AA255" t="s">
        <v>39</v>
      </c>
      <c r="AB255" t="s">
        <v>38</v>
      </c>
      <c r="AC255" s="8">
        <v>2.179999999999999E-2</v>
      </c>
    </row>
    <row r="256" spans="1:29" x14ac:dyDescent="0.3">
      <c r="A256" s="7">
        <v>255</v>
      </c>
      <c r="B256" s="1">
        <v>40554</v>
      </c>
      <c r="C256" s="7">
        <v>1</v>
      </c>
      <c r="D256" s="7">
        <v>23</v>
      </c>
      <c r="E256" t="b">
        <v>0</v>
      </c>
      <c r="F256" s="7">
        <v>2</v>
      </c>
      <c r="G256" s="7">
        <v>3</v>
      </c>
      <c r="H256" s="6">
        <v>0.16</v>
      </c>
      <c r="I256" s="8">
        <v>0.19700000000000001</v>
      </c>
      <c r="J256" s="6">
        <v>0.93</v>
      </c>
      <c r="K256" s="8">
        <v>8.9599999999999999E-2</v>
      </c>
      <c r="L256" s="7">
        <v>1</v>
      </c>
      <c r="M256" s="7">
        <v>18</v>
      </c>
      <c r="N256" s="7">
        <v>19</v>
      </c>
      <c r="O256" t="s">
        <v>29</v>
      </c>
      <c r="P256" t="s">
        <v>56</v>
      </c>
      <c r="Q256" t="s">
        <v>51</v>
      </c>
      <c r="R256" t="s">
        <v>32</v>
      </c>
      <c r="S256" t="s">
        <v>33</v>
      </c>
      <c r="T256" t="s">
        <v>34</v>
      </c>
      <c r="U256" t="s">
        <v>35</v>
      </c>
      <c r="V256" t="s">
        <v>36</v>
      </c>
      <c r="W256" t="s">
        <v>37</v>
      </c>
      <c r="X256" s="6">
        <v>5.2631578947368416</v>
      </c>
      <c r="Y256" s="6">
        <v>94.73684210526315</v>
      </c>
      <c r="Z256" t="s">
        <v>38</v>
      </c>
      <c r="AA256" t="s">
        <v>39</v>
      </c>
      <c r="AB256" t="s">
        <v>38</v>
      </c>
      <c r="AC256" s="8">
        <v>3.7000000000000012E-2</v>
      </c>
    </row>
    <row r="257" spans="1:29" x14ac:dyDescent="0.3">
      <c r="A257" s="7">
        <v>256</v>
      </c>
      <c r="B257" s="1">
        <v>40555</v>
      </c>
      <c r="C257" s="7">
        <v>1</v>
      </c>
      <c r="D257" s="7">
        <v>0</v>
      </c>
      <c r="E257" t="b">
        <v>0</v>
      </c>
      <c r="F257" s="7">
        <v>3</v>
      </c>
      <c r="G257" s="7">
        <v>2</v>
      </c>
      <c r="H257" s="6">
        <v>0.16</v>
      </c>
      <c r="I257" s="8">
        <v>0.19700000000000001</v>
      </c>
      <c r="J257" s="6">
        <v>0.86</v>
      </c>
      <c r="K257" s="8">
        <v>8.9599999999999999E-2</v>
      </c>
      <c r="L257" s="7">
        <v>0</v>
      </c>
      <c r="M257" s="7">
        <v>7</v>
      </c>
      <c r="N257" s="7">
        <v>7</v>
      </c>
      <c r="O257" t="s">
        <v>29</v>
      </c>
      <c r="P257" t="s">
        <v>57</v>
      </c>
      <c r="Q257" t="s">
        <v>41</v>
      </c>
      <c r="R257" t="s">
        <v>32</v>
      </c>
      <c r="S257" t="s">
        <v>33</v>
      </c>
      <c r="T257" t="s">
        <v>34</v>
      </c>
      <c r="U257" t="s">
        <v>35</v>
      </c>
      <c r="V257" t="s">
        <v>36</v>
      </c>
      <c r="W257" t="s">
        <v>37</v>
      </c>
      <c r="X257" s="6">
        <v>0</v>
      </c>
      <c r="Y257" s="6">
        <v>100</v>
      </c>
      <c r="Z257" t="s">
        <v>38</v>
      </c>
      <c r="AA257" t="s">
        <v>39</v>
      </c>
      <c r="AB257" t="s">
        <v>38</v>
      </c>
      <c r="AC257" s="8">
        <v>3.7000000000000012E-2</v>
      </c>
    </row>
    <row r="258" spans="1:29" x14ac:dyDescent="0.3">
      <c r="A258" s="7">
        <v>257</v>
      </c>
      <c r="B258" s="1">
        <v>40555</v>
      </c>
      <c r="C258" s="7">
        <v>1</v>
      </c>
      <c r="D258" s="7">
        <v>1</v>
      </c>
      <c r="E258" t="b">
        <v>0</v>
      </c>
      <c r="F258" s="7">
        <v>3</v>
      </c>
      <c r="G258" s="7">
        <v>2</v>
      </c>
      <c r="H258" s="6">
        <v>0.16</v>
      </c>
      <c r="I258" s="8">
        <v>0.18179999999999999</v>
      </c>
      <c r="J258" s="6">
        <v>0.86</v>
      </c>
      <c r="K258" s="8">
        <v>0.1045</v>
      </c>
      <c r="L258" s="7">
        <v>0</v>
      </c>
      <c r="M258" s="7">
        <v>6</v>
      </c>
      <c r="N258" s="7">
        <v>6</v>
      </c>
      <c r="O258" t="s">
        <v>29</v>
      </c>
      <c r="P258" t="s">
        <v>57</v>
      </c>
      <c r="Q258" t="s">
        <v>41</v>
      </c>
      <c r="R258" t="s">
        <v>32</v>
      </c>
      <c r="S258" t="s">
        <v>33</v>
      </c>
      <c r="T258" t="s">
        <v>34</v>
      </c>
      <c r="U258" t="s">
        <v>35</v>
      </c>
      <c r="V258" t="s">
        <v>36</v>
      </c>
      <c r="W258" t="s">
        <v>37</v>
      </c>
      <c r="X258" s="6">
        <v>0</v>
      </c>
      <c r="Y258" s="6">
        <v>100</v>
      </c>
      <c r="Z258" t="s">
        <v>38</v>
      </c>
      <c r="AA258" t="s">
        <v>39</v>
      </c>
      <c r="AB258" t="s">
        <v>38</v>
      </c>
      <c r="AC258" s="8">
        <v>2.179999999999999E-2</v>
      </c>
    </row>
    <row r="259" spans="1:29" x14ac:dyDescent="0.3">
      <c r="A259" s="7">
        <v>258</v>
      </c>
      <c r="B259" s="1">
        <v>40555</v>
      </c>
      <c r="C259" s="7">
        <v>1</v>
      </c>
      <c r="D259" s="7">
        <v>2</v>
      </c>
      <c r="E259" t="b">
        <v>0</v>
      </c>
      <c r="F259" s="7">
        <v>3</v>
      </c>
      <c r="G259" s="7">
        <v>1</v>
      </c>
      <c r="H259" s="6">
        <v>0.14000000000000001</v>
      </c>
      <c r="I259" s="8">
        <v>0.1515</v>
      </c>
      <c r="J259" s="6">
        <v>0.86</v>
      </c>
      <c r="K259" s="8">
        <v>0.1343</v>
      </c>
      <c r="L259" s="7">
        <v>0</v>
      </c>
      <c r="M259" s="7">
        <v>1</v>
      </c>
      <c r="N259" s="7">
        <v>1</v>
      </c>
      <c r="O259" t="s">
        <v>29</v>
      </c>
      <c r="P259" t="s">
        <v>57</v>
      </c>
      <c r="Q259" t="s">
        <v>31</v>
      </c>
      <c r="R259" t="s">
        <v>32</v>
      </c>
      <c r="S259" t="s">
        <v>55</v>
      </c>
      <c r="T259" t="s">
        <v>34</v>
      </c>
      <c r="U259" t="s">
        <v>35</v>
      </c>
      <c r="V259" t="s">
        <v>36</v>
      </c>
      <c r="W259" t="s">
        <v>37</v>
      </c>
      <c r="X259" s="6">
        <v>0</v>
      </c>
      <c r="Y259" s="6">
        <v>100</v>
      </c>
      <c r="Z259" t="s">
        <v>38</v>
      </c>
      <c r="AA259" t="s">
        <v>39</v>
      </c>
      <c r="AB259" t="s">
        <v>38</v>
      </c>
      <c r="AC259" s="8">
        <v>1.1499999999999981E-2</v>
      </c>
    </row>
    <row r="260" spans="1:29" x14ac:dyDescent="0.3">
      <c r="A260" s="7">
        <v>259</v>
      </c>
      <c r="B260" s="1">
        <v>40555</v>
      </c>
      <c r="C260" s="7">
        <v>1</v>
      </c>
      <c r="D260" s="7">
        <v>5</v>
      </c>
      <c r="E260" t="b">
        <v>0</v>
      </c>
      <c r="F260" s="7">
        <v>3</v>
      </c>
      <c r="G260" s="7">
        <v>1</v>
      </c>
      <c r="H260" s="6">
        <v>0.14000000000000001</v>
      </c>
      <c r="I260" s="8">
        <v>0.1515</v>
      </c>
      <c r="J260" s="6">
        <v>0.86</v>
      </c>
      <c r="K260" s="8">
        <v>0.16420000000000001</v>
      </c>
      <c r="L260" s="7">
        <v>0</v>
      </c>
      <c r="M260" s="7">
        <v>5</v>
      </c>
      <c r="N260" s="7">
        <v>5</v>
      </c>
      <c r="O260" t="s">
        <v>29</v>
      </c>
      <c r="P260" t="s">
        <v>57</v>
      </c>
      <c r="Q260" t="s">
        <v>31</v>
      </c>
      <c r="R260" t="s">
        <v>32</v>
      </c>
      <c r="S260" t="s">
        <v>55</v>
      </c>
      <c r="T260" t="s">
        <v>34</v>
      </c>
      <c r="U260" t="s">
        <v>46</v>
      </c>
      <c r="V260" t="s">
        <v>36</v>
      </c>
      <c r="W260" t="s">
        <v>37</v>
      </c>
      <c r="X260" s="6">
        <v>0</v>
      </c>
      <c r="Y260" s="6">
        <v>100</v>
      </c>
      <c r="Z260" t="s">
        <v>38</v>
      </c>
      <c r="AA260" t="s">
        <v>39</v>
      </c>
      <c r="AB260" t="s">
        <v>38</v>
      </c>
      <c r="AC260" s="8">
        <v>1.1499999999999981E-2</v>
      </c>
    </row>
    <row r="261" spans="1:29" x14ac:dyDescent="0.3">
      <c r="A261" s="7">
        <v>260</v>
      </c>
      <c r="B261" s="1">
        <v>40555</v>
      </c>
      <c r="C261" s="7">
        <v>1</v>
      </c>
      <c r="D261" s="7">
        <v>6</v>
      </c>
      <c r="E261" t="b">
        <v>0</v>
      </c>
      <c r="F261" s="7">
        <v>3</v>
      </c>
      <c r="G261" s="7">
        <v>1</v>
      </c>
      <c r="H261" s="6">
        <v>0.12</v>
      </c>
      <c r="I261" s="8">
        <v>0.1515</v>
      </c>
      <c r="J261" s="6">
        <v>0.93</v>
      </c>
      <c r="K261" s="8">
        <v>0.1343</v>
      </c>
      <c r="L261" s="7">
        <v>0</v>
      </c>
      <c r="M261" s="7">
        <v>16</v>
      </c>
      <c r="N261" s="7">
        <v>16</v>
      </c>
      <c r="O261" t="s">
        <v>29</v>
      </c>
      <c r="P261" t="s">
        <v>57</v>
      </c>
      <c r="Q261" t="s">
        <v>31</v>
      </c>
      <c r="R261" t="s">
        <v>42</v>
      </c>
      <c r="S261" t="s">
        <v>55</v>
      </c>
      <c r="T261" t="s">
        <v>34</v>
      </c>
      <c r="U261" t="s">
        <v>35</v>
      </c>
      <c r="V261" t="s">
        <v>36</v>
      </c>
      <c r="W261" t="s">
        <v>37</v>
      </c>
      <c r="X261" s="6">
        <v>0</v>
      </c>
      <c r="Y261" s="6">
        <v>100</v>
      </c>
      <c r="Z261" t="s">
        <v>38</v>
      </c>
      <c r="AA261" t="s">
        <v>39</v>
      </c>
      <c r="AB261" t="s">
        <v>38</v>
      </c>
      <c r="AC261" s="8">
        <v>3.15E-2</v>
      </c>
    </row>
    <row r="262" spans="1:29" x14ac:dyDescent="0.3">
      <c r="A262" s="7">
        <v>261</v>
      </c>
      <c r="B262" s="1">
        <v>40555</v>
      </c>
      <c r="C262" s="7">
        <v>1</v>
      </c>
      <c r="D262" s="7">
        <v>7</v>
      </c>
      <c r="E262" t="b">
        <v>0</v>
      </c>
      <c r="F262" s="7">
        <v>3</v>
      </c>
      <c r="G262" s="7">
        <v>1</v>
      </c>
      <c r="H262" s="6">
        <v>0.14000000000000001</v>
      </c>
      <c r="I262" s="8">
        <v>0.1515</v>
      </c>
      <c r="J262" s="6">
        <v>0.69</v>
      </c>
      <c r="K262" s="8">
        <v>0.1343</v>
      </c>
      <c r="L262" s="7">
        <v>0</v>
      </c>
      <c r="M262" s="7">
        <v>54</v>
      </c>
      <c r="N262" s="7">
        <v>54</v>
      </c>
      <c r="O262" t="s">
        <v>29</v>
      </c>
      <c r="P262" t="s">
        <v>57</v>
      </c>
      <c r="Q262" t="s">
        <v>31</v>
      </c>
      <c r="R262" t="s">
        <v>42</v>
      </c>
      <c r="S262" t="s">
        <v>55</v>
      </c>
      <c r="T262" t="s">
        <v>49</v>
      </c>
      <c r="U262" t="s">
        <v>35</v>
      </c>
      <c r="V262" t="s">
        <v>36</v>
      </c>
      <c r="W262" t="s">
        <v>37</v>
      </c>
      <c r="X262" s="6">
        <v>0</v>
      </c>
      <c r="Y262" s="6">
        <v>100</v>
      </c>
      <c r="Z262" t="s">
        <v>40</v>
      </c>
      <c r="AA262" t="s">
        <v>39</v>
      </c>
      <c r="AB262" t="s">
        <v>38</v>
      </c>
      <c r="AC262" s="8">
        <v>1.1499999999999981E-2</v>
      </c>
    </row>
    <row r="263" spans="1:29" x14ac:dyDescent="0.3">
      <c r="A263" s="7">
        <v>262</v>
      </c>
      <c r="B263" s="1">
        <v>40555</v>
      </c>
      <c r="C263" s="7">
        <v>1</v>
      </c>
      <c r="D263" s="7">
        <v>8</v>
      </c>
      <c r="E263" t="b">
        <v>0</v>
      </c>
      <c r="F263" s="7">
        <v>3</v>
      </c>
      <c r="G263" s="7">
        <v>1</v>
      </c>
      <c r="H263" s="6">
        <v>0.16</v>
      </c>
      <c r="I263" s="8">
        <v>0.16669999999999999</v>
      </c>
      <c r="J263" s="6">
        <v>0.59</v>
      </c>
      <c r="K263" s="8">
        <v>0.16420000000000001</v>
      </c>
      <c r="L263" s="7">
        <v>3</v>
      </c>
      <c r="M263" s="7">
        <v>125</v>
      </c>
      <c r="N263" s="7">
        <v>128</v>
      </c>
      <c r="O263" t="s">
        <v>29</v>
      </c>
      <c r="P263" t="s">
        <v>57</v>
      </c>
      <c r="Q263" t="s">
        <v>31</v>
      </c>
      <c r="R263" t="s">
        <v>42</v>
      </c>
      <c r="S263" t="s">
        <v>33</v>
      </c>
      <c r="T263" t="s">
        <v>49</v>
      </c>
      <c r="U263" t="s">
        <v>46</v>
      </c>
      <c r="V263" t="s">
        <v>36</v>
      </c>
      <c r="W263" t="s">
        <v>37</v>
      </c>
      <c r="X263" s="6">
        <v>2.34375</v>
      </c>
      <c r="Y263" s="6">
        <v>97.65625</v>
      </c>
      <c r="Z263" t="s">
        <v>40</v>
      </c>
      <c r="AA263" t="s">
        <v>49</v>
      </c>
      <c r="AB263" t="s">
        <v>38</v>
      </c>
      <c r="AC263" s="8">
        <v>6.6999999999999837E-3</v>
      </c>
    </row>
    <row r="264" spans="1:29" x14ac:dyDescent="0.3">
      <c r="A264" s="7">
        <v>263</v>
      </c>
      <c r="B264" s="1">
        <v>40555</v>
      </c>
      <c r="C264" s="7">
        <v>1</v>
      </c>
      <c r="D264" s="7">
        <v>9</v>
      </c>
      <c r="E264" t="b">
        <v>0</v>
      </c>
      <c r="F264" s="7">
        <v>3</v>
      </c>
      <c r="G264" s="7">
        <v>1</v>
      </c>
      <c r="H264" s="6">
        <v>0.16</v>
      </c>
      <c r="I264" s="8">
        <v>0.13639999999999999</v>
      </c>
      <c r="J264" s="6">
        <v>0.59</v>
      </c>
      <c r="K264" s="8">
        <v>0.32840000000000003</v>
      </c>
      <c r="L264" s="7">
        <v>3</v>
      </c>
      <c r="M264" s="7">
        <v>78</v>
      </c>
      <c r="N264" s="7">
        <v>81</v>
      </c>
      <c r="O264" t="s">
        <v>29</v>
      </c>
      <c r="P264" t="s">
        <v>57</v>
      </c>
      <c r="Q264" t="s">
        <v>31</v>
      </c>
      <c r="R264" t="s">
        <v>42</v>
      </c>
      <c r="S264" t="s">
        <v>33</v>
      </c>
      <c r="T264" t="s">
        <v>49</v>
      </c>
      <c r="U264" t="s">
        <v>53</v>
      </c>
      <c r="V264" t="s">
        <v>36</v>
      </c>
      <c r="W264" t="s">
        <v>37</v>
      </c>
      <c r="X264" s="6">
        <v>3.7037037037037028</v>
      </c>
      <c r="Y264" s="6">
        <v>96.296296296296291</v>
      </c>
      <c r="Z264" t="s">
        <v>40</v>
      </c>
      <c r="AA264" t="s">
        <v>39</v>
      </c>
      <c r="AB264" t="s">
        <v>38</v>
      </c>
      <c r="AC264" s="8">
        <v>-2.360000000000001E-2</v>
      </c>
    </row>
    <row r="265" spans="1:29" x14ac:dyDescent="0.3">
      <c r="A265" s="7">
        <v>264</v>
      </c>
      <c r="B265" s="1">
        <v>40555</v>
      </c>
      <c r="C265" s="7">
        <v>1</v>
      </c>
      <c r="D265" s="7">
        <v>10</v>
      </c>
      <c r="E265" t="b">
        <v>0</v>
      </c>
      <c r="F265" s="7">
        <v>3</v>
      </c>
      <c r="G265" s="7">
        <v>1</v>
      </c>
      <c r="H265" s="6">
        <v>0.18</v>
      </c>
      <c r="I265" s="8">
        <v>0.18179999999999999</v>
      </c>
      <c r="J265" s="6">
        <v>0.55000000000000004</v>
      </c>
      <c r="K265" s="8">
        <v>0.22389999999999999</v>
      </c>
      <c r="L265" s="7">
        <v>0</v>
      </c>
      <c r="M265" s="7">
        <v>39</v>
      </c>
      <c r="N265" s="7">
        <v>39</v>
      </c>
      <c r="O265" t="s">
        <v>29</v>
      </c>
      <c r="P265" t="s">
        <v>57</v>
      </c>
      <c r="Q265" t="s">
        <v>31</v>
      </c>
      <c r="R265" t="s">
        <v>42</v>
      </c>
      <c r="S265" t="s">
        <v>33</v>
      </c>
      <c r="T265" t="s">
        <v>49</v>
      </c>
      <c r="U265" t="s">
        <v>46</v>
      </c>
      <c r="V265" t="s">
        <v>36</v>
      </c>
      <c r="W265" t="s">
        <v>37</v>
      </c>
      <c r="X265" s="6">
        <v>0</v>
      </c>
      <c r="Y265" s="6">
        <v>100</v>
      </c>
      <c r="Z265" t="s">
        <v>38</v>
      </c>
      <c r="AA265" t="s">
        <v>39</v>
      </c>
      <c r="AB265" t="s">
        <v>38</v>
      </c>
      <c r="AC265" s="8">
        <v>1.799999999999996E-3</v>
      </c>
    </row>
    <row r="266" spans="1:29" x14ac:dyDescent="0.3">
      <c r="A266" s="7">
        <v>265</v>
      </c>
      <c r="B266" s="1">
        <v>40555</v>
      </c>
      <c r="C266" s="7">
        <v>1</v>
      </c>
      <c r="D266" s="7">
        <v>11</v>
      </c>
      <c r="E266" t="b">
        <v>0</v>
      </c>
      <c r="F266" s="7">
        <v>3</v>
      </c>
      <c r="G266" s="7">
        <v>1</v>
      </c>
      <c r="H266" s="6">
        <v>0.2</v>
      </c>
      <c r="I266" s="8">
        <v>0.18179999999999999</v>
      </c>
      <c r="J266" s="6">
        <v>0.51</v>
      </c>
      <c r="K266" s="8">
        <v>0.3881</v>
      </c>
      <c r="L266" s="7">
        <v>3</v>
      </c>
      <c r="M266" s="7">
        <v>32</v>
      </c>
      <c r="N266" s="7">
        <v>35</v>
      </c>
      <c r="O266" t="s">
        <v>29</v>
      </c>
      <c r="P266" t="s">
        <v>57</v>
      </c>
      <c r="Q266" t="s">
        <v>31</v>
      </c>
      <c r="R266" t="s">
        <v>42</v>
      </c>
      <c r="S266" t="s">
        <v>33</v>
      </c>
      <c r="T266" t="s">
        <v>49</v>
      </c>
      <c r="U266" t="s">
        <v>53</v>
      </c>
      <c r="V266" t="s">
        <v>36</v>
      </c>
      <c r="W266" t="s">
        <v>37</v>
      </c>
      <c r="X266" s="6">
        <v>8.5714285714285712</v>
      </c>
      <c r="Y266" s="6">
        <v>91.428571428571431</v>
      </c>
      <c r="Z266" t="s">
        <v>38</v>
      </c>
      <c r="AA266" t="s">
        <v>39</v>
      </c>
      <c r="AB266" t="s">
        <v>38</v>
      </c>
      <c r="AC266" s="8">
        <v>-1.8200000000000022E-2</v>
      </c>
    </row>
    <row r="267" spans="1:29" x14ac:dyDescent="0.3">
      <c r="A267" s="7">
        <v>266</v>
      </c>
      <c r="B267" s="1">
        <v>40555</v>
      </c>
      <c r="C267" s="7">
        <v>1</v>
      </c>
      <c r="D267" s="7">
        <v>12</v>
      </c>
      <c r="E267" t="b">
        <v>0</v>
      </c>
      <c r="F267" s="7">
        <v>3</v>
      </c>
      <c r="G267" s="7">
        <v>1</v>
      </c>
      <c r="H267" s="6">
        <v>0.2</v>
      </c>
      <c r="I267" s="8">
        <v>0.1515</v>
      </c>
      <c r="J267" s="6">
        <v>0.47</v>
      </c>
      <c r="K267" s="8">
        <v>0.58209999999999995</v>
      </c>
      <c r="L267" s="7">
        <v>3</v>
      </c>
      <c r="M267" s="7">
        <v>52</v>
      </c>
      <c r="N267" s="7">
        <v>55</v>
      </c>
      <c r="O267" t="s">
        <v>29</v>
      </c>
      <c r="P267" t="s">
        <v>57</v>
      </c>
      <c r="Q267" t="s">
        <v>31</v>
      </c>
      <c r="R267" t="s">
        <v>47</v>
      </c>
      <c r="S267" t="s">
        <v>33</v>
      </c>
      <c r="T267" t="s">
        <v>49</v>
      </c>
      <c r="U267" t="s">
        <v>53</v>
      </c>
      <c r="V267" t="s">
        <v>36</v>
      </c>
      <c r="W267" t="s">
        <v>37</v>
      </c>
      <c r="X267" s="6">
        <v>5.4545454545454541</v>
      </c>
      <c r="Y267" s="6">
        <v>94.545454545454547</v>
      </c>
      <c r="Z267" t="s">
        <v>38</v>
      </c>
      <c r="AA267" t="s">
        <v>39</v>
      </c>
      <c r="AB267" t="s">
        <v>38</v>
      </c>
      <c r="AC267" s="8">
        <v>-4.8500000000000022E-2</v>
      </c>
    </row>
    <row r="268" spans="1:29" x14ac:dyDescent="0.3">
      <c r="A268" s="7">
        <v>267</v>
      </c>
      <c r="B268" s="1">
        <v>40555</v>
      </c>
      <c r="C268" s="7">
        <v>1</v>
      </c>
      <c r="D268" s="7">
        <v>13</v>
      </c>
      <c r="E268" t="b">
        <v>0</v>
      </c>
      <c r="F268" s="7">
        <v>3</v>
      </c>
      <c r="G268" s="7">
        <v>1</v>
      </c>
      <c r="H268" s="6">
        <v>0.22</v>
      </c>
      <c r="I268" s="8">
        <v>0.19700000000000001</v>
      </c>
      <c r="J268" s="6">
        <v>0.44</v>
      </c>
      <c r="K268" s="8">
        <v>0.35820000000000002</v>
      </c>
      <c r="L268" s="7">
        <v>0</v>
      </c>
      <c r="M268" s="7">
        <v>49</v>
      </c>
      <c r="N268" s="7">
        <v>49</v>
      </c>
      <c r="O268" t="s">
        <v>29</v>
      </c>
      <c r="P268" t="s">
        <v>57</v>
      </c>
      <c r="Q268" t="s">
        <v>31</v>
      </c>
      <c r="R268" t="s">
        <v>47</v>
      </c>
      <c r="S268" t="s">
        <v>33</v>
      </c>
      <c r="T268" t="s">
        <v>49</v>
      </c>
      <c r="U268" t="s">
        <v>53</v>
      </c>
      <c r="V268" t="s">
        <v>36</v>
      </c>
      <c r="W268" t="s">
        <v>37</v>
      </c>
      <c r="X268" s="6">
        <v>0</v>
      </c>
      <c r="Y268" s="6">
        <v>100</v>
      </c>
      <c r="Z268" t="s">
        <v>38</v>
      </c>
      <c r="AA268" t="s">
        <v>39</v>
      </c>
      <c r="AB268" t="s">
        <v>38</v>
      </c>
      <c r="AC268" s="8">
        <v>-2.2999999999999989E-2</v>
      </c>
    </row>
    <row r="269" spans="1:29" x14ac:dyDescent="0.3">
      <c r="A269" s="7">
        <v>268</v>
      </c>
      <c r="B269" s="1">
        <v>40555</v>
      </c>
      <c r="C269" s="7">
        <v>1</v>
      </c>
      <c r="D269" s="7">
        <v>14</v>
      </c>
      <c r="E269" t="b">
        <v>0</v>
      </c>
      <c r="F269" s="7">
        <v>3</v>
      </c>
      <c r="G269" s="7">
        <v>1</v>
      </c>
      <c r="H269" s="6">
        <v>0.2</v>
      </c>
      <c r="I269" s="8">
        <v>0.18179999999999999</v>
      </c>
      <c r="J269" s="6">
        <v>0.47</v>
      </c>
      <c r="K269" s="8">
        <v>0.32840000000000003</v>
      </c>
      <c r="L269" s="7">
        <v>0</v>
      </c>
      <c r="M269" s="7">
        <v>44</v>
      </c>
      <c r="N269" s="7">
        <v>44</v>
      </c>
      <c r="O269" t="s">
        <v>29</v>
      </c>
      <c r="P269" t="s">
        <v>57</v>
      </c>
      <c r="Q269" t="s">
        <v>31</v>
      </c>
      <c r="R269" t="s">
        <v>47</v>
      </c>
      <c r="S269" t="s">
        <v>33</v>
      </c>
      <c r="T269" t="s">
        <v>49</v>
      </c>
      <c r="U269" t="s">
        <v>53</v>
      </c>
      <c r="V269" t="s">
        <v>36</v>
      </c>
      <c r="W269" t="s">
        <v>37</v>
      </c>
      <c r="X269" s="6">
        <v>0</v>
      </c>
      <c r="Y269" s="6">
        <v>100</v>
      </c>
      <c r="Z269" t="s">
        <v>38</v>
      </c>
      <c r="AA269" t="s">
        <v>39</v>
      </c>
      <c r="AB269" t="s">
        <v>38</v>
      </c>
      <c r="AC269" s="8">
        <v>-1.8200000000000022E-2</v>
      </c>
    </row>
    <row r="270" spans="1:29" x14ac:dyDescent="0.3">
      <c r="A270" s="7">
        <v>269</v>
      </c>
      <c r="B270" s="1">
        <v>40555</v>
      </c>
      <c r="C270" s="7">
        <v>1</v>
      </c>
      <c r="D270" s="7">
        <v>15</v>
      </c>
      <c r="E270" t="b">
        <v>0</v>
      </c>
      <c r="F270" s="7">
        <v>3</v>
      </c>
      <c r="G270" s="7">
        <v>1</v>
      </c>
      <c r="H270" s="6">
        <v>0.2</v>
      </c>
      <c r="I270" s="8">
        <v>0.16669999999999999</v>
      </c>
      <c r="J270" s="6">
        <v>0.47</v>
      </c>
      <c r="K270" s="8">
        <v>0.41789999999999999</v>
      </c>
      <c r="L270" s="7">
        <v>1</v>
      </c>
      <c r="M270" s="7">
        <v>48</v>
      </c>
      <c r="N270" s="7">
        <v>49</v>
      </c>
      <c r="O270" t="s">
        <v>29</v>
      </c>
      <c r="P270" t="s">
        <v>57</v>
      </c>
      <c r="Q270" t="s">
        <v>31</v>
      </c>
      <c r="R270" t="s">
        <v>47</v>
      </c>
      <c r="S270" t="s">
        <v>33</v>
      </c>
      <c r="T270" t="s">
        <v>49</v>
      </c>
      <c r="U270" t="s">
        <v>53</v>
      </c>
      <c r="V270" t="s">
        <v>36</v>
      </c>
      <c r="W270" t="s">
        <v>37</v>
      </c>
      <c r="X270" s="6">
        <v>2.0408163265306118</v>
      </c>
      <c r="Y270" s="6">
        <v>97.959183673469383</v>
      </c>
      <c r="Z270" t="s">
        <v>38</v>
      </c>
      <c r="AA270" t="s">
        <v>39</v>
      </c>
      <c r="AB270" t="s">
        <v>38</v>
      </c>
      <c r="AC270" s="8">
        <v>-3.3300000000000017E-2</v>
      </c>
    </row>
    <row r="271" spans="1:29" x14ac:dyDescent="0.3">
      <c r="A271" s="7">
        <v>270</v>
      </c>
      <c r="B271" s="1">
        <v>40555</v>
      </c>
      <c r="C271" s="7">
        <v>1</v>
      </c>
      <c r="D271" s="7">
        <v>16</v>
      </c>
      <c r="E271" t="b">
        <v>0</v>
      </c>
      <c r="F271" s="7">
        <v>3</v>
      </c>
      <c r="G271" s="7">
        <v>1</v>
      </c>
      <c r="H271" s="6">
        <v>0.22</v>
      </c>
      <c r="I271" s="8">
        <v>0.19700000000000001</v>
      </c>
      <c r="J271" s="6">
        <v>0.44</v>
      </c>
      <c r="K271" s="8">
        <v>0.32840000000000003</v>
      </c>
      <c r="L271" s="7">
        <v>5</v>
      </c>
      <c r="M271" s="7">
        <v>63</v>
      </c>
      <c r="N271" s="7">
        <v>68</v>
      </c>
      <c r="O271" t="s">
        <v>29</v>
      </c>
      <c r="P271" t="s">
        <v>57</v>
      </c>
      <c r="Q271" t="s">
        <v>31</v>
      </c>
      <c r="R271" t="s">
        <v>47</v>
      </c>
      <c r="S271" t="s">
        <v>33</v>
      </c>
      <c r="T271" t="s">
        <v>49</v>
      </c>
      <c r="U271" t="s">
        <v>53</v>
      </c>
      <c r="V271" t="s">
        <v>36</v>
      </c>
      <c r="W271" t="s">
        <v>37</v>
      </c>
      <c r="X271" s="6">
        <v>7.3529411764705888</v>
      </c>
      <c r="Y271" s="6">
        <v>92.64705882352942</v>
      </c>
      <c r="Z271" t="s">
        <v>38</v>
      </c>
      <c r="AA271" t="s">
        <v>39</v>
      </c>
      <c r="AB271" t="s">
        <v>38</v>
      </c>
      <c r="AC271" s="8">
        <v>-2.2999999999999989E-2</v>
      </c>
    </row>
    <row r="272" spans="1:29" x14ac:dyDescent="0.3">
      <c r="A272" s="7">
        <v>271</v>
      </c>
      <c r="B272" s="1">
        <v>40555</v>
      </c>
      <c r="C272" s="7">
        <v>1</v>
      </c>
      <c r="D272" s="7">
        <v>17</v>
      </c>
      <c r="E272" t="b">
        <v>0</v>
      </c>
      <c r="F272" s="7">
        <v>3</v>
      </c>
      <c r="G272" s="7">
        <v>1</v>
      </c>
      <c r="H272" s="6">
        <v>0.2</v>
      </c>
      <c r="I272" s="8">
        <v>0.18179999999999999</v>
      </c>
      <c r="J272" s="6">
        <v>0.47</v>
      </c>
      <c r="K272" s="8">
        <v>0.35820000000000002</v>
      </c>
      <c r="L272" s="7">
        <v>0</v>
      </c>
      <c r="M272" s="7">
        <v>139</v>
      </c>
      <c r="N272" s="7">
        <v>139</v>
      </c>
      <c r="O272" t="s">
        <v>29</v>
      </c>
      <c r="P272" t="s">
        <v>57</v>
      </c>
      <c r="Q272" t="s">
        <v>31</v>
      </c>
      <c r="R272" t="s">
        <v>50</v>
      </c>
      <c r="S272" t="s">
        <v>33</v>
      </c>
      <c r="T272" t="s">
        <v>49</v>
      </c>
      <c r="U272" t="s">
        <v>53</v>
      </c>
      <c r="V272" t="s">
        <v>36</v>
      </c>
      <c r="W272" t="s">
        <v>37</v>
      </c>
      <c r="X272" s="6">
        <v>0</v>
      </c>
      <c r="Y272" s="6">
        <v>100</v>
      </c>
      <c r="Z272" t="s">
        <v>40</v>
      </c>
      <c r="AA272" t="s">
        <v>49</v>
      </c>
      <c r="AB272" t="s">
        <v>38</v>
      </c>
      <c r="AC272" s="8">
        <v>-1.8200000000000022E-2</v>
      </c>
    </row>
    <row r="273" spans="1:29" x14ac:dyDescent="0.3">
      <c r="A273" s="7">
        <v>272</v>
      </c>
      <c r="B273" s="1">
        <v>40555</v>
      </c>
      <c r="C273" s="7">
        <v>1</v>
      </c>
      <c r="D273" s="7">
        <v>18</v>
      </c>
      <c r="E273" t="b">
        <v>0</v>
      </c>
      <c r="F273" s="7">
        <v>3</v>
      </c>
      <c r="G273" s="7">
        <v>1</v>
      </c>
      <c r="H273" s="6">
        <v>0.2</v>
      </c>
      <c r="I273" s="8">
        <v>0.1515</v>
      </c>
      <c r="J273" s="6">
        <v>0.47</v>
      </c>
      <c r="K273" s="8">
        <v>0.52239999999999998</v>
      </c>
      <c r="L273" s="7">
        <v>2</v>
      </c>
      <c r="M273" s="7">
        <v>135</v>
      </c>
      <c r="N273" s="7">
        <v>137</v>
      </c>
      <c r="O273" t="s">
        <v>29</v>
      </c>
      <c r="P273" t="s">
        <v>57</v>
      </c>
      <c r="Q273" t="s">
        <v>31</v>
      </c>
      <c r="R273" t="s">
        <v>50</v>
      </c>
      <c r="S273" t="s">
        <v>33</v>
      </c>
      <c r="T273" t="s">
        <v>49</v>
      </c>
      <c r="U273" t="s">
        <v>53</v>
      </c>
      <c r="V273" t="s">
        <v>36</v>
      </c>
      <c r="W273" t="s">
        <v>37</v>
      </c>
      <c r="X273" s="6">
        <v>1.4598540145985399</v>
      </c>
      <c r="Y273" s="6">
        <v>98.540145985401466</v>
      </c>
      <c r="Z273" t="s">
        <v>40</v>
      </c>
      <c r="AA273" t="s">
        <v>49</v>
      </c>
      <c r="AB273" t="s">
        <v>38</v>
      </c>
      <c r="AC273" s="8">
        <v>-4.8500000000000022E-2</v>
      </c>
    </row>
    <row r="274" spans="1:29" x14ac:dyDescent="0.3">
      <c r="A274" s="7">
        <v>273</v>
      </c>
      <c r="B274" s="1">
        <v>40555</v>
      </c>
      <c r="C274" s="7">
        <v>1</v>
      </c>
      <c r="D274" s="7">
        <v>19</v>
      </c>
      <c r="E274" t="b">
        <v>0</v>
      </c>
      <c r="F274" s="7">
        <v>3</v>
      </c>
      <c r="G274" s="7">
        <v>1</v>
      </c>
      <c r="H274" s="6">
        <v>0.18</v>
      </c>
      <c r="I274" s="8">
        <v>0.1515</v>
      </c>
      <c r="J274" s="6">
        <v>0.47</v>
      </c>
      <c r="K274" s="8">
        <v>0.41789999999999999</v>
      </c>
      <c r="L274" s="7">
        <v>1</v>
      </c>
      <c r="M274" s="7">
        <v>82</v>
      </c>
      <c r="N274" s="7">
        <v>83</v>
      </c>
      <c r="O274" t="s">
        <v>29</v>
      </c>
      <c r="P274" t="s">
        <v>57</v>
      </c>
      <c r="Q274" t="s">
        <v>31</v>
      </c>
      <c r="R274" t="s">
        <v>50</v>
      </c>
      <c r="S274" t="s">
        <v>33</v>
      </c>
      <c r="T274" t="s">
        <v>49</v>
      </c>
      <c r="U274" t="s">
        <v>53</v>
      </c>
      <c r="V274" t="s">
        <v>36</v>
      </c>
      <c r="W274" t="s">
        <v>37</v>
      </c>
      <c r="X274" s="6">
        <v>1.2048192771084341</v>
      </c>
      <c r="Y274" s="6">
        <v>98.795180722891558</v>
      </c>
      <c r="Z274" t="s">
        <v>40</v>
      </c>
      <c r="AA274" t="s">
        <v>39</v>
      </c>
      <c r="AB274" t="s">
        <v>38</v>
      </c>
      <c r="AC274" s="8">
        <v>-2.8500000000000001E-2</v>
      </c>
    </row>
    <row r="275" spans="1:29" x14ac:dyDescent="0.3">
      <c r="A275" s="7">
        <v>274</v>
      </c>
      <c r="B275" s="1">
        <v>40555</v>
      </c>
      <c r="C275" s="7">
        <v>1</v>
      </c>
      <c r="D275" s="7">
        <v>20</v>
      </c>
      <c r="E275" t="b">
        <v>0</v>
      </c>
      <c r="F275" s="7">
        <v>3</v>
      </c>
      <c r="G275" s="7">
        <v>1</v>
      </c>
      <c r="H275" s="6">
        <v>0.16</v>
      </c>
      <c r="I275" s="8">
        <v>0.13639999999999999</v>
      </c>
      <c r="J275" s="6">
        <v>0.5</v>
      </c>
      <c r="K275" s="8">
        <v>0.32840000000000003</v>
      </c>
      <c r="L275" s="7">
        <v>2</v>
      </c>
      <c r="M275" s="7">
        <v>54</v>
      </c>
      <c r="N275" s="7">
        <v>56</v>
      </c>
      <c r="O275" t="s">
        <v>29</v>
      </c>
      <c r="P275" t="s">
        <v>57</v>
      </c>
      <c r="Q275" t="s">
        <v>31</v>
      </c>
      <c r="R275" t="s">
        <v>50</v>
      </c>
      <c r="S275" t="s">
        <v>33</v>
      </c>
      <c r="T275" t="s">
        <v>49</v>
      </c>
      <c r="U275" t="s">
        <v>53</v>
      </c>
      <c r="V275" t="s">
        <v>36</v>
      </c>
      <c r="W275" t="s">
        <v>37</v>
      </c>
      <c r="X275" s="6">
        <v>3.5714285714285712</v>
      </c>
      <c r="Y275" s="6">
        <v>96.428571428571431</v>
      </c>
      <c r="Z275" t="s">
        <v>38</v>
      </c>
      <c r="AA275" t="s">
        <v>39</v>
      </c>
      <c r="AB275" t="s">
        <v>38</v>
      </c>
      <c r="AC275" s="8">
        <v>-2.360000000000001E-2</v>
      </c>
    </row>
    <row r="276" spans="1:29" x14ac:dyDescent="0.3">
      <c r="A276" s="7">
        <v>275</v>
      </c>
      <c r="B276" s="1">
        <v>40555</v>
      </c>
      <c r="C276" s="7">
        <v>1</v>
      </c>
      <c r="D276" s="7">
        <v>21</v>
      </c>
      <c r="E276" t="b">
        <v>0</v>
      </c>
      <c r="F276" s="7">
        <v>3</v>
      </c>
      <c r="G276" s="7">
        <v>1</v>
      </c>
      <c r="H276" s="6">
        <v>0.16</v>
      </c>
      <c r="I276" s="8">
        <v>0.13639999999999999</v>
      </c>
      <c r="J276" s="6">
        <v>0.55000000000000004</v>
      </c>
      <c r="K276" s="8">
        <v>0.32840000000000003</v>
      </c>
      <c r="L276" s="7">
        <v>0</v>
      </c>
      <c r="M276" s="7">
        <v>57</v>
      </c>
      <c r="N276" s="7">
        <v>57</v>
      </c>
      <c r="O276" t="s">
        <v>29</v>
      </c>
      <c r="P276" t="s">
        <v>57</v>
      </c>
      <c r="Q276" t="s">
        <v>31</v>
      </c>
      <c r="R276" t="s">
        <v>32</v>
      </c>
      <c r="S276" t="s">
        <v>33</v>
      </c>
      <c r="T276" t="s">
        <v>49</v>
      </c>
      <c r="U276" t="s">
        <v>53</v>
      </c>
      <c r="V276" t="s">
        <v>36</v>
      </c>
      <c r="W276" t="s">
        <v>37</v>
      </c>
      <c r="X276" s="6">
        <v>0</v>
      </c>
      <c r="Y276" s="6">
        <v>100</v>
      </c>
      <c r="Z276" t="s">
        <v>38</v>
      </c>
      <c r="AA276" t="s">
        <v>39</v>
      </c>
      <c r="AB276" t="s">
        <v>38</v>
      </c>
      <c r="AC276" s="8">
        <v>-2.360000000000001E-2</v>
      </c>
    </row>
    <row r="277" spans="1:29" x14ac:dyDescent="0.3">
      <c r="A277" s="7">
        <v>276</v>
      </c>
      <c r="B277" s="1">
        <v>40555</v>
      </c>
      <c r="C277" s="7">
        <v>1</v>
      </c>
      <c r="D277" s="7">
        <v>22</v>
      </c>
      <c r="E277" t="b">
        <v>0</v>
      </c>
      <c r="F277" s="7">
        <v>3</v>
      </c>
      <c r="G277" s="7">
        <v>1</v>
      </c>
      <c r="H277" s="6">
        <v>0.16</v>
      </c>
      <c r="I277" s="8">
        <v>0.1212</v>
      </c>
      <c r="J277" s="6">
        <v>0.55000000000000004</v>
      </c>
      <c r="K277" s="8">
        <v>0.44779999999999998</v>
      </c>
      <c r="L277" s="7">
        <v>1</v>
      </c>
      <c r="M277" s="7">
        <v>32</v>
      </c>
      <c r="N277" s="7">
        <v>33</v>
      </c>
      <c r="O277" t="s">
        <v>29</v>
      </c>
      <c r="P277" t="s">
        <v>57</v>
      </c>
      <c r="Q277" t="s">
        <v>31</v>
      </c>
      <c r="R277" t="s">
        <v>32</v>
      </c>
      <c r="S277" t="s">
        <v>33</v>
      </c>
      <c r="T277" t="s">
        <v>49</v>
      </c>
      <c r="U277" t="s">
        <v>53</v>
      </c>
      <c r="V277" t="s">
        <v>36</v>
      </c>
      <c r="W277" t="s">
        <v>37</v>
      </c>
      <c r="X277" s="6">
        <v>3.0303030303030298</v>
      </c>
      <c r="Y277" s="6">
        <v>96.969696969696969</v>
      </c>
      <c r="Z277" t="s">
        <v>38</v>
      </c>
      <c r="AA277" t="s">
        <v>39</v>
      </c>
      <c r="AB277" t="s">
        <v>38</v>
      </c>
      <c r="AC277" s="8">
        <v>-3.8800000000000001E-2</v>
      </c>
    </row>
    <row r="278" spans="1:29" x14ac:dyDescent="0.3">
      <c r="A278" s="7">
        <v>277</v>
      </c>
      <c r="B278" s="1">
        <v>40555</v>
      </c>
      <c r="C278" s="7">
        <v>1</v>
      </c>
      <c r="D278" s="7">
        <v>23</v>
      </c>
      <c r="E278" t="b">
        <v>0</v>
      </c>
      <c r="F278" s="7">
        <v>3</v>
      </c>
      <c r="G278" s="7">
        <v>1</v>
      </c>
      <c r="H278" s="6">
        <v>0.14000000000000001</v>
      </c>
      <c r="I278" s="8">
        <v>0.1061</v>
      </c>
      <c r="J278" s="6">
        <v>0.59</v>
      </c>
      <c r="K278" s="8">
        <v>0.41789999999999999</v>
      </c>
      <c r="L278" s="7">
        <v>1</v>
      </c>
      <c r="M278" s="7">
        <v>19</v>
      </c>
      <c r="N278" s="7">
        <v>20</v>
      </c>
      <c r="O278" t="s">
        <v>29</v>
      </c>
      <c r="P278" t="s">
        <v>57</v>
      </c>
      <c r="Q278" t="s">
        <v>31</v>
      </c>
      <c r="R278" t="s">
        <v>32</v>
      </c>
      <c r="S278" t="s">
        <v>55</v>
      </c>
      <c r="T278" t="s">
        <v>49</v>
      </c>
      <c r="U278" t="s">
        <v>53</v>
      </c>
      <c r="V278" t="s">
        <v>36</v>
      </c>
      <c r="W278" t="s">
        <v>37</v>
      </c>
      <c r="X278" s="6">
        <v>5</v>
      </c>
      <c r="Y278" s="6">
        <v>95</v>
      </c>
      <c r="Z278" t="s">
        <v>38</v>
      </c>
      <c r="AA278" t="s">
        <v>39</v>
      </c>
      <c r="AB278" t="s">
        <v>38</v>
      </c>
      <c r="AC278" s="8">
        <v>-3.3900000000000013E-2</v>
      </c>
    </row>
    <row r="279" spans="1:29" x14ac:dyDescent="0.3">
      <c r="A279" s="7">
        <v>278</v>
      </c>
      <c r="B279" s="1">
        <v>40556</v>
      </c>
      <c r="C279" s="7">
        <v>1</v>
      </c>
      <c r="D279" s="7">
        <v>0</v>
      </c>
      <c r="E279" t="b">
        <v>0</v>
      </c>
      <c r="F279" s="7">
        <v>4</v>
      </c>
      <c r="G279" s="7">
        <v>1</v>
      </c>
      <c r="H279" s="6">
        <v>0.14000000000000001</v>
      </c>
      <c r="I279" s="8">
        <v>0.1212</v>
      </c>
      <c r="J279" s="6">
        <v>0.59</v>
      </c>
      <c r="K279" s="8">
        <v>0.28360000000000002</v>
      </c>
      <c r="L279" s="7">
        <v>1</v>
      </c>
      <c r="M279" s="7">
        <v>6</v>
      </c>
      <c r="N279" s="7">
        <v>7</v>
      </c>
      <c r="O279" t="s">
        <v>29</v>
      </c>
      <c r="P279" t="s">
        <v>58</v>
      </c>
      <c r="Q279" t="s">
        <v>31</v>
      </c>
      <c r="R279" t="s">
        <v>32</v>
      </c>
      <c r="S279" t="s">
        <v>55</v>
      </c>
      <c r="T279" t="s">
        <v>49</v>
      </c>
      <c r="U279" t="s">
        <v>46</v>
      </c>
      <c r="V279" t="s">
        <v>36</v>
      </c>
      <c r="W279" t="s">
        <v>37</v>
      </c>
      <c r="X279" s="6">
        <v>14.285714285714279</v>
      </c>
      <c r="Y279" s="6">
        <v>85.714285714285708</v>
      </c>
      <c r="Z279" t="s">
        <v>38</v>
      </c>
      <c r="AA279" t="s">
        <v>39</v>
      </c>
      <c r="AB279" t="s">
        <v>38</v>
      </c>
      <c r="AC279" s="8">
        <v>-1.8800000000000011E-2</v>
      </c>
    </row>
    <row r="280" spans="1:29" x14ac:dyDescent="0.3">
      <c r="A280" s="7">
        <v>279</v>
      </c>
      <c r="B280" s="1">
        <v>40556</v>
      </c>
      <c r="C280" s="7">
        <v>1</v>
      </c>
      <c r="D280" s="7">
        <v>1</v>
      </c>
      <c r="E280" t="b">
        <v>0</v>
      </c>
      <c r="F280" s="7">
        <v>4</v>
      </c>
      <c r="G280" s="7">
        <v>1</v>
      </c>
      <c r="H280" s="6">
        <v>0.14000000000000001</v>
      </c>
      <c r="I280" s="8">
        <v>0.1212</v>
      </c>
      <c r="J280" s="6">
        <v>0.5</v>
      </c>
      <c r="K280" s="8">
        <v>0.28360000000000002</v>
      </c>
      <c r="L280" s="7">
        <v>0</v>
      </c>
      <c r="M280" s="7">
        <v>2</v>
      </c>
      <c r="N280" s="7">
        <v>2</v>
      </c>
      <c r="O280" t="s">
        <v>29</v>
      </c>
      <c r="P280" t="s">
        <v>58</v>
      </c>
      <c r="Q280" t="s">
        <v>31</v>
      </c>
      <c r="R280" t="s">
        <v>32</v>
      </c>
      <c r="S280" t="s">
        <v>55</v>
      </c>
      <c r="T280" t="s">
        <v>49</v>
      </c>
      <c r="U280" t="s">
        <v>46</v>
      </c>
      <c r="V280" t="s">
        <v>36</v>
      </c>
      <c r="W280" t="s">
        <v>37</v>
      </c>
      <c r="X280" s="6">
        <v>0</v>
      </c>
      <c r="Y280" s="6">
        <v>100</v>
      </c>
      <c r="Z280" t="s">
        <v>38</v>
      </c>
      <c r="AA280" t="s">
        <v>39</v>
      </c>
      <c r="AB280" t="s">
        <v>38</v>
      </c>
      <c r="AC280" s="8">
        <v>-1.8800000000000011E-2</v>
      </c>
    </row>
    <row r="281" spans="1:29" x14ac:dyDescent="0.3">
      <c r="A281" s="7">
        <v>280</v>
      </c>
      <c r="B281" s="1">
        <v>40556</v>
      </c>
      <c r="C281" s="7">
        <v>1</v>
      </c>
      <c r="D281" s="7">
        <v>2</v>
      </c>
      <c r="E281" t="b">
        <v>0</v>
      </c>
      <c r="F281" s="7">
        <v>4</v>
      </c>
      <c r="G281" s="7">
        <v>1</v>
      </c>
      <c r="H281" s="6">
        <v>0.14000000000000001</v>
      </c>
      <c r="I281" s="8">
        <v>0.1212</v>
      </c>
      <c r="J281" s="6">
        <v>0.5</v>
      </c>
      <c r="K281" s="8">
        <v>0.35820000000000002</v>
      </c>
      <c r="L281" s="7">
        <v>0</v>
      </c>
      <c r="M281" s="7">
        <v>2</v>
      </c>
      <c r="N281" s="7">
        <v>2</v>
      </c>
      <c r="O281" t="s">
        <v>29</v>
      </c>
      <c r="P281" t="s">
        <v>58</v>
      </c>
      <c r="Q281" t="s">
        <v>31</v>
      </c>
      <c r="R281" t="s">
        <v>32</v>
      </c>
      <c r="S281" t="s">
        <v>55</v>
      </c>
      <c r="T281" t="s">
        <v>49</v>
      </c>
      <c r="U281" t="s">
        <v>53</v>
      </c>
      <c r="V281" t="s">
        <v>36</v>
      </c>
      <c r="W281" t="s">
        <v>37</v>
      </c>
      <c r="X281" s="6">
        <v>0</v>
      </c>
      <c r="Y281" s="6">
        <v>100</v>
      </c>
      <c r="Z281" t="s">
        <v>38</v>
      </c>
      <c r="AA281" t="s">
        <v>39</v>
      </c>
      <c r="AB281" t="s">
        <v>38</v>
      </c>
      <c r="AC281" s="8">
        <v>-1.8800000000000011E-2</v>
      </c>
    </row>
    <row r="282" spans="1:29" x14ac:dyDescent="0.3">
      <c r="A282" s="7">
        <v>281</v>
      </c>
      <c r="B282" s="1">
        <v>40556</v>
      </c>
      <c r="C282" s="7">
        <v>1</v>
      </c>
      <c r="D282" s="7">
        <v>3</v>
      </c>
      <c r="E282" t="b">
        <v>0</v>
      </c>
      <c r="F282" s="7">
        <v>4</v>
      </c>
      <c r="G282" s="7">
        <v>1</v>
      </c>
      <c r="H282" s="6">
        <v>0.14000000000000001</v>
      </c>
      <c r="I282" s="8">
        <v>0.1212</v>
      </c>
      <c r="J282" s="6">
        <v>0.5</v>
      </c>
      <c r="K282" s="8">
        <v>0.32840000000000003</v>
      </c>
      <c r="L282" s="7">
        <v>0</v>
      </c>
      <c r="M282" s="7">
        <v>3</v>
      </c>
      <c r="N282" s="7">
        <v>3</v>
      </c>
      <c r="O282" t="s">
        <v>29</v>
      </c>
      <c r="P282" t="s">
        <v>58</v>
      </c>
      <c r="Q282" t="s">
        <v>31</v>
      </c>
      <c r="R282" t="s">
        <v>32</v>
      </c>
      <c r="S282" t="s">
        <v>55</v>
      </c>
      <c r="T282" t="s">
        <v>49</v>
      </c>
      <c r="U282" t="s">
        <v>53</v>
      </c>
      <c r="V282" t="s">
        <v>36</v>
      </c>
      <c r="W282" t="s">
        <v>37</v>
      </c>
      <c r="X282" s="6">
        <v>0</v>
      </c>
      <c r="Y282" s="6">
        <v>100</v>
      </c>
      <c r="Z282" t="s">
        <v>38</v>
      </c>
      <c r="AA282" t="s">
        <v>39</v>
      </c>
      <c r="AB282" t="s">
        <v>38</v>
      </c>
      <c r="AC282" s="8">
        <v>-1.8800000000000011E-2</v>
      </c>
    </row>
    <row r="283" spans="1:29" x14ac:dyDescent="0.3">
      <c r="A283" s="7">
        <v>282</v>
      </c>
      <c r="B283" s="1">
        <v>40556</v>
      </c>
      <c r="C283" s="7">
        <v>1</v>
      </c>
      <c r="D283" s="7">
        <v>4</v>
      </c>
      <c r="E283" t="b">
        <v>0</v>
      </c>
      <c r="F283" s="7">
        <v>4</v>
      </c>
      <c r="G283" s="7">
        <v>1</v>
      </c>
      <c r="H283" s="6">
        <v>0.14000000000000001</v>
      </c>
      <c r="I283" s="8">
        <v>0.1212</v>
      </c>
      <c r="J283" s="6">
        <v>0.5</v>
      </c>
      <c r="K283" s="8">
        <v>0.25369999999999998</v>
      </c>
      <c r="L283" s="7">
        <v>0</v>
      </c>
      <c r="M283" s="7">
        <v>4</v>
      </c>
      <c r="N283" s="7">
        <v>4</v>
      </c>
      <c r="O283" t="s">
        <v>29</v>
      </c>
      <c r="P283" t="s">
        <v>58</v>
      </c>
      <c r="Q283" t="s">
        <v>31</v>
      </c>
      <c r="R283" t="s">
        <v>32</v>
      </c>
      <c r="S283" t="s">
        <v>55</v>
      </c>
      <c r="T283" t="s">
        <v>49</v>
      </c>
      <c r="U283" t="s">
        <v>46</v>
      </c>
      <c r="V283" t="s">
        <v>36</v>
      </c>
      <c r="W283" t="s">
        <v>37</v>
      </c>
      <c r="X283" s="6">
        <v>0</v>
      </c>
      <c r="Y283" s="6">
        <v>100</v>
      </c>
      <c r="Z283" t="s">
        <v>38</v>
      </c>
      <c r="AA283" t="s">
        <v>39</v>
      </c>
      <c r="AB283" t="s">
        <v>38</v>
      </c>
      <c r="AC283" s="8">
        <v>-1.8800000000000011E-2</v>
      </c>
    </row>
    <row r="284" spans="1:29" x14ac:dyDescent="0.3">
      <c r="A284" s="7">
        <v>283</v>
      </c>
      <c r="B284" s="1">
        <v>40556</v>
      </c>
      <c r="C284" s="7">
        <v>1</v>
      </c>
      <c r="D284" s="7">
        <v>5</v>
      </c>
      <c r="E284" t="b">
        <v>0</v>
      </c>
      <c r="F284" s="7">
        <v>4</v>
      </c>
      <c r="G284" s="7">
        <v>1</v>
      </c>
      <c r="H284" s="6">
        <v>0.14000000000000001</v>
      </c>
      <c r="I284" s="8">
        <v>0.1212</v>
      </c>
      <c r="J284" s="6">
        <v>0.5</v>
      </c>
      <c r="K284" s="8">
        <v>0.29849999999999999</v>
      </c>
      <c r="L284" s="7">
        <v>0</v>
      </c>
      <c r="M284" s="7">
        <v>3</v>
      </c>
      <c r="N284" s="7">
        <v>3</v>
      </c>
      <c r="O284" t="s">
        <v>29</v>
      </c>
      <c r="P284" t="s">
        <v>58</v>
      </c>
      <c r="Q284" t="s">
        <v>31</v>
      </c>
      <c r="R284" t="s">
        <v>32</v>
      </c>
      <c r="S284" t="s">
        <v>55</v>
      </c>
      <c r="T284" t="s">
        <v>49</v>
      </c>
      <c r="U284" t="s">
        <v>46</v>
      </c>
      <c r="V284" t="s">
        <v>36</v>
      </c>
      <c r="W284" t="s">
        <v>37</v>
      </c>
      <c r="X284" s="6">
        <v>0</v>
      </c>
      <c r="Y284" s="6">
        <v>100</v>
      </c>
      <c r="Z284" t="s">
        <v>38</v>
      </c>
      <c r="AA284" t="s">
        <v>39</v>
      </c>
      <c r="AB284" t="s">
        <v>38</v>
      </c>
      <c r="AC284" s="8">
        <v>-1.8800000000000011E-2</v>
      </c>
    </row>
    <row r="285" spans="1:29" x14ac:dyDescent="0.3">
      <c r="A285" s="7">
        <v>284</v>
      </c>
      <c r="B285" s="1">
        <v>40556</v>
      </c>
      <c r="C285" s="7">
        <v>1</v>
      </c>
      <c r="D285" s="7">
        <v>6</v>
      </c>
      <c r="E285" t="b">
        <v>0</v>
      </c>
      <c r="F285" s="7">
        <v>4</v>
      </c>
      <c r="G285" s="7">
        <v>1</v>
      </c>
      <c r="H285" s="6">
        <v>0.12</v>
      </c>
      <c r="I285" s="8">
        <v>0.1515</v>
      </c>
      <c r="J285" s="6">
        <v>0.54</v>
      </c>
      <c r="K285" s="8">
        <v>0.1343</v>
      </c>
      <c r="L285" s="7">
        <v>0</v>
      </c>
      <c r="M285" s="7">
        <v>28</v>
      </c>
      <c r="N285" s="7">
        <v>28</v>
      </c>
      <c r="O285" t="s">
        <v>29</v>
      </c>
      <c r="P285" t="s">
        <v>58</v>
      </c>
      <c r="Q285" t="s">
        <v>31</v>
      </c>
      <c r="R285" t="s">
        <v>42</v>
      </c>
      <c r="S285" t="s">
        <v>55</v>
      </c>
      <c r="T285" t="s">
        <v>49</v>
      </c>
      <c r="U285" t="s">
        <v>35</v>
      </c>
      <c r="V285" t="s">
        <v>36</v>
      </c>
      <c r="W285" t="s">
        <v>37</v>
      </c>
      <c r="X285" s="6">
        <v>0</v>
      </c>
      <c r="Y285" s="6">
        <v>100</v>
      </c>
      <c r="Z285" t="s">
        <v>38</v>
      </c>
      <c r="AA285" t="s">
        <v>39</v>
      </c>
      <c r="AB285" t="s">
        <v>38</v>
      </c>
      <c r="AC285" s="8">
        <v>3.15E-2</v>
      </c>
    </row>
    <row r="286" spans="1:29" x14ac:dyDescent="0.3">
      <c r="A286" s="7">
        <v>285</v>
      </c>
      <c r="B286" s="1">
        <v>40556</v>
      </c>
      <c r="C286" s="7">
        <v>1</v>
      </c>
      <c r="D286" s="7">
        <v>7</v>
      </c>
      <c r="E286" t="b">
        <v>0</v>
      </c>
      <c r="F286" s="7">
        <v>4</v>
      </c>
      <c r="G286" s="7">
        <v>1</v>
      </c>
      <c r="H286" s="6">
        <v>0.12</v>
      </c>
      <c r="I286" s="8">
        <v>0.1515</v>
      </c>
      <c r="J286" s="6">
        <v>0.54</v>
      </c>
      <c r="K286" s="8">
        <v>0.1343</v>
      </c>
      <c r="L286" s="7">
        <v>0</v>
      </c>
      <c r="M286" s="7">
        <v>72</v>
      </c>
      <c r="N286" s="7">
        <v>72</v>
      </c>
      <c r="O286" t="s">
        <v>29</v>
      </c>
      <c r="P286" t="s">
        <v>58</v>
      </c>
      <c r="Q286" t="s">
        <v>31</v>
      </c>
      <c r="R286" t="s">
        <v>42</v>
      </c>
      <c r="S286" t="s">
        <v>55</v>
      </c>
      <c r="T286" t="s">
        <v>49</v>
      </c>
      <c r="U286" t="s">
        <v>35</v>
      </c>
      <c r="V286" t="s">
        <v>36</v>
      </c>
      <c r="W286" t="s">
        <v>37</v>
      </c>
      <c r="X286" s="6">
        <v>0</v>
      </c>
      <c r="Y286" s="6">
        <v>100</v>
      </c>
      <c r="Z286" t="s">
        <v>40</v>
      </c>
      <c r="AA286" t="s">
        <v>39</v>
      </c>
      <c r="AB286" t="s">
        <v>38</v>
      </c>
      <c r="AC286" s="8">
        <v>3.15E-2</v>
      </c>
    </row>
    <row r="287" spans="1:29" x14ac:dyDescent="0.3">
      <c r="A287" s="7">
        <v>286</v>
      </c>
      <c r="B287" s="1">
        <v>40556</v>
      </c>
      <c r="C287" s="7">
        <v>1</v>
      </c>
      <c r="D287" s="7">
        <v>8</v>
      </c>
      <c r="E287" t="b">
        <v>0</v>
      </c>
      <c r="F287" s="7">
        <v>4</v>
      </c>
      <c r="G287" s="7">
        <v>1</v>
      </c>
      <c r="H287" s="6">
        <v>0.14000000000000001</v>
      </c>
      <c r="I287" s="8">
        <v>0.13639999999999999</v>
      </c>
      <c r="J287" s="6">
        <v>0.5</v>
      </c>
      <c r="K287" s="8">
        <v>0.19400000000000001</v>
      </c>
      <c r="L287" s="7">
        <v>5</v>
      </c>
      <c r="M287" s="7">
        <v>197</v>
      </c>
      <c r="N287" s="7">
        <v>202</v>
      </c>
      <c r="O287" t="s">
        <v>29</v>
      </c>
      <c r="P287" t="s">
        <v>58</v>
      </c>
      <c r="Q287" t="s">
        <v>31</v>
      </c>
      <c r="R287" t="s">
        <v>42</v>
      </c>
      <c r="S287" t="s">
        <v>55</v>
      </c>
      <c r="T287" t="s">
        <v>49</v>
      </c>
      <c r="U287" t="s">
        <v>46</v>
      </c>
      <c r="V287" t="s">
        <v>36</v>
      </c>
      <c r="W287" t="s">
        <v>37</v>
      </c>
      <c r="X287" s="6">
        <v>2.4752475247524748</v>
      </c>
      <c r="Y287" s="6">
        <v>97.524752475247524</v>
      </c>
      <c r="Z287" t="s">
        <v>40</v>
      </c>
      <c r="AA287" t="s">
        <v>49</v>
      </c>
      <c r="AB287" t="s">
        <v>38</v>
      </c>
      <c r="AC287" s="8">
        <v>-3.6000000000000199E-3</v>
      </c>
    </row>
    <row r="288" spans="1:29" x14ac:dyDescent="0.3">
      <c r="A288" s="7">
        <v>287</v>
      </c>
      <c r="B288" s="1">
        <v>40556</v>
      </c>
      <c r="C288" s="7">
        <v>1</v>
      </c>
      <c r="D288" s="7">
        <v>9</v>
      </c>
      <c r="E288" t="b">
        <v>0</v>
      </c>
      <c r="F288" s="7">
        <v>4</v>
      </c>
      <c r="G288" s="7">
        <v>1</v>
      </c>
      <c r="H288" s="6">
        <v>0.14000000000000001</v>
      </c>
      <c r="I288" s="8">
        <v>0.1212</v>
      </c>
      <c r="J288" s="6">
        <v>0.5</v>
      </c>
      <c r="K288" s="8">
        <v>0.32840000000000003</v>
      </c>
      <c r="L288" s="7">
        <v>2</v>
      </c>
      <c r="M288" s="7">
        <v>137</v>
      </c>
      <c r="N288" s="7">
        <v>139</v>
      </c>
      <c r="O288" t="s">
        <v>29</v>
      </c>
      <c r="P288" t="s">
        <v>58</v>
      </c>
      <c r="Q288" t="s">
        <v>31</v>
      </c>
      <c r="R288" t="s">
        <v>42</v>
      </c>
      <c r="S288" t="s">
        <v>55</v>
      </c>
      <c r="T288" t="s">
        <v>49</v>
      </c>
      <c r="U288" t="s">
        <v>53</v>
      </c>
      <c r="V288" t="s">
        <v>36</v>
      </c>
      <c r="W288" t="s">
        <v>37</v>
      </c>
      <c r="X288" s="6">
        <v>1.43884892086331</v>
      </c>
      <c r="Y288" s="6">
        <v>98.561151079136692</v>
      </c>
      <c r="Z288" t="s">
        <v>40</v>
      </c>
      <c r="AA288" t="s">
        <v>49</v>
      </c>
      <c r="AB288" t="s">
        <v>38</v>
      </c>
      <c r="AC288" s="8">
        <v>-1.8800000000000011E-2</v>
      </c>
    </row>
    <row r="289" spans="1:29" x14ac:dyDescent="0.3">
      <c r="A289" s="7">
        <v>288</v>
      </c>
      <c r="B289" s="1">
        <v>40556</v>
      </c>
      <c r="C289" s="7">
        <v>1</v>
      </c>
      <c r="D289" s="7">
        <v>10</v>
      </c>
      <c r="E289" t="b">
        <v>0</v>
      </c>
      <c r="F289" s="7">
        <v>4</v>
      </c>
      <c r="G289" s="7">
        <v>2</v>
      </c>
      <c r="H289" s="6">
        <v>0.16</v>
      </c>
      <c r="I289" s="8">
        <v>0.13639999999999999</v>
      </c>
      <c r="J289" s="6">
        <v>0.5</v>
      </c>
      <c r="K289" s="8">
        <v>0.35820000000000002</v>
      </c>
      <c r="L289" s="7">
        <v>2</v>
      </c>
      <c r="M289" s="7">
        <v>36</v>
      </c>
      <c r="N289" s="7">
        <v>38</v>
      </c>
      <c r="O289" t="s">
        <v>29</v>
      </c>
      <c r="P289" t="s">
        <v>58</v>
      </c>
      <c r="Q289" t="s">
        <v>41</v>
      </c>
      <c r="R289" t="s">
        <v>42</v>
      </c>
      <c r="S289" t="s">
        <v>33</v>
      </c>
      <c r="T289" t="s">
        <v>49</v>
      </c>
      <c r="U289" t="s">
        <v>53</v>
      </c>
      <c r="V289" t="s">
        <v>36</v>
      </c>
      <c r="W289" t="s">
        <v>37</v>
      </c>
      <c r="X289" s="6">
        <v>5.2631578947368416</v>
      </c>
      <c r="Y289" s="6">
        <v>94.73684210526315</v>
      </c>
      <c r="Z289" t="s">
        <v>38</v>
      </c>
      <c r="AA289" t="s">
        <v>39</v>
      </c>
      <c r="AB289" t="s">
        <v>38</v>
      </c>
      <c r="AC289" s="8">
        <v>-2.360000000000001E-2</v>
      </c>
    </row>
    <row r="290" spans="1:29" x14ac:dyDescent="0.3">
      <c r="A290" s="7">
        <v>289</v>
      </c>
      <c r="B290" s="1">
        <v>40556</v>
      </c>
      <c r="C290" s="7">
        <v>1</v>
      </c>
      <c r="D290" s="7">
        <v>11</v>
      </c>
      <c r="E290" t="b">
        <v>0</v>
      </c>
      <c r="F290" s="7">
        <v>4</v>
      </c>
      <c r="G290" s="7">
        <v>2</v>
      </c>
      <c r="H290" s="6">
        <v>0.2</v>
      </c>
      <c r="I290" s="8">
        <v>0.16669999999999999</v>
      </c>
      <c r="J290" s="6">
        <v>0.44</v>
      </c>
      <c r="K290" s="8">
        <v>0.44779999999999998</v>
      </c>
      <c r="L290" s="7">
        <v>4</v>
      </c>
      <c r="M290" s="7">
        <v>33</v>
      </c>
      <c r="N290" s="7">
        <v>37</v>
      </c>
      <c r="O290" t="s">
        <v>29</v>
      </c>
      <c r="P290" t="s">
        <v>58</v>
      </c>
      <c r="Q290" t="s">
        <v>41</v>
      </c>
      <c r="R290" t="s">
        <v>42</v>
      </c>
      <c r="S290" t="s">
        <v>33</v>
      </c>
      <c r="T290" t="s">
        <v>49</v>
      </c>
      <c r="U290" t="s">
        <v>53</v>
      </c>
      <c r="V290" t="s">
        <v>36</v>
      </c>
      <c r="W290" t="s">
        <v>37</v>
      </c>
      <c r="X290" s="6">
        <v>10.810810810810811</v>
      </c>
      <c r="Y290" s="6">
        <v>89.189189189189193</v>
      </c>
      <c r="Z290" t="s">
        <v>38</v>
      </c>
      <c r="AA290" t="s">
        <v>39</v>
      </c>
      <c r="AB290" t="s">
        <v>38</v>
      </c>
      <c r="AC290" s="8">
        <v>-3.3300000000000017E-2</v>
      </c>
    </row>
    <row r="291" spans="1:29" x14ac:dyDescent="0.3">
      <c r="A291" s="7">
        <v>290</v>
      </c>
      <c r="B291" s="1">
        <v>40556</v>
      </c>
      <c r="C291" s="7">
        <v>1</v>
      </c>
      <c r="D291" s="7">
        <v>12</v>
      </c>
      <c r="E291" t="b">
        <v>0</v>
      </c>
      <c r="F291" s="7">
        <v>4</v>
      </c>
      <c r="G291" s="7">
        <v>1</v>
      </c>
      <c r="H291" s="6">
        <v>0.2</v>
      </c>
      <c r="I291" s="8">
        <v>0.16669999999999999</v>
      </c>
      <c r="J291" s="6">
        <v>0.44</v>
      </c>
      <c r="K291" s="8">
        <v>0.41789999999999999</v>
      </c>
      <c r="L291" s="7">
        <v>3</v>
      </c>
      <c r="M291" s="7">
        <v>49</v>
      </c>
      <c r="N291" s="7">
        <v>52</v>
      </c>
      <c r="O291" t="s">
        <v>29</v>
      </c>
      <c r="P291" t="s">
        <v>58</v>
      </c>
      <c r="Q291" t="s">
        <v>31</v>
      </c>
      <c r="R291" t="s">
        <v>47</v>
      </c>
      <c r="S291" t="s">
        <v>33</v>
      </c>
      <c r="T291" t="s">
        <v>49</v>
      </c>
      <c r="U291" t="s">
        <v>53</v>
      </c>
      <c r="V291" t="s">
        <v>36</v>
      </c>
      <c r="W291" t="s">
        <v>37</v>
      </c>
      <c r="X291" s="6">
        <v>5.7692307692307692</v>
      </c>
      <c r="Y291" s="6">
        <v>94.230769230769226</v>
      </c>
      <c r="Z291" t="s">
        <v>38</v>
      </c>
      <c r="AA291" t="s">
        <v>39</v>
      </c>
      <c r="AB291" t="s">
        <v>38</v>
      </c>
      <c r="AC291" s="8">
        <v>-3.3300000000000017E-2</v>
      </c>
    </row>
    <row r="292" spans="1:29" x14ac:dyDescent="0.3">
      <c r="A292" s="7">
        <v>291</v>
      </c>
      <c r="B292" s="1">
        <v>40556</v>
      </c>
      <c r="C292" s="7">
        <v>1</v>
      </c>
      <c r="D292" s="7">
        <v>13</v>
      </c>
      <c r="E292" t="b">
        <v>0</v>
      </c>
      <c r="F292" s="7">
        <v>4</v>
      </c>
      <c r="G292" s="7">
        <v>1</v>
      </c>
      <c r="H292" s="6">
        <v>0.22</v>
      </c>
      <c r="I292" s="8">
        <v>0.19700000000000001</v>
      </c>
      <c r="J292" s="6">
        <v>0.41</v>
      </c>
      <c r="K292" s="8">
        <v>0.44779999999999998</v>
      </c>
      <c r="L292" s="7">
        <v>2</v>
      </c>
      <c r="M292" s="7">
        <v>81</v>
      </c>
      <c r="N292" s="7">
        <v>83</v>
      </c>
      <c r="O292" t="s">
        <v>29</v>
      </c>
      <c r="P292" t="s">
        <v>58</v>
      </c>
      <c r="Q292" t="s">
        <v>31</v>
      </c>
      <c r="R292" t="s">
        <v>47</v>
      </c>
      <c r="S292" t="s">
        <v>33</v>
      </c>
      <c r="T292" t="s">
        <v>49</v>
      </c>
      <c r="U292" t="s">
        <v>53</v>
      </c>
      <c r="V292" t="s">
        <v>36</v>
      </c>
      <c r="W292" t="s">
        <v>37</v>
      </c>
      <c r="X292" s="6">
        <v>2.4096385542168681</v>
      </c>
      <c r="Y292" s="6">
        <v>97.590361445783131</v>
      </c>
      <c r="Z292" t="s">
        <v>38</v>
      </c>
      <c r="AA292" t="s">
        <v>39</v>
      </c>
      <c r="AB292" t="s">
        <v>38</v>
      </c>
      <c r="AC292" s="8">
        <v>-2.2999999999999989E-2</v>
      </c>
    </row>
    <row r="293" spans="1:29" x14ac:dyDescent="0.3">
      <c r="A293" s="7">
        <v>292</v>
      </c>
      <c r="B293" s="1">
        <v>40556</v>
      </c>
      <c r="C293" s="7">
        <v>1</v>
      </c>
      <c r="D293" s="7">
        <v>14</v>
      </c>
      <c r="E293" t="b">
        <v>0</v>
      </c>
      <c r="F293" s="7">
        <v>4</v>
      </c>
      <c r="G293" s="7">
        <v>1</v>
      </c>
      <c r="H293" s="6">
        <v>0.22</v>
      </c>
      <c r="I293" s="8">
        <v>0.19700000000000001</v>
      </c>
      <c r="J293" s="6">
        <v>0.41</v>
      </c>
      <c r="K293" s="8">
        <v>0.3881</v>
      </c>
      <c r="L293" s="7">
        <v>3</v>
      </c>
      <c r="M293" s="7">
        <v>39</v>
      </c>
      <c r="N293" s="7">
        <v>42</v>
      </c>
      <c r="O293" t="s">
        <v>29</v>
      </c>
      <c r="P293" t="s">
        <v>58</v>
      </c>
      <c r="Q293" t="s">
        <v>31</v>
      </c>
      <c r="R293" t="s">
        <v>47</v>
      </c>
      <c r="S293" t="s">
        <v>33</v>
      </c>
      <c r="T293" t="s">
        <v>49</v>
      </c>
      <c r="U293" t="s">
        <v>53</v>
      </c>
      <c r="V293" t="s">
        <v>36</v>
      </c>
      <c r="W293" t="s">
        <v>37</v>
      </c>
      <c r="X293" s="6">
        <v>7.1428571428571423</v>
      </c>
      <c r="Y293" s="6">
        <v>92.857142857142861</v>
      </c>
      <c r="Z293" t="s">
        <v>38</v>
      </c>
      <c r="AA293" t="s">
        <v>39</v>
      </c>
      <c r="AB293" t="s">
        <v>38</v>
      </c>
      <c r="AC293" s="8">
        <v>-2.2999999999999989E-2</v>
      </c>
    </row>
    <row r="294" spans="1:29" x14ac:dyDescent="0.3">
      <c r="A294" s="7">
        <v>293</v>
      </c>
      <c r="B294" s="1">
        <v>40556</v>
      </c>
      <c r="C294" s="7">
        <v>1</v>
      </c>
      <c r="D294" s="7">
        <v>15</v>
      </c>
      <c r="E294" t="b">
        <v>0</v>
      </c>
      <c r="F294" s="7">
        <v>4</v>
      </c>
      <c r="G294" s="7">
        <v>1</v>
      </c>
      <c r="H294" s="6">
        <v>0.24</v>
      </c>
      <c r="I294" s="8">
        <v>0.21210000000000001</v>
      </c>
      <c r="J294" s="6">
        <v>0.38</v>
      </c>
      <c r="K294" s="8">
        <v>0.29849999999999999</v>
      </c>
      <c r="L294" s="7">
        <v>5</v>
      </c>
      <c r="M294" s="7">
        <v>55</v>
      </c>
      <c r="N294" s="7">
        <v>60</v>
      </c>
      <c r="O294" t="s">
        <v>29</v>
      </c>
      <c r="P294" t="s">
        <v>58</v>
      </c>
      <c r="Q294" t="s">
        <v>31</v>
      </c>
      <c r="R294" t="s">
        <v>47</v>
      </c>
      <c r="S294" t="s">
        <v>33</v>
      </c>
      <c r="T294" t="s">
        <v>39</v>
      </c>
      <c r="U294" t="s">
        <v>46</v>
      </c>
      <c r="V294" t="s">
        <v>36</v>
      </c>
      <c r="W294" t="s">
        <v>37</v>
      </c>
      <c r="X294" s="6">
        <v>8.3333333333333321</v>
      </c>
      <c r="Y294" s="6">
        <v>91.666666666666657</v>
      </c>
      <c r="Z294" t="s">
        <v>38</v>
      </c>
      <c r="AA294" t="s">
        <v>39</v>
      </c>
      <c r="AB294" t="s">
        <v>38</v>
      </c>
      <c r="AC294" s="8">
        <v>-2.789999999999998E-2</v>
      </c>
    </row>
    <row r="295" spans="1:29" x14ac:dyDescent="0.3">
      <c r="A295" s="7">
        <v>294</v>
      </c>
      <c r="B295" s="1">
        <v>40556</v>
      </c>
      <c r="C295" s="7">
        <v>1</v>
      </c>
      <c r="D295" s="7">
        <v>16</v>
      </c>
      <c r="E295" t="b">
        <v>0</v>
      </c>
      <c r="F295" s="7">
        <v>4</v>
      </c>
      <c r="G295" s="7">
        <v>1</v>
      </c>
      <c r="H295" s="6">
        <v>0.24</v>
      </c>
      <c r="I295" s="8">
        <v>0.21210000000000001</v>
      </c>
      <c r="J295" s="6">
        <v>0.38</v>
      </c>
      <c r="K295" s="8">
        <v>0.35820000000000002</v>
      </c>
      <c r="L295" s="7">
        <v>2</v>
      </c>
      <c r="M295" s="7">
        <v>76</v>
      </c>
      <c r="N295" s="7">
        <v>78</v>
      </c>
      <c r="O295" t="s">
        <v>29</v>
      </c>
      <c r="P295" t="s">
        <v>58</v>
      </c>
      <c r="Q295" t="s">
        <v>31</v>
      </c>
      <c r="R295" t="s">
        <v>47</v>
      </c>
      <c r="S295" t="s">
        <v>33</v>
      </c>
      <c r="T295" t="s">
        <v>39</v>
      </c>
      <c r="U295" t="s">
        <v>53</v>
      </c>
      <c r="V295" t="s">
        <v>36</v>
      </c>
      <c r="W295" t="s">
        <v>37</v>
      </c>
      <c r="X295" s="6">
        <v>2.5641025641025639</v>
      </c>
      <c r="Y295" s="6">
        <v>97.435897435897431</v>
      </c>
      <c r="Z295" t="s">
        <v>38</v>
      </c>
      <c r="AA295" t="s">
        <v>39</v>
      </c>
      <c r="AB295" t="s">
        <v>38</v>
      </c>
      <c r="AC295" s="8">
        <v>-2.789999999999998E-2</v>
      </c>
    </row>
    <row r="296" spans="1:29" x14ac:dyDescent="0.3">
      <c r="A296" s="7">
        <v>295</v>
      </c>
      <c r="B296" s="1">
        <v>40556</v>
      </c>
      <c r="C296" s="7">
        <v>1</v>
      </c>
      <c r="D296" s="7">
        <v>17</v>
      </c>
      <c r="E296" t="b">
        <v>0</v>
      </c>
      <c r="F296" s="7">
        <v>4</v>
      </c>
      <c r="G296" s="7">
        <v>1</v>
      </c>
      <c r="H296" s="6">
        <v>0.2</v>
      </c>
      <c r="I296" s="8">
        <v>0.18179999999999999</v>
      </c>
      <c r="J296" s="6">
        <v>0.4</v>
      </c>
      <c r="K296" s="8">
        <v>0.28360000000000002</v>
      </c>
      <c r="L296" s="7">
        <v>4</v>
      </c>
      <c r="M296" s="7">
        <v>158</v>
      </c>
      <c r="N296" s="7">
        <v>162</v>
      </c>
      <c r="O296" t="s">
        <v>29</v>
      </c>
      <c r="P296" t="s">
        <v>58</v>
      </c>
      <c r="Q296" t="s">
        <v>31</v>
      </c>
      <c r="R296" t="s">
        <v>50</v>
      </c>
      <c r="S296" t="s">
        <v>33</v>
      </c>
      <c r="T296" t="s">
        <v>49</v>
      </c>
      <c r="U296" t="s">
        <v>46</v>
      </c>
      <c r="V296" t="s">
        <v>36</v>
      </c>
      <c r="W296" t="s">
        <v>37</v>
      </c>
      <c r="X296" s="6">
        <v>2.4691358024691361</v>
      </c>
      <c r="Y296" s="6">
        <v>97.53086419753086</v>
      </c>
      <c r="Z296" t="s">
        <v>40</v>
      </c>
      <c r="AA296" t="s">
        <v>49</v>
      </c>
      <c r="AB296" t="s">
        <v>38</v>
      </c>
      <c r="AC296" s="8">
        <v>-1.8200000000000022E-2</v>
      </c>
    </row>
    <row r="297" spans="1:29" x14ac:dyDescent="0.3">
      <c r="A297" s="7">
        <v>296</v>
      </c>
      <c r="B297" s="1">
        <v>40556</v>
      </c>
      <c r="C297" s="7">
        <v>1</v>
      </c>
      <c r="D297" s="7">
        <v>18</v>
      </c>
      <c r="E297" t="b">
        <v>0</v>
      </c>
      <c r="F297" s="7">
        <v>4</v>
      </c>
      <c r="G297" s="7">
        <v>1</v>
      </c>
      <c r="H297" s="6">
        <v>0.2</v>
      </c>
      <c r="I297" s="8">
        <v>0.18179999999999999</v>
      </c>
      <c r="J297" s="6">
        <v>0.4</v>
      </c>
      <c r="K297" s="8">
        <v>0.32840000000000003</v>
      </c>
      <c r="L297" s="7">
        <v>3</v>
      </c>
      <c r="M297" s="7">
        <v>141</v>
      </c>
      <c r="N297" s="7">
        <v>144</v>
      </c>
      <c r="O297" t="s">
        <v>29</v>
      </c>
      <c r="P297" t="s">
        <v>58</v>
      </c>
      <c r="Q297" t="s">
        <v>31</v>
      </c>
      <c r="R297" t="s">
        <v>50</v>
      </c>
      <c r="S297" t="s">
        <v>33</v>
      </c>
      <c r="T297" t="s">
        <v>49</v>
      </c>
      <c r="U297" t="s">
        <v>53</v>
      </c>
      <c r="V297" t="s">
        <v>36</v>
      </c>
      <c r="W297" t="s">
        <v>37</v>
      </c>
      <c r="X297" s="6">
        <v>2.083333333333333</v>
      </c>
      <c r="Y297" s="6">
        <v>97.916666666666657</v>
      </c>
      <c r="Z297" t="s">
        <v>40</v>
      </c>
      <c r="AA297" t="s">
        <v>49</v>
      </c>
      <c r="AB297" t="s">
        <v>38</v>
      </c>
      <c r="AC297" s="8">
        <v>-1.8200000000000022E-2</v>
      </c>
    </row>
    <row r="298" spans="1:29" x14ac:dyDescent="0.3">
      <c r="A298" s="7">
        <v>297</v>
      </c>
      <c r="B298" s="1">
        <v>40556</v>
      </c>
      <c r="C298" s="7">
        <v>1</v>
      </c>
      <c r="D298" s="7">
        <v>19</v>
      </c>
      <c r="E298" t="b">
        <v>0</v>
      </c>
      <c r="F298" s="7">
        <v>4</v>
      </c>
      <c r="G298" s="7">
        <v>1</v>
      </c>
      <c r="H298" s="6">
        <v>0.16</v>
      </c>
      <c r="I298" s="8">
        <v>0.1515</v>
      </c>
      <c r="J298" s="6">
        <v>0.47</v>
      </c>
      <c r="K298" s="8">
        <v>0.25369999999999998</v>
      </c>
      <c r="L298" s="7">
        <v>1</v>
      </c>
      <c r="M298" s="7">
        <v>98</v>
      </c>
      <c r="N298" s="7">
        <v>99</v>
      </c>
      <c r="O298" t="s">
        <v>29</v>
      </c>
      <c r="P298" t="s">
        <v>58</v>
      </c>
      <c r="Q298" t="s">
        <v>31</v>
      </c>
      <c r="R298" t="s">
        <v>50</v>
      </c>
      <c r="S298" t="s">
        <v>33</v>
      </c>
      <c r="T298" t="s">
        <v>49</v>
      </c>
      <c r="U298" t="s">
        <v>46</v>
      </c>
      <c r="V298" t="s">
        <v>36</v>
      </c>
      <c r="W298" t="s">
        <v>37</v>
      </c>
      <c r="X298" s="6">
        <v>1.0101010101010099</v>
      </c>
      <c r="Y298" s="6">
        <v>98.98989898989899</v>
      </c>
      <c r="Z298" t="s">
        <v>40</v>
      </c>
      <c r="AA298" t="s">
        <v>39</v>
      </c>
      <c r="AB298" t="s">
        <v>38</v>
      </c>
      <c r="AC298" s="8">
        <v>-8.5000000000000075E-3</v>
      </c>
    </row>
    <row r="299" spans="1:29" x14ac:dyDescent="0.3">
      <c r="A299" s="7">
        <v>298</v>
      </c>
      <c r="B299" s="1">
        <v>40556</v>
      </c>
      <c r="C299" s="7">
        <v>1</v>
      </c>
      <c r="D299" s="7">
        <v>20</v>
      </c>
      <c r="E299" t="b">
        <v>0</v>
      </c>
      <c r="F299" s="7">
        <v>4</v>
      </c>
      <c r="G299" s="7">
        <v>1</v>
      </c>
      <c r="H299" s="6">
        <v>0.16</v>
      </c>
      <c r="I299" s="8">
        <v>0.1515</v>
      </c>
      <c r="J299" s="6">
        <v>0.47</v>
      </c>
      <c r="K299" s="8">
        <v>0.22389999999999999</v>
      </c>
      <c r="L299" s="7">
        <v>0</v>
      </c>
      <c r="M299" s="7">
        <v>64</v>
      </c>
      <c r="N299" s="7">
        <v>64</v>
      </c>
      <c r="O299" t="s">
        <v>29</v>
      </c>
      <c r="P299" t="s">
        <v>58</v>
      </c>
      <c r="Q299" t="s">
        <v>31</v>
      </c>
      <c r="R299" t="s">
        <v>50</v>
      </c>
      <c r="S299" t="s">
        <v>33</v>
      </c>
      <c r="T299" t="s">
        <v>49</v>
      </c>
      <c r="U299" t="s">
        <v>46</v>
      </c>
      <c r="V299" t="s">
        <v>36</v>
      </c>
      <c r="W299" t="s">
        <v>37</v>
      </c>
      <c r="X299" s="6">
        <v>0</v>
      </c>
      <c r="Y299" s="6">
        <v>100</v>
      </c>
      <c r="Z299" t="s">
        <v>38</v>
      </c>
      <c r="AA299" t="s">
        <v>39</v>
      </c>
      <c r="AB299" t="s">
        <v>38</v>
      </c>
      <c r="AC299" s="8">
        <v>-8.5000000000000075E-3</v>
      </c>
    </row>
    <row r="300" spans="1:29" x14ac:dyDescent="0.3">
      <c r="A300" s="7">
        <v>299</v>
      </c>
      <c r="B300" s="1">
        <v>40556</v>
      </c>
      <c r="C300" s="7">
        <v>1</v>
      </c>
      <c r="D300" s="7">
        <v>21</v>
      </c>
      <c r="E300" t="b">
        <v>0</v>
      </c>
      <c r="F300" s="7">
        <v>4</v>
      </c>
      <c r="G300" s="7">
        <v>1</v>
      </c>
      <c r="H300" s="6">
        <v>0.14000000000000001</v>
      </c>
      <c r="I300" s="8">
        <v>0.1212</v>
      </c>
      <c r="J300" s="6">
        <v>0.46</v>
      </c>
      <c r="K300" s="8">
        <v>0.29849999999999999</v>
      </c>
      <c r="L300" s="7">
        <v>0</v>
      </c>
      <c r="M300" s="7">
        <v>40</v>
      </c>
      <c r="N300" s="7">
        <v>40</v>
      </c>
      <c r="O300" t="s">
        <v>29</v>
      </c>
      <c r="P300" t="s">
        <v>58</v>
      </c>
      <c r="Q300" t="s">
        <v>31</v>
      </c>
      <c r="R300" t="s">
        <v>32</v>
      </c>
      <c r="S300" t="s">
        <v>55</v>
      </c>
      <c r="T300" t="s">
        <v>49</v>
      </c>
      <c r="U300" t="s">
        <v>46</v>
      </c>
      <c r="V300" t="s">
        <v>36</v>
      </c>
      <c r="W300" t="s">
        <v>37</v>
      </c>
      <c r="X300" s="6">
        <v>0</v>
      </c>
      <c r="Y300" s="6">
        <v>100</v>
      </c>
      <c r="Z300" t="s">
        <v>38</v>
      </c>
      <c r="AA300" t="s">
        <v>39</v>
      </c>
      <c r="AB300" t="s">
        <v>38</v>
      </c>
      <c r="AC300" s="8">
        <v>-1.8800000000000011E-2</v>
      </c>
    </row>
    <row r="301" spans="1:29" x14ac:dyDescent="0.3">
      <c r="A301" s="7">
        <v>300</v>
      </c>
      <c r="B301" s="1">
        <v>40556</v>
      </c>
      <c r="C301" s="7">
        <v>1</v>
      </c>
      <c r="D301" s="7">
        <v>22</v>
      </c>
      <c r="E301" t="b">
        <v>0</v>
      </c>
      <c r="F301" s="7">
        <v>4</v>
      </c>
      <c r="G301" s="7">
        <v>1</v>
      </c>
      <c r="H301" s="6">
        <v>0.14000000000000001</v>
      </c>
      <c r="I301" s="8">
        <v>0.1212</v>
      </c>
      <c r="J301" s="6">
        <v>0.46</v>
      </c>
      <c r="K301" s="8">
        <v>0.32840000000000003</v>
      </c>
      <c r="L301" s="7">
        <v>0</v>
      </c>
      <c r="M301" s="7">
        <v>30</v>
      </c>
      <c r="N301" s="7">
        <v>30</v>
      </c>
      <c r="O301" t="s">
        <v>29</v>
      </c>
      <c r="P301" t="s">
        <v>58</v>
      </c>
      <c r="Q301" t="s">
        <v>31</v>
      </c>
      <c r="R301" t="s">
        <v>32</v>
      </c>
      <c r="S301" t="s">
        <v>55</v>
      </c>
      <c r="T301" t="s">
        <v>49</v>
      </c>
      <c r="U301" t="s">
        <v>53</v>
      </c>
      <c r="V301" t="s">
        <v>36</v>
      </c>
      <c r="W301" t="s">
        <v>37</v>
      </c>
      <c r="X301" s="6">
        <v>0</v>
      </c>
      <c r="Y301" s="6">
        <v>100</v>
      </c>
      <c r="Z301" t="s">
        <v>38</v>
      </c>
      <c r="AA301" t="s">
        <v>39</v>
      </c>
      <c r="AB301" t="s">
        <v>38</v>
      </c>
      <c r="AC301" s="8">
        <v>-1.8800000000000011E-2</v>
      </c>
    </row>
    <row r="302" spans="1:29" x14ac:dyDescent="0.3">
      <c r="A302" s="7">
        <v>301</v>
      </c>
      <c r="B302" s="1">
        <v>40556</v>
      </c>
      <c r="C302" s="7">
        <v>1</v>
      </c>
      <c r="D302" s="7">
        <v>23</v>
      </c>
      <c r="E302" t="b">
        <v>0</v>
      </c>
      <c r="F302" s="7">
        <v>4</v>
      </c>
      <c r="G302" s="7">
        <v>1</v>
      </c>
      <c r="H302" s="6">
        <v>0.12</v>
      </c>
      <c r="I302" s="8">
        <v>0.13639999999999999</v>
      </c>
      <c r="J302" s="6">
        <v>0.5</v>
      </c>
      <c r="K302" s="8">
        <v>0.19400000000000001</v>
      </c>
      <c r="L302" s="7">
        <v>1</v>
      </c>
      <c r="M302" s="7">
        <v>14</v>
      </c>
      <c r="N302" s="7">
        <v>15</v>
      </c>
      <c r="O302" t="s">
        <v>29</v>
      </c>
      <c r="P302" t="s">
        <v>58</v>
      </c>
      <c r="Q302" t="s">
        <v>31</v>
      </c>
      <c r="R302" t="s">
        <v>32</v>
      </c>
      <c r="S302" t="s">
        <v>55</v>
      </c>
      <c r="T302" t="s">
        <v>49</v>
      </c>
      <c r="U302" t="s">
        <v>46</v>
      </c>
      <c r="V302" t="s">
        <v>36</v>
      </c>
      <c r="W302" t="s">
        <v>37</v>
      </c>
      <c r="X302" s="6">
        <v>6.666666666666667</v>
      </c>
      <c r="Y302" s="6">
        <v>93.333333333333329</v>
      </c>
      <c r="Z302" t="s">
        <v>38</v>
      </c>
      <c r="AA302" t="s">
        <v>39</v>
      </c>
      <c r="AB302" t="s">
        <v>38</v>
      </c>
      <c r="AC302" s="8">
        <v>1.6400000000000001E-2</v>
      </c>
    </row>
    <row r="303" spans="1:29" x14ac:dyDescent="0.3">
      <c r="A303" s="7">
        <v>302</v>
      </c>
      <c r="B303" s="1">
        <v>40557</v>
      </c>
      <c r="C303" s="7">
        <v>1</v>
      </c>
      <c r="D303" s="7">
        <v>0</v>
      </c>
      <c r="E303" t="b">
        <v>0</v>
      </c>
      <c r="F303" s="7">
        <v>5</v>
      </c>
      <c r="G303" s="7">
        <v>1</v>
      </c>
      <c r="H303" s="6">
        <v>0.12</v>
      </c>
      <c r="I303" s="8">
        <v>0.13639999999999999</v>
      </c>
      <c r="J303" s="6">
        <v>0.5</v>
      </c>
      <c r="K303" s="8">
        <v>0.19400000000000001</v>
      </c>
      <c r="L303" s="7">
        <v>0</v>
      </c>
      <c r="M303" s="7">
        <v>14</v>
      </c>
      <c r="N303" s="7">
        <v>14</v>
      </c>
      <c r="O303" t="s">
        <v>29</v>
      </c>
      <c r="P303" t="s">
        <v>59</v>
      </c>
      <c r="Q303" t="s">
        <v>31</v>
      </c>
      <c r="R303" t="s">
        <v>32</v>
      </c>
      <c r="S303" t="s">
        <v>55</v>
      </c>
      <c r="T303" t="s">
        <v>49</v>
      </c>
      <c r="U303" t="s">
        <v>46</v>
      </c>
      <c r="V303" t="s">
        <v>36</v>
      </c>
      <c r="W303" t="s">
        <v>37</v>
      </c>
      <c r="X303" s="6">
        <v>0</v>
      </c>
      <c r="Y303" s="6">
        <v>100</v>
      </c>
      <c r="Z303" t="s">
        <v>38</v>
      </c>
      <c r="AA303" t="s">
        <v>39</v>
      </c>
      <c r="AB303" t="s">
        <v>38</v>
      </c>
      <c r="AC303" s="8">
        <v>1.6400000000000001E-2</v>
      </c>
    </row>
    <row r="304" spans="1:29" x14ac:dyDescent="0.3">
      <c r="A304" s="7">
        <v>303</v>
      </c>
      <c r="B304" s="1">
        <v>40557</v>
      </c>
      <c r="C304" s="7">
        <v>1</v>
      </c>
      <c r="D304" s="7">
        <v>1</v>
      </c>
      <c r="E304" t="b">
        <v>0</v>
      </c>
      <c r="F304" s="7">
        <v>5</v>
      </c>
      <c r="G304" s="7">
        <v>1</v>
      </c>
      <c r="H304" s="6">
        <v>0.1</v>
      </c>
      <c r="I304" s="8">
        <v>0.1212</v>
      </c>
      <c r="J304" s="6">
        <v>0.54</v>
      </c>
      <c r="K304" s="8">
        <v>0.16420000000000001</v>
      </c>
      <c r="L304" s="7">
        <v>0</v>
      </c>
      <c r="M304" s="7">
        <v>5</v>
      </c>
      <c r="N304" s="7">
        <v>5</v>
      </c>
      <c r="O304" t="s">
        <v>29</v>
      </c>
      <c r="P304" t="s">
        <v>59</v>
      </c>
      <c r="Q304" t="s">
        <v>31</v>
      </c>
      <c r="R304" t="s">
        <v>32</v>
      </c>
      <c r="S304" t="s">
        <v>55</v>
      </c>
      <c r="T304" t="s">
        <v>49</v>
      </c>
      <c r="U304" t="s">
        <v>46</v>
      </c>
      <c r="V304" t="s">
        <v>36</v>
      </c>
      <c r="W304" t="s">
        <v>37</v>
      </c>
      <c r="X304" s="6">
        <v>0</v>
      </c>
      <c r="Y304" s="6">
        <v>100</v>
      </c>
      <c r="Z304" t="s">
        <v>38</v>
      </c>
      <c r="AA304" t="s">
        <v>39</v>
      </c>
      <c r="AB304" t="s">
        <v>38</v>
      </c>
      <c r="AC304" s="8">
        <v>2.12E-2</v>
      </c>
    </row>
    <row r="305" spans="1:29" x14ac:dyDescent="0.3">
      <c r="A305" s="7">
        <v>304</v>
      </c>
      <c r="B305" s="1">
        <v>40557</v>
      </c>
      <c r="C305" s="7">
        <v>1</v>
      </c>
      <c r="D305" s="7">
        <v>2</v>
      </c>
      <c r="E305" t="b">
        <v>0</v>
      </c>
      <c r="F305" s="7">
        <v>5</v>
      </c>
      <c r="G305" s="7">
        <v>1</v>
      </c>
      <c r="H305" s="6">
        <v>0.1</v>
      </c>
      <c r="I305" s="8">
        <v>0.1212</v>
      </c>
      <c r="J305" s="6">
        <v>0.54</v>
      </c>
      <c r="K305" s="8">
        <v>0.1343</v>
      </c>
      <c r="L305" s="7">
        <v>0</v>
      </c>
      <c r="M305" s="7">
        <v>1</v>
      </c>
      <c r="N305" s="7">
        <v>1</v>
      </c>
      <c r="O305" t="s">
        <v>29</v>
      </c>
      <c r="P305" t="s">
        <v>59</v>
      </c>
      <c r="Q305" t="s">
        <v>31</v>
      </c>
      <c r="R305" t="s">
        <v>32</v>
      </c>
      <c r="S305" t="s">
        <v>55</v>
      </c>
      <c r="T305" t="s">
        <v>49</v>
      </c>
      <c r="U305" t="s">
        <v>35</v>
      </c>
      <c r="V305" t="s">
        <v>36</v>
      </c>
      <c r="W305" t="s">
        <v>37</v>
      </c>
      <c r="X305" s="6">
        <v>0</v>
      </c>
      <c r="Y305" s="6">
        <v>100</v>
      </c>
      <c r="Z305" t="s">
        <v>38</v>
      </c>
      <c r="AA305" t="s">
        <v>39</v>
      </c>
      <c r="AB305" t="s">
        <v>38</v>
      </c>
      <c r="AC305" s="8">
        <v>2.12E-2</v>
      </c>
    </row>
    <row r="306" spans="1:29" x14ac:dyDescent="0.3">
      <c r="A306" s="7">
        <v>305</v>
      </c>
      <c r="B306" s="1">
        <v>40557</v>
      </c>
      <c r="C306" s="7">
        <v>1</v>
      </c>
      <c r="D306" s="7">
        <v>3</v>
      </c>
      <c r="E306" t="b">
        <v>0</v>
      </c>
      <c r="F306" s="7">
        <v>5</v>
      </c>
      <c r="G306" s="7">
        <v>1</v>
      </c>
      <c r="H306" s="6">
        <v>0.1</v>
      </c>
      <c r="I306" s="8">
        <v>0.13639999999999999</v>
      </c>
      <c r="J306" s="6">
        <v>0.54</v>
      </c>
      <c r="K306" s="8">
        <v>0.1045</v>
      </c>
      <c r="L306" s="7">
        <v>0</v>
      </c>
      <c r="M306" s="7">
        <v>1</v>
      </c>
      <c r="N306" s="7">
        <v>1</v>
      </c>
      <c r="O306" t="s">
        <v>29</v>
      </c>
      <c r="P306" t="s">
        <v>59</v>
      </c>
      <c r="Q306" t="s">
        <v>31</v>
      </c>
      <c r="R306" t="s">
        <v>32</v>
      </c>
      <c r="S306" t="s">
        <v>55</v>
      </c>
      <c r="T306" t="s">
        <v>49</v>
      </c>
      <c r="U306" t="s">
        <v>35</v>
      </c>
      <c r="V306" t="s">
        <v>36</v>
      </c>
      <c r="W306" t="s">
        <v>37</v>
      </c>
      <c r="X306" s="6">
        <v>0</v>
      </c>
      <c r="Y306" s="6">
        <v>100</v>
      </c>
      <c r="Z306" t="s">
        <v>38</v>
      </c>
      <c r="AA306" t="s">
        <v>39</v>
      </c>
      <c r="AB306" t="s">
        <v>38</v>
      </c>
      <c r="AC306" s="8">
        <v>3.6399999999999988E-2</v>
      </c>
    </row>
    <row r="307" spans="1:29" x14ac:dyDescent="0.3">
      <c r="A307" s="7">
        <v>306</v>
      </c>
      <c r="B307" s="1">
        <v>40557</v>
      </c>
      <c r="C307" s="7">
        <v>1</v>
      </c>
      <c r="D307" s="7">
        <v>5</v>
      </c>
      <c r="E307" t="b">
        <v>0</v>
      </c>
      <c r="F307" s="7">
        <v>5</v>
      </c>
      <c r="G307" s="7">
        <v>1</v>
      </c>
      <c r="H307" s="6">
        <v>0.1</v>
      </c>
      <c r="I307" s="8">
        <v>0.13639999999999999</v>
      </c>
      <c r="J307" s="6">
        <v>0.54</v>
      </c>
      <c r="K307" s="8">
        <v>8.9599999999999999E-2</v>
      </c>
      <c r="L307" s="7">
        <v>0</v>
      </c>
      <c r="M307" s="7">
        <v>8</v>
      </c>
      <c r="N307" s="7">
        <v>8</v>
      </c>
      <c r="O307" t="s">
        <v>29</v>
      </c>
      <c r="P307" t="s">
        <v>59</v>
      </c>
      <c r="Q307" t="s">
        <v>31</v>
      </c>
      <c r="R307" t="s">
        <v>32</v>
      </c>
      <c r="S307" t="s">
        <v>55</v>
      </c>
      <c r="T307" t="s">
        <v>49</v>
      </c>
      <c r="U307" t="s">
        <v>35</v>
      </c>
      <c r="V307" t="s">
        <v>36</v>
      </c>
      <c r="W307" t="s">
        <v>37</v>
      </c>
      <c r="X307" s="6">
        <v>0</v>
      </c>
      <c r="Y307" s="6">
        <v>100</v>
      </c>
      <c r="Z307" t="s">
        <v>38</v>
      </c>
      <c r="AA307" t="s">
        <v>39</v>
      </c>
      <c r="AB307" t="s">
        <v>38</v>
      </c>
      <c r="AC307" s="8">
        <v>3.6399999999999988E-2</v>
      </c>
    </row>
    <row r="308" spans="1:29" x14ac:dyDescent="0.3">
      <c r="A308" s="7">
        <v>307</v>
      </c>
      <c r="B308" s="1">
        <v>40557</v>
      </c>
      <c r="C308" s="7">
        <v>1</v>
      </c>
      <c r="D308" s="7">
        <v>6</v>
      </c>
      <c r="E308" t="b">
        <v>0</v>
      </c>
      <c r="F308" s="7">
        <v>5</v>
      </c>
      <c r="G308" s="7">
        <v>1</v>
      </c>
      <c r="H308" s="6">
        <v>0.1</v>
      </c>
      <c r="I308" s="8">
        <v>0.18179999999999999</v>
      </c>
      <c r="J308" s="6">
        <v>0.54</v>
      </c>
      <c r="K308" s="8">
        <v>0</v>
      </c>
      <c r="L308" s="7">
        <v>0</v>
      </c>
      <c r="M308" s="7">
        <v>17</v>
      </c>
      <c r="N308" s="7">
        <v>17</v>
      </c>
      <c r="O308" t="s">
        <v>29</v>
      </c>
      <c r="P308" t="s">
        <v>59</v>
      </c>
      <c r="Q308" t="s">
        <v>31</v>
      </c>
      <c r="R308" t="s">
        <v>42</v>
      </c>
      <c r="S308" t="s">
        <v>55</v>
      </c>
      <c r="T308" t="s">
        <v>49</v>
      </c>
      <c r="U308" t="s">
        <v>35</v>
      </c>
      <c r="V308" t="s">
        <v>36</v>
      </c>
      <c r="W308" t="s">
        <v>37</v>
      </c>
      <c r="X308" s="6">
        <v>0</v>
      </c>
      <c r="Y308" s="6">
        <v>100</v>
      </c>
      <c r="Z308" t="s">
        <v>38</v>
      </c>
      <c r="AA308" t="s">
        <v>39</v>
      </c>
      <c r="AB308" t="s">
        <v>38</v>
      </c>
      <c r="AC308" s="8">
        <v>8.1799999999999984E-2</v>
      </c>
    </row>
    <row r="309" spans="1:29" x14ac:dyDescent="0.3">
      <c r="A309" s="7">
        <v>308</v>
      </c>
      <c r="B309" s="1">
        <v>40557</v>
      </c>
      <c r="C309" s="7">
        <v>1</v>
      </c>
      <c r="D309" s="7">
        <v>7</v>
      </c>
      <c r="E309" t="b">
        <v>0</v>
      </c>
      <c r="F309" s="7">
        <v>5</v>
      </c>
      <c r="G309" s="7">
        <v>1</v>
      </c>
      <c r="H309" s="6">
        <v>0.1</v>
      </c>
      <c r="I309" s="8">
        <v>0.1212</v>
      </c>
      <c r="J309" s="6">
        <v>0.74</v>
      </c>
      <c r="K309" s="8">
        <v>0.16420000000000001</v>
      </c>
      <c r="L309" s="7">
        <v>0</v>
      </c>
      <c r="M309" s="7">
        <v>70</v>
      </c>
      <c r="N309" s="7">
        <v>70</v>
      </c>
      <c r="O309" t="s">
        <v>29</v>
      </c>
      <c r="P309" t="s">
        <v>59</v>
      </c>
      <c r="Q309" t="s">
        <v>31</v>
      </c>
      <c r="R309" t="s">
        <v>42</v>
      </c>
      <c r="S309" t="s">
        <v>55</v>
      </c>
      <c r="T309" t="s">
        <v>34</v>
      </c>
      <c r="U309" t="s">
        <v>46</v>
      </c>
      <c r="V309" t="s">
        <v>36</v>
      </c>
      <c r="W309" t="s">
        <v>37</v>
      </c>
      <c r="X309" s="6">
        <v>0</v>
      </c>
      <c r="Y309" s="6">
        <v>100</v>
      </c>
      <c r="Z309" t="s">
        <v>40</v>
      </c>
      <c r="AA309" t="s">
        <v>39</v>
      </c>
      <c r="AB309" t="s">
        <v>38</v>
      </c>
      <c r="AC309" s="8">
        <v>2.12E-2</v>
      </c>
    </row>
    <row r="310" spans="1:29" x14ac:dyDescent="0.3">
      <c r="A310" s="7">
        <v>309</v>
      </c>
      <c r="B310" s="1">
        <v>40557</v>
      </c>
      <c r="C310" s="7">
        <v>1</v>
      </c>
      <c r="D310" s="7">
        <v>8</v>
      </c>
      <c r="E310" t="b">
        <v>0</v>
      </c>
      <c r="F310" s="7">
        <v>5</v>
      </c>
      <c r="G310" s="7">
        <v>1</v>
      </c>
      <c r="H310" s="6">
        <v>0.12</v>
      </c>
      <c r="I310" s="8">
        <v>0.16669999999999999</v>
      </c>
      <c r="J310" s="6">
        <v>0.68</v>
      </c>
      <c r="K310" s="8">
        <v>0</v>
      </c>
      <c r="L310" s="7">
        <v>2</v>
      </c>
      <c r="M310" s="7">
        <v>156</v>
      </c>
      <c r="N310" s="7">
        <v>158</v>
      </c>
      <c r="O310" t="s">
        <v>29</v>
      </c>
      <c r="P310" t="s">
        <v>59</v>
      </c>
      <c r="Q310" t="s">
        <v>31</v>
      </c>
      <c r="R310" t="s">
        <v>42</v>
      </c>
      <c r="S310" t="s">
        <v>55</v>
      </c>
      <c r="T310" t="s">
        <v>49</v>
      </c>
      <c r="U310" t="s">
        <v>35</v>
      </c>
      <c r="V310" t="s">
        <v>36</v>
      </c>
      <c r="W310" t="s">
        <v>37</v>
      </c>
      <c r="X310" s="6">
        <v>1.2658227848101271</v>
      </c>
      <c r="Y310" s="6">
        <v>98.734177215189874</v>
      </c>
      <c r="Z310" t="s">
        <v>40</v>
      </c>
      <c r="AA310" t="s">
        <v>49</v>
      </c>
      <c r="AB310" t="s">
        <v>38</v>
      </c>
      <c r="AC310" s="8">
        <v>4.6699999999999992E-2</v>
      </c>
    </row>
    <row r="311" spans="1:29" x14ac:dyDescent="0.3">
      <c r="A311" s="7">
        <v>310</v>
      </c>
      <c r="B311" s="1">
        <v>40557</v>
      </c>
      <c r="C311" s="7">
        <v>1</v>
      </c>
      <c r="D311" s="7">
        <v>9</v>
      </c>
      <c r="E311" t="b">
        <v>0</v>
      </c>
      <c r="F311" s="7">
        <v>5</v>
      </c>
      <c r="G311" s="7">
        <v>1</v>
      </c>
      <c r="H311" s="6">
        <v>0.14000000000000001</v>
      </c>
      <c r="I311" s="8">
        <v>0.1515</v>
      </c>
      <c r="J311" s="6">
        <v>0.69</v>
      </c>
      <c r="K311" s="8">
        <v>0.1343</v>
      </c>
      <c r="L311" s="7">
        <v>0</v>
      </c>
      <c r="M311" s="7">
        <v>117</v>
      </c>
      <c r="N311" s="7">
        <v>117</v>
      </c>
      <c r="O311" t="s">
        <v>29</v>
      </c>
      <c r="P311" t="s">
        <v>59</v>
      </c>
      <c r="Q311" t="s">
        <v>31</v>
      </c>
      <c r="R311" t="s">
        <v>42</v>
      </c>
      <c r="S311" t="s">
        <v>55</v>
      </c>
      <c r="T311" t="s">
        <v>49</v>
      </c>
      <c r="U311" t="s">
        <v>35</v>
      </c>
      <c r="V311" t="s">
        <v>36</v>
      </c>
      <c r="W311" t="s">
        <v>37</v>
      </c>
      <c r="X311" s="6">
        <v>0</v>
      </c>
      <c r="Y311" s="6">
        <v>100</v>
      </c>
      <c r="Z311" t="s">
        <v>40</v>
      </c>
      <c r="AA311" t="s">
        <v>49</v>
      </c>
      <c r="AB311" t="s">
        <v>38</v>
      </c>
      <c r="AC311" s="8">
        <v>1.1499999999999981E-2</v>
      </c>
    </row>
    <row r="312" spans="1:29" x14ac:dyDescent="0.3">
      <c r="A312" s="7">
        <v>311</v>
      </c>
      <c r="B312" s="1">
        <v>40557</v>
      </c>
      <c r="C312" s="7">
        <v>1</v>
      </c>
      <c r="D312" s="7">
        <v>10</v>
      </c>
      <c r="E312" t="b">
        <v>0</v>
      </c>
      <c r="F312" s="7">
        <v>5</v>
      </c>
      <c r="G312" s="7">
        <v>1</v>
      </c>
      <c r="H312" s="6">
        <v>0.18</v>
      </c>
      <c r="I312" s="8">
        <v>0.18179999999999999</v>
      </c>
      <c r="J312" s="6">
        <v>0.55000000000000004</v>
      </c>
      <c r="K312" s="8">
        <v>0.19400000000000001</v>
      </c>
      <c r="L312" s="7">
        <v>4</v>
      </c>
      <c r="M312" s="7">
        <v>40</v>
      </c>
      <c r="N312" s="7">
        <v>44</v>
      </c>
      <c r="O312" t="s">
        <v>29</v>
      </c>
      <c r="P312" t="s">
        <v>59</v>
      </c>
      <c r="Q312" t="s">
        <v>31</v>
      </c>
      <c r="R312" t="s">
        <v>42</v>
      </c>
      <c r="S312" t="s">
        <v>33</v>
      </c>
      <c r="T312" t="s">
        <v>49</v>
      </c>
      <c r="U312" t="s">
        <v>46</v>
      </c>
      <c r="V312" t="s">
        <v>36</v>
      </c>
      <c r="W312" t="s">
        <v>37</v>
      </c>
      <c r="X312" s="6">
        <v>9.0909090909090917</v>
      </c>
      <c r="Y312" s="6">
        <v>90.909090909090907</v>
      </c>
      <c r="Z312" t="s">
        <v>38</v>
      </c>
      <c r="AA312" t="s">
        <v>39</v>
      </c>
      <c r="AB312" t="s">
        <v>38</v>
      </c>
      <c r="AC312" s="8">
        <v>1.799999999999996E-3</v>
      </c>
    </row>
    <row r="313" spans="1:29" x14ac:dyDescent="0.3">
      <c r="A313" s="7">
        <v>312</v>
      </c>
      <c r="B313" s="1">
        <v>40557</v>
      </c>
      <c r="C313" s="7">
        <v>1</v>
      </c>
      <c r="D313" s="7">
        <v>11</v>
      </c>
      <c r="E313" t="b">
        <v>0</v>
      </c>
      <c r="F313" s="7">
        <v>5</v>
      </c>
      <c r="G313" s="7">
        <v>1</v>
      </c>
      <c r="H313" s="6">
        <v>0.18</v>
      </c>
      <c r="I313" s="8">
        <v>0.16669999999999999</v>
      </c>
      <c r="J313" s="6">
        <v>0.51</v>
      </c>
      <c r="K313" s="8">
        <v>0.28360000000000002</v>
      </c>
      <c r="L313" s="7">
        <v>6</v>
      </c>
      <c r="M313" s="7">
        <v>47</v>
      </c>
      <c r="N313" s="7">
        <v>53</v>
      </c>
      <c r="O313" t="s">
        <v>29</v>
      </c>
      <c r="P313" t="s">
        <v>59</v>
      </c>
      <c r="Q313" t="s">
        <v>31</v>
      </c>
      <c r="R313" t="s">
        <v>42</v>
      </c>
      <c r="S313" t="s">
        <v>33</v>
      </c>
      <c r="T313" t="s">
        <v>49</v>
      </c>
      <c r="U313" t="s">
        <v>46</v>
      </c>
      <c r="V313" t="s">
        <v>36</v>
      </c>
      <c r="W313" t="s">
        <v>37</v>
      </c>
      <c r="X313" s="6">
        <v>11.32075471698113</v>
      </c>
      <c r="Y313" s="6">
        <v>88.679245283018872</v>
      </c>
      <c r="Z313" t="s">
        <v>38</v>
      </c>
      <c r="AA313" t="s">
        <v>39</v>
      </c>
      <c r="AB313" t="s">
        <v>38</v>
      </c>
      <c r="AC313" s="8">
        <v>-1.330000000000001E-2</v>
      </c>
    </row>
    <row r="314" spans="1:29" x14ac:dyDescent="0.3">
      <c r="A314" s="7">
        <v>313</v>
      </c>
      <c r="B314" s="1">
        <v>40557</v>
      </c>
      <c r="C314" s="7">
        <v>1</v>
      </c>
      <c r="D314" s="7">
        <v>12</v>
      </c>
      <c r="E314" t="b">
        <v>0</v>
      </c>
      <c r="F314" s="7">
        <v>5</v>
      </c>
      <c r="G314" s="7">
        <v>1</v>
      </c>
      <c r="H314" s="6">
        <v>0.2</v>
      </c>
      <c r="I314" s="8">
        <v>0.19700000000000001</v>
      </c>
      <c r="J314" s="6">
        <v>0.44</v>
      </c>
      <c r="K314" s="8">
        <v>0.25369999999999998</v>
      </c>
      <c r="L314" s="7">
        <v>2</v>
      </c>
      <c r="M314" s="7">
        <v>59</v>
      </c>
      <c r="N314" s="7">
        <v>61</v>
      </c>
      <c r="O314" t="s">
        <v>29</v>
      </c>
      <c r="P314" t="s">
        <v>59</v>
      </c>
      <c r="Q314" t="s">
        <v>31</v>
      </c>
      <c r="R314" t="s">
        <v>47</v>
      </c>
      <c r="S314" t="s">
        <v>33</v>
      </c>
      <c r="T314" t="s">
        <v>49</v>
      </c>
      <c r="U314" t="s">
        <v>46</v>
      </c>
      <c r="V314" t="s">
        <v>36</v>
      </c>
      <c r="W314" t="s">
        <v>37</v>
      </c>
      <c r="X314" s="6">
        <v>3.278688524590164</v>
      </c>
      <c r="Y314" s="6">
        <v>96.721311475409834</v>
      </c>
      <c r="Z314" t="s">
        <v>38</v>
      </c>
      <c r="AA314" t="s">
        <v>39</v>
      </c>
      <c r="AB314" t="s">
        <v>38</v>
      </c>
      <c r="AC314" s="8">
        <v>-3.0000000000000031E-3</v>
      </c>
    </row>
    <row r="315" spans="1:29" x14ac:dyDescent="0.3">
      <c r="A315" s="7">
        <v>314</v>
      </c>
      <c r="B315" s="1">
        <v>40557</v>
      </c>
      <c r="C315" s="7">
        <v>1</v>
      </c>
      <c r="D315" s="7">
        <v>13</v>
      </c>
      <c r="E315" t="b">
        <v>0</v>
      </c>
      <c r="F315" s="7">
        <v>5</v>
      </c>
      <c r="G315" s="7">
        <v>1</v>
      </c>
      <c r="H315" s="6">
        <v>0.22</v>
      </c>
      <c r="I315" s="8">
        <v>0.19700000000000001</v>
      </c>
      <c r="J315" s="6">
        <v>0.37</v>
      </c>
      <c r="K315" s="8">
        <v>0.3881</v>
      </c>
      <c r="L315" s="7">
        <v>4</v>
      </c>
      <c r="M315" s="7">
        <v>73</v>
      </c>
      <c r="N315" s="7">
        <v>77</v>
      </c>
      <c r="O315" t="s">
        <v>29</v>
      </c>
      <c r="P315" t="s">
        <v>59</v>
      </c>
      <c r="Q315" t="s">
        <v>31</v>
      </c>
      <c r="R315" t="s">
        <v>47</v>
      </c>
      <c r="S315" t="s">
        <v>33</v>
      </c>
      <c r="T315" t="s">
        <v>39</v>
      </c>
      <c r="U315" t="s">
        <v>53</v>
      </c>
      <c r="V315" t="s">
        <v>36</v>
      </c>
      <c r="W315" t="s">
        <v>37</v>
      </c>
      <c r="X315" s="6">
        <v>5.1948051948051948</v>
      </c>
      <c r="Y315" s="6">
        <v>94.805194805194802</v>
      </c>
      <c r="Z315" t="s">
        <v>38</v>
      </c>
      <c r="AA315" t="s">
        <v>39</v>
      </c>
      <c r="AB315" t="s">
        <v>38</v>
      </c>
      <c r="AC315" s="8">
        <v>-2.2999999999999989E-2</v>
      </c>
    </row>
    <row r="316" spans="1:29" x14ac:dyDescent="0.3">
      <c r="A316" s="7">
        <v>315</v>
      </c>
      <c r="B316" s="1">
        <v>40557</v>
      </c>
      <c r="C316" s="7">
        <v>1</v>
      </c>
      <c r="D316" s="7">
        <v>14</v>
      </c>
      <c r="E316" t="b">
        <v>0</v>
      </c>
      <c r="F316" s="7">
        <v>5</v>
      </c>
      <c r="G316" s="7">
        <v>1</v>
      </c>
      <c r="H316" s="6">
        <v>0.22</v>
      </c>
      <c r="I316" s="8">
        <v>0.21210000000000001</v>
      </c>
      <c r="J316" s="6">
        <v>0.41</v>
      </c>
      <c r="K316" s="8">
        <v>0.28360000000000002</v>
      </c>
      <c r="L316" s="7">
        <v>5</v>
      </c>
      <c r="M316" s="7">
        <v>59</v>
      </c>
      <c r="N316" s="7">
        <v>64</v>
      </c>
      <c r="O316" t="s">
        <v>29</v>
      </c>
      <c r="P316" t="s">
        <v>59</v>
      </c>
      <c r="Q316" t="s">
        <v>31</v>
      </c>
      <c r="R316" t="s">
        <v>47</v>
      </c>
      <c r="S316" t="s">
        <v>33</v>
      </c>
      <c r="T316" t="s">
        <v>49</v>
      </c>
      <c r="U316" t="s">
        <v>46</v>
      </c>
      <c r="V316" t="s">
        <v>36</v>
      </c>
      <c r="W316" t="s">
        <v>37</v>
      </c>
      <c r="X316" s="6">
        <v>7.8125</v>
      </c>
      <c r="Y316" s="6">
        <v>92.1875</v>
      </c>
      <c r="Z316" t="s">
        <v>38</v>
      </c>
      <c r="AA316" t="s">
        <v>39</v>
      </c>
      <c r="AB316" t="s">
        <v>38</v>
      </c>
      <c r="AC316" s="8">
        <v>-7.8999999999999904E-3</v>
      </c>
    </row>
    <row r="317" spans="1:29" x14ac:dyDescent="0.3">
      <c r="A317" s="7">
        <v>316</v>
      </c>
      <c r="B317" s="1">
        <v>40557</v>
      </c>
      <c r="C317" s="7">
        <v>1</v>
      </c>
      <c r="D317" s="7">
        <v>15</v>
      </c>
      <c r="E317" t="b">
        <v>0</v>
      </c>
      <c r="F317" s="7">
        <v>5</v>
      </c>
      <c r="G317" s="7">
        <v>1</v>
      </c>
      <c r="H317" s="6">
        <v>0.24</v>
      </c>
      <c r="I317" s="8">
        <v>0.2424</v>
      </c>
      <c r="J317" s="6">
        <v>0.38</v>
      </c>
      <c r="K317" s="8">
        <v>0.16420000000000001</v>
      </c>
      <c r="L317" s="7">
        <v>9</v>
      </c>
      <c r="M317" s="7">
        <v>59</v>
      </c>
      <c r="N317" s="7">
        <v>68</v>
      </c>
      <c r="O317" t="s">
        <v>29</v>
      </c>
      <c r="P317" t="s">
        <v>59</v>
      </c>
      <c r="Q317" t="s">
        <v>31</v>
      </c>
      <c r="R317" t="s">
        <v>47</v>
      </c>
      <c r="S317" t="s">
        <v>33</v>
      </c>
      <c r="T317" t="s">
        <v>39</v>
      </c>
      <c r="U317" t="s">
        <v>46</v>
      </c>
      <c r="V317" t="s">
        <v>36</v>
      </c>
      <c r="W317" t="s">
        <v>37</v>
      </c>
      <c r="X317" s="6">
        <v>13.23529411764706</v>
      </c>
      <c r="Y317" s="6">
        <v>86.764705882352942</v>
      </c>
      <c r="Z317" t="s">
        <v>38</v>
      </c>
      <c r="AA317" t="s">
        <v>39</v>
      </c>
      <c r="AB317" t="s">
        <v>38</v>
      </c>
      <c r="AC317" s="8">
        <v>2.4000000000000128E-3</v>
      </c>
    </row>
    <row r="318" spans="1:29" x14ac:dyDescent="0.3">
      <c r="A318" s="7">
        <v>317</v>
      </c>
      <c r="B318" s="1">
        <v>40557</v>
      </c>
      <c r="C318" s="7">
        <v>1</v>
      </c>
      <c r="D318" s="7">
        <v>16</v>
      </c>
      <c r="E318" t="b">
        <v>0</v>
      </c>
      <c r="F318" s="7">
        <v>5</v>
      </c>
      <c r="G318" s="7">
        <v>1</v>
      </c>
      <c r="H318" s="6">
        <v>0.22</v>
      </c>
      <c r="I318" s="8">
        <v>0.2424</v>
      </c>
      <c r="J318" s="6">
        <v>0.41</v>
      </c>
      <c r="K318" s="8">
        <v>0.1045</v>
      </c>
      <c r="L318" s="7">
        <v>3</v>
      </c>
      <c r="M318" s="7">
        <v>87</v>
      </c>
      <c r="N318" s="7">
        <v>90</v>
      </c>
      <c r="O318" t="s">
        <v>29</v>
      </c>
      <c r="P318" t="s">
        <v>59</v>
      </c>
      <c r="Q318" t="s">
        <v>31</v>
      </c>
      <c r="R318" t="s">
        <v>47</v>
      </c>
      <c r="S318" t="s">
        <v>33</v>
      </c>
      <c r="T318" t="s">
        <v>49</v>
      </c>
      <c r="U318" t="s">
        <v>35</v>
      </c>
      <c r="V318" t="s">
        <v>36</v>
      </c>
      <c r="W318" t="s">
        <v>37</v>
      </c>
      <c r="X318" s="6">
        <v>3.333333333333333</v>
      </c>
      <c r="Y318" s="6">
        <v>96.666666666666671</v>
      </c>
      <c r="Z318" t="s">
        <v>38</v>
      </c>
      <c r="AA318" t="s">
        <v>39</v>
      </c>
      <c r="AB318" t="s">
        <v>38</v>
      </c>
      <c r="AC318" s="8">
        <v>2.24E-2</v>
      </c>
    </row>
    <row r="319" spans="1:29" x14ac:dyDescent="0.3">
      <c r="A319" s="7">
        <v>318</v>
      </c>
      <c r="B319" s="1">
        <v>40557</v>
      </c>
      <c r="C319" s="7">
        <v>1</v>
      </c>
      <c r="D319" s="7">
        <v>17</v>
      </c>
      <c r="E319" t="b">
        <v>0</v>
      </c>
      <c r="F319" s="7">
        <v>5</v>
      </c>
      <c r="G319" s="7">
        <v>1</v>
      </c>
      <c r="H319" s="6">
        <v>0.22</v>
      </c>
      <c r="I319" s="8">
        <v>0.2273</v>
      </c>
      <c r="J319" s="6">
        <v>0.41</v>
      </c>
      <c r="K319" s="8">
        <v>0.16420000000000001</v>
      </c>
      <c r="L319" s="7">
        <v>4</v>
      </c>
      <c r="M319" s="7">
        <v>155</v>
      </c>
      <c r="N319" s="7">
        <v>159</v>
      </c>
      <c r="O319" t="s">
        <v>29</v>
      </c>
      <c r="P319" t="s">
        <v>59</v>
      </c>
      <c r="Q319" t="s">
        <v>31</v>
      </c>
      <c r="R319" t="s">
        <v>50</v>
      </c>
      <c r="S319" t="s">
        <v>33</v>
      </c>
      <c r="T319" t="s">
        <v>49</v>
      </c>
      <c r="U319" t="s">
        <v>46</v>
      </c>
      <c r="V319" t="s">
        <v>36</v>
      </c>
      <c r="W319" t="s">
        <v>37</v>
      </c>
      <c r="X319" s="6">
        <v>2.5157232704402519</v>
      </c>
      <c r="Y319" s="6">
        <v>97.484276729559753</v>
      </c>
      <c r="Z319" t="s">
        <v>40</v>
      </c>
      <c r="AA319" t="s">
        <v>49</v>
      </c>
      <c r="AB319" t="s">
        <v>38</v>
      </c>
      <c r="AC319" s="8">
        <v>7.3000000000000009E-3</v>
      </c>
    </row>
    <row r="320" spans="1:29" x14ac:dyDescent="0.3">
      <c r="A320" s="7">
        <v>319</v>
      </c>
      <c r="B320" s="1">
        <v>40557</v>
      </c>
      <c r="C320" s="7">
        <v>1</v>
      </c>
      <c r="D320" s="7">
        <v>18</v>
      </c>
      <c r="E320" t="b">
        <v>0</v>
      </c>
      <c r="F320" s="7">
        <v>5</v>
      </c>
      <c r="G320" s="7">
        <v>1</v>
      </c>
      <c r="H320" s="6">
        <v>0.2</v>
      </c>
      <c r="I320" s="8">
        <v>0.2576</v>
      </c>
      <c r="J320" s="6">
        <v>0.47</v>
      </c>
      <c r="K320" s="8">
        <v>0</v>
      </c>
      <c r="L320" s="7">
        <v>5</v>
      </c>
      <c r="M320" s="7">
        <v>134</v>
      </c>
      <c r="N320" s="7">
        <v>139</v>
      </c>
      <c r="O320" t="s">
        <v>29</v>
      </c>
      <c r="P320" t="s">
        <v>59</v>
      </c>
      <c r="Q320" t="s">
        <v>31</v>
      </c>
      <c r="R320" t="s">
        <v>50</v>
      </c>
      <c r="S320" t="s">
        <v>33</v>
      </c>
      <c r="T320" t="s">
        <v>49</v>
      </c>
      <c r="U320" t="s">
        <v>35</v>
      </c>
      <c r="V320" t="s">
        <v>36</v>
      </c>
      <c r="W320" t="s">
        <v>37</v>
      </c>
      <c r="X320" s="6">
        <v>3.5971223021582732</v>
      </c>
      <c r="Y320" s="6">
        <v>96.402877697841731</v>
      </c>
      <c r="Z320" t="s">
        <v>40</v>
      </c>
      <c r="AA320" t="s">
        <v>49</v>
      </c>
      <c r="AB320" t="s">
        <v>38</v>
      </c>
      <c r="AC320" s="8">
        <v>5.7599999999999978E-2</v>
      </c>
    </row>
    <row r="321" spans="1:29" x14ac:dyDescent="0.3">
      <c r="A321" s="7">
        <v>320</v>
      </c>
      <c r="B321" s="1">
        <v>40557</v>
      </c>
      <c r="C321" s="7">
        <v>1</v>
      </c>
      <c r="D321" s="7">
        <v>19</v>
      </c>
      <c r="E321" t="b">
        <v>0</v>
      </c>
      <c r="F321" s="7">
        <v>5</v>
      </c>
      <c r="G321" s="7">
        <v>1</v>
      </c>
      <c r="H321" s="6">
        <v>0.16</v>
      </c>
      <c r="I321" s="8">
        <v>0.19700000000000001</v>
      </c>
      <c r="J321" s="6">
        <v>0.59</v>
      </c>
      <c r="K321" s="8">
        <v>8.9599999999999999E-2</v>
      </c>
      <c r="L321" s="7">
        <v>3</v>
      </c>
      <c r="M321" s="7">
        <v>89</v>
      </c>
      <c r="N321" s="7">
        <v>92</v>
      </c>
      <c r="O321" t="s">
        <v>29</v>
      </c>
      <c r="P321" t="s">
        <v>59</v>
      </c>
      <c r="Q321" t="s">
        <v>31</v>
      </c>
      <c r="R321" t="s">
        <v>50</v>
      </c>
      <c r="S321" t="s">
        <v>33</v>
      </c>
      <c r="T321" t="s">
        <v>49</v>
      </c>
      <c r="U321" t="s">
        <v>35</v>
      </c>
      <c r="V321" t="s">
        <v>36</v>
      </c>
      <c r="W321" t="s">
        <v>37</v>
      </c>
      <c r="X321" s="6">
        <v>3.2608695652173911</v>
      </c>
      <c r="Y321" s="6">
        <v>96.739130434782609</v>
      </c>
      <c r="Z321" t="s">
        <v>40</v>
      </c>
      <c r="AA321" t="s">
        <v>39</v>
      </c>
      <c r="AB321" t="s">
        <v>38</v>
      </c>
      <c r="AC321" s="8">
        <v>3.7000000000000012E-2</v>
      </c>
    </row>
    <row r="322" spans="1:29" x14ac:dyDescent="0.3">
      <c r="A322" s="7">
        <v>321</v>
      </c>
      <c r="B322" s="1">
        <v>40557</v>
      </c>
      <c r="C322" s="7">
        <v>1</v>
      </c>
      <c r="D322" s="7">
        <v>20</v>
      </c>
      <c r="E322" t="b">
        <v>0</v>
      </c>
      <c r="F322" s="7">
        <v>5</v>
      </c>
      <c r="G322" s="7">
        <v>1</v>
      </c>
      <c r="H322" s="6">
        <v>0.18</v>
      </c>
      <c r="I322" s="8">
        <v>0.2424</v>
      </c>
      <c r="J322" s="6">
        <v>0.59</v>
      </c>
      <c r="K322" s="8">
        <v>0</v>
      </c>
      <c r="L322" s="7">
        <v>0</v>
      </c>
      <c r="M322" s="7">
        <v>68</v>
      </c>
      <c r="N322" s="7">
        <v>68</v>
      </c>
      <c r="O322" t="s">
        <v>29</v>
      </c>
      <c r="P322" t="s">
        <v>59</v>
      </c>
      <c r="Q322" t="s">
        <v>31</v>
      </c>
      <c r="R322" t="s">
        <v>50</v>
      </c>
      <c r="S322" t="s">
        <v>33</v>
      </c>
      <c r="T322" t="s">
        <v>49</v>
      </c>
      <c r="U322" t="s">
        <v>35</v>
      </c>
      <c r="V322" t="s">
        <v>36</v>
      </c>
      <c r="W322" t="s">
        <v>37</v>
      </c>
      <c r="X322" s="6">
        <v>0</v>
      </c>
      <c r="Y322" s="6">
        <v>100</v>
      </c>
      <c r="Z322" t="s">
        <v>38</v>
      </c>
      <c r="AA322" t="s">
        <v>39</v>
      </c>
      <c r="AB322" t="s">
        <v>38</v>
      </c>
      <c r="AC322" s="8">
        <v>6.2400000000000011E-2</v>
      </c>
    </row>
    <row r="323" spans="1:29" x14ac:dyDescent="0.3">
      <c r="A323" s="7">
        <v>322</v>
      </c>
      <c r="B323" s="1">
        <v>40557</v>
      </c>
      <c r="C323" s="7">
        <v>1</v>
      </c>
      <c r="D323" s="7">
        <v>21</v>
      </c>
      <c r="E323" t="b">
        <v>0</v>
      </c>
      <c r="F323" s="7">
        <v>5</v>
      </c>
      <c r="G323" s="7">
        <v>1</v>
      </c>
      <c r="H323" s="6">
        <v>0.16</v>
      </c>
      <c r="I323" s="8">
        <v>0.2273</v>
      </c>
      <c r="J323" s="6">
        <v>0.69</v>
      </c>
      <c r="K323" s="8">
        <v>0</v>
      </c>
      <c r="L323" s="7">
        <v>4</v>
      </c>
      <c r="M323" s="7">
        <v>48</v>
      </c>
      <c r="N323" s="7">
        <v>52</v>
      </c>
      <c r="O323" t="s">
        <v>29</v>
      </c>
      <c r="P323" t="s">
        <v>59</v>
      </c>
      <c r="Q323" t="s">
        <v>31</v>
      </c>
      <c r="R323" t="s">
        <v>32</v>
      </c>
      <c r="S323" t="s">
        <v>33</v>
      </c>
      <c r="T323" t="s">
        <v>49</v>
      </c>
      <c r="U323" t="s">
        <v>35</v>
      </c>
      <c r="V323" t="s">
        <v>36</v>
      </c>
      <c r="W323" t="s">
        <v>37</v>
      </c>
      <c r="X323" s="6">
        <v>7.6923076923076934</v>
      </c>
      <c r="Y323" s="6">
        <v>92.307692307692307</v>
      </c>
      <c r="Z323" t="s">
        <v>38</v>
      </c>
      <c r="AA323" t="s">
        <v>39</v>
      </c>
      <c r="AB323" t="s">
        <v>38</v>
      </c>
      <c r="AC323" s="8">
        <v>6.7299999999999999E-2</v>
      </c>
    </row>
    <row r="324" spans="1:29" x14ac:dyDescent="0.3">
      <c r="A324" s="7">
        <v>323</v>
      </c>
      <c r="B324" s="1">
        <v>40557</v>
      </c>
      <c r="C324" s="7">
        <v>1</v>
      </c>
      <c r="D324" s="7">
        <v>22</v>
      </c>
      <c r="E324" t="b">
        <v>0</v>
      </c>
      <c r="F324" s="7">
        <v>5</v>
      </c>
      <c r="G324" s="7">
        <v>2</v>
      </c>
      <c r="H324" s="6">
        <v>0.16</v>
      </c>
      <c r="I324" s="8">
        <v>0.2273</v>
      </c>
      <c r="J324" s="6">
        <v>0.69</v>
      </c>
      <c r="K324" s="8">
        <v>0</v>
      </c>
      <c r="L324" s="7">
        <v>2</v>
      </c>
      <c r="M324" s="7">
        <v>34</v>
      </c>
      <c r="N324" s="7">
        <v>36</v>
      </c>
      <c r="O324" t="s">
        <v>29</v>
      </c>
      <c r="P324" t="s">
        <v>59</v>
      </c>
      <c r="Q324" t="s">
        <v>41</v>
      </c>
      <c r="R324" t="s">
        <v>32</v>
      </c>
      <c r="S324" t="s">
        <v>33</v>
      </c>
      <c r="T324" t="s">
        <v>49</v>
      </c>
      <c r="U324" t="s">
        <v>35</v>
      </c>
      <c r="V324" t="s">
        <v>36</v>
      </c>
      <c r="W324" t="s">
        <v>37</v>
      </c>
      <c r="X324" s="6">
        <v>5.5555555555555554</v>
      </c>
      <c r="Y324" s="6">
        <v>94.444444444444443</v>
      </c>
      <c r="Z324" t="s">
        <v>38</v>
      </c>
      <c r="AA324" t="s">
        <v>39</v>
      </c>
      <c r="AB324" t="s">
        <v>38</v>
      </c>
      <c r="AC324" s="8">
        <v>6.7299999999999999E-2</v>
      </c>
    </row>
    <row r="325" spans="1:29" x14ac:dyDescent="0.3">
      <c r="A325" s="7">
        <v>324</v>
      </c>
      <c r="B325" s="1">
        <v>40557</v>
      </c>
      <c r="C325" s="7">
        <v>1</v>
      </c>
      <c r="D325" s="7">
        <v>23</v>
      </c>
      <c r="E325" t="b">
        <v>0</v>
      </c>
      <c r="F325" s="7">
        <v>5</v>
      </c>
      <c r="G325" s="7">
        <v>2</v>
      </c>
      <c r="H325" s="6">
        <v>0.18</v>
      </c>
      <c r="I325" s="8">
        <v>0.2424</v>
      </c>
      <c r="J325" s="6">
        <v>0.55000000000000004</v>
      </c>
      <c r="K325" s="8">
        <v>0</v>
      </c>
      <c r="L325" s="7">
        <v>1</v>
      </c>
      <c r="M325" s="7">
        <v>26</v>
      </c>
      <c r="N325" s="7">
        <v>27</v>
      </c>
      <c r="O325" t="s">
        <v>29</v>
      </c>
      <c r="P325" t="s">
        <v>59</v>
      </c>
      <c r="Q325" t="s">
        <v>41</v>
      </c>
      <c r="R325" t="s">
        <v>32</v>
      </c>
      <c r="S325" t="s">
        <v>33</v>
      </c>
      <c r="T325" t="s">
        <v>49</v>
      </c>
      <c r="U325" t="s">
        <v>35</v>
      </c>
      <c r="V325" t="s">
        <v>36</v>
      </c>
      <c r="W325" t="s">
        <v>37</v>
      </c>
      <c r="X325" s="6">
        <v>3.7037037037037028</v>
      </c>
      <c r="Y325" s="6">
        <v>96.296296296296291</v>
      </c>
      <c r="Z325" t="s">
        <v>38</v>
      </c>
      <c r="AA325" t="s">
        <v>39</v>
      </c>
      <c r="AB325" t="s">
        <v>38</v>
      </c>
      <c r="AC325" s="8">
        <v>6.2400000000000011E-2</v>
      </c>
    </row>
    <row r="326" spans="1:29" x14ac:dyDescent="0.3">
      <c r="A326" s="7">
        <v>325</v>
      </c>
      <c r="B326" s="1">
        <v>40558</v>
      </c>
      <c r="C326" s="7">
        <v>1</v>
      </c>
      <c r="D326" s="7">
        <v>0</v>
      </c>
      <c r="E326" t="b">
        <v>0</v>
      </c>
      <c r="F326" s="7">
        <v>6</v>
      </c>
      <c r="G326" s="7">
        <v>1</v>
      </c>
      <c r="H326" s="6">
        <v>0.18</v>
      </c>
      <c r="I326" s="8">
        <v>0.2424</v>
      </c>
      <c r="J326" s="6">
        <v>0.55000000000000004</v>
      </c>
      <c r="K326" s="8">
        <v>0</v>
      </c>
      <c r="L326" s="7">
        <v>3</v>
      </c>
      <c r="M326" s="7">
        <v>25</v>
      </c>
      <c r="N326" s="7">
        <v>28</v>
      </c>
      <c r="O326" t="s">
        <v>29</v>
      </c>
      <c r="P326" t="s">
        <v>30</v>
      </c>
      <c r="Q326" t="s">
        <v>31</v>
      </c>
      <c r="R326" t="s">
        <v>32</v>
      </c>
      <c r="S326" t="s">
        <v>33</v>
      </c>
      <c r="T326" t="s">
        <v>49</v>
      </c>
      <c r="U326" t="s">
        <v>35</v>
      </c>
      <c r="V326" t="s">
        <v>36</v>
      </c>
      <c r="W326" t="s">
        <v>37</v>
      </c>
      <c r="X326" s="6">
        <v>10.71428571428571</v>
      </c>
      <c r="Y326" s="6">
        <v>89.285714285714292</v>
      </c>
      <c r="Z326" t="s">
        <v>38</v>
      </c>
      <c r="AA326" t="s">
        <v>39</v>
      </c>
      <c r="AB326" t="s">
        <v>40</v>
      </c>
      <c r="AC326" s="8">
        <v>6.2400000000000011E-2</v>
      </c>
    </row>
    <row r="327" spans="1:29" x14ac:dyDescent="0.3">
      <c r="A327" s="7">
        <v>326</v>
      </c>
      <c r="B327" s="1">
        <v>40558</v>
      </c>
      <c r="C327" s="7">
        <v>1</v>
      </c>
      <c r="D327" s="7">
        <v>1</v>
      </c>
      <c r="E327" t="b">
        <v>0</v>
      </c>
      <c r="F327" s="7">
        <v>6</v>
      </c>
      <c r="G327" s="7">
        <v>2</v>
      </c>
      <c r="H327" s="6">
        <v>0.16</v>
      </c>
      <c r="I327" s="8">
        <v>0.19700000000000001</v>
      </c>
      <c r="J327" s="6">
        <v>0.59</v>
      </c>
      <c r="K327" s="8">
        <v>8.9599999999999999E-2</v>
      </c>
      <c r="L327" s="7">
        <v>2</v>
      </c>
      <c r="M327" s="7">
        <v>18</v>
      </c>
      <c r="N327" s="7">
        <v>20</v>
      </c>
      <c r="O327" t="s">
        <v>29</v>
      </c>
      <c r="P327" t="s">
        <v>30</v>
      </c>
      <c r="Q327" t="s">
        <v>41</v>
      </c>
      <c r="R327" t="s">
        <v>32</v>
      </c>
      <c r="S327" t="s">
        <v>33</v>
      </c>
      <c r="T327" t="s">
        <v>49</v>
      </c>
      <c r="U327" t="s">
        <v>35</v>
      </c>
      <c r="V327" t="s">
        <v>36</v>
      </c>
      <c r="W327" t="s">
        <v>37</v>
      </c>
      <c r="X327" s="6">
        <v>10</v>
      </c>
      <c r="Y327" s="6">
        <v>90</v>
      </c>
      <c r="Z327" t="s">
        <v>38</v>
      </c>
      <c r="AA327" t="s">
        <v>39</v>
      </c>
      <c r="AB327" t="s">
        <v>40</v>
      </c>
      <c r="AC327" s="8">
        <v>3.7000000000000012E-2</v>
      </c>
    </row>
    <row r="328" spans="1:29" x14ac:dyDescent="0.3">
      <c r="A328" s="7">
        <v>327</v>
      </c>
      <c r="B328" s="1">
        <v>40558</v>
      </c>
      <c r="C328" s="7">
        <v>1</v>
      </c>
      <c r="D328" s="7">
        <v>2</v>
      </c>
      <c r="E328" t="b">
        <v>0</v>
      </c>
      <c r="F328" s="7">
        <v>6</v>
      </c>
      <c r="G328" s="7">
        <v>2</v>
      </c>
      <c r="H328" s="6">
        <v>0.16</v>
      </c>
      <c r="I328" s="8">
        <v>0.19700000000000001</v>
      </c>
      <c r="J328" s="6">
        <v>0.59</v>
      </c>
      <c r="K328" s="8">
        <v>8.9599999999999999E-2</v>
      </c>
      <c r="L328" s="7">
        <v>0</v>
      </c>
      <c r="M328" s="7">
        <v>12</v>
      </c>
      <c r="N328" s="7">
        <v>12</v>
      </c>
      <c r="O328" t="s">
        <v>29</v>
      </c>
      <c r="P328" t="s">
        <v>30</v>
      </c>
      <c r="Q328" t="s">
        <v>41</v>
      </c>
      <c r="R328" t="s">
        <v>32</v>
      </c>
      <c r="S328" t="s">
        <v>33</v>
      </c>
      <c r="T328" t="s">
        <v>49</v>
      </c>
      <c r="U328" t="s">
        <v>35</v>
      </c>
      <c r="V328" t="s">
        <v>36</v>
      </c>
      <c r="W328" t="s">
        <v>37</v>
      </c>
      <c r="X328" s="6">
        <v>0</v>
      </c>
      <c r="Y328" s="6">
        <v>100</v>
      </c>
      <c r="Z328" t="s">
        <v>38</v>
      </c>
      <c r="AA328" t="s">
        <v>39</v>
      </c>
      <c r="AB328" t="s">
        <v>40</v>
      </c>
      <c r="AC328" s="8">
        <v>3.7000000000000012E-2</v>
      </c>
    </row>
    <row r="329" spans="1:29" x14ac:dyDescent="0.3">
      <c r="A329" s="7">
        <v>328</v>
      </c>
      <c r="B329" s="1">
        <v>40558</v>
      </c>
      <c r="C329" s="7">
        <v>1</v>
      </c>
      <c r="D329" s="7">
        <v>3</v>
      </c>
      <c r="E329" t="b">
        <v>0</v>
      </c>
      <c r="F329" s="7">
        <v>6</v>
      </c>
      <c r="G329" s="7">
        <v>2</v>
      </c>
      <c r="H329" s="6">
        <v>0.16</v>
      </c>
      <c r="I329" s="8">
        <v>0.2273</v>
      </c>
      <c r="J329" s="6">
        <v>0.59</v>
      </c>
      <c r="K329" s="8">
        <v>0</v>
      </c>
      <c r="L329" s="7">
        <v>1</v>
      </c>
      <c r="M329" s="7">
        <v>7</v>
      </c>
      <c r="N329" s="7">
        <v>8</v>
      </c>
      <c r="O329" t="s">
        <v>29</v>
      </c>
      <c r="P329" t="s">
        <v>30</v>
      </c>
      <c r="Q329" t="s">
        <v>41</v>
      </c>
      <c r="R329" t="s">
        <v>32</v>
      </c>
      <c r="S329" t="s">
        <v>33</v>
      </c>
      <c r="T329" t="s">
        <v>49</v>
      </c>
      <c r="U329" t="s">
        <v>35</v>
      </c>
      <c r="V329" t="s">
        <v>36</v>
      </c>
      <c r="W329" t="s">
        <v>37</v>
      </c>
      <c r="X329" s="6">
        <v>12.5</v>
      </c>
      <c r="Y329" s="6">
        <v>87.5</v>
      </c>
      <c r="Z329" t="s">
        <v>38</v>
      </c>
      <c r="AA329" t="s">
        <v>39</v>
      </c>
      <c r="AB329" t="s">
        <v>40</v>
      </c>
      <c r="AC329" s="8">
        <v>6.7299999999999999E-2</v>
      </c>
    </row>
    <row r="330" spans="1:29" x14ac:dyDescent="0.3">
      <c r="A330" s="7">
        <v>329</v>
      </c>
      <c r="B330" s="1">
        <v>40558</v>
      </c>
      <c r="C330" s="7">
        <v>1</v>
      </c>
      <c r="D330" s="7">
        <v>4</v>
      </c>
      <c r="E330" t="b">
        <v>0</v>
      </c>
      <c r="F330" s="7">
        <v>6</v>
      </c>
      <c r="G330" s="7">
        <v>2</v>
      </c>
      <c r="H330" s="6">
        <v>0.16</v>
      </c>
      <c r="I330" s="8">
        <v>0.2273</v>
      </c>
      <c r="J330" s="6">
        <v>0.59</v>
      </c>
      <c r="K330" s="8">
        <v>0</v>
      </c>
      <c r="L330" s="7">
        <v>0</v>
      </c>
      <c r="M330" s="7">
        <v>5</v>
      </c>
      <c r="N330" s="7">
        <v>5</v>
      </c>
      <c r="O330" t="s">
        <v>29</v>
      </c>
      <c r="P330" t="s">
        <v>30</v>
      </c>
      <c r="Q330" t="s">
        <v>41</v>
      </c>
      <c r="R330" t="s">
        <v>32</v>
      </c>
      <c r="S330" t="s">
        <v>33</v>
      </c>
      <c r="T330" t="s">
        <v>49</v>
      </c>
      <c r="U330" t="s">
        <v>35</v>
      </c>
      <c r="V330" t="s">
        <v>36</v>
      </c>
      <c r="W330" t="s">
        <v>37</v>
      </c>
      <c r="X330" s="6">
        <v>0</v>
      </c>
      <c r="Y330" s="6">
        <v>100</v>
      </c>
      <c r="Z330" t="s">
        <v>38</v>
      </c>
      <c r="AA330" t="s">
        <v>39</v>
      </c>
      <c r="AB330" t="s">
        <v>40</v>
      </c>
      <c r="AC330" s="8">
        <v>6.7299999999999999E-2</v>
      </c>
    </row>
    <row r="331" spans="1:29" x14ac:dyDescent="0.3">
      <c r="A331" s="7">
        <v>330</v>
      </c>
      <c r="B331" s="1">
        <v>40558</v>
      </c>
      <c r="C331" s="7">
        <v>1</v>
      </c>
      <c r="D331" s="7">
        <v>5</v>
      </c>
      <c r="E331" t="b">
        <v>0</v>
      </c>
      <c r="F331" s="7">
        <v>6</v>
      </c>
      <c r="G331" s="7">
        <v>1</v>
      </c>
      <c r="H331" s="6">
        <v>0.16</v>
      </c>
      <c r="I331" s="8">
        <v>0.2273</v>
      </c>
      <c r="J331" s="6">
        <v>0.59</v>
      </c>
      <c r="K331" s="8">
        <v>0</v>
      </c>
      <c r="L331" s="7">
        <v>0</v>
      </c>
      <c r="M331" s="7">
        <v>1</v>
      </c>
      <c r="N331" s="7">
        <v>1</v>
      </c>
      <c r="O331" t="s">
        <v>29</v>
      </c>
      <c r="P331" t="s">
        <v>30</v>
      </c>
      <c r="Q331" t="s">
        <v>31</v>
      </c>
      <c r="R331" t="s">
        <v>32</v>
      </c>
      <c r="S331" t="s">
        <v>33</v>
      </c>
      <c r="T331" t="s">
        <v>49</v>
      </c>
      <c r="U331" t="s">
        <v>35</v>
      </c>
      <c r="V331" t="s">
        <v>36</v>
      </c>
      <c r="W331" t="s">
        <v>37</v>
      </c>
      <c r="X331" s="6">
        <v>0</v>
      </c>
      <c r="Y331" s="6">
        <v>100</v>
      </c>
      <c r="Z331" t="s">
        <v>38</v>
      </c>
      <c r="AA331" t="s">
        <v>39</v>
      </c>
      <c r="AB331" t="s">
        <v>40</v>
      </c>
      <c r="AC331" s="8">
        <v>6.7299999999999999E-2</v>
      </c>
    </row>
    <row r="332" spans="1:29" x14ac:dyDescent="0.3">
      <c r="A332" s="7">
        <v>331</v>
      </c>
      <c r="B332" s="1">
        <v>40558</v>
      </c>
      <c r="C332" s="7">
        <v>1</v>
      </c>
      <c r="D332" s="7">
        <v>6</v>
      </c>
      <c r="E332" t="b">
        <v>0</v>
      </c>
      <c r="F332" s="7">
        <v>6</v>
      </c>
      <c r="G332" s="7">
        <v>1</v>
      </c>
      <c r="H332" s="6">
        <v>0.14000000000000001</v>
      </c>
      <c r="I332" s="8">
        <v>0.16669999999999999</v>
      </c>
      <c r="J332" s="6">
        <v>0.63</v>
      </c>
      <c r="K332" s="8">
        <v>0.1045</v>
      </c>
      <c r="L332" s="7">
        <v>1</v>
      </c>
      <c r="M332" s="7">
        <v>2</v>
      </c>
      <c r="N332" s="7">
        <v>3</v>
      </c>
      <c r="O332" t="s">
        <v>29</v>
      </c>
      <c r="P332" t="s">
        <v>30</v>
      </c>
      <c r="Q332" t="s">
        <v>31</v>
      </c>
      <c r="R332" t="s">
        <v>42</v>
      </c>
      <c r="S332" t="s">
        <v>55</v>
      </c>
      <c r="T332" t="s">
        <v>49</v>
      </c>
      <c r="U332" t="s">
        <v>35</v>
      </c>
      <c r="V332" t="s">
        <v>36</v>
      </c>
      <c r="W332" t="s">
        <v>37</v>
      </c>
      <c r="X332" s="6">
        <v>33.333333333333329</v>
      </c>
      <c r="Y332" s="6">
        <v>66.666666666666657</v>
      </c>
      <c r="Z332" t="s">
        <v>38</v>
      </c>
      <c r="AA332" t="s">
        <v>39</v>
      </c>
      <c r="AB332" t="s">
        <v>40</v>
      </c>
      <c r="AC332" s="8">
        <v>2.669999999999997E-2</v>
      </c>
    </row>
    <row r="333" spans="1:29" x14ac:dyDescent="0.3">
      <c r="A333" s="7">
        <v>332</v>
      </c>
      <c r="B333" s="1">
        <v>40558</v>
      </c>
      <c r="C333" s="7">
        <v>1</v>
      </c>
      <c r="D333" s="7">
        <v>7</v>
      </c>
      <c r="E333" t="b">
        <v>0</v>
      </c>
      <c r="F333" s="7">
        <v>6</v>
      </c>
      <c r="G333" s="7">
        <v>1</v>
      </c>
      <c r="H333" s="6">
        <v>0.14000000000000001</v>
      </c>
      <c r="I333" s="8">
        <v>0.21210000000000001</v>
      </c>
      <c r="J333" s="6">
        <v>0.63</v>
      </c>
      <c r="K333" s="8">
        <v>0</v>
      </c>
      <c r="L333" s="7">
        <v>1</v>
      </c>
      <c r="M333" s="7">
        <v>9</v>
      </c>
      <c r="N333" s="7">
        <v>10</v>
      </c>
      <c r="O333" t="s">
        <v>29</v>
      </c>
      <c r="P333" t="s">
        <v>30</v>
      </c>
      <c r="Q333" t="s">
        <v>31</v>
      </c>
      <c r="R333" t="s">
        <v>42</v>
      </c>
      <c r="S333" t="s">
        <v>55</v>
      </c>
      <c r="T333" t="s">
        <v>49</v>
      </c>
      <c r="U333" t="s">
        <v>35</v>
      </c>
      <c r="V333" t="s">
        <v>36</v>
      </c>
      <c r="W333" t="s">
        <v>37</v>
      </c>
      <c r="X333" s="6">
        <v>10</v>
      </c>
      <c r="Y333" s="6">
        <v>90</v>
      </c>
      <c r="Z333" t="s">
        <v>40</v>
      </c>
      <c r="AA333" t="s">
        <v>39</v>
      </c>
      <c r="AB333" t="s">
        <v>40</v>
      </c>
      <c r="AC333" s="8">
        <v>7.2099999999999997E-2</v>
      </c>
    </row>
    <row r="334" spans="1:29" x14ac:dyDescent="0.3">
      <c r="A334" s="7">
        <v>333</v>
      </c>
      <c r="B334" s="1">
        <v>40558</v>
      </c>
      <c r="C334" s="7">
        <v>1</v>
      </c>
      <c r="D334" s="7">
        <v>8</v>
      </c>
      <c r="E334" t="b">
        <v>0</v>
      </c>
      <c r="F334" s="7">
        <v>6</v>
      </c>
      <c r="G334" s="7">
        <v>1</v>
      </c>
      <c r="H334" s="6">
        <v>0.14000000000000001</v>
      </c>
      <c r="I334" s="8">
        <v>0.1515</v>
      </c>
      <c r="J334" s="6">
        <v>0.63</v>
      </c>
      <c r="K334" s="8">
        <v>0.1343</v>
      </c>
      <c r="L334" s="7">
        <v>1</v>
      </c>
      <c r="M334" s="7">
        <v>22</v>
      </c>
      <c r="N334" s="7">
        <v>23</v>
      </c>
      <c r="O334" t="s">
        <v>29</v>
      </c>
      <c r="P334" t="s">
        <v>30</v>
      </c>
      <c r="Q334" t="s">
        <v>31</v>
      </c>
      <c r="R334" t="s">
        <v>42</v>
      </c>
      <c r="S334" t="s">
        <v>55</v>
      </c>
      <c r="T334" t="s">
        <v>49</v>
      </c>
      <c r="U334" t="s">
        <v>35</v>
      </c>
      <c r="V334" t="s">
        <v>36</v>
      </c>
      <c r="W334" t="s">
        <v>37</v>
      </c>
      <c r="X334" s="6">
        <v>4.3478260869565224</v>
      </c>
      <c r="Y334" s="6">
        <v>95.652173913043484</v>
      </c>
      <c r="Z334" t="s">
        <v>40</v>
      </c>
      <c r="AA334" t="s">
        <v>39</v>
      </c>
      <c r="AB334" t="s">
        <v>40</v>
      </c>
      <c r="AC334" s="8">
        <v>1.1499999999999981E-2</v>
      </c>
    </row>
    <row r="335" spans="1:29" x14ac:dyDescent="0.3">
      <c r="A335" s="7">
        <v>334</v>
      </c>
      <c r="B335" s="1">
        <v>40558</v>
      </c>
      <c r="C335" s="7">
        <v>1</v>
      </c>
      <c r="D335" s="7">
        <v>9</v>
      </c>
      <c r="E335" t="b">
        <v>0</v>
      </c>
      <c r="F335" s="7">
        <v>6</v>
      </c>
      <c r="G335" s="7">
        <v>1</v>
      </c>
      <c r="H335" s="6">
        <v>0.16</v>
      </c>
      <c r="I335" s="8">
        <v>0.18179999999999999</v>
      </c>
      <c r="J335" s="6">
        <v>0.64</v>
      </c>
      <c r="K335" s="8">
        <v>0.1343</v>
      </c>
      <c r="L335" s="7">
        <v>2</v>
      </c>
      <c r="M335" s="7">
        <v>31</v>
      </c>
      <c r="N335" s="7">
        <v>33</v>
      </c>
      <c r="O335" t="s">
        <v>29</v>
      </c>
      <c r="P335" t="s">
        <v>30</v>
      </c>
      <c r="Q335" t="s">
        <v>31</v>
      </c>
      <c r="R335" t="s">
        <v>42</v>
      </c>
      <c r="S335" t="s">
        <v>33</v>
      </c>
      <c r="T335" t="s">
        <v>49</v>
      </c>
      <c r="U335" t="s">
        <v>35</v>
      </c>
      <c r="V335" t="s">
        <v>36</v>
      </c>
      <c r="W335" t="s">
        <v>37</v>
      </c>
      <c r="X335" s="6">
        <v>6.0606060606060614</v>
      </c>
      <c r="Y335" s="6">
        <v>93.939393939393938</v>
      </c>
      <c r="Z335" t="s">
        <v>40</v>
      </c>
      <c r="AA335" t="s">
        <v>39</v>
      </c>
      <c r="AB335" t="s">
        <v>40</v>
      </c>
      <c r="AC335" s="8">
        <v>2.179999999999999E-2</v>
      </c>
    </row>
    <row r="336" spans="1:29" x14ac:dyDescent="0.3">
      <c r="A336" s="7">
        <v>335</v>
      </c>
      <c r="B336" s="1">
        <v>40558</v>
      </c>
      <c r="C336" s="7">
        <v>1</v>
      </c>
      <c r="D336" s="7">
        <v>10</v>
      </c>
      <c r="E336" t="b">
        <v>0</v>
      </c>
      <c r="F336" s="7">
        <v>6</v>
      </c>
      <c r="G336" s="7">
        <v>1</v>
      </c>
      <c r="H336" s="6">
        <v>0.18</v>
      </c>
      <c r="I336" s="8">
        <v>0.19700000000000001</v>
      </c>
      <c r="J336" s="6">
        <v>0.59</v>
      </c>
      <c r="K336" s="8">
        <v>0.16420000000000001</v>
      </c>
      <c r="L336" s="7">
        <v>2</v>
      </c>
      <c r="M336" s="7">
        <v>57</v>
      </c>
      <c r="N336" s="7">
        <v>59</v>
      </c>
      <c r="O336" t="s">
        <v>29</v>
      </c>
      <c r="P336" t="s">
        <v>30</v>
      </c>
      <c r="Q336" t="s">
        <v>31</v>
      </c>
      <c r="R336" t="s">
        <v>42</v>
      </c>
      <c r="S336" t="s">
        <v>33</v>
      </c>
      <c r="T336" t="s">
        <v>49</v>
      </c>
      <c r="U336" t="s">
        <v>46</v>
      </c>
      <c r="V336" t="s">
        <v>36</v>
      </c>
      <c r="W336" t="s">
        <v>37</v>
      </c>
      <c r="X336" s="6">
        <v>3.3898305084745761</v>
      </c>
      <c r="Y336" s="6">
        <v>96.610169491525426</v>
      </c>
      <c r="Z336" t="s">
        <v>38</v>
      </c>
      <c r="AA336" t="s">
        <v>39</v>
      </c>
      <c r="AB336" t="s">
        <v>40</v>
      </c>
      <c r="AC336" s="8">
        <v>1.7000000000000019E-2</v>
      </c>
    </row>
    <row r="337" spans="1:29" x14ac:dyDescent="0.3">
      <c r="A337" s="7">
        <v>336</v>
      </c>
      <c r="B337" s="1">
        <v>40558</v>
      </c>
      <c r="C337" s="7">
        <v>1</v>
      </c>
      <c r="D337" s="7">
        <v>11</v>
      </c>
      <c r="E337" t="b">
        <v>0</v>
      </c>
      <c r="F337" s="7">
        <v>6</v>
      </c>
      <c r="G337" s="7">
        <v>1</v>
      </c>
      <c r="H337" s="6">
        <v>0.2</v>
      </c>
      <c r="I337" s="8">
        <v>0.19700000000000001</v>
      </c>
      <c r="J337" s="6">
        <v>0.55000000000000004</v>
      </c>
      <c r="K337" s="8">
        <v>0.22389999999999999</v>
      </c>
      <c r="L337" s="7">
        <v>18</v>
      </c>
      <c r="M337" s="7">
        <v>54</v>
      </c>
      <c r="N337" s="7">
        <v>72</v>
      </c>
      <c r="O337" t="s">
        <v>29</v>
      </c>
      <c r="P337" t="s">
        <v>30</v>
      </c>
      <c r="Q337" t="s">
        <v>31</v>
      </c>
      <c r="R337" t="s">
        <v>42</v>
      </c>
      <c r="S337" t="s">
        <v>33</v>
      </c>
      <c r="T337" t="s">
        <v>49</v>
      </c>
      <c r="U337" t="s">
        <v>46</v>
      </c>
      <c r="V337" t="s">
        <v>36</v>
      </c>
      <c r="W337" t="s">
        <v>37</v>
      </c>
      <c r="X337" s="6">
        <v>25</v>
      </c>
      <c r="Y337" s="6">
        <v>75</v>
      </c>
      <c r="Z337" t="s">
        <v>38</v>
      </c>
      <c r="AA337" t="s">
        <v>39</v>
      </c>
      <c r="AB337" t="s">
        <v>40</v>
      </c>
      <c r="AC337" s="8">
        <v>-3.0000000000000031E-3</v>
      </c>
    </row>
    <row r="338" spans="1:29" x14ac:dyDescent="0.3">
      <c r="A338" s="7">
        <v>337</v>
      </c>
      <c r="B338" s="1">
        <v>40558</v>
      </c>
      <c r="C338" s="7">
        <v>1</v>
      </c>
      <c r="D338" s="7">
        <v>12</v>
      </c>
      <c r="E338" t="b">
        <v>0</v>
      </c>
      <c r="F338" s="7">
        <v>6</v>
      </c>
      <c r="G338" s="7">
        <v>1</v>
      </c>
      <c r="H338" s="6">
        <v>0.24</v>
      </c>
      <c r="I338" s="8">
        <v>0.2273</v>
      </c>
      <c r="J338" s="6">
        <v>0.48</v>
      </c>
      <c r="K338" s="8">
        <v>0.22389999999999999</v>
      </c>
      <c r="L338" s="7">
        <v>15</v>
      </c>
      <c r="M338" s="7">
        <v>74</v>
      </c>
      <c r="N338" s="7">
        <v>89</v>
      </c>
      <c r="O338" t="s">
        <v>29</v>
      </c>
      <c r="P338" t="s">
        <v>30</v>
      </c>
      <c r="Q338" t="s">
        <v>31</v>
      </c>
      <c r="R338" t="s">
        <v>47</v>
      </c>
      <c r="S338" t="s">
        <v>33</v>
      </c>
      <c r="T338" t="s">
        <v>49</v>
      </c>
      <c r="U338" t="s">
        <v>46</v>
      </c>
      <c r="V338" t="s">
        <v>36</v>
      </c>
      <c r="W338" t="s">
        <v>37</v>
      </c>
      <c r="X338" s="6">
        <v>16.853932584269661</v>
      </c>
      <c r="Y338" s="6">
        <v>83.146067415730343</v>
      </c>
      <c r="Z338" t="s">
        <v>38</v>
      </c>
      <c r="AA338" t="s">
        <v>39</v>
      </c>
      <c r="AB338" t="s">
        <v>40</v>
      </c>
      <c r="AC338" s="8">
        <v>-1.2699999999999991E-2</v>
      </c>
    </row>
    <row r="339" spans="1:29" x14ac:dyDescent="0.3">
      <c r="A339" s="7">
        <v>338</v>
      </c>
      <c r="B339" s="1">
        <v>40558</v>
      </c>
      <c r="C339" s="7">
        <v>1</v>
      </c>
      <c r="D339" s="7">
        <v>13</v>
      </c>
      <c r="E339" t="b">
        <v>0</v>
      </c>
      <c r="F339" s="7">
        <v>6</v>
      </c>
      <c r="G339" s="7">
        <v>1</v>
      </c>
      <c r="H339" s="6">
        <v>0.28000000000000003</v>
      </c>
      <c r="I339" s="8">
        <v>0.2576</v>
      </c>
      <c r="J339" s="6">
        <v>0.38</v>
      </c>
      <c r="K339" s="8">
        <v>0.29849999999999999</v>
      </c>
      <c r="L339" s="7">
        <v>21</v>
      </c>
      <c r="M339" s="7">
        <v>80</v>
      </c>
      <c r="N339" s="7">
        <v>101</v>
      </c>
      <c r="O339" t="s">
        <v>29</v>
      </c>
      <c r="P339" t="s">
        <v>30</v>
      </c>
      <c r="Q339" t="s">
        <v>31</v>
      </c>
      <c r="R339" t="s">
        <v>47</v>
      </c>
      <c r="S339" t="s">
        <v>44</v>
      </c>
      <c r="T339" t="s">
        <v>39</v>
      </c>
      <c r="U339" t="s">
        <v>46</v>
      </c>
      <c r="V339" t="s">
        <v>36</v>
      </c>
      <c r="W339" t="s">
        <v>37</v>
      </c>
      <c r="X339" s="6">
        <v>20.792079207920789</v>
      </c>
      <c r="Y339" s="6">
        <v>79.207920792079207</v>
      </c>
      <c r="Z339" t="s">
        <v>38</v>
      </c>
      <c r="AA339" t="s">
        <v>49</v>
      </c>
      <c r="AB339" t="s">
        <v>40</v>
      </c>
      <c r="AC339" s="8">
        <v>-2.2400000000000031E-2</v>
      </c>
    </row>
    <row r="340" spans="1:29" x14ac:dyDescent="0.3">
      <c r="A340" s="7">
        <v>339</v>
      </c>
      <c r="B340" s="1">
        <v>40558</v>
      </c>
      <c r="C340" s="7">
        <v>1</v>
      </c>
      <c r="D340" s="7">
        <v>14</v>
      </c>
      <c r="E340" t="b">
        <v>0</v>
      </c>
      <c r="F340" s="7">
        <v>6</v>
      </c>
      <c r="G340" s="7">
        <v>1</v>
      </c>
      <c r="H340" s="6">
        <v>0.3</v>
      </c>
      <c r="I340" s="8">
        <v>0.28789999999999999</v>
      </c>
      <c r="J340" s="6">
        <v>0.39</v>
      </c>
      <c r="K340" s="8">
        <v>0.28360000000000002</v>
      </c>
      <c r="L340" s="7">
        <v>26</v>
      </c>
      <c r="M340" s="7">
        <v>92</v>
      </c>
      <c r="N340" s="7">
        <v>118</v>
      </c>
      <c r="O340" t="s">
        <v>29</v>
      </c>
      <c r="P340" t="s">
        <v>30</v>
      </c>
      <c r="Q340" t="s">
        <v>31</v>
      </c>
      <c r="R340" t="s">
        <v>47</v>
      </c>
      <c r="S340" t="s">
        <v>44</v>
      </c>
      <c r="T340" t="s">
        <v>39</v>
      </c>
      <c r="U340" t="s">
        <v>46</v>
      </c>
      <c r="V340" t="s">
        <v>36</v>
      </c>
      <c r="W340" t="s">
        <v>37</v>
      </c>
      <c r="X340" s="6">
        <v>22.03389830508474</v>
      </c>
      <c r="Y340" s="6">
        <v>77.966101694915253</v>
      </c>
      <c r="Z340" t="s">
        <v>38</v>
      </c>
      <c r="AA340" t="s">
        <v>49</v>
      </c>
      <c r="AB340" t="s">
        <v>40</v>
      </c>
      <c r="AC340" s="8">
        <v>-1.21E-2</v>
      </c>
    </row>
    <row r="341" spans="1:29" x14ac:dyDescent="0.3">
      <c r="A341" s="7">
        <v>340</v>
      </c>
      <c r="B341" s="1">
        <v>40558</v>
      </c>
      <c r="C341" s="7">
        <v>1</v>
      </c>
      <c r="D341" s="7">
        <v>15</v>
      </c>
      <c r="E341" t="b">
        <v>0</v>
      </c>
      <c r="F341" s="7">
        <v>6</v>
      </c>
      <c r="G341" s="7">
        <v>2</v>
      </c>
      <c r="H341" s="6">
        <v>0.32</v>
      </c>
      <c r="I341" s="8">
        <v>0.31819999999999998</v>
      </c>
      <c r="J341" s="6">
        <v>0.36</v>
      </c>
      <c r="K341" s="8">
        <v>0.19400000000000001</v>
      </c>
      <c r="L341" s="7">
        <v>21</v>
      </c>
      <c r="M341" s="7">
        <v>108</v>
      </c>
      <c r="N341" s="7">
        <v>129</v>
      </c>
      <c r="O341" t="s">
        <v>29</v>
      </c>
      <c r="P341" t="s">
        <v>30</v>
      </c>
      <c r="Q341" t="s">
        <v>41</v>
      </c>
      <c r="R341" t="s">
        <v>47</v>
      </c>
      <c r="S341" t="s">
        <v>44</v>
      </c>
      <c r="T341" t="s">
        <v>39</v>
      </c>
      <c r="U341" t="s">
        <v>46</v>
      </c>
      <c r="V341" t="s">
        <v>36</v>
      </c>
      <c r="W341" t="s">
        <v>37</v>
      </c>
      <c r="X341" s="6">
        <v>16.279069767441861</v>
      </c>
      <c r="Y341" s="6">
        <v>83.720930232558146</v>
      </c>
      <c r="Z341" t="s">
        <v>38</v>
      </c>
      <c r="AA341" t="s">
        <v>49</v>
      </c>
      <c r="AB341" t="s">
        <v>40</v>
      </c>
      <c r="AC341" s="8">
        <v>-1.800000000000024E-3</v>
      </c>
    </row>
    <row r="342" spans="1:29" x14ac:dyDescent="0.3">
      <c r="A342" s="7">
        <v>341</v>
      </c>
      <c r="B342" s="1">
        <v>40558</v>
      </c>
      <c r="C342" s="7">
        <v>1</v>
      </c>
      <c r="D342" s="7">
        <v>16</v>
      </c>
      <c r="E342" t="b">
        <v>0</v>
      </c>
      <c r="F342" s="7">
        <v>6</v>
      </c>
      <c r="G342" s="7">
        <v>2</v>
      </c>
      <c r="H342" s="6">
        <v>0.34</v>
      </c>
      <c r="I342" s="8">
        <v>0.33329999999999999</v>
      </c>
      <c r="J342" s="6">
        <v>0.34</v>
      </c>
      <c r="K342" s="8">
        <v>0.19400000000000001</v>
      </c>
      <c r="L342" s="7">
        <v>33</v>
      </c>
      <c r="M342" s="7">
        <v>95</v>
      </c>
      <c r="N342" s="7">
        <v>128</v>
      </c>
      <c r="O342" t="s">
        <v>29</v>
      </c>
      <c r="P342" t="s">
        <v>30</v>
      </c>
      <c r="Q342" t="s">
        <v>41</v>
      </c>
      <c r="R342" t="s">
        <v>47</v>
      </c>
      <c r="S342" t="s">
        <v>44</v>
      </c>
      <c r="T342" t="s">
        <v>39</v>
      </c>
      <c r="U342" t="s">
        <v>46</v>
      </c>
      <c r="V342" t="s">
        <v>36</v>
      </c>
      <c r="W342" t="s">
        <v>37</v>
      </c>
      <c r="X342" s="6">
        <v>25.78125</v>
      </c>
      <c r="Y342" s="6">
        <v>74.21875</v>
      </c>
      <c r="Z342" t="s">
        <v>38</v>
      </c>
      <c r="AA342" t="s">
        <v>49</v>
      </c>
      <c r="AB342" t="s">
        <v>40</v>
      </c>
      <c r="AC342" s="8">
        <v>-6.7000000000000393E-3</v>
      </c>
    </row>
    <row r="343" spans="1:29" x14ac:dyDescent="0.3">
      <c r="A343" s="7">
        <v>342</v>
      </c>
      <c r="B343" s="1">
        <v>40558</v>
      </c>
      <c r="C343" s="7">
        <v>1</v>
      </c>
      <c r="D343" s="7">
        <v>17</v>
      </c>
      <c r="E343" t="b">
        <v>0</v>
      </c>
      <c r="F343" s="7">
        <v>6</v>
      </c>
      <c r="G343" s="7">
        <v>2</v>
      </c>
      <c r="H343" s="6">
        <v>0.32</v>
      </c>
      <c r="I343" s="8">
        <v>0.30299999999999999</v>
      </c>
      <c r="J343" s="6">
        <v>0.36</v>
      </c>
      <c r="K343" s="8">
        <v>0.28360000000000002</v>
      </c>
      <c r="L343" s="7">
        <v>29</v>
      </c>
      <c r="M343" s="7">
        <v>54</v>
      </c>
      <c r="N343" s="7">
        <v>83</v>
      </c>
      <c r="O343" t="s">
        <v>29</v>
      </c>
      <c r="P343" t="s">
        <v>30</v>
      </c>
      <c r="Q343" t="s">
        <v>41</v>
      </c>
      <c r="R343" t="s">
        <v>50</v>
      </c>
      <c r="S343" t="s">
        <v>44</v>
      </c>
      <c r="T343" t="s">
        <v>39</v>
      </c>
      <c r="U343" t="s">
        <v>46</v>
      </c>
      <c r="V343" t="s">
        <v>36</v>
      </c>
      <c r="W343" t="s">
        <v>37</v>
      </c>
      <c r="X343" s="6">
        <v>34.939759036144579</v>
      </c>
      <c r="Y343" s="6">
        <v>65.060240963855421</v>
      </c>
      <c r="Z343" t="s">
        <v>40</v>
      </c>
      <c r="AA343" t="s">
        <v>39</v>
      </c>
      <c r="AB343" t="s">
        <v>40</v>
      </c>
      <c r="AC343" s="8">
        <v>-1.7000000000000019E-2</v>
      </c>
    </row>
    <row r="344" spans="1:29" x14ac:dyDescent="0.3">
      <c r="A344" s="7">
        <v>343</v>
      </c>
      <c r="B344" s="1">
        <v>40558</v>
      </c>
      <c r="C344" s="7">
        <v>1</v>
      </c>
      <c r="D344" s="7">
        <v>18</v>
      </c>
      <c r="E344" t="b">
        <v>0</v>
      </c>
      <c r="F344" s="7">
        <v>6</v>
      </c>
      <c r="G344" s="7">
        <v>2</v>
      </c>
      <c r="H344" s="6">
        <v>0.3</v>
      </c>
      <c r="I344" s="8">
        <v>0.28789999999999999</v>
      </c>
      <c r="J344" s="6">
        <v>0.45</v>
      </c>
      <c r="K344" s="8">
        <v>0.25369999999999998</v>
      </c>
      <c r="L344" s="7">
        <v>15</v>
      </c>
      <c r="M344" s="7">
        <v>69</v>
      </c>
      <c r="N344" s="7">
        <v>84</v>
      </c>
      <c r="O344" t="s">
        <v>29</v>
      </c>
      <c r="P344" t="s">
        <v>30</v>
      </c>
      <c r="Q344" t="s">
        <v>41</v>
      </c>
      <c r="R344" t="s">
        <v>50</v>
      </c>
      <c r="S344" t="s">
        <v>44</v>
      </c>
      <c r="T344" t="s">
        <v>49</v>
      </c>
      <c r="U344" t="s">
        <v>46</v>
      </c>
      <c r="V344" t="s">
        <v>36</v>
      </c>
      <c r="W344" t="s">
        <v>37</v>
      </c>
      <c r="X344" s="6">
        <v>17.857142857142861</v>
      </c>
      <c r="Y344" s="6">
        <v>82.142857142857139</v>
      </c>
      <c r="Z344" t="s">
        <v>40</v>
      </c>
      <c r="AA344" t="s">
        <v>39</v>
      </c>
      <c r="AB344" t="s">
        <v>40</v>
      </c>
      <c r="AC344" s="8">
        <v>-1.21E-2</v>
      </c>
    </row>
    <row r="345" spans="1:29" x14ac:dyDescent="0.3">
      <c r="A345" s="7">
        <v>344</v>
      </c>
      <c r="B345" s="1">
        <v>40558</v>
      </c>
      <c r="C345" s="7">
        <v>1</v>
      </c>
      <c r="D345" s="7">
        <v>19</v>
      </c>
      <c r="E345" t="b">
        <v>0</v>
      </c>
      <c r="F345" s="7">
        <v>6</v>
      </c>
      <c r="G345" s="7">
        <v>2</v>
      </c>
      <c r="H345" s="6">
        <v>0.32</v>
      </c>
      <c r="I345" s="8">
        <v>0.30299999999999999</v>
      </c>
      <c r="J345" s="6">
        <v>0.39</v>
      </c>
      <c r="K345" s="8">
        <v>0.25369999999999998</v>
      </c>
      <c r="L345" s="7">
        <v>14</v>
      </c>
      <c r="M345" s="7">
        <v>60</v>
      </c>
      <c r="N345" s="7">
        <v>74</v>
      </c>
      <c r="O345" t="s">
        <v>29</v>
      </c>
      <c r="P345" t="s">
        <v>30</v>
      </c>
      <c r="Q345" t="s">
        <v>41</v>
      </c>
      <c r="R345" t="s">
        <v>50</v>
      </c>
      <c r="S345" t="s">
        <v>44</v>
      </c>
      <c r="T345" t="s">
        <v>39</v>
      </c>
      <c r="U345" t="s">
        <v>46</v>
      </c>
      <c r="V345" t="s">
        <v>36</v>
      </c>
      <c r="W345" t="s">
        <v>37</v>
      </c>
      <c r="X345" s="6">
        <v>18.918918918918919</v>
      </c>
      <c r="Y345" s="6">
        <v>81.081081081081081</v>
      </c>
      <c r="Z345" t="s">
        <v>40</v>
      </c>
      <c r="AA345" t="s">
        <v>39</v>
      </c>
      <c r="AB345" t="s">
        <v>40</v>
      </c>
      <c r="AC345" s="8">
        <v>-1.7000000000000019E-2</v>
      </c>
    </row>
    <row r="346" spans="1:29" x14ac:dyDescent="0.3">
      <c r="A346" s="7">
        <v>345</v>
      </c>
      <c r="B346" s="1">
        <v>40558</v>
      </c>
      <c r="C346" s="7">
        <v>1</v>
      </c>
      <c r="D346" s="7">
        <v>20</v>
      </c>
      <c r="E346" t="b">
        <v>0</v>
      </c>
      <c r="F346" s="7">
        <v>6</v>
      </c>
      <c r="G346" s="7">
        <v>2</v>
      </c>
      <c r="H346" s="6">
        <v>0.32</v>
      </c>
      <c r="I346" s="8">
        <v>0.30299999999999999</v>
      </c>
      <c r="J346" s="6">
        <v>0.39</v>
      </c>
      <c r="K346" s="8">
        <v>0.25369999999999998</v>
      </c>
      <c r="L346" s="7">
        <v>6</v>
      </c>
      <c r="M346" s="7">
        <v>35</v>
      </c>
      <c r="N346" s="7">
        <v>41</v>
      </c>
      <c r="O346" t="s">
        <v>29</v>
      </c>
      <c r="P346" t="s">
        <v>30</v>
      </c>
      <c r="Q346" t="s">
        <v>41</v>
      </c>
      <c r="R346" t="s">
        <v>50</v>
      </c>
      <c r="S346" t="s">
        <v>44</v>
      </c>
      <c r="T346" t="s">
        <v>39</v>
      </c>
      <c r="U346" t="s">
        <v>46</v>
      </c>
      <c r="V346" t="s">
        <v>36</v>
      </c>
      <c r="W346" t="s">
        <v>37</v>
      </c>
      <c r="X346" s="6">
        <v>14.63414634146341</v>
      </c>
      <c r="Y346" s="6">
        <v>85.365853658536579</v>
      </c>
      <c r="Z346" t="s">
        <v>38</v>
      </c>
      <c r="AA346" t="s">
        <v>39</v>
      </c>
      <c r="AB346" t="s">
        <v>40</v>
      </c>
      <c r="AC346" s="8">
        <v>-1.7000000000000019E-2</v>
      </c>
    </row>
    <row r="347" spans="1:29" x14ac:dyDescent="0.3">
      <c r="A347" s="7">
        <v>346</v>
      </c>
      <c r="B347" s="1">
        <v>40558</v>
      </c>
      <c r="C347" s="7">
        <v>1</v>
      </c>
      <c r="D347" s="7">
        <v>21</v>
      </c>
      <c r="E347" t="b">
        <v>0</v>
      </c>
      <c r="F347" s="7">
        <v>6</v>
      </c>
      <c r="G347" s="7">
        <v>2</v>
      </c>
      <c r="H347" s="6">
        <v>0.32</v>
      </c>
      <c r="I347" s="8">
        <v>0.30299999999999999</v>
      </c>
      <c r="J347" s="6">
        <v>0.39</v>
      </c>
      <c r="K347" s="8">
        <v>0.22389999999999999</v>
      </c>
      <c r="L347" s="7">
        <v>6</v>
      </c>
      <c r="M347" s="7">
        <v>51</v>
      </c>
      <c r="N347" s="7">
        <v>57</v>
      </c>
      <c r="O347" t="s">
        <v>29</v>
      </c>
      <c r="P347" t="s">
        <v>30</v>
      </c>
      <c r="Q347" t="s">
        <v>41</v>
      </c>
      <c r="R347" t="s">
        <v>32</v>
      </c>
      <c r="S347" t="s">
        <v>44</v>
      </c>
      <c r="T347" t="s">
        <v>39</v>
      </c>
      <c r="U347" t="s">
        <v>46</v>
      </c>
      <c r="V347" t="s">
        <v>36</v>
      </c>
      <c r="W347" t="s">
        <v>37</v>
      </c>
      <c r="X347" s="6">
        <v>10.52631578947368</v>
      </c>
      <c r="Y347" s="6">
        <v>89.473684210526315</v>
      </c>
      <c r="Z347" t="s">
        <v>38</v>
      </c>
      <c r="AA347" t="s">
        <v>39</v>
      </c>
      <c r="AB347" t="s">
        <v>40</v>
      </c>
      <c r="AC347" s="8">
        <v>-1.7000000000000019E-2</v>
      </c>
    </row>
    <row r="348" spans="1:29" x14ac:dyDescent="0.3">
      <c r="A348" s="7">
        <v>347</v>
      </c>
      <c r="B348" s="1">
        <v>40558</v>
      </c>
      <c r="C348" s="7">
        <v>1</v>
      </c>
      <c r="D348" s="7">
        <v>22</v>
      </c>
      <c r="E348" t="b">
        <v>0</v>
      </c>
      <c r="F348" s="7">
        <v>6</v>
      </c>
      <c r="G348" s="7">
        <v>2</v>
      </c>
      <c r="H348" s="6">
        <v>0.3</v>
      </c>
      <c r="I348" s="8">
        <v>0.31819999999999998</v>
      </c>
      <c r="J348" s="6">
        <v>0.42</v>
      </c>
      <c r="K348" s="8">
        <v>0.1045</v>
      </c>
      <c r="L348" s="7">
        <v>0</v>
      </c>
      <c r="M348" s="7">
        <v>26</v>
      </c>
      <c r="N348" s="7">
        <v>26</v>
      </c>
      <c r="O348" t="s">
        <v>29</v>
      </c>
      <c r="P348" t="s">
        <v>30</v>
      </c>
      <c r="Q348" t="s">
        <v>41</v>
      </c>
      <c r="R348" t="s">
        <v>32</v>
      </c>
      <c r="S348" t="s">
        <v>44</v>
      </c>
      <c r="T348" t="s">
        <v>49</v>
      </c>
      <c r="U348" t="s">
        <v>35</v>
      </c>
      <c r="V348" t="s">
        <v>36</v>
      </c>
      <c r="W348" t="s">
        <v>37</v>
      </c>
      <c r="X348" s="6">
        <v>0</v>
      </c>
      <c r="Y348" s="6">
        <v>100</v>
      </c>
      <c r="Z348" t="s">
        <v>38</v>
      </c>
      <c r="AA348" t="s">
        <v>39</v>
      </c>
      <c r="AB348" t="s">
        <v>40</v>
      </c>
      <c r="AC348" s="8">
        <v>1.819999999999999E-2</v>
      </c>
    </row>
    <row r="349" spans="1:29" x14ac:dyDescent="0.3">
      <c r="A349" s="7">
        <v>348</v>
      </c>
      <c r="B349" s="1">
        <v>40558</v>
      </c>
      <c r="C349" s="7">
        <v>1</v>
      </c>
      <c r="D349" s="7">
        <v>23</v>
      </c>
      <c r="E349" t="b">
        <v>0</v>
      </c>
      <c r="F349" s="7">
        <v>6</v>
      </c>
      <c r="G349" s="7">
        <v>1</v>
      </c>
      <c r="H349" s="6">
        <v>0.3</v>
      </c>
      <c r="I349" s="8">
        <v>0.28789999999999999</v>
      </c>
      <c r="J349" s="6">
        <v>0.45</v>
      </c>
      <c r="K349" s="8">
        <v>0.28360000000000002</v>
      </c>
      <c r="L349" s="7">
        <v>5</v>
      </c>
      <c r="M349" s="7">
        <v>39</v>
      </c>
      <c r="N349" s="7">
        <v>44</v>
      </c>
      <c r="O349" t="s">
        <v>29</v>
      </c>
      <c r="P349" t="s">
        <v>30</v>
      </c>
      <c r="Q349" t="s">
        <v>31</v>
      </c>
      <c r="R349" t="s">
        <v>32</v>
      </c>
      <c r="S349" t="s">
        <v>44</v>
      </c>
      <c r="T349" t="s">
        <v>49</v>
      </c>
      <c r="U349" t="s">
        <v>46</v>
      </c>
      <c r="V349" t="s">
        <v>36</v>
      </c>
      <c r="W349" t="s">
        <v>37</v>
      </c>
      <c r="X349" s="6">
        <v>11.36363636363636</v>
      </c>
      <c r="Y349" s="6">
        <v>88.63636363636364</v>
      </c>
      <c r="Z349" t="s">
        <v>38</v>
      </c>
      <c r="AA349" t="s">
        <v>39</v>
      </c>
      <c r="AB349" t="s">
        <v>40</v>
      </c>
      <c r="AC349" s="8">
        <v>-1.21E-2</v>
      </c>
    </row>
    <row r="350" spans="1:29" x14ac:dyDescent="0.3">
      <c r="A350" s="7">
        <v>349</v>
      </c>
      <c r="B350" s="1">
        <v>40559</v>
      </c>
      <c r="C350" s="7">
        <v>1</v>
      </c>
      <c r="D350" s="7">
        <v>0</v>
      </c>
      <c r="E350" t="b">
        <v>0</v>
      </c>
      <c r="F350" s="7">
        <v>0</v>
      </c>
      <c r="G350" s="7">
        <v>1</v>
      </c>
      <c r="H350" s="6">
        <v>0.26</v>
      </c>
      <c r="I350" s="8">
        <v>0.30299999999999999</v>
      </c>
      <c r="J350" s="6">
        <v>0.56000000000000005</v>
      </c>
      <c r="K350" s="8">
        <v>0</v>
      </c>
      <c r="L350" s="7">
        <v>6</v>
      </c>
      <c r="M350" s="7">
        <v>33</v>
      </c>
      <c r="N350" s="7">
        <v>39</v>
      </c>
      <c r="O350" t="s">
        <v>29</v>
      </c>
      <c r="P350" t="s">
        <v>52</v>
      </c>
      <c r="Q350" t="s">
        <v>31</v>
      </c>
      <c r="R350" t="s">
        <v>32</v>
      </c>
      <c r="S350" t="s">
        <v>44</v>
      </c>
      <c r="T350" t="s">
        <v>49</v>
      </c>
      <c r="U350" t="s">
        <v>35</v>
      </c>
      <c r="V350" t="s">
        <v>36</v>
      </c>
      <c r="W350" t="s">
        <v>37</v>
      </c>
      <c r="X350" s="6">
        <v>15.38461538461539</v>
      </c>
      <c r="Y350" s="6">
        <v>84.615384615384613</v>
      </c>
      <c r="Z350" t="s">
        <v>38</v>
      </c>
      <c r="AA350" t="s">
        <v>39</v>
      </c>
      <c r="AB350" t="s">
        <v>40</v>
      </c>
      <c r="AC350" s="8">
        <v>4.2999999999999983E-2</v>
      </c>
    </row>
    <row r="351" spans="1:29" x14ac:dyDescent="0.3">
      <c r="A351" s="7">
        <v>350</v>
      </c>
      <c r="B351" s="1">
        <v>40559</v>
      </c>
      <c r="C351" s="7">
        <v>1</v>
      </c>
      <c r="D351" s="7">
        <v>1</v>
      </c>
      <c r="E351" t="b">
        <v>0</v>
      </c>
      <c r="F351" s="7">
        <v>0</v>
      </c>
      <c r="G351" s="7">
        <v>1</v>
      </c>
      <c r="H351" s="6">
        <v>0.26</v>
      </c>
      <c r="I351" s="8">
        <v>0.2727</v>
      </c>
      <c r="J351" s="6">
        <v>0.56000000000000005</v>
      </c>
      <c r="K351" s="8">
        <v>0.1343</v>
      </c>
      <c r="L351" s="7">
        <v>4</v>
      </c>
      <c r="M351" s="7">
        <v>19</v>
      </c>
      <c r="N351" s="7">
        <v>23</v>
      </c>
      <c r="O351" t="s">
        <v>29</v>
      </c>
      <c r="P351" t="s">
        <v>52</v>
      </c>
      <c r="Q351" t="s">
        <v>31</v>
      </c>
      <c r="R351" t="s">
        <v>32</v>
      </c>
      <c r="S351" t="s">
        <v>44</v>
      </c>
      <c r="T351" t="s">
        <v>49</v>
      </c>
      <c r="U351" t="s">
        <v>35</v>
      </c>
      <c r="V351" t="s">
        <v>36</v>
      </c>
      <c r="W351" t="s">
        <v>37</v>
      </c>
      <c r="X351" s="6">
        <v>17.39130434782609</v>
      </c>
      <c r="Y351" s="6">
        <v>82.608695652173907</v>
      </c>
      <c r="Z351" t="s">
        <v>38</v>
      </c>
      <c r="AA351" t="s">
        <v>39</v>
      </c>
      <c r="AB351" t="s">
        <v>40</v>
      </c>
      <c r="AC351" s="8">
        <v>1.2699999999999991E-2</v>
      </c>
    </row>
    <row r="352" spans="1:29" x14ac:dyDescent="0.3">
      <c r="A352" s="7">
        <v>351</v>
      </c>
      <c r="B352" s="1">
        <v>40559</v>
      </c>
      <c r="C352" s="7">
        <v>1</v>
      </c>
      <c r="D352" s="7">
        <v>2</v>
      </c>
      <c r="E352" t="b">
        <v>0</v>
      </c>
      <c r="F352" s="7">
        <v>0</v>
      </c>
      <c r="G352" s="7">
        <v>1</v>
      </c>
      <c r="H352" s="6">
        <v>0.26</v>
      </c>
      <c r="I352" s="8">
        <v>0.28789999999999999</v>
      </c>
      <c r="J352" s="6">
        <v>0.56000000000000005</v>
      </c>
      <c r="K352" s="8">
        <v>8.9599999999999999E-2</v>
      </c>
      <c r="L352" s="7">
        <v>3</v>
      </c>
      <c r="M352" s="7">
        <v>13</v>
      </c>
      <c r="N352" s="7">
        <v>16</v>
      </c>
      <c r="O352" t="s">
        <v>29</v>
      </c>
      <c r="P352" t="s">
        <v>52</v>
      </c>
      <c r="Q352" t="s">
        <v>31</v>
      </c>
      <c r="R352" t="s">
        <v>32</v>
      </c>
      <c r="S352" t="s">
        <v>44</v>
      </c>
      <c r="T352" t="s">
        <v>49</v>
      </c>
      <c r="U352" t="s">
        <v>35</v>
      </c>
      <c r="V352" t="s">
        <v>36</v>
      </c>
      <c r="W352" t="s">
        <v>37</v>
      </c>
      <c r="X352" s="6">
        <v>18.75</v>
      </c>
      <c r="Y352" s="6">
        <v>81.25</v>
      </c>
      <c r="Z352" t="s">
        <v>38</v>
      </c>
      <c r="AA352" t="s">
        <v>39</v>
      </c>
      <c r="AB352" t="s">
        <v>40</v>
      </c>
      <c r="AC352" s="8">
        <v>2.789999999999998E-2</v>
      </c>
    </row>
    <row r="353" spans="1:29" x14ac:dyDescent="0.3">
      <c r="A353" s="7">
        <v>352</v>
      </c>
      <c r="B353" s="1">
        <v>40559</v>
      </c>
      <c r="C353" s="7">
        <v>1</v>
      </c>
      <c r="D353" s="7">
        <v>3</v>
      </c>
      <c r="E353" t="b">
        <v>0</v>
      </c>
      <c r="F353" s="7">
        <v>0</v>
      </c>
      <c r="G353" s="7">
        <v>1</v>
      </c>
      <c r="H353" s="6">
        <v>0.22</v>
      </c>
      <c r="I353" s="8">
        <v>0.2727</v>
      </c>
      <c r="J353" s="6">
        <v>0.69</v>
      </c>
      <c r="K353" s="8">
        <v>0</v>
      </c>
      <c r="L353" s="7">
        <v>9</v>
      </c>
      <c r="M353" s="7">
        <v>6</v>
      </c>
      <c r="N353" s="7">
        <v>15</v>
      </c>
      <c r="O353" t="s">
        <v>29</v>
      </c>
      <c r="P353" t="s">
        <v>52</v>
      </c>
      <c r="Q353" t="s">
        <v>31</v>
      </c>
      <c r="R353" t="s">
        <v>32</v>
      </c>
      <c r="S353" t="s">
        <v>33</v>
      </c>
      <c r="T353" t="s">
        <v>49</v>
      </c>
      <c r="U353" t="s">
        <v>35</v>
      </c>
      <c r="V353" t="s">
        <v>36</v>
      </c>
      <c r="W353" t="s">
        <v>43</v>
      </c>
      <c r="X353" s="6">
        <v>60</v>
      </c>
      <c r="Y353" s="6">
        <v>40</v>
      </c>
      <c r="Z353" t="s">
        <v>38</v>
      </c>
      <c r="AA353" t="s">
        <v>39</v>
      </c>
      <c r="AB353" t="s">
        <v>40</v>
      </c>
      <c r="AC353" s="8">
        <v>5.2699999999999997E-2</v>
      </c>
    </row>
    <row r="354" spans="1:29" x14ac:dyDescent="0.3">
      <c r="A354" s="7">
        <v>353</v>
      </c>
      <c r="B354" s="1">
        <v>40559</v>
      </c>
      <c r="C354" s="7">
        <v>1</v>
      </c>
      <c r="D354" s="7">
        <v>4</v>
      </c>
      <c r="E354" t="b">
        <v>0</v>
      </c>
      <c r="F354" s="7">
        <v>0</v>
      </c>
      <c r="G354" s="7">
        <v>1</v>
      </c>
      <c r="H354" s="6">
        <v>0.26</v>
      </c>
      <c r="I354" s="8">
        <v>0.2576</v>
      </c>
      <c r="J354" s="6">
        <v>0.56000000000000005</v>
      </c>
      <c r="K354" s="8">
        <v>0.16420000000000001</v>
      </c>
      <c r="L354" s="7">
        <v>0</v>
      </c>
      <c r="M354" s="7">
        <v>1</v>
      </c>
      <c r="N354" s="7">
        <v>1</v>
      </c>
      <c r="O354" t="s">
        <v>29</v>
      </c>
      <c r="P354" t="s">
        <v>52</v>
      </c>
      <c r="Q354" t="s">
        <v>31</v>
      </c>
      <c r="R354" t="s">
        <v>32</v>
      </c>
      <c r="S354" t="s">
        <v>44</v>
      </c>
      <c r="T354" t="s">
        <v>49</v>
      </c>
      <c r="U354" t="s">
        <v>46</v>
      </c>
      <c r="V354" t="s">
        <v>36</v>
      </c>
      <c r="W354" t="s">
        <v>37</v>
      </c>
      <c r="X354" s="6">
        <v>0</v>
      </c>
      <c r="Y354" s="6">
        <v>100</v>
      </c>
      <c r="Z354" t="s">
        <v>38</v>
      </c>
      <c r="AA354" t="s">
        <v>39</v>
      </c>
      <c r="AB354" t="s">
        <v>40</v>
      </c>
      <c r="AC354" s="8">
        <v>-2.4000000000000128E-3</v>
      </c>
    </row>
    <row r="355" spans="1:29" x14ac:dyDescent="0.3">
      <c r="A355" s="7">
        <v>354</v>
      </c>
      <c r="B355" s="1">
        <v>40559</v>
      </c>
      <c r="C355" s="7">
        <v>1</v>
      </c>
      <c r="D355" s="7">
        <v>5</v>
      </c>
      <c r="E355" t="b">
        <v>0</v>
      </c>
      <c r="F355" s="7">
        <v>0</v>
      </c>
      <c r="G355" s="7">
        <v>2</v>
      </c>
      <c r="H355" s="6">
        <v>0.26</v>
      </c>
      <c r="I355" s="8">
        <v>0.2576</v>
      </c>
      <c r="J355" s="6">
        <v>0.56000000000000005</v>
      </c>
      <c r="K355" s="8">
        <v>0.16420000000000001</v>
      </c>
      <c r="L355" s="7">
        <v>1</v>
      </c>
      <c r="M355" s="7">
        <v>1</v>
      </c>
      <c r="N355" s="7">
        <v>2</v>
      </c>
      <c r="O355" t="s">
        <v>29</v>
      </c>
      <c r="P355" t="s">
        <v>52</v>
      </c>
      <c r="Q355" t="s">
        <v>41</v>
      </c>
      <c r="R355" t="s">
        <v>32</v>
      </c>
      <c r="S355" t="s">
        <v>44</v>
      </c>
      <c r="T355" t="s">
        <v>49</v>
      </c>
      <c r="U355" t="s">
        <v>46</v>
      </c>
      <c r="V355" t="s">
        <v>36</v>
      </c>
      <c r="W355" t="s">
        <v>37</v>
      </c>
      <c r="X355" s="6">
        <v>50</v>
      </c>
      <c r="Y355" s="6">
        <v>50</v>
      </c>
      <c r="Z355" t="s">
        <v>38</v>
      </c>
      <c r="AA355" t="s">
        <v>39</v>
      </c>
      <c r="AB355" t="s">
        <v>40</v>
      </c>
      <c r="AC355" s="8">
        <v>-2.4000000000000128E-3</v>
      </c>
    </row>
    <row r="356" spans="1:29" x14ac:dyDescent="0.3">
      <c r="A356" s="7">
        <v>355</v>
      </c>
      <c r="B356" s="1">
        <v>40559</v>
      </c>
      <c r="C356" s="7">
        <v>1</v>
      </c>
      <c r="D356" s="7">
        <v>6</v>
      </c>
      <c r="E356" t="b">
        <v>0</v>
      </c>
      <c r="F356" s="7">
        <v>0</v>
      </c>
      <c r="G356" s="7">
        <v>2</v>
      </c>
      <c r="H356" s="6">
        <v>0.26</v>
      </c>
      <c r="I356" s="8">
        <v>0.2576</v>
      </c>
      <c r="J356" s="6">
        <v>0.56000000000000005</v>
      </c>
      <c r="K356" s="8">
        <v>0.16420000000000001</v>
      </c>
      <c r="L356" s="7">
        <v>0</v>
      </c>
      <c r="M356" s="7">
        <v>1</v>
      </c>
      <c r="N356" s="7">
        <v>1</v>
      </c>
      <c r="O356" t="s">
        <v>29</v>
      </c>
      <c r="P356" t="s">
        <v>52</v>
      </c>
      <c r="Q356" t="s">
        <v>41</v>
      </c>
      <c r="R356" t="s">
        <v>42</v>
      </c>
      <c r="S356" t="s">
        <v>44</v>
      </c>
      <c r="T356" t="s">
        <v>49</v>
      </c>
      <c r="U356" t="s">
        <v>46</v>
      </c>
      <c r="V356" t="s">
        <v>36</v>
      </c>
      <c r="W356" t="s">
        <v>37</v>
      </c>
      <c r="X356" s="6">
        <v>0</v>
      </c>
      <c r="Y356" s="6">
        <v>100</v>
      </c>
      <c r="Z356" t="s">
        <v>38</v>
      </c>
      <c r="AA356" t="s">
        <v>39</v>
      </c>
      <c r="AB356" t="s">
        <v>40</v>
      </c>
      <c r="AC356" s="8">
        <v>-2.4000000000000128E-3</v>
      </c>
    </row>
    <row r="357" spans="1:29" x14ac:dyDescent="0.3">
      <c r="A357" s="7">
        <v>356</v>
      </c>
      <c r="B357" s="1">
        <v>40559</v>
      </c>
      <c r="C357" s="7">
        <v>1</v>
      </c>
      <c r="D357" s="7">
        <v>7</v>
      </c>
      <c r="E357" t="b">
        <v>0</v>
      </c>
      <c r="F357" s="7">
        <v>0</v>
      </c>
      <c r="G357" s="7">
        <v>2</v>
      </c>
      <c r="H357" s="6">
        <v>0.24</v>
      </c>
      <c r="I357" s="8">
        <v>0.21210000000000001</v>
      </c>
      <c r="J357" s="6">
        <v>0.56000000000000005</v>
      </c>
      <c r="K357" s="8">
        <v>0.29849999999999999</v>
      </c>
      <c r="L357" s="7">
        <v>0</v>
      </c>
      <c r="M357" s="7">
        <v>3</v>
      </c>
      <c r="N357" s="7">
        <v>3</v>
      </c>
      <c r="O357" t="s">
        <v>29</v>
      </c>
      <c r="P357" t="s">
        <v>52</v>
      </c>
      <c r="Q357" t="s">
        <v>41</v>
      </c>
      <c r="R357" t="s">
        <v>42</v>
      </c>
      <c r="S357" t="s">
        <v>33</v>
      </c>
      <c r="T357" t="s">
        <v>49</v>
      </c>
      <c r="U357" t="s">
        <v>46</v>
      </c>
      <c r="V357" t="s">
        <v>36</v>
      </c>
      <c r="W357" t="s">
        <v>37</v>
      </c>
      <c r="X357" s="6">
        <v>0</v>
      </c>
      <c r="Y357" s="6">
        <v>100</v>
      </c>
      <c r="Z357" t="s">
        <v>40</v>
      </c>
      <c r="AA357" t="s">
        <v>39</v>
      </c>
      <c r="AB357" t="s">
        <v>40</v>
      </c>
      <c r="AC357" s="8">
        <v>-2.789999999999998E-2</v>
      </c>
    </row>
    <row r="358" spans="1:29" x14ac:dyDescent="0.3">
      <c r="A358" s="7">
        <v>357</v>
      </c>
      <c r="B358" s="1">
        <v>40559</v>
      </c>
      <c r="C358" s="7">
        <v>1</v>
      </c>
      <c r="D358" s="7">
        <v>8</v>
      </c>
      <c r="E358" t="b">
        <v>0</v>
      </c>
      <c r="F358" s="7">
        <v>0</v>
      </c>
      <c r="G358" s="7">
        <v>1</v>
      </c>
      <c r="H358" s="6">
        <v>0.22</v>
      </c>
      <c r="I358" s="8">
        <v>0.21210000000000001</v>
      </c>
      <c r="J358" s="6">
        <v>0.55000000000000004</v>
      </c>
      <c r="K358" s="8">
        <v>0.28360000000000002</v>
      </c>
      <c r="L358" s="7">
        <v>0</v>
      </c>
      <c r="M358" s="7">
        <v>18</v>
      </c>
      <c r="N358" s="7">
        <v>18</v>
      </c>
      <c r="O358" t="s">
        <v>29</v>
      </c>
      <c r="P358" t="s">
        <v>52</v>
      </c>
      <c r="Q358" t="s">
        <v>31</v>
      </c>
      <c r="R358" t="s">
        <v>42</v>
      </c>
      <c r="S358" t="s">
        <v>33</v>
      </c>
      <c r="T358" t="s">
        <v>49</v>
      </c>
      <c r="U358" t="s">
        <v>46</v>
      </c>
      <c r="V358" t="s">
        <v>36</v>
      </c>
      <c r="W358" t="s">
        <v>37</v>
      </c>
      <c r="X358" s="6">
        <v>0</v>
      </c>
      <c r="Y358" s="6">
        <v>100</v>
      </c>
      <c r="Z358" t="s">
        <v>40</v>
      </c>
      <c r="AA358" t="s">
        <v>39</v>
      </c>
      <c r="AB358" t="s">
        <v>40</v>
      </c>
      <c r="AC358" s="8">
        <v>-7.8999999999999904E-3</v>
      </c>
    </row>
    <row r="359" spans="1:29" x14ac:dyDescent="0.3">
      <c r="A359" s="7">
        <v>358</v>
      </c>
      <c r="B359" s="1">
        <v>40559</v>
      </c>
      <c r="C359" s="7">
        <v>1</v>
      </c>
      <c r="D359" s="7">
        <v>9</v>
      </c>
      <c r="E359" t="b">
        <v>0</v>
      </c>
      <c r="F359" s="7">
        <v>0</v>
      </c>
      <c r="G359" s="7">
        <v>1</v>
      </c>
      <c r="H359" s="6">
        <v>0.22</v>
      </c>
      <c r="I359" s="8">
        <v>0.21210000000000001</v>
      </c>
      <c r="J359" s="6">
        <v>0.51</v>
      </c>
      <c r="K359" s="8">
        <v>0.25369999999999998</v>
      </c>
      <c r="L359" s="7">
        <v>3</v>
      </c>
      <c r="M359" s="7">
        <v>29</v>
      </c>
      <c r="N359" s="7">
        <v>32</v>
      </c>
      <c r="O359" t="s">
        <v>29</v>
      </c>
      <c r="P359" t="s">
        <v>52</v>
      </c>
      <c r="Q359" t="s">
        <v>31</v>
      </c>
      <c r="R359" t="s">
        <v>42</v>
      </c>
      <c r="S359" t="s">
        <v>33</v>
      </c>
      <c r="T359" t="s">
        <v>49</v>
      </c>
      <c r="U359" t="s">
        <v>46</v>
      </c>
      <c r="V359" t="s">
        <v>36</v>
      </c>
      <c r="W359" t="s">
        <v>37</v>
      </c>
      <c r="X359" s="6">
        <v>9.375</v>
      </c>
      <c r="Y359" s="6">
        <v>90.625</v>
      </c>
      <c r="Z359" t="s">
        <v>40</v>
      </c>
      <c r="AA359" t="s">
        <v>39</v>
      </c>
      <c r="AB359" t="s">
        <v>40</v>
      </c>
      <c r="AC359" s="8">
        <v>-7.8999999999999904E-3</v>
      </c>
    </row>
    <row r="360" spans="1:29" x14ac:dyDescent="0.3">
      <c r="A360" s="7">
        <v>359</v>
      </c>
      <c r="B360" s="1">
        <v>40559</v>
      </c>
      <c r="C360" s="7">
        <v>1</v>
      </c>
      <c r="D360" s="7">
        <v>10</v>
      </c>
      <c r="E360" t="b">
        <v>0</v>
      </c>
      <c r="F360" s="7">
        <v>0</v>
      </c>
      <c r="G360" s="7">
        <v>1</v>
      </c>
      <c r="H360" s="6">
        <v>0.22</v>
      </c>
      <c r="I360" s="8">
        <v>0.21210000000000001</v>
      </c>
      <c r="J360" s="6">
        <v>0.51</v>
      </c>
      <c r="K360" s="8">
        <v>0.28360000000000002</v>
      </c>
      <c r="L360" s="7">
        <v>8</v>
      </c>
      <c r="M360" s="7">
        <v>71</v>
      </c>
      <c r="N360" s="7">
        <v>79</v>
      </c>
      <c r="O360" t="s">
        <v>29</v>
      </c>
      <c r="P360" t="s">
        <v>52</v>
      </c>
      <c r="Q360" t="s">
        <v>31</v>
      </c>
      <c r="R360" t="s">
        <v>42</v>
      </c>
      <c r="S360" t="s">
        <v>33</v>
      </c>
      <c r="T360" t="s">
        <v>49</v>
      </c>
      <c r="U360" t="s">
        <v>46</v>
      </c>
      <c r="V360" t="s">
        <v>36</v>
      </c>
      <c r="W360" t="s">
        <v>37</v>
      </c>
      <c r="X360" s="6">
        <v>10.12658227848101</v>
      </c>
      <c r="Y360" s="6">
        <v>89.87341772151899</v>
      </c>
      <c r="Z360" t="s">
        <v>38</v>
      </c>
      <c r="AA360" t="s">
        <v>39</v>
      </c>
      <c r="AB360" t="s">
        <v>40</v>
      </c>
      <c r="AC360" s="8">
        <v>-7.8999999999999904E-3</v>
      </c>
    </row>
    <row r="361" spans="1:29" x14ac:dyDescent="0.3">
      <c r="A361" s="7">
        <v>360</v>
      </c>
      <c r="B361" s="1">
        <v>40559</v>
      </c>
      <c r="C361" s="7">
        <v>1</v>
      </c>
      <c r="D361" s="7">
        <v>11</v>
      </c>
      <c r="E361" t="b">
        <v>0</v>
      </c>
      <c r="F361" s="7">
        <v>0</v>
      </c>
      <c r="G361" s="7">
        <v>1</v>
      </c>
      <c r="H361" s="6">
        <v>0.24</v>
      </c>
      <c r="I361" s="8">
        <v>0.2273</v>
      </c>
      <c r="J361" s="6">
        <v>0.44</v>
      </c>
      <c r="K361" s="8">
        <v>0.25369999999999998</v>
      </c>
      <c r="L361" s="7">
        <v>23</v>
      </c>
      <c r="M361" s="7">
        <v>70</v>
      </c>
      <c r="N361" s="7">
        <v>93</v>
      </c>
      <c r="O361" t="s">
        <v>29</v>
      </c>
      <c r="P361" t="s">
        <v>52</v>
      </c>
      <c r="Q361" t="s">
        <v>31</v>
      </c>
      <c r="R361" t="s">
        <v>42</v>
      </c>
      <c r="S361" t="s">
        <v>33</v>
      </c>
      <c r="T361" t="s">
        <v>49</v>
      </c>
      <c r="U361" t="s">
        <v>46</v>
      </c>
      <c r="V361" t="s">
        <v>36</v>
      </c>
      <c r="W361" t="s">
        <v>37</v>
      </c>
      <c r="X361" s="6">
        <v>24.731182795698921</v>
      </c>
      <c r="Y361" s="6">
        <v>75.268817204301072</v>
      </c>
      <c r="Z361" t="s">
        <v>38</v>
      </c>
      <c r="AA361" t="s">
        <v>39</v>
      </c>
      <c r="AB361" t="s">
        <v>40</v>
      </c>
      <c r="AC361" s="8">
        <v>-1.2699999999999991E-2</v>
      </c>
    </row>
    <row r="362" spans="1:29" x14ac:dyDescent="0.3">
      <c r="A362" s="7">
        <v>361</v>
      </c>
      <c r="B362" s="1">
        <v>40559</v>
      </c>
      <c r="C362" s="7">
        <v>1</v>
      </c>
      <c r="D362" s="7">
        <v>12</v>
      </c>
      <c r="E362" t="b">
        <v>0</v>
      </c>
      <c r="F362" s="7">
        <v>0</v>
      </c>
      <c r="G362" s="7">
        <v>1</v>
      </c>
      <c r="H362" s="6">
        <v>0.24</v>
      </c>
      <c r="I362" s="8">
        <v>0.21210000000000001</v>
      </c>
      <c r="J362" s="6">
        <v>0.41</v>
      </c>
      <c r="K362" s="8">
        <v>0.28360000000000002</v>
      </c>
      <c r="L362" s="7">
        <v>29</v>
      </c>
      <c r="M362" s="7">
        <v>75</v>
      </c>
      <c r="N362" s="7">
        <v>104</v>
      </c>
      <c r="O362" t="s">
        <v>29</v>
      </c>
      <c r="P362" t="s">
        <v>52</v>
      </c>
      <c r="Q362" t="s">
        <v>31</v>
      </c>
      <c r="R362" t="s">
        <v>47</v>
      </c>
      <c r="S362" t="s">
        <v>33</v>
      </c>
      <c r="T362" t="s">
        <v>49</v>
      </c>
      <c r="U362" t="s">
        <v>46</v>
      </c>
      <c r="V362" t="s">
        <v>36</v>
      </c>
      <c r="W362" t="s">
        <v>37</v>
      </c>
      <c r="X362" s="6">
        <v>27.88461538461539</v>
      </c>
      <c r="Y362" s="6">
        <v>72.115384615384613</v>
      </c>
      <c r="Z362" t="s">
        <v>38</v>
      </c>
      <c r="AA362" t="s">
        <v>49</v>
      </c>
      <c r="AB362" t="s">
        <v>40</v>
      </c>
      <c r="AC362" s="8">
        <v>-2.789999999999998E-2</v>
      </c>
    </row>
    <row r="363" spans="1:29" x14ac:dyDescent="0.3">
      <c r="A363" s="7">
        <v>362</v>
      </c>
      <c r="B363" s="1">
        <v>40559</v>
      </c>
      <c r="C363" s="7">
        <v>1</v>
      </c>
      <c r="D363" s="7">
        <v>13</v>
      </c>
      <c r="E363" t="b">
        <v>0</v>
      </c>
      <c r="F363" s="7">
        <v>0</v>
      </c>
      <c r="G363" s="7">
        <v>1</v>
      </c>
      <c r="H363" s="6">
        <v>0.26</v>
      </c>
      <c r="I363" s="8">
        <v>0.2273</v>
      </c>
      <c r="J363" s="6">
        <v>0.35</v>
      </c>
      <c r="K363" s="8">
        <v>0.29849999999999999</v>
      </c>
      <c r="L363" s="7">
        <v>23</v>
      </c>
      <c r="M363" s="7">
        <v>95</v>
      </c>
      <c r="N363" s="7">
        <v>118</v>
      </c>
      <c r="O363" t="s">
        <v>29</v>
      </c>
      <c r="P363" t="s">
        <v>52</v>
      </c>
      <c r="Q363" t="s">
        <v>31</v>
      </c>
      <c r="R363" t="s">
        <v>47</v>
      </c>
      <c r="S363" t="s">
        <v>44</v>
      </c>
      <c r="T363" t="s">
        <v>39</v>
      </c>
      <c r="U363" t="s">
        <v>46</v>
      </c>
      <c r="V363" t="s">
        <v>36</v>
      </c>
      <c r="W363" t="s">
        <v>37</v>
      </c>
      <c r="X363" s="6">
        <v>19.49152542372881</v>
      </c>
      <c r="Y363" s="6">
        <v>80.508474576271183</v>
      </c>
      <c r="Z363" t="s">
        <v>38</v>
      </c>
      <c r="AA363" t="s">
        <v>49</v>
      </c>
      <c r="AB363" t="s">
        <v>40</v>
      </c>
      <c r="AC363" s="8">
        <v>-3.2700000000000007E-2</v>
      </c>
    </row>
    <row r="364" spans="1:29" x14ac:dyDescent="0.3">
      <c r="A364" s="7">
        <v>363</v>
      </c>
      <c r="B364" s="1">
        <v>40559</v>
      </c>
      <c r="C364" s="7">
        <v>1</v>
      </c>
      <c r="D364" s="7">
        <v>14</v>
      </c>
      <c r="E364" t="b">
        <v>0</v>
      </c>
      <c r="F364" s="7">
        <v>0</v>
      </c>
      <c r="G364" s="7">
        <v>1</v>
      </c>
      <c r="H364" s="6">
        <v>0.28000000000000003</v>
      </c>
      <c r="I364" s="8">
        <v>0.2727</v>
      </c>
      <c r="J364" s="6">
        <v>0.36</v>
      </c>
      <c r="K364" s="8">
        <v>0.25369999999999998</v>
      </c>
      <c r="L364" s="7">
        <v>22</v>
      </c>
      <c r="M364" s="7">
        <v>69</v>
      </c>
      <c r="N364" s="7">
        <v>91</v>
      </c>
      <c r="O364" t="s">
        <v>29</v>
      </c>
      <c r="P364" t="s">
        <v>52</v>
      </c>
      <c r="Q364" t="s">
        <v>31</v>
      </c>
      <c r="R364" t="s">
        <v>47</v>
      </c>
      <c r="S364" t="s">
        <v>44</v>
      </c>
      <c r="T364" t="s">
        <v>39</v>
      </c>
      <c r="U364" t="s">
        <v>46</v>
      </c>
      <c r="V364" t="s">
        <v>36</v>
      </c>
      <c r="W364" t="s">
        <v>37</v>
      </c>
      <c r="X364" s="6">
        <v>24.175824175824179</v>
      </c>
      <c r="Y364" s="6">
        <v>75.824175824175825</v>
      </c>
      <c r="Z364" t="s">
        <v>38</v>
      </c>
      <c r="AA364" t="s">
        <v>39</v>
      </c>
      <c r="AB364" t="s">
        <v>40</v>
      </c>
      <c r="AC364" s="8">
        <v>-7.3000000000000287E-3</v>
      </c>
    </row>
    <row r="365" spans="1:29" x14ac:dyDescent="0.3">
      <c r="A365" s="7">
        <v>364</v>
      </c>
      <c r="B365" s="1">
        <v>40559</v>
      </c>
      <c r="C365" s="7">
        <v>1</v>
      </c>
      <c r="D365" s="7">
        <v>15</v>
      </c>
      <c r="E365" t="b">
        <v>0</v>
      </c>
      <c r="F365" s="7">
        <v>0</v>
      </c>
      <c r="G365" s="7">
        <v>1</v>
      </c>
      <c r="H365" s="6">
        <v>0.26</v>
      </c>
      <c r="I365" s="8">
        <v>0.2424</v>
      </c>
      <c r="J365" s="6">
        <v>0.38</v>
      </c>
      <c r="K365" s="8">
        <v>0.25369999999999998</v>
      </c>
      <c r="L365" s="7">
        <v>35</v>
      </c>
      <c r="M365" s="7">
        <v>78</v>
      </c>
      <c r="N365" s="7">
        <v>113</v>
      </c>
      <c r="O365" t="s">
        <v>29</v>
      </c>
      <c r="P365" t="s">
        <v>52</v>
      </c>
      <c r="Q365" t="s">
        <v>31</v>
      </c>
      <c r="R365" t="s">
        <v>47</v>
      </c>
      <c r="S365" t="s">
        <v>44</v>
      </c>
      <c r="T365" t="s">
        <v>39</v>
      </c>
      <c r="U365" t="s">
        <v>46</v>
      </c>
      <c r="V365" t="s">
        <v>36</v>
      </c>
      <c r="W365" t="s">
        <v>37</v>
      </c>
      <c r="X365" s="6">
        <v>30.973451327433629</v>
      </c>
      <c r="Y365" s="6">
        <v>69.026548672566364</v>
      </c>
      <c r="Z365" t="s">
        <v>38</v>
      </c>
      <c r="AA365" t="s">
        <v>49</v>
      </c>
      <c r="AB365" t="s">
        <v>40</v>
      </c>
      <c r="AC365" s="8">
        <v>-1.7600000000000001E-2</v>
      </c>
    </row>
    <row r="366" spans="1:29" x14ac:dyDescent="0.3">
      <c r="A366" s="7">
        <v>365</v>
      </c>
      <c r="B366" s="1">
        <v>40559</v>
      </c>
      <c r="C366" s="7">
        <v>1</v>
      </c>
      <c r="D366" s="7">
        <v>16</v>
      </c>
      <c r="E366" t="b">
        <v>0</v>
      </c>
      <c r="F366" s="7">
        <v>0</v>
      </c>
      <c r="G366" s="7">
        <v>1</v>
      </c>
      <c r="H366" s="6">
        <v>0.24</v>
      </c>
      <c r="I366" s="8">
        <v>0.2273</v>
      </c>
      <c r="J366" s="6">
        <v>0.38</v>
      </c>
      <c r="K366" s="8">
        <v>0.22389999999999999</v>
      </c>
      <c r="L366" s="7">
        <v>22</v>
      </c>
      <c r="M366" s="7">
        <v>77</v>
      </c>
      <c r="N366" s="7">
        <v>99</v>
      </c>
      <c r="O366" t="s">
        <v>29</v>
      </c>
      <c r="P366" t="s">
        <v>52</v>
      </c>
      <c r="Q366" t="s">
        <v>31</v>
      </c>
      <c r="R366" t="s">
        <v>47</v>
      </c>
      <c r="S366" t="s">
        <v>33</v>
      </c>
      <c r="T366" t="s">
        <v>39</v>
      </c>
      <c r="U366" t="s">
        <v>46</v>
      </c>
      <c r="V366" t="s">
        <v>36</v>
      </c>
      <c r="W366" t="s">
        <v>37</v>
      </c>
      <c r="X366" s="6">
        <v>22.222222222222221</v>
      </c>
      <c r="Y366" s="6">
        <v>77.777777777777786</v>
      </c>
      <c r="Z366" t="s">
        <v>38</v>
      </c>
      <c r="AA366" t="s">
        <v>39</v>
      </c>
      <c r="AB366" t="s">
        <v>40</v>
      </c>
      <c r="AC366" s="8">
        <v>-1.2699999999999991E-2</v>
      </c>
    </row>
    <row r="367" spans="1:29" x14ac:dyDescent="0.3">
      <c r="A367" s="7">
        <v>366</v>
      </c>
      <c r="B367" s="1">
        <v>40559</v>
      </c>
      <c r="C367" s="7">
        <v>1</v>
      </c>
      <c r="D367" s="7">
        <v>17</v>
      </c>
      <c r="E367" t="b">
        <v>0</v>
      </c>
      <c r="F367" s="7">
        <v>0</v>
      </c>
      <c r="G367" s="7">
        <v>1</v>
      </c>
      <c r="H367" s="6">
        <v>0.22</v>
      </c>
      <c r="I367" s="8">
        <v>0.21210000000000001</v>
      </c>
      <c r="J367" s="6">
        <v>0.37</v>
      </c>
      <c r="K367" s="8">
        <v>0.25369999999999998</v>
      </c>
      <c r="L367" s="7">
        <v>23</v>
      </c>
      <c r="M367" s="7">
        <v>82</v>
      </c>
      <c r="N367" s="7">
        <v>105</v>
      </c>
      <c r="O367" t="s">
        <v>29</v>
      </c>
      <c r="P367" t="s">
        <v>52</v>
      </c>
      <c r="Q367" t="s">
        <v>31</v>
      </c>
      <c r="R367" t="s">
        <v>50</v>
      </c>
      <c r="S367" t="s">
        <v>33</v>
      </c>
      <c r="T367" t="s">
        <v>39</v>
      </c>
      <c r="U367" t="s">
        <v>46</v>
      </c>
      <c r="V367" t="s">
        <v>36</v>
      </c>
      <c r="W367" t="s">
        <v>37</v>
      </c>
      <c r="X367" s="6">
        <v>21.904761904761909</v>
      </c>
      <c r="Y367" s="6">
        <v>78.095238095238102</v>
      </c>
      <c r="Z367" t="s">
        <v>40</v>
      </c>
      <c r="AA367" t="s">
        <v>49</v>
      </c>
      <c r="AB367" t="s">
        <v>40</v>
      </c>
      <c r="AC367" s="8">
        <v>-7.8999999999999904E-3</v>
      </c>
    </row>
    <row r="368" spans="1:29" x14ac:dyDescent="0.3">
      <c r="A368" s="7">
        <v>367</v>
      </c>
      <c r="B368" s="1">
        <v>40559</v>
      </c>
      <c r="C368" s="7">
        <v>1</v>
      </c>
      <c r="D368" s="7">
        <v>18</v>
      </c>
      <c r="E368" t="b">
        <v>0</v>
      </c>
      <c r="F368" s="7">
        <v>0</v>
      </c>
      <c r="G368" s="7">
        <v>1</v>
      </c>
      <c r="H368" s="6">
        <v>0.2</v>
      </c>
      <c r="I368" s="8">
        <v>0.21210000000000001</v>
      </c>
      <c r="J368" s="6">
        <v>0.4</v>
      </c>
      <c r="K368" s="8">
        <v>0.16420000000000001</v>
      </c>
      <c r="L368" s="7">
        <v>11</v>
      </c>
      <c r="M368" s="7">
        <v>56</v>
      </c>
      <c r="N368" s="7">
        <v>67</v>
      </c>
      <c r="O368" t="s">
        <v>29</v>
      </c>
      <c r="P368" t="s">
        <v>52</v>
      </c>
      <c r="Q368" t="s">
        <v>31</v>
      </c>
      <c r="R368" t="s">
        <v>50</v>
      </c>
      <c r="S368" t="s">
        <v>33</v>
      </c>
      <c r="T368" t="s">
        <v>49</v>
      </c>
      <c r="U368" t="s">
        <v>46</v>
      </c>
      <c r="V368" t="s">
        <v>36</v>
      </c>
      <c r="W368" t="s">
        <v>37</v>
      </c>
      <c r="X368" s="6">
        <v>16.417910447761191</v>
      </c>
      <c r="Y368" s="6">
        <v>83.582089552238799</v>
      </c>
      <c r="Z368" t="s">
        <v>40</v>
      </c>
      <c r="AA368" t="s">
        <v>39</v>
      </c>
      <c r="AB368" t="s">
        <v>40</v>
      </c>
      <c r="AC368" s="8">
        <v>1.21E-2</v>
      </c>
    </row>
    <row r="369" spans="1:29" x14ac:dyDescent="0.3">
      <c r="A369" s="7">
        <v>368</v>
      </c>
      <c r="B369" s="1">
        <v>40559</v>
      </c>
      <c r="C369" s="7">
        <v>1</v>
      </c>
      <c r="D369" s="7">
        <v>19</v>
      </c>
      <c r="E369" t="b">
        <v>0</v>
      </c>
      <c r="F369" s="7">
        <v>0</v>
      </c>
      <c r="G369" s="7">
        <v>1</v>
      </c>
      <c r="H369" s="6">
        <v>0.18</v>
      </c>
      <c r="I369" s="8">
        <v>0.19700000000000001</v>
      </c>
      <c r="J369" s="6">
        <v>0.47</v>
      </c>
      <c r="K369" s="8">
        <v>0.1343</v>
      </c>
      <c r="L369" s="7">
        <v>14</v>
      </c>
      <c r="M369" s="7">
        <v>47</v>
      </c>
      <c r="N369" s="7">
        <v>61</v>
      </c>
      <c r="O369" t="s">
        <v>29</v>
      </c>
      <c r="P369" t="s">
        <v>52</v>
      </c>
      <c r="Q369" t="s">
        <v>31</v>
      </c>
      <c r="R369" t="s">
        <v>50</v>
      </c>
      <c r="S369" t="s">
        <v>33</v>
      </c>
      <c r="T369" t="s">
        <v>49</v>
      </c>
      <c r="U369" t="s">
        <v>35</v>
      </c>
      <c r="V369" t="s">
        <v>36</v>
      </c>
      <c r="W369" t="s">
        <v>37</v>
      </c>
      <c r="X369" s="6">
        <v>22.95081967213115</v>
      </c>
      <c r="Y369" s="6">
        <v>77.049180327868854</v>
      </c>
      <c r="Z369" t="s">
        <v>40</v>
      </c>
      <c r="AA369" t="s">
        <v>39</v>
      </c>
      <c r="AB369" t="s">
        <v>40</v>
      </c>
      <c r="AC369" s="8">
        <v>1.7000000000000019E-2</v>
      </c>
    </row>
    <row r="370" spans="1:29" x14ac:dyDescent="0.3">
      <c r="A370" s="7">
        <v>369</v>
      </c>
      <c r="B370" s="1">
        <v>40559</v>
      </c>
      <c r="C370" s="7">
        <v>1</v>
      </c>
      <c r="D370" s="7">
        <v>20</v>
      </c>
      <c r="E370" t="b">
        <v>0</v>
      </c>
      <c r="F370" s="7">
        <v>0</v>
      </c>
      <c r="G370" s="7">
        <v>1</v>
      </c>
      <c r="H370" s="6">
        <v>0.18</v>
      </c>
      <c r="I370" s="8">
        <v>0.19700000000000001</v>
      </c>
      <c r="J370" s="6">
        <v>0.47</v>
      </c>
      <c r="K370" s="8">
        <v>0.16420000000000001</v>
      </c>
      <c r="L370" s="7">
        <v>7</v>
      </c>
      <c r="M370" s="7">
        <v>50</v>
      </c>
      <c r="N370" s="7">
        <v>57</v>
      </c>
      <c r="O370" t="s">
        <v>29</v>
      </c>
      <c r="P370" t="s">
        <v>52</v>
      </c>
      <c r="Q370" t="s">
        <v>31</v>
      </c>
      <c r="R370" t="s">
        <v>50</v>
      </c>
      <c r="S370" t="s">
        <v>33</v>
      </c>
      <c r="T370" t="s">
        <v>49</v>
      </c>
      <c r="U370" t="s">
        <v>46</v>
      </c>
      <c r="V370" t="s">
        <v>36</v>
      </c>
      <c r="W370" t="s">
        <v>37</v>
      </c>
      <c r="X370" s="6">
        <v>12.28070175438596</v>
      </c>
      <c r="Y370" s="6">
        <v>87.719298245614027</v>
      </c>
      <c r="Z370" t="s">
        <v>38</v>
      </c>
      <c r="AA370" t="s">
        <v>39</v>
      </c>
      <c r="AB370" t="s">
        <v>40</v>
      </c>
      <c r="AC370" s="8">
        <v>1.7000000000000019E-2</v>
      </c>
    </row>
    <row r="371" spans="1:29" x14ac:dyDescent="0.3">
      <c r="A371" s="7">
        <v>370</v>
      </c>
      <c r="B371" s="1">
        <v>40559</v>
      </c>
      <c r="C371" s="7">
        <v>1</v>
      </c>
      <c r="D371" s="7">
        <v>21</v>
      </c>
      <c r="E371" t="b">
        <v>0</v>
      </c>
      <c r="F371" s="7">
        <v>0</v>
      </c>
      <c r="G371" s="7">
        <v>1</v>
      </c>
      <c r="H371" s="6">
        <v>0.18</v>
      </c>
      <c r="I371" s="8">
        <v>0.19700000000000001</v>
      </c>
      <c r="J371" s="6">
        <v>0.51</v>
      </c>
      <c r="K371" s="8">
        <v>0.16420000000000001</v>
      </c>
      <c r="L371" s="7">
        <v>6</v>
      </c>
      <c r="M371" s="7">
        <v>22</v>
      </c>
      <c r="N371" s="7">
        <v>28</v>
      </c>
      <c r="O371" t="s">
        <v>29</v>
      </c>
      <c r="P371" t="s">
        <v>52</v>
      </c>
      <c r="Q371" t="s">
        <v>31</v>
      </c>
      <c r="R371" t="s">
        <v>32</v>
      </c>
      <c r="S371" t="s">
        <v>33</v>
      </c>
      <c r="T371" t="s">
        <v>49</v>
      </c>
      <c r="U371" t="s">
        <v>46</v>
      </c>
      <c r="V371" t="s">
        <v>36</v>
      </c>
      <c r="W371" t="s">
        <v>37</v>
      </c>
      <c r="X371" s="6">
        <v>21.428571428571431</v>
      </c>
      <c r="Y371" s="6">
        <v>78.571428571428569</v>
      </c>
      <c r="Z371" t="s">
        <v>38</v>
      </c>
      <c r="AA371" t="s">
        <v>39</v>
      </c>
      <c r="AB371" t="s">
        <v>40</v>
      </c>
      <c r="AC371" s="8">
        <v>1.7000000000000019E-2</v>
      </c>
    </row>
    <row r="372" spans="1:29" x14ac:dyDescent="0.3">
      <c r="A372" s="7">
        <v>371</v>
      </c>
      <c r="B372" s="1">
        <v>40559</v>
      </c>
      <c r="C372" s="7">
        <v>1</v>
      </c>
      <c r="D372" s="7">
        <v>22</v>
      </c>
      <c r="E372" t="b">
        <v>0</v>
      </c>
      <c r="F372" s="7">
        <v>0</v>
      </c>
      <c r="G372" s="7">
        <v>2</v>
      </c>
      <c r="H372" s="6">
        <v>0.2</v>
      </c>
      <c r="I372" s="8">
        <v>0.21210000000000001</v>
      </c>
      <c r="J372" s="6">
        <v>0.49</v>
      </c>
      <c r="K372" s="8">
        <v>0.1343</v>
      </c>
      <c r="L372" s="7">
        <v>2</v>
      </c>
      <c r="M372" s="7">
        <v>19</v>
      </c>
      <c r="N372" s="7">
        <v>21</v>
      </c>
      <c r="O372" t="s">
        <v>29</v>
      </c>
      <c r="P372" t="s">
        <v>52</v>
      </c>
      <c r="Q372" t="s">
        <v>41</v>
      </c>
      <c r="R372" t="s">
        <v>32</v>
      </c>
      <c r="S372" t="s">
        <v>33</v>
      </c>
      <c r="T372" t="s">
        <v>49</v>
      </c>
      <c r="U372" t="s">
        <v>35</v>
      </c>
      <c r="V372" t="s">
        <v>36</v>
      </c>
      <c r="W372" t="s">
        <v>37</v>
      </c>
      <c r="X372" s="6">
        <v>9.5238095238095237</v>
      </c>
      <c r="Y372" s="6">
        <v>90.476190476190482</v>
      </c>
      <c r="Z372" t="s">
        <v>38</v>
      </c>
      <c r="AA372" t="s">
        <v>39</v>
      </c>
      <c r="AB372" t="s">
        <v>40</v>
      </c>
      <c r="AC372" s="8">
        <v>1.21E-2</v>
      </c>
    </row>
    <row r="373" spans="1:29" x14ac:dyDescent="0.3">
      <c r="A373" s="7">
        <v>372</v>
      </c>
      <c r="B373" s="1">
        <v>40559</v>
      </c>
      <c r="C373" s="7">
        <v>1</v>
      </c>
      <c r="D373" s="7">
        <v>23</v>
      </c>
      <c r="E373" t="b">
        <v>0</v>
      </c>
      <c r="F373" s="7">
        <v>0</v>
      </c>
      <c r="G373" s="7">
        <v>2</v>
      </c>
      <c r="H373" s="6">
        <v>0.2</v>
      </c>
      <c r="I373" s="8">
        <v>0.2273</v>
      </c>
      <c r="J373" s="6">
        <v>0.4</v>
      </c>
      <c r="K373" s="8">
        <v>0.1045</v>
      </c>
      <c r="L373" s="7">
        <v>0</v>
      </c>
      <c r="M373" s="7">
        <v>18</v>
      </c>
      <c r="N373" s="7">
        <v>18</v>
      </c>
      <c r="O373" t="s">
        <v>29</v>
      </c>
      <c r="P373" t="s">
        <v>52</v>
      </c>
      <c r="Q373" t="s">
        <v>41</v>
      </c>
      <c r="R373" t="s">
        <v>32</v>
      </c>
      <c r="S373" t="s">
        <v>33</v>
      </c>
      <c r="T373" t="s">
        <v>49</v>
      </c>
      <c r="U373" t="s">
        <v>35</v>
      </c>
      <c r="V373" t="s">
        <v>36</v>
      </c>
      <c r="W373" t="s">
        <v>37</v>
      </c>
      <c r="X373" s="6">
        <v>0</v>
      </c>
      <c r="Y373" s="6">
        <v>100</v>
      </c>
      <c r="Z373" t="s">
        <v>38</v>
      </c>
      <c r="AA373" t="s">
        <v>39</v>
      </c>
      <c r="AB373" t="s">
        <v>40</v>
      </c>
      <c r="AC373" s="8">
        <v>2.7299999999999991E-2</v>
      </c>
    </row>
    <row r="374" spans="1:29" x14ac:dyDescent="0.3">
      <c r="A374" s="7">
        <v>373</v>
      </c>
      <c r="B374" s="1">
        <v>40560</v>
      </c>
      <c r="C374" s="7">
        <v>1</v>
      </c>
      <c r="D374" s="7">
        <v>0</v>
      </c>
      <c r="E374" t="b">
        <v>1</v>
      </c>
      <c r="F374" s="7">
        <v>1</v>
      </c>
      <c r="G374" s="7">
        <v>2</v>
      </c>
      <c r="H374" s="6">
        <v>0.2</v>
      </c>
      <c r="I374" s="8">
        <v>0.19700000000000001</v>
      </c>
      <c r="J374" s="6">
        <v>0.47</v>
      </c>
      <c r="K374" s="8">
        <v>0.22389999999999999</v>
      </c>
      <c r="L374" s="7">
        <v>1</v>
      </c>
      <c r="M374" s="7">
        <v>16</v>
      </c>
      <c r="N374" s="7">
        <v>17</v>
      </c>
      <c r="O374" t="s">
        <v>29</v>
      </c>
      <c r="P374" t="s">
        <v>54</v>
      </c>
      <c r="Q374" t="s">
        <v>41</v>
      </c>
      <c r="R374" t="s">
        <v>32</v>
      </c>
      <c r="S374" t="s">
        <v>33</v>
      </c>
      <c r="T374" t="s">
        <v>49</v>
      </c>
      <c r="U374" t="s">
        <v>46</v>
      </c>
      <c r="V374" t="s">
        <v>60</v>
      </c>
      <c r="W374" t="s">
        <v>37</v>
      </c>
      <c r="X374" s="6">
        <v>5.8823529411764701</v>
      </c>
      <c r="Y374" s="6">
        <v>94.117647058823522</v>
      </c>
      <c r="Z374" t="s">
        <v>38</v>
      </c>
      <c r="AA374" t="s">
        <v>39</v>
      </c>
      <c r="AB374" t="s">
        <v>38</v>
      </c>
      <c r="AC374" s="8">
        <v>-3.0000000000000031E-3</v>
      </c>
    </row>
    <row r="375" spans="1:29" x14ac:dyDescent="0.3">
      <c r="A375" s="7">
        <v>374</v>
      </c>
      <c r="B375" s="1">
        <v>40560</v>
      </c>
      <c r="C375" s="7">
        <v>1</v>
      </c>
      <c r="D375" s="7">
        <v>1</v>
      </c>
      <c r="E375" t="b">
        <v>1</v>
      </c>
      <c r="F375" s="7">
        <v>1</v>
      </c>
      <c r="G375" s="7">
        <v>2</v>
      </c>
      <c r="H375" s="6">
        <v>0.2</v>
      </c>
      <c r="I375" s="8">
        <v>0.19700000000000001</v>
      </c>
      <c r="J375" s="6">
        <v>0.44</v>
      </c>
      <c r="K375" s="8">
        <v>0.19400000000000001</v>
      </c>
      <c r="L375" s="7">
        <v>1</v>
      </c>
      <c r="M375" s="7">
        <v>15</v>
      </c>
      <c r="N375" s="7">
        <v>16</v>
      </c>
      <c r="O375" t="s">
        <v>29</v>
      </c>
      <c r="P375" t="s">
        <v>54</v>
      </c>
      <c r="Q375" t="s">
        <v>41</v>
      </c>
      <c r="R375" t="s">
        <v>32</v>
      </c>
      <c r="S375" t="s">
        <v>33</v>
      </c>
      <c r="T375" t="s">
        <v>49</v>
      </c>
      <c r="U375" t="s">
        <v>46</v>
      </c>
      <c r="V375" t="s">
        <v>60</v>
      </c>
      <c r="W375" t="s">
        <v>37</v>
      </c>
      <c r="X375" s="6">
        <v>6.25</v>
      </c>
      <c r="Y375" s="6">
        <v>93.75</v>
      </c>
      <c r="Z375" t="s">
        <v>38</v>
      </c>
      <c r="AA375" t="s">
        <v>39</v>
      </c>
      <c r="AB375" t="s">
        <v>38</v>
      </c>
      <c r="AC375" s="8">
        <v>-3.0000000000000031E-3</v>
      </c>
    </row>
    <row r="376" spans="1:29" x14ac:dyDescent="0.3">
      <c r="A376" s="7">
        <v>375</v>
      </c>
      <c r="B376" s="1">
        <v>40560</v>
      </c>
      <c r="C376" s="7">
        <v>1</v>
      </c>
      <c r="D376" s="7">
        <v>2</v>
      </c>
      <c r="E376" t="b">
        <v>1</v>
      </c>
      <c r="F376" s="7">
        <v>1</v>
      </c>
      <c r="G376" s="7">
        <v>2</v>
      </c>
      <c r="H376" s="6">
        <v>0.18</v>
      </c>
      <c r="I376" s="8">
        <v>0.16669999999999999</v>
      </c>
      <c r="J376" s="6">
        <v>0.43</v>
      </c>
      <c r="K376" s="8">
        <v>0.25369999999999998</v>
      </c>
      <c r="L376" s="7">
        <v>0</v>
      </c>
      <c r="M376" s="7">
        <v>8</v>
      </c>
      <c r="N376" s="7">
        <v>8</v>
      </c>
      <c r="O376" t="s">
        <v>29</v>
      </c>
      <c r="P376" t="s">
        <v>54</v>
      </c>
      <c r="Q376" t="s">
        <v>41</v>
      </c>
      <c r="R376" t="s">
        <v>32</v>
      </c>
      <c r="S376" t="s">
        <v>33</v>
      </c>
      <c r="T376" t="s">
        <v>49</v>
      </c>
      <c r="U376" t="s">
        <v>46</v>
      </c>
      <c r="V376" t="s">
        <v>60</v>
      </c>
      <c r="W376" t="s">
        <v>37</v>
      </c>
      <c r="X376" s="6">
        <v>0</v>
      </c>
      <c r="Y376" s="6">
        <v>100</v>
      </c>
      <c r="Z376" t="s">
        <v>38</v>
      </c>
      <c r="AA376" t="s">
        <v>39</v>
      </c>
      <c r="AB376" t="s">
        <v>38</v>
      </c>
      <c r="AC376" s="8">
        <v>-1.330000000000001E-2</v>
      </c>
    </row>
    <row r="377" spans="1:29" x14ac:dyDescent="0.3">
      <c r="A377" s="7">
        <v>376</v>
      </c>
      <c r="B377" s="1">
        <v>40560</v>
      </c>
      <c r="C377" s="7">
        <v>1</v>
      </c>
      <c r="D377" s="7">
        <v>3</v>
      </c>
      <c r="E377" t="b">
        <v>1</v>
      </c>
      <c r="F377" s="7">
        <v>1</v>
      </c>
      <c r="G377" s="7">
        <v>2</v>
      </c>
      <c r="H377" s="6">
        <v>0.18</v>
      </c>
      <c r="I377" s="8">
        <v>0.18179999999999999</v>
      </c>
      <c r="J377" s="6">
        <v>0.43</v>
      </c>
      <c r="K377" s="8">
        <v>0.19400000000000001</v>
      </c>
      <c r="L377" s="7">
        <v>0</v>
      </c>
      <c r="M377" s="7">
        <v>2</v>
      </c>
      <c r="N377" s="7">
        <v>2</v>
      </c>
      <c r="O377" t="s">
        <v>29</v>
      </c>
      <c r="P377" t="s">
        <v>54</v>
      </c>
      <c r="Q377" t="s">
        <v>41</v>
      </c>
      <c r="R377" t="s">
        <v>32</v>
      </c>
      <c r="S377" t="s">
        <v>33</v>
      </c>
      <c r="T377" t="s">
        <v>49</v>
      </c>
      <c r="U377" t="s">
        <v>46</v>
      </c>
      <c r="V377" t="s">
        <v>60</v>
      </c>
      <c r="W377" t="s">
        <v>37</v>
      </c>
      <c r="X377" s="6">
        <v>0</v>
      </c>
      <c r="Y377" s="6">
        <v>100</v>
      </c>
      <c r="Z377" t="s">
        <v>38</v>
      </c>
      <c r="AA377" t="s">
        <v>39</v>
      </c>
      <c r="AB377" t="s">
        <v>38</v>
      </c>
      <c r="AC377" s="8">
        <v>1.799999999999996E-3</v>
      </c>
    </row>
    <row r="378" spans="1:29" x14ac:dyDescent="0.3">
      <c r="A378" s="7">
        <v>377</v>
      </c>
      <c r="B378" s="1">
        <v>40560</v>
      </c>
      <c r="C378" s="7">
        <v>1</v>
      </c>
      <c r="D378" s="7">
        <v>4</v>
      </c>
      <c r="E378" t="b">
        <v>1</v>
      </c>
      <c r="F378" s="7">
        <v>1</v>
      </c>
      <c r="G378" s="7">
        <v>2</v>
      </c>
      <c r="H378" s="6">
        <v>0.18</v>
      </c>
      <c r="I378" s="8">
        <v>0.19700000000000001</v>
      </c>
      <c r="J378" s="6">
        <v>0.43</v>
      </c>
      <c r="K378" s="8">
        <v>0.1343</v>
      </c>
      <c r="L378" s="7">
        <v>1</v>
      </c>
      <c r="M378" s="7">
        <v>2</v>
      </c>
      <c r="N378" s="7">
        <v>3</v>
      </c>
      <c r="O378" t="s">
        <v>29</v>
      </c>
      <c r="P378" t="s">
        <v>54</v>
      </c>
      <c r="Q378" t="s">
        <v>41</v>
      </c>
      <c r="R378" t="s">
        <v>32</v>
      </c>
      <c r="S378" t="s">
        <v>33</v>
      </c>
      <c r="T378" t="s">
        <v>49</v>
      </c>
      <c r="U378" t="s">
        <v>35</v>
      </c>
      <c r="V378" t="s">
        <v>60</v>
      </c>
      <c r="W378" t="s">
        <v>37</v>
      </c>
      <c r="X378" s="6">
        <v>33.333333333333329</v>
      </c>
      <c r="Y378" s="6">
        <v>66.666666666666657</v>
      </c>
      <c r="Z378" t="s">
        <v>38</v>
      </c>
      <c r="AA378" t="s">
        <v>39</v>
      </c>
      <c r="AB378" t="s">
        <v>38</v>
      </c>
      <c r="AC378" s="8">
        <v>1.7000000000000019E-2</v>
      </c>
    </row>
    <row r="379" spans="1:29" x14ac:dyDescent="0.3">
      <c r="A379" s="7">
        <v>378</v>
      </c>
      <c r="B379" s="1">
        <v>40560</v>
      </c>
      <c r="C379" s="7">
        <v>1</v>
      </c>
      <c r="D379" s="7">
        <v>5</v>
      </c>
      <c r="E379" t="b">
        <v>1</v>
      </c>
      <c r="F379" s="7">
        <v>1</v>
      </c>
      <c r="G379" s="7">
        <v>2</v>
      </c>
      <c r="H379" s="6">
        <v>0.18</v>
      </c>
      <c r="I379" s="8">
        <v>0.19700000000000001</v>
      </c>
      <c r="J379" s="6">
        <v>0.43</v>
      </c>
      <c r="K379" s="8">
        <v>0.16420000000000001</v>
      </c>
      <c r="L379" s="7">
        <v>0</v>
      </c>
      <c r="M379" s="7">
        <v>1</v>
      </c>
      <c r="N379" s="7">
        <v>1</v>
      </c>
      <c r="O379" t="s">
        <v>29</v>
      </c>
      <c r="P379" t="s">
        <v>54</v>
      </c>
      <c r="Q379" t="s">
        <v>41</v>
      </c>
      <c r="R379" t="s">
        <v>32</v>
      </c>
      <c r="S379" t="s">
        <v>33</v>
      </c>
      <c r="T379" t="s">
        <v>49</v>
      </c>
      <c r="U379" t="s">
        <v>46</v>
      </c>
      <c r="V379" t="s">
        <v>60</v>
      </c>
      <c r="W379" t="s">
        <v>37</v>
      </c>
      <c r="X379" s="6">
        <v>0</v>
      </c>
      <c r="Y379" s="6">
        <v>100</v>
      </c>
      <c r="Z379" t="s">
        <v>38</v>
      </c>
      <c r="AA379" t="s">
        <v>39</v>
      </c>
      <c r="AB379" t="s">
        <v>38</v>
      </c>
      <c r="AC379" s="8">
        <v>1.7000000000000019E-2</v>
      </c>
    </row>
    <row r="380" spans="1:29" x14ac:dyDescent="0.3">
      <c r="A380" s="7">
        <v>379</v>
      </c>
      <c r="B380" s="1">
        <v>40560</v>
      </c>
      <c r="C380" s="7">
        <v>1</v>
      </c>
      <c r="D380" s="7">
        <v>6</v>
      </c>
      <c r="E380" t="b">
        <v>1</v>
      </c>
      <c r="F380" s="7">
        <v>1</v>
      </c>
      <c r="G380" s="7">
        <v>2</v>
      </c>
      <c r="H380" s="6">
        <v>0.18</v>
      </c>
      <c r="I380" s="8">
        <v>0.18179999999999999</v>
      </c>
      <c r="J380" s="6">
        <v>0.43</v>
      </c>
      <c r="K380" s="8">
        <v>0.19400000000000001</v>
      </c>
      <c r="L380" s="7">
        <v>0</v>
      </c>
      <c r="M380" s="7">
        <v>5</v>
      </c>
      <c r="N380" s="7">
        <v>5</v>
      </c>
      <c r="O380" t="s">
        <v>29</v>
      </c>
      <c r="P380" t="s">
        <v>54</v>
      </c>
      <c r="Q380" t="s">
        <v>41</v>
      </c>
      <c r="R380" t="s">
        <v>42</v>
      </c>
      <c r="S380" t="s">
        <v>33</v>
      </c>
      <c r="T380" t="s">
        <v>49</v>
      </c>
      <c r="U380" t="s">
        <v>46</v>
      </c>
      <c r="V380" t="s">
        <v>60</v>
      </c>
      <c r="W380" t="s">
        <v>37</v>
      </c>
      <c r="X380" s="6">
        <v>0</v>
      </c>
      <c r="Y380" s="6">
        <v>100</v>
      </c>
      <c r="Z380" t="s">
        <v>38</v>
      </c>
      <c r="AA380" t="s">
        <v>39</v>
      </c>
      <c r="AB380" t="s">
        <v>38</v>
      </c>
      <c r="AC380" s="8">
        <v>1.799999999999996E-3</v>
      </c>
    </row>
    <row r="381" spans="1:29" x14ac:dyDescent="0.3">
      <c r="A381" s="7">
        <v>380</v>
      </c>
      <c r="B381" s="1">
        <v>40560</v>
      </c>
      <c r="C381" s="7">
        <v>1</v>
      </c>
      <c r="D381" s="7">
        <v>7</v>
      </c>
      <c r="E381" t="b">
        <v>1</v>
      </c>
      <c r="F381" s="7">
        <v>1</v>
      </c>
      <c r="G381" s="7">
        <v>2</v>
      </c>
      <c r="H381" s="6">
        <v>0.16</v>
      </c>
      <c r="I381" s="8">
        <v>0.18179999999999999</v>
      </c>
      <c r="J381" s="6">
        <v>0.5</v>
      </c>
      <c r="K381" s="8">
        <v>0.1343</v>
      </c>
      <c r="L381" s="7">
        <v>4</v>
      </c>
      <c r="M381" s="7">
        <v>9</v>
      </c>
      <c r="N381" s="7">
        <v>13</v>
      </c>
      <c r="O381" t="s">
        <v>29</v>
      </c>
      <c r="P381" t="s">
        <v>54</v>
      </c>
      <c r="Q381" t="s">
        <v>41</v>
      </c>
      <c r="R381" t="s">
        <v>42</v>
      </c>
      <c r="S381" t="s">
        <v>33</v>
      </c>
      <c r="T381" t="s">
        <v>49</v>
      </c>
      <c r="U381" t="s">
        <v>35</v>
      </c>
      <c r="V381" t="s">
        <v>60</v>
      </c>
      <c r="W381" t="s">
        <v>37</v>
      </c>
      <c r="X381" s="6">
        <v>30.76923076923077</v>
      </c>
      <c r="Y381" s="6">
        <v>69.230769230769226</v>
      </c>
      <c r="Z381" t="s">
        <v>40</v>
      </c>
      <c r="AA381" t="s">
        <v>39</v>
      </c>
      <c r="AB381" t="s">
        <v>38</v>
      </c>
      <c r="AC381" s="8">
        <v>2.179999999999999E-2</v>
      </c>
    </row>
    <row r="382" spans="1:29" x14ac:dyDescent="0.3">
      <c r="A382" s="7">
        <v>381</v>
      </c>
      <c r="B382" s="1">
        <v>40560</v>
      </c>
      <c r="C382" s="7">
        <v>1</v>
      </c>
      <c r="D382" s="7">
        <v>8</v>
      </c>
      <c r="E382" t="b">
        <v>1</v>
      </c>
      <c r="F382" s="7">
        <v>1</v>
      </c>
      <c r="G382" s="7">
        <v>2</v>
      </c>
      <c r="H382" s="6">
        <v>0.16</v>
      </c>
      <c r="I382" s="8">
        <v>0.1515</v>
      </c>
      <c r="J382" s="6">
        <v>0.47</v>
      </c>
      <c r="K382" s="8">
        <v>0.22389999999999999</v>
      </c>
      <c r="L382" s="7">
        <v>3</v>
      </c>
      <c r="M382" s="7">
        <v>30</v>
      </c>
      <c r="N382" s="7">
        <v>33</v>
      </c>
      <c r="O382" t="s">
        <v>29</v>
      </c>
      <c r="P382" t="s">
        <v>54</v>
      </c>
      <c r="Q382" t="s">
        <v>41</v>
      </c>
      <c r="R382" t="s">
        <v>42</v>
      </c>
      <c r="S382" t="s">
        <v>33</v>
      </c>
      <c r="T382" t="s">
        <v>49</v>
      </c>
      <c r="U382" t="s">
        <v>46</v>
      </c>
      <c r="V382" t="s">
        <v>60</v>
      </c>
      <c r="W382" t="s">
        <v>37</v>
      </c>
      <c r="X382" s="6">
        <v>9.0909090909090917</v>
      </c>
      <c r="Y382" s="6">
        <v>90.909090909090907</v>
      </c>
      <c r="Z382" t="s">
        <v>40</v>
      </c>
      <c r="AA382" t="s">
        <v>39</v>
      </c>
      <c r="AB382" t="s">
        <v>38</v>
      </c>
      <c r="AC382" s="8">
        <v>-8.5000000000000075E-3</v>
      </c>
    </row>
    <row r="383" spans="1:29" x14ac:dyDescent="0.3">
      <c r="A383" s="7">
        <v>382</v>
      </c>
      <c r="B383" s="1">
        <v>40560</v>
      </c>
      <c r="C383" s="7">
        <v>1</v>
      </c>
      <c r="D383" s="7">
        <v>9</v>
      </c>
      <c r="E383" t="b">
        <v>1</v>
      </c>
      <c r="F383" s="7">
        <v>1</v>
      </c>
      <c r="G383" s="7">
        <v>2</v>
      </c>
      <c r="H383" s="6">
        <v>0.16</v>
      </c>
      <c r="I383" s="8">
        <v>0.1515</v>
      </c>
      <c r="J383" s="6">
        <v>0.47</v>
      </c>
      <c r="K383" s="8">
        <v>0.22389999999999999</v>
      </c>
      <c r="L383" s="7">
        <v>8</v>
      </c>
      <c r="M383" s="7">
        <v>39</v>
      </c>
      <c r="N383" s="7">
        <v>47</v>
      </c>
      <c r="O383" t="s">
        <v>29</v>
      </c>
      <c r="P383" t="s">
        <v>54</v>
      </c>
      <c r="Q383" t="s">
        <v>41</v>
      </c>
      <c r="R383" t="s">
        <v>42</v>
      </c>
      <c r="S383" t="s">
        <v>33</v>
      </c>
      <c r="T383" t="s">
        <v>49</v>
      </c>
      <c r="U383" t="s">
        <v>46</v>
      </c>
      <c r="V383" t="s">
        <v>60</v>
      </c>
      <c r="W383" t="s">
        <v>37</v>
      </c>
      <c r="X383" s="6">
        <v>17.021276595744681</v>
      </c>
      <c r="Y383" s="6">
        <v>82.978723404255319</v>
      </c>
      <c r="Z383" t="s">
        <v>40</v>
      </c>
      <c r="AA383" t="s">
        <v>39</v>
      </c>
      <c r="AB383" t="s">
        <v>38</v>
      </c>
      <c r="AC383" s="8">
        <v>-8.5000000000000075E-3</v>
      </c>
    </row>
    <row r="384" spans="1:29" x14ac:dyDescent="0.3">
      <c r="A384" s="7">
        <v>383</v>
      </c>
      <c r="B384" s="1">
        <v>40560</v>
      </c>
      <c r="C384" s="7">
        <v>1</v>
      </c>
      <c r="D384" s="7">
        <v>10</v>
      </c>
      <c r="E384" t="b">
        <v>1</v>
      </c>
      <c r="F384" s="7">
        <v>1</v>
      </c>
      <c r="G384" s="7">
        <v>2</v>
      </c>
      <c r="H384" s="6">
        <v>0.16</v>
      </c>
      <c r="I384" s="8">
        <v>0.1515</v>
      </c>
      <c r="J384" s="6">
        <v>0.5</v>
      </c>
      <c r="K384" s="8">
        <v>0.25369999999999998</v>
      </c>
      <c r="L384" s="7">
        <v>7</v>
      </c>
      <c r="M384" s="7">
        <v>50</v>
      </c>
      <c r="N384" s="7">
        <v>57</v>
      </c>
      <c r="O384" t="s">
        <v>29</v>
      </c>
      <c r="P384" t="s">
        <v>54</v>
      </c>
      <c r="Q384" t="s">
        <v>41</v>
      </c>
      <c r="R384" t="s">
        <v>42</v>
      </c>
      <c r="S384" t="s">
        <v>33</v>
      </c>
      <c r="T384" t="s">
        <v>49</v>
      </c>
      <c r="U384" t="s">
        <v>46</v>
      </c>
      <c r="V384" t="s">
        <v>60</v>
      </c>
      <c r="W384" t="s">
        <v>37</v>
      </c>
      <c r="X384" s="6">
        <v>12.28070175438596</v>
      </c>
      <c r="Y384" s="6">
        <v>87.719298245614027</v>
      </c>
      <c r="Z384" t="s">
        <v>38</v>
      </c>
      <c r="AA384" t="s">
        <v>39</v>
      </c>
      <c r="AB384" t="s">
        <v>38</v>
      </c>
      <c r="AC384" s="8">
        <v>-8.5000000000000075E-3</v>
      </c>
    </row>
    <row r="385" spans="1:29" x14ac:dyDescent="0.3">
      <c r="A385" s="7">
        <v>384</v>
      </c>
      <c r="B385" s="1">
        <v>40560</v>
      </c>
      <c r="C385" s="7">
        <v>1</v>
      </c>
      <c r="D385" s="7">
        <v>11</v>
      </c>
      <c r="E385" t="b">
        <v>1</v>
      </c>
      <c r="F385" s="7">
        <v>1</v>
      </c>
      <c r="G385" s="7">
        <v>2</v>
      </c>
      <c r="H385" s="6">
        <v>0.16</v>
      </c>
      <c r="I385" s="8">
        <v>0.1515</v>
      </c>
      <c r="J385" s="6">
        <v>0.55000000000000004</v>
      </c>
      <c r="K385" s="8">
        <v>0.19400000000000001</v>
      </c>
      <c r="L385" s="7">
        <v>9</v>
      </c>
      <c r="M385" s="7">
        <v>55</v>
      </c>
      <c r="N385" s="7">
        <v>64</v>
      </c>
      <c r="O385" t="s">
        <v>29</v>
      </c>
      <c r="P385" t="s">
        <v>54</v>
      </c>
      <c r="Q385" t="s">
        <v>41</v>
      </c>
      <c r="R385" t="s">
        <v>42</v>
      </c>
      <c r="S385" t="s">
        <v>33</v>
      </c>
      <c r="T385" t="s">
        <v>49</v>
      </c>
      <c r="U385" t="s">
        <v>46</v>
      </c>
      <c r="V385" t="s">
        <v>60</v>
      </c>
      <c r="W385" t="s">
        <v>37</v>
      </c>
      <c r="X385" s="6">
        <v>14.0625</v>
      </c>
      <c r="Y385" s="6">
        <v>85.9375</v>
      </c>
      <c r="Z385" t="s">
        <v>38</v>
      </c>
      <c r="AA385" t="s">
        <v>39</v>
      </c>
      <c r="AB385" t="s">
        <v>38</v>
      </c>
      <c r="AC385" s="8">
        <v>-8.5000000000000075E-3</v>
      </c>
    </row>
    <row r="386" spans="1:29" x14ac:dyDescent="0.3">
      <c r="A386" s="7">
        <v>385</v>
      </c>
      <c r="B386" s="1">
        <v>40560</v>
      </c>
      <c r="C386" s="7">
        <v>1</v>
      </c>
      <c r="D386" s="7">
        <v>12</v>
      </c>
      <c r="E386" t="b">
        <v>1</v>
      </c>
      <c r="F386" s="7">
        <v>1</v>
      </c>
      <c r="G386" s="7">
        <v>2</v>
      </c>
      <c r="H386" s="6">
        <v>0.18</v>
      </c>
      <c r="I386" s="8">
        <v>0.19700000000000001</v>
      </c>
      <c r="J386" s="6">
        <v>0.47</v>
      </c>
      <c r="K386" s="8">
        <v>0.1343</v>
      </c>
      <c r="L386" s="7">
        <v>10</v>
      </c>
      <c r="M386" s="7">
        <v>70</v>
      </c>
      <c r="N386" s="7">
        <v>80</v>
      </c>
      <c r="O386" t="s">
        <v>29</v>
      </c>
      <c r="P386" t="s">
        <v>54</v>
      </c>
      <c r="Q386" t="s">
        <v>41</v>
      </c>
      <c r="R386" t="s">
        <v>47</v>
      </c>
      <c r="S386" t="s">
        <v>33</v>
      </c>
      <c r="T386" t="s">
        <v>49</v>
      </c>
      <c r="U386" t="s">
        <v>35</v>
      </c>
      <c r="V386" t="s">
        <v>60</v>
      </c>
      <c r="W386" t="s">
        <v>37</v>
      </c>
      <c r="X386" s="6">
        <v>12.5</v>
      </c>
      <c r="Y386" s="6">
        <v>87.5</v>
      </c>
      <c r="Z386" t="s">
        <v>38</v>
      </c>
      <c r="AA386" t="s">
        <v>39</v>
      </c>
      <c r="AB386" t="s">
        <v>38</v>
      </c>
      <c r="AC386" s="8">
        <v>1.7000000000000019E-2</v>
      </c>
    </row>
    <row r="387" spans="1:29" x14ac:dyDescent="0.3">
      <c r="A387" s="7">
        <v>386</v>
      </c>
      <c r="B387" s="1">
        <v>40560</v>
      </c>
      <c r="C387" s="7">
        <v>1</v>
      </c>
      <c r="D387" s="7">
        <v>13</v>
      </c>
      <c r="E387" t="b">
        <v>1</v>
      </c>
      <c r="F387" s="7">
        <v>1</v>
      </c>
      <c r="G387" s="7">
        <v>2</v>
      </c>
      <c r="H387" s="6">
        <v>0.18</v>
      </c>
      <c r="I387" s="8">
        <v>0.19700000000000001</v>
      </c>
      <c r="J387" s="6">
        <v>0.47</v>
      </c>
      <c r="K387" s="8">
        <v>0.1343</v>
      </c>
      <c r="L387" s="7">
        <v>13</v>
      </c>
      <c r="M387" s="7">
        <v>80</v>
      </c>
      <c r="N387" s="7">
        <v>93</v>
      </c>
      <c r="O387" t="s">
        <v>29</v>
      </c>
      <c r="P387" t="s">
        <v>54</v>
      </c>
      <c r="Q387" t="s">
        <v>41</v>
      </c>
      <c r="R387" t="s">
        <v>47</v>
      </c>
      <c r="S387" t="s">
        <v>33</v>
      </c>
      <c r="T387" t="s">
        <v>49</v>
      </c>
      <c r="U387" t="s">
        <v>35</v>
      </c>
      <c r="V387" t="s">
        <v>60</v>
      </c>
      <c r="W387" t="s">
        <v>37</v>
      </c>
      <c r="X387" s="6">
        <v>13.97849462365591</v>
      </c>
      <c r="Y387" s="6">
        <v>86.021505376344081</v>
      </c>
      <c r="Z387" t="s">
        <v>38</v>
      </c>
      <c r="AA387" t="s">
        <v>39</v>
      </c>
      <c r="AB387" t="s">
        <v>38</v>
      </c>
      <c r="AC387" s="8">
        <v>1.7000000000000019E-2</v>
      </c>
    </row>
    <row r="388" spans="1:29" x14ac:dyDescent="0.3">
      <c r="A388" s="7">
        <v>387</v>
      </c>
      <c r="B388" s="1">
        <v>40560</v>
      </c>
      <c r="C388" s="7">
        <v>1</v>
      </c>
      <c r="D388" s="7">
        <v>14</v>
      </c>
      <c r="E388" t="b">
        <v>1</v>
      </c>
      <c r="F388" s="7">
        <v>1</v>
      </c>
      <c r="G388" s="7">
        <v>2</v>
      </c>
      <c r="H388" s="6">
        <v>0.18</v>
      </c>
      <c r="I388" s="8">
        <v>0.21210000000000001</v>
      </c>
      <c r="J388" s="6">
        <v>0.43</v>
      </c>
      <c r="K388" s="8">
        <v>0.1045</v>
      </c>
      <c r="L388" s="7">
        <v>12</v>
      </c>
      <c r="M388" s="7">
        <v>74</v>
      </c>
      <c r="N388" s="7">
        <v>86</v>
      </c>
      <c r="O388" t="s">
        <v>29</v>
      </c>
      <c r="P388" t="s">
        <v>54</v>
      </c>
      <c r="Q388" t="s">
        <v>41</v>
      </c>
      <c r="R388" t="s">
        <v>47</v>
      </c>
      <c r="S388" t="s">
        <v>33</v>
      </c>
      <c r="T388" t="s">
        <v>49</v>
      </c>
      <c r="U388" t="s">
        <v>35</v>
      </c>
      <c r="V388" t="s">
        <v>60</v>
      </c>
      <c r="W388" t="s">
        <v>37</v>
      </c>
      <c r="X388" s="6">
        <v>13.95348837209302</v>
      </c>
      <c r="Y388" s="6">
        <v>86.04651162790698</v>
      </c>
      <c r="Z388" t="s">
        <v>38</v>
      </c>
      <c r="AA388" t="s">
        <v>39</v>
      </c>
      <c r="AB388" t="s">
        <v>38</v>
      </c>
      <c r="AC388" s="8">
        <v>3.2100000000000017E-2</v>
      </c>
    </row>
    <row r="389" spans="1:29" x14ac:dyDescent="0.3">
      <c r="A389" s="7">
        <v>388</v>
      </c>
      <c r="B389" s="1">
        <v>40560</v>
      </c>
      <c r="C389" s="7">
        <v>1</v>
      </c>
      <c r="D389" s="7">
        <v>15</v>
      </c>
      <c r="E389" t="b">
        <v>1</v>
      </c>
      <c r="F389" s="7">
        <v>1</v>
      </c>
      <c r="G389" s="7">
        <v>2</v>
      </c>
      <c r="H389" s="6">
        <v>0.2</v>
      </c>
      <c r="I389" s="8">
        <v>0.21210000000000001</v>
      </c>
      <c r="J389" s="6">
        <v>0.47</v>
      </c>
      <c r="K389" s="8">
        <v>0.16420000000000001</v>
      </c>
      <c r="L389" s="7">
        <v>21</v>
      </c>
      <c r="M389" s="7">
        <v>72</v>
      </c>
      <c r="N389" s="7">
        <v>93</v>
      </c>
      <c r="O389" t="s">
        <v>29</v>
      </c>
      <c r="P389" t="s">
        <v>54</v>
      </c>
      <c r="Q389" t="s">
        <v>41</v>
      </c>
      <c r="R389" t="s">
        <v>47</v>
      </c>
      <c r="S389" t="s">
        <v>33</v>
      </c>
      <c r="T389" t="s">
        <v>49</v>
      </c>
      <c r="U389" t="s">
        <v>46</v>
      </c>
      <c r="V389" t="s">
        <v>60</v>
      </c>
      <c r="W389" t="s">
        <v>37</v>
      </c>
      <c r="X389" s="6">
        <v>22.58064516129032</v>
      </c>
      <c r="Y389" s="6">
        <v>77.41935483870968</v>
      </c>
      <c r="Z389" t="s">
        <v>38</v>
      </c>
      <c r="AA389" t="s">
        <v>39</v>
      </c>
      <c r="AB389" t="s">
        <v>38</v>
      </c>
      <c r="AC389" s="8">
        <v>1.21E-2</v>
      </c>
    </row>
    <row r="390" spans="1:29" x14ac:dyDescent="0.3">
      <c r="A390" s="7">
        <v>389</v>
      </c>
      <c r="B390" s="1">
        <v>40560</v>
      </c>
      <c r="C390" s="7">
        <v>1</v>
      </c>
      <c r="D390" s="7">
        <v>16</v>
      </c>
      <c r="E390" t="b">
        <v>1</v>
      </c>
      <c r="F390" s="7">
        <v>1</v>
      </c>
      <c r="G390" s="7">
        <v>2</v>
      </c>
      <c r="H390" s="6">
        <v>0.2</v>
      </c>
      <c r="I390" s="8">
        <v>0.21210000000000001</v>
      </c>
      <c r="J390" s="6">
        <v>0.47</v>
      </c>
      <c r="K390" s="8">
        <v>0.16420000000000001</v>
      </c>
      <c r="L390" s="7">
        <v>6</v>
      </c>
      <c r="M390" s="7">
        <v>76</v>
      </c>
      <c r="N390" s="7">
        <v>82</v>
      </c>
      <c r="O390" t="s">
        <v>29</v>
      </c>
      <c r="P390" t="s">
        <v>54</v>
      </c>
      <c r="Q390" t="s">
        <v>41</v>
      </c>
      <c r="R390" t="s">
        <v>47</v>
      </c>
      <c r="S390" t="s">
        <v>33</v>
      </c>
      <c r="T390" t="s">
        <v>49</v>
      </c>
      <c r="U390" t="s">
        <v>46</v>
      </c>
      <c r="V390" t="s">
        <v>60</v>
      </c>
      <c r="W390" t="s">
        <v>37</v>
      </c>
      <c r="X390" s="6">
        <v>7.3170731707317067</v>
      </c>
      <c r="Y390" s="6">
        <v>92.682926829268297</v>
      </c>
      <c r="Z390" t="s">
        <v>38</v>
      </c>
      <c r="AA390" t="s">
        <v>39</v>
      </c>
      <c r="AB390" t="s">
        <v>38</v>
      </c>
      <c r="AC390" s="8">
        <v>1.21E-2</v>
      </c>
    </row>
    <row r="391" spans="1:29" x14ac:dyDescent="0.3">
      <c r="A391" s="7">
        <v>390</v>
      </c>
      <c r="B391" s="1">
        <v>40560</v>
      </c>
      <c r="C391" s="7">
        <v>1</v>
      </c>
      <c r="D391" s="7">
        <v>17</v>
      </c>
      <c r="E391" t="b">
        <v>1</v>
      </c>
      <c r="F391" s="7">
        <v>1</v>
      </c>
      <c r="G391" s="7">
        <v>1</v>
      </c>
      <c r="H391" s="6">
        <v>0.2</v>
      </c>
      <c r="I391" s="8">
        <v>0.19700000000000001</v>
      </c>
      <c r="J391" s="6">
        <v>0.51</v>
      </c>
      <c r="K391" s="8">
        <v>0.19400000000000001</v>
      </c>
      <c r="L391" s="7">
        <v>4</v>
      </c>
      <c r="M391" s="7">
        <v>67</v>
      </c>
      <c r="N391" s="7">
        <v>71</v>
      </c>
      <c r="O391" t="s">
        <v>29</v>
      </c>
      <c r="P391" t="s">
        <v>54</v>
      </c>
      <c r="Q391" t="s">
        <v>31</v>
      </c>
      <c r="R391" t="s">
        <v>50</v>
      </c>
      <c r="S391" t="s">
        <v>33</v>
      </c>
      <c r="T391" t="s">
        <v>49</v>
      </c>
      <c r="U391" t="s">
        <v>46</v>
      </c>
      <c r="V391" t="s">
        <v>60</v>
      </c>
      <c r="W391" t="s">
        <v>37</v>
      </c>
      <c r="X391" s="6">
        <v>5.6338028169014089</v>
      </c>
      <c r="Y391" s="6">
        <v>94.366197183098592</v>
      </c>
      <c r="Z391" t="s">
        <v>40</v>
      </c>
      <c r="AA391" t="s">
        <v>39</v>
      </c>
      <c r="AB391" t="s">
        <v>38</v>
      </c>
      <c r="AC391" s="8">
        <v>-3.0000000000000031E-3</v>
      </c>
    </row>
    <row r="392" spans="1:29" x14ac:dyDescent="0.3">
      <c r="A392" s="7">
        <v>391</v>
      </c>
      <c r="B392" s="1">
        <v>40560</v>
      </c>
      <c r="C392" s="7">
        <v>1</v>
      </c>
      <c r="D392" s="7">
        <v>18</v>
      </c>
      <c r="E392" t="b">
        <v>1</v>
      </c>
      <c r="F392" s="7">
        <v>1</v>
      </c>
      <c r="G392" s="7">
        <v>2</v>
      </c>
      <c r="H392" s="6">
        <v>0.18</v>
      </c>
      <c r="I392" s="8">
        <v>0.16669999999999999</v>
      </c>
      <c r="J392" s="6">
        <v>0.55000000000000004</v>
      </c>
      <c r="K392" s="8">
        <v>0.25369999999999998</v>
      </c>
      <c r="L392" s="7">
        <v>7</v>
      </c>
      <c r="M392" s="7">
        <v>85</v>
      </c>
      <c r="N392" s="7">
        <v>92</v>
      </c>
      <c r="O392" t="s">
        <v>29</v>
      </c>
      <c r="P392" t="s">
        <v>54</v>
      </c>
      <c r="Q392" t="s">
        <v>41</v>
      </c>
      <c r="R392" t="s">
        <v>50</v>
      </c>
      <c r="S392" t="s">
        <v>33</v>
      </c>
      <c r="T392" t="s">
        <v>49</v>
      </c>
      <c r="U392" t="s">
        <v>46</v>
      </c>
      <c r="V392" t="s">
        <v>60</v>
      </c>
      <c r="W392" t="s">
        <v>37</v>
      </c>
      <c r="X392" s="6">
        <v>7.608695652173914</v>
      </c>
      <c r="Y392" s="6">
        <v>92.391304347826093</v>
      </c>
      <c r="Z392" t="s">
        <v>40</v>
      </c>
      <c r="AA392" t="s">
        <v>39</v>
      </c>
      <c r="AB392" t="s">
        <v>38</v>
      </c>
      <c r="AC392" s="8">
        <v>-1.330000000000001E-2</v>
      </c>
    </row>
    <row r="393" spans="1:29" x14ac:dyDescent="0.3">
      <c r="A393" s="7">
        <v>392</v>
      </c>
      <c r="B393" s="1">
        <v>40560</v>
      </c>
      <c r="C393" s="7">
        <v>1</v>
      </c>
      <c r="D393" s="7">
        <v>19</v>
      </c>
      <c r="E393" t="b">
        <v>1</v>
      </c>
      <c r="F393" s="7">
        <v>1</v>
      </c>
      <c r="G393" s="7">
        <v>3</v>
      </c>
      <c r="H393" s="6">
        <v>0.18</v>
      </c>
      <c r="I393" s="8">
        <v>0.18179999999999999</v>
      </c>
      <c r="J393" s="6">
        <v>0.59</v>
      </c>
      <c r="K393" s="8">
        <v>0.19400000000000001</v>
      </c>
      <c r="L393" s="7">
        <v>2</v>
      </c>
      <c r="M393" s="7">
        <v>58</v>
      </c>
      <c r="N393" s="7">
        <v>60</v>
      </c>
      <c r="O393" t="s">
        <v>29</v>
      </c>
      <c r="P393" t="s">
        <v>54</v>
      </c>
      <c r="Q393" t="s">
        <v>51</v>
      </c>
      <c r="R393" t="s">
        <v>50</v>
      </c>
      <c r="S393" t="s">
        <v>33</v>
      </c>
      <c r="T393" t="s">
        <v>49</v>
      </c>
      <c r="U393" t="s">
        <v>46</v>
      </c>
      <c r="V393" t="s">
        <v>60</v>
      </c>
      <c r="W393" t="s">
        <v>37</v>
      </c>
      <c r="X393" s="6">
        <v>3.333333333333333</v>
      </c>
      <c r="Y393" s="6">
        <v>96.666666666666671</v>
      </c>
      <c r="Z393" t="s">
        <v>40</v>
      </c>
      <c r="AA393" t="s">
        <v>39</v>
      </c>
      <c r="AB393" t="s">
        <v>38</v>
      </c>
      <c r="AC393" s="8">
        <v>1.799999999999996E-3</v>
      </c>
    </row>
    <row r="394" spans="1:29" x14ac:dyDescent="0.3">
      <c r="A394" s="7">
        <v>393</v>
      </c>
      <c r="B394" s="1">
        <v>40560</v>
      </c>
      <c r="C394" s="7">
        <v>1</v>
      </c>
      <c r="D394" s="7">
        <v>20</v>
      </c>
      <c r="E394" t="b">
        <v>1</v>
      </c>
      <c r="F394" s="7">
        <v>1</v>
      </c>
      <c r="G394" s="7">
        <v>3</v>
      </c>
      <c r="H394" s="6">
        <v>0.16</v>
      </c>
      <c r="I394" s="8">
        <v>0.1515</v>
      </c>
      <c r="J394" s="6">
        <v>0.8</v>
      </c>
      <c r="K394" s="8">
        <v>0.19400000000000001</v>
      </c>
      <c r="L394" s="7">
        <v>4</v>
      </c>
      <c r="M394" s="7">
        <v>29</v>
      </c>
      <c r="N394" s="7">
        <v>33</v>
      </c>
      <c r="O394" t="s">
        <v>29</v>
      </c>
      <c r="P394" t="s">
        <v>54</v>
      </c>
      <c r="Q394" t="s">
        <v>51</v>
      </c>
      <c r="R394" t="s">
        <v>50</v>
      </c>
      <c r="S394" t="s">
        <v>33</v>
      </c>
      <c r="T394" t="s">
        <v>34</v>
      </c>
      <c r="U394" t="s">
        <v>46</v>
      </c>
      <c r="V394" t="s">
        <v>60</v>
      </c>
      <c r="W394" t="s">
        <v>37</v>
      </c>
      <c r="X394" s="6">
        <v>12.121212121212119</v>
      </c>
      <c r="Y394" s="6">
        <v>87.878787878787875</v>
      </c>
      <c r="Z394" t="s">
        <v>38</v>
      </c>
      <c r="AA394" t="s">
        <v>39</v>
      </c>
      <c r="AB394" t="s">
        <v>38</v>
      </c>
      <c r="AC394" s="8">
        <v>-8.5000000000000075E-3</v>
      </c>
    </row>
    <row r="395" spans="1:29" x14ac:dyDescent="0.3">
      <c r="A395" s="7">
        <v>394</v>
      </c>
      <c r="B395" s="1">
        <v>40560</v>
      </c>
      <c r="C395" s="7">
        <v>1</v>
      </c>
      <c r="D395" s="7">
        <v>21</v>
      </c>
      <c r="E395" t="b">
        <v>1</v>
      </c>
      <c r="F395" s="7">
        <v>1</v>
      </c>
      <c r="G395" s="7">
        <v>3</v>
      </c>
      <c r="H395" s="6">
        <v>0.16</v>
      </c>
      <c r="I395" s="8">
        <v>0.1515</v>
      </c>
      <c r="J395" s="6">
        <v>0.8</v>
      </c>
      <c r="K395" s="8">
        <v>0.19400000000000001</v>
      </c>
      <c r="L395" s="7">
        <v>3</v>
      </c>
      <c r="M395" s="7">
        <v>24</v>
      </c>
      <c r="N395" s="7">
        <v>27</v>
      </c>
      <c r="O395" t="s">
        <v>29</v>
      </c>
      <c r="P395" t="s">
        <v>54</v>
      </c>
      <c r="Q395" t="s">
        <v>51</v>
      </c>
      <c r="R395" t="s">
        <v>32</v>
      </c>
      <c r="S395" t="s">
        <v>33</v>
      </c>
      <c r="T395" t="s">
        <v>34</v>
      </c>
      <c r="U395" t="s">
        <v>46</v>
      </c>
      <c r="V395" t="s">
        <v>60</v>
      </c>
      <c r="W395" t="s">
        <v>37</v>
      </c>
      <c r="X395" s="6">
        <v>11.111111111111111</v>
      </c>
      <c r="Y395" s="6">
        <v>88.888888888888886</v>
      </c>
      <c r="Z395" t="s">
        <v>38</v>
      </c>
      <c r="AA395" t="s">
        <v>39</v>
      </c>
      <c r="AB395" t="s">
        <v>38</v>
      </c>
      <c r="AC395" s="8">
        <v>-8.5000000000000075E-3</v>
      </c>
    </row>
    <row r="396" spans="1:29" x14ac:dyDescent="0.3">
      <c r="A396" s="7">
        <v>395</v>
      </c>
      <c r="B396" s="1">
        <v>40560</v>
      </c>
      <c r="C396" s="7">
        <v>1</v>
      </c>
      <c r="D396" s="7">
        <v>22</v>
      </c>
      <c r="E396" t="b">
        <v>1</v>
      </c>
      <c r="F396" s="7">
        <v>1</v>
      </c>
      <c r="G396" s="7">
        <v>3</v>
      </c>
      <c r="H396" s="6">
        <v>0.14000000000000001</v>
      </c>
      <c r="I396" s="8">
        <v>0.1212</v>
      </c>
      <c r="J396" s="6">
        <v>0.93</v>
      </c>
      <c r="K396" s="8">
        <v>0.25369999999999998</v>
      </c>
      <c r="L396" s="7">
        <v>0</v>
      </c>
      <c r="M396" s="7">
        <v>13</v>
      </c>
      <c r="N396" s="7">
        <v>13</v>
      </c>
      <c r="O396" t="s">
        <v>29</v>
      </c>
      <c r="P396" t="s">
        <v>54</v>
      </c>
      <c r="Q396" t="s">
        <v>51</v>
      </c>
      <c r="R396" t="s">
        <v>32</v>
      </c>
      <c r="S396" t="s">
        <v>55</v>
      </c>
      <c r="T396" t="s">
        <v>34</v>
      </c>
      <c r="U396" t="s">
        <v>46</v>
      </c>
      <c r="V396" t="s">
        <v>60</v>
      </c>
      <c r="W396" t="s">
        <v>37</v>
      </c>
      <c r="X396" s="6">
        <v>0</v>
      </c>
      <c r="Y396" s="6">
        <v>100</v>
      </c>
      <c r="Z396" t="s">
        <v>38</v>
      </c>
      <c r="AA396" t="s">
        <v>39</v>
      </c>
      <c r="AB396" t="s">
        <v>38</v>
      </c>
      <c r="AC396" s="8">
        <v>-1.8800000000000011E-2</v>
      </c>
    </row>
    <row r="397" spans="1:29" x14ac:dyDescent="0.3">
      <c r="A397" s="7">
        <v>396</v>
      </c>
      <c r="B397" s="1">
        <v>40560</v>
      </c>
      <c r="C397" s="7">
        <v>1</v>
      </c>
      <c r="D397" s="7">
        <v>23</v>
      </c>
      <c r="E397" t="b">
        <v>1</v>
      </c>
      <c r="F397" s="7">
        <v>1</v>
      </c>
      <c r="G397" s="7">
        <v>3</v>
      </c>
      <c r="H397" s="6">
        <v>0.16</v>
      </c>
      <c r="I397" s="8">
        <v>0.13639999999999999</v>
      </c>
      <c r="J397" s="6">
        <v>0.86</v>
      </c>
      <c r="K397" s="8">
        <v>0.28360000000000002</v>
      </c>
      <c r="L397" s="7">
        <v>1</v>
      </c>
      <c r="M397" s="7">
        <v>3</v>
      </c>
      <c r="N397" s="7">
        <v>4</v>
      </c>
      <c r="O397" t="s">
        <v>29</v>
      </c>
      <c r="P397" t="s">
        <v>54</v>
      </c>
      <c r="Q397" t="s">
        <v>51</v>
      </c>
      <c r="R397" t="s">
        <v>32</v>
      </c>
      <c r="S397" t="s">
        <v>33</v>
      </c>
      <c r="T397" t="s">
        <v>34</v>
      </c>
      <c r="U397" t="s">
        <v>46</v>
      </c>
      <c r="V397" t="s">
        <v>60</v>
      </c>
      <c r="W397" t="s">
        <v>37</v>
      </c>
      <c r="X397" s="6">
        <v>25</v>
      </c>
      <c r="Y397" s="6">
        <v>75</v>
      </c>
      <c r="Z397" t="s">
        <v>38</v>
      </c>
      <c r="AA397" t="s">
        <v>39</v>
      </c>
      <c r="AB397" t="s">
        <v>38</v>
      </c>
      <c r="AC397" s="8">
        <v>-2.360000000000001E-2</v>
      </c>
    </row>
    <row r="398" spans="1:29" x14ac:dyDescent="0.3">
      <c r="A398" s="7">
        <v>397</v>
      </c>
      <c r="B398" s="1">
        <v>40561</v>
      </c>
      <c r="C398" s="7">
        <v>1</v>
      </c>
      <c r="D398" s="7">
        <v>12</v>
      </c>
      <c r="E398" t="b">
        <v>0</v>
      </c>
      <c r="F398" s="7">
        <v>2</v>
      </c>
      <c r="G398" s="7">
        <v>2</v>
      </c>
      <c r="H398" s="6">
        <v>0.2</v>
      </c>
      <c r="I398" s="8">
        <v>0.18179999999999999</v>
      </c>
      <c r="J398" s="6">
        <v>0.86</v>
      </c>
      <c r="K398" s="8">
        <v>0.32840000000000003</v>
      </c>
      <c r="L398" s="7">
        <v>0</v>
      </c>
      <c r="M398" s="7">
        <v>3</v>
      </c>
      <c r="N398" s="7">
        <v>3</v>
      </c>
      <c r="O398" t="s">
        <v>29</v>
      </c>
      <c r="P398" t="s">
        <v>56</v>
      </c>
      <c r="Q398" t="s">
        <v>41</v>
      </c>
      <c r="R398" t="s">
        <v>47</v>
      </c>
      <c r="S398" t="s">
        <v>33</v>
      </c>
      <c r="T398" t="s">
        <v>34</v>
      </c>
      <c r="U398" t="s">
        <v>53</v>
      </c>
      <c r="V398" t="s">
        <v>36</v>
      </c>
      <c r="W398" t="s">
        <v>37</v>
      </c>
      <c r="X398" s="6">
        <v>0</v>
      </c>
      <c r="Y398" s="6">
        <v>100</v>
      </c>
      <c r="Z398" t="s">
        <v>38</v>
      </c>
      <c r="AA398" t="s">
        <v>39</v>
      </c>
      <c r="AB398" t="s">
        <v>38</v>
      </c>
      <c r="AC398" s="8">
        <v>-1.8200000000000022E-2</v>
      </c>
    </row>
    <row r="399" spans="1:29" x14ac:dyDescent="0.3">
      <c r="A399" s="7">
        <v>398</v>
      </c>
      <c r="B399" s="1">
        <v>40561</v>
      </c>
      <c r="C399" s="7">
        <v>1</v>
      </c>
      <c r="D399" s="7">
        <v>13</v>
      </c>
      <c r="E399" t="b">
        <v>0</v>
      </c>
      <c r="F399" s="7">
        <v>2</v>
      </c>
      <c r="G399" s="7">
        <v>2</v>
      </c>
      <c r="H399" s="6">
        <v>0.2</v>
      </c>
      <c r="I399" s="8">
        <v>0.19700000000000001</v>
      </c>
      <c r="J399" s="6">
        <v>0.86</v>
      </c>
      <c r="K399" s="8">
        <v>0.22389999999999999</v>
      </c>
      <c r="L399" s="7">
        <v>0</v>
      </c>
      <c r="M399" s="7">
        <v>22</v>
      </c>
      <c r="N399" s="7">
        <v>22</v>
      </c>
      <c r="O399" t="s">
        <v>29</v>
      </c>
      <c r="P399" t="s">
        <v>56</v>
      </c>
      <c r="Q399" t="s">
        <v>41</v>
      </c>
      <c r="R399" t="s">
        <v>47</v>
      </c>
      <c r="S399" t="s">
        <v>33</v>
      </c>
      <c r="T399" t="s">
        <v>34</v>
      </c>
      <c r="U399" t="s">
        <v>46</v>
      </c>
      <c r="V399" t="s">
        <v>36</v>
      </c>
      <c r="W399" t="s">
        <v>37</v>
      </c>
      <c r="X399" s="6">
        <v>0</v>
      </c>
      <c r="Y399" s="6">
        <v>100</v>
      </c>
      <c r="Z399" t="s">
        <v>38</v>
      </c>
      <c r="AA399" t="s">
        <v>39</v>
      </c>
      <c r="AB399" t="s">
        <v>38</v>
      </c>
      <c r="AC399" s="8">
        <v>-3.0000000000000031E-3</v>
      </c>
    </row>
    <row r="400" spans="1:29" x14ac:dyDescent="0.3">
      <c r="A400" s="7">
        <v>399</v>
      </c>
      <c r="B400" s="1">
        <v>40561</v>
      </c>
      <c r="C400" s="7">
        <v>1</v>
      </c>
      <c r="D400" s="7">
        <v>14</v>
      </c>
      <c r="E400" t="b">
        <v>0</v>
      </c>
      <c r="F400" s="7">
        <v>2</v>
      </c>
      <c r="G400" s="7">
        <v>2</v>
      </c>
      <c r="H400" s="6">
        <v>0.22</v>
      </c>
      <c r="I400" s="8">
        <v>0.2273</v>
      </c>
      <c r="J400" s="6">
        <v>0.8</v>
      </c>
      <c r="K400" s="8">
        <v>0.16420000000000001</v>
      </c>
      <c r="L400" s="7">
        <v>2</v>
      </c>
      <c r="M400" s="7">
        <v>26</v>
      </c>
      <c r="N400" s="7">
        <v>28</v>
      </c>
      <c r="O400" t="s">
        <v>29</v>
      </c>
      <c r="P400" t="s">
        <v>56</v>
      </c>
      <c r="Q400" t="s">
        <v>41</v>
      </c>
      <c r="R400" t="s">
        <v>47</v>
      </c>
      <c r="S400" t="s">
        <v>33</v>
      </c>
      <c r="T400" t="s">
        <v>34</v>
      </c>
      <c r="U400" t="s">
        <v>46</v>
      </c>
      <c r="V400" t="s">
        <v>36</v>
      </c>
      <c r="W400" t="s">
        <v>37</v>
      </c>
      <c r="X400" s="6">
        <v>7.1428571428571423</v>
      </c>
      <c r="Y400" s="6">
        <v>92.857142857142861</v>
      </c>
      <c r="Z400" t="s">
        <v>38</v>
      </c>
      <c r="AA400" t="s">
        <v>39</v>
      </c>
      <c r="AB400" t="s">
        <v>38</v>
      </c>
      <c r="AC400" s="8">
        <v>7.3000000000000009E-3</v>
      </c>
    </row>
    <row r="401" spans="1:29" x14ac:dyDescent="0.3">
      <c r="A401" s="7">
        <v>400</v>
      </c>
      <c r="B401" s="1">
        <v>40561</v>
      </c>
      <c r="C401" s="7">
        <v>1</v>
      </c>
      <c r="D401" s="7">
        <v>15</v>
      </c>
      <c r="E401" t="b">
        <v>0</v>
      </c>
      <c r="F401" s="7">
        <v>2</v>
      </c>
      <c r="G401" s="7">
        <v>2</v>
      </c>
      <c r="H401" s="6">
        <v>0.22</v>
      </c>
      <c r="I401" s="8">
        <v>0.2273</v>
      </c>
      <c r="J401" s="6">
        <v>0.87</v>
      </c>
      <c r="K401" s="8">
        <v>0.16420000000000001</v>
      </c>
      <c r="L401" s="7">
        <v>3</v>
      </c>
      <c r="M401" s="7">
        <v>32</v>
      </c>
      <c r="N401" s="7">
        <v>35</v>
      </c>
      <c r="O401" t="s">
        <v>29</v>
      </c>
      <c r="P401" t="s">
        <v>56</v>
      </c>
      <c r="Q401" t="s">
        <v>41</v>
      </c>
      <c r="R401" t="s">
        <v>47</v>
      </c>
      <c r="S401" t="s">
        <v>33</v>
      </c>
      <c r="T401" t="s">
        <v>34</v>
      </c>
      <c r="U401" t="s">
        <v>46</v>
      </c>
      <c r="V401" t="s">
        <v>36</v>
      </c>
      <c r="W401" t="s">
        <v>37</v>
      </c>
      <c r="X401" s="6">
        <v>8.5714285714285712</v>
      </c>
      <c r="Y401" s="6">
        <v>91.428571428571431</v>
      </c>
      <c r="Z401" t="s">
        <v>38</v>
      </c>
      <c r="AA401" t="s">
        <v>39</v>
      </c>
      <c r="AB401" t="s">
        <v>38</v>
      </c>
      <c r="AC401" s="8">
        <v>7.3000000000000009E-3</v>
      </c>
    </row>
    <row r="402" spans="1:29" x14ac:dyDescent="0.3">
      <c r="A402" s="7">
        <v>401</v>
      </c>
      <c r="B402" s="1">
        <v>40561</v>
      </c>
      <c r="C402" s="7">
        <v>1</v>
      </c>
      <c r="D402" s="7">
        <v>16</v>
      </c>
      <c r="E402" t="b">
        <v>0</v>
      </c>
      <c r="F402" s="7">
        <v>2</v>
      </c>
      <c r="G402" s="7">
        <v>2</v>
      </c>
      <c r="H402" s="6">
        <v>0.22</v>
      </c>
      <c r="I402" s="8">
        <v>0.2273</v>
      </c>
      <c r="J402" s="6">
        <v>0.87</v>
      </c>
      <c r="K402" s="8">
        <v>0.19400000000000001</v>
      </c>
      <c r="L402" s="7">
        <v>0</v>
      </c>
      <c r="M402" s="7">
        <v>61</v>
      </c>
      <c r="N402" s="7">
        <v>61</v>
      </c>
      <c r="O402" t="s">
        <v>29</v>
      </c>
      <c r="P402" t="s">
        <v>56</v>
      </c>
      <c r="Q402" t="s">
        <v>41</v>
      </c>
      <c r="R402" t="s">
        <v>47</v>
      </c>
      <c r="S402" t="s">
        <v>33</v>
      </c>
      <c r="T402" t="s">
        <v>34</v>
      </c>
      <c r="U402" t="s">
        <v>46</v>
      </c>
      <c r="V402" t="s">
        <v>36</v>
      </c>
      <c r="W402" t="s">
        <v>37</v>
      </c>
      <c r="X402" s="6">
        <v>0</v>
      </c>
      <c r="Y402" s="6">
        <v>100</v>
      </c>
      <c r="Z402" t="s">
        <v>38</v>
      </c>
      <c r="AA402" t="s">
        <v>39</v>
      </c>
      <c r="AB402" t="s">
        <v>38</v>
      </c>
      <c r="AC402" s="8">
        <v>7.3000000000000009E-3</v>
      </c>
    </row>
    <row r="403" spans="1:29" x14ac:dyDescent="0.3">
      <c r="A403" s="7">
        <v>402</v>
      </c>
      <c r="B403" s="1">
        <v>40561</v>
      </c>
      <c r="C403" s="7">
        <v>1</v>
      </c>
      <c r="D403" s="7">
        <v>17</v>
      </c>
      <c r="E403" t="b">
        <v>0</v>
      </c>
      <c r="F403" s="7">
        <v>2</v>
      </c>
      <c r="G403" s="7">
        <v>2</v>
      </c>
      <c r="H403" s="6">
        <v>0.22</v>
      </c>
      <c r="I403" s="8">
        <v>0.2273</v>
      </c>
      <c r="J403" s="6">
        <v>0.82</v>
      </c>
      <c r="K403" s="8">
        <v>0.19400000000000001</v>
      </c>
      <c r="L403" s="7">
        <v>1</v>
      </c>
      <c r="M403" s="7">
        <v>124</v>
      </c>
      <c r="N403" s="7">
        <v>125</v>
      </c>
      <c r="O403" t="s">
        <v>29</v>
      </c>
      <c r="P403" t="s">
        <v>56</v>
      </c>
      <c r="Q403" t="s">
        <v>41</v>
      </c>
      <c r="R403" t="s">
        <v>50</v>
      </c>
      <c r="S403" t="s">
        <v>33</v>
      </c>
      <c r="T403" t="s">
        <v>34</v>
      </c>
      <c r="U403" t="s">
        <v>46</v>
      </c>
      <c r="V403" t="s">
        <v>36</v>
      </c>
      <c r="W403" t="s">
        <v>37</v>
      </c>
      <c r="X403" s="6">
        <v>0.8</v>
      </c>
      <c r="Y403" s="6">
        <v>99.2</v>
      </c>
      <c r="Z403" t="s">
        <v>40</v>
      </c>
      <c r="AA403" t="s">
        <v>49</v>
      </c>
      <c r="AB403" t="s">
        <v>38</v>
      </c>
      <c r="AC403" s="8">
        <v>7.3000000000000009E-3</v>
      </c>
    </row>
    <row r="404" spans="1:29" x14ac:dyDescent="0.3">
      <c r="A404" s="7">
        <v>403</v>
      </c>
      <c r="B404" s="1">
        <v>40561</v>
      </c>
      <c r="C404" s="7">
        <v>1</v>
      </c>
      <c r="D404" s="7">
        <v>18</v>
      </c>
      <c r="E404" t="b">
        <v>0</v>
      </c>
      <c r="F404" s="7">
        <v>2</v>
      </c>
      <c r="G404" s="7">
        <v>2</v>
      </c>
      <c r="H404" s="6">
        <v>0.22</v>
      </c>
      <c r="I404" s="8">
        <v>0.2273</v>
      </c>
      <c r="J404" s="6">
        <v>0.8</v>
      </c>
      <c r="K404" s="8">
        <v>0.16420000000000001</v>
      </c>
      <c r="L404" s="7">
        <v>1</v>
      </c>
      <c r="M404" s="7">
        <v>132</v>
      </c>
      <c r="N404" s="7">
        <v>133</v>
      </c>
      <c r="O404" t="s">
        <v>29</v>
      </c>
      <c r="P404" t="s">
        <v>56</v>
      </c>
      <c r="Q404" t="s">
        <v>41</v>
      </c>
      <c r="R404" t="s">
        <v>50</v>
      </c>
      <c r="S404" t="s">
        <v>33</v>
      </c>
      <c r="T404" t="s">
        <v>34</v>
      </c>
      <c r="U404" t="s">
        <v>46</v>
      </c>
      <c r="V404" t="s">
        <v>36</v>
      </c>
      <c r="W404" t="s">
        <v>37</v>
      </c>
      <c r="X404" s="6">
        <v>0.75187969924812026</v>
      </c>
      <c r="Y404" s="6">
        <v>99.248120300751879</v>
      </c>
      <c r="Z404" t="s">
        <v>40</v>
      </c>
      <c r="AA404" t="s">
        <v>49</v>
      </c>
      <c r="AB404" t="s">
        <v>38</v>
      </c>
      <c r="AC404" s="8">
        <v>7.3000000000000009E-3</v>
      </c>
    </row>
    <row r="405" spans="1:29" x14ac:dyDescent="0.3">
      <c r="A405" s="7">
        <v>404</v>
      </c>
      <c r="B405" s="1">
        <v>40561</v>
      </c>
      <c r="C405" s="7">
        <v>1</v>
      </c>
      <c r="D405" s="7">
        <v>19</v>
      </c>
      <c r="E405" t="b">
        <v>0</v>
      </c>
      <c r="F405" s="7">
        <v>2</v>
      </c>
      <c r="G405" s="7">
        <v>2</v>
      </c>
      <c r="H405" s="6">
        <v>0.22</v>
      </c>
      <c r="I405" s="8">
        <v>0.2273</v>
      </c>
      <c r="J405" s="6">
        <v>0.8</v>
      </c>
      <c r="K405" s="8">
        <v>0.1343</v>
      </c>
      <c r="L405" s="7">
        <v>1</v>
      </c>
      <c r="M405" s="7">
        <v>98</v>
      </c>
      <c r="N405" s="7">
        <v>99</v>
      </c>
      <c r="O405" t="s">
        <v>29</v>
      </c>
      <c r="P405" t="s">
        <v>56</v>
      </c>
      <c r="Q405" t="s">
        <v>41</v>
      </c>
      <c r="R405" t="s">
        <v>50</v>
      </c>
      <c r="S405" t="s">
        <v>33</v>
      </c>
      <c r="T405" t="s">
        <v>34</v>
      </c>
      <c r="U405" t="s">
        <v>35</v>
      </c>
      <c r="V405" t="s">
        <v>36</v>
      </c>
      <c r="W405" t="s">
        <v>37</v>
      </c>
      <c r="X405" s="6">
        <v>1.0101010101010099</v>
      </c>
      <c r="Y405" s="6">
        <v>98.98989898989899</v>
      </c>
      <c r="Z405" t="s">
        <v>40</v>
      </c>
      <c r="AA405" t="s">
        <v>39</v>
      </c>
      <c r="AB405" t="s">
        <v>38</v>
      </c>
      <c r="AC405" s="8">
        <v>7.3000000000000009E-3</v>
      </c>
    </row>
    <row r="406" spans="1:29" x14ac:dyDescent="0.3">
      <c r="A406" s="7">
        <v>405</v>
      </c>
      <c r="B406" s="1">
        <v>40561</v>
      </c>
      <c r="C406" s="7">
        <v>1</v>
      </c>
      <c r="D406" s="7">
        <v>20</v>
      </c>
      <c r="E406" t="b">
        <v>0</v>
      </c>
      <c r="F406" s="7">
        <v>2</v>
      </c>
      <c r="G406" s="7">
        <v>2</v>
      </c>
      <c r="H406" s="6">
        <v>0.22</v>
      </c>
      <c r="I406" s="8">
        <v>0.2727</v>
      </c>
      <c r="J406" s="6">
        <v>0.87</v>
      </c>
      <c r="K406" s="8">
        <v>0</v>
      </c>
      <c r="L406" s="7">
        <v>0</v>
      </c>
      <c r="M406" s="7">
        <v>83</v>
      </c>
      <c r="N406" s="7">
        <v>83</v>
      </c>
      <c r="O406" t="s">
        <v>29</v>
      </c>
      <c r="P406" t="s">
        <v>56</v>
      </c>
      <c r="Q406" t="s">
        <v>41</v>
      </c>
      <c r="R406" t="s">
        <v>50</v>
      </c>
      <c r="S406" t="s">
        <v>33</v>
      </c>
      <c r="T406" t="s">
        <v>34</v>
      </c>
      <c r="U406" t="s">
        <v>35</v>
      </c>
      <c r="V406" t="s">
        <v>36</v>
      </c>
      <c r="W406" t="s">
        <v>37</v>
      </c>
      <c r="X406" s="6">
        <v>0</v>
      </c>
      <c r="Y406" s="6">
        <v>100</v>
      </c>
      <c r="Z406" t="s">
        <v>38</v>
      </c>
      <c r="AA406" t="s">
        <v>39</v>
      </c>
      <c r="AB406" t="s">
        <v>38</v>
      </c>
      <c r="AC406" s="8">
        <v>5.2699999999999997E-2</v>
      </c>
    </row>
    <row r="407" spans="1:29" x14ac:dyDescent="0.3">
      <c r="A407" s="7">
        <v>406</v>
      </c>
      <c r="B407" s="1">
        <v>40561</v>
      </c>
      <c r="C407" s="7">
        <v>1</v>
      </c>
      <c r="D407" s="7">
        <v>21</v>
      </c>
      <c r="E407" t="b">
        <v>0</v>
      </c>
      <c r="F407" s="7">
        <v>2</v>
      </c>
      <c r="G407" s="7">
        <v>2</v>
      </c>
      <c r="H407" s="6">
        <v>0.22</v>
      </c>
      <c r="I407" s="8">
        <v>0.2424</v>
      </c>
      <c r="J407" s="6">
        <v>0.93</v>
      </c>
      <c r="K407" s="8">
        <v>0.1045</v>
      </c>
      <c r="L407" s="7">
        <v>0</v>
      </c>
      <c r="M407" s="7">
        <v>41</v>
      </c>
      <c r="N407" s="7">
        <v>41</v>
      </c>
      <c r="O407" t="s">
        <v>29</v>
      </c>
      <c r="P407" t="s">
        <v>56</v>
      </c>
      <c r="Q407" t="s">
        <v>41</v>
      </c>
      <c r="R407" t="s">
        <v>32</v>
      </c>
      <c r="S407" t="s">
        <v>33</v>
      </c>
      <c r="T407" t="s">
        <v>34</v>
      </c>
      <c r="U407" t="s">
        <v>35</v>
      </c>
      <c r="V407" t="s">
        <v>36</v>
      </c>
      <c r="W407" t="s">
        <v>37</v>
      </c>
      <c r="X407" s="6">
        <v>0</v>
      </c>
      <c r="Y407" s="6">
        <v>100</v>
      </c>
      <c r="Z407" t="s">
        <v>38</v>
      </c>
      <c r="AA407" t="s">
        <v>39</v>
      </c>
      <c r="AB407" t="s">
        <v>38</v>
      </c>
      <c r="AC407" s="8">
        <v>2.24E-2</v>
      </c>
    </row>
    <row r="408" spans="1:29" x14ac:dyDescent="0.3">
      <c r="A408" s="7">
        <v>407</v>
      </c>
      <c r="B408" s="1">
        <v>40561</v>
      </c>
      <c r="C408" s="7">
        <v>1</v>
      </c>
      <c r="D408" s="7">
        <v>22</v>
      </c>
      <c r="E408" t="b">
        <v>0</v>
      </c>
      <c r="F408" s="7">
        <v>2</v>
      </c>
      <c r="G408" s="7">
        <v>2</v>
      </c>
      <c r="H408" s="6">
        <v>0.22</v>
      </c>
      <c r="I408" s="8">
        <v>0.2576</v>
      </c>
      <c r="J408" s="6">
        <v>0.93</v>
      </c>
      <c r="K408" s="8">
        <v>8.9599999999999999E-2</v>
      </c>
      <c r="L408" s="7">
        <v>0</v>
      </c>
      <c r="M408" s="7">
        <v>33</v>
      </c>
      <c r="N408" s="7">
        <v>33</v>
      </c>
      <c r="O408" t="s">
        <v>29</v>
      </c>
      <c r="P408" t="s">
        <v>56</v>
      </c>
      <c r="Q408" t="s">
        <v>41</v>
      </c>
      <c r="R408" t="s">
        <v>32</v>
      </c>
      <c r="S408" t="s">
        <v>33</v>
      </c>
      <c r="T408" t="s">
        <v>34</v>
      </c>
      <c r="U408" t="s">
        <v>35</v>
      </c>
      <c r="V408" t="s">
        <v>36</v>
      </c>
      <c r="W408" t="s">
        <v>37</v>
      </c>
      <c r="X408" s="6">
        <v>0</v>
      </c>
      <c r="Y408" s="6">
        <v>100</v>
      </c>
      <c r="Z408" t="s">
        <v>38</v>
      </c>
      <c r="AA408" t="s">
        <v>39</v>
      </c>
      <c r="AB408" t="s">
        <v>38</v>
      </c>
      <c r="AC408" s="8">
        <v>3.7599999999999988E-2</v>
      </c>
    </row>
    <row r="409" spans="1:29" x14ac:dyDescent="0.3">
      <c r="A409" s="7">
        <v>408</v>
      </c>
      <c r="B409" s="1">
        <v>40561</v>
      </c>
      <c r="C409" s="7">
        <v>1</v>
      </c>
      <c r="D409" s="7">
        <v>23</v>
      </c>
      <c r="E409" t="b">
        <v>0</v>
      </c>
      <c r="F409" s="7">
        <v>2</v>
      </c>
      <c r="G409" s="7">
        <v>2</v>
      </c>
      <c r="H409" s="6">
        <v>0.22</v>
      </c>
      <c r="I409" s="8">
        <v>0.2727</v>
      </c>
      <c r="J409" s="6">
        <v>0.93</v>
      </c>
      <c r="K409" s="8">
        <v>0</v>
      </c>
      <c r="L409" s="7">
        <v>1</v>
      </c>
      <c r="M409" s="7">
        <v>19</v>
      </c>
      <c r="N409" s="7">
        <v>20</v>
      </c>
      <c r="O409" t="s">
        <v>29</v>
      </c>
      <c r="P409" t="s">
        <v>56</v>
      </c>
      <c r="Q409" t="s">
        <v>41</v>
      </c>
      <c r="R409" t="s">
        <v>32</v>
      </c>
      <c r="S409" t="s">
        <v>33</v>
      </c>
      <c r="T409" t="s">
        <v>34</v>
      </c>
      <c r="U409" t="s">
        <v>35</v>
      </c>
      <c r="V409" t="s">
        <v>36</v>
      </c>
      <c r="W409" t="s">
        <v>37</v>
      </c>
      <c r="X409" s="6">
        <v>5</v>
      </c>
      <c r="Y409" s="6">
        <v>95</v>
      </c>
      <c r="Z409" t="s">
        <v>38</v>
      </c>
      <c r="AA409" t="s">
        <v>39</v>
      </c>
      <c r="AB409" t="s">
        <v>38</v>
      </c>
      <c r="AC409" s="8">
        <v>5.2699999999999997E-2</v>
      </c>
    </row>
    <row r="410" spans="1:29" x14ac:dyDescent="0.3">
      <c r="A410" s="7">
        <v>409</v>
      </c>
      <c r="B410" s="1">
        <v>40562</v>
      </c>
      <c r="C410" s="7">
        <v>1</v>
      </c>
      <c r="D410" s="7">
        <v>0</v>
      </c>
      <c r="E410" t="b">
        <v>0</v>
      </c>
      <c r="F410" s="7">
        <v>3</v>
      </c>
      <c r="G410" s="7">
        <v>2</v>
      </c>
      <c r="H410" s="6">
        <v>0.22</v>
      </c>
      <c r="I410" s="8">
        <v>0.2727</v>
      </c>
      <c r="J410" s="6">
        <v>0.93</v>
      </c>
      <c r="K410" s="8">
        <v>0</v>
      </c>
      <c r="L410" s="7">
        <v>0</v>
      </c>
      <c r="M410" s="7">
        <v>3</v>
      </c>
      <c r="N410" s="7">
        <v>3</v>
      </c>
      <c r="O410" t="s">
        <v>29</v>
      </c>
      <c r="P410" t="s">
        <v>57</v>
      </c>
      <c r="Q410" t="s">
        <v>41</v>
      </c>
      <c r="R410" t="s">
        <v>32</v>
      </c>
      <c r="S410" t="s">
        <v>33</v>
      </c>
      <c r="T410" t="s">
        <v>34</v>
      </c>
      <c r="U410" t="s">
        <v>35</v>
      </c>
      <c r="V410" t="s">
        <v>36</v>
      </c>
      <c r="W410" t="s">
        <v>37</v>
      </c>
      <c r="X410" s="6">
        <v>0</v>
      </c>
      <c r="Y410" s="6">
        <v>100</v>
      </c>
      <c r="Z410" t="s">
        <v>38</v>
      </c>
      <c r="AA410" t="s">
        <v>39</v>
      </c>
      <c r="AB410" t="s">
        <v>38</v>
      </c>
      <c r="AC410" s="8">
        <v>5.2699999999999997E-2</v>
      </c>
    </row>
    <row r="411" spans="1:29" x14ac:dyDescent="0.3">
      <c r="A411" s="7">
        <v>410</v>
      </c>
      <c r="B411" s="1">
        <v>40562</v>
      </c>
      <c r="C411" s="7">
        <v>1</v>
      </c>
      <c r="D411" s="7">
        <v>1</v>
      </c>
      <c r="E411" t="b">
        <v>0</v>
      </c>
      <c r="F411" s="7">
        <v>3</v>
      </c>
      <c r="G411" s="7">
        <v>3</v>
      </c>
      <c r="H411" s="6">
        <v>0.22</v>
      </c>
      <c r="I411" s="8">
        <v>0.2273</v>
      </c>
      <c r="J411" s="6">
        <v>0.93</v>
      </c>
      <c r="K411" s="8">
        <v>0.1343</v>
      </c>
      <c r="L411" s="7">
        <v>1</v>
      </c>
      <c r="M411" s="7">
        <v>6</v>
      </c>
      <c r="N411" s="7">
        <v>7</v>
      </c>
      <c r="O411" t="s">
        <v>29</v>
      </c>
      <c r="P411" t="s">
        <v>57</v>
      </c>
      <c r="Q411" t="s">
        <v>51</v>
      </c>
      <c r="R411" t="s">
        <v>32</v>
      </c>
      <c r="S411" t="s">
        <v>33</v>
      </c>
      <c r="T411" t="s">
        <v>34</v>
      </c>
      <c r="U411" t="s">
        <v>35</v>
      </c>
      <c r="V411" t="s">
        <v>36</v>
      </c>
      <c r="W411" t="s">
        <v>37</v>
      </c>
      <c r="X411" s="6">
        <v>14.285714285714279</v>
      </c>
      <c r="Y411" s="6">
        <v>85.714285714285708</v>
      </c>
      <c r="Z411" t="s">
        <v>38</v>
      </c>
      <c r="AA411" t="s">
        <v>39</v>
      </c>
      <c r="AB411" t="s">
        <v>38</v>
      </c>
      <c r="AC411" s="8">
        <v>7.3000000000000009E-3</v>
      </c>
    </row>
    <row r="412" spans="1:29" x14ac:dyDescent="0.3">
      <c r="A412" s="7">
        <v>411</v>
      </c>
      <c r="B412" s="1">
        <v>40562</v>
      </c>
      <c r="C412" s="7">
        <v>1</v>
      </c>
      <c r="D412" s="7">
        <v>2</v>
      </c>
      <c r="E412" t="b">
        <v>0</v>
      </c>
      <c r="F412" s="7">
        <v>3</v>
      </c>
      <c r="G412" s="7">
        <v>3</v>
      </c>
      <c r="H412" s="6">
        <v>0.22</v>
      </c>
      <c r="I412" s="8">
        <v>0.2273</v>
      </c>
      <c r="J412" s="6">
        <v>0.93</v>
      </c>
      <c r="K412" s="8">
        <v>0.1343</v>
      </c>
      <c r="L412" s="7">
        <v>0</v>
      </c>
      <c r="M412" s="7">
        <v>3</v>
      </c>
      <c r="N412" s="7">
        <v>3</v>
      </c>
      <c r="O412" t="s">
        <v>29</v>
      </c>
      <c r="P412" t="s">
        <v>57</v>
      </c>
      <c r="Q412" t="s">
        <v>51</v>
      </c>
      <c r="R412" t="s">
        <v>32</v>
      </c>
      <c r="S412" t="s">
        <v>33</v>
      </c>
      <c r="T412" t="s">
        <v>34</v>
      </c>
      <c r="U412" t="s">
        <v>35</v>
      </c>
      <c r="V412" t="s">
        <v>36</v>
      </c>
      <c r="W412" t="s">
        <v>37</v>
      </c>
      <c r="X412" s="6">
        <v>0</v>
      </c>
      <c r="Y412" s="6">
        <v>100</v>
      </c>
      <c r="Z412" t="s">
        <v>38</v>
      </c>
      <c r="AA412" t="s">
        <v>39</v>
      </c>
      <c r="AB412" t="s">
        <v>38</v>
      </c>
      <c r="AC412" s="8">
        <v>7.3000000000000009E-3</v>
      </c>
    </row>
    <row r="413" spans="1:29" x14ac:dyDescent="0.3">
      <c r="A413" s="7">
        <v>412</v>
      </c>
      <c r="B413" s="1">
        <v>40562</v>
      </c>
      <c r="C413" s="7">
        <v>1</v>
      </c>
      <c r="D413" s="7">
        <v>4</v>
      </c>
      <c r="E413" t="b">
        <v>0</v>
      </c>
      <c r="F413" s="7">
        <v>3</v>
      </c>
      <c r="G413" s="7">
        <v>3</v>
      </c>
      <c r="H413" s="6">
        <v>0.22</v>
      </c>
      <c r="I413" s="8">
        <v>0.2273</v>
      </c>
      <c r="J413" s="6">
        <v>0.93</v>
      </c>
      <c r="K413" s="8">
        <v>0.1343</v>
      </c>
      <c r="L413" s="7">
        <v>1</v>
      </c>
      <c r="M413" s="7">
        <v>1</v>
      </c>
      <c r="N413" s="7">
        <v>2</v>
      </c>
      <c r="O413" t="s">
        <v>29</v>
      </c>
      <c r="P413" t="s">
        <v>57</v>
      </c>
      <c r="Q413" t="s">
        <v>51</v>
      </c>
      <c r="R413" t="s">
        <v>32</v>
      </c>
      <c r="S413" t="s">
        <v>33</v>
      </c>
      <c r="T413" t="s">
        <v>34</v>
      </c>
      <c r="U413" t="s">
        <v>35</v>
      </c>
      <c r="V413" t="s">
        <v>36</v>
      </c>
      <c r="W413" t="s">
        <v>37</v>
      </c>
      <c r="X413" s="6">
        <v>50</v>
      </c>
      <c r="Y413" s="6">
        <v>50</v>
      </c>
      <c r="Z413" t="s">
        <v>38</v>
      </c>
      <c r="AA413" t="s">
        <v>39</v>
      </c>
      <c r="AB413" t="s">
        <v>38</v>
      </c>
      <c r="AC413" s="8">
        <v>7.3000000000000009E-3</v>
      </c>
    </row>
    <row r="414" spans="1:29" x14ac:dyDescent="0.3">
      <c r="A414" s="7">
        <v>413</v>
      </c>
      <c r="B414" s="1">
        <v>40562</v>
      </c>
      <c r="C414" s="7">
        <v>1</v>
      </c>
      <c r="D414" s="7">
        <v>5</v>
      </c>
      <c r="E414" t="b">
        <v>0</v>
      </c>
      <c r="F414" s="7">
        <v>3</v>
      </c>
      <c r="G414" s="7">
        <v>2</v>
      </c>
      <c r="H414" s="6">
        <v>0.22</v>
      </c>
      <c r="I414" s="8">
        <v>0.2576</v>
      </c>
      <c r="J414" s="6">
        <v>0.93</v>
      </c>
      <c r="K414" s="8">
        <v>8.9599999999999999E-2</v>
      </c>
      <c r="L414" s="7">
        <v>0</v>
      </c>
      <c r="M414" s="7">
        <v>7</v>
      </c>
      <c r="N414" s="7">
        <v>7</v>
      </c>
      <c r="O414" t="s">
        <v>29</v>
      </c>
      <c r="P414" t="s">
        <v>57</v>
      </c>
      <c r="Q414" t="s">
        <v>41</v>
      </c>
      <c r="R414" t="s">
        <v>32</v>
      </c>
      <c r="S414" t="s">
        <v>33</v>
      </c>
      <c r="T414" t="s">
        <v>34</v>
      </c>
      <c r="U414" t="s">
        <v>35</v>
      </c>
      <c r="V414" t="s">
        <v>36</v>
      </c>
      <c r="W414" t="s">
        <v>37</v>
      </c>
      <c r="X414" s="6">
        <v>0</v>
      </c>
      <c r="Y414" s="6">
        <v>100</v>
      </c>
      <c r="Z414" t="s">
        <v>38</v>
      </c>
      <c r="AA414" t="s">
        <v>39</v>
      </c>
      <c r="AB414" t="s">
        <v>38</v>
      </c>
      <c r="AC414" s="8">
        <v>3.7599999999999988E-2</v>
      </c>
    </row>
    <row r="415" spans="1:29" x14ac:dyDescent="0.3">
      <c r="A415" s="7">
        <v>414</v>
      </c>
      <c r="B415" s="1">
        <v>40562</v>
      </c>
      <c r="C415" s="7">
        <v>1</v>
      </c>
      <c r="D415" s="7">
        <v>6</v>
      </c>
      <c r="E415" t="b">
        <v>0</v>
      </c>
      <c r="F415" s="7">
        <v>3</v>
      </c>
      <c r="G415" s="7">
        <v>2</v>
      </c>
      <c r="H415" s="6">
        <v>0.22</v>
      </c>
      <c r="I415" s="8">
        <v>0.2576</v>
      </c>
      <c r="J415" s="6">
        <v>0.93</v>
      </c>
      <c r="K415" s="8">
        <v>8.9599999999999999E-2</v>
      </c>
      <c r="L415" s="7">
        <v>0</v>
      </c>
      <c r="M415" s="7">
        <v>32</v>
      </c>
      <c r="N415" s="7">
        <v>32</v>
      </c>
      <c r="O415" t="s">
        <v>29</v>
      </c>
      <c r="P415" t="s">
        <v>57</v>
      </c>
      <c r="Q415" t="s">
        <v>41</v>
      </c>
      <c r="R415" t="s">
        <v>42</v>
      </c>
      <c r="S415" t="s">
        <v>33</v>
      </c>
      <c r="T415" t="s">
        <v>34</v>
      </c>
      <c r="U415" t="s">
        <v>35</v>
      </c>
      <c r="V415" t="s">
        <v>36</v>
      </c>
      <c r="W415" t="s">
        <v>37</v>
      </c>
      <c r="X415" s="6">
        <v>0</v>
      </c>
      <c r="Y415" s="6">
        <v>100</v>
      </c>
      <c r="Z415" t="s">
        <v>38</v>
      </c>
      <c r="AA415" t="s">
        <v>39</v>
      </c>
      <c r="AB415" t="s">
        <v>38</v>
      </c>
      <c r="AC415" s="8">
        <v>3.7599999999999988E-2</v>
      </c>
    </row>
    <row r="416" spans="1:29" x14ac:dyDescent="0.3">
      <c r="A416" s="7">
        <v>415</v>
      </c>
      <c r="B416" s="1">
        <v>40562</v>
      </c>
      <c r="C416" s="7">
        <v>1</v>
      </c>
      <c r="D416" s="7">
        <v>7</v>
      </c>
      <c r="E416" t="b">
        <v>0</v>
      </c>
      <c r="F416" s="7">
        <v>3</v>
      </c>
      <c r="G416" s="7">
        <v>2</v>
      </c>
      <c r="H416" s="6">
        <v>0.24</v>
      </c>
      <c r="I416" s="8">
        <v>0.2576</v>
      </c>
      <c r="J416" s="6">
        <v>0.92</v>
      </c>
      <c r="K416" s="8">
        <v>0.1045</v>
      </c>
      <c r="L416" s="7">
        <v>1</v>
      </c>
      <c r="M416" s="7">
        <v>89</v>
      </c>
      <c r="N416" s="7">
        <v>90</v>
      </c>
      <c r="O416" t="s">
        <v>29</v>
      </c>
      <c r="P416" t="s">
        <v>57</v>
      </c>
      <c r="Q416" t="s">
        <v>41</v>
      </c>
      <c r="R416" t="s">
        <v>42</v>
      </c>
      <c r="S416" t="s">
        <v>33</v>
      </c>
      <c r="T416" t="s">
        <v>34</v>
      </c>
      <c r="U416" t="s">
        <v>35</v>
      </c>
      <c r="V416" t="s">
        <v>36</v>
      </c>
      <c r="W416" t="s">
        <v>37</v>
      </c>
      <c r="X416" s="6">
        <v>1.1111111111111109</v>
      </c>
      <c r="Y416" s="6">
        <v>98.888888888888886</v>
      </c>
      <c r="Z416" t="s">
        <v>40</v>
      </c>
      <c r="AA416" t="s">
        <v>39</v>
      </c>
      <c r="AB416" t="s">
        <v>38</v>
      </c>
      <c r="AC416" s="8">
        <v>1.7600000000000001E-2</v>
      </c>
    </row>
    <row r="417" spans="1:29" x14ac:dyDescent="0.3">
      <c r="A417" s="7">
        <v>416</v>
      </c>
      <c r="B417" s="1">
        <v>40562</v>
      </c>
      <c r="C417" s="7">
        <v>1</v>
      </c>
      <c r="D417" s="7">
        <v>8</v>
      </c>
      <c r="E417" t="b">
        <v>0</v>
      </c>
      <c r="F417" s="7">
        <v>3</v>
      </c>
      <c r="G417" s="7">
        <v>2</v>
      </c>
      <c r="H417" s="6">
        <v>0.24</v>
      </c>
      <c r="I417" s="8">
        <v>0.2576</v>
      </c>
      <c r="J417" s="6">
        <v>0.93</v>
      </c>
      <c r="K417" s="8">
        <v>0.1045</v>
      </c>
      <c r="L417" s="7">
        <v>1</v>
      </c>
      <c r="M417" s="7">
        <v>196</v>
      </c>
      <c r="N417" s="7">
        <v>197</v>
      </c>
      <c r="O417" t="s">
        <v>29</v>
      </c>
      <c r="P417" t="s">
        <v>57</v>
      </c>
      <c r="Q417" t="s">
        <v>41</v>
      </c>
      <c r="R417" t="s">
        <v>42</v>
      </c>
      <c r="S417" t="s">
        <v>33</v>
      </c>
      <c r="T417" t="s">
        <v>34</v>
      </c>
      <c r="U417" t="s">
        <v>35</v>
      </c>
      <c r="V417" t="s">
        <v>36</v>
      </c>
      <c r="W417" t="s">
        <v>37</v>
      </c>
      <c r="X417" s="6">
        <v>0.50761421319796951</v>
      </c>
      <c r="Y417" s="6">
        <v>99.492385786802032</v>
      </c>
      <c r="Z417" t="s">
        <v>40</v>
      </c>
      <c r="AA417" t="s">
        <v>49</v>
      </c>
      <c r="AB417" t="s">
        <v>38</v>
      </c>
      <c r="AC417" s="8">
        <v>1.7600000000000001E-2</v>
      </c>
    </row>
    <row r="418" spans="1:29" x14ac:dyDescent="0.3">
      <c r="A418" s="7">
        <v>417</v>
      </c>
      <c r="B418" s="1">
        <v>40562</v>
      </c>
      <c r="C418" s="7">
        <v>1</v>
      </c>
      <c r="D418" s="7">
        <v>9</v>
      </c>
      <c r="E418" t="b">
        <v>0</v>
      </c>
      <c r="F418" s="7">
        <v>3</v>
      </c>
      <c r="G418" s="7">
        <v>2</v>
      </c>
      <c r="H418" s="6">
        <v>0.24</v>
      </c>
      <c r="I418" s="8">
        <v>0.2576</v>
      </c>
      <c r="J418" s="6">
        <v>0.93</v>
      </c>
      <c r="K418" s="8">
        <v>0.1045</v>
      </c>
      <c r="L418" s="7">
        <v>2</v>
      </c>
      <c r="M418" s="7">
        <v>107</v>
      </c>
      <c r="N418" s="7">
        <v>109</v>
      </c>
      <c r="O418" t="s">
        <v>29</v>
      </c>
      <c r="P418" t="s">
        <v>57</v>
      </c>
      <c r="Q418" t="s">
        <v>41</v>
      </c>
      <c r="R418" t="s">
        <v>42</v>
      </c>
      <c r="S418" t="s">
        <v>33</v>
      </c>
      <c r="T418" t="s">
        <v>34</v>
      </c>
      <c r="U418" t="s">
        <v>35</v>
      </c>
      <c r="V418" t="s">
        <v>36</v>
      </c>
      <c r="W418" t="s">
        <v>37</v>
      </c>
      <c r="X418" s="6">
        <v>1.834862385321101</v>
      </c>
      <c r="Y418" s="6">
        <v>98.165137614678898</v>
      </c>
      <c r="Z418" t="s">
        <v>40</v>
      </c>
      <c r="AA418" t="s">
        <v>49</v>
      </c>
      <c r="AB418" t="s">
        <v>38</v>
      </c>
      <c r="AC418" s="8">
        <v>1.7600000000000001E-2</v>
      </c>
    </row>
    <row r="419" spans="1:29" x14ac:dyDescent="0.3">
      <c r="A419" s="7">
        <v>418</v>
      </c>
      <c r="B419" s="1">
        <v>40562</v>
      </c>
      <c r="C419" s="7">
        <v>1</v>
      </c>
      <c r="D419" s="7">
        <v>10</v>
      </c>
      <c r="E419" t="b">
        <v>0</v>
      </c>
      <c r="F419" s="7">
        <v>3</v>
      </c>
      <c r="G419" s="7">
        <v>2</v>
      </c>
      <c r="H419" s="6">
        <v>0.26</v>
      </c>
      <c r="I419" s="8">
        <v>0.2727</v>
      </c>
      <c r="J419" s="6">
        <v>0.93</v>
      </c>
      <c r="K419" s="8">
        <v>0.1343</v>
      </c>
      <c r="L419" s="7">
        <v>1</v>
      </c>
      <c r="M419" s="7">
        <v>46</v>
      </c>
      <c r="N419" s="7">
        <v>47</v>
      </c>
      <c r="O419" t="s">
        <v>29</v>
      </c>
      <c r="P419" t="s">
        <v>57</v>
      </c>
      <c r="Q419" t="s">
        <v>41</v>
      </c>
      <c r="R419" t="s">
        <v>42</v>
      </c>
      <c r="S419" t="s">
        <v>44</v>
      </c>
      <c r="T419" t="s">
        <v>34</v>
      </c>
      <c r="U419" t="s">
        <v>35</v>
      </c>
      <c r="V419" t="s">
        <v>36</v>
      </c>
      <c r="W419" t="s">
        <v>37</v>
      </c>
      <c r="X419" s="6">
        <v>2.1276595744680851</v>
      </c>
      <c r="Y419" s="6">
        <v>97.872340425531917</v>
      </c>
      <c r="Z419" t="s">
        <v>38</v>
      </c>
      <c r="AA419" t="s">
        <v>39</v>
      </c>
      <c r="AB419" t="s">
        <v>38</v>
      </c>
      <c r="AC419" s="8">
        <v>1.2699999999999991E-2</v>
      </c>
    </row>
    <row r="420" spans="1:29" x14ac:dyDescent="0.3">
      <c r="A420" s="7">
        <v>419</v>
      </c>
      <c r="B420" s="1">
        <v>40562</v>
      </c>
      <c r="C420" s="7">
        <v>1</v>
      </c>
      <c r="D420" s="7">
        <v>11</v>
      </c>
      <c r="E420" t="b">
        <v>0</v>
      </c>
      <c r="F420" s="7">
        <v>3</v>
      </c>
      <c r="G420" s="7">
        <v>2</v>
      </c>
      <c r="H420" s="6">
        <v>0.28000000000000003</v>
      </c>
      <c r="I420" s="8">
        <v>0.30299999999999999</v>
      </c>
      <c r="J420" s="6">
        <v>0.87</v>
      </c>
      <c r="K420" s="8">
        <v>8.9599999999999999E-2</v>
      </c>
      <c r="L420" s="7">
        <v>5</v>
      </c>
      <c r="M420" s="7">
        <v>47</v>
      </c>
      <c r="N420" s="7">
        <v>52</v>
      </c>
      <c r="O420" t="s">
        <v>29</v>
      </c>
      <c r="P420" t="s">
        <v>57</v>
      </c>
      <c r="Q420" t="s">
        <v>41</v>
      </c>
      <c r="R420" t="s">
        <v>42</v>
      </c>
      <c r="S420" t="s">
        <v>44</v>
      </c>
      <c r="T420" t="s">
        <v>34</v>
      </c>
      <c r="U420" t="s">
        <v>35</v>
      </c>
      <c r="V420" t="s">
        <v>36</v>
      </c>
      <c r="W420" t="s">
        <v>37</v>
      </c>
      <c r="X420" s="6">
        <v>9.6153846153846168</v>
      </c>
      <c r="Y420" s="6">
        <v>90.384615384615387</v>
      </c>
      <c r="Z420" t="s">
        <v>38</v>
      </c>
      <c r="AA420" t="s">
        <v>39</v>
      </c>
      <c r="AB420" t="s">
        <v>38</v>
      </c>
      <c r="AC420" s="8">
        <v>2.2999999999999961E-2</v>
      </c>
    </row>
    <row r="421" spans="1:29" x14ac:dyDescent="0.3">
      <c r="A421" s="7">
        <v>420</v>
      </c>
      <c r="B421" s="1">
        <v>40562</v>
      </c>
      <c r="C421" s="7">
        <v>1</v>
      </c>
      <c r="D421" s="7">
        <v>12</v>
      </c>
      <c r="E421" t="b">
        <v>0</v>
      </c>
      <c r="F421" s="7">
        <v>3</v>
      </c>
      <c r="G421" s="7">
        <v>2</v>
      </c>
      <c r="H421" s="6">
        <v>0.3</v>
      </c>
      <c r="I421" s="8">
        <v>0.31819999999999998</v>
      </c>
      <c r="J421" s="6">
        <v>0.81</v>
      </c>
      <c r="K421" s="8">
        <v>8.9599999999999999E-2</v>
      </c>
      <c r="L421" s="7">
        <v>5</v>
      </c>
      <c r="M421" s="7">
        <v>65</v>
      </c>
      <c r="N421" s="7">
        <v>70</v>
      </c>
      <c r="O421" t="s">
        <v>29</v>
      </c>
      <c r="P421" t="s">
        <v>57</v>
      </c>
      <c r="Q421" t="s">
        <v>41</v>
      </c>
      <c r="R421" t="s">
        <v>47</v>
      </c>
      <c r="S421" t="s">
        <v>44</v>
      </c>
      <c r="T421" t="s">
        <v>34</v>
      </c>
      <c r="U421" t="s">
        <v>35</v>
      </c>
      <c r="V421" t="s">
        <v>36</v>
      </c>
      <c r="W421" t="s">
        <v>37</v>
      </c>
      <c r="X421" s="6">
        <v>7.1428571428571423</v>
      </c>
      <c r="Y421" s="6">
        <v>92.857142857142861</v>
      </c>
      <c r="Z421" t="s">
        <v>38</v>
      </c>
      <c r="AA421" t="s">
        <v>39</v>
      </c>
      <c r="AB421" t="s">
        <v>38</v>
      </c>
      <c r="AC421" s="8">
        <v>1.819999999999999E-2</v>
      </c>
    </row>
    <row r="422" spans="1:29" x14ac:dyDescent="0.3">
      <c r="A422" s="7">
        <v>421</v>
      </c>
      <c r="B422" s="1">
        <v>40562</v>
      </c>
      <c r="C422" s="7">
        <v>1</v>
      </c>
      <c r="D422" s="7">
        <v>13</v>
      </c>
      <c r="E422" t="b">
        <v>0</v>
      </c>
      <c r="F422" s="7">
        <v>3</v>
      </c>
      <c r="G422" s="7">
        <v>1</v>
      </c>
      <c r="H422" s="6">
        <v>0.4</v>
      </c>
      <c r="I422" s="8">
        <v>0.40910000000000002</v>
      </c>
      <c r="J422" s="6">
        <v>0.62</v>
      </c>
      <c r="K422" s="8">
        <v>0.28360000000000002</v>
      </c>
      <c r="L422" s="7">
        <v>11</v>
      </c>
      <c r="M422" s="7">
        <v>67</v>
      </c>
      <c r="N422" s="7">
        <v>78</v>
      </c>
      <c r="O422" t="s">
        <v>29</v>
      </c>
      <c r="P422" t="s">
        <v>57</v>
      </c>
      <c r="Q422" t="s">
        <v>31</v>
      </c>
      <c r="R422" t="s">
        <v>47</v>
      </c>
      <c r="S422" t="s">
        <v>45</v>
      </c>
      <c r="T422" t="s">
        <v>49</v>
      </c>
      <c r="U422" t="s">
        <v>46</v>
      </c>
      <c r="V422" t="s">
        <v>36</v>
      </c>
      <c r="W422" t="s">
        <v>37</v>
      </c>
      <c r="X422" s="6">
        <v>14.1025641025641</v>
      </c>
      <c r="Y422" s="6">
        <v>85.897435897435898</v>
      </c>
      <c r="Z422" t="s">
        <v>38</v>
      </c>
      <c r="AA422" t="s">
        <v>39</v>
      </c>
      <c r="AB422" t="s">
        <v>38</v>
      </c>
      <c r="AC422" s="8">
        <v>9.099999999999997E-3</v>
      </c>
    </row>
    <row r="423" spans="1:29" x14ac:dyDescent="0.3">
      <c r="A423" s="7">
        <v>422</v>
      </c>
      <c r="B423" s="1">
        <v>40562</v>
      </c>
      <c r="C423" s="7">
        <v>1</v>
      </c>
      <c r="D423" s="7">
        <v>14</v>
      </c>
      <c r="E423" t="b">
        <v>0</v>
      </c>
      <c r="F423" s="7">
        <v>3</v>
      </c>
      <c r="G423" s="7">
        <v>1</v>
      </c>
      <c r="H423" s="6">
        <v>0.4</v>
      </c>
      <c r="I423" s="8">
        <v>0.40910000000000002</v>
      </c>
      <c r="J423" s="6">
        <v>0.57999999999999996</v>
      </c>
      <c r="K423" s="8">
        <v>0.25369999999999998</v>
      </c>
      <c r="L423" s="7">
        <v>7</v>
      </c>
      <c r="M423" s="7">
        <v>68</v>
      </c>
      <c r="N423" s="7">
        <v>75</v>
      </c>
      <c r="O423" t="s">
        <v>29</v>
      </c>
      <c r="P423" t="s">
        <v>57</v>
      </c>
      <c r="Q423" t="s">
        <v>31</v>
      </c>
      <c r="R423" t="s">
        <v>47</v>
      </c>
      <c r="S423" t="s">
        <v>45</v>
      </c>
      <c r="T423" t="s">
        <v>49</v>
      </c>
      <c r="U423" t="s">
        <v>46</v>
      </c>
      <c r="V423" t="s">
        <v>36</v>
      </c>
      <c r="W423" t="s">
        <v>37</v>
      </c>
      <c r="X423" s="6">
        <v>9.3333333333333339</v>
      </c>
      <c r="Y423" s="6">
        <v>90.666666666666657</v>
      </c>
      <c r="Z423" t="s">
        <v>38</v>
      </c>
      <c r="AA423" t="s">
        <v>39</v>
      </c>
      <c r="AB423" t="s">
        <v>38</v>
      </c>
      <c r="AC423" s="8">
        <v>9.099999999999997E-3</v>
      </c>
    </row>
    <row r="424" spans="1:29" x14ac:dyDescent="0.3">
      <c r="A424" s="7">
        <v>423</v>
      </c>
      <c r="B424" s="1">
        <v>40562</v>
      </c>
      <c r="C424" s="7">
        <v>1</v>
      </c>
      <c r="D424" s="7">
        <v>15</v>
      </c>
      <c r="E424" t="b">
        <v>0</v>
      </c>
      <c r="F424" s="7">
        <v>3</v>
      </c>
      <c r="G424" s="7">
        <v>1</v>
      </c>
      <c r="H424" s="6">
        <v>0.4</v>
      </c>
      <c r="I424" s="8">
        <v>0.40910000000000002</v>
      </c>
      <c r="J424" s="6">
        <v>0.54</v>
      </c>
      <c r="K424" s="8">
        <v>0.28360000000000002</v>
      </c>
      <c r="L424" s="7">
        <v>4</v>
      </c>
      <c r="M424" s="7">
        <v>78</v>
      </c>
      <c r="N424" s="7">
        <v>82</v>
      </c>
      <c r="O424" t="s">
        <v>29</v>
      </c>
      <c r="P424" t="s">
        <v>57</v>
      </c>
      <c r="Q424" t="s">
        <v>31</v>
      </c>
      <c r="R424" t="s">
        <v>47</v>
      </c>
      <c r="S424" t="s">
        <v>45</v>
      </c>
      <c r="T424" t="s">
        <v>49</v>
      </c>
      <c r="U424" t="s">
        <v>46</v>
      </c>
      <c r="V424" t="s">
        <v>36</v>
      </c>
      <c r="W424" t="s">
        <v>37</v>
      </c>
      <c r="X424" s="6">
        <v>4.8780487804878048</v>
      </c>
      <c r="Y424" s="6">
        <v>95.121951219512198</v>
      </c>
      <c r="Z424" t="s">
        <v>38</v>
      </c>
      <c r="AA424" t="s">
        <v>39</v>
      </c>
      <c r="AB424" t="s">
        <v>38</v>
      </c>
      <c r="AC424" s="8">
        <v>9.099999999999997E-3</v>
      </c>
    </row>
    <row r="425" spans="1:29" x14ac:dyDescent="0.3">
      <c r="A425" s="7">
        <v>424</v>
      </c>
      <c r="B425" s="1">
        <v>40562</v>
      </c>
      <c r="C425" s="7">
        <v>1</v>
      </c>
      <c r="D425" s="7">
        <v>16</v>
      </c>
      <c r="E425" t="b">
        <v>0</v>
      </c>
      <c r="F425" s="7">
        <v>3</v>
      </c>
      <c r="G425" s="7">
        <v>1</v>
      </c>
      <c r="H425" s="6">
        <v>0.38</v>
      </c>
      <c r="I425" s="8">
        <v>0.39389999999999997</v>
      </c>
      <c r="J425" s="6">
        <v>0.57999999999999996</v>
      </c>
      <c r="K425" s="8">
        <v>0.3881</v>
      </c>
      <c r="L425" s="7">
        <v>10</v>
      </c>
      <c r="M425" s="7">
        <v>94</v>
      </c>
      <c r="N425" s="7">
        <v>104</v>
      </c>
      <c r="O425" t="s">
        <v>29</v>
      </c>
      <c r="P425" t="s">
        <v>57</v>
      </c>
      <c r="Q425" t="s">
        <v>31</v>
      </c>
      <c r="R425" t="s">
        <v>47</v>
      </c>
      <c r="S425" t="s">
        <v>45</v>
      </c>
      <c r="T425" t="s">
        <v>49</v>
      </c>
      <c r="U425" t="s">
        <v>53</v>
      </c>
      <c r="V425" t="s">
        <v>36</v>
      </c>
      <c r="W425" t="s">
        <v>37</v>
      </c>
      <c r="X425" s="6">
        <v>9.6153846153846168</v>
      </c>
      <c r="Y425" s="6">
        <v>90.384615384615387</v>
      </c>
      <c r="Z425" t="s">
        <v>38</v>
      </c>
      <c r="AA425" t="s">
        <v>49</v>
      </c>
      <c r="AB425" t="s">
        <v>38</v>
      </c>
      <c r="AC425" s="8">
        <v>1.389999999999997E-2</v>
      </c>
    </row>
    <row r="426" spans="1:29" x14ac:dyDescent="0.3">
      <c r="A426" s="7">
        <v>425</v>
      </c>
      <c r="B426" s="1">
        <v>40562</v>
      </c>
      <c r="C426" s="7">
        <v>1</v>
      </c>
      <c r="D426" s="7">
        <v>17</v>
      </c>
      <c r="E426" t="b">
        <v>0</v>
      </c>
      <c r="F426" s="7">
        <v>3</v>
      </c>
      <c r="G426" s="7">
        <v>1</v>
      </c>
      <c r="H426" s="6">
        <v>0.36</v>
      </c>
      <c r="I426" s="8">
        <v>0.33329999999999999</v>
      </c>
      <c r="J426" s="6">
        <v>0.56999999999999995</v>
      </c>
      <c r="K426" s="8">
        <v>0.32840000000000003</v>
      </c>
      <c r="L426" s="7">
        <v>7</v>
      </c>
      <c r="M426" s="7">
        <v>190</v>
      </c>
      <c r="N426" s="7">
        <v>197</v>
      </c>
      <c r="O426" t="s">
        <v>29</v>
      </c>
      <c r="P426" t="s">
        <v>57</v>
      </c>
      <c r="Q426" t="s">
        <v>31</v>
      </c>
      <c r="R426" t="s">
        <v>50</v>
      </c>
      <c r="S426" t="s">
        <v>45</v>
      </c>
      <c r="T426" t="s">
        <v>49</v>
      </c>
      <c r="U426" t="s">
        <v>53</v>
      </c>
      <c r="V426" t="s">
        <v>36</v>
      </c>
      <c r="W426" t="s">
        <v>37</v>
      </c>
      <c r="X426" s="6">
        <v>3.5532994923857868</v>
      </c>
      <c r="Y426" s="6">
        <v>96.44670050761421</v>
      </c>
      <c r="Z426" t="s">
        <v>40</v>
      </c>
      <c r="AA426" t="s">
        <v>49</v>
      </c>
      <c r="AB426" t="s">
        <v>38</v>
      </c>
      <c r="AC426" s="8">
        <v>-2.6700000000000002E-2</v>
      </c>
    </row>
    <row r="427" spans="1:29" x14ac:dyDescent="0.3">
      <c r="A427" s="7">
        <v>426</v>
      </c>
      <c r="B427" s="1">
        <v>40562</v>
      </c>
      <c r="C427" s="7">
        <v>1</v>
      </c>
      <c r="D427" s="7">
        <v>18</v>
      </c>
      <c r="E427" t="b">
        <v>0</v>
      </c>
      <c r="F427" s="7">
        <v>3</v>
      </c>
      <c r="G427" s="7">
        <v>1</v>
      </c>
      <c r="H427" s="6">
        <v>0.34</v>
      </c>
      <c r="I427" s="8">
        <v>0.31819999999999998</v>
      </c>
      <c r="J427" s="6">
        <v>0.61</v>
      </c>
      <c r="K427" s="8">
        <v>0.28360000000000002</v>
      </c>
      <c r="L427" s="7">
        <v>5</v>
      </c>
      <c r="M427" s="7">
        <v>156</v>
      </c>
      <c r="N427" s="7">
        <v>161</v>
      </c>
      <c r="O427" t="s">
        <v>29</v>
      </c>
      <c r="P427" t="s">
        <v>57</v>
      </c>
      <c r="Q427" t="s">
        <v>31</v>
      </c>
      <c r="R427" t="s">
        <v>50</v>
      </c>
      <c r="S427" t="s">
        <v>44</v>
      </c>
      <c r="T427" t="s">
        <v>49</v>
      </c>
      <c r="U427" t="s">
        <v>46</v>
      </c>
      <c r="V427" t="s">
        <v>36</v>
      </c>
      <c r="W427" t="s">
        <v>37</v>
      </c>
      <c r="X427" s="6">
        <v>3.1055900621118009</v>
      </c>
      <c r="Y427" s="6">
        <v>96.894409937888199</v>
      </c>
      <c r="Z427" t="s">
        <v>40</v>
      </c>
      <c r="AA427" t="s">
        <v>49</v>
      </c>
      <c r="AB427" t="s">
        <v>38</v>
      </c>
      <c r="AC427" s="8">
        <v>-2.1800000000000042E-2</v>
      </c>
    </row>
    <row r="428" spans="1:29" x14ac:dyDescent="0.3">
      <c r="A428" s="7">
        <v>427</v>
      </c>
      <c r="B428" s="1">
        <v>40562</v>
      </c>
      <c r="C428" s="7">
        <v>1</v>
      </c>
      <c r="D428" s="7">
        <v>19</v>
      </c>
      <c r="E428" t="b">
        <v>0</v>
      </c>
      <c r="F428" s="7">
        <v>3</v>
      </c>
      <c r="G428" s="7">
        <v>1</v>
      </c>
      <c r="H428" s="6">
        <v>0.32</v>
      </c>
      <c r="I428" s="8">
        <v>0.28789999999999999</v>
      </c>
      <c r="J428" s="6">
        <v>0.56999999999999995</v>
      </c>
      <c r="K428" s="8">
        <v>0.41789999999999999</v>
      </c>
      <c r="L428" s="7">
        <v>4</v>
      </c>
      <c r="M428" s="7">
        <v>108</v>
      </c>
      <c r="N428" s="7">
        <v>112</v>
      </c>
      <c r="O428" t="s">
        <v>29</v>
      </c>
      <c r="P428" t="s">
        <v>57</v>
      </c>
      <c r="Q428" t="s">
        <v>31</v>
      </c>
      <c r="R428" t="s">
        <v>50</v>
      </c>
      <c r="S428" t="s">
        <v>44</v>
      </c>
      <c r="T428" t="s">
        <v>49</v>
      </c>
      <c r="U428" t="s">
        <v>53</v>
      </c>
      <c r="V428" t="s">
        <v>36</v>
      </c>
      <c r="W428" t="s">
        <v>37</v>
      </c>
      <c r="X428" s="6">
        <v>3.5714285714285712</v>
      </c>
      <c r="Y428" s="6">
        <v>96.428571428571431</v>
      </c>
      <c r="Z428" t="s">
        <v>40</v>
      </c>
      <c r="AA428" t="s">
        <v>49</v>
      </c>
      <c r="AB428" t="s">
        <v>38</v>
      </c>
      <c r="AC428" s="8">
        <v>-3.2100000000000017E-2</v>
      </c>
    </row>
    <row r="429" spans="1:29" x14ac:dyDescent="0.3">
      <c r="A429" s="7">
        <v>428</v>
      </c>
      <c r="B429" s="1">
        <v>40562</v>
      </c>
      <c r="C429" s="7">
        <v>1</v>
      </c>
      <c r="D429" s="7">
        <v>20</v>
      </c>
      <c r="E429" t="b">
        <v>0</v>
      </c>
      <c r="F429" s="7">
        <v>3</v>
      </c>
      <c r="G429" s="7">
        <v>1</v>
      </c>
      <c r="H429" s="6">
        <v>0.32</v>
      </c>
      <c r="I429" s="8">
        <v>0.30299999999999999</v>
      </c>
      <c r="J429" s="6">
        <v>0.49</v>
      </c>
      <c r="K429" s="8">
        <v>0.29849999999999999</v>
      </c>
      <c r="L429" s="7">
        <v>2</v>
      </c>
      <c r="M429" s="7">
        <v>74</v>
      </c>
      <c r="N429" s="7">
        <v>76</v>
      </c>
      <c r="O429" t="s">
        <v>29</v>
      </c>
      <c r="P429" t="s">
        <v>57</v>
      </c>
      <c r="Q429" t="s">
        <v>31</v>
      </c>
      <c r="R429" t="s">
        <v>50</v>
      </c>
      <c r="S429" t="s">
        <v>44</v>
      </c>
      <c r="T429" t="s">
        <v>49</v>
      </c>
      <c r="U429" t="s">
        <v>46</v>
      </c>
      <c r="V429" t="s">
        <v>36</v>
      </c>
      <c r="W429" t="s">
        <v>37</v>
      </c>
      <c r="X429" s="6">
        <v>2.6315789473684208</v>
      </c>
      <c r="Y429" s="6">
        <v>97.368421052631575</v>
      </c>
      <c r="Z429" t="s">
        <v>38</v>
      </c>
      <c r="AA429" t="s">
        <v>39</v>
      </c>
      <c r="AB429" t="s">
        <v>38</v>
      </c>
      <c r="AC429" s="8">
        <v>-1.7000000000000019E-2</v>
      </c>
    </row>
    <row r="430" spans="1:29" x14ac:dyDescent="0.3">
      <c r="A430" s="7">
        <v>429</v>
      </c>
      <c r="B430" s="1">
        <v>40562</v>
      </c>
      <c r="C430" s="7">
        <v>1</v>
      </c>
      <c r="D430" s="7">
        <v>21</v>
      </c>
      <c r="E430" t="b">
        <v>0</v>
      </c>
      <c r="F430" s="7">
        <v>3</v>
      </c>
      <c r="G430" s="7">
        <v>1</v>
      </c>
      <c r="H430" s="6">
        <v>0.32</v>
      </c>
      <c r="I430" s="8">
        <v>0.28789999999999999</v>
      </c>
      <c r="J430" s="6">
        <v>0.49</v>
      </c>
      <c r="K430" s="8">
        <v>0.41789999999999999</v>
      </c>
      <c r="L430" s="7">
        <v>4</v>
      </c>
      <c r="M430" s="7">
        <v>55</v>
      </c>
      <c r="N430" s="7">
        <v>59</v>
      </c>
      <c r="O430" t="s">
        <v>29</v>
      </c>
      <c r="P430" t="s">
        <v>57</v>
      </c>
      <c r="Q430" t="s">
        <v>31</v>
      </c>
      <c r="R430" t="s">
        <v>32</v>
      </c>
      <c r="S430" t="s">
        <v>44</v>
      </c>
      <c r="T430" t="s">
        <v>49</v>
      </c>
      <c r="U430" t="s">
        <v>53</v>
      </c>
      <c r="V430" t="s">
        <v>36</v>
      </c>
      <c r="W430" t="s">
        <v>37</v>
      </c>
      <c r="X430" s="6">
        <v>6.7796610169491522</v>
      </c>
      <c r="Y430" s="6">
        <v>93.220338983050837</v>
      </c>
      <c r="Z430" t="s">
        <v>38</v>
      </c>
      <c r="AA430" t="s">
        <v>39</v>
      </c>
      <c r="AB430" t="s">
        <v>38</v>
      </c>
      <c r="AC430" s="8">
        <v>-3.2100000000000017E-2</v>
      </c>
    </row>
    <row r="431" spans="1:29" x14ac:dyDescent="0.3">
      <c r="A431" s="7">
        <v>430</v>
      </c>
      <c r="B431" s="1">
        <v>40562</v>
      </c>
      <c r="C431" s="7">
        <v>1</v>
      </c>
      <c r="D431" s="7">
        <v>22</v>
      </c>
      <c r="E431" t="b">
        <v>0</v>
      </c>
      <c r="F431" s="7">
        <v>3</v>
      </c>
      <c r="G431" s="7">
        <v>1</v>
      </c>
      <c r="H431" s="6">
        <v>0.3</v>
      </c>
      <c r="I431" s="8">
        <v>0.30299999999999999</v>
      </c>
      <c r="J431" s="6">
        <v>0.52</v>
      </c>
      <c r="K431" s="8">
        <v>0.16420000000000001</v>
      </c>
      <c r="L431" s="7">
        <v>6</v>
      </c>
      <c r="M431" s="7">
        <v>53</v>
      </c>
      <c r="N431" s="7">
        <v>59</v>
      </c>
      <c r="O431" t="s">
        <v>29</v>
      </c>
      <c r="P431" t="s">
        <v>57</v>
      </c>
      <c r="Q431" t="s">
        <v>31</v>
      </c>
      <c r="R431" t="s">
        <v>32</v>
      </c>
      <c r="S431" t="s">
        <v>44</v>
      </c>
      <c r="T431" t="s">
        <v>49</v>
      </c>
      <c r="U431" t="s">
        <v>46</v>
      </c>
      <c r="V431" t="s">
        <v>36</v>
      </c>
      <c r="W431" t="s">
        <v>37</v>
      </c>
      <c r="X431" s="6">
        <v>10.16949152542373</v>
      </c>
      <c r="Y431" s="6">
        <v>89.830508474576277</v>
      </c>
      <c r="Z431" t="s">
        <v>38</v>
      </c>
      <c r="AA431" t="s">
        <v>39</v>
      </c>
      <c r="AB431" t="s">
        <v>38</v>
      </c>
      <c r="AC431" s="8">
        <v>3.0000000000000031E-3</v>
      </c>
    </row>
    <row r="432" spans="1:29" x14ac:dyDescent="0.3">
      <c r="A432" s="7">
        <v>431</v>
      </c>
      <c r="B432" s="1">
        <v>40562</v>
      </c>
      <c r="C432" s="7">
        <v>1</v>
      </c>
      <c r="D432" s="7">
        <v>23</v>
      </c>
      <c r="E432" t="b">
        <v>0</v>
      </c>
      <c r="F432" s="7">
        <v>3</v>
      </c>
      <c r="G432" s="7">
        <v>1</v>
      </c>
      <c r="H432" s="6">
        <v>0.3</v>
      </c>
      <c r="I432" s="8">
        <v>0.2727</v>
      </c>
      <c r="J432" s="6">
        <v>0.52</v>
      </c>
      <c r="K432" s="8">
        <v>0.4627</v>
      </c>
      <c r="L432" s="7">
        <v>1</v>
      </c>
      <c r="M432" s="7">
        <v>27</v>
      </c>
      <c r="N432" s="7">
        <v>28</v>
      </c>
      <c r="O432" t="s">
        <v>29</v>
      </c>
      <c r="P432" t="s">
        <v>57</v>
      </c>
      <c r="Q432" t="s">
        <v>31</v>
      </c>
      <c r="R432" t="s">
        <v>32</v>
      </c>
      <c r="S432" t="s">
        <v>44</v>
      </c>
      <c r="T432" t="s">
        <v>49</v>
      </c>
      <c r="U432" t="s">
        <v>53</v>
      </c>
      <c r="V432" t="s">
        <v>36</v>
      </c>
      <c r="W432" t="s">
        <v>37</v>
      </c>
      <c r="X432" s="6">
        <v>3.5714285714285712</v>
      </c>
      <c r="Y432" s="6">
        <v>96.428571428571431</v>
      </c>
      <c r="Z432" t="s">
        <v>38</v>
      </c>
      <c r="AA432" t="s">
        <v>39</v>
      </c>
      <c r="AB432" t="s">
        <v>38</v>
      </c>
      <c r="AC432" s="8">
        <v>-2.7299999999999991E-2</v>
      </c>
    </row>
    <row r="433" spans="1:29" x14ac:dyDescent="0.3">
      <c r="A433" s="7">
        <v>432</v>
      </c>
      <c r="B433" s="1">
        <v>40563</v>
      </c>
      <c r="C433" s="7">
        <v>1</v>
      </c>
      <c r="D433" s="7">
        <v>0</v>
      </c>
      <c r="E433" t="b">
        <v>0</v>
      </c>
      <c r="F433" s="7">
        <v>4</v>
      </c>
      <c r="G433" s="7">
        <v>1</v>
      </c>
      <c r="H433" s="6">
        <v>0.26</v>
      </c>
      <c r="I433" s="8">
        <v>0.2273</v>
      </c>
      <c r="J433" s="6">
        <v>0.56000000000000005</v>
      </c>
      <c r="K433" s="8">
        <v>0.3881</v>
      </c>
      <c r="L433" s="7">
        <v>5</v>
      </c>
      <c r="M433" s="7">
        <v>8</v>
      </c>
      <c r="N433" s="7">
        <v>13</v>
      </c>
      <c r="O433" t="s">
        <v>29</v>
      </c>
      <c r="P433" t="s">
        <v>58</v>
      </c>
      <c r="Q433" t="s">
        <v>31</v>
      </c>
      <c r="R433" t="s">
        <v>32</v>
      </c>
      <c r="S433" t="s">
        <v>44</v>
      </c>
      <c r="T433" t="s">
        <v>49</v>
      </c>
      <c r="U433" t="s">
        <v>53</v>
      </c>
      <c r="V433" t="s">
        <v>36</v>
      </c>
      <c r="W433" t="s">
        <v>37</v>
      </c>
      <c r="X433" s="6">
        <v>38.461538461538467</v>
      </c>
      <c r="Y433" s="6">
        <v>61.53846153846154</v>
      </c>
      <c r="Z433" t="s">
        <v>38</v>
      </c>
      <c r="AA433" t="s">
        <v>39</v>
      </c>
      <c r="AB433" t="s">
        <v>38</v>
      </c>
      <c r="AC433" s="8">
        <v>-3.2700000000000007E-2</v>
      </c>
    </row>
    <row r="434" spans="1:29" x14ac:dyDescent="0.3">
      <c r="A434" s="7">
        <v>433</v>
      </c>
      <c r="B434" s="1">
        <v>40563</v>
      </c>
      <c r="C434" s="7">
        <v>1</v>
      </c>
      <c r="D434" s="7">
        <v>1</v>
      </c>
      <c r="E434" t="b">
        <v>0</v>
      </c>
      <c r="F434" s="7">
        <v>4</v>
      </c>
      <c r="G434" s="7">
        <v>1</v>
      </c>
      <c r="H434" s="6">
        <v>0.26</v>
      </c>
      <c r="I434" s="8">
        <v>0.2727</v>
      </c>
      <c r="J434" s="6">
        <v>0.56000000000000005</v>
      </c>
      <c r="K434" s="8">
        <v>0</v>
      </c>
      <c r="L434" s="7">
        <v>2</v>
      </c>
      <c r="M434" s="7">
        <v>3</v>
      </c>
      <c r="N434" s="7">
        <v>5</v>
      </c>
      <c r="O434" t="s">
        <v>29</v>
      </c>
      <c r="P434" t="s">
        <v>58</v>
      </c>
      <c r="Q434" t="s">
        <v>31</v>
      </c>
      <c r="R434" t="s">
        <v>32</v>
      </c>
      <c r="S434" t="s">
        <v>44</v>
      </c>
      <c r="T434" t="s">
        <v>49</v>
      </c>
      <c r="U434" t="s">
        <v>35</v>
      </c>
      <c r="V434" t="s">
        <v>36</v>
      </c>
      <c r="W434" t="s">
        <v>37</v>
      </c>
      <c r="X434" s="6">
        <v>40</v>
      </c>
      <c r="Y434" s="6">
        <v>60</v>
      </c>
      <c r="Z434" t="s">
        <v>38</v>
      </c>
      <c r="AA434" t="s">
        <v>39</v>
      </c>
      <c r="AB434" t="s">
        <v>38</v>
      </c>
      <c r="AC434" s="8">
        <v>1.2699999999999991E-2</v>
      </c>
    </row>
    <row r="435" spans="1:29" x14ac:dyDescent="0.3">
      <c r="A435" s="7">
        <v>434</v>
      </c>
      <c r="B435" s="1">
        <v>40563</v>
      </c>
      <c r="C435" s="7">
        <v>1</v>
      </c>
      <c r="D435" s="7">
        <v>2</v>
      </c>
      <c r="E435" t="b">
        <v>0</v>
      </c>
      <c r="F435" s="7">
        <v>4</v>
      </c>
      <c r="G435" s="7">
        <v>1</v>
      </c>
      <c r="H435" s="6">
        <v>0.26</v>
      </c>
      <c r="I435" s="8">
        <v>0.2727</v>
      </c>
      <c r="J435" s="6">
        <v>0.56000000000000005</v>
      </c>
      <c r="K435" s="8">
        <v>0</v>
      </c>
      <c r="L435" s="7">
        <v>0</v>
      </c>
      <c r="M435" s="7">
        <v>2</v>
      </c>
      <c r="N435" s="7">
        <v>2</v>
      </c>
      <c r="O435" t="s">
        <v>29</v>
      </c>
      <c r="P435" t="s">
        <v>58</v>
      </c>
      <c r="Q435" t="s">
        <v>31</v>
      </c>
      <c r="R435" t="s">
        <v>32</v>
      </c>
      <c r="S435" t="s">
        <v>44</v>
      </c>
      <c r="T435" t="s">
        <v>49</v>
      </c>
      <c r="U435" t="s">
        <v>35</v>
      </c>
      <c r="V435" t="s">
        <v>36</v>
      </c>
      <c r="W435" t="s">
        <v>37</v>
      </c>
      <c r="X435" s="6">
        <v>0</v>
      </c>
      <c r="Y435" s="6">
        <v>100</v>
      </c>
      <c r="Z435" t="s">
        <v>38</v>
      </c>
      <c r="AA435" t="s">
        <v>39</v>
      </c>
      <c r="AB435" t="s">
        <v>38</v>
      </c>
      <c r="AC435" s="8">
        <v>1.2699999999999991E-2</v>
      </c>
    </row>
    <row r="436" spans="1:29" x14ac:dyDescent="0.3">
      <c r="A436" s="7">
        <v>435</v>
      </c>
      <c r="B436" s="1">
        <v>40563</v>
      </c>
      <c r="C436" s="7">
        <v>1</v>
      </c>
      <c r="D436" s="7">
        <v>3</v>
      </c>
      <c r="E436" t="b">
        <v>0</v>
      </c>
      <c r="F436" s="7">
        <v>4</v>
      </c>
      <c r="G436" s="7">
        <v>1</v>
      </c>
      <c r="H436" s="6">
        <v>0.26</v>
      </c>
      <c r="I436" s="8">
        <v>0.2576</v>
      </c>
      <c r="J436" s="6">
        <v>0.56000000000000005</v>
      </c>
      <c r="K436" s="8">
        <v>0.16420000000000001</v>
      </c>
      <c r="L436" s="7">
        <v>0</v>
      </c>
      <c r="M436" s="7">
        <v>1</v>
      </c>
      <c r="N436" s="7">
        <v>1</v>
      </c>
      <c r="O436" t="s">
        <v>29</v>
      </c>
      <c r="P436" t="s">
        <v>58</v>
      </c>
      <c r="Q436" t="s">
        <v>31</v>
      </c>
      <c r="R436" t="s">
        <v>32</v>
      </c>
      <c r="S436" t="s">
        <v>44</v>
      </c>
      <c r="T436" t="s">
        <v>49</v>
      </c>
      <c r="U436" t="s">
        <v>46</v>
      </c>
      <c r="V436" t="s">
        <v>36</v>
      </c>
      <c r="W436" t="s">
        <v>37</v>
      </c>
      <c r="X436" s="6">
        <v>0</v>
      </c>
      <c r="Y436" s="6">
        <v>100</v>
      </c>
      <c r="Z436" t="s">
        <v>38</v>
      </c>
      <c r="AA436" t="s">
        <v>39</v>
      </c>
      <c r="AB436" t="s">
        <v>38</v>
      </c>
      <c r="AC436" s="8">
        <v>-2.4000000000000128E-3</v>
      </c>
    </row>
    <row r="437" spans="1:29" x14ac:dyDescent="0.3">
      <c r="A437" s="7">
        <v>436</v>
      </c>
      <c r="B437" s="1">
        <v>40563</v>
      </c>
      <c r="C437" s="7">
        <v>1</v>
      </c>
      <c r="D437" s="7">
        <v>4</v>
      </c>
      <c r="E437" t="b">
        <v>0</v>
      </c>
      <c r="F437" s="7">
        <v>4</v>
      </c>
      <c r="G437" s="7">
        <v>1</v>
      </c>
      <c r="H437" s="6">
        <v>0.26</v>
      </c>
      <c r="I437" s="8">
        <v>0.2576</v>
      </c>
      <c r="J437" s="6">
        <v>0.56000000000000005</v>
      </c>
      <c r="K437" s="8">
        <v>0.16420000000000001</v>
      </c>
      <c r="L437" s="7">
        <v>0</v>
      </c>
      <c r="M437" s="7">
        <v>1</v>
      </c>
      <c r="N437" s="7">
        <v>1</v>
      </c>
      <c r="O437" t="s">
        <v>29</v>
      </c>
      <c r="P437" t="s">
        <v>58</v>
      </c>
      <c r="Q437" t="s">
        <v>31</v>
      </c>
      <c r="R437" t="s">
        <v>32</v>
      </c>
      <c r="S437" t="s">
        <v>44</v>
      </c>
      <c r="T437" t="s">
        <v>49</v>
      </c>
      <c r="U437" t="s">
        <v>46</v>
      </c>
      <c r="V437" t="s">
        <v>36</v>
      </c>
      <c r="W437" t="s">
        <v>37</v>
      </c>
      <c r="X437" s="6">
        <v>0</v>
      </c>
      <c r="Y437" s="6">
        <v>100</v>
      </c>
      <c r="Z437" t="s">
        <v>38</v>
      </c>
      <c r="AA437" t="s">
        <v>39</v>
      </c>
      <c r="AB437" t="s">
        <v>38</v>
      </c>
      <c r="AC437" s="8">
        <v>-2.4000000000000128E-3</v>
      </c>
    </row>
    <row r="438" spans="1:29" x14ac:dyDescent="0.3">
      <c r="A438" s="7">
        <v>437</v>
      </c>
      <c r="B438" s="1">
        <v>40563</v>
      </c>
      <c r="C438" s="7">
        <v>1</v>
      </c>
      <c r="D438" s="7">
        <v>5</v>
      </c>
      <c r="E438" t="b">
        <v>0</v>
      </c>
      <c r="F438" s="7">
        <v>4</v>
      </c>
      <c r="G438" s="7">
        <v>1</v>
      </c>
      <c r="H438" s="6">
        <v>0.24</v>
      </c>
      <c r="I438" s="8">
        <v>0.2273</v>
      </c>
      <c r="J438" s="6">
        <v>0.6</v>
      </c>
      <c r="K438" s="8">
        <v>0.22389999999999999</v>
      </c>
      <c r="L438" s="7">
        <v>0</v>
      </c>
      <c r="M438" s="7">
        <v>6</v>
      </c>
      <c r="N438" s="7">
        <v>6</v>
      </c>
      <c r="O438" t="s">
        <v>29</v>
      </c>
      <c r="P438" t="s">
        <v>58</v>
      </c>
      <c r="Q438" t="s">
        <v>31</v>
      </c>
      <c r="R438" t="s">
        <v>32</v>
      </c>
      <c r="S438" t="s">
        <v>33</v>
      </c>
      <c r="T438" t="s">
        <v>49</v>
      </c>
      <c r="U438" t="s">
        <v>46</v>
      </c>
      <c r="V438" t="s">
        <v>36</v>
      </c>
      <c r="W438" t="s">
        <v>37</v>
      </c>
      <c r="X438" s="6">
        <v>0</v>
      </c>
      <c r="Y438" s="6">
        <v>100</v>
      </c>
      <c r="Z438" t="s">
        <v>38</v>
      </c>
      <c r="AA438" t="s">
        <v>39</v>
      </c>
      <c r="AB438" t="s">
        <v>38</v>
      </c>
      <c r="AC438" s="8">
        <v>-1.2699999999999991E-2</v>
      </c>
    </row>
    <row r="439" spans="1:29" x14ac:dyDescent="0.3">
      <c r="A439" s="7">
        <v>438</v>
      </c>
      <c r="B439" s="1">
        <v>40563</v>
      </c>
      <c r="C439" s="7">
        <v>1</v>
      </c>
      <c r="D439" s="7">
        <v>6</v>
      </c>
      <c r="E439" t="b">
        <v>0</v>
      </c>
      <c r="F439" s="7">
        <v>4</v>
      </c>
      <c r="G439" s="7">
        <v>1</v>
      </c>
      <c r="H439" s="6">
        <v>0.22</v>
      </c>
      <c r="I439" s="8">
        <v>0.21210000000000001</v>
      </c>
      <c r="J439" s="6">
        <v>0.6</v>
      </c>
      <c r="K439" s="8">
        <v>0.22389999999999999</v>
      </c>
      <c r="L439" s="7">
        <v>0</v>
      </c>
      <c r="M439" s="7">
        <v>35</v>
      </c>
      <c r="N439" s="7">
        <v>35</v>
      </c>
      <c r="O439" t="s">
        <v>29</v>
      </c>
      <c r="P439" t="s">
        <v>58</v>
      </c>
      <c r="Q439" t="s">
        <v>31</v>
      </c>
      <c r="R439" t="s">
        <v>42</v>
      </c>
      <c r="S439" t="s">
        <v>33</v>
      </c>
      <c r="T439" t="s">
        <v>49</v>
      </c>
      <c r="U439" t="s">
        <v>46</v>
      </c>
      <c r="V439" t="s">
        <v>36</v>
      </c>
      <c r="W439" t="s">
        <v>37</v>
      </c>
      <c r="X439" s="6">
        <v>0</v>
      </c>
      <c r="Y439" s="6">
        <v>100</v>
      </c>
      <c r="Z439" t="s">
        <v>38</v>
      </c>
      <c r="AA439" t="s">
        <v>39</v>
      </c>
      <c r="AB439" t="s">
        <v>38</v>
      </c>
      <c r="AC439" s="8">
        <v>-7.8999999999999904E-3</v>
      </c>
    </row>
    <row r="440" spans="1:29" x14ac:dyDescent="0.3">
      <c r="A440" s="7">
        <v>439</v>
      </c>
      <c r="B440" s="1">
        <v>40563</v>
      </c>
      <c r="C440" s="7">
        <v>1</v>
      </c>
      <c r="D440" s="7">
        <v>7</v>
      </c>
      <c r="E440" t="b">
        <v>0</v>
      </c>
      <c r="F440" s="7">
        <v>4</v>
      </c>
      <c r="G440" s="7">
        <v>1</v>
      </c>
      <c r="H440" s="6">
        <v>0.22</v>
      </c>
      <c r="I440" s="8">
        <v>0.21210000000000001</v>
      </c>
      <c r="J440" s="6">
        <v>0.55000000000000004</v>
      </c>
      <c r="K440" s="8">
        <v>0.22389999999999999</v>
      </c>
      <c r="L440" s="7">
        <v>1</v>
      </c>
      <c r="M440" s="7">
        <v>100</v>
      </c>
      <c r="N440" s="7">
        <v>101</v>
      </c>
      <c r="O440" t="s">
        <v>29</v>
      </c>
      <c r="P440" t="s">
        <v>58</v>
      </c>
      <c r="Q440" t="s">
        <v>31</v>
      </c>
      <c r="R440" t="s">
        <v>42</v>
      </c>
      <c r="S440" t="s">
        <v>33</v>
      </c>
      <c r="T440" t="s">
        <v>49</v>
      </c>
      <c r="U440" t="s">
        <v>46</v>
      </c>
      <c r="V440" t="s">
        <v>36</v>
      </c>
      <c r="W440" t="s">
        <v>37</v>
      </c>
      <c r="X440" s="6">
        <v>0.99009900990099009</v>
      </c>
      <c r="Y440" s="6">
        <v>99.009900990099013</v>
      </c>
      <c r="Z440" t="s">
        <v>40</v>
      </c>
      <c r="AA440" t="s">
        <v>49</v>
      </c>
      <c r="AB440" t="s">
        <v>38</v>
      </c>
      <c r="AC440" s="8">
        <v>-7.8999999999999904E-3</v>
      </c>
    </row>
    <row r="441" spans="1:29" x14ac:dyDescent="0.3">
      <c r="A441" s="7">
        <v>440</v>
      </c>
      <c r="B441" s="1">
        <v>40563</v>
      </c>
      <c r="C441" s="7">
        <v>1</v>
      </c>
      <c r="D441" s="7">
        <v>8</v>
      </c>
      <c r="E441" t="b">
        <v>0</v>
      </c>
      <c r="F441" s="7">
        <v>4</v>
      </c>
      <c r="G441" s="7">
        <v>1</v>
      </c>
      <c r="H441" s="6">
        <v>0.22</v>
      </c>
      <c r="I441" s="8">
        <v>0.21210000000000001</v>
      </c>
      <c r="J441" s="6">
        <v>0.55000000000000004</v>
      </c>
      <c r="K441" s="8">
        <v>0.28360000000000002</v>
      </c>
      <c r="L441" s="7">
        <v>2</v>
      </c>
      <c r="M441" s="7">
        <v>247</v>
      </c>
      <c r="N441" s="7">
        <v>249</v>
      </c>
      <c r="O441" t="s">
        <v>29</v>
      </c>
      <c r="P441" t="s">
        <v>58</v>
      </c>
      <c r="Q441" t="s">
        <v>31</v>
      </c>
      <c r="R441" t="s">
        <v>42</v>
      </c>
      <c r="S441" t="s">
        <v>33</v>
      </c>
      <c r="T441" t="s">
        <v>49</v>
      </c>
      <c r="U441" t="s">
        <v>46</v>
      </c>
      <c r="V441" t="s">
        <v>36</v>
      </c>
      <c r="W441" t="s">
        <v>37</v>
      </c>
      <c r="X441" s="6">
        <v>0.80321285140562237</v>
      </c>
      <c r="Y441" s="6">
        <v>99.196787148594382</v>
      </c>
      <c r="Z441" t="s">
        <v>40</v>
      </c>
      <c r="AA441" t="s">
        <v>49</v>
      </c>
      <c r="AB441" t="s">
        <v>38</v>
      </c>
      <c r="AC441" s="8">
        <v>-7.8999999999999904E-3</v>
      </c>
    </row>
    <row r="442" spans="1:29" x14ac:dyDescent="0.3">
      <c r="A442" s="7">
        <v>441</v>
      </c>
      <c r="B442" s="1">
        <v>40563</v>
      </c>
      <c r="C442" s="7">
        <v>1</v>
      </c>
      <c r="D442" s="7">
        <v>9</v>
      </c>
      <c r="E442" t="b">
        <v>0</v>
      </c>
      <c r="F442" s="7">
        <v>4</v>
      </c>
      <c r="G442" s="7">
        <v>2</v>
      </c>
      <c r="H442" s="6">
        <v>0.24</v>
      </c>
      <c r="I442" s="8">
        <v>0.2273</v>
      </c>
      <c r="J442" s="6">
        <v>0.52</v>
      </c>
      <c r="K442" s="8">
        <v>0.22389999999999999</v>
      </c>
      <c r="L442" s="7">
        <v>3</v>
      </c>
      <c r="M442" s="7">
        <v>140</v>
      </c>
      <c r="N442" s="7">
        <v>143</v>
      </c>
      <c r="O442" t="s">
        <v>29</v>
      </c>
      <c r="P442" t="s">
        <v>58</v>
      </c>
      <c r="Q442" t="s">
        <v>41</v>
      </c>
      <c r="R442" t="s">
        <v>42</v>
      </c>
      <c r="S442" t="s">
        <v>33</v>
      </c>
      <c r="T442" t="s">
        <v>49</v>
      </c>
      <c r="U442" t="s">
        <v>46</v>
      </c>
      <c r="V442" t="s">
        <v>36</v>
      </c>
      <c r="W442" t="s">
        <v>37</v>
      </c>
      <c r="X442" s="6">
        <v>2.0979020979020979</v>
      </c>
      <c r="Y442" s="6">
        <v>97.902097902097907</v>
      </c>
      <c r="Z442" t="s">
        <v>40</v>
      </c>
      <c r="AA442" t="s">
        <v>49</v>
      </c>
      <c r="AB442" t="s">
        <v>38</v>
      </c>
      <c r="AC442" s="8">
        <v>-1.2699999999999991E-2</v>
      </c>
    </row>
    <row r="443" spans="1:29" x14ac:dyDescent="0.3">
      <c r="A443" s="7">
        <v>442</v>
      </c>
      <c r="B443" s="1">
        <v>40563</v>
      </c>
      <c r="C443" s="7">
        <v>1</v>
      </c>
      <c r="D443" s="7">
        <v>10</v>
      </c>
      <c r="E443" t="b">
        <v>0</v>
      </c>
      <c r="F443" s="7">
        <v>4</v>
      </c>
      <c r="G443" s="7">
        <v>1</v>
      </c>
      <c r="H443" s="6">
        <v>0.26</v>
      </c>
      <c r="I443" s="8">
        <v>0.2273</v>
      </c>
      <c r="J443" s="6">
        <v>0.48</v>
      </c>
      <c r="K443" s="8">
        <v>0.29849999999999999</v>
      </c>
      <c r="L443" s="7">
        <v>1</v>
      </c>
      <c r="M443" s="7">
        <v>56</v>
      </c>
      <c r="N443" s="7">
        <v>57</v>
      </c>
      <c r="O443" t="s">
        <v>29</v>
      </c>
      <c r="P443" t="s">
        <v>58</v>
      </c>
      <c r="Q443" t="s">
        <v>31</v>
      </c>
      <c r="R443" t="s">
        <v>42</v>
      </c>
      <c r="S443" t="s">
        <v>44</v>
      </c>
      <c r="T443" t="s">
        <v>49</v>
      </c>
      <c r="U443" t="s">
        <v>46</v>
      </c>
      <c r="V443" t="s">
        <v>36</v>
      </c>
      <c r="W443" t="s">
        <v>37</v>
      </c>
      <c r="X443" s="6">
        <v>1.754385964912281</v>
      </c>
      <c r="Y443" s="6">
        <v>98.245614035087712</v>
      </c>
      <c r="Z443" t="s">
        <v>38</v>
      </c>
      <c r="AA443" t="s">
        <v>39</v>
      </c>
      <c r="AB443" t="s">
        <v>38</v>
      </c>
      <c r="AC443" s="8">
        <v>-3.2700000000000007E-2</v>
      </c>
    </row>
    <row r="444" spans="1:29" x14ac:dyDescent="0.3">
      <c r="A444" s="7">
        <v>443</v>
      </c>
      <c r="B444" s="1">
        <v>40563</v>
      </c>
      <c r="C444" s="7">
        <v>1</v>
      </c>
      <c r="D444" s="7">
        <v>11</v>
      </c>
      <c r="E444" t="b">
        <v>0</v>
      </c>
      <c r="F444" s="7">
        <v>4</v>
      </c>
      <c r="G444" s="7">
        <v>2</v>
      </c>
      <c r="H444" s="6">
        <v>0.28000000000000003</v>
      </c>
      <c r="I444" s="8">
        <v>0.2727</v>
      </c>
      <c r="J444" s="6">
        <v>0.45</v>
      </c>
      <c r="K444" s="8">
        <v>0.16420000000000001</v>
      </c>
      <c r="L444" s="7">
        <v>5</v>
      </c>
      <c r="M444" s="7">
        <v>63</v>
      </c>
      <c r="N444" s="7">
        <v>68</v>
      </c>
      <c r="O444" t="s">
        <v>29</v>
      </c>
      <c r="P444" t="s">
        <v>58</v>
      </c>
      <c r="Q444" t="s">
        <v>41</v>
      </c>
      <c r="R444" t="s">
        <v>42</v>
      </c>
      <c r="S444" t="s">
        <v>44</v>
      </c>
      <c r="T444" t="s">
        <v>49</v>
      </c>
      <c r="U444" t="s">
        <v>46</v>
      </c>
      <c r="V444" t="s">
        <v>36</v>
      </c>
      <c r="W444" t="s">
        <v>37</v>
      </c>
      <c r="X444" s="6">
        <v>7.3529411764705888</v>
      </c>
      <c r="Y444" s="6">
        <v>92.64705882352942</v>
      </c>
      <c r="Z444" t="s">
        <v>38</v>
      </c>
      <c r="AA444" t="s">
        <v>39</v>
      </c>
      <c r="AB444" t="s">
        <v>38</v>
      </c>
      <c r="AC444" s="8">
        <v>-7.3000000000000287E-3</v>
      </c>
    </row>
    <row r="445" spans="1:29" x14ac:dyDescent="0.3">
      <c r="A445" s="7">
        <v>444</v>
      </c>
      <c r="B445" s="1">
        <v>40563</v>
      </c>
      <c r="C445" s="7">
        <v>1</v>
      </c>
      <c r="D445" s="7">
        <v>12</v>
      </c>
      <c r="E445" t="b">
        <v>0</v>
      </c>
      <c r="F445" s="7">
        <v>4</v>
      </c>
      <c r="G445" s="7">
        <v>2</v>
      </c>
      <c r="H445" s="6">
        <v>0.3</v>
      </c>
      <c r="I445" s="8">
        <v>0.33329999999999999</v>
      </c>
      <c r="J445" s="6">
        <v>0.42</v>
      </c>
      <c r="K445" s="8">
        <v>0</v>
      </c>
      <c r="L445" s="7">
        <v>7</v>
      </c>
      <c r="M445" s="7">
        <v>77</v>
      </c>
      <c r="N445" s="7">
        <v>84</v>
      </c>
      <c r="O445" t="s">
        <v>29</v>
      </c>
      <c r="P445" t="s">
        <v>58</v>
      </c>
      <c r="Q445" t="s">
        <v>41</v>
      </c>
      <c r="R445" t="s">
        <v>47</v>
      </c>
      <c r="S445" t="s">
        <v>44</v>
      </c>
      <c r="T445" t="s">
        <v>49</v>
      </c>
      <c r="U445" t="s">
        <v>35</v>
      </c>
      <c r="V445" t="s">
        <v>36</v>
      </c>
      <c r="W445" t="s">
        <v>37</v>
      </c>
      <c r="X445" s="6">
        <v>8.3333333333333321</v>
      </c>
      <c r="Y445" s="6">
        <v>91.666666666666657</v>
      </c>
      <c r="Z445" t="s">
        <v>38</v>
      </c>
      <c r="AA445" t="s">
        <v>39</v>
      </c>
      <c r="AB445" t="s">
        <v>38</v>
      </c>
      <c r="AC445" s="8">
        <v>3.3300000000000003E-2</v>
      </c>
    </row>
    <row r="446" spans="1:29" x14ac:dyDescent="0.3">
      <c r="A446" s="7">
        <v>445</v>
      </c>
      <c r="B446" s="1">
        <v>40563</v>
      </c>
      <c r="C446" s="7">
        <v>1</v>
      </c>
      <c r="D446" s="7">
        <v>13</v>
      </c>
      <c r="E446" t="b">
        <v>0</v>
      </c>
      <c r="F446" s="7">
        <v>4</v>
      </c>
      <c r="G446" s="7">
        <v>2</v>
      </c>
      <c r="H446" s="6">
        <v>0.28000000000000003</v>
      </c>
      <c r="I446" s="8">
        <v>0.28789999999999999</v>
      </c>
      <c r="J446" s="6">
        <v>0.45</v>
      </c>
      <c r="K446" s="8">
        <v>0.1045</v>
      </c>
      <c r="L446" s="7">
        <v>12</v>
      </c>
      <c r="M446" s="7">
        <v>86</v>
      </c>
      <c r="N446" s="7">
        <v>98</v>
      </c>
      <c r="O446" t="s">
        <v>29</v>
      </c>
      <c r="P446" t="s">
        <v>58</v>
      </c>
      <c r="Q446" t="s">
        <v>41</v>
      </c>
      <c r="R446" t="s">
        <v>47</v>
      </c>
      <c r="S446" t="s">
        <v>44</v>
      </c>
      <c r="T446" t="s">
        <v>49</v>
      </c>
      <c r="U446" t="s">
        <v>35</v>
      </c>
      <c r="V446" t="s">
        <v>36</v>
      </c>
      <c r="W446" t="s">
        <v>37</v>
      </c>
      <c r="X446" s="6">
        <v>12.244897959183669</v>
      </c>
      <c r="Y446" s="6">
        <v>87.755102040816325</v>
      </c>
      <c r="Z446" t="s">
        <v>38</v>
      </c>
      <c r="AA446" t="s">
        <v>39</v>
      </c>
      <c r="AB446" t="s">
        <v>38</v>
      </c>
      <c r="AC446" s="8">
        <v>7.8999999999999626E-3</v>
      </c>
    </row>
    <row r="447" spans="1:29" x14ac:dyDescent="0.3">
      <c r="A447" s="7">
        <v>446</v>
      </c>
      <c r="B447" s="1">
        <v>40563</v>
      </c>
      <c r="C447" s="7">
        <v>1</v>
      </c>
      <c r="D447" s="7">
        <v>14</v>
      </c>
      <c r="E447" t="b">
        <v>0</v>
      </c>
      <c r="F447" s="7">
        <v>4</v>
      </c>
      <c r="G447" s="7">
        <v>2</v>
      </c>
      <c r="H447" s="6">
        <v>0.3</v>
      </c>
      <c r="I447" s="8">
        <v>0.30299999999999999</v>
      </c>
      <c r="J447" s="6">
        <v>0.45</v>
      </c>
      <c r="K447" s="8">
        <v>0.1343</v>
      </c>
      <c r="L447" s="7">
        <v>6</v>
      </c>
      <c r="M447" s="7">
        <v>75</v>
      </c>
      <c r="N447" s="7">
        <v>81</v>
      </c>
      <c r="O447" t="s">
        <v>29</v>
      </c>
      <c r="P447" t="s">
        <v>58</v>
      </c>
      <c r="Q447" t="s">
        <v>41</v>
      </c>
      <c r="R447" t="s">
        <v>47</v>
      </c>
      <c r="S447" t="s">
        <v>44</v>
      </c>
      <c r="T447" t="s">
        <v>49</v>
      </c>
      <c r="U447" t="s">
        <v>35</v>
      </c>
      <c r="V447" t="s">
        <v>36</v>
      </c>
      <c r="W447" t="s">
        <v>37</v>
      </c>
      <c r="X447" s="6">
        <v>7.4074074074074074</v>
      </c>
      <c r="Y447" s="6">
        <v>92.592592592592595</v>
      </c>
      <c r="Z447" t="s">
        <v>38</v>
      </c>
      <c r="AA447" t="s">
        <v>39</v>
      </c>
      <c r="AB447" t="s">
        <v>38</v>
      </c>
      <c r="AC447" s="8">
        <v>3.0000000000000031E-3</v>
      </c>
    </row>
    <row r="448" spans="1:29" x14ac:dyDescent="0.3">
      <c r="A448" s="7">
        <v>447</v>
      </c>
      <c r="B448" s="1">
        <v>40563</v>
      </c>
      <c r="C448" s="7">
        <v>1</v>
      </c>
      <c r="D448" s="7">
        <v>15</v>
      </c>
      <c r="E448" t="b">
        <v>0</v>
      </c>
      <c r="F448" s="7">
        <v>4</v>
      </c>
      <c r="G448" s="7">
        <v>2</v>
      </c>
      <c r="H448" s="6">
        <v>0.32</v>
      </c>
      <c r="I448" s="8">
        <v>0.31819999999999998</v>
      </c>
      <c r="J448" s="6">
        <v>0.45</v>
      </c>
      <c r="K448" s="8">
        <v>0.19400000000000001</v>
      </c>
      <c r="L448" s="7">
        <v>8</v>
      </c>
      <c r="M448" s="7">
        <v>62</v>
      </c>
      <c r="N448" s="7">
        <v>70</v>
      </c>
      <c r="O448" t="s">
        <v>29</v>
      </c>
      <c r="P448" t="s">
        <v>58</v>
      </c>
      <c r="Q448" t="s">
        <v>41</v>
      </c>
      <c r="R448" t="s">
        <v>47</v>
      </c>
      <c r="S448" t="s">
        <v>44</v>
      </c>
      <c r="T448" t="s">
        <v>49</v>
      </c>
      <c r="U448" t="s">
        <v>46</v>
      </c>
      <c r="V448" t="s">
        <v>36</v>
      </c>
      <c r="W448" t="s">
        <v>37</v>
      </c>
      <c r="X448" s="6">
        <v>11.428571428571431</v>
      </c>
      <c r="Y448" s="6">
        <v>88.571428571428569</v>
      </c>
      <c r="Z448" t="s">
        <v>38</v>
      </c>
      <c r="AA448" t="s">
        <v>39</v>
      </c>
      <c r="AB448" t="s">
        <v>38</v>
      </c>
      <c r="AC448" s="8">
        <v>-1.800000000000024E-3</v>
      </c>
    </row>
    <row r="449" spans="1:29" x14ac:dyDescent="0.3">
      <c r="A449" s="7">
        <v>448</v>
      </c>
      <c r="B449" s="1">
        <v>40563</v>
      </c>
      <c r="C449" s="7">
        <v>1</v>
      </c>
      <c r="D449" s="7">
        <v>16</v>
      </c>
      <c r="E449" t="b">
        <v>0</v>
      </c>
      <c r="F449" s="7">
        <v>4</v>
      </c>
      <c r="G449" s="7">
        <v>2</v>
      </c>
      <c r="H449" s="6">
        <v>0.3</v>
      </c>
      <c r="I449" s="8">
        <v>0.30299999999999999</v>
      </c>
      <c r="J449" s="6">
        <v>0.49</v>
      </c>
      <c r="K449" s="8">
        <v>0.1343</v>
      </c>
      <c r="L449" s="7">
        <v>8</v>
      </c>
      <c r="M449" s="7">
        <v>83</v>
      </c>
      <c r="N449" s="7">
        <v>91</v>
      </c>
      <c r="O449" t="s">
        <v>29</v>
      </c>
      <c r="P449" t="s">
        <v>58</v>
      </c>
      <c r="Q449" t="s">
        <v>41</v>
      </c>
      <c r="R449" t="s">
        <v>47</v>
      </c>
      <c r="S449" t="s">
        <v>44</v>
      </c>
      <c r="T449" t="s">
        <v>49</v>
      </c>
      <c r="U449" t="s">
        <v>35</v>
      </c>
      <c r="V449" t="s">
        <v>36</v>
      </c>
      <c r="W449" t="s">
        <v>37</v>
      </c>
      <c r="X449" s="6">
        <v>8.791208791208792</v>
      </c>
      <c r="Y449" s="6">
        <v>91.208791208791212</v>
      </c>
      <c r="Z449" t="s">
        <v>38</v>
      </c>
      <c r="AA449" t="s">
        <v>39</v>
      </c>
      <c r="AB449" t="s">
        <v>38</v>
      </c>
      <c r="AC449" s="8">
        <v>3.0000000000000031E-3</v>
      </c>
    </row>
    <row r="450" spans="1:29" x14ac:dyDescent="0.3">
      <c r="A450" s="7">
        <v>449</v>
      </c>
      <c r="B450" s="1">
        <v>40563</v>
      </c>
      <c r="C450" s="7">
        <v>1</v>
      </c>
      <c r="D450" s="7">
        <v>17</v>
      </c>
      <c r="E450" t="b">
        <v>0</v>
      </c>
      <c r="F450" s="7">
        <v>4</v>
      </c>
      <c r="G450" s="7">
        <v>2</v>
      </c>
      <c r="H450" s="6">
        <v>0.3</v>
      </c>
      <c r="I450" s="8">
        <v>0.31819999999999998</v>
      </c>
      <c r="J450" s="6">
        <v>0.49</v>
      </c>
      <c r="K450" s="8">
        <v>0.1045</v>
      </c>
      <c r="L450" s="7">
        <v>8</v>
      </c>
      <c r="M450" s="7">
        <v>207</v>
      </c>
      <c r="N450" s="7">
        <v>215</v>
      </c>
      <c r="O450" t="s">
        <v>29</v>
      </c>
      <c r="P450" t="s">
        <v>58</v>
      </c>
      <c r="Q450" t="s">
        <v>41</v>
      </c>
      <c r="R450" t="s">
        <v>50</v>
      </c>
      <c r="S450" t="s">
        <v>44</v>
      </c>
      <c r="T450" t="s">
        <v>49</v>
      </c>
      <c r="U450" t="s">
        <v>35</v>
      </c>
      <c r="V450" t="s">
        <v>36</v>
      </c>
      <c r="W450" t="s">
        <v>37</v>
      </c>
      <c r="X450" s="6">
        <v>3.720930232558139</v>
      </c>
      <c r="Y450" s="6">
        <v>96.279069767441854</v>
      </c>
      <c r="Z450" t="s">
        <v>40</v>
      </c>
      <c r="AA450" t="s">
        <v>49</v>
      </c>
      <c r="AB450" t="s">
        <v>38</v>
      </c>
      <c r="AC450" s="8">
        <v>1.819999999999999E-2</v>
      </c>
    </row>
    <row r="451" spans="1:29" x14ac:dyDescent="0.3">
      <c r="A451" s="7">
        <v>450</v>
      </c>
      <c r="B451" s="1">
        <v>40563</v>
      </c>
      <c r="C451" s="7">
        <v>1</v>
      </c>
      <c r="D451" s="7">
        <v>18</v>
      </c>
      <c r="E451" t="b">
        <v>0</v>
      </c>
      <c r="F451" s="7">
        <v>4</v>
      </c>
      <c r="G451" s="7">
        <v>2</v>
      </c>
      <c r="H451" s="6">
        <v>0.26</v>
      </c>
      <c r="I451" s="8">
        <v>0.2576</v>
      </c>
      <c r="J451" s="6">
        <v>0.56000000000000005</v>
      </c>
      <c r="K451" s="8">
        <v>0.19400000000000001</v>
      </c>
      <c r="L451" s="7">
        <v>1</v>
      </c>
      <c r="M451" s="7">
        <v>184</v>
      </c>
      <c r="N451" s="7">
        <v>185</v>
      </c>
      <c r="O451" t="s">
        <v>29</v>
      </c>
      <c r="P451" t="s">
        <v>58</v>
      </c>
      <c r="Q451" t="s">
        <v>41</v>
      </c>
      <c r="R451" t="s">
        <v>50</v>
      </c>
      <c r="S451" t="s">
        <v>44</v>
      </c>
      <c r="T451" t="s">
        <v>49</v>
      </c>
      <c r="U451" t="s">
        <v>46</v>
      </c>
      <c r="V451" t="s">
        <v>36</v>
      </c>
      <c r="W451" t="s">
        <v>37</v>
      </c>
      <c r="X451" s="6">
        <v>0.54054054054054057</v>
      </c>
      <c r="Y451" s="6">
        <v>99.459459459459467</v>
      </c>
      <c r="Z451" t="s">
        <v>40</v>
      </c>
      <c r="AA451" t="s">
        <v>49</v>
      </c>
      <c r="AB451" t="s">
        <v>38</v>
      </c>
      <c r="AC451" s="8">
        <v>-2.4000000000000128E-3</v>
      </c>
    </row>
    <row r="452" spans="1:29" x14ac:dyDescent="0.3">
      <c r="A452" s="7">
        <v>451</v>
      </c>
      <c r="B452" s="1">
        <v>40563</v>
      </c>
      <c r="C452" s="7">
        <v>1</v>
      </c>
      <c r="D452" s="7">
        <v>19</v>
      </c>
      <c r="E452" t="b">
        <v>0</v>
      </c>
      <c r="F452" s="7">
        <v>4</v>
      </c>
      <c r="G452" s="7">
        <v>1</v>
      </c>
      <c r="H452" s="6">
        <v>0.26</v>
      </c>
      <c r="I452" s="8">
        <v>0.2273</v>
      </c>
      <c r="J452" s="6">
        <v>0.56000000000000005</v>
      </c>
      <c r="K452" s="8">
        <v>0.32840000000000003</v>
      </c>
      <c r="L452" s="7">
        <v>6</v>
      </c>
      <c r="M452" s="7">
        <v>146</v>
      </c>
      <c r="N452" s="7">
        <v>152</v>
      </c>
      <c r="O452" t="s">
        <v>29</v>
      </c>
      <c r="P452" t="s">
        <v>58</v>
      </c>
      <c r="Q452" t="s">
        <v>31</v>
      </c>
      <c r="R452" t="s">
        <v>50</v>
      </c>
      <c r="S452" t="s">
        <v>44</v>
      </c>
      <c r="T452" t="s">
        <v>49</v>
      </c>
      <c r="U452" t="s">
        <v>53</v>
      </c>
      <c r="V452" t="s">
        <v>36</v>
      </c>
      <c r="W452" t="s">
        <v>37</v>
      </c>
      <c r="X452" s="6">
        <v>3.947368421052631</v>
      </c>
      <c r="Y452" s="6">
        <v>96.05263157894737</v>
      </c>
      <c r="Z452" t="s">
        <v>40</v>
      </c>
      <c r="AA452" t="s">
        <v>49</v>
      </c>
      <c r="AB452" t="s">
        <v>38</v>
      </c>
      <c r="AC452" s="8">
        <v>-3.2700000000000007E-2</v>
      </c>
    </row>
    <row r="453" spans="1:29" x14ac:dyDescent="0.3">
      <c r="A453" s="7">
        <v>452</v>
      </c>
      <c r="B453" s="1">
        <v>40563</v>
      </c>
      <c r="C453" s="7">
        <v>1</v>
      </c>
      <c r="D453" s="7">
        <v>20</v>
      </c>
      <c r="E453" t="b">
        <v>0</v>
      </c>
      <c r="F453" s="7">
        <v>4</v>
      </c>
      <c r="G453" s="7">
        <v>2</v>
      </c>
      <c r="H453" s="6">
        <v>0.26</v>
      </c>
      <c r="I453" s="8">
        <v>0.2424</v>
      </c>
      <c r="J453" s="6">
        <v>0.6</v>
      </c>
      <c r="K453" s="8">
        <v>0.28360000000000002</v>
      </c>
      <c r="L453" s="7">
        <v>2</v>
      </c>
      <c r="M453" s="7">
        <v>124</v>
      </c>
      <c r="N453" s="7">
        <v>126</v>
      </c>
      <c r="O453" t="s">
        <v>29</v>
      </c>
      <c r="P453" t="s">
        <v>58</v>
      </c>
      <c r="Q453" t="s">
        <v>41</v>
      </c>
      <c r="R453" t="s">
        <v>50</v>
      </c>
      <c r="S453" t="s">
        <v>44</v>
      </c>
      <c r="T453" t="s">
        <v>49</v>
      </c>
      <c r="U453" t="s">
        <v>46</v>
      </c>
      <c r="V453" t="s">
        <v>36</v>
      </c>
      <c r="W453" t="s">
        <v>37</v>
      </c>
      <c r="X453" s="6">
        <v>1.587301587301587</v>
      </c>
      <c r="Y453" s="6">
        <v>98.412698412698404</v>
      </c>
      <c r="Z453" t="s">
        <v>38</v>
      </c>
      <c r="AA453" t="s">
        <v>49</v>
      </c>
      <c r="AB453" t="s">
        <v>38</v>
      </c>
      <c r="AC453" s="8">
        <v>-1.7600000000000001E-2</v>
      </c>
    </row>
    <row r="454" spans="1:29" x14ac:dyDescent="0.3">
      <c r="A454" s="7">
        <v>453</v>
      </c>
      <c r="B454" s="1">
        <v>40563</v>
      </c>
      <c r="C454" s="7">
        <v>1</v>
      </c>
      <c r="D454" s="7">
        <v>21</v>
      </c>
      <c r="E454" t="b">
        <v>0</v>
      </c>
      <c r="F454" s="7">
        <v>4</v>
      </c>
      <c r="G454" s="7">
        <v>2</v>
      </c>
      <c r="H454" s="6">
        <v>0.24</v>
      </c>
      <c r="I454" s="8">
        <v>0.2273</v>
      </c>
      <c r="J454" s="6">
        <v>0.6</v>
      </c>
      <c r="K454" s="8">
        <v>0.25369999999999998</v>
      </c>
      <c r="L454" s="7">
        <v>3</v>
      </c>
      <c r="M454" s="7">
        <v>54</v>
      </c>
      <c r="N454" s="7">
        <v>57</v>
      </c>
      <c r="O454" t="s">
        <v>29</v>
      </c>
      <c r="P454" t="s">
        <v>58</v>
      </c>
      <c r="Q454" t="s">
        <v>41</v>
      </c>
      <c r="R454" t="s">
        <v>32</v>
      </c>
      <c r="S454" t="s">
        <v>33</v>
      </c>
      <c r="T454" t="s">
        <v>49</v>
      </c>
      <c r="U454" t="s">
        <v>46</v>
      </c>
      <c r="V454" t="s">
        <v>36</v>
      </c>
      <c r="W454" t="s">
        <v>37</v>
      </c>
      <c r="X454" s="6">
        <v>5.2631578947368416</v>
      </c>
      <c r="Y454" s="6">
        <v>94.73684210526315</v>
      </c>
      <c r="Z454" t="s">
        <v>38</v>
      </c>
      <c r="AA454" t="s">
        <v>39</v>
      </c>
      <c r="AB454" t="s">
        <v>38</v>
      </c>
      <c r="AC454" s="8">
        <v>-1.2699999999999991E-2</v>
      </c>
    </row>
    <row r="455" spans="1:29" x14ac:dyDescent="0.3">
      <c r="A455" s="7">
        <v>454</v>
      </c>
      <c r="B455" s="1">
        <v>40563</v>
      </c>
      <c r="C455" s="7">
        <v>1</v>
      </c>
      <c r="D455" s="7">
        <v>22</v>
      </c>
      <c r="E455" t="b">
        <v>0</v>
      </c>
      <c r="F455" s="7">
        <v>4</v>
      </c>
      <c r="G455" s="7">
        <v>2</v>
      </c>
      <c r="H455" s="6">
        <v>0.24</v>
      </c>
      <c r="I455" s="8">
        <v>0.21210000000000001</v>
      </c>
      <c r="J455" s="6">
        <v>0.65</v>
      </c>
      <c r="K455" s="8">
        <v>0.28360000000000002</v>
      </c>
      <c r="L455" s="7">
        <v>0</v>
      </c>
      <c r="M455" s="7">
        <v>56</v>
      </c>
      <c r="N455" s="7">
        <v>56</v>
      </c>
      <c r="O455" t="s">
        <v>29</v>
      </c>
      <c r="P455" t="s">
        <v>58</v>
      </c>
      <c r="Q455" t="s">
        <v>41</v>
      </c>
      <c r="R455" t="s">
        <v>32</v>
      </c>
      <c r="S455" t="s">
        <v>33</v>
      </c>
      <c r="T455" t="s">
        <v>49</v>
      </c>
      <c r="U455" t="s">
        <v>46</v>
      </c>
      <c r="V455" t="s">
        <v>36</v>
      </c>
      <c r="W455" t="s">
        <v>37</v>
      </c>
      <c r="X455" s="6">
        <v>0</v>
      </c>
      <c r="Y455" s="6">
        <v>100</v>
      </c>
      <c r="Z455" t="s">
        <v>38</v>
      </c>
      <c r="AA455" t="s">
        <v>39</v>
      </c>
      <c r="AB455" t="s">
        <v>38</v>
      </c>
      <c r="AC455" s="8">
        <v>-2.789999999999998E-2</v>
      </c>
    </row>
    <row r="456" spans="1:29" x14ac:dyDescent="0.3">
      <c r="A456" s="7">
        <v>455</v>
      </c>
      <c r="B456" s="1">
        <v>40563</v>
      </c>
      <c r="C456" s="7">
        <v>1</v>
      </c>
      <c r="D456" s="7">
        <v>23</v>
      </c>
      <c r="E456" t="b">
        <v>0</v>
      </c>
      <c r="F456" s="7">
        <v>4</v>
      </c>
      <c r="G456" s="7">
        <v>2</v>
      </c>
      <c r="H456" s="6">
        <v>0.24</v>
      </c>
      <c r="I456" s="8">
        <v>0.21210000000000001</v>
      </c>
      <c r="J456" s="6">
        <v>0.65</v>
      </c>
      <c r="K456" s="8">
        <v>0.32840000000000003</v>
      </c>
      <c r="L456" s="7">
        <v>3</v>
      </c>
      <c r="M456" s="7">
        <v>28</v>
      </c>
      <c r="N456" s="7">
        <v>31</v>
      </c>
      <c r="O456" t="s">
        <v>29</v>
      </c>
      <c r="P456" t="s">
        <v>58</v>
      </c>
      <c r="Q456" t="s">
        <v>41</v>
      </c>
      <c r="R456" t="s">
        <v>32</v>
      </c>
      <c r="S456" t="s">
        <v>33</v>
      </c>
      <c r="T456" t="s">
        <v>49</v>
      </c>
      <c r="U456" t="s">
        <v>53</v>
      </c>
      <c r="V456" t="s">
        <v>36</v>
      </c>
      <c r="W456" t="s">
        <v>37</v>
      </c>
      <c r="X456" s="6">
        <v>9.67741935483871</v>
      </c>
      <c r="Y456" s="6">
        <v>90.322580645161281</v>
      </c>
      <c r="Z456" t="s">
        <v>38</v>
      </c>
      <c r="AA456" t="s">
        <v>39</v>
      </c>
      <c r="AB456" t="s">
        <v>38</v>
      </c>
      <c r="AC456" s="8">
        <v>-2.789999999999998E-2</v>
      </c>
    </row>
    <row r="457" spans="1:29" x14ac:dyDescent="0.3">
      <c r="A457" s="7">
        <v>456</v>
      </c>
      <c r="B457" s="1">
        <v>40564</v>
      </c>
      <c r="C457" s="7">
        <v>1</v>
      </c>
      <c r="D457" s="7">
        <v>0</v>
      </c>
      <c r="E457" t="b">
        <v>0</v>
      </c>
      <c r="F457" s="7">
        <v>5</v>
      </c>
      <c r="G457" s="7">
        <v>2</v>
      </c>
      <c r="H457" s="6">
        <v>0.24</v>
      </c>
      <c r="I457" s="8">
        <v>0.2273</v>
      </c>
      <c r="J457" s="6">
        <v>0.7</v>
      </c>
      <c r="K457" s="8">
        <v>0.25369999999999998</v>
      </c>
      <c r="L457" s="7">
        <v>1</v>
      </c>
      <c r="M457" s="7">
        <v>20</v>
      </c>
      <c r="N457" s="7">
        <v>21</v>
      </c>
      <c r="O457" t="s">
        <v>29</v>
      </c>
      <c r="P457" t="s">
        <v>59</v>
      </c>
      <c r="Q457" t="s">
        <v>41</v>
      </c>
      <c r="R457" t="s">
        <v>32</v>
      </c>
      <c r="S457" t="s">
        <v>33</v>
      </c>
      <c r="T457" t="s">
        <v>34</v>
      </c>
      <c r="U457" t="s">
        <v>46</v>
      </c>
      <c r="V457" t="s">
        <v>36</v>
      </c>
      <c r="W457" t="s">
        <v>37</v>
      </c>
      <c r="X457" s="6">
        <v>4.7619047619047619</v>
      </c>
      <c r="Y457" s="6">
        <v>95.238095238095227</v>
      </c>
      <c r="Z457" t="s">
        <v>38</v>
      </c>
      <c r="AA457" t="s">
        <v>39</v>
      </c>
      <c r="AB457" t="s">
        <v>38</v>
      </c>
      <c r="AC457" s="8">
        <v>-1.2699999999999991E-2</v>
      </c>
    </row>
    <row r="458" spans="1:29" x14ac:dyDescent="0.3">
      <c r="A458" s="7">
        <v>457</v>
      </c>
      <c r="B458" s="1">
        <v>40564</v>
      </c>
      <c r="C458" s="7">
        <v>1</v>
      </c>
      <c r="D458" s="7">
        <v>1</v>
      </c>
      <c r="E458" t="b">
        <v>0</v>
      </c>
      <c r="F458" s="7">
        <v>5</v>
      </c>
      <c r="G458" s="7">
        <v>2</v>
      </c>
      <c r="H458" s="6">
        <v>0.24</v>
      </c>
      <c r="I458" s="8">
        <v>0.2273</v>
      </c>
      <c r="J458" s="6">
        <v>0.7</v>
      </c>
      <c r="K458" s="8">
        <v>0.25369999999999998</v>
      </c>
      <c r="L458" s="7">
        <v>0</v>
      </c>
      <c r="M458" s="7">
        <v>6</v>
      </c>
      <c r="N458" s="7">
        <v>6</v>
      </c>
      <c r="O458" t="s">
        <v>29</v>
      </c>
      <c r="P458" t="s">
        <v>59</v>
      </c>
      <c r="Q458" t="s">
        <v>41</v>
      </c>
      <c r="R458" t="s">
        <v>32</v>
      </c>
      <c r="S458" t="s">
        <v>33</v>
      </c>
      <c r="T458" t="s">
        <v>34</v>
      </c>
      <c r="U458" t="s">
        <v>46</v>
      </c>
      <c r="V458" t="s">
        <v>36</v>
      </c>
      <c r="W458" t="s">
        <v>37</v>
      </c>
      <c r="X458" s="6">
        <v>0</v>
      </c>
      <c r="Y458" s="6">
        <v>100</v>
      </c>
      <c r="Z458" t="s">
        <v>38</v>
      </c>
      <c r="AA458" t="s">
        <v>39</v>
      </c>
      <c r="AB458" t="s">
        <v>38</v>
      </c>
      <c r="AC458" s="8">
        <v>-1.2699999999999991E-2</v>
      </c>
    </row>
    <row r="459" spans="1:29" x14ac:dyDescent="0.3">
      <c r="A459" s="7">
        <v>458</v>
      </c>
      <c r="B459" s="1">
        <v>40564</v>
      </c>
      <c r="C459" s="7">
        <v>1</v>
      </c>
      <c r="D459" s="7">
        <v>2</v>
      </c>
      <c r="E459" t="b">
        <v>0</v>
      </c>
      <c r="F459" s="7">
        <v>5</v>
      </c>
      <c r="G459" s="7">
        <v>3</v>
      </c>
      <c r="H459" s="6">
        <v>0.24</v>
      </c>
      <c r="I459" s="8">
        <v>0.2424</v>
      </c>
      <c r="J459" s="6">
        <v>0.75</v>
      </c>
      <c r="K459" s="8">
        <v>0.16420000000000001</v>
      </c>
      <c r="L459" s="7">
        <v>0</v>
      </c>
      <c r="M459" s="7">
        <v>2</v>
      </c>
      <c r="N459" s="7">
        <v>2</v>
      </c>
      <c r="O459" t="s">
        <v>29</v>
      </c>
      <c r="P459" t="s">
        <v>59</v>
      </c>
      <c r="Q459" t="s">
        <v>51</v>
      </c>
      <c r="R459" t="s">
        <v>32</v>
      </c>
      <c r="S459" t="s">
        <v>33</v>
      </c>
      <c r="T459" t="s">
        <v>34</v>
      </c>
      <c r="U459" t="s">
        <v>46</v>
      </c>
      <c r="V459" t="s">
        <v>36</v>
      </c>
      <c r="W459" t="s">
        <v>37</v>
      </c>
      <c r="X459" s="6">
        <v>0</v>
      </c>
      <c r="Y459" s="6">
        <v>100</v>
      </c>
      <c r="Z459" t="s">
        <v>38</v>
      </c>
      <c r="AA459" t="s">
        <v>39</v>
      </c>
      <c r="AB459" t="s">
        <v>38</v>
      </c>
      <c r="AC459" s="8">
        <v>2.4000000000000128E-3</v>
      </c>
    </row>
    <row r="460" spans="1:29" x14ac:dyDescent="0.3">
      <c r="A460" s="7">
        <v>459</v>
      </c>
      <c r="B460" s="1">
        <v>40564</v>
      </c>
      <c r="C460" s="7">
        <v>1</v>
      </c>
      <c r="D460" s="7">
        <v>3</v>
      </c>
      <c r="E460" t="b">
        <v>0</v>
      </c>
      <c r="F460" s="7">
        <v>5</v>
      </c>
      <c r="G460" s="7">
        <v>3</v>
      </c>
      <c r="H460" s="6">
        <v>0.22</v>
      </c>
      <c r="I460" s="8">
        <v>0.21210000000000001</v>
      </c>
      <c r="J460" s="6">
        <v>0.8</v>
      </c>
      <c r="K460" s="8">
        <v>0.29849999999999999</v>
      </c>
      <c r="L460" s="7">
        <v>0</v>
      </c>
      <c r="M460" s="7">
        <v>1</v>
      </c>
      <c r="N460" s="7">
        <v>1</v>
      </c>
      <c r="O460" t="s">
        <v>29</v>
      </c>
      <c r="P460" t="s">
        <v>59</v>
      </c>
      <c r="Q460" t="s">
        <v>51</v>
      </c>
      <c r="R460" t="s">
        <v>32</v>
      </c>
      <c r="S460" t="s">
        <v>33</v>
      </c>
      <c r="T460" t="s">
        <v>34</v>
      </c>
      <c r="U460" t="s">
        <v>46</v>
      </c>
      <c r="V460" t="s">
        <v>36</v>
      </c>
      <c r="W460" t="s">
        <v>37</v>
      </c>
      <c r="X460" s="6">
        <v>0</v>
      </c>
      <c r="Y460" s="6">
        <v>100</v>
      </c>
      <c r="Z460" t="s">
        <v>38</v>
      </c>
      <c r="AA460" t="s">
        <v>39</v>
      </c>
      <c r="AB460" t="s">
        <v>38</v>
      </c>
      <c r="AC460" s="8">
        <v>-7.8999999999999904E-3</v>
      </c>
    </row>
    <row r="461" spans="1:29" x14ac:dyDescent="0.3">
      <c r="A461" s="7">
        <v>460</v>
      </c>
      <c r="B461" s="1">
        <v>40564</v>
      </c>
      <c r="C461" s="7">
        <v>1</v>
      </c>
      <c r="D461" s="7">
        <v>4</v>
      </c>
      <c r="E461" t="b">
        <v>0</v>
      </c>
      <c r="F461" s="7">
        <v>5</v>
      </c>
      <c r="G461" s="7">
        <v>2</v>
      </c>
      <c r="H461" s="6">
        <v>0.22</v>
      </c>
      <c r="I461" s="8">
        <v>0.2576</v>
      </c>
      <c r="J461" s="6">
        <v>0.87</v>
      </c>
      <c r="K461" s="8">
        <v>8.9599999999999999E-2</v>
      </c>
      <c r="L461" s="7">
        <v>0</v>
      </c>
      <c r="M461" s="7">
        <v>1</v>
      </c>
      <c r="N461" s="7">
        <v>1</v>
      </c>
      <c r="O461" t="s">
        <v>29</v>
      </c>
      <c r="P461" t="s">
        <v>59</v>
      </c>
      <c r="Q461" t="s">
        <v>41</v>
      </c>
      <c r="R461" t="s">
        <v>32</v>
      </c>
      <c r="S461" t="s">
        <v>33</v>
      </c>
      <c r="T461" t="s">
        <v>34</v>
      </c>
      <c r="U461" t="s">
        <v>35</v>
      </c>
      <c r="V461" t="s">
        <v>36</v>
      </c>
      <c r="W461" t="s">
        <v>37</v>
      </c>
      <c r="X461" s="6">
        <v>0</v>
      </c>
      <c r="Y461" s="6">
        <v>100</v>
      </c>
      <c r="Z461" t="s">
        <v>38</v>
      </c>
      <c r="AA461" t="s">
        <v>39</v>
      </c>
      <c r="AB461" t="s">
        <v>38</v>
      </c>
      <c r="AC461" s="8">
        <v>3.7599999999999988E-2</v>
      </c>
    </row>
    <row r="462" spans="1:29" x14ac:dyDescent="0.3">
      <c r="A462" s="7">
        <v>461</v>
      </c>
      <c r="B462" s="1">
        <v>40564</v>
      </c>
      <c r="C462" s="7">
        <v>1</v>
      </c>
      <c r="D462" s="7">
        <v>5</v>
      </c>
      <c r="E462" t="b">
        <v>0</v>
      </c>
      <c r="F462" s="7">
        <v>5</v>
      </c>
      <c r="G462" s="7">
        <v>1</v>
      </c>
      <c r="H462" s="6">
        <v>0.24</v>
      </c>
      <c r="I462" s="8">
        <v>0.19700000000000001</v>
      </c>
      <c r="J462" s="6">
        <v>0.6</v>
      </c>
      <c r="K462" s="8">
        <v>0.41789999999999999</v>
      </c>
      <c r="L462" s="7">
        <v>1</v>
      </c>
      <c r="M462" s="7">
        <v>4</v>
      </c>
      <c r="N462" s="7">
        <v>5</v>
      </c>
      <c r="O462" t="s">
        <v>29</v>
      </c>
      <c r="P462" t="s">
        <v>59</v>
      </c>
      <c r="Q462" t="s">
        <v>31</v>
      </c>
      <c r="R462" t="s">
        <v>32</v>
      </c>
      <c r="S462" t="s">
        <v>33</v>
      </c>
      <c r="T462" t="s">
        <v>49</v>
      </c>
      <c r="U462" t="s">
        <v>53</v>
      </c>
      <c r="V462" t="s">
        <v>36</v>
      </c>
      <c r="W462" t="s">
        <v>37</v>
      </c>
      <c r="X462" s="6">
        <v>20</v>
      </c>
      <c r="Y462" s="6">
        <v>80</v>
      </c>
      <c r="Z462" t="s">
        <v>38</v>
      </c>
      <c r="AA462" t="s">
        <v>39</v>
      </c>
      <c r="AB462" t="s">
        <v>38</v>
      </c>
      <c r="AC462" s="8">
        <v>-4.2999999999999983E-2</v>
      </c>
    </row>
    <row r="463" spans="1:29" x14ac:dyDescent="0.3">
      <c r="A463" s="7">
        <v>462</v>
      </c>
      <c r="B463" s="1">
        <v>40564</v>
      </c>
      <c r="C463" s="7">
        <v>1</v>
      </c>
      <c r="D463" s="7">
        <v>6</v>
      </c>
      <c r="E463" t="b">
        <v>0</v>
      </c>
      <c r="F463" s="7">
        <v>5</v>
      </c>
      <c r="G463" s="7">
        <v>1</v>
      </c>
      <c r="H463" s="6">
        <v>0.22</v>
      </c>
      <c r="I463" s="8">
        <v>0.21210000000000001</v>
      </c>
      <c r="J463" s="6">
        <v>0.55000000000000004</v>
      </c>
      <c r="K463" s="8">
        <v>0.25369999999999998</v>
      </c>
      <c r="L463" s="7">
        <v>0</v>
      </c>
      <c r="M463" s="7">
        <v>27</v>
      </c>
      <c r="N463" s="7">
        <v>27</v>
      </c>
      <c r="O463" t="s">
        <v>29</v>
      </c>
      <c r="P463" t="s">
        <v>59</v>
      </c>
      <c r="Q463" t="s">
        <v>31</v>
      </c>
      <c r="R463" t="s">
        <v>42</v>
      </c>
      <c r="S463" t="s">
        <v>33</v>
      </c>
      <c r="T463" t="s">
        <v>49</v>
      </c>
      <c r="U463" t="s">
        <v>46</v>
      </c>
      <c r="V463" t="s">
        <v>36</v>
      </c>
      <c r="W463" t="s">
        <v>37</v>
      </c>
      <c r="X463" s="6">
        <v>0</v>
      </c>
      <c r="Y463" s="6">
        <v>100</v>
      </c>
      <c r="Z463" t="s">
        <v>38</v>
      </c>
      <c r="AA463" t="s">
        <v>39</v>
      </c>
      <c r="AB463" t="s">
        <v>38</v>
      </c>
      <c r="AC463" s="8">
        <v>-7.8999999999999904E-3</v>
      </c>
    </row>
    <row r="464" spans="1:29" x14ac:dyDescent="0.3">
      <c r="A464" s="7">
        <v>463</v>
      </c>
      <c r="B464" s="1">
        <v>40564</v>
      </c>
      <c r="C464" s="7">
        <v>1</v>
      </c>
      <c r="D464" s="7">
        <v>7</v>
      </c>
      <c r="E464" t="b">
        <v>0</v>
      </c>
      <c r="F464" s="7">
        <v>5</v>
      </c>
      <c r="G464" s="7">
        <v>1</v>
      </c>
      <c r="H464" s="6">
        <v>0.2</v>
      </c>
      <c r="I464" s="8">
        <v>0.18179999999999999</v>
      </c>
      <c r="J464" s="6">
        <v>0.51</v>
      </c>
      <c r="K464" s="8">
        <v>0.28360000000000002</v>
      </c>
      <c r="L464" s="7">
        <v>2</v>
      </c>
      <c r="M464" s="7">
        <v>66</v>
      </c>
      <c r="N464" s="7">
        <v>68</v>
      </c>
      <c r="O464" t="s">
        <v>29</v>
      </c>
      <c r="P464" t="s">
        <v>59</v>
      </c>
      <c r="Q464" t="s">
        <v>31</v>
      </c>
      <c r="R464" t="s">
        <v>42</v>
      </c>
      <c r="S464" t="s">
        <v>33</v>
      </c>
      <c r="T464" t="s">
        <v>49</v>
      </c>
      <c r="U464" t="s">
        <v>46</v>
      </c>
      <c r="V464" t="s">
        <v>36</v>
      </c>
      <c r="W464" t="s">
        <v>37</v>
      </c>
      <c r="X464" s="6">
        <v>2.9411764705882351</v>
      </c>
      <c r="Y464" s="6">
        <v>97.058823529411768</v>
      </c>
      <c r="Z464" t="s">
        <v>40</v>
      </c>
      <c r="AA464" t="s">
        <v>39</v>
      </c>
      <c r="AB464" t="s">
        <v>38</v>
      </c>
      <c r="AC464" s="8">
        <v>-1.8200000000000022E-2</v>
      </c>
    </row>
    <row r="465" spans="1:29" x14ac:dyDescent="0.3">
      <c r="A465" s="7">
        <v>464</v>
      </c>
      <c r="B465" s="1">
        <v>40564</v>
      </c>
      <c r="C465" s="7">
        <v>1</v>
      </c>
      <c r="D465" s="7">
        <v>8</v>
      </c>
      <c r="E465" t="b">
        <v>0</v>
      </c>
      <c r="F465" s="7">
        <v>5</v>
      </c>
      <c r="G465" s="7">
        <v>1</v>
      </c>
      <c r="H465" s="6">
        <v>0.2</v>
      </c>
      <c r="I465" s="8">
        <v>0.18179999999999999</v>
      </c>
      <c r="J465" s="6">
        <v>0.47</v>
      </c>
      <c r="K465" s="8">
        <v>0.32840000000000003</v>
      </c>
      <c r="L465" s="7">
        <v>7</v>
      </c>
      <c r="M465" s="7">
        <v>210</v>
      </c>
      <c r="N465" s="7">
        <v>217</v>
      </c>
      <c r="O465" t="s">
        <v>29</v>
      </c>
      <c r="P465" t="s">
        <v>59</v>
      </c>
      <c r="Q465" t="s">
        <v>31</v>
      </c>
      <c r="R465" t="s">
        <v>42</v>
      </c>
      <c r="S465" t="s">
        <v>33</v>
      </c>
      <c r="T465" t="s">
        <v>49</v>
      </c>
      <c r="U465" t="s">
        <v>53</v>
      </c>
      <c r="V465" t="s">
        <v>36</v>
      </c>
      <c r="W465" t="s">
        <v>37</v>
      </c>
      <c r="X465" s="6">
        <v>3.225806451612903</v>
      </c>
      <c r="Y465" s="6">
        <v>96.774193548387103</v>
      </c>
      <c r="Z465" t="s">
        <v>40</v>
      </c>
      <c r="AA465" t="s">
        <v>49</v>
      </c>
      <c r="AB465" t="s">
        <v>38</v>
      </c>
      <c r="AC465" s="8">
        <v>-1.8200000000000022E-2</v>
      </c>
    </row>
    <row r="466" spans="1:29" x14ac:dyDescent="0.3">
      <c r="A466" s="7">
        <v>465</v>
      </c>
      <c r="B466" s="1">
        <v>40564</v>
      </c>
      <c r="C466" s="7">
        <v>1</v>
      </c>
      <c r="D466" s="7">
        <v>9</v>
      </c>
      <c r="E466" t="b">
        <v>0</v>
      </c>
      <c r="F466" s="7">
        <v>5</v>
      </c>
      <c r="G466" s="7">
        <v>1</v>
      </c>
      <c r="H466" s="6">
        <v>0.2</v>
      </c>
      <c r="I466" s="8">
        <v>0.18179999999999999</v>
      </c>
      <c r="J466" s="6">
        <v>0.51</v>
      </c>
      <c r="K466" s="8">
        <v>0.35820000000000002</v>
      </c>
      <c r="L466" s="7">
        <v>7</v>
      </c>
      <c r="M466" s="7">
        <v>159</v>
      </c>
      <c r="N466" s="7">
        <v>166</v>
      </c>
      <c r="O466" t="s">
        <v>29</v>
      </c>
      <c r="P466" t="s">
        <v>59</v>
      </c>
      <c r="Q466" t="s">
        <v>31</v>
      </c>
      <c r="R466" t="s">
        <v>42</v>
      </c>
      <c r="S466" t="s">
        <v>33</v>
      </c>
      <c r="T466" t="s">
        <v>49</v>
      </c>
      <c r="U466" t="s">
        <v>53</v>
      </c>
      <c r="V466" t="s">
        <v>36</v>
      </c>
      <c r="W466" t="s">
        <v>37</v>
      </c>
      <c r="X466" s="6">
        <v>4.2168674698795181</v>
      </c>
      <c r="Y466" s="6">
        <v>95.783132530120483</v>
      </c>
      <c r="Z466" t="s">
        <v>40</v>
      </c>
      <c r="AA466" t="s">
        <v>49</v>
      </c>
      <c r="AB466" t="s">
        <v>38</v>
      </c>
      <c r="AC466" s="8">
        <v>-1.8200000000000022E-2</v>
      </c>
    </row>
    <row r="467" spans="1:29" x14ac:dyDescent="0.3">
      <c r="A467" s="7">
        <v>466</v>
      </c>
      <c r="B467" s="1">
        <v>40564</v>
      </c>
      <c r="C467" s="7">
        <v>1</v>
      </c>
      <c r="D467" s="7">
        <v>10</v>
      </c>
      <c r="E467" t="b">
        <v>0</v>
      </c>
      <c r="F467" s="7">
        <v>5</v>
      </c>
      <c r="G467" s="7">
        <v>1</v>
      </c>
      <c r="H467" s="6">
        <v>0.2</v>
      </c>
      <c r="I467" s="8">
        <v>0.16669999999999999</v>
      </c>
      <c r="J467" s="6">
        <v>0.47</v>
      </c>
      <c r="K467" s="8">
        <v>0.4627</v>
      </c>
      <c r="L467" s="7">
        <v>6</v>
      </c>
      <c r="M467" s="7">
        <v>57</v>
      </c>
      <c r="N467" s="7">
        <v>63</v>
      </c>
      <c r="O467" t="s">
        <v>29</v>
      </c>
      <c r="P467" t="s">
        <v>59</v>
      </c>
      <c r="Q467" t="s">
        <v>31</v>
      </c>
      <c r="R467" t="s">
        <v>42</v>
      </c>
      <c r="S467" t="s">
        <v>33</v>
      </c>
      <c r="T467" t="s">
        <v>49</v>
      </c>
      <c r="U467" t="s">
        <v>53</v>
      </c>
      <c r="V467" t="s">
        <v>36</v>
      </c>
      <c r="W467" t="s">
        <v>37</v>
      </c>
      <c r="X467" s="6">
        <v>9.5238095238095237</v>
      </c>
      <c r="Y467" s="6">
        <v>90.476190476190482</v>
      </c>
      <c r="Z467" t="s">
        <v>38</v>
      </c>
      <c r="AA467" t="s">
        <v>39</v>
      </c>
      <c r="AB467" t="s">
        <v>38</v>
      </c>
      <c r="AC467" s="8">
        <v>-3.3300000000000017E-2</v>
      </c>
    </row>
    <row r="468" spans="1:29" x14ac:dyDescent="0.3">
      <c r="A468" s="7">
        <v>467</v>
      </c>
      <c r="B468" s="1">
        <v>40564</v>
      </c>
      <c r="C468" s="7">
        <v>1</v>
      </c>
      <c r="D468" s="7">
        <v>11</v>
      </c>
      <c r="E468" t="b">
        <v>0</v>
      </c>
      <c r="F468" s="7">
        <v>5</v>
      </c>
      <c r="G468" s="7">
        <v>1</v>
      </c>
      <c r="H468" s="6">
        <v>0.22</v>
      </c>
      <c r="I468" s="8">
        <v>0.18179999999999999</v>
      </c>
      <c r="J468" s="6">
        <v>0.41</v>
      </c>
      <c r="K468" s="8">
        <v>0.4627</v>
      </c>
      <c r="L468" s="7">
        <v>6</v>
      </c>
      <c r="M468" s="7">
        <v>53</v>
      </c>
      <c r="N468" s="7">
        <v>59</v>
      </c>
      <c r="O468" t="s">
        <v>29</v>
      </c>
      <c r="P468" t="s">
        <v>59</v>
      </c>
      <c r="Q468" t="s">
        <v>31</v>
      </c>
      <c r="R468" t="s">
        <v>42</v>
      </c>
      <c r="S468" t="s">
        <v>33</v>
      </c>
      <c r="T468" t="s">
        <v>49</v>
      </c>
      <c r="U468" t="s">
        <v>53</v>
      </c>
      <c r="V468" t="s">
        <v>36</v>
      </c>
      <c r="W468" t="s">
        <v>37</v>
      </c>
      <c r="X468" s="6">
        <v>10.16949152542373</v>
      </c>
      <c r="Y468" s="6">
        <v>89.830508474576277</v>
      </c>
      <c r="Z468" t="s">
        <v>38</v>
      </c>
      <c r="AA468" t="s">
        <v>39</v>
      </c>
      <c r="AB468" t="s">
        <v>38</v>
      </c>
      <c r="AC468" s="8">
        <v>-3.8200000000000012E-2</v>
      </c>
    </row>
    <row r="469" spans="1:29" x14ac:dyDescent="0.3">
      <c r="A469" s="7">
        <v>468</v>
      </c>
      <c r="B469" s="1">
        <v>40564</v>
      </c>
      <c r="C469" s="7">
        <v>1</v>
      </c>
      <c r="D469" s="7">
        <v>12</v>
      </c>
      <c r="E469" t="b">
        <v>0</v>
      </c>
      <c r="F469" s="7">
        <v>5</v>
      </c>
      <c r="G469" s="7">
        <v>1</v>
      </c>
      <c r="H469" s="6">
        <v>0.22</v>
      </c>
      <c r="I469" s="8">
        <v>0.18179999999999999</v>
      </c>
      <c r="J469" s="6">
        <v>0.27</v>
      </c>
      <c r="K469" s="8">
        <v>0.58209999999999995</v>
      </c>
      <c r="L469" s="7">
        <v>11</v>
      </c>
      <c r="M469" s="7">
        <v>67</v>
      </c>
      <c r="N469" s="7">
        <v>78</v>
      </c>
      <c r="O469" t="s">
        <v>29</v>
      </c>
      <c r="P469" t="s">
        <v>59</v>
      </c>
      <c r="Q469" t="s">
        <v>31</v>
      </c>
      <c r="R469" t="s">
        <v>47</v>
      </c>
      <c r="S469" t="s">
        <v>33</v>
      </c>
      <c r="T469" t="s">
        <v>39</v>
      </c>
      <c r="U469" t="s">
        <v>53</v>
      </c>
      <c r="V469" t="s">
        <v>36</v>
      </c>
      <c r="W469" t="s">
        <v>37</v>
      </c>
      <c r="X469" s="6">
        <v>14.1025641025641</v>
      </c>
      <c r="Y469" s="6">
        <v>85.897435897435898</v>
      </c>
      <c r="Z469" t="s">
        <v>38</v>
      </c>
      <c r="AA469" t="s">
        <v>39</v>
      </c>
      <c r="AB469" t="s">
        <v>38</v>
      </c>
      <c r="AC469" s="8">
        <v>-3.8200000000000012E-2</v>
      </c>
    </row>
    <row r="470" spans="1:29" x14ac:dyDescent="0.3">
      <c r="A470" s="7">
        <v>469</v>
      </c>
      <c r="B470" s="1">
        <v>40564</v>
      </c>
      <c r="C470" s="7">
        <v>1</v>
      </c>
      <c r="D470" s="7">
        <v>13</v>
      </c>
      <c r="E470" t="b">
        <v>0</v>
      </c>
      <c r="F470" s="7">
        <v>5</v>
      </c>
      <c r="G470" s="7">
        <v>1</v>
      </c>
      <c r="H470" s="6">
        <v>0.2</v>
      </c>
      <c r="I470" s="8">
        <v>0.1515</v>
      </c>
      <c r="J470" s="6">
        <v>0.21</v>
      </c>
      <c r="K470" s="8">
        <v>0.58209999999999995</v>
      </c>
      <c r="L470" s="7">
        <v>8</v>
      </c>
      <c r="M470" s="7">
        <v>65</v>
      </c>
      <c r="N470" s="7">
        <v>73</v>
      </c>
      <c r="O470" t="s">
        <v>29</v>
      </c>
      <c r="P470" t="s">
        <v>59</v>
      </c>
      <c r="Q470" t="s">
        <v>31</v>
      </c>
      <c r="R470" t="s">
        <v>47</v>
      </c>
      <c r="S470" t="s">
        <v>33</v>
      </c>
      <c r="T470" t="s">
        <v>39</v>
      </c>
      <c r="U470" t="s">
        <v>53</v>
      </c>
      <c r="V470" t="s">
        <v>36</v>
      </c>
      <c r="W470" t="s">
        <v>37</v>
      </c>
      <c r="X470" s="6">
        <v>10.95890410958904</v>
      </c>
      <c r="Y470" s="6">
        <v>89.041095890410958</v>
      </c>
      <c r="Z470" t="s">
        <v>38</v>
      </c>
      <c r="AA470" t="s">
        <v>39</v>
      </c>
      <c r="AB470" t="s">
        <v>38</v>
      </c>
      <c r="AC470" s="8">
        <v>-4.8500000000000022E-2</v>
      </c>
    </row>
    <row r="471" spans="1:29" x14ac:dyDescent="0.3">
      <c r="A471" s="7">
        <v>470</v>
      </c>
      <c r="B471" s="1">
        <v>40564</v>
      </c>
      <c r="C471" s="7">
        <v>1</v>
      </c>
      <c r="D471" s="7">
        <v>14</v>
      </c>
      <c r="E471" t="b">
        <v>0</v>
      </c>
      <c r="F471" s="7">
        <v>5</v>
      </c>
      <c r="G471" s="7">
        <v>1</v>
      </c>
      <c r="H471" s="6">
        <v>0.2</v>
      </c>
      <c r="I471" s="8">
        <v>0.1515</v>
      </c>
      <c r="J471" s="6">
        <v>0.25</v>
      </c>
      <c r="K471" s="8">
        <v>0.52239999999999998</v>
      </c>
      <c r="L471" s="7">
        <v>6</v>
      </c>
      <c r="M471" s="7">
        <v>56</v>
      </c>
      <c r="N471" s="7">
        <v>62</v>
      </c>
      <c r="O471" t="s">
        <v>29</v>
      </c>
      <c r="P471" t="s">
        <v>59</v>
      </c>
      <c r="Q471" t="s">
        <v>31</v>
      </c>
      <c r="R471" t="s">
        <v>47</v>
      </c>
      <c r="S471" t="s">
        <v>33</v>
      </c>
      <c r="T471" t="s">
        <v>39</v>
      </c>
      <c r="U471" t="s">
        <v>53</v>
      </c>
      <c r="V471" t="s">
        <v>36</v>
      </c>
      <c r="W471" t="s">
        <v>37</v>
      </c>
      <c r="X471" s="6">
        <v>9.67741935483871</v>
      </c>
      <c r="Y471" s="6">
        <v>90.322580645161281</v>
      </c>
      <c r="Z471" t="s">
        <v>38</v>
      </c>
      <c r="AA471" t="s">
        <v>39</v>
      </c>
      <c r="AB471" t="s">
        <v>38</v>
      </c>
      <c r="AC471" s="8">
        <v>-4.8500000000000022E-2</v>
      </c>
    </row>
    <row r="472" spans="1:29" x14ac:dyDescent="0.3">
      <c r="A472" s="7">
        <v>471</v>
      </c>
      <c r="B472" s="1">
        <v>40564</v>
      </c>
      <c r="C472" s="7">
        <v>1</v>
      </c>
      <c r="D472" s="7">
        <v>15</v>
      </c>
      <c r="E472" t="b">
        <v>0</v>
      </c>
      <c r="F472" s="7">
        <v>5</v>
      </c>
      <c r="G472" s="7">
        <v>1</v>
      </c>
      <c r="H472" s="6">
        <v>0.16</v>
      </c>
      <c r="I472" s="8">
        <v>0.1212</v>
      </c>
      <c r="J472" s="6">
        <v>0.26</v>
      </c>
      <c r="K472" s="8">
        <v>0.44779999999999998</v>
      </c>
      <c r="L472" s="7">
        <v>4</v>
      </c>
      <c r="M472" s="7">
        <v>61</v>
      </c>
      <c r="N472" s="7">
        <v>65</v>
      </c>
      <c r="O472" t="s">
        <v>29</v>
      </c>
      <c r="P472" t="s">
        <v>59</v>
      </c>
      <c r="Q472" t="s">
        <v>31</v>
      </c>
      <c r="R472" t="s">
        <v>47</v>
      </c>
      <c r="S472" t="s">
        <v>33</v>
      </c>
      <c r="T472" t="s">
        <v>39</v>
      </c>
      <c r="U472" t="s">
        <v>53</v>
      </c>
      <c r="V472" t="s">
        <v>36</v>
      </c>
      <c r="W472" t="s">
        <v>37</v>
      </c>
      <c r="X472" s="6">
        <v>6.1538461538461542</v>
      </c>
      <c r="Y472" s="6">
        <v>93.84615384615384</v>
      </c>
      <c r="Z472" t="s">
        <v>38</v>
      </c>
      <c r="AA472" t="s">
        <v>39</v>
      </c>
      <c r="AB472" t="s">
        <v>38</v>
      </c>
      <c r="AC472" s="8">
        <v>-3.8800000000000001E-2</v>
      </c>
    </row>
    <row r="473" spans="1:29" x14ac:dyDescent="0.3">
      <c r="A473" s="7">
        <v>472</v>
      </c>
      <c r="B473" s="1">
        <v>40564</v>
      </c>
      <c r="C473" s="7">
        <v>1</v>
      </c>
      <c r="D473" s="7">
        <v>16</v>
      </c>
      <c r="E473" t="b">
        <v>0</v>
      </c>
      <c r="F473" s="7">
        <v>5</v>
      </c>
      <c r="G473" s="7">
        <v>1</v>
      </c>
      <c r="H473" s="6">
        <v>0.16</v>
      </c>
      <c r="I473" s="8">
        <v>0.13639999999999999</v>
      </c>
      <c r="J473" s="6">
        <v>0.26</v>
      </c>
      <c r="K473" s="8">
        <v>0.35820000000000002</v>
      </c>
      <c r="L473" s="7">
        <v>0</v>
      </c>
      <c r="M473" s="7">
        <v>97</v>
      </c>
      <c r="N473" s="7">
        <v>97</v>
      </c>
      <c r="O473" t="s">
        <v>29</v>
      </c>
      <c r="P473" t="s">
        <v>59</v>
      </c>
      <c r="Q473" t="s">
        <v>31</v>
      </c>
      <c r="R473" t="s">
        <v>47</v>
      </c>
      <c r="S473" t="s">
        <v>33</v>
      </c>
      <c r="T473" t="s">
        <v>39</v>
      </c>
      <c r="U473" t="s">
        <v>53</v>
      </c>
      <c r="V473" t="s">
        <v>36</v>
      </c>
      <c r="W473" t="s">
        <v>37</v>
      </c>
      <c r="X473" s="6">
        <v>0</v>
      </c>
      <c r="Y473" s="6">
        <v>100</v>
      </c>
      <c r="Z473" t="s">
        <v>38</v>
      </c>
      <c r="AA473" t="s">
        <v>39</v>
      </c>
      <c r="AB473" t="s">
        <v>38</v>
      </c>
      <c r="AC473" s="8">
        <v>-2.360000000000001E-2</v>
      </c>
    </row>
    <row r="474" spans="1:29" x14ac:dyDescent="0.3">
      <c r="A474" s="7">
        <v>473</v>
      </c>
      <c r="B474" s="1">
        <v>40564</v>
      </c>
      <c r="C474" s="7">
        <v>1</v>
      </c>
      <c r="D474" s="7">
        <v>17</v>
      </c>
      <c r="E474" t="b">
        <v>0</v>
      </c>
      <c r="F474" s="7">
        <v>5</v>
      </c>
      <c r="G474" s="7">
        <v>1</v>
      </c>
      <c r="H474" s="6">
        <v>0.14000000000000001</v>
      </c>
      <c r="I474" s="8">
        <v>0.1212</v>
      </c>
      <c r="J474" s="6">
        <v>0.28000000000000003</v>
      </c>
      <c r="K474" s="8">
        <v>0.35820000000000002</v>
      </c>
      <c r="L474" s="7">
        <v>10</v>
      </c>
      <c r="M474" s="7">
        <v>151</v>
      </c>
      <c r="N474" s="7">
        <v>161</v>
      </c>
      <c r="O474" t="s">
        <v>29</v>
      </c>
      <c r="P474" t="s">
        <v>59</v>
      </c>
      <c r="Q474" t="s">
        <v>31</v>
      </c>
      <c r="R474" t="s">
        <v>50</v>
      </c>
      <c r="S474" t="s">
        <v>55</v>
      </c>
      <c r="T474" t="s">
        <v>39</v>
      </c>
      <c r="U474" t="s">
        <v>53</v>
      </c>
      <c r="V474" t="s">
        <v>36</v>
      </c>
      <c r="W474" t="s">
        <v>37</v>
      </c>
      <c r="X474" s="6">
        <v>6.2111801242236027</v>
      </c>
      <c r="Y474" s="6">
        <v>93.788819875776397</v>
      </c>
      <c r="Z474" t="s">
        <v>40</v>
      </c>
      <c r="AA474" t="s">
        <v>49</v>
      </c>
      <c r="AB474" t="s">
        <v>38</v>
      </c>
      <c r="AC474" s="8">
        <v>-1.8800000000000011E-2</v>
      </c>
    </row>
    <row r="475" spans="1:29" x14ac:dyDescent="0.3">
      <c r="A475" s="7">
        <v>474</v>
      </c>
      <c r="B475" s="1">
        <v>40564</v>
      </c>
      <c r="C475" s="7">
        <v>1</v>
      </c>
      <c r="D475" s="7">
        <v>18</v>
      </c>
      <c r="E475" t="b">
        <v>0</v>
      </c>
      <c r="F475" s="7">
        <v>5</v>
      </c>
      <c r="G475" s="7">
        <v>1</v>
      </c>
      <c r="H475" s="6">
        <v>0.12</v>
      </c>
      <c r="I475" s="8">
        <v>0.1212</v>
      </c>
      <c r="J475" s="6">
        <v>0.3</v>
      </c>
      <c r="K475" s="8">
        <v>0.25369999999999998</v>
      </c>
      <c r="L475" s="7">
        <v>1</v>
      </c>
      <c r="M475" s="7">
        <v>119</v>
      </c>
      <c r="N475" s="7">
        <v>120</v>
      </c>
      <c r="O475" t="s">
        <v>29</v>
      </c>
      <c r="P475" t="s">
        <v>59</v>
      </c>
      <c r="Q475" t="s">
        <v>31</v>
      </c>
      <c r="R475" t="s">
        <v>50</v>
      </c>
      <c r="S475" t="s">
        <v>55</v>
      </c>
      <c r="T475" t="s">
        <v>39</v>
      </c>
      <c r="U475" t="s">
        <v>46</v>
      </c>
      <c r="V475" t="s">
        <v>36</v>
      </c>
      <c r="W475" t="s">
        <v>37</v>
      </c>
      <c r="X475" s="6">
        <v>0.83333333333333337</v>
      </c>
      <c r="Y475" s="6">
        <v>99.166666666666671</v>
      </c>
      <c r="Z475" t="s">
        <v>40</v>
      </c>
      <c r="AA475" t="s">
        <v>49</v>
      </c>
      <c r="AB475" t="s">
        <v>38</v>
      </c>
      <c r="AC475" s="8">
        <v>1.2000000000000071E-3</v>
      </c>
    </row>
    <row r="476" spans="1:29" x14ac:dyDescent="0.3">
      <c r="A476" s="7">
        <v>475</v>
      </c>
      <c r="B476" s="1">
        <v>40564</v>
      </c>
      <c r="C476" s="7">
        <v>1</v>
      </c>
      <c r="D476" s="7">
        <v>19</v>
      </c>
      <c r="E476" t="b">
        <v>0</v>
      </c>
      <c r="F476" s="7">
        <v>5</v>
      </c>
      <c r="G476" s="7">
        <v>1</v>
      </c>
      <c r="H476" s="6">
        <v>0.12</v>
      </c>
      <c r="I476" s="8">
        <v>0.1061</v>
      </c>
      <c r="J476" s="6">
        <v>0.3</v>
      </c>
      <c r="K476" s="8">
        <v>0.32840000000000003</v>
      </c>
      <c r="L476" s="7">
        <v>3</v>
      </c>
      <c r="M476" s="7">
        <v>93</v>
      </c>
      <c r="N476" s="7">
        <v>96</v>
      </c>
      <c r="O476" t="s">
        <v>29</v>
      </c>
      <c r="P476" t="s">
        <v>59</v>
      </c>
      <c r="Q476" t="s">
        <v>31</v>
      </c>
      <c r="R476" t="s">
        <v>50</v>
      </c>
      <c r="S476" t="s">
        <v>55</v>
      </c>
      <c r="T476" t="s">
        <v>39</v>
      </c>
      <c r="U476" t="s">
        <v>53</v>
      </c>
      <c r="V476" t="s">
        <v>36</v>
      </c>
      <c r="W476" t="s">
        <v>37</v>
      </c>
      <c r="X476" s="6">
        <v>3.125</v>
      </c>
      <c r="Y476" s="6">
        <v>96.875</v>
      </c>
      <c r="Z476" t="s">
        <v>40</v>
      </c>
      <c r="AA476" t="s">
        <v>39</v>
      </c>
      <c r="AB476" t="s">
        <v>38</v>
      </c>
      <c r="AC476" s="8">
        <v>-1.3899999999999999E-2</v>
      </c>
    </row>
    <row r="477" spans="1:29" x14ac:dyDescent="0.3">
      <c r="A477" s="7">
        <v>476</v>
      </c>
      <c r="B477" s="1">
        <v>40564</v>
      </c>
      <c r="C477" s="7">
        <v>1</v>
      </c>
      <c r="D477" s="7">
        <v>20</v>
      </c>
      <c r="E477" t="b">
        <v>0</v>
      </c>
      <c r="F477" s="7">
        <v>5</v>
      </c>
      <c r="G477" s="7">
        <v>1</v>
      </c>
      <c r="H477" s="6">
        <v>0.1</v>
      </c>
      <c r="I477" s="8">
        <v>7.5800000000000006E-2</v>
      </c>
      <c r="J477" s="6">
        <v>0.33</v>
      </c>
      <c r="K477" s="8">
        <v>0.41789999999999999</v>
      </c>
      <c r="L477" s="7">
        <v>1</v>
      </c>
      <c r="M477" s="7">
        <v>52</v>
      </c>
      <c r="N477" s="7">
        <v>53</v>
      </c>
      <c r="O477" t="s">
        <v>29</v>
      </c>
      <c r="P477" t="s">
        <v>59</v>
      </c>
      <c r="Q477" t="s">
        <v>31</v>
      </c>
      <c r="R477" t="s">
        <v>50</v>
      </c>
      <c r="S477" t="s">
        <v>55</v>
      </c>
      <c r="T477" t="s">
        <v>39</v>
      </c>
      <c r="U477" t="s">
        <v>53</v>
      </c>
      <c r="V477" t="s">
        <v>36</v>
      </c>
      <c r="W477" t="s">
        <v>37</v>
      </c>
      <c r="X477" s="6">
        <v>1.8867924528301889</v>
      </c>
      <c r="Y477" s="6">
        <v>98.113207547169807</v>
      </c>
      <c r="Z477" t="s">
        <v>38</v>
      </c>
      <c r="AA477" t="s">
        <v>39</v>
      </c>
      <c r="AB477" t="s">
        <v>38</v>
      </c>
      <c r="AC477" s="8">
        <v>-2.4199999999999999E-2</v>
      </c>
    </row>
    <row r="478" spans="1:29" x14ac:dyDescent="0.3">
      <c r="A478" s="7">
        <v>477</v>
      </c>
      <c r="B478" s="1">
        <v>40564</v>
      </c>
      <c r="C478" s="7">
        <v>1</v>
      </c>
      <c r="D478" s="7">
        <v>21</v>
      </c>
      <c r="E478" t="b">
        <v>0</v>
      </c>
      <c r="F478" s="7">
        <v>5</v>
      </c>
      <c r="G478" s="7">
        <v>1</v>
      </c>
      <c r="H478" s="6">
        <v>0.08</v>
      </c>
      <c r="I478" s="8">
        <v>7.5800000000000006E-2</v>
      </c>
      <c r="J478" s="6">
        <v>0.38</v>
      </c>
      <c r="K478" s="8">
        <v>0.28360000000000002</v>
      </c>
      <c r="L478" s="7">
        <v>0</v>
      </c>
      <c r="M478" s="7">
        <v>41</v>
      </c>
      <c r="N478" s="7">
        <v>41</v>
      </c>
      <c r="O478" t="s">
        <v>29</v>
      </c>
      <c r="P478" t="s">
        <v>59</v>
      </c>
      <c r="Q478" t="s">
        <v>31</v>
      </c>
      <c r="R478" t="s">
        <v>32</v>
      </c>
      <c r="S478" t="s">
        <v>55</v>
      </c>
      <c r="T478" t="s">
        <v>39</v>
      </c>
      <c r="U478" t="s">
        <v>46</v>
      </c>
      <c r="V478" t="s">
        <v>36</v>
      </c>
      <c r="W478" t="s">
        <v>37</v>
      </c>
      <c r="X478" s="6">
        <v>0</v>
      </c>
      <c r="Y478" s="6">
        <v>100</v>
      </c>
      <c r="Z478" t="s">
        <v>38</v>
      </c>
      <c r="AA478" t="s">
        <v>39</v>
      </c>
      <c r="AB478" t="s">
        <v>38</v>
      </c>
      <c r="AC478" s="8">
        <v>-4.1999999999999954E-3</v>
      </c>
    </row>
    <row r="479" spans="1:29" x14ac:dyDescent="0.3">
      <c r="A479" s="7">
        <v>478</v>
      </c>
      <c r="B479" s="1">
        <v>40564</v>
      </c>
      <c r="C479" s="7">
        <v>1</v>
      </c>
      <c r="D479" s="7">
        <v>22</v>
      </c>
      <c r="E479" t="b">
        <v>0</v>
      </c>
      <c r="F479" s="7">
        <v>5</v>
      </c>
      <c r="G479" s="7">
        <v>1</v>
      </c>
      <c r="H479" s="6">
        <v>0.06</v>
      </c>
      <c r="I479" s="8">
        <v>3.0300000000000001E-2</v>
      </c>
      <c r="J479" s="6">
        <v>0.41</v>
      </c>
      <c r="K479" s="8">
        <v>0.3881</v>
      </c>
      <c r="L479" s="7">
        <v>1</v>
      </c>
      <c r="M479" s="7">
        <v>33</v>
      </c>
      <c r="N479" s="7">
        <v>34</v>
      </c>
      <c r="O479" t="s">
        <v>29</v>
      </c>
      <c r="P479" t="s">
        <v>59</v>
      </c>
      <c r="Q479" t="s">
        <v>31</v>
      </c>
      <c r="R479" t="s">
        <v>32</v>
      </c>
      <c r="S479" t="s">
        <v>55</v>
      </c>
      <c r="T479" t="s">
        <v>49</v>
      </c>
      <c r="U479" t="s">
        <v>53</v>
      </c>
      <c r="V479" t="s">
        <v>36</v>
      </c>
      <c r="W479" t="s">
        <v>37</v>
      </c>
      <c r="X479" s="6">
        <v>2.9411764705882351</v>
      </c>
      <c r="Y479" s="6">
        <v>97.058823529411768</v>
      </c>
      <c r="Z479" t="s">
        <v>38</v>
      </c>
      <c r="AA479" t="s">
        <v>39</v>
      </c>
      <c r="AB479" t="s">
        <v>38</v>
      </c>
      <c r="AC479" s="8">
        <v>-2.9700000000000001E-2</v>
      </c>
    </row>
    <row r="480" spans="1:29" x14ac:dyDescent="0.3">
      <c r="A480" s="7">
        <v>479</v>
      </c>
      <c r="B480" s="1">
        <v>40564</v>
      </c>
      <c r="C480" s="7">
        <v>1</v>
      </c>
      <c r="D480" s="7">
        <v>23</v>
      </c>
      <c r="E480" t="b">
        <v>0</v>
      </c>
      <c r="F480" s="7">
        <v>5</v>
      </c>
      <c r="G480" s="7">
        <v>1</v>
      </c>
      <c r="H480" s="6">
        <v>0.06</v>
      </c>
      <c r="I480" s="8">
        <v>4.5499999999999999E-2</v>
      </c>
      <c r="J480" s="6">
        <v>0.38</v>
      </c>
      <c r="K480" s="8">
        <v>0.32840000000000003</v>
      </c>
      <c r="L480" s="7">
        <v>0</v>
      </c>
      <c r="M480" s="7">
        <v>27</v>
      </c>
      <c r="N480" s="7">
        <v>27</v>
      </c>
      <c r="O480" t="s">
        <v>29</v>
      </c>
      <c r="P480" t="s">
        <v>59</v>
      </c>
      <c r="Q480" t="s">
        <v>31</v>
      </c>
      <c r="R480" t="s">
        <v>32</v>
      </c>
      <c r="S480" t="s">
        <v>55</v>
      </c>
      <c r="T480" t="s">
        <v>39</v>
      </c>
      <c r="U480" t="s">
        <v>53</v>
      </c>
      <c r="V480" t="s">
        <v>36</v>
      </c>
      <c r="W480" t="s">
        <v>37</v>
      </c>
      <c r="X480" s="6">
        <v>0</v>
      </c>
      <c r="Y480" s="6">
        <v>100</v>
      </c>
      <c r="Z480" t="s">
        <v>38</v>
      </c>
      <c r="AA480" t="s">
        <v>39</v>
      </c>
      <c r="AB480" t="s">
        <v>38</v>
      </c>
      <c r="AC480" s="8">
        <v>-1.4500000000000001E-2</v>
      </c>
    </row>
    <row r="481" spans="1:29" x14ac:dyDescent="0.3">
      <c r="A481" s="7">
        <v>480</v>
      </c>
      <c r="B481" s="1">
        <v>40565</v>
      </c>
      <c r="C481" s="7">
        <v>1</v>
      </c>
      <c r="D481" s="7">
        <v>0</v>
      </c>
      <c r="E481" t="b">
        <v>0</v>
      </c>
      <c r="F481" s="7">
        <v>6</v>
      </c>
      <c r="G481" s="7">
        <v>1</v>
      </c>
      <c r="H481" s="6">
        <v>0.04</v>
      </c>
      <c r="I481" s="8">
        <v>3.0300000000000001E-2</v>
      </c>
      <c r="J481" s="6">
        <v>0.45</v>
      </c>
      <c r="K481" s="8">
        <v>0.25369999999999998</v>
      </c>
      <c r="L481" s="7">
        <v>0</v>
      </c>
      <c r="M481" s="7">
        <v>13</v>
      </c>
      <c r="N481" s="7">
        <v>13</v>
      </c>
      <c r="O481" t="s">
        <v>29</v>
      </c>
      <c r="P481" t="s">
        <v>30</v>
      </c>
      <c r="Q481" t="s">
        <v>31</v>
      </c>
      <c r="R481" t="s">
        <v>32</v>
      </c>
      <c r="S481" t="s">
        <v>55</v>
      </c>
      <c r="T481" t="s">
        <v>49</v>
      </c>
      <c r="U481" t="s">
        <v>46</v>
      </c>
      <c r="V481" t="s">
        <v>36</v>
      </c>
      <c r="W481" t="s">
        <v>37</v>
      </c>
      <c r="X481" s="6">
        <v>0</v>
      </c>
      <c r="Y481" s="6">
        <v>100</v>
      </c>
      <c r="Z481" t="s">
        <v>38</v>
      </c>
      <c r="AA481" t="s">
        <v>39</v>
      </c>
      <c r="AB481" t="s">
        <v>40</v>
      </c>
      <c r="AC481" s="8">
        <v>-9.7000000000000003E-3</v>
      </c>
    </row>
    <row r="482" spans="1:29" x14ac:dyDescent="0.3">
      <c r="A482" s="7">
        <v>481</v>
      </c>
      <c r="B482" s="1">
        <v>40565</v>
      </c>
      <c r="C482" s="7">
        <v>1</v>
      </c>
      <c r="D482" s="7">
        <v>1</v>
      </c>
      <c r="E482" t="b">
        <v>0</v>
      </c>
      <c r="F482" s="7">
        <v>6</v>
      </c>
      <c r="G482" s="7">
        <v>2</v>
      </c>
      <c r="H482" s="6">
        <v>0.04</v>
      </c>
      <c r="I482" s="8">
        <v>0</v>
      </c>
      <c r="J482" s="6">
        <v>0.41</v>
      </c>
      <c r="K482" s="8">
        <v>0.3881</v>
      </c>
      <c r="L482" s="7">
        <v>3</v>
      </c>
      <c r="M482" s="7">
        <v>9</v>
      </c>
      <c r="N482" s="7">
        <v>12</v>
      </c>
      <c r="O482" t="s">
        <v>29</v>
      </c>
      <c r="P482" t="s">
        <v>30</v>
      </c>
      <c r="Q482" t="s">
        <v>41</v>
      </c>
      <c r="R482" t="s">
        <v>32</v>
      </c>
      <c r="S482" t="s">
        <v>55</v>
      </c>
      <c r="T482" t="s">
        <v>49</v>
      </c>
      <c r="U482" t="s">
        <v>53</v>
      </c>
      <c r="V482" t="s">
        <v>36</v>
      </c>
      <c r="W482" t="s">
        <v>37</v>
      </c>
      <c r="X482" s="6">
        <v>25</v>
      </c>
      <c r="Y482" s="6">
        <v>75</v>
      </c>
      <c r="Z482" t="s">
        <v>38</v>
      </c>
      <c r="AA482" t="s">
        <v>39</v>
      </c>
      <c r="AB482" t="s">
        <v>40</v>
      </c>
      <c r="AC482" s="8">
        <v>-0.04</v>
      </c>
    </row>
    <row r="483" spans="1:29" x14ac:dyDescent="0.3">
      <c r="A483" s="7">
        <v>482</v>
      </c>
      <c r="B483" s="1">
        <v>40565</v>
      </c>
      <c r="C483" s="7">
        <v>1</v>
      </c>
      <c r="D483" s="7">
        <v>2</v>
      </c>
      <c r="E483" t="b">
        <v>0</v>
      </c>
      <c r="F483" s="7">
        <v>6</v>
      </c>
      <c r="G483" s="7">
        <v>2</v>
      </c>
      <c r="H483" s="6">
        <v>0.04</v>
      </c>
      <c r="I483" s="8">
        <v>3.0300000000000001E-2</v>
      </c>
      <c r="J483" s="6">
        <v>0.41</v>
      </c>
      <c r="K483" s="8">
        <v>0.25369999999999998</v>
      </c>
      <c r="L483" s="7">
        <v>0</v>
      </c>
      <c r="M483" s="7">
        <v>11</v>
      </c>
      <c r="N483" s="7">
        <v>11</v>
      </c>
      <c r="O483" t="s">
        <v>29</v>
      </c>
      <c r="P483" t="s">
        <v>30</v>
      </c>
      <c r="Q483" t="s">
        <v>41</v>
      </c>
      <c r="R483" t="s">
        <v>32</v>
      </c>
      <c r="S483" t="s">
        <v>55</v>
      </c>
      <c r="T483" t="s">
        <v>49</v>
      </c>
      <c r="U483" t="s">
        <v>46</v>
      </c>
      <c r="V483" t="s">
        <v>36</v>
      </c>
      <c r="W483" t="s">
        <v>37</v>
      </c>
      <c r="X483" s="6">
        <v>0</v>
      </c>
      <c r="Y483" s="6">
        <v>100</v>
      </c>
      <c r="Z483" t="s">
        <v>38</v>
      </c>
      <c r="AA483" t="s">
        <v>39</v>
      </c>
      <c r="AB483" t="s">
        <v>40</v>
      </c>
      <c r="AC483" s="8">
        <v>-9.7000000000000003E-3</v>
      </c>
    </row>
    <row r="484" spans="1:29" x14ac:dyDescent="0.3">
      <c r="A484" s="7">
        <v>483</v>
      </c>
      <c r="B484" s="1">
        <v>40565</v>
      </c>
      <c r="C484" s="7">
        <v>1</v>
      </c>
      <c r="D484" s="7">
        <v>3</v>
      </c>
      <c r="E484" t="b">
        <v>0</v>
      </c>
      <c r="F484" s="7">
        <v>6</v>
      </c>
      <c r="G484" s="7">
        <v>2</v>
      </c>
      <c r="H484" s="6">
        <v>0.04</v>
      </c>
      <c r="I484" s="8">
        <v>3.0300000000000001E-2</v>
      </c>
      <c r="J484" s="6">
        <v>0.41</v>
      </c>
      <c r="K484" s="8">
        <v>0.28360000000000002</v>
      </c>
      <c r="L484" s="7">
        <v>1</v>
      </c>
      <c r="M484" s="7">
        <v>6</v>
      </c>
      <c r="N484" s="7">
        <v>7</v>
      </c>
      <c r="O484" t="s">
        <v>29</v>
      </c>
      <c r="P484" t="s">
        <v>30</v>
      </c>
      <c r="Q484" t="s">
        <v>41</v>
      </c>
      <c r="R484" t="s">
        <v>32</v>
      </c>
      <c r="S484" t="s">
        <v>55</v>
      </c>
      <c r="T484" t="s">
        <v>49</v>
      </c>
      <c r="U484" t="s">
        <v>46</v>
      </c>
      <c r="V484" t="s">
        <v>36</v>
      </c>
      <c r="W484" t="s">
        <v>37</v>
      </c>
      <c r="X484" s="6">
        <v>14.285714285714279</v>
      </c>
      <c r="Y484" s="6">
        <v>85.714285714285708</v>
      </c>
      <c r="Z484" t="s">
        <v>38</v>
      </c>
      <c r="AA484" t="s">
        <v>39</v>
      </c>
      <c r="AB484" t="s">
        <v>40</v>
      </c>
      <c r="AC484" s="8">
        <v>-9.7000000000000003E-3</v>
      </c>
    </row>
    <row r="485" spans="1:29" x14ac:dyDescent="0.3">
      <c r="A485" s="7">
        <v>484</v>
      </c>
      <c r="B485" s="1">
        <v>40565</v>
      </c>
      <c r="C485" s="7">
        <v>1</v>
      </c>
      <c r="D485" s="7">
        <v>4</v>
      </c>
      <c r="E485" t="b">
        <v>0</v>
      </c>
      <c r="F485" s="7">
        <v>6</v>
      </c>
      <c r="G485" s="7">
        <v>2</v>
      </c>
      <c r="H485" s="6">
        <v>0.02</v>
      </c>
      <c r="I485" s="8">
        <v>1.52E-2</v>
      </c>
      <c r="J485" s="6">
        <v>0.48</v>
      </c>
      <c r="K485" s="8">
        <v>0.29849999999999999</v>
      </c>
      <c r="L485" s="7">
        <v>0</v>
      </c>
      <c r="M485" s="7">
        <v>3</v>
      </c>
      <c r="N485" s="7">
        <v>3</v>
      </c>
      <c r="O485" t="s">
        <v>29</v>
      </c>
      <c r="P485" t="s">
        <v>30</v>
      </c>
      <c r="Q485" t="s">
        <v>41</v>
      </c>
      <c r="R485" t="s">
        <v>32</v>
      </c>
      <c r="S485" t="s">
        <v>55</v>
      </c>
      <c r="T485" t="s">
        <v>49</v>
      </c>
      <c r="U485" t="s">
        <v>46</v>
      </c>
      <c r="V485" t="s">
        <v>36</v>
      </c>
      <c r="W485" t="s">
        <v>37</v>
      </c>
      <c r="X485" s="6">
        <v>0</v>
      </c>
      <c r="Y485" s="6">
        <v>100</v>
      </c>
      <c r="Z485" t="s">
        <v>38</v>
      </c>
      <c r="AA485" t="s">
        <v>39</v>
      </c>
      <c r="AB485" t="s">
        <v>40</v>
      </c>
      <c r="AC485" s="8">
        <v>-4.7999999999999996E-3</v>
      </c>
    </row>
    <row r="486" spans="1:29" x14ac:dyDescent="0.3">
      <c r="A486" s="7">
        <v>485</v>
      </c>
      <c r="B486" s="1">
        <v>40565</v>
      </c>
      <c r="C486" s="7">
        <v>1</v>
      </c>
      <c r="D486" s="7">
        <v>6</v>
      </c>
      <c r="E486" t="b">
        <v>0</v>
      </c>
      <c r="F486" s="7">
        <v>6</v>
      </c>
      <c r="G486" s="7">
        <v>2</v>
      </c>
      <c r="H486" s="6">
        <v>0.02</v>
      </c>
      <c r="I486" s="8">
        <v>3.0300000000000001E-2</v>
      </c>
      <c r="J486" s="6">
        <v>0.44</v>
      </c>
      <c r="K486" s="8">
        <v>0.22389999999999999</v>
      </c>
      <c r="L486" s="7">
        <v>0</v>
      </c>
      <c r="M486" s="7">
        <v>2</v>
      </c>
      <c r="N486" s="7">
        <v>2</v>
      </c>
      <c r="O486" t="s">
        <v>29</v>
      </c>
      <c r="P486" t="s">
        <v>30</v>
      </c>
      <c r="Q486" t="s">
        <v>41</v>
      </c>
      <c r="R486" t="s">
        <v>42</v>
      </c>
      <c r="S486" t="s">
        <v>55</v>
      </c>
      <c r="T486" t="s">
        <v>49</v>
      </c>
      <c r="U486" t="s">
        <v>46</v>
      </c>
      <c r="V486" t="s">
        <v>36</v>
      </c>
      <c r="W486" t="s">
        <v>37</v>
      </c>
      <c r="X486" s="6">
        <v>0</v>
      </c>
      <c r="Y486" s="6">
        <v>100</v>
      </c>
      <c r="Z486" t="s">
        <v>38</v>
      </c>
      <c r="AA486" t="s">
        <v>39</v>
      </c>
      <c r="AB486" t="s">
        <v>40</v>
      </c>
      <c r="AC486" s="8">
        <v>1.03E-2</v>
      </c>
    </row>
    <row r="487" spans="1:29" x14ac:dyDescent="0.3">
      <c r="A487" s="7">
        <v>486</v>
      </c>
      <c r="B487" s="1">
        <v>40565</v>
      </c>
      <c r="C487" s="7">
        <v>1</v>
      </c>
      <c r="D487" s="7">
        <v>7</v>
      </c>
      <c r="E487" t="b">
        <v>0</v>
      </c>
      <c r="F487" s="7">
        <v>6</v>
      </c>
      <c r="G487" s="7">
        <v>1</v>
      </c>
      <c r="H487" s="6">
        <v>0.02</v>
      </c>
      <c r="I487" s="8">
        <v>1.52E-2</v>
      </c>
      <c r="J487" s="6">
        <v>0.44</v>
      </c>
      <c r="K487" s="8">
        <v>0.28360000000000002</v>
      </c>
      <c r="L487" s="7">
        <v>0</v>
      </c>
      <c r="M487" s="7">
        <v>8</v>
      </c>
      <c r="N487" s="7">
        <v>8</v>
      </c>
      <c r="O487" t="s">
        <v>29</v>
      </c>
      <c r="P487" t="s">
        <v>30</v>
      </c>
      <c r="Q487" t="s">
        <v>31</v>
      </c>
      <c r="R487" t="s">
        <v>42</v>
      </c>
      <c r="S487" t="s">
        <v>55</v>
      </c>
      <c r="T487" t="s">
        <v>49</v>
      </c>
      <c r="U487" t="s">
        <v>46</v>
      </c>
      <c r="V487" t="s">
        <v>36</v>
      </c>
      <c r="W487" t="s">
        <v>37</v>
      </c>
      <c r="X487" s="6">
        <v>0</v>
      </c>
      <c r="Y487" s="6">
        <v>100</v>
      </c>
      <c r="Z487" t="s">
        <v>40</v>
      </c>
      <c r="AA487" t="s">
        <v>39</v>
      </c>
      <c r="AB487" t="s">
        <v>40</v>
      </c>
      <c r="AC487" s="8">
        <v>-4.7999999999999996E-3</v>
      </c>
    </row>
    <row r="488" spans="1:29" x14ac:dyDescent="0.3">
      <c r="A488" s="7">
        <v>487</v>
      </c>
      <c r="B488" s="1">
        <v>40565</v>
      </c>
      <c r="C488" s="7">
        <v>1</v>
      </c>
      <c r="D488" s="7">
        <v>8</v>
      </c>
      <c r="E488" t="b">
        <v>0</v>
      </c>
      <c r="F488" s="7">
        <v>6</v>
      </c>
      <c r="G488" s="7">
        <v>1</v>
      </c>
      <c r="H488" s="6">
        <v>0.02</v>
      </c>
      <c r="I488" s="8">
        <v>0</v>
      </c>
      <c r="J488" s="6">
        <v>0.44</v>
      </c>
      <c r="K488" s="8">
        <v>0.32840000000000003</v>
      </c>
      <c r="L488" s="7">
        <v>1</v>
      </c>
      <c r="M488" s="7">
        <v>26</v>
      </c>
      <c r="N488" s="7">
        <v>27</v>
      </c>
      <c r="O488" t="s">
        <v>29</v>
      </c>
      <c r="P488" t="s">
        <v>30</v>
      </c>
      <c r="Q488" t="s">
        <v>31</v>
      </c>
      <c r="R488" t="s">
        <v>42</v>
      </c>
      <c r="S488" t="s">
        <v>55</v>
      </c>
      <c r="T488" t="s">
        <v>49</v>
      </c>
      <c r="U488" t="s">
        <v>53</v>
      </c>
      <c r="V488" t="s">
        <v>36</v>
      </c>
      <c r="W488" t="s">
        <v>37</v>
      </c>
      <c r="X488" s="6">
        <v>3.7037037037037028</v>
      </c>
      <c r="Y488" s="6">
        <v>96.296296296296291</v>
      </c>
      <c r="Z488" t="s">
        <v>40</v>
      </c>
      <c r="AA488" t="s">
        <v>39</v>
      </c>
      <c r="AB488" t="s">
        <v>40</v>
      </c>
      <c r="AC488" s="8">
        <v>-0.02</v>
      </c>
    </row>
    <row r="489" spans="1:29" x14ac:dyDescent="0.3">
      <c r="A489" s="7">
        <v>488</v>
      </c>
      <c r="B489" s="1">
        <v>40565</v>
      </c>
      <c r="C489" s="7">
        <v>1</v>
      </c>
      <c r="D489" s="7">
        <v>9</v>
      </c>
      <c r="E489" t="b">
        <v>0</v>
      </c>
      <c r="F489" s="7">
        <v>6</v>
      </c>
      <c r="G489" s="7">
        <v>1</v>
      </c>
      <c r="H489" s="6">
        <v>0.04</v>
      </c>
      <c r="I489" s="8">
        <v>3.0300000000000001E-2</v>
      </c>
      <c r="J489" s="6">
        <v>0.41</v>
      </c>
      <c r="K489" s="8">
        <v>0.25369999999999998</v>
      </c>
      <c r="L489" s="7">
        <v>3</v>
      </c>
      <c r="M489" s="7">
        <v>37</v>
      </c>
      <c r="N489" s="7">
        <v>40</v>
      </c>
      <c r="O489" t="s">
        <v>29</v>
      </c>
      <c r="P489" t="s">
        <v>30</v>
      </c>
      <c r="Q489" t="s">
        <v>31</v>
      </c>
      <c r="R489" t="s">
        <v>42</v>
      </c>
      <c r="S489" t="s">
        <v>55</v>
      </c>
      <c r="T489" t="s">
        <v>49</v>
      </c>
      <c r="U489" t="s">
        <v>46</v>
      </c>
      <c r="V489" t="s">
        <v>36</v>
      </c>
      <c r="W489" t="s">
        <v>37</v>
      </c>
      <c r="X489" s="6">
        <v>7.5</v>
      </c>
      <c r="Y489" s="6">
        <v>92.5</v>
      </c>
      <c r="Z489" t="s">
        <v>40</v>
      </c>
      <c r="AA489" t="s">
        <v>39</v>
      </c>
      <c r="AB489" t="s">
        <v>40</v>
      </c>
      <c r="AC489" s="8">
        <v>-9.7000000000000003E-3</v>
      </c>
    </row>
    <row r="490" spans="1:29" x14ac:dyDescent="0.3">
      <c r="A490" s="7">
        <v>489</v>
      </c>
      <c r="B490" s="1">
        <v>40565</v>
      </c>
      <c r="C490" s="7">
        <v>1</v>
      </c>
      <c r="D490" s="7">
        <v>10</v>
      </c>
      <c r="E490" t="b">
        <v>0</v>
      </c>
      <c r="F490" s="7">
        <v>6</v>
      </c>
      <c r="G490" s="7">
        <v>2</v>
      </c>
      <c r="H490" s="6">
        <v>0.04</v>
      </c>
      <c r="I490" s="8">
        <v>6.0600000000000001E-2</v>
      </c>
      <c r="J490" s="6">
        <v>0.41</v>
      </c>
      <c r="K490" s="8">
        <v>0.16420000000000001</v>
      </c>
      <c r="L490" s="7">
        <v>3</v>
      </c>
      <c r="M490" s="7">
        <v>50</v>
      </c>
      <c r="N490" s="7">
        <v>53</v>
      </c>
      <c r="O490" t="s">
        <v>29</v>
      </c>
      <c r="P490" t="s">
        <v>30</v>
      </c>
      <c r="Q490" t="s">
        <v>41</v>
      </c>
      <c r="R490" t="s">
        <v>42</v>
      </c>
      <c r="S490" t="s">
        <v>55</v>
      </c>
      <c r="T490" t="s">
        <v>49</v>
      </c>
      <c r="U490" t="s">
        <v>46</v>
      </c>
      <c r="V490" t="s">
        <v>36</v>
      </c>
      <c r="W490" t="s">
        <v>37</v>
      </c>
      <c r="X490" s="6">
        <v>5.6603773584905666</v>
      </c>
      <c r="Y490" s="6">
        <v>94.339622641509436</v>
      </c>
      <c r="Z490" t="s">
        <v>38</v>
      </c>
      <c r="AA490" t="s">
        <v>39</v>
      </c>
      <c r="AB490" t="s">
        <v>40</v>
      </c>
      <c r="AC490" s="8">
        <v>2.06E-2</v>
      </c>
    </row>
    <row r="491" spans="1:29" x14ac:dyDescent="0.3">
      <c r="A491" s="7">
        <v>490</v>
      </c>
      <c r="B491" s="1">
        <v>40565</v>
      </c>
      <c r="C491" s="7">
        <v>1</v>
      </c>
      <c r="D491" s="7">
        <v>11</v>
      </c>
      <c r="E491" t="b">
        <v>0</v>
      </c>
      <c r="F491" s="7">
        <v>6</v>
      </c>
      <c r="G491" s="7">
        <v>2</v>
      </c>
      <c r="H491" s="6">
        <v>0.06</v>
      </c>
      <c r="I491" s="8">
        <v>7.5800000000000006E-2</v>
      </c>
      <c r="J491" s="6">
        <v>0.38</v>
      </c>
      <c r="K491" s="8">
        <v>0.1343</v>
      </c>
      <c r="L491" s="7">
        <v>4</v>
      </c>
      <c r="M491" s="7">
        <v>59</v>
      </c>
      <c r="N491" s="7">
        <v>63</v>
      </c>
      <c r="O491" t="s">
        <v>29</v>
      </c>
      <c r="P491" t="s">
        <v>30</v>
      </c>
      <c r="Q491" t="s">
        <v>41</v>
      </c>
      <c r="R491" t="s">
        <v>42</v>
      </c>
      <c r="S491" t="s">
        <v>55</v>
      </c>
      <c r="T491" t="s">
        <v>39</v>
      </c>
      <c r="U491" t="s">
        <v>35</v>
      </c>
      <c r="V491" t="s">
        <v>36</v>
      </c>
      <c r="W491" t="s">
        <v>37</v>
      </c>
      <c r="X491" s="6">
        <v>6.3492063492063489</v>
      </c>
      <c r="Y491" s="6">
        <v>93.650793650793645</v>
      </c>
      <c r="Z491" t="s">
        <v>38</v>
      </c>
      <c r="AA491" t="s">
        <v>39</v>
      </c>
      <c r="AB491" t="s">
        <v>40</v>
      </c>
      <c r="AC491" s="8">
        <v>1.5800000000000008E-2</v>
      </c>
    </row>
    <row r="492" spans="1:29" x14ac:dyDescent="0.3">
      <c r="A492" s="7">
        <v>491</v>
      </c>
      <c r="B492" s="1">
        <v>40565</v>
      </c>
      <c r="C492" s="7">
        <v>1</v>
      </c>
      <c r="D492" s="7">
        <v>12</v>
      </c>
      <c r="E492" t="b">
        <v>0</v>
      </c>
      <c r="F492" s="7">
        <v>6</v>
      </c>
      <c r="G492" s="7">
        <v>2</v>
      </c>
      <c r="H492" s="6">
        <v>0.06</v>
      </c>
      <c r="I492" s="8">
        <v>0.1061</v>
      </c>
      <c r="J492" s="6">
        <v>0.38</v>
      </c>
      <c r="K492" s="8">
        <v>0.1045</v>
      </c>
      <c r="L492" s="7">
        <v>10</v>
      </c>
      <c r="M492" s="7">
        <v>60</v>
      </c>
      <c r="N492" s="7">
        <v>70</v>
      </c>
      <c r="O492" t="s">
        <v>29</v>
      </c>
      <c r="P492" t="s">
        <v>30</v>
      </c>
      <c r="Q492" t="s">
        <v>41</v>
      </c>
      <c r="R492" t="s">
        <v>47</v>
      </c>
      <c r="S492" t="s">
        <v>55</v>
      </c>
      <c r="T492" t="s">
        <v>39</v>
      </c>
      <c r="U492" t="s">
        <v>35</v>
      </c>
      <c r="V492" t="s">
        <v>36</v>
      </c>
      <c r="W492" t="s">
        <v>37</v>
      </c>
      <c r="X492" s="6">
        <v>14.285714285714279</v>
      </c>
      <c r="Y492" s="6">
        <v>85.714285714285708</v>
      </c>
      <c r="Z492" t="s">
        <v>38</v>
      </c>
      <c r="AA492" t="s">
        <v>39</v>
      </c>
      <c r="AB492" t="s">
        <v>40</v>
      </c>
      <c r="AC492" s="8">
        <v>4.6100000000000002E-2</v>
      </c>
    </row>
    <row r="493" spans="1:29" x14ac:dyDescent="0.3">
      <c r="A493" s="7">
        <v>492</v>
      </c>
      <c r="B493" s="1">
        <v>40565</v>
      </c>
      <c r="C493" s="7">
        <v>1</v>
      </c>
      <c r="D493" s="7">
        <v>13</v>
      </c>
      <c r="E493" t="b">
        <v>0</v>
      </c>
      <c r="F493" s="7">
        <v>6</v>
      </c>
      <c r="G493" s="7">
        <v>1</v>
      </c>
      <c r="H493" s="6">
        <v>0.08</v>
      </c>
      <c r="I493" s="8">
        <v>0.16669999999999999</v>
      </c>
      <c r="J493" s="6">
        <v>0.35</v>
      </c>
      <c r="K493" s="8">
        <v>0</v>
      </c>
      <c r="L493" s="7">
        <v>12</v>
      </c>
      <c r="M493" s="7">
        <v>72</v>
      </c>
      <c r="N493" s="7">
        <v>84</v>
      </c>
      <c r="O493" t="s">
        <v>29</v>
      </c>
      <c r="P493" t="s">
        <v>30</v>
      </c>
      <c r="Q493" t="s">
        <v>31</v>
      </c>
      <c r="R493" t="s">
        <v>47</v>
      </c>
      <c r="S493" t="s">
        <v>55</v>
      </c>
      <c r="T493" t="s">
        <v>39</v>
      </c>
      <c r="U493" t="s">
        <v>35</v>
      </c>
      <c r="V493" t="s">
        <v>36</v>
      </c>
      <c r="W493" t="s">
        <v>37</v>
      </c>
      <c r="X493" s="6">
        <v>14.285714285714279</v>
      </c>
      <c r="Y493" s="6">
        <v>85.714285714285708</v>
      </c>
      <c r="Z493" t="s">
        <v>38</v>
      </c>
      <c r="AA493" t="s">
        <v>39</v>
      </c>
      <c r="AB493" t="s">
        <v>40</v>
      </c>
      <c r="AC493" s="8">
        <v>8.6699999999999985E-2</v>
      </c>
    </row>
    <row r="494" spans="1:29" x14ac:dyDescent="0.3">
      <c r="A494" s="7">
        <v>493</v>
      </c>
      <c r="B494" s="1">
        <v>40565</v>
      </c>
      <c r="C494" s="7">
        <v>1</v>
      </c>
      <c r="D494" s="7">
        <v>14</v>
      </c>
      <c r="E494" t="b">
        <v>0</v>
      </c>
      <c r="F494" s="7">
        <v>6</v>
      </c>
      <c r="G494" s="7">
        <v>1</v>
      </c>
      <c r="H494" s="6">
        <v>0.1</v>
      </c>
      <c r="I494" s="8">
        <v>0.13639999999999999</v>
      </c>
      <c r="J494" s="6">
        <v>0.33</v>
      </c>
      <c r="K494" s="8">
        <v>0.1045</v>
      </c>
      <c r="L494" s="7">
        <v>11</v>
      </c>
      <c r="M494" s="7">
        <v>64</v>
      </c>
      <c r="N494" s="7">
        <v>75</v>
      </c>
      <c r="O494" t="s">
        <v>29</v>
      </c>
      <c r="P494" t="s">
        <v>30</v>
      </c>
      <c r="Q494" t="s">
        <v>31</v>
      </c>
      <c r="R494" t="s">
        <v>47</v>
      </c>
      <c r="S494" t="s">
        <v>55</v>
      </c>
      <c r="T494" t="s">
        <v>39</v>
      </c>
      <c r="U494" t="s">
        <v>35</v>
      </c>
      <c r="V494" t="s">
        <v>36</v>
      </c>
      <c r="W494" t="s">
        <v>37</v>
      </c>
      <c r="X494" s="6">
        <v>14.66666666666667</v>
      </c>
      <c r="Y494" s="6">
        <v>85.333333333333343</v>
      </c>
      <c r="Z494" t="s">
        <v>38</v>
      </c>
      <c r="AA494" t="s">
        <v>39</v>
      </c>
      <c r="AB494" t="s">
        <v>40</v>
      </c>
      <c r="AC494" s="8">
        <v>3.6399999999999988E-2</v>
      </c>
    </row>
    <row r="495" spans="1:29" x14ac:dyDescent="0.3">
      <c r="A495" s="7">
        <v>494</v>
      </c>
      <c r="B495" s="1">
        <v>40565</v>
      </c>
      <c r="C495" s="7">
        <v>1</v>
      </c>
      <c r="D495" s="7">
        <v>15</v>
      </c>
      <c r="E495" t="b">
        <v>0</v>
      </c>
      <c r="F495" s="7">
        <v>6</v>
      </c>
      <c r="G495" s="7">
        <v>1</v>
      </c>
      <c r="H495" s="6">
        <v>0.12</v>
      </c>
      <c r="I495" s="8">
        <v>0.1515</v>
      </c>
      <c r="J495" s="6">
        <v>0.28000000000000003</v>
      </c>
      <c r="K495" s="8">
        <v>0</v>
      </c>
      <c r="L495" s="7">
        <v>10</v>
      </c>
      <c r="M495" s="7">
        <v>93</v>
      </c>
      <c r="N495" s="7">
        <v>103</v>
      </c>
      <c r="O495" t="s">
        <v>29</v>
      </c>
      <c r="P495" t="s">
        <v>30</v>
      </c>
      <c r="Q495" t="s">
        <v>31</v>
      </c>
      <c r="R495" t="s">
        <v>47</v>
      </c>
      <c r="S495" t="s">
        <v>55</v>
      </c>
      <c r="T495" t="s">
        <v>39</v>
      </c>
      <c r="U495" t="s">
        <v>35</v>
      </c>
      <c r="V495" t="s">
        <v>36</v>
      </c>
      <c r="W495" t="s">
        <v>37</v>
      </c>
      <c r="X495" s="6">
        <v>9.7087378640776691</v>
      </c>
      <c r="Y495" s="6">
        <v>90.291262135922338</v>
      </c>
      <c r="Z495" t="s">
        <v>38</v>
      </c>
      <c r="AA495" t="s">
        <v>49</v>
      </c>
      <c r="AB495" t="s">
        <v>40</v>
      </c>
      <c r="AC495" s="8">
        <v>3.15E-2</v>
      </c>
    </row>
    <row r="496" spans="1:29" x14ac:dyDescent="0.3">
      <c r="A496" s="7">
        <v>495</v>
      </c>
      <c r="B496" s="1">
        <v>40565</v>
      </c>
      <c r="C496" s="7">
        <v>1</v>
      </c>
      <c r="D496" s="7">
        <v>16</v>
      </c>
      <c r="E496" t="b">
        <v>0</v>
      </c>
      <c r="F496" s="7">
        <v>6</v>
      </c>
      <c r="G496" s="7">
        <v>1</v>
      </c>
      <c r="H496" s="6">
        <v>0.12</v>
      </c>
      <c r="I496" s="8">
        <v>0.13639999999999999</v>
      </c>
      <c r="J496" s="6">
        <v>0.28000000000000003</v>
      </c>
      <c r="K496" s="8">
        <v>0.19400000000000001</v>
      </c>
      <c r="L496" s="7">
        <v>11</v>
      </c>
      <c r="M496" s="7">
        <v>72</v>
      </c>
      <c r="N496" s="7">
        <v>83</v>
      </c>
      <c r="O496" t="s">
        <v>29</v>
      </c>
      <c r="P496" t="s">
        <v>30</v>
      </c>
      <c r="Q496" t="s">
        <v>31</v>
      </c>
      <c r="R496" t="s">
        <v>47</v>
      </c>
      <c r="S496" t="s">
        <v>55</v>
      </c>
      <c r="T496" t="s">
        <v>39</v>
      </c>
      <c r="U496" t="s">
        <v>46</v>
      </c>
      <c r="V496" t="s">
        <v>36</v>
      </c>
      <c r="W496" t="s">
        <v>37</v>
      </c>
      <c r="X496" s="6">
        <v>13.253012048192771</v>
      </c>
      <c r="Y496" s="6">
        <v>86.746987951807228</v>
      </c>
      <c r="Z496" t="s">
        <v>38</v>
      </c>
      <c r="AA496" t="s">
        <v>39</v>
      </c>
      <c r="AB496" t="s">
        <v>40</v>
      </c>
      <c r="AC496" s="8">
        <v>1.6400000000000001E-2</v>
      </c>
    </row>
    <row r="497" spans="1:29" x14ac:dyDescent="0.3">
      <c r="A497" s="7">
        <v>496</v>
      </c>
      <c r="B497" s="1">
        <v>40565</v>
      </c>
      <c r="C497" s="7">
        <v>1</v>
      </c>
      <c r="D497" s="7">
        <v>17</v>
      </c>
      <c r="E497" t="b">
        <v>0</v>
      </c>
      <c r="F497" s="7">
        <v>6</v>
      </c>
      <c r="G497" s="7">
        <v>1</v>
      </c>
      <c r="H497" s="6">
        <v>0.12</v>
      </c>
      <c r="I497" s="8">
        <v>0.19700000000000001</v>
      </c>
      <c r="J497" s="6">
        <v>0.28000000000000003</v>
      </c>
      <c r="K497" s="8">
        <v>0</v>
      </c>
      <c r="L497" s="7">
        <v>8</v>
      </c>
      <c r="M497" s="7">
        <v>59</v>
      </c>
      <c r="N497" s="7">
        <v>67</v>
      </c>
      <c r="O497" t="s">
        <v>29</v>
      </c>
      <c r="P497" t="s">
        <v>30</v>
      </c>
      <c r="Q497" t="s">
        <v>31</v>
      </c>
      <c r="R497" t="s">
        <v>50</v>
      </c>
      <c r="S497" t="s">
        <v>55</v>
      </c>
      <c r="T497" t="s">
        <v>39</v>
      </c>
      <c r="U497" t="s">
        <v>35</v>
      </c>
      <c r="V497" t="s">
        <v>36</v>
      </c>
      <c r="W497" t="s">
        <v>37</v>
      </c>
      <c r="X497" s="6">
        <v>11.940298507462691</v>
      </c>
      <c r="Y497" s="6">
        <v>88.059701492537314</v>
      </c>
      <c r="Z497" t="s">
        <v>40</v>
      </c>
      <c r="AA497" t="s">
        <v>39</v>
      </c>
      <c r="AB497" t="s">
        <v>40</v>
      </c>
      <c r="AC497" s="8">
        <v>7.7000000000000013E-2</v>
      </c>
    </row>
    <row r="498" spans="1:29" x14ac:dyDescent="0.3">
      <c r="A498" s="7">
        <v>497</v>
      </c>
      <c r="B498" s="1">
        <v>40565</v>
      </c>
      <c r="C498" s="7">
        <v>1</v>
      </c>
      <c r="D498" s="7">
        <v>18</v>
      </c>
      <c r="E498" t="b">
        <v>0</v>
      </c>
      <c r="F498" s="7">
        <v>6</v>
      </c>
      <c r="G498" s="7">
        <v>1</v>
      </c>
      <c r="H498" s="6">
        <v>0.08</v>
      </c>
      <c r="I498" s="8">
        <v>9.0899999999999995E-2</v>
      </c>
      <c r="J498" s="6">
        <v>0.35</v>
      </c>
      <c r="K498" s="8">
        <v>0.19400000000000001</v>
      </c>
      <c r="L498" s="7">
        <v>0</v>
      </c>
      <c r="M498" s="7">
        <v>54</v>
      </c>
      <c r="N498" s="7">
        <v>54</v>
      </c>
      <c r="O498" t="s">
        <v>29</v>
      </c>
      <c r="P498" t="s">
        <v>30</v>
      </c>
      <c r="Q498" t="s">
        <v>31</v>
      </c>
      <c r="R498" t="s">
        <v>50</v>
      </c>
      <c r="S498" t="s">
        <v>55</v>
      </c>
      <c r="T498" t="s">
        <v>39</v>
      </c>
      <c r="U498" t="s">
        <v>46</v>
      </c>
      <c r="V498" t="s">
        <v>36</v>
      </c>
      <c r="W498" t="s">
        <v>37</v>
      </c>
      <c r="X498" s="6">
        <v>0</v>
      </c>
      <c r="Y498" s="6">
        <v>100</v>
      </c>
      <c r="Z498" t="s">
        <v>40</v>
      </c>
      <c r="AA498" t="s">
        <v>39</v>
      </c>
      <c r="AB498" t="s">
        <v>40</v>
      </c>
      <c r="AC498" s="8">
        <v>1.089999999999999E-2</v>
      </c>
    </row>
    <row r="499" spans="1:29" x14ac:dyDescent="0.3">
      <c r="A499" s="7">
        <v>498</v>
      </c>
      <c r="B499" s="1">
        <v>40565</v>
      </c>
      <c r="C499" s="7">
        <v>1</v>
      </c>
      <c r="D499" s="7">
        <v>19</v>
      </c>
      <c r="E499" t="b">
        <v>0</v>
      </c>
      <c r="F499" s="7">
        <v>6</v>
      </c>
      <c r="G499" s="7">
        <v>1</v>
      </c>
      <c r="H499" s="6">
        <v>0.08</v>
      </c>
      <c r="I499" s="8">
        <v>0.1061</v>
      </c>
      <c r="J499" s="6">
        <v>0.35</v>
      </c>
      <c r="K499" s="8">
        <v>0.1343</v>
      </c>
      <c r="L499" s="7">
        <v>6</v>
      </c>
      <c r="M499" s="7">
        <v>53</v>
      </c>
      <c r="N499" s="7">
        <v>59</v>
      </c>
      <c r="O499" t="s">
        <v>29</v>
      </c>
      <c r="P499" t="s">
        <v>30</v>
      </c>
      <c r="Q499" t="s">
        <v>31</v>
      </c>
      <c r="R499" t="s">
        <v>50</v>
      </c>
      <c r="S499" t="s">
        <v>55</v>
      </c>
      <c r="T499" t="s">
        <v>39</v>
      </c>
      <c r="U499" t="s">
        <v>35</v>
      </c>
      <c r="V499" t="s">
        <v>36</v>
      </c>
      <c r="W499" t="s">
        <v>37</v>
      </c>
      <c r="X499" s="6">
        <v>10.16949152542373</v>
      </c>
      <c r="Y499" s="6">
        <v>89.830508474576277</v>
      </c>
      <c r="Z499" t="s">
        <v>40</v>
      </c>
      <c r="AA499" t="s">
        <v>39</v>
      </c>
      <c r="AB499" t="s">
        <v>40</v>
      </c>
      <c r="AC499" s="8">
        <v>2.6100000000000002E-2</v>
      </c>
    </row>
    <row r="500" spans="1:29" x14ac:dyDescent="0.3">
      <c r="A500" s="7">
        <v>499</v>
      </c>
      <c r="B500" s="1">
        <v>40565</v>
      </c>
      <c r="C500" s="7">
        <v>1</v>
      </c>
      <c r="D500" s="7">
        <v>20</v>
      </c>
      <c r="E500" t="b">
        <v>0</v>
      </c>
      <c r="F500" s="7">
        <v>6</v>
      </c>
      <c r="G500" s="7">
        <v>1</v>
      </c>
      <c r="H500" s="6">
        <v>0.06</v>
      </c>
      <c r="I500" s="8">
        <v>7.5800000000000006E-2</v>
      </c>
      <c r="J500" s="6">
        <v>0.45</v>
      </c>
      <c r="K500" s="8">
        <v>0.16420000000000001</v>
      </c>
      <c r="L500" s="7">
        <v>1</v>
      </c>
      <c r="M500" s="7">
        <v>44</v>
      </c>
      <c r="N500" s="7">
        <v>45</v>
      </c>
      <c r="O500" t="s">
        <v>29</v>
      </c>
      <c r="P500" t="s">
        <v>30</v>
      </c>
      <c r="Q500" t="s">
        <v>31</v>
      </c>
      <c r="R500" t="s">
        <v>50</v>
      </c>
      <c r="S500" t="s">
        <v>55</v>
      </c>
      <c r="T500" t="s">
        <v>49</v>
      </c>
      <c r="U500" t="s">
        <v>46</v>
      </c>
      <c r="V500" t="s">
        <v>36</v>
      </c>
      <c r="W500" t="s">
        <v>37</v>
      </c>
      <c r="X500" s="6">
        <v>2.2222222222222219</v>
      </c>
      <c r="Y500" s="6">
        <v>97.777777777777771</v>
      </c>
      <c r="Z500" t="s">
        <v>38</v>
      </c>
      <c r="AA500" t="s">
        <v>39</v>
      </c>
      <c r="AB500" t="s">
        <v>40</v>
      </c>
      <c r="AC500" s="8">
        <v>1.5800000000000008E-2</v>
      </c>
    </row>
    <row r="501" spans="1:29" x14ac:dyDescent="0.3">
      <c r="A501" s="7">
        <v>500</v>
      </c>
      <c r="B501" s="1">
        <v>40565</v>
      </c>
      <c r="C501" s="7">
        <v>1</v>
      </c>
      <c r="D501" s="7">
        <v>21</v>
      </c>
      <c r="E501" t="b">
        <v>0</v>
      </c>
      <c r="F501" s="7">
        <v>6</v>
      </c>
      <c r="G501" s="7">
        <v>1</v>
      </c>
      <c r="H501" s="6">
        <v>0.06</v>
      </c>
      <c r="I501" s="8">
        <v>0.1061</v>
      </c>
      <c r="J501" s="6">
        <v>0.41</v>
      </c>
      <c r="K501" s="8">
        <v>8.9599999999999999E-2</v>
      </c>
      <c r="L501" s="7">
        <v>0</v>
      </c>
      <c r="M501" s="7">
        <v>39</v>
      </c>
      <c r="N501" s="7">
        <v>39</v>
      </c>
      <c r="O501" t="s">
        <v>29</v>
      </c>
      <c r="P501" t="s">
        <v>30</v>
      </c>
      <c r="Q501" t="s">
        <v>31</v>
      </c>
      <c r="R501" t="s">
        <v>32</v>
      </c>
      <c r="S501" t="s">
        <v>55</v>
      </c>
      <c r="T501" t="s">
        <v>49</v>
      </c>
      <c r="U501" t="s">
        <v>35</v>
      </c>
      <c r="V501" t="s">
        <v>36</v>
      </c>
      <c r="W501" t="s">
        <v>37</v>
      </c>
      <c r="X501" s="6">
        <v>0</v>
      </c>
      <c r="Y501" s="6">
        <v>100</v>
      </c>
      <c r="Z501" t="s">
        <v>38</v>
      </c>
      <c r="AA501" t="s">
        <v>39</v>
      </c>
      <c r="AB501" t="s">
        <v>40</v>
      </c>
      <c r="AC501" s="8">
        <v>4.6100000000000002E-2</v>
      </c>
    </row>
    <row r="502" spans="1:29" x14ac:dyDescent="0.3">
      <c r="A502" s="7">
        <v>501</v>
      </c>
      <c r="B502" s="1">
        <v>40565</v>
      </c>
      <c r="C502" s="7">
        <v>1</v>
      </c>
      <c r="D502" s="7">
        <v>22</v>
      </c>
      <c r="E502" t="b">
        <v>0</v>
      </c>
      <c r="F502" s="7">
        <v>6</v>
      </c>
      <c r="G502" s="7">
        <v>1</v>
      </c>
      <c r="H502" s="6">
        <v>0.06</v>
      </c>
      <c r="I502" s="8">
        <v>0.1515</v>
      </c>
      <c r="J502" s="6">
        <v>0.49</v>
      </c>
      <c r="K502" s="8">
        <v>0</v>
      </c>
      <c r="L502" s="7">
        <v>7</v>
      </c>
      <c r="M502" s="7">
        <v>23</v>
      </c>
      <c r="N502" s="7">
        <v>30</v>
      </c>
      <c r="O502" t="s">
        <v>29</v>
      </c>
      <c r="P502" t="s">
        <v>30</v>
      </c>
      <c r="Q502" t="s">
        <v>31</v>
      </c>
      <c r="R502" t="s">
        <v>32</v>
      </c>
      <c r="S502" t="s">
        <v>55</v>
      </c>
      <c r="T502" t="s">
        <v>49</v>
      </c>
      <c r="U502" t="s">
        <v>35</v>
      </c>
      <c r="V502" t="s">
        <v>36</v>
      </c>
      <c r="W502" t="s">
        <v>37</v>
      </c>
      <c r="X502" s="6">
        <v>23.333333333333329</v>
      </c>
      <c r="Y502" s="6">
        <v>76.666666666666671</v>
      </c>
      <c r="Z502" t="s">
        <v>38</v>
      </c>
      <c r="AA502" t="s">
        <v>39</v>
      </c>
      <c r="AB502" t="s">
        <v>40</v>
      </c>
      <c r="AC502" s="8">
        <v>9.1499999999999998E-2</v>
      </c>
    </row>
    <row r="503" spans="1:29" x14ac:dyDescent="0.3">
      <c r="A503" s="7">
        <v>502</v>
      </c>
      <c r="B503" s="1">
        <v>40565</v>
      </c>
      <c r="C503" s="7">
        <v>1</v>
      </c>
      <c r="D503" s="7">
        <v>23</v>
      </c>
      <c r="E503" t="b">
        <v>0</v>
      </c>
      <c r="F503" s="7">
        <v>6</v>
      </c>
      <c r="G503" s="7">
        <v>1</v>
      </c>
      <c r="H503" s="6">
        <v>0.04</v>
      </c>
      <c r="I503" s="8">
        <v>7.5800000000000006E-2</v>
      </c>
      <c r="J503" s="6">
        <v>0.56999999999999995</v>
      </c>
      <c r="K503" s="8">
        <v>0.1045</v>
      </c>
      <c r="L503" s="7">
        <v>2</v>
      </c>
      <c r="M503" s="7">
        <v>31</v>
      </c>
      <c r="N503" s="7">
        <v>33</v>
      </c>
      <c r="O503" t="s">
        <v>29</v>
      </c>
      <c r="P503" t="s">
        <v>30</v>
      </c>
      <c r="Q503" t="s">
        <v>31</v>
      </c>
      <c r="R503" t="s">
        <v>32</v>
      </c>
      <c r="S503" t="s">
        <v>55</v>
      </c>
      <c r="T503" t="s">
        <v>49</v>
      </c>
      <c r="U503" t="s">
        <v>35</v>
      </c>
      <c r="V503" t="s">
        <v>36</v>
      </c>
      <c r="W503" t="s">
        <v>37</v>
      </c>
      <c r="X503" s="6">
        <v>6.0606060606060614</v>
      </c>
      <c r="Y503" s="6">
        <v>93.939393939393938</v>
      </c>
      <c r="Z503" t="s">
        <v>38</v>
      </c>
      <c r="AA503" t="s">
        <v>39</v>
      </c>
      <c r="AB503" t="s">
        <v>40</v>
      </c>
      <c r="AC503" s="8">
        <v>3.5800000000000012E-2</v>
      </c>
    </row>
    <row r="504" spans="1:29" x14ac:dyDescent="0.3">
      <c r="A504" s="7">
        <v>503</v>
      </c>
      <c r="B504" s="1">
        <v>40566</v>
      </c>
      <c r="C504" s="7">
        <v>1</v>
      </c>
      <c r="D504" s="7">
        <v>0</v>
      </c>
      <c r="E504" t="b">
        <v>0</v>
      </c>
      <c r="F504" s="7">
        <v>0</v>
      </c>
      <c r="G504" s="7">
        <v>1</v>
      </c>
      <c r="H504" s="6">
        <v>0.04</v>
      </c>
      <c r="I504" s="8">
        <v>7.5800000000000006E-2</v>
      </c>
      <c r="J504" s="6">
        <v>0.56999999999999995</v>
      </c>
      <c r="K504" s="8">
        <v>0.1045</v>
      </c>
      <c r="L504" s="7">
        <v>2</v>
      </c>
      <c r="M504" s="7">
        <v>20</v>
      </c>
      <c r="N504" s="7">
        <v>22</v>
      </c>
      <c r="O504" t="s">
        <v>29</v>
      </c>
      <c r="P504" t="s">
        <v>52</v>
      </c>
      <c r="Q504" t="s">
        <v>31</v>
      </c>
      <c r="R504" t="s">
        <v>32</v>
      </c>
      <c r="S504" t="s">
        <v>55</v>
      </c>
      <c r="T504" t="s">
        <v>49</v>
      </c>
      <c r="U504" t="s">
        <v>35</v>
      </c>
      <c r="V504" t="s">
        <v>36</v>
      </c>
      <c r="W504" t="s">
        <v>37</v>
      </c>
      <c r="X504" s="6">
        <v>9.0909090909090917</v>
      </c>
      <c r="Y504" s="6">
        <v>90.909090909090907</v>
      </c>
      <c r="Z504" t="s">
        <v>38</v>
      </c>
      <c r="AA504" t="s">
        <v>39</v>
      </c>
      <c r="AB504" t="s">
        <v>40</v>
      </c>
      <c r="AC504" s="8">
        <v>3.5800000000000012E-2</v>
      </c>
    </row>
    <row r="505" spans="1:29" x14ac:dyDescent="0.3">
      <c r="A505" s="7">
        <v>504</v>
      </c>
      <c r="B505" s="1">
        <v>40566</v>
      </c>
      <c r="C505" s="7">
        <v>1</v>
      </c>
      <c r="D505" s="7">
        <v>1</v>
      </c>
      <c r="E505" t="b">
        <v>0</v>
      </c>
      <c r="F505" s="7">
        <v>0</v>
      </c>
      <c r="G505" s="7">
        <v>1</v>
      </c>
      <c r="H505" s="6">
        <v>0.04</v>
      </c>
      <c r="I505" s="8">
        <v>7.5800000000000006E-2</v>
      </c>
      <c r="J505" s="6">
        <v>0.56999999999999995</v>
      </c>
      <c r="K505" s="8">
        <v>0.1045</v>
      </c>
      <c r="L505" s="7">
        <v>1</v>
      </c>
      <c r="M505" s="7">
        <v>12</v>
      </c>
      <c r="N505" s="7">
        <v>13</v>
      </c>
      <c r="O505" t="s">
        <v>29</v>
      </c>
      <c r="P505" t="s">
        <v>52</v>
      </c>
      <c r="Q505" t="s">
        <v>31</v>
      </c>
      <c r="R505" t="s">
        <v>32</v>
      </c>
      <c r="S505" t="s">
        <v>55</v>
      </c>
      <c r="T505" t="s">
        <v>49</v>
      </c>
      <c r="U505" t="s">
        <v>35</v>
      </c>
      <c r="V505" t="s">
        <v>36</v>
      </c>
      <c r="W505" t="s">
        <v>37</v>
      </c>
      <c r="X505" s="6">
        <v>7.6923076923076934</v>
      </c>
      <c r="Y505" s="6">
        <v>92.307692307692307</v>
      </c>
      <c r="Z505" t="s">
        <v>38</v>
      </c>
      <c r="AA505" t="s">
        <v>39</v>
      </c>
      <c r="AB505" t="s">
        <v>40</v>
      </c>
      <c r="AC505" s="8">
        <v>3.5800000000000012E-2</v>
      </c>
    </row>
    <row r="506" spans="1:29" x14ac:dyDescent="0.3">
      <c r="A506" s="7">
        <v>505</v>
      </c>
      <c r="B506" s="1">
        <v>40566</v>
      </c>
      <c r="C506" s="7">
        <v>1</v>
      </c>
      <c r="D506" s="7">
        <v>2</v>
      </c>
      <c r="E506" t="b">
        <v>0</v>
      </c>
      <c r="F506" s="7">
        <v>0</v>
      </c>
      <c r="G506" s="7">
        <v>1</v>
      </c>
      <c r="H506" s="6">
        <v>0.02</v>
      </c>
      <c r="I506" s="8">
        <v>6.0600000000000001E-2</v>
      </c>
      <c r="J506" s="6">
        <v>0.62</v>
      </c>
      <c r="K506" s="8">
        <v>0.1343</v>
      </c>
      <c r="L506" s="7">
        <v>3</v>
      </c>
      <c r="M506" s="7">
        <v>15</v>
      </c>
      <c r="N506" s="7">
        <v>18</v>
      </c>
      <c r="O506" t="s">
        <v>29</v>
      </c>
      <c r="P506" t="s">
        <v>52</v>
      </c>
      <c r="Q506" t="s">
        <v>31</v>
      </c>
      <c r="R506" t="s">
        <v>32</v>
      </c>
      <c r="S506" t="s">
        <v>55</v>
      </c>
      <c r="T506" t="s">
        <v>49</v>
      </c>
      <c r="U506" t="s">
        <v>35</v>
      </c>
      <c r="V506" t="s">
        <v>36</v>
      </c>
      <c r="W506" t="s">
        <v>37</v>
      </c>
      <c r="X506" s="6">
        <v>16.666666666666661</v>
      </c>
      <c r="Y506" s="6">
        <v>83.333333333333343</v>
      </c>
      <c r="Z506" t="s">
        <v>38</v>
      </c>
      <c r="AA506" t="s">
        <v>39</v>
      </c>
      <c r="AB506" t="s">
        <v>40</v>
      </c>
      <c r="AC506" s="8">
        <v>4.0599999999999997E-2</v>
      </c>
    </row>
    <row r="507" spans="1:29" x14ac:dyDescent="0.3">
      <c r="A507" s="7">
        <v>506</v>
      </c>
      <c r="B507" s="1">
        <v>40566</v>
      </c>
      <c r="C507" s="7">
        <v>1</v>
      </c>
      <c r="D507" s="7">
        <v>3</v>
      </c>
      <c r="E507" t="b">
        <v>0</v>
      </c>
      <c r="F507" s="7">
        <v>0</v>
      </c>
      <c r="G507" s="7">
        <v>1</v>
      </c>
      <c r="H507" s="6">
        <v>0.02</v>
      </c>
      <c r="I507" s="8">
        <v>6.0600000000000001E-2</v>
      </c>
      <c r="J507" s="6">
        <v>0.62</v>
      </c>
      <c r="K507" s="8">
        <v>0.1343</v>
      </c>
      <c r="L507" s="7">
        <v>1</v>
      </c>
      <c r="M507" s="7">
        <v>4</v>
      </c>
      <c r="N507" s="7">
        <v>5</v>
      </c>
      <c r="O507" t="s">
        <v>29</v>
      </c>
      <c r="P507" t="s">
        <v>52</v>
      </c>
      <c r="Q507" t="s">
        <v>31</v>
      </c>
      <c r="R507" t="s">
        <v>32</v>
      </c>
      <c r="S507" t="s">
        <v>55</v>
      </c>
      <c r="T507" t="s">
        <v>49</v>
      </c>
      <c r="U507" t="s">
        <v>35</v>
      </c>
      <c r="V507" t="s">
        <v>36</v>
      </c>
      <c r="W507" t="s">
        <v>37</v>
      </c>
      <c r="X507" s="6">
        <v>20</v>
      </c>
      <c r="Y507" s="6">
        <v>80</v>
      </c>
      <c r="Z507" t="s">
        <v>38</v>
      </c>
      <c r="AA507" t="s">
        <v>39</v>
      </c>
      <c r="AB507" t="s">
        <v>40</v>
      </c>
      <c r="AC507" s="8">
        <v>4.0599999999999997E-2</v>
      </c>
    </row>
    <row r="508" spans="1:29" x14ac:dyDescent="0.3">
      <c r="A508" s="7">
        <v>507</v>
      </c>
      <c r="B508" s="1">
        <v>40566</v>
      </c>
      <c r="C508" s="7">
        <v>1</v>
      </c>
      <c r="D508" s="7">
        <v>5</v>
      </c>
      <c r="E508" t="b">
        <v>0</v>
      </c>
      <c r="F508" s="7">
        <v>0</v>
      </c>
      <c r="G508" s="7">
        <v>2</v>
      </c>
      <c r="H508" s="6">
        <v>0.04</v>
      </c>
      <c r="I508" s="8">
        <v>7.5800000000000006E-2</v>
      </c>
      <c r="J508" s="6">
        <v>0.56999999999999995</v>
      </c>
      <c r="K508" s="8">
        <v>0.1045</v>
      </c>
      <c r="L508" s="7">
        <v>0</v>
      </c>
      <c r="M508" s="7">
        <v>3</v>
      </c>
      <c r="N508" s="7">
        <v>3</v>
      </c>
      <c r="O508" t="s">
        <v>29</v>
      </c>
      <c r="P508" t="s">
        <v>52</v>
      </c>
      <c r="Q508" t="s">
        <v>41</v>
      </c>
      <c r="R508" t="s">
        <v>32</v>
      </c>
      <c r="S508" t="s">
        <v>55</v>
      </c>
      <c r="T508" t="s">
        <v>49</v>
      </c>
      <c r="U508" t="s">
        <v>35</v>
      </c>
      <c r="V508" t="s">
        <v>36</v>
      </c>
      <c r="W508" t="s">
        <v>37</v>
      </c>
      <c r="X508" s="6">
        <v>0</v>
      </c>
      <c r="Y508" s="6">
        <v>100</v>
      </c>
      <c r="Z508" t="s">
        <v>38</v>
      </c>
      <c r="AA508" t="s">
        <v>39</v>
      </c>
      <c r="AB508" t="s">
        <v>40</v>
      </c>
      <c r="AC508" s="8">
        <v>3.5800000000000012E-2</v>
      </c>
    </row>
    <row r="509" spans="1:29" x14ac:dyDescent="0.3">
      <c r="A509" s="7">
        <v>508</v>
      </c>
      <c r="B509" s="1">
        <v>40566</v>
      </c>
      <c r="C509" s="7">
        <v>1</v>
      </c>
      <c r="D509" s="7">
        <v>6</v>
      </c>
      <c r="E509" t="b">
        <v>0</v>
      </c>
      <c r="F509" s="7">
        <v>0</v>
      </c>
      <c r="G509" s="7">
        <v>2</v>
      </c>
      <c r="H509" s="6">
        <v>0.04</v>
      </c>
      <c r="I509" s="8">
        <v>7.5800000000000006E-2</v>
      </c>
      <c r="J509" s="6">
        <v>0.56999999999999995</v>
      </c>
      <c r="K509" s="8">
        <v>0.1045</v>
      </c>
      <c r="L509" s="7">
        <v>0</v>
      </c>
      <c r="M509" s="7">
        <v>1</v>
      </c>
      <c r="N509" s="7">
        <v>1</v>
      </c>
      <c r="O509" t="s">
        <v>29</v>
      </c>
      <c r="P509" t="s">
        <v>52</v>
      </c>
      <c r="Q509" t="s">
        <v>41</v>
      </c>
      <c r="R509" t="s">
        <v>42</v>
      </c>
      <c r="S509" t="s">
        <v>55</v>
      </c>
      <c r="T509" t="s">
        <v>49</v>
      </c>
      <c r="U509" t="s">
        <v>35</v>
      </c>
      <c r="V509" t="s">
        <v>36</v>
      </c>
      <c r="W509" t="s">
        <v>37</v>
      </c>
      <c r="X509" s="6">
        <v>0</v>
      </c>
      <c r="Y509" s="6">
        <v>100</v>
      </c>
      <c r="Z509" t="s">
        <v>38</v>
      </c>
      <c r="AA509" t="s">
        <v>39</v>
      </c>
      <c r="AB509" t="s">
        <v>40</v>
      </c>
      <c r="AC509" s="8">
        <v>3.5800000000000012E-2</v>
      </c>
    </row>
    <row r="510" spans="1:29" x14ac:dyDescent="0.3">
      <c r="A510" s="7">
        <v>509</v>
      </c>
      <c r="B510" s="1">
        <v>40566</v>
      </c>
      <c r="C510" s="7">
        <v>1</v>
      </c>
      <c r="D510" s="7">
        <v>7</v>
      </c>
      <c r="E510" t="b">
        <v>0</v>
      </c>
      <c r="F510" s="7">
        <v>0</v>
      </c>
      <c r="G510" s="7">
        <v>1</v>
      </c>
      <c r="H510" s="6">
        <v>0.08</v>
      </c>
      <c r="I510" s="8">
        <v>0.1061</v>
      </c>
      <c r="J510" s="6">
        <v>0.57999999999999996</v>
      </c>
      <c r="K510" s="8">
        <v>0.16420000000000001</v>
      </c>
      <c r="L510" s="7">
        <v>1</v>
      </c>
      <c r="M510" s="7">
        <v>1</v>
      </c>
      <c r="N510" s="7">
        <v>2</v>
      </c>
      <c r="O510" t="s">
        <v>29</v>
      </c>
      <c r="P510" t="s">
        <v>52</v>
      </c>
      <c r="Q510" t="s">
        <v>31</v>
      </c>
      <c r="R510" t="s">
        <v>42</v>
      </c>
      <c r="S510" t="s">
        <v>55</v>
      </c>
      <c r="T510" t="s">
        <v>49</v>
      </c>
      <c r="U510" t="s">
        <v>46</v>
      </c>
      <c r="V510" t="s">
        <v>36</v>
      </c>
      <c r="W510" t="s">
        <v>37</v>
      </c>
      <c r="X510" s="6">
        <v>50</v>
      </c>
      <c r="Y510" s="6">
        <v>50</v>
      </c>
      <c r="Z510" t="s">
        <v>40</v>
      </c>
      <c r="AA510" t="s">
        <v>39</v>
      </c>
      <c r="AB510" t="s">
        <v>40</v>
      </c>
      <c r="AC510" s="8">
        <v>2.6100000000000002E-2</v>
      </c>
    </row>
    <row r="511" spans="1:29" x14ac:dyDescent="0.3">
      <c r="A511" s="7">
        <v>510</v>
      </c>
      <c r="B511" s="1">
        <v>40566</v>
      </c>
      <c r="C511" s="7">
        <v>1</v>
      </c>
      <c r="D511" s="7">
        <v>8</v>
      </c>
      <c r="E511" t="b">
        <v>0</v>
      </c>
      <c r="F511" s="7">
        <v>0</v>
      </c>
      <c r="G511" s="7">
        <v>1</v>
      </c>
      <c r="H511" s="6">
        <v>0.06</v>
      </c>
      <c r="I511" s="8">
        <v>7.5800000000000006E-2</v>
      </c>
      <c r="J511" s="6">
        <v>0.62</v>
      </c>
      <c r="K511" s="8">
        <v>0.16420000000000001</v>
      </c>
      <c r="L511" s="7">
        <v>2</v>
      </c>
      <c r="M511" s="7">
        <v>17</v>
      </c>
      <c r="N511" s="7">
        <v>19</v>
      </c>
      <c r="O511" t="s">
        <v>29</v>
      </c>
      <c r="P511" t="s">
        <v>52</v>
      </c>
      <c r="Q511" t="s">
        <v>31</v>
      </c>
      <c r="R511" t="s">
        <v>42</v>
      </c>
      <c r="S511" t="s">
        <v>55</v>
      </c>
      <c r="T511" t="s">
        <v>49</v>
      </c>
      <c r="U511" t="s">
        <v>46</v>
      </c>
      <c r="V511" t="s">
        <v>36</v>
      </c>
      <c r="W511" t="s">
        <v>37</v>
      </c>
      <c r="X511" s="6">
        <v>10.52631578947368</v>
      </c>
      <c r="Y511" s="6">
        <v>89.473684210526315</v>
      </c>
      <c r="Z511" t="s">
        <v>40</v>
      </c>
      <c r="AA511" t="s">
        <v>39</v>
      </c>
      <c r="AB511" t="s">
        <v>40</v>
      </c>
      <c r="AC511" s="8">
        <v>1.5800000000000008E-2</v>
      </c>
    </row>
    <row r="512" spans="1:29" x14ac:dyDescent="0.3">
      <c r="A512" s="7">
        <v>511</v>
      </c>
      <c r="B512" s="1">
        <v>40566</v>
      </c>
      <c r="C512" s="7">
        <v>1</v>
      </c>
      <c r="D512" s="7">
        <v>9</v>
      </c>
      <c r="E512" t="b">
        <v>0</v>
      </c>
      <c r="F512" s="7">
        <v>0</v>
      </c>
      <c r="G512" s="7">
        <v>1</v>
      </c>
      <c r="H512" s="6">
        <v>0.1</v>
      </c>
      <c r="I512" s="8">
        <v>7.5800000000000006E-2</v>
      </c>
      <c r="J512" s="6">
        <v>0.54</v>
      </c>
      <c r="K512" s="8">
        <v>0.35820000000000002</v>
      </c>
      <c r="L512" s="7">
        <v>3</v>
      </c>
      <c r="M512" s="7">
        <v>25</v>
      </c>
      <c r="N512" s="7">
        <v>28</v>
      </c>
      <c r="O512" t="s">
        <v>29</v>
      </c>
      <c r="P512" t="s">
        <v>52</v>
      </c>
      <c r="Q512" t="s">
        <v>31</v>
      </c>
      <c r="R512" t="s">
        <v>42</v>
      </c>
      <c r="S512" t="s">
        <v>55</v>
      </c>
      <c r="T512" t="s">
        <v>49</v>
      </c>
      <c r="U512" t="s">
        <v>53</v>
      </c>
      <c r="V512" t="s">
        <v>36</v>
      </c>
      <c r="W512" t="s">
        <v>37</v>
      </c>
      <c r="X512" s="6">
        <v>10.71428571428571</v>
      </c>
      <c r="Y512" s="6">
        <v>89.285714285714292</v>
      </c>
      <c r="Z512" t="s">
        <v>40</v>
      </c>
      <c r="AA512" t="s">
        <v>39</v>
      </c>
      <c r="AB512" t="s">
        <v>40</v>
      </c>
      <c r="AC512" s="8">
        <v>-2.4199999999999999E-2</v>
      </c>
    </row>
    <row r="513" spans="1:29" x14ac:dyDescent="0.3">
      <c r="A513" s="7">
        <v>512</v>
      </c>
      <c r="B513" s="1">
        <v>40566</v>
      </c>
      <c r="C513" s="7">
        <v>1</v>
      </c>
      <c r="D513" s="7">
        <v>10</v>
      </c>
      <c r="E513" t="b">
        <v>0</v>
      </c>
      <c r="F513" s="7">
        <v>0</v>
      </c>
      <c r="G513" s="7">
        <v>1</v>
      </c>
      <c r="H513" s="6">
        <v>0.14000000000000001</v>
      </c>
      <c r="I513" s="8">
        <v>0.1061</v>
      </c>
      <c r="J513" s="6">
        <v>0.46</v>
      </c>
      <c r="K513" s="8">
        <v>0.3881</v>
      </c>
      <c r="L513" s="7">
        <v>7</v>
      </c>
      <c r="M513" s="7">
        <v>51</v>
      </c>
      <c r="N513" s="7">
        <v>58</v>
      </c>
      <c r="O513" t="s">
        <v>29</v>
      </c>
      <c r="P513" t="s">
        <v>52</v>
      </c>
      <c r="Q513" t="s">
        <v>31</v>
      </c>
      <c r="R513" t="s">
        <v>42</v>
      </c>
      <c r="S513" t="s">
        <v>55</v>
      </c>
      <c r="T513" t="s">
        <v>49</v>
      </c>
      <c r="U513" t="s">
        <v>53</v>
      </c>
      <c r="V513" t="s">
        <v>36</v>
      </c>
      <c r="W513" t="s">
        <v>37</v>
      </c>
      <c r="X513" s="6">
        <v>12.068965517241381</v>
      </c>
      <c r="Y513" s="6">
        <v>87.931034482758619</v>
      </c>
      <c r="Z513" t="s">
        <v>38</v>
      </c>
      <c r="AA513" t="s">
        <v>39</v>
      </c>
      <c r="AB513" t="s">
        <v>40</v>
      </c>
      <c r="AC513" s="8">
        <v>-3.3900000000000013E-2</v>
      </c>
    </row>
    <row r="514" spans="1:29" x14ac:dyDescent="0.3">
      <c r="A514" s="7">
        <v>513</v>
      </c>
      <c r="B514" s="1">
        <v>40566</v>
      </c>
      <c r="C514" s="7">
        <v>1</v>
      </c>
      <c r="D514" s="7">
        <v>11</v>
      </c>
      <c r="E514" t="b">
        <v>0</v>
      </c>
      <c r="F514" s="7">
        <v>0</v>
      </c>
      <c r="G514" s="7">
        <v>1</v>
      </c>
      <c r="H514" s="6">
        <v>0.14000000000000001</v>
      </c>
      <c r="I514" s="8">
        <v>0.13639999999999999</v>
      </c>
      <c r="J514" s="6">
        <v>0.43</v>
      </c>
      <c r="K514" s="8">
        <v>0.22389999999999999</v>
      </c>
      <c r="L514" s="7">
        <v>22</v>
      </c>
      <c r="M514" s="7">
        <v>77</v>
      </c>
      <c r="N514" s="7">
        <v>99</v>
      </c>
      <c r="O514" t="s">
        <v>29</v>
      </c>
      <c r="P514" t="s">
        <v>52</v>
      </c>
      <c r="Q514" t="s">
        <v>31</v>
      </c>
      <c r="R514" t="s">
        <v>42</v>
      </c>
      <c r="S514" t="s">
        <v>55</v>
      </c>
      <c r="T514" t="s">
        <v>49</v>
      </c>
      <c r="U514" t="s">
        <v>46</v>
      </c>
      <c r="V514" t="s">
        <v>36</v>
      </c>
      <c r="W514" t="s">
        <v>37</v>
      </c>
      <c r="X514" s="6">
        <v>22.222222222222221</v>
      </c>
      <c r="Y514" s="6">
        <v>77.777777777777786</v>
      </c>
      <c r="Z514" t="s">
        <v>38</v>
      </c>
      <c r="AA514" t="s">
        <v>39</v>
      </c>
      <c r="AB514" t="s">
        <v>40</v>
      </c>
      <c r="AC514" s="8">
        <v>-3.6000000000000199E-3</v>
      </c>
    </row>
    <row r="515" spans="1:29" x14ac:dyDescent="0.3">
      <c r="A515" s="7">
        <v>514</v>
      </c>
      <c r="B515" s="1">
        <v>40566</v>
      </c>
      <c r="C515" s="7">
        <v>1</v>
      </c>
      <c r="D515" s="7">
        <v>12</v>
      </c>
      <c r="E515" t="b">
        <v>0</v>
      </c>
      <c r="F515" s="7">
        <v>0</v>
      </c>
      <c r="G515" s="7">
        <v>1</v>
      </c>
      <c r="H515" s="6">
        <v>0.16</v>
      </c>
      <c r="I515" s="8">
        <v>0.1212</v>
      </c>
      <c r="J515" s="6">
        <v>0.37</v>
      </c>
      <c r="K515" s="8">
        <v>0.4627</v>
      </c>
      <c r="L515" s="7">
        <v>24</v>
      </c>
      <c r="M515" s="7">
        <v>92</v>
      </c>
      <c r="N515" s="7">
        <v>116</v>
      </c>
      <c r="O515" t="s">
        <v>29</v>
      </c>
      <c r="P515" t="s">
        <v>52</v>
      </c>
      <c r="Q515" t="s">
        <v>31</v>
      </c>
      <c r="R515" t="s">
        <v>47</v>
      </c>
      <c r="S515" t="s">
        <v>33</v>
      </c>
      <c r="T515" t="s">
        <v>39</v>
      </c>
      <c r="U515" t="s">
        <v>53</v>
      </c>
      <c r="V515" t="s">
        <v>36</v>
      </c>
      <c r="W515" t="s">
        <v>37</v>
      </c>
      <c r="X515" s="6">
        <v>20.68965517241379</v>
      </c>
      <c r="Y515" s="6">
        <v>79.310344827586206</v>
      </c>
      <c r="Z515" t="s">
        <v>38</v>
      </c>
      <c r="AA515" t="s">
        <v>49</v>
      </c>
      <c r="AB515" t="s">
        <v>40</v>
      </c>
      <c r="AC515" s="8">
        <v>-3.8800000000000001E-2</v>
      </c>
    </row>
    <row r="516" spans="1:29" x14ac:dyDescent="0.3">
      <c r="A516" s="7">
        <v>515</v>
      </c>
      <c r="B516" s="1">
        <v>40566</v>
      </c>
      <c r="C516" s="7">
        <v>1</v>
      </c>
      <c r="D516" s="7">
        <v>13</v>
      </c>
      <c r="E516" t="b">
        <v>0</v>
      </c>
      <c r="F516" s="7">
        <v>0</v>
      </c>
      <c r="G516" s="7">
        <v>1</v>
      </c>
      <c r="H516" s="6">
        <v>0.14000000000000001</v>
      </c>
      <c r="I516" s="8">
        <v>0.1061</v>
      </c>
      <c r="J516" s="6">
        <v>0.33</v>
      </c>
      <c r="K516" s="8">
        <v>0.3881</v>
      </c>
      <c r="L516" s="7">
        <v>12</v>
      </c>
      <c r="M516" s="7">
        <v>75</v>
      </c>
      <c r="N516" s="7">
        <v>87</v>
      </c>
      <c r="O516" t="s">
        <v>29</v>
      </c>
      <c r="P516" t="s">
        <v>52</v>
      </c>
      <c r="Q516" t="s">
        <v>31</v>
      </c>
      <c r="R516" t="s">
        <v>47</v>
      </c>
      <c r="S516" t="s">
        <v>55</v>
      </c>
      <c r="T516" t="s">
        <v>39</v>
      </c>
      <c r="U516" t="s">
        <v>53</v>
      </c>
      <c r="V516" t="s">
        <v>36</v>
      </c>
      <c r="W516" t="s">
        <v>37</v>
      </c>
      <c r="X516" s="6">
        <v>13.793103448275859</v>
      </c>
      <c r="Y516" s="6">
        <v>86.206896551724128</v>
      </c>
      <c r="Z516" t="s">
        <v>38</v>
      </c>
      <c r="AA516" t="s">
        <v>39</v>
      </c>
      <c r="AB516" t="s">
        <v>40</v>
      </c>
      <c r="AC516" s="8">
        <v>-3.3900000000000013E-2</v>
      </c>
    </row>
    <row r="517" spans="1:29" x14ac:dyDescent="0.3">
      <c r="A517" s="7">
        <v>516</v>
      </c>
      <c r="B517" s="1">
        <v>40566</v>
      </c>
      <c r="C517" s="7">
        <v>1</v>
      </c>
      <c r="D517" s="7">
        <v>14</v>
      </c>
      <c r="E517" t="b">
        <v>0</v>
      </c>
      <c r="F517" s="7">
        <v>0</v>
      </c>
      <c r="G517" s="7">
        <v>1</v>
      </c>
      <c r="H517" s="6">
        <v>0.16</v>
      </c>
      <c r="I517" s="8">
        <v>0.13639999999999999</v>
      </c>
      <c r="J517" s="6">
        <v>0.28000000000000003</v>
      </c>
      <c r="K517" s="8">
        <v>0.35820000000000002</v>
      </c>
      <c r="L517" s="7">
        <v>17</v>
      </c>
      <c r="M517" s="7">
        <v>93</v>
      </c>
      <c r="N517" s="7">
        <v>110</v>
      </c>
      <c r="O517" t="s">
        <v>29</v>
      </c>
      <c r="P517" t="s">
        <v>52</v>
      </c>
      <c r="Q517" t="s">
        <v>31</v>
      </c>
      <c r="R517" t="s">
        <v>47</v>
      </c>
      <c r="S517" t="s">
        <v>33</v>
      </c>
      <c r="T517" t="s">
        <v>39</v>
      </c>
      <c r="U517" t="s">
        <v>53</v>
      </c>
      <c r="V517" t="s">
        <v>36</v>
      </c>
      <c r="W517" t="s">
        <v>37</v>
      </c>
      <c r="X517" s="6">
        <v>15.45454545454545</v>
      </c>
      <c r="Y517" s="6">
        <v>84.545454545454547</v>
      </c>
      <c r="Z517" t="s">
        <v>38</v>
      </c>
      <c r="AA517" t="s">
        <v>49</v>
      </c>
      <c r="AB517" t="s">
        <v>40</v>
      </c>
      <c r="AC517" s="8">
        <v>-2.360000000000001E-2</v>
      </c>
    </row>
    <row r="518" spans="1:29" x14ac:dyDescent="0.3">
      <c r="A518" s="7">
        <v>517</v>
      </c>
      <c r="B518" s="1">
        <v>40566</v>
      </c>
      <c r="C518" s="7">
        <v>1</v>
      </c>
      <c r="D518" s="7">
        <v>15</v>
      </c>
      <c r="E518" t="b">
        <v>0</v>
      </c>
      <c r="F518" s="7">
        <v>0</v>
      </c>
      <c r="G518" s="7">
        <v>1</v>
      </c>
      <c r="H518" s="6">
        <v>0.16</v>
      </c>
      <c r="I518" s="8">
        <v>0.13639999999999999</v>
      </c>
      <c r="J518" s="6">
        <v>0.28000000000000003</v>
      </c>
      <c r="K518" s="8">
        <v>0.35820000000000002</v>
      </c>
      <c r="L518" s="7">
        <v>13</v>
      </c>
      <c r="M518" s="7">
        <v>64</v>
      </c>
      <c r="N518" s="7">
        <v>77</v>
      </c>
      <c r="O518" t="s">
        <v>29</v>
      </c>
      <c r="P518" t="s">
        <v>52</v>
      </c>
      <c r="Q518" t="s">
        <v>31</v>
      </c>
      <c r="R518" t="s">
        <v>47</v>
      </c>
      <c r="S518" t="s">
        <v>33</v>
      </c>
      <c r="T518" t="s">
        <v>39</v>
      </c>
      <c r="U518" t="s">
        <v>53</v>
      </c>
      <c r="V518" t="s">
        <v>36</v>
      </c>
      <c r="W518" t="s">
        <v>37</v>
      </c>
      <c r="X518" s="6">
        <v>16.88311688311688</v>
      </c>
      <c r="Y518" s="6">
        <v>83.116883116883116</v>
      </c>
      <c r="Z518" t="s">
        <v>38</v>
      </c>
      <c r="AA518" t="s">
        <v>39</v>
      </c>
      <c r="AB518" t="s">
        <v>40</v>
      </c>
      <c r="AC518" s="8">
        <v>-2.360000000000001E-2</v>
      </c>
    </row>
    <row r="519" spans="1:29" x14ac:dyDescent="0.3">
      <c r="A519" s="7">
        <v>518</v>
      </c>
      <c r="B519" s="1">
        <v>40566</v>
      </c>
      <c r="C519" s="7">
        <v>1</v>
      </c>
      <c r="D519" s="7">
        <v>16</v>
      </c>
      <c r="E519" t="b">
        <v>0</v>
      </c>
      <c r="F519" s="7">
        <v>0</v>
      </c>
      <c r="G519" s="7">
        <v>1</v>
      </c>
      <c r="H519" s="6">
        <v>0.16</v>
      </c>
      <c r="I519" s="8">
        <v>0.13639999999999999</v>
      </c>
      <c r="J519" s="6">
        <v>0.26</v>
      </c>
      <c r="K519" s="8">
        <v>0.32840000000000003</v>
      </c>
      <c r="L519" s="7">
        <v>9</v>
      </c>
      <c r="M519" s="7">
        <v>56</v>
      </c>
      <c r="N519" s="7">
        <v>65</v>
      </c>
      <c r="O519" t="s">
        <v>29</v>
      </c>
      <c r="P519" t="s">
        <v>52</v>
      </c>
      <c r="Q519" t="s">
        <v>31</v>
      </c>
      <c r="R519" t="s">
        <v>47</v>
      </c>
      <c r="S519" t="s">
        <v>33</v>
      </c>
      <c r="T519" t="s">
        <v>39</v>
      </c>
      <c r="U519" t="s">
        <v>53</v>
      </c>
      <c r="V519" t="s">
        <v>36</v>
      </c>
      <c r="W519" t="s">
        <v>37</v>
      </c>
      <c r="X519" s="6">
        <v>13.84615384615385</v>
      </c>
      <c r="Y519" s="6">
        <v>86.15384615384616</v>
      </c>
      <c r="Z519" t="s">
        <v>38</v>
      </c>
      <c r="AA519" t="s">
        <v>39</v>
      </c>
      <c r="AB519" t="s">
        <v>40</v>
      </c>
      <c r="AC519" s="8">
        <v>-2.360000000000001E-2</v>
      </c>
    </row>
    <row r="520" spans="1:29" x14ac:dyDescent="0.3">
      <c r="A520" s="7">
        <v>519</v>
      </c>
      <c r="B520" s="1">
        <v>40566</v>
      </c>
      <c r="C520" s="7">
        <v>1</v>
      </c>
      <c r="D520" s="7">
        <v>17</v>
      </c>
      <c r="E520" t="b">
        <v>0</v>
      </c>
      <c r="F520" s="7">
        <v>0</v>
      </c>
      <c r="G520" s="7">
        <v>1</v>
      </c>
      <c r="H520" s="6">
        <v>0.14000000000000001</v>
      </c>
      <c r="I520" s="8">
        <v>0.1061</v>
      </c>
      <c r="J520" s="6">
        <v>0.26</v>
      </c>
      <c r="K520" s="8">
        <v>0.3881</v>
      </c>
      <c r="L520" s="7">
        <v>5</v>
      </c>
      <c r="M520" s="7">
        <v>50</v>
      </c>
      <c r="N520" s="7">
        <v>55</v>
      </c>
      <c r="O520" t="s">
        <v>29</v>
      </c>
      <c r="P520" t="s">
        <v>52</v>
      </c>
      <c r="Q520" t="s">
        <v>31</v>
      </c>
      <c r="R520" t="s">
        <v>50</v>
      </c>
      <c r="S520" t="s">
        <v>55</v>
      </c>
      <c r="T520" t="s">
        <v>39</v>
      </c>
      <c r="U520" t="s">
        <v>53</v>
      </c>
      <c r="V520" t="s">
        <v>36</v>
      </c>
      <c r="W520" t="s">
        <v>37</v>
      </c>
      <c r="X520" s="6">
        <v>9.0909090909090917</v>
      </c>
      <c r="Y520" s="6">
        <v>90.909090909090907</v>
      </c>
      <c r="Z520" t="s">
        <v>40</v>
      </c>
      <c r="AA520" t="s">
        <v>39</v>
      </c>
      <c r="AB520" t="s">
        <v>40</v>
      </c>
      <c r="AC520" s="8">
        <v>-3.3900000000000013E-2</v>
      </c>
    </row>
    <row r="521" spans="1:29" x14ac:dyDescent="0.3">
      <c r="A521" s="7">
        <v>520</v>
      </c>
      <c r="B521" s="1">
        <v>40566</v>
      </c>
      <c r="C521" s="7">
        <v>1</v>
      </c>
      <c r="D521" s="7">
        <v>18</v>
      </c>
      <c r="E521" t="b">
        <v>0</v>
      </c>
      <c r="F521" s="7">
        <v>0</v>
      </c>
      <c r="G521" s="7">
        <v>1</v>
      </c>
      <c r="H521" s="6">
        <v>0.12</v>
      </c>
      <c r="I521" s="8">
        <v>0.1212</v>
      </c>
      <c r="J521" s="6">
        <v>0.3</v>
      </c>
      <c r="K521" s="8">
        <v>0.25369999999999998</v>
      </c>
      <c r="L521" s="7">
        <v>5</v>
      </c>
      <c r="M521" s="7">
        <v>44</v>
      </c>
      <c r="N521" s="7">
        <v>49</v>
      </c>
      <c r="O521" t="s">
        <v>29</v>
      </c>
      <c r="P521" t="s">
        <v>52</v>
      </c>
      <c r="Q521" t="s">
        <v>31</v>
      </c>
      <c r="R521" t="s">
        <v>50</v>
      </c>
      <c r="S521" t="s">
        <v>55</v>
      </c>
      <c r="T521" t="s">
        <v>39</v>
      </c>
      <c r="U521" t="s">
        <v>46</v>
      </c>
      <c r="V521" t="s">
        <v>36</v>
      </c>
      <c r="W521" t="s">
        <v>37</v>
      </c>
      <c r="X521" s="6">
        <v>10.204081632653059</v>
      </c>
      <c r="Y521" s="6">
        <v>89.795918367346943</v>
      </c>
      <c r="Z521" t="s">
        <v>40</v>
      </c>
      <c r="AA521" t="s">
        <v>39</v>
      </c>
      <c r="AB521" t="s">
        <v>40</v>
      </c>
      <c r="AC521" s="8">
        <v>1.2000000000000071E-3</v>
      </c>
    </row>
    <row r="522" spans="1:29" x14ac:dyDescent="0.3">
      <c r="A522" s="7">
        <v>521</v>
      </c>
      <c r="B522" s="1">
        <v>40566</v>
      </c>
      <c r="C522" s="7">
        <v>1</v>
      </c>
      <c r="D522" s="7">
        <v>19</v>
      </c>
      <c r="E522" t="b">
        <v>0</v>
      </c>
      <c r="F522" s="7">
        <v>0</v>
      </c>
      <c r="G522" s="7">
        <v>1</v>
      </c>
      <c r="H522" s="6">
        <v>0.12</v>
      </c>
      <c r="I522" s="8">
        <v>0.1212</v>
      </c>
      <c r="J522" s="6">
        <v>0.3</v>
      </c>
      <c r="K522" s="8">
        <v>0.28360000000000002</v>
      </c>
      <c r="L522" s="7">
        <v>5</v>
      </c>
      <c r="M522" s="7">
        <v>45</v>
      </c>
      <c r="N522" s="7">
        <v>50</v>
      </c>
      <c r="O522" t="s">
        <v>29</v>
      </c>
      <c r="P522" t="s">
        <v>52</v>
      </c>
      <c r="Q522" t="s">
        <v>31</v>
      </c>
      <c r="R522" t="s">
        <v>50</v>
      </c>
      <c r="S522" t="s">
        <v>55</v>
      </c>
      <c r="T522" t="s">
        <v>39</v>
      </c>
      <c r="U522" t="s">
        <v>46</v>
      </c>
      <c r="V522" t="s">
        <v>36</v>
      </c>
      <c r="W522" t="s">
        <v>37</v>
      </c>
      <c r="X522" s="6">
        <v>10</v>
      </c>
      <c r="Y522" s="6">
        <v>90</v>
      </c>
      <c r="Z522" t="s">
        <v>40</v>
      </c>
      <c r="AA522" t="s">
        <v>39</v>
      </c>
      <c r="AB522" t="s">
        <v>40</v>
      </c>
      <c r="AC522" s="8">
        <v>1.2000000000000071E-3</v>
      </c>
    </row>
    <row r="523" spans="1:29" x14ac:dyDescent="0.3">
      <c r="A523" s="7">
        <v>522</v>
      </c>
      <c r="B523" s="1">
        <v>40566</v>
      </c>
      <c r="C523" s="7">
        <v>1</v>
      </c>
      <c r="D523" s="7">
        <v>20</v>
      </c>
      <c r="E523" t="b">
        <v>0</v>
      </c>
      <c r="F523" s="7">
        <v>0</v>
      </c>
      <c r="G523" s="7">
        <v>1</v>
      </c>
      <c r="H523" s="6">
        <v>0.1</v>
      </c>
      <c r="I523" s="8">
        <v>0.1061</v>
      </c>
      <c r="J523" s="6">
        <v>0.36</v>
      </c>
      <c r="K523" s="8">
        <v>0.25369999999999998</v>
      </c>
      <c r="L523" s="7">
        <v>4</v>
      </c>
      <c r="M523" s="7">
        <v>31</v>
      </c>
      <c r="N523" s="7">
        <v>35</v>
      </c>
      <c r="O523" t="s">
        <v>29</v>
      </c>
      <c r="P523" t="s">
        <v>52</v>
      </c>
      <c r="Q523" t="s">
        <v>31</v>
      </c>
      <c r="R523" t="s">
        <v>50</v>
      </c>
      <c r="S523" t="s">
        <v>55</v>
      </c>
      <c r="T523" t="s">
        <v>39</v>
      </c>
      <c r="U523" t="s">
        <v>46</v>
      </c>
      <c r="V523" t="s">
        <v>36</v>
      </c>
      <c r="W523" t="s">
        <v>37</v>
      </c>
      <c r="X523" s="6">
        <v>11.428571428571431</v>
      </c>
      <c r="Y523" s="6">
        <v>88.571428571428569</v>
      </c>
      <c r="Z523" t="s">
        <v>38</v>
      </c>
      <c r="AA523" t="s">
        <v>39</v>
      </c>
      <c r="AB523" t="s">
        <v>40</v>
      </c>
      <c r="AC523" s="8">
        <v>6.0999999999999943E-3</v>
      </c>
    </row>
    <row r="524" spans="1:29" x14ac:dyDescent="0.3">
      <c r="A524" s="7">
        <v>523</v>
      </c>
      <c r="B524" s="1">
        <v>40566</v>
      </c>
      <c r="C524" s="7">
        <v>1</v>
      </c>
      <c r="D524" s="7">
        <v>21</v>
      </c>
      <c r="E524" t="b">
        <v>0</v>
      </c>
      <c r="F524" s="7">
        <v>0</v>
      </c>
      <c r="G524" s="7">
        <v>1</v>
      </c>
      <c r="H524" s="6">
        <v>0.1</v>
      </c>
      <c r="I524" s="8">
        <v>0.1061</v>
      </c>
      <c r="J524" s="6">
        <v>0.36</v>
      </c>
      <c r="K524" s="8">
        <v>0.19400000000000001</v>
      </c>
      <c r="L524" s="7">
        <v>5</v>
      </c>
      <c r="M524" s="7">
        <v>20</v>
      </c>
      <c r="N524" s="7">
        <v>25</v>
      </c>
      <c r="O524" t="s">
        <v>29</v>
      </c>
      <c r="P524" t="s">
        <v>52</v>
      </c>
      <c r="Q524" t="s">
        <v>31</v>
      </c>
      <c r="R524" t="s">
        <v>32</v>
      </c>
      <c r="S524" t="s">
        <v>55</v>
      </c>
      <c r="T524" t="s">
        <v>39</v>
      </c>
      <c r="U524" t="s">
        <v>46</v>
      </c>
      <c r="V524" t="s">
        <v>36</v>
      </c>
      <c r="W524" t="s">
        <v>37</v>
      </c>
      <c r="X524" s="6">
        <v>20</v>
      </c>
      <c r="Y524" s="6">
        <v>80</v>
      </c>
      <c r="Z524" t="s">
        <v>38</v>
      </c>
      <c r="AA524" t="s">
        <v>39</v>
      </c>
      <c r="AB524" t="s">
        <v>40</v>
      </c>
      <c r="AC524" s="8">
        <v>6.0999999999999943E-3</v>
      </c>
    </row>
    <row r="525" spans="1:29" x14ac:dyDescent="0.3">
      <c r="A525" s="7">
        <v>524</v>
      </c>
      <c r="B525" s="1">
        <v>40566</v>
      </c>
      <c r="C525" s="7">
        <v>1</v>
      </c>
      <c r="D525" s="7">
        <v>22</v>
      </c>
      <c r="E525" t="b">
        <v>0</v>
      </c>
      <c r="F525" s="7">
        <v>0</v>
      </c>
      <c r="G525" s="7">
        <v>1</v>
      </c>
      <c r="H525" s="6">
        <v>0.08</v>
      </c>
      <c r="I525" s="8">
        <v>9.0899999999999995E-2</v>
      </c>
      <c r="J525" s="6">
        <v>0.38</v>
      </c>
      <c r="K525" s="8">
        <v>0.19400000000000001</v>
      </c>
      <c r="L525" s="7">
        <v>5</v>
      </c>
      <c r="M525" s="7">
        <v>23</v>
      </c>
      <c r="N525" s="7">
        <v>28</v>
      </c>
      <c r="O525" t="s">
        <v>29</v>
      </c>
      <c r="P525" t="s">
        <v>52</v>
      </c>
      <c r="Q525" t="s">
        <v>31</v>
      </c>
      <c r="R525" t="s">
        <v>32</v>
      </c>
      <c r="S525" t="s">
        <v>55</v>
      </c>
      <c r="T525" t="s">
        <v>39</v>
      </c>
      <c r="U525" t="s">
        <v>46</v>
      </c>
      <c r="V525" t="s">
        <v>36</v>
      </c>
      <c r="W525" t="s">
        <v>37</v>
      </c>
      <c r="X525" s="6">
        <v>17.857142857142861</v>
      </c>
      <c r="Y525" s="6">
        <v>82.142857142857139</v>
      </c>
      <c r="Z525" t="s">
        <v>38</v>
      </c>
      <c r="AA525" t="s">
        <v>39</v>
      </c>
      <c r="AB525" t="s">
        <v>40</v>
      </c>
      <c r="AC525" s="8">
        <v>1.089999999999999E-2</v>
      </c>
    </row>
    <row r="526" spans="1:29" x14ac:dyDescent="0.3">
      <c r="A526" s="7">
        <v>525</v>
      </c>
      <c r="B526" s="1">
        <v>40566</v>
      </c>
      <c r="C526" s="7">
        <v>1</v>
      </c>
      <c r="D526" s="7">
        <v>23</v>
      </c>
      <c r="E526" t="b">
        <v>0</v>
      </c>
      <c r="F526" s="7">
        <v>0</v>
      </c>
      <c r="G526" s="7">
        <v>1</v>
      </c>
      <c r="H526" s="6">
        <v>0.06</v>
      </c>
      <c r="I526" s="8">
        <v>6.0600000000000001E-2</v>
      </c>
      <c r="J526" s="6">
        <v>0.41</v>
      </c>
      <c r="K526" s="8">
        <v>0.22389999999999999</v>
      </c>
      <c r="L526" s="7">
        <v>4</v>
      </c>
      <c r="M526" s="7">
        <v>17</v>
      </c>
      <c r="N526" s="7">
        <v>21</v>
      </c>
      <c r="O526" t="s">
        <v>29</v>
      </c>
      <c r="P526" t="s">
        <v>52</v>
      </c>
      <c r="Q526" t="s">
        <v>31</v>
      </c>
      <c r="R526" t="s">
        <v>32</v>
      </c>
      <c r="S526" t="s">
        <v>55</v>
      </c>
      <c r="T526" t="s">
        <v>49</v>
      </c>
      <c r="U526" t="s">
        <v>46</v>
      </c>
      <c r="V526" t="s">
        <v>36</v>
      </c>
      <c r="W526" t="s">
        <v>37</v>
      </c>
      <c r="X526" s="6">
        <v>19.047619047619051</v>
      </c>
      <c r="Y526" s="6">
        <v>80.952380952380949</v>
      </c>
      <c r="Z526" t="s">
        <v>38</v>
      </c>
      <c r="AA526" t="s">
        <v>39</v>
      </c>
      <c r="AB526" t="s">
        <v>40</v>
      </c>
      <c r="AC526" s="8">
        <v>6.0000000000000331E-4</v>
      </c>
    </row>
    <row r="527" spans="1:29" x14ac:dyDescent="0.3">
      <c r="A527" s="7">
        <v>526</v>
      </c>
      <c r="B527" s="1">
        <v>40567</v>
      </c>
      <c r="C527" s="7">
        <v>1</v>
      </c>
      <c r="D527" s="7">
        <v>0</v>
      </c>
      <c r="E527" t="b">
        <v>0</v>
      </c>
      <c r="F527" s="7">
        <v>1</v>
      </c>
      <c r="G527" s="7">
        <v>1</v>
      </c>
      <c r="H527" s="6">
        <v>0.06</v>
      </c>
      <c r="I527" s="8">
        <v>6.0600000000000001E-2</v>
      </c>
      <c r="J527" s="6">
        <v>0.41</v>
      </c>
      <c r="K527" s="8">
        <v>0.19400000000000001</v>
      </c>
      <c r="L527" s="7">
        <v>0</v>
      </c>
      <c r="M527" s="7">
        <v>7</v>
      </c>
      <c r="N527" s="7">
        <v>7</v>
      </c>
      <c r="O527" t="s">
        <v>29</v>
      </c>
      <c r="P527" t="s">
        <v>54</v>
      </c>
      <c r="Q527" t="s">
        <v>31</v>
      </c>
      <c r="R527" t="s">
        <v>32</v>
      </c>
      <c r="S527" t="s">
        <v>55</v>
      </c>
      <c r="T527" t="s">
        <v>49</v>
      </c>
      <c r="U527" t="s">
        <v>46</v>
      </c>
      <c r="V527" t="s">
        <v>36</v>
      </c>
      <c r="W527" t="s">
        <v>37</v>
      </c>
      <c r="X527" s="6">
        <v>0</v>
      </c>
      <c r="Y527" s="6">
        <v>100</v>
      </c>
      <c r="Z527" t="s">
        <v>38</v>
      </c>
      <c r="AA527" t="s">
        <v>39</v>
      </c>
      <c r="AB527" t="s">
        <v>38</v>
      </c>
      <c r="AC527" s="8">
        <v>6.0000000000000331E-4</v>
      </c>
    </row>
    <row r="528" spans="1:29" x14ac:dyDescent="0.3">
      <c r="A528" s="7">
        <v>527</v>
      </c>
      <c r="B528" s="1">
        <v>40567</v>
      </c>
      <c r="C528" s="7">
        <v>1</v>
      </c>
      <c r="D528" s="7">
        <v>1</v>
      </c>
      <c r="E528" t="b">
        <v>0</v>
      </c>
      <c r="F528" s="7">
        <v>1</v>
      </c>
      <c r="G528" s="7">
        <v>1</v>
      </c>
      <c r="H528" s="6">
        <v>0.04</v>
      </c>
      <c r="I528" s="8">
        <v>4.5499999999999999E-2</v>
      </c>
      <c r="J528" s="6">
        <v>0.45</v>
      </c>
      <c r="K528" s="8">
        <v>0.19400000000000001</v>
      </c>
      <c r="L528" s="7">
        <v>0</v>
      </c>
      <c r="M528" s="7">
        <v>1</v>
      </c>
      <c r="N528" s="7">
        <v>1</v>
      </c>
      <c r="O528" t="s">
        <v>29</v>
      </c>
      <c r="P528" t="s">
        <v>54</v>
      </c>
      <c r="Q528" t="s">
        <v>31</v>
      </c>
      <c r="R528" t="s">
        <v>32</v>
      </c>
      <c r="S528" t="s">
        <v>55</v>
      </c>
      <c r="T528" t="s">
        <v>49</v>
      </c>
      <c r="U528" t="s">
        <v>46</v>
      </c>
      <c r="V528" t="s">
        <v>36</v>
      </c>
      <c r="W528" t="s">
        <v>37</v>
      </c>
      <c r="X528" s="6">
        <v>0</v>
      </c>
      <c r="Y528" s="6">
        <v>100</v>
      </c>
      <c r="Z528" t="s">
        <v>38</v>
      </c>
      <c r="AA528" t="s">
        <v>39</v>
      </c>
      <c r="AB528" t="s">
        <v>38</v>
      </c>
      <c r="AC528" s="8">
        <v>5.4999999999999979E-3</v>
      </c>
    </row>
    <row r="529" spans="1:29" x14ac:dyDescent="0.3">
      <c r="A529" s="7">
        <v>528</v>
      </c>
      <c r="B529" s="1">
        <v>40567</v>
      </c>
      <c r="C529" s="7">
        <v>1</v>
      </c>
      <c r="D529" s="7">
        <v>3</v>
      </c>
      <c r="E529" t="b">
        <v>0</v>
      </c>
      <c r="F529" s="7">
        <v>1</v>
      </c>
      <c r="G529" s="7">
        <v>1</v>
      </c>
      <c r="H529" s="6">
        <v>0.04</v>
      </c>
      <c r="I529" s="8">
        <v>3.0300000000000001E-2</v>
      </c>
      <c r="J529" s="6">
        <v>0.45</v>
      </c>
      <c r="K529" s="8">
        <v>0.25369999999999998</v>
      </c>
      <c r="L529" s="7">
        <v>0</v>
      </c>
      <c r="M529" s="7">
        <v>1</v>
      </c>
      <c r="N529" s="7">
        <v>1</v>
      </c>
      <c r="O529" t="s">
        <v>29</v>
      </c>
      <c r="P529" t="s">
        <v>54</v>
      </c>
      <c r="Q529" t="s">
        <v>31</v>
      </c>
      <c r="R529" t="s">
        <v>32</v>
      </c>
      <c r="S529" t="s">
        <v>55</v>
      </c>
      <c r="T529" t="s">
        <v>49</v>
      </c>
      <c r="U529" t="s">
        <v>46</v>
      </c>
      <c r="V529" t="s">
        <v>36</v>
      </c>
      <c r="W529" t="s">
        <v>37</v>
      </c>
      <c r="X529" s="6">
        <v>0</v>
      </c>
      <c r="Y529" s="6">
        <v>100</v>
      </c>
      <c r="Z529" t="s">
        <v>38</v>
      </c>
      <c r="AA529" t="s">
        <v>39</v>
      </c>
      <c r="AB529" t="s">
        <v>38</v>
      </c>
      <c r="AC529" s="8">
        <v>-9.7000000000000003E-3</v>
      </c>
    </row>
    <row r="530" spans="1:29" x14ac:dyDescent="0.3">
      <c r="A530" s="7">
        <v>529</v>
      </c>
      <c r="B530" s="1">
        <v>40567</v>
      </c>
      <c r="C530" s="7">
        <v>1</v>
      </c>
      <c r="D530" s="7">
        <v>4</v>
      </c>
      <c r="E530" t="b">
        <v>0</v>
      </c>
      <c r="F530" s="7">
        <v>1</v>
      </c>
      <c r="G530" s="7">
        <v>1</v>
      </c>
      <c r="H530" s="6">
        <v>0.02</v>
      </c>
      <c r="I530" s="8">
        <v>6.0600000000000001E-2</v>
      </c>
      <c r="J530" s="6">
        <v>0.48</v>
      </c>
      <c r="K530" s="8">
        <v>0.1343</v>
      </c>
      <c r="L530" s="7">
        <v>0</v>
      </c>
      <c r="M530" s="7">
        <v>1</v>
      </c>
      <c r="N530" s="7">
        <v>1</v>
      </c>
      <c r="O530" t="s">
        <v>29</v>
      </c>
      <c r="P530" t="s">
        <v>54</v>
      </c>
      <c r="Q530" t="s">
        <v>31</v>
      </c>
      <c r="R530" t="s">
        <v>32</v>
      </c>
      <c r="S530" t="s">
        <v>55</v>
      </c>
      <c r="T530" t="s">
        <v>49</v>
      </c>
      <c r="U530" t="s">
        <v>35</v>
      </c>
      <c r="V530" t="s">
        <v>36</v>
      </c>
      <c r="W530" t="s">
        <v>37</v>
      </c>
      <c r="X530" s="6">
        <v>0</v>
      </c>
      <c r="Y530" s="6">
        <v>100</v>
      </c>
      <c r="Z530" t="s">
        <v>38</v>
      </c>
      <c r="AA530" t="s">
        <v>39</v>
      </c>
      <c r="AB530" t="s">
        <v>38</v>
      </c>
      <c r="AC530" s="8">
        <v>4.0599999999999997E-2</v>
      </c>
    </row>
    <row r="531" spans="1:29" x14ac:dyDescent="0.3">
      <c r="A531" s="7">
        <v>530</v>
      </c>
      <c r="B531" s="1">
        <v>40567</v>
      </c>
      <c r="C531" s="7">
        <v>1</v>
      </c>
      <c r="D531" s="7">
        <v>5</v>
      </c>
      <c r="E531" t="b">
        <v>0</v>
      </c>
      <c r="F531" s="7">
        <v>1</v>
      </c>
      <c r="G531" s="7">
        <v>1</v>
      </c>
      <c r="H531" s="6">
        <v>0.02</v>
      </c>
      <c r="I531" s="8">
        <v>6.0600000000000001E-2</v>
      </c>
      <c r="J531" s="6">
        <v>0.48</v>
      </c>
      <c r="K531" s="8">
        <v>0.1343</v>
      </c>
      <c r="L531" s="7">
        <v>0</v>
      </c>
      <c r="M531" s="7">
        <v>5</v>
      </c>
      <c r="N531" s="7">
        <v>5</v>
      </c>
      <c r="O531" t="s">
        <v>29</v>
      </c>
      <c r="P531" t="s">
        <v>54</v>
      </c>
      <c r="Q531" t="s">
        <v>31</v>
      </c>
      <c r="R531" t="s">
        <v>32</v>
      </c>
      <c r="S531" t="s">
        <v>55</v>
      </c>
      <c r="T531" t="s">
        <v>49</v>
      </c>
      <c r="U531" t="s">
        <v>35</v>
      </c>
      <c r="V531" t="s">
        <v>36</v>
      </c>
      <c r="W531" t="s">
        <v>37</v>
      </c>
      <c r="X531" s="6">
        <v>0</v>
      </c>
      <c r="Y531" s="6">
        <v>100</v>
      </c>
      <c r="Z531" t="s">
        <v>38</v>
      </c>
      <c r="AA531" t="s">
        <v>39</v>
      </c>
      <c r="AB531" t="s">
        <v>38</v>
      </c>
      <c r="AC531" s="8">
        <v>4.0599999999999997E-2</v>
      </c>
    </row>
    <row r="532" spans="1:29" x14ac:dyDescent="0.3">
      <c r="A532" s="7">
        <v>531</v>
      </c>
      <c r="B532" s="1">
        <v>40567</v>
      </c>
      <c r="C532" s="7">
        <v>1</v>
      </c>
      <c r="D532" s="7">
        <v>6</v>
      </c>
      <c r="E532" t="b">
        <v>0</v>
      </c>
      <c r="F532" s="7">
        <v>1</v>
      </c>
      <c r="G532" s="7">
        <v>1</v>
      </c>
      <c r="H532" s="6">
        <v>0.02</v>
      </c>
      <c r="I532" s="8">
        <v>7.5800000000000006E-2</v>
      </c>
      <c r="J532" s="6">
        <v>0.48</v>
      </c>
      <c r="K532" s="8">
        <v>8.9599999999999999E-2</v>
      </c>
      <c r="L532" s="7">
        <v>0</v>
      </c>
      <c r="M532" s="7">
        <v>15</v>
      </c>
      <c r="N532" s="7">
        <v>15</v>
      </c>
      <c r="O532" t="s">
        <v>29</v>
      </c>
      <c r="P532" t="s">
        <v>54</v>
      </c>
      <c r="Q532" t="s">
        <v>31</v>
      </c>
      <c r="R532" t="s">
        <v>42</v>
      </c>
      <c r="S532" t="s">
        <v>55</v>
      </c>
      <c r="T532" t="s">
        <v>49</v>
      </c>
      <c r="U532" t="s">
        <v>35</v>
      </c>
      <c r="V532" t="s">
        <v>36</v>
      </c>
      <c r="W532" t="s">
        <v>37</v>
      </c>
      <c r="X532" s="6">
        <v>0</v>
      </c>
      <c r="Y532" s="6">
        <v>100</v>
      </c>
      <c r="Z532" t="s">
        <v>38</v>
      </c>
      <c r="AA532" t="s">
        <v>39</v>
      </c>
      <c r="AB532" t="s">
        <v>38</v>
      </c>
      <c r="AC532" s="8">
        <v>5.5800000000000002E-2</v>
      </c>
    </row>
    <row r="533" spans="1:29" x14ac:dyDescent="0.3">
      <c r="A533" s="7">
        <v>532</v>
      </c>
      <c r="B533" s="1">
        <v>40567</v>
      </c>
      <c r="C533" s="7">
        <v>1</v>
      </c>
      <c r="D533" s="7">
        <v>7</v>
      </c>
      <c r="E533" t="b">
        <v>0</v>
      </c>
      <c r="F533" s="7">
        <v>1</v>
      </c>
      <c r="G533" s="7">
        <v>1</v>
      </c>
      <c r="H533" s="6">
        <v>0.02</v>
      </c>
      <c r="I533" s="8">
        <v>0.1212</v>
      </c>
      <c r="J533" s="6">
        <v>0.48</v>
      </c>
      <c r="K533" s="8">
        <v>0</v>
      </c>
      <c r="L533" s="7">
        <v>5</v>
      </c>
      <c r="M533" s="7">
        <v>79</v>
      </c>
      <c r="N533" s="7">
        <v>84</v>
      </c>
      <c r="O533" t="s">
        <v>29</v>
      </c>
      <c r="P533" t="s">
        <v>54</v>
      </c>
      <c r="Q533" t="s">
        <v>31</v>
      </c>
      <c r="R533" t="s">
        <v>42</v>
      </c>
      <c r="S533" t="s">
        <v>55</v>
      </c>
      <c r="T533" t="s">
        <v>49</v>
      </c>
      <c r="U533" t="s">
        <v>35</v>
      </c>
      <c r="V533" t="s">
        <v>36</v>
      </c>
      <c r="W533" t="s">
        <v>37</v>
      </c>
      <c r="X533" s="6">
        <v>5.9523809523809517</v>
      </c>
      <c r="Y533" s="6">
        <v>94.047619047619051</v>
      </c>
      <c r="Z533" t="s">
        <v>40</v>
      </c>
      <c r="AA533" t="s">
        <v>39</v>
      </c>
      <c r="AB533" t="s">
        <v>38</v>
      </c>
      <c r="AC533" s="8">
        <v>0.1012</v>
      </c>
    </row>
    <row r="534" spans="1:29" x14ac:dyDescent="0.3">
      <c r="A534" s="7">
        <v>533</v>
      </c>
      <c r="B534" s="1">
        <v>40567</v>
      </c>
      <c r="C534" s="7">
        <v>1</v>
      </c>
      <c r="D534" s="7">
        <v>8</v>
      </c>
      <c r="E534" t="b">
        <v>0</v>
      </c>
      <c r="F534" s="7">
        <v>1</v>
      </c>
      <c r="G534" s="7">
        <v>1</v>
      </c>
      <c r="H534" s="6">
        <v>0.04</v>
      </c>
      <c r="I534" s="8">
        <v>0.13639999999999999</v>
      </c>
      <c r="J534" s="6">
        <v>0.49</v>
      </c>
      <c r="K534" s="8">
        <v>0</v>
      </c>
      <c r="L534" s="7">
        <v>6</v>
      </c>
      <c r="M534" s="7">
        <v>171</v>
      </c>
      <c r="N534" s="7">
        <v>177</v>
      </c>
      <c r="O534" t="s">
        <v>29</v>
      </c>
      <c r="P534" t="s">
        <v>54</v>
      </c>
      <c r="Q534" t="s">
        <v>31</v>
      </c>
      <c r="R534" t="s">
        <v>42</v>
      </c>
      <c r="S534" t="s">
        <v>55</v>
      </c>
      <c r="T534" t="s">
        <v>49</v>
      </c>
      <c r="U534" t="s">
        <v>35</v>
      </c>
      <c r="V534" t="s">
        <v>36</v>
      </c>
      <c r="W534" t="s">
        <v>37</v>
      </c>
      <c r="X534" s="6">
        <v>3.3898305084745761</v>
      </c>
      <c r="Y534" s="6">
        <v>96.610169491525426</v>
      </c>
      <c r="Z534" t="s">
        <v>40</v>
      </c>
      <c r="AA534" t="s">
        <v>49</v>
      </c>
      <c r="AB534" t="s">
        <v>38</v>
      </c>
      <c r="AC534" s="8">
        <v>9.6399999999999986E-2</v>
      </c>
    </row>
    <row r="535" spans="1:29" x14ac:dyDescent="0.3">
      <c r="A535" s="7">
        <v>534</v>
      </c>
      <c r="B535" s="1">
        <v>40567</v>
      </c>
      <c r="C535" s="7">
        <v>1</v>
      </c>
      <c r="D535" s="7">
        <v>9</v>
      </c>
      <c r="E535" t="b">
        <v>0</v>
      </c>
      <c r="F535" s="7">
        <v>1</v>
      </c>
      <c r="G535" s="7">
        <v>1</v>
      </c>
      <c r="H535" s="6">
        <v>0.06</v>
      </c>
      <c r="I535" s="8">
        <v>0.1515</v>
      </c>
      <c r="J535" s="6">
        <v>0.41</v>
      </c>
      <c r="K535" s="8">
        <v>0</v>
      </c>
      <c r="L535" s="7">
        <v>4</v>
      </c>
      <c r="M535" s="7">
        <v>98</v>
      </c>
      <c r="N535" s="7">
        <v>102</v>
      </c>
      <c r="O535" t="s">
        <v>29</v>
      </c>
      <c r="P535" t="s">
        <v>54</v>
      </c>
      <c r="Q535" t="s">
        <v>31</v>
      </c>
      <c r="R535" t="s">
        <v>42</v>
      </c>
      <c r="S535" t="s">
        <v>55</v>
      </c>
      <c r="T535" t="s">
        <v>49</v>
      </c>
      <c r="U535" t="s">
        <v>35</v>
      </c>
      <c r="V535" t="s">
        <v>36</v>
      </c>
      <c r="W535" t="s">
        <v>37</v>
      </c>
      <c r="X535" s="6">
        <v>3.9215686274509798</v>
      </c>
      <c r="Y535" s="6">
        <v>96.078431372549019</v>
      </c>
      <c r="Z535" t="s">
        <v>40</v>
      </c>
      <c r="AA535" t="s">
        <v>49</v>
      </c>
      <c r="AB535" t="s">
        <v>38</v>
      </c>
      <c r="AC535" s="8">
        <v>9.1499999999999998E-2</v>
      </c>
    </row>
    <row r="536" spans="1:29" x14ac:dyDescent="0.3">
      <c r="A536" s="7">
        <v>535</v>
      </c>
      <c r="B536" s="1">
        <v>40567</v>
      </c>
      <c r="C536" s="7">
        <v>1</v>
      </c>
      <c r="D536" s="7">
        <v>10</v>
      </c>
      <c r="E536" t="b">
        <v>0</v>
      </c>
      <c r="F536" s="7">
        <v>1</v>
      </c>
      <c r="G536" s="7">
        <v>1</v>
      </c>
      <c r="H536" s="6">
        <v>0.1</v>
      </c>
      <c r="I536" s="8">
        <v>0.13639999999999999</v>
      </c>
      <c r="J536" s="6">
        <v>0.42</v>
      </c>
      <c r="K536" s="8">
        <v>0</v>
      </c>
      <c r="L536" s="7">
        <v>6</v>
      </c>
      <c r="M536" s="7">
        <v>34</v>
      </c>
      <c r="N536" s="7">
        <v>40</v>
      </c>
      <c r="O536" t="s">
        <v>29</v>
      </c>
      <c r="P536" t="s">
        <v>54</v>
      </c>
      <c r="Q536" t="s">
        <v>31</v>
      </c>
      <c r="R536" t="s">
        <v>42</v>
      </c>
      <c r="S536" t="s">
        <v>55</v>
      </c>
      <c r="T536" t="s">
        <v>49</v>
      </c>
      <c r="U536" t="s">
        <v>35</v>
      </c>
      <c r="V536" t="s">
        <v>36</v>
      </c>
      <c r="W536" t="s">
        <v>37</v>
      </c>
      <c r="X536" s="6">
        <v>15</v>
      </c>
      <c r="Y536" s="6">
        <v>85</v>
      </c>
      <c r="Z536" t="s">
        <v>38</v>
      </c>
      <c r="AA536" t="s">
        <v>39</v>
      </c>
      <c r="AB536" t="s">
        <v>38</v>
      </c>
      <c r="AC536" s="8">
        <v>3.6399999999999988E-2</v>
      </c>
    </row>
    <row r="537" spans="1:29" x14ac:dyDescent="0.3">
      <c r="A537" s="7">
        <v>536</v>
      </c>
      <c r="B537" s="1">
        <v>40567</v>
      </c>
      <c r="C537" s="7">
        <v>1</v>
      </c>
      <c r="D537" s="7">
        <v>11</v>
      </c>
      <c r="E537" t="b">
        <v>0</v>
      </c>
      <c r="F537" s="7">
        <v>1</v>
      </c>
      <c r="G537" s="7">
        <v>1</v>
      </c>
      <c r="H537" s="6">
        <v>0.1</v>
      </c>
      <c r="I537" s="8">
        <v>0.1212</v>
      </c>
      <c r="J537" s="6">
        <v>0.46</v>
      </c>
      <c r="K537" s="8">
        <v>0.1343</v>
      </c>
      <c r="L537" s="7">
        <v>3</v>
      </c>
      <c r="M537" s="7">
        <v>43</v>
      </c>
      <c r="N537" s="7">
        <v>46</v>
      </c>
      <c r="O537" t="s">
        <v>29</v>
      </c>
      <c r="P537" t="s">
        <v>54</v>
      </c>
      <c r="Q537" t="s">
        <v>31</v>
      </c>
      <c r="R537" t="s">
        <v>42</v>
      </c>
      <c r="S537" t="s">
        <v>55</v>
      </c>
      <c r="T537" t="s">
        <v>49</v>
      </c>
      <c r="U537" t="s">
        <v>35</v>
      </c>
      <c r="V537" t="s">
        <v>36</v>
      </c>
      <c r="W537" t="s">
        <v>37</v>
      </c>
      <c r="X537" s="6">
        <v>6.5217391304347823</v>
      </c>
      <c r="Y537" s="6">
        <v>93.478260869565219</v>
      </c>
      <c r="Z537" t="s">
        <v>38</v>
      </c>
      <c r="AA537" t="s">
        <v>39</v>
      </c>
      <c r="AB537" t="s">
        <v>38</v>
      </c>
      <c r="AC537" s="8">
        <v>2.12E-2</v>
      </c>
    </row>
    <row r="538" spans="1:29" x14ac:dyDescent="0.3">
      <c r="A538" s="7">
        <v>537</v>
      </c>
      <c r="B538" s="1">
        <v>40567</v>
      </c>
      <c r="C538" s="7">
        <v>1</v>
      </c>
      <c r="D538" s="7">
        <v>12</v>
      </c>
      <c r="E538" t="b">
        <v>0</v>
      </c>
      <c r="F538" s="7">
        <v>1</v>
      </c>
      <c r="G538" s="7">
        <v>2</v>
      </c>
      <c r="H538" s="6">
        <v>0.12</v>
      </c>
      <c r="I538" s="8">
        <v>0.13639999999999999</v>
      </c>
      <c r="J538" s="6">
        <v>0.42</v>
      </c>
      <c r="K538" s="8">
        <v>0.19400000000000001</v>
      </c>
      <c r="L538" s="7">
        <v>11</v>
      </c>
      <c r="M538" s="7">
        <v>52</v>
      </c>
      <c r="N538" s="7">
        <v>63</v>
      </c>
      <c r="O538" t="s">
        <v>29</v>
      </c>
      <c r="P538" t="s">
        <v>54</v>
      </c>
      <c r="Q538" t="s">
        <v>41</v>
      </c>
      <c r="R538" t="s">
        <v>47</v>
      </c>
      <c r="S538" t="s">
        <v>55</v>
      </c>
      <c r="T538" t="s">
        <v>49</v>
      </c>
      <c r="U538" t="s">
        <v>46</v>
      </c>
      <c r="V538" t="s">
        <v>36</v>
      </c>
      <c r="W538" t="s">
        <v>37</v>
      </c>
      <c r="X538" s="6">
        <v>17.460317460317459</v>
      </c>
      <c r="Y538" s="6">
        <v>82.539682539682531</v>
      </c>
      <c r="Z538" t="s">
        <v>38</v>
      </c>
      <c r="AA538" t="s">
        <v>39</v>
      </c>
      <c r="AB538" t="s">
        <v>38</v>
      </c>
      <c r="AC538" s="8">
        <v>1.6400000000000001E-2</v>
      </c>
    </row>
    <row r="539" spans="1:29" x14ac:dyDescent="0.3">
      <c r="A539" s="7">
        <v>538</v>
      </c>
      <c r="B539" s="1">
        <v>40567</v>
      </c>
      <c r="C539" s="7">
        <v>1</v>
      </c>
      <c r="D539" s="7">
        <v>13</v>
      </c>
      <c r="E539" t="b">
        <v>0</v>
      </c>
      <c r="F539" s="7">
        <v>1</v>
      </c>
      <c r="G539" s="7">
        <v>2</v>
      </c>
      <c r="H539" s="6">
        <v>0.14000000000000001</v>
      </c>
      <c r="I539" s="8">
        <v>0.13639999999999999</v>
      </c>
      <c r="J539" s="6">
        <v>0.43</v>
      </c>
      <c r="K539" s="8">
        <v>0.22389999999999999</v>
      </c>
      <c r="L539" s="7">
        <v>6</v>
      </c>
      <c r="M539" s="7">
        <v>54</v>
      </c>
      <c r="N539" s="7">
        <v>60</v>
      </c>
      <c r="O539" t="s">
        <v>29</v>
      </c>
      <c r="P539" t="s">
        <v>54</v>
      </c>
      <c r="Q539" t="s">
        <v>41</v>
      </c>
      <c r="R539" t="s">
        <v>47</v>
      </c>
      <c r="S539" t="s">
        <v>55</v>
      </c>
      <c r="T539" t="s">
        <v>49</v>
      </c>
      <c r="U539" t="s">
        <v>46</v>
      </c>
      <c r="V539" t="s">
        <v>36</v>
      </c>
      <c r="W539" t="s">
        <v>37</v>
      </c>
      <c r="X539" s="6">
        <v>10</v>
      </c>
      <c r="Y539" s="6">
        <v>90</v>
      </c>
      <c r="Z539" t="s">
        <v>38</v>
      </c>
      <c r="AA539" t="s">
        <v>39</v>
      </c>
      <c r="AB539" t="s">
        <v>38</v>
      </c>
      <c r="AC539" s="8">
        <v>-3.6000000000000199E-3</v>
      </c>
    </row>
    <row r="540" spans="1:29" x14ac:dyDescent="0.3">
      <c r="A540" s="7">
        <v>539</v>
      </c>
      <c r="B540" s="1">
        <v>40567</v>
      </c>
      <c r="C540" s="7">
        <v>1</v>
      </c>
      <c r="D540" s="7">
        <v>14</v>
      </c>
      <c r="E540" t="b">
        <v>0</v>
      </c>
      <c r="F540" s="7">
        <v>1</v>
      </c>
      <c r="G540" s="7">
        <v>2</v>
      </c>
      <c r="H540" s="6">
        <v>0.14000000000000001</v>
      </c>
      <c r="I540" s="8">
        <v>0.13639999999999999</v>
      </c>
      <c r="J540" s="6">
        <v>0.46</v>
      </c>
      <c r="K540" s="8">
        <v>0.22389999999999999</v>
      </c>
      <c r="L540" s="7">
        <v>2</v>
      </c>
      <c r="M540" s="7">
        <v>43</v>
      </c>
      <c r="N540" s="7">
        <v>45</v>
      </c>
      <c r="O540" t="s">
        <v>29</v>
      </c>
      <c r="P540" t="s">
        <v>54</v>
      </c>
      <c r="Q540" t="s">
        <v>41</v>
      </c>
      <c r="R540" t="s">
        <v>47</v>
      </c>
      <c r="S540" t="s">
        <v>55</v>
      </c>
      <c r="T540" t="s">
        <v>49</v>
      </c>
      <c r="U540" t="s">
        <v>46</v>
      </c>
      <c r="V540" t="s">
        <v>36</v>
      </c>
      <c r="W540" t="s">
        <v>37</v>
      </c>
      <c r="X540" s="6">
        <v>4.4444444444444446</v>
      </c>
      <c r="Y540" s="6">
        <v>95.555555555555557</v>
      </c>
      <c r="Z540" t="s">
        <v>38</v>
      </c>
      <c r="AA540" t="s">
        <v>39</v>
      </c>
      <c r="AB540" t="s">
        <v>38</v>
      </c>
      <c r="AC540" s="8">
        <v>-3.6000000000000199E-3</v>
      </c>
    </row>
    <row r="541" spans="1:29" x14ac:dyDescent="0.3">
      <c r="A541" s="7">
        <v>540</v>
      </c>
      <c r="B541" s="1">
        <v>40567</v>
      </c>
      <c r="C541" s="7">
        <v>1</v>
      </c>
      <c r="D541" s="7">
        <v>15</v>
      </c>
      <c r="E541" t="b">
        <v>0</v>
      </c>
      <c r="F541" s="7">
        <v>1</v>
      </c>
      <c r="G541" s="7">
        <v>1</v>
      </c>
      <c r="H541" s="6">
        <v>0.16</v>
      </c>
      <c r="I541" s="8">
        <v>0.16669999999999999</v>
      </c>
      <c r="J541" s="6">
        <v>0.4</v>
      </c>
      <c r="K541" s="8">
        <v>0.16420000000000001</v>
      </c>
      <c r="L541" s="7">
        <v>7</v>
      </c>
      <c r="M541" s="7">
        <v>50</v>
      </c>
      <c r="N541" s="7">
        <v>57</v>
      </c>
      <c r="O541" t="s">
        <v>29</v>
      </c>
      <c r="P541" t="s">
        <v>54</v>
      </c>
      <c r="Q541" t="s">
        <v>31</v>
      </c>
      <c r="R541" t="s">
        <v>47</v>
      </c>
      <c r="S541" t="s">
        <v>33</v>
      </c>
      <c r="T541" t="s">
        <v>49</v>
      </c>
      <c r="U541" t="s">
        <v>46</v>
      </c>
      <c r="V541" t="s">
        <v>36</v>
      </c>
      <c r="W541" t="s">
        <v>37</v>
      </c>
      <c r="X541" s="6">
        <v>12.28070175438596</v>
      </c>
      <c r="Y541" s="6">
        <v>87.719298245614027</v>
      </c>
      <c r="Z541" t="s">
        <v>38</v>
      </c>
      <c r="AA541" t="s">
        <v>39</v>
      </c>
      <c r="AB541" t="s">
        <v>38</v>
      </c>
      <c r="AC541" s="8">
        <v>6.6999999999999837E-3</v>
      </c>
    </row>
    <row r="542" spans="1:29" x14ac:dyDescent="0.3">
      <c r="A542" s="7">
        <v>541</v>
      </c>
      <c r="B542" s="1">
        <v>40567</v>
      </c>
      <c r="C542" s="7">
        <v>1</v>
      </c>
      <c r="D542" s="7">
        <v>16</v>
      </c>
      <c r="E542" t="b">
        <v>0</v>
      </c>
      <c r="F542" s="7">
        <v>1</v>
      </c>
      <c r="G542" s="7">
        <v>1</v>
      </c>
      <c r="H542" s="6">
        <v>0.16</v>
      </c>
      <c r="I542" s="8">
        <v>0.1515</v>
      </c>
      <c r="J542" s="6">
        <v>0.47</v>
      </c>
      <c r="K542" s="8">
        <v>0.25369999999999998</v>
      </c>
      <c r="L542" s="7">
        <v>4</v>
      </c>
      <c r="M542" s="7">
        <v>66</v>
      </c>
      <c r="N542" s="7">
        <v>70</v>
      </c>
      <c r="O542" t="s">
        <v>29</v>
      </c>
      <c r="P542" t="s">
        <v>54</v>
      </c>
      <c r="Q542" t="s">
        <v>31</v>
      </c>
      <c r="R542" t="s">
        <v>47</v>
      </c>
      <c r="S542" t="s">
        <v>33</v>
      </c>
      <c r="T542" t="s">
        <v>49</v>
      </c>
      <c r="U542" t="s">
        <v>46</v>
      </c>
      <c r="V542" t="s">
        <v>36</v>
      </c>
      <c r="W542" t="s">
        <v>37</v>
      </c>
      <c r="X542" s="6">
        <v>5.7142857142857144</v>
      </c>
      <c r="Y542" s="6">
        <v>94.285714285714278</v>
      </c>
      <c r="Z542" t="s">
        <v>38</v>
      </c>
      <c r="AA542" t="s">
        <v>39</v>
      </c>
      <c r="AB542" t="s">
        <v>38</v>
      </c>
      <c r="AC542" s="8">
        <v>-8.5000000000000075E-3</v>
      </c>
    </row>
    <row r="543" spans="1:29" x14ac:dyDescent="0.3">
      <c r="A543" s="7">
        <v>542</v>
      </c>
      <c r="B543" s="1">
        <v>40567</v>
      </c>
      <c r="C543" s="7">
        <v>1</v>
      </c>
      <c r="D543" s="7">
        <v>17</v>
      </c>
      <c r="E543" t="b">
        <v>0</v>
      </c>
      <c r="F543" s="7">
        <v>1</v>
      </c>
      <c r="G543" s="7">
        <v>1</v>
      </c>
      <c r="H543" s="6">
        <v>0.14000000000000001</v>
      </c>
      <c r="I543" s="8">
        <v>0.1212</v>
      </c>
      <c r="J543" s="6">
        <v>0.5</v>
      </c>
      <c r="K543" s="8">
        <v>0.25369999999999998</v>
      </c>
      <c r="L543" s="7">
        <v>6</v>
      </c>
      <c r="M543" s="7">
        <v>178</v>
      </c>
      <c r="N543" s="7">
        <v>184</v>
      </c>
      <c r="O543" t="s">
        <v>29</v>
      </c>
      <c r="P543" t="s">
        <v>54</v>
      </c>
      <c r="Q543" t="s">
        <v>31</v>
      </c>
      <c r="R543" t="s">
        <v>50</v>
      </c>
      <c r="S543" t="s">
        <v>55</v>
      </c>
      <c r="T543" t="s">
        <v>49</v>
      </c>
      <c r="U543" t="s">
        <v>46</v>
      </c>
      <c r="V543" t="s">
        <v>36</v>
      </c>
      <c r="W543" t="s">
        <v>37</v>
      </c>
      <c r="X543" s="6">
        <v>3.2608695652173911</v>
      </c>
      <c r="Y543" s="6">
        <v>96.739130434782609</v>
      </c>
      <c r="Z543" t="s">
        <v>40</v>
      </c>
      <c r="AA543" t="s">
        <v>49</v>
      </c>
      <c r="AB543" t="s">
        <v>38</v>
      </c>
      <c r="AC543" s="8">
        <v>-1.8800000000000011E-2</v>
      </c>
    </row>
    <row r="544" spans="1:29" x14ac:dyDescent="0.3">
      <c r="A544" s="7">
        <v>543</v>
      </c>
      <c r="B544" s="1">
        <v>40567</v>
      </c>
      <c r="C544" s="7">
        <v>1</v>
      </c>
      <c r="D544" s="7">
        <v>18</v>
      </c>
      <c r="E544" t="b">
        <v>0</v>
      </c>
      <c r="F544" s="7">
        <v>1</v>
      </c>
      <c r="G544" s="7">
        <v>1</v>
      </c>
      <c r="H544" s="6">
        <v>0.14000000000000001</v>
      </c>
      <c r="I544" s="8">
        <v>0.13639999999999999</v>
      </c>
      <c r="J544" s="6">
        <v>0.59</v>
      </c>
      <c r="K544" s="8">
        <v>0.19400000000000001</v>
      </c>
      <c r="L544" s="7">
        <v>8</v>
      </c>
      <c r="M544" s="7">
        <v>145</v>
      </c>
      <c r="N544" s="7">
        <v>153</v>
      </c>
      <c r="O544" t="s">
        <v>29</v>
      </c>
      <c r="P544" t="s">
        <v>54</v>
      </c>
      <c r="Q544" t="s">
        <v>31</v>
      </c>
      <c r="R544" t="s">
        <v>50</v>
      </c>
      <c r="S544" t="s">
        <v>55</v>
      </c>
      <c r="T544" t="s">
        <v>49</v>
      </c>
      <c r="U544" t="s">
        <v>46</v>
      </c>
      <c r="V544" t="s">
        <v>36</v>
      </c>
      <c r="W544" t="s">
        <v>37</v>
      </c>
      <c r="X544" s="6">
        <v>5.2287581699346406</v>
      </c>
      <c r="Y544" s="6">
        <v>94.77124183006535</v>
      </c>
      <c r="Z544" t="s">
        <v>40</v>
      </c>
      <c r="AA544" t="s">
        <v>49</v>
      </c>
      <c r="AB544" t="s">
        <v>38</v>
      </c>
      <c r="AC544" s="8">
        <v>-3.6000000000000199E-3</v>
      </c>
    </row>
    <row r="545" spans="1:29" x14ac:dyDescent="0.3">
      <c r="A545" s="7">
        <v>544</v>
      </c>
      <c r="B545" s="1">
        <v>40567</v>
      </c>
      <c r="C545" s="7">
        <v>1</v>
      </c>
      <c r="D545" s="7">
        <v>19</v>
      </c>
      <c r="E545" t="b">
        <v>0</v>
      </c>
      <c r="F545" s="7">
        <v>1</v>
      </c>
      <c r="G545" s="7">
        <v>1</v>
      </c>
      <c r="H545" s="6">
        <v>0.14000000000000001</v>
      </c>
      <c r="I545" s="8">
        <v>0.1515</v>
      </c>
      <c r="J545" s="6">
        <v>0.54</v>
      </c>
      <c r="K545" s="8">
        <v>0.16420000000000001</v>
      </c>
      <c r="L545" s="7">
        <v>5</v>
      </c>
      <c r="M545" s="7">
        <v>101</v>
      </c>
      <c r="N545" s="7">
        <v>106</v>
      </c>
      <c r="O545" t="s">
        <v>29</v>
      </c>
      <c r="P545" t="s">
        <v>54</v>
      </c>
      <c r="Q545" t="s">
        <v>31</v>
      </c>
      <c r="R545" t="s">
        <v>50</v>
      </c>
      <c r="S545" t="s">
        <v>55</v>
      </c>
      <c r="T545" t="s">
        <v>49</v>
      </c>
      <c r="U545" t="s">
        <v>46</v>
      </c>
      <c r="V545" t="s">
        <v>36</v>
      </c>
      <c r="W545" t="s">
        <v>37</v>
      </c>
      <c r="X545" s="6">
        <v>4.716981132075472</v>
      </c>
      <c r="Y545" s="6">
        <v>95.283018867924525</v>
      </c>
      <c r="Z545" t="s">
        <v>40</v>
      </c>
      <c r="AA545" t="s">
        <v>49</v>
      </c>
      <c r="AB545" t="s">
        <v>38</v>
      </c>
      <c r="AC545" s="8">
        <v>1.1499999999999981E-2</v>
      </c>
    </row>
    <row r="546" spans="1:29" x14ac:dyDescent="0.3">
      <c r="A546" s="7">
        <v>545</v>
      </c>
      <c r="B546" s="1">
        <v>40567</v>
      </c>
      <c r="C546" s="7">
        <v>1</v>
      </c>
      <c r="D546" s="7">
        <v>20</v>
      </c>
      <c r="E546" t="b">
        <v>0</v>
      </c>
      <c r="F546" s="7">
        <v>1</v>
      </c>
      <c r="G546" s="7">
        <v>1</v>
      </c>
      <c r="H546" s="6">
        <v>0.14000000000000001</v>
      </c>
      <c r="I546" s="8">
        <v>0.13639999999999999</v>
      </c>
      <c r="J546" s="6">
        <v>0.59</v>
      </c>
      <c r="K546" s="8">
        <v>0.19400000000000001</v>
      </c>
      <c r="L546" s="7">
        <v>1</v>
      </c>
      <c r="M546" s="7">
        <v>80</v>
      </c>
      <c r="N546" s="7">
        <v>81</v>
      </c>
      <c r="O546" t="s">
        <v>29</v>
      </c>
      <c r="P546" t="s">
        <v>54</v>
      </c>
      <c r="Q546" t="s">
        <v>31</v>
      </c>
      <c r="R546" t="s">
        <v>50</v>
      </c>
      <c r="S546" t="s">
        <v>55</v>
      </c>
      <c r="T546" t="s">
        <v>49</v>
      </c>
      <c r="U546" t="s">
        <v>46</v>
      </c>
      <c r="V546" t="s">
        <v>36</v>
      </c>
      <c r="W546" t="s">
        <v>37</v>
      </c>
      <c r="X546" s="6">
        <v>1.2345679012345681</v>
      </c>
      <c r="Y546" s="6">
        <v>98.76543209876543</v>
      </c>
      <c r="Z546" t="s">
        <v>38</v>
      </c>
      <c r="AA546" t="s">
        <v>39</v>
      </c>
      <c r="AB546" t="s">
        <v>38</v>
      </c>
      <c r="AC546" s="8">
        <v>-3.6000000000000199E-3</v>
      </c>
    </row>
    <row r="547" spans="1:29" x14ac:dyDescent="0.3">
      <c r="A547" s="7">
        <v>546</v>
      </c>
      <c r="B547" s="1">
        <v>40567</v>
      </c>
      <c r="C547" s="7">
        <v>1</v>
      </c>
      <c r="D547" s="7">
        <v>21</v>
      </c>
      <c r="E547" t="b">
        <v>0</v>
      </c>
      <c r="F547" s="7">
        <v>1</v>
      </c>
      <c r="G547" s="7">
        <v>1</v>
      </c>
      <c r="H547" s="6">
        <v>0.14000000000000001</v>
      </c>
      <c r="I547" s="8">
        <v>0.1515</v>
      </c>
      <c r="J547" s="6">
        <v>0.63</v>
      </c>
      <c r="K547" s="8">
        <v>0.16420000000000001</v>
      </c>
      <c r="L547" s="7">
        <v>6</v>
      </c>
      <c r="M547" s="7">
        <v>53</v>
      </c>
      <c r="N547" s="7">
        <v>59</v>
      </c>
      <c r="O547" t="s">
        <v>29</v>
      </c>
      <c r="P547" t="s">
        <v>54</v>
      </c>
      <c r="Q547" t="s">
        <v>31</v>
      </c>
      <c r="R547" t="s">
        <v>32</v>
      </c>
      <c r="S547" t="s">
        <v>55</v>
      </c>
      <c r="T547" t="s">
        <v>49</v>
      </c>
      <c r="U547" t="s">
        <v>46</v>
      </c>
      <c r="V547" t="s">
        <v>36</v>
      </c>
      <c r="W547" t="s">
        <v>37</v>
      </c>
      <c r="X547" s="6">
        <v>10.16949152542373</v>
      </c>
      <c r="Y547" s="6">
        <v>89.830508474576277</v>
      </c>
      <c r="Z547" t="s">
        <v>38</v>
      </c>
      <c r="AA547" t="s">
        <v>39</v>
      </c>
      <c r="AB547" t="s">
        <v>38</v>
      </c>
      <c r="AC547" s="8">
        <v>1.1499999999999981E-2</v>
      </c>
    </row>
    <row r="548" spans="1:29" x14ac:dyDescent="0.3">
      <c r="A548" s="7">
        <v>547</v>
      </c>
      <c r="B548" s="1">
        <v>40567</v>
      </c>
      <c r="C548" s="7">
        <v>1</v>
      </c>
      <c r="D548" s="7">
        <v>22</v>
      </c>
      <c r="E548" t="b">
        <v>0</v>
      </c>
      <c r="F548" s="7">
        <v>1</v>
      </c>
      <c r="G548" s="7">
        <v>2</v>
      </c>
      <c r="H548" s="6">
        <v>0.14000000000000001</v>
      </c>
      <c r="I548" s="8">
        <v>0.13639999999999999</v>
      </c>
      <c r="J548" s="6">
        <v>0.63</v>
      </c>
      <c r="K548" s="8">
        <v>0.22389999999999999</v>
      </c>
      <c r="L548" s="7">
        <v>3</v>
      </c>
      <c r="M548" s="7">
        <v>32</v>
      </c>
      <c r="N548" s="7">
        <v>35</v>
      </c>
      <c r="O548" t="s">
        <v>29</v>
      </c>
      <c r="P548" t="s">
        <v>54</v>
      </c>
      <c r="Q548" t="s">
        <v>41</v>
      </c>
      <c r="R548" t="s">
        <v>32</v>
      </c>
      <c r="S548" t="s">
        <v>55</v>
      </c>
      <c r="T548" t="s">
        <v>49</v>
      </c>
      <c r="U548" t="s">
        <v>46</v>
      </c>
      <c r="V548" t="s">
        <v>36</v>
      </c>
      <c r="W548" t="s">
        <v>37</v>
      </c>
      <c r="X548" s="6">
        <v>8.5714285714285712</v>
      </c>
      <c r="Y548" s="6">
        <v>91.428571428571431</v>
      </c>
      <c r="Z548" t="s">
        <v>38</v>
      </c>
      <c r="AA548" t="s">
        <v>39</v>
      </c>
      <c r="AB548" t="s">
        <v>38</v>
      </c>
      <c r="AC548" s="8">
        <v>-3.6000000000000199E-3</v>
      </c>
    </row>
    <row r="549" spans="1:29" x14ac:dyDescent="0.3">
      <c r="A549" s="7">
        <v>548</v>
      </c>
      <c r="B549" s="1">
        <v>40567</v>
      </c>
      <c r="C549" s="7">
        <v>1</v>
      </c>
      <c r="D549" s="7">
        <v>23</v>
      </c>
      <c r="E549" t="b">
        <v>0</v>
      </c>
      <c r="F549" s="7">
        <v>1</v>
      </c>
      <c r="G549" s="7">
        <v>2</v>
      </c>
      <c r="H549" s="6">
        <v>0.16</v>
      </c>
      <c r="I549" s="8">
        <v>0.1515</v>
      </c>
      <c r="J549" s="6">
        <v>0.64</v>
      </c>
      <c r="K549" s="8">
        <v>0.25369999999999998</v>
      </c>
      <c r="L549" s="7">
        <v>3</v>
      </c>
      <c r="M549" s="7">
        <v>21</v>
      </c>
      <c r="N549" s="7">
        <v>24</v>
      </c>
      <c r="O549" t="s">
        <v>29</v>
      </c>
      <c r="P549" t="s">
        <v>54</v>
      </c>
      <c r="Q549" t="s">
        <v>41</v>
      </c>
      <c r="R549" t="s">
        <v>32</v>
      </c>
      <c r="S549" t="s">
        <v>33</v>
      </c>
      <c r="T549" t="s">
        <v>49</v>
      </c>
      <c r="U549" t="s">
        <v>46</v>
      </c>
      <c r="V549" t="s">
        <v>36</v>
      </c>
      <c r="W549" t="s">
        <v>37</v>
      </c>
      <c r="X549" s="6">
        <v>12.5</v>
      </c>
      <c r="Y549" s="6">
        <v>87.5</v>
      </c>
      <c r="Z549" t="s">
        <v>38</v>
      </c>
      <c r="AA549" t="s">
        <v>39</v>
      </c>
      <c r="AB549" t="s">
        <v>38</v>
      </c>
      <c r="AC549" s="8">
        <v>-8.5000000000000075E-3</v>
      </c>
    </row>
    <row r="550" spans="1:29" x14ac:dyDescent="0.3">
      <c r="A550" s="7">
        <v>549</v>
      </c>
      <c r="B550" s="1">
        <v>40568</v>
      </c>
      <c r="C550" s="7">
        <v>1</v>
      </c>
      <c r="D550" s="7">
        <v>0</v>
      </c>
      <c r="E550" t="b">
        <v>0</v>
      </c>
      <c r="F550" s="7">
        <v>2</v>
      </c>
      <c r="G550" s="7">
        <v>2</v>
      </c>
      <c r="H550" s="6">
        <v>0.16</v>
      </c>
      <c r="I550" s="8">
        <v>0.13639999999999999</v>
      </c>
      <c r="J550" s="6">
        <v>0.69</v>
      </c>
      <c r="K550" s="8">
        <v>0.28360000000000002</v>
      </c>
      <c r="L550" s="7">
        <v>3</v>
      </c>
      <c r="M550" s="7">
        <v>6</v>
      </c>
      <c r="N550" s="7">
        <v>9</v>
      </c>
      <c r="O550" t="s">
        <v>29</v>
      </c>
      <c r="P550" t="s">
        <v>56</v>
      </c>
      <c r="Q550" t="s">
        <v>41</v>
      </c>
      <c r="R550" t="s">
        <v>32</v>
      </c>
      <c r="S550" t="s">
        <v>33</v>
      </c>
      <c r="T550" t="s">
        <v>49</v>
      </c>
      <c r="U550" t="s">
        <v>46</v>
      </c>
      <c r="V550" t="s">
        <v>36</v>
      </c>
      <c r="W550" t="s">
        <v>37</v>
      </c>
      <c r="X550" s="6">
        <v>33.333333333333329</v>
      </c>
      <c r="Y550" s="6">
        <v>66.666666666666657</v>
      </c>
      <c r="Z550" t="s">
        <v>38</v>
      </c>
      <c r="AA550" t="s">
        <v>39</v>
      </c>
      <c r="AB550" t="s">
        <v>38</v>
      </c>
      <c r="AC550" s="8">
        <v>-2.360000000000001E-2</v>
      </c>
    </row>
    <row r="551" spans="1:29" x14ac:dyDescent="0.3">
      <c r="A551" s="7">
        <v>550</v>
      </c>
      <c r="B551" s="1">
        <v>40568</v>
      </c>
      <c r="C551" s="7">
        <v>1</v>
      </c>
      <c r="D551" s="7">
        <v>1</v>
      </c>
      <c r="E551" t="b">
        <v>0</v>
      </c>
      <c r="F551" s="7">
        <v>2</v>
      </c>
      <c r="G551" s="7">
        <v>2</v>
      </c>
      <c r="H551" s="6">
        <v>0.16</v>
      </c>
      <c r="I551" s="8">
        <v>0.16669999999999999</v>
      </c>
      <c r="J551" s="6">
        <v>0.69</v>
      </c>
      <c r="K551" s="8">
        <v>0.16420000000000001</v>
      </c>
      <c r="L551" s="7">
        <v>0</v>
      </c>
      <c r="M551" s="7">
        <v>5</v>
      </c>
      <c r="N551" s="7">
        <v>5</v>
      </c>
      <c r="O551" t="s">
        <v>29</v>
      </c>
      <c r="P551" t="s">
        <v>56</v>
      </c>
      <c r="Q551" t="s">
        <v>41</v>
      </c>
      <c r="R551" t="s">
        <v>32</v>
      </c>
      <c r="S551" t="s">
        <v>33</v>
      </c>
      <c r="T551" t="s">
        <v>49</v>
      </c>
      <c r="U551" t="s">
        <v>46</v>
      </c>
      <c r="V551" t="s">
        <v>36</v>
      </c>
      <c r="W551" t="s">
        <v>37</v>
      </c>
      <c r="X551" s="6">
        <v>0</v>
      </c>
      <c r="Y551" s="6">
        <v>100</v>
      </c>
      <c r="Z551" t="s">
        <v>38</v>
      </c>
      <c r="AA551" t="s">
        <v>39</v>
      </c>
      <c r="AB551" t="s">
        <v>38</v>
      </c>
      <c r="AC551" s="8">
        <v>6.6999999999999837E-3</v>
      </c>
    </row>
    <row r="552" spans="1:29" x14ac:dyDescent="0.3">
      <c r="A552" s="7">
        <v>551</v>
      </c>
      <c r="B552" s="1">
        <v>40568</v>
      </c>
      <c r="C552" s="7">
        <v>1</v>
      </c>
      <c r="D552" s="7">
        <v>2</v>
      </c>
      <c r="E552" t="b">
        <v>0</v>
      </c>
      <c r="F552" s="7">
        <v>2</v>
      </c>
      <c r="G552" s="7">
        <v>1</v>
      </c>
      <c r="H552" s="6">
        <v>0.16</v>
      </c>
      <c r="I552" s="8">
        <v>0.1515</v>
      </c>
      <c r="J552" s="6">
        <v>0.69</v>
      </c>
      <c r="K552" s="8">
        <v>0.22389999999999999</v>
      </c>
      <c r="L552" s="7">
        <v>0</v>
      </c>
      <c r="M552" s="7">
        <v>2</v>
      </c>
      <c r="N552" s="7">
        <v>2</v>
      </c>
      <c r="O552" t="s">
        <v>29</v>
      </c>
      <c r="P552" t="s">
        <v>56</v>
      </c>
      <c r="Q552" t="s">
        <v>31</v>
      </c>
      <c r="R552" t="s">
        <v>32</v>
      </c>
      <c r="S552" t="s">
        <v>33</v>
      </c>
      <c r="T552" t="s">
        <v>49</v>
      </c>
      <c r="U552" t="s">
        <v>46</v>
      </c>
      <c r="V552" t="s">
        <v>36</v>
      </c>
      <c r="W552" t="s">
        <v>37</v>
      </c>
      <c r="X552" s="6">
        <v>0</v>
      </c>
      <c r="Y552" s="6">
        <v>100</v>
      </c>
      <c r="Z552" t="s">
        <v>38</v>
      </c>
      <c r="AA552" t="s">
        <v>39</v>
      </c>
      <c r="AB552" t="s">
        <v>38</v>
      </c>
      <c r="AC552" s="8">
        <v>-8.5000000000000075E-3</v>
      </c>
    </row>
    <row r="553" spans="1:29" x14ac:dyDescent="0.3">
      <c r="A553" s="7">
        <v>552</v>
      </c>
      <c r="B553" s="1">
        <v>40568</v>
      </c>
      <c r="C553" s="7">
        <v>1</v>
      </c>
      <c r="D553" s="7">
        <v>4</v>
      </c>
      <c r="E553" t="b">
        <v>0</v>
      </c>
      <c r="F553" s="7">
        <v>2</v>
      </c>
      <c r="G553" s="7">
        <v>1</v>
      </c>
      <c r="H553" s="6">
        <v>0.14000000000000001</v>
      </c>
      <c r="I553" s="8">
        <v>0.16669999999999999</v>
      </c>
      <c r="J553" s="6">
        <v>0.74</v>
      </c>
      <c r="K553" s="8">
        <v>0.1045</v>
      </c>
      <c r="L553" s="7">
        <v>0</v>
      </c>
      <c r="M553" s="7">
        <v>1</v>
      </c>
      <c r="N553" s="7">
        <v>1</v>
      </c>
      <c r="O553" t="s">
        <v>29</v>
      </c>
      <c r="P553" t="s">
        <v>56</v>
      </c>
      <c r="Q553" t="s">
        <v>31</v>
      </c>
      <c r="R553" t="s">
        <v>32</v>
      </c>
      <c r="S553" t="s">
        <v>55</v>
      </c>
      <c r="T553" t="s">
        <v>34</v>
      </c>
      <c r="U553" t="s">
        <v>35</v>
      </c>
      <c r="V553" t="s">
        <v>36</v>
      </c>
      <c r="W553" t="s">
        <v>37</v>
      </c>
      <c r="X553" s="6">
        <v>0</v>
      </c>
      <c r="Y553" s="6">
        <v>100</v>
      </c>
      <c r="Z553" t="s">
        <v>38</v>
      </c>
      <c r="AA553" t="s">
        <v>39</v>
      </c>
      <c r="AB553" t="s">
        <v>38</v>
      </c>
      <c r="AC553" s="8">
        <v>2.669999999999997E-2</v>
      </c>
    </row>
    <row r="554" spans="1:29" x14ac:dyDescent="0.3">
      <c r="A554" s="7">
        <v>553</v>
      </c>
      <c r="B554" s="1">
        <v>40568</v>
      </c>
      <c r="C554" s="7">
        <v>1</v>
      </c>
      <c r="D554" s="7">
        <v>5</v>
      </c>
      <c r="E554" t="b">
        <v>0</v>
      </c>
      <c r="F554" s="7">
        <v>2</v>
      </c>
      <c r="G554" s="7">
        <v>1</v>
      </c>
      <c r="H554" s="6">
        <v>0.14000000000000001</v>
      </c>
      <c r="I554" s="8">
        <v>0.13639999999999999</v>
      </c>
      <c r="J554" s="6">
        <v>0.74</v>
      </c>
      <c r="K554" s="8">
        <v>0.22389999999999999</v>
      </c>
      <c r="L554" s="7">
        <v>0</v>
      </c>
      <c r="M554" s="7">
        <v>9</v>
      </c>
      <c r="N554" s="7">
        <v>9</v>
      </c>
      <c r="O554" t="s">
        <v>29</v>
      </c>
      <c r="P554" t="s">
        <v>56</v>
      </c>
      <c r="Q554" t="s">
        <v>31</v>
      </c>
      <c r="R554" t="s">
        <v>32</v>
      </c>
      <c r="S554" t="s">
        <v>55</v>
      </c>
      <c r="T554" t="s">
        <v>34</v>
      </c>
      <c r="U554" t="s">
        <v>46</v>
      </c>
      <c r="V554" t="s">
        <v>36</v>
      </c>
      <c r="W554" t="s">
        <v>37</v>
      </c>
      <c r="X554" s="6">
        <v>0</v>
      </c>
      <c r="Y554" s="6">
        <v>100</v>
      </c>
      <c r="Z554" t="s">
        <v>38</v>
      </c>
      <c r="AA554" t="s">
        <v>39</v>
      </c>
      <c r="AB554" t="s">
        <v>38</v>
      </c>
      <c r="AC554" s="8">
        <v>-3.6000000000000199E-3</v>
      </c>
    </row>
    <row r="555" spans="1:29" x14ac:dyDescent="0.3">
      <c r="A555" s="7">
        <v>554</v>
      </c>
      <c r="B555" s="1">
        <v>40568</v>
      </c>
      <c r="C555" s="7">
        <v>1</v>
      </c>
      <c r="D555" s="7">
        <v>6</v>
      </c>
      <c r="E555" t="b">
        <v>0</v>
      </c>
      <c r="F555" s="7">
        <v>2</v>
      </c>
      <c r="G555" s="7">
        <v>1</v>
      </c>
      <c r="H555" s="6">
        <v>0.16</v>
      </c>
      <c r="I555" s="8">
        <v>0.18179999999999999</v>
      </c>
      <c r="J555" s="6">
        <v>0.74</v>
      </c>
      <c r="K555" s="8">
        <v>0.1045</v>
      </c>
      <c r="L555" s="7">
        <v>1</v>
      </c>
      <c r="M555" s="7">
        <v>35</v>
      </c>
      <c r="N555" s="7">
        <v>36</v>
      </c>
      <c r="O555" t="s">
        <v>29</v>
      </c>
      <c r="P555" t="s">
        <v>56</v>
      </c>
      <c r="Q555" t="s">
        <v>31</v>
      </c>
      <c r="R555" t="s">
        <v>42</v>
      </c>
      <c r="S555" t="s">
        <v>33</v>
      </c>
      <c r="T555" t="s">
        <v>34</v>
      </c>
      <c r="U555" t="s">
        <v>35</v>
      </c>
      <c r="V555" t="s">
        <v>36</v>
      </c>
      <c r="W555" t="s">
        <v>37</v>
      </c>
      <c r="X555" s="6">
        <v>2.7777777777777781</v>
      </c>
      <c r="Y555" s="6">
        <v>97.222222222222214</v>
      </c>
      <c r="Z555" t="s">
        <v>38</v>
      </c>
      <c r="AA555" t="s">
        <v>39</v>
      </c>
      <c r="AB555" t="s">
        <v>38</v>
      </c>
      <c r="AC555" s="8">
        <v>2.179999999999999E-2</v>
      </c>
    </row>
    <row r="556" spans="1:29" x14ac:dyDescent="0.3">
      <c r="A556" s="7">
        <v>555</v>
      </c>
      <c r="B556" s="1">
        <v>40568</v>
      </c>
      <c r="C556" s="7">
        <v>1</v>
      </c>
      <c r="D556" s="7">
        <v>7</v>
      </c>
      <c r="E556" t="b">
        <v>0</v>
      </c>
      <c r="F556" s="7">
        <v>2</v>
      </c>
      <c r="G556" s="7">
        <v>1</v>
      </c>
      <c r="H556" s="6">
        <v>0.16</v>
      </c>
      <c r="I556" s="8">
        <v>0.1515</v>
      </c>
      <c r="J556" s="6">
        <v>0.74</v>
      </c>
      <c r="K556" s="8">
        <v>0.22389999999999999</v>
      </c>
      <c r="L556" s="7">
        <v>5</v>
      </c>
      <c r="M556" s="7">
        <v>103</v>
      </c>
      <c r="N556" s="7">
        <v>108</v>
      </c>
      <c r="O556" t="s">
        <v>29</v>
      </c>
      <c r="P556" t="s">
        <v>56</v>
      </c>
      <c r="Q556" t="s">
        <v>31</v>
      </c>
      <c r="R556" t="s">
        <v>42</v>
      </c>
      <c r="S556" t="s">
        <v>33</v>
      </c>
      <c r="T556" t="s">
        <v>34</v>
      </c>
      <c r="U556" t="s">
        <v>46</v>
      </c>
      <c r="V556" t="s">
        <v>36</v>
      </c>
      <c r="W556" t="s">
        <v>37</v>
      </c>
      <c r="X556" s="6">
        <v>4.6296296296296298</v>
      </c>
      <c r="Y556" s="6">
        <v>95.370370370370367</v>
      </c>
      <c r="Z556" t="s">
        <v>40</v>
      </c>
      <c r="AA556" t="s">
        <v>49</v>
      </c>
      <c r="AB556" t="s">
        <v>38</v>
      </c>
      <c r="AC556" s="8">
        <v>-8.5000000000000075E-3</v>
      </c>
    </row>
    <row r="557" spans="1:29" x14ac:dyDescent="0.3">
      <c r="A557" s="7">
        <v>556</v>
      </c>
      <c r="B557" s="1">
        <v>40568</v>
      </c>
      <c r="C557" s="7">
        <v>1</v>
      </c>
      <c r="D557" s="7">
        <v>8</v>
      </c>
      <c r="E557" t="b">
        <v>0</v>
      </c>
      <c r="F557" s="7">
        <v>2</v>
      </c>
      <c r="G557" s="7">
        <v>2</v>
      </c>
      <c r="H557" s="6">
        <v>0.16</v>
      </c>
      <c r="I557" s="8">
        <v>0.18179999999999999</v>
      </c>
      <c r="J557" s="6">
        <v>0.74</v>
      </c>
      <c r="K557" s="8">
        <v>0.1343</v>
      </c>
      <c r="L557" s="7">
        <v>5</v>
      </c>
      <c r="M557" s="7">
        <v>233</v>
      </c>
      <c r="N557" s="7">
        <v>238</v>
      </c>
      <c r="O557" t="s">
        <v>29</v>
      </c>
      <c r="P557" t="s">
        <v>56</v>
      </c>
      <c r="Q557" t="s">
        <v>41</v>
      </c>
      <c r="R557" t="s">
        <v>42</v>
      </c>
      <c r="S557" t="s">
        <v>33</v>
      </c>
      <c r="T557" t="s">
        <v>34</v>
      </c>
      <c r="U557" t="s">
        <v>35</v>
      </c>
      <c r="V557" t="s">
        <v>36</v>
      </c>
      <c r="W557" t="s">
        <v>37</v>
      </c>
      <c r="X557" s="6">
        <v>2.1008403361344539</v>
      </c>
      <c r="Y557" s="6">
        <v>97.899159663865547</v>
      </c>
      <c r="Z557" t="s">
        <v>40</v>
      </c>
      <c r="AA557" t="s">
        <v>49</v>
      </c>
      <c r="AB557" t="s">
        <v>38</v>
      </c>
      <c r="AC557" s="8">
        <v>2.179999999999999E-2</v>
      </c>
    </row>
    <row r="558" spans="1:29" x14ac:dyDescent="0.3">
      <c r="A558" s="7">
        <v>557</v>
      </c>
      <c r="B558" s="1">
        <v>40568</v>
      </c>
      <c r="C558" s="7">
        <v>1</v>
      </c>
      <c r="D558" s="7">
        <v>9</v>
      </c>
      <c r="E558" t="b">
        <v>0</v>
      </c>
      <c r="F558" s="7">
        <v>2</v>
      </c>
      <c r="G558" s="7">
        <v>2</v>
      </c>
      <c r="H558" s="6">
        <v>0.2</v>
      </c>
      <c r="I558" s="8">
        <v>0.2273</v>
      </c>
      <c r="J558" s="6">
        <v>0.64</v>
      </c>
      <c r="K558" s="8">
        <v>8.9599999999999999E-2</v>
      </c>
      <c r="L558" s="7">
        <v>10</v>
      </c>
      <c r="M558" s="7">
        <v>134</v>
      </c>
      <c r="N558" s="7">
        <v>144</v>
      </c>
      <c r="O558" t="s">
        <v>29</v>
      </c>
      <c r="P558" t="s">
        <v>56</v>
      </c>
      <c r="Q558" t="s">
        <v>41</v>
      </c>
      <c r="R558" t="s">
        <v>42</v>
      </c>
      <c r="S558" t="s">
        <v>33</v>
      </c>
      <c r="T558" t="s">
        <v>49</v>
      </c>
      <c r="U558" t="s">
        <v>35</v>
      </c>
      <c r="V558" t="s">
        <v>36</v>
      </c>
      <c r="W558" t="s">
        <v>37</v>
      </c>
      <c r="X558" s="6">
        <v>6.9444444444444446</v>
      </c>
      <c r="Y558" s="6">
        <v>93.055555555555557</v>
      </c>
      <c r="Z558" t="s">
        <v>40</v>
      </c>
      <c r="AA558" t="s">
        <v>49</v>
      </c>
      <c r="AB558" t="s">
        <v>38</v>
      </c>
      <c r="AC558" s="8">
        <v>2.7299999999999991E-2</v>
      </c>
    </row>
    <row r="559" spans="1:29" x14ac:dyDescent="0.3">
      <c r="A559" s="7">
        <v>558</v>
      </c>
      <c r="B559" s="1">
        <v>40568</v>
      </c>
      <c r="C559" s="7">
        <v>1</v>
      </c>
      <c r="D559" s="7">
        <v>10</v>
      </c>
      <c r="E559" t="b">
        <v>0</v>
      </c>
      <c r="F559" s="7">
        <v>2</v>
      </c>
      <c r="G559" s="7">
        <v>2</v>
      </c>
      <c r="H559" s="6">
        <v>0.22</v>
      </c>
      <c r="I559" s="8">
        <v>0.2424</v>
      </c>
      <c r="J559" s="6">
        <v>0.6</v>
      </c>
      <c r="K559" s="8">
        <v>0.1045</v>
      </c>
      <c r="L559" s="7">
        <v>6</v>
      </c>
      <c r="M559" s="7">
        <v>49</v>
      </c>
      <c r="N559" s="7">
        <v>55</v>
      </c>
      <c r="O559" t="s">
        <v>29</v>
      </c>
      <c r="P559" t="s">
        <v>56</v>
      </c>
      <c r="Q559" t="s">
        <v>41</v>
      </c>
      <c r="R559" t="s">
        <v>42</v>
      </c>
      <c r="S559" t="s">
        <v>33</v>
      </c>
      <c r="T559" t="s">
        <v>49</v>
      </c>
      <c r="U559" t="s">
        <v>35</v>
      </c>
      <c r="V559" t="s">
        <v>36</v>
      </c>
      <c r="W559" t="s">
        <v>37</v>
      </c>
      <c r="X559" s="6">
        <v>10.90909090909091</v>
      </c>
      <c r="Y559" s="6">
        <v>89.090909090909093</v>
      </c>
      <c r="Z559" t="s">
        <v>38</v>
      </c>
      <c r="AA559" t="s">
        <v>39</v>
      </c>
      <c r="AB559" t="s">
        <v>38</v>
      </c>
      <c r="AC559" s="8">
        <v>2.24E-2</v>
      </c>
    </row>
    <row r="560" spans="1:29" x14ac:dyDescent="0.3">
      <c r="A560" s="7">
        <v>559</v>
      </c>
      <c r="B560" s="1">
        <v>40568</v>
      </c>
      <c r="C560" s="7">
        <v>1</v>
      </c>
      <c r="D560" s="7">
        <v>11</v>
      </c>
      <c r="E560" t="b">
        <v>0</v>
      </c>
      <c r="F560" s="7">
        <v>2</v>
      </c>
      <c r="G560" s="7">
        <v>2</v>
      </c>
      <c r="H560" s="6">
        <v>0.24</v>
      </c>
      <c r="I560" s="8">
        <v>0.2424</v>
      </c>
      <c r="J560" s="6">
        <v>0.6</v>
      </c>
      <c r="K560" s="8">
        <v>0.1343</v>
      </c>
      <c r="L560" s="7">
        <v>6</v>
      </c>
      <c r="M560" s="7">
        <v>55</v>
      </c>
      <c r="N560" s="7">
        <v>61</v>
      </c>
      <c r="O560" t="s">
        <v>29</v>
      </c>
      <c r="P560" t="s">
        <v>56</v>
      </c>
      <c r="Q560" t="s">
        <v>41</v>
      </c>
      <c r="R560" t="s">
        <v>42</v>
      </c>
      <c r="S560" t="s">
        <v>33</v>
      </c>
      <c r="T560" t="s">
        <v>49</v>
      </c>
      <c r="U560" t="s">
        <v>35</v>
      </c>
      <c r="V560" t="s">
        <v>36</v>
      </c>
      <c r="W560" t="s">
        <v>37</v>
      </c>
      <c r="X560" s="6">
        <v>9.8360655737704921</v>
      </c>
      <c r="Y560" s="6">
        <v>90.163934426229503</v>
      </c>
      <c r="Z560" t="s">
        <v>38</v>
      </c>
      <c r="AA560" t="s">
        <v>39</v>
      </c>
      <c r="AB560" t="s">
        <v>38</v>
      </c>
      <c r="AC560" s="8">
        <v>2.4000000000000128E-3</v>
      </c>
    </row>
    <row r="561" spans="1:29" x14ac:dyDescent="0.3">
      <c r="A561" s="7">
        <v>560</v>
      </c>
      <c r="B561" s="1">
        <v>40568</v>
      </c>
      <c r="C561" s="7">
        <v>1</v>
      </c>
      <c r="D561" s="7">
        <v>12</v>
      </c>
      <c r="E561" t="b">
        <v>0</v>
      </c>
      <c r="F561" s="7">
        <v>2</v>
      </c>
      <c r="G561" s="7">
        <v>2</v>
      </c>
      <c r="H561" s="6">
        <v>0.26</v>
      </c>
      <c r="I561" s="8">
        <v>0.28789999999999999</v>
      </c>
      <c r="J561" s="6">
        <v>0.56000000000000005</v>
      </c>
      <c r="K561" s="8">
        <v>8.9599999999999999E-2</v>
      </c>
      <c r="L561" s="7">
        <v>21</v>
      </c>
      <c r="M561" s="7">
        <v>85</v>
      </c>
      <c r="N561" s="7">
        <v>106</v>
      </c>
      <c r="O561" t="s">
        <v>29</v>
      </c>
      <c r="P561" t="s">
        <v>56</v>
      </c>
      <c r="Q561" t="s">
        <v>41</v>
      </c>
      <c r="R561" t="s">
        <v>47</v>
      </c>
      <c r="S561" t="s">
        <v>44</v>
      </c>
      <c r="T561" t="s">
        <v>49</v>
      </c>
      <c r="U561" t="s">
        <v>35</v>
      </c>
      <c r="V561" t="s">
        <v>36</v>
      </c>
      <c r="W561" t="s">
        <v>37</v>
      </c>
      <c r="X561" s="6">
        <v>19.811320754716981</v>
      </c>
      <c r="Y561" s="6">
        <v>80.188679245283026</v>
      </c>
      <c r="Z561" t="s">
        <v>38</v>
      </c>
      <c r="AA561" t="s">
        <v>49</v>
      </c>
      <c r="AB561" t="s">
        <v>38</v>
      </c>
      <c r="AC561" s="8">
        <v>2.789999999999998E-2</v>
      </c>
    </row>
    <row r="562" spans="1:29" x14ac:dyDescent="0.3">
      <c r="A562" s="7">
        <v>561</v>
      </c>
      <c r="B562" s="1">
        <v>40568</v>
      </c>
      <c r="C562" s="7">
        <v>1</v>
      </c>
      <c r="D562" s="7">
        <v>13</v>
      </c>
      <c r="E562" t="b">
        <v>0</v>
      </c>
      <c r="F562" s="7">
        <v>2</v>
      </c>
      <c r="G562" s="7">
        <v>2</v>
      </c>
      <c r="H562" s="6">
        <v>0.26</v>
      </c>
      <c r="I562" s="8">
        <v>0.2727</v>
      </c>
      <c r="J562" s="6">
        <v>0.56000000000000005</v>
      </c>
      <c r="K562" s="8">
        <v>0.1343</v>
      </c>
      <c r="L562" s="7">
        <v>21</v>
      </c>
      <c r="M562" s="7">
        <v>72</v>
      </c>
      <c r="N562" s="7">
        <v>93</v>
      </c>
      <c r="O562" t="s">
        <v>29</v>
      </c>
      <c r="P562" t="s">
        <v>56</v>
      </c>
      <c r="Q562" t="s">
        <v>41</v>
      </c>
      <c r="R562" t="s">
        <v>47</v>
      </c>
      <c r="S562" t="s">
        <v>44</v>
      </c>
      <c r="T562" t="s">
        <v>49</v>
      </c>
      <c r="U562" t="s">
        <v>35</v>
      </c>
      <c r="V562" t="s">
        <v>36</v>
      </c>
      <c r="W562" t="s">
        <v>37</v>
      </c>
      <c r="X562" s="6">
        <v>22.58064516129032</v>
      </c>
      <c r="Y562" s="6">
        <v>77.41935483870968</v>
      </c>
      <c r="Z562" t="s">
        <v>38</v>
      </c>
      <c r="AA562" t="s">
        <v>39</v>
      </c>
      <c r="AB562" t="s">
        <v>38</v>
      </c>
      <c r="AC562" s="8">
        <v>1.2699999999999991E-2</v>
      </c>
    </row>
    <row r="563" spans="1:29" x14ac:dyDescent="0.3">
      <c r="A563" s="7">
        <v>562</v>
      </c>
      <c r="B563" s="1">
        <v>40568</v>
      </c>
      <c r="C563" s="7">
        <v>1</v>
      </c>
      <c r="D563" s="7">
        <v>14</v>
      </c>
      <c r="E563" t="b">
        <v>0</v>
      </c>
      <c r="F563" s="7">
        <v>2</v>
      </c>
      <c r="G563" s="7">
        <v>2</v>
      </c>
      <c r="H563" s="6">
        <v>0.3</v>
      </c>
      <c r="I563" s="8">
        <v>0.33329999999999999</v>
      </c>
      <c r="J563" s="6">
        <v>0.45</v>
      </c>
      <c r="K563" s="8">
        <v>0</v>
      </c>
      <c r="L563" s="7">
        <v>11</v>
      </c>
      <c r="M563" s="7">
        <v>57</v>
      </c>
      <c r="N563" s="7">
        <v>68</v>
      </c>
      <c r="O563" t="s">
        <v>29</v>
      </c>
      <c r="P563" t="s">
        <v>56</v>
      </c>
      <c r="Q563" t="s">
        <v>41</v>
      </c>
      <c r="R563" t="s">
        <v>47</v>
      </c>
      <c r="S563" t="s">
        <v>44</v>
      </c>
      <c r="T563" t="s">
        <v>49</v>
      </c>
      <c r="U563" t="s">
        <v>35</v>
      </c>
      <c r="V563" t="s">
        <v>36</v>
      </c>
      <c r="W563" t="s">
        <v>37</v>
      </c>
      <c r="X563" s="6">
        <v>16.17647058823529</v>
      </c>
      <c r="Y563" s="6">
        <v>83.82352941176471</v>
      </c>
      <c r="Z563" t="s">
        <v>38</v>
      </c>
      <c r="AA563" t="s">
        <v>39</v>
      </c>
      <c r="AB563" t="s">
        <v>38</v>
      </c>
      <c r="AC563" s="8">
        <v>3.3300000000000003E-2</v>
      </c>
    </row>
    <row r="564" spans="1:29" x14ac:dyDescent="0.3">
      <c r="A564" s="7">
        <v>563</v>
      </c>
      <c r="B564" s="1">
        <v>40568</v>
      </c>
      <c r="C564" s="7">
        <v>1</v>
      </c>
      <c r="D564" s="7">
        <v>15</v>
      </c>
      <c r="E564" t="b">
        <v>0</v>
      </c>
      <c r="F564" s="7">
        <v>2</v>
      </c>
      <c r="G564" s="7">
        <v>2</v>
      </c>
      <c r="H564" s="6">
        <v>0.32</v>
      </c>
      <c r="I564" s="8">
        <v>0.34849999999999998</v>
      </c>
      <c r="J564" s="6">
        <v>0.42</v>
      </c>
      <c r="K564" s="8">
        <v>0</v>
      </c>
      <c r="L564" s="7">
        <v>21</v>
      </c>
      <c r="M564" s="7">
        <v>63</v>
      </c>
      <c r="N564" s="7">
        <v>84</v>
      </c>
      <c r="O564" t="s">
        <v>29</v>
      </c>
      <c r="P564" t="s">
        <v>56</v>
      </c>
      <c r="Q564" t="s">
        <v>41</v>
      </c>
      <c r="R564" t="s">
        <v>47</v>
      </c>
      <c r="S564" t="s">
        <v>44</v>
      </c>
      <c r="T564" t="s">
        <v>49</v>
      </c>
      <c r="U564" t="s">
        <v>35</v>
      </c>
      <c r="V564" t="s">
        <v>36</v>
      </c>
      <c r="W564" t="s">
        <v>37</v>
      </c>
      <c r="X564" s="6">
        <v>25</v>
      </c>
      <c r="Y564" s="6">
        <v>75</v>
      </c>
      <c r="Z564" t="s">
        <v>38</v>
      </c>
      <c r="AA564" t="s">
        <v>39</v>
      </c>
      <c r="AB564" t="s">
        <v>38</v>
      </c>
      <c r="AC564" s="8">
        <v>2.849999999999997E-2</v>
      </c>
    </row>
    <row r="565" spans="1:29" x14ac:dyDescent="0.3">
      <c r="A565" s="7">
        <v>564</v>
      </c>
      <c r="B565" s="1">
        <v>40568</v>
      </c>
      <c r="C565" s="7">
        <v>1</v>
      </c>
      <c r="D565" s="7">
        <v>16</v>
      </c>
      <c r="E565" t="b">
        <v>0</v>
      </c>
      <c r="F565" s="7">
        <v>2</v>
      </c>
      <c r="G565" s="7">
        <v>2</v>
      </c>
      <c r="H565" s="6">
        <v>0.32</v>
      </c>
      <c r="I565" s="8">
        <v>0.34849999999999998</v>
      </c>
      <c r="J565" s="6">
        <v>0.42</v>
      </c>
      <c r="K565" s="8">
        <v>0</v>
      </c>
      <c r="L565" s="7">
        <v>14</v>
      </c>
      <c r="M565" s="7">
        <v>102</v>
      </c>
      <c r="N565" s="7">
        <v>116</v>
      </c>
      <c r="O565" t="s">
        <v>29</v>
      </c>
      <c r="P565" t="s">
        <v>56</v>
      </c>
      <c r="Q565" t="s">
        <v>41</v>
      </c>
      <c r="R565" t="s">
        <v>47</v>
      </c>
      <c r="S565" t="s">
        <v>44</v>
      </c>
      <c r="T565" t="s">
        <v>49</v>
      </c>
      <c r="U565" t="s">
        <v>35</v>
      </c>
      <c r="V565" t="s">
        <v>36</v>
      </c>
      <c r="W565" t="s">
        <v>37</v>
      </c>
      <c r="X565" s="6">
        <v>12.068965517241381</v>
      </c>
      <c r="Y565" s="6">
        <v>87.931034482758619</v>
      </c>
      <c r="Z565" t="s">
        <v>38</v>
      </c>
      <c r="AA565" t="s">
        <v>49</v>
      </c>
      <c r="AB565" t="s">
        <v>38</v>
      </c>
      <c r="AC565" s="8">
        <v>2.849999999999997E-2</v>
      </c>
    </row>
    <row r="566" spans="1:29" x14ac:dyDescent="0.3">
      <c r="A566" s="7">
        <v>565</v>
      </c>
      <c r="B566" s="1">
        <v>40568</v>
      </c>
      <c r="C566" s="7">
        <v>1</v>
      </c>
      <c r="D566" s="7">
        <v>17</v>
      </c>
      <c r="E566" t="b">
        <v>0</v>
      </c>
      <c r="F566" s="7">
        <v>2</v>
      </c>
      <c r="G566" s="7">
        <v>1</v>
      </c>
      <c r="H566" s="6">
        <v>0.3</v>
      </c>
      <c r="I566" s="8">
        <v>0.33329999999999999</v>
      </c>
      <c r="J566" s="6">
        <v>0.45</v>
      </c>
      <c r="K566" s="8">
        <v>0</v>
      </c>
      <c r="L566" s="7">
        <v>14</v>
      </c>
      <c r="M566" s="7">
        <v>208</v>
      </c>
      <c r="N566" s="7">
        <v>222</v>
      </c>
      <c r="O566" t="s">
        <v>29</v>
      </c>
      <c r="P566" t="s">
        <v>56</v>
      </c>
      <c r="Q566" t="s">
        <v>31</v>
      </c>
      <c r="R566" t="s">
        <v>50</v>
      </c>
      <c r="S566" t="s">
        <v>44</v>
      </c>
      <c r="T566" t="s">
        <v>49</v>
      </c>
      <c r="U566" t="s">
        <v>35</v>
      </c>
      <c r="V566" t="s">
        <v>36</v>
      </c>
      <c r="W566" t="s">
        <v>37</v>
      </c>
      <c r="X566" s="6">
        <v>6.3063063063063058</v>
      </c>
      <c r="Y566" s="6">
        <v>93.693693693693689</v>
      </c>
      <c r="Z566" t="s">
        <v>40</v>
      </c>
      <c r="AA566" t="s">
        <v>49</v>
      </c>
      <c r="AB566" t="s">
        <v>38</v>
      </c>
      <c r="AC566" s="8">
        <v>3.3300000000000003E-2</v>
      </c>
    </row>
    <row r="567" spans="1:29" x14ac:dyDescent="0.3">
      <c r="A567" s="7">
        <v>566</v>
      </c>
      <c r="B567" s="1">
        <v>40568</v>
      </c>
      <c r="C567" s="7">
        <v>1</v>
      </c>
      <c r="D567" s="7">
        <v>18</v>
      </c>
      <c r="E567" t="b">
        <v>0</v>
      </c>
      <c r="F567" s="7">
        <v>2</v>
      </c>
      <c r="G567" s="7">
        <v>2</v>
      </c>
      <c r="H567" s="6">
        <v>0.3</v>
      </c>
      <c r="I567" s="8">
        <v>0.31819999999999998</v>
      </c>
      <c r="J567" s="6">
        <v>0.49</v>
      </c>
      <c r="K567" s="8">
        <v>8.9599999999999999E-2</v>
      </c>
      <c r="L567" s="7">
        <v>7</v>
      </c>
      <c r="M567" s="7">
        <v>218</v>
      </c>
      <c r="N567" s="7">
        <v>225</v>
      </c>
      <c r="O567" t="s">
        <v>29</v>
      </c>
      <c r="P567" t="s">
        <v>56</v>
      </c>
      <c r="Q567" t="s">
        <v>41</v>
      </c>
      <c r="R567" t="s">
        <v>50</v>
      </c>
      <c r="S567" t="s">
        <v>44</v>
      </c>
      <c r="T567" t="s">
        <v>49</v>
      </c>
      <c r="U567" t="s">
        <v>35</v>
      </c>
      <c r="V567" t="s">
        <v>36</v>
      </c>
      <c r="W567" t="s">
        <v>37</v>
      </c>
      <c r="X567" s="6">
        <v>3.1111111111111112</v>
      </c>
      <c r="Y567" s="6">
        <v>96.888888888888886</v>
      </c>
      <c r="Z567" t="s">
        <v>40</v>
      </c>
      <c r="AA567" t="s">
        <v>49</v>
      </c>
      <c r="AB567" t="s">
        <v>38</v>
      </c>
      <c r="AC567" s="8">
        <v>1.819999999999999E-2</v>
      </c>
    </row>
    <row r="568" spans="1:29" x14ac:dyDescent="0.3">
      <c r="A568" s="7">
        <v>567</v>
      </c>
      <c r="B568" s="1">
        <v>40568</v>
      </c>
      <c r="C568" s="7">
        <v>1</v>
      </c>
      <c r="D568" s="7">
        <v>19</v>
      </c>
      <c r="E568" t="b">
        <v>0</v>
      </c>
      <c r="F568" s="7">
        <v>2</v>
      </c>
      <c r="G568" s="7">
        <v>2</v>
      </c>
      <c r="H568" s="6">
        <v>0.26</v>
      </c>
      <c r="I568" s="8">
        <v>0.2576</v>
      </c>
      <c r="J568" s="6">
        <v>0.65</v>
      </c>
      <c r="K568" s="8">
        <v>0.16420000000000001</v>
      </c>
      <c r="L568" s="7">
        <v>13</v>
      </c>
      <c r="M568" s="7">
        <v>133</v>
      </c>
      <c r="N568" s="7">
        <v>146</v>
      </c>
      <c r="O568" t="s">
        <v>29</v>
      </c>
      <c r="P568" t="s">
        <v>56</v>
      </c>
      <c r="Q568" t="s">
        <v>41</v>
      </c>
      <c r="R568" t="s">
        <v>50</v>
      </c>
      <c r="S568" t="s">
        <v>44</v>
      </c>
      <c r="T568" t="s">
        <v>49</v>
      </c>
      <c r="U568" t="s">
        <v>46</v>
      </c>
      <c r="V568" t="s">
        <v>36</v>
      </c>
      <c r="W568" t="s">
        <v>37</v>
      </c>
      <c r="X568" s="6">
        <v>8.9041095890410951</v>
      </c>
      <c r="Y568" s="6">
        <v>91.095890410958901</v>
      </c>
      <c r="Z568" t="s">
        <v>40</v>
      </c>
      <c r="AA568" t="s">
        <v>49</v>
      </c>
      <c r="AB568" t="s">
        <v>38</v>
      </c>
      <c r="AC568" s="8">
        <v>-2.4000000000000128E-3</v>
      </c>
    </row>
    <row r="569" spans="1:29" x14ac:dyDescent="0.3">
      <c r="A569" s="7">
        <v>568</v>
      </c>
      <c r="B569" s="1">
        <v>40568</v>
      </c>
      <c r="C569" s="7">
        <v>1</v>
      </c>
      <c r="D569" s="7">
        <v>20</v>
      </c>
      <c r="E569" t="b">
        <v>0</v>
      </c>
      <c r="F569" s="7">
        <v>2</v>
      </c>
      <c r="G569" s="7">
        <v>1</v>
      </c>
      <c r="H569" s="6">
        <v>0.24</v>
      </c>
      <c r="I569" s="8">
        <v>0.2273</v>
      </c>
      <c r="J569" s="6">
        <v>0.65</v>
      </c>
      <c r="K569" s="8">
        <v>0.19400000000000001</v>
      </c>
      <c r="L569" s="7">
        <v>16</v>
      </c>
      <c r="M569" s="7">
        <v>103</v>
      </c>
      <c r="N569" s="7">
        <v>119</v>
      </c>
      <c r="O569" t="s">
        <v>29</v>
      </c>
      <c r="P569" t="s">
        <v>56</v>
      </c>
      <c r="Q569" t="s">
        <v>31</v>
      </c>
      <c r="R569" t="s">
        <v>50</v>
      </c>
      <c r="S569" t="s">
        <v>33</v>
      </c>
      <c r="T569" t="s">
        <v>49</v>
      </c>
      <c r="U569" t="s">
        <v>46</v>
      </c>
      <c r="V569" t="s">
        <v>36</v>
      </c>
      <c r="W569" t="s">
        <v>37</v>
      </c>
      <c r="X569" s="6">
        <v>13.445378151260501</v>
      </c>
      <c r="Y569" s="6">
        <v>86.554621848739501</v>
      </c>
      <c r="Z569" t="s">
        <v>38</v>
      </c>
      <c r="AA569" t="s">
        <v>49</v>
      </c>
      <c r="AB569" t="s">
        <v>38</v>
      </c>
      <c r="AC569" s="8">
        <v>-1.2699999999999991E-2</v>
      </c>
    </row>
    <row r="570" spans="1:29" x14ac:dyDescent="0.3">
      <c r="A570" s="7">
        <v>569</v>
      </c>
      <c r="B570" s="1">
        <v>40568</v>
      </c>
      <c r="C570" s="7">
        <v>1</v>
      </c>
      <c r="D570" s="7">
        <v>21</v>
      </c>
      <c r="E570" t="b">
        <v>0</v>
      </c>
      <c r="F570" s="7">
        <v>2</v>
      </c>
      <c r="G570" s="7">
        <v>1</v>
      </c>
      <c r="H570" s="6">
        <v>0.24</v>
      </c>
      <c r="I570" s="8">
        <v>0.2273</v>
      </c>
      <c r="J570" s="6">
        <v>0.65</v>
      </c>
      <c r="K570" s="8">
        <v>0.19400000000000001</v>
      </c>
      <c r="L570" s="7">
        <v>5</v>
      </c>
      <c r="M570" s="7">
        <v>40</v>
      </c>
      <c r="N570" s="7">
        <v>45</v>
      </c>
      <c r="O570" t="s">
        <v>29</v>
      </c>
      <c r="P570" t="s">
        <v>56</v>
      </c>
      <c r="Q570" t="s">
        <v>31</v>
      </c>
      <c r="R570" t="s">
        <v>32</v>
      </c>
      <c r="S570" t="s">
        <v>33</v>
      </c>
      <c r="T570" t="s">
        <v>49</v>
      </c>
      <c r="U570" t="s">
        <v>46</v>
      </c>
      <c r="V570" t="s">
        <v>36</v>
      </c>
      <c r="W570" t="s">
        <v>37</v>
      </c>
      <c r="X570" s="6">
        <v>11.111111111111111</v>
      </c>
      <c r="Y570" s="6">
        <v>88.888888888888886</v>
      </c>
      <c r="Z570" t="s">
        <v>38</v>
      </c>
      <c r="AA570" t="s">
        <v>39</v>
      </c>
      <c r="AB570" t="s">
        <v>38</v>
      </c>
      <c r="AC570" s="8">
        <v>-1.2699999999999991E-2</v>
      </c>
    </row>
    <row r="571" spans="1:29" x14ac:dyDescent="0.3">
      <c r="A571" s="7">
        <v>570</v>
      </c>
      <c r="B571" s="1">
        <v>40568</v>
      </c>
      <c r="C571" s="7">
        <v>1</v>
      </c>
      <c r="D571" s="7">
        <v>22</v>
      </c>
      <c r="E571" t="b">
        <v>0</v>
      </c>
      <c r="F571" s="7">
        <v>2</v>
      </c>
      <c r="G571" s="7">
        <v>1</v>
      </c>
      <c r="H571" s="6">
        <v>0.22</v>
      </c>
      <c r="I571" s="8">
        <v>0.2273</v>
      </c>
      <c r="J571" s="6">
        <v>0.64</v>
      </c>
      <c r="K571" s="8">
        <v>0.16420000000000001</v>
      </c>
      <c r="L571" s="7">
        <v>4</v>
      </c>
      <c r="M571" s="7">
        <v>49</v>
      </c>
      <c r="N571" s="7">
        <v>53</v>
      </c>
      <c r="O571" t="s">
        <v>29</v>
      </c>
      <c r="P571" t="s">
        <v>56</v>
      </c>
      <c r="Q571" t="s">
        <v>31</v>
      </c>
      <c r="R571" t="s">
        <v>32</v>
      </c>
      <c r="S571" t="s">
        <v>33</v>
      </c>
      <c r="T571" t="s">
        <v>49</v>
      </c>
      <c r="U571" t="s">
        <v>46</v>
      </c>
      <c r="V571" t="s">
        <v>36</v>
      </c>
      <c r="W571" t="s">
        <v>37</v>
      </c>
      <c r="X571" s="6">
        <v>7.5471698113207548</v>
      </c>
      <c r="Y571" s="6">
        <v>92.452830188679243</v>
      </c>
      <c r="Z571" t="s">
        <v>38</v>
      </c>
      <c r="AA571" t="s">
        <v>39</v>
      </c>
      <c r="AB571" t="s">
        <v>38</v>
      </c>
      <c r="AC571" s="8">
        <v>7.3000000000000009E-3</v>
      </c>
    </row>
    <row r="572" spans="1:29" x14ac:dyDescent="0.3">
      <c r="A572" s="7">
        <v>571</v>
      </c>
      <c r="B572" s="1">
        <v>40568</v>
      </c>
      <c r="C572" s="7">
        <v>1</v>
      </c>
      <c r="D572" s="7">
        <v>23</v>
      </c>
      <c r="E572" t="b">
        <v>0</v>
      </c>
      <c r="F572" s="7">
        <v>2</v>
      </c>
      <c r="G572" s="7">
        <v>2</v>
      </c>
      <c r="H572" s="6">
        <v>0.22</v>
      </c>
      <c r="I572" s="8">
        <v>0.2273</v>
      </c>
      <c r="J572" s="6">
        <v>0.64</v>
      </c>
      <c r="K572" s="8">
        <v>0.16420000000000001</v>
      </c>
      <c r="L572" s="7">
        <v>3</v>
      </c>
      <c r="M572" s="7">
        <v>37</v>
      </c>
      <c r="N572" s="7">
        <v>40</v>
      </c>
      <c r="O572" t="s">
        <v>29</v>
      </c>
      <c r="P572" t="s">
        <v>56</v>
      </c>
      <c r="Q572" t="s">
        <v>41</v>
      </c>
      <c r="R572" t="s">
        <v>32</v>
      </c>
      <c r="S572" t="s">
        <v>33</v>
      </c>
      <c r="T572" t="s">
        <v>49</v>
      </c>
      <c r="U572" t="s">
        <v>46</v>
      </c>
      <c r="V572" t="s">
        <v>36</v>
      </c>
      <c r="W572" t="s">
        <v>37</v>
      </c>
      <c r="X572" s="6">
        <v>7.5</v>
      </c>
      <c r="Y572" s="6">
        <v>92.5</v>
      </c>
      <c r="Z572" t="s">
        <v>38</v>
      </c>
      <c r="AA572" t="s">
        <v>39</v>
      </c>
      <c r="AB572" t="s">
        <v>38</v>
      </c>
      <c r="AC572" s="8">
        <v>7.3000000000000009E-3</v>
      </c>
    </row>
    <row r="573" spans="1:29" x14ac:dyDescent="0.3">
      <c r="A573" s="7">
        <v>572</v>
      </c>
      <c r="B573" s="1">
        <v>40569</v>
      </c>
      <c r="C573" s="7">
        <v>1</v>
      </c>
      <c r="D573" s="7">
        <v>0</v>
      </c>
      <c r="E573" t="b">
        <v>0</v>
      </c>
      <c r="F573" s="7">
        <v>3</v>
      </c>
      <c r="G573" s="7">
        <v>2</v>
      </c>
      <c r="H573" s="6">
        <v>0.22</v>
      </c>
      <c r="I573" s="8">
        <v>0.2273</v>
      </c>
      <c r="J573" s="6">
        <v>0.69</v>
      </c>
      <c r="K573" s="8">
        <v>0.1343</v>
      </c>
      <c r="L573" s="7">
        <v>3</v>
      </c>
      <c r="M573" s="7">
        <v>14</v>
      </c>
      <c r="N573" s="7">
        <v>17</v>
      </c>
      <c r="O573" t="s">
        <v>29</v>
      </c>
      <c r="P573" t="s">
        <v>57</v>
      </c>
      <c r="Q573" t="s">
        <v>41</v>
      </c>
      <c r="R573" t="s">
        <v>32</v>
      </c>
      <c r="S573" t="s">
        <v>33</v>
      </c>
      <c r="T573" t="s">
        <v>49</v>
      </c>
      <c r="U573" t="s">
        <v>35</v>
      </c>
      <c r="V573" t="s">
        <v>36</v>
      </c>
      <c r="W573" t="s">
        <v>37</v>
      </c>
      <c r="X573" s="6">
        <v>17.647058823529409</v>
      </c>
      <c r="Y573" s="6">
        <v>82.35294117647058</v>
      </c>
      <c r="Z573" t="s">
        <v>38</v>
      </c>
      <c r="AA573" t="s">
        <v>39</v>
      </c>
      <c r="AB573" t="s">
        <v>38</v>
      </c>
      <c r="AC573" s="8">
        <v>7.3000000000000009E-3</v>
      </c>
    </row>
    <row r="574" spans="1:29" x14ac:dyDescent="0.3">
      <c r="A574" s="7">
        <v>573</v>
      </c>
      <c r="B574" s="1">
        <v>40569</v>
      </c>
      <c r="C574" s="7">
        <v>1</v>
      </c>
      <c r="D574" s="7">
        <v>1</v>
      </c>
      <c r="E574" t="b">
        <v>0</v>
      </c>
      <c r="F574" s="7">
        <v>3</v>
      </c>
      <c r="G574" s="7">
        <v>2</v>
      </c>
      <c r="H574" s="6">
        <v>0.24</v>
      </c>
      <c r="I574" s="8">
        <v>0.2424</v>
      </c>
      <c r="J574" s="6">
        <v>0.65</v>
      </c>
      <c r="K574" s="8">
        <v>0.1343</v>
      </c>
      <c r="L574" s="7">
        <v>0</v>
      </c>
      <c r="M574" s="7">
        <v>5</v>
      </c>
      <c r="N574" s="7">
        <v>5</v>
      </c>
      <c r="O574" t="s">
        <v>29</v>
      </c>
      <c r="P574" t="s">
        <v>57</v>
      </c>
      <c r="Q574" t="s">
        <v>41</v>
      </c>
      <c r="R574" t="s">
        <v>32</v>
      </c>
      <c r="S574" t="s">
        <v>33</v>
      </c>
      <c r="T574" t="s">
        <v>49</v>
      </c>
      <c r="U574" t="s">
        <v>35</v>
      </c>
      <c r="V574" t="s">
        <v>36</v>
      </c>
      <c r="W574" t="s">
        <v>37</v>
      </c>
      <c r="X574" s="6">
        <v>0</v>
      </c>
      <c r="Y574" s="6">
        <v>100</v>
      </c>
      <c r="Z574" t="s">
        <v>38</v>
      </c>
      <c r="AA574" t="s">
        <v>39</v>
      </c>
      <c r="AB574" t="s">
        <v>38</v>
      </c>
      <c r="AC574" s="8">
        <v>2.4000000000000128E-3</v>
      </c>
    </row>
    <row r="575" spans="1:29" x14ac:dyDescent="0.3">
      <c r="A575" s="7">
        <v>574</v>
      </c>
      <c r="B575" s="1">
        <v>40569</v>
      </c>
      <c r="C575" s="7">
        <v>1</v>
      </c>
      <c r="D575" s="7">
        <v>2</v>
      </c>
      <c r="E575" t="b">
        <v>0</v>
      </c>
      <c r="F575" s="7">
        <v>3</v>
      </c>
      <c r="G575" s="7">
        <v>3</v>
      </c>
      <c r="H575" s="6">
        <v>0.22</v>
      </c>
      <c r="I575" s="8">
        <v>0.2273</v>
      </c>
      <c r="J575" s="6">
        <v>0.69</v>
      </c>
      <c r="K575" s="8">
        <v>0.19400000000000001</v>
      </c>
      <c r="L575" s="7">
        <v>3</v>
      </c>
      <c r="M575" s="7">
        <v>7</v>
      </c>
      <c r="N575" s="7">
        <v>10</v>
      </c>
      <c r="O575" t="s">
        <v>29</v>
      </c>
      <c r="P575" t="s">
        <v>57</v>
      </c>
      <c r="Q575" t="s">
        <v>51</v>
      </c>
      <c r="R575" t="s">
        <v>32</v>
      </c>
      <c r="S575" t="s">
        <v>33</v>
      </c>
      <c r="T575" t="s">
        <v>49</v>
      </c>
      <c r="U575" t="s">
        <v>46</v>
      </c>
      <c r="V575" t="s">
        <v>36</v>
      </c>
      <c r="W575" t="s">
        <v>37</v>
      </c>
      <c r="X575" s="6">
        <v>30</v>
      </c>
      <c r="Y575" s="6">
        <v>70</v>
      </c>
      <c r="Z575" t="s">
        <v>38</v>
      </c>
      <c r="AA575" t="s">
        <v>39</v>
      </c>
      <c r="AB575" t="s">
        <v>38</v>
      </c>
      <c r="AC575" s="8">
        <v>7.3000000000000009E-3</v>
      </c>
    </row>
    <row r="576" spans="1:29" x14ac:dyDescent="0.3">
      <c r="A576" s="7">
        <v>575</v>
      </c>
      <c r="B576" s="1">
        <v>40569</v>
      </c>
      <c r="C576" s="7">
        <v>1</v>
      </c>
      <c r="D576" s="7">
        <v>5</v>
      </c>
      <c r="E576" t="b">
        <v>0</v>
      </c>
      <c r="F576" s="7">
        <v>3</v>
      </c>
      <c r="G576" s="7">
        <v>3</v>
      </c>
      <c r="H576" s="6">
        <v>0.2</v>
      </c>
      <c r="I576" s="8">
        <v>0.18179999999999999</v>
      </c>
      <c r="J576" s="6">
        <v>0.86</v>
      </c>
      <c r="K576" s="8">
        <v>0.28360000000000002</v>
      </c>
      <c r="L576" s="7">
        <v>0</v>
      </c>
      <c r="M576" s="7">
        <v>1</v>
      </c>
      <c r="N576" s="7">
        <v>1</v>
      </c>
      <c r="O576" t="s">
        <v>29</v>
      </c>
      <c r="P576" t="s">
        <v>57</v>
      </c>
      <c r="Q576" t="s">
        <v>51</v>
      </c>
      <c r="R576" t="s">
        <v>32</v>
      </c>
      <c r="S576" t="s">
        <v>33</v>
      </c>
      <c r="T576" t="s">
        <v>34</v>
      </c>
      <c r="U576" t="s">
        <v>46</v>
      </c>
      <c r="V576" t="s">
        <v>36</v>
      </c>
      <c r="W576" t="s">
        <v>37</v>
      </c>
      <c r="X576" s="6">
        <v>0</v>
      </c>
      <c r="Y576" s="6">
        <v>100</v>
      </c>
      <c r="Z576" t="s">
        <v>38</v>
      </c>
      <c r="AA576" t="s">
        <v>39</v>
      </c>
      <c r="AB576" t="s">
        <v>38</v>
      </c>
      <c r="AC576" s="8">
        <v>-1.8200000000000022E-2</v>
      </c>
    </row>
    <row r="577" spans="1:29" x14ac:dyDescent="0.3">
      <c r="A577" s="7">
        <v>576</v>
      </c>
      <c r="B577" s="1">
        <v>40569</v>
      </c>
      <c r="C577" s="7">
        <v>1</v>
      </c>
      <c r="D577" s="7">
        <v>6</v>
      </c>
      <c r="E577" t="b">
        <v>0</v>
      </c>
      <c r="F577" s="7">
        <v>3</v>
      </c>
      <c r="G577" s="7">
        <v>3</v>
      </c>
      <c r="H577" s="6">
        <v>0.2</v>
      </c>
      <c r="I577" s="8">
        <v>0.18179999999999999</v>
      </c>
      <c r="J577" s="6">
        <v>0.86</v>
      </c>
      <c r="K577" s="8">
        <v>0.28360000000000002</v>
      </c>
      <c r="L577" s="7">
        <v>0</v>
      </c>
      <c r="M577" s="7">
        <v>8</v>
      </c>
      <c r="N577" s="7">
        <v>8</v>
      </c>
      <c r="O577" t="s">
        <v>29</v>
      </c>
      <c r="P577" t="s">
        <v>57</v>
      </c>
      <c r="Q577" t="s">
        <v>51</v>
      </c>
      <c r="R577" t="s">
        <v>42</v>
      </c>
      <c r="S577" t="s">
        <v>33</v>
      </c>
      <c r="T577" t="s">
        <v>34</v>
      </c>
      <c r="U577" t="s">
        <v>46</v>
      </c>
      <c r="V577" t="s">
        <v>36</v>
      </c>
      <c r="W577" t="s">
        <v>37</v>
      </c>
      <c r="X577" s="6">
        <v>0</v>
      </c>
      <c r="Y577" s="6">
        <v>100</v>
      </c>
      <c r="Z577" t="s">
        <v>38</v>
      </c>
      <c r="AA577" t="s">
        <v>39</v>
      </c>
      <c r="AB577" t="s">
        <v>38</v>
      </c>
      <c r="AC577" s="8">
        <v>-1.8200000000000022E-2</v>
      </c>
    </row>
    <row r="578" spans="1:29" x14ac:dyDescent="0.3">
      <c r="A578" s="7">
        <v>577</v>
      </c>
      <c r="B578" s="1">
        <v>40569</v>
      </c>
      <c r="C578" s="7">
        <v>1</v>
      </c>
      <c r="D578" s="7">
        <v>7</v>
      </c>
      <c r="E578" t="b">
        <v>0</v>
      </c>
      <c r="F578" s="7">
        <v>3</v>
      </c>
      <c r="G578" s="7">
        <v>3</v>
      </c>
      <c r="H578" s="6">
        <v>0.22</v>
      </c>
      <c r="I578" s="8">
        <v>0.21210000000000001</v>
      </c>
      <c r="J578" s="6">
        <v>0.87</v>
      </c>
      <c r="K578" s="8">
        <v>0.29849999999999999</v>
      </c>
      <c r="L578" s="7">
        <v>1</v>
      </c>
      <c r="M578" s="7">
        <v>29</v>
      </c>
      <c r="N578" s="7">
        <v>30</v>
      </c>
      <c r="O578" t="s">
        <v>29</v>
      </c>
      <c r="P578" t="s">
        <v>57</v>
      </c>
      <c r="Q578" t="s">
        <v>51</v>
      </c>
      <c r="R578" t="s">
        <v>42</v>
      </c>
      <c r="S578" t="s">
        <v>33</v>
      </c>
      <c r="T578" t="s">
        <v>34</v>
      </c>
      <c r="U578" t="s">
        <v>46</v>
      </c>
      <c r="V578" t="s">
        <v>36</v>
      </c>
      <c r="W578" t="s">
        <v>37</v>
      </c>
      <c r="X578" s="6">
        <v>3.333333333333333</v>
      </c>
      <c r="Y578" s="6">
        <v>96.666666666666671</v>
      </c>
      <c r="Z578" t="s">
        <v>40</v>
      </c>
      <c r="AA578" t="s">
        <v>39</v>
      </c>
      <c r="AB578" t="s">
        <v>38</v>
      </c>
      <c r="AC578" s="8">
        <v>-7.8999999999999904E-3</v>
      </c>
    </row>
    <row r="579" spans="1:29" x14ac:dyDescent="0.3">
      <c r="A579" s="7">
        <v>578</v>
      </c>
      <c r="B579" s="1">
        <v>40569</v>
      </c>
      <c r="C579" s="7">
        <v>1</v>
      </c>
      <c r="D579" s="7">
        <v>8</v>
      </c>
      <c r="E579" t="b">
        <v>0</v>
      </c>
      <c r="F579" s="7">
        <v>3</v>
      </c>
      <c r="G579" s="7">
        <v>3</v>
      </c>
      <c r="H579" s="6">
        <v>0.22</v>
      </c>
      <c r="I579" s="8">
        <v>0.21210000000000001</v>
      </c>
      <c r="J579" s="6">
        <v>0.87</v>
      </c>
      <c r="K579" s="8">
        <v>0.29849999999999999</v>
      </c>
      <c r="L579" s="7">
        <v>3</v>
      </c>
      <c r="M579" s="7">
        <v>69</v>
      </c>
      <c r="N579" s="7">
        <v>72</v>
      </c>
      <c r="O579" t="s">
        <v>29</v>
      </c>
      <c r="P579" t="s">
        <v>57</v>
      </c>
      <c r="Q579" t="s">
        <v>51</v>
      </c>
      <c r="R579" t="s">
        <v>42</v>
      </c>
      <c r="S579" t="s">
        <v>33</v>
      </c>
      <c r="T579" t="s">
        <v>34</v>
      </c>
      <c r="U579" t="s">
        <v>46</v>
      </c>
      <c r="V579" t="s">
        <v>36</v>
      </c>
      <c r="W579" t="s">
        <v>37</v>
      </c>
      <c r="X579" s="6">
        <v>4.1666666666666661</v>
      </c>
      <c r="Y579" s="6">
        <v>95.833333333333343</v>
      </c>
      <c r="Z579" t="s">
        <v>40</v>
      </c>
      <c r="AA579" t="s">
        <v>39</v>
      </c>
      <c r="AB579" t="s">
        <v>38</v>
      </c>
      <c r="AC579" s="8">
        <v>-7.8999999999999904E-3</v>
      </c>
    </row>
    <row r="580" spans="1:29" x14ac:dyDescent="0.3">
      <c r="A580" s="7">
        <v>579</v>
      </c>
      <c r="B580" s="1">
        <v>40569</v>
      </c>
      <c r="C580" s="7">
        <v>1</v>
      </c>
      <c r="D580" s="7">
        <v>9</v>
      </c>
      <c r="E580" t="b">
        <v>0</v>
      </c>
      <c r="F580" s="7">
        <v>3</v>
      </c>
      <c r="G580" s="7">
        <v>3</v>
      </c>
      <c r="H580" s="6">
        <v>0.22</v>
      </c>
      <c r="I580" s="8">
        <v>0.21210000000000001</v>
      </c>
      <c r="J580" s="6">
        <v>0.87</v>
      </c>
      <c r="K580" s="8">
        <v>0.29849999999999999</v>
      </c>
      <c r="L580" s="7">
        <v>3</v>
      </c>
      <c r="M580" s="7">
        <v>55</v>
      </c>
      <c r="N580" s="7">
        <v>58</v>
      </c>
      <c r="O580" t="s">
        <v>29</v>
      </c>
      <c r="P580" t="s">
        <v>57</v>
      </c>
      <c r="Q580" t="s">
        <v>51</v>
      </c>
      <c r="R580" t="s">
        <v>42</v>
      </c>
      <c r="S580" t="s">
        <v>33</v>
      </c>
      <c r="T580" t="s">
        <v>34</v>
      </c>
      <c r="U580" t="s">
        <v>46</v>
      </c>
      <c r="V580" t="s">
        <v>36</v>
      </c>
      <c r="W580" t="s">
        <v>37</v>
      </c>
      <c r="X580" s="6">
        <v>5.1724137931034484</v>
      </c>
      <c r="Y580" s="6">
        <v>94.827586206896555</v>
      </c>
      <c r="Z580" t="s">
        <v>40</v>
      </c>
      <c r="AA580" t="s">
        <v>39</v>
      </c>
      <c r="AB580" t="s">
        <v>38</v>
      </c>
      <c r="AC580" s="8">
        <v>-7.8999999999999904E-3</v>
      </c>
    </row>
    <row r="581" spans="1:29" x14ac:dyDescent="0.3">
      <c r="A581" s="7">
        <v>580</v>
      </c>
      <c r="B581" s="1">
        <v>40569</v>
      </c>
      <c r="C581" s="7">
        <v>1</v>
      </c>
      <c r="D581" s="7">
        <v>10</v>
      </c>
      <c r="E581" t="b">
        <v>0</v>
      </c>
      <c r="F581" s="7">
        <v>3</v>
      </c>
      <c r="G581" s="7">
        <v>3</v>
      </c>
      <c r="H581" s="6">
        <v>0.22</v>
      </c>
      <c r="I581" s="8">
        <v>0.21210000000000001</v>
      </c>
      <c r="J581" s="6">
        <v>0.93</v>
      </c>
      <c r="K581" s="8">
        <v>0.28360000000000002</v>
      </c>
      <c r="L581" s="7">
        <v>2</v>
      </c>
      <c r="M581" s="7">
        <v>26</v>
      </c>
      <c r="N581" s="7">
        <v>28</v>
      </c>
      <c r="O581" t="s">
        <v>29</v>
      </c>
      <c r="P581" t="s">
        <v>57</v>
      </c>
      <c r="Q581" t="s">
        <v>51</v>
      </c>
      <c r="R581" t="s">
        <v>42</v>
      </c>
      <c r="S581" t="s">
        <v>33</v>
      </c>
      <c r="T581" t="s">
        <v>34</v>
      </c>
      <c r="U581" t="s">
        <v>46</v>
      </c>
      <c r="V581" t="s">
        <v>36</v>
      </c>
      <c r="W581" t="s">
        <v>37</v>
      </c>
      <c r="X581" s="6">
        <v>7.1428571428571423</v>
      </c>
      <c r="Y581" s="6">
        <v>92.857142857142861</v>
      </c>
      <c r="Z581" t="s">
        <v>38</v>
      </c>
      <c r="AA581" t="s">
        <v>39</v>
      </c>
      <c r="AB581" t="s">
        <v>38</v>
      </c>
      <c r="AC581" s="8">
        <v>-7.8999999999999904E-3</v>
      </c>
    </row>
    <row r="582" spans="1:29" x14ac:dyDescent="0.3">
      <c r="A582" s="7">
        <v>581</v>
      </c>
      <c r="B582" s="1">
        <v>40569</v>
      </c>
      <c r="C582" s="7">
        <v>1</v>
      </c>
      <c r="D582" s="7">
        <v>11</v>
      </c>
      <c r="E582" t="b">
        <v>0</v>
      </c>
      <c r="F582" s="7">
        <v>3</v>
      </c>
      <c r="G582" s="7">
        <v>3</v>
      </c>
      <c r="H582" s="6">
        <v>0.22</v>
      </c>
      <c r="I582" s="8">
        <v>0.19700000000000001</v>
      </c>
      <c r="J582" s="6">
        <v>0.93</v>
      </c>
      <c r="K582" s="8">
        <v>0.32840000000000003</v>
      </c>
      <c r="L582" s="7">
        <v>6</v>
      </c>
      <c r="M582" s="7">
        <v>35</v>
      </c>
      <c r="N582" s="7">
        <v>41</v>
      </c>
      <c r="O582" t="s">
        <v>29</v>
      </c>
      <c r="P582" t="s">
        <v>57</v>
      </c>
      <c r="Q582" t="s">
        <v>51</v>
      </c>
      <c r="R582" t="s">
        <v>42</v>
      </c>
      <c r="S582" t="s">
        <v>33</v>
      </c>
      <c r="T582" t="s">
        <v>34</v>
      </c>
      <c r="U582" t="s">
        <v>53</v>
      </c>
      <c r="V582" t="s">
        <v>36</v>
      </c>
      <c r="W582" t="s">
        <v>37</v>
      </c>
      <c r="X582" s="6">
        <v>14.63414634146341</v>
      </c>
      <c r="Y582" s="6">
        <v>85.365853658536579</v>
      </c>
      <c r="Z582" t="s">
        <v>38</v>
      </c>
      <c r="AA582" t="s">
        <v>39</v>
      </c>
      <c r="AB582" t="s">
        <v>38</v>
      </c>
      <c r="AC582" s="8">
        <v>-2.2999999999999989E-2</v>
      </c>
    </row>
    <row r="583" spans="1:29" x14ac:dyDescent="0.3">
      <c r="A583" s="7">
        <v>582</v>
      </c>
      <c r="B583" s="1">
        <v>40569</v>
      </c>
      <c r="C583" s="7">
        <v>1</v>
      </c>
      <c r="D583" s="7">
        <v>12</v>
      </c>
      <c r="E583" t="b">
        <v>0</v>
      </c>
      <c r="F583" s="7">
        <v>3</v>
      </c>
      <c r="G583" s="7">
        <v>3</v>
      </c>
      <c r="H583" s="6">
        <v>0.22</v>
      </c>
      <c r="I583" s="8">
        <v>0.19700000000000001</v>
      </c>
      <c r="J583" s="6">
        <v>0.93</v>
      </c>
      <c r="K583" s="8">
        <v>0.32840000000000003</v>
      </c>
      <c r="L583" s="7">
        <v>7</v>
      </c>
      <c r="M583" s="7">
        <v>41</v>
      </c>
      <c r="N583" s="7">
        <v>48</v>
      </c>
      <c r="O583" t="s">
        <v>29</v>
      </c>
      <c r="P583" t="s">
        <v>57</v>
      </c>
      <c r="Q583" t="s">
        <v>51</v>
      </c>
      <c r="R583" t="s">
        <v>47</v>
      </c>
      <c r="S583" t="s">
        <v>33</v>
      </c>
      <c r="T583" t="s">
        <v>34</v>
      </c>
      <c r="U583" t="s">
        <v>53</v>
      </c>
      <c r="V583" t="s">
        <v>36</v>
      </c>
      <c r="W583" t="s">
        <v>37</v>
      </c>
      <c r="X583" s="6">
        <v>14.58333333333333</v>
      </c>
      <c r="Y583" s="6">
        <v>85.416666666666657</v>
      </c>
      <c r="Z583" t="s">
        <v>38</v>
      </c>
      <c r="AA583" t="s">
        <v>39</v>
      </c>
      <c r="AB583" t="s">
        <v>38</v>
      </c>
      <c r="AC583" s="8">
        <v>-2.2999999999999989E-2</v>
      </c>
    </row>
    <row r="584" spans="1:29" x14ac:dyDescent="0.3">
      <c r="A584" s="7">
        <v>583</v>
      </c>
      <c r="B584" s="1">
        <v>40569</v>
      </c>
      <c r="C584" s="7">
        <v>1</v>
      </c>
      <c r="D584" s="7">
        <v>13</v>
      </c>
      <c r="E584" t="b">
        <v>0</v>
      </c>
      <c r="F584" s="7">
        <v>3</v>
      </c>
      <c r="G584" s="7">
        <v>3</v>
      </c>
      <c r="H584" s="6">
        <v>0.22</v>
      </c>
      <c r="I584" s="8">
        <v>0.19700000000000001</v>
      </c>
      <c r="J584" s="6">
        <v>0.93</v>
      </c>
      <c r="K584" s="8">
        <v>0.32840000000000003</v>
      </c>
      <c r="L584" s="7">
        <v>4</v>
      </c>
      <c r="M584" s="7">
        <v>43</v>
      </c>
      <c r="N584" s="7">
        <v>47</v>
      </c>
      <c r="O584" t="s">
        <v>29</v>
      </c>
      <c r="P584" t="s">
        <v>57</v>
      </c>
      <c r="Q584" t="s">
        <v>51</v>
      </c>
      <c r="R584" t="s">
        <v>47</v>
      </c>
      <c r="S584" t="s">
        <v>33</v>
      </c>
      <c r="T584" t="s">
        <v>34</v>
      </c>
      <c r="U584" t="s">
        <v>53</v>
      </c>
      <c r="V584" t="s">
        <v>36</v>
      </c>
      <c r="W584" t="s">
        <v>37</v>
      </c>
      <c r="X584" s="6">
        <v>8.5106382978723403</v>
      </c>
      <c r="Y584" s="6">
        <v>91.489361702127653</v>
      </c>
      <c r="Z584" t="s">
        <v>38</v>
      </c>
      <c r="AA584" t="s">
        <v>39</v>
      </c>
      <c r="AB584" t="s">
        <v>38</v>
      </c>
      <c r="AC584" s="8">
        <v>-2.2999999999999989E-2</v>
      </c>
    </row>
    <row r="585" spans="1:29" x14ac:dyDescent="0.3">
      <c r="A585" s="7">
        <v>584</v>
      </c>
      <c r="B585" s="1">
        <v>40569</v>
      </c>
      <c r="C585" s="7">
        <v>1</v>
      </c>
      <c r="D585" s="7">
        <v>14</v>
      </c>
      <c r="E585" t="b">
        <v>0</v>
      </c>
      <c r="F585" s="7">
        <v>3</v>
      </c>
      <c r="G585" s="7">
        <v>3</v>
      </c>
      <c r="H585" s="6">
        <v>0.22</v>
      </c>
      <c r="I585" s="8">
        <v>0.19700000000000001</v>
      </c>
      <c r="J585" s="6">
        <v>0.93</v>
      </c>
      <c r="K585" s="8">
        <v>0.35820000000000002</v>
      </c>
      <c r="L585" s="7">
        <v>0</v>
      </c>
      <c r="M585" s="7">
        <v>36</v>
      </c>
      <c r="N585" s="7">
        <v>36</v>
      </c>
      <c r="O585" t="s">
        <v>29</v>
      </c>
      <c r="P585" t="s">
        <v>57</v>
      </c>
      <c r="Q585" t="s">
        <v>51</v>
      </c>
      <c r="R585" t="s">
        <v>47</v>
      </c>
      <c r="S585" t="s">
        <v>33</v>
      </c>
      <c r="T585" t="s">
        <v>34</v>
      </c>
      <c r="U585" t="s">
        <v>53</v>
      </c>
      <c r="V585" t="s">
        <v>36</v>
      </c>
      <c r="W585" t="s">
        <v>37</v>
      </c>
      <c r="X585" s="6">
        <v>0</v>
      </c>
      <c r="Y585" s="6">
        <v>100</v>
      </c>
      <c r="Z585" t="s">
        <v>38</v>
      </c>
      <c r="AA585" t="s">
        <v>39</v>
      </c>
      <c r="AB585" t="s">
        <v>38</v>
      </c>
      <c r="AC585" s="8">
        <v>-2.2999999999999989E-2</v>
      </c>
    </row>
    <row r="586" spans="1:29" x14ac:dyDescent="0.3">
      <c r="A586" s="7">
        <v>585</v>
      </c>
      <c r="B586" s="1">
        <v>40569</v>
      </c>
      <c r="C586" s="7">
        <v>1</v>
      </c>
      <c r="D586" s="7">
        <v>15</v>
      </c>
      <c r="E586" t="b">
        <v>0</v>
      </c>
      <c r="F586" s="7">
        <v>3</v>
      </c>
      <c r="G586" s="7">
        <v>3</v>
      </c>
      <c r="H586" s="6">
        <v>0.22</v>
      </c>
      <c r="I586" s="8">
        <v>0.18179999999999999</v>
      </c>
      <c r="J586" s="6">
        <v>0.93</v>
      </c>
      <c r="K586" s="8">
        <v>0.4627</v>
      </c>
      <c r="L586" s="7">
        <v>1</v>
      </c>
      <c r="M586" s="7">
        <v>42</v>
      </c>
      <c r="N586" s="7">
        <v>43</v>
      </c>
      <c r="O586" t="s">
        <v>29</v>
      </c>
      <c r="P586" t="s">
        <v>57</v>
      </c>
      <c r="Q586" t="s">
        <v>51</v>
      </c>
      <c r="R586" t="s">
        <v>47</v>
      </c>
      <c r="S586" t="s">
        <v>33</v>
      </c>
      <c r="T586" t="s">
        <v>34</v>
      </c>
      <c r="U586" t="s">
        <v>53</v>
      </c>
      <c r="V586" t="s">
        <v>36</v>
      </c>
      <c r="W586" t="s">
        <v>37</v>
      </c>
      <c r="X586" s="6">
        <v>2.3255813953488369</v>
      </c>
      <c r="Y586" s="6">
        <v>97.674418604651152</v>
      </c>
      <c r="Z586" t="s">
        <v>38</v>
      </c>
      <c r="AA586" t="s">
        <v>39</v>
      </c>
      <c r="AB586" t="s">
        <v>38</v>
      </c>
      <c r="AC586" s="8">
        <v>-3.8200000000000012E-2</v>
      </c>
    </row>
    <row r="587" spans="1:29" x14ac:dyDescent="0.3">
      <c r="A587" s="7">
        <v>586</v>
      </c>
      <c r="B587" s="1">
        <v>40569</v>
      </c>
      <c r="C587" s="7">
        <v>1</v>
      </c>
      <c r="D587" s="7">
        <v>16</v>
      </c>
      <c r="E587" t="b">
        <v>0</v>
      </c>
      <c r="F587" s="7">
        <v>3</v>
      </c>
      <c r="G587" s="7">
        <v>4</v>
      </c>
      <c r="H587" s="6">
        <v>0.22</v>
      </c>
      <c r="I587" s="8">
        <v>0.19700000000000001</v>
      </c>
      <c r="J587" s="6">
        <v>0.93</v>
      </c>
      <c r="K587" s="8">
        <v>0.32840000000000003</v>
      </c>
      <c r="L587" s="7">
        <v>1</v>
      </c>
      <c r="M587" s="7">
        <v>35</v>
      </c>
      <c r="N587" s="7">
        <v>36</v>
      </c>
      <c r="O587" t="s">
        <v>29</v>
      </c>
      <c r="P587" t="s">
        <v>57</v>
      </c>
      <c r="Q587" t="s">
        <v>61</v>
      </c>
      <c r="R587" t="s">
        <v>47</v>
      </c>
      <c r="S587" t="s">
        <v>33</v>
      </c>
      <c r="T587" t="s">
        <v>34</v>
      </c>
      <c r="U587" t="s">
        <v>53</v>
      </c>
      <c r="V587" t="s">
        <v>36</v>
      </c>
      <c r="W587" t="s">
        <v>37</v>
      </c>
      <c r="X587" s="6">
        <v>2.7777777777777781</v>
      </c>
      <c r="Y587" s="6">
        <v>97.222222222222214</v>
      </c>
      <c r="Z587" t="s">
        <v>38</v>
      </c>
      <c r="AA587" t="s">
        <v>39</v>
      </c>
      <c r="AB587" t="s">
        <v>38</v>
      </c>
      <c r="AC587" s="8">
        <v>-2.2999999999999989E-2</v>
      </c>
    </row>
    <row r="588" spans="1:29" x14ac:dyDescent="0.3">
      <c r="A588" s="7">
        <v>587</v>
      </c>
      <c r="B588" s="1">
        <v>40569</v>
      </c>
      <c r="C588" s="7">
        <v>1</v>
      </c>
      <c r="D588" s="7">
        <v>17</v>
      </c>
      <c r="E588" t="b">
        <v>0</v>
      </c>
      <c r="F588" s="7">
        <v>3</v>
      </c>
      <c r="G588" s="7">
        <v>3</v>
      </c>
      <c r="H588" s="6">
        <v>0.2</v>
      </c>
      <c r="I588" s="8">
        <v>0.18179999999999999</v>
      </c>
      <c r="J588" s="6">
        <v>0.93</v>
      </c>
      <c r="K588" s="8">
        <v>0.35820000000000002</v>
      </c>
      <c r="L588" s="7">
        <v>0</v>
      </c>
      <c r="M588" s="7">
        <v>26</v>
      </c>
      <c r="N588" s="7">
        <v>26</v>
      </c>
      <c r="O588" t="s">
        <v>29</v>
      </c>
      <c r="P588" t="s">
        <v>57</v>
      </c>
      <c r="Q588" t="s">
        <v>51</v>
      </c>
      <c r="R588" t="s">
        <v>50</v>
      </c>
      <c r="S588" t="s">
        <v>33</v>
      </c>
      <c r="T588" t="s">
        <v>34</v>
      </c>
      <c r="U588" t="s">
        <v>53</v>
      </c>
      <c r="V588" t="s">
        <v>36</v>
      </c>
      <c r="W588" t="s">
        <v>37</v>
      </c>
      <c r="X588" s="6">
        <v>0</v>
      </c>
      <c r="Y588" s="6">
        <v>100</v>
      </c>
      <c r="Z588" t="s">
        <v>40</v>
      </c>
      <c r="AA588" t="s">
        <v>39</v>
      </c>
      <c r="AB588" t="s">
        <v>38</v>
      </c>
      <c r="AC588" s="8">
        <v>-1.8200000000000022E-2</v>
      </c>
    </row>
    <row r="589" spans="1:29" x14ac:dyDescent="0.3">
      <c r="A589" s="7">
        <v>588</v>
      </c>
      <c r="B589" s="1">
        <v>40570</v>
      </c>
      <c r="C589" s="7">
        <v>1</v>
      </c>
      <c r="D589" s="7">
        <v>16</v>
      </c>
      <c r="E589" t="b">
        <v>0</v>
      </c>
      <c r="F589" s="7">
        <v>4</v>
      </c>
      <c r="G589" s="7">
        <v>1</v>
      </c>
      <c r="H589" s="6">
        <v>0.22</v>
      </c>
      <c r="I589" s="8">
        <v>0.2273</v>
      </c>
      <c r="J589" s="6">
        <v>0.55000000000000004</v>
      </c>
      <c r="K589" s="8">
        <v>0.19400000000000001</v>
      </c>
      <c r="L589" s="7">
        <v>1</v>
      </c>
      <c r="M589" s="7">
        <v>23</v>
      </c>
      <c r="N589" s="7">
        <v>24</v>
      </c>
      <c r="O589" t="s">
        <v>29</v>
      </c>
      <c r="P589" t="s">
        <v>58</v>
      </c>
      <c r="Q589" t="s">
        <v>31</v>
      </c>
      <c r="R589" t="s">
        <v>47</v>
      </c>
      <c r="S589" t="s">
        <v>33</v>
      </c>
      <c r="T589" t="s">
        <v>49</v>
      </c>
      <c r="U589" t="s">
        <v>46</v>
      </c>
      <c r="V589" t="s">
        <v>36</v>
      </c>
      <c r="W589" t="s">
        <v>37</v>
      </c>
      <c r="X589" s="6">
        <v>4.1666666666666661</v>
      </c>
      <c r="Y589" s="6">
        <v>95.833333333333343</v>
      </c>
      <c r="Z589" t="s">
        <v>38</v>
      </c>
      <c r="AA589" t="s">
        <v>39</v>
      </c>
      <c r="AB589" t="s">
        <v>38</v>
      </c>
      <c r="AC589" s="8">
        <v>7.3000000000000009E-3</v>
      </c>
    </row>
    <row r="590" spans="1:29" x14ac:dyDescent="0.3">
      <c r="A590" s="7">
        <v>589</v>
      </c>
      <c r="B590" s="1">
        <v>40570</v>
      </c>
      <c r="C590" s="7">
        <v>1</v>
      </c>
      <c r="D590" s="7">
        <v>17</v>
      </c>
      <c r="E590" t="b">
        <v>0</v>
      </c>
      <c r="F590" s="7">
        <v>4</v>
      </c>
      <c r="G590" s="7">
        <v>1</v>
      </c>
      <c r="H590" s="6">
        <v>0.22</v>
      </c>
      <c r="I590" s="8">
        <v>0.2424</v>
      </c>
      <c r="J590" s="6">
        <v>0.55000000000000004</v>
      </c>
      <c r="K590" s="8">
        <v>0.1045</v>
      </c>
      <c r="L590" s="7">
        <v>2</v>
      </c>
      <c r="M590" s="7">
        <v>82</v>
      </c>
      <c r="N590" s="7">
        <v>84</v>
      </c>
      <c r="O590" t="s">
        <v>29</v>
      </c>
      <c r="P590" t="s">
        <v>58</v>
      </c>
      <c r="Q590" t="s">
        <v>31</v>
      </c>
      <c r="R590" t="s">
        <v>50</v>
      </c>
      <c r="S590" t="s">
        <v>33</v>
      </c>
      <c r="T590" t="s">
        <v>49</v>
      </c>
      <c r="U590" t="s">
        <v>35</v>
      </c>
      <c r="V590" t="s">
        <v>36</v>
      </c>
      <c r="W590" t="s">
        <v>37</v>
      </c>
      <c r="X590" s="6">
        <v>2.3809523809523809</v>
      </c>
      <c r="Y590" s="6">
        <v>97.61904761904762</v>
      </c>
      <c r="Z590" t="s">
        <v>40</v>
      </c>
      <c r="AA590" t="s">
        <v>39</v>
      </c>
      <c r="AB590" t="s">
        <v>38</v>
      </c>
      <c r="AC590" s="8">
        <v>2.24E-2</v>
      </c>
    </row>
    <row r="591" spans="1:29" x14ac:dyDescent="0.3">
      <c r="A591" s="7">
        <v>590</v>
      </c>
      <c r="B591" s="1">
        <v>40570</v>
      </c>
      <c r="C591" s="7">
        <v>1</v>
      </c>
      <c r="D591" s="7">
        <v>18</v>
      </c>
      <c r="E591" t="b">
        <v>0</v>
      </c>
      <c r="F591" s="7">
        <v>4</v>
      </c>
      <c r="G591" s="7">
        <v>1</v>
      </c>
      <c r="H591" s="6">
        <v>0.2</v>
      </c>
      <c r="I591" s="8">
        <v>0.2273</v>
      </c>
      <c r="J591" s="6">
        <v>0.69</v>
      </c>
      <c r="K591" s="8">
        <v>8.9599999999999999E-2</v>
      </c>
      <c r="L591" s="7">
        <v>3</v>
      </c>
      <c r="M591" s="7">
        <v>101</v>
      </c>
      <c r="N591" s="7">
        <v>104</v>
      </c>
      <c r="O591" t="s">
        <v>29</v>
      </c>
      <c r="P591" t="s">
        <v>58</v>
      </c>
      <c r="Q591" t="s">
        <v>31</v>
      </c>
      <c r="R591" t="s">
        <v>50</v>
      </c>
      <c r="S591" t="s">
        <v>33</v>
      </c>
      <c r="T591" t="s">
        <v>49</v>
      </c>
      <c r="U591" t="s">
        <v>35</v>
      </c>
      <c r="V591" t="s">
        <v>36</v>
      </c>
      <c r="W591" t="s">
        <v>37</v>
      </c>
      <c r="X591" s="6">
        <v>2.884615384615385</v>
      </c>
      <c r="Y591" s="6">
        <v>97.115384615384613</v>
      </c>
      <c r="Z591" t="s">
        <v>40</v>
      </c>
      <c r="AA591" t="s">
        <v>49</v>
      </c>
      <c r="AB591" t="s">
        <v>38</v>
      </c>
      <c r="AC591" s="8">
        <v>2.7299999999999991E-2</v>
      </c>
    </row>
    <row r="592" spans="1:29" x14ac:dyDescent="0.3">
      <c r="A592" s="7">
        <v>591</v>
      </c>
      <c r="B592" s="1">
        <v>40570</v>
      </c>
      <c r="C592" s="7">
        <v>1</v>
      </c>
      <c r="D592" s="7">
        <v>19</v>
      </c>
      <c r="E592" t="b">
        <v>0</v>
      </c>
      <c r="F592" s="7">
        <v>4</v>
      </c>
      <c r="G592" s="7">
        <v>1</v>
      </c>
      <c r="H592" s="6">
        <v>0.2</v>
      </c>
      <c r="I592" s="8">
        <v>0.2273</v>
      </c>
      <c r="J592" s="6">
        <v>0.69</v>
      </c>
      <c r="K592" s="8">
        <v>8.9599999999999999E-2</v>
      </c>
      <c r="L592" s="7">
        <v>3</v>
      </c>
      <c r="M592" s="7">
        <v>76</v>
      </c>
      <c r="N592" s="7">
        <v>79</v>
      </c>
      <c r="O592" t="s">
        <v>29</v>
      </c>
      <c r="P592" t="s">
        <v>58</v>
      </c>
      <c r="Q592" t="s">
        <v>31</v>
      </c>
      <c r="R592" t="s">
        <v>50</v>
      </c>
      <c r="S592" t="s">
        <v>33</v>
      </c>
      <c r="T592" t="s">
        <v>49</v>
      </c>
      <c r="U592" t="s">
        <v>35</v>
      </c>
      <c r="V592" t="s">
        <v>36</v>
      </c>
      <c r="W592" t="s">
        <v>37</v>
      </c>
      <c r="X592" s="6">
        <v>3.79746835443038</v>
      </c>
      <c r="Y592" s="6">
        <v>96.202531645569621</v>
      </c>
      <c r="Z592" t="s">
        <v>40</v>
      </c>
      <c r="AA592" t="s">
        <v>39</v>
      </c>
      <c r="AB592" t="s">
        <v>38</v>
      </c>
      <c r="AC592" s="8">
        <v>2.7299999999999991E-2</v>
      </c>
    </row>
    <row r="593" spans="1:29" x14ac:dyDescent="0.3">
      <c r="A593" s="7">
        <v>592</v>
      </c>
      <c r="B593" s="1">
        <v>40570</v>
      </c>
      <c r="C593" s="7">
        <v>1</v>
      </c>
      <c r="D593" s="7">
        <v>20</v>
      </c>
      <c r="E593" t="b">
        <v>0</v>
      </c>
      <c r="F593" s="7">
        <v>4</v>
      </c>
      <c r="G593" s="7">
        <v>1</v>
      </c>
      <c r="H593" s="6">
        <v>0.18</v>
      </c>
      <c r="I593" s="8">
        <v>0.21210000000000001</v>
      </c>
      <c r="J593" s="6">
        <v>0.74</v>
      </c>
      <c r="K593" s="8">
        <v>8.9599999999999999E-2</v>
      </c>
      <c r="L593" s="7">
        <v>4</v>
      </c>
      <c r="M593" s="7">
        <v>55</v>
      </c>
      <c r="N593" s="7">
        <v>59</v>
      </c>
      <c r="O593" t="s">
        <v>29</v>
      </c>
      <c r="P593" t="s">
        <v>58</v>
      </c>
      <c r="Q593" t="s">
        <v>31</v>
      </c>
      <c r="R593" t="s">
        <v>50</v>
      </c>
      <c r="S593" t="s">
        <v>33</v>
      </c>
      <c r="T593" t="s">
        <v>34</v>
      </c>
      <c r="U593" t="s">
        <v>35</v>
      </c>
      <c r="V593" t="s">
        <v>36</v>
      </c>
      <c r="W593" t="s">
        <v>37</v>
      </c>
      <c r="X593" s="6">
        <v>6.7796610169491522</v>
      </c>
      <c r="Y593" s="6">
        <v>93.220338983050837</v>
      </c>
      <c r="Z593" t="s">
        <v>38</v>
      </c>
      <c r="AA593" t="s">
        <v>39</v>
      </c>
      <c r="AB593" t="s">
        <v>38</v>
      </c>
      <c r="AC593" s="8">
        <v>3.2100000000000017E-2</v>
      </c>
    </row>
    <row r="594" spans="1:29" x14ac:dyDescent="0.3">
      <c r="A594" s="7">
        <v>593</v>
      </c>
      <c r="B594" s="1">
        <v>40570</v>
      </c>
      <c r="C594" s="7">
        <v>1</v>
      </c>
      <c r="D594" s="7">
        <v>21</v>
      </c>
      <c r="E594" t="b">
        <v>0</v>
      </c>
      <c r="F594" s="7">
        <v>4</v>
      </c>
      <c r="G594" s="7">
        <v>1</v>
      </c>
      <c r="H594" s="6">
        <v>0.18</v>
      </c>
      <c r="I594" s="8">
        <v>0.21210000000000001</v>
      </c>
      <c r="J594" s="6">
        <v>0.74</v>
      </c>
      <c r="K594" s="8">
        <v>8.9599999999999999E-2</v>
      </c>
      <c r="L594" s="7">
        <v>2</v>
      </c>
      <c r="M594" s="7">
        <v>36</v>
      </c>
      <c r="N594" s="7">
        <v>38</v>
      </c>
      <c r="O594" t="s">
        <v>29</v>
      </c>
      <c r="P594" t="s">
        <v>58</v>
      </c>
      <c r="Q594" t="s">
        <v>31</v>
      </c>
      <c r="R594" t="s">
        <v>32</v>
      </c>
      <c r="S594" t="s">
        <v>33</v>
      </c>
      <c r="T594" t="s">
        <v>34</v>
      </c>
      <c r="U594" t="s">
        <v>35</v>
      </c>
      <c r="V594" t="s">
        <v>36</v>
      </c>
      <c r="W594" t="s">
        <v>37</v>
      </c>
      <c r="X594" s="6">
        <v>5.2631578947368416</v>
      </c>
      <c r="Y594" s="6">
        <v>94.73684210526315</v>
      </c>
      <c r="Z594" t="s">
        <v>38</v>
      </c>
      <c r="AA594" t="s">
        <v>39</v>
      </c>
      <c r="AB594" t="s">
        <v>38</v>
      </c>
      <c r="AC594" s="8">
        <v>3.2100000000000017E-2</v>
      </c>
    </row>
    <row r="595" spans="1:29" x14ac:dyDescent="0.3">
      <c r="A595" s="7">
        <v>594</v>
      </c>
      <c r="B595" s="1">
        <v>40570</v>
      </c>
      <c r="C595" s="7">
        <v>1</v>
      </c>
      <c r="D595" s="7">
        <v>22</v>
      </c>
      <c r="E595" t="b">
        <v>0</v>
      </c>
      <c r="F595" s="7">
        <v>4</v>
      </c>
      <c r="G595" s="7">
        <v>1</v>
      </c>
      <c r="H595" s="6">
        <v>0.18</v>
      </c>
      <c r="I595" s="8">
        <v>0.21210000000000001</v>
      </c>
      <c r="J595" s="6">
        <v>0.74</v>
      </c>
      <c r="K595" s="8">
        <v>8.9599999999999999E-2</v>
      </c>
      <c r="L595" s="7">
        <v>0</v>
      </c>
      <c r="M595" s="7">
        <v>27</v>
      </c>
      <c r="N595" s="7">
        <v>27</v>
      </c>
      <c r="O595" t="s">
        <v>29</v>
      </c>
      <c r="P595" t="s">
        <v>58</v>
      </c>
      <c r="Q595" t="s">
        <v>31</v>
      </c>
      <c r="R595" t="s">
        <v>32</v>
      </c>
      <c r="S595" t="s">
        <v>33</v>
      </c>
      <c r="T595" t="s">
        <v>34</v>
      </c>
      <c r="U595" t="s">
        <v>35</v>
      </c>
      <c r="V595" t="s">
        <v>36</v>
      </c>
      <c r="W595" t="s">
        <v>37</v>
      </c>
      <c r="X595" s="6">
        <v>0</v>
      </c>
      <c r="Y595" s="6">
        <v>100</v>
      </c>
      <c r="Z595" t="s">
        <v>38</v>
      </c>
      <c r="AA595" t="s">
        <v>39</v>
      </c>
      <c r="AB595" t="s">
        <v>38</v>
      </c>
      <c r="AC595" s="8">
        <v>3.2100000000000017E-2</v>
      </c>
    </row>
    <row r="596" spans="1:29" x14ac:dyDescent="0.3">
      <c r="A596" s="7">
        <v>595</v>
      </c>
      <c r="B596" s="1">
        <v>40570</v>
      </c>
      <c r="C596" s="7">
        <v>1</v>
      </c>
      <c r="D596" s="7">
        <v>23</v>
      </c>
      <c r="E596" t="b">
        <v>0</v>
      </c>
      <c r="F596" s="7">
        <v>4</v>
      </c>
      <c r="G596" s="7">
        <v>1</v>
      </c>
      <c r="H596" s="6">
        <v>0.18</v>
      </c>
      <c r="I596" s="8">
        <v>0.19700000000000001</v>
      </c>
      <c r="J596" s="6">
        <v>0.8</v>
      </c>
      <c r="K596" s="8">
        <v>0.16420000000000001</v>
      </c>
      <c r="L596" s="7">
        <v>0</v>
      </c>
      <c r="M596" s="7">
        <v>16</v>
      </c>
      <c r="N596" s="7">
        <v>16</v>
      </c>
      <c r="O596" t="s">
        <v>29</v>
      </c>
      <c r="P596" t="s">
        <v>58</v>
      </c>
      <c r="Q596" t="s">
        <v>31</v>
      </c>
      <c r="R596" t="s">
        <v>32</v>
      </c>
      <c r="S596" t="s">
        <v>33</v>
      </c>
      <c r="T596" t="s">
        <v>34</v>
      </c>
      <c r="U596" t="s">
        <v>46</v>
      </c>
      <c r="V596" t="s">
        <v>36</v>
      </c>
      <c r="W596" t="s">
        <v>37</v>
      </c>
      <c r="X596" s="6">
        <v>0</v>
      </c>
      <c r="Y596" s="6">
        <v>100</v>
      </c>
      <c r="Z596" t="s">
        <v>38</v>
      </c>
      <c r="AA596" t="s">
        <v>39</v>
      </c>
      <c r="AB596" t="s">
        <v>38</v>
      </c>
      <c r="AC596" s="8">
        <v>1.7000000000000019E-2</v>
      </c>
    </row>
    <row r="597" spans="1:29" x14ac:dyDescent="0.3">
      <c r="A597" s="7">
        <v>596</v>
      </c>
      <c r="B597" s="1">
        <v>40571</v>
      </c>
      <c r="C597" s="7">
        <v>1</v>
      </c>
      <c r="D597" s="7">
        <v>0</v>
      </c>
      <c r="E597" t="b">
        <v>0</v>
      </c>
      <c r="F597" s="7">
        <v>5</v>
      </c>
      <c r="G597" s="7">
        <v>2</v>
      </c>
      <c r="H597" s="6">
        <v>0.2</v>
      </c>
      <c r="I597" s="8">
        <v>0.21210000000000001</v>
      </c>
      <c r="J597" s="6">
        <v>0.75</v>
      </c>
      <c r="K597" s="8">
        <v>0.1343</v>
      </c>
      <c r="L597" s="7">
        <v>0</v>
      </c>
      <c r="M597" s="7">
        <v>9</v>
      </c>
      <c r="N597" s="7">
        <v>9</v>
      </c>
      <c r="O597" t="s">
        <v>29</v>
      </c>
      <c r="P597" t="s">
        <v>59</v>
      </c>
      <c r="Q597" t="s">
        <v>41</v>
      </c>
      <c r="R597" t="s">
        <v>32</v>
      </c>
      <c r="S597" t="s">
        <v>33</v>
      </c>
      <c r="T597" t="s">
        <v>34</v>
      </c>
      <c r="U597" t="s">
        <v>35</v>
      </c>
      <c r="V597" t="s">
        <v>36</v>
      </c>
      <c r="W597" t="s">
        <v>37</v>
      </c>
      <c r="X597" s="6">
        <v>0</v>
      </c>
      <c r="Y597" s="6">
        <v>100</v>
      </c>
      <c r="Z597" t="s">
        <v>38</v>
      </c>
      <c r="AA597" t="s">
        <v>39</v>
      </c>
      <c r="AB597" t="s">
        <v>38</v>
      </c>
      <c r="AC597" s="8">
        <v>1.21E-2</v>
      </c>
    </row>
    <row r="598" spans="1:29" x14ac:dyDescent="0.3">
      <c r="A598" s="7">
        <v>597</v>
      </c>
      <c r="B598" s="1">
        <v>40571</v>
      </c>
      <c r="C598" s="7">
        <v>1</v>
      </c>
      <c r="D598" s="7">
        <v>1</v>
      </c>
      <c r="E598" t="b">
        <v>0</v>
      </c>
      <c r="F598" s="7">
        <v>5</v>
      </c>
      <c r="G598" s="7">
        <v>2</v>
      </c>
      <c r="H598" s="6">
        <v>0.2</v>
      </c>
      <c r="I598" s="8">
        <v>0.21210000000000001</v>
      </c>
      <c r="J598" s="6">
        <v>0.75</v>
      </c>
      <c r="K598" s="8">
        <v>0.1343</v>
      </c>
      <c r="L598" s="7">
        <v>1</v>
      </c>
      <c r="M598" s="7">
        <v>2</v>
      </c>
      <c r="N598" s="7">
        <v>3</v>
      </c>
      <c r="O598" t="s">
        <v>29</v>
      </c>
      <c r="P598" t="s">
        <v>59</v>
      </c>
      <c r="Q598" t="s">
        <v>41</v>
      </c>
      <c r="R598" t="s">
        <v>32</v>
      </c>
      <c r="S598" t="s">
        <v>33</v>
      </c>
      <c r="T598" t="s">
        <v>34</v>
      </c>
      <c r="U598" t="s">
        <v>35</v>
      </c>
      <c r="V598" t="s">
        <v>36</v>
      </c>
      <c r="W598" t="s">
        <v>37</v>
      </c>
      <c r="X598" s="6">
        <v>33.333333333333329</v>
      </c>
      <c r="Y598" s="6">
        <v>66.666666666666657</v>
      </c>
      <c r="Z598" t="s">
        <v>38</v>
      </c>
      <c r="AA598" t="s">
        <v>39</v>
      </c>
      <c r="AB598" t="s">
        <v>38</v>
      </c>
      <c r="AC598" s="8">
        <v>1.21E-2</v>
      </c>
    </row>
    <row r="599" spans="1:29" x14ac:dyDescent="0.3">
      <c r="A599" s="7">
        <v>598</v>
      </c>
      <c r="B599" s="1">
        <v>40571</v>
      </c>
      <c r="C599" s="7">
        <v>1</v>
      </c>
      <c r="D599" s="7">
        <v>2</v>
      </c>
      <c r="E599" t="b">
        <v>0</v>
      </c>
      <c r="F599" s="7">
        <v>5</v>
      </c>
      <c r="G599" s="7">
        <v>2</v>
      </c>
      <c r="H599" s="6">
        <v>0.2</v>
      </c>
      <c r="I599" s="8">
        <v>0.21210000000000001</v>
      </c>
      <c r="J599" s="6">
        <v>0.75</v>
      </c>
      <c r="K599" s="8">
        <v>0.16420000000000001</v>
      </c>
      <c r="L599" s="7">
        <v>0</v>
      </c>
      <c r="M599" s="7">
        <v>2</v>
      </c>
      <c r="N599" s="7">
        <v>2</v>
      </c>
      <c r="O599" t="s">
        <v>29</v>
      </c>
      <c r="P599" t="s">
        <v>59</v>
      </c>
      <c r="Q599" t="s">
        <v>41</v>
      </c>
      <c r="R599" t="s">
        <v>32</v>
      </c>
      <c r="S599" t="s">
        <v>33</v>
      </c>
      <c r="T599" t="s">
        <v>34</v>
      </c>
      <c r="U599" t="s">
        <v>46</v>
      </c>
      <c r="V599" t="s">
        <v>36</v>
      </c>
      <c r="W599" t="s">
        <v>37</v>
      </c>
      <c r="X599" s="6">
        <v>0</v>
      </c>
      <c r="Y599" s="6">
        <v>100</v>
      </c>
      <c r="Z599" t="s">
        <v>38</v>
      </c>
      <c r="AA599" t="s">
        <v>39</v>
      </c>
      <c r="AB599" t="s">
        <v>38</v>
      </c>
      <c r="AC599" s="8">
        <v>1.21E-2</v>
      </c>
    </row>
    <row r="600" spans="1:29" x14ac:dyDescent="0.3">
      <c r="A600" s="7">
        <v>599</v>
      </c>
      <c r="B600" s="1">
        <v>40571</v>
      </c>
      <c r="C600" s="7">
        <v>1</v>
      </c>
      <c r="D600" s="7">
        <v>3</v>
      </c>
      <c r="E600" t="b">
        <v>0</v>
      </c>
      <c r="F600" s="7">
        <v>5</v>
      </c>
      <c r="G600" s="7">
        <v>2</v>
      </c>
      <c r="H600" s="6">
        <v>0.2</v>
      </c>
      <c r="I600" s="8">
        <v>0.2273</v>
      </c>
      <c r="J600" s="6">
        <v>0.75</v>
      </c>
      <c r="K600" s="8">
        <v>0.1045</v>
      </c>
      <c r="L600" s="7">
        <v>1</v>
      </c>
      <c r="M600" s="7">
        <v>0</v>
      </c>
      <c r="N600" s="7">
        <v>1</v>
      </c>
      <c r="O600" t="s">
        <v>29</v>
      </c>
      <c r="P600" t="s">
        <v>59</v>
      </c>
      <c r="Q600" t="s">
        <v>41</v>
      </c>
      <c r="R600" t="s">
        <v>32</v>
      </c>
      <c r="S600" t="s">
        <v>33</v>
      </c>
      <c r="T600" t="s">
        <v>34</v>
      </c>
      <c r="U600" t="s">
        <v>35</v>
      </c>
      <c r="V600" t="s">
        <v>36</v>
      </c>
      <c r="W600" t="s">
        <v>43</v>
      </c>
      <c r="X600" s="6">
        <v>100</v>
      </c>
      <c r="Y600" s="6">
        <v>0</v>
      </c>
      <c r="Z600" t="s">
        <v>38</v>
      </c>
      <c r="AA600" t="s">
        <v>39</v>
      </c>
      <c r="AB600" t="s">
        <v>38</v>
      </c>
      <c r="AC600" s="8">
        <v>2.7299999999999991E-2</v>
      </c>
    </row>
    <row r="601" spans="1:29" x14ac:dyDescent="0.3">
      <c r="A601" s="7">
        <v>600</v>
      </c>
      <c r="B601" s="1">
        <v>40571</v>
      </c>
      <c r="C601" s="7">
        <v>1</v>
      </c>
      <c r="D601" s="7">
        <v>5</v>
      </c>
      <c r="E601" t="b">
        <v>0</v>
      </c>
      <c r="F601" s="7">
        <v>5</v>
      </c>
      <c r="G601" s="7">
        <v>2</v>
      </c>
      <c r="H601" s="6">
        <v>0.18</v>
      </c>
      <c r="I601" s="8">
        <v>0.21210000000000001</v>
      </c>
      <c r="J601" s="6">
        <v>0.8</v>
      </c>
      <c r="K601" s="8">
        <v>0.1045</v>
      </c>
      <c r="L601" s="7">
        <v>0</v>
      </c>
      <c r="M601" s="7">
        <v>4</v>
      </c>
      <c r="N601" s="7">
        <v>4</v>
      </c>
      <c r="O601" t="s">
        <v>29</v>
      </c>
      <c r="P601" t="s">
        <v>59</v>
      </c>
      <c r="Q601" t="s">
        <v>41</v>
      </c>
      <c r="R601" t="s">
        <v>32</v>
      </c>
      <c r="S601" t="s">
        <v>33</v>
      </c>
      <c r="T601" t="s">
        <v>34</v>
      </c>
      <c r="U601" t="s">
        <v>35</v>
      </c>
      <c r="V601" t="s">
        <v>36</v>
      </c>
      <c r="W601" t="s">
        <v>37</v>
      </c>
      <c r="X601" s="6">
        <v>0</v>
      </c>
      <c r="Y601" s="6">
        <v>100</v>
      </c>
      <c r="Z601" t="s">
        <v>38</v>
      </c>
      <c r="AA601" t="s">
        <v>39</v>
      </c>
      <c r="AB601" t="s">
        <v>38</v>
      </c>
      <c r="AC601" s="8">
        <v>3.2100000000000017E-2</v>
      </c>
    </row>
    <row r="602" spans="1:29" x14ac:dyDescent="0.3">
      <c r="A602" s="7">
        <v>601</v>
      </c>
      <c r="B602" s="1">
        <v>40571</v>
      </c>
      <c r="C602" s="7">
        <v>1</v>
      </c>
      <c r="D602" s="7">
        <v>6</v>
      </c>
      <c r="E602" t="b">
        <v>0</v>
      </c>
      <c r="F602" s="7">
        <v>5</v>
      </c>
      <c r="G602" s="7">
        <v>2</v>
      </c>
      <c r="H602" s="6">
        <v>0.18</v>
      </c>
      <c r="I602" s="8">
        <v>0.19700000000000001</v>
      </c>
      <c r="J602" s="6">
        <v>0.8</v>
      </c>
      <c r="K602" s="8">
        <v>0.1343</v>
      </c>
      <c r="L602" s="7">
        <v>0</v>
      </c>
      <c r="M602" s="7">
        <v>16</v>
      </c>
      <c r="N602" s="7">
        <v>16</v>
      </c>
      <c r="O602" t="s">
        <v>29</v>
      </c>
      <c r="P602" t="s">
        <v>59</v>
      </c>
      <c r="Q602" t="s">
        <v>41</v>
      </c>
      <c r="R602" t="s">
        <v>42</v>
      </c>
      <c r="S602" t="s">
        <v>33</v>
      </c>
      <c r="T602" t="s">
        <v>34</v>
      </c>
      <c r="U602" t="s">
        <v>35</v>
      </c>
      <c r="V602" t="s">
        <v>36</v>
      </c>
      <c r="W602" t="s">
        <v>37</v>
      </c>
      <c r="X602" s="6">
        <v>0</v>
      </c>
      <c r="Y602" s="6">
        <v>100</v>
      </c>
      <c r="Z602" t="s">
        <v>38</v>
      </c>
      <c r="AA602" t="s">
        <v>39</v>
      </c>
      <c r="AB602" t="s">
        <v>38</v>
      </c>
      <c r="AC602" s="8">
        <v>1.7000000000000019E-2</v>
      </c>
    </row>
    <row r="603" spans="1:29" x14ac:dyDescent="0.3">
      <c r="A603" s="7">
        <v>602</v>
      </c>
      <c r="B603" s="1">
        <v>40571</v>
      </c>
      <c r="C603" s="7">
        <v>1</v>
      </c>
      <c r="D603" s="7">
        <v>7</v>
      </c>
      <c r="E603" t="b">
        <v>0</v>
      </c>
      <c r="F603" s="7">
        <v>5</v>
      </c>
      <c r="G603" s="7">
        <v>2</v>
      </c>
      <c r="H603" s="6">
        <v>0.16</v>
      </c>
      <c r="I603" s="8">
        <v>0.19700000000000001</v>
      </c>
      <c r="J603" s="6">
        <v>0.86</v>
      </c>
      <c r="K603" s="8">
        <v>8.9599999999999999E-2</v>
      </c>
      <c r="L603" s="7">
        <v>2</v>
      </c>
      <c r="M603" s="7">
        <v>58</v>
      </c>
      <c r="N603" s="7">
        <v>60</v>
      </c>
      <c r="O603" t="s">
        <v>29</v>
      </c>
      <c r="P603" t="s">
        <v>59</v>
      </c>
      <c r="Q603" t="s">
        <v>41</v>
      </c>
      <c r="R603" t="s">
        <v>42</v>
      </c>
      <c r="S603" t="s">
        <v>33</v>
      </c>
      <c r="T603" t="s">
        <v>34</v>
      </c>
      <c r="U603" t="s">
        <v>35</v>
      </c>
      <c r="V603" t="s">
        <v>36</v>
      </c>
      <c r="W603" t="s">
        <v>37</v>
      </c>
      <c r="X603" s="6">
        <v>3.333333333333333</v>
      </c>
      <c r="Y603" s="6">
        <v>96.666666666666671</v>
      </c>
      <c r="Z603" t="s">
        <v>40</v>
      </c>
      <c r="AA603" t="s">
        <v>39</v>
      </c>
      <c r="AB603" t="s">
        <v>38</v>
      </c>
      <c r="AC603" s="8">
        <v>3.7000000000000012E-2</v>
      </c>
    </row>
    <row r="604" spans="1:29" x14ac:dyDescent="0.3">
      <c r="A604" s="7">
        <v>603</v>
      </c>
      <c r="B604" s="1">
        <v>40571</v>
      </c>
      <c r="C604" s="7">
        <v>1</v>
      </c>
      <c r="D604" s="7">
        <v>8</v>
      </c>
      <c r="E604" t="b">
        <v>0</v>
      </c>
      <c r="F604" s="7">
        <v>5</v>
      </c>
      <c r="G604" s="7">
        <v>2</v>
      </c>
      <c r="H604" s="6">
        <v>0.16</v>
      </c>
      <c r="I604" s="8">
        <v>0.19700000000000001</v>
      </c>
      <c r="J604" s="6">
        <v>0.86</v>
      </c>
      <c r="K604" s="8">
        <v>8.9599999999999999E-2</v>
      </c>
      <c r="L604" s="7">
        <v>2</v>
      </c>
      <c r="M604" s="7">
        <v>155</v>
      </c>
      <c r="N604" s="7">
        <v>157</v>
      </c>
      <c r="O604" t="s">
        <v>29</v>
      </c>
      <c r="P604" t="s">
        <v>59</v>
      </c>
      <c r="Q604" t="s">
        <v>41</v>
      </c>
      <c r="R604" t="s">
        <v>42</v>
      </c>
      <c r="S604" t="s">
        <v>33</v>
      </c>
      <c r="T604" t="s">
        <v>34</v>
      </c>
      <c r="U604" t="s">
        <v>35</v>
      </c>
      <c r="V604" t="s">
        <v>36</v>
      </c>
      <c r="W604" t="s">
        <v>37</v>
      </c>
      <c r="X604" s="6">
        <v>1.2738853503184711</v>
      </c>
      <c r="Y604" s="6">
        <v>98.726114649681534</v>
      </c>
      <c r="Z604" t="s">
        <v>40</v>
      </c>
      <c r="AA604" t="s">
        <v>49</v>
      </c>
      <c r="AB604" t="s">
        <v>38</v>
      </c>
      <c r="AC604" s="8">
        <v>3.7000000000000012E-2</v>
      </c>
    </row>
    <row r="605" spans="1:29" x14ac:dyDescent="0.3">
      <c r="A605" s="7">
        <v>604</v>
      </c>
      <c r="B605" s="1">
        <v>40571</v>
      </c>
      <c r="C605" s="7">
        <v>1</v>
      </c>
      <c r="D605" s="7">
        <v>9</v>
      </c>
      <c r="E605" t="b">
        <v>0</v>
      </c>
      <c r="F605" s="7">
        <v>5</v>
      </c>
      <c r="G605" s="7">
        <v>3</v>
      </c>
      <c r="H605" s="6">
        <v>0.18</v>
      </c>
      <c r="I605" s="8">
        <v>0.21210000000000001</v>
      </c>
      <c r="J605" s="6">
        <v>0.86</v>
      </c>
      <c r="K605" s="8">
        <v>8.9599999999999999E-2</v>
      </c>
      <c r="L605" s="7">
        <v>6</v>
      </c>
      <c r="M605" s="7">
        <v>95</v>
      </c>
      <c r="N605" s="7">
        <v>101</v>
      </c>
      <c r="O605" t="s">
        <v>29</v>
      </c>
      <c r="P605" t="s">
        <v>59</v>
      </c>
      <c r="Q605" t="s">
        <v>51</v>
      </c>
      <c r="R605" t="s">
        <v>42</v>
      </c>
      <c r="S605" t="s">
        <v>33</v>
      </c>
      <c r="T605" t="s">
        <v>34</v>
      </c>
      <c r="U605" t="s">
        <v>35</v>
      </c>
      <c r="V605" t="s">
        <v>36</v>
      </c>
      <c r="W605" t="s">
        <v>37</v>
      </c>
      <c r="X605" s="6">
        <v>5.9405940594059414</v>
      </c>
      <c r="Y605" s="6">
        <v>94.059405940594047</v>
      </c>
      <c r="Z605" t="s">
        <v>40</v>
      </c>
      <c r="AA605" t="s">
        <v>49</v>
      </c>
      <c r="AB605" t="s">
        <v>38</v>
      </c>
      <c r="AC605" s="8">
        <v>3.2100000000000017E-2</v>
      </c>
    </row>
    <row r="606" spans="1:29" x14ac:dyDescent="0.3">
      <c r="A606" s="7">
        <v>605</v>
      </c>
      <c r="B606" s="1">
        <v>40571</v>
      </c>
      <c r="C606" s="7">
        <v>1</v>
      </c>
      <c r="D606" s="7">
        <v>10</v>
      </c>
      <c r="E606" t="b">
        <v>0</v>
      </c>
      <c r="F606" s="7">
        <v>5</v>
      </c>
      <c r="G606" s="7">
        <v>3</v>
      </c>
      <c r="H606" s="6">
        <v>0.18</v>
      </c>
      <c r="I606" s="8">
        <v>0.21210000000000001</v>
      </c>
      <c r="J606" s="6">
        <v>0.86</v>
      </c>
      <c r="K606" s="8">
        <v>0.1045</v>
      </c>
      <c r="L606" s="7">
        <v>0</v>
      </c>
      <c r="M606" s="7">
        <v>49</v>
      </c>
      <c r="N606" s="7">
        <v>49</v>
      </c>
      <c r="O606" t="s">
        <v>29</v>
      </c>
      <c r="P606" t="s">
        <v>59</v>
      </c>
      <c r="Q606" t="s">
        <v>51</v>
      </c>
      <c r="R606" t="s">
        <v>42</v>
      </c>
      <c r="S606" t="s">
        <v>33</v>
      </c>
      <c r="T606" t="s">
        <v>34</v>
      </c>
      <c r="U606" t="s">
        <v>35</v>
      </c>
      <c r="V606" t="s">
        <v>36</v>
      </c>
      <c r="W606" t="s">
        <v>37</v>
      </c>
      <c r="X606" s="6">
        <v>0</v>
      </c>
      <c r="Y606" s="6">
        <v>100</v>
      </c>
      <c r="Z606" t="s">
        <v>38</v>
      </c>
      <c r="AA606" t="s">
        <v>39</v>
      </c>
      <c r="AB606" t="s">
        <v>38</v>
      </c>
      <c r="AC606" s="8">
        <v>3.2100000000000017E-2</v>
      </c>
    </row>
    <row r="607" spans="1:29" x14ac:dyDescent="0.3">
      <c r="A607" s="7">
        <v>606</v>
      </c>
      <c r="B607" s="1">
        <v>40571</v>
      </c>
      <c r="C607" s="7">
        <v>1</v>
      </c>
      <c r="D607" s="7">
        <v>11</v>
      </c>
      <c r="E607" t="b">
        <v>0</v>
      </c>
      <c r="F607" s="7">
        <v>5</v>
      </c>
      <c r="G607" s="7">
        <v>3</v>
      </c>
      <c r="H607" s="6">
        <v>0.18</v>
      </c>
      <c r="I607" s="8">
        <v>0.21210000000000001</v>
      </c>
      <c r="J607" s="6">
        <v>0.93</v>
      </c>
      <c r="K607" s="8">
        <v>0.1045</v>
      </c>
      <c r="L607" s="7">
        <v>0</v>
      </c>
      <c r="M607" s="7">
        <v>30</v>
      </c>
      <c r="N607" s="7">
        <v>30</v>
      </c>
      <c r="O607" t="s">
        <v>29</v>
      </c>
      <c r="P607" t="s">
        <v>59</v>
      </c>
      <c r="Q607" t="s">
        <v>51</v>
      </c>
      <c r="R607" t="s">
        <v>42</v>
      </c>
      <c r="S607" t="s">
        <v>33</v>
      </c>
      <c r="T607" t="s">
        <v>34</v>
      </c>
      <c r="U607" t="s">
        <v>35</v>
      </c>
      <c r="V607" t="s">
        <v>36</v>
      </c>
      <c r="W607" t="s">
        <v>37</v>
      </c>
      <c r="X607" s="6">
        <v>0</v>
      </c>
      <c r="Y607" s="6">
        <v>100</v>
      </c>
      <c r="Z607" t="s">
        <v>38</v>
      </c>
      <c r="AA607" t="s">
        <v>39</v>
      </c>
      <c r="AB607" t="s">
        <v>38</v>
      </c>
      <c r="AC607" s="8">
        <v>3.2100000000000017E-2</v>
      </c>
    </row>
    <row r="608" spans="1:29" x14ac:dyDescent="0.3">
      <c r="A608" s="7">
        <v>607</v>
      </c>
      <c r="B608" s="1">
        <v>40571</v>
      </c>
      <c r="C608" s="7">
        <v>1</v>
      </c>
      <c r="D608" s="7">
        <v>12</v>
      </c>
      <c r="E608" t="b">
        <v>0</v>
      </c>
      <c r="F608" s="7">
        <v>5</v>
      </c>
      <c r="G608" s="7">
        <v>3</v>
      </c>
      <c r="H608" s="6">
        <v>0.18</v>
      </c>
      <c r="I608" s="8">
        <v>0.21210000000000001</v>
      </c>
      <c r="J608" s="6">
        <v>0.93</v>
      </c>
      <c r="K608" s="8">
        <v>0.1045</v>
      </c>
      <c r="L608" s="7">
        <v>1</v>
      </c>
      <c r="M608" s="7">
        <v>28</v>
      </c>
      <c r="N608" s="7">
        <v>29</v>
      </c>
      <c r="O608" t="s">
        <v>29</v>
      </c>
      <c r="P608" t="s">
        <v>59</v>
      </c>
      <c r="Q608" t="s">
        <v>51</v>
      </c>
      <c r="R608" t="s">
        <v>47</v>
      </c>
      <c r="S608" t="s">
        <v>33</v>
      </c>
      <c r="T608" t="s">
        <v>34</v>
      </c>
      <c r="U608" t="s">
        <v>35</v>
      </c>
      <c r="V608" t="s">
        <v>36</v>
      </c>
      <c r="W608" t="s">
        <v>37</v>
      </c>
      <c r="X608" s="6">
        <v>3.4482758620689649</v>
      </c>
      <c r="Y608" s="6">
        <v>96.551724137931032</v>
      </c>
      <c r="Z608" t="s">
        <v>38</v>
      </c>
      <c r="AA608" t="s">
        <v>39</v>
      </c>
      <c r="AB608" t="s">
        <v>38</v>
      </c>
      <c r="AC608" s="8">
        <v>3.2100000000000017E-2</v>
      </c>
    </row>
    <row r="609" spans="1:29" x14ac:dyDescent="0.3">
      <c r="A609" s="7">
        <v>608</v>
      </c>
      <c r="B609" s="1">
        <v>40571</v>
      </c>
      <c r="C609" s="7">
        <v>1</v>
      </c>
      <c r="D609" s="7">
        <v>13</v>
      </c>
      <c r="E609" t="b">
        <v>0</v>
      </c>
      <c r="F609" s="7">
        <v>5</v>
      </c>
      <c r="G609" s="7">
        <v>3</v>
      </c>
      <c r="H609" s="6">
        <v>0.18</v>
      </c>
      <c r="I609" s="8">
        <v>0.21210000000000001</v>
      </c>
      <c r="J609" s="6">
        <v>0.93</v>
      </c>
      <c r="K609" s="8">
        <v>0.1045</v>
      </c>
      <c r="L609" s="7">
        <v>0</v>
      </c>
      <c r="M609" s="7">
        <v>31</v>
      </c>
      <c r="N609" s="7">
        <v>31</v>
      </c>
      <c r="O609" t="s">
        <v>29</v>
      </c>
      <c r="P609" t="s">
        <v>59</v>
      </c>
      <c r="Q609" t="s">
        <v>51</v>
      </c>
      <c r="R609" t="s">
        <v>47</v>
      </c>
      <c r="S609" t="s">
        <v>33</v>
      </c>
      <c r="T609" t="s">
        <v>34</v>
      </c>
      <c r="U609" t="s">
        <v>35</v>
      </c>
      <c r="V609" t="s">
        <v>36</v>
      </c>
      <c r="W609" t="s">
        <v>37</v>
      </c>
      <c r="X609" s="6">
        <v>0</v>
      </c>
      <c r="Y609" s="6">
        <v>100</v>
      </c>
      <c r="Z609" t="s">
        <v>38</v>
      </c>
      <c r="AA609" t="s">
        <v>39</v>
      </c>
      <c r="AB609" t="s">
        <v>38</v>
      </c>
      <c r="AC609" s="8">
        <v>3.2100000000000017E-2</v>
      </c>
    </row>
    <row r="610" spans="1:29" x14ac:dyDescent="0.3">
      <c r="A610" s="7">
        <v>609</v>
      </c>
      <c r="B610" s="1">
        <v>40571</v>
      </c>
      <c r="C610" s="7">
        <v>1</v>
      </c>
      <c r="D610" s="7">
        <v>14</v>
      </c>
      <c r="E610" t="b">
        <v>0</v>
      </c>
      <c r="F610" s="7">
        <v>5</v>
      </c>
      <c r="G610" s="7">
        <v>3</v>
      </c>
      <c r="H610" s="6">
        <v>0.22</v>
      </c>
      <c r="I610" s="8">
        <v>0.2727</v>
      </c>
      <c r="J610" s="6">
        <v>0.8</v>
      </c>
      <c r="K610" s="8">
        <v>0</v>
      </c>
      <c r="L610" s="7">
        <v>2</v>
      </c>
      <c r="M610" s="7">
        <v>36</v>
      </c>
      <c r="N610" s="7">
        <v>38</v>
      </c>
      <c r="O610" t="s">
        <v>29</v>
      </c>
      <c r="P610" t="s">
        <v>59</v>
      </c>
      <c r="Q610" t="s">
        <v>51</v>
      </c>
      <c r="R610" t="s">
        <v>47</v>
      </c>
      <c r="S610" t="s">
        <v>33</v>
      </c>
      <c r="T610" t="s">
        <v>34</v>
      </c>
      <c r="U610" t="s">
        <v>35</v>
      </c>
      <c r="V610" t="s">
        <v>36</v>
      </c>
      <c r="W610" t="s">
        <v>37</v>
      </c>
      <c r="X610" s="6">
        <v>5.2631578947368416</v>
      </c>
      <c r="Y610" s="6">
        <v>94.73684210526315</v>
      </c>
      <c r="Z610" t="s">
        <v>38</v>
      </c>
      <c r="AA610" t="s">
        <v>39</v>
      </c>
      <c r="AB610" t="s">
        <v>38</v>
      </c>
      <c r="AC610" s="8">
        <v>5.2699999999999997E-2</v>
      </c>
    </row>
    <row r="611" spans="1:29" x14ac:dyDescent="0.3">
      <c r="A611" s="7">
        <v>610</v>
      </c>
      <c r="B611" s="1">
        <v>40571</v>
      </c>
      <c r="C611" s="7">
        <v>1</v>
      </c>
      <c r="D611" s="7">
        <v>15</v>
      </c>
      <c r="E611" t="b">
        <v>0</v>
      </c>
      <c r="F611" s="7">
        <v>5</v>
      </c>
      <c r="G611" s="7">
        <v>2</v>
      </c>
      <c r="H611" s="6">
        <v>0.2</v>
      </c>
      <c r="I611" s="8">
        <v>0.2576</v>
      </c>
      <c r="J611" s="6">
        <v>0.86</v>
      </c>
      <c r="K611" s="8">
        <v>0</v>
      </c>
      <c r="L611" s="7">
        <v>1</v>
      </c>
      <c r="M611" s="7">
        <v>40</v>
      </c>
      <c r="N611" s="7">
        <v>41</v>
      </c>
      <c r="O611" t="s">
        <v>29</v>
      </c>
      <c r="P611" t="s">
        <v>59</v>
      </c>
      <c r="Q611" t="s">
        <v>41</v>
      </c>
      <c r="R611" t="s">
        <v>47</v>
      </c>
      <c r="S611" t="s">
        <v>33</v>
      </c>
      <c r="T611" t="s">
        <v>34</v>
      </c>
      <c r="U611" t="s">
        <v>35</v>
      </c>
      <c r="V611" t="s">
        <v>36</v>
      </c>
      <c r="W611" t="s">
        <v>37</v>
      </c>
      <c r="X611" s="6">
        <v>2.4390243902439019</v>
      </c>
      <c r="Y611" s="6">
        <v>97.560975609756099</v>
      </c>
      <c r="Z611" t="s">
        <v>38</v>
      </c>
      <c r="AA611" t="s">
        <v>39</v>
      </c>
      <c r="AB611" t="s">
        <v>38</v>
      </c>
      <c r="AC611" s="8">
        <v>5.7599999999999978E-2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7F1BA-B043-4659-B627-A62E2DFD7541}">
  <dimension ref="A45:J82"/>
  <sheetViews>
    <sheetView zoomScale="86" workbookViewId="0">
      <selection activeCell="D39" sqref="D39"/>
    </sheetView>
  </sheetViews>
  <sheetFormatPr defaultRowHeight="14.4" x14ac:dyDescent="0.3"/>
  <cols>
    <col min="1" max="1" width="13.33203125" style="2" bestFit="1" customWidth="1"/>
    <col min="2" max="2" width="21.44140625" style="2" bestFit="1" customWidth="1"/>
    <col min="3" max="3" width="20.77734375" style="2" bestFit="1" customWidth="1"/>
    <col min="4" max="4" width="22.5546875" style="2" bestFit="1" customWidth="1"/>
    <col min="5" max="5" width="31.5546875" style="2" bestFit="1" customWidth="1"/>
    <col min="6" max="6" width="8.88671875" style="2"/>
    <col min="7" max="7" width="13.33203125" style="2" bestFit="1" customWidth="1"/>
    <col min="8" max="8" width="22.6640625" style="2" bestFit="1" customWidth="1"/>
    <col min="9" max="9" width="26.33203125" style="2" bestFit="1" customWidth="1"/>
    <col min="10" max="10" width="21.44140625" style="2" bestFit="1" customWidth="1"/>
    <col min="11" max="16384" width="8.88671875" style="2"/>
  </cols>
  <sheetData>
    <row r="45" spans="1:10" x14ac:dyDescent="0.3">
      <c r="A45" s="9" t="s">
        <v>62</v>
      </c>
      <c r="B45" s="9" t="s">
        <v>64</v>
      </c>
      <c r="C45" s="9" t="s">
        <v>66</v>
      </c>
      <c r="D45" s="9" t="s">
        <v>67</v>
      </c>
      <c r="E45" s="9" t="s">
        <v>68</v>
      </c>
      <c r="F45" s="9"/>
      <c r="G45" s="9" t="s">
        <v>62</v>
      </c>
      <c r="H45" s="9" t="s">
        <v>69</v>
      </c>
      <c r="I45" s="9" t="s">
        <v>70</v>
      </c>
      <c r="J45" s="9" t="s">
        <v>65</v>
      </c>
    </row>
    <row r="46" spans="1:10" x14ac:dyDescent="0.3">
      <c r="A46" s="10">
        <v>40544</v>
      </c>
      <c r="B46" s="11">
        <v>0.80583333333333351</v>
      </c>
      <c r="C46" s="11">
        <v>0.16044583333333329</v>
      </c>
      <c r="D46" s="11">
        <v>0.34416666666666673</v>
      </c>
      <c r="E46" s="11">
        <v>0.35983750000000003</v>
      </c>
      <c r="F46" s="9"/>
      <c r="G46" s="10">
        <v>40544</v>
      </c>
      <c r="H46" s="9">
        <v>331</v>
      </c>
      <c r="I46" s="9">
        <v>654</v>
      </c>
      <c r="J46" s="9">
        <v>985</v>
      </c>
    </row>
    <row r="47" spans="1:10" x14ac:dyDescent="0.3">
      <c r="A47" s="10">
        <v>40545</v>
      </c>
      <c r="B47" s="11">
        <v>0.69608695652173924</v>
      </c>
      <c r="C47" s="11">
        <v>0.24853913043478262</v>
      </c>
      <c r="D47" s="11">
        <v>0.36347826086956525</v>
      </c>
      <c r="E47" s="11">
        <v>0.35506086956521743</v>
      </c>
      <c r="F47" s="9"/>
      <c r="G47" s="10">
        <v>40545</v>
      </c>
      <c r="H47" s="9">
        <v>131</v>
      </c>
      <c r="I47" s="9">
        <v>670</v>
      </c>
      <c r="J47" s="9">
        <v>801</v>
      </c>
    </row>
    <row r="48" spans="1:10" x14ac:dyDescent="0.3">
      <c r="A48" s="10">
        <v>40546</v>
      </c>
      <c r="B48" s="11">
        <v>0.43727272727272726</v>
      </c>
      <c r="C48" s="11">
        <v>0.24830909090909081</v>
      </c>
      <c r="D48" s="11">
        <v>0.19636363636363632</v>
      </c>
      <c r="E48" s="11">
        <v>0.19215909090909095</v>
      </c>
      <c r="F48" s="9"/>
      <c r="G48" s="10">
        <v>40546</v>
      </c>
      <c r="H48" s="9">
        <v>120</v>
      </c>
      <c r="I48" s="9">
        <v>1229</v>
      </c>
      <c r="J48" s="9">
        <v>1349</v>
      </c>
    </row>
    <row r="49" spans="1:10" x14ac:dyDescent="0.3">
      <c r="A49" s="10">
        <v>40547</v>
      </c>
      <c r="B49" s="11">
        <v>0.59043478260869575</v>
      </c>
      <c r="C49" s="11">
        <v>0.16029565217391301</v>
      </c>
      <c r="D49" s="11">
        <v>0.19999999999999998</v>
      </c>
      <c r="E49" s="11">
        <v>0.2134391304347826</v>
      </c>
      <c r="F49" s="9"/>
      <c r="G49" s="10">
        <v>40547</v>
      </c>
      <c r="H49" s="9">
        <v>108</v>
      </c>
      <c r="I49" s="9">
        <v>1454</v>
      </c>
      <c r="J49" s="9">
        <v>1562</v>
      </c>
    </row>
    <row r="50" spans="1:10" x14ac:dyDescent="0.3">
      <c r="A50" s="10">
        <v>40548</v>
      </c>
      <c r="B50" s="11">
        <v>0.43695652173913052</v>
      </c>
      <c r="C50" s="11">
        <v>0.18690000000000001</v>
      </c>
      <c r="D50" s="11">
        <v>0.22695652173913042</v>
      </c>
      <c r="E50" s="11">
        <v>0.22926956521739131</v>
      </c>
      <c r="F50" s="9"/>
      <c r="G50" s="10">
        <v>40548</v>
      </c>
      <c r="H50" s="9">
        <v>82</v>
      </c>
      <c r="I50" s="9">
        <v>1518</v>
      </c>
      <c r="J50" s="9">
        <v>1600</v>
      </c>
    </row>
    <row r="51" spans="1:10" x14ac:dyDescent="0.3">
      <c r="A51" s="10">
        <v>40549</v>
      </c>
      <c r="B51" s="11">
        <v>0.51826086956521744</v>
      </c>
      <c r="C51" s="11">
        <v>8.9565217391304353E-2</v>
      </c>
      <c r="D51" s="11">
        <v>0.20434782608695654</v>
      </c>
      <c r="E51" s="11">
        <v>0.23320869565217398</v>
      </c>
      <c r="F51" s="9"/>
      <c r="G51" s="10">
        <v>40549</v>
      </c>
      <c r="H51" s="9">
        <v>88</v>
      </c>
      <c r="I51" s="9">
        <v>1518</v>
      </c>
      <c r="J51" s="9">
        <v>1606</v>
      </c>
    </row>
    <row r="52" spans="1:10" x14ac:dyDescent="0.3">
      <c r="A52" s="10">
        <v>40550</v>
      </c>
      <c r="B52" s="11">
        <v>0.4986956521739131</v>
      </c>
      <c r="C52" s="11">
        <v>0.16872608695652172</v>
      </c>
      <c r="D52" s="11">
        <v>0.19652173913043483</v>
      </c>
      <c r="E52" s="11">
        <v>0.20883913043478261</v>
      </c>
      <c r="F52" s="9"/>
      <c r="G52" s="10">
        <v>40550</v>
      </c>
      <c r="H52" s="9">
        <v>148</v>
      </c>
      <c r="I52" s="9">
        <v>1362</v>
      </c>
      <c r="J52" s="9">
        <v>1510</v>
      </c>
    </row>
    <row r="53" spans="1:10" x14ac:dyDescent="0.3">
      <c r="A53" s="10">
        <v>40551</v>
      </c>
      <c r="B53" s="11">
        <v>0.53583333333333327</v>
      </c>
      <c r="C53" s="11">
        <v>0.26680416666666668</v>
      </c>
      <c r="D53" s="11">
        <v>0.16500000000000006</v>
      </c>
      <c r="E53" s="11">
        <v>0.16225416666666667</v>
      </c>
      <c r="F53" s="9"/>
      <c r="G53" s="10">
        <v>40551</v>
      </c>
      <c r="H53" s="9">
        <v>68</v>
      </c>
      <c r="I53" s="9">
        <v>891</v>
      </c>
      <c r="J53" s="9">
        <v>959</v>
      </c>
    </row>
    <row r="54" spans="1:10" x14ac:dyDescent="0.3">
      <c r="A54" s="10">
        <v>40552</v>
      </c>
      <c r="B54" s="11">
        <v>0.43416666666666681</v>
      </c>
      <c r="C54" s="11">
        <v>0.36195000000000005</v>
      </c>
      <c r="D54" s="11">
        <v>0.13833333333333339</v>
      </c>
      <c r="E54" s="11">
        <v>0.11617500000000003</v>
      </c>
      <c r="F54" s="9"/>
      <c r="G54" s="10">
        <v>40552</v>
      </c>
      <c r="H54" s="9">
        <v>54</v>
      </c>
      <c r="I54" s="9">
        <v>768</v>
      </c>
      <c r="J54" s="9">
        <v>822</v>
      </c>
    </row>
    <row r="55" spans="1:10" x14ac:dyDescent="0.3">
      <c r="A55" s="10">
        <v>40553</v>
      </c>
      <c r="B55" s="11">
        <v>0.48291666666666672</v>
      </c>
      <c r="C55" s="11">
        <v>0.22326666666666661</v>
      </c>
      <c r="D55" s="11">
        <v>0.1508333333333334</v>
      </c>
      <c r="E55" s="11">
        <v>0.15088750000000001</v>
      </c>
      <c r="F55" s="9"/>
      <c r="G55" s="10">
        <v>40553</v>
      </c>
      <c r="H55" s="9">
        <v>41</v>
      </c>
      <c r="I55" s="9">
        <v>1280</v>
      </c>
      <c r="J55" s="9">
        <v>1321</v>
      </c>
    </row>
    <row r="56" spans="1:10" x14ac:dyDescent="0.3">
      <c r="A56" s="10">
        <v>40554</v>
      </c>
      <c r="B56" s="11">
        <v>0.68636363636363618</v>
      </c>
      <c r="C56" s="11">
        <v>0.12213181818181815</v>
      </c>
      <c r="D56" s="11">
        <v>0.16909090909090915</v>
      </c>
      <c r="E56" s="11">
        <v>0.19146363636363636</v>
      </c>
      <c r="F56" s="9"/>
      <c r="G56" s="10">
        <v>40554</v>
      </c>
      <c r="H56" s="9">
        <v>43</v>
      </c>
      <c r="I56" s="9">
        <v>1220</v>
      </c>
      <c r="J56" s="9">
        <v>1263</v>
      </c>
    </row>
    <row r="57" spans="1:10" x14ac:dyDescent="0.3">
      <c r="A57" s="10">
        <v>40555</v>
      </c>
      <c r="B57" s="11">
        <v>0.59954545454545471</v>
      </c>
      <c r="C57" s="11">
        <v>0.3046272727272728</v>
      </c>
      <c r="D57" s="11">
        <v>0.17272727272727278</v>
      </c>
      <c r="E57" s="11">
        <v>0.16047272727272729</v>
      </c>
      <c r="F57" s="9"/>
      <c r="G57" s="10">
        <v>40555</v>
      </c>
      <c r="H57" s="9">
        <v>25</v>
      </c>
      <c r="I57" s="9">
        <v>1137</v>
      </c>
      <c r="J57" s="9">
        <v>1162</v>
      </c>
    </row>
    <row r="58" spans="1:10" x14ac:dyDescent="0.3">
      <c r="A58" s="10">
        <v>40556</v>
      </c>
      <c r="B58" s="11">
        <v>0.47041666666666687</v>
      </c>
      <c r="C58" s="11">
        <v>0.30099999999999999</v>
      </c>
      <c r="D58" s="11">
        <v>0.16500000000000006</v>
      </c>
      <c r="E58" s="11">
        <v>0.15088333333333334</v>
      </c>
      <c r="F58" s="9"/>
      <c r="G58" s="10">
        <v>40556</v>
      </c>
      <c r="H58" s="9">
        <v>38</v>
      </c>
      <c r="I58" s="9">
        <v>1368</v>
      </c>
      <c r="J58" s="9">
        <v>1406</v>
      </c>
    </row>
    <row r="59" spans="1:10" x14ac:dyDescent="0.3">
      <c r="A59" s="10">
        <v>40557</v>
      </c>
      <c r="B59" s="11">
        <v>0.53782608695652179</v>
      </c>
      <c r="C59" s="11">
        <v>0.12654782608695653</v>
      </c>
      <c r="D59" s="11">
        <v>0.16086956521739135</v>
      </c>
      <c r="E59" s="11">
        <v>0.18841304347826088</v>
      </c>
      <c r="F59" s="9"/>
      <c r="G59" s="10">
        <v>40557</v>
      </c>
      <c r="H59" s="9">
        <v>54</v>
      </c>
      <c r="I59" s="9">
        <v>1367</v>
      </c>
      <c r="J59" s="9">
        <v>1421</v>
      </c>
    </row>
    <row r="60" spans="1:10" x14ac:dyDescent="0.3">
      <c r="A60" s="10">
        <v>40558</v>
      </c>
      <c r="B60" s="11">
        <v>0.49874999999999997</v>
      </c>
      <c r="C60" s="11">
        <v>0.15796249999999995</v>
      </c>
      <c r="D60" s="11">
        <v>0.23333333333333331</v>
      </c>
      <c r="E60" s="11">
        <v>0.24811249999999999</v>
      </c>
      <c r="F60" s="9"/>
      <c r="G60" s="10">
        <v>40558</v>
      </c>
      <c r="H60" s="9">
        <v>222</v>
      </c>
      <c r="I60" s="9">
        <v>1026</v>
      </c>
      <c r="J60" s="9">
        <v>1248</v>
      </c>
    </row>
    <row r="61" spans="1:10" x14ac:dyDescent="0.3">
      <c r="A61" s="10">
        <v>40559</v>
      </c>
      <c r="B61" s="11">
        <v>0.48375000000000012</v>
      </c>
      <c r="C61" s="11">
        <v>0.18843333333333331</v>
      </c>
      <c r="D61" s="11">
        <v>0.23166666666666669</v>
      </c>
      <c r="E61" s="11">
        <v>0.23421666666666671</v>
      </c>
      <c r="F61" s="9"/>
      <c r="G61" s="10">
        <v>40559</v>
      </c>
      <c r="H61" s="9">
        <v>251</v>
      </c>
      <c r="I61" s="9">
        <v>953</v>
      </c>
      <c r="J61" s="9">
        <v>1204</v>
      </c>
    </row>
    <row r="62" spans="1:10" x14ac:dyDescent="0.3">
      <c r="A62" s="10">
        <v>40560</v>
      </c>
      <c r="B62" s="11">
        <v>0.53749999999999998</v>
      </c>
      <c r="C62" s="11">
        <v>0.19401666666666664</v>
      </c>
      <c r="D62" s="11">
        <v>0.1758333333333334</v>
      </c>
      <c r="E62" s="11">
        <v>0.17677083333333335</v>
      </c>
      <c r="F62" s="9"/>
      <c r="G62" s="10">
        <v>40560</v>
      </c>
      <c r="H62" s="9">
        <v>117</v>
      </c>
      <c r="I62" s="9">
        <v>883</v>
      </c>
      <c r="J62" s="9">
        <v>1000</v>
      </c>
    </row>
    <row r="63" spans="1:10" x14ac:dyDescent="0.3">
      <c r="A63" s="10">
        <v>40561</v>
      </c>
      <c r="B63" s="11">
        <v>0.86166666666666669</v>
      </c>
      <c r="C63" s="11">
        <v>0.14677500000000002</v>
      </c>
      <c r="D63" s="11">
        <v>0.2166666666666667</v>
      </c>
      <c r="E63" s="11">
        <v>0.23233333333333336</v>
      </c>
      <c r="F63" s="9"/>
      <c r="G63" s="10">
        <v>40561</v>
      </c>
      <c r="H63" s="9">
        <v>9</v>
      </c>
      <c r="I63" s="9">
        <v>674</v>
      </c>
      <c r="J63" s="9">
        <v>683</v>
      </c>
    </row>
    <row r="64" spans="1:10" x14ac:dyDescent="0.3">
      <c r="A64" s="10">
        <v>40562</v>
      </c>
      <c r="B64" s="11">
        <v>0.74173913043478235</v>
      </c>
      <c r="C64" s="11">
        <v>0.20831739130434784</v>
      </c>
      <c r="D64" s="11">
        <v>0.29217391304347828</v>
      </c>
      <c r="E64" s="11">
        <v>0.29842173913043479</v>
      </c>
      <c r="F64" s="9"/>
      <c r="G64" s="10">
        <v>40562</v>
      </c>
      <c r="H64" s="9">
        <v>78</v>
      </c>
      <c r="I64" s="9">
        <v>1572</v>
      </c>
      <c r="J64" s="9">
        <v>1650</v>
      </c>
    </row>
    <row r="65" spans="1:10" x14ac:dyDescent="0.3">
      <c r="A65" s="10">
        <v>40563</v>
      </c>
      <c r="B65" s="11">
        <v>0.53833333333333344</v>
      </c>
      <c r="C65" s="11">
        <v>0.19590416666666666</v>
      </c>
      <c r="D65" s="11">
        <v>0.26166666666666666</v>
      </c>
      <c r="E65" s="11">
        <v>0.25505</v>
      </c>
      <c r="F65" s="9"/>
      <c r="G65" s="10">
        <v>40563</v>
      </c>
      <c r="H65" s="9">
        <v>83</v>
      </c>
      <c r="I65" s="9">
        <v>1844</v>
      </c>
      <c r="J65" s="9">
        <v>1927</v>
      </c>
    </row>
    <row r="66" spans="1:10" x14ac:dyDescent="0.3">
      <c r="A66" s="10">
        <v>40564</v>
      </c>
      <c r="B66" s="11">
        <v>0.45708333333333345</v>
      </c>
      <c r="C66" s="11">
        <v>0.35324166666666668</v>
      </c>
      <c r="D66" s="11">
        <v>0.17750000000000002</v>
      </c>
      <c r="E66" s="11">
        <v>0.15783333333333335</v>
      </c>
      <c r="F66" s="9"/>
      <c r="G66" s="10">
        <v>40564</v>
      </c>
      <c r="H66" s="9">
        <v>75</v>
      </c>
      <c r="I66" s="9">
        <v>1468</v>
      </c>
      <c r="J66" s="9">
        <v>1543</v>
      </c>
    </row>
    <row r="67" spans="1:10" x14ac:dyDescent="0.3">
      <c r="A67" s="10">
        <v>40565</v>
      </c>
      <c r="B67" s="11">
        <v>0.39999999999999997</v>
      </c>
      <c r="C67" s="11">
        <v>0.17196956521739129</v>
      </c>
      <c r="D67" s="11">
        <v>5.9130434782608703E-2</v>
      </c>
      <c r="E67" s="11">
        <v>7.9069565217391308E-2</v>
      </c>
      <c r="F67" s="9"/>
      <c r="G67" s="10">
        <v>40565</v>
      </c>
      <c r="H67" s="9">
        <v>93</v>
      </c>
      <c r="I67" s="9">
        <v>888</v>
      </c>
      <c r="J67" s="9">
        <v>981</v>
      </c>
    </row>
    <row r="68" spans="1:10" x14ac:dyDescent="0.3">
      <c r="A68" s="10">
        <v>40566</v>
      </c>
      <c r="B68" s="11">
        <v>0.43652173913043485</v>
      </c>
      <c r="C68" s="11">
        <v>0.24660000000000004</v>
      </c>
      <c r="D68" s="11">
        <v>9.6521739130434797E-2</v>
      </c>
      <c r="E68" s="11">
        <v>9.8839130434782624E-2</v>
      </c>
      <c r="F68" s="9"/>
      <c r="G68" s="10">
        <v>40566</v>
      </c>
      <c r="H68" s="9">
        <v>150</v>
      </c>
      <c r="I68" s="9">
        <v>836</v>
      </c>
      <c r="J68" s="9">
        <v>986</v>
      </c>
    </row>
    <row r="69" spans="1:10" x14ac:dyDescent="0.3">
      <c r="A69" s="10">
        <v>40567</v>
      </c>
      <c r="B69" s="11">
        <v>0.49173913043478273</v>
      </c>
      <c r="C69" s="11">
        <v>0.15833043478260866</v>
      </c>
      <c r="D69" s="11">
        <v>9.7391304347826113E-2</v>
      </c>
      <c r="E69" s="11">
        <v>0.11793043478260871</v>
      </c>
      <c r="F69" s="9"/>
      <c r="G69" s="10">
        <v>40567</v>
      </c>
      <c r="H69" s="9">
        <v>86</v>
      </c>
      <c r="I69" s="9">
        <v>1330</v>
      </c>
      <c r="J69" s="9">
        <v>1416</v>
      </c>
    </row>
    <row r="70" spans="1:10" x14ac:dyDescent="0.3">
      <c r="A70" s="10">
        <v>40568</v>
      </c>
      <c r="B70" s="11">
        <v>0.61695652173913051</v>
      </c>
      <c r="C70" s="11">
        <v>0.12979565217391303</v>
      </c>
      <c r="D70" s="11">
        <v>0.22347826086956515</v>
      </c>
      <c r="E70" s="11">
        <v>0.23452608695652166</v>
      </c>
      <c r="F70" s="9"/>
      <c r="G70" s="10">
        <v>40568</v>
      </c>
      <c r="H70" s="9">
        <v>186</v>
      </c>
      <c r="I70" s="9">
        <v>1799</v>
      </c>
      <c r="J70" s="9">
        <v>1985</v>
      </c>
    </row>
    <row r="71" spans="1:10" x14ac:dyDescent="0.3">
      <c r="A71" s="10">
        <v>40569</v>
      </c>
      <c r="B71" s="11">
        <v>0.86249999999999982</v>
      </c>
      <c r="C71" s="11">
        <v>0.29385000000000006</v>
      </c>
      <c r="D71" s="11">
        <v>0.21750000000000005</v>
      </c>
      <c r="E71" s="11">
        <v>0.2036</v>
      </c>
      <c r="F71" s="9"/>
      <c r="G71" s="10">
        <v>40569</v>
      </c>
      <c r="H71" s="9">
        <v>34</v>
      </c>
      <c r="I71" s="9">
        <v>472</v>
      </c>
      <c r="J71" s="9">
        <v>506</v>
      </c>
    </row>
    <row r="72" spans="1:10" x14ac:dyDescent="0.3">
      <c r="A72" s="10">
        <v>40570</v>
      </c>
      <c r="B72" s="11">
        <v>0.6875</v>
      </c>
      <c r="C72" s="11">
        <v>0.11383750000000001</v>
      </c>
      <c r="D72" s="11">
        <v>0.19499999999999998</v>
      </c>
      <c r="E72" s="11">
        <v>0.21970000000000001</v>
      </c>
      <c r="F72" s="9"/>
      <c r="G72" s="10">
        <v>40570</v>
      </c>
      <c r="H72" s="9">
        <v>15</v>
      </c>
      <c r="I72" s="9">
        <v>416</v>
      </c>
      <c r="J72" s="9">
        <v>431</v>
      </c>
    </row>
    <row r="73" spans="1:10" x14ac:dyDescent="0.3">
      <c r="A73" s="10">
        <v>40571</v>
      </c>
      <c r="B73" s="11">
        <v>0.83266666666666667</v>
      </c>
      <c r="C73" s="11">
        <v>9.7526666666666678E-2</v>
      </c>
      <c r="D73" s="11">
        <v>0.18666666666666668</v>
      </c>
      <c r="E73" s="11">
        <v>0.21716666666666667</v>
      </c>
      <c r="F73" s="9"/>
      <c r="G73" s="10">
        <v>40571</v>
      </c>
      <c r="H73" s="9">
        <v>16</v>
      </c>
      <c r="I73" s="9">
        <v>555</v>
      </c>
      <c r="J73" s="9">
        <v>571</v>
      </c>
    </row>
    <row r="74" spans="1:10" x14ac:dyDescent="0.3">
      <c r="A74" s="3" t="s">
        <v>63</v>
      </c>
      <c r="B74" s="4">
        <v>0.56247540983606703</v>
      </c>
      <c r="C74" s="4">
        <v>0.20485098360655737</v>
      </c>
      <c r="D74" s="4">
        <v>0.19688524590163942</v>
      </c>
      <c r="E74" s="4">
        <v>0.20201754098360675</v>
      </c>
      <c r="G74" s="3" t="s">
        <v>63</v>
      </c>
      <c r="H74" s="2">
        <v>2746</v>
      </c>
      <c r="I74" s="2">
        <v>31152</v>
      </c>
      <c r="J74" s="2">
        <v>33898</v>
      </c>
    </row>
    <row r="77" spans="1:10" x14ac:dyDescent="0.3">
      <c r="A77" s="9" t="s">
        <v>62</v>
      </c>
      <c r="B77" s="9" t="s">
        <v>65</v>
      </c>
    </row>
    <row r="78" spans="1:10" x14ac:dyDescent="0.3">
      <c r="A78" s="12" t="s">
        <v>47</v>
      </c>
      <c r="B78" s="9">
        <v>9912</v>
      </c>
    </row>
    <row r="79" spans="1:10" x14ac:dyDescent="0.3">
      <c r="A79" s="12" t="s">
        <v>50</v>
      </c>
      <c r="B79" s="9">
        <v>10386</v>
      </c>
    </row>
    <row r="80" spans="1:10" x14ac:dyDescent="0.3">
      <c r="A80" s="12" t="s">
        <v>42</v>
      </c>
      <c r="B80" s="9">
        <v>10139</v>
      </c>
    </row>
    <row r="81" spans="1:2" x14ac:dyDescent="0.3">
      <c r="A81" s="12" t="s">
        <v>32</v>
      </c>
      <c r="B81" s="9">
        <v>3461</v>
      </c>
    </row>
    <row r="82" spans="1:2" x14ac:dyDescent="0.3">
      <c r="A82" s="5" t="s">
        <v>63</v>
      </c>
      <c r="B82" s="2">
        <v>33898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AA87B-C258-482A-B8F3-3BBB0FC331D9}">
  <dimension ref="A22:E64"/>
  <sheetViews>
    <sheetView workbookViewId="0">
      <selection activeCell="O1" sqref="O1"/>
    </sheetView>
  </sheetViews>
  <sheetFormatPr defaultRowHeight="14.4" x14ac:dyDescent="0.3"/>
  <cols>
    <col min="1" max="1" width="10.33203125" bestFit="1" customWidth="1"/>
    <col min="2" max="2" width="15.6640625" customWidth="1"/>
    <col min="3" max="3" width="24" customWidth="1"/>
    <col min="4" max="4" width="38.109375" customWidth="1"/>
    <col min="5" max="5" width="38.21875" customWidth="1"/>
  </cols>
  <sheetData>
    <row r="22" spans="1:5" x14ac:dyDescent="0.3">
      <c r="A22" t="s">
        <v>1</v>
      </c>
      <c r="B22" t="s">
        <v>13</v>
      </c>
      <c r="C22" t="s">
        <v>71</v>
      </c>
      <c r="D22" t="s">
        <v>72</v>
      </c>
      <c r="E22" t="s">
        <v>73</v>
      </c>
    </row>
    <row r="23" spans="1:5" x14ac:dyDescent="0.3">
      <c r="A23" s="1">
        <v>40544</v>
      </c>
      <c r="B23" s="6">
        <v>41.041666666666664</v>
      </c>
    </row>
    <row r="24" spans="1:5" x14ac:dyDescent="0.3">
      <c r="A24" s="1">
        <v>40545</v>
      </c>
      <c r="B24" s="6">
        <v>34.826086956521742</v>
      </c>
    </row>
    <row r="25" spans="1:5" x14ac:dyDescent="0.3">
      <c r="A25" s="1">
        <v>40546</v>
      </c>
      <c r="B25" s="6">
        <v>61.31818181818182</v>
      </c>
    </row>
    <row r="26" spans="1:5" x14ac:dyDescent="0.3">
      <c r="A26" s="1">
        <v>40547</v>
      </c>
      <c r="B26" s="6">
        <v>67.913043478260875</v>
      </c>
    </row>
    <row r="27" spans="1:5" x14ac:dyDescent="0.3">
      <c r="A27" s="1">
        <v>40548</v>
      </c>
      <c r="B27" s="6">
        <v>69.565217391304344</v>
      </c>
    </row>
    <row r="28" spans="1:5" x14ac:dyDescent="0.3">
      <c r="A28" s="1">
        <v>40549</v>
      </c>
      <c r="B28" s="6">
        <v>69.826086956521735</v>
      </c>
    </row>
    <row r="29" spans="1:5" x14ac:dyDescent="0.3">
      <c r="A29" s="1">
        <v>40550</v>
      </c>
      <c r="B29" s="6">
        <v>65.652173913043484</v>
      </c>
    </row>
    <row r="30" spans="1:5" x14ac:dyDescent="0.3">
      <c r="A30" s="1">
        <v>40551</v>
      </c>
      <c r="B30" s="6">
        <v>39.958333333333336</v>
      </c>
    </row>
    <row r="31" spans="1:5" x14ac:dyDescent="0.3">
      <c r="A31" s="1">
        <v>40552</v>
      </c>
      <c r="B31" s="6">
        <v>34.25</v>
      </c>
    </row>
    <row r="32" spans="1:5" x14ac:dyDescent="0.3">
      <c r="A32" s="1">
        <v>40553</v>
      </c>
      <c r="B32" s="6">
        <v>55.041666666666664</v>
      </c>
    </row>
    <row r="33" spans="1:2" x14ac:dyDescent="0.3">
      <c r="A33" s="1">
        <v>40554</v>
      </c>
      <c r="B33" s="6">
        <v>57.409090909090907</v>
      </c>
    </row>
    <row r="34" spans="1:2" x14ac:dyDescent="0.3">
      <c r="A34" s="1">
        <v>40555</v>
      </c>
      <c r="B34" s="6">
        <v>52.81818181818182</v>
      </c>
    </row>
    <row r="35" spans="1:2" x14ac:dyDescent="0.3">
      <c r="A35" s="1">
        <v>40556</v>
      </c>
      <c r="B35" s="6">
        <v>58.583333333333336</v>
      </c>
    </row>
    <row r="36" spans="1:2" x14ac:dyDescent="0.3">
      <c r="A36" s="1">
        <v>40557</v>
      </c>
      <c r="B36" s="6">
        <v>61.782608695652172</v>
      </c>
    </row>
    <row r="37" spans="1:2" x14ac:dyDescent="0.3">
      <c r="A37" s="1">
        <v>40558</v>
      </c>
      <c r="B37" s="6">
        <v>52</v>
      </c>
    </row>
    <row r="38" spans="1:2" x14ac:dyDescent="0.3">
      <c r="A38" s="1">
        <v>40559</v>
      </c>
      <c r="B38" s="6">
        <v>50.166666666666664</v>
      </c>
    </row>
    <row r="39" spans="1:2" x14ac:dyDescent="0.3">
      <c r="A39" s="1">
        <v>40560</v>
      </c>
      <c r="B39" s="6">
        <v>41.666666666666664</v>
      </c>
    </row>
    <row r="40" spans="1:2" x14ac:dyDescent="0.3">
      <c r="A40" s="1">
        <v>40561</v>
      </c>
      <c r="B40" s="6">
        <v>56.916666666666664</v>
      </c>
    </row>
    <row r="41" spans="1:2" x14ac:dyDescent="0.3">
      <c r="A41" s="1">
        <v>40562</v>
      </c>
      <c r="B41" s="6">
        <v>71.739130434782609</v>
      </c>
    </row>
    <row r="42" spans="1:2" x14ac:dyDescent="0.3">
      <c r="A42" s="1">
        <v>40563</v>
      </c>
      <c r="B42" s="6">
        <v>80.291666666666671</v>
      </c>
    </row>
    <row r="43" spans="1:2" x14ac:dyDescent="0.3">
      <c r="A43" s="1">
        <v>40564</v>
      </c>
      <c r="B43" s="6">
        <v>64.291666666666671</v>
      </c>
    </row>
    <row r="44" spans="1:2" x14ac:dyDescent="0.3">
      <c r="A44" s="1">
        <v>40565</v>
      </c>
      <c r="B44" s="6">
        <v>42.652173913043477</v>
      </c>
    </row>
    <row r="45" spans="1:2" x14ac:dyDescent="0.3">
      <c r="A45" s="1">
        <v>40566</v>
      </c>
      <c r="B45" s="6">
        <v>42.869565217391305</v>
      </c>
    </row>
    <row r="46" spans="1:2" x14ac:dyDescent="0.3">
      <c r="A46" s="1">
        <v>40567</v>
      </c>
      <c r="B46" s="6">
        <v>61.565217391304351</v>
      </c>
    </row>
    <row r="47" spans="1:2" x14ac:dyDescent="0.3">
      <c r="A47" s="1">
        <v>40568</v>
      </c>
      <c r="B47" s="6">
        <v>86.304347826086953</v>
      </c>
    </row>
    <row r="48" spans="1:2" x14ac:dyDescent="0.3">
      <c r="A48" s="1">
        <v>40569</v>
      </c>
      <c r="B48" s="6">
        <v>31.625</v>
      </c>
    </row>
    <row r="49" spans="1:5" x14ac:dyDescent="0.3">
      <c r="A49" s="1">
        <v>40570</v>
      </c>
      <c r="B49" s="6">
        <v>53.875</v>
      </c>
    </row>
    <row r="50" spans="1:5" x14ac:dyDescent="0.3">
      <c r="A50" s="1">
        <v>40571</v>
      </c>
      <c r="B50" s="6">
        <v>38.06666666666667</v>
      </c>
      <c r="C50" s="6">
        <v>38.06666666666667</v>
      </c>
      <c r="D50" s="6">
        <v>38.06666666666667</v>
      </c>
      <c r="E50" s="6">
        <v>38.06666666666667</v>
      </c>
    </row>
    <row r="51" spans="1:5" x14ac:dyDescent="0.3">
      <c r="A51" s="1">
        <v>40572</v>
      </c>
      <c r="C51" s="6">
        <f t="shared" ref="C51:C64" si="0">_xlfn.FORECAST.ETS(A51,$B$23:$B$50,$A$23:$A$50,1,1)</f>
        <v>40.024790724090145</v>
      </c>
      <c r="D51" s="6">
        <f t="shared" ref="D51:D64" si="1">C51-_xlfn.FORECAST.ETS.CONFINT(A51,$B$23:$B$50,$A$23:$A$50,0.95,1,1)</f>
        <v>17.444044283269577</v>
      </c>
      <c r="E51" s="6">
        <f t="shared" ref="E51:E64" si="2">C51+_xlfn.FORECAST.ETS.CONFINT(A51,$B$23:$B$50,$A$23:$A$50,0.95,1,1)</f>
        <v>62.605537164910714</v>
      </c>
    </row>
    <row r="52" spans="1:5" x14ac:dyDescent="0.3">
      <c r="A52" s="1">
        <v>40573</v>
      </c>
      <c r="C52" s="6">
        <f t="shared" si="0"/>
        <v>35.874001603077829</v>
      </c>
      <c r="D52" s="6">
        <f t="shared" si="1"/>
        <v>13.111881152513643</v>
      </c>
      <c r="E52" s="6">
        <f t="shared" si="2"/>
        <v>58.636122053642012</v>
      </c>
    </row>
    <row r="53" spans="1:5" x14ac:dyDescent="0.3">
      <c r="A53" s="1">
        <v>40574</v>
      </c>
      <c r="C53" s="6">
        <f t="shared" si="0"/>
        <v>52.697995185828823</v>
      </c>
      <c r="D53" s="6">
        <f t="shared" si="1"/>
        <v>29.753101048671443</v>
      </c>
      <c r="E53" s="6">
        <f t="shared" si="2"/>
        <v>75.642889322986207</v>
      </c>
    </row>
    <row r="54" spans="1:5" x14ac:dyDescent="0.3">
      <c r="A54" s="1">
        <v>40575</v>
      </c>
      <c r="C54" s="6">
        <f t="shared" si="0"/>
        <v>56.548798521377336</v>
      </c>
      <c r="D54" s="6">
        <f t="shared" si="1"/>
        <v>33.419742157510029</v>
      </c>
      <c r="E54" s="6">
        <f t="shared" si="2"/>
        <v>79.677854885244642</v>
      </c>
    </row>
    <row r="55" spans="1:5" x14ac:dyDescent="0.3">
      <c r="A55" s="1">
        <v>40576</v>
      </c>
      <c r="C55" s="6">
        <f t="shared" si="0"/>
        <v>54.010119527889771</v>
      </c>
      <c r="D55" s="6">
        <f t="shared" si="1"/>
        <v>30.695523431474395</v>
      </c>
      <c r="E55" s="6">
        <f t="shared" si="2"/>
        <v>77.324715624305142</v>
      </c>
    </row>
    <row r="56" spans="1:5" x14ac:dyDescent="0.3">
      <c r="A56" s="1">
        <v>40577</v>
      </c>
      <c r="C56" s="6">
        <f t="shared" si="0"/>
        <v>57.339428082721284</v>
      </c>
      <c r="D56" s="6">
        <f t="shared" si="1"/>
        <v>33.837925677264572</v>
      </c>
      <c r="E56" s="6">
        <f t="shared" si="2"/>
        <v>80.840930488178003</v>
      </c>
    </row>
    <row r="57" spans="1:5" x14ac:dyDescent="0.3">
      <c r="A57" s="1">
        <v>40578</v>
      </c>
      <c r="C57" s="6">
        <f t="shared" si="0"/>
        <v>56.006038105996709</v>
      </c>
      <c r="D57" s="6">
        <f t="shared" si="1"/>
        <v>32.316273637195593</v>
      </c>
      <c r="E57" s="6">
        <f t="shared" si="2"/>
        <v>79.695802574797824</v>
      </c>
    </row>
    <row r="58" spans="1:5" x14ac:dyDescent="0.3">
      <c r="A58" s="1">
        <v>40579</v>
      </c>
      <c r="C58" s="6">
        <f t="shared" si="0"/>
        <v>38.785363455111067</v>
      </c>
      <c r="D58" s="6">
        <f t="shared" si="1"/>
        <v>14.9031414605126</v>
      </c>
      <c r="E58" s="6">
        <f t="shared" si="2"/>
        <v>62.667585449709534</v>
      </c>
    </row>
    <row r="59" spans="1:5" x14ac:dyDescent="0.3">
      <c r="A59" s="1">
        <v>40580</v>
      </c>
      <c r="C59" s="6">
        <f t="shared" si="0"/>
        <v>34.634574334098751</v>
      </c>
      <c r="D59" s="6">
        <f t="shared" si="1"/>
        <v>10.561433404604443</v>
      </c>
      <c r="E59" s="6">
        <f t="shared" si="2"/>
        <v>58.707715263593059</v>
      </c>
    </row>
    <row r="60" spans="1:5" x14ac:dyDescent="0.3">
      <c r="A60" s="1">
        <v>40581</v>
      </c>
      <c r="C60" s="6">
        <f t="shared" si="0"/>
        <v>51.458567916849738</v>
      </c>
      <c r="D60" s="6">
        <f t="shared" si="1"/>
        <v>27.193183900460301</v>
      </c>
      <c r="E60" s="6">
        <f t="shared" si="2"/>
        <v>75.723951933239178</v>
      </c>
    </row>
    <row r="61" spans="1:5" x14ac:dyDescent="0.3">
      <c r="A61" s="1">
        <v>40582</v>
      </c>
      <c r="C61" s="6">
        <f t="shared" si="0"/>
        <v>55.30937125239825</v>
      </c>
      <c r="D61" s="6">
        <f t="shared" si="1"/>
        <v>30.850430373158115</v>
      </c>
      <c r="E61" s="6">
        <f t="shared" si="2"/>
        <v>79.768312131638382</v>
      </c>
    </row>
    <row r="62" spans="1:5" x14ac:dyDescent="0.3">
      <c r="A62" s="1">
        <v>40583</v>
      </c>
      <c r="C62" s="6">
        <f t="shared" si="0"/>
        <v>52.770692258910692</v>
      </c>
      <c r="D62" s="6">
        <f t="shared" si="1"/>
        <v>28.116891002198518</v>
      </c>
      <c r="E62" s="6">
        <f t="shared" si="2"/>
        <v>77.424493515622871</v>
      </c>
    </row>
    <row r="63" spans="1:5" x14ac:dyDescent="0.3">
      <c r="A63" s="1">
        <v>40584</v>
      </c>
      <c r="C63" s="6">
        <f t="shared" si="0"/>
        <v>56.100000813742206</v>
      </c>
      <c r="D63" s="6">
        <f t="shared" si="1"/>
        <v>31.250045810624734</v>
      </c>
      <c r="E63" s="6">
        <f t="shared" si="2"/>
        <v>80.949955816859671</v>
      </c>
    </row>
    <row r="64" spans="1:5" x14ac:dyDescent="0.3">
      <c r="A64" s="1">
        <v>40585</v>
      </c>
      <c r="C64" s="6">
        <f t="shared" si="0"/>
        <v>54.76661083701763</v>
      </c>
      <c r="D64" s="6">
        <f t="shared" si="1"/>
        <v>29.719218747842262</v>
      </c>
      <c r="E64" s="6">
        <f t="shared" si="2"/>
        <v>79.814002926192998</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C9ED3E-3870-4EAD-B686-B91750FD53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Dataset_4</vt:lpstr>
      <vt:lpstr>Modified_Dataset_4</vt:lpstr>
      <vt:lpstr>Statistics</vt:lpstr>
      <vt:lpstr>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GAMERZONE</dc:creator>
  <cp:lastModifiedBy>Rajwin George</cp:lastModifiedBy>
  <dcterms:created xsi:type="dcterms:W3CDTF">2015-06-05T18:17:20Z</dcterms:created>
  <dcterms:modified xsi:type="dcterms:W3CDTF">2026-07-25T11:43:16Z</dcterms:modified>
</cp:coreProperties>
</file>