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HP\OneDrive\Desktop\Final\"/>
    </mc:Choice>
  </mc:AlternateContent>
  <xr:revisionPtr revIDLastSave="0" documentId="13_ncr:1_{61B3B399-E298-4FB4-A07B-C80F4D81E70A}" xr6:coauthVersionLast="47" xr6:coauthVersionMax="47" xr10:uidLastSave="{00000000-0000-0000-0000-000000000000}"/>
  <bookViews>
    <workbookView xWindow="-108" yWindow="-108" windowWidth="23256" windowHeight="12456" tabRatio="599" xr2:uid="{00000000-000D-0000-FFFF-FFFF00000000}"/>
  </bookViews>
  <sheets>
    <sheet name="Dataset_2" sheetId="2" r:id="rId1"/>
    <sheet name="Modified_Dataset_2" sheetId="1" r:id="rId2"/>
    <sheet name="Statistics" sheetId="3" r:id="rId3"/>
    <sheet name="Customer_Forecast" sheetId="9" r:id="rId4"/>
  </sheets>
  <definedNames>
    <definedName name="Slicer_assumed_temperature">#N/A</definedName>
  </definedNames>
  <calcPr calcId="191029"/>
  <pivotCaches>
    <pivotCache cacheId="22"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15" i="9" l="1"/>
  <c r="C623" i="9"/>
  <c r="C631" i="9"/>
  <c r="C639" i="9"/>
  <c r="C647" i="9"/>
  <c r="C655" i="9"/>
  <c r="C663" i="9"/>
  <c r="C616" i="9"/>
  <c r="C624" i="9"/>
  <c r="C632" i="9"/>
  <c r="C640" i="9"/>
  <c r="C648" i="9"/>
  <c r="C656" i="9"/>
  <c r="C664" i="9"/>
  <c r="C672" i="9"/>
  <c r="C680" i="9"/>
  <c r="C688" i="9"/>
  <c r="C696" i="9"/>
  <c r="C704" i="9"/>
  <c r="C712" i="9"/>
  <c r="C720" i="9"/>
  <c r="C728" i="9"/>
  <c r="C736" i="9"/>
  <c r="C744" i="9"/>
  <c r="C752" i="9"/>
  <c r="C760" i="9"/>
  <c r="C617" i="9"/>
  <c r="C625" i="9"/>
  <c r="C633" i="9"/>
  <c r="C641" i="9"/>
  <c r="C649" i="9"/>
  <c r="C657" i="9"/>
  <c r="C665" i="9"/>
  <c r="C673" i="9"/>
  <c r="C681" i="9"/>
  <c r="C689" i="9"/>
  <c r="C697" i="9"/>
  <c r="C705" i="9"/>
  <c r="C713" i="9"/>
  <c r="C721" i="9"/>
  <c r="C729" i="9"/>
  <c r="C737" i="9"/>
  <c r="C745" i="9"/>
  <c r="C753" i="9"/>
  <c r="C761" i="9"/>
  <c r="C618" i="9"/>
  <c r="C626" i="9"/>
  <c r="C634" i="9"/>
  <c r="C642" i="9"/>
  <c r="C650" i="9"/>
  <c r="C658" i="9"/>
  <c r="C666" i="9"/>
  <c r="C674" i="9"/>
  <c r="C682" i="9"/>
  <c r="C690" i="9"/>
  <c r="C698" i="9"/>
  <c r="C706" i="9"/>
  <c r="C714" i="9"/>
  <c r="C722" i="9"/>
  <c r="C730" i="9"/>
  <c r="C738" i="9"/>
  <c r="C746" i="9"/>
  <c r="C754" i="9"/>
  <c r="C762" i="9"/>
  <c r="C612" i="9"/>
  <c r="C636" i="9"/>
  <c r="C652" i="9"/>
  <c r="C668" i="9"/>
  <c r="C684" i="9"/>
  <c r="C708" i="9"/>
  <c r="C724" i="9"/>
  <c r="C732" i="9"/>
  <c r="C748" i="9"/>
  <c r="C764" i="9"/>
  <c r="C621" i="9"/>
  <c r="C629" i="9"/>
  <c r="C653" i="9"/>
  <c r="C669" i="9"/>
  <c r="C685" i="9"/>
  <c r="C701" i="9"/>
  <c r="C709" i="9"/>
  <c r="C733" i="9"/>
  <c r="C757" i="9"/>
  <c r="C619" i="9"/>
  <c r="C627" i="9"/>
  <c r="C635" i="9"/>
  <c r="C643" i="9"/>
  <c r="C651" i="9"/>
  <c r="C659" i="9"/>
  <c r="C667" i="9"/>
  <c r="C675" i="9"/>
  <c r="C683" i="9"/>
  <c r="C691" i="9"/>
  <c r="C699" i="9"/>
  <c r="C707" i="9"/>
  <c r="C715" i="9"/>
  <c r="C723" i="9"/>
  <c r="C731" i="9"/>
  <c r="C739" i="9"/>
  <c r="C747" i="9"/>
  <c r="C755" i="9"/>
  <c r="C763" i="9"/>
  <c r="C620" i="9"/>
  <c r="C628" i="9"/>
  <c r="C644" i="9"/>
  <c r="C660" i="9"/>
  <c r="C676" i="9"/>
  <c r="C692" i="9"/>
  <c r="C700" i="9"/>
  <c r="C716" i="9"/>
  <c r="C740" i="9"/>
  <c r="C756" i="9"/>
  <c r="C613" i="9"/>
  <c r="C637" i="9"/>
  <c r="C645" i="9"/>
  <c r="C661" i="9"/>
  <c r="C677" i="9"/>
  <c r="C693" i="9"/>
  <c r="C717" i="9"/>
  <c r="C725" i="9"/>
  <c r="C749" i="9"/>
  <c r="C614" i="9"/>
  <c r="C622" i="9"/>
  <c r="C678" i="9"/>
  <c r="C710" i="9"/>
  <c r="C741" i="9"/>
  <c r="C630" i="9"/>
  <c r="C679" i="9"/>
  <c r="C711" i="9"/>
  <c r="C742" i="9"/>
  <c r="C638" i="9"/>
  <c r="C686" i="9"/>
  <c r="C718" i="9"/>
  <c r="C743" i="9"/>
  <c r="C727" i="9"/>
  <c r="C646" i="9"/>
  <c r="C687" i="9"/>
  <c r="C719" i="9"/>
  <c r="C750" i="9"/>
  <c r="C695" i="9"/>
  <c r="C758" i="9"/>
  <c r="C654" i="9"/>
  <c r="C694" i="9"/>
  <c r="C726" i="9"/>
  <c r="C751" i="9"/>
  <c r="C662" i="9"/>
  <c r="C670" i="9"/>
  <c r="C702" i="9"/>
  <c r="C734" i="9"/>
  <c r="C759" i="9"/>
  <c r="C671" i="9"/>
  <c r="C703" i="9"/>
  <c r="C735" i="9"/>
  <c r="D735" i="9" l="1"/>
  <c r="E734" i="9"/>
  <c r="E758" i="9"/>
  <c r="D687" i="9"/>
  <c r="E718" i="9"/>
  <c r="D711" i="9"/>
  <c r="E749" i="9"/>
  <c r="E613" i="9"/>
  <c r="E644" i="9"/>
  <c r="D723" i="9"/>
  <c r="D691" i="9"/>
  <c r="D627" i="9"/>
  <c r="D653" i="9"/>
  <c r="E684" i="9"/>
  <c r="D738" i="9"/>
  <c r="E706" i="9"/>
  <c r="E642" i="9"/>
  <c r="D761" i="9"/>
  <c r="D697" i="9"/>
  <c r="D633" i="9"/>
  <c r="D720" i="9"/>
  <c r="D656" i="9"/>
  <c r="D647" i="9"/>
  <c r="E617" i="9"/>
  <c r="E663" i="9"/>
  <c r="E742" i="9"/>
  <c r="D741" i="9"/>
  <c r="D716" i="9"/>
  <c r="D699" i="9"/>
  <c r="D669" i="9"/>
  <c r="D682" i="9"/>
  <c r="D673" i="9"/>
  <c r="D664" i="9"/>
  <c r="E735" i="9"/>
  <c r="D734" i="9"/>
  <c r="E751" i="9"/>
  <c r="D758" i="9"/>
  <c r="E687" i="9"/>
  <c r="D718" i="9"/>
  <c r="E711" i="9"/>
  <c r="D710" i="9"/>
  <c r="D749" i="9"/>
  <c r="E677" i="9"/>
  <c r="D613" i="9"/>
  <c r="E700" i="9"/>
  <c r="D644" i="9"/>
  <c r="E755" i="9"/>
  <c r="E723" i="9"/>
  <c r="E691" i="9"/>
  <c r="E659" i="9"/>
  <c r="E627" i="9"/>
  <c r="E709" i="9"/>
  <c r="E653" i="9"/>
  <c r="D748" i="9"/>
  <c r="D684" i="9"/>
  <c r="E612" i="9"/>
  <c r="E738" i="9"/>
  <c r="D706" i="9"/>
  <c r="D674" i="9"/>
  <c r="D642" i="9"/>
  <c r="E761" i="9"/>
  <c r="E729" i="9"/>
  <c r="E697" i="9"/>
  <c r="E665" i="9"/>
  <c r="E633" i="9"/>
  <c r="E752" i="9"/>
  <c r="E720" i="9"/>
  <c r="E688" i="9"/>
  <c r="E656" i="9"/>
  <c r="E624" i="9"/>
  <c r="E647" i="9"/>
  <c r="E615" i="9"/>
  <c r="E726" i="9"/>
  <c r="E678" i="9"/>
  <c r="D756" i="9"/>
  <c r="D628" i="9"/>
  <c r="D683" i="9"/>
  <c r="D619" i="9"/>
  <c r="D732" i="9"/>
  <c r="D730" i="9"/>
  <c r="D666" i="9"/>
  <c r="D753" i="9"/>
  <c r="D657" i="9"/>
  <c r="D744" i="9"/>
  <c r="D648" i="9"/>
  <c r="D639" i="9"/>
  <c r="E704" i="9"/>
  <c r="E662" i="9"/>
  <c r="E660" i="9"/>
  <c r="D764" i="9"/>
  <c r="D705" i="9"/>
  <c r="D632" i="9"/>
  <c r="D703" i="9"/>
  <c r="E702" i="9"/>
  <c r="D695" i="9"/>
  <c r="E646" i="9"/>
  <c r="E686" i="9"/>
  <c r="D679" i="9"/>
  <c r="E725" i="9"/>
  <c r="E661" i="9"/>
  <c r="D692" i="9"/>
  <c r="D747" i="9"/>
  <c r="D715" i="9"/>
  <c r="D651" i="9"/>
  <c r="E701" i="9"/>
  <c r="E629" i="9"/>
  <c r="D668" i="9"/>
  <c r="E762" i="9"/>
  <c r="D698" i="9"/>
  <c r="D634" i="9"/>
  <c r="D721" i="9"/>
  <c r="D689" i="9"/>
  <c r="D625" i="9"/>
  <c r="D712" i="9"/>
  <c r="D680" i="9"/>
  <c r="D616" i="9"/>
  <c r="E681" i="9"/>
  <c r="D759" i="9"/>
  <c r="E614" i="9"/>
  <c r="D731" i="9"/>
  <c r="D733" i="9"/>
  <c r="D714" i="9"/>
  <c r="D737" i="9"/>
  <c r="D696" i="9"/>
  <c r="D655" i="9"/>
  <c r="E703" i="9"/>
  <c r="D702" i="9"/>
  <c r="D726" i="9"/>
  <c r="E695" i="9"/>
  <c r="D646" i="9"/>
  <c r="D686" i="9"/>
  <c r="E679" i="9"/>
  <c r="D678" i="9"/>
  <c r="D725" i="9"/>
  <c r="D661" i="9"/>
  <c r="E756" i="9"/>
  <c r="E692" i="9"/>
  <c r="E628" i="9"/>
  <c r="E747" i="9"/>
  <c r="E715" i="9"/>
  <c r="E683" i="9"/>
  <c r="E651" i="9"/>
  <c r="E619" i="9"/>
  <c r="D701" i="9"/>
  <c r="D629" i="9"/>
  <c r="E732" i="9"/>
  <c r="E668" i="9"/>
  <c r="D762" i="9"/>
  <c r="E730" i="9"/>
  <c r="E698" i="9"/>
  <c r="E666" i="9"/>
  <c r="E634" i="9"/>
  <c r="E753" i="9"/>
  <c r="E721" i="9"/>
  <c r="E689" i="9"/>
  <c r="E657" i="9"/>
  <c r="E625" i="9"/>
  <c r="E744" i="9"/>
  <c r="E712" i="9"/>
  <c r="E680" i="9"/>
  <c r="E648" i="9"/>
  <c r="E616" i="9"/>
  <c r="E639" i="9"/>
  <c r="D663" i="9"/>
  <c r="E671" i="9"/>
  <c r="D694" i="9"/>
  <c r="D750" i="9"/>
  <c r="E727" i="9"/>
  <c r="D638" i="9"/>
  <c r="D630" i="9"/>
  <c r="E717" i="9"/>
  <c r="E645" i="9"/>
  <c r="E676" i="9"/>
  <c r="E739" i="9"/>
  <c r="E675" i="9"/>
  <c r="E757" i="9"/>
  <c r="D685" i="9"/>
  <c r="E724" i="9"/>
  <c r="E754" i="9"/>
  <c r="D690" i="9"/>
  <c r="D626" i="9"/>
  <c r="E713" i="9"/>
  <c r="E649" i="9"/>
  <c r="E640" i="9"/>
  <c r="D743" i="9"/>
  <c r="E693" i="9"/>
  <c r="D635" i="9"/>
  <c r="D636" i="9"/>
  <c r="D618" i="9"/>
  <c r="D728" i="9"/>
  <c r="D671" i="9"/>
  <c r="E670" i="9"/>
  <c r="E694" i="9"/>
  <c r="E750" i="9"/>
  <c r="D727" i="9"/>
  <c r="E638" i="9"/>
  <c r="E630" i="9"/>
  <c r="E622" i="9"/>
  <c r="D717" i="9"/>
  <c r="D645" i="9"/>
  <c r="D740" i="9"/>
  <c r="D676" i="9"/>
  <c r="D620" i="9"/>
  <c r="D739" i="9"/>
  <c r="D707" i="9"/>
  <c r="D675" i="9"/>
  <c r="D643" i="9"/>
  <c r="D757" i="9"/>
  <c r="E685" i="9"/>
  <c r="D621" i="9"/>
  <c r="D724" i="9"/>
  <c r="D652" i="9"/>
  <c r="D754" i="9"/>
  <c r="E722" i="9"/>
  <c r="E690" i="9"/>
  <c r="E658" i="9"/>
  <c r="E626" i="9"/>
  <c r="D745" i="9"/>
  <c r="D713" i="9"/>
  <c r="D681" i="9"/>
  <c r="D649" i="9"/>
  <c r="D617" i="9"/>
  <c r="D736" i="9"/>
  <c r="D704" i="9"/>
  <c r="D672" i="9"/>
  <c r="D640" i="9"/>
  <c r="D631" i="9"/>
  <c r="D670" i="9"/>
  <c r="D622" i="9"/>
  <c r="E740" i="9"/>
  <c r="E620" i="9"/>
  <c r="E707" i="9"/>
  <c r="E643" i="9"/>
  <c r="E621" i="9"/>
  <c r="E652" i="9"/>
  <c r="D722" i="9"/>
  <c r="D658" i="9"/>
  <c r="E745" i="9"/>
  <c r="E736" i="9"/>
  <c r="E654" i="9"/>
  <c r="D763" i="9"/>
  <c r="E746" i="9"/>
  <c r="D641" i="9"/>
  <c r="E759" i="9"/>
  <c r="D662" i="9"/>
  <c r="D654" i="9"/>
  <c r="E719" i="9"/>
  <c r="E743" i="9"/>
  <c r="D742" i="9"/>
  <c r="E741" i="9"/>
  <c r="D614" i="9"/>
  <c r="D693" i="9"/>
  <c r="D637" i="9"/>
  <c r="E716" i="9"/>
  <c r="D660" i="9"/>
  <c r="E763" i="9"/>
  <c r="E731" i="9"/>
  <c r="E699" i="9"/>
  <c r="E667" i="9"/>
  <c r="E635" i="9"/>
  <c r="E733" i="9"/>
  <c r="E669" i="9"/>
  <c r="E764" i="9"/>
  <c r="D708" i="9"/>
  <c r="E636" i="9"/>
  <c r="D746" i="9"/>
  <c r="E714" i="9"/>
  <c r="E682" i="9"/>
  <c r="E650" i="9"/>
  <c r="E618" i="9"/>
  <c r="E737" i="9"/>
  <c r="E705" i="9"/>
  <c r="E673" i="9"/>
  <c r="E641" i="9"/>
  <c r="E760" i="9"/>
  <c r="E728" i="9"/>
  <c r="E696" i="9"/>
  <c r="E664" i="9"/>
  <c r="E632" i="9"/>
  <c r="E655" i="9"/>
  <c r="E623" i="9"/>
  <c r="D751" i="9"/>
  <c r="E710" i="9"/>
  <c r="D677" i="9"/>
  <c r="D700" i="9"/>
  <c r="D755" i="9"/>
  <c r="D659" i="9"/>
  <c r="D709" i="9"/>
  <c r="E748" i="9"/>
  <c r="D612" i="9"/>
  <c r="E674" i="9"/>
  <c r="D729" i="9"/>
  <c r="D665" i="9"/>
  <c r="D752" i="9"/>
  <c r="D688" i="9"/>
  <c r="D624" i="9"/>
  <c r="D615" i="9"/>
  <c r="E672" i="9"/>
  <c r="E631" i="9"/>
  <c r="D719" i="9"/>
  <c r="E637" i="9"/>
  <c r="D667" i="9"/>
  <c r="E708" i="9"/>
  <c r="D650" i="9"/>
  <c r="D760" i="9"/>
  <c r="D623" i="9"/>
  <c r="B71" i="2" l="1"/>
  <c r="B67" i="2"/>
  <c r="B60" i="2"/>
  <c r="B50" i="2"/>
  <c r="B45" i="2"/>
  <c r="B39" i="2"/>
  <c r="B34" i="2"/>
  <c r="B30" i="2"/>
  <c r="B25" i="2"/>
  <c r="B19" i="2"/>
  <c r="B10" i="2"/>
  <c r="B10" i="1"/>
  <c r="B19" i="1"/>
  <c r="B25" i="1"/>
  <c r="B30" i="1"/>
  <c r="B34" i="1"/>
  <c r="B39" i="1"/>
  <c r="B45" i="1"/>
  <c r="B50" i="1"/>
  <c r="B60" i="1"/>
  <c r="B67" i="1"/>
  <c r="B71" i="1"/>
</calcChain>
</file>

<file path=xl/sharedStrings.xml><?xml version="1.0" encoding="utf-8"?>
<sst xmlns="http://schemas.openxmlformats.org/spreadsheetml/2006/main" count="2583" uniqueCount="46">
  <si>
    <t>instant</t>
  </si>
  <si>
    <t>assumed_temperature</t>
  </si>
  <si>
    <t>humidity</t>
  </si>
  <si>
    <t>windspeed</t>
  </si>
  <si>
    <t>casual_customer</t>
  </si>
  <si>
    <t>registered_customer</t>
  </si>
  <si>
    <t>Total_customers</t>
  </si>
  <si>
    <t>Humidity_Level</t>
  </si>
  <si>
    <t>Wind_Level</t>
  </si>
  <si>
    <t>Customer_Type</t>
  </si>
  <si>
    <t>Casual_Percentage</t>
  </si>
  <si>
    <t>Registered_Percentage</t>
  </si>
  <si>
    <t>Demand_Level</t>
  </si>
  <si>
    <t>High</t>
  </si>
  <si>
    <t>Calm</t>
  </si>
  <si>
    <t>Mostly Registered</t>
  </si>
  <si>
    <t>Low</t>
  </si>
  <si>
    <t>Mostly Casual</t>
  </si>
  <si>
    <t>Moderate</t>
  </si>
  <si>
    <t>Medium</t>
  </si>
  <si>
    <t>Windy</t>
  </si>
  <si>
    <t>Row Labels</t>
  </si>
  <si>
    <t>Grand Total</t>
  </si>
  <si>
    <t>Sum of casual_customer</t>
  </si>
  <si>
    <t>Sum of registered_customer</t>
  </si>
  <si>
    <t>Sum of Total_customers</t>
  </si>
  <si>
    <t>Wind Level</t>
  </si>
  <si>
    <t>COLUMN NAME</t>
  </si>
  <si>
    <t>Mean</t>
  </si>
  <si>
    <t>Standard Error</t>
  </si>
  <si>
    <t>Median</t>
  </si>
  <si>
    <t>Mode</t>
  </si>
  <si>
    <t>Standard Deviation</t>
  </si>
  <si>
    <t>Sample Variance</t>
  </si>
  <si>
    <t>Kurtosis</t>
  </si>
  <si>
    <t>Skewness</t>
  </si>
  <si>
    <t>Range</t>
  </si>
  <si>
    <t>Minimum</t>
  </si>
  <si>
    <t>Maximum</t>
  </si>
  <si>
    <t>Sum</t>
  </si>
  <si>
    <t>Count</t>
  </si>
  <si>
    <t>Descriptive Statistics</t>
  </si>
  <si>
    <t>CORELATION</t>
  </si>
  <si>
    <t>Forecast(Total_customers)</t>
  </si>
  <si>
    <t>Lower Bound(Total_customers)</t>
  </si>
  <si>
    <t>Upper Bound(Total_customers)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</si>
</sst>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1"/>
      <color theme="1"/>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
      <b/>
      <i/>
      <sz val="11"/>
      <color theme="0"/>
      <name val="Calibri"/>
      <family val="2"/>
      <scheme val="minor"/>
    </font>
    <font>
      <b/>
      <sz val="14"/>
      <color theme="0"/>
      <name val="Calibri"/>
      <family val="2"/>
      <scheme val="minor"/>
    </font>
  </fonts>
  <fills count="6">
    <fill>
      <patternFill patternType="none"/>
    </fill>
    <fill>
      <patternFill patternType="gray125"/>
    </fill>
    <fill>
      <patternFill patternType="solid">
        <fgColor theme="7"/>
        <bgColor theme="7"/>
      </patternFill>
    </fill>
    <fill>
      <patternFill patternType="solid">
        <fgColor theme="7" tint="0.79998168889431442"/>
        <bgColor theme="7" tint="0.79998168889431442"/>
      </patternFill>
    </fill>
    <fill>
      <patternFill patternType="solid">
        <fgColor rgb="FF00B0F0"/>
        <bgColor indexed="64"/>
      </patternFill>
    </fill>
    <fill>
      <patternFill patternType="solid">
        <fgColor theme="1" tint="0.249977111117893"/>
        <bgColor indexed="64"/>
      </patternFill>
    </fill>
  </fills>
  <borders count="13">
    <border>
      <left/>
      <right/>
      <top/>
      <bottom/>
      <diagonal/>
    </border>
    <border>
      <left/>
      <right/>
      <top style="thin">
        <color theme="7" tint="0.39997558519241921"/>
      </top>
      <bottom/>
      <diagonal/>
    </border>
    <border>
      <left/>
      <right/>
      <top/>
      <bottom style="medium">
        <color indexed="64"/>
      </bottom>
      <diagonal/>
    </border>
    <border>
      <left/>
      <right/>
      <top style="medium">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28">
    <xf numFmtId="0" fontId="0" fillId="0" borderId="0" xfId="0"/>
    <xf numFmtId="2" fontId="0" fillId="0" borderId="0" xfId="0" applyNumberFormat="1"/>
    <xf numFmtId="49" fontId="0" fillId="0" borderId="0" xfId="0" applyNumberFormat="1"/>
    <xf numFmtId="164" fontId="0" fillId="0" borderId="0" xfId="0" applyNumberFormat="1"/>
    <xf numFmtId="1" fontId="0" fillId="0" borderId="0" xfId="0" applyNumberFormat="1"/>
    <xf numFmtId="0" fontId="2" fillId="2" borderId="0" xfId="0" applyFont="1" applyFill="1"/>
    <xf numFmtId="0" fontId="1" fillId="3" borderId="1" xfId="0" applyFont="1" applyFill="1" applyBorder="1"/>
    <xf numFmtId="0" fontId="1" fillId="0" borderId="1" xfId="0" applyFont="1" applyBorder="1"/>
    <xf numFmtId="0" fontId="0" fillId="4" borderId="0" xfId="0" applyFill="1"/>
    <xf numFmtId="0" fontId="0" fillId="4" borderId="0" xfId="0" applyFill="1" applyBorder="1" applyAlignment="1"/>
    <xf numFmtId="0" fontId="0" fillId="4" borderId="2" xfId="0" applyFill="1" applyBorder="1" applyAlignment="1"/>
    <xf numFmtId="0" fontId="0" fillId="4" borderId="0" xfId="0" applyFill="1" applyAlignment="1">
      <alignment horizontal="left"/>
    </xf>
    <xf numFmtId="1" fontId="0" fillId="4" borderId="0" xfId="0" applyNumberFormat="1" applyFill="1"/>
    <xf numFmtId="0" fontId="4" fillId="5" borderId="3" xfId="0" applyFont="1" applyFill="1" applyBorder="1" applyAlignment="1">
      <alignment horizontal="center"/>
    </xf>
    <xf numFmtId="0" fontId="2" fillId="5" borderId="0" xfId="0" applyFont="1" applyFill="1"/>
    <xf numFmtId="0" fontId="0" fillId="0" borderId="4" xfId="0" applyFill="1" applyBorder="1" applyAlignment="1"/>
    <xf numFmtId="164" fontId="0" fillId="0" borderId="5" xfId="0" applyNumberFormat="1" applyFill="1" applyBorder="1" applyAlignment="1"/>
    <xf numFmtId="0" fontId="0" fillId="0" borderId="6" xfId="0" applyFill="1" applyBorder="1" applyAlignment="1"/>
    <xf numFmtId="164" fontId="0" fillId="0" borderId="7" xfId="0" applyNumberFormat="1" applyFill="1" applyBorder="1" applyAlignment="1"/>
    <xf numFmtId="0" fontId="0" fillId="0" borderId="8" xfId="0" applyFill="1" applyBorder="1" applyAlignment="1"/>
    <xf numFmtId="164" fontId="0" fillId="0" borderId="9" xfId="0" applyNumberFormat="1" applyFill="1" applyBorder="1" applyAlignment="1"/>
    <xf numFmtId="0" fontId="5" fillId="5" borderId="10" xfId="0" applyFont="1" applyFill="1" applyBorder="1" applyAlignment="1">
      <alignment horizontal="center"/>
    </xf>
    <xf numFmtId="0" fontId="4" fillId="5" borderId="4" xfId="0" applyFont="1" applyFill="1" applyBorder="1" applyAlignment="1">
      <alignment horizontal="center"/>
    </xf>
    <xf numFmtId="164" fontId="4" fillId="5" borderId="5" xfId="0" applyNumberFormat="1" applyFont="1" applyFill="1" applyBorder="1" applyAlignment="1">
      <alignment horizontal="center"/>
    </xf>
    <xf numFmtId="0" fontId="5" fillId="5" borderId="0" xfId="0" applyFont="1" applyFill="1" applyAlignment="1">
      <alignment horizontal="center"/>
    </xf>
    <xf numFmtId="0" fontId="3" fillId="5" borderId="0" xfId="0" applyFont="1" applyFill="1" applyAlignment="1">
      <alignment horizontal="center"/>
    </xf>
    <xf numFmtId="0" fontId="5" fillId="5" borderId="11" xfId="0" applyFont="1" applyFill="1" applyBorder="1" applyAlignment="1">
      <alignment horizontal="center"/>
    </xf>
    <xf numFmtId="0" fontId="5" fillId="5" borderId="12" xfId="0" applyFont="1" applyFill="1" applyBorder="1" applyAlignment="1">
      <alignment horizontal="center"/>
    </xf>
  </cellXfs>
  <cellStyles count="1">
    <cellStyle name="Normal" xfId="0" builtinId="0"/>
  </cellStyles>
  <dxfs count="45">
    <dxf>
      <numFmt numFmtId="1" formatCode="0"/>
    </dxf>
    <dxf>
      <numFmt numFmtId="1" formatCode="0"/>
    </dxf>
    <dxf>
      <numFmt numFmtId="1" formatCode="0"/>
    </dxf>
    <dxf>
      <numFmt numFmtId="1" formatCode="0"/>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ill>
        <patternFill patternType="solid">
          <bgColor rgb="FF00B0F0"/>
        </patternFill>
      </fill>
    </dxf>
    <dxf>
      <font>
        <b val="0"/>
        <i val="0"/>
        <strike val="0"/>
        <condense val="0"/>
        <extend val="0"/>
        <outline val="0"/>
        <shadow val="0"/>
        <u val="none"/>
        <vertAlign val="baseline"/>
        <sz val="11"/>
        <color theme="1"/>
        <name val="Calibri"/>
        <family val="2"/>
        <scheme val="minor"/>
      </font>
      <border diagonalUp="0" diagonalDown="0">
        <left/>
        <right/>
        <top style="thin">
          <color theme="7"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7"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7"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7"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7"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7"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7" tint="0.39997558519241921"/>
        </top>
        <bottom/>
        <vertical/>
        <horizontal/>
      </border>
    </dxf>
    <dxf>
      <border outline="0">
        <left style="thin">
          <color theme="7" tint="0.39997558519241921"/>
        </left>
        <right style="thin">
          <color theme="7" tint="0.39997558519241921"/>
        </right>
        <top style="thin">
          <color theme="7" tint="0.39997558519241921"/>
        </top>
        <bottom style="thin">
          <color theme="7"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7"/>
          <bgColor theme="7"/>
        </patternFill>
      </fill>
    </dxf>
    <dxf>
      <numFmt numFmtId="30" formatCode="@"/>
    </dxf>
    <dxf>
      <numFmt numFmtId="2" formatCode="0.00"/>
    </dxf>
    <dxf>
      <numFmt numFmtId="2" formatCode="0.00"/>
    </dxf>
    <dxf>
      <numFmt numFmtId="30" formatCode="@"/>
    </dxf>
    <dxf>
      <numFmt numFmtId="30" formatCode="@"/>
    </dxf>
    <dxf>
      <numFmt numFmtId="30" formatCode="@"/>
    </dxf>
    <dxf>
      <numFmt numFmtId="1" formatCode="0"/>
    </dxf>
    <dxf>
      <numFmt numFmtId="1" formatCode="0"/>
    </dxf>
    <dxf>
      <numFmt numFmtId="1" formatCode="0"/>
    </dxf>
    <dxf>
      <numFmt numFmtId="2" formatCode="0.00"/>
    </dxf>
    <dxf>
      <numFmt numFmtId="2" formatCode="0.00"/>
    </dxf>
    <dxf>
      <numFmt numFmtId="164" formatCode="0.00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[Bike_Dataset_Part_1_ii.xlsx]Statistics!PivotTable1</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Wind</a:t>
            </a:r>
            <a:r>
              <a:rPr lang="en-US" baseline="0"/>
              <a:t> level vs Total customers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Statistics!$B$39</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Statistics!$A$40:$A$43</c:f>
              <c:strCache>
                <c:ptCount val="3"/>
                <c:pt idx="0">
                  <c:v>Calm</c:v>
                </c:pt>
                <c:pt idx="1">
                  <c:v>Moderate</c:v>
                </c:pt>
                <c:pt idx="2">
                  <c:v>Windy</c:v>
                </c:pt>
              </c:strCache>
            </c:strRef>
          </c:cat>
          <c:val>
            <c:numRef>
              <c:f>Statistics!$B$40:$B$43</c:f>
              <c:numCache>
                <c:formatCode>0</c:formatCode>
                <c:ptCount val="3"/>
                <c:pt idx="0">
                  <c:v>11027</c:v>
                </c:pt>
                <c:pt idx="1">
                  <c:v>16245</c:v>
                </c:pt>
                <c:pt idx="2">
                  <c:v>6626</c:v>
                </c:pt>
              </c:numCache>
            </c:numRef>
          </c:val>
          <c:extLst>
            <c:ext xmlns:c16="http://schemas.microsoft.com/office/drawing/2014/chart" uri="{C3380CC4-5D6E-409C-BE32-E72D297353CC}">
              <c16:uniqueId val="{00000000-6BB1-47A4-84D7-6FB64972201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[Bike_Dataset_Part_1_ii.xlsx]Statistics!PivotTable3</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Humidity</a:t>
            </a:r>
            <a:r>
              <a:rPr lang="en-US" baseline="0"/>
              <a:t> vs Total customers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Statistics!$E$39</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Statistics!$D$40:$D$43</c:f>
              <c:strCache>
                <c:ptCount val="3"/>
                <c:pt idx="0">
                  <c:v>High</c:v>
                </c:pt>
                <c:pt idx="1">
                  <c:v>Low</c:v>
                </c:pt>
                <c:pt idx="2">
                  <c:v>Medium</c:v>
                </c:pt>
              </c:strCache>
            </c:strRef>
          </c:cat>
          <c:val>
            <c:numRef>
              <c:f>Statistics!$E$40:$E$43</c:f>
              <c:numCache>
                <c:formatCode>0</c:formatCode>
                <c:ptCount val="3"/>
                <c:pt idx="0">
                  <c:v>5247</c:v>
                </c:pt>
                <c:pt idx="1">
                  <c:v>7419</c:v>
                </c:pt>
                <c:pt idx="2">
                  <c:v>21232</c:v>
                </c:pt>
              </c:numCache>
            </c:numRef>
          </c:val>
          <c:extLst>
            <c:ext xmlns:c16="http://schemas.microsoft.com/office/drawing/2014/chart" uri="{C3380CC4-5D6E-409C-BE32-E72D297353CC}">
              <c16:uniqueId val="{00000000-427B-4857-A9F4-8525B7499E7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[Bike_Dataset_Part_1_ii.xlsx]Statistics!PivotTable4</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Demand</a:t>
            </a:r>
            <a:r>
              <a:rPr lang="en-IN" baseline="0"/>
              <a:t> vs Customers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Statistics!$H$39</c:f>
              <c:strCache>
                <c:ptCount val="1"/>
                <c:pt idx="0">
                  <c:v>Sum of Total_customers</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Statistics!$G$40:$G$42</c:f>
              <c:strCache>
                <c:ptCount val="2"/>
                <c:pt idx="0">
                  <c:v>Low</c:v>
                </c:pt>
                <c:pt idx="1">
                  <c:v>Medium</c:v>
                </c:pt>
              </c:strCache>
            </c:strRef>
          </c:cat>
          <c:val>
            <c:numRef>
              <c:f>Statistics!$H$40:$H$42</c:f>
              <c:numCache>
                <c:formatCode>0</c:formatCode>
                <c:ptCount val="2"/>
                <c:pt idx="0">
                  <c:v>20620</c:v>
                </c:pt>
                <c:pt idx="1">
                  <c:v>13278</c:v>
                </c:pt>
              </c:numCache>
            </c:numRef>
          </c:val>
          <c:extLst>
            <c:ext xmlns:c16="http://schemas.microsoft.com/office/drawing/2014/chart" uri="{C3380CC4-5D6E-409C-BE32-E72D297353CC}">
              <c16:uniqueId val="{00000000-7B40-4367-8C86-6BF36AB8F952}"/>
            </c:ext>
          </c:extLst>
        </c:ser>
        <c:ser>
          <c:idx val="1"/>
          <c:order val="1"/>
          <c:tx>
            <c:strRef>
              <c:f>Statistics!$I$39</c:f>
              <c:strCache>
                <c:ptCount val="1"/>
                <c:pt idx="0">
                  <c:v>Sum of registered_customer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Statistics!$G$40:$G$42</c:f>
              <c:strCache>
                <c:ptCount val="2"/>
                <c:pt idx="0">
                  <c:v>Low</c:v>
                </c:pt>
                <c:pt idx="1">
                  <c:v>Medium</c:v>
                </c:pt>
              </c:strCache>
            </c:strRef>
          </c:cat>
          <c:val>
            <c:numRef>
              <c:f>Statistics!$I$40:$I$42</c:f>
              <c:numCache>
                <c:formatCode>0</c:formatCode>
                <c:ptCount val="2"/>
                <c:pt idx="0">
                  <c:v>18633</c:v>
                </c:pt>
                <c:pt idx="1">
                  <c:v>12519</c:v>
                </c:pt>
              </c:numCache>
            </c:numRef>
          </c:val>
          <c:extLst>
            <c:ext xmlns:c16="http://schemas.microsoft.com/office/drawing/2014/chart" uri="{C3380CC4-5D6E-409C-BE32-E72D297353CC}">
              <c16:uniqueId val="{00000001-7B40-4367-8C86-6BF36AB8F952}"/>
            </c:ext>
          </c:extLst>
        </c:ser>
        <c:ser>
          <c:idx val="2"/>
          <c:order val="2"/>
          <c:tx>
            <c:strRef>
              <c:f>Statistics!$J$39</c:f>
              <c:strCache>
                <c:ptCount val="1"/>
                <c:pt idx="0">
                  <c:v>Sum of casual_customer</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Statistics!$G$40:$G$42</c:f>
              <c:strCache>
                <c:ptCount val="2"/>
                <c:pt idx="0">
                  <c:v>Low</c:v>
                </c:pt>
                <c:pt idx="1">
                  <c:v>Medium</c:v>
                </c:pt>
              </c:strCache>
            </c:strRef>
          </c:cat>
          <c:val>
            <c:numRef>
              <c:f>Statistics!$J$40:$J$42</c:f>
              <c:numCache>
                <c:formatCode>0</c:formatCode>
                <c:ptCount val="2"/>
                <c:pt idx="0">
                  <c:v>1987</c:v>
                </c:pt>
                <c:pt idx="1">
                  <c:v>759</c:v>
                </c:pt>
              </c:numCache>
            </c:numRef>
          </c:val>
          <c:extLst>
            <c:ext xmlns:c16="http://schemas.microsoft.com/office/drawing/2014/chart" uri="{C3380CC4-5D6E-409C-BE32-E72D297353CC}">
              <c16:uniqueId val="{00000002-7B40-4367-8C86-6BF36AB8F952}"/>
            </c:ext>
          </c:extLst>
        </c:ser>
        <c:dLbls>
          <c:dLblPos val="outEnd"/>
          <c:showLegendKey val="0"/>
          <c:showVal val="1"/>
          <c:showCatName val="0"/>
          <c:showSerName val="0"/>
          <c:showPercent val="0"/>
          <c:showBubbleSize val="0"/>
        </c:dLbls>
        <c:gapWidth val="100"/>
        <c:overlap val="-24"/>
        <c:axId val="1688612303"/>
        <c:axId val="1688604143"/>
      </c:barChart>
      <c:catAx>
        <c:axId val="1688612303"/>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Demand</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88604143"/>
        <c:crosses val="autoZero"/>
        <c:auto val="1"/>
        <c:lblAlgn val="ctr"/>
        <c:lblOffset val="100"/>
        <c:noMultiLvlLbl val="0"/>
      </c:catAx>
      <c:valAx>
        <c:axId val="1688604143"/>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Number of customers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88612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31898567324545E-2"/>
          <c:y val="3.8095238095238099E-2"/>
          <c:w val="0.90266076067256118"/>
          <c:h val="0.73976289327470435"/>
        </c:manualLayout>
      </c:layout>
      <c:lineChart>
        <c:grouping val="standard"/>
        <c:varyColors val="0"/>
        <c:ser>
          <c:idx val="0"/>
          <c:order val="0"/>
          <c:tx>
            <c:strRef>
              <c:f>Customer_Forecast!$B$1</c:f>
              <c:strCache>
                <c:ptCount val="1"/>
                <c:pt idx="0">
                  <c:v>Total_customers</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Customer_Forecast!$B$2:$B$764</c:f>
              <c:numCache>
                <c:formatCode>0</c:formatCode>
                <c:ptCount val="763"/>
                <c:pt idx="0">
                  <c:v>16</c:v>
                </c:pt>
                <c:pt idx="1">
                  <c:v>40</c:v>
                </c:pt>
                <c:pt idx="2">
                  <c:v>32</c:v>
                </c:pt>
                <c:pt idx="3">
                  <c:v>13</c:v>
                </c:pt>
                <c:pt idx="4">
                  <c:v>1</c:v>
                </c:pt>
                <c:pt idx="5">
                  <c:v>1</c:v>
                </c:pt>
                <c:pt idx="6">
                  <c:v>2</c:v>
                </c:pt>
                <c:pt idx="7">
                  <c:v>3</c:v>
                </c:pt>
                <c:pt idx="8">
                  <c:v>8</c:v>
                </c:pt>
                <c:pt idx="9">
                  <c:v>14</c:v>
                </c:pt>
                <c:pt idx="10">
                  <c:v>36</c:v>
                </c:pt>
                <c:pt idx="11">
                  <c:v>56</c:v>
                </c:pt>
                <c:pt idx="12">
                  <c:v>84</c:v>
                </c:pt>
                <c:pt idx="13">
                  <c:v>94</c:v>
                </c:pt>
                <c:pt idx="14">
                  <c:v>106</c:v>
                </c:pt>
                <c:pt idx="15">
                  <c:v>110</c:v>
                </c:pt>
                <c:pt idx="16">
                  <c:v>93</c:v>
                </c:pt>
                <c:pt idx="17">
                  <c:v>67</c:v>
                </c:pt>
                <c:pt idx="18">
                  <c:v>35</c:v>
                </c:pt>
                <c:pt idx="19">
                  <c:v>37</c:v>
                </c:pt>
                <c:pt idx="20">
                  <c:v>36</c:v>
                </c:pt>
                <c:pt idx="21">
                  <c:v>34</c:v>
                </c:pt>
                <c:pt idx="22">
                  <c:v>28</c:v>
                </c:pt>
                <c:pt idx="23">
                  <c:v>39</c:v>
                </c:pt>
                <c:pt idx="24">
                  <c:v>17</c:v>
                </c:pt>
                <c:pt idx="25">
                  <c:v>17</c:v>
                </c:pt>
                <c:pt idx="26">
                  <c:v>9</c:v>
                </c:pt>
                <c:pt idx="27">
                  <c:v>6</c:v>
                </c:pt>
                <c:pt idx="28">
                  <c:v>3</c:v>
                </c:pt>
                <c:pt idx="29">
                  <c:v>2</c:v>
                </c:pt>
                <c:pt idx="30">
                  <c:v>1</c:v>
                </c:pt>
                <c:pt idx="31">
                  <c:v>8</c:v>
                </c:pt>
                <c:pt idx="32">
                  <c:v>20</c:v>
                </c:pt>
                <c:pt idx="33">
                  <c:v>53</c:v>
                </c:pt>
                <c:pt idx="34">
                  <c:v>70</c:v>
                </c:pt>
                <c:pt idx="35">
                  <c:v>93</c:v>
                </c:pt>
                <c:pt idx="36">
                  <c:v>75</c:v>
                </c:pt>
                <c:pt idx="37">
                  <c:v>59</c:v>
                </c:pt>
                <c:pt idx="38">
                  <c:v>74</c:v>
                </c:pt>
                <c:pt idx="39">
                  <c:v>76</c:v>
                </c:pt>
                <c:pt idx="40">
                  <c:v>65</c:v>
                </c:pt>
                <c:pt idx="41">
                  <c:v>53</c:v>
                </c:pt>
                <c:pt idx="42">
                  <c:v>30</c:v>
                </c:pt>
                <c:pt idx="43">
                  <c:v>22</c:v>
                </c:pt>
                <c:pt idx="44">
                  <c:v>31</c:v>
                </c:pt>
                <c:pt idx="45">
                  <c:v>9</c:v>
                </c:pt>
                <c:pt idx="46">
                  <c:v>8</c:v>
                </c:pt>
                <c:pt idx="47">
                  <c:v>5</c:v>
                </c:pt>
                <c:pt idx="48">
                  <c:v>2</c:v>
                </c:pt>
                <c:pt idx="49">
                  <c:v>1</c:v>
                </c:pt>
                <c:pt idx="50">
                  <c:v>3</c:v>
                </c:pt>
                <c:pt idx="51">
                  <c:v>30</c:v>
                </c:pt>
                <c:pt idx="52">
                  <c:v>64</c:v>
                </c:pt>
                <c:pt idx="53">
                  <c:v>154</c:v>
                </c:pt>
                <c:pt idx="54">
                  <c:v>88</c:v>
                </c:pt>
                <c:pt idx="55">
                  <c:v>44</c:v>
                </c:pt>
                <c:pt idx="56">
                  <c:v>51</c:v>
                </c:pt>
                <c:pt idx="57">
                  <c:v>61</c:v>
                </c:pt>
                <c:pt idx="58">
                  <c:v>61</c:v>
                </c:pt>
                <c:pt idx="59">
                  <c:v>77</c:v>
                </c:pt>
                <c:pt idx="60">
                  <c:v>72</c:v>
                </c:pt>
                <c:pt idx="61">
                  <c:v>76</c:v>
                </c:pt>
                <c:pt idx="62">
                  <c:v>157</c:v>
                </c:pt>
                <c:pt idx="63">
                  <c:v>157</c:v>
                </c:pt>
                <c:pt idx="64">
                  <c:v>110</c:v>
                </c:pt>
                <c:pt idx="65">
                  <c:v>52</c:v>
                </c:pt>
                <c:pt idx="66">
                  <c:v>52</c:v>
                </c:pt>
                <c:pt idx="67">
                  <c:v>20</c:v>
                </c:pt>
                <c:pt idx="68">
                  <c:v>12</c:v>
                </c:pt>
                <c:pt idx="69">
                  <c:v>5</c:v>
                </c:pt>
                <c:pt idx="70">
                  <c:v>2</c:v>
                </c:pt>
                <c:pt idx="71">
                  <c:v>1</c:v>
                </c:pt>
                <c:pt idx="72">
                  <c:v>2</c:v>
                </c:pt>
                <c:pt idx="73">
                  <c:v>4</c:v>
                </c:pt>
                <c:pt idx="74">
                  <c:v>36</c:v>
                </c:pt>
                <c:pt idx="75">
                  <c:v>94</c:v>
                </c:pt>
                <c:pt idx="76">
                  <c:v>179</c:v>
                </c:pt>
                <c:pt idx="77">
                  <c:v>100</c:v>
                </c:pt>
                <c:pt idx="78">
                  <c:v>42</c:v>
                </c:pt>
                <c:pt idx="79">
                  <c:v>57</c:v>
                </c:pt>
                <c:pt idx="80">
                  <c:v>78</c:v>
                </c:pt>
                <c:pt idx="81">
                  <c:v>97</c:v>
                </c:pt>
                <c:pt idx="82">
                  <c:v>63</c:v>
                </c:pt>
                <c:pt idx="83">
                  <c:v>65</c:v>
                </c:pt>
                <c:pt idx="84">
                  <c:v>83</c:v>
                </c:pt>
                <c:pt idx="85">
                  <c:v>212</c:v>
                </c:pt>
                <c:pt idx="86">
                  <c:v>182</c:v>
                </c:pt>
                <c:pt idx="87">
                  <c:v>112</c:v>
                </c:pt>
                <c:pt idx="88">
                  <c:v>54</c:v>
                </c:pt>
                <c:pt idx="89">
                  <c:v>48</c:v>
                </c:pt>
                <c:pt idx="90">
                  <c:v>35</c:v>
                </c:pt>
                <c:pt idx="91">
                  <c:v>11</c:v>
                </c:pt>
                <c:pt idx="92">
                  <c:v>6</c:v>
                </c:pt>
                <c:pt idx="93">
                  <c:v>6</c:v>
                </c:pt>
                <c:pt idx="94">
                  <c:v>2</c:v>
                </c:pt>
                <c:pt idx="95">
                  <c:v>2</c:v>
                </c:pt>
                <c:pt idx="96">
                  <c:v>3</c:v>
                </c:pt>
                <c:pt idx="97">
                  <c:v>33</c:v>
                </c:pt>
                <c:pt idx="98">
                  <c:v>88</c:v>
                </c:pt>
                <c:pt idx="99">
                  <c:v>195</c:v>
                </c:pt>
                <c:pt idx="100">
                  <c:v>115</c:v>
                </c:pt>
                <c:pt idx="101">
                  <c:v>57</c:v>
                </c:pt>
                <c:pt idx="102">
                  <c:v>46</c:v>
                </c:pt>
                <c:pt idx="103">
                  <c:v>79</c:v>
                </c:pt>
                <c:pt idx="104">
                  <c:v>71</c:v>
                </c:pt>
                <c:pt idx="105">
                  <c:v>62</c:v>
                </c:pt>
                <c:pt idx="106">
                  <c:v>62</c:v>
                </c:pt>
                <c:pt idx="107">
                  <c:v>89</c:v>
                </c:pt>
                <c:pt idx="108">
                  <c:v>190</c:v>
                </c:pt>
                <c:pt idx="109">
                  <c:v>169</c:v>
                </c:pt>
                <c:pt idx="110">
                  <c:v>132</c:v>
                </c:pt>
                <c:pt idx="111">
                  <c:v>89</c:v>
                </c:pt>
                <c:pt idx="112">
                  <c:v>43</c:v>
                </c:pt>
                <c:pt idx="113">
                  <c:v>42</c:v>
                </c:pt>
                <c:pt idx="114">
                  <c:v>19</c:v>
                </c:pt>
                <c:pt idx="115">
                  <c:v>11</c:v>
                </c:pt>
                <c:pt idx="116">
                  <c:v>4</c:v>
                </c:pt>
                <c:pt idx="117">
                  <c:v>2</c:v>
                </c:pt>
                <c:pt idx="118">
                  <c:v>1</c:v>
                </c:pt>
                <c:pt idx="119">
                  <c:v>4</c:v>
                </c:pt>
                <c:pt idx="120">
                  <c:v>36</c:v>
                </c:pt>
                <c:pt idx="121">
                  <c:v>95</c:v>
                </c:pt>
                <c:pt idx="122">
                  <c:v>219</c:v>
                </c:pt>
                <c:pt idx="123">
                  <c:v>122</c:v>
                </c:pt>
                <c:pt idx="124">
                  <c:v>45</c:v>
                </c:pt>
                <c:pt idx="125">
                  <c:v>59</c:v>
                </c:pt>
                <c:pt idx="126">
                  <c:v>84</c:v>
                </c:pt>
                <c:pt idx="127">
                  <c:v>67</c:v>
                </c:pt>
                <c:pt idx="128">
                  <c:v>70</c:v>
                </c:pt>
                <c:pt idx="129">
                  <c:v>62</c:v>
                </c:pt>
                <c:pt idx="130">
                  <c:v>86</c:v>
                </c:pt>
                <c:pt idx="131">
                  <c:v>172</c:v>
                </c:pt>
                <c:pt idx="132">
                  <c:v>163</c:v>
                </c:pt>
                <c:pt idx="133">
                  <c:v>112</c:v>
                </c:pt>
                <c:pt idx="134">
                  <c:v>69</c:v>
                </c:pt>
                <c:pt idx="135">
                  <c:v>48</c:v>
                </c:pt>
                <c:pt idx="136">
                  <c:v>52</c:v>
                </c:pt>
                <c:pt idx="137">
                  <c:v>23</c:v>
                </c:pt>
                <c:pt idx="138">
                  <c:v>17</c:v>
                </c:pt>
                <c:pt idx="139">
                  <c:v>7</c:v>
                </c:pt>
                <c:pt idx="140">
                  <c:v>1</c:v>
                </c:pt>
                <c:pt idx="141">
                  <c:v>1</c:v>
                </c:pt>
                <c:pt idx="142">
                  <c:v>5</c:v>
                </c:pt>
                <c:pt idx="143">
                  <c:v>34</c:v>
                </c:pt>
                <c:pt idx="144">
                  <c:v>84</c:v>
                </c:pt>
                <c:pt idx="145">
                  <c:v>210</c:v>
                </c:pt>
                <c:pt idx="146">
                  <c:v>134</c:v>
                </c:pt>
                <c:pt idx="147">
                  <c:v>63</c:v>
                </c:pt>
                <c:pt idx="148">
                  <c:v>67</c:v>
                </c:pt>
                <c:pt idx="149">
                  <c:v>59</c:v>
                </c:pt>
                <c:pt idx="150">
                  <c:v>73</c:v>
                </c:pt>
                <c:pt idx="151">
                  <c:v>50</c:v>
                </c:pt>
                <c:pt idx="152">
                  <c:v>72</c:v>
                </c:pt>
                <c:pt idx="153">
                  <c:v>87</c:v>
                </c:pt>
                <c:pt idx="154">
                  <c:v>187</c:v>
                </c:pt>
                <c:pt idx="155">
                  <c:v>123</c:v>
                </c:pt>
                <c:pt idx="156">
                  <c:v>95</c:v>
                </c:pt>
                <c:pt idx="157">
                  <c:v>51</c:v>
                </c:pt>
                <c:pt idx="158">
                  <c:v>39</c:v>
                </c:pt>
                <c:pt idx="159">
                  <c:v>36</c:v>
                </c:pt>
                <c:pt idx="160">
                  <c:v>15</c:v>
                </c:pt>
                <c:pt idx="161">
                  <c:v>25</c:v>
                </c:pt>
                <c:pt idx="162">
                  <c:v>16</c:v>
                </c:pt>
                <c:pt idx="163">
                  <c:v>16</c:v>
                </c:pt>
                <c:pt idx="164">
                  <c:v>7</c:v>
                </c:pt>
                <c:pt idx="165">
                  <c:v>1</c:v>
                </c:pt>
                <c:pt idx="166">
                  <c:v>5</c:v>
                </c:pt>
                <c:pt idx="167">
                  <c:v>2</c:v>
                </c:pt>
                <c:pt idx="168">
                  <c:v>9</c:v>
                </c:pt>
                <c:pt idx="169">
                  <c:v>15</c:v>
                </c:pt>
                <c:pt idx="170">
                  <c:v>20</c:v>
                </c:pt>
                <c:pt idx="171">
                  <c:v>61</c:v>
                </c:pt>
                <c:pt idx="172">
                  <c:v>62</c:v>
                </c:pt>
                <c:pt idx="173">
                  <c:v>98</c:v>
                </c:pt>
                <c:pt idx="174">
                  <c:v>102</c:v>
                </c:pt>
                <c:pt idx="175">
                  <c:v>95</c:v>
                </c:pt>
                <c:pt idx="176">
                  <c:v>74</c:v>
                </c:pt>
                <c:pt idx="177">
                  <c:v>76</c:v>
                </c:pt>
                <c:pt idx="178">
                  <c:v>69</c:v>
                </c:pt>
                <c:pt idx="179">
                  <c:v>55</c:v>
                </c:pt>
                <c:pt idx="180">
                  <c:v>30</c:v>
                </c:pt>
                <c:pt idx="181">
                  <c:v>28</c:v>
                </c:pt>
                <c:pt idx="182">
                  <c:v>37</c:v>
                </c:pt>
                <c:pt idx="183">
                  <c:v>34</c:v>
                </c:pt>
                <c:pt idx="184">
                  <c:v>22</c:v>
                </c:pt>
                <c:pt idx="185">
                  <c:v>25</c:v>
                </c:pt>
                <c:pt idx="186">
                  <c:v>12</c:v>
                </c:pt>
                <c:pt idx="187">
                  <c:v>11</c:v>
                </c:pt>
                <c:pt idx="188">
                  <c:v>4</c:v>
                </c:pt>
                <c:pt idx="189">
                  <c:v>1</c:v>
                </c:pt>
                <c:pt idx="190">
                  <c:v>1</c:v>
                </c:pt>
                <c:pt idx="191">
                  <c:v>1</c:v>
                </c:pt>
                <c:pt idx="192">
                  <c:v>6</c:v>
                </c:pt>
                <c:pt idx="193">
                  <c:v>10</c:v>
                </c:pt>
                <c:pt idx="194">
                  <c:v>19</c:v>
                </c:pt>
                <c:pt idx="195">
                  <c:v>49</c:v>
                </c:pt>
                <c:pt idx="196">
                  <c:v>49</c:v>
                </c:pt>
                <c:pt idx="197">
                  <c:v>83</c:v>
                </c:pt>
                <c:pt idx="198">
                  <c:v>75</c:v>
                </c:pt>
                <c:pt idx="199">
                  <c:v>72</c:v>
                </c:pt>
                <c:pt idx="200">
                  <c:v>82</c:v>
                </c:pt>
                <c:pt idx="201">
                  <c:v>92</c:v>
                </c:pt>
                <c:pt idx="202">
                  <c:v>62</c:v>
                </c:pt>
                <c:pt idx="203">
                  <c:v>48</c:v>
                </c:pt>
                <c:pt idx="204">
                  <c:v>41</c:v>
                </c:pt>
                <c:pt idx="205">
                  <c:v>38</c:v>
                </c:pt>
                <c:pt idx="206">
                  <c:v>20</c:v>
                </c:pt>
                <c:pt idx="207">
                  <c:v>15</c:v>
                </c:pt>
                <c:pt idx="208">
                  <c:v>6</c:v>
                </c:pt>
                <c:pt idx="209">
                  <c:v>5</c:v>
                </c:pt>
                <c:pt idx="210">
                  <c:v>1</c:v>
                </c:pt>
                <c:pt idx="211">
                  <c:v>3</c:v>
                </c:pt>
                <c:pt idx="212">
                  <c:v>1</c:v>
                </c:pt>
                <c:pt idx="213">
                  <c:v>3</c:v>
                </c:pt>
                <c:pt idx="214">
                  <c:v>3</c:v>
                </c:pt>
                <c:pt idx="215">
                  <c:v>31</c:v>
                </c:pt>
                <c:pt idx="216">
                  <c:v>77</c:v>
                </c:pt>
                <c:pt idx="217">
                  <c:v>188</c:v>
                </c:pt>
                <c:pt idx="218">
                  <c:v>94</c:v>
                </c:pt>
                <c:pt idx="219">
                  <c:v>31</c:v>
                </c:pt>
                <c:pt idx="220">
                  <c:v>30</c:v>
                </c:pt>
                <c:pt idx="221">
                  <c:v>52</c:v>
                </c:pt>
                <c:pt idx="222">
                  <c:v>54</c:v>
                </c:pt>
                <c:pt idx="223">
                  <c:v>47</c:v>
                </c:pt>
                <c:pt idx="224">
                  <c:v>45</c:v>
                </c:pt>
                <c:pt idx="225">
                  <c:v>74</c:v>
                </c:pt>
                <c:pt idx="226">
                  <c:v>178</c:v>
                </c:pt>
                <c:pt idx="227">
                  <c:v>155</c:v>
                </c:pt>
                <c:pt idx="228">
                  <c:v>95</c:v>
                </c:pt>
                <c:pt idx="229">
                  <c:v>74</c:v>
                </c:pt>
                <c:pt idx="230">
                  <c:v>38</c:v>
                </c:pt>
                <c:pt idx="231">
                  <c:v>24</c:v>
                </c:pt>
                <c:pt idx="232">
                  <c:v>18</c:v>
                </c:pt>
                <c:pt idx="233">
                  <c:v>12</c:v>
                </c:pt>
                <c:pt idx="234">
                  <c:v>3</c:v>
                </c:pt>
                <c:pt idx="235">
                  <c:v>3</c:v>
                </c:pt>
                <c:pt idx="236">
                  <c:v>6</c:v>
                </c:pt>
                <c:pt idx="237">
                  <c:v>27</c:v>
                </c:pt>
                <c:pt idx="238">
                  <c:v>99</c:v>
                </c:pt>
                <c:pt idx="239">
                  <c:v>217</c:v>
                </c:pt>
                <c:pt idx="240">
                  <c:v>130</c:v>
                </c:pt>
                <c:pt idx="241">
                  <c:v>54</c:v>
                </c:pt>
                <c:pt idx="242">
                  <c:v>35</c:v>
                </c:pt>
                <c:pt idx="243">
                  <c:v>57</c:v>
                </c:pt>
                <c:pt idx="244">
                  <c:v>52</c:v>
                </c:pt>
                <c:pt idx="245">
                  <c:v>63</c:v>
                </c:pt>
                <c:pt idx="246">
                  <c:v>47</c:v>
                </c:pt>
                <c:pt idx="247">
                  <c:v>76</c:v>
                </c:pt>
                <c:pt idx="248">
                  <c:v>136</c:v>
                </c:pt>
                <c:pt idx="249">
                  <c:v>95</c:v>
                </c:pt>
                <c:pt idx="250">
                  <c:v>51</c:v>
                </c:pt>
                <c:pt idx="251">
                  <c:v>32</c:v>
                </c:pt>
                <c:pt idx="252">
                  <c:v>20</c:v>
                </c:pt>
                <c:pt idx="253">
                  <c:v>29</c:v>
                </c:pt>
                <c:pt idx="254">
                  <c:v>19</c:v>
                </c:pt>
                <c:pt idx="255">
                  <c:v>7</c:v>
                </c:pt>
                <c:pt idx="256">
                  <c:v>6</c:v>
                </c:pt>
                <c:pt idx="257">
                  <c:v>1</c:v>
                </c:pt>
                <c:pt idx="258">
                  <c:v>5</c:v>
                </c:pt>
                <c:pt idx="259">
                  <c:v>16</c:v>
                </c:pt>
                <c:pt idx="260">
                  <c:v>54</c:v>
                </c:pt>
                <c:pt idx="261">
                  <c:v>128</c:v>
                </c:pt>
                <c:pt idx="262">
                  <c:v>81</c:v>
                </c:pt>
                <c:pt idx="263">
                  <c:v>39</c:v>
                </c:pt>
                <c:pt idx="264">
                  <c:v>35</c:v>
                </c:pt>
                <c:pt idx="265">
                  <c:v>55</c:v>
                </c:pt>
                <c:pt idx="266">
                  <c:v>49</c:v>
                </c:pt>
                <c:pt idx="267">
                  <c:v>44</c:v>
                </c:pt>
                <c:pt idx="268">
                  <c:v>49</c:v>
                </c:pt>
                <c:pt idx="269">
                  <c:v>68</c:v>
                </c:pt>
                <c:pt idx="270">
                  <c:v>139</c:v>
                </c:pt>
                <c:pt idx="271">
                  <c:v>137</c:v>
                </c:pt>
                <c:pt idx="272">
                  <c:v>83</c:v>
                </c:pt>
                <c:pt idx="273">
                  <c:v>56</c:v>
                </c:pt>
                <c:pt idx="274">
                  <c:v>57</c:v>
                </c:pt>
                <c:pt idx="275">
                  <c:v>33</c:v>
                </c:pt>
                <c:pt idx="276">
                  <c:v>20</c:v>
                </c:pt>
                <c:pt idx="277">
                  <c:v>7</c:v>
                </c:pt>
                <c:pt idx="278">
                  <c:v>2</c:v>
                </c:pt>
                <c:pt idx="279">
                  <c:v>2</c:v>
                </c:pt>
                <c:pt idx="280">
                  <c:v>3</c:v>
                </c:pt>
                <c:pt idx="281">
                  <c:v>4</c:v>
                </c:pt>
                <c:pt idx="282">
                  <c:v>3</c:v>
                </c:pt>
                <c:pt idx="283">
                  <c:v>28</c:v>
                </c:pt>
                <c:pt idx="284">
                  <c:v>72</c:v>
                </c:pt>
                <c:pt idx="285">
                  <c:v>202</c:v>
                </c:pt>
                <c:pt idx="286">
                  <c:v>139</c:v>
                </c:pt>
                <c:pt idx="287">
                  <c:v>38</c:v>
                </c:pt>
                <c:pt idx="288">
                  <c:v>37</c:v>
                </c:pt>
                <c:pt idx="289">
                  <c:v>52</c:v>
                </c:pt>
                <c:pt idx="290">
                  <c:v>83</c:v>
                </c:pt>
                <c:pt idx="291">
                  <c:v>42</c:v>
                </c:pt>
                <c:pt idx="292">
                  <c:v>60</c:v>
                </c:pt>
                <c:pt idx="293">
                  <c:v>78</c:v>
                </c:pt>
                <c:pt idx="294">
                  <c:v>162</c:v>
                </c:pt>
                <c:pt idx="295">
                  <c:v>144</c:v>
                </c:pt>
                <c:pt idx="296">
                  <c:v>99</c:v>
                </c:pt>
                <c:pt idx="297">
                  <c:v>64</c:v>
                </c:pt>
                <c:pt idx="298">
                  <c:v>40</c:v>
                </c:pt>
                <c:pt idx="299">
                  <c:v>30</c:v>
                </c:pt>
                <c:pt idx="300">
                  <c:v>15</c:v>
                </c:pt>
                <c:pt idx="301">
                  <c:v>14</c:v>
                </c:pt>
                <c:pt idx="302">
                  <c:v>5</c:v>
                </c:pt>
                <c:pt idx="303">
                  <c:v>1</c:v>
                </c:pt>
                <c:pt idx="304">
                  <c:v>1</c:v>
                </c:pt>
                <c:pt idx="305">
                  <c:v>8</c:v>
                </c:pt>
                <c:pt idx="306">
                  <c:v>17</c:v>
                </c:pt>
                <c:pt idx="307">
                  <c:v>70</c:v>
                </c:pt>
                <c:pt idx="308">
                  <c:v>158</c:v>
                </c:pt>
                <c:pt idx="309">
                  <c:v>117</c:v>
                </c:pt>
                <c:pt idx="310">
                  <c:v>44</c:v>
                </c:pt>
                <c:pt idx="311">
                  <c:v>53</c:v>
                </c:pt>
                <c:pt idx="312">
                  <c:v>61</c:v>
                </c:pt>
                <c:pt idx="313">
                  <c:v>77</c:v>
                </c:pt>
                <c:pt idx="314">
                  <c:v>64</c:v>
                </c:pt>
                <c:pt idx="315">
                  <c:v>68</c:v>
                </c:pt>
                <c:pt idx="316">
                  <c:v>90</c:v>
                </c:pt>
                <c:pt idx="317">
                  <c:v>159</c:v>
                </c:pt>
                <c:pt idx="318">
                  <c:v>139</c:v>
                </c:pt>
                <c:pt idx="319">
                  <c:v>92</c:v>
                </c:pt>
                <c:pt idx="320">
                  <c:v>68</c:v>
                </c:pt>
                <c:pt idx="321">
                  <c:v>52</c:v>
                </c:pt>
                <c:pt idx="322">
                  <c:v>36</c:v>
                </c:pt>
                <c:pt idx="323">
                  <c:v>27</c:v>
                </c:pt>
                <c:pt idx="324">
                  <c:v>28</c:v>
                </c:pt>
                <c:pt idx="325">
                  <c:v>20</c:v>
                </c:pt>
                <c:pt idx="326">
                  <c:v>12</c:v>
                </c:pt>
                <c:pt idx="327">
                  <c:v>8</c:v>
                </c:pt>
                <c:pt idx="328">
                  <c:v>5</c:v>
                </c:pt>
                <c:pt idx="329">
                  <c:v>1</c:v>
                </c:pt>
                <c:pt idx="330">
                  <c:v>3</c:v>
                </c:pt>
                <c:pt idx="331">
                  <c:v>10</c:v>
                </c:pt>
                <c:pt idx="332">
                  <c:v>23</c:v>
                </c:pt>
                <c:pt idx="333">
                  <c:v>33</c:v>
                </c:pt>
                <c:pt idx="334">
                  <c:v>59</c:v>
                </c:pt>
                <c:pt idx="335">
                  <c:v>72</c:v>
                </c:pt>
                <c:pt idx="336">
                  <c:v>89</c:v>
                </c:pt>
                <c:pt idx="337">
                  <c:v>101</c:v>
                </c:pt>
                <c:pt idx="338">
                  <c:v>118</c:v>
                </c:pt>
                <c:pt idx="339">
                  <c:v>129</c:v>
                </c:pt>
                <c:pt idx="340">
                  <c:v>128</c:v>
                </c:pt>
                <c:pt idx="341">
                  <c:v>83</c:v>
                </c:pt>
                <c:pt idx="342">
                  <c:v>84</c:v>
                </c:pt>
                <c:pt idx="343">
                  <c:v>74</c:v>
                </c:pt>
                <c:pt idx="344">
                  <c:v>41</c:v>
                </c:pt>
                <c:pt idx="345">
                  <c:v>57</c:v>
                </c:pt>
                <c:pt idx="346">
                  <c:v>26</c:v>
                </c:pt>
                <c:pt idx="347">
                  <c:v>44</c:v>
                </c:pt>
                <c:pt idx="348">
                  <c:v>39</c:v>
                </c:pt>
                <c:pt idx="349">
                  <c:v>23</c:v>
                </c:pt>
                <c:pt idx="350">
                  <c:v>16</c:v>
                </c:pt>
                <c:pt idx="351">
                  <c:v>15</c:v>
                </c:pt>
                <c:pt idx="352">
                  <c:v>1</c:v>
                </c:pt>
                <c:pt idx="353">
                  <c:v>2</c:v>
                </c:pt>
                <c:pt idx="354">
                  <c:v>1</c:v>
                </c:pt>
                <c:pt idx="355">
                  <c:v>3</c:v>
                </c:pt>
                <c:pt idx="356">
                  <c:v>18</c:v>
                </c:pt>
                <c:pt idx="357">
                  <c:v>32</c:v>
                </c:pt>
                <c:pt idx="358">
                  <c:v>79</c:v>
                </c:pt>
                <c:pt idx="359">
                  <c:v>93</c:v>
                </c:pt>
                <c:pt idx="360">
                  <c:v>104</c:v>
                </c:pt>
                <c:pt idx="361">
                  <c:v>118</c:v>
                </c:pt>
                <c:pt idx="362">
                  <c:v>91</c:v>
                </c:pt>
                <c:pt idx="363">
                  <c:v>113</c:v>
                </c:pt>
                <c:pt idx="364">
                  <c:v>99</c:v>
                </c:pt>
                <c:pt idx="365">
                  <c:v>105</c:v>
                </c:pt>
                <c:pt idx="366">
                  <c:v>67</c:v>
                </c:pt>
                <c:pt idx="367">
                  <c:v>61</c:v>
                </c:pt>
                <c:pt idx="368">
                  <c:v>57</c:v>
                </c:pt>
                <c:pt idx="369">
                  <c:v>28</c:v>
                </c:pt>
                <c:pt idx="370">
                  <c:v>21</c:v>
                </c:pt>
                <c:pt idx="371">
                  <c:v>18</c:v>
                </c:pt>
                <c:pt idx="372">
                  <c:v>17</c:v>
                </c:pt>
                <c:pt idx="373">
                  <c:v>16</c:v>
                </c:pt>
                <c:pt idx="374">
                  <c:v>8</c:v>
                </c:pt>
                <c:pt idx="375">
                  <c:v>2</c:v>
                </c:pt>
                <c:pt idx="376">
                  <c:v>3</c:v>
                </c:pt>
                <c:pt idx="377">
                  <c:v>1</c:v>
                </c:pt>
                <c:pt idx="378">
                  <c:v>5</c:v>
                </c:pt>
                <c:pt idx="379">
                  <c:v>13</c:v>
                </c:pt>
                <c:pt idx="380">
                  <c:v>33</c:v>
                </c:pt>
                <c:pt idx="381">
                  <c:v>47</c:v>
                </c:pt>
                <c:pt idx="382">
                  <c:v>57</c:v>
                </c:pt>
                <c:pt idx="383">
                  <c:v>64</c:v>
                </c:pt>
                <c:pt idx="384">
                  <c:v>80</c:v>
                </c:pt>
                <c:pt idx="385">
                  <c:v>93</c:v>
                </c:pt>
                <c:pt idx="386">
                  <c:v>86</c:v>
                </c:pt>
                <c:pt idx="387">
                  <c:v>93</c:v>
                </c:pt>
                <c:pt idx="388">
                  <c:v>82</c:v>
                </c:pt>
                <c:pt idx="389">
                  <c:v>71</c:v>
                </c:pt>
                <c:pt idx="390">
                  <c:v>92</c:v>
                </c:pt>
                <c:pt idx="391">
                  <c:v>60</c:v>
                </c:pt>
                <c:pt idx="392">
                  <c:v>33</c:v>
                </c:pt>
                <c:pt idx="393">
                  <c:v>27</c:v>
                </c:pt>
                <c:pt idx="394">
                  <c:v>13</c:v>
                </c:pt>
                <c:pt idx="395">
                  <c:v>4</c:v>
                </c:pt>
                <c:pt idx="396">
                  <c:v>3</c:v>
                </c:pt>
                <c:pt idx="397">
                  <c:v>22</c:v>
                </c:pt>
                <c:pt idx="398">
                  <c:v>28</c:v>
                </c:pt>
                <c:pt idx="399">
                  <c:v>35</c:v>
                </c:pt>
                <c:pt idx="400">
                  <c:v>61</c:v>
                </c:pt>
                <c:pt idx="401">
                  <c:v>125</c:v>
                </c:pt>
                <c:pt idx="402">
                  <c:v>133</c:v>
                </c:pt>
                <c:pt idx="403">
                  <c:v>99</c:v>
                </c:pt>
                <c:pt idx="404">
                  <c:v>83</c:v>
                </c:pt>
                <c:pt idx="405">
                  <c:v>41</c:v>
                </c:pt>
                <c:pt idx="406">
                  <c:v>33</c:v>
                </c:pt>
                <c:pt idx="407">
                  <c:v>20</c:v>
                </c:pt>
                <c:pt idx="408">
                  <c:v>3</c:v>
                </c:pt>
                <c:pt idx="409">
                  <c:v>7</c:v>
                </c:pt>
                <c:pt idx="410">
                  <c:v>3</c:v>
                </c:pt>
                <c:pt idx="411">
                  <c:v>2</c:v>
                </c:pt>
                <c:pt idx="412">
                  <c:v>7</c:v>
                </c:pt>
                <c:pt idx="413">
                  <c:v>32</c:v>
                </c:pt>
                <c:pt idx="414">
                  <c:v>90</c:v>
                </c:pt>
                <c:pt idx="415">
                  <c:v>197</c:v>
                </c:pt>
                <c:pt idx="416">
                  <c:v>109</c:v>
                </c:pt>
                <c:pt idx="417">
                  <c:v>47</c:v>
                </c:pt>
                <c:pt idx="418">
                  <c:v>52</c:v>
                </c:pt>
                <c:pt idx="419">
                  <c:v>70</c:v>
                </c:pt>
                <c:pt idx="420">
                  <c:v>78</c:v>
                </c:pt>
                <c:pt idx="421">
                  <c:v>75</c:v>
                </c:pt>
                <c:pt idx="422">
                  <c:v>82</c:v>
                </c:pt>
                <c:pt idx="423">
                  <c:v>104</c:v>
                </c:pt>
                <c:pt idx="424">
                  <c:v>197</c:v>
                </c:pt>
                <c:pt idx="425">
                  <c:v>161</c:v>
                </c:pt>
                <c:pt idx="426">
                  <c:v>112</c:v>
                </c:pt>
                <c:pt idx="427">
                  <c:v>76</c:v>
                </c:pt>
                <c:pt idx="428">
                  <c:v>59</c:v>
                </c:pt>
                <c:pt idx="429">
                  <c:v>59</c:v>
                </c:pt>
                <c:pt idx="430">
                  <c:v>28</c:v>
                </c:pt>
                <c:pt idx="431">
                  <c:v>13</c:v>
                </c:pt>
                <c:pt idx="432">
                  <c:v>5</c:v>
                </c:pt>
                <c:pt idx="433">
                  <c:v>2</c:v>
                </c:pt>
                <c:pt idx="434">
                  <c:v>1</c:v>
                </c:pt>
                <c:pt idx="435">
                  <c:v>1</c:v>
                </c:pt>
                <c:pt idx="436">
                  <c:v>6</c:v>
                </c:pt>
                <c:pt idx="437">
                  <c:v>35</c:v>
                </c:pt>
                <c:pt idx="438">
                  <c:v>101</c:v>
                </c:pt>
                <c:pt idx="439">
                  <c:v>249</c:v>
                </c:pt>
                <c:pt idx="440">
                  <c:v>143</c:v>
                </c:pt>
                <c:pt idx="441">
                  <c:v>57</c:v>
                </c:pt>
                <c:pt idx="442">
                  <c:v>68</c:v>
                </c:pt>
                <c:pt idx="443">
                  <c:v>84</c:v>
                </c:pt>
                <c:pt idx="444">
                  <c:v>98</c:v>
                </c:pt>
                <c:pt idx="445">
                  <c:v>81</c:v>
                </c:pt>
                <c:pt idx="446">
                  <c:v>70</c:v>
                </c:pt>
                <c:pt idx="447">
                  <c:v>91</c:v>
                </c:pt>
                <c:pt idx="448">
                  <c:v>215</c:v>
                </c:pt>
                <c:pt idx="449">
                  <c:v>185</c:v>
                </c:pt>
                <c:pt idx="450">
                  <c:v>152</c:v>
                </c:pt>
                <c:pt idx="451">
                  <c:v>126</c:v>
                </c:pt>
                <c:pt idx="452">
                  <c:v>57</c:v>
                </c:pt>
                <c:pt idx="453">
                  <c:v>56</c:v>
                </c:pt>
                <c:pt idx="454">
                  <c:v>31</c:v>
                </c:pt>
                <c:pt idx="455">
                  <c:v>21</c:v>
                </c:pt>
                <c:pt idx="456">
                  <c:v>6</c:v>
                </c:pt>
                <c:pt idx="457">
                  <c:v>2</c:v>
                </c:pt>
                <c:pt idx="458">
                  <c:v>1</c:v>
                </c:pt>
                <c:pt idx="459">
                  <c:v>1</c:v>
                </c:pt>
                <c:pt idx="460">
                  <c:v>5</c:v>
                </c:pt>
                <c:pt idx="461">
                  <c:v>27</c:v>
                </c:pt>
                <c:pt idx="462">
                  <c:v>68</c:v>
                </c:pt>
                <c:pt idx="463">
                  <c:v>217</c:v>
                </c:pt>
                <c:pt idx="464">
                  <c:v>166</c:v>
                </c:pt>
                <c:pt idx="465">
                  <c:v>63</c:v>
                </c:pt>
                <c:pt idx="466">
                  <c:v>59</c:v>
                </c:pt>
                <c:pt idx="467">
                  <c:v>78</c:v>
                </c:pt>
                <c:pt idx="468">
                  <c:v>73</c:v>
                </c:pt>
                <c:pt idx="469">
                  <c:v>62</c:v>
                </c:pt>
                <c:pt idx="470">
                  <c:v>65</c:v>
                </c:pt>
                <c:pt idx="471">
                  <c:v>97</c:v>
                </c:pt>
                <c:pt idx="472">
                  <c:v>161</c:v>
                </c:pt>
                <c:pt idx="473">
                  <c:v>120</c:v>
                </c:pt>
                <c:pt idx="474">
                  <c:v>96</c:v>
                </c:pt>
                <c:pt idx="475">
                  <c:v>53</c:v>
                </c:pt>
                <c:pt idx="476">
                  <c:v>41</c:v>
                </c:pt>
                <c:pt idx="477">
                  <c:v>34</c:v>
                </c:pt>
                <c:pt idx="478">
                  <c:v>27</c:v>
                </c:pt>
                <c:pt idx="479">
                  <c:v>13</c:v>
                </c:pt>
                <c:pt idx="480">
                  <c:v>12</c:v>
                </c:pt>
                <c:pt idx="481">
                  <c:v>11</c:v>
                </c:pt>
                <c:pt idx="482">
                  <c:v>7</c:v>
                </c:pt>
                <c:pt idx="483">
                  <c:v>3</c:v>
                </c:pt>
                <c:pt idx="484">
                  <c:v>2</c:v>
                </c:pt>
                <c:pt idx="485">
                  <c:v>8</c:v>
                </c:pt>
                <c:pt idx="486">
                  <c:v>27</c:v>
                </c:pt>
                <c:pt idx="487">
                  <c:v>40</c:v>
                </c:pt>
                <c:pt idx="488">
                  <c:v>53</c:v>
                </c:pt>
                <c:pt idx="489">
                  <c:v>63</c:v>
                </c:pt>
                <c:pt idx="490">
                  <c:v>70</c:v>
                </c:pt>
                <c:pt idx="491">
                  <c:v>84</c:v>
                </c:pt>
                <c:pt idx="492">
                  <c:v>75</c:v>
                </c:pt>
                <c:pt idx="493">
                  <c:v>103</c:v>
                </c:pt>
                <c:pt idx="494">
                  <c:v>83</c:v>
                </c:pt>
                <c:pt idx="495">
                  <c:v>67</c:v>
                </c:pt>
                <c:pt idx="496">
                  <c:v>54</c:v>
                </c:pt>
                <c:pt idx="497">
                  <c:v>59</c:v>
                </c:pt>
                <c:pt idx="498">
                  <c:v>45</c:v>
                </c:pt>
                <c:pt idx="499">
                  <c:v>39</c:v>
                </c:pt>
                <c:pt idx="500">
                  <c:v>30</c:v>
                </c:pt>
                <c:pt idx="501">
                  <c:v>33</c:v>
                </c:pt>
                <c:pt idx="502">
                  <c:v>22</c:v>
                </c:pt>
                <c:pt idx="503">
                  <c:v>13</c:v>
                </c:pt>
                <c:pt idx="504">
                  <c:v>18</c:v>
                </c:pt>
                <c:pt idx="505">
                  <c:v>5</c:v>
                </c:pt>
                <c:pt idx="506">
                  <c:v>3</c:v>
                </c:pt>
                <c:pt idx="507">
                  <c:v>1</c:v>
                </c:pt>
                <c:pt idx="508">
                  <c:v>2</c:v>
                </c:pt>
                <c:pt idx="509">
                  <c:v>19</c:v>
                </c:pt>
                <c:pt idx="510">
                  <c:v>28</c:v>
                </c:pt>
                <c:pt idx="511">
                  <c:v>58</c:v>
                </c:pt>
                <c:pt idx="512">
                  <c:v>99</c:v>
                </c:pt>
                <c:pt idx="513">
                  <c:v>116</c:v>
                </c:pt>
                <c:pt idx="514">
                  <c:v>87</c:v>
                </c:pt>
                <c:pt idx="515">
                  <c:v>110</c:v>
                </c:pt>
                <c:pt idx="516">
                  <c:v>77</c:v>
                </c:pt>
                <c:pt idx="517">
                  <c:v>65</c:v>
                </c:pt>
                <c:pt idx="518">
                  <c:v>55</c:v>
                </c:pt>
                <c:pt idx="519">
                  <c:v>49</c:v>
                </c:pt>
                <c:pt idx="520">
                  <c:v>50</c:v>
                </c:pt>
                <c:pt idx="521">
                  <c:v>35</c:v>
                </c:pt>
                <c:pt idx="522">
                  <c:v>25</c:v>
                </c:pt>
                <c:pt idx="523">
                  <c:v>28</c:v>
                </c:pt>
                <c:pt idx="524">
                  <c:v>21</c:v>
                </c:pt>
                <c:pt idx="525">
                  <c:v>7</c:v>
                </c:pt>
                <c:pt idx="526">
                  <c:v>1</c:v>
                </c:pt>
                <c:pt idx="527">
                  <c:v>1</c:v>
                </c:pt>
                <c:pt idx="528">
                  <c:v>1</c:v>
                </c:pt>
                <c:pt idx="529">
                  <c:v>5</c:v>
                </c:pt>
                <c:pt idx="530">
                  <c:v>15</c:v>
                </c:pt>
                <c:pt idx="531">
                  <c:v>84</c:v>
                </c:pt>
                <c:pt idx="532">
                  <c:v>177</c:v>
                </c:pt>
                <c:pt idx="533">
                  <c:v>102</c:v>
                </c:pt>
                <c:pt idx="534">
                  <c:v>40</c:v>
                </c:pt>
                <c:pt idx="535">
                  <c:v>46</c:v>
                </c:pt>
                <c:pt idx="536">
                  <c:v>63</c:v>
                </c:pt>
                <c:pt idx="537">
                  <c:v>60</c:v>
                </c:pt>
                <c:pt idx="538">
                  <c:v>45</c:v>
                </c:pt>
                <c:pt idx="539">
                  <c:v>57</c:v>
                </c:pt>
                <c:pt idx="540">
                  <c:v>70</c:v>
                </c:pt>
                <c:pt idx="541">
                  <c:v>184</c:v>
                </c:pt>
                <c:pt idx="542">
                  <c:v>153</c:v>
                </c:pt>
                <c:pt idx="543">
                  <c:v>106</c:v>
                </c:pt>
                <c:pt idx="544">
                  <c:v>81</c:v>
                </c:pt>
                <c:pt idx="545">
                  <c:v>59</c:v>
                </c:pt>
                <c:pt idx="546">
                  <c:v>35</c:v>
                </c:pt>
                <c:pt idx="547">
                  <c:v>24</c:v>
                </c:pt>
                <c:pt idx="548">
                  <c:v>9</c:v>
                </c:pt>
                <c:pt idx="549">
                  <c:v>5</c:v>
                </c:pt>
                <c:pt idx="550">
                  <c:v>2</c:v>
                </c:pt>
                <c:pt idx="551">
                  <c:v>1</c:v>
                </c:pt>
                <c:pt idx="552">
                  <c:v>9</c:v>
                </c:pt>
                <c:pt idx="553">
                  <c:v>36</c:v>
                </c:pt>
                <c:pt idx="554">
                  <c:v>108</c:v>
                </c:pt>
                <c:pt idx="555">
                  <c:v>238</c:v>
                </c:pt>
                <c:pt idx="556">
                  <c:v>144</c:v>
                </c:pt>
                <c:pt idx="557">
                  <c:v>55</c:v>
                </c:pt>
                <c:pt idx="558">
                  <c:v>61</c:v>
                </c:pt>
                <c:pt idx="559">
                  <c:v>106</c:v>
                </c:pt>
                <c:pt idx="560">
                  <c:v>93</c:v>
                </c:pt>
                <c:pt idx="561">
                  <c:v>68</c:v>
                </c:pt>
                <c:pt idx="562">
                  <c:v>84</c:v>
                </c:pt>
                <c:pt idx="563">
                  <c:v>116</c:v>
                </c:pt>
                <c:pt idx="564">
                  <c:v>222</c:v>
                </c:pt>
                <c:pt idx="565">
                  <c:v>225</c:v>
                </c:pt>
                <c:pt idx="566">
                  <c:v>146</c:v>
                </c:pt>
                <c:pt idx="567">
                  <c:v>119</c:v>
                </c:pt>
                <c:pt idx="568">
                  <c:v>45</c:v>
                </c:pt>
                <c:pt idx="569">
                  <c:v>53</c:v>
                </c:pt>
                <c:pt idx="570">
                  <c:v>40</c:v>
                </c:pt>
                <c:pt idx="571">
                  <c:v>17</c:v>
                </c:pt>
                <c:pt idx="572">
                  <c:v>5</c:v>
                </c:pt>
                <c:pt idx="573">
                  <c:v>10</c:v>
                </c:pt>
                <c:pt idx="574">
                  <c:v>1</c:v>
                </c:pt>
                <c:pt idx="575">
                  <c:v>8</c:v>
                </c:pt>
                <c:pt idx="576">
                  <c:v>30</c:v>
                </c:pt>
                <c:pt idx="577">
                  <c:v>72</c:v>
                </c:pt>
                <c:pt idx="578">
                  <c:v>58</c:v>
                </c:pt>
                <c:pt idx="579">
                  <c:v>28</c:v>
                </c:pt>
                <c:pt idx="580">
                  <c:v>41</c:v>
                </c:pt>
                <c:pt idx="581">
                  <c:v>48</c:v>
                </c:pt>
                <c:pt idx="582">
                  <c:v>47</c:v>
                </c:pt>
                <c:pt idx="583">
                  <c:v>36</c:v>
                </c:pt>
                <c:pt idx="584">
                  <c:v>43</c:v>
                </c:pt>
                <c:pt idx="585">
                  <c:v>36</c:v>
                </c:pt>
                <c:pt idx="586">
                  <c:v>26</c:v>
                </c:pt>
                <c:pt idx="587">
                  <c:v>24</c:v>
                </c:pt>
                <c:pt idx="588">
                  <c:v>84</c:v>
                </c:pt>
                <c:pt idx="589">
                  <c:v>104</c:v>
                </c:pt>
                <c:pt idx="590">
                  <c:v>79</c:v>
                </c:pt>
                <c:pt idx="591">
                  <c:v>59</c:v>
                </c:pt>
                <c:pt idx="592">
                  <c:v>38</c:v>
                </c:pt>
                <c:pt idx="593">
                  <c:v>27</c:v>
                </c:pt>
                <c:pt idx="594">
                  <c:v>16</c:v>
                </c:pt>
                <c:pt idx="595">
                  <c:v>9</c:v>
                </c:pt>
                <c:pt idx="596">
                  <c:v>3</c:v>
                </c:pt>
                <c:pt idx="597">
                  <c:v>2</c:v>
                </c:pt>
                <c:pt idx="598">
                  <c:v>1</c:v>
                </c:pt>
                <c:pt idx="599">
                  <c:v>4</c:v>
                </c:pt>
                <c:pt idx="600">
                  <c:v>16</c:v>
                </c:pt>
                <c:pt idx="601">
                  <c:v>60</c:v>
                </c:pt>
                <c:pt idx="602">
                  <c:v>157</c:v>
                </c:pt>
                <c:pt idx="603">
                  <c:v>101</c:v>
                </c:pt>
                <c:pt idx="604">
                  <c:v>49</c:v>
                </c:pt>
                <c:pt idx="605">
                  <c:v>30</c:v>
                </c:pt>
                <c:pt idx="606">
                  <c:v>29</c:v>
                </c:pt>
                <c:pt idx="607">
                  <c:v>31</c:v>
                </c:pt>
                <c:pt idx="608">
                  <c:v>38</c:v>
                </c:pt>
                <c:pt idx="609">
                  <c:v>41</c:v>
                </c:pt>
              </c:numCache>
            </c:numRef>
          </c:val>
          <c:smooth val="0"/>
          <c:extLst>
            <c:ext xmlns:c16="http://schemas.microsoft.com/office/drawing/2014/chart" uri="{C3380CC4-5D6E-409C-BE32-E72D297353CC}">
              <c16:uniqueId val="{00000000-4077-40C9-B01C-ADAD67D0EC7F}"/>
            </c:ext>
          </c:extLst>
        </c:ser>
        <c:ser>
          <c:idx val="1"/>
          <c:order val="1"/>
          <c:tx>
            <c:strRef>
              <c:f>Customer_Forecast!$C$1</c:f>
              <c:strCache>
                <c:ptCount val="1"/>
                <c:pt idx="0">
                  <c:v>Forecast(Total_customers)</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cat>
            <c:numRef>
              <c:f>Customer_Forecast!$A$2:$A$764</c:f>
              <c:numCache>
                <c:formatCode>0</c:formatCode>
                <c:ptCount val="76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numCache>
            </c:numRef>
          </c:cat>
          <c:val>
            <c:numRef>
              <c:f>Customer_Forecast!$C$2:$C$764</c:f>
              <c:numCache>
                <c:formatCode>General</c:formatCode>
                <c:ptCount val="763"/>
                <c:pt idx="609" formatCode="0">
                  <c:v>41</c:v>
                </c:pt>
                <c:pt idx="610" formatCode="0">
                  <c:v>91.701985245465949</c:v>
                </c:pt>
                <c:pt idx="611" formatCode="0">
                  <c:v>116.76454602936577</c:v>
                </c:pt>
                <c:pt idx="612" formatCode="0">
                  <c:v>100.58083844002016</c:v>
                </c:pt>
                <c:pt idx="613" formatCode="0">
                  <c:v>75.492832739991997</c:v>
                </c:pt>
                <c:pt idx="614" formatCode="0">
                  <c:v>42.986666972786388</c:v>
                </c:pt>
                <c:pt idx="615" formatCode="0">
                  <c:v>30.877077458166546</c:v>
                </c:pt>
                <c:pt idx="616" formatCode="0">
                  <c:v>20.097782241336013</c:v>
                </c:pt>
                <c:pt idx="617" formatCode="0">
                  <c:v>5.2729939055097148</c:v>
                </c:pt>
                <c:pt idx="618" formatCode="0">
                  <c:v>-2.5631090462011059</c:v>
                </c:pt>
                <c:pt idx="619" formatCode="0">
                  <c:v>-4.6874911499871814</c:v>
                </c:pt>
                <c:pt idx="620" formatCode="0">
                  <c:v>-8.0512510926110252</c:v>
                </c:pt>
                <c:pt idx="621" formatCode="0">
                  <c:v>-5.540291377471199</c:v>
                </c:pt>
                <c:pt idx="622" formatCode="0">
                  <c:v>5.8939962825652046</c:v>
                </c:pt>
                <c:pt idx="623" formatCode="0">
                  <c:v>36.50441343088707</c:v>
                </c:pt>
                <c:pt idx="624" formatCode="0">
                  <c:v>78.519742250335014</c:v>
                </c:pt>
                <c:pt idx="625" formatCode="0">
                  <c:v>102.9042945967991</c:v>
                </c:pt>
                <c:pt idx="626" formatCode="0">
                  <c:v>63.466206193792132</c:v>
                </c:pt>
                <c:pt idx="627" formatCode="0">
                  <c:v>41.738332047587647</c:v>
                </c:pt>
                <c:pt idx="628" formatCode="0">
                  <c:v>39.488562202923625</c:v>
                </c:pt>
                <c:pt idx="629" formatCode="0">
                  <c:v>33.706071390807097</c:v>
                </c:pt>
                <c:pt idx="630" formatCode="0">
                  <c:v>32.98517903759415</c:v>
                </c:pt>
                <c:pt idx="631" formatCode="0">
                  <c:v>37.317983294621435</c:v>
                </c:pt>
                <c:pt idx="632" formatCode="0">
                  <c:v>41.218607030325437</c:v>
                </c:pt>
                <c:pt idx="633" formatCode="0">
                  <c:v>91.920592275791392</c:v>
                </c:pt>
                <c:pt idx="634" formatCode="0">
                  <c:v>116.9831530596912</c:v>
                </c:pt>
                <c:pt idx="635" formatCode="0">
                  <c:v>100.79944547034559</c:v>
                </c:pt>
                <c:pt idx="636" formatCode="0">
                  <c:v>75.71143977031744</c:v>
                </c:pt>
                <c:pt idx="637" formatCode="0">
                  <c:v>43.205274003111825</c:v>
                </c:pt>
                <c:pt idx="638" formatCode="0">
                  <c:v>31.095684488491983</c:v>
                </c:pt>
                <c:pt idx="639" formatCode="0">
                  <c:v>20.31638927166145</c:v>
                </c:pt>
                <c:pt idx="640" formatCode="0">
                  <c:v>5.4916009358351516</c:v>
                </c:pt>
                <c:pt idx="641" formatCode="0">
                  <c:v>-2.3445020158756691</c:v>
                </c:pt>
                <c:pt idx="642" formatCode="0">
                  <c:v>-4.4688841196617446</c:v>
                </c:pt>
                <c:pt idx="643" formatCode="0">
                  <c:v>-7.8326440622855884</c:v>
                </c:pt>
                <c:pt idx="644" formatCode="0">
                  <c:v>-5.3216843471457551</c:v>
                </c:pt>
                <c:pt idx="645" formatCode="0">
                  <c:v>6.1126033128906414</c:v>
                </c:pt>
                <c:pt idx="646" formatCode="0">
                  <c:v>36.723020461212514</c:v>
                </c:pt>
                <c:pt idx="647" formatCode="0">
                  <c:v>78.738349280660458</c:v>
                </c:pt>
                <c:pt idx="648" formatCode="0">
                  <c:v>103.12290162712455</c:v>
                </c:pt>
                <c:pt idx="649" formatCode="0">
                  <c:v>63.684813224117576</c:v>
                </c:pt>
                <c:pt idx="650" formatCode="0">
                  <c:v>41.956939077913084</c:v>
                </c:pt>
                <c:pt idx="651" formatCode="0">
                  <c:v>39.707169233249061</c:v>
                </c:pt>
                <c:pt idx="652" formatCode="0">
                  <c:v>33.924678421132541</c:v>
                </c:pt>
                <c:pt idx="653" formatCode="0">
                  <c:v>33.203786067919594</c:v>
                </c:pt>
                <c:pt idx="654" formatCode="0">
                  <c:v>37.536590324946872</c:v>
                </c:pt>
                <c:pt idx="655" formatCode="0">
                  <c:v>41.437214060650874</c:v>
                </c:pt>
                <c:pt idx="656" formatCode="0">
                  <c:v>92.139199306116836</c:v>
                </c:pt>
                <c:pt idx="657" formatCode="0">
                  <c:v>117.20176009001665</c:v>
                </c:pt>
                <c:pt idx="658" formatCode="0">
                  <c:v>101.01805250067102</c:v>
                </c:pt>
                <c:pt idx="659" formatCode="0">
                  <c:v>75.93004680064287</c:v>
                </c:pt>
                <c:pt idx="660" formatCode="0">
                  <c:v>43.423881033437262</c:v>
                </c:pt>
                <c:pt idx="661" formatCode="0">
                  <c:v>31.314291518817427</c:v>
                </c:pt>
                <c:pt idx="662" formatCode="0">
                  <c:v>20.534996301986887</c:v>
                </c:pt>
                <c:pt idx="663" formatCode="0">
                  <c:v>5.7102079661605956</c:v>
                </c:pt>
                <c:pt idx="664" formatCode="0">
                  <c:v>-2.1258949855502323</c:v>
                </c:pt>
                <c:pt idx="665" formatCode="0">
                  <c:v>-4.2502770893363007</c:v>
                </c:pt>
                <c:pt idx="666" formatCode="0">
                  <c:v>-7.6140370319601516</c:v>
                </c:pt>
                <c:pt idx="667" formatCode="0">
                  <c:v>-5.1030773168203183</c:v>
                </c:pt>
                <c:pt idx="668" formatCode="0">
                  <c:v>6.3312103432160782</c:v>
                </c:pt>
                <c:pt idx="669" formatCode="0">
                  <c:v>36.94162749153795</c:v>
                </c:pt>
                <c:pt idx="670" formatCode="0">
                  <c:v>78.956956310985888</c:v>
                </c:pt>
                <c:pt idx="671" formatCode="0">
                  <c:v>103.34150865744999</c:v>
                </c:pt>
                <c:pt idx="672" formatCode="0">
                  <c:v>63.903420254443006</c:v>
                </c:pt>
                <c:pt idx="673" formatCode="0">
                  <c:v>42.175546108238521</c:v>
                </c:pt>
                <c:pt idx="674" formatCode="0">
                  <c:v>39.925776263574498</c:v>
                </c:pt>
                <c:pt idx="675" formatCode="0">
                  <c:v>34.14328545145797</c:v>
                </c:pt>
                <c:pt idx="676" formatCode="0">
                  <c:v>33.422393098245024</c:v>
                </c:pt>
                <c:pt idx="677" formatCode="0">
                  <c:v>37.755197355272308</c:v>
                </c:pt>
                <c:pt idx="678" formatCode="0">
                  <c:v>41.65582109097631</c:v>
                </c:pt>
                <c:pt idx="679" formatCode="0">
                  <c:v>92.357806336442266</c:v>
                </c:pt>
                <c:pt idx="680" formatCode="0">
                  <c:v>117.42036712034209</c:v>
                </c:pt>
                <c:pt idx="681" formatCode="0">
                  <c:v>101.23665953099646</c:v>
                </c:pt>
                <c:pt idx="682" formatCode="0">
                  <c:v>76.148653830968314</c:v>
                </c:pt>
                <c:pt idx="683" formatCode="0">
                  <c:v>43.642488063762698</c:v>
                </c:pt>
                <c:pt idx="684" formatCode="0">
                  <c:v>31.532898549142864</c:v>
                </c:pt>
                <c:pt idx="685" formatCode="0">
                  <c:v>20.753603332312323</c:v>
                </c:pt>
                <c:pt idx="686" formatCode="0">
                  <c:v>5.9288149964860324</c:v>
                </c:pt>
                <c:pt idx="687" formatCode="0">
                  <c:v>-1.9072879552247954</c:v>
                </c:pt>
                <c:pt idx="688" formatCode="0">
                  <c:v>-4.0316700590108638</c:v>
                </c:pt>
                <c:pt idx="689" formatCode="0">
                  <c:v>-7.3954300016347148</c:v>
                </c:pt>
                <c:pt idx="690" formatCode="0">
                  <c:v>-4.8844702864948815</c:v>
                </c:pt>
                <c:pt idx="691" formatCode="0">
                  <c:v>6.5498173735415151</c:v>
                </c:pt>
                <c:pt idx="692" formatCode="0">
                  <c:v>37.160234521863387</c:v>
                </c:pt>
                <c:pt idx="693" formatCode="0">
                  <c:v>79.175563341311317</c:v>
                </c:pt>
                <c:pt idx="694" formatCode="0">
                  <c:v>103.56011568777544</c:v>
                </c:pt>
                <c:pt idx="695" formatCode="0">
                  <c:v>64.12202728476845</c:v>
                </c:pt>
                <c:pt idx="696" formatCode="0">
                  <c:v>42.394153138563958</c:v>
                </c:pt>
                <c:pt idx="697" formatCode="0">
                  <c:v>40.144383293899942</c:v>
                </c:pt>
                <c:pt idx="698" formatCode="0">
                  <c:v>34.361892481783414</c:v>
                </c:pt>
                <c:pt idx="699" formatCode="0">
                  <c:v>33.641000128570468</c:v>
                </c:pt>
                <c:pt idx="700" formatCode="0">
                  <c:v>37.973804385597745</c:v>
                </c:pt>
                <c:pt idx="701" formatCode="0">
                  <c:v>41.874428121301754</c:v>
                </c:pt>
                <c:pt idx="702" formatCode="0">
                  <c:v>92.576413366767696</c:v>
                </c:pt>
                <c:pt idx="703" formatCode="0">
                  <c:v>117.63897415066754</c:v>
                </c:pt>
                <c:pt idx="704" formatCode="0">
                  <c:v>101.45526656132191</c:v>
                </c:pt>
                <c:pt idx="705" formatCode="0">
                  <c:v>76.367260861293744</c:v>
                </c:pt>
                <c:pt idx="706" formatCode="0">
                  <c:v>43.861095094088135</c:v>
                </c:pt>
                <c:pt idx="707" formatCode="0">
                  <c:v>31.751505579468301</c:v>
                </c:pt>
                <c:pt idx="708" formatCode="0">
                  <c:v>20.97221036263776</c:v>
                </c:pt>
                <c:pt idx="709" formatCode="0">
                  <c:v>6.1474220268114692</c:v>
                </c:pt>
                <c:pt idx="710" formatCode="0">
                  <c:v>-1.6886809248993586</c:v>
                </c:pt>
                <c:pt idx="711" formatCode="0">
                  <c:v>-3.813063028685427</c:v>
                </c:pt>
                <c:pt idx="712" formatCode="0">
                  <c:v>-7.1768229713092779</c:v>
                </c:pt>
                <c:pt idx="713" formatCode="0">
                  <c:v>-4.6658632561694446</c:v>
                </c:pt>
                <c:pt idx="714" formatCode="0">
                  <c:v>6.768424403866959</c:v>
                </c:pt>
                <c:pt idx="715" formatCode="0">
                  <c:v>37.378841552188824</c:v>
                </c:pt>
                <c:pt idx="716" formatCode="0">
                  <c:v>79.394170371636761</c:v>
                </c:pt>
                <c:pt idx="717" formatCode="0">
                  <c:v>103.77872271810087</c:v>
                </c:pt>
                <c:pt idx="718" formatCode="0">
                  <c:v>64.340634315093894</c:v>
                </c:pt>
                <c:pt idx="719" formatCode="0">
                  <c:v>42.612760168889395</c:v>
                </c:pt>
                <c:pt idx="720" formatCode="0">
                  <c:v>40.362990324225379</c:v>
                </c:pt>
                <c:pt idx="721" formatCode="0">
                  <c:v>34.580499512108844</c:v>
                </c:pt>
                <c:pt idx="722" formatCode="0">
                  <c:v>33.859607158895912</c:v>
                </c:pt>
                <c:pt idx="723" formatCode="0">
                  <c:v>38.192411415923182</c:v>
                </c:pt>
                <c:pt idx="724" formatCode="0">
                  <c:v>42.093035151627191</c:v>
                </c:pt>
                <c:pt idx="725" formatCode="0">
                  <c:v>92.79502039709314</c:v>
                </c:pt>
                <c:pt idx="726" formatCode="0">
                  <c:v>117.85758118099297</c:v>
                </c:pt>
                <c:pt idx="727" formatCode="0">
                  <c:v>101.67387359164734</c:v>
                </c:pt>
                <c:pt idx="728" formatCode="0">
                  <c:v>76.585867891619188</c:v>
                </c:pt>
                <c:pt idx="729" formatCode="0">
                  <c:v>44.079702124413572</c:v>
                </c:pt>
                <c:pt idx="730" formatCode="0">
                  <c:v>31.970112609793738</c:v>
                </c:pt>
                <c:pt idx="731" formatCode="0">
                  <c:v>21.190817392963204</c:v>
                </c:pt>
                <c:pt idx="732" formatCode="0">
                  <c:v>6.366029057136906</c:v>
                </c:pt>
                <c:pt idx="733" formatCode="0">
                  <c:v>-1.4700738945739147</c:v>
                </c:pt>
                <c:pt idx="734" formatCode="0">
                  <c:v>-3.5944559983599902</c:v>
                </c:pt>
                <c:pt idx="735" formatCode="0">
                  <c:v>-6.958215940983834</c:v>
                </c:pt>
                <c:pt idx="736" formatCode="0">
                  <c:v>-4.4472562258440078</c:v>
                </c:pt>
                <c:pt idx="737" formatCode="0">
                  <c:v>6.9870314341923958</c:v>
                </c:pt>
                <c:pt idx="738" formatCode="0">
                  <c:v>37.597448582514261</c:v>
                </c:pt>
                <c:pt idx="739" formatCode="0">
                  <c:v>79.612777401962205</c:v>
                </c:pt>
                <c:pt idx="740" formatCode="0">
                  <c:v>103.9973297484263</c:v>
                </c:pt>
                <c:pt idx="741" formatCode="0">
                  <c:v>64.559241345419323</c:v>
                </c:pt>
                <c:pt idx="742" formatCode="0">
                  <c:v>42.831367199214831</c:v>
                </c:pt>
                <c:pt idx="743" formatCode="0">
                  <c:v>40.581597354550816</c:v>
                </c:pt>
                <c:pt idx="744" formatCode="0">
                  <c:v>34.799106542434288</c:v>
                </c:pt>
                <c:pt idx="745" formatCode="0">
                  <c:v>34.078214189221342</c:v>
                </c:pt>
                <c:pt idx="746" formatCode="0">
                  <c:v>38.411018446248619</c:v>
                </c:pt>
                <c:pt idx="747" formatCode="0">
                  <c:v>42.311642181952628</c:v>
                </c:pt>
                <c:pt idx="748" formatCode="0">
                  <c:v>93.013627427418584</c:v>
                </c:pt>
                <c:pt idx="749" formatCode="0">
                  <c:v>118.0761882113184</c:v>
                </c:pt>
                <c:pt idx="750" formatCode="0">
                  <c:v>101.89248062197278</c:v>
                </c:pt>
                <c:pt idx="751" formatCode="0">
                  <c:v>76.804474921944632</c:v>
                </c:pt>
                <c:pt idx="752" formatCode="0">
                  <c:v>44.298309154739016</c:v>
                </c:pt>
                <c:pt idx="753" formatCode="0">
                  <c:v>32.188719640119174</c:v>
                </c:pt>
                <c:pt idx="754" formatCode="0">
                  <c:v>21.409424423288641</c:v>
                </c:pt>
                <c:pt idx="755" formatCode="0">
                  <c:v>6.5846360874623429</c:v>
                </c:pt>
                <c:pt idx="756" formatCode="0">
                  <c:v>-1.2514668642484779</c:v>
                </c:pt>
                <c:pt idx="757" formatCode="0">
                  <c:v>-3.3758489680345534</c:v>
                </c:pt>
                <c:pt idx="758" formatCode="0">
                  <c:v>-6.7396089106583972</c:v>
                </c:pt>
                <c:pt idx="759" formatCode="0">
                  <c:v>-4.228649195518571</c:v>
                </c:pt>
                <c:pt idx="760" formatCode="0">
                  <c:v>7.2056384645178326</c:v>
                </c:pt>
                <c:pt idx="761" formatCode="0">
                  <c:v>37.816055612839698</c:v>
                </c:pt>
                <c:pt idx="762" formatCode="0">
                  <c:v>79.831384432287649</c:v>
                </c:pt>
              </c:numCache>
            </c:numRef>
          </c:val>
          <c:smooth val="0"/>
          <c:extLst>
            <c:ext xmlns:c16="http://schemas.microsoft.com/office/drawing/2014/chart" uri="{C3380CC4-5D6E-409C-BE32-E72D297353CC}">
              <c16:uniqueId val="{00000001-4077-40C9-B01C-ADAD67D0EC7F}"/>
            </c:ext>
          </c:extLst>
        </c:ser>
        <c:ser>
          <c:idx val="2"/>
          <c:order val="2"/>
          <c:tx>
            <c:strRef>
              <c:f>Customer_Forecast!$D$1</c:f>
              <c:strCache>
                <c:ptCount val="1"/>
                <c:pt idx="0">
                  <c:v>Lower Bound(Total_customers)</c:v>
                </c:pt>
              </c:strCache>
            </c:strRef>
          </c:tx>
          <c:spPr>
            <a:ln w="34925" cap="rnd">
              <a:solidFill>
                <a:schemeClr val="accent3"/>
              </a:solidFill>
              <a:round/>
            </a:ln>
            <a:effectLst>
              <a:outerShdw blurRad="57150" dist="19050" dir="5400000" algn="ctr" rotWithShape="0">
                <a:srgbClr val="000000">
                  <a:alpha val="63000"/>
                </a:srgbClr>
              </a:outerShdw>
            </a:effectLst>
          </c:spPr>
          <c:marker>
            <c:symbol val="none"/>
          </c:marker>
          <c:cat>
            <c:numRef>
              <c:f>Customer_Forecast!$A$2:$A$764</c:f>
              <c:numCache>
                <c:formatCode>0</c:formatCode>
                <c:ptCount val="76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numCache>
            </c:numRef>
          </c:cat>
          <c:val>
            <c:numRef>
              <c:f>Customer_Forecast!$D$2:$D$764</c:f>
              <c:numCache>
                <c:formatCode>General</c:formatCode>
                <c:ptCount val="763"/>
                <c:pt idx="609" formatCode="0">
                  <c:v>41</c:v>
                </c:pt>
                <c:pt idx="610" formatCode="0">
                  <c:v>5.3777255208341472</c:v>
                </c:pt>
                <c:pt idx="611" formatCode="0">
                  <c:v>30.439897846439237</c:v>
                </c:pt>
                <c:pt idx="612" formatCode="0">
                  <c:v>14.25549966888579</c:v>
                </c:pt>
                <c:pt idx="613" formatCode="0">
                  <c:v>-10.833585064157276</c:v>
                </c:pt>
                <c:pt idx="614" formatCode="0">
                  <c:v>-43.341304615210241</c:v>
                </c:pt>
                <c:pt idx="615" formatCode="0">
                  <c:v>-55.453008957352502</c:v>
                </c:pt>
                <c:pt idx="616" formatCode="0">
                  <c:v>-66.235066319865041</c:v>
                </c:pt>
                <c:pt idx="617" formatCode="0">
                  <c:v>-81.063350369624203</c:v>
                </c:pt>
                <c:pt idx="618" formatCode="0">
                  <c:v>-88.903768822323698</c:v>
                </c:pt>
                <c:pt idx="619" formatCode="0">
                  <c:v>-91.033372393923827</c:v>
                </c:pt>
                <c:pt idx="620" formatCode="0">
                  <c:v>-94.403345903319916</c:v>
                </c:pt>
                <c:pt idx="621" formatCode="0">
                  <c:v>-91.899677928955754</c:v>
                </c:pt>
                <c:pt idx="622" formatCode="0">
                  <c:v>-80.473846191360622</c:v>
                </c:pt>
                <c:pt idx="623" formatCode="0">
                  <c:v>-49.873135076289799</c:v>
                </c:pt>
                <c:pt idx="624" formatCode="0">
                  <c:v>-7.8688482395603785</c:v>
                </c:pt>
                <c:pt idx="625" formatCode="0">
                  <c:v>16.503240439341283</c:v>
                </c:pt>
                <c:pt idx="626" formatCode="0">
                  <c:v>-22.94881893455387</c:v>
                </c:pt>
                <c:pt idx="627" formatCode="0">
                  <c:v>-44.692256842137084</c:v>
                </c:pt>
                <c:pt idx="628" formatCode="0">
                  <c:v>-46.959268579296754</c:v>
                </c:pt>
                <c:pt idx="629" formatCode="0">
                  <c:v>-52.760764593104739</c:v>
                </c:pt>
                <c:pt idx="630" formatCode="0">
                  <c:v>-53.502510455952503</c:v>
                </c:pt>
                <c:pt idx="631" formatCode="0">
                  <c:v>-49.192492818375065</c:v>
                </c:pt>
                <c:pt idx="632" formatCode="0">
                  <c:v>-45.31667339864142</c:v>
                </c:pt>
                <c:pt idx="633" formatCode="0">
                  <c:v>-5.7639949538843354</c:v>
                </c:pt>
                <c:pt idx="634" formatCode="0">
                  <c:v>19.272784870658057</c:v>
                </c:pt>
                <c:pt idx="635" formatCode="0">
                  <c:v>3.0612826547645966</c:v>
                </c:pt>
                <c:pt idx="636" formatCode="0">
                  <c:v>-22.056605841597872</c:v>
                </c:pt>
                <c:pt idx="637" formatCode="0">
                  <c:v>-54.594816855831922</c:v>
                </c:pt>
                <c:pt idx="638" formatCode="0">
                  <c:v>-66.738688111596559</c:v>
                </c:pt>
                <c:pt idx="639" formatCode="0">
                  <c:v>-77.554575353374815</c:v>
                </c:pt>
                <c:pt idx="640" formatCode="0">
                  <c:v>-92.41833951721442</c:v>
                </c:pt>
                <c:pt idx="641" formatCode="0">
                  <c:v>-100.29587533173293</c:v>
                </c:pt>
                <c:pt idx="642" formatCode="0">
                  <c:v>-102.46422025980104</c:v>
                </c:pt>
                <c:pt idx="643" formatCode="0">
                  <c:v>-105.87454559191079</c:v>
                </c:pt>
                <c:pt idx="644" formatCode="0">
                  <c:v>-103.41282609396998</c:v>
                </c:pt>
                <c:pt idx="645" formatCode="0">
                  <c:v>-92.030525381516924</c:v>
                </c:pt>
                <c:pt idx="646" formatCode="0">
                  <c:v>-61.474913435050297</c:v>
                </c:pt>
                <c:pt idx="647" formatCode="0">
                  <c:v>-19.517279197582297</c:v>
                </c:pt>
                <c:pt idx="648" formatCode="0">
                  <c:v>4.8066184784941015</c:v>
                </c:pt>
                <c:pt idx="649" formatCode="0">
                  <c:v>-34.695154954226851</c:v>
                </c:pt>
                <c:pt idx="650" formatCode="0">
                  <c:v>-56.48981430299461</c:v>
                </c:pt>
                <c:pt idx="651" formatCode="0">
                  <c:v>-58.809538858956813</c:v>
                </c:pt>
                <c:pt idx="652" formatCode="0">
                  <c:v>-64.665222728927588</c:v>
                </c:pt>
                <c:pt idx="653" formatCode="0">
                  <c:v>-65.4626148057216</c:v>
                </c:pt>
                <c:pt idx="654" formatCode="0">
                  <c:v>-61.209684717805246</c:v>
                </c:pt>
                <c:pt idx="655" formatCode="0">
                  <c:v>-57.392376816356261</c:v>
                </c:pt>
                <c:pt idx="656" formatCode="0">
                  <c:v>-17.428664362363492</c:v>
                </c:pt>
                <c:pt idx="657" formatCode="0">
                  <c:v>7.5522789808325541</c:v>
                </c:pt>
                <c:pt idx="658" formatCode="0">
                  <c:v>-8.7163468554827119</c:v>
                </c:pt>
                <c:pt idx="659" formatCode="0">
                  <c:v>-33.89263180563529</c:v>
                </c:pt>
                <c:pt idx="660" formatCode="0">
                  <c:v>-66.490497524943578</c:v>
                </c:pt>
                <c:pt idx="661" formatCode="0">
                  <c:v>-78.695266878001064</c:v>
                </c:pt>
                <c:pt idx="662" formatCode="0">
                  <c:v>-89.573280473092154</c:v>
                </c:pt>
                <c:pt idx="663" formatCode="0">
                  <c:v>-104.50038383323883</c:v>
                </c:pt>
                <c:pt idx="664" formatCode="0">
                  <c:v>-112.44245599797475</c:v>
                </c:pt>
                <c:pt idx="665" formatCode="0">
                  <c:v>-114.6765184662637</c:v>
                </c:pt>
                <c:pt idx="666" formatCode="0">
                  <c:v>-118.15372629157332</c:v>
                </c:pt>
                <c:pt idx="667" formatCode="0">
                  <c:v>-115.76003773184725</c:v>
                </c:pt>
                <c:pt idx="668" formatCode="0">
                  <c:v>-104.44689962637159</c:v>
                </c:pt>
                <c:pt idx="669" formatCode="0">
                  <c:v>-73.961564914231559</c:v>
                </c:pt>
                <c:pt idx="670" formatCode="0">
                  <c:v>-32.075305235466018</c:v>
                </c:pt>
                <c:pt idx="671" formatCode="0">
                  <c:v>-7.8238618820098083</c:v>
                </c:pt>
                <c:pt idx="672" formatCode="0">
                  <c:v>-47.399151587872723</c:v>
                </c:pt>
                <c:pt idx="673" formatCode="0">
                  <c:v>-69.268371098985952</c:v>
                </c:pt>
                <c:pt idx="674" formatCode="0">
                  <c:v>-71.66368140273724</c:v>
                </c:pt>
                <c:pt idx="675" formatCode="0">
                  <c:v>-77.595958065679355</c:v>
                </c:pt>
                <c:pt idx="676" formatCode="0">
                  <c:v>-78.470931210258541</c:v>
                </c:pt>
                <c:pt idx="677" formatCode="0">
                  <c:v>-74.296551471306543</c:v>
                </c:pt>
                <c:pt idx="678" formatCode="0">
                  <c:v>-70.558743990380407</c:v>
                </c:pt>
                <c:pt idx="679" formatCode="0">
                  <c:v>-30.205346004432172</c:v>
                </c:pt>
                <c:pt idx="680" formatCode="0">
                  <c:v>-5.300278438324014</c:v>
                </c:pt>
                <c:pt idx="681" formatCode="0">
                  <c:v>-21.645674037432229</c:v>
                </c:pt>
                <c:pt idx="682" formatCode="0">
                  <c:v>-46.899606563677239</c:v>
                </c:pt>
                <c:pt idx="683" formatCode="0">
                  <c:v>-79.57598132645964</c:v>
                </c:pt>
                <c:pt idx="684" formatCode="0">
                  <c:v>-91.860104676891723</c:v>
                </c:pt>
                <c:pt idx="685" formatCode="0">
                  <c:v>-102.81830054845342</c:v>
                </c:pt>
                <c:pt idx="686" formatCode="0">
                  <c:v>-117.82639763456183</c:v>
                </c:pt>
                <c:pt idx="687" formatCode="0">
                  <c:v>-125.85025799714288</c:v>
                </c:pt>
                <c:pt idx="688" formatCode="0">
                  <c:v>-128.16688601661349</c:v>
                </c:pt>
                <c:pt idx="689" formatCode="0">
                  <c:v>-131.72741949427501</c:v>
                </c:pt>
                <c:pt idx="690" formatCode="0">
                  <c:v>-129.41779930985135</c:v>
                </c:pt>
                <c:pt idx="691" formatCode="0">
                  <c:v>-118.18945480615703</c:v>
                </c:pt>
                <c:pt idx="692" formatCode="0">
                  <c:v>-87.789621315579282</c:v>
                </c:pt>
                <c:pt idx="693" formatCode="0">
                  <c:v>-45.989552769470819</c:v>
                </c:pt>
                <c:pt idx="694" formatCode="0">
                  <c:v>-21.824972657530395</c:v>
                </c:pt>
                <c:pt idx="695" formatCode="0">
                  <c:v>-61.487779826607465</c:v>
                </c:pt>
                <c:pt idx="696" formatCode="0">
                  <c:v>-83.445153059348456</c:v>
                </c:pt>
                <c:pt idx="697" formatCode="0">
                  <c:v>-85.929235312692214</c:v>
                </c:pt>
                <c:pt idx="698" formatCode="0">
                  <c:v>-91.950884064685553</c:v>
                </c:pt>
                <c:pt idx="699" formatCode="0">
                  <c:v>-92.915811300450699</c:v>
                </c:pt>
                <c:pt idx="700" formatCode="0">
                  <c:v>-88.831949478033991</c:v>
                </c:pt>
                <c:pt idx="701" formatCode="0">
                  <c:v>-85.185205532204577</c:v>
                </c:pt>
                <c:pt idx="702" formatCode="0">
                  <c:v>-44.439794673026853</c:v>
                </c:pt>
                <c:pt idx="703" formatCode="0">
                  <c:v>-19.622435076043871</c:v>
                </c:pt>
                <c:pt idx="704" formatCode="0">
                  <c:v>-36.056081948043897</c:v>
                </c:pt>
                <c:pt idx="705" formatCode="0">
                  <c:v>-61.39879332929587</c:v>
                </c:pt>
                <c:pt idx="706" formatCode="0">
                  <c:v>-94.164458778370545</c:v>
                </c:pt>
                <c:pt idx="707" formatCode="0">
                  <c:v>-106.53836887373765</c:v>
                </c:pt>
                <c:pt idx="708" formatCode="0">
                  <c:v>-117.5868317618426</c:v>
                </c:pt>
                <c:pt idx="709" formatCode="0">
                  <c:v>-132.68566034214263</c:v>
                </c:pt>
                <c:pt idx="710" formatCode="0">
                  <c:v>-140.80070088317947</c:v>
                </c:pt>
                <c:pt idx="711" formatCode="0">
                  <c:v>-143.20894198008605</c:v>
                </c:pt>
                <c:pt idx="712" formatCode="0">
                  <c:v>-146.86150566451755</c:v>
                </c:pt>
                <c:pt idx="713" formatCode="0">
                  <c:v>-144.64431706972877</c:v>
                </c:pt>
                <c:pt idx="714" formatCode="0">
                  <c:v>-133.508789822773</c:v>
                </c:pt>
                <c:pt idx="715" formatCode="0">
                  <c:v>-103.20214357849497</c:v>
                </c:pt>
                <c:pt idx="716" formatCode="0">
                  <c:v>-61.495616636404009</c:v>
                </c:pt>
                <c:pt idx="717" formatCode="0">
                  <c:v>-37.424916907494222</c:v>
                </c:pt>
                <c:pt idx="718" formatCode="0">
                  <c:v>-77.181927720437045</c:v>
                </c:pt>
                <c:pt idx="719" formatCode="0">
                  <c:v>-99.23381240755333</c:v>
                </c:pt>
                <c:pt idx="720" formatCode="0">
                  <c:v>-101.81269855056273</c:v>
                </c:pt>
                <c:pt idx="721" formatCode="0">
                  <c:v>-107.92942833457101</c:v>
                </c:pt>
                <c:pt idx="722" formatCode="0">
                  <c:v>-108.98969854111688</c:v>
                </c:pt>
                <c:pt idx="723" formatCode="0">
                  <c:v>-105.00142652099925</c:v>
                </c:pt>
                <c:pt idx="724" formatCode="0">
                  <c:v>-101.45050420494303</c:v>
                </c:pt>
                <c:pt idx="725" formatCode="0">
                  <c:v>-60.31146413341034</c:v>
                </c:pt>
                <c:pt idx="726" formatCode="0">
                  <c:v>-35.587378175817733</c:v>
                </c:pt>
                <c:pt idx="727" formatCode="0">
                  <c:v>-52.114557682554519</c:v>
                </c:pt>
                <c:pt idx="728" formatCode="0">
                  <c:v>-77.551047330999666</c:v>
                </c:pt>
                <c:pt idx="729" formatCode="0">
                  <c:v>-110.41072339595185</c:v>
                </c:pt>
                <c:pt idx="730" formatCode="0">
                  <c:v>-122.87886325666747</c:v>
                </c:pt>
                <c:pt idx="731" formatCode="0">
                  <c:v>-134.02176195028903</c:v>
                </c:pt>
                <c:pt idx="732" formatCode="0">
                  <c:v>-149.21521936213645</c:v>
                </c:pt>
                <c:pt idx="733" formatCode="0">
                  <c:v>-157.42506884693304</c:v>
                </c:pt>
                <c:pt idx="734" formatCode="0">
                  <c:v>-159.92828619135801</c:v>
                </c:pt>
                <c:pt idx="735" formatCode="0">
                  <c:v>-163.67598072890962</c:v>
                </c:pt>
                <c:pt idx="736" formatCode="0">
                  <c:v>-161.55406500979663</c:v>
                </c:pt>
                <c:pt idx="737" formatCode="0">
                  <c:v>-150.5139401978272</c:v>
                </c:pt>
                <c:pt idx="738" formatCode="0">
                  <c:v>-120.30281360896419</c:v>
                </c:pt>
                <c:pt idx="739" formatCode="0">
                  <c:v>-78.691911332627285</c:v>
                </c:pt>
                <c:pt idx="740" formatCode="0">
                  <c:v>-54.716929202805858</c:v>
                </c:pt>
                <c:pt idx="741" formatCode="0">
                  <c:v>-94.569738608402403</c:v>
                </c:pt>
                <c:pt idx="742" formatCode="0">
                  <c:v>-116.71749108321208</c:v>
                </c:pt>
                <c:pt idx="743" formatCode="0">
                  <c:v>-119.39230255553099</c:v>
                </c:pt>
                <c:pt idx="744" formatCode="0">
                  <c:v>-125.60500370585149</c:v>
                </c:pt>
                <c:pt idx="745" formatCode="0">
                  <c:v>-126.76127996346364</c:v>
                </c:pt>
                <c:pt idx="746" formatCode="0">
                  <c:v>-122.86903748268097</c:v>
                </c:pt>
                <c:pt idx="747" formatCode="0">
                  <c:v>-119.414157156746</c:v>
                </c:pt>
                <c:pt idx="748" formatCode="0">
                  <c:v>-77.888459527616988</c:v>
                </c:pt>
                <c:pt idx="749" formatCode="0">
                  <c:v>-53.258788102528371</c:v>
                </c:pt>
                <c:pt idx="750" formatCode="0">
                  <c:v>-69.880432763020892</c:v>
                </c:pt>
                <c:pt idx="751" formatCode="0">
                  <c:v>-95.411428008790807</c:v>
                </c:pt>
                <c:pt idx="752" formatCode="0">
                  <c:v>-128.36564006646324</c:v>
                </c:pt>
                <c:pt idx="753" formatCode="0">
                  <c:v>-140.92833639932616</c:v>
                </c:pt>
                <c:pt idx="754" formatCode="0">
                  <c:v>-152.16580226333204</c:v>
                </c:pt>
                <c:pt idx="755" formatCode="0">
                  <c:v>-167.45382789983972</c:v>
                </c:pt>
                <c:pt idx="756" formatCode="0">
                  <c:v>-175.75823715916601</c:v>
                </c:pt>
                <c:pt idx="757" formatCode="0">
                  <c:v>-178.35599646533913</c:v>
                </c:pt>
                <c:pt idx="758" formatCode="0">
                  <c:v>-182.19820593303601</c:v>
                </c:pt>
                <c:pt idx="759" formatCode="0">
                  <c:v>-180.17076903942245</c:v>
                </c:pt>
                <c:pt idx="760" formatCode="0">
                  <c:v>-169.2250780228635</c:v>
                </c:pt>
                <c:pt idx="761" formatCode="0">
                  <c:v>-139.10833142317358</c:v>
                </c:pt>
                <c:pt idx="762" formatCode="0">
                  <c:v>-97.591746704487036</c:v>
                </c:pt>
              </c:numCache>
            </c:numRef>
          </c:val>
          <c:smooth val="0"/>
          <c:extLst>
            <c:ext xmlns:c16="http://schemas.microsoft.com/office/drawing/2014/chart" uri="{C3380CC4-5D6E-409C-BE32-E72D297353CC}">
              <c16:uniqueId val="{00000002-4077-40C9-B01C-ADAD67D0EC7F}"/>
            </c:ext>
          </c:extLst>
        </c:ser>
        <c:ser>
          <c:idx val="3"/>
          <c:order val="3"/>
          <c:tx>
            <c:strRef>
              <c:f>Customer_Forecast!$E$1</c:f>
              <c:strCache>
                <c:ptCount val="1"/>
                <c:pt idx="0">
                  <c:v>Upper Bound(Total_customers)</c:v>
                </c:pt>
              </c:strCache>
            </c:strRef>
          </c:tx>
          <c:spPr>
            <a:ln w="34925" cap="rnd">
              <a:solidFill>
                <a:schemeClr val="accent4"/>
              </a:solidFill>
              <a:round/>
            </a:ln>
            <a:effectLst>
              <a:outerShdw blurRad="57150" dist="19050" dir="5400000" algn="ctr" rotWithShape="0">
                <a:srgbClr val="000000">
                  <a:alpha val="63000"/>
                </a:srgbClr>
              </a:outerShdw>
            </a:effectLst>
          </c:spPr>
          <c:marker>
            <c:symbol val="none"/>
          </c:marker>
          <c:cat>
            <c:numRef>
              <c:f>Customer_Forecast!$A$2:$A$764</c:f>
              <c:numCache>
                <c:formatCode>0</c:formatCode>
                <c:ptCount val="76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numCache>
            </c:numRef>
          </c:cat>
          <c:val>
            <c:numRef>
              <c:f>Customer_Forecast!$E$2:$E$764</c:f>
              <c:numCache>
                <c:formatCode>General</c:formatCode>
                <c:ptCount val="763"/>
                <c:pt idx="609" formatCode="0">
                  <c:v>41</c:v>
                </c:pt>
                <c:pt idx="610" formatCode="0">
                  <c:v>178.02624497009776</c:v>
                </c:pt>
                <c:pt idx="611" formatCode="0">
                  <c:v>203.08919421229231</c:v>
                </c:pt>
                <c:pt idx="612" formatCode="0">
                  <c:v>186.90617721115453</c:v>
                </c:pt>
                <c:pt idx="613" formatCode="0">
                  <c:v>161.81925054414125</c:v>
                </c:pt>
                <c:pt idx="614" formatCode="0">
                  <c:v>129.31463856078301</c:v>
                </c:pt>
                <c:pt idx="615" formatCode="0">
                  <c:v>117.2071638736856</c:v>
                </c:pt>
                <c:pt idx="616" formatCode="0">
                  <c:v>106.43063080253705</c:v>
                </c:pt>
                <c:pt idx="617" formatCode="0">
                  <c:v>91.609338180643647</c:v>
                </c:pt>
                <c:pt idx="618" formatCode="0">
                  <c:v>83.777550729921487</c:v>
                </c:pt>
                <c:pt idx="619" formatCode="0">
                  <c:v>81.658390093949464</c:v>
                </c:pt>
                <c:pt idx="620" formatCode="0">
                  <c:v>78.300843718097866</c:v>
                </c:pt>
                <c:pt idx="621" formatCode="0">
                  <c:v>80.81909517401337</c:v>
                </c:pt>
                <c:pt idx="622" formatCode="0">
                  <c:v>92.261838756491045</c:v>
                </c:pt>
                <c:pt idx="623" formatCode="0">
                  <c:v>122.88196193806394</c:v>
                </c:pt>
                <c:pt idx="624" formatCode="0">
                  <c:v>164.90833274023041</c:v>
                </c:pt>
                <c:pt idx="625" formatCode="0">
                  <c:v>189.30534875425693</c:v>
                </c:pt>
                <c:pt idx="626" formatCode="0">
                  <c:v>149.88123132213815</c:v>
                </c:pt>
                <c:pt idx="627" formatCode="0">
                  <c:v>128.16892093731238</c:v>
                </c:pt>
                <c:pt idx="628" formatCode="0">
                  <c:v>125.93639298514401</c:v>
                </c:pt>
                <c:pt idx="629" formatCode="0">
                  <c:v>120.17290737471893</c:v>
                </c:pt>
                <c:pt idx="630" formatCode="0">
                  <c:v>119.4728685311408</c:v>
                </c:pt>
                <c:pt idx="631" formatCode="0">
                  <c:v>123.82845940761794</c:v>
                </c:pt>
                <c:pt idx="632" formatCode="0">
                  <c:v>127.75388745929229</c:v>
                </c:pt>
                <c:pt idx="633" formatCode="0">
                  <c:v>189.60517950546711</c:v>
                </c:pt>
                <c:pt idx="634" formatCode="0">
                  <c:v>214.69352124872435</c:v>
                </c:pt>
                <c:pt idx="635" formatCode="0">
                  <c:v>198.53760828592658</c:v>
                </c:pt>
                <c:pt idx="636" formatCode="0">
                  <c:v>173.47948538223275</c:v>
                </c:pt>
                <c:pt idx="637" formatCode="0">
                  <c:v>141.00536486205556</c:v>
                </c:pt>
                <c:pt idx="638" formatCode="0">
                  <c:v>128.93005708858053</c:v>
                </c:pt>
                <c:pt idx="639" formatCode="0">
                  <c:v>118.18735389669772</c:v>
                </c:pt>
                <c:pt idx="640" formatCode="0">
                  <c:v>103.40154138888472</c:v>
                </c:pt>
                <c:pt idx="641" formatCode="0">
                  <c:v>95.606871299981577</c:v>
                </c:pt>
                <c:pt idx="642" formatCode="0">
                  <c:v>93.526452020477564</c:v>
                </c:pt>
                <c:pt idx="643" formatCode="0">
                  <c:v>90.209257467339626</c:v>
                </c:pt>
                <c:pt idx="644" formatCode="0">
                  <c:v>92.769457399678487</c:v>
                </c:pt>
                <c:pt idx="645" formatCode="0">
                  <c:v>104.25573200729821</c:v>
                </c:pt>
                <c:pt idx="646" formatCode="0">
                  <c:v>134.92095435747532</c:v>
                </c:pt>
                <c:pt idx="647" formatCode="0">
                  <c:v>176.99397775890321</c:v>
                </c:pt>
                <c:pt idx="648" formatCode="0">
                  <c:v>201.439184775755</c:v>
                </c:pt>
                <c:pt idx="649" formatCode="0">
                  <c:v>162.06478140246202</c:v>
                </c:pt>
                <c:pt idx="650" formatCode="0">
                  <c:v>140.40369245882079</c:v>
                </c:pt>
                <c:pt idx="651" formatCode="0">
                  <c:v>138.22387732545494</c:v>
                </c:pt>
                <c:pt idx="652" formatCode="0">
                  <c:v>132.51457957119266</c:v>
                </c:pt>
                <c:pt idx="653" formatCode="0">
                  <c:v>131.8701869415608</c:v>
                </c:pt>
                <c:pt idx="654" formatCode="0">
                  <c:v>136.282865367699</c:v>
                </c:pt>
                <c:pt idx="655" formatCode="0">
                  <c:v>140.26680493765801</c:v>
                </c:pt>
                <c:pt idx="656" formatCode="0">
                  <c:v>201.70706297459716</c:v>
                </c:pt>
                <c:pt idx="657" formatCode="0">
                  <c:v>226.85124119920073</c:v>
                </c:pt>
                <c:pt idx="658" formatCode="0">
                  <c:v>210.75245185682473</c:v>
                </c:pt>
                <c:pt idx="659" formatCode="0">
                  <c:v>185.75272540692103</c:v>
                </c:pt>
                <c:pt idx="660" formatCode="0">
                  <c:v>153.33825959181809</c:v>
                </c:pt>
                <c:pt idx="661" formatCode="0">
                  <c:v>141.32384991563592</c:v>
                </c:pt>
                <c:pt idx="662" formatCode="0">
                  <c:v>130.64327307706591</c:v>
                </c:pt>
                <c:pt idx="663" formatCode="0">
                  <c:v>115.92079976556002</c:v>
                </c:pt>
                <c:pt idx="664" formatCode="0">
                  <c:v>108.19066602687428</c:v>
                </c:pt>
                <c:pt idx="665" formatCode="0">
                  <c:v>106.17596428759109</c:v>
                </c:pt>
                <c:pt idx="666" formatCode="0">
                  <c:v>102.92565222765302</c:v>
                </c:pt>
                <c:pt idx="667" formatCode="0">
                  <c:v>105.55388309820661</c:v>
                </c:pt>
                <c:pt idx="668" formatCode="0">
                  <c:v>117.10932031280373</c:v>
                </c:pt>
                <c:pt idx="669" formatCode="0">
                  <c:v>147.84481989730747</c:v>
                </c:pt>
                <c:pt idx="670" formatCode="0">
                  <c:v>189.98921785743778</c:v>
                </c:pt>
                <c:pt idx="671" formatCode="0">
                  <c:v>214.50687919690978</c:v>
                </c:pt>
                <c:pt idx="672" formatCode="0">
                  <c:v>175.20599209675873</c:v>
                </c:pt>
                <c:pt idx="673" formatCode="0">
                  <c:v>153.61946331546301</c:v>
                </c:pt>
                <c:pt idx="674" formatCode="0">
                  <c:v>151.51523392988622</c:v>
                </c:pt>
                <c:pt idx="675" formatCode="0">
                  <c:v>145.8825289685953</c:v>
                </c:pt>
                <c:pt idx="676" formatCode="0">
                  <c:v>145.3157174067486</c:v>
                </c:pt>
                <c:pt idx="677" formatCode="0">
                  <c:v>149.80694618185117</c:v>
                </c:pt>
                <c:pt idx="678" formatCode="0">
                  <c:v>153.87038617233301</c:v>
                </c:pt>
                <c:pt idx="679" formatCode="0">
                  <c:v>214.92095867731672</c:v>
                </c:pt>
                <c:pt idx="680" formatCode="0">
                  <c:v>240.14101267900821</c:v>
                </c:pt>
                <c:pt idx="681" formatCode="0">
                  <c:v>224.11899309942515</c:v>
                </c:pt>
                <c:pt idx="682" formatCode="0">
                  <c:v>199.19691422561385</c:v>
                </c:pt>
                <c:pt idx="683" formatCode="0">
                  <c:v>166.86095745398504</c:v>
                </c:pt>
                <c:pt idx="684" formatCode="0">
                  <c:v>154.92590177517746</c:v>
                </c:pt>
                <c:pt idx="685" formatCode="0">
                  <c:v>144.32550721307808</c:v>
                </c:pt>
                <c:pt idx="686" formatCode="0">
                  <c:v>129.68402762753391</c:v>
                </c:pt>
                <c:pt idx="687" formatCode="0">
                  <c:v>122.03568208669327</c:v>
                </c:pt>
                <c:pt idx="688" formatCode="0">
                  <c:v>120.10354589859176</c:v>
                </c:pt>
                <c:pt idx="689" formatCode="0">
                  <c:v>116.93655949100557</c:v>
                </c:pt>
                <c:pt idx="690" formatCode="0">
                  <c:v>119.6488587368616</c:v>
                </c:pt>
                <c:pt idx="691" formatCode="0">
                  <c:v>131.28908955324005</c:v>
                </c:pt>
                <c:pt idx="692" formatCode="0">
                  <c:v>162.11009035930607</c:v>
                </c:pt>
                <c:pt idx="693" formatCode="0">
                  <c:v>204.34067945209347</c:v>
                </c:pt>
                <c:pt idx="694" formatCode="0">
                  <c:v>228.94520403308127</c:v>
                </c:pt>
                <c:pt idx="695" formatCode="0">
                  <c:v>189.73183439614436</c:v>
                </c:pt>
                <c:pt idx="696" formatCode="0">
                  <c:v>168.23345933647636</c:v>
                </c:pt>
                <c:pt idx="697" formatCode="0">
                  <c:v>166.21800190049208</c:v>
                </c:pt>
                <c:pt idx="698" formatCode="0">
                  <c:v>160.67466902825237</c:v>
                </c:pt>
                <c:pt idx="699" formatCode="0">
                  <c:v>160.19781155759165</c:v>
                </c:pt>
                <c:pt idx="700" formatCode="0">
                  <c:v>164.77955824922947</c:v>
                </c:pt>
                <c:pt idx="701" formatCode="0">
                  <c:v>168.9340617748081</c:v>
                </c:pt>
                <c:pt idx="702" formatCode="0">
                  <c:v>229.59262140656224</c:v>
                </c:pt>
                <c:pt idx="703" formatCode="0">
                  <c:v>254.90038337737894</c:v>
                </c:pt>
                <c:pt idx="704" formatCode="0">
                  <c:v>238.96661507068771</c:v>
                </c:pt>
                <c:pt idx="705" formatCode="0">
                  <c:v>214.13331505188336</c:v>
                </c:pt>
                <c:pt idx="706" formatCode="0">
                  <c:v>181.88664896654683</c:v>
                </c:pt>
                <c:pt idx="707" formatCode="0">
                  <c:v>170.04138003267425</c:v>
                </c:pt>
                <c:pt idx="708" formatCode="0">
                  <c:v>159.53125248711811</c:v>
                </c:pt>
                <c:pt idx="709" formatCode="0">
                  <c:v>144.98050439576559</c:v>
                </c:pt>
                <c:pt idx="710" formatCode="0">
                  <c:v>137.42333903338076</c:v>
                </c:pt>
                <c:pt idx="711" formatCode="0">
                  <c:v>135.58281592271518</c:v>
                </c:pt>
                <c:pt idx="712" formatCode="0">
                  <c:v>132.50785972189897</c:v>
                </c:pt>
                <c:pt idx="713" formatCode="0">
                  <c:v>135.31259055738988</c:v>
                </c:pt>
                <c:pt idx="714" formatCode="0">
                  <c:v>147.04563863050691</c:v>
                </c:pt>
                <c:pt idx="715" formatCode="0">
                  <c:v>177.9598266828726</c:v>
                </c:pt>
                <c:pt idx="716" formatCode="0">
                  <c:v>220.28395737967753</c:v>
                </c:pt>
                <c:pt idx="717" formatCode="0">
                  <c:v>244.98236234369597</c:v>
                </c:pt>
                <c:pt idx="718" formatCode="0">
                  <c:v>205.86319635062483</c:v>
                </c:pt>
                <c:pt idx="719" formatCode="0">
                  <c:v>184.45933274533212</c:v>
                </c:pt>
                <c:pt idx="720" formatCode="0">
                  <c:v>182.53867919901347</c:v>
                </c:pt>
                <c:pt idx="721" formatCode="0">
                  <c:v>177.0904273587887</c:v>
                </c:pt>
                <c:pt idx="722" formatCode="0">
                  <c:v>176.70891285890872</c:v>
                </c:pt>
                <c:pt idx="723" formatCode="0">
                  <c:v>181.3862493528456</c:v>
                </c:pt>
                <c:pt idx="724" formatCode="0">
                  <c:v>185.63657450819741</c:v>
                </c:pt>
                <c:pt idx="725" formatCode="0">
                  <c:v>245.90150492759662</c:v>
                </c:pt>
                <c:pt idx="726" formatCode="0">
                  <c:v>271.30254053780368</c:v>
                </c:pt>
                <c:pt idx="727" formatCode="0">
                  <c:v>255.46230486584921</c:v>
                </c:pt>
                <c:pt idx="728" formatCode="0">
                  <c:v>230.72278311423804</c:v>
                </c:pt>
                <c:pt idx="729" formatCode="0">
                  <c:v>198.57012764477901</c:v>
                </c:pt>
                <c:pt idx="730" formatCode="0">
                  <c:v>186.81908847625496</c:v>
                </c:pt>
                <c:pt idx="731" formatCode="0">
                  <c:v>176.40339673621543</c:v>
                </c:pt>
                <c:pt idx="732" formatCode="0">
                  <c:v>161.94727747641025</c:v>
                </c:pt>
                <c:pt idx="733" formatCode="0">
                  <c:v>154.48492105778521</c:v>
                </c:pt>
                <c:pt idx="734" formatCode="0">
                  <c:v>152.73937419463803</c:v>
                </c:pt>
                <c:pt idx="735" formatCode="0">
                  <c:v>149.75954884694193</c:v>
                </c:pt>
                <c:pt idx="736" formatCode="0">
                  <c:v>152.65955255810863</c:v>
                </c:pt>
                <c:pt idx="737" formatCode="0">
                  <c:v>164.488003066212</c:v>
                </c:pt>
                <c:pt idx="738" formatCode="0">
                  <c:v>195.49771077399271</c:v>
                </c:pt>
                <c:pt idx="739" formatCode="0">
                  <c:v>237.9174661365517</c:v>
                </c:pt>
                <c:pt idx="740" formatCode="0">
                  <c:v>262.71158869965848</c:v>
                </c:pt>
                <c:pt idx="741" formatCode="0">
                  <c:v>223.68822129924104</c:v>
                </c:pt>
                <c:pt idx="742" formatCode="0">
                  <c:v>202.38022548164176</c:v>
                </c:pt>
                <c:pt idx="743" formatCode="0">
                  <c:v>200.55549726463261</c:v>
                </c:pt>
                <c:pt idx="744" formatCode="0">
                  <c:v>195.20321679072006</c:v>
                </c:pt>
                <c:pt idx="745" formatCode="0">
                  <c:v>194.91770834190632</c:v>
                </c:pt>
                <c:pt idx="746" formatCode="0">
                  <c:v>199.6910743751782</c:v>
                </c:pt>
                <c:pt idx="747" formatCode="0">
                  <c:v>204.03744152065127</c:v>
                </c:pt>
                <c:pt idx="748" formatCode="0">
                  <c:v>263.91571438245415</c:v>
                </c:pt>
                <c:pt idx="749" formatCode="0">
                  <c:v>289.41116452516519</c:v>
                </c:pt>
                <c:pt idx="750" formatCode="0">
                  <c:v>273.66539400696644</c:v>
                </c:pt>
                <c:pt idx="751" formatCode="0">
                  <c:v>249.02037785268007</c:v>
                </c:pt>
                <c:pt idx="752" formatCode="0">
                  <c:v>216.9622583759413</c:v>
                </c:pt>
                <c:pt idx="753" formatCode="0">
                  <c:v>205.30577567956453</c:v>
                </c:pt>
                <c:pt idx="754" formatCode="0">
                  <c:v>194.98465110990932</c:v>
                </c:pt>
                <c:pt idx="755" formatCode="0">
                  <c:v>180.62310007476441</c:v>
                </c:pt>
                <c:pt idx="756" formatCode="0">
                  <c:v>173.25530343066907</c:v>
                </c:pt>
                <c:pt idx="757" formatCode="0">
                  <c:v>171.60429852927004</c:v>
                </c:pt>
                <c:pt idx="758" formatCode="0">
                  <c:v>168.7189881117192</c:v>
                </c:pt>
                <c:pt idx="759" formatCode="0">
                  <c:v>171.71347064838534</c:v>
                </c:pt>
                <c:pt idx="760" formatCode="0">
                  <c:v>183.63635495189919</c:v>
                </c:pt>
                <c:pt idx="761" formatCode="0">
                  <c:v>214.74044264885299</c:v>
                </c:pt>
                <c:pt idx="762" formatCode="0">
                  <c:v>257.25451556906233</c:v>
                </c:pt>
              </c:numCache>
            </c:numRef>
          </c:val>
          <c:smooth val="0"/>
          <c:extLst>
            <c:ext xmlns:c16="http://schemas.microsoft.com/office/drawing/2014/chart" uri="{C3380CC4-5D6E-409C-BE32-E72D297353CC}">
              <c16:uniqueId val="{00000003-4077-40C9-B01C-ADAD67D0EC7F}"/>
            </c:ext>
          </c:extLst>
        </c:ser>
        <c:dLbls>
          <c:showLegendKey val="0"/>
          <c:showVal val="0"/>
          <c:showCatName val="0"/>
          <c:showSerName val="0"/>
          <c:showPercent val="0"/>
          <c:showBubbleSize val="0"/>
        </c:dLbls>
        <c:smooth val="0"/>
        <c:axId val="1688662223"/>
        <c:axId val="1688662703"/>
      </c:lineChart>
      <c:catAx>
        <c:axId val="1688662223"/>
        <c:scaling>
          <c:orientation val="minMax"/>
        </c:scaling>
        <c:delete val="0"/>
        <c:axPos val="b"/>
        <c:majorTickMark val="none"/>
        <c:minorTickMark val="none"/>
        <c:tickLblPos val="low"/>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88662703"/>
        <c:crosses val="autoZero"/>
        <c:auto val="1"/>
        <c:lblAlgn val="ctr"/>
        <c:lblOffset val="100"/>
        <c:noMultiLvlLbl val="0"/>
      </c:catAx>
      <c:valAx>
        <c:axId val="16886627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886622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7</xdr:col>
      <xdr:colOff>43393</xdr:colOff>
      <xdr:row>15</xdr:row>
      <xdr:rowOff>42335</xdr:rowOff>
    </xdr:from>
    <xdr:to>
      <xdr:col>9</xdr:col>
      <xdr:colOff>956734</xdr:colOff>
      <xdr:row>26</xdr:row>
      <xdr:rowOff>16934</xdr:rowOff>
    </xdr:to>
    <xdr:graphicFrame macro="">
      <xdr:nvGraphicFramePr>
        <xdr:cNvPr id="3" name="Chart 2">
          <a:extLst>
            <a:ext uri="{FF2B5EF4-FFF2-40B4-BE49-F238E27FC236}">
              <a16:creationId xmlns:a16="http://schemas.microsoft.com/office/drawing/2014/main" id="{845FAF09-D37E-4658-9D98-441F1DFFED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38099</xdr:colOff>
      <xdr:row>0</xdr:row>
      <xdr:rowOff>0</xdr:rowOff>
    </xdr:from>
    <xdr:to>
      <xdr:col>9</xdr:col>
      <xdr:colOff>956733</xdr:colOff>
      <xdr:row>15</xdr:row>
      <xdr:rowOff>0</xdr:rowOff>
    </xdr:to>
    <xdr:graphicFrame macro="">
      <xdr:nvGraphicFramePr>
        <xdr:cNvPr id="4" name="Chart 3">
          <a:extLst>
            <a:ext uri="{FF2B5EF4-FFF2-40B4-BE49-F238E27FC236}">
              <a16:creationId xmlns:a16="http://schemas.microsoft.com/office/drawing/2014/main" id="{3F74C846-4600-6252-80FF-94444E58BB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0</xdr:row>
      <xdr:rowOff>0</xdr:rowOff>
    </xdr:from>
    <xdr:to>
      <xdr:col>7</xdr:col>
      <xdr:colOff>0</xdr:colOff>
      <xdr:row>17</xdr:row>
      <xdr:rowOff>66675</xdr:rowOff>
    </xdr:to>
    <xdr:graphicFrame macro="">
      <xdr:nvGraphicFramePr>
        <xdr:cNvPr id="7" name="Chart 6">
          <a:extLst>
            <a:ext uri="{FF2B5EF4-FFF2-40B4-BE49-F238E27FC236}">
              <a16:creationId xmlns:a16="http://schemas.microsoft.com/office/drawing/2014/main" id="{969C9244-C3E7-3F90-48BD-61C44519FA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975360</xdr:colOff>
      <xdr:row>0</xdr:row>
      <xdr:rowOff>0</xdr:rowOff>
    </xdr:from>
    <xdr:to>
      <xdr:col>11</xdr:col>
      <xdr:colOff>281940</xdr:colOff>
      <xdr:row>26</xdr:row>
      <xdr:rowOff>0</xdr:rowOff>
    </xdr:to>
    <mc:AlternateContent xmlns:mc="http://schemas.openxmlformats.org/markup-compatibility/2006">
      <mc:Choice xmlns:a14="http://schemas.microsoft.com/office/drawing/2010/main" Requires="a14">
        <xdr:graphicFrame macro="">
          <xdr:nvGraphicFramePr>
            <xdr:cNvPr id="9" name="assumed_temperature">
              <a:extLst>
                <a:ext uri="{FF2B5EF4-FFF2-40B4-BE49-F238E27FC236}">
                  <a16:creationId xmlns:a16="http://schemas.microsoft.com/office/drawing/2014/main" id="{0B16D0EE-55BD-9252-3195-6E0B901CFBBF}"/>
                </a:ext>
              </a:extLst>
            </xdr:cNvPr>
            <xdr:cNvGraphicFramePr/>
          </xdr:nvGraphicFramePr>
          <xdr:xfrm>
            <a:off x="0" y="0"/>
            <a:ext cx="0" cy="0"/>
          </xdr:xfrm>
          <a:graphic>
            <a:graphicData uri="http://schemas.microsoft.com/office/drawing/2010/slicer">
              <sle:slicer xmlns:sle="http://schemas.microsoft.com/office/drawing/2010/slicer" name="assumed_temperature"/>
            </a:graphicData>
          </a:graphic>
        </xdr:graphicFrame>
      </mc:Choice>
      <mc:Fallback>
        <xdr:sp macro="" textlink="">
          <xdr:nvSpPr>
            <xdr:cNvPr id="0" name=""/>
            <xdr:cNvSpPr>
              <a:spLocks noTextEdit="1"/>
            </xdr:cNvSpPr>
          </xdr:nvSpPr>
          <xdr:spPr>
            <a:xfrm>
              <a:off x="12260580" y="0"/>
              <a:ext cx="1943100" cy="48996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60959</xdr:colOff>
      <xdr:row>0</xdr:row>
      <xdr:rowOff>3810</xdr:rowOff>
    </xdr:from>
    <xdr:to>
      <xdr:col>10</xdr:col>
      <xdr:colOff>487680</xdr:colOff>
      <xdr:row>20</xdr:row>
      <xdr:rowOff>13335</xdr:rowOff>
    </xdr:to>
    <xdr:graphicFrame macro="">
      <xdr:nvGraphicFramePr>
        <xdr:cNvPr id="2" name="Chart 1">
          <a:extLst>
            <a:ext uri="{FF2B5EF4-FFF2-40B4-BE49-F238E27FC236}">
              <a16:creationId xmlns:a16="http://schemas.microsoft.com/office/drawing/2014/main" id="{EBCA74A5-6BC6-D011-09DE-42F291168B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4.019216782406" createdVersion="8" refreshedVersion="8" minRefreshableVersion="3" recordCount="610" xr:uid="{857147E0-527F-4ACA-A930-5C5512BBD1ED}">
  <cacheSource type="worksheet">
    <worksheetSource name="Table1"/>
  </cacheSource>
  <cacheFields count="13">
    <cacheField name="instant" numFmtId="1">
      <sharedItems containsSemiMixedTypes="0" containsString="0" containsNumber="1" containsInteger="1" minValue="1" maxValue="610" count="61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sharedItems>
    </cacheField>
    <cacheField name="assumed_temperature" numFmtId="164">
      <sharedItems containsSemiMixedTypes="0" containsString="0" containsNumber="1" minValue="0" maxValue="0.45450000000000002" count="29">
        <n v="0.28789999999999999"/>
        <n v="0.2727"/>
        <n v="0.2576"/>
        <n v="0.34849999999999998"/>
        <n v="0.39389999999999997"/>
        <n v="0.33329999999999999"/>
        <n v="0.42420000000000002"/>
        <n v="0.45450000000000002"/>
        <n v="0.43940000000000001"/>
        <n v="0.40910000000000002"/>
        <n v="0.2273"/>
        <n v="0.21210000000000001"/>
        <n v="0.19700000000000001"/>
        <n v="0.13639999999999999"/>
        <n v="0.1061"/>
        <n v="0.1212"/>
        <n v="0.16669999999999999"/>
        <n v="0.18179999999999999"/>
        <n v="0.2424"/>
        <n v="0.1515"/>
        <n v="0.31819999999999998"/>
        <n v="6.0600000000000001E-2"/>
        <n v="7.5800000000000006E-2"/>
        <n v="9.0899999999999995E-2"/>
        <n v="0.30299999999999999"/>
        <n v="3.0300000000000001E-2"/>
        <n v="4.5499999999999999E-2"/>
        <n v="0"/>
        <n v="1.52E-2"/>
      </sharedItems>
    </cacheField>
    <cacheField name="humidity" numFmtId="2">
      <sharedItems containsSemiMixedTypes="0" containsString="0" containsNumber="1" minValue="0.21" maxValue="1"/>
    </cacheField>
    <cacheField name="windspeed" numFmtId="2">
      <sharedItems containsSemiMixedTypes="0" containsString="0" containsNumber="1" minValue="0" maxValue="0.58209999999999995"/>
    </cacheField>
    <cacheField name="casual_customer" numFmtId="1">
      <sharedItems containsSemiMixedTypes="0" containsString="0" containsNumber="1" containsInteger="1" minValue="0" maxValue="47" count="32">
        <n v="3"/>
        <n v="8"/>
        <n v="5"/>
        <n v="0"/>
        <n v="2"/>
        <n v="1"/>
        <n v="12"/>
        <n v="26"/>
        <n v="29"/>
        <n v="47"/>
        <n v="35"/>
        <n v="40"/>
        <n v="41"/>
        <n v="15"/>
        <n v="9"/>
        <n v="6"/>
        <n v="11"/>
        <n v="4"/>
        <n v="7"/>
        <n v="16"/>
        <n v="20"/>
        <n v="19"/>
        <n v="10"/>
        <n v="13"/>
        <n v="14"/>
        <n v="18"/>
        <n v="17"/>
        <n v="21"/>
        <n v="33"/>
        <n v="23"/>
        <n v="22"/>
        <n v="24"/>
      </sharedItems>
    </cacheField>
    <cacheField name="registered_customer" numFmtId="1">
      <sharedItems containsSemiMixedTypes="0" containsString="0" containsNumber="1" containsInteger="1" minValue="0" maxValue="247" count="150">
        <n v="13"/>
        <n v="32"/>
        <n v="27"/>
        <n v="10"/>
        <n v="1"/>
        <n v="0"/>
        <n v="2"/>
        <n v="7"/>
        <n v="6"/>
        <n v="24"/>
        <n v="30"/>
        <n v="55"/>
        <n v="47"/>
        <n v="71"/>
        <n v="70"/>
        <n v="52"/>
        <n v="26"/>
        <n v="31"/>
        <n v="25"/>
        <n v="17"/>
        <n v="16"/>
        <n v="8"/>
        <n v="4"/>
        <n v="19"/>
        <n v="46"/>
        <n v="54"/>
        <n v="73"/>
        <n v="64"/>
        <n v="67"/>
        <n v="58"/>
        <n v="43"/>
        <n v="29"/>
        <n v="20"/>
        <n v="9"/>
        <n v="5"/>
        <n v="3"/>
        <n v="63"/>
        <n v="153"/>
        <n v="81"/>
        <n v="33"/>
        <n v="41"/>
        <n v="48"/>
        <n v="53"/>
        <n v="66"/>
        <n v="146"/>
        <n v="148"/>
        <n v="102"/>
        <n v="49"/>
        <n v="11"/>
        <n v="36"/>
        <n v="92"/>
        <n v="177"/>
        <n v="98"/>
        <n v="37"/>
        <n v="50"/>
        <n v="79"/>
        <n v="68"/>
        <n v="202"/>
        <n v="179"/>
        <n v="110"/>
        <n v="34"/>
        <n v="87"/>
        <n v="192"/>
        <n v="109"/>
        <n v="74"/>
        <n v="65"/>
        <n v="85"/>
        <n v="186"/>
        <n v="166"/>
        <n v="127"/>
        <n v="82"/>
        <n v="40"/>
        <n v="18"/>
        <n v="95"/>
        <n v="216"/>
        <n v="116"/>
        <n v="42"/>
        <n v="57"/>
        <n v="78"/>
        <n v="59"/>
        <n v="163"/>
        <n v="158"/>
        <n v="51"/>
        <n v="76"/>
        <n v="190"/>
        <n v="125"/>
        <n v="178"/>
        <n v="39"/>
        <n v="14"/>
        <n v="15"/>
        <n v="56"/>
        <n v="60"/>
        <n v="90"/>
        <n v="83"/>
        <n v="69"/>
        <n v="28"/>
        <n v="35"/>
        <n v="22"/>
        <n v="12"/>
        <n v="77"/>
        <n v="44"/>
        <n v="38"/>
        <n v="75"/>
        <n v="184"/>
        <n v="174"/>
        <n v="154"/>
        <n v="97"/>
        <n v="214"/>
        <n v="45"/>
        <n v="72"/>
        <n v="130"/>
        <n v="94"/>
        <n v="139"/>
        <n v="135"/>
        <n v="197"/>
        <n v="137"/>
        <n v="141"/>
        <n v="156"/>
        <n v="117"/>
        <n v="155"/>
        <n v="134"/>
        <n v="89"/>
        <n v="80"/>
        <n v="108"/>
        <n v="61"/>
        <n v="124"/>
        <n v="132"/>
        <n v="196"/>
        <n v="107"/>
        <n v="100"/>
        <n v="247"/>
        <n v="140"/>
        <n v="86"/>
        <n v="62"/>
        <n v="207"/>
        <n v="210"/>
        <n v="159"/>
        <n v="151"/>
        <n v="119"/>
        <n v="93"/>
        <n v="23"/>
        <n v="171"/>
        <n v="145"/>
        <n v="101"/>
        <n v="21"/>
        <n v="103"/>
        <n v="233"/>
        <n v="208"/>
        <n v="218"/>
        <n v="133"/>
      </sharedItems>
    </cacheField>
    <cacheField name="Total_customers" numFmtId="1">
      <sharedItems containsSemiMixedTypes="0" containsString="0" containsNumber="1" containsInteger="1" minValue="1" maxValue="249" count="165">
        <n v="16"/>
        <n v="40"/>
        <n v="32"/>
        <n v="13"/>
        <n v="1"/>
        <n v="2"/>
        <n v="3"/>
        <n v="8"/>
        <n v="14"/>
        <n v="36"/>
        <n v="56"/>
        <n v="84"/>
        <n v="94"/>
        <n v="106"/>
        <n v="110"/>
        <n v="93"/>
        <n v="67"/>
        <n v="35"/>
        <n v="37"/>
        <n v="34"/>
        <n v="28"/>
        <n v="39"/>
        <n v="17"/>
        <n v="9"/>
        <n v="6"/>
        <n v="20"/>
        <n v="53"/>
        <n v="70"/>
        <n v="75"/>
        <n v="59"/>
        <n v="74"/>
        <n v="76"/>
        <n v="65"/>
        <n v="30"/>
        <n v="22"/>
        <n v="31"/>
        <n v="5"/>
        <n v="64"/>
        <n v="154"/>
        <n v="88"/>
        <n v="44"/>
        <n v="51"/>
        <n v="61"/>
        <n v="77"/>
        <n v="72"/>
        <n v="157"/>
        <n v="52"/>
        <n v="12"/>
        <n v="4"/>
        <n v="179"/>
        <n v="100"/>
        <n v="42"/>
        <n v="57"/>
        <n v="78"/>
        <n v="97"/>
        <n v="63"/>
        <n v="83"/>
        <n v="212"/>
        <n v="182"/>
        <n v="112"/>
        <n v="54"/>
        <n v="48"/>
        <n v="11"/>
        <n v="33"/>
        <n v="195"/>
        <n v="115"/>
        <n v="46"/>
        <n v="79"/>
        <n v="71"/>
        <n v="62"/>
        <n v="89"/>
        <n v="190"/>
        <n v="169"/>
        <n v="132"/>
        <n v="43"/>
        <n v="19"/>
        <n v="95"/>
        <n v="219"/>
        <n v="122"/>
        <n v="45"/>
        <n v="86"/>
        <n v="172"/>
        <n v="163"/>
        <n v="69"/>
        <n v="23"/>
        <n v="7"/>
        <n v="210"/>
        <n v="134"/>
        <n v="73"/>
        <n v="50"/>
        <n v="87"/>
        <n v="187"/>
        <n v="123"/>
        <n v="15"/>
        <n v="25"/>
        <n v="98"/>
        <n v="102"/>
        <n v="55"/>
        <n v="10"/>
        <n v="49"/>
        <n v="82"/>
        <n v="92"/>
        <n v="41"/>
        <n v="38"/>
        <n v="188"/>
        <n v="47"/>
        <n v="178"/>
        <n v="155"/>
        <n v="24"/>
        <n v="18"/>
        <n v="27"/>
        <n v="99"/>
        <n v="217"/>
        <n v="130"/>
        <n v="136"/>
        <n v="29"/>
        <n v="128"/>
        <n v="81"/>
        <n v="68"/>
        <n v="139"/>
        <n v="137"/>
        <n v="202"/>
        <n v="60"/>
        <n v="162"/>
        <n v="144"/>
        <n v="158"/>
        <n v="117"/>
        <n v="90"/>
        <n v="159"/>
        <n v="101"/>
        <n v="118"/>
        <n v="129"/>
        <n v="26"/>
        <n v="104"/>
        <n v="91"/>
        <n v="113"/>
        <n v="105"/>
        <n v="21"/>
        <n v="80"/>
        <n v="125"/>
        <n v="133"/>
        <n v="197"/>
        <n v="109"/>
        <n v="161"/>
        <n v="249"/>
        <n v="143"/>
        <n v="215"/>
        <n v="185"/>
        <n v="152"/>
        <n v="126"/>
        <n v="166"/>
        <n v="120"/>
        <n v="96"/>
        <n v="103"/>
        <n v="58"/>
        <n v="116"/>
        <n v="177"/>
        <n v="184"/>
        <n v="153"/>
        <n v="108"/>
        <n v="238"/>
        <n v="222"/>
        <n v="225"/>
        <n v="146"/>
        <n v="119"/>
      </sharedItems>
    </cacheField>
    <cacheField name="Humidity_Level" numFmtId="49">
      <sharedItems count="3">
        <s v="High"/>
        <s v="Medium"/>
        <s v="Low"/>
      </sharedItems>
    </cacheField>
    <cacheField name="Wind_Level" numFmtId="49">
      <sharedItems count="3">
        <s v="Calm"/>
        <s v="Moderate"/>
        <s v="Windy"/>
      </sharedItems>
    </cacheField>
    <cacheField name="Customer_Type" numFmtId="49">
      <sharedItems count="2">
        <s v="Mostly Registered"/>
        <s v="Mostly Casual"/>
      </sharedItems>
    </cacheField>
    <cacheField name="Casual_Percentage" numFmtId="2">
      <sharedItems containsSemiMixedTypes="0" containsString="0" containsNumber="1" minValue="0" maxValue="100"/>
    </cacheField>
    <cacheField name="Registered_Percentage" numFmtId="2">
      <sharedItems containsSemiMixedTypes="0" containsString="0" containsNumber="1" minValue="0" maxValue="100"/>
    </cacheField>
    <cacheField name="Demand_Level" numFmtId="49">
      <sharedItems count="2">
        <s v="Low"/>
        <s v="Medium"/>
      </sharedItems>
    </cacheField>
  </cacheFields>
  <extLst>
    <ext xmlns:x14="http://schemas.microsoft.com/office/spreadsheetml/2009/9/main" uri="{725AE2AE-9491-48be-B2B4-4EB974FC3084}">
      <x14:pivotCacheDefinition pivotCacheId="12473512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0">
  <r>
    <x v="0"/>
    <x v="0"/>
    <n v="0.81"/>
    <n v="0"/>
    <x v="0"/>
    <x v="0"/>
    <x v="0"/>
    <x v="0"/>
    <x v="0"/>
    <x v="0"/>
    <n v="18.75"/>
    <n v="81.25"/>
    <x v="0"/>
  </r>
  <r>
    <x v="1"/>
    <x v="1"/>
    <n v="0.8"/>
    <n v="0"/>
    <x v="1"/>
    <x v="1"/>
    <x v="1"/>
    <x v="0"/>
    <x v="0"/>
    <x v="0"/>
    <n v="20"/>
    <n v="80"/>
    <x v="0"/>
  </r>
  <r>
    <x v="2"/>
    <x v="1"/>
    <n v="0.8"/>
    <n v="0"/>
    <x v="2"/>
    <x v="2"/>
    <x v="2"/>
    <x v="0"/>
    <x v="0"/>
    <x v="0"/>
    <n v="15.625"/>
    <n v="84.375"/>
    <x v="0"/>
  </r>
  <r>
    <x v="3"/>
    <x v="0"/>
    <n v="0.75"/>
    <n v="0"/>
    <x v="0"/>
    <x v="3"/>
    <x v="3"/>
    <x v="0"/>
    <x v="0"/>
    <x v="0"/>
    <n v="23.07692307692308"/>
    <n v="76.923076923076934"/>
    <x v="0"/>
  </r>
  <r>
    <x v="4"/>
    <x v="0"/>
    <n v="0.75"/>
    <n v="0"/>
    <x v="3"/>
    <x v="4"/>
    <x v="4"/>
    <x v="0"/>
    <x v="0"/>
    <x v="0"/>
    <n v="0"/>
    <n v="100"/>
    <x v="0"/>
  </r>
  <r>
    <x v="5"/>
    <x v="2"/>
    <n v="0.75"/>
    <n v="8.9599999999999999E-2"/>
    <x v="3"/>
    <x v="4"/>
    <x v="4"/>
    <x v="0"/>
    <x v="0"/>
    <x v="0"/>
    <n v="0"/>
    <n v="100"/>
    <x v="0"/>
  </r>
  <r>
    <x v="6"/>
    <x v="1"/>
    <n v="0.8"/>
    <n v="0"/>
    <x v="4"/>
    <x v="5"/>
    <x v="5"/>
    <x v="0"/>
    <x v="0"/>
    <x v="1"/>
    <n v="100"/>
    <n v="0"/>
    <x v="0"/>
  </r>
  <r>
    <x v="7"/>
    <x v="2"/>
    <n v="0.86"/>
    <n v="0"/>
    <x v="5"/>
    <x v="6"/>
    <x v="6"/>
    <x v="0"/>
    <x v="0"/>
    <x v="0"/>
    <n v="33.333333333333329"/>
    <n v="66.666666666666657"/>
    <x v="0"/>
  </r>
  <r>
    <x v="8"/>
    <x v="2"/>
    <n v="0.75"/>
    <n v="0"/>
    <x v="5"/>
    <x v="7"/>
    <x v="7"/>
    <x v="0"/>
    <x v="0"/>
    <x v="0"/>
    <n v="12.5"/>
    <n v="87.5"/>
    <x v="0"/>
  </r>
  <r>
    <x v="9"/>
    <x v="3"/>
    <n v="0.76"/>
    <n v="0"/>
    <x v="1"/>
    <x v="8"/>
    <x v="8"/>
    <x v="0"/>
    <x v="0"/>
    <x v="1"/>
    <n v="57.142857142857139"/>
    <n v="42.857142857142847"/>
    <x v="0"/>
  </r>
  <r>
    <x v="10"/>
    <x v="4"/>
    <n v="0.76"/>
    <n v="0.25369999999999998"/>
    <x v="6"/>
    <x v="9"/>
    <x v="9"/>
    <x v="0"/>
    <x v="1"/>
    <x v="0"/>
    <n v="33.333333333333329"/>
    <n v="66.666666666666657"/>
    <x v="0"/>
  </r>
  <r>
    <x v="11"/>
    <x v="5"/>
    <n v="0.81"/>
    <n v="0.28360000000000002"/>
    <x v="7"/>
    <x v="10"/>
    <x v="10"/>
    <x v="0"/>
    <x v="1"/>
    <x v="0"/>
    <n v="46.428571428571431"/>
    <n v="53.571428571428569"/>
    <x v="0"/>
  </r>
  <r>
    <x v="12"/>
    <x v="6"/>
    <n v="0.77"/>
    <n v="0.28360000000000002"/>
    <x v="8"/>
    <x v="11"/>
    <x v="11"/>
    <x v="0"/>
    <x v="1"/>
    <x v="0"/>
    <n v="34.523809523809533"/>
    <n v="65.476190476190482"/>
    <x v="0"/>
  </r>
  <r>
    <x v="13"/>
    <x v="7"/>
    <n v="0.72"/>
    <n v="0.29849999999999999"/>
    <x v="9"/>
    <x v="12"/>
    <x v="12"/>
    <x v="0"/>
    <x v="1"/>
    <x v="0"/>
    <n v="50"/>
    <n v="50"/>
    <x v="0"/>
  </r>
  <r>
    <x v="14"/>
    <x v="7"/>
    <n v="0.72"/>
    <n v="0.28360000000000002"/>
    <x v="10"/>
    <x v="13"/>
    <x v="13"/>
    <x v="0"/>
    <x v="1"/>
    <x v="0"/>
    <n v="33.018867924528301"/>
    <n v="66.981132075471692"/>
    <x v="1"/>
  </r>
  <r>
    <x v="15"/>
    <x v="8"/>
    <n v="0.77"/>
    <n v="0.29849999999999999"/>
    <x v="11"/>
    <x v="14"/>
    <x v="14"/>
    <x v="0"/>
    <x v="1"/>
    <x v="0"/>
    <n v="36.363636363636367"/>
    <n v="63.636363636363633"/>
    <x v="1"/>
  </r>
  <r>
    <x v="16"/>
    <x v="6"/>
    <n v="0.82"/>
    <n v="0.29849999999999999"/>
    <x v="12"/>
    <x v="15"/>
    <x v="15"/>
    <x v="0"/>
    <x v="1"/>
    <x v="0"/>
    <n v="44.086021505376337"/>
    <n v="55.913978494623649"/>
    <x v="0"/>
  </r>
  <r>
    <x v="17"/>
    <x v="6"/>
    <n v="0.82"/>
    <n v="0.28360000000000002"/>
    <x v="13"/>
    <x v="15"/>
    <x v="16"/>
    <x v="0"/>
    <x v="1"/>
    <x v="0"/>
    <n v="22.388059701492541"/>
    <n v="77.611940298507463"/>
    <x v="0"/>
  </r>
  <r>
    <x v="18"/>
    <x v="6"/>
    <n v="0.88"/>
    <n v="0.25369999999999998"/>
    <x v="14"/>
    <x v="16"/>
    <x v="17"/>
    <x v="0"/>
    <x v="1"/>
    <x v="0"/>
    <n v="25.714285714285712"/>
    <n v="74.285714285714292"/>
    <x v="0"/>
  </r>
  <r>
    <x v="19"/>
    <x v="6"/>
    <n v="0.88"/>
    <n v="0.25369999999999998"/>
    <x v="15"/>
    <x v="17"/>
    <x v="18"/>
    <x v="0"/>
    <x v="1"/>
    <x v="0"/>
    <n v="16.216216216216221"/>
    <n v="83.78378378378379"/>
    <x v="0"/>
  </r>
  <r>
    <x v="20"/>
    <x v="9"/>
    <n v="0.87"/>
    <n v="0.25369999999999998"/>
    <x v="16"/>
    <x v="18"/>
    <x v="9"/>
    <x v="0"/>
    <x v="1"/>
    <x v="0"/>
    <n v="30.555555555555561"/>
    <n v="69.444444444444443"/>
    <x v="0"/>
  </r>
  <r>
    <x v="21"/>
    <x v="9"/>
    <n v="0.87"/>
    <n v="0.19400000000000001"/>
    <x v="0"/>
    <x v="17"/>
    <x v="19"/>
    <x v="0"/>
    <x v="1"/>
    <x v="0"/>
    <n v="8.8235294117647065"/>
    <n v="91.17647058823529"/>
    <x v="0"/>
  </r>
  <r>
    <x v="22"/>
    <x v="9"/>
    <n v="0.94"/>
    <n v="0.22389999999999999"/>
    <x v="16"/>
    <x v="19"/>
    <x v="20"/>
    <x v="0"/>
    <x v="1"/>
    <x v="0"/>
    <n v="39.285714285714278"/>
    <n v="60.714285714285708"/>
    <x v="0"/>
  </r>
  <r>
    <x v="23"/>
    <x v="9"/>
    <n v="0.88"/>
    <n v="0.29849999999999999"/>
    <x v="13"/>
    <x v="9"/>
    <x v="21"/>
    <x v="0"/>
    <x v="1"/>
    <x v="0"/>
    <n v="38.461538461538467"/>
    <n v="61.53846153846154"/>
    <x v="0"/>
  </r>
  <r>
    <x v="24"/>
    <x v="7"/>
    <n v="0.88"/>
    <n v="0.29849999999999999"/>
    <x v="17"/>
    <x v="0"/>
    <x v="22"/>
    <x v="0"/>
    <x v="1"/>
    <x v="0"/>
    <n v="23.52941176470588"/>
    <n v="76.470588235294116"/>
    <x v="0"/>
  </r>
  <r>
    <x v="25"/>
    <x v="8"/>
    <n v="0.94"/>
    <n v="0.25369999999999998"/>
    <x v="5"/>
    <x v="20"/>
    <x v="22"/>
    <x v="0"/>
    <x v="1"/>
    <x v="0"/>
    <n v="5.8823529411764701"/>
    <n v="94.117647058823522"/>
    <x v="0"/>
  </r>
  <r>
    <x v="26"/>
    <x v="6"/>
    <n v="1"/>
    <n v="0.28360000000000002"/>
    <x v="5"/>
    <x v="21"/>
    <x v="23"/>
    <x v="0"/>
    <x v="1"/>
    <x v="0"/>
    <n v="11.111111111111111"/>
    <n v="88.888888888888886"/>
    <x v="0"/>
  </r>
  <r>
    <x v="27"/>
    <x v="7"/>
    <n v="0.94"/>
    <n v="0.19400000000000001"/>
    <x v="4"/>
    <x v="22"/>
    <x v="24"/>
    <x v="0"/>
    <x v="1"/>
    <x v="0"/>
    <n v="33.333333333333329"/>
    <n v="66.666666666666657"/>
    <x v="0"/>
  </r>
  <r>
    <x v="28"/>
    <x v="7"/>
    <n v="0.94"/>
    <n v="0.19400000000000001"/>
    <x v="4"/>
    <x v="4"/>
    <x v="6"/>
    <x v="0"/>
    <x v="1"/>
    <x v="1"/>
    <n v="66.666666666666657"/>
    <n v="33.333333333333329"/>
    <x v="0"/>
  </r>
  <r>
    <x v="29"/>
    <x v="6"/>
    <n v="0.77"/>
    <n v="0.29849999999999999"/>
    <x v="3"/>
    <x v="6"/>
    <x v="5"/>
    <x v="0"/>
    <x v="1"/>
    <x v="0"/>
    <n v="0"/>
    <n v="100"/>
    <x v="0"/>
  </r>
  <r>
    <x v="30"/>
    <x v="9"/>
    <n v="0.76"/>
    <n v="0.19400000000000001"/>
    <x v="3"/>
    <x v="4"/>
    <x v="4"/>
    <x v="0"/>
    <x v="1"/>
    <x v="0"/>
    <n v="0"/>
    <n v="100"/>
    <x v="0"/>
  </r>
  <r>
    <x v="31"/>
    <x v="9"/>
    <n v="0.71"/>
    <n v="0.22389999999999999"/>
    <x v="3"/>
    <x v="21"/>
    <x v="7"/>
    <x v="0"/>
    <x v="1"/>
    <x v="0"/>
    <n v="0"/>
    <n v="100"/>
    <x v="0"/>
  </r>
  <r>
    <x v="32"/>
    <x v="9"/>
    <n v="0.76"/>
    <n v="0.22389999999999999"/>
    <x v="5"/>
    <x v="23"/>
    <x v="25"/>
    <x v="0"/>
    <x v="1"/>
    <x v="0"/>
    <n v="5"/>
    <n v="95"/>
    <x v="0"/>
  </r>
  <r>
    <x v="33"/>
    <x v="3"/>
    <n v="0.81"/>
    <n v="0.22389999999999999"/>
    <x v="18"/>
    <x v="24"/>
    <x v="26"/>
    <x v="0"/>
    <x v="1"/>
    <x v="0"/>
    <n v="13.20754716981132"/>
    <n v="86.79245283018868"/>
    <x v="0"/>
  </r>
  <r>
    <x v="34"/>
    <x v="5"/>
    <n v="0.71"/>
    <n v="0.25369999999999998"/>
    <x v="19"/>
    <x v="25"/>
    <x v="27"/>
    <x v="0"/>
    <x v="1"/>
    <x v="0"/>
    <n v="22.857142857142861"/>
    <n v="77.142857142857153"/>
    <x v="0"/>
  </r>
  <r>
    <x v="35"/>
    <x v="5"/>
    <n v="0.66"/>
    <n v="0.29849999999999999"/>
    <x v="20"/>
    <x v="26"/>
    <x v="15"/>
    <x v="1"/>
    <x v="1"/>
    <x v="0"/>
    <n v="21.50537634408602"/>
    <n v="78.494623655913969"/>
    <x v="0"/>
  </r>
  <r>
    <x v="36"/>
    <x v="3"/>
    <n v="0.66"/>
    <n v="0.1343"/>
    <x v="16"/>
    <x v="27"/>
    <x v="28"/>
    <x v="1"/>
    <x v="0"/>
    <x v="0"/>
    <n v="14.66666666666667"/>
    <n v="85.333333333333343"/>
    <x v="0"/>
  </r>
  <r>
    <x v="37"/>
    <x v="3"/>
    <n v="0.76"/>
    <n v="0.19400000000000001"/>
    <x v="17"/>
    <x v="11"/>
    <x v="29"/>
    <x v="0"/>
    <x v="1"/>
    <x v="0"/>
    <n v="6.7796610169491522"/>
    <n v="93.220338983050837"/>
    <x v="0"/>
  </r>
  <r>
    <x v="38"/>
    <x v="5"/>
    <n v="0.81"/>
    <n v="0.16420000000000001"/>
    <x v="21"/>
    <x v="11"/>
    <x v="30"/>
    <x v="0"/>
    <x v="1"/>
    <x v="0"/>
    <n v="25.67567567567567"/>
    <n v="74.324324324324323"/>
    <x v="0"/>
  </r>
  <r>
    <x v="39"/>
    <x v="5"/>
    <n v="0.71"/>
    <n v="0.16420000000000001"/>
    <x v="14"/>
    <x v="28"/>
    <x v="31"/>
    <x v="0"/>
    <x v="1"/>
    <x v="0"/>
    <n v="11.84210526315789"/>
    <n v="88.157894736842096"/>
    <x v="0"/>
  </r>
  <r>
    <x v="40"/>
    <x v="5"/>
    <n v="0.56999999999999995"/>
    <n v="0.19400000000000001"/>
    <x v="18"/>
    <x v="29"/>
    <x v="32"/>
    <x v="1"/>
    <x v="1"/>
    <x v="0"/>
    <n v="10.76923076923077"/>
    <n v="89.230769230769241"/>
    <x v="0"/>
  </r>
  <r>
    <x v="41"/>
    <x v="5"/>
    <n v="0.46"/>
    <n v="0.32840000000000003"/>
    <x v="22"/>
    <x v="30"/>
    <x v="26"/>
    <x v="1"/>
    <x v="2"/>
    <x v="0"/>
    <n v="18.867924528301891"/>
    <n v="81.132075471698116"/>
    <x v="0"/>
  </r>
  <r>
    <x v="42"/>
    <x v="0"/>
    <n v="0.42"/>
    <n v="0.44779999999999998"/>
    <x v="5"/>
    <x v="31"/>
    <x v="33"/>
    <x v="1"/>
    <x v="2"/>
    <x v="0"/>
    <n v="3.333333333333333"/>
    <n v="96.666666666666671"/>
    <x v="0"/>
  </r>
  <r>
    <x v="43"/>
    <x v="0"/>
    <n v="0.39"/>
    <n v="0.35820000000000002"/>
    <x v="2"/>
    <x v="19"/>
    <x v="34"/>
    <x v="2"/>
    <x v="2"/>
    <x v="0"/>
    <n v="22.72727272727273"/>
    <n v="77.272727272727266"/>
    <x v="0"/>
  </r>
  <r>
    <x v="44"/>
    <x v="10"/>
    <n v="0.44"/>
    <n v="0.32840000000000003"/>
    <x v="16"/>
    <x v="32"/>
    <x v="35"/>
    <x v="1"/>
    <x v="2"/>
    <x v="0"/>
    <n v="35.483870967741943"/>
    <n v="64.516129032258064"/>
    <x v="0"/>
  </r>
  <r>
    <x v="45"/>
    <x v="11"/>
    <n v="0.44"/>
    <n v="0.29849999999999999"/>
    <x v="3"/>
    <x v="33"/>
    <x v="23"/>
    <x v="1"/>
    <x v="1"/>
    <x v="0"/>
    <n v="0"/>
    <n v="100"/>
    <x v="0"/>
  </r>
  <r>
    <x v="46"/>
    <x v="10"/>
    <n v="0.47"/>
    <n v="0.16420000000000001"/>
    <x v="3"/>
    <x v="21"/>
    <x v="7"/>
    <x v="1"/>
    <x v="1"/>
    <x v="0"/>
    <n v="0"/>
    <n v="100"/>
    <x v="0"/>
  </r>
  <r>
    <x v="47"/>
    <x v="12"/>
    <n v="0.44"/>
    <n v="0.35820000000000002"/>
    <x v="3"/>
    <x v="34"/>
    <x v="36"/>
    <x v="1"/>
    <x v="2"/>
    <x v="0"/>
    <n v="0"/>
    <n v="100"/>
    <x v="0"/>
  </r>
  <r>
    <x v="48"/>
    <x v="12"/>
    <n v="0.44"/>
    <n v="0.41789999999999999"/>
    <x v="3"/>
    <x v="6"/>
    <x v="5"/>
    <x v="1"/>
    <x v="2"/>
    <x v="0"/>
    <n v="0"/>
    <n v="100"/>
    <x v="0"/>
  </r>
  <r>
    <x v="49"/>
    <x v="13"/>
    <n v="0.47"/>
    <n v="0.3881"/>
    <x v="3"/>
    <x v="4"/>
    <x v="4"/>
    <x v="1"/>
    <x v="2"/>
    <x v="0"/>
    <n v="0"/>
    <n v="100"/>
    <x v="0"/>
  </r>
  <r>
    <x v="50"/>
    <x v="13"/>
    <n v="0.47"/>
    <n v="0.28360000000000002"/>
    <x v="3"/>
    <x v="35"/>
    <x v="6"/>
    <x v="1"/>
    <x v="1"/>
    <x v="0"/>
    <n v="0"/>
    <n v="100"/>
    <x v="0"/>
  </r>
  <r>
    <x v="51"/>
    <x v="14"/>
    <n v="0.5"/>
    <n v="0.3881"/>
    <x v="3"/>
    <x v="10"/>
    <x v="33"/>
    <x v="1"/>
    <x v="2"/>
    <x v="0"/>
    <n v="0"/>
    <n v="100"/>
    <x v="0"/>
  </r>
  <r>
    <x v="52"/>
    <x v="13"/>
    <n v="0.5"/>
    <n v="0.19400000000000001"/>
    <x v="5"/>
    <x v="36"/>
    <x v="37"/>
    <x v="1"/>
    <x v="1"/>
    <x v="0"/>
    <n v="1.5625"/>
    <n v="98.4375"/>
    <x v="0"/>
  </r>
  <r>
    <x v="53"/>
    <x v="15"/>
    <n v="0.5"/>
    <n v="0.28360000000000002"/>
    <x v="5"/>
    <x v="37"/>
    <x v="38"/>
    <x v="1"/>
    <x v="1"/>
    <x v="0"/>
    <n v="0.64935064935064934"/>
    <n v="99.350649350649363"/>
    <x v="1"/>
  </r>
  <r>
    <x v="54"/>
    <x v="13"/>
    <n v="0.43"/>
    <n v="0.3881"/>
    <x v="18"/>
    <x v="38"/>
    <x v="39"/>
    <x v="1"/>
    <x v="2"/>
    <x v="0"/>
    <n v="7.9545454545454541"/>
    <n v="92.045454545454547"/>
    <x v="0"/>
  </r>
  <r>
    <x v="55"/>
    <x v="16"/>
    <n v="0.43"/>
    <n v="0.25369999999999998"/>
    <x v="16"/>
    <x v="39"/>
    <x v="40"/>
    <x v="1"/>
    <x v="1"/>
    <x v="0"/>
    <n v="25"/>
    <n v="75"/>
    <x v="0"/>
  </r>
  <r>
    <x v="56"/>
    <x v="17"/>
    <n v="0.4"/>
    <n v="0.32840000000000003"/>
    <x v="22"/>
    <x v="40"/>
    <x v="41"/>
    <x v="1"/>
    <x v="2"/>
    <x v="0"/>
    <n v="19.6078431372549"/>
    <n v="80.392156862745097"/>
    <x v="0"/>
  </r>
  <r>
    <x v="57"/>
    <x v="11"/>
    <n v="0.35"/>
    <n v="0.29849999999999999"/>
    <x v="23"/>
    <x v="41"/>
    <x v="42"/>
    <x v="2"/>
    <x v="1"/>
    <x v="0"/>
    <n v="21.31147540983606"/>
    <n v="78.688524590163937"/>
    <x v="0"/>
  </r>
  <r>
    <x v="58"/>
    <x v="11"/>
    <n v="0.35"/>
    <n v="0.28360000000000002"/>
    <x v="1"/>
    <x v="42"/>
    <x v="42"/>
    <x v="2"/>
    <x v="1"/>
    <x v="0"/>
    <n v="13.11475409836066"/>
    <n v="86.885245901639337"/>
    <x v="0"/>
  </r>
  <r>
    <x v="59"/>
    <x v="18"/>
    <n v="0.3"/>
    <n v="0.28360000000000002"/>
    <x v="16"/>
    <x v="43"/>
    <x v="43"/>
    <x v="2"/>
    <x v="1"/>
    <x v="0"/>
    <n v="14.285714285714279"/>
    <n v="85.714285714285708"/>
    <x v="0"/>
  </r>
  <r>
    <x v="60"/>
    <x v="18"/>
    <n v="0.3"/>
    <n v="0.25369999999999998"/>
    <x v="24"/>
    <x v="29"/>
    <x v="44"/>
    <x v="2"/>
    <x v="1"/>
    <x v="0"/>
    <n v="19.44444444444445"/>
    <n v="80.555555555555557"/>
    <x v="0"/>
  </r>
  <r>
    <x v="61"/>
    <x v="18"/>
    <n v="0.3"/>
    <n v="0.25369999999999998"/>
    <x v="14"/>
    <x v="28"/>
    <x v="31"/>
    <x v="2"/>
    <x v="1"/>
    <x v="0"/>
    <n v="11.84210526315789"/>
    <n v="88.157894736842096"/>
    <x v="0"/>
  </r>
  <r>
    <x v="62"/>
    <x v="10"/>
    <n v="0.3"/>
    <n v="0.22389999999999999"/>
    <x v="16"/>
    <x v="44"/>
    <x v="45"/>
    <x v="2"/>
    <x v="1"/>
    <x v="0"/>
    <n v="7.0063694267515926"/>
    <n v="92.99363057324841"/>
    <x v="1"/>
  </r>
  <r>
    <x v="63"/>
    <x v="2"/>
    <n v="0.32"/>
    <n v="0.1045"/>
    <x v="14"/>
    <x v="45"/>
    <x v="45"/>
    <x v="2"/>
    <x v="0"/>
    <x v="0"/>
    <n v="5.7324840764331224"/>
    <n v="94.267515923566876"/>
    <x v="1"/>
  </r>
  <r>
    <x v="64"/>
    <x v="2"/>
    <n v="0.47"/>
    <n v="0"/>
    <x v="1"/>
    <x v="46"/>
    <x v="14"/>
    <x v="1"/>
    <x v="0"/>
    <x v="0"/>
    <n v="7.2727272727272716"/>
    <n v="92.72727272727272"/>
    <x v="1"/>
  </r>
  <r>
    <x v="65"/>
    <x v="2"/>
    <n v="0.47"/>
    <n v="0.1045"/>
    <x v="0"/>
    <x v="47"/>
    <x v="46"/>
    <x v="1"/>
    <x v="0"/>
    <x v="0"/>
    <n v="5.7692307692307692"/>
    <n v="94.230769230769226"/>
    <x v="0"/>
  </r>
  <r>
    <x v="66"/>
    <x v="12"/>
    <n v="0.64"/>
    <n v="0.1343"/>
    <x v="0"/>
    <x v="47"/>
    <x v="46"/>
    <x v="1"/>
    <x v="0"/>
    <x v="0"/>
    <n v="5.7692307692307692"/>
    <n v="94.230769230769226"/>
    <x v="0"/>
  </r>
  <r>
    <x v="67"/>
    <x v="19"/>
    <n v="0.69"/>
    <n v="0.1343"/>
    <x v="3"/>
    <x v="32"/>
    <x v="25"/>
    <x v="1"/>
    <x v="0"/>
    <x v="0"/>
    <n v="0"/>
    <n v="100"/>
    <x v="0"/>
  </r>
  <r>
    <x v="68"/>
    <x v="11"/>
    <n v="0.55000000000000004"/>
    <n v="0.1045"/>
    <x v="5"/>
    <x v="48"/>
    <x v="47"/>
    <x v="1"/>
    <x v="0"/>
    <x v="0"/>
    <n v="8.3333333333333321"/>
    <n v="91.666666666666657"/>
    <x v="0"/>
  </r>
  <r>
    <x v="69"/>
    <x v="11"/>
    <n v="0.55000000000000004"/>
    <n v="0.1045"/>
    <x v="3"/>
    <x v="34"/>
    <x v="36"/>
    <x v="1"/>
    <x v="0"/>
    <x v="0"/>
    <n v="0"/>
    <n v="100"/>
    <x v="0"/>
  </r>
  <r>
    <x v="70"/>
    <x v="17"/>
    <n v="0.59"/>
    <n v="0.1045"/>
    <x v="3"/>
    <x v="6"/>
    <x v="5"/>
    <x v="1"/>
    <x v="0"/>
    <x v="0"/>
    <n v="0"/>
    <n v="100"/>
    <x v="0"/>
  </r>
  <r>
    <x v="71"/>
    <x v="19"/>
    <n v="0.63"/>
    <n v="0.1343"/>
    <x v="3"/>
    <x v="4"/>
    <x v="4"/>
    <x v="1"/>
    <x v="0"/>
    <x v="0"/>
    <n v="0"/>
    <n v="100"/>
    <x v="0"/>
  </r>
  <r>
    <x v="72"/>
    <x v="17"/>
    <n v="0.63"/>
    <n v="8.9599999999999999E-2"/>
    <x v="3"/>
    <x v="6"/>
    <x v="5"/>
    <x v="1"/>
    <x v="0"/>
    <x v="0"/>
    <n v="0"/>
    <n v="100"/>
    <x v="0"/>
  </r>
  <r>
    <x v="73"/>
    <x v="19"/>
    <n v="0.68"/>
    <n v="0.1045"/>
    <x v="3"/>
    <x v="22"/>
    <x v="48"/>
    <x v="1"/>
    <x v="0"/>
    <x v="0"/>
    <n v="0"/>
    <n v="100"/>
    <x v="0"/>
  </r>
  <r>
    <x v="74"/>
    <x v="19"/>
    <n v="0.74"/>
    <n v="0.1045"/>
    <x v="3"/>
    <x v="49"/>
    <x v="9"/>
    <x v="0"/>
    <x v="0"/>
    <x v="0"/>
    <n v="0"/>
    <n v="100"/>
    <x v="0"/>
  </r>
  <r>
    <x v="75"/>
    <x v="19"/>
    <n v="0.74"/>
    <n v="0.1343"/>
    <x v="4"/>
    <x v="50"/>
    <x v="12"/>
    <x v="0"/>
    <x v="0"/>
    <x v="0"/>
    <n v="2.1276595744680851"/>
    <n v="97.872340425531917"/>
    <x v="0"/>
  </r>
  <r>
    <x v="76"/>
    <x v="19"/>
    <n v="0.69"/>
    <n v="0.16420000000000001"/>
    <x v="4"/>
    <x v="51"/>
    <x v="49"/>
    <x v="1"/>
    <x v="1"/>
    <x v="0"/>
    <n v="1.1173184357541901"/>
    <n v="98.882681564245814"/>
    <x v="1"/>
  </r>
  <r>
    <x v="77"/>
    <x v="19"/>
    <n v="0.64"/>
    <n v="0.22389999999999999"/>
    <x v="4"/>
    <x v="52"/>
    <x v="50"/>
    <x v="1"/>
    <x v="1"/>
    <x v="0"/>
    <n v="2"/>
    <n v="98"/>
    <x v="1"/>
  </r>
  <r>
    <x v="78"/>
    <x v="13"/>
    <n v="0.69"/>
    <n v="0.32840000000000003"/>
    <x v="2"/>
    <x v="53"/>
    <x v="51"/>
    <x v="1"/>
    <x v="2"/>
    <x v="0"/>
    <n v="11.9047619047619"/>
    <n v="88.095238095238088"/>
    <x v="0"/>
  </r>
  <r>
    <x v="79"/>
    <x v="11"/>
    <n v="0.51"/>
    <n v="0.29849999999999999"/>
    <x v="18"/>
    <x v="54"/>
    <x v="52"/>
    <x v="1"/>
    <x v="1"/>
    <x v="0"/>
    <n v="12.28070175438596"/>
    <n v="87.719298245614027"/>
    <x v="0"/>
  </r>
  <r>
    <x v="80"/>
    <x v="10"/>
    <n v="0.51"/>
    <n v="0.16420000000000001"/>
    <x v="6"/>
    <x v="43"/>
    <x v="53"/>
    <x v="1"/>
    <x v="1"/>
    <x v="0"/>
    <n v="15.38461538461539"/>
    <n v="84.615384615384613"/>
    <x v="0"/>
  </r>
  <r>
    <x v="81"/>
    <x v="10"/>
    <n v="0.56000000000000005"/>
    <n v="0.19400000000000001"/>
    <x v="25"/>
    <x v="55"/>
    <x v="54"/>
    <x v="1"/>
    <x v="1"/>
    <x v="0"/>
    <n v="18.55670103092784"/>
    <n v="81.44329896907216"/>
    <x v="0"/>
  </r>
  <r>
    <x v="82"/>
    <x v="2"/>
    <n v="0.52"/>
    <n v="0.22389999999999999"/>
    <x v="14"/>
    <x v="25"/>
    <x v="55"/>
    <x v="1"/>
    <x v="1"/>
    <x v="0"/>
    <n v="14.285714285714279"/>
    <n v="85.714285714285708"/>
    <x v="0"/>
  </r>
  <r>
    <x v="83"/>
    <x v="1"/>
    <n v="0.52"/>
    <n v="0.25369999999999998"/>
    <x v="26"/>
    <x v="41"/>
    <x v="32"/>
    <x v="1"/>
    <x v="1"/>
    <x v="0"/>
    <n v="26.15384615384616"/>
    <n v="73.846153846153854"/>
    <x v="0"/>
  </r>
  <r>
    <x v="84"/>
    <x v="0"/>
    <n v="0.49"/>
    <n v="0.25369999999999998"/>
    <x v="13"/>
    <x v="56"/>
    <x v="56"/>
    <x v="1"/>
    <x v="1"/>
    <x v="0"/>
    <n v="18.07228915662651"/>
    <n v="81.92771084337349"/>
    <x v="0"/>
  </r>
  <r>
    <x v="85"/>
    <x v="1"/>
    <n v="0.48"/>
    <n v="0.22389999999999999"/>
    <x v="22"/>
    <x v="57"/>
    <x v="57"/>
    <x v="1"/>
    <x v="1"/>
    <x v="0"/>
    <n v="4.716981132075472"/>
    <n v="95.283018867924525"/>
    <x v="1"/>
  </r>
  <r>
    <x v="86"/>
    <x v="2"/>
    <n v="0.48"/>
    <n v="0.19400000000000001"/>
    <x v="0"/>
    <x v="58"/>
    <x v="58"/>
    <x v="1"/>
    <x v="1"/>
    <x v="0"/>
    <n v="1.648351648351648"/>
    <n v="98.35164835164835"/>
    <x v="1"/>
  </r>
  <r>
    <x v="87"/>
    <x v="2"/>
    <n v="0.48"/>
    <n v="0.1045"/>
    <x v="4"/>
    <x v="59"/>
    <x v="59"/>
    <x v="1"/>
    <x v="0"/>
    <x v="0"/>
    <n v="1.785714285714286"/>
    <n v="98.214285714285708"/>
    <x v="1"/>
  </r>
  <r>
    <x v="88"/>
    <x v="2"/>
    <n v="0.48"/>
    <n v="0.1045"/>
    <x v="5"/>
    <x v="42"/>
    <x v="60"/>
    <x v="1"/>
    <x v="0"/>
    <x v="0"/>
    <n v="1.8518518518518521"/>
    <n v="98.148148148148152"/>
    <x v="0"/>
  </r>
  <r>
    <x v="89"/>
    <x v="1"/>
    <n v="0.64"/>
    <n v="0"/>
    <x v="3"/>
    <x v="41"/>
    <x v="61"/>
    <x v="1"/>
    <x v="0"/>
    <x v="0"/>
    <n v="0"/>
    <n v="100"/>
    <x v="0"/>
  </r>
  <r>
    <x v="90"/>
    <x v="2"/>
    <n v="0.64"/>
    <n v="8.9599999999999999E-2"/>
    <x v="5"/>
    <x v="60"/>
    <x v="17"/>
    <x v="1"/>
    <x v="0"/>
    <x v="0"/>
    <n v="2.8571428571428572"/>
    <n v="97.142857142857139"/>
    <x v="0"/>
  </r>
  <r>
    <x v="91"/>
    <x v="10"/>
    <n v="0.69"/>
    <n v="8.9599999999999999E-2"/>
    <x v="4"/>
    <x v="33"/>
    <x v="62"/>
    <x v="1"/>
    <x v="0"/>
    <x v="0"/>
    <n v="18.18181818181818"/>
    <n v="81.818181818181827"/>
    <x v="0"/>
  </r>
  <r>
    <x v="92"/>
    <x v="2"/>
    <n v="0.64"/>
    <n v="0"/>
    <x v="3"/>
    <x v="8"/>
    <x v="24"/>
    <x v="1"/>
    <x v="0"/>
    <x v="0"/>
    <n v="0"/>
    <n v="100"/>
    <x v="0"/>
  </r>
  <r>
    <x v="93"/>
    <x v="12"/>
    <n v="0.74"/>
    <n v="8.9599999999999999E-2"/>
    <x v="3"/>
    <x v="8"/>
    <x v="24"/>
    <x v="0"/>
    <x v="0"/>
    <x v="0"/>
    <n v="0"/>
    <n v="100"/>
    <x v="0"/>
  </r>
  <r>
    <x v="94"/>
    <x v="12"/>
    <n v="0.74"/>
    <n v="8.9599999999999999E-2"/>
    <x v="3"/>
    <x v="6"/>
    <x v="5"/>
    <x v="0"/>
    <x v="0"/>
    <x v="0"/>
    <n v="0"/>
    <n v="100"/>
    <x v="0"/>
  </r>
  <r>
    <x v="95"/>
    <x v="10"/>
    <n v="0.48"/>
    <n v="0.22389999999999999"/>
    <x v="3"/>
    <x v="6"/>
    <x v="5"/>
    <x v="1"/>
    <x v="1"/>
    <x v="0"/>
    <n v="0"/>
    <n v="100"/>
    <x v="0"/>
  </r>
  <r>
    <x v="96"/>
    <x v="10"/>
    <n v="0.47"/>
    <n v="0.16420000000000001"/>
    <x v="3"/>
    <x v="35"/>
    <x v="6"/>
    <x v="1"/>
    <x v="1"/>
    <x v="0"/>
    <n v="0"/>
    <n v="100"/>
    <x v="0"/>
  </r>
  <r>
    <x v="97"/>
    <x v="12"/>
    <n v="0.47"/>
    <n v="0.22389999999999999"/>
    <x v="3"/>
    <x v="39"/>
    <x v="63"/>
    <x v="1"/>
    <x v="1"/>
    <x v="0"/>
    <n v="0"/>
    <n v="100"/>
    <x v="0"/>
  </r>
  <r>
    <x v="98"/>
    <x v="17"/>
    <n v="0.43"/>
    <n v="0.19400000000000001"/>
    <x v="5"/>
    <x v="61"/>
    <x v="39"/>
    <x v="1"/>
    <x v="1"/>
    <x v="0"/>
    <n v="1.136363636363636"/>
    <n v="98.86363636363636"/>
    <x v="0"/>
  </r>
  <r>
    <x v="99"/>
    <x v="17"/>
    <n v="0.4"/>
    <n v="0.29849999999999999"/>
    <x v="0"/>
    <x v="62"/>
    <x v="64"/>
    <x v="1"/>
    <x v="1"/>
    <x v="0"/>
    <n v="1.538461538461539"/>
    <n v="98.461538461538467"/>
    <x v="1"/>
  </r>
  <r>
    <x v="100"/>
    <x v="12"/>
    <n v="0.37"/>
    <n v="0.32840000000000003"/>
    <x v="15"/>
    <x v="63"/>
    <x v="65"/>
    <x v="2"/>
    <x v="2"/>
    <x v="0"/>
    <n v="5.2173913043478262"/>
    <n v="94.782608695652172"/>
    <x v="1"/>
  </r>
  <r>
    <x v="101"/>
    <x v="12"/>
    <n v="0.37"/>
    <n v="0.32840000000000003"/>
    <x v="17"/>
    <x v="42"/>
    <x v="52"/>
    <x v="2"/>
    <x v="2"/>
    <x v="0"/>
    <n v="7.0175438596491224"/>
    <n v="92.982456140350877"/>
    <x v="0"/>
  </r>
  <r>
    <x v="102"/>
    <x v="10"/>
    <n v="0.33"/>
    <n v="0.32840000000000003"/>
    <x v="6"/>
    <x v="60"/>
    <x v="66"/>
    <x v="2"/>
    <x v="2"/>
    <x v="0"/>
    <n v="26.086956521739129"/>
    <n v="73.91304347826086"/>
    <x v="0"/>
  </r>
  <r>
    <x v="103"/>
    <x v="10"/>
    <n v="0.33"/>
    <n v="0.32840000000000003"/>
    <x v="2"/>
    <x v="64"/>
    <x v="67"/>
    <x v="2"/>
    <x v="2"/>
    <x v="0"/>
    <n v="6.3291139240506329"/>
    <n v="93.670886075949369"/>
    <x v="0"/>
  </r>
  <r>
    <x v="104"/>
    <x v="2"/>
    <n v="0.3"/>
    <n v="0.29849999999999999"/>
    <x v="15"/>
    <x v="65"/>
    <x v="68"/>
    <x v="2"/>
    <x v="1"/>
    <x v="0"/>
    <n v="8.4507042253521121"/>
    <n v="91.549295774647888"/>
    <x v="0"/>
  </r>
  <r>
    <x v="105"/>
    <x v="0"/>
    <n v="0.28000000000000003"/>
    <n v="0.19400000000000001"/>
    <x v="22"/>
    <x v="15"/>
    <x v="69"/>
    <x v="2"/>
    <x v="1"/>
    <x v="0"/>
    <n v="16.12903225806452"/>
    <n v="83.870967741935488"/>
    <x v="0"/>
  </r>
  <r>
    <x v="106"/>
    <x v="0"/>
    <n v="0.28000000000000003"/>
    <n v="0.19400000000000001"/>
    <x v="18"/>
    <x v="11"/>
    <x v="69"/>
    <x v="2"/>
    <x v="1"/>
    <x v="0"/>
    <n v="11.29032258064516"/>
    <n v="88.709677419354833"/>
    <x v="0"/>
  </r>
  <r>
    <x v="107"/>
    <x v="20"/>
    <n v="0.28000000000000003"/>
    <n v="8.9599999999999999E-2"/>
    <x v="17"/>
    <x v="66"/>
    <x v="70"/>
    <x v="2"/>
    <x v="0"/>
    <x v="0"/>
    <n v="4.4943820224719104"/>
    <n v="95.50561797752809"/>
    <x v="0"/>
  </r>
  <r>
    <x v="108"/>
    <x v="10"/>
    <n v="0.38"/>
    <n v="0.19400000000000001"/>
    <x v="17"/>
    <x v="67"/>
    <x v="71"/>
    <x v="2"/>
    <x v="1"/>
    <x v="0"/>
    <n v="2.1052631578947372"/>
    <n v="97.894736842105274"/>
    <x v="1"/>
  </r>
  <r>
    <x v="109"/>
    <x v="18"/>
    <n v="0.38"/>
    <n v="0.1343"/>
    <x v="0"/>
    <x v="68"/>
    <x v="72"/>
    <x v="2"/>
    <x v="0"/>
    <x v="0"/>
    <n v="1.775147928994083"/>
    <n v="98.224852071005913"/>
    <x v="1"/>
  </r>
  <r>
    <x v="110"/>
    <x v="2"/>
    <n v="0.38"/>
    <n v="0.1045"/>
    <x v="2"/>
    <x v="69"/>
    <x v="73"/>
    <x v="2"/>
    <x v="0"/>
    <x v="0"/>
    <n v="3.7878787878787881"/>
    <n v="96.212121212121218"/>
    <x v="1"/>
  </r>
  <r>
    <x v="111"/>
    <x v="10"/>
    <n v="0.47"/>
    <n v="0.16420000000000001"/>
    <x v="18"/>
    <x v="70"/>
    <x v="70"/>
    <x v="1"/>
    <x v="1"/>
    <x v="0"/>
    <n v="7.8651685393258424"/>
    <n v="92.134831460674164"/>
    <x v="0"/>
  </r>
  <r>
    <x v="112"/>
    <x v="12"/>
    <n v="0.51"/>
    <n v="0.19400000000000001"/>
    <x v="0"/>
    <x v="71"/>
    <x v="74"/>
    <x v="1"/>
    <x v="1"/>
    <x v="0"/>
    <n v="6.9767441860465116"/>
    <n v="93.023255813953483"/>
    <x v="0"/>
  </r>
  <r>
    <x v="113"/>
    <x v="12"/>
    <n v="0.55000000000000004"/>
    <n v="0.1343"/>
    <x v="5"/>
    <x v="40"/>
    <x v="51"/>
    <x v="1"/>
    <x v="0"/>
    <x v="0"/>
    <n v="2.3809523809523809"/>
    <n v="97.61904761904762"/>
    <x v="0"/>
  </r>
  <r>
    <x v="114"/>
    <x v="2"/>
    <n v="0.47"/>
    <n v="0"/>
    <x v="5"/>
    <x v="72"/>
    <x v="75"/>
    <x v="1"/>
    <x v="0"/>
    <x v="0"/>
    <n v="5.2631578947368416"/>
    <n v="94.73684210526315"/>
    <x v="0"/>
  </r>
  <r>
    <x v="115"/>
    <x v="18"/>
    <n v="0.55000000000000004"/>
    <n v="0"/>
    <x v="3"/>
    <x v="48"/>
    <x v="62"/>
    <x v="1"/>
    <x v="0"/>
    <x v="0"/>
    <n v="0"/>
    <n v="100"/>
    <x v="0"/>
  </r>
  <r>
    <x v="116"/>
    <x v="10"/>
    <n v="0.64"/>
    <n v="0"/>
    <x v="3"/>
    <x v="22"/>
    <x v="48"/>
    <x v="1"/>
    <x v="0"/>
    <x v="0"/>
    <n v="0"/>
    <n v="100"/>
    <x v="0"/>
  </r>
  <r>
    <x v="117"/>
    <x v="10"/>
    <n v="0.64"/>
    <n v="0"/>
    <x v="3"/>
    <x v="6"/>
    <x v="5"/>
    <x v="1"/>
    <x v="0"/>
    <x v="0"/>
    <n v="0"/>
    <n v="100"/>
    <x v="0"/>
  </r>
  <r>
    <x v="118"/>
    <x v="12"/>
    <n v="0.64"/>
    <n v="8.9599999999999999E-2"/>
    <x v="3"/>
    <x v="4"/>
    <x v="4"/>
    <x v="1"/>
    <x v="0"/>
    <x v="0"/>
    <n v="0"/>
    <n v="100"/>
    <x v="0"/>
  </r>
  <r>
    <x v="119"/>
    <x v="17"/>
    <n v="0.69"/>
    <n v="8.9599999999999999E-2"/>
    <x v="3"/>
    <x v="22"/>
    <x v="48"/>
    <x v="1"/>
    <x v="0"/>
    <x v="0"/>
    <n v="0"/>
    <n v="100"/>
    <x v="0"/>
  </r>
  <r>
    <x v="120"/>
    <x v="16"/>
    <n v="0.63"/>
    <n v="0.1045"/>
    <x v="3"/>
    <x v="49"/>
    <x v="9"/>
    <x v="1"/>
    <x v="0"/>
    <x v="0"/>
    <n v="0"/>
    <n v="100"/>
    <x v="0"/>
  </r>
  <r>
    <x v="121"/>
    <x v="10"/>
    <n v="0.59"/>
    <n v="0"/>
    <x v="3"/>
    <x v="73"/>
    <x v="76"/>
    <x v="1"/>
    <x v="0"/>
    <x v="0"/>
    <n v="0"/>
    <n v="100"/>
    <x v="0"/>
  </r>
  <r>
    <x v="122"/>
    <x v="10"/>
    <n v="0.59"/>
    <n v="0"/>
    <x v="0"/>
    <x v="74"/>
    <x v="77"/>
    <x v="1"/>
    <x v="0"/>
    <x v="0"/>
    <n v="1.3698630136986301"/>
    <n v="98.630136986301366"/>
    <x v="1"/>
  </r>
  <r>
    <x v="123"/>
    <x v="18"/>
    <n v="0.51"/>
    <n v="0"/>
    <x v="15"/>
    <x v="75"/>
    <x v="78"/>
    <x v="1"/>
    <x v="0"/>
    <x v="0"/>
    <n v="4.918032786885246"/>
    <n v="95.081967213114751"/>
    <x v="1"/>
  </r>
  <r>
    <x v="124"/>
    <x v="2"/>
    <n v="0.47"/>
    <n v="0"/>
    <x v="0"/>
    <x v="76"/>
    <x v="79"/>
    <x v="1"/>
    <x v="0"/>
    <x v="0"/>
    <n v="6.666666666666667"/>
    <n v="93.333333333333329"/>
    <x v="0"/>
  </r>
  <r>
    <x v="125"/>
    <x v="2"/>
    <n v="0.44"/>
    <n v="8.9599999999999999E-2"/>
    <x v="4"/>
    <x v="77"/>
    <x v="29"/>
    <x v="1"/>
    <x v="0"/>
    <x v="0"/>
    <n v="3.3898305084745761"/>
    <n v="96.610169491525426"/>
    <x v="0"/>
  </r>
  <r>
    <x v="126"/>
    <x v="0"/>
    <n v="0.35"/>
    <n v="0"/>
    <x v="15"/>
    <x v="78"/>
    <x v="11"/>
    <x v="2"/>
    <x v="0"/>
    <x v="0"/>
    <n v="7.1428571428571423"/>
    <n v="92.857142857142861"/>
    <x v="0"/>
  </r>
  <r>
    <x v="127"/>
    <x v="1"/>
    <n v="0.35"/>
    <n v="0.1045"/>
    <x v="6"/>
    <x v="11"/>
    <x v="16"/>
    <x v="2"/>
    <x v="0"/>
    <x v="0"/>
    <n v="17.910447761194028"/>
    <n v="82.089552238805979"/>
    <x v="0"/>
  </r>
  <r>
    <x v="128"/>
    <x v="1"/>
    <n v="0.36"/>
    <n v="0.16420000000000001"/>
    <x v="16"/>
    <x v="79"/>
    <x v="27"/>
    <x v="2"/>
    <x v="1"/>
    <x v="0"/>
    <n v="15.71428571428571"/>
    <n v="84.285714285714292"/>
    <x v="0"/>
  </r>
  <r>
    <x v="129"/>
    <x v="1"/>
    <n v="0.36"/>
    <n v="0"/>
    <x v="1"/>
    <x v="25"/>
    <x v="69"/>
    <x v="2"/>
    <x v="0"/>
    <x v="0"/>
    <n v="12.90322580645161"/>
    <n v="87.096774193548384"/>
    <x v="0"/>
  </r>
  <r>
    <x v="130"/>
    <x v="2"/>
    <n v="0.38"/>
    <n v="0.16420000000000001"/>
    <x v="6"/>
    <x v="64"/>
    <x v="80"/>
    <x v="2"/>
    <x v="1"/>
    <x v="0"/>
    <n v="13.95348837209302"/>
    <n v="86.04651162790698"/>
    <x v="0"/>
  </r>
  <r>
    <x v="131"/>
    <x v="10"/>
    <n v="0.51"/>
    <n v="0.16420000000000001"/>
    <x v="14"/>
    <x v="80"/>
    <x v="81"/>
    <x v="1"/>
    <x v="1"/>
    <x v="0"/>
    <n v="5.2325581395348841"/>
    <n v="94.767441860465112"/>
    <x v="1"/>
  </r>
  <r>
    <x v="132"/>
    <x v="10"/>
    <n v="0.51"/>
    <n v="0.1343"/>
    <x v="2"/>
    <x v="81"/>
    <x v="82"/>
    <x v="1"/>
    <x v="0"/>
    <x v="0"/>
    <n v="3.0674846625766872"/>
    <n v="96.932515337423311"/>
    <x v="1"/>
  </r>
  <r>
    <x v="133"/>
    <x v="2"/>
    <n v="0.55000000000000004"/>
    <n v="8.9599999999999999E-2"/>
    <x v="0"/>
    <x v="63"/>
    <x v="59"/>
    <x v="1"/>
    <x v="0"/>
    <x v="0"/>
    <n v="2.6785714285714279"/>
    <n v="97.321428571428569"/>
    <x v="1"/>
  </r>
  <r>
    <x v="134"/>
    <x v="11"/>
    <n v="0.51"/>
    <n v="0.16420000000000001"/>
    <x v="0"/>
    <x v="43"/>
    <x v="83"/>
    <x v="1"/>
    <x v="1"/>
    <x v="0"/>
    <n v="4.3478260869565224"/>
    <n v="95.652173913043484"/>
    <x v="0"/>
  </r>
  <r>
    <x v="135"/>
    <x v="11"/>
    <n v="0.55000000000000004"/>
    <n v="0.22389999999999999"/>
    <x v="3"/>
    <x v="41"/>
    <x v="61"/>
    <x v="1"/>
    <x v="1"/>
    <x v="0"/>
    <n v="0"/>
    <n v="100"/>
    <x v="0"/>
  </r>
  <r>
    <x v="136"/>
    <x v="11"/>
    <n v="0.51"/>
    <n v="0.28360000000000002"/>
    <x v="5"/>
    <x v="82"/>
    <x v="46"/>
    <x v="1"/>
    <x v="1"/>
    <x v="0"/>
    <n v="1.9230769230769229"/>
    <n v="98.076923076923066"/>
    <x v="0"/>
  </r>
  <r>
    <x v="137"/>
    <x v="12"/>
    <n v="0.59"/>
    <n v="0.19400000000000001"/>
    <x v="17"/>
    <x v="23"/>
    <x v="84"/>
    <x v="1"/>
    <x v="1"/>
    <x v="0"/>
    <n v="17.39130434782609"/>
    <n v="82.608695652173907"/>
    <x v="0"/>
  </r>
  <r>
    <x v="138"/>
    <x v="12"/>
    <n v="0.64"/>
    <n v="0.19400000000000001"/>
    <x v="17"/>
    <x v="0"/>
    <x v="22"/>
    <x v="1"/>
    <x v="1"/>
    <x v="0"/>
    <n v="23.52941176470588"/>
    <n v="76.470588235294116"/>
    <x v="0"/>
  </r>
  <r>
    <x v="139"/>
    <x v="12"/>
    <n v="0.69"/>
    <n v="0.22389999999999999"/>
    <x v="4"/>
    <x v="34"/>
    <x v="85"/>
    <x v="1"/>
    <x v="1"/>
    <x v="0"/>
    <n v="28.571428571428569"/>
    <n v="71.428571428571431"/>
    <x v="0"/>
  </r>
  <r>
    <x v="140"/>
    <x v="12"/>
    <n v="0.69"/>
    <n v="0.22389999999999999"/>
    <x v="3"/>
    <x v="4"/>
    <x v="4"/>
    <x v="1"/>
    <x v="1"/>
    <x v="0"/>
    <n v="0"/>
    <n v="100"/>
    <x v="0"/>
  </r>
  <r>
    <x v="141"/>
    <x v="11"/>
    <n v="0.69"/>
    <n v="0.1343"/>
    <x v="3"/>
    <x v="4"/>
    <x v="4"/>
    <x v="1"/>
    <x v="0"/>
    <x v="0"/>
    <n v="0"/>
    <n v="100"/>
    <x v="0"/>
  </r>
  <r>
    <x v="142"/>
    <x v="1"/>
    <n v="0.55000000000000004"/>
    <n v="0"/>
    <x v="3"/>
    <x v="34"/>
    <x v="36"/>
    <x v="1"/>
    <x v="0"/>
    <x v="0"/>
    <n v="0"/>
    <n v="100"/>
    <x v="0"/>
  </r>
  <r>
    <x v="143"/>
    <x v="2"/>
    <n v="0.69"/>
    <n v="0"/>
    <x v="1"/>
    <x v="16"/>
    <x v="19"/>
    <x v="1"/>
    <x v="0"/>
    <x v="0"/>
    <n v="23.52941176470588"/>
    <n v="76.470588235294116"/>
    <x v="0"/>
  </r>
  <r>
    <x v="144"/>
    <x v="11"/>
    <n v="0.69"/>
    <n v="0.1343"/>
    <x v="1"/>
    <x v="83"/>
    <x v="11"/>
    <x v="1"/>
    <x v="0"/>
    <x v="0"/>
    <n v="9.5238095238095237"/>
    <n v="90.476190476190482"/>
    <x v="0"/>
  </r>
  <r>
    <x v="145"/>
    <x v="12"/>
    <n v="0.51"/>
    <n v="0.25369999999999998"/>
    <x v="20"/>
    <x v="84"/>
    <x v="86"/>
    <x v="1"/>
    <x v="1"/>
    <x v="0"/>
    <n v="9.5238095238095237"/>
    <n v="90.476190476190482"/>
    <x v="1"/>
  </r>
  <r>
    <x v="146"/>
    <x v="17"/>
    <n v="0.47"/>
    <n v="0.29849999999999999"/>
    <x v="14"/>
    <x v="85"/>
    <x v="87"/>
    <x v="1"/>
    <x v="1"/>
    <x v="0"/>
    <n v="6.7164179104477606"/>
    <n v="93.28358208955224"/>
    <x v="1"/>
  </r>
  <r>
    <x v="147"/>
    <x v="12"/>
    <n v="0.37"/>
    <n v="0.32840000000000003"/>
    <x v="19"/>
    <x v="12"/>
    <x v="55"/>
    <x v="2"/>
    <x v="2"/>
    <x v="0"/>
    <n v="25.396825396825399"/>
    <n v="74.603174603174608"/>
    <x v="0"/>
  </r>
  <r>
    <x v="148"/>
    <x v="12"/>
    <n v="0.4"/>
    <n v="0.22389999999999999"/>
    <x v="21"/>
    <x v="41"/>
    <x v="16"/>
    <x v="1"/>
    <x v="1"/>
    <x v="0"/>
    <n v="28.35820895522388"/>
    <n v="71.641791044776113"/>
    <x v="0"/>
  </r>
  <r>
    <x v="149"/>
    <x v="12"/>
    <n v="0.37"/>
    <n v="0.25369999999999998"/>
    <x v="14"/>
    <x v="54"/>
    <x v="29"/>
    <x v="2"/>
    <x v="1"/>
    <x v="0"/>
    <n v="15.25423728813559"/>
    <n v="84.745762711864401"/>
    <x v="0"/>
  </r>
  <r>
    <x v="150"/>
    <x v="17"/>
    <n v="0.37"/>
    <n v="0.28360000000000002"/>
    <x v="14"/>
    <x v="27"/>
    <x v="88"/>
    <x v="2"/>
    <x v="1"/>
    <x v="0"/>
    <n v="12.328767123287671"/>
    <n v="87.671232876712324"/>
    <x v="0"/>
  </r>
  <r>
    <x v="151"/>
    <x v="12"/>
    <n v="0.4"/>
    <n v="0.25369999999999998"/>
    <x v="18"/>
    <x v="30"/>
    <x v="89"/>
    <x v="1"/>
    <x v="1"/>
    <x v="0"/>
    <n v="14"/>
    <n v="86"/>
    <x v="0"/>
  </r>
  <r>
    <x v="152"/>
    <x v="11"/>
    <n v="0.37"/>
    <n v="0.16420000000000001"/>
    <x v="14"/>
    <x v="36"/>
    <x v="44"/>
    <x v="2"/>
    <x v="1"/>
    <x v="0"/>
    <n v="12.5"/>
    <n v="87.5"/>
    <x v="0"/>
  </r>
  <r>
    <x v="153"/>
    <x v="11"/>
    <n v="0.37"/>
    <n v="0.16420000000000001"/>
    <x v="2"/>
    <x v="70"/>
    <x v="90"/>
    <x v="2"/>
    <x v="1"/>
    <x v="0"/>
    <n v="5.7471264367816088"/>
    <n v="94.252873563218387"/>
    <x v="0"/>
  </r>
  <r>
    <x v="154"/>
    <x v="2"/>
    <n v="0.37"/>
    <n v="0"/>
    <x v="14"/>
    <x v="86"/>
    <x v="91"/>
    <x v="2"/>
    <x v="0"/>
    <x v="0"/>
    <n v="4.8128342245989302"/>
    <n v="95.18716577540107"/>
    <x v="1"/>
  </r>
  <r>
    <x v="155"/>
    <x v="10"/>
    <n v="0.4"/>
    <n v="8.9599999999999999E-2"/>
    <x v="18"/>
    <x v="75"/>
    <x v="92"/>
    <x v="1"/>
    <x v="0"/>
    <x v="0"/>
    <n v="5.6910569105691051"/>
    <n v="94.308943089430898"/>
    <x v="1"/>
  </r>
  <r>
    <x v="156"/>
    <x v="12"/>
    <n v="0.55000000000000004"/>
    <n v="8.9599999999999999E-2"/>
    <x v="0"/>
    <x v="50"/>
    <x v="76"/>
    <x v="1"/>
    <x v="0"/>
    <x v="0"/>
    <n v="3.1578947368421049"/>
    <n v="96.84210526315789"/>
    <x v="0"/>
  </r>
  <r>
    <x v="157"/>
    <x v="11"/>
    <n v="0.47"/>
    <n v="0.1045"/>
    <x v="5"/>
    <x v="54"/>
    <x v="41"/>
    <x v="1"/>
    <x v="0"/>
    <x v="0"/>
    <n v="1.9607843137254899"/>
    <n v="98.039215686274503"/>
    <x v="0"/>
  </r>
  <r>
    <x v="158"/>
    <x v="12"/>
    <n v="0.47"/>
    <n v="0.1343"/>
    <x v="3"/>
    <x v="87"/>
    <x v="21"/>
    <x v="1"/>
    <x v="0"/>
    <x v="0"/>
    <n v="0"/>
    <n v="100"/>
    <x v="0"/>
  </r>
  <r>
    <x v="159"/>
    <x v="12"/>
    <n v="0.43"/>
    <n v="0.16420000000000001"/>
    <x v="4"/>
    <x v="60"/>
    <x v="9"/>
    <x v="1"/>
    <x v="1"/>
    <x v="0"/>
    <n v="5.5555555555555554"/>
    <n v="94.444444444444443"/>
    <x v="0"/>
  </r>
  <r>
    <x v="160"/>
    <x v="12"/>
    <n v="0.51"/>
    <n v="0.16420000000000001"/>
    <x v="5"/>
    <x v="88"/>
    <x v="93"/>
    <x v="1"/>
    <x v="1"/>
    <x v="0"/>
    <n v="6.666666666666667"/>
    <n v="93.333333333333329"/>
    <x v="0"/>
  </r>
  <r>
    <x v="161"/>
    <x v="12"/>
    <n v="0.51"/>
    <n v="0.16420000000000001"/>
    <x v="5"/>
    <x v="9"/>
    <x v="94"/>
    <x v="1"/>
    <x v="1"/>
    <x v="0"/>
    <n v="4"/>
    <n v="96"/>
    <x v="0"/>
  </r>
  <r>
    <x v="162"/>
    <x v="11"/>
    <n v="0.55000000000000004"/>
    <n v="8.9599999999999999E-2"/>
    <x v="5"/>
    <x v="89"/>
    <x v="0"/>
    <x v="1"/>
    <x v="0"/>
    <x v="0"/>
    <n v="6.25"/>
    <n v="93.75"/>
    <x v="0"/>
  </r>
  <r>
    <x v="163"/>
    <x v="18"/>
    <n v="0.55000000000000004"/>
    <n v="0"/>
    <x v="0"/>
    <x v="0"/>
    <x v="0"/>
    <x v="1"/>
    <x v="0"/>
    <x v="0"/>
    <n v="18.75"/>
    <n v="81.25"/>
    <x v="0"/>
  </r>
  <r>
    <x v="164"/>
    <x v="12"/>
    <n v="0.55000000000000004"/>
    <n v="0.16420000000000001"/>
    <x v="3"/>
    <x v="7"/>
    <x v="85"/>
    <x v="1"/>
    <x v="1"/>
    <x v="0"/>
    <n v="0"/>
    <n v="100"/>
    <x v="0"/>
  </r>
  <r>
    <x v="165"/>
    <x v="12"/>
    <n v="0.55000000000000004"/>
    <n v="0.16420000000000001"/>
    <x v="3"/>
    <x v="4"/>
    <x v="4"/>
    <x v="1"/>
    <x v="1"/>
    <x v="0"/>
    <n v="0"/>
    <n v="100"/>
    <x v="0"/>
  </r>
  <r>
    <x v="166"/>
    <x v="16"/>
    <n v="0.74"/>
    <n v="0.16420000000000001"/>
    <x v="3"/>
    <x v="34"/>
    <x v="36"/>
    <x v="0"/>
    <x v="1"/>
    <x v="0"/>
    <n v="0"/>
    <n v="100"/>
    <x v="0"/>
  </r>
  <r>
    <x v="167"/>
    <x v="16"/>
    <n v="0.74"/>
    <n v="0.16420000000000001"/>
    <x v="3"/>
    <x v="6"/>
    <x v="5"/>
    <x v="0"/>
    <x v="1"/>
    <x v="0"/>
    <n v="0"/>
    <n v="100"/>
    <x v="0"/>
  </r>
  <r>
    <x v="168"/>
    <x v="17"/>
    <n v="0.74"/>
    <n v="0.1045"/>
    <x v="5"/>
    <x v="21"/>
    <x v="23"/>
    <x v="0"/>
    <x v="0"/>
    <x v="0"/>
    <n v="11.111111111111111"/>
    <n v="88.888888888888886"/>
    <x v="0"/>
  </r>
  <r>
    <x v="169"/>
    <x v="17"/>
    <n v="0.93"/>
    <n v="0.1045"/>
    <x v="3"/>
    <x v="89"/>
    <x v="93"/>
    <x v="0"/>
    <x v="0"/>
    <x v="0"/>
    <n v="0"/>
    <n v="100"/>
    <x v="0"/>
  </r>
  <r>
    <x v="170"/>
    <x v="17"/>
    <n v="0.93"/>
    <n v="0.1045"/>
    <x v="3"/>
    <x v="32"/>
    <x v="25"/>
    <x v="0"/>
    <x v="0"/>
    <x v="0"/>
    <n v="0"/>
    <n v="100"/>
    <x v="0"/>
  </r>
  <r>
    <x v="171"/>
    <x v="12"/>
    <n v="0.8"/>
    <n v="0.16420000000000001"/>
    <x v="2"/>
    <x v="90"/>
    <x v="42"/>
    <x v="0"/>
    <x v="1"/>
    <x v="0"/>
    <n v="8.1967213114754092"/>
    <n v="91.803278688524586"/>
    <x v="0"/>
  </r>
  <r>
    <x v="172"/>
    <x v="17"/>
    <n v="0.69"/>
    <n v="0.3881"/>
    <x v="4"/>
    <x v="91"/>
    <x v="69"/>
    <x v="1"/>
    <x v="2"/>
    <x v="0"/>
    <n v="3.225806451612903"/>
    <n v="96.774193548387103"/>
    <x v="0"/>
  </r>
  <r>
    <x v="173"/>
    <x v="17"/>
    <n v="0.59"/>
    <n v="0.35820000000000002"/>
    <x v="1"/>
    <x v="92"/>
    <x v="95"/>
    <x v="1"/>
    <x v="2"/>
    <x v="0"/>
    <n v="8.1632653061224492"/>
    <n v="91.83673469387756"/>
    <x v="0"/>
  </r>
  <r>
    <x v="174"/>
    <x v="17"/>
    <n v="0.44"/>
    <n v="0.32840000000000003"/>
    <x v="18"/>
    <x v="73"/>
    <x v="96"/>
    <x v="1"/>
    <x v="2"/>
    <x v="0"/>
    <n v="6.8627450980392162"/>
    <n v="93.137254901960787"/>
    <x v="1"/>
  </r>
  <r>
    <x v="175"/>
    <x v="16"/>
    <n v="0.32"/>
    <n v="0.49249999999999999"/>
    <x v="6"/>
    <x v="93"/>
    <x v="76"/>
    <x v="2"/>
    <x v="2"/>
    <x v="0"/>
    <n v="12.631578947368419"/>
    <n v="87.368421052631589"/>
    <x v="0"/>
  </r>
  <r>
    <x v="176"/>
    <x v="16"/>
    <n v="0.32"/>
    <n v="0.44779999999999998"/>
    <x v="2"/>
    <x v="94"/>
    <x v="30"/>
    <x v="2"/>
    <x v="2"/>
    <x v="0"/>
    <n v="6.756756756756757"/>
    <n v="93.243243243243242"/>
    <x v="0"/>
  </r>
  <r>
    <x v="177"/>
    <x v="13"/>
    <n v="0.28999999999999998"/>
    <n v="0.44779999999999998"/>
    <x v="1"/>
    <x v="56"/>
    <x v="31"/>
    <x v="2"/>
    <x v="2"/>
    <x v="0"/>
    <n v="10.52631578947368"/>
    <n v="89.473684210526315"/>
    <x v="0"/>
  </r>
  <r>
    <x v="178"/>
    <x v="15"/>
    <n v="0.37"/>
    <n v="0.55220000000000002"/>
    <x v="2"/>
    <x v="27"/>
    <x v="83"/>
    <x v="2"/>
    <x v="2"/>
    <x v="0"/>
    <n v="7.2463768115942031"/>
    <n v="92.753623188405797"/>
    <x v="0"/>
  </r>
  <r>
    <x v="179"/>
    <x v="15"/>
    <n v="0.39"/>
    <n v="0.29849999999999999"/>
    <x v="0"/>
    <x v="15"/>
    <x v="97"/>
    <x v="2"/>
    <x v="1"/>
    <x v="0"/>
    <n v="5.4545454545454541"/>
    <n v="94.545454545454547"/>
    <x v="0"/>
  </r>
  <r>
    <x v="180"/>
    <x v="15"/>
    <n v="0.36"/>
    <n v="0.25369999999999998"/>
    <x v="17"/>
    <x v="16"/>
    <x v="33"/>
    <x v="2"/>
    <x v="1"/>
    <x v="0"/>
    <n v="13.33333333333333"/>
    <n v="86.666666666666671"/>
    <x v="0"/>
  </r>
  <r>
    <x v="181"/>
    <x v="15"/>
    <n v="0.36"/>
    <n v="0.25369999999999998"/>
    <x v="3"/>
    <x v="95"/>
    <x v="20"/>
    <x v="2"/>
    <x v="1"/>
    <x v="0"/>
    <n v="0"/>
    <n v="100"/>
    <x v="0"/>
  </r>
  <r>
    <x v="182"/>
    <x v="14"/>
    <n v="0.39"/>
    <n v="0.35820000000000002"/>
    <x v="4"/>
    <x v="96"/>
    <x v="18"/>
    <x v="2"/>
    <x v="2"/>
    <x v="0"/>
    <n v="5.4054054054054053"/>
    <n v="94.594594594594597"/>
    <x v="0"/>
  </r>
  <r>
    <x v="183"/>
    <x v="14"/>
    <n v="0.36"/>
    <n v="0.3881"/>
    <x v="5"/>
    <x v="39"/>
    <x v="19"/>
    <x v="2"/>
    <x v="2"/>
    <x v="0"/>
    <n v="2.9411764705882351"/>
    <n v="97.058823529411768"/>
    <x v="0"/>
  </r>
  <r>
    <x v="184"/>
    <x v="21"/>
    <n v="0.39"/>
    <n v="0.44779999999999998"/>
    <x v="3"/>
    <x v="97"/>
    <x v="34"/>
    <x v="2"/>
    <x v="2"/>
    <x v="0"/>
    <n v="0"/>
    <n v="100"/>
    <x v="0"/>
  </r>
  <r>
    <x v="185"/>
    <x v="22"/>
    <n v="0.42"/>
    <n v="0.3881"/>
    <x v="5"/>
    <x v="9"/>
    <x v="94"/>
    <x v="1"/>
    <x v="2"/>
    <x v="0"/>
    <n v="4"/>
    <n v="96"/>
    <x v="0"/>
  </r>
  <r>
    <x v="186"/>
    <x v="21"/>
    <n v="0.42"/>
    <n v="0.4627"/>
    <x v="3"/>
    <x v="98"/>
    <x v="47"/>
    <x v="1"/>
    <x v="2"/>
    <x v="0"/>
    <n v="0"/>
    <n v="100"/>
    <x v="0"/>
  </r>
  <r>
    <x v="187"/>
    <x v="21"/>
    <n v="0.46"/>
    <n v="0.4627"/>
    <x v="3"/>
    <x v="48"/>
    <x v="62"/>
    <x v="1"/>
    <x v="2"/>
    <x v="0"/>
    <n v="0"/>
    <n v="100"/>
    <x v="0"/>
  </r>
  <r>
    <x v="188"/>
    <x v="22"/>
    <n v="0.46"/>
    <n v="0.41789999999999999"/>
    <x v="3"/>
    <x v="22"/>
    <x v="48"/>
    <x v="1"/>
    <x v="2"/>
    <x v="0"/>
    <n v="0"/>
    <n v="100"/>
    <x v="0"/>
  </r>
  <r>
    <x v="189"/>
    <x v="23"/>
    <n v="0.53"/>
    <n v="0.19400000000000001"/>
    <x v="3"/>
    <x v="4"/>
    <x v="4"/>
    <x v="1"/>
    <x v="1"/>
    <x v="0"/>
    <n v="0"/>
    <n v="100"/>
    <x v="0"/>
  </r>
  <r>
    <x v="190"/>
    <x v="23"/>
    <n v="0.53"/>
    <n v="0.19400000000000001"/>
    <x v="3"/>
    <x v="4"/>
    <x v="4"/>
    <x v="1"/>
    <x v="1"/>
    <x v="0"/>
    <n v="0"/>
    <n v="100"/>
    <x v="0"/>
  </r>
  <r>
    <x v="191"/>
    <x v="23"/>
    <n v="0.49"/>
    <n v="0.28360000000000002"/>
    <x v="3"/>
    <x v="4"/>
    <x v="4"/>
    <x v="1"/>
    <x v="1"/>
    <x v="0"/>
    <n v="0"/>
    <n v="100"/>
    <x v="0"/>
  </r>
  <r>
    <x v="192"/>
    <x v="23"/>
    <n v="0.53"/>
    <n v="0.19400000000000001"/>
    <x v="5"/>
    <x v="34"/>
    <x v="24"/>
    <x v="1"/>
    <x v="1"/>
    <x v="0"/>
    <n v="16.666666666666661"/>
    <n v="83.333333333333343"/>
    <x v="0"/>
  </r>
  <r>
    <x v="193"/>
    <x v="23"/>
    <n v="0.49"/>
    <n v="0.28360000000000002"/>
    <x v="3"/>
    <x v="3"/>
    <x v="98"/>
    <x v="1"/>
    <x v="1"/>
    <x v="0"/>
    <n v="0"/>
    <n v="100"/>
    <x v="0"/>
  </r>
  <r>
    <x v="194"/>
    <x v="22"/>
    <n v="0.46"/>
    <n v="0.52239999999999998"/>
    <x v="3"/>
    <x v="23"/>
    <x v="75"/>
    <x v="1"/>
    <x v="2"/>
    <x v="0"/>
    <n v="0"/>
    <n v="100"/>
    <x v="0"/>
  </r>
  <r>
    <x v="195"/>
    <x v="14"/>
    <n v="0.43"/>
    <n v="0.3881"/>
    <x v="3"/>
    <x v="47"/>
    <x v="99"/>
    <x v="1"/>
    <x v="2"/>
    <x v="0"/>
    <n v="0"/>
    <n v="100"/>
    <x v="0"/>
  </r>
  <r>
    <x v="196"/>
    <x v="15"/>
    <n v="0.4"/>
    <n v="0.52239999999999998"/>
    <x v="4"/>
    <x v="12"/>
    <x v="99"/>
    <x v="1"/>
    <x v="2"/>
    <x v="0"/>
    <n v="4.0816326530612246"/>
    <n v="95.918367346938766"/>
    <x v="0"/>
  </r>
  <r>
    <x v="197"/>
    <x v="13"/>
    <n v="0.37"/>
    <n v="0.44779999999999998"/>
    <x v="17"/>
    <x v="55"/>
    <x v="56"/>
    <x v="2"/>
    <x v="2"/>
    <x v="0"/>
    <n v="4.8192771084337354"/>
    <n v="95.180722891566262"/>
    <x v="0"/>
  </r>
  <r>
    <x v="198"/>
    <x v="16"/>
    <n v="0.34"/>
    <n v="0.44779999999999998"/>
    <x v="15"/>
    <x v="94"/>
    <x v="28"/>
    <x v="2"/>
    <x v="2"/>
    <x v="0"/>
    <n v="8"/>
    <n v="92"/>
    <x v="0"/>
  </r>
  <r>
    <x v="199"/>
    <x v="17"/>
    <n v="0.32"/>
    <n v="0.4627"/>
    <x v="1"/>
    <x v="27"/>
    <x v="44"/>
    <x v="2"/>
    <x v="2"/>
    <x v="0"/>
    <n v="11.111111111111111"/>
    <n v="88.888888888888886"/>
    <x v="0"/>
  </r>
  <r>
    <x v="200"/>
    <x v="12"/>
    <n v="0.35"/>
    <n v="0.35820000000000002"/>
    <x v="2"/>
    <x v="99"/>
    <x v="100"/>
    <x v="2"/>
    <x v="2"/>
    <x v="0"/>
    <n v="6.0975609756097562"/>
    <n v="93.902439024390233"/>
    <x v="0"/>
  </r>
  <r>
    <x v="201"/>
    <x v="16"/>
    <n v="0.34"/>
    <n v="0.44779999999999998"/>
    <x v="23"/>
    <x v="55"/>
    <x v="101"/>
    <x v="2"/>
    <x v="2"/>
    <x v="0"/>
    <n v="14.130434782608701"/>
    <n v="85.869565217391312"/>
    <x v="0"/>
  </r>
  <r>
    <x v="202"/>
    <x v="19"/>
    <n v="0.37"/>
    <n v="0.3881"/>
    <x v="0"/>
    <x v="79"/>
    <x v="69"/>
    <x v="2"/>
    <x v="2"/>
    <x v="0"/>
    <n v="4.838709677419355"/>
    <n v="95.161290322580655"/>
    <x v="0"/>
  </r>
  <r>
    <x v="203"/>
    <x v="13"/>
    <n v="0.4"/>
    <n v="0.32840000000000003"/>
    <x v="17"/>
    <x v="100"/>
    <x v="61"/>
    <x v="1"/>
    <x v="2"/>
    <x v="0"/>
    <n v="8.3333333333333321"/>
    <n v="91.666666666666657"/>
    <x v="0"/>
  </r>
  <r>
    <x v="204"/>
    <x v="13"/>
    <n v="0.43"/>
    <n v="0.32840000000000003"/>
    <x v="5"/>
    <x v="71"/>
    <x v="102"/>
    <x v="1"/>
    <x v="2"/>
    <x v="0"/>
    <n v="2.4390243902439019"/>
    <n v="97.560975609756099"/>
    <x v="0"/>
  </r>
  <r>
    <x v="205"/>
    <x v="15"/>
    <n v="0.46"/>
    <n v="0.25369999999999998"/>
    <x v="3"/>
    <x v="101"/>
    <x v="103"/>
    <x v="1"/>
    <x v="1"/>
    <x v="0"/>
    <n v="0"/>
    <n v="100"/>
    <x v="0"/>
  </r>
  <r>
    <x v="206"/>
    <x v="14"/>
    <n v="0.46"/>
    <n v="0.41789999999999999"/>
    <x v="5"/>
    <x v="23"/>
    <x v="25"/>
    <x v="1"/>
    <x v="2"/>
    <x v="0"/>
    <n v="5"/>
    <n v="95"/>
    <x v="0"/>
  </r>
  <r>
    <x v="207"/>
    <x v="15"/>
    <n v="0.46"/>
    <n v="0.29849999999999999"/>
    <x v="2"/>
    <x v="3"/>
    <x v="93"/>
    <x v="1"/>
    <x v="1"/>
    <x v="0"/>
    <n v="33.333333333333329"/>
    <n v="66.666666666666657"/>
    <x v="0"/>
  </r>
  <r>
    <x v="208"/>
    <x v="13"/>
    <n v="0.5"/>
    <n v="0.19400000000000001"/>
    <x v="3"/>
    <x v="8"/>
    <x v="24"/>
    <x v="1"/>
    <x v="1"/>
    <x v="0"/>
    <n v="0"/>
    <n v="100"/>
    <x v="0"/>
  </r>
  <r>
    <x v="209"/>
    <x v="15"/>
    <n v="0.5"/>
    <n v="0.28360000000000002"/>
    <x v="4"/>
    <x v="35"/>
    <x v="36"/>
    <x v="1"/>
    <x v="1"/>
    <x v="0"/>
    <n v="40"/>
    <n v="60"/>
    <x v="0"/>
  </r>
  <r>
    <x v="210"/>
    <x v="15"/>
    <n v="0.5"/>
    <n v="0.28360000000000002"/>
    <x v="5"/>
    <x v="5"/>
    <x v="4"/>
    <x v="1"/>
    <x v="1"/>
    <x v="1"/>
    <n v="100"/>
    <n v="0"/>
    <x v="0"/>
  </r>
  <r>
    <x v="211"/>
    <x v="15"/>
    <n v="0.5"/>
    <n v="0.22389999999999999"/>
    <x v="3"/>
    <x v="35"/>
    <x v="6"/>
    <x v="1"/>
    <x v="1"/>
    <x v="0"/>
    <n v="0"/>
    <n v="100"/>
    <x v="0"/>
  </r>
  <r>
    <x v="212"/>
    <x v="15"/>
    <n v="0.5"/>
    <n v="0.22389999999999999"/>
    <x v="3"/>
    <x v="4"/>
    <x v="4"/>
    <x v="1"/>
    <x v="1"/>
    <x v="0"/>
    <n v="0"/>
    <n v="100"/>
    <x v="0"/>
  </r>
  <r>
    <x v="213"/>
    <x v="15"/>
    <n v="0.54"/>
    <n v="0.1343"/>
    <x v="5"/>
    <x v="6"/>
    <x v="6"/>
    <x v="1"/>
    <x v="0"/>
    <x v="0"/>
    <n v="33.333333333333329"/>
    <n v="66.666666666666657"/>
    <x v="0"/>
  </r>
  <r>
    <x v="214"/>
    <x v="14"/>
    <n v="0.54"/>
    <n v="0.25369999999999998"/>
    <x v="3"/>
    <x v="35"/>
    <x v="6"/>
    <x v="1"/>
    <x v="1"/>
    <x v="0"/>
    <n v="0"/>
    <n v="100"/>
    <x v="0"/>
  </r>
  <r>
    <x v="215"/>
    <x v="15"/>
    <n v="0.5"/>
    <n v="0.28360000000000002"/>
    <x v="3"/>
    <x v="17"/>
    <x v="35"/>
    <x v="1"/>
    <x v="1"/>
    <x v="0"/>
    <n v="0"/>
    <n v="100"/>
    <x v="0"/>
  </r>
  <r>
    <x v="216"/>
    <x v="15"/>
    <n v="0.5"/>
    <n v="0.22389999999999999"/>
    <x v="4"/>
    <x v="102"/>
    <x v="43"/>
    <x v="1"/>
    <x v="1"/>
    <x v="0"/>
    <n v="2.5974025974025969"/>
    <n v="97.402597402597408"/>
    <x v="0"/>
  </r>
  <r>
    <x v="217"/>
    <x v="15"/>
    <n v="0.5"/>
    <n v="0.28360000000000002"/>
    <x v="17"/>
    <x v="103"/>
    <x v="104"/>
    <x v="1"/>
    <x v="1"/>
    <x v="0"/>
    <n v="2.1276595744680851"/>
    <n v="97.872340425531917"/>
    <x v="1"/>
  </r>
  <r>
    <x v="218"/>
    <x v="15"/>
    <n v="0.5"/>
    <n v="0.25369999999999998"/>
    <x v="4"/>
    <x v="50"/>
    <x v="12"/>
    <x v="1"/>
    <x v="1"/>
    <x v="0"/>
    <n v="2.1276595744680851"/>
    <n v="97.872340425531917"/>
    <x v="0"/>
  </r>
  <r>
    <x v="219"/>
    <x v="15"/>
    <n v="0.5"/>
    <n v="0.29849999999999999"/>
    <x v="3"/>
    <x v="17"/>
    <x v="35"/>
    <x v="1"/>
    <x v="1"/>
    <x v="0"/>
    <n v="0"/>
    <n v="100"/>
    <x v="0"/>
  </r>
  <r>
    <x v="220"/>
    <x v="13"/>
    <n v="0.47"/>
    <n v="0.28360000000000002"/>
    <x v="4"/>
    <x v="95"/>
    <x v="33"/>
    <x v="1"/>
    <x v="1"/>
    <x v="0"/>
    <n v="6.666666666666667"/>
    <n v="93.333333333333329"/>
    <x v="0"/>
  </r>
  <r>
    <x v="221"/>
    <x v="17"/>
    <n v="0.4"/>
    <n v="0.28360000000000002"/>
    <x v="2"/>
    <x v="12"/>
    <x v="46"/>
    <x v="1"/>
    <x v="1"/>
    <x v="0"/>
    <n v="9.6153846153846168"/>
    <n v="90.384615384615387"/>
    <x v="0"/>
  </r>
  <r>
    <x v="222"/>
    <x v="17"/>
    <n v="0.4"/>
    <n v="0.28360000000000002"/>
    <x v="17"/>
    <x v="54"/>
    <x v="60"/>
    <x v="1"/>
    <x v="1"/>
    <x v="0"/>
    <n v="7.4074074074074074"/>
    <n v="92.592592592592595"/>
    <x v="0"/>
  </r>
  <r>
    <x v="223"/>
    <x v="12"/>
    <n v="0.4"/>
    <n v="0.22389999999999999"/>
    <x v="3"/>
    <x v="12"/>
    <x v="105"/>
    <x v="1"/>
    <x v="1"/>
    <x v="0"/>
    <n v="0"/>
    <n v="100"/>
    <x v="0"/>
  </r>
  <r>
    <x v="224"/>
    <x v="12"/>
    <n v="0.4"/>
    <n v="0.22389999999999999"/>
    <x v="4"/>
    <x v="30"/>
    <x v="79"/>
    <x v="1"/>
    <x v="1"/>
    <x v="0"/>
    <n v="4.4444444444444446"/>
    <n v="95.555555555555557"/>
    <x v="0"/>
  </r>
  <r>
    <x v="225"/>
    <x v="11"/>
    <n v="0.4"/>
    <n v="0.1343"/>
    <x v="17"/>
    <x v="14"/>
    <x v="30"/>
    <x v="1"/>
    <x v="0"/>
    <x v="0"/>
    <n v="5.4054054054054053"/>
    <n v="94.594594594594597"/>
    <x v="0"/>
  </r>
  <r>
    <x v="226"/>
    <x v="10"/>
    <n v="0.4"/>
    <n v="0.1045"/>
    <x v="17"/>
    <x v="104"/>
    <x v="106"/>
    <x v="1"/>
    <x v="0"/>
    <x v="0"/>
    <n v="2.2471910112359552"/>
    <n v="97.752808988764045"/>
    <x v="1"/>
  </r>
  <r>
    <x v="227"/>
    <x v="12"/>
    <n v="0.4"/>
    <n v="0.22389999999999999"/>
    <x v="5"/>
    <x v="105"/>
    <x v="107"/>
    <x v="1"/>
    <x v="1"/>
    <x v="0"/>
    <n v="0.64516129032258063"/>
    <n v="99.354838709677423"/>
    <x v="1"/>
  </r>
  <r>
    <x v="228"/>
    <x v="16"/>
    <n v="0.47"/>
    <n v="0.16420000000000001"/>
    <x v="0"/>
    <x v="50"/>
    <x v="76"/>
    <x v="1"/>
    <x v="1"/>
    <x v="0"/>
    <n v="3.1578947368421049"/>
    <n v="96.84210526315789"/>
    <x v="0"/>
  </r>
  <r>
    <x v="229"/>
    <x v="16"/>
    <n v="0.5"/>
    <n v="0.16420000000000001"/>
    <x v="5"/>
    <x v="26"/>
    <x v="30"/>
    <x v="1"/>
    <x v="1"/>
    <x v="0"/>
    <n v="1.3513513513513511"/>
    <n v="98.648648648648646"/>
    <x v="0"/>
  </r>
  <r>
    <x v="230"/>
    <x v="13"/>
    <n v="0.59"/>
    <n v="0.19400000000000001"/>
    <x v="5"/>
    <x v="53"/>
    <x v="103"/>
    <x v="1"/>
    <x v="1"/>
    <x v="0"/>
    <n v="2.6315789473684208"/>
    <n v="97.368421052631575"/>
    <x v="0"/>
  </r>
  <r>
    <x v="231"/>
    <x v="19"/>
    <n v="0.59"/>
    <n v="0.16420000000000001"/>
    <x v="4"/>
    <x v="97"/>
    <x v="108"/>
    <x v="1"/>
    <x v="1"/>
    <x v="0"/>
    <n v="8.3333333333333321"/>
    <n v="91.666666666666657"/>
    <x v="0"/>
  </r>
  <r>
    <x v="232"/>
    <x v="19"/>
    <n v="0.59"/>
    <n v="0.16420000000000001"/>
    <x v="3"/>
    <x v="72"/>
    <x v="109"/>
    <x v="1"/>
    <x v="1"/>
    <x v="0"/>
    <n v="0"/>
    <n v="100"/>
    <x v="0"/>
  </r>
  <r>
    <x v="233"/>
    <x v="16"/>
    <n v="0.59"/>
    <n v="0.1045"/>
    <x v="4"/>
    <x v="3"/>
    <x v="47"/>
    <x v="1"/>
    <x v="0"/>
    <x v="0"/>
    <n v="16.666666666666661"/>
    <n v="83.333333333333343"/>
    <x v="0"/>
  </r>
  <r>
    <x v="234"/>
    <x v="19"/>
    <n v="0.59"/>
    <n v="0.16420000000000001"/>
    <x v="3"/>
    <x v="35"/>
    <x v="6"/>
    <x v="1"/>
    <x v="1"/>
    <x v="0"/>
    <n v="0"/>
    <n v="100"/>
    <x v="0"/>
  </r>
  <r>
    <x v="235"/>
    <x v="19"/>
    <n v="0.55000000000000004"/>
    <n v="0.19400000000000001"/>
    <x v="3"/>
    <x v="35"/>
    <x v="6"/>
    <x v="1"/>
    <x v="1"/>
    <x v="0"/>
    <n v="0"/>
    <n v="100"/>
    <x v="0"/>
  </r>
  <r>
    <x v="236"/>
    <x v="17"/>
    <n v="0.55000000000000004"/>
    <n v="0.1343"/>
    <x v="3"/>
    <x v="8"/>
    <x v="24"/>
    <x v="1"/>
    <x v="0"/>
    <x v="0"/>
    <n v="0"/>
    <n v="100"/>
    <x v="0"/>
  </r>
  <r>
    <x v="237"/>
    <x v="17"/>
    <n v="0.55000000000000004"/>
    <n v="0.1343"/>
    <x v="3"/>
    <x v="2"/>
    <x v="110"/>
    <x v="1"/>
    <x v="0"/>
    <x v="0"/>
    <n v="0"/>
    <n v="100"/>
    <x v="0"/>
  </r>
  <r>
    <x v="238"/>
    <x v="10"/>
    <n v="0.55000000000000004"/>
    <n v="0"/>
    <x v="4"/>
    <x v="106"/>
    <x v="111"/>
    <x v="1"/>
    <x v="0"/>
    <x v="0"/>
    <n v="2.0202020202020199"/>
    <n v="97.979797979797979"/>
    <x v="0"/>
  </r>
  <r>
    <x v="239"/>
    <x v="11"/>
    <n v="0.51"/>
    <n v="8.9599999999999999E-2"/>
    <x v="0"/>
    <x v="107"/>
    <x v="112"/>
    <x v="1"/>
    <x v="0"/>
    <x v="0"/>
    <n v="1.382488479262673"/>
    <n v="98.617511520737324"/>
    <x v="1"/>
  </r>
  <r>
    <x v="240"/>
    <x v="12"/>
    <n v="0.51"/>
    <n v="0.16420000000000001"/>
    <x v="0"/>
    <x v="69"/>
    <x v="113"/>
    <x v="1"/>
    <x v="1"/>
    <x v="0"/>
    <n v="2.3076923076923079"/>
    <n v="97.692307692307693"/>
    <x v="1"/>
  </r>
  <r>
    <x v="241"/>
    <x v="11"/>
    <n v="0.51"/>
    <n v="0.16420000000000001"/>
    <x v="0"/>
    <x v="82"/>
    <x v="60"/>
    <x v="1"/>
    <x v="1"/>
    <x v="0"/>
    <n v="5.5555555555555554"/>
    <n v="94.444444444444443"/>
    <x v="0"/>
  </r>
  <r>
    <x v="242"/>
    <x v="11"/>
    <n v="0.47"/>
    <n v="0.1343"/>
    <x v="17"/>
    <x v="17"/>
    <x v="17"/>
    <x v="1"/>
    <x v="0"/>
    <x v="0"/>
    <n v="11.428571428571431"/>
    <n v="88.571428571428569"/>
    <x v="0"/>
  </r>
  <r>
    <x v="243"/>
    <x v="10"/>
    <n v="0.51"/>
    <n v="0.1045"/>
    <x v="4"/>
    <x v="11"/>
    <x v="52"/>
    <x v="1"/>
    <x v="0"/>
    <x v="0"/>
    <n v="3.5087719298245612"/>
    <n v="96.491228070175438"/>
    <x v="0"/>
  </r>
  <r>
    <x v="244"/>
    <x v="10"/>
    <n v="0.59"/>
    <n v="8.9599999999999999E-2"/>
    <x v="15"/>
    <x v="24"/>
    <x v="46"/>
    <x v="1"/>
    <x v="0"/>
    <x v="0"/>
    <n v="11.53846153846154"/>
    <n v="88.461538461538453"/>
    <x v="0"/>
  </r>
  <r>
    <x v="245"/>
    <x v="10"/>
    <n v="0.59"/>
    <n v="8.9599999999999999E-2"/>
    <x v="0"/>
    <x v="91"/>
    <x v="55"/>
    <x v="1"/>
    <x v="0"/>
    <x v="0"/>
    <n v="4.7619047619047619"/>
    <n v="95.238095238095227"/>
    <x v="0"/>
  </r>
  <r>
    <x v="246"/>
    <x v="12"/>
    <n v="0.8"/>
    <n v="8.9599999999999999E-2"/>
    <x v="4"/>
    <x v="108"/>
    <x v="105"/>
    <x v="0"/>
    <x v="0"/>
    <x v="0"/>
    <n v="4.2553191489361701"/>
    <n v="95.744680851063833"/>
    <x v="0"/>
  </r>
  <r>
    <x v="247"/>
    <x v="19"/>
    <n v="0.86"/>
    <n v="0.22389999999999999"/>
    <x v="17"/>
    <x v="109"/>
    <x v="31"/>
    <x v="0"/>
    <x v="1"/>
    <x v="0"/>
    <n v="5.2631578947368416"/>
    <n v="94.73684210526315"/>
    <x v="0"/>
  </r>
  <r>
    <x v="248"/>
    <x v="19"/>
    <n v="0.86"/>
    <n v="0.22389999999999999"/>
    <x v="15"/>
    <x v="110"/>
    <x v="114"/>
    <x v="0"/>
    <x v="1"/>
    <x v="0"/>
    <n v="4.4117647058823533"/>
    <n v="95.588235294117652"/>
    <x v="1"/>
  </r>
  <r>
    <x v="249"/>
    <x v="17"/>
    <n v="0.93"/>
    <n v="0.1045"/>
    <x v="5"/>
    <x v="111"/>
    <x v="76"/>
    <x v="0"/>
    <x v="0"/>
    <x v="0"/>
    <n v="1.0526315789473679"/>
    <n v="98.94736842105263"/>
    <x v="0"/>
  </r>
  <r>
    <x v="250"/>
    <x v="10"/>
    <n v="0.93"/>
    <n v="0"/>
    <x v="3"/>
    <x v="82"/>
    <x v="41"/>
    <x v="0"/>
    <x v="0"/>
    <x v="0"/>
    <n v="0"/>
    <n v="100"/>
    <x v="0"/>
  </r>
  <r>
    <x v="251"/>
    <x v="19"/>
    <n v="0.93"/>
    <n v="0.19400000000000001"/>
    <x v="3"/>
    <x v="1"/>
    <x v="2"/>
    <x v="0"/>
    <x v="1"/>
    <x v="0"/>
    <n v="0"/>
    <n v="100"/>
    <x v="0"/>
  </r>
  <r>
    <x v="252"/>
    <x v="12"/>
    <n v="0.86"/>
    <n v="8.9599999999999999E-2"/>
    <x v="3"/>
    <x v="32"/>
    <x v="25"/>
    <x v="0"/>
    <x v="0"/>
    <x v="0"/>
    <n v="0"/>
    <n v="100"/>
    <x v="0"/>
  </r>
  <r>
    <x v="253"/>
    <x v="17"/>
    <n v="0.93"/>
    <n v="0.1045"/>
    <x v="5"/>
    <x v="95"/>
    <x v="115"/>
    <x v="0"/>
    <x v="0"/>
    <x v="0"/>
    <n v="3.4482758620689649"/>
    <n v="96.551724137931032"/>
    <x v="0"/>
  </r>
  <r>
    <x v="254"/>
    <x v="12"/>
    <n v="0.93"/>
    <n v="8.9599999999999999E-2"/>
    <x v="5"/>
    <x v="72"/>
    <x v="75"/>
    <x v="0"/>
    <x v="0"/>
    <x v="0"/>
    <n v="5.2631578947368416"/>
    <n v="94.73684210526315"/>
    <x v="0"/>
  </r>
  <r>
    <x v="255"/>
    <x v="12"/>
    <n v="0.86"/>
    <n v="8.9599999999999999E-2"/>
    <x v="3"/>
    <x v="7"/>
    <x v="85"/>
    <x v="0"/>
    <x v="0"/>
    <x v="0"/>
    <n v="0"/>
    <n v="100"/>
    <x v="0"/>
  </r>
  <r>
    <x v="256"/>
    <x v="17"/>
    <n v="0.86"/>
    <n v="0.1045"/>
    <x v="3"/>
    <x v="8"/>
    <x v="24"/>
    <x v="0"/>
    <x v="0"/>
    <x v="0"/>
    <n v="0"/>
    <n v="100"/>
    <x v="0"/>
  </r>
  <r>
    <x v="257"/>
    <x v="19"/>
    <n v="0.86"/>
    <n v="0.1343"/>
    <x v="3"/>
    <x v="4"/>
    <x v="4"/>
    <x v="0"/>
    <x v="0"/>
    <x v="0"/>
    <n v="0"/>
    <n v="100"/>
    <x v="0"/>
  </r>
  <r>
    <x v="258"/>
    <x v="19"/>
    <n v="0.86"/>
    <n v="0.16420000000000001"/>
    <x v="3"/>
    <x v="34"/>
    <x v="36"/>
    <x v="0"/>
    <x v="1"/>
    <x v="0"/>
    <n v="0"/>
    <n v="100"/>
    <x v="0"/>
  </r>
  <r>
    <x v="259"/>
    <x v="19"/>
    <n v="0.93"/>
    <n v="0.1343"/>
    <x v="3"/>
    <x v="20"/>
    <x v="0"/>
    <x v="0"/>
    <x v="0"/>
    <x v="0"/>
    <n v="0"/>
    <n v="100"/>
    <x v="0"/>
  </r>
  <r>
    <x v="260"/>
    <x v="19"/>
    <n v="0.69"/>
    <n v="0.1343"/>
    <x v="3"/>
    <x v="25"/>
    <x v="60"/>
    <x v="1"/>
    <x v="0"/>
    <x v="0"/>
    <n v="0"/>
    <n v="100"/>
    <x v="0"/>
  </r>
  <r>
    <x v="261"/>
    <x v="16"/>
    <n v="0.59"/>
    <n v="0.16420000000000001"/>
    <x v="0"/>
    <x v="85"/>
    <x v="116"/>
    <x v="1"/>
    <x v="1"/>
    <x v="0"/>
    <n v="2.34375"/>
    <n v="97.65625"/>
    <x v="1"/>
  </r>
  <r>
    <x v="262"/>
    <x v="13"/>
    <n v="0.59"/>
    <n v="0.32840000000000003"/>
    <x v="0"/>
    <x v="78"/>
    <x v="117"/>
    <x v="1"/>
    <x v="2"/>
    <x v="0"/>
    <n v="3.7037037037037028"/>
    <n v="96.296296296296291"/>
    <x v="0"/>
  </r>
  <r>
    <x v="263"/>
    <x v="17"/>
    <n v="0.55000000000000004"/>
    <n v="0.22389999999999999"/>
    <x v="3"/>
    <x v="87"/>
    <x v="21"/>
    <x v="1"/>
    <x v="1"/>
    <x v="0"/>
    <n v="0"/>
    <n v="100"/>
    <x v="0"/>
  </r>
  <r>
    <x v="264"/>
    <x v="17"/>
    <n v="0.51"/>
    <n v="0.3881"/>
    <x v="0"/>
    <x v="1"/>
    <x v="17"/>
    <x v="1"/>
    <x v="2"/>
    <x v="0"/>
    <n v="8.5714285714285712"/>
    <n v="91.428571428571431"/>
    <x v="0"/>
  </r>
  <r>
    <x v="265"/>
    <x v="19"/>
    <n v="0.47"/>
    <n v="0.58209999999999995"/>
    <x v="0"/>
    <x v="15"/>
    <x v="97"/>
    <x v="1"/>
    <x v="2"/>
    <x v="0"/>
    <n v="5.4545454545454541"/>
    <n v="94.545454545454547"/>
    <x v="0"/>
  </r>
  <r>
    <x v="266"/>
    <x v="12"/>
    <n v="0.44"/>
    <n v="0.35820000000000002"/>
    <x v="3"/>
    <x v="47"/>
    <x v="99"/>
    <x v="1"/>
    <x v="2"/>
    <x v="0"/>
    <n v="0"/>
    <n v="100"/>
    <x v="0"/>
  </r>
  <r>
    <x v="267"/>
    <x v="17"/>
    <n v="0.47"/>
    <n v="0.32840000000000003"/>
    <x v="3"/>
    <x v="100"/>
    <x v="40"/>
    <x v="1"/>
    <x v="2"/>
    <x v="0"/>
    <n v="0"/>
    <n v="100"/>
    <x v="0"/>
  </r>
  <r>
    <x v="268"/>
    <x v="16"/>
    <n v="0.47"/>
    <n v="0.41789999999999999"/>
    <x v="5"/>
    <x v="41"/>
    <x v="99"/>
    <x v="1"/>
    <x v="2"/>
    <x v="0"/>
    <n v="2.0408163265306118"/>
    <n v="97.959183673469383"/>
    <x v="0"/>
  </r>
  <r>
    <x v="269"/>
    <x v="12"/>
    <n v="0.44"/>
    <n v="0.32840000000000003"/>
    <x v="2"/>
    <x v="36"/>
    <x v="118"/>
    <x v="1"/>
    <x v="2"/>
    <x v="0"/>
    <n v="7.3529411764705888"/>
    <n v="92.64705882352942"/>
    <x v="0"/>
  </r>
  <r>
    <x v="270"/>
    <x v="17"/>
    <n v="0.47"/>
    <n v="0.35820000000000002"/>
    <x v="3"/>
    <x v="112"/>
    <x v="119"/>
    <x v="1"/>
    <x v="2"/>
    <x v="0"/>
    <n v="0"/>
    <n v="100"/>
    <x v="1"/>
  </r>
  <r>
    <x v="271"/>
    <x v="19"/>
    <n v="0.47"/>
    <n v="0.52239999999999998"/>
    <x v="4"/>
    <x v="113"/>
    <x v="120"/>
    <x v="1"/>
    <x v="2"/>
    <x v="0"/>
    <n v="1.4598540145985399"/>
    <n v="98.540145985401466"/>
    <x v="1"/>
  </r>
  <r>
    <x v="272"/>
    <x v="19"/>
    <n v="0.47"/>
    <n v="0.41789999999999999"/>
    <x v="5"/>
    <x v="70"/>
    <x v="56"/>
    <x v="1"/>
    <x v="2"/>
    <x v="0"/>
    <n v="1.2048192771084341"/>
    <n v="98.795180722891558"/>
    <x v="0"/>
  </r>
  <r>
    <x v="273"/>
    <x v="13"/>
    <n v="0.5"/>
    <n v="0.32840000000000003"/>
    <x v="4"/>
    <x v="25"/>
    <x v="10"/>
    <x v="1"/>
    <x v="2"/>
    <x v="0"/>
    <n v="3.5714285714285712"/>
    <n v="96.428571428571431"/>
    <x v="0"/>
  </r>
  <r>
    <x v="274"/>
    <x v="13"/>
    <n v="0.55000000000000004"/>
    <n v="0.32840000000000003"/>
    <x v="3"/>
    <x v="77"/>
    <x v="52"/>
    <x v="1"/>
    <x v="2"/>
    <x v="0"/>
    <n v="0"/>
    <n v="100"/>
    <x v="0"/>
  </r>
  <r>
    <x v="275"/>
    <x v="15"/>
    <n v="0.55000000000000004"/>
    <n v="0.44779999999999998"/>
    <x v="5"/>
    <x v="1"/>
    <x v="63"/>
    <x v="1"/>
    <x v="2"/>
    <x v="0"/>
    <n v="3.0303030303030298"/>
    <n v="96.969696969696969"/>
    <x v="0"/>
  </r>
  <r>
    <x v="276"/>
    <x v="14"/>
    <n v="0.59"/>
    <n v="0.41789999999999999"/>
    <x v="5"/>
    <x v="23"/>
    <x v="25"/>
    <x v="1"/>
    <x v="2"/>
    <x v="0"/>
    <n v="5"/>
    <n v="95"/>
    <x v="0"/>
  </r>
  <r>
    <x v="277"/>
    <x v="15"/>
    <n v="0.59"/>
    <n v="0.28360000000000002"/>
    <x v="5"/>
    <x v="8"/>
    <x v="85"/>
    <x v="1"/>
    <x v="1"/>
    <x v="0"/>
    <n v="14.285714285714279"/>
    <n v="85.714285714285708"/>
    <x v="0"/>
  </r>
  <r>
    <x v="278"/>
    <x v="15"/>
    <n v="0.5"/>
    <n v="0.28360000000000002"/>
    <x v="3"/>
    <x v="6"/>
    <x v="5"/>
    <x v="1"/>
    <x v="1"/>
    <x v="0"/>
    <n v="0"/>
    <n v="100"/>
    <x v="0"/>
  </r>
  <r>
    <x v="279"/>
    <x v="15"/>
    <n v="0.5"/>
    <n v="0.35820000000000002"/>
    <x v="3"/>
    <x v="6"/>
    <x v="5"/>
    <x v="1"/>
    <x v="2"/>
    <x v="0"/>
    <n v="0"/>
    <n v="100"/>
    <x v="0"/>
  </r>
  <r>
    <x v="280"/>
    <x v="15"/>
    <n v="0.5"/>
    <n v="0.32840000000000003"/>
    <x v="3"/>
    <x v="35"/>
    <x v="6"/>
    <x v="1"/>
    <x v="2"/>
    <x v="0"/>
    <n v="0"/>
    <n v="100"/>
    <x v="0"/>
  </r>
  <r>
    <x v="281"/>
    <x v="15"/>
    <n v="0.5"/>
    <n v="0.25369999999999998"/>
    <x v="3"/>
    <x v="22"/>
    <x v="48"/>
    <x v="1"/>
    <x v="1"/>
    <x v="0"/>
    <n v="0"/>
    <n v="100"/>
    <x v="0"/>
  </r>
  <r>
    <x v="282"/>
    <x v="15"/>
    <n v="0.5"/>
    <n v="0.29849999999999999"/>
    <x v="3"/>
    <x v="35"/>
    <x v="6"/>
    <x v="1"/>
    <x v="1"/>
    <x v="0"/>
    <n v="0"/>
    <n v="100"/>
    <x v="0"/>
  </r>
  <r>
    <x v="283"/>
    <x v="19"/>
    <n v="0.54"/>
    <n v="0.1343"/>
    <x v="3"/>
    <x v="95"/>
    <x v="20"/>
    <x v="1"/>
    <x v="0"/>
    <x v="0"/>
    <n v="0"/>
    <n v="100"/>
    <x v="0"/>
  </r>
  <r>
    <x v="284"/>
    <x v="19"/>
    <n v="0.54"/>
    <n v="0.1343"/>
    <x v="3"/>
    <x v="109"/>
    <x v="44"/>
    <x v="1"/>
    <x v="0"/>
    <x v="0"/>
    <n v="0"/>
    <n v="100"/>
    <x v="0"/>
  </r>
  <r>
    <x v="285"/>
    <x v="13"/>
    <n v="0.5"/>
    <n v="0.19400000000000001"/>
    <x v="2"/>
    <x v="114"/>
    <x v="121"/>
    <x v="1"/>
    <x v="1"/>
    <x v="0"/>
    <n v="2.4752475247524748"/>
    <n v="97.524752475247524"/>
    <x v="1"/>
  </r>
  <r>
    <x v="286"/>
    <x v="15"/>
    <n v="0.5"/>
    <n v="0.32840000000000003"/>
    <x v="4"/>
    <x v="115"/>
    <x v="119"/>
    <x v="1"/>
    <x v="2"/>
    <x v="0"/>
    <n v="1.43884892086331"/>
    <n v="98.561151079136692"/>
    <x v="1"/>
  </r>
  <r>
    <x v="287"/>
    <x v="13"/>
    <n v="0.5"/>
    <n v="0.35820000000000002"/>
    <x v="4"/>
    <x v="49"/>
    <x v="103"/>
    <x v="1"/>
    <x v="2"/>
    <x v="0"/>
    <n v="5.2631578947368416"/>
    <n v="94.73684210526315"/>
    <x v="0"/>
  </r>
  <r>
    <x v="288"/>
    <x v="16"/>
    <n v="0.44"/>
    <n v="0.44779999999999998"/>
    <x v="17"/>
    <x v="39"/>
    <x v="18"/>
    <x v="1"/>
    <x v="2"/>
    <x v="0"/>
    <n v="10.810810810810811"/>
    <n v="89.189189189189193"/>
    <x v="0"/>
  </r>
  <r>
    <x v="289"/>
    <x v="16"/>
    <n v="0.44"/>
    <n v="0.41789999999999999"/>
    <x v="0"/>
    <x v="47"/>
    <x v="46"/>
    <x v="1"/>
    <x v="2"/>
    <x v="0"/>
    <n v="5.7692307692307692"/>
    <n v="94.230769230769226"/>
    <x v="0"/>
  </r>
  <r>
    <x v="290"/>
    <x v="12"/>
    <n v="0.41"/>
    <n v="0.44779999999999998"/>
    <x v="4"/>
    <x v="38"/>
    <x v="56"/>
    <x v="1"/>
    <x v="2"/>
    <x v="0"/>
    <n v="2.4096385542168681"/>
    <n v="97.590361445783131"/>
    <x v="0"/>
  </r>
  <r>
    <x v="291"/>
    <x v="12"/>
    <n v="0.41"/>
    <n v="0.3881"/>
    <x v="0"/>
    <x v="87"/>
    <x v="51"/>
    <x v="1"/>
    <x v="2"/>
    <x v="0"/>
    <n v="7.1428571428571423"/>
    <n v="92.857142857142861"/>
    <x v="0"/>
  </r>
  <r>
    <x v="292"/>
    <x v="11"/>
    <n v="0.38"/>
    <n v="0.29849999999999999"/>
    <x v="2"/>
    <x v="11"/>
    <x v="122"/>
    <x v="2"/>
    <x v="1"/>
    <x v="0"/>
    <n v="8.3333333333333321"/>
    <n v="91.666666666666657"/>
    <x v="0"/>
  </r>
  <r>
    <x v="293"/>
    <x v="11"/>
    <n v="0.38"/>
    <n v="0.35820000000000002"/>
    <x v="4"/>
    <x v="83"/>
    <x v="53"/>
    <x v="2"/>
    <x v="2"/>
    <x v="0"/>
    <n v="2.5641025641025639"/>
    <n v="97.435897435897431"/>
    <x v="0"/>
  </r>
  <r>
    <x v="294"/>
    <x v="17"/>
    <n v="0.4"/>
    <n v="0.28360000000000002"/>
    <x v="17"/>
    <x v="81"/>
    <x v="123"/>
    <x v="1"/>
    <x v="1"/>
    <x v="0"/>
    <n v="2.4691358024691361"/>
    <n v="97.53086419753086"/>
    <x v="1"/>
  </r>
  <r>
    <x v="295"/>
    <x v="17"/>
    <n v="0.4"/>
    <n v="0.32840000000000003"/>
    <x v="0"/>
    <x v="116"/>
    <x v="124"/>
    <x v="1"/>
    <x v="2"/>
    <x v="0"/>
    <n v="2.083333333333333"/>
    <n v="97.916666666666657"/>
    <x v="1"/>
  </r>
  <r>
    <x v="296"/>
    <x v="19"/>
    <n v="0.47"/>
    <n v="0.25369999999999998"/>
    <x v="5"/>
    <x v="52"/>
    <x v="111"/>
    <x v="1"/>
    <x v="1"/>
    <x v="0"/>
    <n v="1.0101010101010099"/>
    <n v="98.98989898989899"/>
    <x v="0"/>
  </r>
  <r>
    <x v="297"/>
    <x v="19"/>
    <n v="0.47"/>
    <n v="0.22389999999999999"/>
    <x v="3"/>
    <x v="27"/>
    <x v="37"/>
    <x v="1"/>
    <x v="1"/>
    <x v="0"/>
    <n v="0"/>
    <n v="100"/>
    <x v="0"/>
  </r>
  <r>
    <x v="298"/>
    <x v="15"/>
    <n v="0.46"/>
    <n v="0.29849999999999999"/>
    <x v="3"/>
    <x v="71"/>
    <x v="1"/>
    <x v="1"/>
    <x v="1"/>
    <x v="0"/>
    <n v="0"/>
    <n v="100"/>
    <x v="0"/>
  </r>
  <r>
    <x v="299"/>
    <x v="15"/>
    <n v="0.46"/>
    <n v="0.32840000000000003"/>
    <x v="3"/>
    <x v="10"/>
    <x v="33"/>
    <x v="1"/>
    <x v="2"/>
    <x v="0"/>
    <n v="0"/>
    <n v="100"/>
    <x v="0"/>
  </r>
  <r>
    <x v="300"/>
    <x v="13"/>
    <n v="0.5"/>
    <n v="0.19400000000000001"/>
    <x v="5"/>
    <x v="88"/>
    <x v="93"/>
    <x v="1"/>
    <x v="1"/>
    <x v="0"/>
    <n v="6.666666666666667"/>
    <n v="93.333333333333329"/>
    <x v="0"/>
  </r>
  <r>
    <x v="301"/>
    <x v="13"/>
    <n v="0.5"/>
    <n v="0.19400000000000001"/>
    <x v="3"/>
    <x v="88"/>
    <x v="8"/>
    <x v="1"/>
    <x v="1"/>
    <x v="0"/>
    <n v="0"/>
    <n v="100"/>
    <x v="0"/>
  </r>
  <r>
    <x v="302"/>
    <x v="15"/>
    <n v="0.54"/>
    <n v="0.16420000000000001"/>
    <x v="3"/>
    <x v="34"/>
    <x v="36"/>
    <x v="1"/>
    <x v="1"/>
    <x v="0"/>
    <n v="0"/>
    <n v="100"/>
    <x v="0"/>
  </r>
  <r>
    <x v="303"/>
    <x v="15"/>
    <n v="0.54"/>
    <n v="0.1343"/>
    <x v="3"/>
    <x v="4"/>
    <x v="4"/>
    <x v="1"/>
    <x v="0"/>
    <x v="0"/>
    <n v="0"/>
    <n v="100"/>
    <x v="0"/>
  </r>
  <r>
    <x v="304"/>
    <x v="13"/>
    <n v="0.54"/>
    <n v="0.1045"/>
    <x v="3"/>
    <x v="4"/>
    <x v="4"/>
    <x v="1"/>
    <x v="0"/>
    <x v="0"/>
    <n v="0"/>
    <n v="100"/>
    <x v="0"/>
  </r>
  <r>
    <x v="305"/>
    <x v="13"/>
    <n v="0.54"/>
    <n v="8.9599999999999999E-2"/>
    <x v="3"/>
    <x v="21"/>
    <x v="7"/>
    <x v="1"/>
    <x v="0"/>
    <x v="0"/>
    <n v="0"/>
    <n v="100"/>
    <x v="0"/>
  </r>
  <r>
    <x v="306"/>
    <x v="17"/>
    <n v="0.54"/>
    <n v="0"/>
    <x v="3"/>
    <x v="19"/>
    <x v="22"/>
    <x v="1"/>
    <x v="0"/>
    <x v="0"/>
    <n v="0"/>
    <n v="100"/>
    <x v="0"/>
  </r>
  <r>
    <x v="307"/>
    <x v="15"/>
    <n v="0.74"/>
    <n v="0.16420000000000001"/>
    <x v="3"/>
    <x v="14"/>
    <x v="27"/>
    <x v="0"/>
    <x v="1"/>
    <x v="0"/>
    <n v="0"/>
    <n v="100"/>
    <x v="0"/>
  </r>
  <r>
    <x v="308"/>
    <x v="16"/>
    <n v="0.68"/>
    <n v="0"/>
    <x v="4"/>
    <x v="117"/>
    <x v="125"/>
    <x v="1"/>
    <x v="0"/>
    <x v="0"/>
    <n v="1.2658227848101271"/>
    <n v="98.734177215189874"/>
    <x v="1"/>
  </r>
  <r>
    <x v="309"/>
    <x v="19"/>
    <n v="0.69"/>
    <n v="0.1343"/>
    <x v="3"/>
    <x v="118"/>
    <x v="126"/>
    <x v="1"/>
    <x v="0"/>
    <x v="0"/>
    <n v="0"/>
    <n v="100"/>
    <x v="1"/>
  </r>
  <r>
    <x v="310"/>
    <x v="17"/>
    <n v="0.55000000000000004"/>
    <n v="0.19400000000000001"/>
    <x v="17"/>
    <x v="71"/>
    <x v="40"/>
    <x v="1"/>
    <x v="1"/>
    <x v="0"/>
    <n v="9.0909090909090917"/>
    <n v="90.909090909090907"/>
    <x v="0"/>
  </r>
  <r>
    <x v="311"/>
    <x v="16"/>
    <n v="0.51"/>
    <n v="0.28360000000000002"/>
    <x v="15"/>
    <x v="12"/>
    <x v="26"/>
    <x v="1"/>
    <x v="1"/>
    <x v="0"/>
    <n v="11.32075471698113"/>
    <n v="88.679245283018872"/>
    <x v="0"/>
  </r>
  <r>
    <x v="312"/>
    <x v="12"/>
    <n v="0.44"/>
    <n v="0.25369999999999998"/>
    <x v="4"/>
    <x v="79"/>
    <x v="42"/>
    <x v="1"/>
    <x v="1"/>
    <x v="0"/>
    <n v="3.278688524590164"/>
    <n v="96.721311475409834"/>
    <x v="0"/>
  </r>
  <r>
    <x v="313"/>
    <x v="12"/>
    <n v="0.37"/>
    <n v="0.3881"/>
    <x v="17"/>
    <x v="26"/>
    <x v="43"/>
    <x v="2"/>
    <x v="2"/>
    <x v="0"/>
    <n v="5.1948051948051948"/>
    <n v="94.805194805194802"/>
    <x v="0"/>
  </r>
  <r>
    <x v="314"/>
    <x v="11"/>
    <n v="0.41"/>
    <n v="0.28360000000000002"/>
    <x v="2"/>
    <x v="79"/>
    <x v="37"/>
    <x v="1"/>
    <x v="1"/>
    <x v="0"/>
    <n v="7.8125"/>
    <n v="92.1875"/>
    <x v="0"/>
  </r>
  <r>
    <x v="315"/>
    <x v="18"/>
    <n v="0.38"/>
    <n v="0.16420000000000001"/>
    <x v="14"/>
    <x v="79"/>
    <x v="118"/>
    <x v="2"/>
    <x v="1"/>
    <x v="0"/>
    <n v="13.23529411764706"/>
    <n v="86.764705882352942"/>
    <x v="0"/>
  </r>
  <r>
    <x v="316"/>
    <x v="18"/>
    <n v="0.41"/>
    <n v="0.1045"/>
    <x v="0"/>
    <x v="61"/>
    <x v="127"/>
    <x v="1"/>
    <x v="0"/>
    <x v="0"/>
    <n v="3.333333333333333"/>
    <n v="96.666666666666671"/>
    <x v="0"/>
  </r>
  <r>
    <x v="317"/>
    <x v="10"/>
    <n v="0.41"/>
    <n v="0.16420000000000001"/>
    <x v="17"/>
    <x v="119"/>
    <x v="128"/>
    <x v="1"/>
    <x v="1"/>
    <x v="0"/>
    <n v="2.5157232704402519"/>
    <n v="97.484276729559753"/>
    <x v="1"/>
  </r>
  <r>
    <x v="318"/>
    <x v="2"/>
    <n v="0.47"/>
    <n v="0"/>
    <x v="2"/>
    <x v="120"/>
    <x v="119"/>
    <x v="1"/>
    <x v="0"/>
    <x v="0"/>
    <n v="3.5971223021582732"/>
    <n v="96.402877697841731"/>
    <x v="1"/>
  </r>
  <r>
    <x v="319"/>
    <x v="12"/>
    <n v="0.59"/>
    <n v="8.9599999999999999E-2"/>
    <x v="0"/>
    <x v="121"/>
    <x v="101"/>
    <x v="1"/>
    <x v="0"/>
    <x v="0"/>
    <n v="3.2608695652173911"/>
    <n v="96.739130434782609"/>
    <x v="0"/>
  </r>
  <r>
    <x v="320"/>
    <x v="18"/>
    <n v="0.59"/>
    <n v="0"/>
    <x v="3"/>
    <x v="56"/>
    <x v="118"/>
    <x v="1"/>
    <x v="0"/>
    <x v="0"/>
    <n v="0"/>
    <n v="100"/>
    <x v="0"/>
  </r>
  <r>
    <x v="321"/>
    <x v="10"/>
    <n v="0.69"/>
    <n v="0"/>
    <x v="17"/>
    <x v="41"/>
    <x v="46"/>
    <x v="1"/>
    <x v="0"/>
    <x v="0"/>
    <n v="7.6923076923076934"/>
    <n v="92.307692307692307"/>
    <x v="0"/>
  </r>
  <r>
    <x v="322"/>
    <x v="10"/>
    <n v="0.69"/>
    <n v="0"/>
    <x v="4"/>
    <x v="60"/>
    <x v="9"/>
    <x v="1"/>
    <x v="0"/>
    <x v="0"/>
    <n v="5.5555555555555554"/>
    <n v="94.444444444444443"/>
    <x v="0"/>
  </r>
  <r>
    <x v="323"/>
    <x v="18"/>
    <n v="0.55000000000000004"/>
    <n v="0"/>
    <x v="5"/>
    <x v="16"/>
    <x v="110"/>
    <x v="1"/>
    <x v="0"/>
    <x v="0"/>
    <n v="3.7037037037037028"/>
    <n v="96.296296296296291"/>
    <x v="0"/>
  </r>
  <r>
    <x v="324"/>
    <x v="18"/>
    <n v="0.55000000000000004"/>
    <n v="0"/>
    <x v="0"/>
    <x v="18"/>
    <x v="20"/>
    <x v="1"/>
    <x v="0"/>
    <x v="0"/>
    <n v="10.71428571428571"/>
    <n v="89.285714285714292"/>
    <x v="0"/>
  </r>
  <r>
    <x v="325"/>
    <x v="12"/>
    <n v="0.59"/>
    <n v="8.9599999999999999E-2"/>
    <x v="4"/>
    <x v="72"/>
    <x v="25"/>
    <x v="1"/>
    <x v="0"/>
    <x v="0"/>
    <n v="10"/>
    <n v="90"/>
    <x v="0"/>
  </r>
  <r>
    <x v="326"/>
    <x v="12"/>
    <n v="0.59"/>
    <n v="8.9599999999999999E-2"/>
    <x v="3"/>
    <x v="98"/>
    <x v="47"/>
    <x v="1"/>
    <x v="0"/>
    <x v="0"/>
    <n v="0"/>
    <n v="100"/>
    <x v="0"/>
  </r>
  <r>
    <x v="327"/>
    <x v="10"/>
    <n v="0.59"/>
    <n v="0"/>
    <x v="5"/>
    <x v="7"/>
    <x v="7"/>
    <x v="1"/>
    <x v="0"/>
    <x v="0"/>
    <n v="12.5"/>
    <n v="87.5"/>
    <x v="0"/>
  </r>
  <r>
    <x v="328"/>
    <x v="10"/>
    <n v="0.59"/>
    <n v="0"/>
    <x v="3"/>
    <x v="34"/>
    <x v="36"/>
    <x v="1"/>
    <x v="0"/>
    <x v="0"/>
    <n v="0"/>
    <n v="100"/>
    <x v="0"/>
  </r>
  <r>
    <x v="329"/>
    <x v="10"/>
    <n v="0.59"/>
    <n v="0"/>
    <x v="3"/>
    <x v="4"/>
    <x v="4"/>
    <x v="1"/>
    <x v="0"/>
    <x v="0"/>
    <n v="0"/>
    <n v="100"/>
    <x v="0"/>
  </r>
  <r>
    <x v="330"/>
    <x v="16"/>
    <n v="0.63"/>
    <n v="0.1045"/>
    <x v="5"/>
    <x v="6"/>
    <x v="6"/>
    <x v="1"/>
    <x v="0"/>
    <x v="0"/>
    <n v="33.333333333333329"/>
    <n v="66.666666666666657"/>
    <x v="0"/>
  </r>
  <r>
    <x v="331"/>
    <x v="11"/>
    <n v="0.63"/>
    <n v="0"/>
    <x v="5"/>
    <x v="33"/>
    <x v="98"/>
    <x v="1"/>
    <x v="0"/>
    <x v="0"/>
    <n v="10"/>
    <n v="90"/>
    <x v="0"/>
  </r>
  <r>
    <x v="332"/>
    <x v="19"/>
    <n v="0.63"/>
    <n v="0.1343"/>
    <x v="5"/>
    <x v="97"/>
    <x v="84"/>
    <x v="1"/>
    <x v="0"/>
    <x v="0"/>
    <n v="4.3478260869565224"/>
    <n v="95.652173913043484"/>
    <x v="0"/>
  </r>
  <r>
    <x v="333"/>
    <x v="17"/>
    <n v="0.64"/>
    <n v="0.1343"/>
    <x v="4"/>
    <x v="17"/>
    <x v="63"/>
    <x v="1"/>
    <x v="0"/>
    <x v="0"/>
    <n v="6.0606060606060614"/>
    <n v="93.939393939393938"/>
    <x v="0"/>
  </r>
  <r>
    <x v="334"/>
    <x v="12"/>
    <n v="0.59"/>
    <n v="0.16420000000000001"/>
    <x v="4"/>
    <x v="77"/>
    <x v="29"/>
    <x v="1"/>
    <x v="1"/>
    <x v="0"/>
    <n v="3.3898305084745761"/>
    <n v="96.610169491525426"/>
    <x v="0"/>
  </r>
  <r>
    <x v="335"/>
    <x v="12"/>
    <n v="0.55000000000000004"/>
    <n v="0.22389999999999999"/>
    <x v="25"/>
    <x v="25"/>
    <x v="44"/>
    <x v="1"/>
    <x v="1"/>
    <x v="0"/>
    <n v="25"/>
    <n v="75"/>
    <x v="0"/>
  </r>
  <r>
    <x v="336"/>
    <x v="10"/>
    <n v="0.48"/>
    <n v="0.22389999999999999"/>
    <x v="13"/>
    <x v="64"/>
    <x v="70"/>
    <x v="1"/>
    <x v="1"/>
    <x v="0"/>
    <n v="16.853932584269661"/>
    <n v="83.146067415730343"/>
    <x v="0"/>
  </r>
  <r>
    <x v="337"/>
    <x v="2"/>
    <n v="0.38"/>
    <n v="0.29849999999999999"/>
    <x v="27"/>
    <x v="122"/>
    <x v="129"/>
    <x v="2"/>
    <x v="1"/>
    <x v="0"/>
    <n v="20.792079207920789"/>
    <n v="79.207920792079207"/>
    <x v="1"/>
  </r>
  <r>
    <x v="338"/>
    <x v="0"/>
    <n v="0.39"/>
    <n v="0.28360000000000002"/>
    <x v="7"/>
    <x v="50"/>
    <x v="130"/>
    <x v="2"/>
    <x v="1"/>
    <x v="0"/>
    <n v="22.03389830508474"/>
    <n v="77.966101694915253"/>
    <x v="1"/>
  </r>
  <r>
    <x v="339"/>
    <x v="20"/>
    <n v="0.36"/>
    <n v="0.19400000000000001"/>
    <x v="27"/>
    <x v="123"/>
    <x v="131"/>
    <x v="2"/>
    <x v="1"/>
    <x v="0"/>
    <n v="16.279069767441861"/>
    <n v="83.720930232558146"/>
    <x v="1"/>
  </r>
  <r>
    <x v="340"/>
    <x v="5"/>
    <n v="0.34"/>
    <n v="0.19400000000000001"/>
    <x v="28"/>
    <x v="73"/>
    <x v="116"/>
    <x v="2"/>
    <x v="1"/>
    <x v="0"/>
    <n v="25.78125"/>
    <n v="74.21875"/>
    <x v="1"/>
  </r>
  <r>
    <x v="341"/>
    <x v="24"/>
    <n v="0.36"/>
    <n v="0.28360000000000002"/>
    <x v="8"/>
    <x v="25"/>
    <x v="56"/>
    <x v="2"/>
    <x v="1"/>
    <x v="0"/>
    <n v="34.939759036144579"/>
    <n v="65.060240963855421"/>
    <x v="0"/>
  </r>
  <r>
    <x v="342"/>
    <x v="0"/>
    <n v="0.45"/>
    <n v="0.25369999999999998"/>
    <x v="13"/>
    <x v="94"/>
    <x v="11"/>
    <x v="1"/>
    <x v="1"/>
    <x v="0"/>
    <n v="17.857142857142861"/>
    <n v="82.142857142857139"/>
    <x v="0"/>
  </r>
  <r>
    <x v="343"/>
    <x v="24"/>
    <n v="0.39"/>
    <n v="0.25369999999999998"/>
    <x v="24"/>
    <x v="91"/>
    <x v="30"/>
    <x v="2"/>
    <x v="1"/>
    <x v="0"/>
    <n v="18.918918918918919"/>
    <n v="81.081081081081081"/>
    <x v="0"/>
  </r>
  <r>
    <x v="344"/>
    <x v="24"/>
    <n v="0.39"/>
    <n v="0.25369999999999998"/>
    <x v="15"/>
    <x v="96"/>
    <x v="102"/>
    <x v="2"/>
    <x v="1"/>
    <x v="0"/>
    <n v="14.63414634146341"/>
    <n v="85.365853658536579"/>
    <x v="0"/>
  </r>
  <r>
    <x v="345"/>
    <x v="24"/>
    <n v="0.39"/>
    <n v="0.22389999999999999"/>
    <x v="15"/>
    <x v="82"/>
    <x v="52"/>
    <x v="2"/>
    <x v="1"/>
    <x v="0"/>
    <n v="10.52631578947368"/>
    <n v="89.473684210526315"/>
    <x v="0"/>
  </r>
  <r>
    <x v="346"/>
    <x v="20"/>
    <n v="0.42"/>
    <n v="0.1045"/>
    <x v="3"/>
    <x v="16"/>
    <x v="132"/>
    <x v="1"/>
    <x v="0"/>
    <x v="0"/>
    <n v="0"/>
    <n v="100"/>
    <x v="0"/>
  </r>
  <r>
    <x v="347"/>
    <x v="0"/>
    <n v="0.45"/>
    <n v="0.28360000000000002"/>
    <x v="2"/>
    <x v="87"/>
    <x v="40"/>
    <x v="1"/>
    <x v="1"/>
    <x v="0"/>
    <n v="11.36363636363636"/>
    <n v="88.63636363636364"/>
    <x v="0"/>
  </r>
  <r>
    <x v="348"/>
    <x v="24"/>
    <n v="0.56000000000000005"/>
    <n v="0"/>
    <x v="15"/>
    <x v="39"/>
    <x v="21"/>
    <x v="1"/>
    <x v="0"/>
    <x v="0"/>
    <n v="15.38461538461539"/>
    <n v="84.615384615384613"/>
    <x v="0"/>
  </r>
  <r>
    <x v="349"/>
    <x v="1"/>
    <n v="0.56000000000000005"/>
    <n v="0.1343"/>
    <x v="17"/>
    <x v="23"/>
    <x v="84"/>
    <x v="1"/>
    <x v="0"/>
    <x v="0"/>
    <n v="17.39130434782609"/>
    <n v="82.608695652173907"/>
    <x v="0"/>
  </r>
  <r>
    <x v="350"/>
    <x v="0"/>
    <n v="0.56000000000000005"/>
    <n v="8.9599999999999999E-2"/>
    <x v="0"/>
    <x v="0"/>
    <x v="0"/>
    <x v="1"/>
    <x v="0"/>
    <x v="0"/>
    <n v="18.75"/>
    <n v="81.25"/>
    <x v="0"/>
  </r>
  <r>
    <x v="351"/>
    <x v="1"/>
    <n v="0.69"/>
    <n v="0"/>
    <x v="14"/>
    <x v="8"/>
    <x v="93"/>
    <x v="1"/>
    <x v="0"/>
    <x v="1"/>
    <n v="60"/>
    <n v="40"/>
    <x v="0"/>
  </r>
  <r>
    <x v="352"/>
    <x v="2"/>
    <n v="0.56000000000000005"/>
    <n v="0.16420000000000001"/>
    <x v="3"/>
    <x v="4"/>
    <x v="4"/>
    <x v="1"/>
    <x v="1"/>
    <x v="0"/>
    <n v="0"/>
    <n v="100"/>
    <x v="0"/>
  </r>
  <r>
    <x v="353"/>
    <x v="2"/>
    <n v="0.56000000000000005"/>
    <n v="0.16420000000000001"/>
    <x v="5"/>
    <x v="4"/>
    <x v="5"/>
    <x v="1"/>
    <x v="1"/>
    <x v="0"/>
    <n v="50"/>
    <n v="50"/>
    <x v="0"/>
  </r>
  <r>
    <x v="354"/>
    <x v="2"/>
    <n v="0.56000000000000005"/>
    <n v="0.16420000000000001"/>
    <x v="3"/>
    <x v="4"/>
    <x v="4"/>
    <x v="1"/>
    <x v="1"/>
    <x v="0"/>
    <n v="0"/>
    <n v="100"/>
    <x v="0"/>
  </r>
  <r>
    <x v="355"/>
    <x v="11"/>
    <n v="0.56000000000000005"/>
    <n v="0.29849999999999999"/>
    <x v="3"/>
    <x v="35"/>
    <x v="6"/>
    <x v="1"/>
    <x v="1"/>
    <x v="0"/>
    <n v="0"/>
    <n v="100"/>
    <x v="0"/>
  </r>
  <r>
    <x v="356"/>
    <x v="11"/>
    <n v="0.55000000000000004"/>
    <n v="0.28360000000000002"/>
    <x v="3"/>
    <x v="72"/>
    <x v="109"/>
    <x v="1"/>
    <x v="1"/>
    <x v="0"/>
    <n v="0"/>
    <n v="100"/>
    <x v="0"/>
  </r>
  <r>
    <x v="357"/>
    <x v="11"/>
    <n v="0.51"/>
    <n v="0.25369999999999998"/>
    <x v="0"/>
    <x v="31"/>
    <x v="2"/>
    <x v="1"/>
    <x v="1"/>
    <x v="0"/>
    <n v="9.375"/>
    <n v="90.625"/>
    <x v="0"/>
  </r>
  <r>
    <x v="358"/>
    <x v="11"/>
    <n v="0.51"/>
    <n v="0.28360000000000002"/>
    <x v="1"/>
    <x v="13"/>
    <x v="67"/>
    <x v="1"/>
    <x v="1"/>
    <x v="0"/>
    <n v="10.12658227848101"/>
    <n v="89.87341772151899"/>
    <x v="0"/>
  </r>
  <r>
    <x v="359"/>
    <x v="10"/>
    <n v="0.44"/>
    <n v="0.25369999999999998"/>
    <x v="29"/>
    <x v="14"/>
    <x v="15"/>
    <x v="1"/>
    <x v="1"/>
    <x v="0"/>
    <n v="24.731182795698921"/>
    <n v="75.268817204301072"/>
    <x v="0"/>
  </r>
  <r>
    <x v="360"/>
    <x v="11"/>
    <n v="0.41"/>
    <n v="0.28360000000000002"/>
    <x v="8"/>
    <x v="102"/>
    <x v="133"/>
    <x v="1"/>
    <x v="1"/>
    <x v="0"/>
    <n v="27.88461538461539"/>
    <n v="72.115384615384613"/>
    <x v="1"/>
  </r>
  <r>
    <x v="361"/>
    <x v="10"/>
    <n v="0.35"/>
    <n v="0.29849999999999999"/>
    <x v="29"/>
    <x v="73"/>
    <x v="130"/>
    <x v="2"/>
    <x v="1"/>
    <x v="0"/>
    <n v="19.49152542372881"/>
    <n v="80.508474576271183"/>
    <x v="1"/>
  </r>
  <r>
    <x v="362"/>
    <x v="1"/>
    <n v="0.36"/>
    <n v="0.25369999999999998"/>
    <x v="30"/>
    <x v="94"/>
    <x v="134"/>
    <x v="2"/>
    <x v="1"/>
    <x v="0"/>
    <n v="24.175824175824179"/>
    <n v="75.824175824175825"/>
    <x v="0"/>
  </r>
  <r>
    <x v="363"/>
    <x v="18"/>
    <n v="0.38"/>
    <n v="0.25369999999999998"/>
    <x v="10"/>
    <x v="78"/>
    <x v="135"/>
    <x v="2"/>
    <x v="1"/>
    <x v="0"/>
    <n v="30.973451327433629"/>
    <n v="69.026548672566364"/>
    <x v="1"/>
  </r>
  <r>
    <x v="364"/>
    <x v="10"/>
    <n v="0.38"/>
    <n v="0.22389999999999999"/>
    <x v="30"/>
    <x v="99"/>
    <x v="111"/>
    <x v="2"/>
    <x v="1"/>
    <x v="0"/>
    <n v="22.222222222222221"/>
    <n v="77.777777777777786"/>
    <x v="0"/>
  </r>
  <r>
    <x v="365"/>
    <x v="11"/>
    <n v="0.37"/>
    <n v="0.25369999999999998"/>
    <x v="29"/>
    <x v="70"/>
    <x v="136"/>
    <x v="2"/>
    <x v="1"/>
    <x v="0"/>
    <n v="21.904761904761909"/>
    <n v="78.095238095238102"/>
    <x v="1"/>
  </r>
  <r>
    <x v="366"/>
    <x v="11"/>
    <n v="0.4"/>
    <n v="0.16420000000000001"/>
    <x v="16"/>
    <x v="90"/>
    <x v="16"/>
    <x v="1"/>
    <x v="1"/>
    <x v="0"/>
    <n v="16.417910447761191"/>
    <n v="83.582089552238799"/>
    <x v="0"/>
  </r>
  <r>
    <x v="367"/>
    <x v="12"/>
    <n v="0.47"/>
    <n v="0.1343"/>
    <x v="24"/>
    <x v="12"/>
    <x v="42"/>
    <x v="1"/>
    <x v="0"/>
    <x v="0"/>
    <n v="22.95081967213115"/>
    <n v="77.049180327868854"/>
    <x v="0"/>
  </r>
  <r>
    <x v="368"/>
    <x v="12"/>
    <n v="0.47"/>
    <n v="0.16420000000000001"/>
    <x v="18"/>
    <x v="54"/>
    <x v="52"/>
    <x v="1"/>
    <x v="1"/>
    <x v="0"/>
    <n v="12.28070175438596"/>
    <n v="87.719298245614027"/>
    <x v="0"/>
  </r>
  <r>
    <x v="369"/>
    <x v="12"/>
    <n v="0.51"/>
    <n v="0.16420000000000001"/>
    <x v="15"/>
    <x v="97"/>
    <x v="20"/>
    <x v="1"/>
    <x v="1"/>
    <x v="0"/>
    <n v="21.428571428571431"/>
    <n v="78.571428571428569"/>
    <x v="0"/>
  </r>
  <r>
    <x v="370"/>
    <x v="11"/>
    <n v="0.49"/>
    <n v="0.1343"/>
    <x v="4"/>
    <x v="23"/>
    <x v="137"/>
    <x v="1"/>
    <x v="0"/>
    <x v="0"/>
    <n v="9.5238095238095237"/>
    <n v="90.476190476190482"/>
    <x v="0"/>
  </r>
  <r>
    <x v="371"/>
    <x v="10"/>
    <n v="0.4"/>
    <n v="0.1045"/>
    <x v="3"/>
    <x v="72"/>
    <x v="109"/>
    <x v="1"/>
    <x v="0"/>
    <x v="0"/>
    <n v="0"/>
    <n v="100"/>
    <x v="0"/>
  </r>
  <r>
    <x v="372"/>
    <x v="12"/>
    <n v="0.47"/>
    <n v="0.22389999999999999"/>
    <x v="5"/>
    <x v="20"/>
    <x v="22"/>
    <x v="1"/>
    <x v="1"/>
    <x v="0"/>
    <n v="5.8823529411764701"/>
    <n v="94.117647058823522"/>
    <x v="0"/>
  </r>
  <r>
    <x v="373"/>
    <x v="12"/>
    <n v="0.44"/>
    <n v="0.19400000000000001"/>
    <x v="5"/>
    <x v="89"/>
    <x v="0"/>
    <x v="1"/>
    <x v="1"/>
    <x v="0"/>
    <n v="6.25"/>
    <n v="93.75"/>
    <x v="0"/>
  </r>
  <r>
    <x v="374"/>
    <x v="16"/>
    <n v="0.43"/>
    <n v="0.25369999999999998"/>
    <x v="3"/>
    <x v="21"/>
    <x v="7"/>
    <x v="1"/>
    <x v="1"/>
    <x v="0"/>
    <n v="0"/>
    <n v="100"/>
    <x v="0"/>
  </r>
  <r>
    <x v="375"/>
    <x v="17"/>
    <n v="0.43"/>
    <n v="0.19400000000000001"/>
    <x v="3"/>
    <x v="6"/>
    <x v="5"/>
    <x v="1"/>
    <x v="1"/>
    <x v="0"/>
    <n v="0"/>
    <n v="100"/>
    <x v="0"/>
  </r>
  <r>
    <x v="376"/>
    <x v="12"/>
    <n v="0.43"/>
    <n v="0.1343"/>
    <x v="5"/>
    <x v="6"/>
    <x v="6"/>
    <x v="1"/>
    <x v="0"/>
    <x v="0"/>
    <n v="33.333333333333329"/>
    <n v="66.666666666666657"/>
    <x v="0"/>
  </r>
  <r>
    <x v="377"/>
    <x v="12"/>
    <n v="0.43"/>
    <n v="0.16420000000000001"/>
    <x v="3"/>
    <x v="4"/>
    <x v="4"/>
    <x v="1"/>
    <x v="1"/>
    <x v="0"/>
    <n v="0"/>
    <n v="100"/>
    <x v="0"/>
  </r>
  <r>
    <x v="378"/>
    <x v="17"/>
    <n v="0.43"/>
    <n v="0.19400000000000001"/>
    <x v="3"/>
    <x v="34"/>
    <x v="36"/>
    <x v="1"/>
    <x v="1"/>
    <x v="0"/>
    <n v="0"/>
    <n v="100"/>
    <x v="0"/>
  </r>
  <r>
    <x v="379"/>
    <x v="17"/>
    <n v="0.5"/>
    <n v="0.1343"/>
    <x v="17"/>
    <x v="33"/>
    <x v="3"/>
    <x v="1"/>
    <x v="0"/>
    <x v="0"/>
    <n v="30.76923076923077"/>
    <n v="69.230769230769226"/>
    <x v="0"/>
  </r>
  <r>
    <x v="380"/>
    <x v="19"/>
    <n v="0.47"/>
    <n v="0.22389999999999999"/>
    <x v="0"/>
    <x v="10"/>
    <x v="63"/>
    <x v="1"/>
    <x v="1"/>
    <x v="0"/>
    <n v="9.0909090909090917"/>
    <n v="90.909090909090907"/>
    <x v="0"/>
  </r>
  <r>
    <x v="381"/>
    <x v="19"/>
    <n v="0.47"/>
    <n v="0.22389999999999999"/>
    <x v="1"/>
    <x v="87"/>
    <x v="105"/>
    <x v="1"/>
    <x v="1"/>
    <x v="0"/>
    <n v="17.021276595744681"/>
    <n v="82.978723404255319"/>
    <x v="0"/>
  </r>
  <r>
    <x v="382"/>
    <x v="19"/>
    <n v="0.5"/>
    <n v="0.25369999999999998"/>
    <x v="18"/>
    <x v="54"/>
    <x v="52"/>
    <x v="1"/>
    <x v="1"/>
    <x v="0"/>
    <n v="12.28070175438596"/>
    <n v="87.719298245614027"/>
    <x v="0"/>
  </r>
  <r>
    <x v="383"/>
    <x v="19"/>
    <n v="0.55000000000000004"/>
    <n v="0.19400000000000001"/>
    <x v="14"/>
    <x v="11"/>
    <x v="37"/>
    <x v="1"/>
    <x v="1"/>
    <x v="0"/>
    <n v="14.0625"/>
    <n v="85.9375"/>
    <x v="0"/>
  </r>
  <r>
    <x v="384"/>
    <x v="12"/>
    <n v="0.47"/>
    <n v="0.1343"/>
    <x v="22"/>
    <x v="14"/>
    <x v="138"/>
    <x v="1"/>
    <x v="0"/>
    <x v="0"/>
    <n v="12.5"/>
    <n v="87.5"/>
    <x v="0"/>
  </r>
  <r>
    <x v="385"/>
    <x v="12"/>
    <n v="0.47"/>
    <n v="0.1343"/>
    <x v="23"/>
    <x v="122"/>
    <x v="15"/>
    <x v="1"/>
    <x v="0"/>
    <x v="0"/>
    <n v="13.97849462365591"/>
    <n v="86.021505376344081"/>
    <x v="0"/>
  </r>
  <r>
    <x v="386"/>
    <x v="11"/>
    <n v="0.43"/>
    <n v="0.1045"/>
    <x v="6"/>
    <x v="64"/>
    <x v="80"/>
    <x v="1"/>
    <x v="0"/>
    <x v="0"/>
    <n v="13.95348837209302"/>
    <n v="86.04651162790698"/>
    <x v="0"/>
  </r>
  <r>
    <x v="387"/>
    <x v="11"/>
    <n v="0.47"/>
    <n v="0.16420000000000001"/>
    <x v="27"/>
    <x v="109"/>
    <x v="15"/>
    <x v="1"/>
    <x v="1"/>
    <x v="0"/>
    <n v="22.58064516129032"/>
    <n v="77.41935483870968"/>
    <x v="0"/>
  </r>
  <r>
    <x v="388"/>
    <x v="11"/>
    <n v="0.47"/>
    <n v="0.16420000000000001"/>
    <x v="15"/>
    <x v="83"/>
    <x v="100"/>
    <x v="1"/>
    <x v="1"/>
    <x v="0"/>
    <n v="7.3170731707317067"/>
    <n v="92.682926829268297"/>
    <x v="0"/>
  </r>
  <r>
    <x v="389"/>
    <x v="12"/>
    <n v="0.51"/>
    <n v="0.19400000000000001"/>
    <x v="17"/>
    <x v="28"/>
    <x v="68"/>
    <x v="1"/>
    <x v="1"/>
    <x v="0"/>
    <n v="5.6338028169014089"/>
    <n v="94.366197183098592"/>
    <x v="0"/>
  </r>
  <r>
    <x v="390"/>
    <x v="16"/>
    <n v="0.55000000000000004"/>
    <n v="0.25369999999999998"/>
    <x v="18"/>
    <x v="66"/>
    <x v="101"/>
    <x v="1"/>
    <x v="1"/>
    <x v="0"/>
    <n v="7.608695652173914"/>
    <n v="92.391304347826093"/>
    <x v="0"/>
  </r>
  <r>
    <x v="391"/>
    <x v="17"/>
    <n v="0.59"/>
    <n v="0.19400000000000001"/>
    <x v="4"/>
    <x v="29"/>
    <x v="122"/>
    <x v="1"/>
    <x v="1"/>
    <x v="0"/>
    <n v="3.333333333333333"/>
    <n v="96.666666666666671"/>
    <x v="0"/>
  </r>
  <r>
    <x v="392"/>
    <x v="19"/>
    <n v="0.8"/>
    <n v="0.19400000000000001"/>
    <x v="17"/>
    <x v="31"/>
    <x v="63"/>
    <x v="0"/>
    <x v="1"/>
    <x v="0"/>
    <n v="12.121212121212119"/>
    <n v="87.878787878787875"/>
    <x v="0"/>
  </r>
  <r>
    <x v="393"/>
    <x v="19"/>
    <n v="0.8"/>
    <n v="0.19400000000000001"/>
    <x v="0"/>
    <x v="9"/>
    <x v="110"/>
    <x v="0"/>
    <x v="1"/>
    <x v="0"/>
    <n v="11.111111111111111"/>
    <n v="88.888888888888886"/>
    <x v="0"/>
  </r>
  <r>
    <x v="394"/>
    <x v="15"/>
    <n v="0.93"/>
    <n v="0.25369999999999998"/>
    <x v="3"/>
    <x v="0"/>
    <x v="3"/>
    <x v="0"/>
    <x v="1"/>
    <x v="0"/>
    <n v="0"/>
    <n v="100"/>
    <x v="0"/>
  </r>
  <r>
    <x v="395"/>
    <x v="13"/>
    <n v="0.86"/>
    <n v="0.28360000000000002"/>
    <x v="5"/>
    <x v="35"/>
    <x v="48"/>
    <x v="0"/>
    <x v="1"/>
    <x v="0"/>
    <n v="25"/>
    <n v="75"/>
    <x v="0"/>
  </r>
  <r>
    <x v="396"/>
    <x v="17"/>
    <n v="0.86"/>
    <n v="0.32840000000000003"/>
    <x v="3"/>
    <x v="35"/>
    <x v="6"/>
    <x v="0"/>
    <x v="2"/>
    <x v="0"/>
    <n v="0"/>
    <n v="100"/>
    <x v="0"/>
  </r>
  <r>
    <x v="397"/>
    <x v="12"/>
    <n v="0.86"/>
    <n v="0.22389999999999999"/>
    <x v="3"/>
    <x v="97"/>
    <x v="34"/>
    <x v="0"/>
    <x v="1"/>
    <x v="0"/>
    <n v="0"/>
    <n v="100"/>
    <x v="0"/>
  </r>
  <r>
    <x v="398"/>
    <x v="10"/>
    <n v="0.8"/>
    <n v="0.16420000000000001"/>
    <x v="4"/>
    <x v="16"/>
    <x v="20"/>
    <x v="0"/>
    <x v="1"/>
    <x v="0"/>
    <n v="7.1428571428571423"/>
    <n v="92.857142857142861"/>
    <x v="0"/>
  </r>
  <r>
    <x v="399"/>
    <x v="10"/>
    <n v="0.87"/>
    <n v="0.16420000000000001"/>
    <x v="0"/>
    <x v="1"/>
    <x v="17"/>
    <x v="0"/>
    <x v="1"/>
    <x v="0"/>
    <n v="8.5714285714285712"/>
    <n v="91.428571428571431"/>
    <x v="0"/>
  </r>
  <r>
    <x v="400"/>
    <x v="10"/>
    <n v="0.87"/>
    <n v="0.19400000000000001"/>
    <x v="3"/>
    <x v="124"/>
    <x v="42"/>
    <x v="0"/>
    <x v="1"/>
    <x v="0"/>
    <n v="0"/>
    <n v="100"/>
    <x v="0"/>
  </r>
  <r>
    <x v="401"/>
    <x v="10"/>
    <n v="0.82"/>
    <n v="0.19400000000000001"/>
    <x v="5"/>
    <x v="125"/>
    <x v="139"/>
    <x v="0"/>
    <x v="1"/>
    <x v="0"/>
    <n v="0.8"/>
    <n v="99.2"/>
    <x v="1"/>
  </r>
  <r>
    <x v="402"/>
    <x v="10"/>
    <n v="0.8"/>
    <n v="0.16420000000000001"/>
    <x v="5"/>
    <x v="126"/>
    <x v="140"/>
    <x v="0"/>
    <x v="1"/>
    <x v="0"/>
    <n v="0.75187969924812026"/>
    <n v="99.248120300751879"/>
    <x v="1"/>
  </r>
  <r>
    <x v="403"/>
    <x v="10"/>
    <n v="0.8"/>
    <n v="0.1343"/>
    <x v="5"/>
    <x v="52"/>
    <x v="111"/>
    <x v="0"/>
    <x v="0"/>
    <x v="0"/>
    <n v="1.0101010101010099"/>
    <n v="98.98989898989899"/>
    <x v="0"/>
  </r>
  <r>
    <x v="404"/>
    <x v="1"/>
    <n v="0.87"/>
    <n v="0"/>
    <x v="3"/>
    <x v="93"/>
    <x v="56"/>
    <x v="0"/>
    <x v="0"/>
    <x v="0"/>
    <n v="0"/>
    <n v="100"/>
    <x v="0"/>
  </r>
  <r>
    <x v="405"/>
    <x v="18"/>
    <n v="0.93"/>
    <n v="0.1045"/>
    <x v="3"/>
    <x v="40"/>
    <x v="102"/>
    <x v="0"/>
    <x v="0"/>
    <x v="0"/>
    <n v="0"/>
    <n v="100"/>
    <x v="0"/>
  </r>
  <r>
    <x v="406"/>
    <x v="2"/>
    <n v="0.93"/>
    <n v="8.9599999999999999E-2"/>
    <x v="3"/>
    <x v="39"/>
    <x v="63"/>
    <x v="0"/>
    <x v="0"/>
    <x v="0"/>
    <n v="0"/>
    <n v="100"/>
    <x v="0"/>
  </r>
  <r>
    <x v="407"/>
    <x v="1"/>
    <n v="0.93"/>
    <n v="0"/>
    <x v="5"/>
    <x v="23"/>
    <x v="25"/>
    <x v="0"/>
    <x v="0"/>
    <x v="0"/>
    <n v="5"/>
    <n v="95"/>
    <x v="0"/>
  </r>
  <r>
    <x v="408"/>
    <x v="1"/>
    <n v="0.93"/>
    <n v="0"/>
    <x v="3"/>
    <x v="35"/>
    <x v="6"/>
    <x v="0"/>
    <x v="0"/>
    <x v="0"/>
    <n v="0"/>
    <n v="100"/>
    <x v="0"/>
  </r>
  <r>
    <x v="409"/>
    <x v="10"/>
    <n v="0.93"/>
    <n v="0.1343"/>
    <x v="5"/>
    <x v="8"/>
    <x v="85"/>
    <x v="0"/>
    <x v="0"/>
    <x v="0"/>
    <n v="14.285714285714279"/>
    <n v="85.714285714285708"/>
    <x v="0"/>
  </r>
  <r>
    <x v="410"/>
    <x v="10"/>
    <n v="0.93"/>
    <n v="0.1343"/>
    <x v="3"/>
    <x v="35"/>
    <x v="6"/>
    <x v="0"/>
    <x v="0"/>
    <x v="0"/>
    <n v="0"/>
    <n v="100"/>
    <x v="0"/>
  </r>
  <r>
    <x v="411"/>
    <x v="10"/>
    <n v="0.93"/>
    <n v="0.1343"/>
    <x v="5"/>
    <x v="4"/>
    <x v="5"/>
    <x v="0"/>
    <x v="0"/>
    <x v="0"/>
    <n v="50"/>
    <n v="50"/>
    <x v="0"/>
  </r>
  <r>
    <x v="412"/>
    <x v="2"/>
    <n v="0.93"/>
    <n v="8.9599999999999999E-2"/>
    <x v="3"/>
    <x v="7"/>
    <x v="85"/>
    <x v="0"/>
    <x v="0"/>
    <x v="0"/>
    <n v="0"/>
    <n v="100"/>
    <x v="0"/>
  </r>
  <r>
    <x v="413"/>
    <x v="2"/>
    <n v="0.93"/>
    <n v="8.9599999999999999E-2"/>
    <x v="3"/>
    <x v="1"/>
    <x v="2"/>
    <x v="0"/>
    <x v="0"/>
    <x v="0"/>
    <n v="0"/>
    <n v="100"/>
    <x v="0"/>
  </r>
  <r>
    <x v="414"/>
    <x v="2"/>
    <n v="0.92"/>
    <n v="0.1045"/>
    <x v="5"/>
    <x v="121"/>
    <x v="127"/>
    <x v="0"/>
    <x v="0"/>
    <x v="0"/>
    <n v="1.1111111111111109"/>
    <n v="98.888888888888886"/>
    <x v="0"/>
  </r>
  <r>
    <x v="415"/>
    <x v="2"/>
    <n v="0.93"/>
    <n v="0.1045"/>
    <x v="5"/>
    <x v="127"/>
    <x v="141"/>
    <x v="0"/>
    <x v="0"/>
    <x v="0"/>
    <n v="0.50761421319796951"/>
    <n v="99.492385786802032"/>
    <x v="1"/>
  </r>
  <r>
    <x v="416"/>
    <x v="2"/>
    <n v="0.93"/>
    <n v="0.1045"/>
    <x v="4"/>
    <x v="128"/>
    <x v="142"/>
    <x v="0"/>
    <x v="0"/>
    <x v="0"/>
    <n v="1.834862385321101"/>
    <n v="98.165137614678898"/>
    <x v="1"/>
  </r>
  <r>
    <x v="417"/>
    <x v="1"/>
    <n v="0.93"/>
    <n v="0.1343"/>
    <x v="5"/>
    <x v="24"/>
    <x v="105"/>
    <x v="0"/>
    <x v="0"/>
    <x v="0"/>
    <n v="2.1276595744680851"/>
    <n v="97.872340425531917"/>
    <x v="0"/>
  </r>
  <r>
    <x v="418"/>
    <x v="24"/>
    <n v="0.87"/>
    <n v="8.9599999999999999E-2"/>
    <x v="2"/>
    <x v="12"/>
    <x v="46"/>
    <x v="0"/>
    <x v="0"/>
    <x v="0"/>
    <n v="9.6153846153846168"/>
    <n v="90.384615384615387"/>
    <x v="0"/>
  </r>
  <r>
    <x v="419"/>
    <x v="20"/>
    <n v="0.81"/>
    <n v="8.9599999999999999E-2"/>
    <x v="2"/>
    <x v="65"/>
    <x v="27"/>
    <x v="0"/>
    <x v="0"/>
    <x v="0"/>
    <n v="7.1428571428571423"/>
    <n v="92.857142857142861"/>
    <x v="0"/>
  </r>
  <r>
    <x v="420"/>
    <x v="9"/>
    <n v="0.62"/>
    <n v="0.28360000000000002"/>
    <x v="16"/>
    <x v="28"/>
    <x v="53"/>
    <x v="1"/>
    <x v="1"/>
    <x v="0"/>
    <n v="14.1025641025641"/>
    <n v="85.897435897435898"/>
    <x v="0"/>
  </r>
  <r>
    <x v="421"/>
    <x v="9"/>
    <n v="0.57999999999999996"/>
    <n v="0.25369999999999998"/>
    <x v="18"/>
    <x v="56"/>
    <x v="28"/>
    <x v="1"/>
    <x v="1"/>
    <x v="0"/>
    <n v="9.3333333333333339"/>
    <n v="90.666666666666657"/>
    <x v="0"/>
  </r>
  <r>
    <x v="422"/>
    <x v="9"/>
    <n v="0.54"/>
    <n v="0.28360000000000002"/>
    <x v="17"/>
    <x v="78"/>
    <x v="100"/>
    <x v="1"/>
    <x v="1"/>
    <x v="0"/>
    <n v="4.8780487804878048"/>
    <n v="95.121951219512198"/>
    <x v="0"/>
  </r>
  <r>
    <x v="423"/>
    <x v="4"/>
    <n v="0.57999999999999996"/>
    <n v="0.3881"/>
    <x v="22"/>
    <x v="111"/>
    <x v="133"/>
    <x v="1"/>
    <x v="2"/>
    <x v="0"/>
    <n v="9.6153846153846168"/>
    <n v="90.384615384615387"/>
    <x v="1"/>
  </r>
  <r>
    <x v="424"/>
    <x v="5"/>
    <n v="0.56999999999999995"/>
    <n v="0.32840000000000003"/>
    <x v="18"/>
    <x v="84"/>
    <x v="141"/>
    <x v="1"/>
    <x v="2"/>
    <x v="0"/>
    <n v="3.5532994923857868"/>
    <n v="96.44670050761421"/>
    <x v="1"/>
  </r>
  <r>
    <x v="425"/>
    <x v="20"/>
    <n v="0.61"/>
    <n v="0.28360000000000002"/>
    <x v="2"/>
    <x v="117"/>
    <x v="143"/>
    <x v="1"/>
    <x v="1"/>
    <x v="0"/>
    <n v="3.1055900621118009"/>
    <n v="96.894409937888199"/>
    <x v="1"/>
  </r>
  <r>
    <x v="426"/>
    <x v="0"/>
    <n v="0.56999999999999995"/>
    <n v="0.41789999999999999"/>
    <x v="17"/>
    <x v="123"/>
    <x v="59"/>
    <x v="1"/>
    <x v="2"/>
    <x v="0"/>
    <n v="3.5714285714285712"/>
    <n v="96.428571428571431"/>
    <x v="1"/>
  </r>
  <r>
    <x v="427"/>
    <x v="24"/>
    <n v="0.49"/>
    <n v="0.29849999999999999"/>
    <x v="4"/>
    <x v="64"/>
    <x v="31"/>
    <x v="1"/>
    <x v="1"/>
    <x v="0"/>
    <n v="2.6315789473684208"/>
    <n v="97.368421052631575"/>
    <x v="0"/>
  </r>
  <r>
    <x v="428"/>
    <x v="0"/>
    <n v="0.49"/>
    <n v="0.41789999999999999"/>
    <x v="17"/>
    <x v="11"/>
    <x v="29"/>
    <x v="1"/>
    <x v="2"/>
    <x v="0"/>
    <n v="6.7796610169491522"/>
    <n v="93.220338983050837"/>
    <x v="0"/>
  </r>
  <r>
    <x v="429"/>
    <x v="24"/>
    <n v="0.52"/>
    <n v="0.16420000000000001"/>
    <x v="15"/>
    <x v="42"/>
    <x v="29"/>
    <x v="1"/>
    <x v="1"/>
    <x v="0"/>
    <n v="10.16949152542373"/>
    <n v="89.830508474576277"/>
    <x v="0"/>
  </r>
  <r>
    <x v="430"/>
    <x v="1"/>
    <n v="0.52"/>
    <n v="0.4627"/>
    <x v="5"/>
    <x v="2"/>
    <x v="20"/>
    <x v="1"/>
    <x v="2"/>
    <x v="0"/>
    <n v="3.5714285714285712"/>
    <n v="96.428571428571431"/>
    <x v="0"/>
  </r>
  <r>
    <x v="431"/>
    <x v="10"/>
    <n v="0.56000000000000005"/>
    <n v="0.3881"/>
    <x v="2"/>
    <x v="21"/>
    <x v="3"/>
    <x v="1"/>
    <x v="2"/>
    <x v="0"/>
    <n v="38.461538461538467"/>
    <n v="61.53846153846154"/>
    <x v="0"/>
  </r>
  <r>
    <x v="432"/>
    <x v="1"/>
    <n v="0.56000000000000005"/>
    <n v="0"/>
    <x v="4"/>
    <x v="35"/>
    <x v="36"/>
    <x v="1"/>
    <x v="0"/>
    <x v="0"/>
    <n v="40"/>
    <n v="60"/>
    <x v="0"/>
  </r>
  <r>
    <x v="433"/>
    <x v="1"/>
    <n v="0.56000000000000005"/>
    <n v="0"/>
    <x v="3"/>
    <x v="6"/>
    <x v="5"/>
    <x v="1"/>
    <x v="0"/>
    <x v="0"/>
    <n v="0"/>
    <n v="100"/>
    <x v="0"/>
  </r>
  <r>
    <x v="434"/>
    <x v="2"/>
    <n v="0.56000000000000005"/>
    <n v="0.16420000000000001"/>
    <x v="3"/>
    <x v="4"/>
    <x v="4"/>
    <x v="1"/>
    <x v="1"/>
    <x v="0"/>
    <n v="0"/>
    <n v="100"/>
    <x v="0"/>
  </r>
  <r>
    <x v="435"/>
    <x v="2"/>
    <n v="0.56000000000000005"/>
    <n v="0.16420000000000001"/>
    <x v="3"/>
    <x v="4"/>
    <x v="4"/>
    <x v="1"/>
    <x v="1"/>
    <x v="0"/>
    <n v="0"/>
    <n v="100"/>
    <x v="0"/>
  </r>
  <r>
    <x v="436"/>
    <x v="10"/>
    <n v="0.6"/>
    <n v="0.22389999999999999"/>
    <x v="3"/>
    <x v="8"/>
    <x v="24"/>
    <x v="1"/>
    <x v="1"/>
    <x v="0"/>
    <n v="0"/>
    <n v="100"/>
    <x v="0"/>
  </r>
  <r>
    <x v="437"/>
    <x v="11"/>
    <n v="0.6"/>
    <n v="0.22389999999999999"/>
    <x v="3"/>
    <x v="96"/>
    <x v="17"/>
    <x v="1"/>
    <x v="1"/>
    <x v="0"/>
    <n v="0"/>
    <n v="100"/>
    <x v="0"/>
  </r>
  <r>
    <x v="438"/>
    <x v="11"/>
    <n v="0.55000000000000004"/>
    <n v="0.22389999999999999"/>
    <x v="5"/>
    <x v="129"/>
    <x v="129"/>
    <x v="1"/>
    <x v="1"/>
    <x v="0"/>
    <n v="0.99009900990099009"/>
    <n v="99.009900990099013"/>
    <x v="1"/>
  </r>
  <r>
    <x v="439"/>
    <x v="11"/>
    <n v="0.55000000000000004"/>
    <n v="0.28360000000000002"/>
    <x v="4"/>
    <x v="130"/>
    <x v="144"/>
    <x v="1"/>
    <x v="1"/>
    <x v="0"/>
    <n v="0.80321285140562237"/>
    <n v="99.196787148594382"/>
    <x v="1"/>
  </r>
  <r>
    <x v="440"/>
    <x v="10"/>
    <n v="0.52"/>
    <n v="0.22389999999999999"/>
    <x v="0"/>
    <x v="131"/>
    <x v="145"/>
    <x v="1"/>
    <x v="1"/>
    <x v="0"/>
    <n v="2.0979020979020979"/>
    <n v="97.902097902097907"/>
    <x v="1"/>
  </r>
  <r>
    <x v="441"/>
    <x v="10"/>
    <n v="0.48"/>
    <n v="0.29849999999999999"/>
    <x v="5"/>
    <x v="90"/>
    <x v="52"/>
    <x v="1"/>
    <x v="1"/>
    <x v="0"/>
    <n v="1.754385964912281"/>
    <n v="98.245614035087712"/>
    <x v="0"/>
  </r>
  <r>
    <x v="442"/>
    <x v="1"/>
    <n v="0.45"/>
    <n v="0.16420000000000001"/>
    <x v="2"/>
    <x v="36"/>
    <x v="118"/>
    <x v="1"/>
    <x v="1"/>
    <x v="0"/>
    <n v="7.3529411764705888"/>
    <n v="92.64705882352942"/>
    <x v="0"/>
  </r>
  <r>
    <x v="443"/>
    <x v="5"/>
    <n v="0.42"/>
    <n v="0"/>
    <x v="18"/>
    <x v="99"/>
    <x v="11"/>
    <x v="1"/>
    <x v="0"/>
    <x v="0"/>
    <n v="8.3333333333333321"/>
    <n v="91.666666666666657"/>
    <x v="0"/>
  </r>
  <r>
    <x v="444"/>
    <x v="0"/>
    <n v="0.45"/>
    <n v="0.1045"/>
    <x v="6"/>
    <x v="132"/>
    <x v="95"/>
    <x v="1"/>
    <x v="0"/>
    <x v="0"/>
    <n v="12.244897959183669"/>
    <n v="87.755102040816325"/>
    <x v="0"/>
  </r>
  <r>
    <x v="445"/>
    <x v="24"/>
    <n v="0.45"/>
    <n v="0.1343"/>
    <x v="15"/>
    <x v="102"/>
    <x v="117"/>
    <x v="1"/>
    <x v="0"/>
    <x v="0"/>
    <n v="7.4074074074074074"/>
    <n v="92.592592592592595"/>
    <x v="0"/>
  </r>
  <r>
    <x v="446"/>
    <x v="20"/>
    <n v="0.45"/>
    <n v="0.19400000000000001"/>
    <x v="1"/>
    <x v="133"/>
    <x v="27"/>
    <x v="1"/>
    <x v="1"/>
    <x v="0"/>
    <n v="11.428571428571431"/>
    <n v="88.571428571428569"/>
    <x v="0"/>
  </r>
  <r>
    <x v="447"/>
    <x v="24"/>
    <n v="0.49"/>
    <n v="0.1343"/>
    <x v="1"/>
    <x v="93"/>
    <x v="134"/>
    <x v="1"/>
    <x v="0"/>
    <x v="0"/>
    <n v="8.791208791208792"/>
    <n v="91.208791208791212"/>
    <x v="0"/>
  </r>
  <r>
    <x v="448"/>
    <x v="20"/>
    <n v="0.49"/>
    <n v="0.1045"/>
    <x v="1"/>
    <x v="134"/>
    <x v="146"/>
    <x v="1"/>
    <x v="0"/>
    <x v="0"/>
    <n v="3.720930232558139"/>
    <n v="96.279069767441854"/>
    <x v="1"/>
  </r>
  <r>
    <x v="449"/>
    <x v="2"/>
    <n v="0.56000000000000005"/>
    <n v="0.19400000000000001"/>
    <x v="5"/>
    <x v="103"/>
    <x v="147"/>
    <x v="1"/>
    <x v="1"/>
    <x v="0"/>
    <n v="0.54054054054054057"/>
    <n v="99.459459459459467"/>
    <x v="1"/>
  </r>
  <r>
    <x v="450"/>
    <x v="10"/>
    <n v="0.56000000000000005"/>
    <n v="0.32840000000000003"/>
    <x v="15"/>
    <x v="44"/>
    <x v="148"/>
    <x v="1"/>
    <x v="2"/>
    <x v="0"/>
    <n v="3.947368421052631"/>
    <n v="96.05263157894737"/>
    <x v="1"/>
  </r>
  <r>
    <x v="451"/>
    <x v="18"/>
    <n v="0.6"/>
    <n v="0.28360000000000002"/>
    <x v="4"/>
    <x v="125"/>
    <x v="149"/>
    <x v="1"/>
    <x v="1"/>
    <x v="0"/>
    <n v="1.587301587301587"/>
    <n v="98.412698412698404"/>
    <x v="1"/>
  </r>
  <r>
    <x v="452"/>
    <x v="10"/>
    <n v="0.6"/>
    <n v="0.25369999999999998"/>
    <x v="0"/>
    <x v="25"/>
    <x v="52"/>
    <x v="1"/>
    <x v="1"/>
    <x v="0"/>
    <n v="5.2631578947368416"/>
    <n v="94.73684210526315"/>
    <x v="0"/>
  </r>
  <r>
    <x v="453"/>
    <x v="11"/>
    <n v="0.65"/>
    <n v="0.28360000000000002"/>
    <x v="3"/>
    <x v="90"/>
    <x v="10"/>
    <x v="1"/>
    <x v="1"/>
    <x v="0"/>
    <n v="0"/>
    <n v="100"/>
    <x v="0"/>
  </r>
  <r>
    <x v="454"/>
    <x v="11"/>
    <n v="0.65"/>
    <n v="0.32840000000000003"/>
    <x v="0"/>
    <x v="95"/>
    <x v="35"/>
    <x v="1"/>
    <x v="2"/>
    <x v="0"/>
    <n v="9.67741935483871"/>
    <n v="90.322580645161281"/>
    <x v="0"/>
  </r>
  <r>
    <x v="455"/>
    <x v="10"/>
    <n v="0.7"/>
    <n v="0.25369999999999998"/>
    <x v="5"/>
    <x v="32"/>
    <x v="137"/>
    <x v="0"/>
    <x v="1"/>
    <x v="0"/>
    <n v="4.7619047619047619"/>
    <n v="95.238095238095227"/>
    <x v="0"/>
  </r>
  <r>
    <x v="456"/>
    <x v="10"/>
    <n v="0.7"/>
    <n v="0.25369999999999998"/>
    <x v="3"/>
    <x v="8"/>
    <x v="24"/>
    <x v="0"/>
    <x v="1"/>
    <x v="0"/>
    <n v="0"/>
    <n v="100"/>
    <x v="0"/>
  </r>
  <r>
    <x v="457"/>
    <x v="18"/>
    <n v="0.75"/>
    <n v="0.16420000000000001"/>
    <x v="3"/>
    <x v="6"/>
    <x v="5"/>
    <x v="0"/>
    <x v="1"/>
    <x v="0"/>
    <n v="0"/>
    <n v="100"/>
    <x v="0"/>
  </r>
  <r>
    <x v="458"/>
    <x v="11"/>
    <n v="0.8"/>
    <n v="0.29849999999999999"/>
    <x v="3"/>
    <x v="4"/>
    <x v="4"/>
    <x v="0"/>
    <x v="1"/>
    <x v="0"/>
    <n v="0"/>
    <n v="100"/>
    <x v="0"/>
  </r>
  <r>
    <x v="459"/>
    <x v="2"/>
    <n v="0.87"/>
    <n v="8.9599999999999999E-2"/>
    <x v="3"/>
    <x v="4"/>
    <x v="4"/>
    <x v="0"/>
    <x v="0"/>
    <x v="0"/>
    <n v="0"/>
    <n v="100"/>
    <x v="0"/>
  </r>
  <r>
    <x v="460"/>
    <x v="12"/>
    <n v="0.6"/>
    <n v="0.41789999999999999"/>
    <x v="5"/>
    <x v="22"/>
    <x v="36"/>
    <x v="1"/>
    <x v="2"/>
    <x v="0"/>
    <n v="20"/>
    <n v="80"/>
    <x v="0"/>
  </r>
  <r>
    <x v="461"/>
    <x v="11"/>
    <n v="0.55000000000000004"/>
    <n v="0.25369999999999998"/>
    <x v="3"/>
    <x v="2"/>
    <x v="110"/>
    <x v="1"/>
    <x v="1"/>
    <x v="0"/>
    <n v="0"/>
    <n v="100"/>
    <x v="0"/>
  </r>
  <r>
    <x v="462"/>
    <x v="17"/>
    <n v="0.51"/>
    <n v="0.28360000000000002"/>
    <x v="4"/>
    <x v="43"/>
    <x v="118"/>
    <x v="1"/>
    <x v="1"/>
    <x v="0"/>
    <n v="2.9411764705882351"/>
    <n v="97.058823529411768"/>
    <x v="0"/>
  </r>
  <r>
    <x v="463"/>
    <x v="17"/>
    <n v="0.47"/>
    <n v="0.32840000000000003"/>
    <x v="18"/>
    <x v="135"/>
    <x v="112"/>
    <x v="1"/>
    <x v="2"/>
    <x v="0"/>
    <n v="3.225806451612903"/>
    <n v="96.774193548387103"/>
    <x v="1"/>
  </r>
  <r>
    <x v="464"/>
    <x v="17"/>
    <n v="0.51"/>
    <n v="0.35820000000000002"/>
    <x v="18"/>
    <x v="136"/>
    <x v="150"/>
    <x v="1"/>
    <x v="2"/>
    <x v="0"/>
    <n v="4.2168674698795181"/>
    <n v="95.783132530120483"/>
    <x v="1"/>
  </r>
  <r>
    <x v="465"/>
    <x v="16"/>
    <n v="0.47"/>
    <n v="0.4627"/>
    <x v="15"/>
    <x v="77"/>
    <x v="55"/>
    <x v="1"/>
    <x v="2"/>
    <x v="0"/>
    <n v="9.5238095238095237"/>
    <n v="90.476190476190482"/>
    <x v="0"/>
  </r>
  <r>
    <x v="466"/>
    <x v="17"/>
    <n v="0.41"/>
    <n v="0.4627"/>
    <x v="15"/>
    <x v="42"/>
    <x v="29"/>
    <x v="1"/>
    <x v="2"/>
    <x v="0"/>
    <n v="10.16949152542373"/>
    <n v="89.830508474576277"/>
    <x v="0"/>
  </r>
  <r>
    <x v="467"/>
    <x v="17"/>
    <n v="0.27"/>
    <n v="0.58209999999999995"/>
    <x v="16"/>
    <x v="28"/>
    <x v="53"/>
    <x v="2"/>
    <x v="2"/>
    <x v="0"/>
    <n v="14.1025641025641"/>
    <n v="85.897435897435898"/>
    <x v="0"/>
  </r>
  <r>
    <x v="468"/>
    <x v="19"/>
    <n v="0.21"/>
    <n v="0.58209999999999995"/>
    <x v="1"/>
    <x v="65"/>
    <x v="88"/>
    <x v="2"/>
    <x v="2"/>
    <x v="0"/>
    <n v="10.95890410958904"/>
    <n v="89.041095890410958"/>
    <x v="0"/>
  </r>
  <r>
    <x v="469"/>
    <x v="19"/>
    <n v="0.25"/>
    <n v="0.52239999999999998"/>
    <x v="15"/>
    <x v="90"/>
    <x v="69"/>
    <x v="2"/>
    <x v="2"/>
    <x v="0"/>
    <n v="9.67741935483871"/>
    <n v="90.322580645161281"/>
    <x v="0"/>
  </r>
  <r>
    <x v="470"/>
    <x v="15"/>
    <n v="0.26"/>
    <n v="0.44779999999999998"/>
    <x v="17"/>
    <x v="124"/>
    <x v="32"/>
    <x v="2"/>
    <x v="2"/>
    <x v="0"/>
    <n v="6.1538461538461542"/>
    <n v="93.84615384615384"/>
    <x v="0"/>
  </r>
  <r>
    <x v="471"/>
    <x v="13"/>
    <n v="0.26"/>
    <n v="0.35820000000000002"/>
    <x v="3"/>
    <x v="106"/>
    <x v="54"/>
    <x v="2"/>
    <x v="2"/>
    <x v="0"/>
    <n v="0"/>
    <n v="100"/>
    <x v="0"/>
  </r>
  <r>
    <x v="472"/>
    <x v="15"/>
    <n v="0.28000000000000003"/>
    <n v="0.35820000000000002"/>
    <x v="22"/>
    <x v="137"/>
    <x v="143"/>
    <x v="2"/>
    <x v="2"/>
    <x v="0"/>
    <n v="6.2111801242236027"/>
    <n v="93.788819875776397"/>
    <x v="1"/>
  </r>
  <r>
    <x v="473"/>
    <x v="15"/>
    <n v="0.3"/>
    <n v="0.25369999999999998"/>
    <x v="5"/>
    <x v="138"/>
    <x v="151"/>
    <x v="2"/>
    <x v="1"/>
    <x v="0"/>
    <n v="0.83333333333333337"/>
    <n v="99.166666666666671"/>
    <x v="1"/>
  </r>
  <r>
    <x v="474"/>
    <x v="14"/>
    <n v="0.3"/>
    <n v="0.32840000000000003"/>
    <x v="0"/>
    <x v="139"/>
    <x v="152"/>
    <x v="2"/>
    <x v="2"/>
    <x v="0"/>
    <n v="3.125"/>
    <n v="96.875"/>
    <x v="0"/>
  </r>
  <r>
    <x v="475"/>
    <x v="22"/>
    <n v="0.33"/>
    <n v="0.41789999999999999"/>
    <x v="5"/>
    <x v="15"/>
    <x v="26"/>
    <x v="2"/>
    <x v="2"/>
    <x v="0"/>
    <n v="1.8867924528301889"/>
    <n v="98.113207547169807"/>
    <x v="0"/>
  </r>
  <r>
    <x v="476"/>
    <x v="22"/>
    <n v="0.38"/>
    <n v="0.28360000000000002"/>
    <x v="3"/>
    <x v="40"/>
    <x v="102"/>
    <x v="2"/>
    <x v="1"/>
    <x v="0"/>
    <n v="0"/>
    <n v="100"/>
    <x v="0"/>
  </r>
  <r>
    <x v="477"/>
    <x v="25"/>
    <n v="0.41"/>
    <n v="0.3881"/>
    <x v="5"/>
    <x v="39"/>
    <x v="19"/>
    <x v="1"/>
    <x v="2"/>
    <x v="0"/>
    <n v="2.9411764705882351"/>
    <n v="97.058823529411768"/>
    <x v="0"/>
  </r>
  <r>
    <x v="478"/>
    <x v="26"/>
    <n v="0.38"/>
    <n v="0.32840000000000003"/>
    <x v="3"/>
    <x v="2"/>
    <x v="110"/>
    <x v="2"/>
    <x v="2"/>
    <x v="0"/>
    <n v="0"/>
    <n v="100"/>
    <x v="0"/>
  </r>
  <r>
    <x v="479"/>
    <x v="25"/>
    <n v="0.45"/>
    <n v="0.25369999999999998"/>
    <x v="3"/>
    <x v="0"/>
    <x v="3"/>
    <x v="1"/>
    <x v="1"/>
    <x v="0"/>
    <n v="0"/>
    <n v="100"/>
    <x v="0"/>
  </r>
  <r>
    <x v="480"/>
    <x v="27"/>
    <n v="0.41"/>
    <n v="0.3881"/>
    <x v="0"/>
    <x v="33"/>
    <x v="47"/>
    <x v="1"/>
    <x v="2"/>
    <x v="0"/>
    <n v="25"/>
    <n v="75"/>
    <x v="0"/>
  </r>
  <r>
    <x v="481"/>
    <x v="25"/>
    <n v="0.41"/>
    <n v="0.25369999999999998"/>
    <x v="3"/>
    <x v="48"/>
    <x v="62"/>
    <x v="1"/>
    <x v="1"/>
    <x v="0"/>
    <n v="0"/>
    <n v="100"/>
    <x v="0"/>
  </r>
  <r>
    <x v="482"/>
    <x v="25"/>
    <n v="0.41"/>
    <n v="0.28360000000000002"/>
    <x v="5"/>
    <x v="8"/>
    <x v="85"/>
    <x v="1"/>
    <x v="1"/>
    <x v="0"/>
    <n v="14.285714285714279"/>
    <n v="85.714285714285708"/>
    <x v="0"/>
  </r>
  <r>
    <x v="483"/>
    <x v="28"/>
    <n v="0.48"/>
    <n v="0.29849999999999999"/>
    <x v="3"/>
    <x v="35"/>
    <x v="6"/>
    <x v="1"/>
    <x v="1"/>
    <x v="0"/>
    <n v="0"/>
    <n v="100"/>
    <x v="0"/>
  </r>
  <r>
    <x v="484"/>
    <x v="25"/>
    <n v="0.44"/>
    <n v="0.22389999999999999"/>
    <x v="3"/>
    <x v="6"/>
    <x v="5"/>
    <x v="1"/>
    <x v="1"/>
    <x v="0"/>
    <n v="0"/>
    <n v="100"/>
    <x v="0"/>
  </r>
  <r>
    <x v="485"/>
    <x v="28"/>
    <n v="0.44"/>
    <n v="0.28360000000000002"/>
    <x v="3"/>
    <x v="21"/>
    <x v="7"/>
    <x v="1"/>
    <x v="1"/>
    <x v="0"/>
    <n v="0"/>
    <n v="100"/>
    <x v="0"/>
  </r>
  <r>
    <x v="486"/>
    <x v="27"/>
    <n v="0.44"/>
    <n v="0.32840000000000003"/>
    <x v="5"/>
    <x v="16"/>
    <x v="110"/>
    <x v="1"/>
    <x v="2"/>
    <x v="0"/>
    <n v="3.7037037037037028"/>
    <n v="96.296296296296291"/>
    <x v="0"/>
  </r>
  <r>
    <x v="487"/>
    <x v="25"/>
    <n v="0.41"/>
    <n v="0.25369999999999998"/>
    <x v="0"/>
    <x v="53"/>
    <x v="1"/>
    <x v="1"/>
    <x v="1"/>
    <x v="0"/>
    <n v="7.5"/>
    <n v="92.5"/>
    <x v="0"/>
  </r>
  <r>
    <x v="488"/>
    <x v="21"/>
    <n v="0.41"/>
    <n v="0.16420000000000001"/>
    <x v="0"/>
    <x v="54"/>
    <x v="26"/>
    <x v="1"/>
    <x v="1"/>
    <x v="0"/>
    <n v="5.6603773584905666"/>
    <n v="94.339622641509436"/>
    <x v="0"/>
  </r>
  <r>
    <x v="489"/>
    <x v="22"/>
    <n v="0.38"/>
    <n v="0.1343"/>
    <x v="17"/>
    <x v="79"/>
    <x v="55"/>
    <x v="2"/>
    <x v="0"/>
    <x v="0"/>
    <n v="6.3492063492063489"/>
    <n v="93.650793650793645"/>
    <x v="0"/>
  </r>
  <r>
    <x v="490"/>
    <x v="14"/>
    <n v="0.38"/>
    <n v="0.1045"/>
    <x v="22"/>
    <x v="91"/>
    <x v="27"/>
    <x v="2"/>
    <x v="0"/>
    <x v="0"/>
    <n v="14.285714285714279"/>
    <n v="85.714285714285708"/>
    <x v="0"/>
  </r>
  <r>
    <x v="491"/>
    <x v="16"/>
    <n v="0.35"/>
    <n v="0"/>
    <x v="6"/>
    <x v="109"/>
    <x v="11"/>
    <x v="2"/>
    <x v="0"/>
    <x v="0"/>
    <n v="14.285714285714279"/>
    <n v="85.714285714285708"/>
    <x v="0"/>
  </r>
  <r>
    <x v="492"/>
    <x v="13"/>
    <n v="0.33"/>
    <n v="0.1045"/>
    <x v="16"/>
    <x v="27"/>
    <x v="28"/>
    <x v="2"/>
    <x v="0"/>
    <x v="0"/>
    <n v="14.66666666666667"/>
    <n v="85.333333333333343"/>
    <x v="0"/>
  </r>
  <r>
    <x v="493"/>
    <x v="19"/>
    <n v="0.28000000000000003"/>
    <n v="0"/>
    <x v="22"/>
    <x v="139"/>
    <x v="153"/>
    <x v="2"/>
    <x v="0"/>
    <x v="0"/>
    <n v="9.7087378640776691"/>
    <n v="90.291262135922338"/>
    <x v="1"/>
  </r>
  <r>
    <x v="494"/>
    <x v="13"/>
    <n v="0.28000000000000003"/>
    <n v="0.19400000000000001"/>
    <x v="16"/>
    <x v="109"/>
    <x v="56"/>
    <x v="2"/>
    <x v="1"/>
    <x v="0"/>
    <n v="13.253012048192771"/>
    <n v="86.746987951807228"/>
    <x v="0"/>
  </r>
  <r>
    <x v="495"/>
    <x v="12"/>
    <n v="0.28000000000000003"/>
    <n v="0"/>
    <x v="1"/>
    <x v="79"/>
    <x v="16"/>
    <x v="2"/>
    <x v="0"/>
    <x v="0"/>
    <n v="11.940298507462691"/>
    <n v="88.059701492537314"/>
    <x v="0"/>
  </r>
  <r>
    <x v="496"/>
    <x v="23"/>
    <n v="0.35"/>
    <n v="0.19400000000000001"/>
    <x v="3"/>
    <x v="25"/>
    <x v="60"/>
    <x v="2"/>
    <x v="1"/>
    <x v="0"/>
    <n v="0"/>
    <n v="100"/>
    <x v="0"/>
  </r>
  <r>
    <x v="497"/>
    <x v="14"/>
    <n v="0.35"/>
    <n v="0.1343"/>
    <x v="15"/>
    <x v="42"/>
    <x v="29"/>
    <x v="2"/>
    <x v="0"/>
    <x v="0"/>
    <n v="10.16949152542373"/>
    <n v="89.830508474576277"/>
    <x v="0"/>
  </r>
  <r>
    <x v="498"/>
    <x v="22"/>
    <n v="0.45"/>
    <n v="0.16420000000000001"/>
    <x v="5"/>
    <x v="100"/>
    <x v="79"/>
    <x v="1"/>
    <x v="1"/>
    <x v="0"/>
    <n v="2.2222222222222219"/>
    <n v="97.777777777777771"/>
    <x v="0"/>
  </r>
  <r>
    <x v="499"/>
    <x v="14"/>
    <n v="0.41"/>
    <n v="8.9599999999999999E-2"/>
    <x v="3"/>
    <x v="87"/>
    <x v="21"/>
    <x v="1"/>
    <x v="0"/>
    <x v="0"/>
    <n v="0"/>
    <n v="100"/>
    <x v="0"/>
  </r>
  <r>
    <x v="500"/>
    <x v="19"/>
    <n v="0.49"/>
    <n v="0"/>
    <x v="18"/>
    <x v="140"/>
    <x v="33"/>
    <x v="1"/>
    <x v="0"/>
    <x v="0"/>
    <n v="23.333333333333329"/>
    <n v="76.666666666666671"/>
    <x v="0"/>
  </r>
  <r>
    <x v="501"/>
    <x v="22"/>
    <n v="0.56999999999999995"/>
    <n v="0.1045"/>
    <x v="4"/>
    <x v="17"/>
    <x v="63"/>
    <x v="1"/>
    <x v="0"/>
    <x v="0"/>
    <n v="6.0606060606060614"/>
    <n v="93.939393939393938"/>
    <x v="0"/>
  </r>
  <r>
    <x v="502"/>
    <x v="22"/>
    <n v="0.56999999999999995"/>
    <n v="0.1045"/>
    <x v="4"/>
    <x v="32"/>
    <x v="34"/>
    <x v="1"/>
    <x v="0"/>
    <x v="0"/>
    <n v="9.0909090909090917"/>
    <n v="90.909090909090907"/>
    <x v="0"/>
  </r>
  <r>
    <x v="503"/>
    <x v="22"/>
    <n v="0.56999999999999995"/>
    <n v="0.1045"/>
    <x v="5"/>
    <x v="98"/>
    <x v="3"/>
    <x v="1"/>
    <x v="0"/>
    <x v="0"/>
    <n v="7.6923076923076934"/>
    <n v="92.307692307692307"/>
    <x v="0"/>
  </r>
  <r>
    <x v="504"/>
    <x v="21"/>
    <n v="0.62"/>
    <n v="0.1343"/>
    <x v="0"/>
    <x v="89"/>
    <x v="109"/>
    <x v="1"/>
    <x v="0"/>
    <x v="0"/>
    <n v="16.666666666666661"/>
    <n v="83.333333333333343"/>
    <x v="0"/>
  </r>
  <r>
    <x v="505"/>
    <x v="21"/>
    <n v="0.62"/>
    <n v="0.1343"/>
    <x v="5"/>
    <x v="22"/>
    <x v="36"/>
    <x v="1"/>
    <x v="0"/>
    <x v="0"/>
    <n v="20"/>
    <n v="80"/>
    <x v="0"/>
  </r>
  <r>
    <x v="506"/>
    <x v="22"/>
    <n v="0.56999999999999995"/>
    <n v="0.1045"/>
    <x v="3"/>
    <x v="35"/>
    <x v="6"/>
    <x v="1"/>
    <x v="0"/>
    <x v="0"/>
    <n v="0"/>
    <n v="100"/>
    <x v="0"/>
  </r>
  <r>
    <x v="507"/>
    <x v="22"/>
    <n v="0.56999999999999995"/>
    <n v="0.1045"/>
    <x v="3"/>
    <x v="4"/>
    <x v="4"/>
    <x v="1"/>
    <x v="0"/>
    <x v="0"/>
    <n v="0"/>
    <n v="100"/>
    <x v="0"/>
  </r>
  <r>
    <x v="508"/>
    <x v="14"/>
    <n v="0.57999999999999996"/>
    <n v="0.16420000000000001"/>
    <x v="5"/>
    <x v="4"/>
    <x v="5"/>
    <x v="1"/>
    <x v="1"/>
    <x v="0"/>
    <n v="50"/>
    <n v="50"/>
    <x v="0"/>
  </r>
  <r>
    <x v="509"/>
    <x v="22"/>
    <n v="0.62"/>
    <n v="0.16420000000000001"/>
    <x v="4"/>
    <x v="19"/>
    <x v="75"/>
    <x v="1"/>
    <x v="1"/>
    <x v="0"/>
    <n v="10.52631578947368"/>
    <n v="89.473684210526315"/>
    <x v="0"/>
  </r>
  <r>
    <x v="510"/>
    <x v="22"/>
    <n v="0.54"/>
    <n v="0.35820000000000002"/>
    <x v="0"/>
    <x v="18"/>
    <x v="20"/>
    <x v="1"/>
    <x v="2"/>
    <x v="0"/>
    <n v="10.71428571428571"/>
    <n v="89.285714285714292"/>
    <x v="0"/>
  </r>
  <r>
    <x v="511"/>
    <x v="14"/>
    <n v="0.46"/>
    <n v="0.3881"/>
    <x v="18"/>
    <x v="82"/>
    <x v="154"/>
    <x v="1"/>
    <x v="2"/>
    <x v="0"/>
    <n v="12.068965517241381"/>
    <n v="87.931034482758619"/>
    <x v="0"/>
  </r>
  <r>
    <x v="512"/>
    <x v="13"/>
    <n v="0.43"/>
    <n v="0.22389999999999999"/>
    <x v="30"/>
    <x v="99"/>
    <x v="111"/>
    <x v="1"/>
    <x v="1"/>
    <x v="0"/>
    <n v="22.222222222222221"/>
    <n v="77.777777777777786"/>
    <x v="0"/>
  </r>
  <r>
    <x v="513"/>
    <x v="15"/>
    <n v="0.37"/>
    <n v="0.4627"/>
    <x v="31"/>
    <x v="50"/>
    <x v="155"/>
    <x v="2"/>
    <x v="2"/>
    <x v="0"/>
    <n v="20.68965517241379"/>
    <n v="79.310344827586206"/>
    <x v="1"/>
  </r>
  <r>
    <x v="514"/>
    <x v="14"/>
    <n v="0.33"/>
    <n v="0.3881"/>
    <x v="6"/>
    <x v="102"/>
    <x v="90"/>
    <x v="2"/>
    <x v="2"/>
    <x v="0"/>
    <n v="13.793103448275859"/>
    <n v="86.206896551724128"/>
    <x v="0"/>
  </r>
  <r>
    <x v="515"/>
    <x v="13"/>
    <n v="0.28000000000000003"/>
    <n v="0.35820000000000002"/>
    <x v="26"/>
    <x v="139"/>
    <x v="14"/>
    <x v="2"/>
    <x v="2"/>
    <x v="0"/>
    <n v="15.45454545454545"/>
    <n v="84.545454545454547"/>
    <x v="1"/>
  </r>
  <r>
    <x v="516"/>
    <x v="13"/>
    <n v="0.28000000000000003"/>
    <n v="0.35820000000000002"/>
    <x v="23"/>
    <x v="27"/>
    <x v="43"/>
    <x v="2"/>
    <x v="2"/>
    <x v="0"/>
    <n v="16.88311688311688"/>
    <n v="83.116883116883116"/>
    <x v="0"/>
  </r>
  <r>
    <x v="517"/>
    <x v="13"/>
    <n v="0.26"/>
    <n v="0.32840000000000003"/>
    <x v="14"/>
    <x v="90"/>
    <x v="32"/>
    <x v="2"/>
    <x v="2"/>
    <x v="0"/>
    <n v="13.84615384615385"/>
    <n v="86.15384615384616"/>
    <x v="0"/>
  </r>
  <r>
    <x v="518"/>
    <x v="14"/>
    <n v="0.26"/>
    <n v="0.3881"/>
    <x v="2"/>
    <x v="54"/>
    <x v="97"/>
    <x v="2"/>
    <x v="2"/>
    <x v="0"/>
    <n v="9.0909090909090917"/>
    <n v="90.909090909090907"/>
    <x v="0"/>
  </r>
  <r>
    <x v="519"/>
    <x v="15"/>
    <n v="0.3"/>
    <n v="0.25369999999999998"/>
    <x v="2"/>
    <x v="100"/>
    <x v="99"/>
    <x v="2"/>
    <x v="1"/>
    <x v="0"/>
    <n v="10.204081632653059"/>
    <n v="89.795918367346943"/>
    <x v="0"/>
  </r>
  <r>
    <x v="520"/>
    <x v="15"/>
    <n v="0.3"/>
    <n v="0.28360000000000002"/>
    <x v="2"/>
    <x v="108"/>
    <x v="89"/>
    <x v="2"/>
    <x v="1"/>
    <x v="0"/>
    <n v="10"/>
    <n v="90"/>
    <x v="0"/>
  </r>
  <r>
    <x v="521"/>
    <x v="14"/>
    <n v="0.36"/>
    <n v="0.25369999999999998"/>
    <x v="17"/>
    <x v="17"/>
    <x v="17"/>
    <x v="2"/>
    <x v="1"/>
    <x v="0"/>
    <n v="11.428571428571431"/>
    <n v="88.571428571428569"/>
    <x v="0"/>
  </r>
  <r>
    <x v="522"/>
    <x v="14"/>
    <n v="0.36"/>
    <n v="0.19400000000000001"/>
    <x v="2"/>
    <x v="32"/>
    <x v="94"/>
    <x v="2"/>
    <x v="1"/>
    <x v="0"/>
    <n v="20"/>
    <n v="80"/>
    <x v="0"/>
  </r>
  <r>
    <x v="523"/>
    <x v="23"/>
    <n v="0.38"/>
    <n v="0.19400000000000001"/>
    <x v="2"/>
    <x v="140"/>
    <x v="20"/>
    <x v="2"/>
    <x v="1"/>
    <x v="0"/>
    <n v="17.857142857142861"/>
    <n v="82.142857142857139"/>
    <x v="0"/>
  </r>
  <r>
    <x v="524"/>
    <x v="21"/>
    <n v="0.41"/>
    <n v="0.22389999999999999"/>
    <x v="17"/>
    <x v="19"/>
    <x v="137"/>
    <x v="1"/>
    <x v="1"/>
    <x v="0"/>
    <n v="19.047619047619051"/>
    <n v="80.952380952380949"/>
    <x v="0"/>
  </r>
  <r>
    <x v="525"/>
    <x v="21"/>
    <n v="0.41"/>
    <n v="0.19400000000000001"/>
    <x v="3"/>
    <x v="7"/>
    <x v="85"/>
    <x v="1"/>
    <x v="1"/>
    <x v="0"/>
    <n v="0"/>
    <n v="100"/>
    <x v="0"/>
  </r>
  <r>
    <x v="526"/>
    <x v="26"/>
    <n v="0.45"/>
    <n v="0.19400000000000001"/>
    <x v="3"/>
    <x v="4"/>
    <x v="4"/>
    <x v="1"/>
    <x v="1"/>
    <x v="0"/>
    <n v="0"/>
    <n v="100"/>
    <x v="0"/>
  </r>
  <r>
    <x v="527"/>
    <x v="25"/>
    <n v="0.45"/>
    <n v="0.25369999999999998"/>
    <x v="3"/>
    <x v="4"/>
    <x v="4"/>
    <x v="1"/>
    <x v="1"/>
    <x v="0"/>
    <n v="0"/>
    <n v="100"/>
    <x v="0"/>
  </r>
  <r>
    <x v="528"/>
    <x v="21"/>
    <n v="0.48"/>
    <n v="0.1343"/>
    <x v="3"/>
    <x v="4"/>
    <x v="4"/>
    <x v="1"/>
    <x v="0"/>
    <x v="0"/>
    <n v="0"/>
    <n v="100"/>
    <x v="0"/>
  </r>
  <r>
    <x v="529"/>
    <x v="21"/>
    <n v="0.48"/>
    <n v="0.1343"/>
    <x v="3"/>
    <x v="34"/>
    <x v="36"/>
    <x v="1"/>
    <x v="0"/>
    <x v="0"/>
    <n v="0"/>
    <n v="100"/>
    <x v="0"/>
  </r>
  <r>
    <x v="530"/>
    <x v="22"/>
    <n v="0.48"/>
    <n v="8.9599999999999999E-2"/>
    <x v="3"/>
    <x v="89"/>
    <x v="93"/>
    <x v="1"/>
    <x v="0"/>
    <x v="0"/>
    <n v="0"/>
    <n v="100"/>
    <x v="0"/>
  </r>
  <r>
    <x v="531"/>
    <x v="15"/>
    <n v="0.48"/>
    <n v="0"/>
    <x v="2"/>
    <x v="55"/>
    <x v="11"/>
    <x v="1"/>
    <x v="0"/>
    <x v="0"/>
    <n v="5.9523809523809517"/>
    <n v="94.047619047619051"/>
    <x v="0"/>
  </r>
  <r>
    <x v="532"/>
    <x v="13"/>
    <n v="0.49"/>
    <n v="0"/>
    <x v="15"/>
    <x v="141"/>
    <x v="156"/>
    <x v="1"/>
    <x v="0"/>
    <x v="0"/>
    <n v="3.3898305084745761"/>
    <n v="96.610169491525426"/>
    <x v="1"/>
  </r>
  <r>
    <x v="533"/>
    <x v="19"/>
    <n v="0.41"/>
    <n v="0"/>
    <x v="17"/>
    <x v="52"/>
    <x v="96"/>
    <x v="1"/>
    <x v="0"/>
    <x v="0"/>
    <n v="3.9215686274509798"/>
    <n v="96.078431372549019"/>
    <x v="1"/>
  </r>
  <r>
    <x v="534"/>
    <x v="13"/>
    <n v="0.42"/>
    <n v="0"/>
    <x v="15"/>
    <x v="60"/>
    <x v="1"/>
    <x v="1"/>
    <x v="0"/>
    <x v="0"/>
    <n v="15"/>
    <n v="85"/>
    <x v="0"/>
  </r>
  <r>
    <x v="535"/>
    <x v="15"/>
    <n v="0.46"/>
    <n v="0.1343"/>
    <x v="0"/>
    <x v="30"/>
    <x v="66"/>
    <x v="1"/>
    <x v="0"/>
    <x v="0"/>
    <n v="6.5217391304347823"/>
    <n v="93.478260869565219"/>
    <x v="0"/>
  </r>
  <r>
    <x v="536"/>
    <x v="13"/>
    <n v="0.42"/>
    <n v="0.19400000000000001"/>
    <x v="16"/>
    <x v="15"/>
    <x v="55"/>
    <x v="1"/>
    <x v="1"/>
    <x v="0"/>
    <n v="17.460317460317459"/>
    <n v="82.539682539682531"/>
    <x v="0"/>
  </r>
  <r>
    <x v="537"/>
    <x v="13"/>
    <n v="0.43"/>
    <n v="0.22389999999999999"/>
    <x v="15"/>
    <x v="25"/>
    <x v="122"/>
    <x v="1"/>
    <x v="1"/>
    <x v="0"/>
    <n v="10"/>
    <n v="90"/>
    <x v="0"/>
  </r>
  <r>
    <x v="538"/>
    <x v="13"/>
    <n v="0.46"/>
    <n v="0.22389999999999999"/>
    <x v="4"/>
    <x v="30"/>
    <x v="79"/>
    <x v="1"/>
    <x v="1"/>
    <x v="0"/>
    <n v="4.4444444444444446"/>
    <n v="95.555555555555557"/>
    <x v="0"/>
  </r>
  <r>
    <x v="539"/>
    <x v="16"/>
    <n v="0.4"/>
    <n v="0.16420000000000001"/>
    <x v="18"/>
    <x v="54"/>
    <x v="52"/>
    <x v="1"/>
    <x v="1"/>
    <x v="0"/>
    <n v="12.28070175438596"/>
    <n v="87.719298245614027"/>
    <x v="0"/>
  </r>
  <r>
    <x v="540"/>
    <x v="19"/>
    <n v="0.47"/>
    <n v="0.25369999999999998"/>
    <x v="17"/>
    <x v="43"/>
    <x v="27"/>
    <x v="1"/>
    <x v="1"/>
    <x v="0"/>
    <n v="5.7142857142857144"/>
    <n v="94.285714285714278"/>
    <x v="0"/>
  </r>
  <r>
    <x v="541"/>
    <x v="15"/>
    <n v="0.5"/>
    <n v="0.25369999999999998"/>
    <x v="15"/>
    <x v="86"/>
    <x v="157"/>
    <x v="1"/>
    <x v="1"/>
    <x v="0"/>
    <n v="3.2608695652173911"/>
    <n v="96.739130434782609"/>
    <x v="1"/>
  </r>
  <r>
    <x v="542"/>
    <x v="13"/>
    <n v="0.59"/>
    <n v="0.19400000000000001"/>
    <x v="1"/>
    <x v="142"/>
    <x v="158"/>
    <x v="1"/>
    <x v="1"/>
    <x v="0"/>
    <n v="5.2287581699346406"/>
    <n v="94.77124183006535"/>
    <x v="1"/>
  </r>
  <r>
    <x v="543"/>
    <x v="19"/>
    <n v="0.54"/>
    <n v="0.16420000000000001"/>
    <x v="2"/>
    <x v="143"/>
    <x v="13"/>
    <x v="1"/>
    <x v="1"/>
    <x v="0"/>
    <n v="4.716981132075472"/>
    <n v="95.283018867924525"/>
    <x v="1"/>
  </r>
  <r>
    <x v="544"/>
    <x v="13"/>
    <n v="0.59"/>
    <n v="0.19400000000000001"/>
    <x v="5"/>
    <x v="122"/>
    <x v="117"/>
    <x v="1"/>
    <x v="1"/>
    <x v="0"/>
    <n v="1.2345679012345681"/>
    <n v="98.76543209876543"/>
    <x v="0"/>
  </r>
  <r>
    <x v="545"/>
    <x v="19"/>
    <n v="0.63"/>
    <n v="0.16420000000000001"/>
    <x v="15"/>
    <x v="42"/>
    <x v="29"/>
    <x v="1"/>
    <x v="1"/>
    <x v="0"/>
    <n v="10.16949152542373"/>
    <n v="89.830508474576277"/>
    <x v="0"/>
  </r>
  <r>
    <x v="546"/>
    <x v="13"/>
    <n v="0.63"/>
    <n v="0.22389999999999999"/>
    <x v="0"/>
    <x v="1"/>
    <x v="17"/>
    <x v="1"/>
    <x v="1"/>
    <x v="0"/>
    <n v="8.5714285714285712"/>
    <n v="91.428571428571431"/>
    <x v="0"/>
  </r>
  <r>
    <x v="547"/>
    <x v="19"/>
    <n v="0.64"/>
    <n v="0.25369999999999998"/>
    <x v="0"/>
    <x v="144"/>
    <x v="108"/>
    <x v="1"/>
    <x v="1"/>
    <x v="0"/>
    <n v="12.5"/>
    <n v="87.5"/>
    <x v="0"/>
  </r>
  <r>
    <x v="548"/>
    <x v="13"/>
    <n v="0.69"/>
    <n v="0.28360000000000002"/>
    <x v="0"/>
    <x v="8"/>
    <x v="23"/>
    <x v="1"/>
    <x v="1"/>
    <x v="0"/>
    <n v="33.333333333333329"/>
    <n v="66.666666666666657"/>
    <x v="0"/>
  </r>
  <r>
    <x v="549"/>
    <x v="16"/>
    <n v="0.69"/>
    <n v="0.16420000000000001"/>
    <x v="3"/>
    <x v="34"/>
    <x v="36"/>
    <x v="1"/>
    <x v="1"/>
    <x v="0"/>
    <n v="0"/>
    <n v="100"/>
    <x v="0"/>
  </r>
  <r>
    <x v="550"/>
    <x v="19"/>
    <n v="0.69"/>
    <n v="0.22389999999999999"/>
    <x v="3"/>
    <x v="6"/>
    <x v="5"/>
    <x v="1"/>
    <x v="1"/>
    <x v="0"/>
    <n v="0"/>
    <n v="100"/>
    <x v="0"/>
  </r>
  <r>
    <x v="551"/>
    <x v="16"/>
    <n v="0.74"/>
    <n v="0.1045"/>
    <x v="3"/>
    <x v="4"/>
    <x v="4"/>
    <x v="0"/>
    <x v="0"/>
    <x v="0"/>
    <n v="0"/>
    <n v="100"/>
    <x v="0"/>
  </r>
  <r>
    <x v="552"/>
    <x v="13"/>
    <n v="0.74"/>
    <n v="0.22389999999999999"/>
    <x v="3"/>
    <x v="33"/>
    <x v="23"/>
    <x v="0"/>
    <x v="1"/>
    <x v="0"/>
    <n v="0"/>
    <n v="100"/>
    <x v="0"/>
  </r>
  <r>
    <x v="553"/>
    <x v="17"/>
    <n v="0.74"/>
    <n v="0.1045"/>
    <x v="5"/>
    <x v="96"/>
    <x v="9"/>
    <x v="0"/>
    <x v="0"/>
    <x v="0"/>
    <n v="2.7777777777777781"/>
    <n v="97.222222222222214"/>
    <x v="0"/>
  </r>
  <r>
    <x v="554"/>
    <x v="19"/>
    <n v="0.74"/>
    <n v="0.22389999999999999"/>
    <x v="2"/>
    <x v="145"/>
    <x v="159"/>
    <x v="0"/>
    <x v="1"/>
    <x v="0"/>
    <n v="4.6296296296296298"/>
    <n v="95.370370370370367"/>
    <x v="1"/>
  </r>
  <r>
    <x v="555"/>
    <x v="17"/>
    <n v="0.74"/>
    <n v="0.1343"/>
    <x v="2"/>
    <x v="146"/>
    <x v="160"/>
    <x v="0"/>
    <x v="0"/>
    <x v="0"/>
    <n v="2.1008403361344539"/>
    <n v="97.899159663865547"/>
    <x v="1"/>
  </r>
  <r>
    <x v="556"/>
    <x v="10"/>
    <n v="0.64"/>
    <n v="8.9599999999999999E-2"/>
    <x v="22"/>
    <x v="120"/>
    <x v="124"/>
    <x v="1"/>
    <x v="0"/>
    <x v="0"/>
    <n v="6.9444444444444446"/>
    <n v="93.055555555555557"/>
    <x v="1"/>
  </r>
  <r>
    <x v="557"/>
    <x v="18"/>
    <n v="0.6"/>
    <n v="0.1045"/>
    <x v="15"/>
    <x v="47"/>
    <x v="97"/>
    <x v="1"/>
    <x v="0"/>
    <x v="0"/>
    <n v="10.90909090909091"/>
    <n v="89.090909090909093"/>
    <x v="0"/>
  </r>
  <r>
    <x v="558"/>
    <x v="18"/>
    <n v="0.6"/>
    <n v="0.1343"/>
    <x v="15"/>
    <x v="11"/>
    <x v="42"/>
    <x v="1"/>
    <x v="0"/>
    <x v="0"/>
    <n v="9.8360655737704921"/>
    <n v="90.163934426229503"/>
    <x v="0"/>
  </r>
  <r>
    <x v="559"/>
    <x v="0"/>
    <n v="0.56000000000000005"/>
    <n v="8.9599999999999999E-2"/>
    <x v="27"/>
    <x v="66"/>
    <x v="13"/>
    <x v="1"/>
    <x v="0"/>
    <x v="0"/>
    <n v="19.811320754716981"/>
    <n v="80.188679245283026"/>
    <x v="1"/>
  </r>
  <r>
    <x v="560"/>
    <x v="1"/>
    <n v="0.56000000000000005"/>
    <n v="0.1343"/>
    <x v="27"/>
    <x v="109"/>
    <x v="15"/>
    <x v="1"/>
    <x v="0"/>
    <x v="0"/>
    <n v="22.58064516129032"/>
    <n v="77.41935483870968"/>
    <x v="0"/>
  </r>
  <r>
    <x v="561"/>
    <x v="5"/>
    <n v="0.45"/>
    <n v="0"/>
    <x v="16"/>
    <x v="77"/>
    <x v="118"/>
    <x v="1"/>
    <x v="0"/>
    <x v="0"/>
    <n v="16.17647058823529"/>
    <n v="83.82352941176471"/>
    <x v="0"/>
  </r>
  <r>
    <x v="562"/>
    <x v="3"/>
    <n v="0.42"/>
    <n v="0"/>
    <x v="27"/>
    <x v="36"/>
    <x v="11"/>
    <x v="1"/>
    <x v="0"/>
    <x v="0"/>
    <n v="25"/>
    <n v="75"/>
    <x v="0"/>
  </r>
  <r>
    <x v="563"/>
    <x v="3"/>
    <n v="0.42"/>
    <n v="0"/>
    <x v="24"/>
    <x v="46"/>
    <x v="155"/>
    <x v="1"/>
    <x v="0"/>
    <x v="0"/>
    <n v="12.068965517241381"/>
    <n v="87.931034482758619"/>
    <x v="1"/>
  </r>
  <r>
    <x v="564"/>
    <x v="5"/>
    <n v="0.45"/>
    <n v="0"/>
    <x v="24"/>
    <x v="147"/>
    <x v="161"/>
    <x v="1"/>
    <x v="0"/>
    <x v="0"/>
    <n v="6.3063063063063058"/>
    <n v="93.693693693693689"/>
    <x v="1"/>
  </r>
  <r>
    <x v="565"/>
    <x v="20"/>
    <n v="0.49"/>
    <n v="8.9599999999999999E-2"/>
    <x v="18"/>
    <x v="148"/>
    <x v="162"/>
    <x v="1"/>
    <x v="0"/>
    <x v="0"/>
    <n v="3.1111111111111112"/>
    <n v="96.888888888888886"/>
    <x v="1"/>
  </r>
  <r>
    <x v="566"/>
    <x v="2"/>
    <n v="0.65"/>
    <n v="0.16420000000000001"/>
    <x v="23"/>
    <x v="149"/>
    <x v="163"/>
    <x v="1"/>
    <x v="1"/>
    <x v="0"/>
    <n v="8.9041095890410951"/>
    <n v="91.095890410958901"/>
    <x v="1"/>
  </r>
  <r>
    <x v="567"/>
    <x v="10"/>
    <n v="0.65"/>
    <n v="0.19400000000000001"/>
    <x v="19"/>
    <x v="145"/>
    <x v="164"/>
    <x v="1"/>
    <x v="1"/>
    <x v="0"/>
    <n v="13.445378151260501"/>
    <n v="86.554621848739501"/>
    <x v="1"/>
  </r>
  <r>
    <x v="568"/>
    <x v="10"/>
    <n v="0.65"/>
    <n v="0.19400000000000001"/>
    <x v="2"/>
    <x v="71"/>
    <x v="79"/>
    <x v="1"/>
    <x v="1"/>
    <x v="0"/>
    <n v="11.111111111111111"/>
    <n v="88.888888888888886"/>
    <x v="0"/>
  </r>
  <r>
    <x v="569"/>
    <x v="10"/>
    <n v="0.64"/>
    <n v="0.16420000000000001"/>
    <x v="17"/>
    <x v="47"/>
    <x v="26"/>
    <x v="1"/>
    <x v="1"/>
    <x v="0"/>
    <n v="7.5471698113207548"/>
    <n v="92.452830188679243"/>
    <x v="0"/>
  </r>
  <r>
    <x v="570"/>
    <x v="10"/>
    <n v="0.64"/>
    <n v="0.16420000000000001"/>
    <x v="0"/>
    <x v="53"/>
    <x v="1"/>
    <x v="1"/>
    <x v="1"/>
    <x v="0"/>
    <n v="7.5"/>
    <n v="92.5"/>
    <x v="0"/>
  </r>
  <r>
    <x v="571"/>
    <x v="10"/>
    <n v="0.69"/>
    <n v="0.1343"/>
    <x v="0"/>
    <x v="88"/>
    <x v="22"/>
    <x v="1"/>
    <x v="0"/>
    <x v="0"/>
    <n v="17.647058823529409"/>
    <n v="82.35294117647058"/>
    <x v="0"/>
  </r>
  <r>
    <x v="572"/>
    <x v="18"/>
    <n v="0.65"/>
    <n v="0.1343"/>
    <x v="3"/>
    <x v="34"/>
    <x v="36"/>
    <x v="1"/>
    <x v="0"/>
    <x v="0"/>
    <n v="0"/>
    <n v="100"/>
    <x v="0"/>
  </r>
  <r>
    <x v="573"/>
    <x v="10"/>
    <n v="0.69"/>
    <n v="0.19400000000000001"/>
    <x v="0"/>
    <x v="7"/>
    <x v="98"/>
    <x v="1"/>
    <x v="1"/>
    <x v="0"/>
    <n v="30"/>
    <n v="70"/>
    <x v="0"/>
  </r>
  <r>
    <x v="574"/>
    <x v="17"/>
    <n v="0.86"/>
    <n v="0.28360000000000002"/>
    <x v="3"/>
    <x v="4"/>
    <x v="4"/>
    <x v="0"/>
    <x v="1"/>
    <x v="0"/>
    <n v="0"/>
    <n v="100"/>
    <x v="0"/>
  </r>
  <r>
    <x v="575"/>
    <x v="17"/>
    <n v="0.86"/>
    <n v="0.28360000000000002"/>
    <x v="3"/>
    <x v="21"/>
    <x v="7"/>
    <x v="0"/>
    <x v="1"/>
    <x v="0"/>
    <n v="0"/>
    <n v="100"/>
    <x v="0"/>
  </r>
  <r>
    <x v="576"/>
    <x v="11"/>
    <n v="0.87"/>
    <n v="0.29849999999999999"/>
    <x v="5"/>
    <x v="31"/>
    <x v="33"/>
    <x v="0"/>
    <x v="1"/>
    <x v="0"/>
    <n v="3.333333333333333"/>
    <n v="96.666666666666671"/>
    <x v="0"/>
  </r>
  <r>
    <x v="577"/>
    <x v="11"/>
    <n v="0.87"/>
    <n v="0.29849999999999999"/>
    <x v="0"/>
    <x v="94"/>
    <x v="44"/>
    <x v="0"/>
    <x v="1"/>
    <x v="0"/>
    <n v="4.1666666666666661"/>
    <n v="95.833333333333343"/>
    <x v="0"/>
  </r>
  <r>
    <x v="578"/>
    <x v="11"/>
    <n v="0.87"/>
    <n v="0.29849999999999999"/>
    <x v="0"/>
    <x v="11"/>
    <x v="154"/>
    <x v="0"/>
    <x v="1"/>
    <x v="0"/>
    <n v="5.1724137931034484"/>
    <n v="94.827586206896555"/>
    <x v="0"/>
  </r>
  <r>
    <x v="579"/>
    <x v="11"/>
    <n v="0.93"/>
    <n v="0.28360000000000002"/>
    <x v="4"/>
    <x v="16"/>
    <x v="20"/>
    <x v="0"/>
    <x v="1"/>
    <x v="0"/>
    <n v="7.1428571428571423"/>
    <n v="92.857142857142861"/>
    <x v="0"/>
  </r>
  <r>
    <x v="580"/>
    <x v="12"/>
    <n v="0.93"/>
    <n v="0.32840000000000003"/>
    <x v="15"/>
    <x v="96"/>
    <x v="102"/>
    <x v="0"/>
    <x v="2"/>
    <x v="0"/>
    <n v="14.63414634146341"/>
    <n v="85.365853658536579"/>
    <x v="0"/>
  </r>
  <r>
    <x v="581"/>
    <x v="12"/>
    <n v="0.93"/>
    <n v="0.32840000000000003"/>
    <x v="18"/>
    <x v="40"/>
    <x v="61"/>
    <x v="0"/>
    <x v="2"/>
    <x v="0"/>
    <n v="14.58333333333333"/>
    <n v="85.416666666666657"/>
    <x v="0"/>
  </r>
  <r>
    <x v="582"/>
    <x v="12"/>
    <n v="0.93"/>
    <n v="0.32840000000000003"/>
    <x v="17"/>
    <x v="30"/>
    <x v="105"/>
    <x v="0"/>
    <x v="2"/>
    <x v="0"/>
    <n v="8.5106382978723403"/>
    <n v="91.489361702127653"/>
    <x v="0"/>
  </r>
  <r>
    <x v="583"/>
    <x v="12"/>
    <n v="0.93"/>
    <n v="0.35820000000000002"/>
    <x v="3"/>
    <x v="49"/>
    <x v="9"/>
    <x v="0"/>
    <x v="2"/>
    <x v="0"/>
    <n v="0"/>
    <n v="100"/>
    <x v="0"/>
  </r>
  <r>
    <x v="584"/>
    <x v="17"/>
    <n v="0.93"/>
    <n v="0.4627"/>
    <x v="5"/>
    <x v="76"/>
    <x v="74"/>
    <x v="0"/>
    <x v="2"/>
    <x v="0"/>
    <n v="2.3255813953488369"/>
    <n v="97.674418604651152"/>
    <x v="0"/>
  </r>
  <r>
    <x v="585"/>
    <x v="12"/>
    <n v="0.93"/>
    <n v="0.32840000000000003"/>
    <x v="5"/>
    <x v="96"/>
    <x v="9"/>
    <x v="0"/>
    <x v="2"/>
    <x v="0"/>
    <n v="2.7777777777777781"/>
    <n v="97.222222222222214"/>
    <x v="0"/>
  </r>
  <r>
    <x v="586"/>
    <x v="17"/>
    <n v="0.93"/>
    <n v="0.35820000000000002"/>
    <x v="3"/>
    <x v="16"/>
    <x v="132"/>
    <x v="0"/>
    <x v="2"/>
    <x v="0"/>
    <n v="0"/>
    <n v="100"/>
    <x v="0"/>
  </r>
  <r>
    <x v="587"/>
    <x v="10"/>
    <n v="0.55000000000000004"/>
    <n v="0.19400000000000001"/>
    <x v="5"/>
    <x v="140"/>
    <x v="108"/>
    <x v="1"/>
    <x v="1"/>
    <x v="0"/>
    <n v="4.1666666666666661"/>
    <n v="95.833333333333343"/>
    <x v="0"/>
  </r>
  <r>
    <x v="588"/>
    <x v="18"/>
    <n v="0.55000000000000004"/>
    <n v="0.1045"/>
    <x v="4"/>
    <x v="70"/>
    <x v="11"/>
    <x v="1"/>
    <x v="0"/>
    <x v="0"/>
    <n v="2.3809523809523809"/>
    <n v="97.61904761904762"/>
    <x v="0"/>
  </r>
  <r>
    <x v="589"/>
    <x v="10"/>
    <n v="0.69"/>
    <n v="8.9599999999999999E-2"/>
    <x v="0"/>
    <x v="143"/>
    <x v="133"/>
    <x v="1"/>
    <x v="0"/>
    <x v="0"/>
    <n v="2.884615384615385"/>
    <n v="97.115384615384613"/>
    <x v="1"/>
  </r>
  <r>
    <x v="590"/>
    <x v="10"/>
    <n v="0.69"/>
    <n v="8.9599999999999999E-2"/>
    <x v="0"/>
    <x v="83"/>
    <x v="67"/>
    <x v="1"/>
    <x v="0"/>
    <x v="0"/>
    <n v="3.79746835443038"/>
    <n v="96.202531645569621"/>
    <x v="0"/>
  </r>
  <r>
    <x v="591"/>
    <x v="11"/>
    <n v="0.74"/>
    <n v="8.9599999999999999E-2"/>
    <x v="17"/>
    <x v="11"/>
    <x v="29"/>
    <x v="0"/>
    <x v="0"/>
    <x v="0"/>
    <n v="6.7796610169491522"/>
    <n v="93.220338983050837"/>
    <x v="0"/>
  </r>
  <r>
    <x v="592"/>
    <x v="11"/>
    <n v="0.74"/>
    <n v="8.9599999999999999E-2"/>
    <x v="4"/>
    <x v="49"/>
    <x v="103"/>
    <x v="0"/>
    <x v="0"/>
    <x v="0"/>
    <n v="5.2631578947368416"/>
    <n v="94.73684210526315"/>
    <x v="0"/>
  </r>
  <r>
    <x v="593"/>
    <x v="11"/>
    <n v="0.74"/>
    <n v="8.9599999999999999E-2"/>
    <x v="3"/>
    <x v="2"/>
    <x v="110"/>
    <x v="0"/>
    <x v="0"/>
    <x v="0"/>
    <n v="0"/>
    <n v="100"/>
    <x v="0"/>
  </r>
  <r>
    <x v="594"/>
    <x v="12"/>
    <n v="0.8"/>
    <n v="0.16420000000000001"/>
    <x v="3"/>
    <x v="20"/>
    <x v="0"/>
    <x v="0"/>
    <x v="1"/>
    <x v="0"/>
    <n v="0"/>
    <n v="100"/>
    <x v="0"/>
  </r>
  <r>
    <x v="595"/>
    <x v="11"/>
    <n v="0.75"/>
    <n v="0.1343"/>
    <x v="3"/>
    <x v="33"/>
    <x v="23"/>
    <x v="0"/>
    <x v="0"/>
    <x v="0"/>
    <n v="0"/>
    <n v="100"/>
    <x v="0"/>
  </r>
  <r>
    <x v="596"/>
    <x v="11"/>
    <n v="0.75"/>
    <n v="0.1343"/>
    <x v="5"/>
    <x v="6"/>
    <x v="6"/>
    <x v="0"/>
    <x v="0"/>
    <x v="0"/>
    <n v="33.333333333333329"/>
    <n v="66.666666666666657"/>
    <x v="0"/>
  </r>
  <r>
    <x v="597"/>
    <x v="11"/>
    <n v="0.75"/>
    <n v="0.16420000000000001"/>
    <x v="3"/>
    <x v="6"/>
    <x v="5"/>
    <x v="0"/>
    <x v="1"/>
    <x v="0"/>
    <n v="0"/>
    <n v="100"/>
    <x v="0"/>
  </r>
  <r>
    <x v="598"/>
    <x v="10"/>
    <n v="0.75"/>
    <n v="0.1045"/>
    <x v="5"/>
    <x v="5"/>
    <x v="4"/>
    <x v="0"/>
    <x v="0"/>
    <x v="1"/>
    <n v="100"/>
    <n v="0"/>
    <x v="0"/>
  </r>
  <r>
    <x v="599"/>
    <x v="11"/>
    <n v="0.8"/>
    <n v="0.1045"/>
    <x v="3"/>
    <x v="22"/>
    <x v="48"/>
    <x v="0"/>
    <x v="0"/>
    <x v="0"/>
    <n v="0"/>
    <n v="100"/>
    <x v="0"/>
  </r>
  <r>
    <x v="600"/>
    <x v="12"/>
    <n v="0.8"/>
    <n v="0.1343"/>
    <x v="3"/>
    <x v="20"/>
    <x v="0"/>
    <x v="0"/>
    <x v="0"/>
    <x v="0"/>
    <n v="0"/>
    <n v="100"/>
    <x v="0"/>
  </r>
  <r>
    <x v="601"/>
    <x v="12"/>
    <n v="0.86"/>
    <n v="8.9599999999999999E-2"/>
    <x v="4"/>
    <x v="29"/>
    <x v="122"/>
    <x v="0"/>
    <x v="0"/>
    <x v="0"/>
    <n v="3.333333333333333"/>
    <n v="96.666666666666671"/>
    <x v="0"/>
  </r>
  <r>
    <x v="602"/>
    <x v="12"/>
    <n v="0.86"/>
    <n v="8.9599999999999999E-2"/>
    <x v="4"/>
    <x v="119"/>
    <x v="45"/>
    <x v="0"/>
    <x v="0"/>
    <x v="0"/>
    <n v="1.2738853503184711"/>
    <n v="98.726114649681534"/>
    <x v="1"/>
  </r>
  <r>
    <x v="603"/>
    <x v="11"/>
    <n v="0.86"/>
    <n v="8.9599999999999999E-2"/>
    <x v="15"/>
    <x v="73"/>
    <x v="129"/>
    <x v="0"/>
    <x v="0"/>
    <x v="0"/>
    <n v="5.9405940594059414"/>
    <n v="94.059405940594047"/>
    <x v="1"/>
  </r>
  <r>
    <x v="604"/>
    <x v="11"/>
    <n v="0.86"/>
    <n v="0.1045"/>
    <x v="3"/>
    <x v="47"/>
    <x v="99"/>
    <x v="0"/>
    <x v="0"/>
    <x v="0"/>
    <n v="0"/>
    <n v="100"/>
    <x v="0"/>
  </r>
  <r>
    <x v="605"/>
    <x v="11"/>
    <n v="0.93"/>
    <n v="0.1045"/>
    <x v="3"/>
    <x v="10"/>
    <x v="33"/>
    <x v="0"/>
    <x v="0"/>
    <x v="0"/>
    <n v="0"/>
    <n v="100"/>
    <x v="0"/>
  </r>
  <r>
    <x v="606"/>
    <x v="11"/>
    <n v="0.93"/>
    <n v="0.1045"/>
    <x v="5"/>
    <x v="95"/>
    <x v="115"/>
    <x v="0"/>
    <x v="0"/>
    <x v="0"/>
    <n v="3.4482758620689649"/>
    <n v="96.551724137931032"/>
    <x v="0"/>
  </r>
  <r>
    <x v="607"/>
    <x v="11"/>
    <n v="0.93"/>
    <n v="0.1045"/>
    <x v="3"/>
    <x v="17"/>
    <x v="35"/>
    <x v="0"/>
    <x v="0"/>
    <x v="0"/>
    <n v="0"/>
    <n v="100"/>
    <x v="0"/>
  </r>
  <r>
    <x v="608"/>
    <x v="1"/>
    <n v="0.8"/>
    <n v="0"/>
    <x v="4"/>
    <x v="49"/>
    <x v="103"/>
    <x v="0"/>
    <x v="0"/>
    <x v="0"/>
    <n v="5.2631578947368416"/>
    <n v="94.73684210526315"/>
    <x v="0"/>
  </r>
  <r>
    <x v="609"/>
    <x v="2"/>
    <n v="0.86"/>
    <n v="0"/>
    <x v="5"/>
    <x v="71"/>
    <x v="102"/>
    <x v="0"/>
    <x v="0"/>
    <x v="0"/>
    <n v="2.4390243902439019"/>
    <n v="97.560975609756099"/>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3D80C8-26E4-4BD7-A00A-0FC97A219E5C}" name="PivotTable4"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G39:J42" firstHeaderRow="0" firstDataRow="1" firstDataCol="1"/>
  <pivotFields count="13">
    <pivotField numFmtId="1" showAll="0"/>
    <pivotField numFmtId="164" showAll="0">
      <items count="30">
        <item x="27"/>
        <item x="28"/>
        <item x="25"/>
        <item x="26"/>
        <item x="21"/>
        <item x="22"/>
        <item x="23"/>
        <item x="14"/>
        <item x="15"/>
        <item x="13"/>
        <item x="19"/>
        <item x="16"/>
        <item x="17"/>
        <item x="12"/>
        <item x="11"/>
        <item x="10"/>
        <item x="18"/>
        <item x="2"/>
        <item x="1"/>
        <item x="0"/>
        <item x="24"/>
        <item x="20"/>
        <item x="5"/>
        <item x="3"/>
        <item x="4"/>
        <item x="9"/>
        <item x="6"/>
        <item x="8"/>
        <item x="7"/>
        <item t="default"/>
      </items>
    </pivotField>
    <pivotField numFmtId="2" showAll="0"/>
    <pivotField numFmtId="2" showAll="0"/>
    <pivotField dataField="1" numFmtId="1" showAll="0">
      <items count="33">
        <item x="3"/>
        <item x="5"/>
        <item x="4"/>
        <item x="0"/>
        <item x="17"/>
        <item x="2"/>
        <item x="15"/>
        <item x="18"/>
        <item x="1"/>
        <item x="14"/>
        <item x="22"/>
        <item x="16"/>
        <item x="6"/>
        <item x="23"/>
        <item x="24"/>
        <item x="13"/>
        <item x="19"/>
        <item x="26"/>
        <item x="25"/>
        <item x="21"/>
        <item x="20"/>
        <item x="27"/>
        <item x="30"/>
        <item x="29"/>
        <item x="31"/>
        <item x="7"/>
        <item x="8"/>
        <item x="28"/>
        <item x="10"/>
        <item x="11"/>
        <item x="12"/>
        <item x="9"/>
        <item t="default"/>
      </items>
    </pivotField>
    <pivotField dataField="1" numFmtId="1" showAll="0">
      <items count="151">
        <item x="5"/>
        <item x="4"/>
        <item x="6"/>
        <item x="35"/>
        <item x="22"/>
        <item x="34"/>
        <item x="8"/>
        <item x="7"/>
        <item x="21"/>
        <item x="33"/>
        <item x="3"/>
        <item x="48"/>
        <item x="98"/>
        <item x="0"/>
        <item x="88"/>
        <item x="89"/>
        <item x="20"/>
        <item x="19"/>
        <item x="72"/>
        <item x="23"/>
        <item x="32"/>
        <item x="144"/>
        <item x="97"/>
        <item x="140"/>
        <item x="9"/>
        <item x="18"/>
        <item x="16"/>
        <item x="2"/>
        <item x="95"/>
        <item x="31"/>
        <item x="10"/>
        <item x="17"/>
        <item x="1"/>
        <item x="39"/>
        <item x="60"/>
        <item x="96"/>
        <item x="49"/>
        <item x="53"/>
        <item x="101"/>
        <item x="87"/>
        <item x="71"/>
        <item x="40"/>
        <item x="76"/>
        <item x="30"/>
        <item x="100"/>
        <item x="108"/>
        <item x="24"/>
        <item x="12"/>
        <item x="41"/>
        <item x="47"/>
        <item x="54"/>
        <item x="82"/>
        <item x="15"/>
        <item x="42"/>
        <item x="25"/>
        <item x="11"/>
        <item x="90"/>
        <item x="77"/>
        <item x="29"/>
        <item x="79"/>
        <item x="91"/>
        <item x="124"/>
        <item x="133"/>
        <item x="36"/>
        <item x="27"/>
        <item x="65"/>
        <item x="43"/>
        <item x="28"/>
        <item x="56"/>
        <item x="94"/>
        <item x="14"/>
        <item x="13"/>
        <item x="109"/>
        <item x="26"/>
        <item x="64"/>
        <item x="102"/>
        <item x="83"/>
        <item x="99"/>
        <item x="78"/>
        <item x="55"/>
        <item x="122"/>
        <item x="38"/>
        <item x="70"/>
        <item x="93"/>
        <item x="66"/>
        <item x="132"/>
        <item x="61"/>
        <item x="121"/>
        <item x="92"/>
        <item x="50"/>
        <item x="139"/>
        <item x="111"/>
        <item x="73"/>
        <item x="106"/>
        <item x="52"/>
        <item x="129"/>
        <item x="143"/>
        <item x="46"/>
        <item x="145"/>
        <item x="128"/>
        <item x="123"/>
        <item x="63"/>
        <item x="59"/>
        <item x="75"/>
        <item x="118"/>
        <item x="138"/>
        <item x="125"/>
        <item x="85"/>
        <item x="69"/>
        <item x="110"/>
        <item x="126"/>
        <item x="149"/>
        <item x="120"/>
        <item x="113"/>
        <item x="115"/>
        <item x="112"/>
        <item x="131"/>
        <item x="116"/>
        <item x="142"/>
        <item x="44"/>
        <item x="45"/>
        <item x="137"/>
        <item x="37"/>
        <item x="105"/>
        <item x="119"/>
        <item x="117"/>
        <item x="81"/>
        <item x="136"/>
        <item x="80"/>
        <item x="68"/>
        <item x="141"/>
        <item x="104"/>
        <item x="51"/>
        <item x="86"/>
        <item x="58"/>
        <item x="103"/>
        <item x="67"/>
        <item x="84"/>
        <item x="62"/>
        <item x="127"/>
        <item x="114"/>
        <item x="57"/>
        <item x="134"/>
        <item x="147"/>
        <item x="135"/>
        <item x="107"/>
        <item x="74"/>
        <item x="148"/>
        <item x="146"/>
        <item x="130"/>
        <item t="default"/>
      </items>
    </pivotField>
    <pivotField dataField="1" numFmtId="1" showAll="0" defaultSubtotal="0">
      <items count="165">
        <item x="4"/>
        <item x="5"/>
        <item x="6"/>
        <item x="48"/>
        <item x="36"/>
        <item x="24"/>
        <item x="85"/>
        <item x="7"/>
        <item x="23"/>
        <item x="98"/>
        <item x="62"/>
        <item x="47"/>
        <item x="3"/>
        <item x="8"/>
        <item x="93"/>
        <item x="0"/>
        <item x="22"/>
        <item x="109"/>
        <item x="75"/>
        <item x="25"/>
        <item x="137"/>
        <item x="34"/>
        <item x="84"/>
        <item x="108"/>
        <item x="94"/>
        <item x="132"/>
        <item x="110"/>
        <item x="20"/>
        <item x="115"/>
        <item x="33"/>
        <item x="35"/>
        <item x="2"/>
        <item x="63"/>
        <item x="19"/>
        <item x="17"/>
        <item x="9"/>
        <item x="18"/>
        <item x="103"/>
        <item x="21"/>
        <item x="1"/>
        <item x="102"/>
        <item x="51"/>
        <item x="74"/>
        <item x="40"/>
        <item x="79"/>
        <item x="66"/>
        <item x="105"/>
        <item x="61"/>
        <item x="99"/>
        <item x="89"/>
        <item x="41"/>
        <item x="46"/>
        <item x="26"/>
        <item x="60"/>
        <item x="97"/>
        <item x="10"/>
        <item x="52"/>
        <item x="154"/>
        <item x="29"/>
        <item x="122"/>
        <item x="42"/>
        <item x="69"/>
        <item x="55"/>
        <item x="37"/>
        <item x="32"/>
        <item x="16"/>
        <item x="118"/>
        <item x="83"/>
        <item x="27"/>
        <item x="68"/>
        <item x="44"/>
        <item x="88"/>
        <item x="30"/>
        <item x="28"/>
        <item x="31"/>
        <item x="43"/>
        <item x="53"/>
        <item x="67"/>
        <item x="138"/>
        <item x="117"/>
        <item x="100"/>
        <item x="56"/>
        <item x="11"/>
        <item x="80"/>
        <item x="90"/>
        <item x="39"/>
        <item x="70"/>
        <item x="127"/>
        <item x="134"/>
        <item x="101"/>
        <item x="15"/>
        <item x="12"/>
        <item x="76"/>
        <item x="152"/>
        <item x="54"/>
        <item x="95"/>
        <item x="111"/>
        <item x="50"/>
        <item x="129"/>
        <item x="96"/>
        <item x="153"/>
        <item x="133"/>
        <item x="136"/>
        <item x="13"/>
        <item x="159"/>
        <item x="142"/>
        <item x="14"/>
        <item x="59"/>
        <item x="135"/>
        <item x="65"/>
        <item x="155"/>
        <item x="126"/>
        <item x="130"/>
        <item x="164"/>
        <item x="151"/>
        <item x="78"/>
        <item x="92"/>
        <item x="139"/>
        <item x="149"/>
        <item x="116"/>
        <item x="131"/>
        <item x="113"/>
        <item x="73"/>
        <item x="140"/>
        <item x="87"/>
        <item x="114"/>
        <item x="120"/>
        <item x="119"/>
        <item x="145"/>
        <item x="124"/>
        <item x="163"/>
        <item x="148"/>
        <item x="158"/>
        <item x="38"/>
        <item x="107"/>
        <item x="45"/>
        <item x="125"/>
        <item x="128"/>
        <item x="143"/>
        <item x="123"/>
        <item x="82"/>
        <item x="150"/>
        <item x="72"/>
        <item x="81"/>
        <item x="156"/>
        <item x="106"/>
        <item x="49"/>
        <item x="58"/>
        <item x="157"/>
        <item x="147"/>
        <item x="91"/>
        <item x="104"/>
        <item x="71"/>
        <item x="64"/>
        <item x="141"/>
        <item x="121"/>
        <item x="86"/>
        <item x="57"/>
        <item x="146"/>
        <item x="112"/>
        <item x="77"/>
        <item x="161"/>
        <item x="162"/>
        <item x="160"/>
        <item x="144"/>
      </items>
    </pivotField>
    <pivotField showAll="0"/>
    <pivotField showAll="0"/>
    <pivotField showAll="0">
      <items count="3">
        <item x="1"/>
        <item x="0"/>
        <item t="default"/>
      </items>
    </pivotField>
    <pivotField numFmtId="2" showAll="0"/>
    <pivotField numFmtId="2" showAll="0"/>
    <pivotField axis="axisRow" showAll="0">
      <items count="3">
        <item x="0"/>
        <item x="1"/>
        <item t="default"/>
      </items>
    </pivotField>
  </pivotFields>
  <rowFields count="1">
    <field x="12"/>
  </rowFields>
  <rowItems count="3">
    <i>
      <x/>
    </i>
    <i>
      <x v="1"/>
    </i>
    <i t="grand">
      <x/>
    </i>
  </rowItems>
  <colFields count="1">
    <field x="-2"/>
  </colFields>
  <colItems count="3">
    <i>
      <x/>
    </i>
    <i i="1">
      <x v="1"/>
    </i>
    <i i="2">
      <x v="2"/>
    </i>
  </colItems>
  <dataFields count="3">
    <dataField name="Sum of Total_customers" fld="6" baseField="0" baseItem="0" numFmtId="1"/>
    <dataField name="Sum of registered_customer" fld="5" baseField="0" baseItem="0" numFmtId="1"/>
    <dataField name="Sum of casual_customer" fld="4" baseField="0" baseItem="0" numFmtId="1"/>
  </dataFields>
  <formats count="6">
    <format dxfId="21">
      <pivotArea type="all" dataOnly="0" outline="0" fieldPosition="0"/>
    </format>
    <format dxfId="20">
      <pivotArea outline="0" collapsedLevelsAreSubtotals="1" fieldPosition="0"/>
    </format>
    <format dxfId="19">
      <pivotArea field="12" type="button" dataOnly="0" labelOnly="1" outline="0" axis="axisRow" fieldPosition="0"/>
    </format>
    <format dxfId="18">
      <pivotArea dataOnly="0" labelOnly="1" fieldPosition="0">
        <references count="1">
          <reference field="12" count="0"/>
        </references>
      </pivotArea>
    </format>
    <format dxfId="17">
      <pivotArea dataOnly="0" labelOnly="1" grandRow="1" outline="0" fieldPosition="0"/>
    </format>
    <format dxfId="16">
      <pivotArea dataOnly="0" labelOnly="1" outline="0" fieldPosition="0">
        <references count="1">
          <reference field="4294967294" count="3">
            <x v="0"/>
            <x v="1"/>
            <x v="2"/>
          </reference>
        </references>
      </pivotArea>
    </format>
  </formats>
  <chartFormats count="3">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13"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77B11B-B0E2-4C82-9CF6-9E94AEB4385F}" name="PivotTable3"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39:E43" firstHeaderRow="1" firstDataRow="1" firstDataCol="1"/>
  <pivotFields count="13">
    <pivotField numFmtId="1" showAll="0"/>
    <pivotField numFmtId="164" showAll="0">
      <items count="30">
        <item x="27"/>
        <item x="28"/>
        <item x="25"/>
        <item x="26"/>
        <item x="21"/>
        <item x="22"/>
        <item x="23"/>
        <item x="14"/>
        <item x="15"/>
        <item x="13"/>
        <item x="19"/>
        <item x="16"/>
        <item x="17"/>
        <item x="12"/>
        <item x="11"/>
        <item x="10"/>
        <item x="18"/>
        <item x="2"/>
        <item x="1"/>
        <item x="0"/>
        <item x="24"/>
        <item x="20"/>
        <item x="5"/>
        <item x="3"/>
        <item x="4"/>
        <item x="9"/>
        <item x="6"/>
        <item x="8"/>
        <item x="7"/>
        <item t="default"/>
      </items>
    </pivotField>
    <pivotField numFmtId="2" showAll="0"/>
    <pivotField numFmtId="2" showAll="0"/>
    <pivotField numFmtId="1" showAll="0"/>
    <pivotField numFmtId="1" showAll="0"/>
    <pivotField dataField="1" numFmtId="1" showAll="0"/>
    <pivotField axis="axisRow" showAll="0">
      <items count="4">
        <item x="0"/>
        <item x="2"/>
        <item x="1"/>
        <item t="default"/>
      </items>
    </pivotField>
    <pivotField showAll="0"/>
    <pivotField showAll="0"/>
    <pivotField numFmtId="2" showAll="0"/>
    <pivotField numFmtId="2" showAll="0"/>
    <pivotField showAll="0"/>
  </pivotFields>
  <rowFields count="1">
    <field x="7"/>
  </rowFields>
  <rowItems count="4">
    <i>
      <x/>
    </i>
    <i>
      <x v="1"/>
    </i>
    <i>
      <x v="2"/>
    </i>
    <i t="grand">
      <x/>
    </i>
  </rowItems>
  <colItems count="1">
    <i/>
  </colItems>
  <dataFields count="1">
    <dataField name="Sum of Total_customers" fld="6" baseField="0" baseItem="0" numFmtId="1"/>
  </dataFields>
  <formats count="6">
    <format dxfId="15">
      <pivotArea type="all" dataOnly="0" outline="0" fieldPosition="0"/>
    </format>
    <format dxfId="14">
      <pivotArea outline="0" collapsedLevelsAreSubtotals="1" fieldPosition="0"/>
    </format>
    <format dxfId="13">
      <pivotArea field="7" type="button" dataOnly="0" labelOnly="1" outline="0" axis="axisRow" fieldPosition="0"/>
    </format>
    <format dxfId="12">
      <pivotArea dataOnly="0" labelOnly="1" fieldPosition="0">
        <references count="1">
          <reference field="7" count="0"/>
        </references>
      </pivotArea>
    </format>
    <format dxfId="11">
      <pivotArea dataOnly="0" labelOnly="1" grandRow="1" outline="0" fieldPosition="0"/>
    </format>
    <format dxfId="10">
      <pivotArea dataOnly="0" labelOnly="1" outline="0" axis="axisValues"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9199AFF-DAC0-487D-8C01-1490510249B4}" name="PivotTable1"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Wind Level">
  <location ref="A39:B43" firstHeaderRow="1" firstDataRow="1" firstDataCol="1"/>
  <pivotFields count="13">
    <pivotField numFmtId="1" showAll="0"/>
    <pivotField numFmtId="164" showAll="0">
      <items count="30">
        <item x="27"/>
        <item x="28"/>
        <item x="25"/>
        <item x="26"/>
        <item x="21"/>
        <item x="22"/>
        <item x="23"/>
        <item x="14"/>
        <item x="15"/>
        <item x="13"/>
        <item x="19"/>
        <item x="16"/>
        <item x="17"/>
        <item x="12"/>
        <item x="11"/>
        <item x="10"/>
        <item x="18"/>
        <item x="2"/>
        <item x="1"/>
        <item x="0"/>
        <item x="24"/>
        <item x="20"/>
        <item x="5"/>
        <item x="3"/>
        <item x="4"/>
        <item x="9"/>
        <item x="6"/>
        <item x="8"/>
        <item x="7"/>
        <item t="default"/>
      </items>
    </pivotField>
    <pivotField numFmtId="2" showAll="0"/>
    <pivotField numFmtId="2" showAll="0"/>
    <pivotField numFmtId="1" showAll="0"/>
    <pivotField numFmtId="1" showAll="0"/>
    <pivotField dataField="1" numFmtId="1" showAll="0"/>
    <pivotField showAll="0"/>
    <pivotField axis="axisRow" showAll="0">
      <items count="4">
        <item x="0"/>
        <item x="1"/>
        <item x="2"/>
        <item t="default"/>
      </items>
    </pivotField>
    <pivotField showAll="0"/>
    <pivotField numFmtId="2" showAll="0"/>
    <pivotField numFmtId="2" showAll="0"/>
    <pivotField showAll="0"/>
  </pivotFields>
  <rowFields count="1">
    <field x="8"/>
  </rowFields>
  <rowItems count="4">
    <i>
      <x/>
    </i>
    <i>
      <x v="1"/>
    </i>
    <i>
      <x v="2"/>
    </i>
    <i t="grand">
      <x/>
    </i>
  </rowItems>
  <colItems count="1">
    <i/>
  </colItems>
  <dataFields count="1">
    <dataField name="Sum of Total_customers" fld="6" baseField="0" baseItem="0" numFmtId="1"/>
  </dataFields>
  <formats count="6">
    <format dxfId="9">
      <pivotArea type="all" dataOnly="0" outline="0" fieldPosition="0"/>
    </format>
    <format dxfId="8">
      <pivotArea outline="0" collapsedLevelsAreSubtotals="1" fieldPosition="0"/>
    </format>
    <format dxfId="7">
      <pivotArea field="8" type="button" dataOnly="0" labelOnly="1" outline="0" axis="axisRow" fieldPosition="0"/>
    </format>
    <format dxfId="6">
      <pivotArea dataOnly="0" labelOnly="1" fieldPosition="0">
        <references count="1">
          <reference field="8" count="0"/>
        </references>
      </pivotArea>
    </format>
    <format dxfId="5">
      <pivotArea dataOnly="0" labelOnly="1" grandRow="1" outline="0" fieldPosition="0"/>
    </format>
    <format dxfId="4">
      <pivotArea dataOnly="0" labelOnly="1" outline="0" axis="axisValues" fieldPosition="0"/>
    </format>
  </formats>
  <chartFormats count="1">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ssumed_temperature" xr10:uid="{C02BC67E-0088-49B1-9047-E6FE2F721390}" sourceName="assumed_temperature">
  <pivotTables>
    <pivotTable tabId="3" name="PivotTable3"/>
    <pivotTable tabId="3" name="PivotTable1"/>
    <pivotTable tabId="3" name="PivotTable4"/>
  </pivotTables>
  <data>
    <tabular pivotCacheId="1247351212">
      <items count="29">
        <i x="27" s="1"/>
        <i x="28" s="1"/>
        <i x="25" s="1"/>
        <i x="26" s="1"/>
        <i x="21" s="1"/>
        <i x="22" s="1"/>
        <i x="23" s="1"/>
        <i x="14" s="1"/>
        <i x="15" s="1"/>
        <i x="13" s="1"/>
        <i x="19" s="1"/>
        <i x="16" s="1"/>
        <i x="17" s="1"/>
        <i x="12" s="1"/>
        <i x="11" s="1"/>
        <i x="10" s="1"/>
        <i x="18" s="1"/>
        <i x="2" s="1"/>
        <i x="1" s="1"/>
        <i x="0" s="1"/>
        <i x="24" s="1"/>
        <i x="20" s="1"/>
        <i x="5" s="1"/>
        <i x="3" s="1"/>
        <i x="4" s="1"/>
        <i x="9" s="1"/>
        <i x="6" s="1"/>
        <i x="8"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umed_temperature" xr10:uid="{C37B38BB-E8D5-4329-9666-A1E7EB3E15E6}" cache="Slicer_assumed_temperature" caption="assumed_temperature"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492147-FB33-41AE-9C7C-94FA41D3C85B}" name="Table13" displayName="Table13" ref="A1:G611" totalsRowShown="0" headerRowDxfId="31" dataDxfId="30" tableBorderDxfId="29">
  <autoFilter ref="A1:G611" xr:uid="{90492147-FB33-41AE-9C7C-94FA41D3C85B}"/>
  <tableColumns count="7">
    <tableColumn id="1" xr3:uid="{819F5E87-FE65-4E01-B774-FB43E92F96F6}" name="instant" dataDxfId="28"/>
    <tableColumn id="2" xr3:uid="{CB5AA192-51DA-4A4E-BF19-673A3C1DACDB}" name="assumed_temperature" dataDxfId="27"/>
    <tableColumn id="3" xr3:uid="{64A21194-2F55-42AD-9BF0-E9B2C6CF7876}" name="humidity" dataDxfId="26"/>
    <tableColumn id="4" xr3:uid="{007BCB55-988C-4F90-B20C-2751630FAA05}" name="windspeed" dataDxfId="25"/>
    <tableColumn id="5" xr3:uid="{DB96E029-8250-458D-815A-5587721BC966}" name="casual_customer" dataDxfId="24"/>
    <tableColumn id="6" xr3:uid="{E4E4D63E-FD13-482D-A0F2-7FFC44AD6CBA}" name="registered_customer" dataDxfId="23"/>
    <tableColumn id="7" xr3:uid="{DE86BD79-B2A3-434D-A4F0-AAF04EEC69B9}" name="Total_customers" dataDxfId="22"/>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357F77-BDA4-4E77-9420-B6A02EA847FF}" name="Table1" displayName="Table1" ref="A1:M611" totalsRowShown="0">
  <autoFilter ref="A1:M611" xr:uid="{F7357F77-BDA4-4E77-9420-B6A02EA847FF}"/>
  <tableColumns count="13">
    <tableColumn id="1" xr3:uid="{030ADA4A-20D1-4411-9096-8E47293F2C36}" name="instant" dataDxfId="44"/>
    <tableColumn id="2" xr3:uid="{E479AE4D-B2DC-4E49-86D0-F02393B86757}" name="assumed_temperature" dataDxfId="43"/>
    <tableColumn id="3" xr3:uid="{42BA822C-56BA-423A-9332-D362E47A0CC0}" name="humidity" dataDxfId="42"/>
    <tableColumn id="4" xr3:uid="{7D4D18A6-39FD-43D2-8FDE-A1D3CCB5BF9E}" name="windspeed" dataDxfId="41"/>
    <tableColumn id="5" xr3:uid="{5F98ECB1-5EC8-476F-BD34-A9F4FE3A071F}" name="casual_customer" dataDxfId="40"/>
    <tableColumn id="6" xr3:uid="{B597A632-2A08-4944-9D8A-B9EA09498604}" name="registered_customer" dataDxfId="39"/>
    <tableColumn id="7" xr3:uid="{8F929668-25B1-4FC0-9A9D-9B86452ED1C2}" name="Total_customers" dataDxfId="38"/>
    <tableColumn id="8" xr3:uid="{CE81A5D3-D459-4D90-9560-945DBF2DA652}" name="Humidity_Level" dataDxfId="37"/>
    <tableColumn id="9" xr3:uid="{8F80D088-F857-4D34-BFF8-D01567E6B59A}" name="Wind_Level" dataDxfId="36"/>
    <tableColumn id="10" xr3:uid="{745648E7-FF7A-44C1-AECD-FF3EF0DB7826}" name="Customer_Type" dataDxfId="35"/>
    <tableColumn id="11" xr3:uid="{622A0D3E-2428-45C7-BCD7-8C92815251FC}" name="Casual_Percentage" dataDxfId="34"/>
    <tableColumn id="12" xr3:uid="{08A7B893-DBB5-4F0C-BABE-DC85244D65FC}" name="Registered_Percentage" dataDxfId="33"/>
    <tableColumn id="13" xr3:uid="{4A5D0381-ECE1-41FA-8972-E3AEFFE4ED49}" name="Demand_Level" dataDxfId="3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4E24B56-657B-4E40-B85A-81E013DBAE81}" name="Table4" displayName="Table4" ref="A1:E764" totalsRowShown="0">
  <autoFilter ref="A1:E764" xr:uid="{14E24B56-657B-4E40-B85A-81E013DBAE81}"/>
  <tableColumns count="5">
    <tableColumn id="1" xr3:uid="{5E103A27-D84F-4983-88B0-91093F6542DF}" name="instant" dataDxfId="3"/>
    <tableColumn id="2" xr3:uid="{1545D234-CC38-4E76-8D1A-1776D3CE1DB0}" name="Total_customers"/>
    <tableColumn id="3" xr3:uid="{B174AD1C-7D22-47B2-9903-7FF2774F3497}" name="Forecast(Total_customers)" dataDxfId="2">
      <calculatedColumnFormula>_xlfn.FORECAST.ETS(A2,$B$2:$B$611,$A$2:$A$611,1,1)</calculatedColumnFormula>
    </tableColumn>
    <tableColumn id="4" xr3:uid="{DB7E6834-B8BD-432E-83CB-C3051DA286BF}" name="Lower Bound(Total_customers)" dataDxfId="1">
      <calculatedColumnFormula>C2-_xlfn.FORECAST.ETS.CONFINT(A2,$B$2:$B$611,$A$2:$A$611,0.95,1,1)</calculatedColumnFormula>
    </tableColumn>
    <tableColumn id="5" xr3:uid="{D2435E46-E3DB-4906-BEC0-C2C25140238C}" name="Upper Bound(Total_customers)" dataDxfId="0">
      <calculatedColumnFormula>C2+_xlfn.FORECAST.ETS.CONFINT(A2,$B$2:$B$611,$A$2:$A$611,0.95,1,1)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C89C7-6C3F-40FD-B09A-3A0D9C731320}">
  <dimension ref="A1:G611"/>
  <sheetViews>
    <sheetView tabSelected="1" workbookViewId="0">
      <selection activeCell="G5" sqref="G5"/>
    </sheetView>
  </sheetViews>
  <sheetFormatPr defaultRowHeight="14.4" x14ac:dyDescent="0.3"/>
  <cols>
    <col min="1" max="1" width="9" bestFit="1" customWidth="1"/>
    <col min="2" max="2" width="22.44140625" bestFit="1" customWidth="1"/>
    <col min="3" max="3" width="10.77734375" bestFit="1" customWidth="1"/>
    <col min="4" max="4" width="12.33203125" bestFit="1" customWidth="1"/>
    <col min="5" max="5" width="17.44140625" bestFit="1" customWidth="1"/>
    <col min="6" max="6" width="20.6640625" bestFit="1" customWidth="1"/>
    <col min="7" max="7" width="17.21875" bestFit="1" customWidth="1"/>
  </cols>
  <sheetData>
    <row r="1" spans="1:7" x14ac:dyDescent="0.3">
      <c r="A1" s="5" t="s">
        <v>0</v>
      </c>
      <c r="B1" s="5" t="s">
        <v>1</v>
      </c>
      <c r="C1" s="5" t="s">
        <v>2</v>
      </c>
      <c r="D1" s="5" t="s">
        <v>3</v>
      </c>
      <c r="E1" s="5" t="s">
        <v>4</v>
      </c>
      <c r="F1" s="5" t="s">
        <v>5</v>
      </c>
      <c r="G1" s="5" t="s">
        <v>6</v>
      </c>
    </row>
    <row r="2" spans="1:7" x14ac:dyDescent="0.3">
      <c r="A2" s="6">
        <v>1</v>
      </c>
      <c r="B2" s="6">
        <v>0.28789999999999999</v>
      </c>
      <c r="C2" s="6">
        <v>0.81</v>
      </c>
      <c r="D2" s="6">
        <v>0</v>
      </c>
      <c r="E2" s="6">
        <v>3</v>
      </c>
      <c r="F2" s="6">
        <v>13</v>
      </c>
      <c r="G2" s="6">
        <v>16</v>
      </c>
    </row>
    <row r="3" spans="1:7" x14ac:dyDescent="0.3">
      <c r="A3" s="7">
        <v>2</v>
      </c>
      <c r="B3" s="7">
        <v>0.2727</v>
      </c>
      <c r="C3" s="7">
        <v>0.8</v>
      </c>
      <c r="D3" s="7">
        <v>0</v>
      </c>
      <c r="E3" s="7">
        <v>8</v>
      </c>
      <c r="F3" s="7">
        <v>32</v>
      </c>
      <c r="G3" s="7">
        <v>40</v>
      </c>
    </row>
    <row r="4" spans="1:7" x14ac:dyDescent="0.3">
      <c r="A4" s="6">
        <v>3</v>
      </c>
      <c r="B4" s="6">
        <v>0.2727</v>
      </c>
      <c r="C4" s="6">
        <v>0.8</v>
      </c>
      <c r="D4" s="6">
        <v>0</v>
      </c>
      <c r="E4" s="6">
        <v>5</v>
      </c>
      <c r="F4" s="6">
        <v>27</v>
      </c>
      <c r="G4" s="6">
        <v>32</v>
      </c>
    </row>
    <row r="5" spans="1:7" x14ac:dyDescent="0.3">
      <c r="A5" s="7">
        <v>4</v>
      </c>
      <c r="B5" s="7">
        <v>0.28789999999999999</v>
      </c>
      <c r="C5" s="7">
        <v>0.75</v>
      </c>
      <c r="D5" s="7">
        <v>0</v>
      </c>
      <c r="E5" s="7">
        <v>3</v>
      </c>
      <c r="F5" s="7">
        <v>10</v>
      </c>
      <c r="G5" s="7">
        <v>13</v>
      </c>
    </row>
    <row r="6" spans="1:7" x14ac:dyDescent="0.3">
      <c r="A6" s="6">
        <v>5</v>
      </c>
      <c r="B6" s="6">
        <v>0.28789999999999999</v>
      </c>
      <c r="C6" s="6">
        <v>0.75</v>
      </c>
      <c r="D6" s="6">
        <v>0</v>
      </c>
      <c r="E6" s="6">
        <v>0</v>
      </c>
      <c r="F6" s="6">
        <v>1</v>
      </c>
      <c r="G6" s="6">
        <v>1</v>
      </c>
    </row>
    <row r="7" spans="1:7" x14ac:dyDescent="0.3">
      <c r="A7" s="7">
        <v>6</v>
      </c>
      <c r="B7" s="7">
        <v>0.2576</v>
      </c>
      <c r="C7" s="7">
        <v>0.75</v>
      </c>
      <c r="D7" s="7">
        <v>8.9599999999999999E-2</v>
      </c>
      <c r="E7" s="7">
        <v>0</v>
      </c>
      <c r="F7" s="7">
        <v>1</v>
      </c>
      <c r="G7" s="7">
        <v>1</v>
      </c>
    </row>
    <row r="8" spans="1:7" x14ac:dyDescent="0.3">
      <c r="A8" s="6">
        <v>7</v>
      </c>
      <c r="B8" s="6">
        <v>0.2727</v>
      </c>
      <c r="C8" s="6">
        <v>0.8</v>
      </c>
      <c r="D8" s="6">
        <v>0</v>
      </c>
      <c r="E8" s="6">
        <v>2</v>
      </c>
      <c r="F8" s="6">
        <v>0</v>
      </c>
      <c r="G8" s="6">
        <v>2</v>
      </c>
    </row>
    <row r="9" spans="1:7" x14ac:dyDescent="0.3">
      <c r="A9" s="7">
        <v>8</v>
      </c>
      <c r="B9" s="7">
        <v>0.2576</v>
      </c>
      <c r="C9" s="7">
        <v>0.86</v>
      </c>
      <c r="D9" s="7">
        <v>0</v>
      </c>
      <c r="E9" s="7">
        <v>1</v>
      </c>
      <c r="F9" s="7">
        <v>2</v>
      </c>
      <c r="G9" s="7">
        <v>3</v>
      </c>
    </row>
    <row r="10" spans="1:7" x14ac:dyDescent="0.3">
      <c r="A10" s="6">
        <v>9</v>
      </c>
      <c r="B10" s="6">
        <f>B9</f>
        <v>0.2576</v>
      </c>
      <c r="C10" s="6">
        <v>0.75</v>
      </c>
      <c r="D10" s="6">
        <v>0</v>
      </c>
      <c r="E10" s="6">
        <v>1</v>
      </c>
      <c r="F10" s="6">
        <v>7</v>
      </c>
      <c r="G10" s="6">
        <v>8</v>
      </c>
    </row>
    <row r="11" spans="1:7" x14ac:dyDescent="0.3">
      <c r="A11" s="7">
        <v>10</v>
      </c>
      <c r="B11" s="7">
        <v>0.34849999999999998</v>
      </c>
      <c r="C11" s="7">
        <v>0.76</v>
      </c>
      <c r="D11" s="7">
        <v>0</v>
      </c>
      <c r="E11" s="7">
        <v>8</v>
      </c>
      <c r="F11" s="7">
        <v>6</v>
      </c>
      <c r="G11" s="7">
        <v>14</v>
      </c>
    </row>
    <row r="12" spans="1:7" x14ac:dyDescent="0.3">
      <c r="A12" s="6">
        <v>11</v>
      </c>
      <c r="B12" s="6">
        <v>0.39389999999999997</v>
      </c>
      <c r="C12" s="6">
        <v>0.76</v>
      </c>
      <c r="D12" s="6">
        <v>0.25369999999999998</v>
      </c>
      <c r="E12" s="6">
        <v>12</v>
      </c>
      <c r="F12" s="6">
        <v>24</v>
      </c>
      <c r="G12" s="6">
        <v>36</v>
      </c>
    </row>
    <row r="13" spans="1:7" x14ac:dyDescent="0.3">
      <c r="A13" s="7">
        <v>12</v>
      </c>
      <c r="B13" s="7">
        <v>0.33329999999999999</v>
      </c>
      <c r="C13" s="7">
        <v>0.81</v>
      </c>
      <c r="D13" s="7">
        <v>0.28360000000000002</v>
      </c>
      <c r="E13" s="7">
        <v>26</v>
      </c>
      <c r="F13" s="7">
        <v>30</v>
      </c>
      <c r="G13" s="7">
        <v>56</v>
      </c>
    </row>
    <row r="14" spans="1:7" x14ac:dyDescent="0.3">
      <c r="A14" s="6">
        <v>13</v>
      </c>
      <c r="B14" s="6">
        <v>0.42420000000000002</v>
      </c>
      <c r="C14" s="6">
        <v>0.77</v>
      </c>
      <c r="D14" s="6">
        <v>0.28360000000000002</v>
      </c>
      <c r="E14" s="6">
        <v>29</v>
      </c>
      <c r="F14" s="6">
        <v>55</v>
      </c>
      <c r="G14" s="6">
        <v>84</v>
      </c>
    </row>
    <row r="15" spans="1:7" x14ac:dyDescent="0.3">
      <c r="A15" s="7">
        <v>14</v>
      </c>
      <c r="B15" s="7">
        <v>0.45450000000000002</v>
      </c>
      <c r="C15" s="7">
        <v>0.72</v>
      </c>
      <c r="D15" s="7">
        <v>0.29849999999999999</v>
      </c>
      <c r="E15" s="7">
        <v>47</v>
      </c>
      <c r="F15" s="7">
        <v>47</v>
      </c>
      <c r="G15" s="7">
        <v>94</v>
      </c>
    </row>
    <row r="16" spans="1:7" x14ac:dyDescent="0.3">
      <c r="A16" s="6">
        <v>15</v>
      </c>
      <c r="B16" s="6">
        <v>0.45450000000000002</v>
      </c>
      <c r="C16" s="6">
        <v>0.72</v>
      </c>
      <c r="D16" s="6">
        <v>0.28360000000000002</v>
      </c>
      <c r="E16" s="6">
        <v>35</v>
      </c>
      <c r="F16" s="6">
        <v>71</v>
      </c>
      <c r="G16" s="6">
        <v>106</v>
      </c>
    </row>
    <row r="17" spans="1:7" x14ac:dyDescent="0.3">
      <c r="A17" s="7">
        <v>16</v>
      </c>
      <c r="B17" s="7">
        <v>0.43940000000000001</v>
      </c>
      <c r="C17" s="7">
        <v>0.77</v>
      </c>
      <c r="D17" s="7">
        <v>0.29849999999999999</v>
      </c>
      <c r="E17" s="7">
        <v>40</v>
      </c>
      <c r="F17" s="7">
        <v>70</v>
      </c>
      <c r="G17" s="7">
        <v>110</v>
      </c>
    </row>
    <row r="18" spans="1:7" x14ac:dyDescent="0.3">
      <c r="A18" s="6">
        <v>17</v>
      </c>
      <c r="B18" s="6">
        <v>0.42420000000000002</v>
      </c>
      <c r="C18" s="6">
        <v>0.82</v>
      </c>
      <c r="D18" s="6">
        <v>0.29849999999999999</v>
      </c>
      <c r="E18" s="6">
        <v>41</v>
      </c>
      <c r="F18" s="6">
        <v>52</v>
      </c>
      <c r="G18" s="6">
        <v>93</v>
      </c>
    </row>
    <row r="19" spans="1:7" x14ac:dyDescent="0.3">
      <c r="A19" s="7">
        <v>18</v>
      </c>
      <c r="B19" s="7">
        <f>B18</f>
        <v>0.42420000000000002</v>
      </c>
      <c r="C19" s="7">
        <v>0.82</v>
      </c>
      <c r="D19" s="7">
        <v>0.28360000000000002</v>
      </c>
      <c r="E19" s="7">
        <v>15</v>
      </c>
      <c r="F19" s="7">
        <v>52</v>
      </c>
      <c r="G19" s="7">
        <v>67</v>
      </c>
    </row>
    <row r="20" spans="1:7" x14ac:dyDescent="0.3">
      <c r="A20" s="6">
        <v>19</v>
      </c>
      <c r="B20" s="6">
        <v>0.42420000000000002</v>
      </c>
      <c r="C20" s="6">
        <v>0.88</v>
      </c>
      <c r="D20" s="6">
        <v>0.25369999999999998</v>
      </c>
      <c r="E20" s="6">
        <v>9</v>
      </c>
      <c r="F20" s="6">
        <v>26</v>
      </c>
      <c r="G20" s="6">
        <v>35</v>
      </c>
    </row>
    <row r="21" spans="1:7" x14ac:dyDescent="0.3">
      <c r="A21" s="7">
        <v>20</v>
      </c>
      <c r="B21" s="7">
        <v>0.42420000000000002</v>
      </c>
      <c r="C21" s="7">
        <v>0.88</v>
      </c>
      <c r="D21" s="7">
        <v>0.25369999999999998</v>
      </c>
      <c r="E21" s="7">
        <v>6</v>
      </c>
      <c r="F21" s="7">
        <v>31</v>
      </c>
      <c r="G21" s="7">
        <v>37</v>
      </c>
    </row>
    <row r="22" spans="1:7" x14ac:dyDescent="0.3">
      <c r="A22" s="6">
        <v>21</v>
      </c>
      <c r="B22" s="6">
        <v>0.40910000000000002</v>
      </c>
      <c r="C22" s="6">
        <v>0.87</v>
      </c>
      <c r="D22" s="6">
        <v>0.25369999999999998</v>
      </c>
      <c r="E22" s="6">
        <v>11</v>
      </c>
      <c r="F22" s="6">
        <v>25</v>
      </c>
      <c r="G22" s="6">
        <v>36</v>
      </c>
    </row>
    <row r="23" spans="1:7" x14ac:dyDescent="0.3">
      <c r="A23" s="7">
        <v>22</v>
      </c>
      <c r="B23" s="7">
        <v>0.40910000000000002</v>
      </c>
      <c r="C23" s="7">
        <v>0.87</v>
      </c>
      <c r="D23" s="7">
        <v>0.19400000000000001</v>
      </c>
      <c r="E23" s="7">
        <v>3</v>
      </c>
      <c r="F23" s="7">
        <v>31</v>
      </c>
      <c r="G23" s="7">
        <v>34</v>
      </c>
    </row>
    <row r="24" spans="1:7" x14ac:dyDescent="0.3">
      <c r="A24" s="6">
        <v>23</v>
      </c>
      <c r="B24" s="6">
        <v>0.40910000000000002</v>
      </c>
      <c r="C24" s="6">
        <v>0.94</v>
      </c>
      <c r="D24" s="6">
        <v>0.22389999999999999</v>
      </c>
      <c r="E24" s="6">
        <v>11</v>
      </c>
      <c r="F24" s="6">
        <v>17</v>
      </c>
      <c r="G24" s="6">
        <v>28</v>
      </c>
    </row>
    <row r="25" spans="1:7" x14ac:dyDescent="0.3">
      <c r="A25" s="7">
        <v>24</v>
      </c>
      <c r="B25" s="7">
        <f>B24</f>
        <v>0.40910000000000002</v>
      </c>
      <c r="C25" s="7">
        <v>0.88</v>
      </c>
      <c r="D25" s="7">
        <v>0.29849999999999999</v>
      </c>
      <c r="E25" s="7">
        <v>15</v>
      </c>
      <c r="F25" s="7">
        <v>24</v>
      </c>
      <c r="G25" s="7">
        <v>39</v>
      </c>
    </row>
    <row r="26" spans="1:7" x14ac:dyDescent="0.3">
      <c r="A26" s="6">
        <v>25</v>
      </c>
      <c r="B26" s="6">
        <v>0.45450000000000002</v>
      </c>
      <c r="C26" s="6">
        <v>0.88</v>
      </c>
      <c r="D26" s="6">
        <v>0.29849999999999999</v>
      </c>
      <c r="E26" s="6">
        <v>4</v>
      </c>
      <c r="F26" s="6">
        <v>13</v>
      </c>
      <c r="G26" s="6">
        <v>17</v>
      </c>
    </row>
    <row r="27" spans="1:7" x14ac:dyDescent="0.3">
      <c r="A27" s="7">
        <v>26</v>
      </c>
      <c r="B27" s="7">
        <v>0.43940000000000001</v>
      </c>
      <c r="C27" s="7">
        <v>0.94</v>
      </c>
      <c r="D27" s="7">
        <v>0.25369999999999998</v>
      </c>
      <c r="E27" s="7">
        <v>1</v>
      </c>
      <c r="F27" s="7">
        <v>16</v>
      </c>
      <c r="G27" s="7">
        <v>17</v>
      </c>
    </row>
    <row r="28" spans="1:7" x14ac:dyDescent="0.3">
      <c r="A28" s="6">
        <v>27</v>
      </c>
      <c r="B28" s="6">
        <v>0.42420000000000002</v>
      </c>
      <c r="C28" s="6">
        <v>1</v>
      </c>
      <c r="D28" s="6">
        <v>0.28360000000000002</v>
      </c>
      <c r="E28" s="6">
        <v>1</v>
      </c>
      <c r="F28" s="6">
        <v>8</v>
      </c>
      <c r="G28" s="6">
        <v>9</v>
      </c>
    </row>
    <row r="29" spans="1:7" x14ac:dyDescent="0.3">
      <c r="A29" s="7">
        <v>28</v>
      </c>
      <c r="B29" s="7">
        <v>0.45450000000000002</v>
      </c>
      <c r="C29" s="7">
        <v>0.94</v>
      </c>
      <c r="D29" s="7">
        <v>0.19400000000000001</v>
      </c>
      <c r="E29" s="7">
        <v>2</v>
      </c>
      <c r="F29" s="7">
        <v>4</v>
      </c>
      <c r="G29" s="7">
        <v>6</v>
      </c>
    </row>
    <row r="30" spans="1:7" x14ac:dyDescent="0.3">
      <c r="A30" s="6">
        <v>29</v>
      </c>
      <c r="B30" s="6">
        <f>B29</f>
        <v>0.45450000000000002</v>
      </c>
      <c r="C30" s="6">
        <v>0.94</v>
      </c>
      <c r="D30" s="6">
        <v>0.19400000000000001</v>
      </c>
      <c r="E30" s="6">
        <v>2</v>
      </c>
      <c r="F30" s="6">
        <v>1</v>
      </c>
      <c r="G30" s="6">
        <v>3</v>
      </c>
    </row>
    <row r="31" spans="1:7" x14ac:dyDescent="0.3">
      <c r="A31" s="7">
        <v>30</v>
      </c>
      <c r="B31" s="7">
        <v>0.42420000000000002</v>
      </c>
      <c r="C31" s="7">
        <v>0.77</v>
      </c>
      <c r="D31" s="7">
        <v>0.29849999999999999</v>
      </c>
      <c r="E31" s="7">
        <v>0</v>
      </c>
      <c r="F31" s="7">
        <v>2</v>
      </c>
      <c r="G31" s="7">
        <v>2</v>
      </c>
    </row>
    <row r="32" spans="1:7" x14ac:dyDescent="0.3">
      <c r="A32" s="6">
        <v>31</v>
      </c>
      <c r="B32" s="6">
        <v>0.40910000000000002</v>
      </c>
      <c r="C32" s="6">
        <v>0.76</v>
      </c>
      <c r="D32" s="6">
        <v>0.19400000000000001</v>
      </c>
      <c r="E32" s="6">
        <v>0</v>
      </c>
      <c r="F32" s="6">
        <v>1</v>
      </c>
      <c r="G32" s="6">
        <v>1</v>
      </c>
    </row>
    <row r="33" spans="1:7" x14ac:dyDescent="0.3">
      <c r="A33" s="7">
        <v>32</v>
      </c>
      <c r="B33" s="7">
        <v>0.40910000000000002</v>
      </c>
      <c r="C33" s="7">
        <v>0.71</v>
      </c>
      <c r="D33" s="7">
        <v>0.22389999999999999</v>
      </c>
      <c r="E33" s="7">
        <v>0</v>
      </c>
      <c r="F33" s="7">
        <v>8</v>
      </c>
      <c r="G33" s="7">
        <v>8</v>
      </c>
    </row>
    <row r="34" spans="1:7" x14ac:dyDescent="0.3">
      <c r="A34" s="6">
        <v>33</v>
      </c>
      <c r="B34" s="6">
        <f>B33</f>
        <v>0.40910000000000002</v>
      </c>
      <c r="C34" s="6">
        <v>0.76</v>
      </c>
      <c r="D34" s="6">
        <v>0.22389999999999999</v>
      </c>
      <c r="E34" s="6">
        <v>1</v>
      </c>
      <c r="F34" s="6">
        <v>19</v>
      </c>
      <c r="G34" s="6">
        <v>20</v>
      </c>
    </row>
    <row r="35" spans="1:7" x14ac:dyDescent="0.3">
      <c r="A35" s="7">
        <v>34</v>
      </c>
      <c r="B35" s="7">
        <v>0.34849999999999998</v>
      </c>
      <c r="C35" s="7">
        <v>0.81</v>
      </c>
      <c r="D35" s="7">
        <v>0.22389999999999999</v>
      </c>
      <c r="E35" s="7">
        <v>7</v>
      </c>
      <c r="F35" s="7">
        <v>46</v>
      </c>
      <c r="G35" s="7">
        <v>53</v>
      </c>
    </row>
    <row r="36" spans="1:7" x14ac:dyDescent="0.3">
      <c r="A36" s="6">
        <v>35</v>
      </c>
      <c r="B36" s="6">
        <v>0.33329999999999999</v>
      </c>
      <c r="C36" s="6">
        <v>0.71</v>
      </c>
      <c r="D36" s="6">
        <v>0.25369999999999998</v>
      </c>
      <c r="E36" s="6">
        <v>16</v>
      </c>
      <c r="F36" s="6">
        <v>54</v>
      </c>
      <c r="G36" s="6">
        <v>70</v>
      </c>
    </row>
    <row r="37" spans="1:7" x14ac:dyDescent="0.3">
      <c r="A37" s="7">
        <v>36</v>
      </c>
      <c r="B37" s="7">
        <v>0.33329999999999999</v>
      </c>
      <c r="C37" s="7">
        <v>0.66</v>
      </c>
      <c r="D37" s="7">
        <v>0.29849999999999999</v>
      </c>
      <c r="E37" s="7">
        <v>20</v>
      </c>
      <c r="F37" s="7">
        <v>73</v>
      </c>
      <c r="G37" s="7">
        <v>93</v>
      </c>
    </row>
    <row r="38" spans="1:7" x14ac:dyDescent="0.3">
      <c r="A38" s="6">
        <v>37</v>
      </c>
      <c r="B38" s="6">
        <v>0.34849999999999998</v>
      </c>
      <c r="C38" s="6">
        <v>0.66</v>
      </c>
      <c r="D38" s="6">
        <v>0.1343</v>
      </c>
      <c r="E38" s="6">
        <v>11</v>
      </c>
      <c r="F38" s="6">
        <v>64</v>
      </c>
      <c r="G38" s="6">
        <v>75</v>
      </c>
    </row>
    <row r="39" spans="1:7" x14ac:dyDescent="0.3">
      <c r="A39" s="7">
        <v>38</v>
      </c>
      <c r="B39" s="7">
        <f>B38</f>
        <v>0.34849999999999998</v>
      </c>
      <c r="C39" s="7">
        <v>0.76</v>
      </c>
      <c r="D39" s="7">
        <v>0.19400000000000001</v>
      </c>
      <c r="E39" s="7">
        <v>4</v>
      </c>
      <c r="F39" s="7">
        <v>55</v>
      </c>
      <c r="G39" s="7">
        <v>59</v>
      </c>
    </row>
    <row r="40" spans="1:7" x14ac:dyDescent="0.3">
      <c r="A40" s="6">
        <v>39</v>
      </c>
      <c r="B40" s="6">
        <v>0.33329999999999999</v>
      </c>
      <c r="C40" s="6">
        <v>0.81</v>
      </c>
      <c r="D40" s="6">
        <v>0.16420000000000001</v>
      </c>
      <c r="E40" s="6">
        <v>19</v>
      </c>
      <c r="F40" s="6">
        <v>55</v>
      </c>
      <c r="G40" s="6">
        <v>74</v>
      </c>
    </row>
    <row r="41" spans="1:7" x14ac:dyDescent="0.3">
      <c r="A41" s="7">
        <v>40</v>
      </c>
      <c r="B41" s="7">
        <v>0.33329999999999999</v>
      </c>
      <c r="C41" s="7">
        <v>0.71</v>
      </c>
      <c r="D41" s="7">
        <v>0.16420000000000001</v>
      </c>
      <c r="E41" s="7">
        <v>9</v>
      </c>
      <c r="F41" s="7">
        <v>67</v>
      </c>
      <c r="G41" s="7">
        <v>76</v>
      </c>
    </row>
    <row r="42" spans="1:7" x14ac:dyDescent="0.3">
      <c r="A42" s="6">
        <v>41</v>
      </c>
      <c r="B42" s="6">
        <v>0.33329999999999999</v>
      </c>
      <c r="C42" s="6">
        <v>0.56999999999999995</v>
      </c>
      <c r="D42" s="6">
        <v>0.19400000000000001</v>
      </c>
      <c r="E42" s="6">
        <v>7</v>
      </c>
      <c r="F42" s="6">
        <v>58</v>
      </c>
      <c r="G42" s="6">
        <v>65</v>
      </c>
    </row>
    <row r="43" spans="1:7" x14ac:dyDescent="0.3">
      <c r="A43" s="7">
        <v>42</v>
      </c>
      <c r="B43" s="7">
        <v>0.33329999999999999</v>
      </c>
      <c r="C43" s="7">
        <v>0.46</v>
      </c>
      <c r="D43" s="7">
        <v>0.32840000000000003</v>
      </c>
      <c r="E43" s="7">
        <v>10</v>
      </c>
      <c r="F43" s="7">
        <v>43</v>
      </c>
      <c r="G43" s="7">
        <v>53</v>
      </c>
    </row>
    <row r="44" spans="1:7" x14ac:dyDescent="0.3">
      <c r="A44" s="6">
        <v>43</v>
      </c>
      <c r="B44" s="6">
        <v>0.28789999999999999</v>
      </c>
      <c r="C44" s="6">
        <v>0.42</v>
      </c>
      <c r="D44" s="6">
        <v>0.44779999999999998</v>
      </c>
      <c r="E44" s="6">
        <v>1</v>
      </c>
      <c r="F44" s="6">
        <v>29</v>
      </c>
      <c r="G44" s="6">
        <v>30</v>
      </c>
    </row>
    <row r="45" spans="1:7" x14ac:dyDescent="0.3">
      <c r="A45" s="7">
        <v>44</v>
      </c>
      <c r="B45" s="7">
        <f>B44</f>
        <v>0.28789999999999999</v>
      </c>
      <c r="C45" s="7">
        <v>0.39</v>
      </c>
      <c r="D45" s="7">
        <v>0.35820000000000002</v>
      </c>
      <c r="E45" s="7">
        <v>5</v>
      </c>
      <c r="F45" s="7">
        <v>17</v>
      </c>
      <c r="G45" s="7">
        <v>22</v>
      </c>
    </row>
    <row r="46" spans="1:7" x14ac:dyDescent="0.3">
      <c r="A46" s="6">
        <v>45</v>
      </c>
      <c r="B46" s="6">
        <v>0.2273</v>
      </c>
      <c r="C46" s="6">
        <v>0.44</v>
      </c>
      <c r="D46" s="6">
        <v>0.32840000000000003</v>
      </c>
      <c r="E46" s="6">
        <v>11</v>
      </c>
      <c r="F46" s="6">
        <v>20</v>
      </c>
      <c r="G46" s="6">
        <v>31</v>
      </c>
    </row>
    <row r="47" spans="1:7" x14ac:dyDescent="0.3">
      <c r="A47" s="7">
        <v>46</v>
      </c>
      <c r="B47" s="7">
        <v>0.21210000000000001</v>
      </c>
      <c r="C47" s="7">
        <v>0.44</v>
      </c>
      <c r="D47" s="7">
        <v>0.29849999999999999</v>
      </c>
      <c r="E47" s="7">
        <v>0</v>
      </c>
      <c r="F47" s="7">
        <v>9</v>
      </c>
      <c r="G47" s="7">
        <v>9</v>
      </c>
    </row>
    <row r="48" spans="1:7" x14ac:dyDescent="0.3">
      <c r="A48" s="6">
        <v>47</v>
      </c>
      <c r="B48" s="6">
        <v>0.2273</v>
      </c>
      <c r="C48" s="6">
        <v>0.47</v>
      </c>
      <c r="D48" s="6">
        <v>0.16420000000000001</v>
      </c>
      <c r="E48" s="6">
        <v>0</v>
      </c>
      <c r="F48" s="6">
        <v>8</v>
      </c>
      <c r="G48" s="6">
        <v>8</v>
      </c>
    </row>
    <row r="49" spans="1:7" x14ac:dyDescent="0.3">
      <c r="A49" s="7">
        <v>48</v>
      </c>
      <c r="B49" s="7">
        <v>0.19700000000000001</v>
      </c>
      <c r="C49" s="7">
        <v>0.44</v>
      </c>
      <c r="D49" s="7">
        <v>0.35820000000000002</v>
      </c>
      <c r="E49" s="7">
        <v>0</v>
      </c>
      <c r="F49" s="7">
        <v>5</v>
      </c>
      <c r="G49" s="7">
        <v>5</v>
      </c>
    </row>
    <row r="50" spans="1:7" x14ac:dyDescent="0.3">
      <c r="A50" s="6">
        <v>49</v>
      </c>
      <c r="B50" s="6">
        <f>B49</f>
        <v>0.19700000000000001</v>
      </c>
      <c r="C50" s="6">
        <v>0.44</v>
      </c>
      <c r="D50" s="6">
        <v>0.41789999999999999</v>
      </c>
      <c r="E50" s="6">
        <v>0</v>
      </c>
      <c r="F50" s="6">
        <v>2</v>
      </c>
      <c r="G50" s="6">
        <v>2</v>
      </c>
    </row>
    <row r="51" spans="1:7" x14ac:dyDescent="0.3">
      <c r="A51" s="7">
        <v>50</v>
      </c>
      <c r="B51" s="7">
        <v>0.13639999999999999</v>
      </c>
      <c r="C51" s="7">
        <v>0.47</v>
      </c>
      <c r="D51" s="7">
        <v>0.3881</v>
      </c>
      <c r="E51" s="7">
        <v>0</v>
      </c>
      <c r="F51" s="7">
        <v>1</v>
      </c>
      <c r="G51" s="7">
        <v>1</v>
      </c>
    </row>
    <row r="52" spans="1:7" x14ac:dyDescent="0.3">
      <c r="A52" s="6">
        <v>51</v>
      </c>
      <c r="B52" s="6">
        <v>0.13639999999999999</v>
      </c>
      <c r="C52" s="6">
        <v>0.47</v>
      </c>
      <c r="D52" s="6">
        <v>0.28360000000000002</v>
      </c>
      <c r="E52" s="6">
        <v>0</v>
      </c>
      <c r="F52" s="6">
        <v>3</v>
      </c>
      <c r="G52" s="6">
        <v>3</v>
      </c>
    </row>
    <row r="53" spans="1:7" x14ac:dyDescent="0.3">
      <c r="A53" s="7">
        <v>52</v>
      </c>
      <c r="B53" s="7">
        <v>0.1061</v>
      </c>
      <c r="C53" s="7">
        <v>0.5</v>
      </c>
      <c r="D53" s="7">
        <v>0.3881</v>
      </c>
      <c r="E53" s="7">
        <v>0</v>
      </c>
      <c r="F53" s="7">
        <v>30</v>
      </c>
      <c r="G53" s="7">
        <v>30</v>
      </c>
    </row>
    <row r="54" spans="1:7" x14ac:dyDescent="0.3">
      <c r="A54" s="6">
        <v>53</v>
      </c>
      <c r="B54" s="6">
        <v>0.13639999999999999</v>
      </c>
      <c r="C54" s="6">
        <v>0.5</v>
      </c>
      <c r="D54" s="6">
        <v>0.19400000000000001</v>
      </c>
      <c r="E54" s="6">
        <v>1</v>
      </c>
      <c r="F54" s="6">
        <v>63</v>
      </c>
      <c r="G54" s="6">
        <v>64</v>
      </c>
    </row>
    <row r="55" spans="1:7" x14ac:dyDescent="0.3">
      <c r="A55" s="7">
        <v>54</v>
      </c>
      <c r="B55" s="7">
        <v>0.1212</v>
      </c>
      <c r="C55" s="7">
        <v>0.5</v>
      </c>
      <c r="D55" s="7">
        <v>0.28360000000000002</v>
      </c>
      <c r="E55" s="7">
        <v>1</v>
      </c>
      <c r="F55" s="7">
        <v>153</v>
      </c>
      <c r="G55" s="7">
        <v>154</v>
      </c>
    </row>
    <row r="56" spans="1:7" x14ac:dyDescent="0.3">
      <c r="A56" s="6">
        <v>55</v>
      </c>
      <c r="B56" s="6">
        <v>0.13639999999999999</v>
      </c>
      <c r="C56" s="6">
        <v>0.43</v>
      </c>
      <c r="D56" s="6">
        <v>0.3881</v>
      </c>
      <c r="E56" s="6">
        <v>7</v>
      </c>
      <c r="F56" s="6">
        <v>81</v>
      </c>
      <c r="G56" s="6">
        <v>88</v>
      </c>
    </row>
    <row r="57" spans="1:7" x14ac:dyDescent="0.3">
      <c r="A57" s="7">
        <v>56</v>
      </c>
      <c r="B57" s="7">
        <v>0.16669999999999999</v>
      </c>
      <c r="C57" s="7">
        <v>0.43</v>
      </c>
      <c r="D57" s="7">
        <v>0.25369999999999998</v>
      </c>
      <c r="E57" s="7">
        <v>11</v>
      </c>
      <c r="F57" s="7">
        <v>33</v>
      </c>
      <c r="G57" s="7">
        <v>44</v>
      </c>
    </row>
    <row r="58" spans="1:7" x14ac:dyDescent="0.3">
      <c r="A58" s="6">
        <v>57</v>
      </c>
      <c r="B58" s="6">
        <v>0.18179999999999999</v>
      </c>
      <c r="C58" s="6">
        <v>0.4</v>
      </c>
      <c r="D58" s="6">
        <v>0.32840000000000003</v>
      </c>
      <c r="E58" s="6">
        <v>10</v>
      </c>
      <c r="F58" s="6">
        <v>41</v>
      </c>
      <c r="G58" s="6">
        <v>51</v>
      </c>
    </row>
    <row r="59" spans="1:7" x14ac:dyDescent="0.3">
      <c r="A59" s="7">
        <v>58</v>
      </c>
      <c r="B59" s="7">
        <v>0.21210000000000001</v>
      </c>
      <c r="C59" s="7">
        <v>0.35</v>
      </c>
      <c r="D59" s="7">
        <v>0.29849999999999999</v>
      </c>
      <c r="E59" s="7">
        <v>13</v>
      </c>
      <c r="F59" s="7">
        <v>48</v>
      </c>
      <c r="G59" s="7">
        <v>61</v>
      </c>
    </row>
    <row r="60" spans="1:7" x14ac:dyDescent="0.3">
      <c r="A60" s="6">
        <v>59</v>
      </c>
      <c r="B60" s="6">
        <f>B59</f>
        <v>0.21210000000000001</v>
      </c>
      <c r="C60" s="6">
        <v>0.35</v>
      </c>
      <c r="D60" s="6">
        <v>0.28360000000000002</v>
      </c>
      <c r="E60" s="6">
        <v>8</v>
      </c>
      <c r="F60" s="6">
        <v>53</v>
      </c>
      <c r="G60" s="6">
        <v>61</v>
      </c>
    </row>
    <row r="61" spans="1:7" x14ac:dyDescent="0.3">
      <c r="A61" s="7">
        <v>60</v>
      </c>
      <c r="B61" s="7">
        <v>0.2424</v>
      </c>
      <c r="C61" s="7">
        <v>0.3</v>
      </c>
      <c r="D61" s="7">
        <v>0.28360000000000002</v>
      </c>
      <c r="E61" s="7">
        <v>11</v>
      </c>
      <c r="F61" s="7">
        <v>66</v>
      </c>
      <c r="G61" s="7">
        <v>77</v>
      </c>
    </row>
    <row r="62" spans="1:7" x14ac:dyDescent="0.3">
      <c r="A62" s="6">
        <v>61</v>
      </c>
      <c r="B62" s="6">
        <v>0.2424</v>
      </c>
      <c r="C62" s="6">
        <v>0.3</v>
      </c>
      <c r="D62" s="6">
        <v>0.25369999999999998</v>
      </c>
      <c r="E62" s="6">
        <v>14</v>
      </c>
      <c r="F62" s="6">
        <v>58</v>
      </c>
      <c r="G62" s="6">
        <v>72</v>
      </c>
    </row>
    <row r="63" spans="1:7" x14ac:dyDescent="0.3">
      <c r="A63" s="7">
        <v>62</v>
      </c>
      <c r="B63" s="7">
        <v>0.2424</v>
      </c>
      <c r="C63" s="7">
        <v>0.3</v>
      </c>
      <c r="D63" s="7">
        <v>0.25369999999999998</v>
      </c>
      <c r="E63" s="7">
        <v>9</v>
      </c>
      <c r="F63" s="7">
        <v>67</v>
      </c>
      <c r="G63" s="7">
        <v>76</v>
      </c>
    </row>
    <row r="64" spans="1:7" x14ac:dyDescent="0.3">
      <c r="A64" s="6">
        <v>63</v>
      </c>
      <c r="B64" s="6">
        <v>0.2273</v>
      </c>
      <c r="C64" s="6">
        <v>0.3</v>
      </c>
      <c r="D64" s="6">
        <v>0.22389999999999999</v>
      </c>
      <c r="E64" s="6">
        <v>11</v>
      </c>
      <c r="F64" s="6">
        <v>146</v>
      </c>
      <c r="G64" s="6">
        <v>157</v>
      </c>
    </row>
    <row r="65" spans="1:7" x14ac:dyDescent="0.3">
      <c r="A65" s="7">
        <v>64</v>
      </c>
      <c r="B65" s="7">
        <v>0.2576</v>
      </c>
      <c r="C65" s="7">
        <v>0.32</v>
      </c>
      <c r="D65" s="7">
        <v>0.1045</v>
      </c>
      <c r="E65" s="7">
        <v>9</v>
      </c>
      <c r="F65" s="7">
        <v>148</v>
      </c>
      <c r="G65" s="7">
        <v>157</v>
      </c>
    </row>
    <row r="66" spans="1:7" x14ac:dyDescent="0.3">
      <c r="A66" s="6">
        <v>65</v>
      </c>
      <c r="B66" s="6">
        <v>0.2576</v>
      </c>
      <c r="C66" s="6">
        <v>0.47</v>
      </c>
      <c r="D66" s="6">
        <v>0</v>
      </c>
      <c r="E66" s="6">
        <v>8</v>
      </c>
      <c r="F66" s="6">
        <v>102</v>
      </c>
      <c r="G66" s="6">
        <v>110</v>
      </c>
    </row>
    <row r="67" spans="1:7" x14ac:dyDescent="0.3">
      <c r="A67" s="7">
        <v>66</v>
      </c>
      <c r="B67" s="7">
        <f>B66</f>
        <v>0.2576</v>
      </c>
      <c r="C67" s="7">
        <v>0.47</v>
      </c>
      <c r="D67" s="7">
        <v>0.1045</v>
      </c>
      <c r="E67" s="7">
        <v>3</v>
      </c>
      <c r="F67" s="7">
        <v>49</v>
      </c>
      <c r="G67" s="7">
        <v>52</v>
      </c>
    </row>
    <row r="68" spans="1:7" x14ac:dyDescent="0.3">
      <c r="A68" s="6">
        <v>67</v>
      </c>
      <c r="B68" s="6">
        <v>0.19700000000000001</v>
      </c>
      <c r="C68" s="6">
        <v>0.64</v>
      </c>
      <c r="D68" s="6">
        <v>0.1343</v>
      </c>
      <c r="E68" s="6">
        <v>3</v>
      </c>
      <c r="F68" s="6">
        <v>49</v>
      </c>
      <c r="G68" s="6">
        <v>52</v>
      </c>
    </row>
    <row r="69" spans="1:7" x14ac:dyDescent="0.3">
      <c r="A69" s="7">
        <v>68</v>
      </c>
      <c r="B69" s="7">
        <v>0.1515</v>
      </c>
      <c r="C69" s="7">
        <v>0.69</v>
      </c>
      <c r="D69" s="7">
        <v>0.1343</v>
      </c>
      <c r="E69" s="7">
        <v>0</v>
      </c>
      <c r="F69" s="7">
        <v>20</v>
      </c>
      <c r="G69" s="7">
        <v>20</v>
      </c>
    </row>
    <row r="70" spans="1:7" x14ac:dyDescent="0.3">
      <c r="A70" s="6">
        <v>69</v>
      </c>
      <c r="B70" s="6">
        <v>0.21210000000000001</v>
      </c>
      <c r="C70" s="6">
        <v>0.55000000000000004</v>
      </c>
      <c r="D70" s="6">
        <v>0.1045</v>
      </c>
      <c r="E70" s="6">
        <v>1</v>
      </c>
      <c r="F70" s="6">
        <v>11</v>
      </c>
      <c r="G70" s="6">
        <v>12</v>
      </c>
    </row>
    <row r="71" spans="1:7" x14ac:dyDescent="0.3">
      <c r="A71" s="7">
        <v>70</v>
      </c>
      <c r="B71" s="7">
        <f>B70</f>
        <v>0.21210000000000001</v>
      </c>
      <c r="C71" s="7">
        <v>0.55000000000000004</v>
      </c>
      <c r="D71" s="7">
        <v>0.1045</v>
      </c>
      <c r="E71" s="7">
        <v>0</v>
      </c>
      <c r="F71" s="7">
        <v>5</v>
      </c>
      <c r="G71" s="7">
        <v>5</v>
      </c>
    </row>
    <row r="72" spans="1:7" x14ac:dyDescent="0.3">
      <c r="A72" s="6">
        <v>71</v>
      </c>
      <c r="B72" s="6">
        <v>0.18179999999999999</v>
      </c>
      <c r="C72" s="6">
        <v>0.59</v>
      </c>
      <c r="D72" s="6">
        <v>0.1045</v>
      </c>
      <c r="E72" s="6">
        <v>0</v>
      </c>
      <c r="F72" s="6">
        <v>2</v>
      </c>
      <c r="G72" s="6">
        <v>2</v>
      </c>
    </row>
    <row r="73" spans="1:7" x14ac:dyDescent="0.3">
      <c r="A73" s="7">
        <v>72</v>
      </c>
      <c r="B73" s="7">
        <v>0.1515</v>
      </c>
      <c r="C73" s="7">
        <v>0.63</v>
      </c>
      <c r="D73" s="7">
        <v>0.1343</v>
      </c>
      <c r="E73" s="7">
        <v>0</v>
      </c>
      <c r="F73" s="7">
        <v>1</v>
      </c>
      <c r="G73" s="7">
        <v>1</v>
      </c>
    </row>
    <row r="74" spans="1:7" x14ac:dyDescent="0.3">
      <c r="A74" s="6">
        <v>73</v>
      </c>
      <c r="B74" s="6">
        <v>0.18179999999999999</v>
      </c>
      <c r="C74" s="6">
        <v>0.63</v>
      </c>
      <c r="D74" s="6">
        <v>8.9599999999999999E-2</v>
      </c>
      <c r="E74" s="6">
        <v>0</v>
      </c>
      <c r="F74" s="6">
        <v>2</v>
      </c>
      <c r="G74" s="6">
        <v>2</v>
      </c>
    </row>
    <row r="75" spans="1:7" x14ac:dyDescent="0.3">
      <c r="A75" s="7">
        <v>74</v>
      </c>
      <c r="B75" s="7">
        <v>0.1515</v>
      </c>
      <c r="C75" s="7">
        <v>0.68</v>
      </c>
      <c r="D75" s="7">
        <v>0.1045</v>
      </c>
      <c r="E75" s="7">
        <v>0</v>
      </c>
      <c r="F75" s="7">
        <v>4</v>
      </c>
      <c r="G75" s="7">
        <v>4</v>
      </c>
    </row>
    <row r="76" spans="1:7" x14ac:dyDescent="0.3">
      <c r="A76" s="6">
        <v>75</v>
      </c>
      <c r="B76" s="6">
        <v>0.1515</v>
      </c>
      <c r="C76" s="6">
        <v>0.74</v>
      </c>
      <c r="D76" s="6">
        <v>0.1045</v>
      </c>
      <c r="E76" s="6">
        <v>0</v>
      </c>
      <c r="F76" s="6">
        <v>36</v>
      </c>
      <c r="G76" s="6">
        <v>36</v>
      </c>
    </row>
    <row r="77" spans="1:7" x14ac:dyDescent="0.3">
      <c r="A77" s="7">
        <v>76</v>
      </c>
      <c r="B77" s="7">
        <v>0.1515</v>
      </c>
      <c r="C77" s="7">
        <v>0.74</v>
      </c>
      <c r="D77" s="7">
        <v>0.1343</v>
      </c>
      <c r="E77" s="7">
        <v>2</v>
      </c>
      <c r="F77" s="7">
        <v>92</v>
      </c>
      <c r="G77" s="7">
        <v>94</v>
      </c>
    </row>
    <row r="78" spans="1:7" x14ac:dyDescent="0.3">
      <c r="A78" s="6">
        <v>77</v>
      </c>
      <c r="B78" s="6">
        <v>0.1515</v>
      </c>
      <c r="C78" s="6">
        <v>0.69</v>
      </c>
      <c r="D78" s="6">
        <v>0.16420000000000001</v>
      </c>
      <c r="E78" s="6">
        <v>2</v>
      </c>
      <c r="F78" s="6">
        <v>177</v>
      </c>
      <c r="G78" s="6">
        <v>179</v>
      </c>
    </row>
    <row r="79" spans="1:7" x14ac:dyDescent="0.3">
      <c r="A79" s="7">
        <v>78</v>
      </c>
      <c r="B79" s="7">
        <v>0.1515</v>
      </c>
      <c r="C79" s="7">
        <v>0.64</v>
      </c>
      <c r="D79" s="7">
        <v>0.22389999999999999</v>
      </c>
      <c r="E79" s="7">
        <v>2</v>
      </c>
      <c r="F79" s="7">
        <v>98</v>
      </c>
      <c r="G79" s="7">
        <v>100</v>
      </c>
    </row>
    <row r="80" spans="1:7" x14ac:dyDescent="0.3">
      <c r="A80" s="6">
        <v>79</v>
      </c>
      <c r="B80" s="6">
        <v>0.13639999999999999</v>
      </c>
      <c r="C80" s="6">
        <v>0.69</v>
      </c>
      <c r="D80" s="6">
        <v>0.32840000000000003</v>
      </c>
      <c r="E80" s="6">
        <v>5</v>
      </c>
      <c r="F80" s="6">
        <v>37</v>
      </c>
      <c r="G80" s="6">
        <v>42</v>
      </c>
    </row>
    <row r="81" spans="1:7" x14ac:dyDescent="0.3">
      <c r="A81" s="7">
        <v>80</v>
      </c>
      <c r="B81" s="7">
        <v>0.21210000000000001</v>
      </c>
      <c r="C81" s="7">
        <v>0.51</v>
      </c>
      <c r="D81" s="7">
        <v>0.29849999999999999</v>
      </c>
      <c r="E81" s="7">
        <v>7</v>
      </c>
      <c r="F81" s="7">
        <v>50</v>
      </c>
      <c r="G81" s="7">
        <v>57</v>
      </c>
    </row>
    <row r="82" spans="1:7" x14ac:dyDescent="0.3">
      <c r="A82" s="6">
        <v>81</v>
      </c>
      <c r="B82" s="6">
        <v>0.2273</v>
      </c>
      <c r="C82" s="6">
        <v>0.51</v>
      </c>
      <c r="D82" s="6">
        <v>0.16420000000000001</v>
      </c>
      <c r="E82" s="6">
        <v>12</v>
      </c>
      <c r="F82" s="6">
        <v>66</v>
      </c>
      <c r="G82" s="6">
        <v>78</v>
      </c>
    </row>
    <row r="83" spans="1:7" x14ac:dyDescent="0.3">
      <c r="A83" s="7">
        <v>82</v>
      </c>
      <c r="B83" s="7">
        <v>0.2273</v>
      </c>
      <c r="C83" s="7">
        <v>0.56000000000000005</v>
      </c>
      <c r="D83" s="7">
        <v>0.19400000000000001</v>
      </c>
      <c r="E83" s="7">
        <v>18</v>
      </c>
      <c r="F83" s="7">
        <v>79</v>
      </c>
      <c r="G83" s="7">
        <v>97</v>
      </c>
    </row>
    <row r="84" spans="1:7" x14ac:dyDescent="0.3">
      <c r="A84" s="6">
        <v>83</v>
      </c>
      <c r="B84" s="6">
        <v>0.2576</v>
      </c>
      <c r="C84" s="6">
        <v>0.52</v>
      </c>
      <c r="D84" s="6">
        <v>0.22389999999999999</v>
      </c>
      <c r="E84" s="6">
        <v>9</v>
      </c>
      <c r="F84" s="6">
        <v>54</v>
      </c>
      <c r="G84" s="6">
        <v>63</v>
      </c>
    </row>
    <row r="85" spans="1:7" x14ac:dyDescent="0.3">
      <c r="A85" s="7">
        <v>84</v>
      </c>
      <c r="B85" s="7">
        <v>0.2727</v>
      </c>
      <c r="C85" s="7">
        <v>0.52</v>
      </c>
      <c r="D85" s="7">
        <v>0.25369999999999998</v>
      </c>
      <c r="E85" s="7">
        <v>17</v>
      </c>
      <c r="F85" s="7">
        <v>48</v>
      </c>
      <c r="G85" s="7">
        <v>65</v>
      </c>
    </row>
    <row r="86" spans="1:7" x14ac:dyDescent="0.3">
      <c r="A86" s="6">
        <v>85</v>
      </c>
      <c r="B86" s="6">
        <v>0.28789999999999999</v>
      </c>
      <c r="C86" s="6">
        <v>0.49</v>
      </c>
      <c r="D86" s="6">
        <v>0.25369999999999998</v>
      </c>
      <c r="E86" s="6">
        <v>15</v>
      </c>
      <c r="F86" s="6">
        <v>68</v>
      </c>
      <c r="G86" s="6">
        <v>83</v>
      </c>
    </row>
    <row r="87" spans="1:7" x14ac:dyDescent="0.3">
      <c r="A87" s="7">
        <v>86</v>
      </c>
      <c r="B87" s="7">
        <v>0.2727</v>
      </c>
      <c r="C87" s="7">
        <v>0.48</v>
      </c>
      <c r="D87" s="7">
        <v>0.22389999999999999</v>
      </c>
      <c r="E87" s="7">
        <v>10</v>
      </c>
      <c r="F87" s="7">
        <v>202</v>
      </c>
      <c r="G87" s="7">
        <v>212</v>
      </c>
    </row>
    <row r="88" spans="1:7" x14ac:dyDescent="0.3">
      <c r="A88" s="6">
        <v>87</v>
      </c>
      <c r="B88" s="6">
        <v>0.2576</v>
      </c>
      <c r="C88" s="6">
        <v>0.48</v>
      </c>
      <c r="D88" s="6">
        <v>0.19400000000000001</v>
      </c>
      <c r="E88" s="6">
        <v>3</v>
      </c>
      <c r="F88" s="6">
        <v>179</v>
      </c>
      <c r="G88" s="6">
        <v>182</v>
      </c>
    </row>
    <row r="89" spans="1:7" x14ac:dyDescent="0.3">
      <c r="A89" s="7">
        <v>88</v>
      </c>
      <c r="B89" s="7">
        <v>0.2576</v>
      </c>
      <c r="C89" s="7">
        <v>0.48</v>
      </c>
      <c r="D89" s="7">
        <v>0.1045</v>
      </c>
      <c r="E89" s="7">
        <v>2</v>
      </c>
      <c r="F89" s="7">
        <v>110</v>
      </c>
      <c r="G89" s="7">
        <v>112</v>
      </c>
    </row>
    <row r="90" spans="1:7" x14ac:dyDescent="0.3">
      <c r="A90" s="6">
        <v>89</v>
      </c>
      <c r="B90" s="6">
        <v>0.2576</v>
      </c>
      <c r="C90" s="6">
        <v>0.48</v>
      </c>
      <c r="D90" s="6">
        <v>0.1045</v>
      </c>
      <c r="E90" s="6">
        <v>1</v>
      </c>
      <c r="F90" s="6">
        <v>53</v>
      </c>
      <c r="G90" s="6">
        <v>54</v>
      </c>
    </row>
    <row r="91" spans="1:7" x14ac:dyDescent="0.3">
      <c r="A91" s="7">
        <v>90</v>
      </c>
      <c r="B91" s="7">
        <v>0.2727</v>
      </c>
      <c r="C91" s="7">
        <v>0.64</v>
      </c>
      <c r="D91" s="7">
        <v>0</v>
      </c>
      <c r="E91" s="7">
        <v>0</v>
      </c>
      <c r="F91" s="7">
        <v>48</v>
      </c>
      <c r="G91" s="7">
        <v>48</v>
      </c>
    </row>
    <row r="92" spans="1:7" x14ac:dyDescent="0.3">
      <c r="A92" s="6">
        <v>91</v>
      </c>
      <c r="B92" s="6">
        <v>0.2576</v>
      </c>
      <c r="C92" s="6">
        <v>0.64</v>
      </c>
      <c r="D92" s="6">
        <v>8.9599999999999999E-2</v>
      </c>
      <c r="E92" s="6">
        <v>1</v>
      </c>
      <c r="F92" s="6">
        <v>34</v>
      </c>
      <c r="G92" s="6">
        <v>35</v>
      </c>
    </row>
    <row r="93" spans="1:7" x14ac:dyDescent="0.3">
      <c r="A93" s="7">
        <v>92</v>
      </c>
      <c r="B93" s="7">
        <v>0.2273</v>
      </c>
      <c r="C93" s="7">
        <v>0.69</v>
      </c>
      <c r="D93" s="7">
        <v>8.9599999999999999E-2</v>
      </c>
      <c r="E93" s="7">
        <v>2</v>
      </c>
      <c r="F93" s="7">
        <v>9</v>
      </c>
      <c r="G93" s="7">
        <v>11</v>
      </c>
    </row>
    <row r="94" spans="1:7" x14ac:dyDescent="0.3">
      <c r="A94" s="6">
        <v>93</v>
      </c>
      <c r="B94" s="6">
        <v>0.2576</v>
      </c>
      <c r="C94" s="6">
        <v>0.64</v>
      </c>
      <c r="D94" s="6">
        <v>0</v>
      </c>
      <c r="E94" s="6">
        <v>0</v>
      </c>
      <c r="F94" s="6">
        <v>6</v>
      </c>
      <c r="G94" s="6">
        <v>6</v>
      </c>
    </row>
    <row r="95" spans="1:7" x14ac:dyDescent="0.3">
      <c r="A95" s="7">
        <v>94</v>
      </c>
      <c r="B95" s="7">
        <v>0.19700000000000001</v>
      </c>
      <c r="C95" s="7">
        <v>0.74</v>
      </c>
      <c r="D95" s="7">
        <v>8.9599999999999999E-2</v>
      </c>
      <c r="E95" s="7">
        <v>0</v>
      </c>
      <c r="F95" s="7">
        <v>6</v>
      </c>
      <c r="G95" s="7">
        <v>6</v>
      </c>
    </row>
    <row r="96" spans="1:7" x14ac:dyDescent="0.3">
      <c r="A96" s="6">
        <v>95</v>
      </c>
      <c r="B96" s="6">
        <v>0.19700000000000001</v>
      </c>
      <c r="C96" s="6">
        <v>0.74</v>
      </c>
      <c r="D96" s="6">
        <v>8.9599999999999999E-2</v>
      </c>
      <c r="E96" s="6">
        <v>0</v>
      </c>
      <c r="F96" s="6">
        <v>2</v>
      </c>
      <c r="G96" s="6">
        <v>2</v>
      </c>
    </row>
    <row r="97" spans="1:7" x14ac:dyDescent="0.3">
      <c r="A97" s="7">
        <v>96</v>
      </c>
      <c r="B97" s="7">
        <v>0.2273</v>
      </c>
      <c r="C97" s="7">
        <v>0.48</v>
      </c>
      <c r="D97" s="7">
        <v>0.22389999999999999</v>
      </c>
      <c r="E97" s="7">
        <v>0</v>
      </c>
      <c r="F97" s="7">
        <v>2</v>
      </c>
      <c r="G97" s="7">
        <v>2</v>
      </c>
    </row>
    <row r="98" spans="1:7" x14ac:dyDescent="0.3">
      <c r="A98" s="6">
        <v>97</v>
      </c>
      <c r="B98" s="6">
        <v>0.2273</v>
      </c>
      <c r="C98" s="6">
        <v>0.47</v>
      </c>
      <c r="D98" s="6">
        <v>0.16420000000000001</v>
      </c>
      <c r="E98" s="6">
        <v>0</v>
      </c>
      <c r="F98" s="6">
        <v>3</v>
      </c>
      <c r="G98" s="6">
        <v>3</v>
      </c>
    </row>
    <row r="99" spans="1:7" x14ac:dyDescent="0.3">
      <c r="A99" s="7">
        <v>98</v>
      </c>
      <c r="B99" s="7">
        <v>0.19700000000000001</v>
      </c>
      <c r="C99" s="7">
        <v>0.47</v>
      </c>
      <c r="D99" s="7">
        <v>0.22389999999999999</v>
      </c>
      <c r="E99" s="7">
        <v>0</v>
      </c>
      <c r="F99" s="7">
        <v>33</v>
      </c>
      <c r="G99" s="7">
        <v>33</v>
      </c>
    </row>
    <row r="100" spans="1:7" x14ac:dyDescent="0.3">
      <c r="A100" s="6">
        <v>99</v>
      </c>
      <c r="B100" s="6">
        <v>0.18179999999999999</v>
      </c>
      <c r="C100" s="6">
        <v>0.43</v>
      </c>
      <c r="D100" s="6">
        <v>0.19400000000000001</v>
      </c>
      <c r="E100" s="6">
        <v>1</v>
      </c>
      <c r="F100" s="6">
        <v>87</v>
      </c>
      <c r="G100" s="6">
        <v>88</v>
      </c>
    </row>
    <row r="101" spans="1:7" x14ac:dyDescent="0.3">
      <c r="A101" s="7">
        <v>100</v>
      </c>
      <c r="B101" s="7">
        <v>0.18179999999999999</v>
      </c>
      <c r="C101" s="7">
        <v>0.4</v>
      </c>
      <c r="D101" s="7">
        <v>0.29849999999999999</v>
      </c>
      <c r="E101" s="7">
        <v>3</v>
      </c>
      <c r="F101" s="7">
        <v>192</v>
      </c>
      <c r="G101" s="7">
        <v>195</v>
      </c>
    </row>
    <row r="102" spans="1:7" x14ac:dyDescent="0.3">
      <c r="A102" s="6">
        <v>101</v>
      </c>
      <c r="B102" s="6">
        <v>0.19700000000000001</v>
      </c>
      <c r="C102" s="6">
        <v>0.37</v>
      </c>
      <c r="D102" s="6">
        <v>0.32840000000000003</v>
      </c>
      <c r="E102" s="6">
        <v>6</v>
      </c>
      <c r="F102" s="6">
        <v>109</v>
      </c>
      <c r="G102" s="6">
        <v>115</v>
      </c>
    </row>
    <row r="103" spans="1:7" x14ac:dyDescent="0.3">
      <c r="A103" s="7">
        <v>102</v>
      </c>
      <c r="B103" s="7">
        <v>0.19700000000000001</v>
      </c>
      <c r="C103" s="7">
        <v>0.37</v>
      </c>
      <c r="D103" s="7">
        <v>0.32840000000000003</v>
      </c>
      <c r="E103" s="7">
        <v>4</v>
      </c>
      <c r="F103" s="7">
        <v>53</v>
      </c>
      <c r="G103" s="7">
        <v>57</v>
      </c>
    </row>
    <row r="104" spans="1:7" x14ac:dyDescent="0.3">
      <c r="A104" s="6">
        <v>103</v>
      </c>
      <c r="B104" s="6">
        <v>0.2273</v>
      </c>
      <c r="C104" s="6">
        <v>0.33</v>
      </c>
      <c r="D104" s="6">
        <v>0.32840000000000003</v>
      </c>
      <c r="E104" s="6">
        <v>12</v>
      </c>
      <c r="F104" s="6">
        <v>34</v>
      </c>
      <c r="G104" s="6">
        <v>46</v>
      </c>
    </row>
    <row r="105" spans="1:7" x14ac:dyDescent="0.3">
      <c r="A105" s="7">
        <v>104</v>
      </c>
      <c r="B105" s="7">
        <v>0.2273</v>
      </c>
      <c r="C105" s="7">
        <v>0.33</v>
      </c>
      <c r="D105" s="7">
        <v>0.32840000000000003</v>
      </c>
      <c r="E105" s="7">
        <v>5</v>
      </c>
      <c r="F105" s="7">
        <v>74</v>
      </c>
      <c r="G105" s="7">
        <v>79</v>
      </c>
    </row>
    <row r="106" spans="1:7" x14ac:dyDescent="0.3">
      <c r="A106" s="6">
        <v>105</v>
      </c>
      <c r="B106" s="6">
        <v>0.2576</v>
      </c>
      <c r="C106" s="6">
        <v>0.3</v>
      </c>
      <c r="D106" s="6">
        <v>0.29849999999999999</v>
      </c>
      <c r="E106" s="6">
        <v>6</v>
      </c>
      <c r="F106" s="6">
        <v>65</v>
      </c>
      <c r="G106" s="6">
        <v>71</v>
      </c>
    </row>
    <row r="107" spans="1:7" x14ac:dyDescent="0.3">
      <c r="A107" s="7">
        <v>106</v>
      </c>
      <c r="B107" s="7">
        <v>0.28789999999999999</v>
      </c>
      <c r="C107" s="7">
        <v>0.28000000000000003</v>
      </c>
      <c r="D107" s="7">
        <v>0.19400000000000001</v>
      </c>
      <c r="E107" s="7">
        <v>10</v>
      </c>
      <c r="F107" s="7">
        <v>52</v>
      </c>
      <c r="G107" s="7">
        <v>62</v>
      </c>
    </row>
    <row r="108" spans="1:7" x14ac:dyDescent="0.3">
      <c r="A108" s="6">
        <v>107</v>
      </c>
      <c r="B108" s="6">
        <v>0.28789999999999999</v>
      </c>
      <c r="C108" s="6">
        <v>0.28000000000000003</v>
      </c>
      <c r="D108" s="6">
        <v>0.19400000000000001</v>
      </c>
      <c r="E108" s="6">
        <v>7</v>
      </c>
      <c r="F108" s="6">
        <v>55</v>
      </c>
      <c r="G108" s="6">
        <v>62</v>
      </c>
    </row>
    <row r="109" spans="1:7" x14ac:dyDescent="0.3">
      <c r="A109" s="7">
        <v>108</v>
      </c>
      <c r="B109" s="7">
        <v>0.31819999999999998</v>
      </c>
      <c r="C109" s="7">
        <v>0.28000000000000003</v>
      </c>
      <c r="D109" s="7">
        <v>8.9599999999999999E-2</v>
      </c>
      <c r="E109" s="7">
        <v>4</v>
      </c>
      <c r="F109" s="7">
        <v>85</v>
      </c>
      <c r="G109" s="7">
        <v>89</v>
      </c>
    </row>
    <row r="110" spans="1:7" x14ac:dyDescent="0.3">
      <c r="A110" s="6">
        <v>109</v>
      </c>
      <c r="B110" s="6">
        <v>0.2273</v>
      </c>
      <c r="C110" s="6">
        <v>0.38</v>
      </c>
      <c r="D110" s="6">
        <v>0.19400000000000001</v>
      </c>
      <c r="E110" s="6">
        <v>4</v>
      </c>
      <c r="F110" s="6">
        <v>186</v>
      </c>
      <c r="G110" s="6">
        <v>190</v>
      </c>
    </row>
    <row r="111" spans="1:7" x14ac:dyDescent="0.3">
      <c r="A111" s="7">
        <v>110</v>
      </c>
      <c r="B111" s="7">
        <v>0.2424</v>
      </c>
      <c r="C111" s="7">
        <v>0.38</v>
      </c>
      <c r="D111" s="7">
        <v>0.1343</v>
      </c>
      <c r="E111" s="7">
        <v>3</v>
      </c>
      <c r="F111" s="7">
        <v>166</v>
      </c>
      <c r="G111" s="7">
        <v>169</v>
      </c>
    </row>
    <row r="112" spans="1:7" x14ac:dyDescent="0.3">
      <c r="A112" s="6">
        <v>111</v>
      </c>
      <c r="B112" s="6">
        <v>0.2576</v>
      </c>
      <c r="C112" s="6">
        <v>0.38</v>
      </c>
      <c r="D112" s="6">
        <v>0.1045</v>
      </c>
      <c r="E112" s="6">
        <v>5</v>
      </c>
      <c r="F112" s="6">
        <v>127</v>
      </c>
      <c r="G112" s="6">
        <v>132</v>
      </c>
    </row>
    <row r="113" spans="1:7" x14ac:dyDescent="0.3">
      <c r="A113" s="7">
        <v>112</v>
      </c>
      <c r="B113" s="7">
        <v>0.2273</v>
      </c>
      <c r="C113" s="7">
        <v>0.47</v>
      </c>
      <c r="D113" s="7">
        <v>0.16420000000000001</v>
      </c>
      <c r="E113" s="7">
        <v>7</v>
      </c>
      <c r="F113" s="7">
        <v>82</v>
      </c>
      <c r="G113" s="7">
        <v>89</v>
      </c>
    </row>
    <row r="114" spans="1:7" x14ac:dyDescent="0.3">
      <c r="A114" s="6">
        <v>113</v>
      </c>
      <c r="B114" s="6">
        <v>0.19700000000000001</v>
      </c>
      <c r="C114" s="6">
        <v>0.51</v>
      </c>
      <c r="D114" s="6">
        <v>0.19400000000000001</v>
      </c>
      <c r="E114" s="6">
        <v>3</v>
      </c>
      <c r="F114" s="6">
        <v>40</v>
      </c>
      <c r="G114" s="6">
        <v>43</v>
      </c>
    </row>
    <row r="115" spans="1:7" x14ac:dyDescent="0.3">
      <c r="A115" s="7">
        <v>114</v>
      </c>
      <c r="B115" s="7">
        <v>0.19700000000000001</v>
      </c>
      <c r="C115" s="7">
        <v>0.55000000000000004</v>
      </c>
      <c r="D115" s="7">
        <v>0.1343</v>
      </c>
      <c r="E115" s="7">
        <v>1</v>
      </c>
      <c r="F115" s="7">
        <v>41</v>
      </c>
      <c r="G115" s="7">
        <v>42</v>
      </c>
    </row>
    <row r="116" spans="1:7" x14ac:dyDescent="0.3">
      <c r="A116" s="6">
        <v>115</v>
      </c>
      <c r="B116" s="6">
        <v>0.2576</v>
      </c>
      <c r="C116" s="6">
        <v>0.47</v>
      </c>
      <c r="D116" s="6">
        <v>0</v>
      </c>
      <c r="E116" s="6">
        <v>1</v>
      </c>
      <c r="F116" s="6">
        <v>18</v>
      </c>
      <c r="G116" s="6">
        <v>19</v>
      </c>
    </row>
    <row r="117" spans="1:7" x14ac:dyDescent="0.3">
      <c r="A117" s="7">
        <v>116</v>
      </c>
      <c r="B117" s="7">
        <v>0.2424</v>
      </c>
      <c r="C117" s="7">
        <v>0.55000000000000004</v>
      </c>
      <c r="D117" s="7">
        <v>0</v>
      </c>
      <c r="E117" s="7">
        <v>0</v>
      </c>
      <c r="F117" s="7">
        <v>11</v>
      </c>
      <c r="G117" s="7">
        <v>11</v>
      </c>
    </row>
    <row r="118" spans="1:7" x14ac:dyDescent="0.3">
      <c r="A118" s="6">
        <v>117</v>
      </c>
      <c r="B118" s="6">
        <v>0.2273</v>
      </c>
      <c r="C118" s="6">
        <v>0.64</v>
      </c>
      <c r="D118" s="6">
        <v>0</v>
      </c>
      <c r="E118" s="6">
        <v>0</v>
      </c>
      <c r="F118" s="6">
        <v>4</v>
      </c>
      <c r="G118" s="6">
        <v>4</v>
      </c>
    </row>
    <row r="119" spans="1:7" x14ac:dyDescent="0.3">
      <c r="A119" s="7">
        <v>118</v>
      </c>
      <c r="B119" s="7">
        <v>0.2273</v>
      </c>
      <c r="C119" s="7">
        <v>0.64</v>
      </c>
      <c r="D119" s="7">
        <v>0</v>
      </c>
      <c r="E119" s="7">
        <v>0</v>
      </c>
      <c r="F119" s="7">
        <v>2</v>
      </c>
      <c r="G119" s="7">
        <v>2</v>
      </c>
    </row>
    <row r="120" spans="1:7" x14ac:dyDescent="0.3">
      <c r="A120" s="6">
        <v>119</v>
      </c>
      <c r="B120" s="6">
        <v>0.19700000000000001</v>
      </c>
      <c r="C120" s="6">
        <v>0.64</v>
      </c>
      <c r="D120" s="6">
        <v>8.9599999999999999E-2</v>
      </c>
      <c r="E120" s="6">
        <v>0</v>
      </c>
      <c r="F120" s="6">
        <v>1</v>
      </c>
      <c r="G120" s="6">
        <v>1</v>
      </c>
    </row>
    <row r="121" spans="1:7" x14ac:dyDescent="0.3">
      <c r="A121" s="7">
        <v>120</v>
      </c>
      <c r="B121" s="7">
        <v>0.18179999999999999</v>
      </c>
      <c r="C121" s="7">
        <v>0.69</v>
      </c>
      <c r="D121" s="7">
        <v>8.9599999999999999E-2</v>
      </c>
      <c r="E121" s="7">
        <v>0</v>
      </c>
      <c r="F121" s="7">
        <v>4</v>
      </c>
      <c r="G121" s="7">
        <v>4</v>
      </c>
    </row>
    <row r="122" spans="1:7" x14ac:dyDescent="0.3">
      <c r="A122" s="6">
        <v>121</v>
      </c>
      <c r="B122" s="6">
        <v>0.16669999999999999</v>
      </c>
      <c r="C122" s="6">
        <v>0.63</v>
      </c>
      <c r="D122" s="6">
        <v>0.1045</v>
      </c>
      <c r="E122" s="6">
        <v>0</v>
      </c>
      <c r="F122" s="6">
        <v>36</v>
      </c>
      <c r="G122" s="6">
        <v>36</v>
      </c>
    </row>
    <row r="123" spans="1:7" x14ac:dyDescent="0.3">
      <c r="A123" s="7">
        <v>122</v>
      </c>
      <c r="B123" s="7">
        <v>0.2273</v>
      </c>
      <c r="C123" s="7">
        <v>0.59</v>
      </c>
      <c r="D123" s="7">
        <v>0</v>
      </c>
      <c r="E123" s="7">
        <v>0</v>
      </c>
      <c r="F123" s="7">
        <v>95</v>
      </c>
      <c r="G123" s="7">
        <v>95</v>
      </c>
    </row>
    <row r="124" spans="1:7" x14ac:dyDescent="0.3">
      <c r="A124" s="6">
        <v>123</v>
      </c>
      <c r="B124" s="6">
        <v>0.2273</v>
      </c>
      <c r="C124" s="6">
        <v>0.59</v>
      </c>
      <c r="D124" s="6">
        <v>0</v>
      </c>
      <c r="E124" s="6">
        <v>3</v>
      </c>
      <c r="F124" s="6">
        <v>216</v>
      </c>
      <c r="G124" s="6">
        <v>219</v>
      </c>
    </row>
    <row r="125" spans="1:7" x14ac:dyDescent="0.3">
      <c r="A125" s="7">
        <v>124</v>
      </c>
      <c r="B125" s="7">
        <v>0.2424</v>
      </c>
      <c r="C125" s="7">
        <v>0.51</v>
      </c>
      <c r="D125" s="7">
        <v>0</v>
      </c>
      <c r="E125" s="7">
        <v>6</v>
      </c>
      <c r="F125" s="7">
        <v>116</v>
      </c>
      <c r="G125" s="7">
        <v>122</v>
      </c>
    </row>
    <row r="126" spans="1:7" x14ac:dyDescent="0.3">
      <c r="A126" s="6">
        <v>125</v>
      </c>
      <c r="B126" s="6">
        <v>0.2576</v>
      </c>
      <c r="C126" s="6">
        <v>0.47</v>
      </c>
      <c r="D126" s="6">
        <v>0</v>
      </c>
      <c r="E126" s="6">
        <v>3</v>
      </c>
      <c r="F126" s="6">
        <v>42</v>
      </c>
      <c r="G126" s="6">
        <v>45</v>
      </c>
    </row>
    <row r="127" spans="1:7" x14ac:dyDescent="0.3">
      <c r="A127" s="7">
        <v>126</v>
      </c>
      <c r="B127" s="7">
        <v>0.2576</v>
      </c>
      <c r="C127" s="7">
        <v>0.44</v>
      </c>
      <c r="D127" s="7">
        <v>8.9599999999999999E-2</v>
      </c>
      <c r="E127" s="7">
        <v>2</v>
      </c>
      <c r="F127" s="7">
        <v>57</v>
      </c>
      <c r="G127" s="7">
        <v>59</v>
      </c>
    </row>
    <row r="128" spans="1:7" x14ac:dyDescent="0.3">
      <c r="A128" s="6">
        <v>127</v>
      </c>
      <c r="B128" s="6">
        <v>0.28789999999999999</v>
      </c>
      <c r="C128" s="6">
        <v>0.35</v>
      </c>
      <c r="D128" s="6">
        <v>0</v>
      </c>
      <c r="E128" s="6">
        <v>6</v>
      </c>
      <c r="F128" s="6">
        <v>78</v>
      </c>
      <c r="G128" s="6">
        <v>84</v>
      </c>
    </row>
    <row r="129" spans="1:7" x14ac:dyDescent="0.3">
      <c r="A129" s="7">
        <v>128</v>
      </c>
      <c r="B129" s="7">
        <v>0.2727</v>
      </c>
      <c r="C129" s="7">
        <v>0.35</v>
      </c>
      <c r="D129" s="7">
        <v>0.1045</v>
      </c>
      <c r="E129" s="7">
        <v>12</v>
      </c>
      <c r="F129" s="7">
        <v>55</v>
      </c>
      <c r="G129" s="7">
        <v>67</v>
      </c>
    </row>
    <row r="130" spans="1:7" x14ac:dyDescent="0.3">
      <c r="A130" s="6">
        <v>129</v>
      </c>
      <c r="B130" s="6">
        <v>0.2727</v>
      </c>
      <c r="C130" s="6">
        <v>0.36</v>
      </c>
      <c r="D130" s="6">
        <v>0.16420000000000001</v>
      </c>
      <c r="E130" s="6">
        <v>11</v>
      </c>
      <c r="F130" s="6">
        <v>59</v>
      </c>
      <c r="G130" s="6">
        <v>70</v>
      </c>
    </row>
    <row r="131" spans="1:7" x14ac:dyDescent="0.3">
      <c r="A131" s="7">
        <v>130</v>
      </c>
      <c r="B131" s="7">
        <v>0.2727</v>
      </c>
      <c r="C131" s="7">
        <v>0.36</v>
      </c>
      <c r="D131" s="7">
        <v>0</v>
      </c>
      <c r="E131" s="7">
        <v>8</v>
      </c>
      <c r="F131" s="7">
        <v>54</v>
      </c>
      <c r="G131" s="7">
        <v>62</v>
      </c>
    </row>
    <row r="132" spans="1:7" x14ac:dyDescent="0.3">
      <c r="A132" s="6">
        <v>131</v>
      </c>
      <c r="B132" s="6">
        <v>0.2576</v>
      </c>
      <c r="C132" s="6">
        <v>0.38</v>
      </c>
      <c r="D132" s="6">
        <v>0.16420000000000001</v>
      </c>
      <c r="E132" s="6">
        <v>12</v>
      </c>
      <c r="F132" s="6">
        <v>74</v>
      </c>
      <c r="G132" s="6">
        <v>86</v>
      </c>
    </row>
    <row r="133" spans="1:7" x14ac:dyDescent="0.3">
      <c r="A133" s="7">
        <v>132</v>
      </c>
      <c r="B133" s="7">
        <v>0.2273</v>
      </c>
      <c r="C133" s="7">
        <v>0.51</v>
      </c>
      <c r="D133" s="7">
        <v>0.16420000000000001</v>
      </c>
      <c r="E133" s="7">
        <v>9</v>
      </c>
      <c r="F133" s="7">
        <v>163</v>
      </c>
      <c r="G133" s="7">
        <v>172</v>
      </c>
    </row>
    <row r="134" spans="1:7" x14ac:dyDescent="0.3">
      <c r="A134" s="6">
        <v>133</v>
      </c>
      <c r="B134" s="6">
        <v>0.2273</v>
      </c>
      <c r="C134" s="6">
        <v>0.51</v>
      </c>
      <c r="D134" s="6">
        <v>0.1343</v>
      </c>
      <c r="E134" s="6">
        <v>5</v>
      </c>
      <c r="F134" s="6">
        <v>158</v>
      </c>
      <c r="G134" s="6">
        <v>163</v>
      </c>
    </row>
    <row r="135" spans="1:7" x14ac:dyDescent="0.3">
      <c r="A135" s="7">
        <v>134</v>
      </c>
      <c r="B135" s="7">
        <v>0.2576</v>
      </c>
      <c r="C135" s="7">
        <v>0.55000000000000004</v>
      </c>
      <c r="D135" s="7">
        <v>8.9599999999999999E-2</v>
      </c>
      <c r="E135" s="7">
        <v>3</v>
      </c>
      <c r="F135" s="7">
        <v>109</v>
      </c>
      <c r="G135" s="7">
        <v>112</v>
      </c>
    </row>
    <row r="136" spans="1:7" x14ac:dyDescent="0.3">
      <c r="A136" s="6">
        <v>135</v>
      </c>
      <c r="B136" s="6">
        <v>0.21210000000000001</v>
      </c>
      <c r="C136" s="6">
        <v>0.51</v>
      </c>
      <c r="D136" s="6">
        <v>0.16420000000000001</v>
      </c>
      <c r="E136" s="6">
        <v>3</v>
      </c>
      <c r="F136" s="6">
        <v>66</v>
      </c>
      <c r="G136" s="6">
        <v>69</v>
      </c>
    </row>
    <row r="137" spans="1:7" x14ac:dyDescent="0.3">
      <c r="A137" s="7">
        <v>136</v>
      </c>
      <c r="B137" s="7">
        <v>0.21210000000000001</v>
      </c>
      <c r="C137" s="7">
        <v>0.55000000000000004</v>
      </c>
      <c r="D137" s="7">
        <v>0.22389999999999999</v>
      </c>
      <c r="E137" s="7">
        <v>0</v>
      </c>
      <c r="F137" s="7">
        <v>48</v>
      </c>
      <c r="G137" s="7">
        <v>48</v>
      </c>
    </row>
    <row r="138" spans="1:7" x14ac:dyDescent="0.3">
      <c r="A138" s="6">
        <v>137</v>
      </c>
      <c r="B138" s="6">
        <v>0.21210000000000001</v>
      </c>
      <c r="C138" s="6">
        <v>0.51</v>
      </c>
      <c r="D138" s="6">
        <v>0.28360000000000002</v>
      </c>
      <c r="E138" s="6">
        <v>1</v>
      </c>
      <c r="F138" s="6">
        <v>51</v>
      </c>
      <c r="G138" s="6">
        <v>52</v>
      </c>
    </row>
    <row r="139" spans="1:7" x14ac:dyDescent="0.3">
      <c r="A139" s="7">
        <v>138</v>
      </c>
      <c r="B139" s="7">
        <v>0.19700000000000001</v>
      </c>
      <c r="C139" s="7">
        <v>0.59</v>
      </c>
      <c r="D139" s="7">
        <v>0.19400000000000001</v>
      </c>
      <c r="E139" s="7">
        <v>4</v>
      </c>
      <c r="F139" s="7">
        <v>19</v>
      </c>
      <c r="G139" s="7">
        <v>23</v>
      </c>
    </row>
    <row r="140" spans="1:7" x14ac:dyDescent="0.3">
      <c r="A140" s="6">
        <v>139</v>
      </c>
      <c r="B140" s="6">
        <v>0.19700000000000001</v>
      </c>
      <c r="C140" s="6">
        <v>0.64</v>
      </c>
      <c r="D140" s="6">
        <v>0.19400000000000001</v>
      </c>
      <c r="E140" s="6">
        <v>4</v>
      </c>
      <c r="F140" s="6">
        <v>13</v>
      </c>
      <c r="G140" s="6">
        <v>17</v>
      </c>
    </row>
    <row r="141" spans="1:7" x14ac:dyDescent="0.3">
      <c r="A141" s="7">
        <v>140</v>
      </c>
      <c r="B141" s="7">
        <v>0.19700000000000001</v>
      </c>
      <c r="C141" s="7">
        <v>0.69</v>
      </c>
      <c r="D141" s="7">
        <v>0.22389999999999999</v>
      </c>
      <c r="E141" s="7">
        <v>2</v>
      </c>
      <c r="F141" s="7">
        <v>5</v>
      </c>
      <c r="G141" s="7">
        <v>7</v>
      </c>
    </row>
    <row r="142" spans="1:7" x14ac:dyDescent="0.3">
      <c r="A142" s="6">
        <v>141</v>
      </c>
      <c r="B142" s="6">
        <v>0.19700000000000001</v>
      </c>
      <c r="C142" s="6">
        <v>0.69</v>
      </c>
      <c r="D142" s="6">
        <v>0.22389999999999999</v>
      </c>
      <c r="E142" s="6">
        <v>0</v>
      </c>
      <c r="F142" s="6">
        <v>1</v>
      </c>
      <c r="G142" s="6">
        <v>1</v>
      </c>
    </row>
    <row r="143" spans="1:7" x14ac:dyDescent="0.3">
      <c r="A143" s="7">
        <v>142</v>
      </c>
      <c r="B143" s="7">
        <v>0.21210000000000001</v>
      </c>
      <c r="C143" s="7">
        <v>0.69</v>
      </c>
      <c r="D143" s="7">
        <v>0.1343</v>
      </c>
      <c r="E143" s="7">
        <v>0</v>
      </c>
      <c r="F143" s="7">
        <v>1</v>
      </c>
      <c r="G143" s="7">
        <v>1</v>
      </c>
    </row>
    <row r="144" spans="1:7" x14ac:dyDescent="0.3">
      <c r="A144" s="6">
        <v>143</v>
      </c>
      <c r="B144" s="6">
        <v>0.2727</v>
      </c>
      <c r="C144" s="6">
        <v>0.55000000000000004</v>
      </c>
      <c r="D144" s="6">
        <v>0</v>
      </c>
      <c r="E144" s="6">
        <v>0</v>
      </c>
      <c r="F144" s="6">
        <v>5</v>
      </c>
      <c r="G144" s="6">
        <v>5</v>
      </c>
    </row>
    <row r="145" spans="1:7" x14ac:dyDescent="0.3">
      <c r="A145" s="7">
        <v>144</v>
      </c>
      <c r="B145" s="7">
        <v>0.2576</v>
      </c>
      <c r="C145" s="7">
        <v>0.69</v>
      </c>
      <c r="D145" s="7">
        <v>0</v>
      </c>
      <c r="E145" s="7">
        <v>8</v>
      </c>
      <c r="F145" s="7">
        <v>26</v>
      </c>
      <c r="G145" s="7">
        <v>34</v>
      </c>
    </row>
    <row r="146" spans="1:7" x14ac:dyDescent="0.3">
      <c r="A146" s="6">
        <v>145</v>
      </c>
      <c r="B146" s="6">
        <v>0.21210000000000001</v>
      </c>
      <c r="C146" s="6">
        <v>0.69</v>
      </c>
      <c r="D146" s="6">
        <v>0.1343</v>
      </c>
      <c r="E146" s="6">
        <v>8</v>
      </c>
      <c r="F146" s="6">
        <v>76</v>
      </c>
      <c r="G146" s="6">
        <v>84</v>
      </c>
    </row>
    <row r="147" spans="1:7" x14ac:dyDescent="0.3">
      <c r="A147" s="7">
        <v>146</v>
      </c>
      <c r="B147" s="7">
        <v>0.19700000000000001</v>
      </c>
      <c r="C147" s="7">
        <v>0.51</v>
      </c>
      <c r="D147" s="7">
        <v>0.25369999999999998</v>
      </c>
      <c r="E147" s="7">
        <v>20</v>
      </c>
      <c r="F147" s="7">
        <v>190</v>
      </c>
      <c r="G147" s="7">
        <v>210</v>
      </c>
    </row>
    <row r="148" spans="1:7" x14ac:dyDescent="0.3">
      <c r="A148" s="6">
        <v>147</v>
      </c>
      <c r="B148" s="6">
        <v>0.18179999999999999</v>
      </c>
      <c r="C148" s="6">
        <v>0.47</v>
      </c>
      <c r="D148" s="6">
        <v>0.29849999999999999</v>
      </c>
      <c r="E148" s="6">
        <v>9</v>
      </c>
      <c r="F148" s="6">
        <v>125</v>
      </c>
      <c r="G148" s="6">
        <v>134</v>
      </c>
    </row>
    <row r="149" spans="1:7" x14ac:dyDescent="0.3">
      <c r="A149" s="7">
        <v>148</v>
      </c>
      <c r="B149" s="7">
        <v>0.19700000000000001</v>
      </c>
      <c r="C149" s="7">
        <v>0.37</v>
      </c>
      <c r="D149" s="7">
        <v>0.32840000000000003</v>
      </c>
      <c r="E149" s="7">
        <v>16</v>
      </c>
      <c r="F149" s="7">
        <v>47</v>
      </c>
      <c r="G149" s="7">
        <v>63</v>
      </c>
    </row>
    <row r="150" spans="1:7" x14ac:dyDescent="0.3">
      <c r="A150" s="6">
        <v>149</v>
      </c>
      <c r="B150" s="6">
        <v>0.19700000000000001</v>
      </c>
      <c r="C150" s="6">
        <v>0.4</v>
      </c>
      <c r="D150" s="6">
        <v>0.22389999999999999</v>
      </c>
      <c r="E150" s="6">
        <v>19</v>
      </c>
      <c r="F150" s="6">
        <v>48</v>
      </c>
      <c r="G150" s="6">
        <v>67</v>
      </c>
    </row>
    <row r="151" spans="1:7" x14ac:dyDescent="0.3">
      <c r="A151" s="7">
        <v>150</v>
      </c>
      <c r="B151" s="7">
        <v>0.19700000000000001</v>
      </c>
      <c r="C151" s="7">
        <v>0.37</v>
      </c>
      <c r="D151" s="7">
        <v>0.25369999999999998</v>
      </c>
      <c r="E151" s="7">
        <v>9</v>
      </c>
      <c r="F151" s="7">
        <v>50</v>
      </c>
      <c r="G151" s="7">
        <v>59</v>
      </c>
    </row>
    <row r="152" spans="1:7" x14ac:dyDescent="0.3">
      <c r="A152" s="6">
        <v>151</v>
      </c>
      <c r="B152" s="6">
        <v>0.18179999999999999</v>
      </c>
      <c r="C152" s="6">
        <v>0.37</v>
      </c>
      <c r="D152" s="6">
        <v>0.28360000000000002</v>
      </c>
      <c r="E152" s="6">
        <v>9</v>
      </c>
      <c r="F152" s="6">
        <v>64</v>
      </c>
      <c r="G152" s="6">
        <v>73</v>
      </c>
    </row>
    <row r="153" spans="1:7" x14ac:dyDescent="0.3">
      <c r="A153" s="7">
        <v>152</v>
      </c>
      <c r="B153" s="7">
        <v>0.19700000000000001</v>
      </c>
      <c r="C153" s="7">
        <v>0.4</v>
      </c>
      <c r="D153" s="7">
        <v>0.25369999999999998</v>
      </c>
      <c r="E153" s="7">
        <v>7</v>
      </c>
      <c r="F153" s="7">
        <v>43</v>
      </c>
      <c r="G153" s="7">
        <v>50</v>
      </c>
    </row>
    <row r="154" spans="1:7" x14ac:dyDescent="0.3">
      <c r="A154" s="6">
        <v>153</v>
      </c>
      <c r="B154" s="6">
        <v>0.21210000000000001</v>
      </c>
      <c r="C154" s="6">
        <v>0.37</v>
      </c>
      <c r="D154" s="6">
        <v>0.16420000000000001</v>
      </c>
      <c r="E154" s="6">
        <v>9</v>
      </c>
      <c r="F154" s="6">
        <v>63</v>
      </c>
      <c r="G154" s="6">
        <v>72</v>
      </c>
    </row>
    <row r="155" spans="1:7" x14ac:dyDescent="0.3">
      <c r="A155" s="7">
        <v>154</v>
      </c>
      <c r="B155" s="7">
        <v>0.21210000000000001</v>
      </c>
      <c r="C155" s="7">
        <v>0.37</v>
      </c>
      <c r="D155" s="7">
        <v>0.16420000000000001</v>
      </c>
      <c r="E155" s="7">
        <v>5</v>
      </c>
      <c r="F155" s="7">
        <v>82</v>
      </c>
      <c r="G155" s="7">
        <v>87</v>
      </c>
    </row>
    <row r="156" spans="1:7" x14ac:dyDescent="0.3">
      <c r="A156" s="6">
        <v>155</v>
      </c>
      <c r="B156" s="6">
        <v>0.2576</v>
      </c>
      <c r="C156" s="6">
        <v>0.37</v>
      </c>
      <c r="D156" s="6">
        <v>0</v>
      </c>
      <c r="E156" s="6">
        <v>9</v>
      </c>
      <c r="F156" s="6">
        <v>178</v>
      </c>
      <c r="G156" s="6">
        <v>187</v>
      </c>
    </row>
    <row r="157" spans="1:7" x14ac:dyDescent="0.3">
      <c r="A157" s="7">
        <v>156</v>
      </c>
      <c r="B157" s="7">
        <v>0.2273</v>
      </c>
      <c r="C157" s="7">
        <v>0.4</v>
      </c>
      <c r="D157" s="7">
        <v>8.9599999999999999E-2</v>
      </c>
      <c r="E157" s="7">
        <v>7</v>
      </c>
      <c r="F157" s="7">
        <v>116</v>
      </c>
      <c r="G157" s="7">
        <v>123</v>
      </c>
    </row>
    <row r="158" spans="1:7" x14ac:dyDescent="0.3">
      <c r="A158" s="6">
        <v>157</v>
      </c>
      <c r="B158" s="6">
        <v>0.19700000000000001</v>
      </c>
      <c r="C158" s="6">
        <v>0.55000000000000004</v>
      </c>
      <c r="D158" s="6">
        <v>8.9599999999999999E-2</v>
      </c>
      <c r="E158" s="6">
        <v>3</v>
      </c>
      <c r="F158" s="6">
        <v>92</v>
      </c>
      <c r="G158" s="6">
        <v>95</v>
      </c>
    </row>
    <row r="159" spans="1:7" x14ac:dyDescent="0.3">
      <c r="A159" s="7">
        <v>158</v>
      </c>
      <c r="B159" s="7">
        <v>0.21210000000000001</v>
      </c>
      <c r="C159" s="7">
        <v>0.47</v>
      </c>
      <c r="D159" s="7">
        <v>0.1045</v>
      </c>
      <c r="E159" s="7">
        <v>1</v>
      </c>
      <c r="F159" s="7">
        <v>50</v>
      </c>
      <c r="G159" s="7">
        <v>51</v>
      </c>
    </row>
    <row r="160" spans="1:7" x14ac:dyDescent="0.3">
      <c r="A160" s="6">
        <v>159</v>
      </c>
      <c r="B160" s="6">
        <v>0.19700000000000001</v>
      </c>
      <c r="C160" s="6">
        <v>0.47</v>
      </c>
      <c r="D160" s="6">
        <v>0.1343</v>
      </c>
      <c r="E160" s="6">
        <v>0</v>
      </c>
      <c r="F160" s="6">
        <v>39</v>
      </c>
      <c r="G160" s="6">
        <v>39</v>
      </c>
    </row>
    <row r="161" spans="1:7" x14ac:dyDescent="0.3">
      <c r="A161" s="7">
        <v>160</v>
      </c>
      <c r="B161" s="7">
        <v>0.19700000000000001</v>
      </c>
      <c r="C161" s="7">
        <v>0.43</v>
      </c>
      <c r="D161" s="7">
        <v>0.16420000000000001</v>
      </c>
      <c r="E161" s="7">
        <v>2</v>
      </c>
      <c r="F161" s="7">
        <v>34</v>
      </c>
      <c r="G161" s="7">
        <v>36</v>
      </c>
    </row>
    <row r="162" spans="1:7" x14ac:dyDescent="0.3">
      <c r="A162" s="6">
        <v>161</v>
      </c>
      <c r="B162" s="6">
        <v>0.19700000000000001</v>
      </c>
      <c r="C162" s="6">
        <v>0.51</v>
      </c>
      <c r="D162" s="6">
        <v>0.16420000000000001</v>
      </c>
      <c r="E162" s="6">
        <v>1</v>
      </c>
      <c r="F162" s="6">
        <v>14</v>
      </c>
      <c r="G162" s="6">
        <v>15</v>
      </c>
    </row>
    <row r="163" spans="1:7" x14ac:dyDescent="0.3">
      <c r="A163" s="7">
        <v>162</v>
      </c>
      <c r="B163" s="7">
        <v>0.19700000000000001</v>
      </c>
      <c r="C163" s="7">
        <v>0.51</v>
      </c>
      <c r="D163" s="7">
        <v>0.16420000000000001</v>
      </c>
      <c r="E163" s="7">
        <v>1</v>
      </c>
      <c r="F163" s="7">
        <v>24</v>
      </c>
      <c r="G163" s="7">
        <v>25</v>
      </c>
    </row>
    <row r="164" spans="1:7" x14ac:dyDescent="0.3">
      <c r="A164" s="6">
        <v>163</v>
      </c>
      <c r="B164" s="6">
        <v>0.21210000000000001</v>
      </c>
      <c r="C164" s="6">
        <v>0.55000000000000004</v>
      </c>
      <c r="D164" s="6">
        <v>8.9599999999999999E-2</v>
      </c>
      <c r="E164" s="6">
        <v>1</v>
      </c>
      <c r="F164" s="6">
        <v>15</v>
      </c>
      <c r="G164" s="6">
        <v>16</v>
      </c>
    </row>
    <row r="165" spans="1:7" x14ac:dyDescent="0.3">
      <c r="A165" s="7">
        <v>164</v>
      </c>
      <c r="B165" s="7">
        <v>0.2424</v>
      </c>
      <c r="C165" s="7">
        <v>0.55000000000000004</v>
      </c>
      <c r="D165" s="7">
        <v>0</v>
      </c>
      <c r="E165" s="7">
        <v>3</v>
      </c>
      <c r="F165" s="7">
        <v>13</v>
      </c>
      <c r="G165" s="7">
        <v>16</v>
      </c>
    </row>
    <row r="166" spans="1:7" x14ac:dyDescent="0.3">
      <c r="A166" s="6">
        <v>165</v>
      </c>
      <c r="B166" s="6">
        <v>0.19700000000000001</v>
      </c>
      <c r="C166" s="6">
        <v>0.55000000000000004</v>
      </c>
      <c r="D166" s="6">
        <v>0.16420000000000001</v>
      </c>
      <c r="E166" s="6">
        <v>0</v>
      </c>
      <c r="F166" s="6">
        <v>7</v>
      </c>
      <c r="G166" s="6">
        <v>7</v>
      </c>
    </row>
    <row r="167" spans="1:7" x14ac:dyDescent="0.3">
      <c r="A167" s="7">
        <v>166</v>
      </c>
      <c r="B167" s="7">
        <v>0.19700000000000001</v>
      </c>
      <c r="C167" s="7">
        <v>0.55000000000000004</v>
      </c>
      <c r="D167" s="7">
        <v>0.16420000000000001</v>
      </c>
      <c r="E167" s="7">
        <v>0</v>
      </c>
      <c r="F167" s="7">
        <v>1</v>
      </c>
      <c r="G167" s="7">
        <v>1</v>
      </c>
    </row>
    <row r="168" spans="1:7" x14ac:dyDescent="0.3">
      <c r="A168" s="6">
        <v>167</v>
      </c>
      <c r="B168" s="6">
        <v>0.16669999999999999</v>
      </c>
      <c r="C168" s="6">
        <v>0.74</v>
      </c>
      <c r="D168" s="6">
        <v>0.16420000000000001</v>
      </c>
      <c r="E168" s="6">
        <v>0</v>
      </c>
      <c r="F168" s="6">
        <v>5</v>
      </c>
      <c r="G168" s="6">
        <v>5</v>
      </c>
    </row>
    <row r="169" spans="1:7" x14ac:dyDescent="0.3">
      <c r="A169" s="7">
        <v>168</v>
      </c>
      <c r="B169" s="7">
        <v>0.16669999999999999</v>
      </c>
      <c r="C169" s="7">
        <v>0.74</v>
      </c>
      <c r="D169" s="7">
        <v>0.16420000000000001</v>
      </c>
      <c r="E169" s="7">
        <v>0</v>
      </c>
      <c r="F169" s="7">
        <v>2</v>
      </c>
      <c r="G169" s="7">
        <v>2</v>
      </c>
    </row>
    <row r="170" spans="1:7" x14ac:dyDescent="0.3">
      <c r="A170" s="6">
        <v>169</v>
      </c>
      <c r="B170" s="6">
        <v>0.18179999999999999</v>
      </c>
      <c r="C170" s="6">
        <v>0.74</v>
      </c>
      <c r="D170" s="6">
        <v>0.1045</v>
      </c>
      <c r="E170" s="6">
        <v>1</v>
      </c>
      <c r="F170" s="6">
        <v>8</v>
      </c>
      <c r="G170" s="6">
        <v>9</v>
      </c>
    </row>
    <row r="171" spans="1:7" x14ac:dyDescent="0.3">
      <c r="A171" s="7">
        <v>170</v>
      </c>
      <c r="B171" s="7">
        <v>0.18179999999999999</v>
      </c>
      <c r="C171" s="7">
        <v>0.93</v>
      </c>
      <c r="D171" s="7">
        <v>0.1045</v>
      </c>
      <c r="E171" s="7">
        <v>0</v>
      </c>
      <c r="F171" s="7">
        <v>15</v>
      </c>
      <c r="G171" s="7">
        <v>15</v>
      </c>
    </row>
    <row r="172" spans="1:7" x14ac:dyDescent="0.3">
      <c r="A172" s="6">
        <v>171</v>
      </c>
      <c r="B172" s="6">
        <v>0.18179999999999999</v>
      </c>
      <c r="C172" s="6">
        <v>0.93</v>
      </c>
      <c r="D172" s="6">
        <v>0.1045</v>
      </c>
      <c r="E172" s="6">
        <v>0</v>
      </c>
      <c r="F172" s="6">
        <v>20</v>
      </c>
      <c r="G172" s="6">
        <v>20</v>
      </c>
    </row>
    <row r="173" spans="1:7" x14ac:dyDescent="0.3">
      <c r="A173" s="7">
        <v>172</v>
      </c>
      <c r="B173" s="7">
        <v>0.19700000000000001</v>
      </c>
      <c r="C173" s="7">
        <v>0.8</v>
      </c>
      <c r="D173" s="7">
        <v>0.16420000000000001</v>
      </c>
      <c r="E173" s="7">
        <v>5</v>
      </c>
      <c r="F173" s="7">
        <v>56</v>
      </c>
      <c r="G173" s="7">
        <v>61</v>
      </c>
    </row>
    <row r="174" spans="1:7" x14ac:dyDescent="0.3">
      <c r="A174" s="6">
        <v>173</v>
      </c>
      <c r="B174" s="6">
        <v>0.18179999999999999</v>
      </c>
      <c r="C174" s="6">
        <v>0.69</v>
      </c>
      <c r="D174" s="6">
        <v>0.3881</v>
      </c>
      <c r="E174" s="6">
        <v>2</v>
      </c>
      <c r="F174" s="6">
        <v>60</v>
      </c>
      <c r="G174" s="6">
        <v>62</v>
      </c>
    </row>
    <row r="175" spans="1:7" x14ac:dyDescent="0.3">
      <c r="A175" s="7">
        <v>174</v>
      </c>
      <c r="B175" s="7">
        <v>0.18179999999999999</v>
      </c>
      <c r="C175" s="7">
        <v>0.59</v>
      </c>
      <c r="D175" s="7">
        <v>0.35820000000000002</v>
      </c>
      <c r="E175" s="7">
        <v>8</v>
      </c>
      <c r="F175" s="7">
        <v>90</v>
      </c>
      <c r="G175" s="7">
        <v>98</v>
      </c>
    </row>
    <row r="176" spans="1:7" x14ac:dyDescent="0.3">
      <c r="A176" s="6">
        <v>175</v>
      </c>
      <c r="B176" s="6">
        <v>0.18179999999999999</v>
      </c>
      <c r="C176" s="6">
        <v>0.44</v>
      </c>
      <c r="D176" s="6">
        <v>0.32840000000000003</v>
      </c>
      <c r="E176" s="6">
        <v>7</v>
      </c>
      <c r="F176" s="6">
        <v>95</v>
      </c>
      <c r="G176" s="6">
        <v>102</v>
      </c>
    </row>
    <row r="177" spans="1:7" x14ac:dyDescent="0.3">
      <c r="A177" s="7">
        <v>176</v>
      </c>
      <c r="B177" s="7">
        <v>0.16669999999999999</v>
      </c>
      <c r="C177" s="7">
        <v>0.32</v>
      </c>
      <c r="D177" s="7">
        <v>0.49249999999999999</v>
      </c>
      <c r="E177" s="7">
        <v>12</v>
      </c>
      <c r="F177" s="7">
        <v>83</v>
      </c>
      <c r="G177" s="7">
        <v>95</v>
      </c>
    </row>
    <row r="178" spans="1:7" x14ac:dyDescent="0.3">
      <c r="A178" s="6">
        <v>177</v>
      </c>
      <c r="B178" s="6">
        <v>0.16669999999999999</v>
      </c>
      <c r="C178" s="6">
        <v>0.32</v>
      </c>
      <c r="D178" s="6">
        <v>0.44779999999999998</v>
      </c>
      <c r="E178" s="6">
        <v>5</v>
      </c>
      <c r="F178" s="6">
        <v>69</v>
      </c>
      <c r="G178" s="6">
        <v>74</v>
      </c>
    </row>
    <row r="179" spans="1:7" x14ac:dyDescent="0.3">
      <c r="A179" s="7">
        <v>178</v>
      </c>
      <c r="B179" s="7">
        <v>0.13639999999999999</v>
      </c>
      <c r="C179" s="7">
        <v>0.28999999999999998</v>
      </c>
      <c r="D179" s="7">
        <v>0.44779999999999998</v>
      </c>
      <c r="E179" s="7">
        <v>8</v>
      </c>
      <c r="F179" s="7">
        <v>68</v>
      </c>
      <c r="G179" s="7">
        <v>76</v>
      </c>
    </row>
    <row r="180" spans="1:7" x14ac:dyDescent="0.3">
      <c r="A180" s="6">
        <v>179</v>
      </c>
      <c r="B180" s="6">
        <v>0.1212</v>
      </c>
      <c r="C180" s="6">
        <v>0.37</v>
      </c>
      <c r="D180" s="6">
        <v>0.55220000000000002</v>
      </c>
      <c r="E180" s="6">
        <v>5</v>
      </c>
      <c r="F180" s="6">
        <v>64</v>
      </c>
      <c r="G180" s="6">
        <v>69</v>
      </c>
    </row>
    <row r="181" spans="1:7" x14ac:dyDescent="0.3">
      <c r="A181" s="7">
        <v>180</v>
      </c>
      <c r="B181" s="7">
        <v>0.1212</v>
      </c>
      <c r="C181" s="7">
        <v>0.39</v>
      </c>
      <c r="D181" s="7">
        <v>0.29849999999999999</v>
      </c>
      <c r="E181" s="7">
        <v>3</v>
      </c>
      <c r="F181" s="7">
        <v>52</v>
      </c>
      <c r="G181" s="7">
        <v>55</v>
      </c>
    </row>
    <row r="182" spans="1:7" x14ac:dyDescent="0.3">
      <c r="A182" s="6">
        <v>181</v>
      </c>
      <c r="B182" s="6">
        <v>0.1212</v>
      </c>
      <c r="C182" s="6">
        <v>0.36</v>
      </c>
      <c r="D182" s="6">
        <v>0.25369999999999998</v>
      </c>
      <c r="E182" s="6">
        <v>4</v>
      </c>
      <c r="F182" s="6">
        <v>26</v>
      </c>
      <c r="G182" s="6">
        <v>30</v>
      </c>
    </row>
    <row r="183" spans="1:7" x14ac:dyDescent="0.3">
      <c r="A183" s="7">
        <v>182</v>
      </c>
      <c r="B183" s="7">
        <v>0.1212</v>
      </c>
      <c r="C183" s="7">
        <v>0.36</v>
      </c>
      <c r="D183" s="7">
        <v>0.25369999999999998</v>
      </c>
      <c r="E183" s="7">
        <v>0</v>
      </c>
      <c r="F183" s="7">
        <v>28</v>
      </c>
      <c r="G183" s="7">
        <v>28</v>
      </c>
    </row>
    <row r="184" spans="1:7" x14ac:dyDescent="0.3">
      <c r="A184" s="6">
        <v>183</v>
      </c>
      <c r="B184" s="6">
        <v>0.1061</v>
      </c>
      <c r="C184" s="6">
        <v>0.39</v>
      </c>
      <c r="D184" s="6">
        <v>0.35820000000000002</v>
      </c>
      <c r="E184" s="6">
        <v>2</v>
      </c>
      <c r="F184" s="6">
        <v>35</v>
      </c>
      <c r="G184" s="6">
        <v>37</v>
      </c>
    </row>
    <row r="185" spans="1:7" x14ac:dyDescent="0.3">
      <c r="A185" s="7">
        <v>184</v>
      </c>
      <c r="B185" s="7">
        <v>0.1061</v>
      </c>
      <c r="C185" s="7">
        <v>0.36</v>
      </c>
      <c r="D185" s="7">
        <v>0.3881</v>
      </c>
      <c r="E185" s="7">
        <v>1</v>
      </c>
      <c r="F185" s="7">
        <v>33</v>
      </c>
      <c r="G185" s="7">
        <v>34</v>
      </c>
    </row>
    <row r="186" spans="1:7" x14ac:dyDescent="0.3">
      <c r="A186" s="6">
        <v>185</v>
      </c>
      <c r="B186" s="6">
        <v>6.0600000000000001E-2</v>
      </c>
      <c r="C186" s="6">
        <v>0.39</v>
      </c>
      <c r="D186" s="6">
        <v>0.44779999999999998</v>
      </c>
      <c r="E186" s="6">
        <v>0</v>
      </c>
      <c r="F186" s="6">
        <v>22</v>
      </c>
      <c r="G186" s="6">
        <v>22</v>
      </c>
    </row>
    <row r="187" spans="1:7" x14ac:dyDescent="0.3">
      <c r="A187" s="7">
        <v>186</v>
      </c>
      <c r="B187" s="7">
        <v>7.5800000000000006E-2</v>
      </c>
      <c r="C187" s="7">
        <v>0.42</v>
      </c>
      <c r="D187" s="7">
        <v>0.3881</v>
      </c>
      <c r="E187" s="7">
        <v>1</v>
      </c>
      <c r="F187" s="7">
        <v>24</v>
      </c>
      <c r="G187" s="7">
        <v>25</v>
      </c>
    </row>
    <row r="188" spans="1:7" x14ac:dyDescent="0.3">
      <c r="A188" s="6">
        <v>187</v>
      </c>
      <c r="B188" s="6">
        <v>6.0600000000000001E-2</v>
      </c>
      <c r="C188" s="6">
        <v>0.42</v>
      </c>
      <c r="D188" s="6">
        <v>0.4627</v>
      </c>
      <c r="E188" s="6">
        <v>0</v>
      </c>
      <c r="F188" s="6">
        <v>12</v>
      </c>
      <c r="G188" s="6">
        <v>12</v>
      </c>
    </row>
    <row r="189" spans="1:7" x14ac:dyDescent="0.3">
      <c r="A189" s="7">
        <v>188</v>
      </c>
      <c r="B189" s="7">
        <v>6.0600000000000001E-2</v>
      </c>
      <c r="C189" s="7">
        <v>0.46</v>
      </c>
      <c r="D189" s="7">
        <v>0.4627</v>
      </c>
      <c r="E189" s="7">
        <v>0</v>
      </c>
      <c r="F189" s="7">
        <v>11</v>
      </c>
      <c r="G189" s="7">
        <v>11</v>
      </c>
    </row>
    <row r="190" spans="1:7" x14ac:dyDescent="0.3">
      <c r="A190" s="6">
        <v>189</v>
      </c>
      <c r="B190" s="6">
        <v>7.5800000000000006E-2</v>
      </c>
      <c r="C190" s="6">
        <v>0.46</v>
      </c>
      <c r="D190" s="6">
        <v>0.41789999999999999</v>
      </c>
      <c r="E190" s="6">
        <v>0</v>
      </c>
      <c r="F190" s="6">
        <v>4</v>
      </c>
      <c r="G190" s="6">
        <v>4</v>
      </c>
    </row>
    <row r="191" spans="1:7" x14ac:dyDescent="0.3">
      <c r="A191" s="7">
        <v>190</v>
      </c>
      <c r="B191" s="7">
        <v>9.0899999999999995E-2</v>
      </c>
      <c r="C191" s="7">
        <v>0.53</v>
      </c>
      <c r="D191" s="7">
        <v>0.19400000000000001</v>
      </c>
      <c r="E191" s="7">
        <v>0</v>
      </c>
      <c r="F191" s="7">
        <v>1</v>
      </c>
      <c r="G191" s="7">
        <v>1</v>
      </c>
    </row>
    <row r="192" spans="1:7" x14ac:dyDescent="0.3">
      <c r="A192" s="6">
        <v>191</v>
      </c>
      <c r="B192" s="6">
        <v>9.0899999999999995E-2</v>
      </c>
      <c r="C192" s="6">
        <v>0.53</v>
      </c>
      <c r="D192" s="6">
        <v>0.19400000000000001</v>
      </c>
      <c r="E192" s="6">
        <v>0</v>
      </c>
      <c r="F192" s="6">
        <v>1</v>
      </c>
      <c r="G192" s="6">
        <v>1</v>
      </c>
    </row>
    <row r="193" spans="1:7" x14ac:dyDescent="0.3">
      <c r="A193" s="7">
        <v>192</v>
      </c>
      <c r="B193" s="7">
        <v>9.0899999999999995E-2</v>
      </c>
      <c r="C193" s="7">
        <v>0.49</v>
      </c>
      <c r="D193" s="7">
        <v>0.28360000000000002</v>
      </c>
      <c r="E193" s="7">
        <v>0</v>
      </c>
      <c r="F193" s="7">
        <v>1</v>
      </c>
      <c r="G193" s="7">
        <v>1</v>
      </c>
    </row>
    <row r="194" spans="1:7" x14ac:dyDescent="0.3">
      <c r="A194" s="6">
        <v>193</v>
      </c>
      <c r="B194" s="6">
        <v>9.0899999999999995E-2</v>
      </c>
      <c r="C194" s="6">
        <v>0.53</v>
      </c>
      <c r="D194" s="6">
        <v>0.19400000000000001</v>
      </c>
      <c r="E194" s="6">
        <v>1</v>
      </c>
      <c r="F194" s="6">
        <v>5</v>
      </c>
      <c r="G194" s="6">
        <v>6</v>
      </c>
    </row>
    <row r="195" spans="1:7" x14ac:dyDescent="0.3">
      <c r="A195" s="7">
        <v>194</v>
      </c>
      <c r="B195" s="7">
        <v>9.0899999999999995E-2</v>
      </c>
      <c r="C195" s="7">
        <v>0.49</v>
      </c>
      <c r="D195" s="7">
        <v>0.28360000000000002</v>
      </c>
      <c r="E195" s="7">
        <v>0</v>
      </c>
      <c r="F195" s="7">
        <v>10</v>
      </c>
      <c r="G195" s="7">
        <v>10</v>
      </c>
    </row>
    <row r="196" spans="1:7" x14ac:dyDescent="0.3">
      <c r="A196" s="6">
        <v>195</v>
      </c>
      <c r="B196" s="6">
        <v>7.5800000000000006E-2</v>
      </c>
      <c r="C196" s="6">
        <v>0.46</v>
      </c>
      <c r="D196" s="6">
        <v>0.52239999999999998</v>
      </c>
      <c r="E196" s="6">
        <v>0</v>
      </c>
      <c r="F196" s="6">
        <v>19</v>
      </c>
      <c r="G196" s="6">
        <v>19</v>
      </c>
    </row>
    <row r="197" spans="1:7" x14ac:dyDescent="0.3">
      <c r="A197" s="7">
        <v>196</v>
      </c>
      <c r="B197" s="7">
        <v>0.1061</v>
      </c>
      <c r="C197" s="7">
        <v>0.43</v>
      </c>
      <c r="D197" s="7">
        <v>0.3881</v>
      </c>
      <c r="E197" s="7">
        <v>0</v>
      </c>
      <c r="F197" s="7">
        <v>49</v>
      </c>
      <c r="G197" s="7">
        <v>49</v>
      </c>
    </row>
    <row r="198" spans="1:7" x14ac:dyDescent="0.3">
      <c r="A198" s="6">
        <v>197</v>
      </c>
      <c r="B198" s="6">
        <v>0.1212</v>
      </c>
      <c r="C198" s="6">
        <v>0.4</v>
      </c>
      <c r="D198" s="6">
        <v>0.52239999999999998</v>
      </c>
      <c r="E198" s="6">
        <v>2</v>
      </c>
      <c r="F198" s="6">
        <v>47</v>
      </c>
      <c r="G198" s="6">
        <v>49</v>
      </c>
    </row>
    <row r="199" spans="1:7" x14ac:dyDescent="0.3">
      <c r="A199" s="7">
        <v>198</v>
      </c>
      <c r="B199" s="7">
        <v>0.13639999999999999</v>
      </c>
      <c r="C199" s="7">
        <v>0.37</v>
      </c>
      <c r="D199" s="7">
        <v>0.44779999999999998</v>
      </c>
      <c r="E199" s="7">
        <v>4</v>
      </c>
      <c r="F199" s="7">
        <v>79</v>
      </c>
      <c r="G199" s="7">
        <v>83</v>
      </c>
    </row>
    <row r="200" spans="1:7" x14ac:dyDescent="0.3">
      <c r="A200" s="6">
        <v>199</v>
      </c>
      <c r="B200" s="6">
        <v>0.16669999999999999</v>
      </c>
      <c r="C200" s="6">
        <v>0.34</v>
      </c>
      <c r="D200" s="6">
        <v>0.44779999999999998</v>
      </c>
      <c r="E200" s="6">
        <v>6</v>
      </c>
      <c r="F200" s="6">
        <v>69</v>
      </c>
      <c r="G200" s="6">
        <v>75</v>
      </c>
    </row>
    <row r="201" spans="1:7" x14ac:dyDescent="0.3">
      <c r="A201" s="7">
        <v>200</v>
      </c>
      <c r="B201" s="7">
        <v>0.18179999999999999</v>
      </c>
      <c r="C201" s="7">
        <v>0.32</v>
      </c>
      <c r="D201" s="7">
        <v>0.4627</v>
      </c>
      <c r="E201" s="7">
        <v>8</v>
      </c>
      <c r="F201" s="7">
        <v>64</v>
      </c>
      <c r="G201" s="7">
        <v>72</v>
      </c>
    </row>
    <row r="202" spans="1:7" x14ac:dyDescent="0.3">
      <c r="A202" s="6">
        <v>201</v>
      </c>
      <c r="B202" s="6">
        <v>0.19700000000000001</v>
      </c>
      <c r="C202" s="6">
        <v>0.35</v>
      </c>
      <c r="D202" s="6">
        <v>0.35820000000000002</v>
      </c>
      <c r="E202" s="6">
        <v>5</v>
      </c>
      <c r="F202" s="6">
        <v>77</v>
      </c>
      <c r="G202" s="6">
        <v>82</v>
      </c>
    </row>
    <row r="203" spans="1:7" x14ac:dyDescent="0.3">
      <c r="A203" s="7">
        <v>202</v>
      </c>
      <c r="B203" s="7">
        <v>0.16669999999999999</v>
      </c>
      <c r="C203" s="7">
        <v>0.34</v>
      </c>
      <c r="D203" s="7">
        <v>0.44779999999999998</v>
      </c>
      <c r="E203" s="7">
        <v>13</v>
      </c>
      <c r="F203" s="7">
        <v>79</v>
      </c>
      <c r="G203" s="7">
        <v>92</v>
      </c>
    </row>
    <row r="204" spans="1:7" x14ac:dyDescent="0.3">
      <c r="A204" s="6">
        <v>203</v>
      </c>
      <c r="B204" s="6">
        <v>0.1515</v>
      </c>
      <c r="C204" s="6">
        <v>0.37</v>
      </c>
      <c r="D204" s="6">
        <v>0.3881</v>
      </c>
      <c r="E204" s="6">
        <v>3</v>
      </c>
      <c r="F204" s="6">
        <v>59</v>
      </c>
      <c r="G204" s="6">
        <v>62</v>
      </c>
    </row>
    <row r="205" spans="1:7" x14ac:dyDescent="0.3">
      <c r="A205" s="7">
        <v>204</v>
      </c>
      <c r="B205" s="7">
        <v>0.13639999999999999</v>
      </c>
      <c r="C205" s="7">
        <v>0.4</v>
      </c>
      <c r="D205" s="7">
        <v>0.32840000000000003</v>
      </c>
      <c r="E205" s="7">
        <v>4</v>
      </c>
      <c r="F205" s="7">
        <v>44</v>
      </c>
      <c r="G205" s="7">
        <v>48</v>
      </c>
    </row>
    <row r="206" spans="1:7" x14ac:dyDescent="0.3">
      <c r="A206" s="6">
        <v>205</v>
      </c>
      <c r="B206" s="6">
        <v>0.13639999999999999</v>
      </c>
      <c r="C206" s="6">
        <v>0.43</v>
      </c>
      <c r="D206" s="6">
        <v>0.32840000000000003</v>
      </c>
      <c r="E206" s="6">
        <v>1</v>
      </c>
      <c r="F206" s="6">
        <v>40</v>
      </c>
      <c r="G206" s="6">
        <v>41</v>
      </c>
    </row>
    <row r="207" spans="1:7" x14ac:dyDescent="0.3">
      <c r="A207" s="7">
        <v>206</v>
      </c>
      <c r="B207" s="7">
        <v>0.1212</v>
      </c>
      <c r="C207" s="7">
        <v>0.46</v>
      </c>
      <c r="D207" s="7">
        <v>0.25369999999999998</v>
      </c>
      <c r="E207" s="7">
        <v>0</v>
      </c>
      <c r="F207" s="7">
        <v>38</v>
      </c>
      <c r="G207" s="7">
        <v>38</v>
      </c>
    </row>
    <row r="208" spans="1:7" x14ac:dyDescent="0.3">
      <c r="A208" s="6">
        <v>207</v>
      </c>
      <c r="B208" s="6">
        <v>0.1061</v>
      </c>
      <c r="C208" s="6">
        <v>0.46</v>
      </c>
      <c r="D208" s="6">
        <v>0.41789999999999999</v>
      </c>
      <c r="E208" s="6">
        <v>1</v>
      </c>
      <c r="F208" s="6">
        <v>19</v>
      </c>
      <c r="G208" s="6">
        <v>20</v>
      </c>
    </row>
    <row r="209" spans="1:7" x14ac:dyDescent="0.3">
      <c r="A209" s="7">
        <v>208</v>
      </c>
      <c r="B209" s="7">
        <v>0.1212</v>
      </c>
      <c r="C209" s="7">
        <v>0.46</v>
      </c>
      <c r="D209" s="7">
        <v>0.29849999999999999</v>
      </c>
      <c r="E209" s="7">
        <v>5</v>
      </c>
      <c r="F209" s="7">
        <v>10</v>
      </c>
      <c r="G209" s="7">
        <v>15</v>
      </c>
    </row>
    <row r="210" spans="1:7" x14ac:dyDescent="0.3">
      <c r="A210" s="6">
        <v>209</v>
      </c>
      <c r="B210" s="6">
        <v>0.13639999999999999</v>
      </c>
      <c r="C210" s="6">
        <v>0.5</v>
      </c>
      <c r="D210" s="6">
        <v>0.19400000000000001</v>
      </c>
      <c r="E210" s="6">
        <v>0</v>
      </c>
      <c r="F210" s="6">
        <v>6</v>
      </c>
      <c r="G210" s="6">
        <v>6</v>
      </c>
    </row>
    <row r="211" spans="1:7" x14ac:dyDescent="0.3">
      <c r="A211" s="7">
        <v>210</v>
      </c>
      <c r="B211" s="7">
        <v>0.1212</v>
      </c>
      <c r="C211" s="7">
        <v>0.5</v>
      </c>
      <c r="D211" s="7">
        <v>0.28360000000000002</v>
      </c>
      <c r="E211" s="7">
        <v>2</v>
      </c>
      <c r="F211" s="7">
        <v>3</v>
      </c>
      <c r="G211" s="7">
        <v>5</v>
      </c>
    </row>
    <row r="212" spans="1:7" x14ac:dyDescent="0.3">
      <c r="A212" s="6">
        <v>211</v>
      </c>
      <c r="B212" s="6">
        <v>0.1212</v>
      </c>
      <c r="C212" s="6">
        <v>0.5</v>
      </c>
      <c r="D212" s="6">
        <v>0.28360000000000002</v>
      </c>
      <c r="E212" s="6">
        <v>1</v>
      </c>
      <c r="F212" s="6">
        <v>0</v>
      </c>
      <c r="G212" s="6">
        <v>1</v>
      </c>
    </row>
    <row r="213" spans="1:7" x14ac:dyDescent="0.3">
      <c r="A213" s="7">
        <v>212</v>
      </c>
      <c r="B213" s="7">
        <v>0.1212</v>
      </c>
      <c r="C213" s="7">
        <v>0.5</v>
      </c>
      <c r="D213" s="7">
        <v>0.22389999999999999</v>
      </c>
      <c r="E213" s="7">
        <v>0</v>
      </c>
      <c r="F213" s="7">
        <v>3</v>
      </c>
      <c r="G213" s="7">
        <v>3</v>
      </c>
    </row>
    <row r="214" spans="1:7" x14ac:dyDescent="0.3">
      <c r="A214" s="6">
        <v>213</v>
      </c>
      <c r="B214" s="6">
        <v>0.1212</v>
      </c>
      <c r="C214" s="6">
        <v>0.5</v>
      </c>
      <c r="D214" s="6">
        <v>0.22389999999999999</v>
      </c>
      <c r="E214" s="6">
        <v>0</v>
      </c>
      <c r="F214" s="6">
        <v>1</v>
      </c>
      <c r="G214" s="6">
        <v>1</v>
      </c>
    </row>
    <row r="215" spans="1:7" x14ac:dyDescent="0.3">
      <c r="A215" s="7">
        <v>214</v>
      </c>
      <c r="B215" s="7">
        <v>0.1212</v>
      </c>
      <c r="C215" s="7">
        <v>0.54</v>
      </c>
      <c r="D215" s="7">
        <v>0.1343</v>
      </c>
      <c r="E215" s="7">
        <v>1</v>
      </c>
      <c r="F215" s="7">
        <v>2</v>
      </c>
      <c r="G215" s="7">
        <v>3</v>
      </c>
    </row>
    <row r="216" spans="1:7" x14ac:dyDescent="0.3">
      <c r="A216" s="6">
        <v>215</v>
      </c>
      <c r="B216" s="6">
        <v>0.1061</v>
      </c>
      <c r="C216" s="6">
        <v>0.54</v>
      </c>
      <c r="D216" s="6">
        <v>0.25369999999999998</v>
      </c>
      <c r="E216" s="6">
        <v>0</v>
      </c>
      <c r="F216" s="6">
        <v>3</v>
      </c>
      <c r="G216" s="6">
        <v>3</v>
      </c>
    </row>
    <row r="217" spans="1:7" x14ac:dyDescent="0.3">
      <c r="A217" s="7">
        <v>216</v>
      </c>
      <c r="B217" s="7">
        <v>0.1212</v>
      </c>
      <c r="C217" s="7">
        <v>0.5</v>
      </c>
      <c r="D217" s="7">
        <v>0.28360000000000002</v>
      </c>
      <c r="E217" s="7">
        <v>0</v>
      </c>
      <c r="F217" s="7">
        <v>31</v>
      </c>
      <c r="G217" s="7">
        <v>31</v>
      </c>
    </row>
    <row r="218" spans="1:7" x14ac:dyDescent="0.3">
      <c r="A218" s="6">
        <v>217</v>
      </c>
      <c r="B218" s="6">
        <v>0.1212</v>
      </c>
      <c r="C218" s="6">
        <v>0.5</v>
      </c>
      <c r="D218" s="6">
        <v>0.22389999999999999</v>
      </c>
      <c r="E218" s="6">
        <v>2</v>
      </c>
      <c r="F218" s="6">
        <v>75</v>
      </c>
      <c r="G218" s="6">
        <v>77</v>
      </c>
    </row>
    <row r="219" spans="1:7" x14ac:dyDescent="0.3">
      <c r="A219" s="7">
        <v>218</v>
      </c>
      <c r="B219" s="7">
        <v>0.1212</v>
      </c>
      <c r="C219" s="7">
        <v>0.5</v>
      </c>
      <c r="D219" s="7">
        <v>0.28360000000000002</v>
      </c>
      <c r="E219" s="7">
        <v>4</v>
      </c>
      <c r="F219" s="7">
        <v>184</v>
      </c>
      <c r="G219" s="7">
        <v>188</v>
      </c>
    </row>
    <row r="220" spans="1:7" x14ac:dyDescent="0.3">
      <c r="A220" s="6">
        <v>219</v>
      </c>
      <c r="B220" s="6">
        <v>0.1212</v>
      </c>
      <c r="C220" s="6">
        <v>0.5</v>
      </c>
      <c r="D220" s="6">
        <v>0.25369999999999998</v>
      </c>
      <c r="E220" s="6">
        <v>2</v>
      </c>
      <c r="F220" s="6">
        <v>92</v>
      </c>
      <c r="G220" s="6">
        <v>94</v>
      </c>
    </row>
    <row r="221" spans="1:7" x14ac:dyDescent="0.3">
      <c r="A221" s="7">
        <v>220</v>
      </c>
      <c r="B221" s="7">
        <v>0.1212</v>
      </c>
      <c r="C221" s="7">
        <v>0.5</v>
      </c>
      <c r="D221" s="7">
        <v>0.29849999999999999</v>
      </c>
      <c r="E221" s="7">
        <v>0</v>
      </c>
      <c r="F221" s="7">
        <v>31</v>
      </c>
      <c r="G221" s="7">
        <v>31</v>
      </c>
    </row>
    <row r="222" spans="1:7" x14ac:dyDescent="0.3">
      <c r="A222" s="6">
        <v>221</v>
      </c>
      <c r="B222" s="6">
        <v>0.13639999999999999</v>
      </c>
      <c r="C222" s="6">
        <v>0.47</v>
      </c>
      <c r="D222" s="6">
        <v>0.28360000000000002</v>
      </c>
      <c r="E222" s="6">
        <v>2</v>
      </c>
      <c r="F222" s="6">
        <v>28</v>
      </c>
      <c r="G222" s="6">
        <v>30</v>
      </c>
    </row>
    <row r="223" spans="1:7" x14ac:dyDescent="0.3">
      <c r="A223" s="7">
        <v>222</v>
      </c>
      <c r="B223" s="7">
        <v>0.18179999999999999</v>
      </c>
      <c r="C223" s="7">
        <v>0.4</v>
      </c>
      <c r="D223" s="7">
        <v>0.28360000000000002</v>
      </c>
      <c r="E223" s="7">
        <v>5</v>
      </c>
      <c r="F223" s="7">
        <v>47</v>
      </c>
      <c r="G223" s="7">
        <v>52</v>
      </c>
    </row>
    <row r="224" spans="1:7" x14ac:dyDescent="0.3">
      <c r="A224" s="6">
        <v>223</v>
      </c>
      <c r="B224" s="6">
        <v>0.18179999999999999</v>
      </c>
      <c r="C224" s="6">
        <v>0.4</v>
      </c>
      <c r="D224" s="6">
        <v>0.28360000000000002</v>
      </c>
      <c r="E224" s="6">
        <v>4</v>
      </c>
      <c r="F224" s="6">
        <v>50</v>
      </c>
      <c r="G224" s="6">
        <v>54</v>
      </c>
    </row>
    <row r="225" spans="1:7" x14ac:dyDescent="0.3">
      <c r="A225" s="7">
        <v>224</v>
      </c>
      <c r="B225" s="7">
        <v>0.19700000000000001</v>
      </c>
      <c r="C225" s="7">
        <v>0.4</v>
      </c>
      <c r="D225" s="7">
        <v>0.22389999999999999</v>
      </c>
      <c r="E225" s="7">
        <v>0</v>
      </c>
      <c r="F225" s="7">
        <v>47</v>
      </c>
      <c r="G225" s="7">
        <v>47</v>
      </c>
    </row>
    <row r="226" spans="1:7" x14ac:dyDescent="0.3">
      <c r="A226" s="6">
        <v>225</v>
      </c>
      <c r="B226" s="6">
        <v>0.19700000000000001</v>
      </c>
      <c r="C226" s="6">
        <v>0.4</v>
      </c>
      <c r="D226" s="6">
        <v>0.22389999999999999</v>
      </c>
      <c r="E226" s="6">
        <v>2</v>
      </c>
      <c r="F226" s="6">
        <v>43</v>
      </c>
      <c r="G226" s="6">
        <v>45</v>
      </c>
    </row>
    <row r="227" spans="1:7" x14ac:dyDescent="0.3">
      <c r="A227" s="7">
        <v>226</v>
      </c>
      <c r="B227" s="7">
        <v>0.21210000000000001</v>
      </c>
      <c r="C227" s="7">
        <v>0.4</v>
      </c>
      <c r="D227" s="7">
        <v>0.1343</v>
      </c>
      <c r="E227" s="7">
        <v>4</v>
      </c>
      <c r="F227" s="7">
        <v>70</v>
      </c>
      <c r="G227" s="7">
        <v>74</v>
      </c>
    </row>
    <row r="228" spans="1:7" x14ac:dyDescent="0.3">
      <c r="A228" s="6">
        <v>227</v>
      </c>
      <c r="B228" s="6">
        <v>0.2273</v>
      </c>
      <c r="C228" s="6">
        <v>0.4</v>
      </c>
      <c r="D228" s="6">
        <v>0.1045</v>
      </c>
      <c r="E228" s="6">
        <v>4</v>
      </c>
      <c r="F228" s="6">
        <v>174</v>
      </c>
      <c r="G228" s="6">
        <v>178</v>
      </c>
    </row>
    <row r="229" spans="1:7" x14ac:dyDescent="0.3">
      <c r="A229" s="7">
        <v>228</v>
      </c>
      <c r="B229" s="7">
        <v>0.19700000000000001</v>
      </c>
      <c r="C229" s="7">
        <v>0.4</v>
      </c>
      <c r="D229" s="7">
        <v>0.22389999999999999</v>
      </c>
      <c r="E229" s="7">
        <v>1</v>
      </c>
      <c r="F229" s="7">
        <v>154</v>
      </c>
      <c r="G229" s="7">
        <v>155</v>
      </c>
    </row>
    <row r="230" spans="1:7" x14ac:dyDescent="0.3">
      <c r="A230" s="6">
        <v>229</v>
      </c>
      <c r="B230" s="6">
        <v>0.16669999999999999</v>
      </c>
      <c r="C230" s="6">
        <v>0.47</v>
      </c>
      <c r="D230" s="6">
        <v>0.16420000000000001</v>
      </c>
      <c r="E230" s="6">
        <v>3</v>
      </c>
      <c r="F230" s="6">
        <v>92</v>
      </c>
      <c r="G230" s="6">
        <v>95</v>
      </c>
    </row>
    <row r="231" spans="1:7" x14ac:dyDescent="0.3">
      <c r="A231" s="7">
        <v>230</v>
      </c>
      <c r="B231" s="7">
        <v>0.16669999999999999</v>
      </c>
      <c r="C231" s="7">
        <v>0.5</v>
      </c>
      <c r="D231" s="7">
        <v>0.16420000000000001</v>
      </c>
      <c r="E231" s="7">
        <v>1</v>
      </c>
      <c r="F231" s="7">
        <v>73</v>
      </c>
      <c r="G231" s="7">
        <v>74</v>
      </c>
    </row>
    <row r="232" spans="1:7" x14ac:dyDescent="0.3">
      <c r="A232" s="6">
        <v>231</v>
      </c>
      <c r="B232" s="6">
        <v>0.13639999999999999</v>
      </c>
      <c r="C232" s="6">
        <v>0.59</v>
      </c>
      <c r="D232" s="6">
        <v>0.19400000000000001</v>
      </c>
      <c r="E232" s="6">
        <v>1</v>
      </c>
      <c r="F232" s="6">
        <v>37</v>
      </c>
      <c r="G232" s="6">
        <v>38</v>
      </c>
    </row>
    <row r="233" spans="1:7" x14ac:dyDescent="0.3">
      <c r="A233" s="7">
        <v>232</v>
      </c>
      <c r="B233" s="7">
        <v>0.1515</v>
      </c>
      <c r="C233" s="7">
        <v>0.59</v>
      </c>
      <c r="D233" s="7">
        <v>0.16420000000000001</v>
      </c>
      <c r="E233" s="7">
        <v>2</v>
      </c>
      <c r="F233" s="7">
        <v>22</v>
      </c>
      <c r="G233" s="7">
        <v>24</v>
      </c>
    </row>
    <row r="234" spans="1:7" x14ac:dyDescent="0.3">
      <c r="A234" s="6">
        <v>233</v>
      </c>
      <c r="B234" s="6">
        <v>0.1515</v>
      </c>
      <c r="C234" s="6">
        <v>0.59</v>
      </c>
      <c r="D234" s="6">
        <v>0.16420000000000001</v>
      </c>
      <c r="E234" s="6">
        <v>0</v>
      </c>
      <c r="F234" s="6">
        <v>18</v>
      </c>
      <c r="G234" s="6">
        <v>18</v>
      </c>
    </row>
    <row r="235" spans="1:7" x14ac:dyDescent="0.3">
      <c r="A235" s="7">
        <v>234</v>
      </c>
      <c r="B235" s="7">
        <v>0.16669999999999999</v>
      </c>
      <c r="C235" s="7">
        <v>0.59</v>
      </c>
      <c r="D235" s="7">
        <v>0.1045</v>
      </c>
      <c r="E235" s="7">
        <v>2</v>
      </c>
      <c r="F235" s="7">
        <v>10</v>
      </c>
      <c r="G235" s="7">
        <v>12</v>
      </c>
    </row>
    <row r="236" spans="1:7" x14ac:dyDescent="0.3">
      <c r="A236" s="6">
        <v>235</v>
      </c>
      <c r="B236" s="6">
        <v>0.1515</v>
      </c>
      <c r="C236" s="6">
        <v>0.59</v>
      </c>
      <c r="D236" s="6">
        <v>0.16420000000000001</v>
      </c>
      <c r="E236" s="6">
        <v>0</v>
      </c>
      <c r="F236" s="6">
        <v>3</v>
      </c>
      <c r="G236" s="6">
        <v>3</v>
      </c>
    </row>
    <row r="237" spans="1:7" x14ac:dyDescent="0.3">
      <c r="A237" s="7">
        <v>236</v>
      </c>
      <c r="B237" s="7">
        <v>0.1515</v>
      </c>
      <c r="C237" s="7">
        <v>0.55000000000000004</v>
      </c>
      <c r="D237" s="7">
        <v>0.19400000000000001</v>
      </c>
      <c r="E237" s="7">
        <v>0</v>
      </c>
      <c r="F237" s="7">
        <v>3</v>
      </c>
      <c r="G237" s="7">
        <v>3</v>
      </c>
    </row>
    <row r="238" spans="1:7" x14ac:dyDescent="0.3">
      <c r="A238" s="6">
        <v>237</v>
      </c>
      <c r="B238" s="6">
        <v>0.18179999999999999</v>
      </c>
      <c r="C238" s="6">
        <v>0.55000000000000004</v>
      </c>
      <c r="D238" s="6">
        <v>0.1343</v>
      </c>
      <c r="E238" s="6">
        <v>0</v>
      </c>
      <c r="F238" s="6">
        <v>6</v>
      </c>
      <c r="G238" s="6">
        <v>6</v>
      </c>
    </row>
    <row r="239" spans="1:7" x14ac:dyDescent="0.3">
      <c r="A239" s="7">
        <v>238</v>
      </c>
      <c r="B239" s="7">
        <v>0.18179999999999999</v>
      </c>
      <c r="C239" s="7">
        <v>0.55000000000000004</v>
      </c>
      <c r="D239" s="7">
        <v>0.1343</v>
      </c>
      <c r="E239" s="7">
        <v>0</v>
      </c>
      <c r="F239" s="7">
        <v>27</v>
      </c>
      <c r="G239" s="7">
        <v>27</v>
      </c>
    </row>
    <row r="240" spans="1:7" x14ac:dyDescent="0.3">
      <c r="A240" s="6">
        <v>239</v>
      </c>
      <c r="B240" s="6">
        <v>0.2273</v>
      </c>
      <c r="C240" s="6">
        <v>0.55000000000000004</v>
      </c>
      <c r="D240" s="6">
        <v>0</v>
      </c>
      <c r="E240" s="6">
        <v>2</v>
      </c>
      <c r="F240" s="6">
        <v>97</v>
      </c>
      <c r="G240" s="6">
        <v>99</v>
      </c>
    </row>
    <row r="241" spans="1:7" x14ac:dyDescent="0.3">
      <c r="A241" s="7">
        <v>240</v>
      </c>
      <c r="B241" s="7">
        <v>0.21210000000000001</v>
      </c>
      <c r="C241" s="7">
        <v>0.51</v>
      </c>
      <c r="D241" s="7">
        <v>8.9599999999999999E-2</v>
      </c>
      <c r="E241" s="7">
        <v>3</v>
      </c>
      <c r="F241" s="7">
        <v>214</v>
      </c>
      <c r="G241" s="7">
        <v>217</v>
      </c>
    </row>
    <row r="242" spans="1:7" x14ac:dyDescent="0.3">
      <c r="A242" s="6">
        <v>241</v>
      </c>
      <c r="B242" s="6">
        <v>0.19700000000000001</v>
      </c>
      <c r="C242" s="6">
        <v>0.51</v>
      </c>
      <c r="D242" s="6">
        <v>0.16420000000000001</v>
      </c>
      <c r="E242" s="6">
        <v>3</v>
      </c>
      <c r="F242" s="6">
        <v>127</v>
      </c>
      <c r="G242" s="6">
        <v>130</v>
      </c>
    </row>
    <row r="243" spans="1:7" x14ac:dyDescent="0.3">
      <c r="A243" s="7">
        <v>242</v>
      </c>
      <c r="B243" s="7">
        <v>0.21210000000000001</v>
      </c>
      <c r="C243" s="7">
        <v>0.51</v>
      </c>
      <c r="D243" s="7">
        <v>0.16420000000000001</v>
      </c>
      <c r="E243" s="7">
        <v>3</v>
      </c>
      <c r="F243" s="7">
        <v>51</v>
      </c>
      <c r="G243" s="7">
        <v>54</v>
      </c>
    </row>
    <row r="244" spans="1:7" x14ac:dyDescent="0.3">
      <c r="A244" s="6">
        <v>243</v>
      </c>
      <c r="B244" s="6">
        <v>0.21210000000000001</v>
      </c>
      <c r="C244" s="6">
        <v>0.47</v>
      </c>
      <c r="D244" s="6">
        <v>0.1343</v>
      </c>
      <c r="E244" s="6">
        <v>4</v>
      </c>
      <c r="F244" s="6">
        <v>31</v>
      </c>
      <c r="G244" s="6">
        <v>35</v>
      </c>
    </row>
    <row r="245" spans="1:7" x14ac:dyDescent="0.3">
      <c r="A245" s="7">
        <v>244</v>
      </c>
      <c r="B245" s="7">
        <v>0.2273</v>
      </c>
      <c r="C245" s="7">
        <v>0.51</v>
      </c>
      <c r="D245" s="7">
        <v>0.1045</v>
      </c>
      <c r="E245" s="7">
        <v>2</v>
      </c>
      <c r="F245" s="7">
        <v>55</v>
      </c>
      <c r="G245" s="7">
        <v>57</v>
      </c>
    </row>
    <row r="246" spans="1:7" x14ac:dyDescent="0.3">
      <c r="A246" s="6">
        <v>245</v>
      </c>
      <c r="B246" s="6">
        <v>0.2273</v>
      </c>
      <c r="C246" s="6">
        <v>0.59</v>
      </c>
      <c r="D246" s="6">
        <v>8.9599999999999999E-2</v>
      </c>
      <c r="E246" s="6">
        <v>6</v>
      </c>
      <c r="F246" s="6">
        <v>46</v>
      </c>
      <c r="G246" s="6">
        <v>52</v>
      </c>
    </row>
    <row r="247" spans="1:7" x14ac:dyDescent="0.3">
      <c r="A247" s="7">
        <v>246</v>
      </c>
      <c r="B247" s="7">
        <v>0.2273</v>
      </c>
      <c r="C247" s="7">
        <v>0.59</v>
      </c>
      <c r="D247" s="7">
        <v>8.9599999999999999E-2</v>
      </c>
      <c r="E247" s="7">
        <v>3</v>
      </c>
      <c r="F247" s="7">
        <v>60</v>
      </c>
      <c r="G247" s="7">
        <v>63</v>
      </c>
    </row>
    <row r="248" spans="1:7" x14ac:dyDescent="0.3">
      <c r="A248" s="6">
        <v>247</v>
      </c>
      <c r="B248" s="6">
        <v>0.19700000000000001</v>
      </c>
      <c r="C248" s="6">
        <v>0.8</v>
      </c>
      <c r="D248" s="6">
        <v>8.9599999999999999E-2</v>
      </c>
      <c r="E248" s="6">
        <v>2</v>
      </c>
      <c r="F248" s="6">
        <v>45</v>
      </c>
      <c r="G248" s="6">
        <v>47</v>
      </c>
    </row>
    <row r="249" spans="1:7" x14ac:dyDescent="0.3">
      <c r="A249" s="7">
        <v>248</v>
      </c>
      <c r="B249" s="7">
        <v>0.1515</v>
      </c>
      <c r="C249" s="7">
        <v>0.86</v>
      </c>
      <c r="D249" s="7">
        <v>0.22389999999999999</v>
      </c>
      <c r="E249" s="7">
        <v>4</v>
      </c>
      <c r="F249" s="7">
        <v>72</v>
      </c>
      <c r="G249" s="7">
        <v>76</v>
      </c>
    </row>
    <row r="250" spans="1:7" x14ac:dyDescent="0.3">
      <c r="A250" s="6">
        <v>249</v>
      </c>
      <c r="B250" s="6">
        <v>0.1515</v>
      </c>
      <c r="C250" s="6">
        <v>0.86</v>
      </c>
      <c r="D250" s="6">
        <v>0.22389999999999999</v>
      </c>
      <c r="E250" s="6">
        <v>6</v>
      </c>
      <c r="F250" s="6">
        <v>130</v>
      </c>
      <c r="G250" s="6">
        <v>136</v>
      </c>
    </row>
    <row r="251" spans="1:7" x14ac:dyDescent="0.3">
      <c r="A251" s="7">
        <v>250</v>
      </c>
      <c r="B251" s="7">
        <v>0.18179999999999999</v>
      </c>
      <c r="C251" s="7">
        <v>0.93</v>
      </c>
      <c r="D251" s="7">
        <v>0.1045</v>
      </c>
      <c r="E251" s="7">
        <v>1</v>
      </c>
      <c r="F251" s="7">
        <v>94</v>
      </c>
      <c r="G251" s="7">
        <v>95</v>
      </c>
    </row>
    <row r="252" spans="1:7" x14ac:dyDescent="0.3">
      <c r="A252" s="6">
        <v>251</v>
      </c>
      <c r="B252" s="6">
        <v>0.2273</v>
      </c>
      <c r="C252" s="6">
        <v>0.93</v>
      </c>
      <c r="D252" s="6">
        <v>0</v>
      </c>
      <c r="E252" s="6">
        <v>0</v>
      </c>
      <c r="F252" s="6">
        <v>51</v>
      </c>
      <c r="G252" s="6">
        <v>51</v>
      </c>
    </row>
    <row r="253" spans="1:7" x14ac:dyDescent="0.3">
      <c r="A253" s="7">
        <v>252</v>
      </c>
      <c r="B253" s="7">
        <v>0.1515</v>
      </c>
      <c r="C253" s="7">
        <v>0.93</v>
      </c>
      <c r="D253" s="7">
        <v>0.19400000000000001</v>
      </c>
      <c r="E253" s="7">
        <v>0</v>
      </c>
      <c r="F253" s="7">
        <v>32</v>
      </c>
      <c r="G253" s="7">
        <v>32</v>
      </c>
    </row>
    <row r="254" spans="1:7" x14ac:dyDescent="0.3">
      <c r="A254" s="6">
        <v>253</v>
      </c>
      <c r="B254" s="6">
        <v>0.19700000000000001</v>
      </c>
      <c r="C254" s="6">
        <v>0.86</v>
      </c>
      <c r="D254" s="6">
        <v>8.9599999999999999E-2</v>
      </c>
      <c r="E254" s="6">
        <v>0</v>
      </c>
      <c r="F254" s="6">
        <v>20</v>
      </c>
      <c r="G254" s="6">
        <v>20</v>
      </c>
    </row>
    <row r="255" spans="1:7" x14ac:dyDescent="0.3">
      <c r="A255" s="7">
        <v>254</v>
      </c>
      <c r="B255" s="7">
        <v>0.18179999999999999</v>
      </c>
      <c r="C255" s="7">
        <v>0.93</v>
      </c>
      <c r="D255" s="7">
        <v>0.1045</v>
      </c>
      <c r="E255" s="7">
        <v>1</v>
      </c>
      <c r="F255" s="7">
        <v>28</v>
      </c>
      <c r="G255" s="7">
        <v>29</v>
      </c>
    </row>
    <row r="256" spans="1:7" x14ac:dyDescent="0.3">
      <c r="A256" s="6">
        <v>255</v>
      </c>
      <c r="B256" s="6">
        <v>0.19700000000000001</v>
      </c>
      <c r="C256" s="6">
        <v>0.93</v>
      </c>
      <c r="D256" s="6">
        <v>8.9599999999999999E-2</v>
      </c>
      <c r="E256" s="6">
        <v>1</v>
      </c>
      <c r="F256" s="6">
        <v>18</v>
      </c>
      <c r="G256" s="6">
        <v>19</v>
      </c>
    </row>
    <row r="257" spans="1:7" x14ac:dyDescent="0.3">
      <c r="A257" s="7">
        <v>256</v>
      </c>
      <c r="B257" s="7">
        <v>0.19700000000000001</v>
      </c>
      <c r="C257" s="7">
        <v>0.86</v>
      </c>
      <c r="D257" s="7">
        <v>8.9599999999999999E-2</v>
      </c>
      <c r="E257" s="7">
        <v>0</v>
      </c>
      <c r="F257" s="7">
        <v>7</v>
      </c>
      <c r="G257" s="7">
        <v>7</v>
      </c>
    </row>
    <row r="258" spans="1:7" x14ac:dyDescent="0.3">
      <c r="A258" s="6">
        <v>257</v>
      </c>
      <c r="B258" s="6">
        <v>0.18179999999999999</v>
      </c>
      <c r="C258" s="6">
        <v>0.86</v>
      </c>
      <c r="D258" s="6">
        <v>0.1045</v>
      </c>
      <c r="E258" s="6">
        <v>0</v>
      </c>
      <c r="F258" s="6">
        <v>6</v>
      </c>
      <c r="G258" s="6">
        <v>6</v>
      </c>
    </row>
    <row r="259" spans="1:7" x14ac:dyDescent="0.3">
      <c r="A259" s="7">
        <v>258</v>
      </c>
      <c r="B259" s="7">
        <v>0.1515</v>
      </c>
      <c r="C259" s="7">
        <v>0.86</v>
      </c>
      <c r="D259" s="7">
        <v>0.1343</v>
      </c>
      <c r="E259" s="7">
        <v>0</v>
      </c>
      <c r="F259" s="7">
        <v>1</v>
      </c>
      <c r="G259" s="7">
        <v>1</v>
      </c>
    </row>
    <row r="260" spans="1:7" x14ac:dyDescent="0.3">
      <c r="A260" s="6">
        <v>259</v>
      </c>
      <c r="B260" s="6">
        <v>0.1515</v>
      </c>
      <c r="C260" s="6">
        <v>0.86</v>
      </c>
      <c r="D260" s="6">
        <v>0.16420000000000001</v>
      </c>
      <c r="E260" s="6">
        <v>0</v>
      </c>
      <c r="F260" s="6">
        <v>5</v>
      </c>
      <c r="G260" s="6">
        <v>5</v>
      </c>
    </row>
    <row r="261" spans="1:7" x14ac:dyDescent="0.3">
      <c r="A261" s="7">
        <v>260</v>
      </c>
      <c r="B261" s="7">
        <v>0.1515</v>
      </c>
      <c r="C261" s="7">
        <v>0.93</v>
      </c>
      <c r="D261" s="7">
        <v>0.1343</v>
      </c>
      <c r="E261" s="7">
        <v>0</v>
      </c>
      <c r="F261" s="7">
        <v>16</v>
      </c>
      <c r="G261" s="7">
        <v>16</v>
      </c>
    </row>
    <row r="262" spans="1:7" x14ac:dyDescent="0.3">
      <c r="A262" s="6">
        <v>261</v>
      </c>
      <c r="B262" s="6">
        <v>0.1515</v>
      </c>
      <c r="C262" s="6">
        <v>0.69</v>
      </c>
      <c r="D262" s="6">
        <v>0.1343</v>
      </c>
      <c r="E262" s="6">
        <v>0</v>
      </c>
      <c r="F262" s="6">
        <v>54</v>
      </c>
      <c r="G262" s="6">
        <v>54</v>
      </c>
    </row>
    <row r="263" spans="1:7" x14ac:dyDescent="0.3">
      <c r="A263" s="7">
        <v>262</v>
      </c>
      <c r="B263" s="7">
        <v>0.16669999999999999</v>
      </c>
      <c r="C263" s="7">
        <v>0.59</v>
      </c>
      <c r="D263" s="7">
        <v>0.16420000000000001</v>
      </c>
      <c r="E263" s="7">
        <v>3</v>
      </c>
      <c r="F263" s="7">
        <v>125</v>
      </c>
      <c r="G263" s="7">
        <v>128</v>
      </c>
    </row>
    <row r="264" spans="1:7" x14ac:dyDescent="0.3">
      <c r="A264" s="6">
        <v>263</v>
      </c>
      <c r="B264" s="6">
        <v>0.13639999999999999</v>
      </c>
      <c r="C264" s="6">
        <v>0.59</v>
      </c>
      <c r="D264" s="6">
        <v>0.32840000000000003</v>
      </c>
      <c r="E264" s="6">
        <v>3</v>
      </c>
      <c r="F264" s="6">
        <v>78</v>
      </c>
      <c r="G264" s="6">
        <v>81</v>
      </c>
    </row>
    <row r="265" spans="1:7" x14ac:dyDescent="0.3">
      <c r="A265" s="7">
        <v>264</v>
      </c>
      <c r="B265" s="7">
        <v>0.18179999999999999</v>
      </c>
      <c r="C265" s="7">
        <v>0.55000000000000004</v>
      </c>
      <c r="D265" s="7">
        <v>0.22389999999999999</v>
      </c>
      <c r="E265" s="7">
        <v>0</v>
      </c>
      <c r="F265" s="7">
        <v>39</v>
      </c>
      <c r="G265" s="7">
        <v>39</v>
      </c>
    </row>
    <row r="266" spans="1:7" x14ac:dyDescent="0.3">
      <c r="A266" s="6">
        <v>265</v>
      </c>
      <c r="B266" s="6">
        <v>0.18179999999999999</v>
      </c>
      <c r="C266" s="6">
        <v>0.51</v>
      </c>
      <c r="D266" s="6">
        <v>0.3881</v>
      </c>
      <c r="E266" s="6">
        <v>3</v>
      </c>
      <c r="F266" s="6">
        <v>32</v>
      </c>
      <c r="G266" s="6">
        <v>35</v>
      </c>
    </row>
    <row r="267" spans="1:7" x14ac:dyDescent="0.3">
      <c r="A267" s="7">
        <v>266</v>
      </c>
      <c r="B267" s="7">
        <v>0.1515</v>
      </c>
      <c r="C267" s="7">
        <v>0.47</v>
      </c>
      <c r="D267" s="7">
        <v>0.58209999999999995</v>
      </c>
      <c r="E267" s="7">
        <v>3</v>
      </c>
      <c r="F267" s="7">
        <v>52</v>
      </c>
      <c r="G267" s="7">
        <v>55</v>
      </c>
    </row>
    <row r="268" spans="1:7" x14ac:dyDescent="0.3">
      <c r="A268" s="6">
        <v>267</v>
      </c>
      <c r="B268" s="6">
        <v>0.19700000000000001</v>
      </c>
      <c r="C268" s="6">
        <v>0.44</v>
      </c>
      <c r="D268" s="6">
        <v>0.35820000000000002</v>
      </c>
      <c r="E268" s="6">
        <v>0</v>
      </c>
      <c r="F268" s="6">
        <v>49</v>
      </c>
      <c r="G268" s="6">
        <v>49</v>
      </c>
    </row>
    <row r="269" spans="1:7" x14ac:dyDescent="0.3">
      <c r="A269" s="7">
        <v>268</v>
      </c>
      <c r="B269" s="7">
        <v>0.18179999999999999</v>
      </c>
      <c r="C269" s="7">
        <v>0.47</v>
      </c>
      <c r="D269" s="7">
        <v>0.32840000000000003</v>
      </c>
      <c r="E269" s="7">
        <v>0</v>
      </c>
      <c r="F269" s="7">
        <v>44</v>
      </c>
      <c r="G269" s="7">
        <v>44</v>
      </c>
    </row>
    <row r="270" spans="1:7" x14ac:dyDescent="0.3">
      <c r="A270" s="6">
        <v>269</v>
      </c>
      <c r="B270" s="6">
        <v>0.16669999999999999</v>
      </c>
      <c r="C270" s="6">
        <v>0.47</v>
      </c>
      <c r="D270" s="6">
        <v>0.41789999999999999</v>
      </c>
      <c r="E270" s="6">
        <v>1</v>
      </c>
      <c r="F270" s="6">
        <v>48</v>
      </c>
      <c r="G270" s="6">
        <v>49</v>
      </c>
    </row>
    <row r="271" spans="1:7" x14ac:dyDescent="0.3">
      <c r="A271" s="7">
        <v>270</v>
      </c>
      <c r="B271" s="7">
        <v>0.19700000000000001</v>
      </c>
      <c r="C271" s="7">
        <v>0.44</v>
      </c>
      <c r="D271" s="7">
        <v>0.32840000000000003</v>
      </c>
      <c r="E271" s="7">
        <v>5</v>
      </c>
      <c r="F271" s="7">
        <v>63</v>
      </c>
      <c r="G271" s="7">
        <v>68</v>
      </c>
    </row>
    <row r="272" spans="1:7" x14ac:dyDescent="0.3">
      <c r="A272" s="6">
        <v>271</v>
      </c>
      <c r="B272" s="6">
        <v>0.18179999999999999</v>
      </c>
      <c r="C272" s="6">
        <v>0.47</v>
      </c>
      <c r="D272" s="6">
        <v>0.35820000000000002</v>
      </c>
      <c r="E272" s="6">
        <v>0</v>
      </c>
      <c r="F272" s="6">
        <v>139</v>
      </c>
      <c r="G272" s="6">
        <v>139</v>
      </c>
    </row>
    <row r="273" spans="1:7" x14ac:dyDescent="0.3">
      <c r="A273" s="7">
        <v>272</v>
      </c>
      <c r="B273" s="7">
        <v>0.1515</v>
      </c>
      <c r="C273" s="7">
        <v>0.47</v>
      </c>
      <c r="D273" s="7">
        <v>0.52239999999999998</v>
      </c>
      <c r="E273" s="7">
        <v>2</v>
      </c>
      <c r="F273" s="7">
        <v>135</v>
      </c>
      <c r="G273" s="7">
        <v>137</v>
      </c>
    </row>
    <row r="274" spans="1:7" x14ac:dyDescent="0.3">
      <c r="A274" s="6">
        <v>273</v>
      </c>
      <c r="B274" s="6">
        <v>0.1515</v>
      </c>
      <c r="C274" s="6">
        <v>0.47</v>
      </c>
      <c r="D274" s="6">
        <v>0.41789999999999999</v>
      </c>
      <c r="E274" s="6">
        <v>1</v>
      </c>
      <c r="F274" s="6">
        <v>82</v>
      </c>
      <c r="G274" s="6">
        <v>83</v>
      </c>
    </row>
    <row r="275" spans="1:7" x14ac:dyDescent="0.3">
      <c r="A275" s="7">
        <v>274</v>
      </c>
      <c r="B275" s="7">
        <v>0.13639999999999999</v>
      </c>
      <c r="C275" s="7">
        <v>0.5</v>
      </c>
      <c r="D275" s="7">
        <v>0.32840000000000003</v>
      </c>
      <c r="E275" s="7">
        <v>2</v>
      </c>
      <c r="F275" s="7">
        <v>54</v>
      </c>
      <c r="G275" s="7">
        <v>56</v>
      </c>
    </row>
    <row r="276" spans="1:7" x14ac:dyDescent="0.3">
      <c r="A276" s="6">
        <v>275</v>
      </c>
      <c r="B276" s="6">
        <v>0.13639999999999999</v>
      </c>
      <c r="C276" s="6">
        <v>0.55000000000000004</v>
      </c>
      <c r="D276" s="6">
        <v>0.32840000000000003</v>
      </c>
      <c r="E276" s="6">
        <v>0</v>
      </c>
      <c r="F276" s="6">
        <v>57</v>
      </c>
      <c r="G276" s="6">
        <v>57</v>
      </c>
    </row>
    <row r="277" spans="1:7" x14ac:dyDescent="0.3">
      <c r="A277" s="7">
        <v>276</v>
      </c>
      <c r="B277" s="7">
        <v>0.1212</v>
      </c>
      <c r="C277" s="7">
        <v>0.55000000000000004</v>
      </c>
      <c r="D277" s="7">
        <v>0.44779999999999998</v>
      </c>
      <c r="E277" s="7">
        <v>1</v>
      </c>
      <c r="F277" s="7">
        <v>32</v>
      </c>
      <c r="G277" s="7">
        <v>33</v>
      </c>
    </row>
    <row r="278" spans="1:7" x14ac:dyDescent="0.3">
      <c r="A278" s="6">
        <v>277</v>
      </c>
      <c r="B278" s="6">
        <v>0.1061</v>
      </c>
      <c r="C278" s="6">
        <v>0.59</v>
      </c>
      <c r="D278" s="6">
        <v>0.41789999999999999</v>
      </c>
      <c r="E278" s="6">
        <v>1</v>
      </c>
      <c r="F278" s="6">
        <v>19</v>
      </c>
      <c r="G278" s="6">
        <v>20</v>
      </c>
    </row>
    <row r="279" spans="1:7" x14ac:dyDescent="0.3">
      <c r="A279" s="7">
        <v>278</v>
      </c>
      <c r="B279" s="7">
        <v>0.1212</v>
      </c>
      <c r="C279" s="7">
        <v>0.59</v>
      </c>
      <c r="D279" s="7">
        <v>0.28360000000000002</v>
      </c>
      <c r="E279" s="7">
        <v>1</v>
      </c>
      <c r="F279" s="7">
        <v>6</v>
      </c>
      <c r="G279" s="7">
        <v>7</v>
      </c>
    </row>
    <row r="280" spans="1:7" x14ac:dyDescent="0.3">
      <c r="A280" s="6">
        <v>279</v>
      </c>
      <c r="B280" s="6">
        <v>0.1212</v>
      </c>
      <c r="C280" s="6">
        <v>0.5</v>
      </c>
      <c r="D280" s="6">
        <v>0.28360000000000002</v>
      </c>
      <c r="E280" s="6">
        <v>0</v>
      </c>
      <c r="F280" s="6">
        <v>2</v>
      </c>
      <c r="G280" s="6">
        <v>2</v>
      </c>
    </row>
    <row r="281" spans="1:7" x14ac:dyDescent="0.3">
      <c r="A281" s="7">
        <v>280</v>
      </c>
      <c r="B281" s="7">
        <v>0.1212</v>
      </c>
      <c r="C281" s="7">
        <v>0.5</v>
      </c>
      <c r="D281" s="7">
        <v>0.35820000000000002</v>
      </c>
      <c r="E281" s="7">
        <v>0</v>
      </c>
      <c r="F281" s="7">
        <v>2</v>
      </c>
      <c r="G281" s="7">
        <v>2</v>
      </c>
    </row>
    <row r="282" spans="1:7" x14ac:dyDescent="0.3">
      <c r="A282" s="6">
        <v>281</v>
      </c>
      <c r="B282" s="6">
        <v>0.1212</v>
      </c>
      <c r="C282" s="6">
        <v>0.5</v>
      </c>
      <c r="D282" s="6">
        <v>0.32840000000000003</v>
      </c>
      <c r="E282" s="6">
        <v>0</v>
      </c>
      <c r="F282" s="6">
        <v>3</v>
      </c>
      <c r="G282" s="6">
        <v>3</v>
      </c>
    </row>
    <row r="283" spans="1:7" x14ac:dyDescent="0.3">
      <c r="A283" s="7">
        <v>282</v>
      </c>
      <c r="B283" s="7">
        <v>0.1212</v>
      </c>
      <c r="C283" s="7">
        <v>0.5</v>
      </c>
      <c r="D283" s="7">
        <v>0.25369999999999998</v>
      </c>
      <c r="E283" s="7">
        <v>0</v>
      </c>
      <c r="F283" s="7">
        <v>4</v>
      </c>
      <c r="G283" s="7">
        <v>4</v>
      </c>
    </row>
    <row r="284" spans="1:7" x14ac:dyDescent="0.3">
      <c r="A284" s="6">
        <v>283</v>
      </c>
      <c r="B284" s="6">
        <v>0.1212</v>
      </c>
      <c r="C284" s="6">
        <v>0.5</v>
      </c>
      <c r="D284" s="6">
        <v>0.29849999999999999</v>
      </c>
      <c r="E284" s="6">
        <v>0</v>
      </c>
      <c r="F284" s="6">
        <v>3</v>
      </c>
      <c r="G284" s="6">
        <v>3</v>
      </c>
    </row>
    <row r="285" spans="1:7" x14ac:dyDescent="0.3">
      <c r="A285" s="7">
        <v>284</v>
      </c>
      <c r="B285" s="7">
        <v>0.1515</v>
      </c>
      <c r="C285" s="7">
        <v>0.54</v>
      </c>
      <c r="D285" s="7">
        <v>0.1343</v>
      </c>
      <c r="E285" s="7">
        <v>0</v>
      </c>
      <c r="F285" s="7">
        <v>28</v>
      </c>
      <c r="G285" s="7">
        <v>28</v>
      </c>
    </row>
    <row r="286" spans="1:7" x14ac:dyDescent="0.3">
      <c r="A286" s="6">
        <v>285</v>
      </c>
      <c r="B286" s="6">
        <v>0.1515</v>
      </c>
      <c r="C286" s="6">
        <v>0.54</v>
      </c>
      <c r="D286" s="6">
        <v>0.1343</v>
      </c>
      <c r="E286" s="6">
        <v>0</v>
      </c>
      <c r="F286" s="6">
        <v>72</v>
      </c>
      <c r="G286" s="6">
        <v>72</v>
      </c>
    </row>
    <row r="287" spans="1:7" x14ac:dyDescent="0.3">
      <c r="A287" s="7">
        <v>286</v>
      </c>
      <c r="B287" s="7">
        <v>0.13639999999999999</v>
      </c>
      <c r="C287" s="7">
        <v>0.5</v>
      </c>
      <c r="D287" s="7">
        <v>0.19400000000000001</v>
      </c>
      <c r="E287" s="7">
        <v>5</v>
      </c>
      <c r="F287" s="7">
        <v>197</v>
      </c>
      <c r="G287" s="7">
        <v>202</v>
      </c>
    </row>
    <row r="288" spans="1:7" x14ac:dyDescent="0.3">
      <c r="A288" s="6">
        <v>287</v>
      </c>
      <c r="B288" s="6">
        <v>0.1212</v>
      </c>
      <c r="C288" s="6">
        <v>0.5</v>
      </c>
      <c r="D288" s="6">
        <v>0.32840000000000003</v>
      </c>
      <c r="E288" s="6">
        <v>2</v>
      </c>
      <c r="F288" s="6">
        <v>137</v>
      </c>
      <c r="G288" s="6">
        <v>139</v>
      </c>
    </row>
    <row r="289" spans="1:7" x14ac:dyDescent="0.3">
      <c r="A289" s="7">
        <v>288</v>
      </c>
      <c r="B289" s="7">
        <v>0.13639999999999999</v>
      </c>
      <c r="C289" s="7">
        <v>0.5</v>
      </c>
      <c r="D289" s="7">
        <v>0.35820000000000002</v>
      </c>
      <c r="E289" s="7">
        <v>2</v>
      </c>
      <c r="F289" s="7">
        <v>36</v>
      </c>
      <c r="G289" s="7">
        <v>38</v>
      </c>
    </row>
    <row r="290" spans="1:7" x14ac:dyDescent="0.3">
      <c r="A290" s="6">
        <v>289</v>
      </c>
      <c r="B290" s="6">
        <v>0.16669999999999999</v>
      </c>
      <c r="C290" s="6">
        <v>0.44</v>
      </c>
      <c r="D290" s="6">
        <v>0.44779999999999998</v>
      </c>
      <c r="E290" s="6">
        <v>4</v>
      </c>
      <c r="F290" s="6">
        <v>33</v>
      </c>
      <c r="G290" s="6">
        <v>37</v>
      </c>
    </row>
    <row r="291" spans="1:7" x14ac:dyDescent="0.3">
      <c r="A291" s="7">
        <v>290</v>
      </c>
      <c r="B291" s="7">
        <v>0.16669999999999999</v>
      </c>
      <c r="C291" s="7">
        <v>0.44</v>
      </c>
      <c r="D291" s="7">
        <v>0.41789999999999999</v>
      </c>
      <c r="E291" s="7">
        <v>3</v>
      </c>
      <c r="F291" s="7">
        <v>49</v>
      </c>
      <c r="G291" s="7">
        <v>52</v>
      </c>
    </row>
    <row r="292" spans="1:7" x14ac:dyDescent="0.3">
      <c r="A292" s="6">
        <v>291</v>
      </c>
      <c r="B292" s="6">
        <v>0.19700000000000001</v>
      </c>
      <c r="C292" s="6">
        <v>0.41</v>
      </c>
      <c r="D292" s="6">
        <v>0.44779999999999998</v>
      </c>
      <c r="E292" s="6">
        <v>2</v>
      </c>
      <c r="F292" s="6">
        <v>81</v>
      </c>
      <c r="G292" s="6">
        <v>83</v>
      </c>
    </row>
    <row r="293" spans="1:7" x14ac:dyDescent="0.3">
      <c r="A293" s="7">
        <v>292</v>
      </c>
      <c r="B293" s="7">
        <v>0.19700000000000001</v>
      </c>
      <c r="C293" s="7">
        <v>0.41</v>
      </c>
      <c r="D293" s="7">
        <v>0.3881</v>
      </c>
      <c r="E293" s="7">
        <v>3</v>
      </c>
      <c r="F293" s="7">
        <v>39</v>
      </c>
      <c r="G293" s="7">
        <v>42</v>
      </c>
    </row>
    <row r="294" spans="1:7" x14ac:dyDescent="0.3">
      <c r="A294" s="6">
        <v>293</v>
      </c>
      <c r="B294" s="6">
        <v>0.21210000000000001</v>
      </c>
      <c r="C294" s="6">
        <v>0.38</v>
      </c>
      <c r="D294" s="6">
        <v>0.29849999999999999</v>
      </c>
      <c r="E294" s="6">
        <v>5</v>
      </c>
      <c r="F294" s="6">
        <v>55</v>
      </c>
      <c r="G294" s="6">
        <v>60</v>
      </c>
    </row>
    <row r="295" spans="1:7" x14ac:dyDescent="0.3">
      <c r="A295" s="7">
        <v>294</v>
      </c>
      <c r="B295" s="7">
        <v>0.21210000000000001</v>
      </c>
      <c r="C295" s="7">
        <v>0.38</v>
      </c>
      <c r="D295" s="7">
        <v>0.35820000000000002</v>
      </c>
      <c r="E295" s="7">
        <v>2</v>
      </c>
      <c r="F295" s="7">
        <v>76</v>
      </c>
      <c r="G295" s="7">
        <v>78</v>
      </c>
    </row>
    <row r="296" spans="1:7" x14ac:dyDescent="0.3">
      <c r="A296" s="6">
        <v>295</v>
      </c>
      <c r="B296" s="6">
        <v>0.18179999999999999</v>
      </c>
      <c r="C296" s="6">
        <v>0.4</v>
      </c>
      <c r="D296" s="6">
        <v>0.28360000000000002</v>
      </c>
      <c r="E296" s="6">
        <v>4</v>
      </c>
      <c r="F296" s="6">
        <v>158</v>
      </c>
      <c r="G296" s="6">
        <v>162</v>
      </c>
    </row>
    <row r="297" spans="1:7" x14ac:dyDescent="0.3">
      <c r="A297" s="7">
        <v>296</v>
      </c>
      <c r="B297" s="7">
        <v>0.18179999999999999</v>
      </c>
      <c r="C297" s="7">
        <v>0.4</v>
      </c>
      <c r="D297" s="7">
        <v>0.32840000000000003</v>
      </c>
      <c r="E297" s="7">
        <v>3</v>
      </c>
      <c r="F297" s="7">
        <v>141</v>
      </c>
      <c r="G297" s="7">
        <v>144</v>
      </c>
    </row>
    <row r="298" spans="1:7" x14ac:dyDescent="0.3">
      <c r="A298" s="6">
        <v>297</v>
      </c>
      <c r="B298" s="6">
        <v>0.1515</v>
      </c>
      <c r="C298" s="6">
        <v>0.47</v>
      </c>
      <c r="D298" s="6">
        <v>0.25369999999999998</v>
      </c>
      <c r="E298" s="6">
        <v>1</v>
      </c>
      <c r="F298" s="6">
        <v>98</v>
      </c>
      <c r="G298" s="6">
        <v>99</v>
      </c>
    </row>
    <row r="299" spans="1:7" x14ac:dyDescent="0.3">
      <c r="A299" s="7">
        <v>298</v>
      </c>
      <c r="B299" s="7">
        <v>0.1515</v>
      </c>
      <c r="C299" s="7">
        <v>0.47</v>
      </c>
      <c r="D299" s="7">
        <v>0.22389999999999999</v>
      </c>
      <c r="E299" s="7">
        <v>0</v>
      </c>
      <c r="F299" s="7">
        <v>64</v>
      </c>
      <c r="G299" s="7">
        <v>64</v>
      </c>
    </row>
    <row r="300" spans="1:7" x14ac:dyDescent="0.3">
      <c r="A300" s="6">
        <v>299</v>
      </c>
      <c r="B300" s="6">
        <v>0.1212</v>
      </c>
      <c r="C300" s="6">
        <v>0.46</v>
      </c>
      <c r="D300" s="6">
        <v>0.29849999999999999</v>
      </c>
      <c r="E300" s="6">
        <v>0</v>
      </c>
      <c r="F300" s="6">
        <v>40</v>
      </c>
      <c r="G300" s="6">
        <v>40</v>
      </c>
    </row>
    <row r="301" spans="1:7" x14ac:dyDescent="0.3">
      <c r="A301" s="7">
        <v>300</v>
      </c>
      <c r="B301" s="7">
        <v>0.1212</v>
      </c>
      <c r="C301" s="7">
        <v>0.46</v>
      </c>
      <c r="D301" s="7">
        <v>0.32840000000000003</v>
      </c>
      <c r="E301" s="7">
        <v>0</v>
      </c>
      <c r="F301" s="7">
        <v>30</v>
      </c>
      <c r="G301" s="7">
        <v>30</v>
      </c>
    </row>
    <row r="302" spans="1:7" x14ac:dyDescent="0.3">
      <c r="A302" s="6">
        <v>301</v>
      </c>
      <c r="B302" s="6">
        <v>0.13639999999999999</v>
      </c>
      <c r="C302" s="6">
        <v>0.5</v>
      </c>
      <c r="D302" s="6">
        <v>0.19400000000000001</v>
      </c>
      <c r="E302" s="6">
        <v>1</v>
      </c>
      <c r="F302" s="6">
        <v>14</v>
      </c>
      <c r="G302" s="6">
        <v>15</v>
      </c>
    </row>
    <row r="303" spans="1:7" x14ac:dyDescent="0.3">
      <c r="A303" s="7">
        <v>302</v>
      </c>
      <c r="B303" s="7">
        <v>0.13639999999999999</v>
      </c>
      <c r="C303" s="7">
        <v>0.5</v>
      </c>
      <c r="D303" s="7">
        <v>0.19400000000000001</v>
      </c>
      <c r="E303" s="7">
        <v>0</v>
      </c>
      <c r="F303" s="7">
        <v>14</v>
      </c>
      <c r="G303" s="7">
        <v>14</v>
      </c>
    </row>
    <row r="304" spans="1:7" x14ac:dyDescent="0.3">
      <c r="A304" s="6">
        <v>303</v>
      </c>
      <c r="B304" s="6">
        <v>0.1212</v>
      </c>
      <c r="C304" s="6">
        <v>0.54</v>
      </c>
      <c r="D304" s="6">
        <v>0.16420000000000001</v>
      </c>
      <c r="E304" s="6">
        <v>0</v>
      </c>
      <c r="F304" s="6">
        <v>5</v>
      </c>
      <c r="G304" s="6">
        <v>5</v>
      </c>
    </row>
    <row r="305" spans="1:7" x14ac:dyDescent="0.3">
      <c r="A305" s="7">
        <v>304</v>
      </c>
      <c r="B305" s="7">
        <v>0.1212</v>
      </c>
      <c r="C305" s="7">
        <v>0.54</v>
      </c>
      <c r="D305" s="7">
        <v>0.1343</v>
      </c>
      <c r="E305" s="7">
        <v>0</v>
      </c>
      <c r="F305" s="7">
        <v>1</v>
      </c>
      <c r="G305" s="7">
        <v>1</v>
      </c>
    </row>
    <row r="306" spans="1:7" x14ac:dyDescent="0.3">
      <c r="A306" s="6">
        <v>305</v>
      </c>
      <c r="B306" s="6">
        <v>0.13639999999999999</v>
      </c>
      <c r="C306" s="6">
        <v>0.54</v>
      </c>
      <c r="D306" s="6">
        <v>0.1045</v>
      </c>
      <c r="E306" s="6">
        <v>0</v>
      </c>
      <c r="F306" s="6">
        <v>1</v>
      </c>
      <c r="G306" s="6">
        <v>1</v>
      </c>
    </row>
    <row r="307" spans="1:7" x14ac:dyDescent="0.3">
      <c r="A307" s="7">
        <v>306</v>
      </c>
      <c r="B307" s="7">
        <v>0.13639999999999999</v>
      </c>
      <c r="C307" s="7">
        <v>0.54</v>
      </c>
      <c r="D307" s="7">
        <v>8.9599999999999999E-2</v>
      </c>
      <c r="E307" s="7">
        <v>0</v>
      </c>
      <c r="F307" s="7">
        <v>8</v>
      </c>
      <c r="G307" s="7">
        <v>8</v>
      </c>
    </row>
    <row r="308" spans="1:7" x14ac:dyDescent="0.3">
      <c r="A308" s="6">
        <v>307</v>
      </c>
      <c r="B308" s="6">
        <v>0.18179999999999999</v>
      </c>
      <c r="C308" s="6">
        <v>0.54</v>
      </c>
      <c r="D308" s="6">
        <v>0</v>
      </c>
      <c r="E308" s="6">
        <v>0</v>
      </c>
      <c r="F308" s="6">
        <v>17</v>
      </c>
      <c r="G308" s="6">
        <v>17</v>
      </c>
    </row>
    <row r="309" spans="1:7" x14ac:dyDescent="0.3">
      <c r="A309" s="7">
        <v>308</v>
      </c>
      <c r="B309" s="7">
        <v>0.1212</v>
      </c>
      <c r="C309" s="7">
        <v>0.74</v>
      </c>
      <c r="D309" s="7">
        <v>0.16420000000000001</v>
      </c>
      <c r="E309" s="7">
        <v>0</v>
      </c>
      <c r="F309" s="7">
        <v>70</v>
      </c>
      <c r="G309" s="7">
        <v>70</v>
      </c>
    </row>
    <row r="310" spans="1:7" x14ac:dyDescent="0.3">
      <c r="A310" s="6">
        <v>309</v>
      </c>
      <c r="B310" s="6">
        <v>0.16669999999999999</v>
      </c>
      <c r="C310" s="6">
        <v>0.68</v>
      </c>
      <c r="D310" s="6">
        <v>0</v>
      </c>
      <c r="E310" s="6">
        <v>2</v>
      </c>
      <c r="F310" s="6">
        <v>156</v>
      </c>
      <c r="G310" s="6">
        <v>158</v>
      </c>
    </row>
    <row r="311" spans="1:7" x14ac:dyDescent="0.3">
      <c r="A311" s="7">
        <v>310</v>
      </c>
      <c r="B311" s="7">
        <v>0.1515</v>
      </c>
      <c r="C311" s="7">
        <v>0.69</v>
      </c>
      <c r="D311" s="7">
        <v>0.1343</v>
      </c>
      <c r="E311" s="7">
        <v>0</v>
      </c>
      <c r="F311" s="7">
        <v>117</v>
      </c>
      <c r="G311" s="7">
        <v>117</v>
      </c>
    </row>
    <row r="312" spans="1:7" x14ac:dyDescent="0.3">
      <c r="A312" s="6">
        <v>311</v>
      </c>
      <c r="B312" s="6">
        <v>0.18179999999999999</v>
      </c>
      <c r="C312" s="6">
        <v>0.55000000000000004</v>
      </c>
      <c r="D312" s="6">
        <v>0.19400000000000001</v>
      </c>
      <c r="E312" s="6">
        <v>4</v>
      </c>
      <c r="F312" s="6">
        <v>40</v>
      </c>
      <c r="G312" s="6">
        <v>44</v>
      </c>
    </row>
    <row r="313" spans="1:7" x14ac:dyDescent="0.3">
      <c r="A313" s="7">
        <v>312</v>
      </c>
      <c r="B313" s="7">
        <v>0.16669999999999999</v>
      </c>
      <c r="C313" s="7">
        <v>0.51</v>
      </c>
      <c r="D313" s="7">
        <v>0.28360000000000002</v>
      </c>
      <c r="E313" s="7">
        <v>6</v>
      </c>
      <c r="F313" s="7">
        <v>47</v>
      </c>
      <c r="G313" s="7">
        <v>53</v>
      </c>
    </row>
    <row r="314" spans="1:7" x14ac:dyDescent="0.3">
      <c r="A314" s="6">
        <v>313</v>
      </c>
      <c r="B314" s="6">
        <v>0.19700000000000001</v>
      </c>
      <c r="C314" s="6">
        <v>0.44</v>
      </c>
      <c r="D314" s="6">
        <v>0.25369999999999998</v>
      </c>
      <c r="E314" s="6">
        <v>2</v>
      </c>
      <c r="F314" s="6">
        <v>59</v>
      </c>
      <c r="G314" s="6">
        <v>61</v>
      </c>
    </row>
    <row r="315" spans="1:7" x14ac:dyDescent="0.3">
      <c r="A315" s="7">
        <v>314</v>
      </c>
      <c r="B315" s="7">
        <v>0.19700000000000001</v>
      </c>
      <c r="C315" s="7">
        <v>0.37</v>
      </c>
      <c r="D315" s="7">
        <v>0.3881</v>
      </c>
      <c r="E315" s="7">
        <v>4</v>
      </c>
      <c r="F315" s="7">
        <v>73</v>
      </c>
      <c r="G315" s="7">
        <v>77</v>
      </c>
    </row>
    <row r="316" spans="1:7" x14ac:dyDescent="0.3">
      <c r="A316" s="6">
        <v>315</v>
      </c>
      <c r="B316" s="6">
        <v>0.21210000000000001</v>
      </c>
      <c r="C316" s="6">
        <v>0.41</v>
      </c>
      <c r="D316" s="6">
        <v>0.28360000000000002</v>
      </c>
      <c r="E316" s="6">
        <v>5</v>
      </c>
      <c r="F316" s="6">
        <v>59</v>
      </c>
      <c r="G316" s="6">
        <v>64</v>
      </c>
    </row>
    <row r="317" spans="1:7" x14ac:dyDescent="0.3">
      <c r="A317" s="7">
        <v>316</v>
      </c>
      <c r="B317" s="7">
        <v>0.2424</v>
      </c>
      <c r="C317" s="7">
        <v>0.38</v>
      </c>
      <c r="D317" s="7">
        <v>0.16420000000000001</v>
      </c>
      <c r="E317" s="7">
        <v>9</v>
      </c>
      <c r="F317" s="7">
        <v>59</v>
      </c>
      <c r="G317" s="7">
        <v>68</v>
      </c>
    </row>
    <row r="318" spans="1:7" x14ac:dyDescent="0.3">
      <c r="A318" s="6">
        <v>317</v>
      </c>
      <c r="B318" s="6">
        <v>0.2424</v>
      </c>
      <c r="C318" s="6">
        <v>0.41</v>
      </c>
      <c r="D318" s="6">
        <v>0.1045</v>
      </c>
      <c r="E318" s="6">
        <v>3</v>
      </c>
      <c r="F318" s="6">
        <v>87</v>
      </c>
      <c r="G318" s="6">
        <v>90</v>
      </c>
    </row>
    <row r="319" spans="1:7" x14ac:dyDescent="0.3">
      <c r="A319" s="7">
        <v>318</v>
      </c>
      <c r="B319" s="7">
        <v>0.2273</v>
      </c>
      <c r="C319" s="7">
        <v>0.41</v>
      </c>
      <c r="D319" s="7">
        <v>0.16420000000000001</v>
      </c>
      <c r="E319" s="7">
        <v>4</v>
      </c>
      <c r="F319" s="7">
        <v>155</v>
      </c>
      <c r="G319" s="7">
        <v>159</v>
      </c>
    </row>
    <row r="320" spans="1:7" x14ac:dyDescent="0.3">
      <c r="A320" s="6">
        <v>319</v>
      </c>
      <c r="B320" s="6">
        <v>0.2576</v>
      </c>
      <c r="C320" s="6">
        <v>0.47</v>
      </c>
      <c r="D320" s="6">
        <v>0</v>
      </c>
      <c r="E320" s="6">
        <v>5</v>
      </c>
      <c r="F320" s="6">
        <v>134</v>
      </c>
      <c r="G320" s="6">
        <v>139</v>
      </c>
    </row>
    <row r="321" spans="1:7" x14ac:dyDescent="0.3">
      <c r="A321" s="7">
        <v>320</v>
      </c>
      <c r="B321" s="7">
        <v>0.19700000000000001</v>
      </c>
      <c r="C321" s="7">
        <v>0.59</v>
      </c>
      <c r="D321" s="7">
        <v>8.9599999999999999E-2</v>
      </c>
      <c r="E321" s="7">
        <v>3</v>
      </c>
      <c r="F321" s="7">
        <v>89</v>
      </c>
      <c r="G321" s="7">
        <v>92</v>
      </c>
    </row>
    <row r="322" spans="1:7" x14ac:dyDescent="0.3">
      <c r="A322" s="6">
        <v>321</v>
      </c>
      <c r="B322" s="6">
        <v>0.2424</v>
      </c>
      <c r="C322" s="6">
        <v>0.59</v>
      </c>
      <c r="D322" s="6">
        <v>0</v>
      </c>
      <c r="E322" s="6">
        <v>0</v>
      </c>
      <c r="F322" s="6">
        <v>68</v>
      </c>
      <c r="G322" s="6">
        <v>68</v>
      </c>
    </row>
    <row r="323" spans="1:7" x14ac:dyDescent="0.3">
      <c r="A323" s="7">
        <v>322</v>
      </c>
      <c r="B323" s="7">
        <v>0.2273</v>
      </c>
      <c r="C323" s="7">
        <v>0.69</v>
      </c>
      <c r="D323" s="7">
        <v>0</v>
      </c>
      <c r="E323" s="7">
        <v>4</v>
      </c>
      <c r="F323" s="7">
        <v>48</v>
      </c>
      <c r="G323" s="7">
        <v>52</v>
      </c>
    </row>
    <row r="324" spans="1:7" x14ac:dyDescent="0.3">
      <c r="A324" s="6">
        <v>323</v>
      </c>
      <c r="B324" s="6">
        <v>0.2273</v>
      </c>
      <c r="C324" s="6">
        <v>0.69</v>
      </c>
      <c r="D324" s="6">
        <v>0</v>
      </c>
      <c r="E324" s="6">
        <v>2</v>
      </c>
      <c r="F324" s="6">
        <v>34</v>
      </c>
      <c r="G324" s="6">
        <v>36</v>
      </c>
    </row>
    <row r="325" spans="1:7" x14ac:dyDescent="0.3">
      <c r="A325" s="7">
        <v>324</v>
      </c>
      <c r="B325" s="7">
        <v>0.2424</v>
      </c>
      <c r="C325" s="7">
        <v>0.55000000000000004</v>
      </c>
      <c r="D325" s="7">
        <v>0</v>
      </c>
      <c r="E325" s="7">
        <v>1</v>
      </c>
      <c r="F325" s="7">
        <v>26</v>
      </c>
      <c r="G325" s="7">
        <v>27</v>
      </c>
    </row>
    <row r="326" spans="1:7" x14ac:dyDescent="0.3">
      <c r="A326" s="6">
        <v>325</v>
      </c>
      <c r="B326" s="6">
        <v>0.2424</v>
      </c>
      <c r="C326" s="6">
        <v>0.55000000000000004</v>
      </c>
      <c r="D326" s="6">
        <v>0</v>
      </c>
      <c r="E326" s="6">
        <v>3</v>
      </c>
      <c r="F326" s="6">
        <v>25</v>
      </c>
      <c r="G326" s="6">
        <v>28</v>
      </c>
    </row>
    <row r="327" spans="1:7" x14ac:dyDescent="0.3">
      <c r="A327" s="7">
        <v>326</v>
      </c>
      <c r="B327" s="7">
        <v>0.19700000000000001</v>
      </c>
      <c r="C327" s="7">
        <v>0.59</v>
      </c>
      <c r="D327" s="7">
        <v>8.9599999999999999E-2</v>
      </c>
      <c r="E327" s="7">
        <v>2</v>
      </c>
      <c r="F327" s="7">
        <v>18</v>
      </c>
      <c r="G327" s="7">
        <v>20</v>
      </c>
    </row>
    <row r="328" spans="1:7" x14ac:dyDescent="0.3">
      <c r="A328" s="6">
        <v>327</v>
      </c>
      <c r="B328" s="6">
        <v>0.19700000000000001</v>
      </c>
      <c r="C328" s="6">
        <v>0.59</v>
      </c>
      <c r="D328" s="6">
        <v>8.9599999999999999E-2</v>
      </c>
      <c r="E328" s="6">
        <v>0</v>
      </c>
      <c r="F328" s="6">
        <v>12</v>
      </c>
      <c r="G328" s="6">
        <v>12</v>
      </c>
    </row>
    <row r="329" spans="1:7" x14ac:dyDescent="0.3">
      <c r="A329" s="7">
        <v>328</v>
      </c>
      <c r="B329" s="7">
        <v>0.2273</v>
      </c>
      <c r="C329" s="7">
        <v>0.59</v>
      </c>
      <c r="D329" s="7">
        <v>0</v>
      </c>
      <c r="E329" s="7">
        <v>1</v>
      </c>
      <c r="F329" s="7">
        <v>7</v>
      </c>
      <c r="G329" s="7">
        <v>8</v>
      </c>
    </row>
    <row r="330" spans="1:7" x14ac:dyDescent="0.3">
      <c r="A330" s="6">
        <v>329</v>
      </c>
      <c r="B330" s="6">
        <v>0.2273</v>
      </c>
      <c r="C330" s="6">
        <v>0.59</v>
      </c>
      <c r="D330" s="6">
        <v>0</v>
      </c>
      <c r="E330" s="6">
        <v>0</v>
      </c>
      <c r="F330" s="6">
        <v>5</v>
      </c>
      <c r="G330" s="6">
        <v>5</v>
      </c>
    </row>
    <row r="331" spans="1:7" x14ac:dyDescent="0.3">
      <c r="A331" s="7">
        <v>330</v>
      </c>
      <c r="B331" s="7">
        <v>0.2273</v>
      </c>
      <c r="C331" s="7">
        <v>0.59</v>
      </c>
      <c r="D331" s="7">
        <v>0</v>
      </c>
      <c r="E331" s="7">
        <v>0</v>
      </c>
      <c r="F331" s="7">
        <v>1</v>
      </c>
      <c r="G331" s="7">
        <v>1</v>
      </c>
    </row>
    <row r="332" spans="1:7" x14ac:dyDescent="0.3">
      <c r="A332" s="6">
        <v>331</v>
      </c>
      <c r="B332" s="6">
        <v>0.16669999999999999</v>
      </c>
      <c r="C332" s="6">
        <v>0.63</v>
      </c>
      <c r="D332" s="6">
        <v>0.1045</v>
      </c>
      <c r="E332" s="6">
        <v>1</v>
      </c>
      <c r="F332" s="6">
        <v>2</v>
      </c>
      <c r="G332" s="6">
        <v>3</v>
      </c>
    </row>
    <row r="333" spans="1:7" x14ac:dyDescent="0.3">
      <c r="A333" s="7">
        <v>332</v>
      </c>
      <c r="B333" s="7">
        <v>0.21210000000000001</v>
      </c>
      <c r="C333" s="7">
        <v>0.63</v>
      </c>
      <c r="D333" s="7">
        <v>0</v>
      </c>
      <c r="E333" s="7">
        <v>1</v>
      </c>
      <c r="F333" s="7">
        <v>9</v>
      </c>
      <c r="G333" s="7">
        <v>10</v>
      </c>
    </row>
    <row r="334" spans="1:7" x14ac:dyDescent="0.3">
      <c r="A334" s="6">
        <v>333</v>
      </c>
      <c r="B334" s="6">
        <v>0.1515</v>
      </c>
      <c r="C334" s="6">
        <v>0.63</v>
      </c>
      <c r="D334" s="6">
        <v>0.1343</v>
      </c>
      <c r="E334" s="6">
        <v>1</v>
      </c>
      <c r="F334" s="6">
        <v>22</v>
      </c>
      <c r="G334" s="6">
        <v>23</v>
      </c>
    </row>
    <row r="335" spans="1:7" x14ac:dyDescent="0.3">
      <c r="A335" s="7">
        <v>334</v>
      </c>
      <c r="B335" s="7">
        <v>0.18179999999999999</v>
      </c>
      <c r="C335" s="7">
        <v>0.64</v>
      </c>
      <c r="D335" s="7">
        <v>0.1343</v>
      </c>
      <c r="E335" s="7">
        <v>2</v>
      </c>
      <c r="F335" s="7">
        <v>31</v>
      </c>
      <c r="G335" s="7">
        <v>33</v>
      </c>
    </row>
    <row r="336" spans="1:7" x14ac:dyDescent="0.3">
      <c r="A336" s="6">
        <v>335</v>
      </c>
      <c r="B336" s="6">
        <v>0.19700000000000001</v>
      </c>
      <c r="C336" s="6">
        <v>0.59</v>
      </c>
      <c r="D336" s="6">
        <v>0.16420000000000001</v>
      </c>
      <c r="E336" s="6">
        <v>2</v>
      </c>
      <c r="F336" s="6">
        <v>57</v>
      </c>
      <c r="G336" s="6">
        <v>59</v>
      </c>
    </row>
    <row r="337" spans="1:7" x14ac:dyDescent="0.3">
      <c r="A337" s="7">
        <v>336</v>
      </c>
      <c r="B337" s="7">
        <v>0.19700000000000001</v>
      </c>
      <c r="C337" s="7">
        <v>0.55000000000000004</v>
      </c>
      <c r="D337" s="7">
        <v>0.22389999999999999</v>
      </c>
      <c r="E337" s="7">
        <v>18</v>
      </c>
      <c r="F337" s="7">
        <v>54</v>
      </c>
      <c r="G337" s="7">
        <v>72</v>
      </c>
    </row>
    <row r="338" spans="1:7" x14ac:dyDescent="0.3">
      <c r="A338" s="6">
        <v>337</v>
      </c>
      <c r="B338" s="6">
        <v>0.2273</v>
      </c>
      <c r="C338" s="6">
        <v>0.48</v>
      </c>
      <c r="D338" s="6">
        <v>0.22389999999999999</v>
      </c>
      <c r="E338" s="6">
        <v>15</v>
      </c>
      <c r="F338" s="6">
        <v>74</v>
      </c>
      <c r="G338" s="6">
        <v>89</v>
      </c>
    </row>
    <row r="339" spans="1:7" x14ac:dyDescent="0.3">
      <c r="A339" s="7">
        <v>338</v>
      </c>
      <c r="B339" s="7">
        <v>0.2576</v>
      </c>
      <c r="C339" s="7">
        <v>0.38</v>
      </c>
      <c r="D339" s="7">
        <v>0.29849999999999999</v>
      </c>
      <c r="E339" s="7">
        <v>21</v>
      </c>
      <c r="F339" s="7">
        <v>80</v>
      </c>
      <c r="G339" s="7">
        <v>101</v>
      </c>
    </row>
    <row r="340" spans="1:7" x14ac:dyDescent="0.3">
      <c r="A340" s="6">
        <v>339</v>
      </c>
      <c r="B340" s="6">
        <v>0.28789999999999999</v>
      </c>
      <c r="C340" s="6">
        <v>0.39</v>
      </c>
      <c r="D340" s="6">
        <v>0.28360000000000002</v>
      </c>
      <c r="E340" s="6">
        <v>26</v>
      </c>
      <c r="F340" s="6">
        <v>92</v>
      </c>
      <c r="G340" s="6">
        <v>118</v>
      </c>
    </row>
    <row r="341" spans="1:7" x14ac:dyDescent="0.3">
      <c r="A341" s="7">
        <v>340</v>
      </c>
      <c r="B341" s="7">
        <v>0.31819999999999998</v>
      </c>
      <c r="C341" s="7">
        <v>0.36</v>
      </c>
      <c r="D341" s="7">
        <v>0.19400000000000001</v>
      </c>
      <c r="E341" s="7">
        <v>21</v>
      </c>
      <c r="F341" s="7">
        <v>108</v>
      </c>
      <c r="G341" s="7">
        <v>129</v>
      </c>
    </row>
    <row r="342" spans="1:7" x14ac:dyDescent="0.3">
      <c r="A342" s="6">
        <v>341</v>
      </c>
      <c r="B342" s="6">
        <v>0.33329999999999999</v>
      </c>
      <c r="C342" s="6">
        <v>0.34</v>
      </c>
      <c r="D342" s="6">
        <v>0.19400000000000001</v>
      </c>
      <c r="E342" s="6">
        <v>33</v>
      </c>
      <c r="F342" s="6">
        <v>95</v>
      </c>
      <c r="G342" s="6">
        <v>128</v>
      </c>
    </row>
    <row r="343" spans="1:7" x14ac:dyDescent="0.3">
      <c r="A343" s="7">
        <v>342</v>
      </c>
      <c r="B343" s="7">
        <v>0.30299999999999999</v>
      </c>
      <c r="C343" s="7">
        <v>0.36</v>
      </c>
      <c r="D343" s="7">
        <v>0.28360000000000002</v>
      </c>
      <c r="E343" s="7">
        <v>29</v>
      </c>
      <c r="F343" s="7">
        <v>54</v>
      </c>
      <c r="G343" s="7">
        <v>83</v>
      </c>
    </row>
    <row r="344" spans="1:7" x14ac:dyDescent="0.3">
      <c r="A344" s="6">
        <v>343</v>
      </c>
      <c r="B344" s="6">
        <v>0.28789999999999999</v>
      </c>
      <c r="C344" s="6">
        <v>0.45</v>
      </c>
      <c r="D344" s="6">
        <v>0.25369999999999998</v>
      </c>
      <c r="E344" s="6">
        <v>15</v>
      </c>
      <c r="F344" s="6">
        <v>69</v>
      </c>
      <c r="G344" s="6">
        <v>84</v>
      </c>
    </row>
    <row r="345" spans="1:7" x14ac:dyDescent="0.3">
      <c r="A345" s="7">
        <v>344</v>
      </c>
      <c r="B345" s="7">
        <v>0.30299999999999999</v>
      </c>
      <c r="C345" s="7">
        <v>0.39</v>
      </c>
      <c r="D345" s="7">
        <v>0.25369999999999998</v>
      </c>
      <c r="E345" s="7">
        <v>14</v>
      </c>
      <c r="F345" s="7">
        <v>60</v>
      </c>
      <c r="G345" s="7">
        <v>74</v>
      </c>
    </row>
    <row r="346" spans="1:7" x14ac:dyDescent="0.3">
      <c r="A346" s="6">
        <v>345</v>
      </c>
      <c r="B346" s="6">
        <v>0.30299999999999999</v>
      </c>
      <c r="C346" s="6">
        <v>0.39</v>
      </c>
      <c r="D346" s="6">
        <v>0.25369999999999998</v>
      </c>
      <c r="E346" s="6">
        <v>6</v>
      </c>
      <c r="F346" s="6">
        <v>35</v>
      </c>
      <c r="G346" s="6">
        <v>41</v>
      </c>
    </row>
    <row r="347" spans="1:7" x14ac:dyDescent="0.3">
      <c r="A347" s="7">
        <v>346</v>
      </c>
      <c r="B347" s="7">
        <v>0.30299999999999999</v>
      </c>
      <c r="C347" s="7">
        <v>0.39</v>
      </c>
      <c r="D347" s="7">
        <v>0.22389999999999999</v>
      </c>
      <c r="E347" s="7">
        <v>6</v>
      </c>
      <c r="F347" s="7">
        <v>51</v>
      </c>
      <c r="G347" s="7">
        <v>57</v>
      </c>
    </row>
    <row r="348" spans="1:7" x14ac:dyDescent="0.3">
      <c r="A348" s="6">
        <v>347</v>
      </c>
      <c r="B348" s="6">
        <v>0.31819999999999998</v>
      </c>
      <c r="C348" s="6">
        <v>0.42</v>
      </c>
      <c r="D348" s="6">
        <v>0.1045</v>
      </c>
      <c r="E348" s="6">
        <v>0</v>
      </c>
      <c r="F348" s="6">
        <v>26</v>
      </c>
      <c r="G348" s="6">
        <v>26</v>
      </c>
    </row>
    <row r="349" spans="1:7" x14ac:dyDescent="0.3">
      <c r="A349" s="7">
        <v>348</v>
      </c>
      <c r="B349" s="7">
        <v>0.28789999999999999</v>
      </c>
      <c r="C349" s="7">
        <v>0.45</v>
      </c>
      <c r="D349" s="7">
        <v>0.28360000000000002</v>
      </c>
      <c r="E349" s="7">
        <v>5</v>
      </c>
      <c r="F349" s="7">
        <v>39</v>
      </c>
      <c r="G349" s="7">
        <v>44</v>
      </c>
    </row>
    <row r="350" spans="1:7" x14ac:dyDescent="0.3">
      <c r="A350" s="6">
        <v>349</v>
      </c>
      <c r="B350" s="6">
        <v>0.30299999999999999</v>
      </c>
      <c r="C350" s="6">
        <v>0.56000000000000005</v>
      </c>
      <c r="D350" s="6">
        <v>0</v>
      </c>
      <c r="E350" s="6">
        <v>6</v>
      </c>
      <c r="F350" s="6">
        <v>33</v>
      </c>
      <c r="G350" s="6">
        <v>39</v>
      </c>
    </row>
    <row r="351" spans="1:7" x14ac:dyDescent="0.3">
      <c r="A351" s="7">
        <v>350</v>
      </c>
      <c r="B351" s="7">
        <v>0.2727</v>
      </c>
      <c r="C351" s="7">
        <v>0.56000000000000005</v>
      </c>
      <c r="D351" s="7">
        <v>0.1343</v>
      </c>
      <c r="E351" s="7">
        <v>4</v>
      </c>
      <c r="F351" s="7">
        <v>19</v>
      </c>
      <c r="G351" s="7">
        <v>23</v>
      </c>
    </row>
    <row r="352" spans="1:7" x14ac:dyDescent="0.3">
      <c r="A352" s="6">
        <v>351</v>
      </c>
      <c r="B352" s="6">
        <v>0.28789999999999999</v>
      </c>
      <c r="C352" s="6">
        <v>0.56000000000000005</v>
      </c>
      <c r="D352" s="6">
        <v>8.9599999999999999E-2</v>
      </c>
      <c r="E352" s="6">
        <v>3</v>
      </c>
      <c r="F352" s="6">
        <v>13</v>
      </c>
      <c r="G352" s="6">
        <v>16</v>
      </c>
    </row>
    <row r="353" spans="1:7" x14ac:dyDescent="0.3">
      <c r="A353" s="7">
        <v>352</v>
      </c>
      <c r="B353" s="7">
        <v>0.2727</v>
      </c>
      <c r="C353" s="7">
        <v>0.69</v>
      </c>
      <c r="D353" s="7">
        <v>0</v>
      </c>
      <c r="E353" s="7">
        <v>9</v>
      </c>
      <c r="F353" s="7">
        <v>6</v>
      </c>
      <c r="G353" s="7">
        <v>15</v>
      </c>
    </row>
    <row r="354" spans="1:7" x14ac:dyDescent="0.3">
      <c r="A354" s="6">
        <v>353</v>
      </c>
      <c r="B354" s="6">
        <v>0.2576</v>
      </c>
      <c r="C354" s="6">
        <v>0.56000000000000005</v>
      </c>
      <c r="D354" s="6">
        <v>0.16420000000000001</v>
      </c>
      <c r="E354" s="6">
        <v>0</v>
      </c>
      <c r="F354" s="6">
        <v>1</v>
      </c>
      <c r="G354" s="6">
        <v>1</v>
      </c>
    </row>
    <row r="355" spans="1:7" x14ac:dyDescent="0.3">
      <c r="A355" s="7">
        <v>354</v>
      </c>
      <c r="B355" s="7">
        <v>0.2576</v>
      </c>
      <c r="C355" s="7">
        <v>0.56000000000000005</v>
      </c>
      <c r="D355" s="7">
        <v>0.16420000000000001</v>
      </c>
      <c r="E355" s="7">
        <v>1</v>
      </c>
      <c r="F355" s="7">
        <v>1</v>
      </c>
      <c r="G355" s="7">
        <v>2</v>
      </c>
    </row>
    <row r="356" spans="1:7" x14ac:dyDescent="0.3">
      <c r="A356" s="6">
        <v>355</v>
      </c>
      <c r="B356" s="6">
        <v>0.2576</v>
      </c>
      <c r="C356" s="6">
        <v>0.56000000000000005</v>
      </c>
      <c r="D356" s="6">
        <v>0.16420000000000001</v>
      </c>
      <c r="E356" s="6">
        <v>0</v>
      </c>
      <c r="F356" s="6">
        <v>1</v>
      </c>
      <c r="G356" s="6">
        <v>1</v>
      </c>
    </row>
    <row r="357" spans="1:7" x14ac:dyDescent="0.3">
      <c r="A357" s="7">
        <v>356</v>
      </c>
      <c r="B357" s="7">
        <v>0.21210000000000001</v>
      </c>
      <c r="C357" s="7">
        <v>0.56000000000000005</v>
      </c>
      <c r="D357" s="7">
        <v>0.29849999999999999</v>
      </c>
      <c r="E357" s="7">
        <v>0</v>
      </c>
      <c r="F357" s="7">
        <v>3</v>
      </c>
      <c r="G357" s="7">
        <v>3</v>
      </c>
    </row>
    <row r="358" spans="1:7" x14ac:dyDescent="0.3">
      <c r="A358" s="6">
        <v>357</v>
      </c>
      <c r="B358" s="6">
        <v>0.21210000000000001</v>
      </c>
      <c r="C358" s="6">
        <v>0.55000000000000004</v>
      </c>
      <c r="D358" s="6">
        <v>0.28360000000000002</v>
      </c>
      <c r="E358" s="6">
        <v>0</v>
      </c>
      <c r="F358" s="6">
        <v>18</v>
      </c>
      <c r="G358" s="6">
        <v>18</v>
      </c>
    </row>
    <row r="359" spans="1:7" x14ac:dyDescent="0.3">
      <c r="A359" s="7">
        <v>358</v>
      </c>
      <c r="B359" s="7">
        <v>0.21210000000000001</v>
      </c>
      <c r="C359" s="7">
        <v>0.51</v>
      </c>
      <c r="D359" s="7">
        <v>0.25369999999999998</v>
      </c>
      <c r="E359" s="7">
        <v>3</v>
      </c>
      <c r="F359" s="7">
        <v>29</v>
      </c>
      <c r="G359" s="7">
        <v>32</v>
      </c>
    </row>
    <row r="360" spans="1:7" x14ac:dyDescent="0.3">
      <c r="A360" s="6">
        <v>359</v>
      </c>
      <c r="B360" s="6">
        <v>0.21210000000000001</v>
      </c>
      <c r="C360" s="6">
        <v>0.51</v>
      </c>
      <c r="D360" s="6">
        <v>0.28360000000000002</v>
      </c>
      <c r="E360" s="6">
        <v>8</v>
      </c>
      <c r="F360" s="6">
        <v>71</v>
      </c>
      <c r="G360" s="6">
        <v>79</v>
      </c>
    </row>
    <row r="361" spans="1:7" x14ac:dyDescent="0.3">
      <c r="A361" s="7">
        <v>360</v>
      </c>
      <c r="B361" s="7">
        <v>0.2273</v>
      </c>
      <c r="C361" s="7">
        <v>0.44</v>
      </c>
      <c r="D361" s="7">
        <v>0.25369999999999998</v>
      </c>
      <c r="E361" s="7">
        <v>23</v>
      </c>
      <c r="F361" s="7">
        <v>70</v>
      </c>
      <c r="G361" s="7">
        <v>93</v>
      </c>
    </row>
    <row r="362" spans="1:7" x14ac:dyDescent="0.3">
      <c r="A362" s="6">
        <v>361</v>
      </c>
      <c r="B362" s="6">
        <v>0.21210000000000001</v>
      </c>
      <c r="C362" s="6">
        <v>0.41</v>
      </c>
      <c r="D362" s="6">
        <v>0.28360000000000002</v>
      </c>
      <c r="E362" s="6">
        <v>29</v>
      </c>
      <c r="F362" s="6">
        <v>75</v>
      </c>
      <c r="G362" s="6">
        <v>104</v>
      </c>
    </row>
    <row r="363" spans="1:7" x14ac:dyDescent="0.3">
      <c r="A363" s="7">
        <v>362</v>
      </c>
      <c r="B363" s="7">
        <v>0.2273</v>
      </c>
      <c r="C363" s="7">
        <v>0.35</v>
      </c>
      <c r="D363" s="7">
        <v>0.29849999999999999</v>
      </c>
      <c r="E363" s="7">
        <v>23</v>
      </c>
      <c r="F363" s="7">
        <v>95</v>
      </c>
      <c r="G363" s="7">
        <v>118</v>
      </c>
    </row>
    <row r="364" spans="1:7" x14ac:dyDescent="0.3">
      <c r="A364" s="6">
        <v>363</v>
      </c>
      <c r="B364" s="6">
        <v>0.2727</v>
      </c>
      <c r="C364" s="6">
        <v>0.36</v>
      </c>
      <c r="D364" s="6">
        <v>0.25369999999999998</v>
      </c>
      <c r="E364" s="6">
        <v>22</v>
      </c>
      <c r="F364" s="6">
        <v>69</v>
      </c>
      <c r="G364" s="6">
        <v>91</v>
      </c>
    </row>
    <row r="365" spans="1:7" x14ac:dyDescent="0.3">
      <c r="A365" s="7">
        <v>364</v>
      </c>
      <c r="B365" s="7">
        <v>0.2424</v>
      </c>
      <c r="C365" s="7">
        <v>0.38</v>
      </c>
      <c r="D365" s="7">
        <v>0.25369999999999998</v>
      </c>
      <c r="E365" s="7">
        <v>35</v>
      </c>
      <c r="F365" s="7">
        <v>78</v>
      </c>
      <c r="G365" s="7">
        <v>113</v>
      </c>
    </row>
    <row r="366" spans="1:7" x14ac:dyDescent="0.3">
      <c r="A366" s="6">
        <v>365</v>
      </c>
      <c r="B366" s="6">
        <v>0.2273</v>
      </c>
      <c r="C366" s="6">
        <v>0.38</v>
      </c>
      <c r="D366" s="6">
        <v>0.22389999999999999</v>
      </c>
      <c r="E366" s="6">
        <v>22</v>
      </c>
      <c r="F366" s="6">
        <v>77</v>
      </c>
      <c r="G366" s="6">
        <v>99</v>
      </c>
    </row>
    <row r="367" spans="1:7" x14ac:dyDescent="0.3">
      <c r="A367" s="7">
        <v>366</v>
      </c>
      <c r="B367" s="7">
        <v>0.21210000000000001</v>
      </c>
      <c r="C367" s="7">
        <v>0.37</v>
      </c>
      <c r="D367" s="7">
        <v>0.25369999999999998</v>
      </c>
      <c r="E367" s="7">
        <v>23</v>
      </c>
      <c r="F367" s="7">
        <v>82</v>
      </c>
      <c r="G367" s="7">
        <v>105</v>
      </c>
    </row>
    <row r="368" spans="1:7" x14ac:dyDescent="0.3">
      <c r="A368" s="6">
        <v>367</v>
      </c>
      <c r="B368" s="6">
        <v>0.21210000000000001</v>
      </c>
      <c r="C368" s="6">
        <v>0.4</v>
      </c>
      <c r="D368" s="6">
        <v>0.16420000000000001</v>
      </c>
      <c r="E368" s="6">
        <v>11</v>
      </c>
      <c r="F368" s="6">
        <v>56</v>
      </c>
      <c r="G368" s="6">
        <v>67</v>
      </c>
    </row>
    <row r="369" spans="1:7" x14ac:dyDescent="0.3">
      <c r="A369" s="7">
        <v>368</v>
      </c>
      <c r="B369" s="7">
        <v>0.19700000000000001</v>
      </c>
      <c r="C369" s="7">
        <v>0.47</v>
      </c>
      <c r="D369" s="7">
        <v>0.1343</v>
      </c>
      <c r="E369" s="7">
        <v>14</v>
      </c>
      <c r="F369" s="7">
        <v>47</v>
      </c>
      <c r="G369" s="7">
        <v>61</v>
      </c>
    </row>
    <row r="370" spans="1:7" x14ac:dyDescent="0.3">
      <c r="A370" s="6">
        <v>369</v>
      </c>
      <c r="B370" s="6">
        <v>0.19700000000000001</v>
      </c>
      <c r="C370" s="6">
        <v>0.47</v>
      </c>
      <c r="D370" s="6">
        <v>0.16420000000000001</v>
      </c>
      <c r="E370" s="6">
        <v>7</v>
      </c>
      <c r="F370" s="6">
        <v>50</v>
      </c>
      <c r="G370" s="6">
        <v>57</v>
      </c>
    </row>
    <row r="371" spans="1:7" x14ac:dyDescent="0.3">
      <c r="A371" s="7">
        <v>370</v>
      </c>
      <c r="B371" s="7">
        <v>0.19700000000000001</v>
      </c>
      <c r="C371" s="7">
        <v>0.51</v>
      </c>
      <c r="D371" s="7">
        <v>0.16420000000000001</v>
      </c>
      <c r="E371" s="7">
        <v>6</v>
      </c>
      <c r="F371" s="7">
        <v>22</v>
      </c>
      <c r="G371" s="7">
        <v>28</v>
      </c>
    </row>
    <row r="372" spans="1:7" x14ac:dyDescent="0.3">
      <c r="A372" s="6">
        <v>371</v>
      </c>
      <c r="B372" s="6">
        <v>0.21210000000000001</v>
      </c>
      <c r="C372" s="6">
        <v>0.49</v>
      </c>
      <c r="D372" s="6">
        <v>0.1343</v>
      </c>
      <c r="E372" s="6">
        <v>2</v>
      </c>
      <c r="F372" s="6">
        <v>19</v>
      </c>
      <c r="G372" s="6">
        <v>21</v>
      </c>
    </row>
    <row r="373" spans="1:7" x14ac:dyDescent="0.3">
      <c r="A373" s="7">
        <v>372</v>
      </c>
      <c r="B373" s="7">
        <v>0.2273</v>
      </c>
      <c r="C373" s="7">
        <v>0.4</v>
      </c>
      <c r="D373" s="7">
        <v>0.1045</v>
      </c>
      <c r="E373" s="7">
        <v>0</v>
      </c>
      <c r="F373" s="7">
        <v>18</v>
      </c>
      <c r="G373" s="7">
        <v>18</v>
      </c>
    </row>
    <row r="374" spans="1:7" x14ac:dyDescent="0.3">
      <c r="A374" s="6">
        <v>373</v>
      </c>
      <c r="B374" s="6">
        <v>0.19700000000000001</v>
      </c>
      <c r="C374" s="6">
        <v>0.47</v>
      </c>
      <c r="D374" s="6">
        <v>0.22389999999999999</v>
      </c>
      <c r="E374" s="6">
        <v>1</v>
      </c>
      <c r="F374" s="6">
        <v>16</v>
      </c>
      <c r="G374" s="6">
        <v>17</v>
      </c>
    </row>
    <row r="375" spans="1:7" x14ac:dyDescent="0.3">
      <c r="A375" s="7">
        <v>374</v>
      </c>
      <c r="B375" s="7">
        <v>0.19700000000000001</v>
      </c>
      <c r="C375" s="7">
        <v>0.44</v>
      </c>
      <c r="D375" s="7">
        <v>0.19400000000000001</v>
      </c>
      <c r="E375" s="7">
        <v>1</v>
      </c>
      <c r="F375" s="7">
        <v>15</v>
      </c>
      <c r="G375" s="7">
        <v>16</v>
      </c>
    </row>
    <row r="376" spans="1:7" x14ac:dyDescent="0.3">
      <c r="A376" s="6">
        <v>375</v>
      </c>
      <c r="B376" s="6">
        <v>0.16669999999999999</v>
      </c>
      <c r="C376" s="6">
        <v>0.43</v>
      </c>
      <c r="D376" s="6">
        <v>0.25369999999999998</v>
      </c>
      <c r="E376" s="6">
        <v>0</v>
      </c>
      <c r="F376" s="6">
        <v>8</v>
      </c>
      <c r="G376" s="6">
        <v>8</v>
      </c>
    </row>
    <row r="377" spans="1:7" x14ac:dyDescent="0.3">
      <c r="A377" s="7">
        <v>376</v>
      </c>
      <c r="B377" s="7">
        <v>0.18179999999999999</v>
      </c>
      <c r="C377" s="7">
        <v>0.43</v>
      </c>
      <c r="D377" s="7">
        <v>0.19400000000000001</v>
      </c>
      <c r="E377" s="7">
        <v>0</v>
      </c>
      <c r="F377" s="7">
        <v>2</v>
      </c>
      <c r="G377" s="7">
        <v>2</v>
      </c>
    </row>
    <row r="378" spans="1:7" x14ac:dyDescent="0.3">
      <c r="A378" s="6">
        <v>377</v>
      </c>
      <c r="B378" s="6">
        <v>0.19700000000000001</v>
      </c>
      <c r="C378" s="6">
        <v>0.43</v>
      </c>
      <c r="D378" s="6">
        <v>0.1343</v>
      </c>
      <c r="E378" s="6">
        <v>1</v>
      </c>
      <c r="F378" s="6">
        <v>2</v>
      </c>
      <c r="G378" s="6">
        <v>3</v>
      </c>
    </row>
    <row r="379" spans="1:7" x14ac:dyDescent="0.3">
      <c r="A379" s="7">
        <v>378</v>
      </c>
      <c r="B379" s="7">
        <v>0.19700000000000001</v>
      </c>
      <c r="C379" s="7">
        <v>0.43</v>
      </c>
      <c r="D379" s="7">
        <v>0.16420000000000001</v>
      </c>
      <c r="E379" s="7">
        <v>0</v>
      </c>
      <c r="F379" s="7">
        <v>1</v>
      </c>
      <c r="G379" s="7">
        <v>1</v>
      </c>
    </row>
    <row r="380" spans="1:7" x14ac:dyDescent="0.3">
      <c r="A380" s="6">
        <v>379</v>
      </c>
      <c r="B380" s="6">
        <v>0.18179999999999999</v>
      </c>
      <c r="C380" s="6">
        <v>0.43</v>
      </c>
      <c r="D380" s="6">
        <v>0.19400000000000001</v>
      </c>
      <c r="E380" s="6">
        <v>0</v>
      </c>
      <c r="F380" s="6">
        <v>5</v>
      </c>
      <c r="G380" s="6">
        <v>5</v>
      </c>
    </row>
    <row r="381" spans="1:7" x14ac:dyDescent="0.3">
      <c r="A381" s="7">
        <v>380</v>
      </c>
      <c r="B381" s="7">
        <v>0.18179999999999999</v>
      </c>
      <c r="C381" s="7">
        <v>0.5</v>
      </c>
      <c r="D381" s="7">
        <v>0.1343</v>
      </c>
      <c r="E381" s="7">
        <v>4</v>
      </c>
      <c r="F381" s="7">
        <v>9</v>
      </c>
      <c r="G381" s="7">
        <v>13</v>
      </c>
    </row>
    <row r="382" spans="1:7" x14ac:dyDescent="0.3">
      <c r="A382" s="6">
        <v>381</v>
      </c>
      <c r="B382" s="6">
        <v>0.1515</v>
      </c>
      <c r="C382" s="6">
        <v>0.47</v>
      </c>
      <c r="D382" s="6">
        <v>0.22389999999999999</v>
      </c>
      <c r="E382" s="6">
        <v>3</v>
      </c>
      <c r="F382" s="6">
        <v>30</v>
      </c>
      <c r="G382" s="6">
        <v>33</v>
      </c>
    </row>
    <row r="383" spans="1:7" x14ac:dyDescent="0.3">
      <c r="A383" s="7">
        <v>382</v>
      </c>
      <c r="B383" s="7">
        <v>0.1515</v>
      </c>
      <c r="C383" s="7">
        <v>0.47</v>
      </c>
      <c r="D383" s="7">
        <v>0.22389999999999999</v>
      </c>
      <c r="E383" s="7">
        <v>8</v>
      </c>
      <c r="F383" s="7">
        <v>39</v>
      </c>
      <c r="G383" s="7">
        <v>47</v>
      </c>
    </row>
    <row r="384" spans="1:7" x14ac:dyDescent="0.3">
      <c r="A384" s="6">
        <v>383</v>
      </c>
      <c r="B384" s="6">
        <v>0.1515</v>
      </c>
      <c r="C384" s="6">
        <v>0.5</v>
      </c>
      <c r="D384" s="6">
        <v>0.25369999999999998</v>
      </c>
      <c r="E384" s="6">
        <v>7</v>
      </c>
      <c r="F384" s="6">
        <v>50</v>
      </c>
      <c r="G384" s="6">
        <v>57</v>
      </c>
    </row>
    <row r="385" spans="1:7" x14ac:dyDescent="0.3">
      <c r="A385" s="7">
        <v>384</v>
      </c>
      <c r="B385" s="7">
        <v>0.1515</v>
      </c>
      <c r="C385" s="7">
        <v>0.55000000000000004</v>
      </c>
      <c r="D385" s="7">
        <v>0.19400000000000001</v>
      </c>
      <c r="E385" s="7">
        <v>9</v>
      </c>
      <c r="F385" s="7">
        <v>55</v>
      </c>
      <c r="G385" s="7">
        <v>64</v>
      </c>
    </row>
    <row r="386" spans="1:7" x14ac:dyDescent="0.3">
      <c r="A386" s="6">
        <v>385</v>
      </c>
      <c r="B386" s="6">
        <v>0.19700000000000001</v>
      </c>
      <c r="C386" s="6">
        <v>0.47</v>
      </c>
      <c r="D386" s="6">
        <v>0.1343</v>
      </c>
      <c r="E386" s="6">
        <v>10</v>
      </c>
      <c r="F386" s="6">
        <v>70</v>
      </c>
      <c r="G386" s="6">
        <v>80</v>
      </c>
    </row>
    <row r="387" spans="1:7" x14ac:dyDescent="0.3">
      <c r="A387" s="7">
        <v>386</v>
      </c>
      <c r="B387" s="7">
        <v>0.19700000000000001</v>
      </c>
      <c r="C387" s="7">
        <v>0.47</v>
      </c>
      <c r="D387" s="7">
        <v>0.1343</v>
      </c>
      <c r="E387" s="7">
        <v>13</v>
      </c>
      <c r="F387" s="7">
        <v>80</v>
      </c>
      <c r="G387" s="7">
        <v>93</v>
      </c>
    </row>
    <row r="388" spans="1:7" x14ac:dyDescent="0.3">
      <c r="A388" s="6">
        <v>387</v>
      </c>
      <c r="B388" s="6">
        <v>0.21210000000000001</v>
      </c>
      <c r="C388" s="6">
        <v>0.43</v>
      </c>
      <c r="D388" s="6">
        <v>0.1045</v>
      </c>
      <c r="E388" s="6">
        <v>12</v>
      </c>
      <c r="F388" s="6">
        <v>74</v>
      </c>
      <c r="G388" s="6">
        <v>86</v>
      </c>
    </row>
    <row r="389" spans="1:7" x14ac:dyDescent="0.3">
      <c r="A389" s="7">
        <v>388</v>
      </c>
      <c r="B389" s="7">
        <v>0.21210000000000001</v>
      </c>
      <c r="C389" s="7">
        <v>0.47</v>
      </c>
      <c r="D389" s="7">
        <v>0.16420000000000001</v>
      </c>
      <c r="E389" s="7">
        <v>21</v>
      </c>
      <c r="F389" s="7">
        <v>72</v>
      </c>
      <c r="G389" s="7">
        <v>93</v>
      </c>
    </row>
    <row r="390" spans="1:7" x14ac:dyDescent="0.3">
      <c r="A390" s="6">
        <v>389</v>
      </c>
      <c r="B390" s="6">
        <v>0.21210000000000001</v>
      </c>
      <c r="C390" s="6">
        <v>0.47</v>
      </c>
      <c r="D390" s="6">
        <v>0.16420000000000001</v>
      </c>
      <c r="E390" s="6">
        <v>6</v>
      </c>
      <c r="F390" s="6">
        <v>76</v>
      </c>
      <c r="G390" s="6">
        <v>82</v>
      </c>
    </row>
    <row r="391" spans="1:7" x14ac:dyDescent="0.3">
      <c r="A391" s="7">
        <v>390</v>
      </c>
      <c r="B391" s="7">
        <v>0.19700000000000001</v>
      </c>
      <c r="C391" s="7">
        <v>0.51</v>
      </c>
      <c r="D391" s="7">
        <v>0.19400000000000001</v>
      </c>
      <c r="E391" s="7">
        <v>4</v>
      </c>
      <c r="F391" s="7">
        <v>67</v>
      </c>
      <c r="G391" s="7">
        <v>71</v>
      </c>
    </row>
    <row r="392" spans="1:7" x14ac:dyDescent="0.3">
      <c r="A392" s="6">
        <v>391</v>
      </c>
      <c r="B392" s="6">
        <v>0.16669999999999999</v>
      </c>
      <c r="C392" s="6">
        <v>0.55000000000000004</v>
      </c>
      <c r="D392" s="6">
        <v>0.25369999999999998</v>
      </c>
      <c r="E392" s="6">
        <v>7</v>
      </c>
      <c r="F392" s="6">
        <v>85</v>
      </c>
      <c r="G392" s="6">
        <v>92</v>
      </c>
    </row>
    <row r="393" spans="1:7" x14ac:dyDescent="0.3">
      <c r="A393" s="7">
        <v>392</v>
      </c>
      <c r="B393" s="7">
        <v>0.18179999999999999</v>
      </c>
      <c r="C393" s="7">
        <v>0.59</v>
      </c>
      <c r="D393" s="7">
        <v>0.19400000000000001</v>
      </c>
      <c r="E393" s="7">
        <v>2</v>
      </c>
      <c r="F393" s="7">
        <v>58</v>
      </c>
      <c r="G393" s="7">
        <v>60</v>
      </c>
    </row>
    <row r="394" spans="1:7" x14ac:dyDescent="0.3">
      <c r="A394" s="6">
        <v>393</v>
      </c>
      <c r="B394" s="6">
        <v>0.1515</v>
      </c>
      <c r="C394" s="6">
        <v>0.8</v>
      </c>
      <c r="D394" s="6">
        <v>0.19400000000000001</v>
      </c>
      <c r="E394" s="6">
        <v>4</v>
      </c>
      <c r="F394" s="6">
        <v>29</v>
      </c>
      <c r="G394" s="6">
        <v>33</v>
      </c>
    </row>
    <row r="395" spans="1:7" x14ac:dyDescent="0.3">
      <c r="A395" s="7">
        <v>394</v>
      </c>
      <c r="B395" s="7">
        <v>0.1515</v>
      </c>
      <c r="C395" s="7">
        <v>0.8</v>
      </c>
      <c r="D395" s="7">
        <v>0.19400000000000001</v>
      </c>
      <c r="E395" s="7">
        <v>3</v>
      </c>
      <c r="F395" s="7">
        <v>24</v>
      </c>
      <c r="G395" s="7">
        <v>27</v>
      </c>
    </row>
    <row r="396" spans="1:7" x14ac:dyDescent="0.3">
      <c r="A396" s="6">
        <v>395</v>
      </c>
      <c r="B396" s="6">
        <v>0.1212</v>
      </c>
      <c r="C396" s="6">
        <v>0.93</v>
      </c>
      <c r="D396" s="6">
        <v>0.25369999999999998</v>
      </c>
      <c r="E396" s="6">
        <v>0</v>
      </c>
      <c r="F396" s="6">
        <v>13</v>
      </c>
      <c r="G396" s="6">
        <v>13</v>
      </c>
    </row>
    <row r="397" spans="1:7" x14ac:dyDescent="0.3">
      <c r="A397" s="7">
        <v>396</v>
      </c>
      <c r="B397" s="7">
        <v>0.13639999999999999</v>
      </c>
      <c r="C397" s="7">
        <v>0.86</v>
      </c>
      <c r="D397" s="7">
        <v>0.28360000000000002</v>
      </c>
      <c r="E397" s="7">
        <v>1</v>
      </c>
      <c r="F397" s="7">
        <v>3</v>
      </c>
      <c r="G397" s="7">
        <v>4</v>
      </c>
    </row>
    <row r="398" spans="1:7" x14ac:dyDescent="0.3">
      <c r="A398" s="6">
        <v>397</v>
      </c>
      <c r="B398" s="6">
        <v>0.18179999999999999</v>
      </c>
      <c r="C398" s="6">
        <v>0.86</v>
      </c>
      <c r="D398" s="6">
        <v>0.32840000000000003</v>
      </c>
      <c r="E398" s="6">
        <v>0</v>
      </c>
      <c r="F398" s="6">
        <v>3</v>
      </c>
      <c r="G398" s="6">
        <v>3</v>
      </c>
    </row>
    <row r="399" spans="1:7" x14ac:dyDescent="0.3">
      <c r="A399" s="7">
        <v>398</v>
      </c>
      <c r="B399" s="7">
        <v>0.19700000000000001</v>
      </c>
      <c r="C399" s="7">
        <v>0.86</v>
      </c>
      <c r="D399" s="7">
        <v>0.22389999999999999</v>
      </c>
      <c r="E399" s="7">
        <v>0</v>
      </c>
      <c r="F399" s="7">
        <v>22</v>
      </c>
      <c r="G399" s="7">
        <v>22</v>
      </c>
    </row>
    <row r="400" spans="1:7" x14ac:dyDescent="0.3">
      <c r="A400" s="6">
        <v>399</v>
      </c>
      <c r="B400" s="6">
        <v>0.2273</v>
      </c>
      <c r="C400" s="6">
        <v>0.8</v>
      </c>
      <c r="D400" s="6">
        <v>0.16420000000000001</v>
      </c>
      <c r="E400" s="6">
        <v>2</v>
      </c>
      <c r="F400" s="6">
        <v>26</v>
      </c>
      <c r="G400" s="6">
        <v>28</v>
      </c>
    </row>
    <row r="401" spans="1:7" x14ac:dyDescent="0.3">
      <c r="A401" s="7">
        <v>400</v>
      </c>
      <c r="B401" s="7">
        <v>0.2273</v>
      </c>
      <c r="C401" s="7">
        <v>0.87</v>
      </c>
      <c r="D401" s="7">
        <v>0.16420000000000001</v>
      </c>
      <c r="E401" s="7">
        <v>3</v>
      </c>
      <c r="F401" s="7">
        <v>32</v>
      </c>
      <c r="G401" s="7">
        <v>35</v>
      </c>
    </row>
    <row r="402" spans="1:7" x14ac:dyDescent="0.3">
      <c r="A402" s="6">
        <v>401</v>
      </c>
      <c r="B402" s="6">
        <v>0.2273</v>
      </c>
      <c r="C402" s="6">
        <v>0.87</v>
      </c>
      <c r="D402" s="6">
        <v>0.19400000000000001</v>
      </c>
      <c r="E402" s="6">
        <v>0</v>
      </c>
      <c r="F402" s="6">
        <v>61</v>
      </c>
      <c r="G402" s="6">
        <v>61</v>
      </c>
    </row>
    <row r="403" spans="1:7" x14ac:dyDescent="0.3">
      <c r="A403" s="7">
        <v>402</v>
      </c>
      <c r="B403" s="7">
        <v>0.2273</v>
      </c>
      <c r="C403" s="7">
        <v>0.82</v>
      </c>
      <c r="D403" s="7">
        <v>0.19400000000000001</v>
      </c>
      <c r="E403" s="7">
        <v>1</v>
      </c>
      <c r="F403" s="7">
        <v>124</v>
      </c>
      <c r="G403" s="7">
        <v>125</v>
      </c>
    </row>
    <row r="404" spans="1:7" x14ac:dyDescent="0.3">
      <c r="A404" s="6">
        <v>403</v>
      </c>
      <c r="B404" s="6">
        <v>0.2273</v>
      </c>
      <c r="C404" s="6">
        <v>0.8</v>
      </c>
      <c r="D404" s="6">
        <v>0.16420000000000001</v>
      </c>
      <c r="E404" s="6">
        <v>1</v>
      </c>
      <c r="F404" s="6">
        <v>132</v>
      </c>
      <c r="G404" s="6">
        <v>133</v>
      </c>
    </row>
    <row r="405" spans="1:7" x14ac:dyDescent="0.3">
      <c r="A405" s="7">
        <v>404</v>
      </c>
      <c r="B405" s="7">
        <v>0.2273</v>
      </c>
      <c r="C405" s="7">
        <v>0.8</v>
      </c>
      <c r="D405" s="7">
        <v>0.1343</v>
      </c>
      <c r="E405" s="7">
        <v>1</v>
      </c>
      <c r="F405" s="7">
        <v>98</v>
      </c>
      <c r="G405" s="7">
        <v>99</v>
      </c>
    </row>
    <row r="406" spans="1:7" x14ac:dyDescent="0.3">
      <c r="A406" s="6">
        <v>405</v>
      </c>
      <c r="B406" s="6">
        <v>0.2727</v>
      </c>
      <c r="C406" s="6">
        <v>0.87</v>
      </c>
      <c r="D406" s="6">
        <v>0</v>
      </c>
      <c r="E406" s="6">
        <v>0</v>
      </c>
      <c r="F406" s="6">
        <v>83</v>
      </c>
      <c r="G406" s="6">
        <v>83</v>
      </c>
    </row>
    <row r="407" spans="1:7" x14ac:dyDescent="0.3">
      <c r="A407" s="7">
        <v>406</v>
      </c>
      <c r="B407" s="7">
        <v>0.2424</v>
      </c>
      <c r="C407" s="7">
        <v>0.93</v>
      </c>
      <c r="D407" s="7">
        <v>0.1045</v>
      </c>
      <c r="E407" s="7">
        <v>0</v>
      </c>
      <c r="F407" s="7">
        <v>41</v>
      </c>
      <c r="G407" s="7">
        <v>41</v>
      </c>
    </row>
    <row r="408" spans="1:7" x14ac:dyDescent="0.3">
      <c r="A408" s="6">
        <v>407</v>
      </c>
      <c r="B408" s="6">
        <v>0.2576</v>
      </c>
      <c r="C408" s="6">
        <v>0.93</v>
      </c>
      <c r="D408" s="6">
        <v>8.9599999999999999E-2</v>
      </c>
      <c r="E408" s="6">
        <v>0</v>
      </c>
      <c r="F408" s="6">
        <v>33</v>
      </c>
      <c r="G408" s="6">
        <v>33</v>
      </c>
    </row>
    <row r="409" spans="1:7" x14ac:dyDescent="0.3">
      <c r="A409" s="7">
        <v>408</v>
      </c>
      <c r="B409" s="7">
        <v>0.2727</v>
      </c>
      <c r="C409" s="7">
        <v>0.93</v>
      </c>
      <c r="D409" s="7">
        <v>0</v>
      </c>
      <c r="E409" s="7">
        <v>1</v>
      </c>
      <c r="F409" s="7">
        <v>19</v>
      </c>
      <c r="G409" s="7">
        <v>20</v>
      </c>
    </row>
    <row r="410" spans="1:7" x14ac:dyDescent="0.3">
      <c r="A410" s="6">
        <v>409</v>
      </c>
      <c r="B410" s="6">
        <v>0.2727</v>
      </c>
      <c r="C410" s="6">
        <v>0.93</v>
      </c>
      <c r="D410" s="6">
        <v>0</v>
      </c>
      <c r="E410" s="6">
        <v>0</v>
      </c>
      <c r="F410" s="6">
        <v>3</v>
      </c>
      <c r="G410" s="6">
        <v>3</v>
      </c>
    </row>
    <row r="411" spans="1:7" x14ac:dyDescent="0.3">
      <c r="A411" s="7">
        <v>410</v>
      </c>
      <c r="B411" s="7">
        <v>0.2273</v>
      </c>
      <c r="C411" s="7">
        <v>0.93</v>
      </c>
      <c r="D411" s="7">
        <v>0.1343</v>
      </c>
      <c r="E411" s="7">
        <v>1</v>
      </c>
      <c r="F411" s="7">
        <v>6</v>
      </c>
      <c r="G411" s="7">
        <v>7</v>
      </c>
    </row>
    <row r="412" spans="1:7" x14ac:dyDescent="0.3">
      <c r="A412" s="6">
        <v>411</v>
      </c>
      <c r="B412" s="6">
        <v>0.2273</v>
      </c>
      <c r="C412" s="6">
        <v>0.93</v>
      </c>
      <c r="D412" s="6">
        <v>0.1343</v>
      </c>
      <c r="E412" s="6">
        <v>0</v>
      </c>
      <c r="F412" s="6">
        <v>3</v>
      </c>
      <c r="G412" s="6">
        <v>3</v>
      </c>
    </row>
    <row r="413" spans="1:7" x14ac:dyDescent="0.3">
      <c r="A413" s="7">
        <v>412</v>
      </c>
      <c r="B413" s="7">
        <v>0.2273</v>
      </c>
      <c r="C413" s="7">
        <v>0.93</v>
      </c>
      <c r="D413" s="7">
        <v>0.1343</v>
      </c>
      <c r="E413" s="7">
        <v>1</v>
      </c>
      <c r="F413" s="7">
        <v>1</v>
      </c>
      <c r="G413" s="7">
        <v>2</v>
      </c>
    </row>
    <row r="414" spans="1:7" x14ac:dyDescent="0.3">
      <c r="A414" s="6">
        <v>413</v>
      </c>
      <c r="B414" s="6">
        <v>0.2576</v>
      </c>
      <c r="C414" s="6">
        <v>0.93</v>
      </c>
      <c r="D414" s="6">
        <v>8.9599999999999999E-2</v>
      </c>
      <c r="E414" s="6">
        <v>0</v>
      </c>
      <c r="F414" s="6">
        <v>7</v>
      </c>
      <c r="G414" s="6">
        <v>7</v>
      </c>
    </row>
    <row r="415" spans="1:7" x14ac:dyDescent="0.3">
      <c r="A415" s="7">
        <v>414</v>
      </c>
      <c r="B415" s="7">
        <v>0.2576</v>
      </c>
      <c r="C415" s="7">
        <v>0.93</v>
      </c>
      <c r="D415" s="7">
        <v>8.9599999999999999E-2</v>
      </c>
      <c r="E415" s="7">
        <v>0</v>
      </c>
      <c r="F415" s="7">
        <v>32</v>
      </c>
      <c r="G415" s="7">
        <v>32</v>
      </c>
    </row>
    <row r="416" spans="1:7" x14ac:dyDescent="0.3">
      <c r="A416" s="6">
        <v>415</v>
      </c>
      <c r="B416" s="6">
        <v>0.2576</v>
      </c>
      <c r="C416" s="6">
        <v>0.92</v>
      </c>
      <c r="D416" s="6">
        <v>0.1045</v>
      </c>
      <c r="E416" s="6">
        <v>1</v>
      </c>
      <c r="F416" s="6">
        <v>89</v>
      </c>
      <c r="G416" s="6">
        <v>90</v>
      </c>
    </row>
    <row r="417" spans="1:7" x14ac:dyDescent="0.3">
      <c r="A417" s="7">
        <v>416</v>
      </c>
      <c r="B417" s="7">
        <v>0.2576</v>
      </c>
      <c r="C417" s="7">
        <v>0.93</v>
      </c>
      <c r="D417" s="7">
        <v>0.1045</v>
      </c>
      <c r="E417" s="7">
        <v>1</v>
      </c>
      <c r="F417" s="7">
        <v>196</v>
      </c>
      <c r="G417" s="7">
        <v>197</v>
      </c>
    </row>
    <row r="418" spans="1:7" x14ac:dyDescent="0.3">
      <c r="A418" s="6">
        <v>417</v>
      </c>
      <c r="B418" s="6">
        <v>0.2576</v>
      </c>
      <c r="C418" s="6">
        <v>0.93</v>
      </c>
      <c r="D418" s="6">
        <v>0.1045</v>
      </c>
      <c r="E418" s="6">
        <v>2</v>
      </c>
      <c r="F418" s="6">
        <v>107</v>
      </c>
      <c r="G418" s="6">
        <v>109</v>
      </c>
    </row>
    <row r="419" spans="1:7" x14ac:dyDescent="0.3">
      <c r="A419" s="7">
        <v>418</v>
      </c>
      <c r="B419" s="7">
        <v>0.2727</v>
      </c>
      <c r="C419" s="7">
        <v>0.93</v>
      </c>
      <c r="D419" s="7">
        <v>0.1343</v>
      </c>
      <c r="E419" s="7">
        <v>1</v>
      </c>
      <c r="F419" s="7">
        <v>46</v>
      </c>
      <c r="G419" s="7">
        <v>47</v>
      </c>
    </row>
    <row r="420" spans="1:7" x14ac:dyDescent="0.3">
      <c r="A420" s="6">
        <v>419</v>
      </c>
      <c r="B420" s="6">
        <v>0.30299999999999999</v>
      </c>
      <c r="C420" s="6">
        <v>0.87</v>
      </c>
      <c r="D420" s="6">
        <v>8.9599999999999999E-2</v>
      </c>
      <c r="E420" s="6">
        <v>5</v>
      </c>
      <c r="F420" s="6">
        <v>47</v>
      </c>
      <c r="G420" s="6">
        <v>52</v>
      </c>
    </row>
    <row r="421" spans="1:7" x14ac:dyDescent="0.3">
      <c r="A421" s="7">
        <v>420</v>
      </c>
      <c r="B421" s="7">
        <v>0.31819999999999998</v>
      </c>
      <c r="C421" s="7">
        <v>0.81</v>
      </c>
      <c r="D421" s="7">
        <v>8.9599999999999999E-2</v>
      </c>
      <c r="E421" s="7">
        <v>5</v>
      </c>
      <c r="F421" s="7">
        <v>65</v>
      </c>
      <c r="G421" s="7">
        <v>70</v>
      </c>
    </row>
    <row r="422" spans="1:7" x14ac:dyDescent="0.3">
      <c r="A422" s="6">
        <v>421</v>
      </c>
      <c r="B422" s="6">
        <v>0.40910000000000002</v>
      </c>
      <c r="C422" s="6">
        <v>0.62</v>
      </c>
      <c r="D422" s="6">
        <v>0.28360000000000002</v>
      </c>
      <c r="E422" s="6">
        <v>11</v>
      </c>
      <c r="F422" s="6">
        <v>67</v>
      </c>
      <c r="G422" s="6">
        <v>78</v>
      </c>
    </row>
    <row r="423" spans="1:7" x14ac:dyDescent="0.3">
      <c r="A423" s="7">
        <v>422</v>
      </c>
      <c r="B423" s="7">
        <v>0.40910000000000002</v>
      </c>
      <c r="C423" s="7">
        <v>0.57999999999999996</v>
      </c>
      <c r="D423" s="7">
        <v>0.25369999999999998</v>
      </c>
      <c r="E423" s="7">
        <v>7</v>
      </c>
      <c r="F423" s="7">
        <v>68</v>
      </c>
      <c r="G423" s="7">
        <v>75</v>
      </c>
    </row>
    <row r="424" spans="1:7" x14ac:dyDescent="0.3">
      <c r="A424" s="6">
        <v>423</v>
      </c>
      <c r="B424" s="6">
        <v>0.40910000000000002</v>
      </c>
      <c r="C424" s="6">
        <v>0.54</v>
      </c>
      <c r="D424" s="6">
        <v>0.28360000000000002</v>
      </c>
      <c r="E424" s="6">
        <v>4</v>
      </c>
      <c r="F424" s="6">
        <v>78</v>
      </c>
      <c r="G424" s="6">
        <v>82</v>
      </c>
    </row>
    <row r="425" spans="1:7" x14ac:dyDescent="0.3">
      <c r="A425" s="7">
        <v>424</v>
      </c>
      <c r="B425" s="7">
        <v>0.39389999999999997</v>
      </c>
      <c r="C425" s="7">
        <v>0.57999999999999996</v>
      </c>
      <c r="D425" s="7">
        <v>0.3881</v>
      </c>
      <c r="E425" s="7">
        <v>10</v>
      </c>
      <c r="F425" s="7">
        <v>94</v>
      </c>
      <c r="G425" s="7">
        <v>104</v>
      </c>
    </row>
    <row r="426" spans="1:7" x14ac:dyDescent="0.3">
      <c r="A426" s="6">
        <v>425</v>
      </c>
      <c r="B426" s="6">
        <v>0.33329999999999999</v>
      </c>
      <c r="C426" s="6">
        <v>0.56999999999999995</v>
      </c>
      <c r="D426" s="6">
        <v>0.32840000000000003</v>
      </c>
      <c r="E426" s="6">
        <v>7</v>
      </c>
      <c r="F426" s="6">
        <v>190</v>
      </c>
      <c r="G426" s="6">
        <v>197</v>
      </c>
    </row>
    <row r="427" spans="1:7" x14ac:dyDescent="0.3">
      <c r="A427" s="7">
        <v>426</v>
      </c>
      <c r="B427" s="7">
        <v>0.31819999999999998</v>
      </c>
      <c r="C427" s="7">
        <v>0.61</v>
      </c>
      <c r="D427" s="7">
        <v>0.28360000000000002</v>
      </c>
      <c r="E427" s="7">
        <v>5</v>
      </c>
      <c r="F427" s="7">
        <v>156</v>
      </c>
      <c r="G427" s="7">
        <v>161</v>
      </c>
    </row>
    <row r="428" spans="1:7" x14ac:dyDescent="0.3">
      <c r="A428" s="6">
        <v>427</v>
      </c>
      <c r="B428" s="6">
        <v>0.28789999999999999</v>
      </c>
      <c r="C428" s="6">
        <v>0.56999999999999995</v>
      </c>
      <c r="D428" s="6">
        <v>0.41789999999999999</v>
      </c>
      <c r="E428" s="6">
        <v>4</v>
      </c>
      <c r="F428" s="6">
        <v>108</v>
      </c>
      <c r="G428" s="6">
        <v>112</v>
      </c>
    </row>
    <row r="429" spans="1:7" x14ac:dyDescent="0.3">
      <c r="A429" s="7">
        <v>428</v>
      </c>
      <c r="B429" s="7">
        <v>0.30299999999999999</v>
      </c>
      <c r="C429" s="7">
        <v>0.49</v>
      </c>
      <c r="D429" s="7">
        <v>0.29849999999999999</v>
      </c>
      <c r="E429" s="7">
        <v>2</v>
      </c>
      <c r="F429" s="7">
        <v>74</v>
      </c>
      <c r="G429" s="7">
        <v>76</v>
      </c>
    </row>
    <row r="430" spans="1:7" x14ac:dyDescent="0.3">
      <c r="A430" s="6">
        <v>429</v>
      </c>
      <c r="B430" s="6">
        <v>0.28789999999999999</v>
      </c>
      <c r="C430" s="6">
        <v>0.49</v>
      </c>
      <c r="D430" s="6">
        <v>0.41789999999999999</v>
      </c>
      <c r="E430" s="6">
        <v>4</v>
      </c>
      <c r="F430" s="6">
        <v>55</v>
      </c>
      <c r="G430" s="6">
        <v>59</v>
      </c>
    </row>
    <row r="431" spans="1:7" x14ac:dyDescent="0.3">
      <c r="A431" s="7">
        <v>430</v>
      </c>
      <c r="B431" s="7">
        <v>0.30299999999999999</v>
      </c>
      <c r="C431" s="7">
        <v>0.52</v>
      </c>
      <c r="D431" s="7">
        <v>0.16420000000000001</v>
      </c>
      <c r="E431" s="7">
        <v>6</v>
      </c>
      <c r="F431" s="7">
        <v>53</v>
      </c>
      <c r="G431" s="7">
        <v>59</v>
      </c>
    </row>
    <row r="432" spans="1:7" x14ac:dyDescent="0.3">
      <c r="A432" s="6">
        <v>431</v>
      </c>
      <c r="B432" s="6">
        <v>0.2727</v>
      </c>
      <c r="C432" s="6">
        <v>0.52</v>
      </c>
      <c r="D432" s="6">
        <v>0.4627</v>
      </c>
      <c r="E432" s="6">
        <v>1</v>
      </c>
      <c r="F432" s="6">
        <v>27</v>
      </c>
      <c r="G432" s="6">
        <v>28</v>
      </c>
    </row>
    <row r="433" spans="1:7" x14ac:dyDescent="0.3">
      <c r="A433" s="7">
        <v>432</v>
      </c>
      <c r="B433" s="7">
        <v>0.2273</v>
      </c>
      <c r="C433" s="7">
        <v>0.56000000000000005</v>
      </c>
      <c r="D433" s="7">
        <v>0.3881</v>
      </c>
      <c r="E433" s="7">
        <v>5</v>
      </c>
      <c r="F433" s="7">
        <v>8</v>
      </c>
      <c r="G433" s="7">
        <v>13</v>
      </c>
    </row>
    <row r="434" spans="1:7" x14ac:dyDescent="0.3">
      <c r="A434" s="6">
        <v>433</v>
      </c>
      <c r="B434" s="6">
        <v>0.2727</v>
      </c>
      <c r="C434" s="6">
        <v>0.56000000000000005</v>
      </c>
      <c r="D434" s="6">
        <v>0</v>
      </c>
      <c r="E434" s="6">
        <v>2</v>
      </c>
      <c r="F434" s="6">
        <v>3</v>
      </c>
      <c r="G434" s="6">
        <v>5</v>
      </c>
    </row>
    <row r="435" spans="1:7" x14ac:dyDescent="0.3">
      <c r="A435" s="7">
        <v>434</v>
      </c>
      <c r="B435" s="7">
        <v>0.2727</v>
      </c>
      <c r="C435" s="7">
        <v>0.56000000000000005</v>
      </c>
      <c r="D435" s="7">
        <v>0</v>
      </c>
      <c r="E435" s="7">
        <v>0</v>
      </c>
      <c r="F435" s="7">
        <v>2</v>
      </c>
      <c r="G435" s="7">
        <v>2</v>
      </c>
    </row>
    <row r="436" spans="1:7" x14ac:dyDescent="0.3">
      <c r="A436" s="6">
        <v>435</v>
      </c>
      <c r="B436" s="6">
        <v>0.2576</v>
      </c>
      <c r="C436" s="6">
        <v>0.56000000000000005</v>
      </c>
      <c r="D436" s="6">
        <v>0.16420000000000001</v>
      </c>
      <c r="E436" s="6">
        <v>0</v>
      </c>
      <c r="F436" s="6">
        <v>1</v>
      </c>
      <c r="G436" s="6">
        <v>1</v>
      </c>
    </row>
    <row r="437" spans="1:7" x14ac:dyDescent="0.3">
      <c r="A437" s="7">
        <v>436</v>
      </c>
      <c r="B437" s="7">
        <v>0.2576</v>
      </c>
      <c r="C437" s="7">
        <v>0.56000000000000005</v>
      </c>
      <c r="D437" s="7">
        <v>0.16420000000000001</v>
      </c>
      <c r="E437" s="7">
        <v>0</v>
      </c>
      <c r="F437" s="7">
        <v>1</v>
      </c>
      <c r="G437" s="7">
        <v>1</v>
      </c>
    </row>
    <row r="438" spans="1:7" x14ac:dyDescent="0.3">
      <c r="A438" s="6">
        <v>437</v>
      </c>
      <c r="B438" s="6">
        <v>0.2273</v>
      </c>
      <c r="C438" s="6">
        <v>0.6</v>
      </c>
      <c r="D438" s="6">
        <v>0.22389999999999999</v>
      </c>
      <c r="E438" s="6">
        <v>0</v>
      </c>
      <c r="F438" s="6">
        <v>6</v>
      </c>
      <c r="G438" s="6">
        <v>6</v>
      </c>
    </row>
    <row r="439" spans="1:7" x14ac:dyDescent="0.3">
      <c r="A439" s="7">
        <v>438</v>
      </c>
      <c r="B439" s="7">
        <v>0.21210000000000001</v>
      </c>
      <c r="C439" s="7">
        <v>0.6</v>
      </c>
      <c r="D439" s="7">
        <v>0.22389999999999999</v>
      </c>
      <c r="E439" s="7">
        <v>0</v>
      </c>
      <c r="F439" s="7">
        <v>35</v>
      </c>
      <c r="G439" s="7">
        <v>35</v>
      </c>
    </row>
    <row r="440" spans="1:7" x14ac:dyDescent="0.3">
      <c r="A440" s="6">
        <v>439</v>
      </c>
      <c r="B440" s="6">
        <v>0.21210000000000001</v>
      </c>
      <c r="C440" s="6">
        <v>0.55000000000000004</v>
      </c>
      <c r="D440" s="6">
        <v>0.22389999999999999</v>
      </c>
      <c r="E440" s="6">
        <v>1</v>
      </c>
      <c r="F440" s="6">
        <v>100</v>
      </c>
      <c r="G440" s="6">
        <v>101</v>
      </c>
    </row>
    <row r="441" spans="1:7" x14ac:dyDescent="0.3">
      <c r="A441" s="7">
        <v>440</v>
      </c>
      <c r="B441" s="7">
        <v>0.21210000000000001</v>
      </c>
      <c r="C441" s="7">
        <v>0.55000000000000004</v>
      </c>
      <c r="D441" s="7">
        <v>0.28360000000000002</v>
      </c>
      <c r="E441" s="7">
        <v>2</v>
      </c>
      <c r="F441" s="7">
        <v>247</v>
      </c>
      <c r="G441" s="7">
        <v>249</v>
      </c>
    </row>
    <row r="442" spans="1:7" x14ac:dyDescent="0.3">
      <c r="A442" s="6">
        <v>441</v>
      </c>
      <c r="B442" s="6">
        <v>0.2273</v>
      </c>
      <c r="C442" s="6">
        <v>0.52</v>
      </c>
      <c r="D442" s="6">
        <v>0.22389999999999999</v>
      </c>
      <c r="E442" s="6">
        <v>3</v>
      </c>
      <c r="F442" s="6">
        <v>140</v>
      </c>
      <c r="G442" s="6">
        <v>143</v>
      </c>
    </row>
    <row r="443" spans="1:7" x14ac:dyDescent="0.3">
      <c r="A443" s="7">
        <v>442</v>
      </c>
      <c r="B443" s="7">
        <v>0.2273</v>
      </c>
      <c r="C443" s="7">
        <v>0.48</v>
      </c>
      <c r="D443" s="7">
        <v>0.29849999999999999</v>
      </c>
      <c r="E443" s="7">
        <v>1</v>
      </c>
      <c r="F443" s="7">
        <v>56</v>
      </c>
      <c r="G443" s="7">
        <v>57</v>
      </c>
    </row>
    <row r="444" spans="1:7" x14ac:dyDescent="0.3">
      <c r="A444" s="6">
        <v>443</v>
      </c>
      <c r="B444" s="6">
        <v>0.2727</v>
      </c>
      <c r="C444" s="6">
        <v>0.45</v>
      </c>
      <c r="D444" s="6">
        <v>0.16420000000000001</v>
      </c>
      <c r="E444" s="6">
        <v>5</v>
      </c>
      <c r="F444" s="6">
        <v>63</v>
      </c>
      <c r="G444" s="6">
        <v>68</v>
      </c>
    </row>
    <row r="445" spans="1:7" x14ac:dyDescent="0.3">
      <c r="A445" s="7">
        <v>444</v>
      </c>
      <c r="B445" s="7">
        <v>0.33329999999999999</v>
      </c>
      <c r="C445" s="7">
        <v>0.42</v>
      </c>
      <c r="D445" s="7">
        <v>0</v>
      </c>
      <c r="E445" s="7">
        <v>7</v>
      </c>
      <c r="F445" s="7">
        <v>77</v>
      </c>
      <c r="G445" s="7">
        <v>84</v>
      </c>
    </row>
    <row r="446" spans="1:7" x14ac:dyDescent="0.3">
      <c r="A446" s="6">
        <v>445</v>
      </c>
      <c r="B446" s="6">
        <v>0.28789999999999999</v>
      </c>
      <c r="C446" s="6">
        <v>0.45</v>
      </c>
      <c r="D446" s="6">
        <v>0.1045</v>
      </c>
      <c r="E446" s="6">
        <v>12</v>
      </c>
      <c r="F446" s="6">
        <v>86</v>
      </c>
      <c r="G446" s="6">
        <v>98</v>
      </c>
    </row>
    <row r="447" spans="1:7" x14ac:dyDescent="0.3">
      <c r="A447" s="7">
        <v>446</v>
      </c>
      <c r="B447" s="7">
        <v>0.30299999999999999</v>
      </c>
      <c r="C447" s="7">
        <v>0.45</v>
      </c>
      <c r="D447" s="7">
        <v>0.1343</v>
      </c>
      <c r="E447" s="7">
        <v>6</v>
      </c>
      <c r="F447" s="7">
        <v>75</v>
      </c>
      <c r="G447" s="7">
        <v>81</v>
      </c>
    </row>
    <row r="448" spans="1:7" x14ac:dyDescent="0.3">
      <c r="A448" s="6">
        <v>447</v>
      </c>
      <c r="B448" s="6">
        <v>0.31819999999999998</v>
      </c>
      <c r="C448" s="6">
        <v>0.45</v>
      </c>
      <c r="D448" s="6">
        <v>0.19400000000000001</v>
      </c>
      <c r="E448" s="6">
        <v>8</v>
      </c>
      <c r="F448" s="6">
        <v>62</v>
      </c>
      <c r="G448" s="6">
        <v>70</v>
      </c>
    </row>
    <row r="449" spans="1:7" x14ac:dyDescent="0.3">
      <c r="A449" s="7">
        <v>448</v>
      </c>
      <c r="B449" s="7">
        <v>0.30299999999999999</v>
      </c>
      <c r="C449" s="7">
        <v>0.49</v>
      </c>
      <c r="D449" s="7">
        <v>0.1343</v>
      </c>
      <c r="E449" s="7">
        <v>8</v>
      </c>
      <c r="F449" s="7">
        <v>83</v>
      </c>
      <c r="G449" s="7">
        <v>91</v>
      </c>
    </row>
    <row r="450" spans="1:7" x14ac:dyDescent="0.3">
      <c r="A450" s="6">
        <v>449</v>
      </c>
      <c r="B450" s="6">
        <v>0.31819999999999998</v>
      </c>
      <c r="C450" s="6">
        <v>0.49</v>
      </c>
      <c r="D450" s="6">
        <v>0.1045</v>
      </c>
      <c r="E450" s="6">
        <v>8</v>
      </c>
      <c r="F450" s="6">
        <v>207</v>
      </c>
      <c r="G450" s="6">
        <v>215</v>
      </c>
    </row>
    <row r="451" spans="1:7" x14ac:dyDescent="0.3">
      <c r="A451" s="7">
        <v>450</v>
      </c>
      <c r="B451" s="7">
        <v>0.2576</v>
      </c>
      <c r="C451" s="7">
        <v>0.56000000000000005</v>
      </c>
      <c r="D451" s="7">
        <v>0.19400000000000001</v>
      </c>
      <c r="E451" s="7">
        <v>1</v>
      </c>
      <c r="F451" s="7">
        <v>184</v>
      </c>
      <c r="G451" s="7">
        <v>185</v>
      </c>
    </row>
    <row r="452" spans="1:7" x14ac:dyDescent="0.3">
      <c r="A452" s="6">
        <v>451</v>
      </c>
      <c r="B452" s="6">
        <v>0.2273</v>
      </c>
      <c r="C452" s="6">
        <v>0.56000000000000005</v>
      </c>
      <c r="D452" s="6">
        <v>0.32840000000000003</v>
      </c>
      <c r="E452" s="6">
        <v>6</v>
      </c>
      <c r="F452" s="6">
        <v>146</v>
      </c>
      <c r="G452" s="6">
        <v>152</v>
      </c>
    </row>
    <row r="453" spans="1:7" x14ac:dyDescent="0.3">
      <c r="A453" s="7">
        <v>452</v>
      </c>
      <c r="B453" s="7">
        <v>0.2424</v>
      </c>
      <c r="C453" s="7">
        <v>0.6</v>
      </c>
      <c r="D453" s="7">
        <v>0.28360000000000002</v>
      </c>
      <c r="E453" s="7">
        <v>2</v>
      </c>
      <c r="F453" s="7">
        <v>124</v>
      </c>
      <c r="G453" s="7">
        <v>126</v>
      </c>
    </row>
    <row r="454" spans="1:7" x14ac:dyDescent="0.3">
      <c r="A454" s="6">
        <v>453</v>
      </c>
      <c r="B454" s="6">
        <v>0.2273</v>
      </c>
      <c r="C454" s="6">
        <v>0.6</v>
      </c>
      <c r="D454" s="6">
        <v>0.25369999999999998</v>
      </c>
      <c r="E454" s="6">
        <v>3</v>
      </c>
      <c r="F454" s="6">
        <v>54</v>
      </c>
      <c r="G454" s="6">
        <v>57</v>
      </c>
    </row>
    <row r="455" spans="1:7" x14ac:dyDescent="0.3">
      <c r="A455" s="7">
        <v>454</v>
      </c>
      <c r="B455" s="7">
        <v>0.21210000000000001</v>
      </c>
      <c r="C455" s="7">
        <v>0.65</v>
      </c>
      <c r="D455" s="7">
        <v>0.28360000000000002</v>
      </c>
      <c r="E455" s="7">
        <v>0</v>
      </c>
      <c r="F455" s="7">
        <v>56</v>
      </c>
      <c r="G455" s="7">
        <v>56</v>
      </c>
    </row>
    <row r="456" spans="1:7" x14ac:dyDescent="0.3">
      <c r="A456" s="6">
        <v>455</v>
      </c>
      <c r="B456" s="6">
        <v>0.21210000000000001</v>
      </c>
      <c r="C456" s="6">
        <v>0.65</v>
      </c>
      <c r="D456" s="6">
        <v>0.32840000000000003</v>
      </c>
      <c r="E456" s="6">
        <v>3</v>
      </c>
      <c r="F456" s="6">
        <v>28</v>
      </c>
      <c r="G456" s="6">
        <v>31</v>
      </c>
    </row>
    <row r="457" spans="1:7" x14ac:dyDescent="0.3">
      <c r="A457" s="7">
        <v>456</v>
      </c>
      <c r="B457" s="7">
        <v>0.2273</v>
      </c>
      <c r="C457" s="7">
        <v>0.7</v>
      </c>
      <c r="D457" s="7">
        <v>0.25369999999999998</v>
      </c>
      <c r="E457" s="7">
        <v>1</v>
      </c>
      <c r="F457" s="7">
        <v>20</v>
      </c>
      <c r="G457" s="7">
        <v>21</v>
      </c>
    </row>
    <row r="458" spans="1:7" x14ac:dyDescent="0.3">
      <c r="A458" s="6">
        <v>457</v>
      </c>
      <c r="B458" s="6">
        <v>0.2273</v>
      </c>
      <c r="C458" s="6">
        <v>0.7</v>
      </c>
      <c r="D458" s="6">
        <v>0.25369999999999998</v>
      </c>
      <c r="E458" s="6">
        <v>0</v>
      </c>
      <c r="F458" s="6">
        <v>6</v>
      </c>
      <c r="G458" s="6">
        <v>6</v>
      </c>
    </row>
    <row r="459" spans="1:7" x14ac:dyDescent="0.3">
      <c r="A459" s="7">
        <v>458</v>
      </c>
      <c r="B459" s="7">
        <v>0.2424</v>
      </c>
      <c r="C459" s="7">
        <v>0.75</v>
      </c>
      <c r="D459" s="7">
        <v>0.16420000000000001</v>
      </c>
      <c r="E459" s="7">
        <v>0</v>
      </c>
      <c r="F459" s="7">
        <v>2</v>
      </c>
      <c r="G459" s="7">
        <v>2</v>
      </c>
    </row>
    <row r="460" spans="1:7" x14ac:dyDescent="0.3">
      <c r="A460" s="6">
        <v>459</v>
      </c>
      <c r="B460" s="6">
        <v>0.21210000000000001</v>
      </c>
      <c r="C460" s="6">
        <v>0.8</v>
      </c>
      <c r="D460" s="6">
        <v>0.29849999999999999</v>
      </c>
      <c r="E460" s="6">
        <v>0</v>
      </c>
      <c r="F460" s="6">
        <v>1</v>
      </c>
      <c r="G460" s="6">
        <v>1</v>
      </c>
    </row>
    <row r="461" spans="1:7" x14ac:dyDescent="0.3">
      <c r="A461" s="7">
        <v>460</v>
      </c>
      <c r="B461" s="7">
        <v>0.2576</v>
      </c>
      <c r="C461" s="7">
        <v>0.87</v>
      </c>
      <c r="D461" s="7">
        <v>8.9599999999999999E-2</v>
      </c>
      <c r="E461" s="7">
        <v>0</v>
      </c>
      <c r="F461" s="7">
        <v>1</v>
      </c>
      <c r="G461" s="7">
        <v>1</v>
      </c>
    </row>
    <row r="462" spans="1:7" x14ac:dyDescent="0.3">
      <c r="A462" s="6">
        <v>461</v>
      </c>
      <c r="B462" s="6">
        <v>0.19700000000000001</v>
      </c>
      <c r="C462" s="6">
        <v>0.6</v>
      </c>
      <c r="D462" s="6">
        <v>0.41789999999999999</v>
      </c>
      <c r="E462" s="6">
        <v>1</v>
      </c>
      <c r="F462" s="6">
        <v>4</v>
      </c>
      <c r="G462" s="6">
        <v>5</v>
      </c>
    </row>
    <row r="463" spans="1:7" x14ac:dyDescent="0.3">
      <c r="A463" s="7">
        <v>462</v>
      </c>
      <c r="B463" s="7">
        <v>0.21210000000000001</v>
      </c>
      <c r="C463" s="7">
        <v>0.55000000000000004</v>
      </c>
      <c r="D463" s="7">
        <v>0.25369999999999998</v>
      </c>
      <c r="E463" s="7">
        <v>0</v>
      </c>
      <c r="F463" s="7">
        <v>27</v>
      </c>
      <c r="G463" s="7">
        <v>27</v>
      </c>
    </row>
    <row r="464" spans="1:7" x14ac:dyDescent="0.3">
      <c r="A464" s="6">
        <v>463</v>
      </c>
      <c r="B464" s="6">
        <v>0.18179999999999999</v>
      </c>
      <c r="C464" s="6">
        <v>0.51</v>
      </c>
      <c r="D464" s="6">
        <v>0.28360000000000002</v>
      </c>
      <c r="E464" s="6">
        <v>2</v>
      </c>
      <c r="F464" s="6">
        <v>66</v>
      </c>
      <c r="G464" s="6">
        <v>68</v>
      </c>
    </row>
    <row r="465" spans="1:7" x14ac:dyDescent="0.3">
      <c r="A465" s="7">
        <v>464</v>
      </c>
      <c r="B465" s="7">
        <v>0.18179999999999999</v>
      </c>
      <c r="C465" s="7">
        <v>0.47</v>
      </c>
      <c r="D465" s="7">
        <v>0.32840000000000003</v>
      </c>
      <c r="E465" s="7">
        <v>7</v>
      </c>
      <c r="F465" s="7">
        <v>210</v>
      </c>
      <c r="G465" s="7">
        <v>217</v>
      </c>
    </row>
    <row r="466" spans="1:7" x14ac:dyDescent="0.3">
      <c r="A466" s="6">
        <v>465</v>
      </c>
      <c r="B466" s="6">
        <v>0.18179999999999999</v>
      </c>
      <c r="C466" s="6">
        <v>0.51</v>
      </c>
      <c r="D466" s="6">
        <v>0.35820000000000002</v>
      </c>
      <c r="E466" s="6">
        <v>7</v>
      </c>
      <c r="F466" s="6">
        <v>159</v>
      </c>
      <c r="G466" s="6">
        <v>166</v>
      </c>
    </row>
    <row r="467" spans="1:7" x14ac:dyDescent="0.3">
      <c r="A467" s="7">
        <v>466</v>
      </c>
      <c r="B467" s="7">
        <v>0.16669999999999999</v>
      </c>
      <c r="C467" s="7">
        <v>0.47</v>
      </c>
      <c r="D467" s="7">
        <v>0.4627</v>
      </c>
      <c r="E467" s="7">
        <v>6</v>
      </c>
      <c r="F467" s="7">
        <v>57</v>
      </c>
      <c r="G467" s="7">
        <v>63</v>
      </c>
    </row>
    <row r="468" spans="1:7" x14ac:dyDescent="0.3">
      <c r="A468" s="6">
        <v>467</v>
      </c>
      <c r="B468" s="6">
        <v>0.18179999999999999</v>
      </c>
      <c r="C468" s="6">
        <v>0.41</v>
      </c>
      <c r="D468" s="6">
        <v>0.4627</v>
      </c>
      <c r="E468" s="6">
        <v>6</v>
      </c>
      <c r="F468" s="6">
        <v>53</v>
      </c>
      <c r="G468" s="6">
        <v>59</v>
      </c>
    </row>
    <row r="469" spans="1:7" x14ac:dyDescent="0.3">
      <c r="A469" s="7">
        <v>468</v>
      </c>
      <c r="B469" s="7">
        <v>0.18179999999999999</v>
      </c>
      <c r="C469" s="7">
        <v>0.27</v>
      </c>
      <c r="D469" s="7">
        <v>0.58209999999999995</v>
      </c>
      <c r="E469" s="7">
        <v>11</v>
      </c>
      <c r="F469" s="7">
        <v>67</v>
      </c>
      <c r="G469" s="7">
        <v>78</v>
      </c>
    </row>
    <row r="470" spans="1:7" x14ac:dyDescent="0.3">
      <c r="A470" s="6">
        <v>469</v>
      </c>
      <c r="B470" s="6">
        <v>0.1515</v>
      </c>
      <c r="C470" s="6">
        <v>0.21</v>
      </c>
      <c r="D470" s="6">
        <v>0.58209999999999995</v>
      </c>
      <c r="E470" s="6">
        <v>8</v>
      </c>
      <c r="F470" s="6">
        <v>65</v>
      </c>
      <c r="G470" s="6">
        <v>73</v>
      </c>
    </row>
    <row r="471" spans="1:7" x14ac:dyDescent="0.3">
      <c r="A471" s="7">
        <v>470</v>
      </c>
      <c r="B471" s="7">
        <v>0.1515</v>
      </c>
      <c r="C471" s="7">
        <v>0.25</v>
      </c>
      <c r="D471" s="7">
        <v>0.52239999999999998</v>
      </c>
      <c r="E471" s="7">
        <v>6</v>
      </c>
      <c r="F471" s="7">
        <v>56</v>
      </c>
      <c r="G471" s="7">
        <v>62</v>
      </c>
    </row>
    <row r="472" spans="1:7" x14ac:dyDescent="0.3">
      <c r="A472" s="6">
        <v>471</v>
      </c>
      <c r="B472" s="6">
        <v>0.1212</v>
      </c>
      <c r="C472" s="6">
        <v>0.26</v>
      </c>
      <c r="D472" s="6">
        <v>0.44779999999999998</v>
      </c>
      <c r="E472" s="6">
        <v>4</v>
      </c>
      <c r="F472" s="6">
        <v>61</v>
      </c>
      <c r="G472" s="6">
        <v>65</v>
      </c>
    </row>
    <row r="473" spans="1:7" x14ac:dyDescent="0.3">
      <c r="A473" s="7">
        <v>472</v>
      </c>
      <c r="B473" s="7">
        <v>0.13639999999999999</v>
      </c>
      <c r="C473" s="7">
        <v>0.26</v>
      </c>
      <c r="D473" s="7">
        <v>0.35820000000000002</v>
      </c>
      <c r="E473" s="7">
        <v>0</v>
      </c>
      <c r="F473" s="7">
        <v>97</v>
      </c>
      <c r="G473" s="7">
        <v>97</v>
      </c>
    </row>
    <row r="474" spans="1:7" x14ac:dyDescent="0.3">
      <c r="A474" s="6">
        <v>473</v>
      </c>
      <c r="B474" s="6">
        <v>0.1212</v>
      </c>
      <c r="C474" s="6">
        <v>0.28000000000000003</v>
      </c>
      <c r="D474" s="6">
        <v>0.35820000000000002</v>
      </c>
      <c r="E474" s="6">
        <v>10</v>
      </c>
      <c r="F474" s="6">
        <v>151</v>
      </c>
      <c r="G474" s="6">
        <v>161</v>
      </c>
    </row>
    <row r="475" spans="1:7" x14ac:dyDescent="0.3">
      <c r="A475" s="7">
        <v>474</v>
      </c>
      <c r="B475" s="7">
        <v>0.1212</v>
      </c>
      <c r="C475" s="7">
        <v>0.3</v>
      </c>
      <c r="D475" s="7">
        <v>0.25369999999999998</v>
      </c>
      <c r="E475" s="7">
        <v>1</v>
      </c>
      <c r="F475" s="7">
        <v>119</v>
      </c>
      <c r="G475" s="7">
        <v>120</v>
      </c>
    </row>
    <row r="476" spans="1:7" x14ac:dyDescent="0.3">
      <c r="A476" s="6">
        <v>475</v>
      </c>
      <c r="B476" s="6">
        <v>0.1061</v>
      </c>
      <c r="C476" s="6">
        <v>0.3</v>
      </c>
      <c r="D476" s="6">
        <v>0.32840000000000003</v>
      </c>
      <c r="E476" s="6">
        <v>3</v>
      </c>
      <c r="F476" s="6">
        <v>93</v>
      </c>
      <c r="G476" s="6">
        <v>96</v>
      </c>
    </row>
    <row r="477" spans="1:7" x14ac:dyDescent="0.3">
      <c r="A477" s="7">
        <v>476</v>
      </c>
      <c r="B477" s="7">
        <v>7.5800000000000006E-2</v>
      </c>
      <c r="C477" s="7">
        <v>0.33</v>
      </c>
      <c r="D477" s="7">
        <v>0.41789999999999999</v>
      </c>
      <c r="E477" s="7">
        <v>1</v>
      </c>
      <c r="F477" s="7">
        <v>52</v>
      </c>
      <c r="G477" s="7">
        <v>53</v>
      </c>
    </row>
    <row r="478" spans="1:7" x14ac:dyDescent="0.3">
      <c r="A478" s="6">
        <v>477</v>
      </c>
      <c r="B478" s="6">
        <v>7.5800000000000006E-2</v>
      </c>
      <c r="C478" s="6">
        <v>0.38</v>
      </c>
      <c r="D478" s="6">
        <v>0.28360000000000002</v>
      </c>
      <c r="E478" s="6">
        <v>0</v>
      </c>
      <c r="F478" s="6">
        <v>41</v>
      </c>
      <c r="G478" s="6">
        <v>41</v>
      </c>
    </row>
    <row r="479" spans="1:7" x14ac:dyDescent="0.3">
      <c r="A479" s="7">
        <v>478</v>
      </c>
      <c r="B479" s="7">
        <v>3.0300000000000001E-2</v>
      </c>
      <c r="C479" s="7">
        <v>0.41</v>
      </c>
      <c r="D479" s="7">
        <v>0.3881</v>
      </c>
      <c r="E479" s="7">
        <v>1</v>
      </c>
      <c r="F479" s="7">
        <v>33</v>
      </c>
      <c r="G479" s="7">
        <v>34</v>
      </c>
    </row>
    <row r="480" spans="1:7" x14ac:dyDescent="0.3">
      <c r="A480" s="6">
        <v>479</v>
      </c>
      <c r="B480" s="6">
        <v>4.5499999999999999E-2</v>
      </c>
      <c r="C480" s="6">
        <v>0.38</v>
      </c>
      <c r="D480" s="6">
        <v>0.32840000000000003</v>
      </c>
      <c r="E480" s="6">
        <v>0</v>
      </c>
      <c r="F480" s="6">
        <v>27</v>
      </c>
      <c r="G480" s="6">
        <v>27</v>
      </c>
    </row>
    <row r="481" spans="1:7" x14ac:dyDescent="0.3">
      <c r="A481" s="7">
        <v>480</v>
      </c>
      <c r="B481" s="7">
        <v>3.0300000000000001E-2</v>
      </c>
      <c r="C481" s="7">
        <v>0.45</v>
      </c>
      <c r="D481" s="7">
        <v>0.25369999999999998</v>
      </c>
      <c r="E481" s="7">
        <v>0</v>
      </c>
      <c r="F481" s="7">
        <v>13</v>
      </c>
      <c r="G481" s="7">
        <v>13</v>
      </c>
    </row>
    <row r="482" spans="1:7" x14ac:dyDescent="0.3">
      <c r="A482" s="6">
        <v>481</v>
      </c>
      <c r="B482" s="6">
        <v>0</v>
      </c>
      <c r="C482" s="6">
        <v>0.41</v>
      </c>
      <c r="D482" s="6">
        <v>0.3881</v>
      </c>
      <c r="E482" s="6">
        <v>3</v>
      </c>
      <c r="F482" s="6">
        <v>9</v>
      </c>
      <c r="G482" s="6">
        <v>12</v>
      </c>
    </row>
    <row r="483" spans="1:7" x14ac:dyDescent="0.3">
      <c r="A483" s="7">
        <v>482</v>
      </c>
      <c r="B483" s="7">
        <v>3.0300000000000001E-2</v>
      </c>
      <c r="C483" s="7">
        <v>0.41</v>
      </c>
      <c r="D483" s="7">
        <v>0.25369999999999998</v>
      </c>
      <c r="E483" s="7">
        <v>0</v>
      </c>
      <c r="F483" s="7">
        <v>11</v>
      </c>
      <c r="G483" s="7">
        <v>11</v>
      </c>
    </row>
    <row r="484" spans="1:7" x14ac:dyDescent="0.3">
      <c r="A484" s="6">
        <v>483</v>
      </c>
      <c r="B484" s="6">
        <v>3.0300000000000001E-2</v>
      </c>
      <c r="C484" s="6">
        <v>0.41</v>
      </c>
      <c r="D484" s="6">
        <v>0.28360000000000002</v>
      </c>
      <c r="E484" s="6">
        <v>1</v>
      </c>
      <c r="F484" s="6">
        <v>6</v>
      </c>
      <c r="G484" s="6">
        <v>7</v>
      </c>
    </row>
    <row r="485" spans="1:7" x14ac:dyDescent="0.3">
      <c r="A485" s="7">
        <v>484</v>
      </c>
      <c r="B485" s="7">
        <v>1.52E-2</v>
      </c>
      <c r="C485" s="7">
        <v>0.48</v>
      </c>
      <c r="D485" s="7">
        <v>0.29849999999999999</v>
      </c>
      <c r="E485" s="7">
        <v>0</v>
      </c>
      <c r="F485" s="7">
        <v>3</v>
      </c>
      <c r="G485" s="7">
        <v>3</v>
      </c>
    </row>
    <row r="486" spans="1:7" x14ac:dyDescent="0.3">
      <c r="A486" s="6">
        <v>485</v>
      </c>
      <c r="B486" s="6">
        <v>3.0300000000000001E-2</v>
      </c>
      <c r="C486" s="6">
        <v>0.44</v>
      </c>
      <c r="D486" s="6">
        <v>0.22389999999999999</v>
      </c>
      <c r="E486" s="6">
        <v>0</v>
      </c>
      <c r="F486" s="6">
        <v>2</v>
      </c>
      <c r="G486" s="6">
        <v>2</v>
      </c>
    </row>
    <row r="487" spans="1:7" x14ac:dyDescent="0.3">
      <c r="A487" s="7">
        <v>486</v>
      </c>
      <c r="B487" s="7">
        <v>1.52E-2</v>
      </c>
      <c r="C487" s="7">
        <v>0.44</v>
      </c>
      <c r="D487" s="7">
        <v>0.28360000000000002</v>
      </c>
      <c r="E487" s="7">
        <v>0</v>
      </c>
      <c r="F487" s="7">
        <v>8</v>
      </c>
      <c r="G487" s="7">
        <v>8</v>
      </c>
    </row>
    <row r="488" spans="1:7" x14ac:dyDescent="0.3">
      <c r="A488" s="6">
        <v>487</v>
      </c>
      <c r="B488" s="6">
        <v>0</v>
      </c>
      <c r="C488" s="6">
        <v>0.44</v>
      </c>
      <c r="D488" s="6">
        <v>0.32840000000000003</v>
      </c>
      <c r="E488" s="6">
        <v>1</v>
      </c>
      <c r="F488" s="6">
        <v>26</v>
      </c>
      <c r="G488" s="6">
        <v>27</v>
      </c>
    </row>
    <row r="489" spans="1:7" x14ac:dyDescent="0.3">
      <c r="A489" s="7">
        <v>488</v>
      </c>
      <c r="B489" s="7">
        <v>3.0300000000000001E-2</v>
      </c>
      <c r="C489" s="7">
        <v>0.41</v>
      </c>
      <c r="D489" s="7">
        <v>0.25369999999999998</v>
      </c>
      <c r="E489" s="7">
        <v>3</v>
      </c>
      <c r="F489" s="7">
        <v>37</v>
      </c>
      <c r="G489" s="7">
        <v>40</v>
      </c>
    </row>
    <row r="490" spans="1:7" x14ac:dyDescent="0.3">
      <c r="A490" s="6">
        <v>489</v>
      </c>
      <c r="B490" s="6">
        <v>6.0600000000000001E-2</v>
      </c>
      <c r="C490" s="6">
        <v>0.41</v>
      </c>
      <c r="D490" s="6">
        <v>0.16420000000000001</v>
      </c>
      <c r="E490" s="6">
        <v>3</v>
      </c>
      <c r="F490" s="6">
        <v>50</v>
      </c>
      <c r="G490" s="6">
        <v>53</v>
      </c>
    </row>
    <row r="491" spans="1:7" x14ac:dyDescent="0.3">
      <c r="A491" s="7">
        <v>490</v>
      </c>
      <c r="B491" s="7">
        <v>7.5800000000000006E-2</v>
      </c>
      <c r="C491" s="7">
        <v>0.38</v>
      </c>
      <c r="D491" s="7">
        <v>0.1343</v>
      </c>
      <c r="E491" s="7">
        <v>4</v>
      </c>
      <c r="F491" s="7">
        <v>59</v>
      </c>
      <c r="G491" s="7">
        <v>63</v>
      </c>
    </row>
    <row r="492" spans="1:7" x14ac:dyDescent="0.3">
      <c r="A492" s="6">
        <v>491</v>
      </c>
      <c r="B492" s="6">
        <v>0.1061</v>
      </c>
      <c r="C492" s="6">
        <v>0.38</v>
      </c>
      <c r="D492" s="6">
        <v>0.1045</v>
      </c>
      <c r="E492" s="6">
        <v>10</v>
      </c>
      <c r="F492" s="6">
        <v>60</v>
      </c>
      <c r="G492" s="6">
        <v>70</v>
      </c>
    </row>
    <row r="493" spans="1:7" x14ac:dyDescent="0.3">
      <c r="A493" s="7">
        <v>492</v>
      </c>
      <c r="B493" s="7">
        <v>0.16669999999999999</v>
      </c>
      <c r="C493" s="7">
        <v>0.35</v>
      </c>
      <c r="D493" s="7">
        <v>0</v>
      </c>
      <c r="E493" s="7">
        <v>12</v>
      </c>
      <c r="F493" s="7">
        <v>72</v>
      </c>
      <c r="G493" s="7">
        <v>84</v>
      </c>
    </row>
    <row r="494" spans="1:7" x14ac:dyDescent="0.3">
      <c r="A494" s="6">
        <v>493</v>
      </c>
      <c r="B494" s="6">
        <v>0.13639999999999999</v>
      </c>
      <c r="C494" s="6">
        <v>0.33</v>
      </c>
      <c r="D494" s="6">
        <v>0.1045</v>
      </c>
      <c r="E494" s="6">
        <v>11</v>
      </c>
      <c r="F494" s="6">
        <v>64</v>
      </c>
      <c r="G494" s="6">
        <v>75</v>
      </c>
    </row>
    <row r="495" spans="1:7" x14ac:dyDescent="0.3">
      <c r="A495" s="7">
        <v>494</v>
      </c>
      <c r="B495" s="7">
        <v>0.1515</v>
      </c>
      <c r="C495" s="7">
        <v>0.28000000000000003</v>
      </c>
      <c r="D495" s="7">
        <v>0</v>
      </c>
      <c r="E495" s="7">
        <v>10</v>
      </c>
      <c r="F495" s="7">
        <v>93</v>
      </c>
      <c r="G495" s="7">
        <v>103</v>
      </c>
    </row>
    <row r="496" spans="1:7" x14ac:dyDescent="0.3">
      <c r="A496" s="6">
        <v>495</v>
      </c>
      <c r="B496" s="6">
        <v>0.13639999999999999</v>
      </c>
      <c r="C496" s="6">
        <v>0.28000000000000003</v>
      </c>
      <c r="D496" s="6">
        <v>0.19400000000000001</v>
      </c>
      <c r="E496" s="6">
        <v>11</v>
      </c>
      <c r="F496" s="6">
        <v>72</v>
      </c>
      <c r="G496" s="6">
        <v>83</v>
      </c>
    </row>
    <row r="497" spans="1:7" x14ac:dyDescent="0.3">
      <c r="A497" s="7">
        <v>496</v>
      </c>
      <c r="B497" s="7">
        <v>0.19700000000000001</v>
      </c>
      <c r="C497" s="7">
        <v>0.28000000000000003</v>
      </c>
      <c r="D497" s="7">
        <v>0</v>
      </c>
      <c r="E497" s="7">
        <v>8</v>
      </c>
      <c r="F497" s="7">
        <v>59</v>
      </c>
      <c r="G497" s="7">
        <v>67</v>
      </c>
    </row>
    <row r="498" spans="1:7" x14ac:dyDescent="0.3">
      <c r="A498" s="6">
        <v>497</v>
      </c>
      <c r="B498" s="6">
        <v>9.0899999999999995E-2</v>
      </c>
      <c r="C498" s="6">
        <v>0.35</v>
      </c>
      <c r="D498" s="6">
        <v>0.19400000000000001</v>
      </c>
      <c r="E498" s="6">
        <v>0</v>
      </c>
      <c r="F498" s="6">
        <v>54</v>
      </c>
      <c r="G498" s="6">
        <v>54</v>
      </c>
    </row>
    <row r="499" spans="1:7" x14ac:dyDescent="0.3">
      <c r="A499" s="7">
        <v>498</v>
      </c>
      <c r="B499" s="7">
        <v>0.1061</v>
      </c>
      <c r="C499" s="7">
        <v>0.35</v>
      </c>
      <c r="D499" s="7">
        <v>0.1343</v>
      </c>
      <c r="E499" s="7">
        <v>6</v>
      </c>
      <c r="F499" s="7">
        <v>53</v>
      </c>
      <c r="G499" s="7">
        <v>59</v>
      </c>
    </row>
    <row r="500" spans="1:7" x14ac:dyDescent="0.3">
      <c r="A500" s="6">
        <v>499</v>
      </c>
      <c r="B500" s="6">
        <v>7.5800000000000006E-2</v>
      </c>
      <c r="C500" s="6">
        <v>0.45</v>
      </c>
      <c r="D500" s="6">
        <v>0.16420000000000001</v>
      </c>
      <c r="E500" s="6">
        <v>1</v>
      </c>
      <c r="F500" s="6">
        <v>44</v>
      </c>
      <c r="G500" s="6">
        <v>45</v>
      </c>
    </row>
    <row r="501" spans="1:7" x14ac:dyDescent="0.3">
      <c r="A501" s="7">
        <v>500</v>
      </c>
      <c r="B501" s="7">
        <v>0.1061</v>
      </c>
      <c r="C501" s="7">
        <v>0.41</v>
      </c>
      <c r="D501" s="7">
        <v>8.9599999999999999E-2</v>
      </c>
      <c r="E501" s="7">
        <v>0</v>
      </c>
      <c r="F501" s="7">
        <v>39</v>
      </c>
      <c r="G501" s="7">
        <v>39</v>
      </c>
    </row>
    <row r="502" spans="1:7" x14ac:dyDescent="0.3">
      <c r="A502" s="6">
        <v>501</v>
      </c>
      <c r="B502" s="6">
        <v>0.1515</v>
      </c>
      <c r="C502" s="6">
        <v>0.49</v>
      </c>
      <c r="D502" s="6">
        <v>0</v>
      </c>
      <c r="E502" s="6">
        <v>7</v>
      </c>
      <c r="F502" s="6">
        <v>23</v>
      </c>
      <c r="G502" s="6">
        <v>30</v>
      </c>
    </row>
    <row r="503" spans="1:7" x14ac:dyDescent="0.3">
      <c r="A503" s="7">
        <v>502</v>
      </c>
      <c r="B503" s="7">
        <v>7.5800000000000006E-2</v>
      </c>
      <c r="C503" s="7">
        <v>0.56999999999999995</v>
      </c>
      <c r="D503" s="7">
        <v>0.1045</v>
      </c>
      <c r="E503" s="7">
        <v>2</v>
      </c>
      <c r="F503" s="7">
        <v>31</v>
      </c>
      <c r="G503" s="7">
        <v>33</v>
      </c>
    </row>
    <row r="504" spans="1:7" x14ac:dyDescent="0.3">
      <c r="A504" s="6">
        <v>503</v>
      </c>
      <c r="B504" s="6">
        <v>7.5800000000000006E-2</v>
      </c>
      <c r="C504" s="6">
        <v>0.56999999999999995</v>
      </c>
      <c r="D504" s="6">
        <v>0.1045</v>
      </c>
      <c r="E504" s="6">
        <v>2</v>
      </c>
      <c r="F504" s="6">
        <v>20</v>
      </c>
      <c r="G504" s="6">
        <v>22</v>
      </c>
    </row>
    <row r="505" spans="1:7" x14ac:dyDescent="0.3">
      <c r="A505" s="7">
        <v>504</v>
      </c>
      <c r="B505" s="7">
        <v>7.5800000000000006E-2</v>
      </c>
      <c r="C505" s="7">
        <v>0.56999999999999995</v>
      </c>
      <c r="D505" s="7">
        <v>0.1045</v>
      </c>
      <c r="E505" s="7">
        <v>1</v>
      </c>
      <c r="F505" s="7">
        <v>12</v>
      </c>
      <c r="G505" s="7">
        <v>13</v>
      </c>
    </row>
    <row r="506" spans="1:7" x14ac:dyDescent="0.3">
      <c r="A506" s="6">
        <v>505</v>
      </c>
      <c r="B506" s="6">
        <v>6.0600000000000001E-2</v>
      </c>
      <c r="C506" s="6">
        <v>0.62</v>
      </c>
      <c r="D506" s="6">
        <v>0.1343</v>
      </c>
      <c r="E506" s="6">
        <v>3</v>
      </c>
      <c r="F506" s="6">
        <v>15</v>
      </c>
      <c r="G506" s="6">
        <v>18</v>
      </c>
    </row>
    <row r="507" spans="1:7" x14ac:dyDescent="0.3">
      <c r="A507" s="7">
        <v>506</v>
      </c>
      <c r="B507" s="7">
        <v>6.0600000000000001E-2</v>
      </c>
      <c r="C507" s="7">
        <v>0.62</v>
      </c>
      <c r="D507" s="7">
        <v>0.1343</v>
      </c>
      <c r="E507" s="7">
        <v>1</v>
      </c>
      <c r="F507" s="7">
        <v>4</v>
      </c>
      <c r="G507" s="7">
        <v>5</v>
      </c>
    </row>
    <row r="508" spans="1:7" x14ac:dyDescent="0.3">
      <c r="A508" s="6">
        <v>507</v>
      </c>
      <c r="B508" s="6">
        <v>7.5800000000000006E-2</v>
      </c>
      <c r="C508" s="6">
        <v>0.56999999999999995</v>
      </c>
      <c r="D508" s="6">
        <v>0.1045</v>
      </c>
      <c r="E508" s="6">
        <v>0</v>
      </c>
      <c r="F508" s="6">
        <v>3</v>
      </c>
      <c r="G508" s="6">
        <v>3</v>
      </c>
    </row>
    <row r="509" spans="1:7" x14ac:dyDescent="0.3">
      <c r="A509" s="7">
        <v>508</v>
      </c>
      <c r="B509" s="7">
        <v>7.5800000000000006E-2</v>
      </c>
      <c r="C509" s="7">
        <v>0.56999999999999995</v>
      </c>
      <c r="D509" s="7">
        <v>0.1045</v>
      </c>
      <c r="E509" s="7">
        <v>0</v>
      </c>
      <c r="F509" s="7">
        <v>1</v>
      </c>
      <c r="G509" s="7">
        <v>1</v>
      </c>
    </row>
    <row r="510" spans="1:7" x14ac:dyDescent="0.3">
      <c r="A510" s="6">
        <v>509</v>
      </c>
      <c r="B510" s="6">
        <v>0.1061</v>
      </c>
      <c r="C510" s="6">
        <v>0.57999999999999996</v>
      </c>
      <c r="D510" s="6">
        <v>0.16420000000000001</v>
      </c>
      <c r="E510" s="6">
        <v>1</v>
      </c>
      <c r="F510" s="6">
        <v>1</v>
      </c>
      <c r="G510" s="6">
        <v>2</v>
      </c>
    </row>
    <row r="511" spans="1:7" x14ac:dyDescent="0.3">
      <c r="A511" s="7">
        <v>510</v>
      </c>
      <c r="B511" s="7">
        <v>7.5800000000000006E-2</v>
      </c>
      <c r="C511" s="7">
        <v>0.62</v>
      </c>
      <c r="D511" s="7">
        <v>0.16420000000000001</v>
      </c>
      <c r="E511" s="7">
        <v>2</v>
      </c>
      <c r="F511" s="7">
        <v>17</v>
      </c>
      <c r="G511" s="7">
        <v>19</v>
      </c>
    </row>
    <row r="512" spans="1:7" x14ac:dyDescent="0.3">
      <c r="A512" s="6">
        <v>511</v>
      </c>
      <c r="B512" s="6">
        <v>7.5800000000000006E-2</v>
      </c>
      <c r="C512" s="6">
        <v>0.54</v>
      </c>
      <c r="D512" s="6">
        <v>0.35820000000000002</v>
      </c>
      <c r="E512" s="6">
        <v>3</v>
      </c>
      <c r="F512" s="6">
        <v>25</v>
      </c>
      <c r="G512" s="6">
        <v>28</v>
      </c>
    </row>
    <row r="513" spans="1:7" x14ac:dyDescent="0.3">
      <c r="A513" s="7">
        <v>512</v>
      </c>
      <c r="B513" s="7">
        <v>0.1061</v>
      </c>
      <c r="C513" s="7">
        <v>0.46</v>
      </c>
      <c r="D513" s="7">
        <v>0.3881</v>
      </c>
      <c r="E513" s="7">
        <v>7</v>
      </c>
      <c r="F513" s="7">
        <v>51</v>
      </c>
      <c r="G513" s="7">
        <v>58</v>
      </c>
    </row>
    <row r="514" spans="1:7" x14ac:dyDescent="0.3">
      <c r="A514" s="6">
        <v>513</v>
      </c>
      <c r="B514" s="6">
        <v>0.13639999999999999</v>
      </c>
      <c r="C514" s="6">
        <v>0.43</v>
      </c>
      <c r="D514" s="6">
        <v>0.22389999999999999</v>
      </c>
      <c r="E514" s="6">
        <v>22</v>
      </c>
      <c r="F514" s="6">
        <v>77</v>
      </c>
      <c r="G514" s="6">
        <v>99</v>
      </c>
    </row>
    <row r="515" spans="1:7" x14ac:dyDescent="0.3">
      <c r="A515" s="7">
        <v>514</v>
      </c>
      <c r="B515" s="7">
        <v>0.1212</v>
      </c>
      <c r="C515" s="7">
        <v>0.37</v>
      </c>
      <c r="D515" s="7">
        <v>0.4627</v>
      </c>
      <c r="E515" s="7">
        <v>24</v>
      </c>
      <c r="F515" s="7">
        <v>92</v>
      </c>
      <c r="G515" s="7">
        <v>116</v>
      </c>
    </row>
    <row r="516" spans="1:7" x14ac:dyDescent="0.3">
      <c r="A516" s="6">
        <v>515</v>
      </c>
      <c r="B516" s="6">
        <v>0.1061</v>
      </c>
      <c r="C516" s="6">
        <v>0.33</v>
      </c>
      <c r="D516" s="6">
        <v>0.3881</v>
      </c>
      <c r="E516" s="6">
        <v>12</v>
      </c>
      <c r="F516" s="6">
        <v>75</v>
      </c>
      <c r="G516" s="6">
        <v>87</v>
      </c>
    </row>
    <row r="517" spans="1:7" x14ac:dyDescent="0.3">
      <c r="A517" s="7">
        <v>516</v>
      </c>
      <c r="B517" s="7">
        <v>0.13639999999999999</v>
      </c>
      <c r="C517" s="7">
        <v>0.28000000000000003</v>
      </c>
      <c r="D517" s="7">
        <v>0.35820000000000002</v>
      </c>
      <c r="E517" s="7">
        <v>17</v>
      </c>
      <c r="F517" s="7">
        <v>93</v>
      </c>
      <c r="G517" s="7">
        <v>110</v>
      </c>
    </row>
    <row r="518" spans="1:7" x14ac:dyDescent="0.3">
      <c r="A518" s="6">
        <v>517</v>
      </c>
      <c r="B518" s="6">
        <v>0.13639999999999999</v>
      </c>
      <c r="C518" s="6">
        <v>0.28000000000000003</v>
      </c>
      <c r="D518" s="6">
        <v>0.35820000000000002</v>
      </c>
      <c r="E518" s="6">
        <v>13</v>
      </c>
      <c r="F518" s="6">
        <v>64</v>
      </c>
      <c r="G518" s="6">
        <v>77</v>
      </c>
    </row>
    <row r="519" spans="1:7" x14ac:dyDescent="0.3">
      <c r="A519" s="7">
        <v>518</v>
      </c>
      <c r="B519" s="7">
        <v>0.13639999999999999</v>
      </c>
      <c r="C519" s="7">
        <v>0.26</v>
      </c>
      <c r="D519" s="7">
        <v>0.32840000000000003</v>
      </c>
      <c r="E519" s="7">
        <v>9</v>
      </c>
      <c r="F519" s="7">
        <v>56</v>
      </c>
      <c r="G519" s="7">
        <v>65</v>
      </c>
    </row>
    <row r="520" spans="1:7" x14ac:dyDescent="0.3">
      <c r="A520" s="6">
        <v>519</v>
      </c>
      <c r="B520" s="6">
        <v>0.1061</v>
      </c>
      <c r="C520" s="6">
        <v>0.26</v>
      </c>
      <c r="D520" s="6">
        <v>0.3881</v>
      </c>
      <c r="E520" s="6">
        <v>5</v>
      </c>
      <c r="F520" s="6">
        <v>50</v>
      </c>
      <c r="G520" s="6">
        <v>55</v>
      </c>
    </row>
    <row r="521" spans="1:7" x14ac:dyDescent="0.3">
      <c r="A521" s="7">
        <v>520</v>
      </c>
      <c r="B521" s="7">
        <v>0.1212</v>
      </c>
      <c r="C521" s="7">
        <v>0.3</v>
      </c>
      <c r="D521" s="7">
        <v>0.25369999999999998</v>
      </c>
      <c r="E521" s="7">
        <v>5</v>
      </c>
      <c r="F521" s="7">
        <v>44</v>
      </c>
      <c r="G521" s="7">
        <v>49</v>
      </c>
    </row>
    <row r="522" spans="1:7" x14ac:dyDescent="0.3">
      <c r="A522" s="6">
        <v>521</v>
      </c>
      <c r="B522" s="6">
        <v>0.1212</v>
      </c>
      <c r="C522" s="6">
        <v>0.3</v>
      </c>
      <c r="D522" s="6">
        <v>0.28360000000000002</v>
      </c>
      <c r="E522" s="6">
        <v>5</v>
      </c>
      <c r="F522" s="6">
        <v>45</v>
      </c>
      <c r="G522" s="6">
        <v>50</v>
      </c>
    </row>
    <row r="523" spans="1:7" x14ac:dyDescent="0.3">
      <c r="A523" s="7">
        <v>522</v>
      </c>
      <c r="B523" s="7">
        <v>0.1061</v>
      </c>
      <c r="C523" s="7">
        <v>0.36</v>
      </c>
      <c r="D523" s="7">
        <v>0.25369999999999998</v>
      </c>
      <c r="E523" s="7">
        <v>4</v>
      </c>
      <c r="F523" s="7">
        <v>31</v>
      </c>
      <c r="G523" s="7">
        <v>35</v>
      </c>
    </row>
    <row r="524" spans="1:7" x14ac:dyDescent="0.3">
      <c r="A524" s="6">
        <v>523</v>
      </c>
      <c r="B524" s="6">
        <v>0.1061</v>
      </c>
      <c r="C524" s="6">
        <v>0.36</v>
      </c>
      <c r="D524" s="6">
        <v>0.19400000000000001</v>
      </c>
      <c r="E524" s="6">
        <v>5</v>
      </c>
      <c r="F524" s="6">
        <v>20</v>
      </c>
      <c r="G524" s="6">
        <v>25</v>
      </c>
    </row>
    <row r="525" spans="1:7" x14ac:dyDescent="0.3">
      <c r="A525" s="7">
        <v>524</v>
      </c>
      <c r="B525" s="7">
        <v>9.0899999999999995E-2</v>
      </c>
      <c r="C525" s="7">
        <v>0.38</v>
      </c>
      <c r="D525" s="7">
        <v>0.19400000000000001</v>
      </c>
      <c r="E525" s="7">
        <v>5</v>
      </c>
      <c r="F525" s="7">
        <v>23</v>
      </c>
      <c r="G525" s="7">
        <v>28</v>
      </c>
    </row>
    <row r="526" spans="1:7" x14ac:dyDescent="0.3">
      <c r="A526" s="6">
        <v>525</v>
      </c>
      <c r="B526" s="6">
        <v>6.0600000000000001E-2</v>
      </c>
      <c r="C526" s="6">
        <v>0.41</v>
      </c>
      <c r="D526" s="6">
        <v>0.22389999999999999</v>
      </c>
      <c r="E526" s="6">
        <v>4</v>
      </c>
      <c r="F526" s="6">
        <v>17</v>
      </c>
      <c r="G526" s="6">
        <v>21</v>
      </c>
    </row>
    <row r="527" spans="1:7" x14ac:dyDescent="0.3">
      <c r="A527" s="7">
        <v>526</v>
      </c>
      <c r="B527" s="7">
        <v>6.0600000000000001E-2</v>
      </c>
      <c r="C527" s="7">
        <v>0.41</v>
      </c>
      <c r="D527" s="7">
        <v>0.19400000000000001</v>
      </c>
      <c r="E527" s="7">
        <v>0</v>
      </c>
      <c r="F527" s="7">
        <v>7</v>
      </c>
      <c r="G527" s="7">
        <v>7</v>
      </c>
    </row>
    <row r="528" spans="1:7" x14ac:dyDescent="0.3">
      <c r="A528" s="6">
        <v>527</v>
      </c>
      <c r="B528" s="6">
        <v>4.5499999999999999E-2</v>
      </c>
      <c r="C528" s="6">
        <v>0.45</v>
      </c>
      <c r="D528" s="6">
        <v>0.19400000000000001</v>
      </c>
      <c r="E528" s="6">
        <v>0</v>
      </c>
      <c r="F528" s="6">
        <v>1</v>
      </c>
      <c r="G528" s="6">
        <v>1</v>
      </c>
    </row>
    <row r="529" spans="1:7" x14ac:dyDescent="0.3">
      <c r="A529" s="7">
        <v>528</v>
      </c>
      <c r="B529" s="7">
        <v>3.0300000000000001E-2</v>
      </c>
      <c r="C529" s="7">
        <v>0.45</v>
      </c>
      <c r="D529" s="7">
        <v>0.25369999999999998</v>
      </c>
      <c r="E529" s="7">
        <v>0</v>
      </c>
      <c r="F529" s="7">
        <v>1</v>
      </c>
      <c r="G529" s="7">
        <v>1</v>
      </c>
    </row>
    <row r="530" spans="1:7" x14ac:dyDescent="0.3">
      <c r="A530" s="6">
        <v>529</v>
      </c>
      <c r="B530" s="6">
        <v>6.0600000000000001E-2</v>
      </c>
      <c r="C530" s="6">
        <v>0.48</v>
      </c>
      <c r="D530" s="6">
        <v>0.1343</v>
      </c>
      <c r="E530" s="6">
        <v>0</v>
      </c>
      <c r="F530" s="6">
        <v>1</v>
      </c>
      <c r="G530" s="6">
        <v>1</v>
      </c>
    </row>
    <row r="531" spans="1:7" x14ac:dyDescent="0.3">
      <c r="A531" s="7">
        <v>530</v>
      </c>
      <c r="B531" s="7">
        <v>6.0600000000000001E-2</v>
      </c>
      <c r="C531" s="7">
        <v>0.48</v>
      </c>
      <c r="D531" s="7">
        <v>0.1343</v>
      </c>
      <c r="E531" s="7">
        <v>0</v>
      </c>
      <c r="F531" s="7">
        <v>5</v>
      </c>
      <c r="G531" s="7">
        <v>5</v>
      </c>
    </row>
    <row r="532" spans="1:7" x14ac:dyDescent="0.3">
      <c r="A532" s="6">
        <v>531</v>
      </c>
      <c r="B532" s="6">
        <v>7.5800000000000006E-2</v>
      </c>
      <c r="C532" s="6">
        <v>0.48</v>
      </c>
      <c r="D532" s="6">
        <v>8.9599999999999999E-2</v>
      </c>
      <c r="E532" s="6">
        <v>0</v>
      </c>
      <c r="F532" s="6">
        <v>15</v>
      </c>
      <c r="G532" s="6">
        <v>15</v>
      </c>
    </row>
    <row r="533" spans="1:7" x14ac:dyDescent="0.3">
      <c r="A533" s="7">
        <v>532</v>
      </c>
      <c r="B533" s="7">
        <v>0.1212</v>
      </c>
      <c r="C533" s="7">
        <v>0.48</v>
      </c>
      <c r="D533" s="7">
        <v>0</v>
      </c>
      <c r="E533" s="7">
        <v>5</v>
      </c>
      <c r="F533" s="7">
        <v>79</v>
      </c>
      <c r="G533" s="7">
        <v>84</v>
      </c>
    </row>
    <row r="534" spans="1:7" x14ac:dyDescent="0.3">
      <c r="A534" s="6">
        <v>533</v>
      </c>
      <c r="B534" s="6">
        <v>0.13639999999999999</v>
      </c>
      <c r="C534" s="6">
        <v>0.49</v>
      </c>
      <c r="D534" s="6">
        <v>0</v>
      </c>
      <c r="E534" s="6">
        <v>6</v>
      </c>
      <c r="F534" s="6">
        <v>171</v>
      </c>
      <c r="G534" s="6">
        <v>177</v>
      </c>
    </row>
    <row r="535" spans="1:7" x14ac:dyDescent="0.3">
      <c r="A535" s="7">
        <v>534</v>
      </c>
      <c r="B535" s="7">
        <v>0.1515</v>
      </c>
      <c r="C535" s="7">
        <v>0.41</v>
      </c>
      <c r="D535" s="7">
        <v>0</v>
      </c>
      <c r="E535" s="7">
        <v>4</v>
      </c>
      <c r="F535" s="7">
        <v>98</v>
      </c>
      <c r="G535" s="7">
        <v>102</v>
      </c>
    </row>
    <row r="536" spans="1:7" x14ac:dyDescent="0.3">
      <c r="A536" s="6">
        <v>535</v>
      </c>
      <c r="B536" s="6">
        <v>0.13639999999999999</v>
      </c>
      <c r="C536" s="6">
        <v>0.42</v>
      </c>
      <c r="D536" s="6">
        <v>0</v>
      </c>
      <c r="E536" s="6">
        <v>6</v>
      </c>
      <c r="F536" s="6">
        <v>34</v>
      </c>
      <c r="G536" s="6">
        <v>40</v>
      </c>
    </row>
    <row r="537" spans="1:7" x14ac:dyDescent="0.3">
      <c r="A537" s="7">
        <v>536</v>
      </c>
      <c r="B537" s="7">
        <v>0.1212</v>
      </c>
      <c r="C537" s="7">
        <v>0.46</v>
      </c>
      <c r="D537" s="7">
        <v>0.1343</v>
      </c>
      <c r="E537" s="7">
        <v>3</v>
      </c>
      <c r="F537" s="7">
        <v>43</v>
      </c>
      <c r="G537" s="7">
        <v>46</v>
      </c>
    </row>
    <row r="538" spans="1:7" x14ac:dyDescent="0.3">
      <c r="A538" s="6">
        <v>537</v>
      </c>
      <c r="B538" s="6">
        <v>0.13639999999999999</v>
      </c>
      <c r="C538" s="6">
        <v>0.42</v>
      </c>
      <c r="D538" s="6">
        <v>0.19400000000000001</v>
      </c>
      <c r="E538" s="6">
        <v>11</v>
      </c>
      <c r="F538" s="6">
        <v>52</v>
      </c>
      <c r="G538" s="6">
        <v>63</v>
      </c>
    </row>
    <row r="539" spans="1:7" x14ac:dyDescent="0.3">
      <c r="A539" s="7">
        <v>538</v>
      </c>
      <c r="B539" s="7">
        <v>0.13639999999999999</v>
      </c>
      <c r="C539" s="7">
        <v>0.43</v>
      </c>
      <c r="D539" s="7">
        <v>0.22389999999999999</v>
      </c>
      <c r="E539" s="7">
        <v>6</v>
      </c>
      <c r="F539" s="7">
        <v>54</v>
      </c>
      <c r="G539" s="7">
        <v>60</v>
      </c>
    </row>
    <row r="540" spans="1:7" x14ac:dyDescent="0.3">
      <c r="A540" s="6">
        <v>539</v>
      </c>
      <c r="B540" s="6">
        <v>0.13639999999999999</v>
      </c>
      <c r="C540" s="6">
        <v>0.46</v>
      </c>
      <c r="D540" s="6">
        <v>0.22389999999999999</v>
      </c>
      <c r="E540" s="6">
        <v>2</v>
      </c>
      <c r="F540" s="6">
        <v>43</v>
      </c>
      <c r="G540" s="6">
        <v>45</v>
      </c>
    </row>
    <row r="541" spans="1:7" x14ac:dyDescent="0.3">
      <c r="A541" s="7">
        <v>540</v>
      </c>
      <c r="B541" s="7">
        <v>0.16669999999999999</v>
      </c>
      <c r="C541" s="7">
        <v>0.4</v>
      </c>
      <c r="D541" s="7">
        <v>0.16420000000000001</v>
      </c>
      <c r="E541" s="7">
        <v>7</v>
      </c>
      <c r="F541" s="7">
        <v>50</v>
      </c>
      <c r="G541" s="7">
        <v>57</v>
      </c>
    </row>
    <row r="542" spans="1:7" x14ac:dyDescent="0.3">
      <c r="A542" s="6">
        <v>541</v>
      </c>
      <c r="B542" s="6">
        <v>0.1515</v>
      </c>
      <c r="C542" s="6">
        <v>0.47</v>
      </c>
      <c r="D542" s="6">
        <v>0.25369999999999998</v>
      </c>
      <c r="E542" s="6">
        <v>4</v>
      </c>
      <c r="F542" s="6">
        <v>66</v>
      </c>
      <c r="G542" s="6">
        <v>70</v>
      </c>
    </row>
    <row r="543" spans="1:7" x14ac:dyDescent="0.3">
      <c r="A543" s="7">
        <v>542</v>
      </c>
      <c r="B543" s="7">
        <v>0.1212</v>
      </c>
      <c r="C543" s="7">
        <v>0.5</v>
      </c>
      <c r="D543" s="7">
        <v>0.25369999999999998</v>
      </c>
      <c r="E543" s="7">
        <v>6</v>
      </c>
      <c r="F543" s="7">
        <v>178</v>
      </c>
      <c r="G543" s="7">
        <v>184</v>
      </c>
    </row>
    <row r="544" spans="1:7" x14ac:dyDescent="0.3">
      <c r="A544" s="6">
        <v>543</v>
      </c>
      <c r="B544" s="6">
        <v>0.13639999999999999</v>
      </c>
      <c r="C544" s="6">
        <v>0.59</v>
      </c>
      <c r="D544" s="6">
        <v>0.19400000000000001</v>
      </c>
      <c r="E544" s="6">
        <v>8</v>
      </c>
      <c r="F544" s="6">
        <v>145</v>
      </c>
      <c r="G544" s="6">
        <v>153</v>
      </c>
    </row>
    <row r="545" spans="1:7" x14ac:dyDescent="0.3">
      <c r="A545" s="7">
        <v>544</v>
      </c>
      <c r="B545" s="7">
        <v>0.1515</v>
      </c>
      <c r="C545" s="7">
        <v>0.54</v>
      </c>
      <c r="D545" s="7">
        <v>0.16420000000000001</v>
      </c>
      <c r="E545" s="7">
        <v>5</v>
      </c>
      <c r="F545" s="7">
        <v>101</v>
      </c>
      <c r="G545" s="7">
        <v>106</v>
      </c>
    </row>
    <row r="546" spans="1:7" x14ac:dyDescent="0.3">
      <c r="A546" s="6">
        <v>545</v>
      </c>
      <c r="B546" s="6">
        <v>0.13639999999999999</v>
      </c>
      <c r="C546" s="6">
        <v>0.59</v>
      </c>
      <c r="D546" s="6">
        <v>0.19400000000000001</v>
      </c>
      <c r="E546" s="6">
        <v>1</v>
      </c>
      <c r="F546" s="6">
        <v>80</v>
      </c>
      <c r="G546" s="6">
        <v>81</v>
      </c>
    </row>
    <row r="547" spans="1:7" x14ac:dyDescent="0.3">
      <c r="A547" s="7">
        <v>546</v>
      </c>
      <c r="B547" s="7">
        <v>0.1515</v>
      </c>
      <c r="C547" s="7">
        <v>0.63</v>
      </c>
      <c r="D547" s="7">
        <v>0.16420000000000001</v>
      </c>
      <c r="E547" s="7">
        <v>6</v>
      </c>
      <c r="F547" s="7">
        <v>53</v>
      </c>
      <c r="G547" s="7">
        <v>59</v>
      </c>
    </row>
    <row r="548" spans="1:7" x14ac:dyDescent="0.3">
      <c r="A548" s="6">
        <v>547</v>
      </c>
      <c r="B548" s="6">
        <v>0.13639999999999999</v>
      </c>
      <c r="C548" s="6">
        <v>0.63</v>
      </c>
      <c r="D548" s="6">
        <v>0.22389999999999999</v>
      </c>
      <c r="E548" s="6">
        <v>3</v>
      </c>
      <c r="F548" s="6">
        <v>32</v>
      </c>
      <c r="G548" s="6">
        <v>35</v>
      </c>
    </row>
    <row r="549" spans="1:7" x14ac:dyDescent="0.3">
      <c r="A549" s="7">
        <v>548</v>
      </c>
      <c r="B549" s="7">
        <v>0.1515</v>
      </c>
      <c r="C549" s="7">
        <v>0.64</v>
      </c>
      <c r="D549" s="7">
        <v>0.25369999999999998</v>
      </c>
      <c r="E549" s="7">
        <v>3</v>
      </c>
      <c r="F549" s="7">
        <v>21</v>
      </c>
      <c r="G549" s="7">
        <v>24</v>
      </c>
    </row>
    <row r="550" spans="1:7" x14ac:dyDescent="0.3">
      <c r="A550" s="6">
        <v>549</v>
      </c>
      <c r="B550" s="6">
        <v>0.13639999999999999</v>
      </c>
      <c r="C550" s="6">
        <v>0.69</v>
      </c>
      <c r="D550" s="6">
        <v>0.28360000000000002</v>
      </c>
      <c r="E550" s="6">
        <v>3</v>
      </c>
      <c r="F550" s="6">
        <v>6</v>
      </c>
      <c r="G550" s="6">
        <v>9</v>
      </c>
    </row>
    <row r="551" spans="1:7" x14ac:dyDescent="0.3">
      <c r="A551" s="7">
        <v>550</v>
      </c>
      <c r="B551" s="7">
        <v>0.16669999999999999</v>
      </c>
      <c r="C551" s="7">
        <v>0.69</v>
      </c>
      <c r="D551" s="7">
        <v>0.16420000000000001</v>
      </c>
      <c r="E551" s="7">
        <v>0</v>
      </c>
      <c r="F551" s="7">
        <v>5</v>
      </c>
      <c r="G551" s="7">
        <v>5</v>
      </c>
    </row>
    <row r="552" spans="1:7" x14ac:dyDescent="0.3">
      <c r="A552" s="6">
        <v>551</v>
      </c>
      <c r="B552" s="6">
        <v>0.1515</v>
      </c>
      <c r="C552" s="6">
        <v>0.69</v>
      </c>
      <c r="D552" s="6">
        <v>0.22389999999999999</v>
      </c>
      <c r="E552" s="6">
        <v>0</v>
      </c>
      <c r="F552" s="6">
        <v>2</v>
      </c>
      <c r="G552" s="6">
        <v>2</v>
      </c>
    </row>
    <row r="553" spans="1:7" x14ac:dyDescent="0.3">
      <c r="A553" s="7">
        <v>552</v>
      </c>
      <c r="B553" s="7">
        <v>0.16669999999999999</v>
      </c>
      <c r="C553" s="7">
        <v>0.74</v>
      </c>
      <c r="D553" s="7">
        <v>0.1045</v>
      </c>
      <c r="E553" s="7">
        <v>0</v>
      </c>
      <c r="F553" s="7">
        <v>1</v>
      </c>
      <c r="G553" s="7">
        <v>1</v>
      </c>
    </row>
    <row r="554" spans="1:7" x14ac:dyDescent="0.3">
      <c r="A554" s="6">
        <v>553</v>
      </c>
      <c r="B554" s="6">
        <v>0.13639999999999999</v>
      </c>
      <c r="C554" s="6">
        <v>0.74</v>
      </c>
      <c r="D554" s="6">
        <v>0.22389999999999999</v>
      </c>
      <c r="E554" s="6">
        <v>0</v>
      </c>
      <c r="F554" s="6">
        <v>9</v>
      </c>
      <c r="G554" s="6">
        <v>9</v>
      </c>
    </row>
    <row r="555" spans="1:7" x14ac:dyDescent="0.3">
      <c r="A555" s="7">
        <v>554</v>
      </c>
      <c r="B555" s="7">
        <v>0.18179999999999999</v>
      </c>
      <c r="C555" s="7">
        <v>0.74</v>
      </c>
      <c r="D555" s="7">
        <v>0.1045</v>
      </c>
      <c r="E555" s="7">
        <v>1</v>
      </c>
      <c r="F555" s="7">
        <v>35</v>
      </c>
      <c r="G555" s="7">
        <v>36</v>
      </c>
    </row>
    <row r="556" spans="1:7" x14ac:dyDescent="0.3">
      <c r="A556" s="6">
        <v>555</v>
      </c>
      <c r="B556" s="6">
        <v>0.1515</v>
      </c>
      <c r="C556" s="6">
        <v>0.74</v>
      </c>
      <c r="D556" s="6">
        <v>0.22389999999999999</v>
      </c>
      <c r="E556" s="6">
        <v>5</v>
      </c>
      <c r="F556" s="6">
        <v>103</v>
      </c>
      <c r="G556" s="6">
        <v>108</v>
      </c>
    </row>
    <row r="557" spans="1:7" x14ac:dyDescent="0.3">
      <c r="A557" s="7">
        <v>556</v>
      </c>
      <c r="B557" s="7">
        <v>0.18179999999999999</v>
      </c>
      <c r="C557" s="7">
        <v>0.74</v>
      </c>
      <c r="D557" s="7">
        <v>0.1343</v>
      </c>
      <c r="E557" s="7">
        <v>5</v>
      </c>
      <c r="F557" s="7">
        <v>233</v>
      </c>
      <c r="G557" s="7">
        <v>238</v>
      </c>
    </row>
    <row r="558" spans="1:7" x14ac:dyDescent="0.3">
      <c r="A558" s="6">
        <v>557</v>
      </c>
      <c r="B558" s="6">
        <v>0.2273</v>
      </c>
      <c r="C558" s="6">
        <v>0.64</v>
      </c>
      <c r="D558" s="6">
        <v>8.9599999999999999E-2</v>
      </c>
      <c r="E558" s="6">
        <v>10</v>
      </c>
      <c r="F558" s="6">
        <v>134</v>
      </c>
      <c r="G558" s="6">
        <v>144</v>
      </c>
    </row>
    <row r="559" spans="1:7" x14ac:dyDescent="0.3">
      <c r="A559" s="7">
        <v>558</v>
      </c>
      <c r="B559" s="7">
        <v>0.2424</v>
      </c>
      <c r="C559" s="7">
        <v>0.6</v>
      </c>
      <c r="D559" s="7">
        <v>0.1045</v>
      </c>
      <c r="E559" s="7">
        <v>6</v>
      </c>
      <c r="F559" s="7">
        <v>49</v>
      </c>
      <c r="G559" s="7">
        <v>55</v>
      </c>
    </row>
    <row r="560" spans="1:7" x14ac:dyDescent="0.3">
      <c r="A560" s="6">
        <v>559</v>
      </c>
      <c r="B560" s="6">
        <v>0.2424</v>
      </c>
      <c r="C560" s="6">
        <v>0.6</v>
      </c>
      <c r="D560" s="6">
        <v>0.1343</v>
      </c>
      <c r="E560" s="6">
        <v>6</v>
      </c>
      <c r="F560" s="6">
        <v>55</v>
      </c>
      <c r="G560" s="6">
        <v>61</v>
      </c>
    </row>
    <row r="561" spans="1:7" x14ac:dyDescent="0.3">
      <c r="A561" s="7">
        <v>560</v>
      </c>
      <c r="B561" s="7">
        <v>0.28789999999999999</v>
      </c>
      <c r="C561" s="7">
        <v>0.56000000000000005</v>
      </c>
      <c r="D561" s="7">
        <v>8.9599999999999999E-2</v>
      </c>
      <c r="E561" s="7">
        <v>21</v>
      </c>
      <c r="F561" s="7">
        <v>85</v>
      </c>
      <c r="G561" s="7">
        <v>106</v>
      </c>
    </row>
    <row r="562" spans="1:7" x14ac:dyDescent="0.3">
      <c r="A562" s="6">
        <v>561</v>
      </c>
      <c r="B562" s="6">
        <v>0.2727</v>
      </c>
      <c r="C562" s="6">
        <v>0.56000000000000005</v>
      </c>
      <c r="D562" s="6">
        <v>0.1343</v>
      </c>
      <c r="E562" s="6">
        <v>21</v>
      </c>
      <c r="F562" s="6">
        <v>72</v>
      </c>
      <c r="G562" s="6">
        <v>93</v>
      </c>
    </row>
    <row r="563" spans="1:7" x14ac:dyDescent="0.3">
      <c r="A563" s="7">
        <v>562</v>
      </c>
      <c r="B563" s="7">
        <v>0.33329999999999999</v>
      </c>
      <c r="C563" s="7">
        <v>0.45</v>
      </c>
      <c r="D563" s="7">
        <v>0</v>
      </c>
      <c r="E563" s="7">
        <v>11</v>
      </c>
      <c r="F563" s="7">
        <v>57</v>
      </c>
      <c r="G563" s="7">
        <v>68</v>
      </c>
    </row>
    <row r="564" spans="1:7" x14ac:dyDescent="0.3">
      <c r="A564" s="6">
        <v>563</v>
      </c>
      <c r="B564" s="6">
        <v>0.34849999999999998</v>
      </c>
      <c r="C564" s="6">
        <v>0.42</v>
      </c>
      <c r="D564" s="6">
        <v>0</v>
      </c>
      <c r="E564" s="6">
        <v>21</v>
      </c>
      <c r="F564" s="6">
        <v>63</v>
      </c>
      <c r="G564" s="6">
        <v>84</v>
      </c>
    </row>
    <row r="565" spans="1:7" x14ac:dyDescent="0.3">
      <c r="A565" s="7">
        <v>564</v>
      </c>
      <c r="B565" s="7">
        <v>0.34849999999999998</v>
      </c>
      <c r="C565" s="7">
        <v>0.42</v>
      </c>
      <c r="D565" s="7">
        <v>0</v>
      </c>
      <c r="E565" s="7">
        <v>14</v>
      </c>
      <c r="F565" s="7">
        <v>102</v>
      </c>
      <c r="G565" s="7">
        <v>116</v>
      </c>
    </row>
    <row r="566" spans="1:7" x14ac:dyDescent="0.3">
      <c r="A566" s="6">
        <v>565</v>
      </c>
      <c r="B566" s="6">
        <v>0.33329999999999999</v>
      </c>
      <c r="C566" s="6">
        <v>0.45</v>
      </c>
      <c r="D566" s="6">
        <v>0</v>
      </c>
      <c r="E566" s="6">
        <v>14</v>
      </c>
      <c r="F566" s="6">
        <v>208</v>
      </c>
      <c r="G566" s="6">
        <v>222</v>
      </c>
    </row>
    <row r="567" spans="1:7" x14ac:dyDescent="0.3">
      <c r="A567" s="7">
        <v>566</v>
      </c>
      <c r="B567" s="7">
        <v>0.31819999999999998</v>
      </c>
      <c r="C567" s="7">
        <v>0.49</v>
      </c>
      <c r="D567" s="7">
        <v>8.9599999999999999E-2</v>
      </c>
      <c r="E567" s="7">
        <v>7</v>
      </c>
      <c r="F567" s="7">
        <v>218</v>
      </c>
      <c r="G567" s="7">
        <v>225</v>
      </c>
    </row>
    <row r="568" spans="1:7" x14ac:dyDescent="0.3">
      <c r="A568" s="6">
        <v>567</v>
      </c>
      <c r="B568" s="6">
        <v>0.2576</v>
      </c>
      <c r="C568" s="6">
        <v>0.65</v>
      </c>
      <c r="D568" s="6">
        <v>0.16420000000000001</v>
      </c>
      <c r="E568" s="6">
        <v>13</v>
      </c>
      <c r="F568" s="6">
        <v>133</v>
      </c>
      <c r="G568" s="6">
        <v>146</v>
      </c>
    </row>
    <row r="569" spans="1:7" x14ac:dyDescent="0.3">
      <c r="A569" s="7">
        <v>568</v>
      </c>
      <c r="B569" s="7">
        <v>0.2273</v>
      </c>
      <c r="C569" s="7">
        <v>0.65</v>
      </c>
      <c r="D569" s="7">
        <v>0.19400000000000001</v>
      </c>
      <c r="E569" s="7">
        <v>16</v>
      </c>
      <c r="F569" s="7">
        <v>103</v>
      </c>
      <c r="G569" s="7">
        <v>119</v>
      </c>
    </row>
    <row r="570" spans="1:7" x14ac:dyDescent="0.3">
      <c r="A570" s="6">
        <v>569</v>
      </c>
      <c r="B570" s="6">
        <v>0.2273</v>
      </c>
      <c r="C570" s="6">
        <v>0.65</v>
      </c>
      <c r="D570" s="6">
        <v>0.19400000000000001</v>
      </c>
      <c r="E570" s="6">
        <v>5</v>
      </c>
      <c r="F570" s="6">
        <v>40</v>
      </c>
      <c r="G570" s="6">
        <v>45</v>
      </c>
    </row>
    <row r="571" spans="1:7" x14ac:dyDescent="0.3">
      <c r="A571" s="7">
        <v>570</v>
      </c>
      <c r="B571" s="7">
        <v>0.2273</v>
      </c>
      <c r="C571" s="7">
        <v>0.64</v>
      </c>
      <c r="D571" s="7">
        <v>0.16420000000000001</v>
      </c>
      <c r="E571" s="7">
        <v>4</v>
      </c>
      <c r="F571" s="7">
        <v>49</v>
      </c>
      <c r="G571" s="7">
        <v>53</v>
      </c>
    </row>
    <row r="572" spans="1:7" x14ac:dyDescent="0.3">
      <c r="A572" s="6">
        <v>571</v>
      </c>
      <c r="B572" s="6">
        <v>0.2273</v>
      </c>
      <c r="C572" s="6">
        <v>0.64</v>
      </c>
      <c r="D572" s="6">
        <v>0.16420000000000001</v>
      </c>
      <c r="E572" s="6">
        <v>3</v>
      </c>
      <c r="F572" s="6">
        <v>37</v>
      </c>
      <c r="G572" s="6">
        <v>40</v>
      </c>
    </row>
    <row r="573" spans="1:7" x14ac:dyDescent="0.3">
      <c r="A573" s="7">
        <v>572</v>
      </c>
      <c r="B573" s="7">
        <v>0.2273</v>
      </c>
      <c r="C573" s="7">
        <v>0.69</v>
      </c>
      <c r="D573" s="7">
        <v>0.1343</v>
      </c>
      <c r="E573" s="7">
        <v>3</v>
      </c>
      <c r="F573" s="7">
        <v>14</v>
      </c>
      <c r="G573" s="7">
        <v>17</v>
      </c>
    </row>
    <row r="574" spans="1:7" x14ac:dyDescent="0.3">
      <c r="A574" s="6">
        <v>573</v>
      </c>
      <c r="B574" s="6">
        <v>0.2424</v>
      </c>
      <c r="C574" s="6">
        <v>0.65</v>
      </c>
      <c r="D574" s="6">
        <v>0.1343</v>
      </c>
      <c r="E574" s="6">
        <v>0</v>
      </c>
      <c r="F574" s="6">
        <v>5</v>
      </c>
      <c r="G574" s="6">
        <v>5</v>
      </c>
    </row>
    <row r="575" spans="1:7" x14ac:dyDescent="0.3">
      <c r="A575" s="7">
        <v>574</v>
      </c>
      <c r="B575" s="7">
        <v>0.2273</v>
      </c>
      <c r="C575" s="7">
        <v>0.69</v>
      </c>
      <c r="D575" s="7">
        <v>0.19400000000000001</v>
      </c>
      <c r="E575" s="7">
        <v>3</v>
      </c>
      <c r="F575" s="7">
        <v>7</v>
      </c>
      <c r="G575" s="7">
        <v>10</v>
      </c>
    </row>
    <row r="576" spans="1:7" x14ac:dyDescent="0.3">
      <c r="A576" s="6">
        <v>575</v>
      </c>
      <c r="B576" s="6">
        <v>0.18179999999999999</v>
      </c>
      <c r="C576" s="6">
        <v>0.86</v>
      </c>
      <c r="D576" s="6">
        <v>0.28360000000000002</v>
      </c>
      <c r="E576" s="6">
        <v>0</v>
      </c>
      <c r="F576" s="6">
        <v>1</v>
      </c>
      <c r="G576" s="6">
        <v>1</v>
      </c>
    </row>
    <row r="577" spans="1:7" x14ac:dyDescent="0.3">
      <c r="A577" s="7">
        <v>576</v>
      </c>
      <c r="B577" s="7">
        <v>0.18179999999999999</v>
      </c>
      <c r="C577" s="7">
        <v>0.86</v>
      </c>
      <c r="D577" s="7">
        <v>0.28360000000000002</v>
      </c>
      <c r="E577" s="7">
        <v>0</v>
      </c>
      <c r="F577" s="7">
        <v>8</v>
      </c>
      <c r="G577" s="7">
        <v>8</v>
      </c>
    </row>
    <row r="578" spans="1:7" x14ac:dyDescent="0.3">
      <c r="A578" s="6">
        <v>577</v>
      </c>
      <c r="B578" s="6">
        <v>0.21210000000000001</v>
      </c>
      <c r="C578" s="6">
        <v>0.87</v>
      </c>
      <c r="D578" s="6">
        <v>0.29849999999999999</v>
      </c>
      <c r="E578" s="6">
        <v>1</v>
      </c>
      <c r="F578" s="6">
        <v>29</v>
      </c>
      <c r="G578" s="6">
        <v>30</v>
      </c>
    </row>
    <row r="579" spans="1:7" x14ac:dyDescent="0.3">
      <c r="A579" s="7">
        <v>578</v>
      </c>
      <c r="B579" s="7">
        <v>0.21210000000000001</v>
      </c>
      <c r="C579" s="7">
        <v>0.87</v>
      </c>
      <c r="D579" s="7">
        <v>0.29849999999999999</v>
      </c>
      <c r="E579" s="7">
        <v>3</v>
      </c>
      <c r="F579" s="7">
        <v>69</v>
      </c>
      <c r="G579" s="7">
        <v>72</v>
      </c>
    </row>
    <row r="580" spans="1:7" x14ac:dyDescent="0.3">
      <c r="A580" s="6">
        <v>579</v>
      </c>
      <c r="B580" s="6">
        <v>0.21210000000000001</v>
      </c>
      <c r="C580" s="6">
        <v>0.87</v>
      </c>
      <c r="D580" s="6">
        <v>0.29849999999999999</v>
      </c>
      <c r="E580" s="6">
        <v>3</v>
      </c>
      <c r="F580" s="6">
        <v>55</v>
      </c>
      <c r="G580" s="6">
        <v>58</v>
      </c>
    </row>
    <row r="581" spans="1:7" x14ac:dyDescent="0.3">
      <c r="A581" s="7">
        <v>580</v>
      </c>
      <c r="B581" s="7">
        <v>0.21210000000000001</v>
      </c>
      <c r="C581" s="7">
        <v>0.93</v>
      </c>
      <c r="D581" s="7">
        <v>0.28360000000000002</v>
      </c>
      <c r="E581" s="7">
        <v>2</v>
      </c>
      <c r="F581" s="7">
        <v>26</v>
      </c>
      <c r="G581" s="7">
        <v>28</v>
      </c>
    </row>
    <row r="582" spans="1:7" x14ac:dyDescent="0.3">
      <c r="A582" s="6">
        <v>581</v>
      </c>
      <c r="B582" s="6">
        <v>0.19700000000000001</v>
      </c>
      <c r="C582" s="6">
        <v>0.93</v>
      </c>
      <c r="D582" s="6">
        <v>0.32840000000000003</v>
      </c>
      <c r="E582" s="6">
        <v>6</v>
      </c>
      <c r="F582" s="6">
        <v>35</v>
      </c>
      <c r="G582" s="6">
        <v>41</v>
      </c>
    </row>
    <row r="583" spans="1:7" x14ac:dyDescent="0.3">
      <c r="A583" s="7">
        <v>582</v>
      </c>
      <c r="B583" s="7">
        <v>0.19700000000000001</v>
      </c>
      <c r="C583" s="7">
        <v>0.93</v>
      </c>
      <c r="D583" s="7">
        <v>0.32840000000000003</v>
      </c>
      <c r="E583" s="7">
        <v>7</v>
      </c>
      <c r="F583" s="7">
        <v>41</v>
      </c>
      <c r="G583" s="7">
        <v>48</v>
      </c>
    </row>
    <row r="584" spans="1:7" x14ac:dyDescent="0.3">
      <c r="A584" s="6">
        <v>583</v>
      </c>
      <c r="B584" s="6">
        <v>0.19700000000000001</v>
      </c>
      <c r="C584" s="6">
        <v>0.93</v>
      </c>
      <c r="D584" s="6">
        <v>0.32840000000000003</v>
      </c>
      <c r="E584" s="6">
        <v>4</v>
      </c>
      <c r="F584" s="6">
        <v>43</v>
      </c>
      <c r="G584" s="6">
        <v>47</v>
      </c>
    </row>
    <row r="585" spans="1:7" x14ac:dyDescent="0.3">
      <c r="A585" s="7">
        <v>584</v>
      </c>
      <c r="B585" s="7">
        <v>0.19700000000000001</v>
      </c>
      <c r="C585" s="7">
        <v>0.93</v>
      </c>
      <c r="D585" s="7">
        <v>0.35820000000000002</v>
      </c>
      <c r="E585" s="7">
        <v>0</v>
      </c>
      <c r="F585" s="7">
        <v>36</v>
      </c>
      <c r="G585" s="7">
        <v>36</v>
      </c>
    </row>
    <row r="586" spans="1:7" x14ac:dyDescent="0.3">
      <c r="A586" s="6">
        <v>585</v>
      </c>
      <c r="B586" s="6">
        <v>0.18179999999999999</v>
      </c>
      <c r="C586" s="6">
        <v>0.93</v>
      </c>
      <c r="D586" s="6">
        <v>0.4627</v>
      </c>
      <c r="E586" s="6">
        <v>1</v>
      </c>
      <c r="F586" s="6">
        <v>42</v>
      </c>
      <c r="G586" s="6">
        <v>43</v>
      </c>
    </row>
    <row r="587" spans="1:7" x14ac:dyDescent="0.3">
      <c r="A587" s="7">
        <v>586</v>
      </c>
      <c r="B587" s="7">
        <v>0.19700000000000001</v>
      </c>
      <c r="C587" s="7">
        <v>0.93</v>
      </c>
      <c r="D587" s="7">
        <v>0.32840000000000003</v>
      </c>
      <c r="E587" s="7">
        <v>1</v>
      </c>
      <c r="F587" s="7">
        <v>35</v>
      </c>
      <c r="G587" s="7">
        <v>36</v>
      </c>
    </row>
    <row r="588" spans="1:7" x14ac:dyDescent="0.3">
      <c r="A588" s="6">
        <v>587</v>
      </c>
      <c r="B588" s="6">
        <v>0.18179999999999999</v>
      </c>
      <c r="C588" s="6">
        <v>0.93</v>
      </c>
      <c r="D588" s="6">
        <v>0.35820000000000002</v>
      </c>
      <c r="E588" s="6">
        <v>0</v>
      </c>
      <c r="F588" s="6">
        <v>26</v>
      </c>
      <c r="G588" s="6">
        <v>26</v>
      </c>
    </row>
    <row r="589" spans="1:7" x14ac:dyDescent="0.3">
      <c r="A589" s="7">
        <v>588</v>
      </c>
      <c r="B589" s="7">
        <v>0.2273</v>
      </c>
      <c r="C589" s="7">
        <v>0.55000000000000004</v>
      </c>
      <c r="D589" s="7">
        <v>0.19400000000000001</v>
      </c>
      <c r="E589" s="7">
        <v>1</v>
      </c>
      <c r="F589" s="7">
        <v>23</v>
      </c>
      <c r="G589" s="7">
        <v>24</v>
      </c>
    </row>
    <row r="590" spans="1:7" x14ac:dyDescent="0.3">
      <c r="A590" s="6">
        <v>589</v>
      </c>
      <c r="B590" s="6">
        <v>0.2424</v>
      </c>
      <c r="C590" s="6">
        <v>0.55000000000000004</v>
      </c>
      <c r="D590" s="6">
        <v>0.1045</v>
      </c>
      <c r="E590" s="6">
        <v>2</v>
      </c>
      <c r="F590" s="6">
        <v>82</v>
      </c>
      <c r="G590" s="6">
        <v>84</v>
      </c>
    </row>
    <row r="591" spans="1:7" x14ac:dyDescent="0.3">
      <c r="A591" s="7">
        <v>590</v>
      </c>
      <c r="B591" s="7">
        <v>0.2273</v>
      </c>
      <c r="C591" s="7">
        <v>0.69</v>
      </c>
      <c r="D591" s="7">
        <v>8.9599999999999999E-2</v>
      </c>
      <c r="E591" s="7">
        <v>3</v>
      </c>
      <c r="F591" s="7">
        <v>101</v>
      </c>
      <c r="G591" s="7">
        <v>104</v>
      </c>
    </row>
    <row r="592" spans="1:7" x14ac:dyDescent="0.3">
      <c r="A592" s="6">
        <v>591</v>
      </c>
      <c r="B592" s="6">
        <v>0.2273</v>
      </c>
      <c r="C592" s="6">
        <v>0.69</v>
      </c>
      <c r="D592" s="6">
        <v>8.9599999999999999E-2</v>
      </c>
      <c r="E592" s="6">
        <v>3</v>
      </c>
      <c r="F592" s="6">
        <v>76</v>
      </c>
      <c r="G592" s="6">
        <v>79</v>
      </c>
    </row>
    <row r="593" spans="1:7" x14ac:dyDescent="0.3">
      <c r="A593" s="7">
        <v>592</v>
      </c>
      <c r="B593" s="7">
        <v>0.21210000000000001</v>
      </c>
      <c r="C593" s="7">
        <v>0.74</v>
      </c>
      <c r="D593" s="7">
        <v>8.9599999999999999E-2</v>
      </c>
      <c r="E593" s="7">
        <v>4</v>
      </c>
      <c r="F593" s="7">
        <v>55</v>
      </c>
      <c r="G593" s="7">
        <v>59</v>
      </c>
    </row>
    <row r="594" spans="1:7" x14ac:dyDescent="0.3">
      <c r="A594" s="6">
        <v>593</v>
      </c>
      <c r="B594" s="6">
        <v>0.21210000000000001</v>
      </c>
      <c r="C594" s="6">
        <v>0.74</v>
      </c>
      <c r="D594" s="6">
        <v>8.9599999999999999E-2</v>
      </c>
      <c r="E594" s="6">
        <v>2</v>
      </c>
      <c r="F594" s="6">
        <v>36</v>
      </c>
      <c r="G594" s="6">
        <v>38</v>
      </c>
    </row>
    <row r="595" spans="1:7" x14ac:dyDescent="0.3">
      <c r="A595" s="7">
        <v>594</v>
      </c>
      <c r="B595" s="7">
        <v>0.21210000000000001</v>
      </c>
      <c r="C595" s="7">
        <v>0.74</v>
      </c>
      <c r="D595" s="7">
        <v>8.9599999999999999E-2</v>
      </c>
      <c r="E595" s="7">
        <v>0</v>
      </c>
      <c r="F595" s="7">
        <v>27</v>
      </c>
      <c r="G595" s="7">
        <v>27</v>
      </c>
    </row>
    <row r="596" spans="1:7" x14ac:dyDescent="0.3">
      <c r="A596" s="6">
        <v>595</v>
      </c>
      <c r="B596" s="6">
        <v>0.19700000000000001</v>
      </c>
      <c r="C596" s="6">
        <v>0.8</v>
      </c>
      <c r="D596" s="6">
        <v>0.16420000000000001</v>
      </c>
      <c r="E596" s="6">
        <v>0</v>
      </c>
      <c r="F596" s="6">
        <v>16</v>
      </c>
      <c r="G596" s="6">
        <v>16</v>
      </c>
    </row>
    <row r="597" spans="1:7" x14ac:dyDescent="0.3">
      <c r="A597" s="7">
        <v>596</v>
      </c>
      <c r="B597" s="7">
        <v>0.21210000000000001</v>
      </c>
      <c r="C597" s="7">
        <v>0.75</v>
      </c>
      <c r="D597" s="7">
        <v>0.1343</v>
      </c>
      <c r="E597" s="7">
        <v>0</v>
      </c>
      <c r="F597" s="7">
        <v>9</v>
      </c>
      <c r="G597" s="7">
        <v>9</v>
      </c>
    </row>
    <row r="598" spans="1:7" x14ac:dyDescent="0.3">
      <c r="A598" s="6">
        <v>597</v>
      </c>
      <c r="B598" s="6">
        <v>0.21210000000000001</v>
      </c>
      <c r="C598" s="6">
        <v>0.75</v>
      </c>
      <c r="D598" s="6">
        <v>0.1343</v>
      </c>
      <c r="E598" s="6">
        <v>1</v>
      </c>
      <c r="F598" s="6">
        <v>2</v>
      </c>
      <c r="G598" s="6">
        <v>3</v>
      </c>
    </row>
    <row r="599" spans="1:7" x14ac:dyDescent="0.3">
      <c r="A599" s="7">
        <v>598</v>
      </c>
      <c r="B599" s="7">
        <v>0.21210000000000001</v>
      </c>
      <c r="C599" s="7">
        <v>0.75</v>
      </c>
      <c r="D599" s="7">
        <v>0.16420000000000001</v>
      </c>
      <c r="E599" s="7">
        <v>0</v>
      </c>
      <c r="F599" s="7">
        <v>2</v>
      </c>
      <c r="G599" s="7">
        <v>2</v>
      </c>
    </row>
    <row r="600" spans="1:7" x14ac:dyDescent="0.3">
      <c r="A600" s="6">
        <v>599</v>
      </c>
      <c r="B600" s="6">
        <v>0.2273</v>
      </c>
      <c r="C600" s="6">
        <v>0.75</v>
      </c>
      <c r="D600" s="6">
        <v>0.1045</v>
      </c>
      <c r="E600" s="6">
        <v>1</v>
      </c>
      <c r="F600" s="6">
        <v>0</v>
      </c>
      <c r="G600" s="6">
        <v>1</v>
      </c>
    </row>
    <row r="601" spans="1:7" x14ac:dyDescent="0.3">
      <c r="A601" s="7">
        <v>600</v>
      </c>
      <c r="B601" s="7">
        <v>0.21210000000000001</v>
      </c>
      <c r="C601" s="7">
        <v>0.8</v>
      </c>
      <c r="D601" s="7">
        <v>0.1045</v>
      </c>
      <c r="E601" s="7">
        <v>0</v>
      </c>
      <c r="F601" s="7">
        <v>4</v>
      </c>
      <c r="G601" s="7">
        <v>4</v>
      </c>
    </row>
    <row r="602" spans="1:7" x14ac:dyDescent="0.3">
      <c r="A602" s="6">
        <v>601</v>
      </c>
      <c r="B602" s="6">
        <v>0.19700000000000001</v>
      </c>
      <c r="C602" s="6">
        <v>0.8</v>
      </c>
      <c r="D602" s="6">
        <v>0.1343</v>
      </c>
      <c r="E602" s="6">
        <v>0</v>
      </c>
      <c r="F602" s="6">
        <v>16</v>
      </c>
      <c r="G602" s="6">
        <v>16</v>
      </c>
    </row>
    <row r="603" spans="1:7" x14ac:dyDescent="0.3">
      <c r="A603" s="7">
        <v>602</v>
      </c>
      <c r="B603" s="7">
        <v>0.19700000000000001</v>
      </c>
      <c r="C603" s="7">
        <v>0.86</v>
      </c>
      <c r="D603" s="7">
        <v>8.9599999999999999E-2</v>
      </c>
      <c r="E603" s="7">
        <v>2</v>
      </c>
      <c r="F603" s="7">
        <v>58</v>
      </c>
      <c r="G603" s="7">
        <v>60</v>
      </c>
    </row>
    <row r="604" spans="1:7" x14ac:dyDescent="0.3">
      <c r="A604" s="6">
        <v>603</v>
      </c>
      <c r="B604" s="6">
        <v>0.19700000000000001</v>
      </c>
      <c r="C604" s="6">
        <v>0.86</v>
      </c>
      <c r="D604" s="6">
        <v>8.9599999999999999E-2</v>
      </c>
      <c r="E604" s="6">
        <v>2</v>
      </c>
      <c r="F604" s="6">
        <v>155</v>
      </c>
      <c r="G604" s="6">
        <v>157</v>
      </c>
    </row>
    <row r="605" spans="1:7" x14ac:dyDescent="0.3">
      <c r="A605" s="7">
        <v>604</v>
      </c>
      <c r="B605" s="7">
        <v>0.21210000000000001</v>
      </c>
      <c r="C605" s="7">
        <v>0.86</v>
      </c>
      <c r="D605" s="7">
        <v>8.9599999999999999E-2</v>
      </c>
      <c r="E605" s="7">
        <v>6</v>
      </c>
      <c r="F605" s="7">
        <v>95</v>
      </c>
      <c r="G605" s="7">
        <v>101</v>
      </c>
    </row>
    <row r="606" spans="1:7" x14ac:dyDescent="0.3">
      <c r="A606" s="6">
        <v>605</v>
      </c>
      <c r="B606" s="6">
        <v>0.21210000000000001</v>
      </c>
      <c r="C606" s="6">
        <v>0.86</v>
      </c>
      <c r="D606" s="6">
        <v>0.1045</v>
      </c>
      <c r="E606" s="6">
        <v>0</v>
      </c>
      <c r="F606" s="6">
        <v>49</v>
      </c>
      <c r="G606" s="6">
        <v>49</v>
      </c>
    </row>
    <row r="607" spans="1:7" x14ac:dyDescent="0.3">
      <c r="A607" s="7">
        <v>606</v>
      </c>
      <c r="B607" s="7">
        <v>0.21210000000000001</v>
      </c>
      <c r="C607" s="7">
        <v>0.93</v>
      </c>
      <c r="D607" s="7">
        <v>0.1045</v>
      </c>
      <c r="E607" s="7">
        <v>0</v>
      </c>
      <c r="F607" s="7">
        <v>30</v>
      </c>
      <c r="G607" s="7">
        <v>30</v>
      </c>
    </row>
    <row r="608" spans="1:7" x14ac:dyDescent="0.3">
      <c r="A608" s="6">
        <v>607</v>
      </c>
      <c r="B608" s="6">
        <v>0.21210000000000001</v>
      </c>
      <c r="C608" s="6">
        <v>0.93</v>
      </c>
      <c r="D608" s="6">
        <v>0.1045</v>
      </c>
      <c r="E608" s="6">
        <v>1</v>
      </c>
      <c r="F608" s="6">
        <v>28</v>
      </c>
      <c r="G608" s="6">
        <v>29</v>
      </c>
    </row>
    <row r="609" spans="1:7" x14ac:dyDescent="0.3">
      <c r="A609" s="7">
        <v>608</v>
      </c>
      <c r="B609" s="7">
        <v>0.21210000000000001</v>
      </c>
      <c r="C609" s="7">
        <v>0.93</v>
      </c>
      <c r="D609" s="7">
        <v>0.1045</v>
      </c>
      <c r="E609" s="7">
        <v>0</v>
      </c>
      <c r="F609" s="7">
        <v>31</v>
      </c>
      <c r="G609" s="7">
        <v>31</v>
      </c>
    </row>
    <row r="610" spans="1:7" x14ac:dyDescent="0.3">
      <c r="A610" s="6">
        <v>609</v>
      </c>
      <c r="B610" s="6">
        <v>0.2727</v>
      </c>
      <c r="C610" s="6">
        <v>0.8</v>
      </c>
      <c r="D610" s="6">
        <v>0</v>
      </c>
      <c r="E610" s="6">
        <v>2</v>
      </c>
      <c r="F610" s="6">
        <v>36</v>
      </c>
      <c r="G610" s="6">
        <v>38</v>
      </c>
    </row>
    <row r="611" spans="1:7" x14ac:dyDescent="0.3">
      <c r="A611" s="7">
        <v>610</v>
      </c>
      <c r="B611" s="7">
        <v>0.2576</v>
      </c>
      <c r="C611" s="7">
        <v>0.86</v>
      </c>
      <c r="D611" s="7">
        <v>0</v>
      </c>
      <c r="E611" s="7">
        <v>1</v>
      </c>
      <c r="F611" s="7">
        <v>40</v>
      </c>
      <c r="G611" s="7">
        <v>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11"/>
  <sheetViews>
    <sheetView topLeftCell="A585" workbookViewId="0">
      <selection activeCell="F599" sqref="F599"/>
    </sheetView>
  </sheetViews>
  <sheetFormatPr defaultRowHeight="14.4" x14ac:dyDescent="0.3"/>
  <cols>
    <col min="1" max="1" width="9" style="4" bestFit="1" customWidth="1"/>
    <col min="2" max="2" width="22.44140625" style="3" bestFit="1" customWidth="1"/>
    <col min="3" max="3" width="10.77734375" style="1" bestFit="1" customWidth="1"/>
    <col min="4" max="4" width="12.33203125" style="1" bestFit="1" customWidth="1"/>
    <col min="5" max="5" width="17.44140625" style="4" bestFit="1" customWidth="1"/>
    <col min="6" max="6" width="20.6640625" style="4" bestFit="1" customWidth="1"/>
    <col min="7" max="7" width="17.21875" style="4" bestFit="1" customWidth="1"/>
    <col min="8" max="8" width="16.33203125" style="2" bestFit="1" customWidth="1"/>
    <col min="9" max="9" width="13" style="2" bestFit="1" customWidth="1"/>
    <col min="10" max="10" width="16.5546875" style="2" bestFit="1" customWidth="1"/>
    <col min="11" max="11" width="19.21875" style="1" bestFit="1" customWidth="1"/>
    <col min="12" max="12" width="22.6640625" style="1" bestFit="1" customWidth="1"/>
    <col min="13" max="13" width="15.77734375" style="2" bestFit="1" customWidth="1"/>
    <col min="14" max="14" width="17.44140625" bestFit="1" customWidth="1"/>
    <col min="15" max="15" width="20.6640625" bestFit="1" customWidth="1"/>
    <col min="16" max="16" width="16.109375" bestFit="1" customWidth="1"/>
  </cols>
  <sheetData>
    <row r="1" spans="1:13" x14ac:dyDescent="0.3">
      <c r="A1" s="4" t="s">
        <v>0</v>
      </c>
      <c r="B1" s="3" t="s">
        <v>1</v>
      </c>
      <c r="C1" s="1" t="s">
        <v>2</v>
      </c>
      <c r="D1" s="1" t="s">
        <v>3</v>
      </c>
      <c r="E1" s="4" t="s">
        <v>4</v>
      </c>
      <c r="F1" s="4" t="s">
        <v>5</v>
      </c>
      <c r="G1" s="4" t="s">
        <v>6</v>
      </c>
      <c r="H1" s="2" t="s">
        <v>7</v>
      </c>
      <c r="I1" s="2" t="s">
        <v>8</v>
      </c>
      <c r="J1" s="2" t="s">
        <v>9</v>
      </c>
      <c r="K1" s="1" t="s">
        <v>10</v>
      </c>
      <c r="L1" s="1" t="s">
        <v>11</v>
      </c>
      <c r="M1" s="2" t="s">
        <v>12</v>
      </c>
    </row>
    <row r="2" spans="1:13" x14ac:dyDescent="0.3">
      <c r="A2" s="4">
        <v>1</v>
      </c>
      <c r="B2" s="3">
        <v>0.28789999999999999</v>
      </c>
      <c r="C2" s="1">
        <v>0.81</v>
      </c>
      <c r="D2" s="1">
        <v>0</v>
      </c>
      <c r="E2" s="4">
        <v>3</v>
      </c>
      <c r="F2" s="4">
        <v>13</v>
      </c>
      <c r="G2" s="4">
        <v>16</v>
      </c>
      <c r="H2" s="2" t="s">
        <v>13</v>
      </c>
      <c r="I2" s="2" t="s">
        <v>14</v>
      </c>
      <c r="J2" s="2" t="s">
        <v>15</v>
      </c>
      <c r="K2" s="1">
        <v>18.75</v>
      </c>
      <c r="L2" s="1">
        <v>81.25</v>
      </c>
      <c r="M2" s="2" t="s">
        <v>16</v>
      </c>
    </row>
    <row r="3" spans="1:13" x14ac:dyDescent="0.3">
      <c r="A3" s="4">
        <v>2</v>
      </c>
      <c r="B3" s="3">
        <v>0.2727</v>
      </c>
      <c r="C3" s="1">
        <v>0.8</v>
      </c>
      <c r="D3" s="1">
        <v>0</v>
      </c>
      <c r="E3" s="4">
        <v>8</v>
      </c>
      <c r="F3" s="4">
        <v>32</v>
      </c>
      <c r="G3" s="4">
        <v>40</v>
      </c>
      <c r="H3" s="2" t="s">
        <v>13</v>
      </c>
      <c r="I3" s="2" t="s">
        <v>14</v>
      </c>
      <c r="J3" s="2" t="s">
        <v>15</v>
      </c>
      <c r="K3" s="1">
        <v>20</v>
      </c>
      <c r="L3" s="1">
        <v>80</v>
      </c>
      <c r="M3" s="2" t="s">
        <v>16</v>
      </c>
    </row>
    <row r="4" spans="1:13" x14ac:dyDescent="0.3">
      <c r="A4" s="4">
        <v>3</v>
      </c>
      <c r="B4" s="3">
        <v>0.2727</v>
      </c>
      <c r="C4" s="1">
        <v>0.8</v>
      </c>
      <c r="D4" s="1">
        <v>0</v>
      </c>
      <c r="E4" s="4">
        <v>5</v>
      </c>
      <c r="F4" s="4">
        <v>27</v>
      </c>
      <c r="G4" s="4">
        <v>32</v>
      </c>
      <c r="H4" s="2" t="s">
        <v>13</v>
      </c>
      <c r="I4" s="2" t="s">
        <v>14</v>
      </c>
      <c r="J4" s="2" t="s">
        <v>15</v>
      </c>
      <c r="K4" s="1">
        <v>15.625</v>
      </c>
      <c r="L4" s="1">
        <v>84.375</v>
      </c>
      <c r="M4" s="2" t="s">
        <v>16</v>
      </c>
    </row>
    <row r="5" spans="1:13" x14ac:dyDescent="0.3">
      <c r="A5" s="4">
        <v>4</v>
      </c>
      <c r="B5" s="3">
        <v>0.28789999999999999</v>
      </c>
      <c r="C5" s="1">
        <v>0.75</v>
      </c>
      <c r="D5" s="1">
        <v>0</v>
      </c>
      <c r="E5" s="4">
        <v>3</v>
      </c>
      <c r="F5" s="4">
        <v>10</v>
      </c>
      <c r="G5" s="4">
        <v>13</v>
      </c>
      <c r="H5" s="2" t="s">
        <v>13</v>
      </c>
      <c r="I5" s="2" t="s">
        <v>14</v>
      </c>
      <c r="J5" s="2" t="s">
        <v>15</v>
      </c>
      <c r="K5" s="1">
        <v>23.07692307692308</v>
      </c>
      <c r="L5" s="1">
        <v>76.923076923076934</v>
      </c>
      <c r="M5" s="2" t="s">
        <v>16</v>
      </c>
    </row>
    <row r="6" spans="1:13" x14ac:dyDescent="0.3">
      <c r="A6" s="4">
        <v>5</v>
      </c>
      <c r="B6" s="3">
        <v>0.28789999999999999</v>
      </c>
      <c r="C6" s="1">
        <v>0.75</v>
      </c>
      <c r="D6" s="1">
        <v>0</v>
      </c>
      <c r="E6" s="4">
        <v>0</v>
      </c>
      <c r="F6" s="4">
        <v>1</v>
      </c>
      <c r="G6" s="4">
        <v>1</v>
      </c>
      <c r="H6" s="2" t="s">
        <v>13</v>
      </c>
      <c r="I6" s="2" t="s">
        <v>14</v>
      </c>
      <c r="J6" s="2" t="s">
        <v>15</v>
      </c>
      <c r="K6" s="1">
        <v>0</v>
      </c>
      <c r="L6" s="1">
        <v>100</v>
      </c>
      <c r="M6" s="2" t="s">
        <v>16</v>
      </c>
    </row>
    <row r="7" spans="1:13" x14ac:dyDescent="0.3">
      <c r="A7" s="4">
        <v>6</v>
      </c>
      <c r="B7" s="3">
        <v>0.2576</v>
      </c>
      <c r="C7" s="1">
        <v>0.75</v>
      </c>
      <c r="D7" s="1">
        <v>8.9599999999999999E-2</v>
      </c>
      <c r="E7" s="4">
        <v>0</v>
      </c>
      <c r="F7" s="4">
        <v>1</v>
      </c>
      <c r="G7" s="4">
        <v>1</v>
      </c>
      <c r="H7" s="2" t="s">
        <v>13</v>
      </c>
      <c r="I7" s="2" t="s">
        <v>14</v>
      </c>
      <c r="J7" s="2" t="s">
        <v>15</v>
      </c>
      <c r="K7" s="1">
        <v>0</v>
      </c>
      <c r="L7" s="1">
        <v>100</v>
      </c>
      <c r="M7" s="2" t="s">
        <v>16</v>
      </c>
    </row>
    <row r="8" spans="1:13" x14ac:dyDescent="0.3">
      <c r="A8" s="4">
        <v>7</v>
      </c>
      <c r="B8" s="3">
        <v>0.2727</v>
      </c>
      <c r="C8" s="1">
        <v>0.8</v>
      </c>
      <c r="D8" s="1">
        <v>0</v>
      </c>
      <c r="E8" s="4">
        <v>2</v>
      </c>
      <c r="F8" s="4">
        <v>0</v>
      </c>
      <c r="G8" s="4">
        <v>2</v>
      </c>
      <c r="H8" s="2" t="s">
        <v>13</v>
      </c>
      <c r="I8" s="2" t="s">
        <v>14</v>
      </c>
      <c r="J8" s="2" t="s">
        <v>17</v>
      </c>
      <c r="K8" s="1">
        <v>100</v>
      </c>
      <c r="L8" s="1">
        <v>0</v>
      </c>
      <c r="M8" s="2" t="s">
        <v>16</v>
      </c>
    </row>
    <row r="9" spans="1:13" x14ac:dyDescent="0.3">
      <c r="A9" s="4">
        <v>8</v>
      </c>
      <c r="B9" s="3">
        <v>0.2576</v>
      </c>
      <c r="C9" s="1">
        <v>0.86</v>
      </c>
      <c r="D9" s="1">
        <v>0</v>
      </c>
      <c r="E9" s="4">
        <v>1</v>
      </c>
      <c r="F9" s="4">
        <v>2</v>
      </c>
      <c r="G9" s="4">
        <v>3</v>
      </c>
      <c r="H9" s="2" t="s">
        <v>13</v>
      </c>
      <c r="I9" s="2" t="s">
        <v>14</v>
      </c>
      <c r="J9" s="2" t="s">
        <v>15</v>
      </c>
      <c r="K9" s="1">
        <v>33.333333333333329</v>
      </c>
      <c r="L9" s="1">
        <v>66.666666666666657</v>
      </c>
      <c r="M9" s="2" t="s">
        <v>16</v>
      </c>
    </row>
    <row r="10" spans="1:13" x14ac:dyDescent="0.3">
      <c r="A10" s="4">
        <v>9</v>
      </c>
      <c r="B10" s="3">
        <f>B9</f>
        <v>0.2576</v>
      </c>
      <c r="C10" s="1">
        <v>0.75</v>
      </c>
      <c r="D10" s="1">
        <v>0</v>
      </c>
      <c r="E10" s="4">
        <v>1</v>
      </c>
      <c r="F10" s="4">
        <v>7</v>
      </c>
      <c r="G10" s="4">
        <v>8</v>
      </c>
      <c r="H10" s="2" t="s">
        <v>13</v>
      </c>
      <c r="I10" s="2" t="s">
        <v>14</v>
      </c>
      <c r="J10" s="2" t="s">
        <v>15</v>
      </c>
      <c r="K10" s="1">
        <v>12.5</v>
      </c>
      <c r="L10" s="1">
        <v>87.5</v>
      </c>
      <c r="M10" s="2" t="s">
        <v>16</v>
      </c>
    </row>
    <row r="11" spans="1:13" x14ac:dyDescent="0.3">
      <c r="A11" s="4">
        <v>10</v>
      </c>
      <c r="B11" s="3">
        <v>0.34849999999999998</v>
      </c>
      <c r="C11" s="1">
        <v>0.76</v>
      </c>
      <c r="D11" s="1">
        <v>0</v>
      </c>
      <c r="E11" s="4">
        <v>8</v>
      </c>
      <c r="F11" s="4">
        <v>6</v>
      </c>
      <c r="G11" s="4">
        <v>14</v>
      </c>
      <c r="H11" s="2" t="s">
        <v>13</v>
      </c>
      <c r="I11" s="2" t="s">
        <v>14</v>
      </c>
      <c r="J11" s="2" t="s">
        <v>17</v>
      </c>
      <c r="K11" s="1">
        <v>57.142857142857139</v>
      </c>
      <c r="L11" s="1">
        <v>42.857142857142847</v>
      </c>
      <c r="M11" s="2" t="s">
        <v>16</v>
      </c>
    </row>
    <row r="12" spans="1:13" x14ac:dyDescent="0.3">
      <c r="A12" s="4">
        <v>11</v>
      </c>
      <c r="B12" s="3">
        <v>0.39389999999999997</v>
      </c>
      <c r="C12" s="1">
        <v>0.76</v>
      </c>
      <c r="D12" s="1">
        <v>0.25369999999999998</v>
      </c>
      <c r="E12" s="4">
        <v>12</v>
      </c>
      <c r="F12" s="4">
        <v>24</v>
      </c>
      <c r="G12" s="4">
        <v>36</v>
      </c>
      <c r="H12" s="2" t="s">
        <v>13</v>
      </c>
      <c r="I12" s="2" t="s">
        <v>18</v>
      </c>
      <c r="J12" s="2" t="s">
        <v>15</v>
      </c>
      <c r="K12" s="1">
        <v>33.333333333333329</v>
      </c>
      <c r="L12" s="1">
        <v>66.666666666666657</v>
      </c>
      <c r="M12" s="2" t="s">
        <v>16</v>
      </c>
    </row>
    <row r="13" spans="1:13" x14ac:dyDescent="0.3">
      <c r="A13" s="4">
        <v>12</v>
      </c>
      <c r="B13" s="3">
        <v>0.33329999999999999</v>
      </c>
      <c r="C13" s="1">
        <v>0.81</v>
      </c>
      <c r="D13" s="1">
        <v>0.28360000000000002</v>
      </c>
      <c r="E13" s="4">
        <v>26</v>
      </c>
      <c r="F13" s="4">
        <v>30</v>
      </c>
      <c r="G13" s="4">
        <v>56</v>
      </c>
      <c r="H13" s="2" t="s">
        <v>13</v>
      </c>
      <c r="I13" s="2" t="s">
        <v>18</v>
      </c>
      <c r="J13" s="2" t="s">
        <v>15</v>
      </c>
      <c r="K13" s="1">
        <v>46.428571428571431</v>
      </c>
      <c r="L13" s="1">
        <v>53.571428571428569</v>
      </c>
      <c r="M13" s="2" t="s">
        <v>16</v>
      </c>
    </row>
    <row r="14" spans="1:13" x14ac:dyDescent="0.3">
      <c r="A14" s="4">
        <v>13</v>
      </c>
      <c r="B14" s="3">
        <v>0.42420000000000002</v>
      </c>
      <c r="C14" s="1">
        <v>0.77</v>
      </c>
      <c r="D14" s="1">
        <v>0.28360000000000002</v>
      </c>
      <c r="E14" s="4">
        <v>29</v>
      </c>
      <c r="F14" s="4">
        <v>55</v>
      </c>
      <c r="G14" s="4">
        <v>84</v>
      </c>
      <c r="H14" s="2" t="s">
        <v>13</v>
      </c>
      <c r="I14" s="2" t="s">
        <v>18</v>
      </c>
      <c r="J14" s="2" t="s">
        <v>15</v>
      </c>
      <c r="K14" s="1">
        <v>34.523809523809533</v>
      </c>
      <c r="L14" s="1">
        <v>65.476190476190482</v>
      </c>
      <c r="M14" s="2" t="s">
        <v>16</v>
      </c>
    </row>
    <row r="15" spans="1:13" x14ac:dyDescent="0.3">
      <c r="A15" s="4">
        <v>14</v>
      </c>
      <c r="B15" s="3">
        <v>0.45450000000000002</v>
      </c>
      <c r="C15" s="1">
        <v>0.72</v>
      </c>
      <c r="D15" s="1">
        <v>0.29849999999999999</v>
      </c>
      <c r="E15" s="4">
        <v>47</v>
      </c>
      <c r="F15" s="4">
        <v>47</v>
      </c>
      <c r="G15" s="4">
        <v>94</v>
      </c>
      <c r="H15" s="2" t="s">
        <v>13</v>
      </c>
      <c r="I15" s="2" t="s">
        <v>18</v>
      </c>
      <c r="J15" s="2" t="s">
        <v>15</v>
      </c>
      <c r="K15" s="1">
        <v>50</v>
      </c>
      <c r="L15" s="1">
        <v>50</v>
      </c>
      <c r="M15" s="2" t="s">
        <v>16</v>
      </c>
    </row>
    <row r="16" spans="1:13" x14ac:dyDescent="0.3">
      <c r="A16" s="4">
        <v>15</v>
      </c>
      <c r="B16" s="3">
        <v>0.45450000000000002</v>
      </c>
      <c r="C16" s="1">
        <v>0.72</v>
      </c>
      <c r="D16" s="1">
        <v>0.28360000000000002</v>
      </c>
      <c r="E16" s="4">
        <v>35</v>
      </c>
      <c r="F16" s="4">
        <v>71</v>
      </c>
      <c r="G16" s="4">
        <v>106</v>
      </c>
      <c r="H16" s="2" t="s">
        <v>13</v>
      </c>
      <c r="I16" s="2" t="s">
        <v>18</v>
      </c>
      <c r="J16" s="2" t="s">
        <v>15</v>
      </c>
      <c r="K16" s="1">
        <v>33.018867924528301</v>
      </c>
      <c r="L16" s="1">
        <v>66.981132075471692</v>
      </c>
      <c r="M16" s="2" t="s">
        <v>19</v>
      </c>
    </row>
    <row r="17" spans="1:13" x14ac:dyDescent="0.3">
      <c r="A17" s="4">
        <v>16</v>
      </c>
      <c r="B17" s="3">
        <v>0.43940000000000001</v>
      </c>
      <c r="C17" s="1">
        <v>0.77</v>
      </c>
      <c r="D17" s="1">
        <v>0.29849999999999999</v>
      </c>
      <c r="E17" s="4">
        <v>40</v>
      </c>
      <c r="F17" s="4">
        <v>70</v>
      </c>
      <c r="G17" s="4">
        <v>110</v>
      </c>
      <c r="H17" s="2" t="s">
        <v>13</v>
      </c>
      <c r="I17" s="2" t="s">
        <v>18</v>
      </c>
      <c r="J17" s="2" t="s">
        <v>15</v>
      </c>
      <c r="K17" s="1">
        <v>36.363636363636367</v>
      </c>
      <c r="L17" s="1">
        <v>63.636363636363633</v>
      </c>
      <c r="M17" s="2" t="s">
        <v>19</v>
      </c>
    </row>
    <row r="18" spans="1:13" x14ac:dyDescent="0.3">
      <c r="A18" s="4">
        <v>17</v>
      </c>
      <c r="B18" s="3">
        <v>0.42420000000000002</v>
      </c>
      <c r="C18" s="1">
        <v>0.82</v>
      </c>
      <c r="D18" s="1">
        <v>0.29849999999999999</v>
      </c>
      <c r="E18" s="4">
        <v>41</v>
      </c>
      <c r="F18" s="4">
        <v>52</v>
      </c>
      <c r="G18" s="4">
        <v>93</v>
      </c>
      <c r="H18" s="2" t="s">
        <v>13</v>
      </c>
      <c r="I18" s="2" t="s">
        <v>18</v>
      </c>
      <c r="J18" s="2" t="s">
        <v>15</v>
      </c>
      <c r="K18" s="1">
        <v>44.086021505376337</v>
      </c>
      <c r="L18" s="1">
        <v>55.913978494623649</v>
      </c>
      <c r="M18" s="2" t="s">
        <v>16</v>
      </c>
    </row>
    <row r="19" spans="1:13" x14ac:dyDescent="0.3">
      <c r="A19" s="4">
        <v>18</v>
      </c>
      <c r="B19" s="3">
        <f>B18</f>
        <v>0.42420000000000002</v>
      </c>
      <c r="C19" s="1">
        <v>0.82</v>
      </c>
      <c r="D19" s="1">
        <v>0.28360000000000002</v>
      </c>
      <c r="E19" s="4">
        <v>15</v>
      </c>
      <c r="F19" s="4">
        <v>52</v>
      </c>
      <c r="G19" s="4">
        <v>67</v>
      </c>
      <c r="H19" s="2" t="s">
        <v>13</v>
      </c>
      <c r="I19" s="2" t="s">
        <v>18</v>
      </c>
      <c r="J19" s="2" t="s">
        <v>15</v>
      </c>
      <c r="K19" s="1">
        <v>22.388059701492541</v>
      </c>
      <c r="L19" s="1">
        <v>77.611940298507463</v>
      </c>
      <c r="M19" s="2" t="s">
        <v>16</v>
      </c>
    </row>
    <row r="20" spans="1:13" x14ac:dyDescent="0.3">
      <c r="A20" s="4">
        <v>19</v>
      </c>
      <c r="B20" s="3">
        <v>0.42420000000000002</v>
      </c>
      <c r="C20" s="1">
        <v>0.88</v>
      </c>
      <c r="D20" s="1">
        <v>0.25369999999999998</v>
      </c>
      <c r="E20" s="4">
        <v>9</v>
      </c>
      <c r="F20" s="4">
        <v>26</v>
      </c>
      <c r="G20" s="4">
        <v>35</v>
      </c>
      <c r="H20" s="2" t="s">
        <v>13</v>
      </c>
      <c r="I20" s="2" t="s">
        <v>18</v>
      </c>
      <c r="J20" s="2" t="s">
        <v>15</v>
      </c>
      <c r="K20" s="1">
        <v>25.714285714285712</v>
      </c>
      <c r="L20" s="1">
        <v>74.285714285714292</v>
      </c>
      <c r="M20" s="2" t="s">
        <v>16</v>
      </c>
    </row>
    <row r="21" spans="1:13" x14ac:dyDescent="0.3">
      <c r="A21" s="4">
        <v>20</v>
      </c>
      <c r="B21" s="3">
        <v>0.42420000000000002</v>
      </c>
      <c r="C21" s="1">
        <v>0.88</v>
      </c>
      <c r="D21" s="1">
        <v>0.25369999999999998</v>
      </c>
      <c r="E21" s="4">
        <v>6</v>
      </c>
      <c r="F21" s="4">
        <v>31</v>
      </c>
      <c r="G21" s="4">
        <v>37</v>
      </c>
      <c r="H21" s="2" t="s">
        <v>13</v>
      </c>
      <c r="I21" s="2" t="s">
        <v>18</v>
      </c>
      <c r="J21" s="2" t="s">
        <v>15</v>
      </c>
      <c r="K21" s="1">
        <v>16.216216216216221</v>
      </c>
      <c r="L21" s="1">
        <v>83.78378378378379</v>
      </c>
      <c r="M21" s="2" t="s">
        <v>16</v>
      </c>
    </row>
    <row r="22" spans="1:13" x14ac:dyDescent="0.3">
      <c r="A22" s="4">
        <v>21</v>
      </c>
      <c r="B22" s="3">
        <v>0.40910000000000002</v>
      </c>
      <c r="C22" s="1">
        <v>0.87</v>
      </c>
      <c r="D22" s="1">
        <v>0.25369999999999998</v>
      </c>
      <c r="E22" s="4">
        <v>11</v>
      </c>
      <c r="F22" s="4">
        <v>25</v>
      </c>
      <c r="G22" s="4">
        <v>36</v>
      </c>
      <c r="H22" s="2" t="s">
        <v>13</v>
      </c>
      <c r="I22" s="2" t="s">
        <v>18</v>
      </c>
      <c r="J22" s="2" t="s">
        <v>15</v>
      </c>
      <c r="K22" s="1">
        <v>30.555555555555561</v>
      </c>
      <c r="L22" s="1">
        <v>69.444444444444443</v>
      </c>
      <c r="M22" s="2" t="s">
        <v>16</v>
      </c>
    </row>
    <row r="23" spans="1:13" x14ac:dyDescent="0.3">
      <c r="A23" s="4">
        <v>22</v>
      </c>
      <c r="B23" s="3">
        <v>0.40910000000000002</v>
      </c>
      <c r="C23" s="1">
        <v>0.87</v>
      </c>
      <c r="D23" s="1">
        <v>0.19400000000000001</v>
      </c>
      <c r="E23" s="4">
        <v>3</v>
      </c>
      <c r="F23" s="4">
        <v>31</v>
      </c>
      <c r="G23" s="4">
        <v>34</v>
      </c>
      <c r="H23" s="2" t="s">
        <v>13</v>
      </c>
      <c r="I23" s="2" t="s">
        <v>18</v>
      </c>
      <c r="J23" s="2" t="s">
        <v>15</v>
      </c>
      <c r="K23" s="1">
        <v>8.8235294117647065</v>
      </c>
      <c r="L23" s="1">
        <v>91.17647058823529</v>
      </c>
      <c r="M23" s="2" t="s">
        <v>16</v>
      </c>
    </row>
    <row r="24" spans="1:13" x14ac:dyDescent="0.3">
      <c r="A24" s="4">
        <v>23</v>
      </c>
      <c r="B24" s="3">
        <v>0.40910000000000002</v>
      </c>
      <c r="C24" s="1">
        <v>0.94</v>
      </c>
      <c r="D24" s="1">
        <v>0.22389999999999999</v>
      </c>
      <c r="E24" s="4">
        <v>11</v>
      </c>
      <c r="F24" s="4">
        <v>17</v>
      </c>
      <c r="G24" s="4">
        <v>28</v>
      </c>
      <c r="H24" s="2" t="s">
        <v>13</v>
      </c>
      <c r="I24" s="2" t="s">
        <v>18</v>
      </c>
      <c r="J24" s="2" t="s">
        <v>15</v>
      </c>
      <c r="K24" s="1">
        <v>39.285714285714278</v>
      </c>
      <c r="L24" s="1">
        <v>60.714285714285708</v>
      </c>
      <c r="M24" s="2" t="s">
        <v>16</v>
      </c>
    </row>
    <row r="25" spans="1:13" x14ac:dyDescent="0.3">
      <c r="A25" s="4">
        <v>24</v>
      </c>
      <c r="B25" s="3">
        <f>B24</f>
        <v>0.40910000000000002</v>
      </c>
      <c r="C25" s="1">
        <v>0.88</v>
      </c>
      <c r="D25" s="1">
        <v>0.29849999999999999</v>
      </c>
      <c r="E25" s="4">
        <v>15</v>
      </c>
      <c r="F25" s="4">
        <v>24</v>
      </c>
      <c r="G25" s="4">
        <v>39</v>
      </c>
      <c r="H25" s="2" t="s">
        <v>13</v>
      </c>
      <c r="I25" s="2" t="s">
        <v>18</v>
      </c>
      <c r="J25" s="2" t="s">
        <v>15</v>
      </c>
      <c r="K25" s="1">
        <v>38.461538461538467</v>
      </c>
      <c r="L25" s="1">
        <v>61.53846153846154</v>
      </c>
      <c r="M25" s="2" t="s">
        <v>16</v>
      </c>
    </row>
    <row r="26" spans="1:13" x14ac:dyDescent="0.3">
      <c r="A26" s="4">
        <v>25</v>
      </c>
      <c r="B26" s="3">
        <v>0.45450000000000002</v>
      </c>
      <c r="C26" s="1">
        <v>0.88</v>
      </c>
      <c r="D26" s="1">
        <v>0.29849999999999999</v>
      </c>
      <c r="E26" s="4">
        <v>4</v>
      </c>
      <c r="F26" s="4">
        <v>13</v>
      </c>
      <c r="G26" s="4">
        <v>17</v>
      </c>
      <c r="H26" s="2" t="s">
        <v>13</v>
      </c>
      <c r="I26" s="2" t="s">
        <v>18</v>
      </c>
      <c r="J26" s="2" t="s">
        <v>15</v>
      </c>
      <c r="K26" s="1">
        <v>23.52941176470588</v>
      </c>
      <c r="L26" s="1">
        <v>76.470588235294116</v>
      </c>
      <c r="M26" s="2" t="s">
        <v>16</v>
      </c>
    </row>
    <row r="27" spans="1:13" x14ac:dyDescent="0.3">
      <c r="A27" s="4">
        <v>26</v>
      </c>
      <c r="B27" s="3">
        <v>0.43940000000000001</v>
      </c>
      <c r="C27" s="1">
        <v>0.94</v>
      </c>
      <c r="D27" s="1">
        <v>0.25369999999999998</v>
      </c>
      <c r="E27" s="4">
        <v>1</v>
      </c>
      <c r="F27" s="4">
        <v>16</v>
      </c>
      <c r="G27" s="4">
        <v>17</v>
      </c>
      <c r="H27" s="2" t="s">
        <v>13</v>
      </c>
      <c r="I27" s="2" t="s">
        <v>18</v>
      </c>
      <c r="J27" s="2" t="s">
        <v>15</v>
      </c>
      <c r="K27" s="1">
        <v>5.8823529411764701</v>
      </c>
      <c r="L27" s="1">
        <v>94.117647058823522</v>
      </c>
      <c r="M27" s="2" t="s">
        <v>16</v>
      </c>
    </row>
    <row r="28" spans="1:13" x14ac:dyDescent="0.3">
      <c r="A28" s="4">
        <v>27</v>
      </c>
      <c r="B28" s="3">
        <v>0.42420000000000002</v>
      </c>
      <c r="C28" s="1">
        <v>1</v>
      </c>
      <c r="D28" s="1">
        <v>0.28360000000000002</v>
      </c>
      <c r="E28" s="4">
        <v>1</v>
      </c>
      <c r="F28" s="4">
        <v>8</v>
      </c>
      <c r="G28" s="4">
        <v>9</v>
      </c>
      <c r="H28" s="2" t="s">
        <v>13</v>
      </c>
      <c r="I28" s="2" t="s">
        <v>18</v>
      </c>
      <c r="J28" s="2" t="s">
        <v>15</v>
      </c>
      <c r="K28" s="1">
        <v>11.111111111111111</v>
      </c>
      <c r="L28" s="1">
        <v>88.888888888888886</v>
      </c>
      <c r="M28" s="2" t="s">
        <v>16</v>
      </c>
    </row>
    <row r="29" spans="1:13" x14ac:dyDescent="0.3">
      <c r="A29" s="4">
        <v>28</v>
      </c>
      <c r="B29" s="3">
        <v>0.45450000000000002</v>
      </c>
      <c r="C29" s="1">
        <v>0.94</v>
      </c>
      <c r="D29" s="1">
        <v>0.19400000000000001</v>
      </c>
      <c r="E29" s="4">
        <v>2</v>
      </c>
      <c r="F29" s="4">
        <v>4</v>
      </c>
      <c r="G29" s="4">
        <v>6</v>
      </c>
      <c r="H29" s="2" t="s">
        <v>13</v>
      </c>
      <c r="I29" s="2" t="s">
        <v>18</v>
      </c>
      <c r="J29" s="2" t="s">
        <v>15</v>
      </c>
      <c r="K29" s="1">
        <v>33.333333333333329</v>
      </c>
      <c r="L29" s="1">
        <v>66.666666666666657</v>
      </c>
      <c r="M29" s="2" t="s">
        <v>16</v>
      </c>
    </row>
    <row r="30" spans="1:13" x14ac:dyDescent="0.3">
      <c r="A30" s="4">
        <v>29</v>
      </c>
      <c r="B30" s="3">
        <f>B29</f>
        <v>0.45450000000000002</v>
      </c>
      <c r="C30" s="1">
        <v>0.94</v>
      </c>
      <c r="D30" s="1">
        <v>0.19400000000000001</v>
      </c>
      <c r="E30" s="4">
        <v>2</v>
      </c>
      <c r="F30" s="4">
        <v>1</v>
      </c>
      <c r="G30" s="4">
        <v>3</v>
      </c>
      <c r="H30" s="2" t="s">
        <v>13</v>
      </c>
      <c r="I30" s="2" t="s">
        <v>18</v>
      </c>
      <c r="J30" s="2" t="s">
        <v>17</v>
      </c>
      <c r="K30" s="1">
        <v>66.666666666666657</v>
      </c>
      <c r="L30" s="1">
        <v>33.333333333333329</v>
      </c>
      <c r="M30" s="2" t="s">
        <v>16</v>
      </c>
    </row>
    <row r="31" spans="1:13" x14ac:dyDescent="0.3">
      <c r="A31" s="4">
        <v>30</v>
      </c>
      <c r="B31" s="3">
        <v>0.42420000000000002</v>
      </c>
      <c r="C31" s="1">
        <v>0.77</v>
      </c>
      <c r="D31" s="1">
        <v>0.29849999999999999</v>
      </c>
      <c r="E31" s="4">
        <v>0</v>
      </c>
      <c r="F31" s="4">
        <v>2</v>
      </c>
      <c r="G31" s="4">
        <v>2</v>
      </c>
      <c r="H31" s="2" t="s">
        <v>13</v>
      </c>
      <c r="I31" s="2" t="s">
        <v>18</v>
      </c>
      <c r="J31" s="2" t="s">
        <v>15</v>
      </c>
      <c r="K31" s="1">
        <v>0</v>
      </c>
      <c r="L31" s="1">
        <v>100</v>
      </c>
      <c r="M31" s="2" t="s">
        <v>16</v>
      </c>
    </row>
    <row r="32" spans="1:13" x14ac:dyDescent="0.3">
      <c r="A32" s="4">
        <v>31</v>
      </c>
      <c r="B32" s="3">
        <v>0.40910000000000002</v>
      </c>
      <c r="C32" s="1">
        <v>0.76</v>
      </c>
      <c r="D32" s="1">
        <v>0.19400000000000001</v>
      </c>
      <c r="E32" s="4">
        <v>0</v>
      </c>
      <c r="F32" s="4">
        <v>1</v>
      </c>
      <c r="G32" s="4">
        <v>1</v>
      </c>
      <c r="H32" s="2" t="s">
        <v>13</v>
      </c>
      <c r="I32" s="2" t="s">
        <v>18</v>
      </c>
      <c r="J32" s="2" t="s">
        <v>15</v>
      </c>
      <c r="K32" s="1">
        <v>0</v>
      </c>
      <c r="L32" s="1">
        <v>100</v>
      </c>
      <c r="M32" s="2" t="s">
        <v>16</v>
      </c>
    </row>
    <row r="33" spans="1:13" x14ac:dyDescent="0.3">
      <c r="A33" s="4">
        <v>32</v>
      </c>
      <c r="B33" s="3">
        <v>0.40910000000000002</v>
      </c>
      <c r="C33" s="1">
        <v>0.71</v>
      </c>
      <c r="D33" s="1">
        <v>0.22389999999999999</v>
      </c>
      <c r="E33" s="4">
        <v>0</v>
      </c>
      <c r="F33" s="4">
        <v>8</v>
      </c>
      <c r="G33" s="4">
        <v>8</v>
      </c>
      <c r="H33" s="2" t="s">
        <v>13</v>
      </c>
      <c r="I33" s="2" t="s">
        <v>18</v>
      </c>
      <c r="J33" s="2" t="s">
        <v>15</v>
      </c>
      <c r="K33" s="1">
        <v>0</v>
      </c>
      <c r="L33" s="1">
        <v>100</v>
      </c>
      <c r="M33" s="2" t="s">
        <v>16</v>
      </c>
    </row>
    <row r="34" spans="1:13" x14ac:dyDescent="0.3">
      <c r="A34" s="4">
        <v>33</v>
      </c>
      <c r="B34" s="3">
        <f>B33</f>
        <v>0.40910000000000002</v>
      </c>
      <c r="C34" s="1">
        <v>0.76</v>
      </c>
      <c r="D34" s="1">
        <v>0.22389999999999999</v>
      </c>
      <c r="E34" s="4">
        <v>1</v>
      </c>
      <c r="F34" s="4">
        <v>19</v>
      </c>
      <c r="G34" s="4">
        <v>20</v>
      </c>
      <c r="H34" s="2" t="s">
        <v>13</v>
      </c>
      <c r="I34" s="2" t="s">
        <v>18</v>
      </c>
      <c r="J34" s="2" t="s">
        <v>15</v>
      </c>
      <c r="K34" s="1">
        <v>5</v>
      </c>
      <c r="L34" s="1">
        <v>95</v>
      </c>
      <c r="M34" s="2" t="s">
        <v>16</v>
      </c>
    </row>
    <row r="35" spans="1:13" x14ac:dyDescent="0.3">
      <c r="A35" s="4">
        <v>34</v>
      </c>
      <c r="B35" s="3">
        <v>0.34849999999999998</v>
      </c>
      <c r="C35" s="1">
        <v>0.81</v>
      </c>
      <c r="D35" s="1">
        <v>0.22389999999999999</v>
      </c>
      <c r="E35" s="4">
        <v>7</v>
      </c>
      <c r="F35" s="4">
        <v>46</v>
      </c>
      <c r="G35" s="4">
        <v>53</v>
      </c>
      <c r="H35" s="2" t="s">
        <v>13</v>
      </c>
      <c r="I35" s="2" t="s">
        <v>18</v>
      </c>
      <c r="J35" s="2" t="s">
        <v>15</v>
      </c>
      <c r="K35" s="1">
        <v>13.20754716981132</v>
      </c>
      <c r="L35" s="1">
        <v>86.79245283018868</v>
      </c>
      <c r="M35" s="2" t="s">
        <v>16</v>
      </c>
    </row>
    <row r="36" spans="1:13" x14ac:dyDescent="0.3">
      <c r="A36" s="4">
        <v>35</v>
      </c>
      <c r="B36" s="3">
        <v>0.33329999999999999</v>
      </c>
      <c r="C36" s="1">
        <v>0.71</v>
      </c>
      <c r="D36" s="1">
        <v>0.25369999999999998</v>
      </c>
      <c r="E36" s="4">
        <v>16</v>
      </c>
      <c r="F36" s="4">
        <v>54</v>
      </c>
      <c r="G36" s="4">
        <v>70</v>
      </c>
      <c r="H36" s="2" t="s">
        <v>13</v>
      </c>
      <c r="I36" s="2" t="s">
        <v>18</v>
      </c>
      <c r="J36" s="2" t="s">
        <v>15</v>
      </c>
      <c r="K36" s="1">
        <v>22.857142857142861</v>
      </c>
      <c r="L36" s="1">
        <v>77.142857142857153</v>
      </c>
      <c r="M36" s="2" t="s">
        <v>16</v>
      </c>
    </row>
    <row r="37" spans="1:13" x14ac:dyDescent="0.3">
      <c r="A37" s="4">
        <v>36</v>
      </c>
      <c r="B37" s="3">
        <v>0.33329999999999999</v>
      </c>
      <c r="C37" s="1">
        <v>0.66</v>
      </c>
      <c r="D37" s="1">
        <v>0.29849999999999999</v>
      </c>
      <c r="E37" s="4">
        <v>20</v>
      </c>
      <c r="F37" s="4">
        <v>73</v>
      </c>
      <c r="G37" s="4">
        <v>93</v>
      </c>
      <c r="H37" s="2" t="s">
        <v>19</v>
      </c>
      <c r="I37" s="2" t="s">
        <v>18</v>
      </c>
      <c r="J37" s="2" t="s">
        <v>15</v>
      </c>
      <c r="K37" s="1">
        <v>21.50537634408602</v>
      </c>
      <c r="L37" s="1">
        <v>78.494623655913969</v>
      </c>
      <c r="M37" s="2" t="s">
        <v>16</v>
      </c>
    </row>
    <row r="38" spans="1:13" x14ac:dyDescent="0.3">
      <c r="A38" s="4">
        <v>37</v>
      </c>
      <c r="B38" s="3">
        <v>0.34849999999999998</v>
      </c>
      <c r="C38" s="1">
        <v>0.66</v>
      </c>
      <c r="D38" s="1">
        <v>0.1343</v>
      </c>
      <c r="E38" s="4">
        <v>11</v>
      </c>
      <c r="F38" s="4">
        <v>64</v>
      </c>
      <c r="G38" s="4">
        <v>75</v>
      </c>
      <c r="H38" s="2" t="s">
        <v>19</v>
      </c>
      <c r="I38" s="2" t="s">
        <v>14</v>
      </c>
      <c r="J38" s="2" t="s">
        <v>15</v>
      </c>
      <c r="K38" s="1">
        <v>14.66666666666667</v>
      </c>
      <c r="L38" s="1">
        <v>85.333333333333343</v>
      </c>
      <c r="M38" s="2" t="s">
        <v>16</v>
      </c>
    </row>
    <row r="39" spans="1:13" x14ac:dyDescent="0.3">
      <c r="A39" s="4">
        <v>38</v>
      </c>
      <c r="B39" s="3">
        <f>B38</f>
        <v>0.34849999999999998</v>
      </c>
      <c r="C39" s="1">
        <v>0.76</v>
      </c>
      <c r="D39" s="1">
        <v>0.19400000000000001</v>
      </c>
      <c r="E39" s="4">
        <v>4</v>
      </c>
      <c r="F39" s="4">
        <v>55</v>
      </c>
      <c r="G39" s="4">
        <v>59</v>
      </c>
      <c r="H39" s="2" t="s">
        <v>13</v>
      </c>
      <c r="I39" s="2" t="s">
        <v>18</v>
      </c>
      <c r="J39" s="2" t="s">
        <v>15</v>
      </c>
      <c r="K39" s="1">
        <v>6.7796610169491522</v>
      </c>
      <c r="L39" s="1">
        <v>93.220338983050837</v>
      </c>
      <c r="M39" s="2" t="s">
        <v>16</v>
      </c>
    </row>
    <row r="40" spans="1:13" x14ac:dyDescent="0.3">
      <c r="A40" s="4">
        <v>39</v>
      </c>
      <c r="B40" s="3">
        <v>0.33329999999999999</v>
      </c>
      <c r="C40" s="1">
        <v>0.81</v>
      </c>
      <c r="D40" s="1">
        <v>0.16420000000000001</v>
      </c>
      <c r="E40" s="4">
        <v>19</v>
      </c>
      <c r="F40" s="4">
        <v>55</v>
      </c>
      <c r="G40" s="4">
        <v>74</v>
      </c>
      <c r="H40" s="2" t="s">
        <v>13</v>
      </c>
      <c r="I40" s="2" t="s">
        <v>18</v>
      </c>
      <c r="J40" s="2" t="s">
        <v>15</v>
      </c>
      <c r="K40" s="1">
        <v>25.67567567567567</v>
      </c>
      <c r="L40" s="1">
        <v>74.324324324324323</v>
      </c>
      <c r="M40" s="2" t="s">
        <v>16</v>
      </c>
    </row>
    <row r="41" spans="1:13" x14ac:dyDescent="0.3">
      <c r="A41" s="4">
        <v>40</v>
      </c>
      <c r="B41" s="3">
        <v>0.33329999999999999</v>
      </c>
      <c r="C41" s="1">
        <v>0.71</v>
      </c>
      <c r="D41" s="1">
        <v>0.16420000000000001</v>
      </c>
      <c r="E41" s="4">
        <v>9</v>
      </c>
      <c r="F41" s="4">
        <v>67</v>
      </c>
      <c r="G41" s="4">
        <v>76</v>
      </c>
      <c r="H41" s="2" t="s">
        <v>13</v>
      </c>
      <c r="I41" s="2" t="s">
        <v>18</v>
      </c>
      <c r="J41" s="2" t="s">
        <v>15</v>
      </c>
      <c r="K41" s="1">
        <v>11.84210526315789</v>
      </c>
      <c r="L41" s="1">
        <v>88.157894736842096</v>
      </c>
      <c r="M41" s="2" t="s">
        <v>16</v>
      </c>
    </row>
    <row r="42" spans="1:13" x14ac:dyDescent="0.3">
      <c r="A42" s="4">
        <v>41</v>
      </c>
      <c r="B42" s="3">
        <v>0.33329999999999999</v>
      </c>
      <c r="C42" s="1">
        <v>0.56999999999999995</v>
      </c>
      <c r="D42" s="1">
        <v>0.19400000000000001</v>
      </c>
      <c r="E42" s="4">
        <v>7</v>
      </c>
      <c r="F42" s="4">
        <v>58</v>
      </c>
      <c r="G42" s="4">
        <v>65</v>
      </c>
      <c r="H42" s="2" t="s">
        <v>19</v>
      </c>
      <c r="I42" s="2" t="s">
        <v>18</v>
      </c>
      <c r="J42" s="2" t="s">
        <v>15</v>
      </c>
      <c r="K42" s="1">
        <v>10.76923076923077</v>
      </c>
      <c r="L42" s="1">
        <v>89.230769230769241</v>
      </c>
      <c r="M42" s="2" t="s">
        <v>16</v>
      </c>
    </row>
    <row r="43" spans="1:13" x14ac:dyDescent="0.3">
      <c r="A43" s="4">
        <v>42</v>
      </c>
      <c r="B43" s="3">
        <v>0.33329999999999999</v>
      </c>
      <c r="C43" s="1">
        <v>0.46</v>
      </c>
      <c r="D43" s="1">
        <v>0.32840000000000003</v>
      </c>
      <c r="E43" s="4">
        <v>10</v>
      </c>
      <c r="F43" s="4">
        <v>43</v>
      </c>
      <c r="G43" s="4">
        <v>53</v>
      </c>
      <c r="H43" s="2" t="s">
        <v>19</v>
      </c>
      <c r="I43" s="2" t="s">
        <v>20</v>
      </c>
      <c r="J43" s="2" t="s">
        <v>15</v>
      </c>
      <c r="K43" s="1">
        <v>18.867924528301891</v>
      </c>
      <c r="L43" s="1">
        <v>81.132075471698116</v>
      </c>
      <c r="M43" s="2" t="s">
        <v>16</v>
      </c>
    </row>
    <row r="44" spans="1:13" x14ac:dyDescent="0.3">
      <c r="A44" s="4">
        <v>43</v>
      </c>
      <c r="B44" s="3">
        <v>0.28789999999999999</v>
      </c>
      <c r="C44" s="1">
        <v>0.42</v>
      </c>
      <c r="D44" s="1">
        <v>0.44779999999999998</v>
      </c>
      <c r="E44" s="4">
        <v>1</v>
      </c>
      <c r="F44" s="4">
        <v>29</v>
      </c>
      <c r="G44" s="4">
        <v>30</v>
      </c>
      <c r="H44" s="2" t="s">
        <v>19</v>
      </c>
      <c r="I44" s="2" t="s">
        <v>20</v>
      </c>
      <c r="J44" s="2" t="s">
        <v>15</v>
      </c>
      <c r="K44" s="1">
        <v>3.333333333333333</v>
      </c>
      <c r="L44" s="1">
        <v>96.666666666666671</v>
      </c>
      <c r="M44" s="2" t="s">
        <v>16</v>
      </c>
    </row>
    <row r="45" spans="1:13" x14ac:dyDescent="0.3">
      <c r="A45" s="4">
        <v>44</v>
      </c>
      <c r="B45" s="3">
        <f>B44</f>
        <v>0.28789999999999999</v>
      </c>
      <c r="C45" s="1">
        <v>0.39</v>
      </c>
      <c r="D45" s="1">
        <v>0.35820000000000002</v>
      </c>
      <c r="E45" s="4">
        <v>5</v>
      </c>
      <c r="F45" s="4">
        <v>17</v>
      </c>
      <c r="G45" s="4">
        <v>22</v>
      </c>
      <c r="H45" s="2" t="s">
        <v>16</v>
      </c>
      <c r="I45" s="2" t="s">
        <v>20</v>
      </c>
      <c r="J45" s="2" t="s">
        <v>15</v>
      </c>
      <c r="K45" s="1">
        <v>22.72727272727273</v>
      </c>
      <c r="L45" s="1">
        <v>77.272727272727266</v>
      </c>
      <c r="M45" s="2" t="s">
        <v>16</v>
      </c>
    </row>
    <row r="46" spans="1:13" x14ac:dyDescent="0.3">
      <c r="A46" s="4">
        <v>45</v>
      </c>
      <c r="B46" s="3">
        <v>0.2273</v>
      </c>
      <c r="C46" s="1">
        <v>0.44</v>
      </c>
      <c r="D46" s="1">
        <v>0.32840000000000003</v>
      </c>
      <c r="E46" s="4">
        <v>11</v>
      </c>
      <c r="F46" s="4">
        <v>20</v>
      </c>
      <c r="G46" s="4">
        <v>31</v>
      </c>
      <c r="H46" s="2" t="s">
        <v>19</v>
      </c>
      <c r="I46" s="2" t="s">
        <v>20</v>
      </c>
      <c r="J46" s="2" t="s">
        <v>15</v>
      </c>
      <c r="K46" s="1">
        <v>35.483870967741943</v>
      </c>
      <c r="L46" s="1">
        <v>64.516129032258064</v>
      </c>
      <c r="M46" s="2" t="s">
        <v>16</v>
      </c>
    </row>
    <row r="47" spans="1:13" x14ac:dyDescent="0.3">
      <c r="A47" s="4">
        <v>46</v>
      </c>
      <c r="B47" s="3">
        <v>0.21210000000000001</v>
      </c>
      <c r="C47" s="1">
        <v>0.44</v>
      </c>
      <c r="D47" s="1">
        <v>0.29849999999999999</v>
      </c>
      <c r="E47" s="4">
        <v>0</v>
      </c>
      <c r="F47" s="4">
        <v>9</v>
      </c>
      <c r="G47" s="4">
        <v>9</v>
      </c>
      <c r="H47" s="2" t="s">
        <v>19</v>
      </c>
      <c r="I47" s="2" t="s">
        <v>18</v>
      </c>
      <c r="J47" s="2" t="s">
        <v>15</v>
      </c>
      <c r="K47" s="1">
        <v>0</v>
      </c>
      <c r="L47" s="1">
        <v>100</v>
      </c>
      <c r="M47" s="2" t="s">
        <v>16</v>
      </c>
    </row>
    <row r="48" spans="1:13" x14ac:dyDescent="0.3">
      <c r="A48" s="4">
        <v>47</v>
      </c>
      <c r="B48" s="3">
        <v>0.2273</v>
      </c>
      <c r="C48" s="1">
        <v>0.47</v>
      </c>
      <c r="D48" s="1">
        <v>0.16420000000000001</v>
      </c>
      <c r="E48" s="4">
        <v>0</v>
      </c>
      <c r="F48" s="4">
        <v>8</v>
      </c>
      <c r="G48" s="4">
        <v>8</v>
      </c>
      <c r="H48" s="2" t="s">
        <v>19</v>
      </c>
      <c r="I48" s="2" t="s">
        <v>18</v>
      </c>
      <c r="J48" s="2" t="s">
        <v>15</v>
      </c>
      <c r="K48" s="1">
        <v>0</v>
      </c>
      <c r="L48" s="1">
        <v>100</v>
      </c>
      <c r="M48" s="2" t="s">
        <v>16</v>
      </c>
    </row>
    <row r="49" spans="1:13" x14ac:dyDescent="0.3">
      <c r="A49" s="4">
        <v>48</v>
      </c>
      <c r="B49" s="3">
        <v>0.19700000000000001</v>
      </c>
      <c r="C49" s="1">
        <v>0.44</v>
      </c>
      <c r="D49" s="1">
        <v>0.35820000000000002</v>
      </c>
      <c r="E49" s="4">
        <v>0</v>
      </c>
      <c r="F49" s="4">
        <v>5</v>
      </c>
      <c r="G49" s="4">
        <v>5</v>
      </c>
      <c r="H49" s="2" t="s">
        <v>19</v>
      </c>
      <c r="I49" s="2" t="s">
        <v>20</v>
      </c>
      <c r="J49" s="2" t="s">
        <v>15</v>
      </c>
      <c r="K49" s="1">
        <v>0</v>
      </c>
      <c r="L49" s="1">
        <v>100</v>
      </c>
      <c r="M49" s="2" t="s">
        <v>16</v>
      </c>
    </row>
    <row r="50" spans="1:13" x14ac:dyDescent="0.3">
      <c r="A50" s="4">
        <v>49</v>
      </c>
      <c r="B50" s="3">
        <f>B49</f>
        <v>0.19700000000000001</v>
      </c>
      <c r="C50" s="1">
        <v>0.44</v>
      </c>
      <c r="D50" s="1">
        <v>0.41789999999999999</v>
      </c>
      <c r="E50" s="4">
        <v>0</v>
      </c>
      <c r="F50" s="4">
        <v>2</v>
      </c>
      <c r="G50" s="4">
        <v>2</v>
      </c>
      <c r="H50" s="2" t="s">
        <v>19</v>
      </c>
      <c r="I50" s="2" t="s">
        <v>20</v>
      </c>
      <c r="J50" s="2" t="s">
        <v>15</v>
      </c>
      <c r="K50" s="1">
        <v>0</v>
      </c>
      <c r="L50" s="1">
        <v>100</v>
      </c>
      <c r="M50" s="2" t="s">
        <v>16</v>
      </c>
    </row>
    <row r="51" spans="1:13" x14ac:dyDescent="0.3">
      <c r="A51" s="4">
        <v>50</v>
      </c>
      <c r="B51" s="3">
        <v>0.13639999999999999</v>
      </c>
      <c r="C51" s="1">
        <v>0.47</v>
      </c>
      <c r="D51" s="1">
        <v>0.3881</v>
      </c>
      <c r="E51" s="4">
        <v>0</v>
      </c>
      <c r="F51" s="4">
        <v>1</v>
      </c>
      <c r="G51" s="4">
        <v>1</v>
      </c>
      <c r="H51" s="2" t="s">
        <v>19</v>
      </c>
      <c r="I51" s="2" t="s">
        <v>20</v>
      </c>
      <c r="J51" s="2" t="s">
        <v>15</v>
      </c>
      <c r="K51" s="1">
        <v>0</v>
      </c>
      <c r="L51" s="1">
        <v>100</v>
      </c>
      <c r="M51" s="2" t="s">
        <v>16</v>
      </c>
    </row>
    <row r="52" spans="1:13" x14ac:dyDescent="0.3">
      <c r="A52" s="4">
        <v>51</v>
      </c>
      <c r="B52" s="3">
        <v>0.13639999999999999</v>
      </c>
      <c r="C52" s="1">
        <v>0.47</v>
      </c>
      <c r="D52" s="1">
        <v>0.28360000000000002</v>
      </c>
      <c r="E52" s="4">
        <v>0</v>
      </c>
      <c r="F52" s="4">
        <v>3</v>
      </c>
      <c r="G52" s="4">
        <v>3</v>
      </c>
      <c r="H52" s="2" t="s">
        <v>19</v>
      </c>
      <c r="I52" s="2" t="s">
        <v>18</v>
      </c>
      <c r="J52" s="2" t="s">
        <v>15</v>
      </c>
      <c r="K52" s="1">
        <v>0</v>
      </c>
      <c r="L52" s="1">
        <v>100</v>
      </c>
      <c r="M52" s="2" t="s">
        <v>16</v>
      </c>
    </row>
    <row r="53" spans="1:13" x14ac:dyDescent="0.3">
      <c r="A53" s="4">
        <v>52</v>
      </c>
      <c r="B53" s="3">
        <v>0.1061</v>
      </c>
      <c r="C53" s="1">
        <v>0.5</v>
      </c>
      <c r="D53" s="1">
        <v>0.3881</v>
      </c>
      <c r="E53" s="4">
        <v>0</v>
      </c>
      <c r="F53" s="4">
        <v>30</v>
      </c>
      <c r="G53" s="4">
        <v>30</v>
      </c>
      <c r="H53" s="2" t="s">
        <v>19</v>
      </c>
      <c r="I53" s="2" t="s">
        <v>20</v>
      </c>
      <c r="J53" s="2" t="s">
        <v>15</v>
      </c>
      <c r="K53" s="1">
        <v>0</v>
      </c>
      <c r="L53" s="1">
        <v>100</v>
      </c>
      <c r="M53" s="2" t="s">
        <v>16</v>
      </c>
    </row>
    <row r="54" spans="1:13" x14ac:dyDescent="0.3">
      <c r="A54" s="4">
        <v>53</v>
      </c>
      <c r="B54" s="3">
        <v>0.13639999999999999</v>
      </c>
      <c r="C54" s="1">
        <v>0.5</v>
      </c>
      <c r="D54" s="1">
        <v>0.19400000000000001</v>
      </c>
      <c r="E54" s="4">
        <v>1</v>
      </c>
      <c r="F54" s="4">
        <v>63</v>
      </c>
      <c r="G54" s="4">
        <v>64</v>
      </c>
      <c r="H54" s="2" t="s">
        <v>19</v>
      </c>
      <c r="I54" s="2" t="s">
        <v>18</v>
      </c>
      <c r="J54" s="2" t="s">
        <v>15</v>
      </c>
      <c r="K54" s="1">
        <v>1.5625</v>
      </c>
      <c r="L54" s="1">
        <v>98.4375</v>
      </c>
      <c r="M54" s="2" t="s">
        <v>16</v>
      </c>
    </row>
    <row r="55" spans="1:13" x14ac:dyDescent="0.3">
      <c r="A55" s="4">
        <v>54</v>
      </c>
      <c r="B55" s="3">
        <v>0.1212</v>
      </c>
      <c r="C55" s="1">
        <v>0.5</v>
      </c>
      <c r="D55" s="1">
        <v>0.28360000000000002</v>
      </c>
      <c r="E55" s="4">
        <v>1</v>
      </c>
      <c r="F55" s="4">
        <v>153</v>
      </c>
      <c r="G55" s="4">
        <v>154</v>
      </c>
      <c r="H55" s="2" t="s">
        <v>19</v>
      </c>
      <c r="I55" s="2" t="s">
        <v>18</v>
      </c>
      <c r="J55" s="2" t="s">
        <v>15</v>
      </c>
      <c r="K55" s="1">
        <v>0.64935064935064934</v>
      </c>
      <c r="L55" s="1">
        <v>99.350649350649363</v>
      </c>
      <c r="M55" s="2" t="s">
        <v>19</v>
      </c>
    </row>
    <row r="56" spans="1:13" x14ac:dyDescent="0.3">
      <c r="A56" s="4">
        <v>55</v>
      </c>
      <c r="B56" s="3">
        <v>0.13639999999999999</v>
      </c>
      <c r="C56" s="1">
        <v>0.43</v>
      </c>
      <c r="D56" s="1">
        <v>0.3881</v>
      </c>
      <c r="E56" s="4">
        <v>7</v>
      </c>
      <c r="F56" s="4">
        <v>81</v>
      </c>
      <c r="G56" s="4">
        <v>88</v>
      </c>
      <c r="H56" s="2" t="s">
        <v>19</v>
      </c>
      <c r="I56" s="2" t="s">
        <v>20</v>
      </c>
      <c r="J56" s="2" t="s">
        <v>15</v>
      </c>
      <c r="K56" s="1">
        <v>7.9545454545454541</v>
      </c>
      <c r="L56" s="1">
        <v>92.045454545454547</v>
      </c>
      <c r="M56" s="2" t="s">
        <v>16</v>
      </c>
    </row>
    <row r="57" spans="1:13" x14ac:dyDescent="0.3">
      <c r="A57" s="4">
        <v>56</v>
      </c>
      <c r="B57" s="3">
        <v>0.16669999999999999</v>
      </c>
      <c r="C57" s="1">
        <v>0.43</v>
      </c>
      <c r="D57" s="1">
        <v>0.25369999999999998</v>
      </c>
      <c r="E57" s="4">
        <v>11</v>
      </c>
      <c r="F57" s="4">
        <v>33</v>
      </c>
      <c r="G57" s="4">
        <v>44</v>
      </c>
      <c r="H57" s="2" t="s">
        <v>19</v>
      </c>
      <c r="I57" s="2" t="s">
        <v>18</v>
      </c>
      <c r="J57" s="2" t="s">
        <v>15</v>
      </c>
      <c r="K57" s="1">
        <v>25</v>
      </c>
      <c r="L57" s="1">
        <v>75</v>
      </c>
      <c r="M57" s="2" t="s">
        <v>16</v>
      </c>
    </row>
    <row r="58" spans="1:13" x14ac:dyDescent="0.3">
      <c r="A58" s="4">
        <v>57</v>
      </c>
      <c r="B58" s="3">
        <v>0.18179999999999999</v>
      </c>
      <c r="C58" s="1">
        <v>0.4</v>
      </c>
      <c r="D58" s="1">
        <v>0.32840000000000003</v>
      </c>
      <c r="E58" s="4">
        <v>10</v>
      </c>
      <c r="F58" s="4">
        <v>41</v>
      </c>
      <c r="G58" s="4">
        <v>51</v>
      </c>
      <c r="H58" s="2" t="s">
        <v>19</v>
      </c>
      <c r="I58" s="2" t="s">
        <v>20</v>
      </c>
      <c r="J58" s="2" t="s">
        <v>15</v>
      </c>
      <c r="K58" s="1">
        <v>19.6078431372549</v>
      </c>
      <c r="L58" s="1">
        <v>80.392156862745097</v>
      </c>
      <c r="M58" s="2" t="s">
        <v>16</v>
      </c>
    </row>
    <row r="59" spans="1:13" x14ac:dyDescent="0.3">
      <c r="A59" s="4">
        <v>58</v>
      </c>
      <c r="B59" s="3">
        <v>0.21210000000000001</v>
      </c>
      <c r="C59" s="1">
        <v>0.35</v>
      </c>
      <c r="D59" s="1">
        <v>0.29849999999999999</v>
      </c>
      <c r="E59" s="4">
        <v>13</v>
      </c>
      <c r="F59" s="4">
        <v>48</v>
      </c>
      <c r="G59" s="4">
        <v>61</v>
      </c>
      <c r="H59" s="2" t="s">
        <v>16</v>
      </c>
      <c r="I59" s="2" t="s">
        <v>18</v>
      </c>
      <c r="J59" s="2" t="s">
        <v>15</v>
      </c>
      <c r="K59" s="1">
        <v>21.31147540983606</v>
      </c>
      <c r="L59" s="1">
        <v>78.688524590163937</v>
      </c>
      <c r="M59" s="2" t="s">
        <v>16</v>
      </c>
    </row>
    <row r="60" spans="1:13" x14ac:dyDescent="0.3">
      <c r="A60" s="4">
        <v>59</v>
      </c>
      <c r="B60" s="3">
        <f>B59</f>
        <v>0.21210000000000001</v>
      </c>
      <c r="C60" s="1">
        <v>0.35</v>
      </c>
      <c r="D60" s="1">
        <v>0.28360000000000002</v>
      </c>
      <c r="E60" s="4">
        <v>8</v>
      </c>
      <c r="F60" s="4">
        <v>53</v>
      </c>
      <c r="G60" s="4">
        <v>61</v>
      </c>
      <c r="H60" s="2" t="s">
        <v>16</v>
      </c>
      <c r="I60" s="2" t="s">
        <v>18</v>
      </c>
      <c r="J60" s="2" t="s">
        <v>15</v>
      </c>
      <c r="K60" s="1">
        <v>13.11475409836066</v>
      </c>
      <c r="L60" s="1">
        <v>86.885245901639337</v>
      </c>
      <c r="M60" s="2" t="s">
        <v>16</v>
      </c>
    </row>
    <row r="61" spans="1:13" x14ac:dyDescent="0.3">
      <c r="A61" s="4">
        <v>60</v>
      </c>
      <c r="B61" s="3">
        <v>0.2424</v>
      </c>
      <c r="C61" s="1">
        <v>0.3</v>
      </c>
      <c r="D61" s="1">
        <v>0.28360000000000002</v>
      </c>
      <c r="E61" s="4">
        <v>11</v>
      </c>
      <c r="F61" s="4">
        <v>66</v>
      </c>
      <c r="G61" s="4">
        <v>77</v>
      </c>
      <c r="H61" s="2" t="s">
        <v>16</v>
      </c>
      <c r="I61" s="2" t="s">
        <v>18</v>
      </c>
      <c r="J61" s="2" t="s">
        <v>15</v>
      </c>
      <c r="K61" s="1">
        <v>14.285714285714279</v>
      </c>
      <c r="L61" s="1">
        <v>85.714285714285708</v>
      </c>
      <c r="M61" s="2" t="s">
        <v>16</v>
      </c>
    </row>
    <row r="62" spans="1:13" x14ac:dyDescent="0.3">
      <c r="A62" s="4">
        <v>61</v>
      </c>
      <c r="B62" s="3">
        <v>0.2424</v>
      </c>
      <c r="C62" s="1">
        <v>0.3</v>
      </c>
      <c r="D62" s="1">
        <v>0.25369999999999998</v>
      </c>
      <c r="E62" s="4">
        <v>14</v>
      </c>
      <c r="F62" s="4">
        <v>58</v>
      </c>
      <c r="G62" s="4">
        <v>72</v>
      </c>
      <c r="H62" s="2" t="s">
        <v>16</v>
      </c>
      <c r="I62" s="2" t="s">
        <v>18</v>
      </c>
      <c r="J62" s="2" t="s">
        <v>15</v>
      </c>
      <c r="K62" s="1">
        <v>19.44444444444445</v>
      </c>
      <c r="L62" s="1">
        <v>80.555555555555557</v>
      </c>
      <c r="M62" s="2" t="s">
        <v>16</v>
      </c>
    </row>
    <row r="63" spans="1:13" x14ac:dyDescent="0.3">
      <c r="A63" s="4">
        <v>62</v>
      </c>
      <c r="B63" s="3">
        <v>0.2424</v>
      </c>
      <c r="C63" s="1">
        <v>0.3</v>
      </c>
      <c r="D63" s="1">
        <v>0.25369999999999998</v>
      </c>
      <c r="E63" s="4">
        <v>9</v>
      </c>
      <c r="F63" s="4">
        <v>67</v>
      </c>
      <c r="G63" s="4">
        <v>76</v>
      </c>
      <c r="H63" s="2" t="s">
        <v>16</v>
      </c>
      <c r="I63" s="2" t="s">
        <v>18</v>
      </c>
      <c r="J63" s="2" t="s">
        <v>15</v>
      </c>
      <c r="K63" s="1">
        <v>11.84210526315789</v>
      </c>
      <c r="L63" s="1">
        <v>88.157894736842096</v>
      </c>
      <c r="M63" s="2" t="s">
        <v>16</v>
      </c>
    </row>
    <row r="64" spans="1:13" x14ac:dyDescent="0.3">
      <c r="A64" s="4">
        <v>63</v>
      </c>
      <c r="B64" s="3">
        <v>0.2273</v>
      </c>
      <c r="C64" s="1">
        <v>0.3</v>
      </c>
      <c r="D64" s="1">
        <v>0.22389999999999999</v>
      </c>
      <c r="E64" s="4">
        <v>11</v>
      </c>
      <c r="F64" s="4">
        <v>146</v>
      </c>
      <c r="G64" s="4">
        <v>157</v>
      </c>
      <c r="H64" s="2" t="s">
        <v>16</v>
      </c>
      <c r="I64" s="2" t="s">
        <v>18</v>
      </c>
      <c r="J64" s="2" t="s">
        <v>15</v>
      </c>
      <c r="K64" s="1">
        <v>7.0063694267515926</v>
      </c>
      <c r="L64" s="1">
        <v>92.99363057324841</v>
      </c>
      <c r="M64" s="2" t="s">
        <v>19</v>
      </c>
    </row>
    <row r="65" spans="1:13" x14ac:dyDescent="0.3">
      <c r="A65" s="4">
        <v>64</v>
      </c>
      <c r="B65" s="3">
        <v>0.2576</v>
      </c>
      <c r="C65" s="1">
        <v>0.32</v>
      </c>
      <c r="D65" s="1">
        <v>0.1045</v>
      </c>
      <c r="E65" s="4">
        <v>9</v>
      </c>
      <c r="F65" s="4">
        <v>148</v>
      </c>
      <c r="G65" s="4">
        <v>157</v>
      </c>
      <c r="H65" s="2" t="s">
        <v>16</v>
      </c>
      <c r="I65" s="2" t="s">
        <v>14</v>
      </c>
      <c r="J65" s="2" t="s">
        <v>15</v>
      </c>
      <c r="K65" s="1">
        <v>5.7324840764331224</v>
      </c>
      <c r="L65" s="1">
        <v>94.267515923566876</v>
      </c>
      <c r="M65" s="2" t="s">
        <v>19</v>
      </c>
    </row>
    <row r="66" spans="1:13" x14ac:dyDescent="0.3">
      <c r="A66" s="4">
        <v>65</v>
      </c>
      <c r="B66" s="3">
        <v>0.2576</v>
      </c>
      <c r="C66" s="1">
        <v>0.47</v>
      </c>
      <c r="D66" s="1">
        <v>0</v>
      </c>
      <c r="E66" s="4">
        <v>8</v>
      </c>
      <c r="F66" s="4">
        <v>102</v>
      </c>
      <c r="G66" s="4">
        <v>110</v>
      </c>
      <c r="H66" s="2" t="s">
        <v>19</v>
      </c>
      <c r="I66" s="2" t="s">
        <v>14</v>
      </c>
      <c r="J66" s="2" t="s">
        <v>15</v>
      </c>
      <c r="K66" s="1">
        <v>7.2727272727272716</v>
      </c>
      <c r="L66" s="1">
        <v>92.72727272727272</v>
      </c>
      <c r="M66" s="2" t="s">
        <v>19</v>
      </c>
    </row>
    <row r="67" spans="1:13" x14ac:dyDescent="0.3">
      <c r="A67" s="4">
        <v>66</v>
      </c>
      <c r="B67" s="3">
        <f>B66</f>
        <v>0.2576</v>
      </c>
      <c r="C67" s="1">
        <v>0.47</v>
      </c>
      <c r="D67" s="1">
        <v>0.1045</v>
      </c>
      <c r="E67" s="4">
        <v>3</v>
      </c>
      <c r="F67" s="4">
        <v>49</v>
      </c>
      <c r="G67" s="4">
        <v>52</v>
      </c>
      <c r="H67" s="2" t="s">
        <v>19</v>
      </c>
      <c r="I67" s="2" t="s">
        <v>14</v>
      </c>
      <c r="J67" s="2" t="s">
        <v>15</v>
      </c>
      <c r="K67" s="1">
        <v>5.7692307692307692</v>
      </c>
      <c r="L67" s="1">
        <v>94.230769230769226</v>
      </c>
      <c r="M67" s="2" t="s">
        <v>16</v>
      </c>
    </row>
    <row r="68" spans="1:13" x14ac:dyDescent="0.3">
      <c r="A68" s="4">
        <v>67</v>
      </c>
      <c r="B68" s="3">
        <v>0.19700000000000001</v>
      </c>
      <c r="C68" s="1">
        <v>0.64</v>
      </c>
      <c r="D68" s="1">
        <v>0.1343</v>
      </c>
      <c r="E68" s="4">
        <v>3</v>
      </c>
      <c r="F68" s="4">
        <v>49</v>
      </c>
      <c r="G68" s="4">
        <v>52</v>
      </c>
      <c r="H68" s="2" t="s">
        <v>19</v>
      </c>
      <c r="I68" s="2" t="s">
        <v>14</v>
      </c>
      <c r="J68" s="2" t="s">
        <v>15</v>
      </c>
      <c r="K68" s="1">
        <v>5.7692307692307692</v>
      </c>
      <c r="L68" s="1">
        <v>94.230769230769226</v>
      </c>
      <c r="M68" s="2" t="s">
        <v>16</v>
      </c>
    </row>
    <row r="69" spans="1:13" x14ac:dyDescent="0.3">
      <c r="A69" s="4">
        <v>68</v>
      </c>
      <c r="B69" s="3">
        <v>0.1515</v>
      </c>
      <c r="C69" s="1">
        <v>0.69</v>
      </c>
      <c r="D69" s="1">
        <v>0.1343</v>
      </c>
      <c r="E69" s="4">
        <v>0</v>
      </c>
      <c r="F69" s="4">
        <v>20</v>
      </c>
      <c r="G69" s="4">
        <v>20</v>
      </c>
      <c r="H69" s="2" t="s">
        <v>19</v>
      </c>
      <c r="I69" s="2" t="s">
        <v>14</v>
      </c>
      <c r="J69" s="2" t="s">
        <v>15</v>
      </c>
      <c r="K69" s="1">
        <v>0</v>
      </c>
      <c r="L69" s="1">
        <v>100</v>
      </c>
      <c r="M69" s="2" t="s">
        <v>16</v>
      </c>
    </row>
    <row r="70" spans="1:13" x14ac:dyDescent="0.3">
      <c r="A70" s="4">
        <v>69</v>
      </c>
      <c r="B70" s="3">
        <v>0.21210000000000001</v>
      </c>
      <c r="C70" s="1">
        <v>0.55000000000000004</v>
      </c>
      <c r="D70" s="1">
        <v>0.1045</v>
      </c>
      <c r="E70" s="4">
        <v>1</v>
      </c>
      <c r="F70" s="4">
        <v>11</v>
      </c>
      <c r="G70" s="4">
        <v>12</v>
      </c>
      <c r="H70" s="2" t="s">
        <v>19</v>
      </c>
      <c r="I70" s="2" t="s">
        <v>14</v>
      </c>
      <c r="J70" s="2" t="s">
        <v>15</v>
      </c>
      <c r="K70" s="1">
        <v>8.3333333333333321</v>
      </c>
      <c r="L70" s="1">
        <v>91.666666666666657</v>
      </c>
      <c r="M70" s="2" t="s">
        <v>16</v>
      </c>
    </row>
    <row r="71" spans="1:13" x14ac:dyDescent="0.3">
      <c r="A71" s="4">
        <v>70</v>
      </c>
      <c r="B71" s="3">
        <f>B70</f>
        <v>0.21210000000000001</v>
      </c>
      <c r="C71" s="1">
        <v>0.55000000000000004</v>
      </c>
      <c r="D71" s="1">
        <v>0.1045</v>
      </c>
      <c r="E71" s="4">
        <v>0</v>
      </c>
      <c r="F71" s="4">
        <v>5</v>
      </c>
      <c r="G71" s="4">
        <v>5</v>
      </c>
      <c r="H71" s="2" t="s">
        <v>19</v>
      </c>
      <c r="I71" s="2" t="s">
        <v>14</v>
      </c>
      <c r="J71" s="2" t="s">
        <v>15</v>
      </c>
      <c r="K71" s="1">
        <v>0</v>
      </c>
      <c r="L71" s="1">
        <v>100</v>
      </c>
      <c r="M71" s="2" t="s">
        <v>16</v>
      </c>
    </row>
    <row r="72" spans="1:13" x14ac:dyDescent="0.3">
      <c r="A72" s="4">
        <v>71</v>
      </c>
      <c r="B72" s="3">
        <v>0.18179999999999999</v>
      </c>
      <c r="C72" s="1">
        <v>0.59</v>
      </c>
      <c r="D72" s="1">
        <v>0.1045</v>
      </c>
      <c r="E72" s="4">
        <v>0</v>
      </c>
      <c r="F72" s="4">
        <v>2</v>
      </c>
      <c r="G72" s="4">
        <v>2</v>
      </c>
      <c r="H72" s="2" t="s">
        <v>19</v>
      </c>
      <c r="I72" s="2" t="s">
        <v>14</v>
      </c>
      <c r="J72" s="2" t="s">
        <v>15</v>
      </c>
      <c r="K72" s="1">
        <v>0</v>
      </c>
      <c r="L72" s="1">
        <v>100</v>
      </c>
      <c r="M72" s="2" t="s">
        <v>16</v>
      </c>
    </row>
    <row r="73" spans="1:13" x14ac:dyDescent="0.3">
      <c r="A73" s="4">
        <v>72</v>
      </c>
      <c r="B73" s="3">
        <v>0.1515</v>
      </c>
      <c r="C73" s="1">
        <v>0.63</v>
      </c>
      <c r="D73" s="1">
        <v>0.1343</v>
      </c>
      <c r="E73" s="4">
        <v>0</v>
      </c>
      <c r="F73" s="4">
        <v>1</v>
      </c>
      <c r="G73" s="4">
        <v>1</v>
      </c>
      <c r="H73" s="2" t="s">
        <v>19</v>
      </c>
      <c r="I73" s="2" t="s">
        <v>14</v>
      </c>
      <c r="J73" s="2" t="s">
        <v>15</v>
      </c>
      <c r="K73" s="1">
        <v>0</v>
      </c>
      <c r="L73" s="1">
        <v>100</v>
      </c>
      <c r="M73" s="2" t="s">
        <v>16</v>
      </c>
    </row>
    <row r="74" spans="1:13" x14ac:dyDescent="0.3">
      <c r="A74" s="4">
        <v>73</v>
      </c>
      <c r="B74" s="3">
        <v>0.18179999999999999</v>
      </c>
      <c r="C74" s="1">
        <v>0.63</v>
      </c>
      <c r="D74" s="1">
        <v>8.9599999999999999E-2</v>
      </c>
      <c r="E74" s="4">
        <v>0</v>
      </c>
      <c r="F74" s="4">
        <v>2</v>
      </c>
      <c r="G74" s="4">
        <v>2</v>
      </c>
      <c r="H74" s="2" t="s">
        <v>19</v>
      </c>
      <c r="I74" s="2" t="s">
        <v>14</v>
      </c>
      <c r="J74" s="2" t="s">
        <v>15</v>
      </c>
      <c r="K74" s="1">
        <v>0</v>
      </c>
      <c r="L74" s="1">
        <v>100</v>
      </c>
      <c r="M74" s="2" t="s">
        <v>16</v>
      </c>
    </row>
    <row r="75" spans="1:13" x14ac:dyDescent="0.3">
      <c r="A75" s="4">
        <v>74</v>
      </c>
      <c r="B75" s="3">
        <v>0.1515</v>
      </c>
      <c r="C75" s="1">
        <v>0.68</v>
      </c>
      <c r="D75" s="1">
        <v>0.1045</v>
      </c>
      <c r="E75" s="4">
        <v>0</v>
      </c>
      <c r="F75" s="4">
        <v>4</v>
      </c>
      <c r="G75" s="4">
        <v>4</v>
      </c>
      <c r="H75" s="2" t="s">
        <v>19</v>
      </c>
      <c r="I75" s="2" t="s">
        <v>14</v>
      </c>
      <c r="J75" s="2" t="s">
        <v>15</v>
      </c>
      <c r="K75" s="1">
        <v>0</v>
      </c>
      <c r="L75" s="1">
        <v>100</v>
      </c>
      <c r="M75" s="2" t="s">
        <v>16</v>
      </c>
    </row>
    <row r="76" spans="1:13" x14ac:dyDescent="0.3">
      <c r="A76" s="4">
        <v>75</v>
      </c>
      <c r="B76" s="3">
        <v>0.1515</v>
      </c>
      <c r="C76" s="1">
        <v>0.74</v>
      </c>
      <c r="D76" s="1">
        <v>0.1045</v>
      </c>
      <c r="E76" s="4">
        <v>0</v>
      </c>
      <c r="F76" s="4">
        <v>36</v>
      </c>
      <c r="G76" s="4">
        <v>36</v>
      </c>
      <c r="H76" s="2" t="s">
        <v>13</v>
      </c>
      <c r="I76" s="2" t="s">
        <v>14</v>
      </c>
      <c r="J76" s="2" t="s">
        <v>15</v>
      </c>
      <c r="K76" s="1">
        <v>0</v>
      </c>
      <c r="L76" s="1">
        <v>100</v>
      </c>
      <c r="M76" s="2" t="s">
        <v>16</v>
      </c>
    </row>
    <row r="77" spans="1:13" x14ac:dyDescent="0.3">
      <c r="A77" s="4">
        <v>76</v>
      </c>
      <c r="B77" s="3">
        <v>0.1515</v>
      </c>
      <c r="C77" s="1">
        <v>0.74</v>
      </c>
      <c r="D77" s="1">
        <v>0.1343</v>
      </c>
      <c r="E77" s="4">
        <v>2</v>
      </c>
      <c r="F77" s="4">
        <v>92</v>
      </c>
      <c r="G77" s="4">
        <v>94</v>
      </c>
      <c r="H77" s="2" t="s">
        <v>13</v>
      </c>
      <c r="I77" s="2" t="s">
        <v>14</v>
      </c>
      <c r="J77" s="2" t="s">
        <v>15</v>
      </c>
      <c r="K77" s="1">
        <v>2.1276595744680851</v>
      </c>
      <c r="L77" s="1">
        <v>97.872340425531917</v>
      </c>
      <c r="M77" s="2" t="s">
        <v>16</v>
      </c>
    </row>
    <row r="78" spans="1:13" x14ac:dyDescent="0.3">
      <c r="A78" s="4">
        <v>77</v>
      </c>
      <c r="B78" s="3">
        <v>0.1515</v>
      </c>
      <c r="C78" s="1">
        <v>0.69</v>
      </c>
      <c r="D78" s="1">
        <v>0.16420000000000001</v>
      </c>
      <c r="E78" s="4">
        <v>2</v>
      </c>
      <c r="F78" s="4">
        <v>177</v>
      </c>
      <c r="G78" s="4">
        <v>179</v>
      </c>
      <c r="H78" s="2" t="s">
        <v>19</v>
      </c>
      <c r="I78" s="2" t="s">
        <v>18</v>
      </c>
      <c r="J78" s="2" t="s">
        <v>15</v>
      </c>
      <c r="K78" s="1">
        <v>1.1173184357541901</v>
      </c>
      <c r="L78" s="1">
        <v>98.882681564245814</v>
      </c>
      <c r="M78" s="2" t="s">
        <v>19</v>
      </c>
    </row>
    <row r="79" spans="1:13" x14ac:dyDescent="0.3">
      <c r="A79" s="4">
        <v>78</v>
      </c>
      <c r="B79" s="3">
        <v>0.1515</v>
      </c>
      <c r="C79" s="1">
        <v>0.64</v>
      </c>
      <c r="D79" s="1">
        <v>0.22389999999999999</v>
      </c>
      <c r="E79" s="4">
        <v>2</v>
      </c>
      <c r="F79" s="4">
        <v>98</v>
      </c>
      <c r="G79" s="4">
        <v>100</v>
      </c>
      <c r="H79" s="2" t="s">
        <v>19</v>
      </c>
      <c r="I79" s="2" t="s">
        <v>18</v>
      </c>
      <c r="J79" s="2" t="s">
        <v>15</v>
      </c>
      <c r="K79" s="1">
        <v>2</v>
      </c>
      <c r="L79" s="1">
        <v>98</v>
      </c>
      <c r="M79" s="2" t="s">
        <v>19</v>
      </c>
    </row>
    <row r="80" spans="1:13" x14ac:dyDescent="0.3">
      <c r="A80" s="4">
        <v>79</v>
      </c>
      <c r="B80" s="3">
        <v>0.13639999999999999</v>
      </c>
      <c r="C80" s="1">
        <v>0.69</v>
      </c>
      <c r="D80" s="1">
        <v>0.32840000000000003</v>
      </c>
      <c r="E80" s="4">
        <v>5</v>
      </c>
      <c r="F80" s="4">
        <v>37</v>
      </c>
      <c r="G80" s="4">
        <v>42</v>
      </c>
      <c r="H80" s="2" t="s">
        <v>19</v>
      </c>
      <c r="I80" s="2" t="s">
        <v>20</v>
      </c>
      <c r="J80" s="2" t="s">
        <v>15</v>
      </c>
      <c r="K80" s="1">
        <v>11.9047619047619</v>
      </c>
      <c r="L80" s="1">
        <v>88.095238095238088</v>
      </c>
      <c r="M80" s="2" t="s">
        <v>16</v>
      </c>
    </row>
    <row r="81" spans="1:13" x14ac:dyDescent="0.3">
      <c r="A81" s="4">
        <v>80</v>
      </c>
      <c r="B81" s="3">
        <v>0.21210000000000001</v>
      </c>
      <c r="C81" s="1">
        <v>0.51</v>
      </c>
      <c r="D81" s="1">
        <v>0.29849999999999999</v>
      </c>
      <c r="E81" s="4">
        <v>7</v>
      </c>
      <c r="F81" s="4">
        <v>50</v>
      </c>
      <c r="G81" s="4">
        <v>57</v>
      </c>
      <c r="H81" s="2" t="s">
        <v>19</v>
      </c>
      <c r="I81" s="2" t="s">
        <v>18</v>
      </c>
      <c r="J81" s="2" t="s">
        <v>15</v>
      </c>
      <c r="K81" s="1">
        <v>12.28070175438596</v>
      </c>
      <c r="L81" s="1">
        <v>87.719298245614027</v>
      </c>
      <c r="M81" s="2" t="s">
        <v>16</v>
      </c>
    </row>
    <row r="82" spans="1:13" x14ac:dyDescent="0.3">
      <c r="A82" s="4">
        <v>81</v>
      </c>
      <c r="B82" s="3">
        <v>0.2273</v>
      </c>
      <c r="C82" s="1">
        <v>0.51</v>
      </c>
      <c r="D82" s="1">
        <v>0.16420000000000001</v>
      </c>
      <c r="E82" s="4">
        <v>12</v>
      </c>
      <c r="F82" s="4">
        <v>66</v>
      </c>
      <c r="G82" s="4">
        <v>78</v>
      </c>
      <c r="H82" s="2" t="s">
        <v>19</v>
      </c>
      <c r="I82" s="2" t="s">
        <v>18</v>
      </c>
      <c r="J82" s="2" t="s">
        <v>15</v>
      </c>
      <c r="K82" s="1">
        <v>15.38461538461539</v>
      </c>
      <c r="L82" s="1">
        <v>84.615384615384613</v>
      </c>
      <c r="M82" s="2" t="s">
        <v>16</v>
      </c>
    </row>
    <row r="83" spans="1:13" x14ac:dyDescent="0.3">
      <c r="A83" s="4">
        <v>82</v>
      </c>
      <c r="B83" s="3">
        <v>0.2273</v>
      </c>
      <c r="C83" s="1">
        <v>0.56000000000000005</v>
      </c>
      <c r="D83" s="1">
        <v>0.19400000000000001</v>
      </c>
      <c r="E83" s="4">
        <v>18</v>
      </c>
      <c r="F83" s="4">
        <v>79</v>
      </c>
      <c r="G83" s="4">
        <v>97</v>
      </c>
      <c r="H83" s="2" t="s">
        <v>19</v>
      </c>
      <c r="I83" s="2" t="s">
        <v>18</v>
      </c>
      <c r="J83" s="2" t="s">
        <v>15</v>
      </c>
      <c r="K83" s="1">
        <v>18.55670103092784</v>
      </c>
      <c r="L83" s="1">
        <v>81.44329896907216</v>
      </c>
      <c r="M83" s="2" t="s">
        <v>16</v>
      </c>
    </row>
    <row r="84" spans="1:13" x14ac:dyDescent="0.3">
      <c r="A84" s="4">
        <v>83</v>
      </c>
      <c r="B84" s="3">
        <v>0.2576</v>
      </c>
      <c r="C84" s="1">
        <v>0.52</v>
      </c>
      <c r="D84" s="1">
        <v>0.22389999999999999</v>
      </c>
      <c r="E84" s="4">
        <v>9</v>
      </c>
      <c r="F84" s="4">
        <v>54</v>
      </c>
      <c r="G84" s="4">
        <v>63</v>
      </c>
      <c r="H84" s="2" t="s">
        <v>19</v>
      </c>
      <c r="I84" s="2" t="s">
        <v>18</v>
      </c>
      <c r="J84" s="2" t="s">
        <v>15</v>
      </c>
      <c r="K84" s="1">
        <v>14.285714285714279</v>
      </c>
      <c r="L84" s="1">
        <v>85.714285714285708</v>
      </c>
      <c r="M84" s="2" t="s">
        <v>16</v>
      </c>
    </row>
    <row r="85" spans="1:13" x14ac:dyDescent="0.3">
      <c r="A85" s="4">
        <v>84</v>
      </c>
      <c r="B85" s="3">
        <v>0.2727</v>
      </c>
      <c r="C85" s="1">
        <v>0.52</v>
      </c>
      <c r="D85" s="1">
        <v>0.25369999999999998</v>
      </c>
      <c r="E85" s="4">
        <v>17</v>
      </c>
      <c r="F85" s="4">
        <v>48</v>
      </c>
      <c r="G85" s="4">
        <v>65</v>
      </c>
      <c r="H85" s="2" t="s">
        <v>19</v>
      </c>
      <c r="I85" s="2" t="s">
        <v>18</v>
      </c>
      <c r="J85" s="2" t="s">
        <v>15</v>
      </c>
      <c r="K85" s="1">
        <v>26.15384615384616</v>
      </c>
      <c r="L85" s="1">
        <v>73.846153846153854</v>
      </c>
      <c r="M85" s="2" t="s">
        <v>16</v>
      </c>
    </row>
    <row r="86" spans="1:13" x14ac:dyDescent="0.3">
      <c r="A86" s="4">
        <v>85</v>
      </c>
      <c r="B86" s="3">
        <v>0.28789999999999999</v>
      </c>
      <c r="C86" s="1">
        <v>0.49</v>
      </c>
      <c r="D86" s="1">
        <v>0.25369999999999998</v>
      </c>
      <c r="E86" s="4">
        <v>15</v>
      </c>
      <c r="F86" s="4">
        <v>68</v>
      </c>
      <c r="G86" s="4">
        <v>83</v>
      </c>
      <c r="H86" s="2" t="s">
        <v>19</v>
      </c>
      <c r="I86" s="2" t="s">
        <v>18</v>
      </c>
      <c r="J86" s="2" t="s">
        <v>15</v>
      </c>
      <c r="K86" s="1">
        <v>18.07228915662651</v>
      </c>
      <c r="L86" s="1">
        <v>81.92771084337349</v>
      </c>
      <c r="M86" s="2" t="s">
        <v>16</v>
      </c>
    </row>
    <row r="87" spans="1:13" x14ac:dyDescent="0.3">
      <c r="A87" s="4">
        <v>86</v>
      </c>
      <c r="B87" s="3">
        <v>0.2727</v>
      </c>
      <c r="C87" s="1">
        <v>0.48</v>
      </c>
      <c r="D87" s="1">
        <v>0.22389999999999999</v>
      </c>
      <c r="E87" s="4">
        <v>10</v>
      </c>
      <c r="F87" s="4">
        <v>202</v>
      </c>
      <c r="G87" s="4">
        <v>212</v>
      </c>
      <c r="H87" s="2" t="s">
        <v>19</v>
      </c>
      <c r="I87" s="2" t="s">
        <v>18</v>
      </c>
      <c r="J87" s="2" t="s">
        <v>15</v>
      </c>
      <c r="K87" s="1">
        <v>4.716981132075472</v>
      </c>
      <c r="L87" s="1">
        <v>95.283018867924525</v>
      </c>
      <c r="M87" s="2" t="s">
        <v>19</v>
      </c>
    </row>
    <row r="88" spans="1:13" x14ac:dyDescent="0.3">
      <c r="A88" s="4">
        <v>87</v>
      </c>
      <c r="B88" s="3">
        <v>0.2576</v>
      </c>
      <c r="C88" s="1">
        <v>0.48</v>
      </c>
      <c r="D88" s="1">
        <v>0.19400000000000001</v>
      </c>
      <c r="E88" s="4">
        <v>3</v>
      </c>
      <c r="F88" s="4">
        <v>179</v>
      </c>
      <c r="G88" s="4">
        <v>182</v>
      </c>
      <c r="H88" s="2" t="s">
        <v>19</v>
      </c>
      <c r="I88" s="2" t="s">
        <v>18</v>
      </c>
      <c r="J88" s="2" t="s">
        <v>15</v>
      </c>
      <c r="K88" s="1">
        <v>1.648351648351648</v>
      </c>
      <c r="L88" s="1">
        <v>98.35164835164835</v>
      </c>
      <c r="M88" s="2" t="s">
        <v>19</v>
      </c>
    </row>
    <row r="89" spans="1:13" x14ac:dyDescent="0.3">
      <c r="A89" s="4">
        <v>88</v>
      </c>
      <c r="B89" s="3">
        <v>0.2576</v>
      </c>
      <c r="C89" s="1">
        <v>0.48</v>
      </c>
      <c r="D89" s="1">
        <v>0.1045</v>
      </c>
      <c r="E89" s="4">
        <v>2</v>
      </c>
      <c r="F89" s="4">
        <v>110</v>
      </c>
      <c r="G89" s="4">
        <v>112</v>
      </c>
      <c r="H89" s="2" t="s">
        <v>19</v>
      </c>
      <c r="I89" s="2" t="s">
        <v>14</v>
      </c>
      <c r="J89" s="2" t="s">
        <v>15</v>
      </c>
      <c r="K89" s="1">
        <v>1.785714285714286</v>
      </c>
      <c r="L89" s="1">
        <v>98.214285714285708</v>
      </c>
      <c r="M89" s="2" t="s">
        <v>19</v>
      </c>
    </row>
    <row r="90" spans="1:13" x14ac:dyDescent="0.3">
      <c r="A90" s="4">
        <v>89</v>
      </c>
      <c r="B90" s="3">
        <v>0.2576</v>
      </c>
      <c r="C90" s="1">
        <v>0.48</v>
      </c>
      <c r="D90" s="1">
        <v>0.1045</v>
      </c>
      <c r="E90" s="4">
        <v>1</v>
      </c>
      <c r="F90" s="4">
        <v>53</v>
      </c>
      <c r="G90" s="4">
        <v>54</v>
      </c>
      <c r="H90" s="2" t="s">
        <v>19</v>
      </c>
      <c r="I90" s="2" t="s">
        <v>14</v>
      </c>
      <c r="J90" s="2" t="s">
        <v>15</v>
      </c>
      <c r="K90" s="1">
        <v>1.8518518518518521</v>
      </c>
      <c r="L90" s="1">
        <v>98.148148148148152</v>
      </c>
      <c r="M90" s="2" t="s">
        <v>16</v>
      </c>
    </row>
    <row r="91" spans="1:13" x14ac:dyDescent="0.3">
      <c r="A91" s="4">
        <v>90</v>
      </c>
      <c r="B91" s="3">
        <v>0.2727</v>
      </c>
      <c r="C91" s="1">
        <v>0.64</v>
      </c>
      <c r="D91" s="1">
        <v>0</v>
      </c>
      <c r="E91" s="4">
        <v>0</v>
      </c>
      <c r="F91" s="4">
        <v>48</v>
      </c>
      <c r="G91" s="4">
        <v>48</v>
      </c>
      <c r="H91" s="2" t="s">
        <v>19</v>
      </c>
      <c r="I91" s="2" t="s">
        <v>14</v>
      </c>
      <c r="J91" s="2" t="s">
        <v>15</v>
      </c>
      <c r="K91" s="1">
        <v>0</v>
      </c>
      <c r="L91" s="1">
        <v>100</v>
      </c>
      <c r="M91" s="2" t="s">
        <v>16</v>
      </c>
    </row>
    <row r="92" spans="1:13" x14ac:dyDescent="0.3">
      <c r="A92" s="4">
        <v>91</v>
      </c>
      <c r="B92" s="3">
        <v>0.2576</v>
      </c>
      <c r="C92" s="1">
        <v>0.64</v>
      </c>
      <c r="D92" s="1">
        <v>8.9599999999999999E-2</v>
      </c>
      <c r="E92" s="4">
        <v>1</v>
      </c>
      <c r="F92" s="4">
        <v>34</v>
      </c>
      <c r="G92" s="4">
        <v>35</v>
      </c>
      <c r="H92" s="2" t="s">
        <v>19</v>
      </c>
      <c r="I92" s="2" t="s">
        <v>14</v>
      </c>
      <c r="J92" s="2" t="s">
        <v>15</v>
      </c>
      <c r="K92" s="1">
        <v>2.8571428571428572</v>
      </c>
      <c r="L92" s="1">
        <v>97.142857142857139</v>
      </c>
      <c r="M92" s="2" t="s">
        <v>16</v>
      </c>
    </row>
    <row r="93" spans="1:13" x14ac:dyDescent="0.3">
      <c r="A93" s="4">
        <v>92</v>
      </c>
      <c r="B93" s="3">
        <v>0.2273</v>
      </c>
      <c r="C93" s="1">
        <v>0.69</v>
      </c>
      <c r="D93" s="1">
        <v>8.9599999999999999E-2</v>
      </c>
      <c r="E93" s="4">
        <v>2</v>
      </c>
      <c r="F93" s="4">
        <v>9</v>
      </c>
      <c r="G93" s="4">
        <v>11</v>
      </c>
      <c r="H93" s="2" t="s">
        <v>19</v>
      </c>
      <c r="I93" s="2" t="s">
        <v>14</v>
      </c>
      <c r="J93" s="2" t="s">
        <v>15</v>
      </c>
      <c r="K93" s="1">
        <v>18.18181818181818</v>
      </c>
      <c r="L93" s="1">
        <v>81.818181818181827</v>
      </c>
      <c r="M93" s="2" t="s">
        <v>16</v>
      </c>
    </row>
    <row r="94" spans="1:13" x14ac:dyDescent="0.3">
      <c r="A94" s="4">
        <v>93</v>
      </c>
      <c r="B94" s="3">
        <v>0.2576</v>
      </c>
      <c r="C94" s="1">
        <v>0.64</v>
      </c>
      <c r="D94" s="1">
        <v>0</v>
      </c>
      <c r="E94" s="4">
        <v>0</v>
      </c>
      <c r="F94" s="4">
        <v>6</v>
      </c>
      <c r="G94" s="4">
        <v>6</v>
      </c>
      <c r="H94" s="2" t="s">
        <v>19</v>
      </c>
      <c r="I94" s="2" t="s">
        <v>14</v>
      </c>
      <c r="J94" s="2" t="s">
        <v>15</v>
      </c>
      <c r="K94" s="1">
        <v>0</v>
      </c>
      <c r="L94" s="1">
        <v>100</v>
      </c>
      <c r="M94" s="2" t="s">
        <v>16</v>
      </c>
    </row>
    <row r="95" spans="1:13" x14ac:dyDescent="0.3">
      <c r="A95" s="4">
        <v>94</v>
      </c>
      <c r="B95" s="3">
        <v>0.19700000000000001</v>
      </c>
      <c r="C95" s="1">
        <v>0.74</v>
      </c>
      <c r="D95" s="1">
        <v>8.9599999999999999E-2</v>
      </c>
      <c r="E95" s="4">
        <v>0</v>
      </c>
      <c r="F95" s="4">
        <v>6</v>
      </c>
      <c r="G95" s="4">
        <v>6</v>
      </c>
      <c r="H95" s="2" t="s">
        <v>13</v>
      </c>
      <c r="I95" s="2" t="s">
        <v>14</v>
      </c>
      <c r="J95" s="2" t="s">
        <v>15</v>
      </c>
      <c r="K95" s="1">
        <v>0</v>
      </c>
      <c r="L95" s="1">
        <v>100</v>
      </c>
      <c r="M95" s="2" t="s">
        <v>16</v>
      </c>
    </row>
    <row r="96" spans="1:13" x14ac:dyDescent="0.3">
      <c r="A96" s="4">
        <v>95</v>
      </c>
      <c r="B96" s="3">
        <v>0.19700000000000001</v>
      </c>
      <c r="C96" s="1">
        <v>0.74</v>
      </c>
      <c r="D96" s="1">
        <v>8.9599999999999999E-2</v>
      </c>
      <c r="E96" s="4">
        <v>0</v>
      </c>
      <c r="F96" s="4">
        <v>2</v>
      </c>
      <c r="G96" s="4">
        <v>2</v>
      </c>
      <c r="H96" s="2" t="s">
        <v>13</v>
      </c>
      <c r="I96" s="2" t="s">
        <v>14</v>
      </c>
      <c r="J96" s="2" t="s">
        <v>15</v>
      </c>
      <c r="K96" s="1">
        <v>0</v>
      </c>
      <c r="L96" s="1">
        <v>100</v>
      </c>
      <c r="M96" s="2" t="s">
        <v>16</v>
      </c>
    </row>
    <row r="97" spans="1:13" x14ac:dyDescent="0.3">
      <c r="A97" s="4">
        <v>96</v>
      </c>
      <c r="B97" s="3">
        <v>0.2273</v>
      </c>
      <c r="C97" s="1">
        <v>0.48</v>
      </c>
      <c r="D97" s="1">
        <v>0.22389999999999999</v>
      </c>
      <c r="E97" s="4">
        <v>0</v>
      </c>
      <c r="F97" s="4">
        <v>2</v>
      </c>
      <c r="G97" s="4">
        <v>2</v>
      </c>
      <c r="H97" s="2" t="s">
        <v>19</v>
      </c>
      <c r="I97" s="2" t="s">
        <v>18</v>
      </c>
      <c r="J97" s="2" t="s">
        <v>15</v>
      </c>
      <c r="K97" s="1">
        <v>0</v>
      </c>
      <c r="L97" s="1">
        <v>100</v>
      </c>
      <c r="M97" s="2" t="s">
        <v>16</v>
      </c>
    </row>
    <row r="98" spans="1:13" x14ac:dyDescent="0.3">
      <c r="A98" s="4">
        <v>97</v>
      </c>
      <c r="B98" s="3">
        <v>0.2273</v>
      </c>
      <c r="C98" s="1">
        <v>0.47</v>
      </c>
      <c r="D98" s="1">
        <v>0.16420000000000001</v>
      </c>
      <c r="E98" s="4">
        <v>0</v>
      </c>
      <c r="F98" s="4">
        <v>3</v>
      </c>
      <c r="G98" s="4">
        <v>3</v>
      </c>
      <c r="H98" s="2" t="s">
        <v>19</v>
      </c>
      <c r="I98" s="2" t="s">
        <v>18</v>
      </c>
      <c r="J98" s="2" t="s">
        <v>15</v>
      </c>
      <c r="K98" s="1">
        <v>0</v>
      </c>
      <c r="L98" s="1">
        <v>100</v>
      </c>
      <c r="M98" s="2" t="s">
        <v>16</v>
      </c>
    </row>
    <row r="99" spans="1:13" x14ac:dyDescent="0.3">
      <c r="A99" s="4">
        <v>98</v>
      </c>
      <c r="B99" s="3">
        <v>0.19700000000000001</v>
      </c>
      <c r="C99" s="1">
        <v>0.47</v>
      </c>
      <c r="D99" s="1">
        <v>0.22389999999999999</v>
      </c>
      <c r="E99" s="4">
        <v>0</v>
      </c>
      <c r="F99" s="4">
        <v>33</v>
      </c>
      <c r="G99" s="4">
        <v>33</v>
      </c>
      <c r="H99" s="2" t="s">
        <v>19</v>
      </c>
      <c r="I99" s="2" t="s">
        <v>18</v>
      </c>
      <c r="J99" s="2" t="s">
        <v>15</v>
      </c>
      <c r="K99" s="1">
        <v>0</v>
      </c>
      <c r="L99" s="1">
        <v>100</v>
      </c>
      <c r="M99" s="2" t="s">
        <v>16</v>
      </c>
    </row>
    <row r="100" spans="1:13" x14ac:dyDescent="0.3">
      <c r="A100" s="4">
        <v>99</v>
      </c>
      <c r="B100" s="3">
        <v>0.18179999999999999</v>
      </c>
      <c r="C100" s="1">
        <v>0.43</v>
      </c>
      <c r="D100" s="1">
        <v>0.19400000000000001</v>
      </c>
      <c r="E100" s="4">
        <v>1</v>
      </c>
      <c r="F100" s="4">
        <v>87</v>
      </c>
      <c r="G100" s="4">
        <v>88</v>
      </c>
      <c r="H100" s="2" t="s">
        <v>19</v>
      </c>
      <c r="I100" s="2" t="s">
        <v>18</v>
      </c>
      <c r="J100" s="2" t="s">
        <v>15</v>
      </c>
      <c r="K100" s="1">
        <v>1.136363636363636</v>
      </c>
      <c r="L100" s="1">
        <v>98.86363636363636</v>
      </c>
      <c r="M100" s="2" t="s">
        <v>16</v>
      </c>
    </row>
    <row r="101" spans="1:13" x14ac:dyDescent="0.3">
      <c r="A101" s="4">
        <v>100</v>
      </c>
      <c r="B101" s="3">
        <v>0.18179999999999999</v>
      </c>
      <c r="C101" s="1">
        <v>0.4</v>
      </c>
      <c r="D101" s="1">
        <v>0.29849999999999999</v>
      </c>
      <c r="E101" s="4">
        <v>3</v>
      </c>
      <c r="F101" s="4">
        <v>192</v>
      </c>
      <c r="G101" s="4">
        <v>195</v>
      </c>
      <c r="H101" s="2" t="s">
        <v>19</v>
      </c>
      <c r="I101" s="2" t="s">
        <v>18</v>
      </c>
      <c r="J101" s="2" t="s">
        <v>15</v>
      </c>
      <c r="K101" s="1">
        <v>1.538461538461539</v>
      </c>
      <c r="L101" s="1">
        <v>98.461538461538467</v>
      </c>
      <c r="M101" s="2" t="s">
        <v>19</v>
      </c>
    </row>
    <row r="102" spans="1:13" x14ac:dyDescent="0.3">
      <c r="A102" s="4">
        <v>101</v>
      </c>
      <c r="B102" s="3">
        <v>0.19700000000000001</v>
      </c>
      <c r="C102" s="1">
        <v>0.37</v>
      </c>
      <c r="D102" s="1">
        <v>0.32840000000000003</v>
      </c>
      <c r="E102" s="4">
        <v>6</v>
      </c>
      <c r="F102" s="4">
        <v>109</v>
      </c>
      <c r="G102" s="4">
        <v>115</v>
      </c>
      <c r="H102" s="2" t="s">
        <v>16</v>
      </c>
      <c r="I102" s="2" t="s">
        <v>20</v>
      </c>
      <c r="J102" s="2" t="s">
        <v>15</v>
      </c>
      <c r="K102" s="1">
        <v>5.2173913043478262</v>
      </c>
      <c r="L102" s="1">
        <v>94.782608695652172</v>
      </c>
      <c r="M102" s="2" t="s">
        <v>19</v>
      </c>
    </row>
    <row r="103" spans="1:13" x14ac:dyDescent="0.3">
      <c r="A103" s="4">
        <v>102</v>
      </c>
      <c r="B103" s="3">
        <v>0.19700000000000001</v>
      </c>
      <c r="C103" s="1">
        <v>0.37</v>
      </c>
      <c r="D103" s="1">
        <v>0.32840000000000003</v>
      </c>
      <c r="E103" s="4">
        <v>4</v>
      </c>
      <c r="F103" s="4">
        <v>53</v>
      </c>
      <c r="G103" s="4">
        <v>57</v>
      </c>
      <c r="H103" s="2" t="s">
        <v>16</v>
      </c>
      <c r="I103" s="2" t="s">
        <v>20</v>
      </c>
      <c r="J103" s="2" t="s">
        <v>15</v>
      </c>
      <c r="K103" s="1">
        <v>7.0175438596491224</v>
      </c>
      <c r="L103" s="1">
        <v>92.982456140350877</v>
      </c>
      <c r="M103" s="2" t="s">
        <v>16</v>
      </c>
    </row>
    <row r="104" spans="1:13" x14ac:dyDescent="0.3">
      <c r="A104" s="4">
        <v>103</v>
      </c>
      <c r="B104" s="3">
        <v>0.2273</v>
      </c>
      <c r="C104" s="1">
        <v>0.33</v>
      </c>
      <c r="D104" s="1">
        <v>0.32840000000000003</v>
      </c>
      <c r="E104" s="4">
        <v>12</v>
      </c>
      <c r="F104" s="4">
        <v>34</v>
      </c>
      <c r="G104" s="4">
        <v>46</v>
      </c>
      <c r="H104" s="2" t="s">
        <v>16</v>
      </c>
      <c r="I104" s="2" t="s">
        <v>20</v>
      </c>
      <c r="J104" s="2" t="s">
        <v>15</v>
      </c>
      <c r="K104" s="1">
        <v>26.086956521739129</v>
      </c>
      <c r="L104" s="1">
        <v>73.91304347826086</v>
      </c>
      <c r="M104" s="2" t="s">
        <v>16</v>
      </c>
    </row>
    <row r="105" spans="1:13" x14ac:dyDescent="0.3">
      <c r="A105" s="4">
        <v>104</v>
      </c>
      <c r="B105" s="3">
        <v>0.2273</v>
      </c>
      <c r="C105" s="1">
        <v>0.33</v>
      </c>
      <c r="D105" s="1">
        <v>0.32840000000000003</v>
      </c>
      <c r="E105" s="4">
        <v>5</v>
      </c>
      <c r="F105" s="4">
        <v>74</v>
      </c>
      <c r="G105" s="4">
        <v>79</v>
      </c>
      <c r="H105" s="2" t="s">
        <v>16</v>
      </c>
      <c r="I105" s="2" t="s">
        <v>20</v>
      </c>
      <c r="J105" s="2" t="s">
        <v>15</v>
      </c>
      <c r="K105" s="1">
        <v>6.3291139240506329</v>
      </c>
      <c r="L105" s="1">
        <v>93.670886075949369</v>
      </c>
      <c r="M105" s="2" t="s">
        <v>16</v>
      </c>
    </row>
    <row r="106" spans="1:13" x14ac:dyDescent="0.3">
      <c r="A106" s="4">
        <v>105</v>
      </c>
      <c r="B106" s="3">
        <v>0.2576</v>
      </c>
      <c r="C106" s="1">
        <v>0.3</v>
      </c>
      <c r="D106" s="1">
        <v>0.29849999999999999</v>
      </c>
      <c r="E106" s="4">
        <v>6</v>
      </c>
      <c r="F106" s="4">
        <v>65</v>
      </c>
      <c r="G106" s="4">
        <v>71</v>
      </c>
      <c r="H106" s="2" t="s">
        <v>16</v>
      </c>
      <c r="I106" s="2" t="s">
        <v>18</v>
      </c>
      <c r="J106" s="2" t="s">
        <v>15</v>
      </c>
      <c r="K106" s="1">
        <v>8.4507042253521121</v>
      </c>
      <c r="L106" s="1">
        <v>91.549295774647888</v>
      </c>
      <c r="M106" s="2" t="s">
        <v>16</v>
      </c>
    </row>
    <row r="107" spans="1:13" x14ac:dyDescent="0.3">
      <c r="A107" s="4">
        <v>106</v>
      </c>
      <c r="B107" s="3">
        <v>0.28789999999999999</v>
      </c>
      <c r="C107" s="1">
        <v>0.28000000000000003</v>
      </c>
      <c r="D107" s="1">
        <v>0.19400000000000001</v>
      </c>
      <c r="E107" s="4">
        <v>10</v>
      </c>
      <c r="F107" s="4">
        <v>52</v>
      </c>
      <c r="G107" s="4">
        <v>62</v>
      </c>
      <c r="H107" s="2" t="s">
        <v>16</v>
      </c>
      <c r="I107" s="2" t="s">
        <v>18</v>
      </c>
      <c r="J107" s="2" t="s">
        <v>15</v>
      </c>
      <c r="K107" s="1">
        <v>16.12903225806452</v>
      </c>
      <c r="L107" s="1">
        <v>83.870967741935488</v>
      </c>
      <c r="M107" s="2" t="s">
        <v>16</v>
      </c>
    </row>
    <row r="108" spans="1:13" x14ac:dyDescent="0.3">
      <c r="A108" s="4">
        <v>107</v>
      </c>
      <c r="B108" s="3">
        <v>0.28789999999999999</v>
      </c>
      <c r="C108" s="1">
        <v>0.28000000000000003</v>
      </c>
      <c r="D108" s="1">
        <v>0.19400000000000001</v>
      </c>
      <c r="E108" s="4">
        <v>7</v>
      </c>
      <c r="F108" s="4">
        <v>55</v>
      </c>
      <c r="G108" s="4">
        <v>62</v>
      </c>
      <c r="H108" s="2" t="s">
        <v>16</v>
      </c>
      <c r="I108" s="2" t="s">
        <v>18</v>
      </c>
      <c r="J108" s="2" t="s">
        <v>15</v>
      </c>
      <c r="K108" s="1">
        <v>11.29032258064516</v>
      </c>
      <c r="L108" s="1">
        <v>88.709677419354833</v>
      </c>
      <c r="M108" s="2" t="s">
        <v>16</v>
      </c>
    </row>
    <row r="109" spans="1:13" x14ac:dyDescent="0.3">
      <c r="A109" s="4">
        <v>108</v>
      </c>
      <c r="B109" s="3">
        <v>0.31819999999999998</v>
      </c>
      <c r="C109" s="1">
        <v>0.28000000000000003</v>
      </c>
      <c r="D109" s="1">
        <v>8.9599999999999999E-2</v>
      </c>
      <c r="E109" s="4">
        <v>4</v>
      </c>
      <c r="F109" s="4">
        <v>85</v>
      </c>
      <c r="G109" s="4">
        <v>89</v>
      </c>
      <c r="H109" s="2" t="s">
        <v>16</v>
      </c>
      <c r="I109" s="2" t="s">
        <v>14</v>
      </c>
      <c r="J109" s="2" t="s">
        <v>15</v>
      </c>
      <c r="K109" s="1">
        <v>4.4943820224719104</v>
      </c>
      <c r="L109" s="1">
        <v>95.50561797752809</v>
      </c>
      <c r="M109" s="2" t="s">
        <v>16</v>
      </c>
    </row>
    <row r="110" spans="1:13" x14ac:dyDescent="0.3">
      <c r="A110" s="4">
        <v>109</v>
      </c>
      <c r="B110" s="3">
        <v>0.2273</v>
      </c>
      <c r="C110" s="1">
        <v>0.38</v>
      </c>
      <c r="D110" s="1">
        <v>0.19400000000000001</v>
      </c>
      <c r="E110" s="4">
        <v>4</v>
      </c>
      <c r="F110" s="4">
        <v>186</v>
      </c>
      <c r="G110" s="4">
        <v>190</v>
      </c>
      <c r="H110" s="2" t="s">
        <v>16</v>
      </c>
      <c r="I110" s="2" t="s">
        <v>18</v>
      </c>
      <c r="J110" s="2" t="s">
        <v>15</v>
      </c>
      <c r="K110" s="1">
        <v>2.1052631578947372</v>
      </c>
      <c r="L110" s="1">
        <v>97.894736842105274</v>
      </c>
      <c r="M110" s="2" t="s">
        <v>19</v>
      </c>
    </row>
    <row r="111" spans="1:13" x14ac:dyDescent="0.3">
      <c r="A111" s="4">
        <v>110</v>
      </c>
      <c r="B111" s="3">
        <v>0.2424</v>
      </c>
      <c r="C111" s="1">
        <v>0.38</v>
      </c>
      <c r="D111" s="1">
        <v>0.1343</v>
      </c>
      <c r="E111" s="4">
        <v>3</v>
      </c>
      <c r="F111" s="4">
        <v>166</v>
      </c>
      <c r="G111" s="4">
        <v>169</v>
      </c>
      <c r="H111" s="2" t="s">
        <v>16</v>
      </c>
      <c r="I111" s="2" t="s">
        <v>14</v>
      </c>
      <c r="J111" s="2" t="s">
        <v>15</v>
      </c>
      <c r="K111" s="1">
        <v>1.775147928994083</v>
      </c>
      <c r="L111" s="1">
        <v>98.224852071005913</v>
      </c>
      <c r="M111" s="2" t="s">
        <v>19</v>
      </c>
    </row>
    <row r="112" spans="1:13" x14ac:dyDescent="0.3">
      <c r="A112" s="4">
        <v>111</v>
      </c>
      <c r="B112" s="3">
        <v>0.2576</v>
      </c>
      <c r="C112" s="1">
        <v>0.38</v>
      </c>
      <c r="D112" s="1">
        <v>0.1045</v>
      </c>
      <c r="E112" s="4">
        <v>5</v>
      </c>
      <c r="F112" s="4">
        <v>127</v>
      </c>
      <c r="G112" s="4">
        <v>132</v>
      </c>
      <c r="H112" s="2" t="s">
        <v>16</v>
      </c>
      <c r="I112" s="2" t="s">
        <v>14</v>
      </c>
      <c r="J112" s="2" t="s">
        <v>15</v>
      </c>
      <c r="K112" s="1">
        <v>3.7878787878787881</v>
      </c>
      <c r="L112" s="1">
        <v>96.212121212121218</v>
      </c>
      <c r="M112" s="2" t="s">
        <v>19</v>
      </c>
    </row>
    <row r="113" spans="1:13" x14ac:dyDescent="0.3">
      <c r="A113" s="4">
        <v>112</v>
      </c>
      <c r="B113" s="3">
        <v>0.2273</v>
      </c>
      <c r="C113" s="1">
        <v>0.47</v>
      </c>
      <c r="D113" s="1">
        <v>0.16420000000000001</v>
      </c>
      <c r="E113" s="4">
        <v>7</v>
      </c>
      <c r="F113" s="4">
        <v>82</v>
      </c>
      <c r="G113" s="4">
        <v>89</v>
      </c>
      <c r="H113" s="2" t="s">
        <v>19</v>
      </c>
      <c r="I113" s="2" t="s">
        <v>18</v>
      </c>
      <c r="J113" s="2" t="s">
        <v>15</v>
      </c>
      <c r="K113" s="1">
        <v>7.8651685393258424</v>
      </c>
      <c r="L113" s="1">
        <v>92.134831460674164</v>
      </c>
      <c r="M113" s="2" t="s">
        <v>16</v>
      </c>
    </row>
    <row r="114" spans="1:13" x14ac:dyDescent="0.3">
      <c r="A114" s="4">
        <v>113</v>
      </c>
      <c r="B114" s="3">
        <v>0.19700000000000001</v>
      </c>
      <c r="C114" s="1">
        <v>0.51</v>
      </c>
      <c r="D114" s="1">
        <v>0.19400000000000001</v>
      </c>
      <c r="E114" s="4">
        <v>3</v>
      </c>
      <c r="F114" s="4">
        <v>40</v>
      </c>
      <c r="G114" s="4">
        <v>43</v>
      </c>
      <c r="H114" s="2" t="s">
        <v>19</v>
      </c>
      <c r="I114" s="2" t="s">
        <v>18</v>
      </c>
      <c r="J114" s="2" t="s">
        <v>15</v>
      </c>
      <c r="K114" s="1">
        <v>6.9767441860465116</v>
      </c>
      <c r="L114" s="1">
        <v>93.023255813953483</v>
      </c>
      <c r="M114" s="2" t="s">
        <v>16</v>
      </c>
    </row>
    <row r="115" spans="1:13" x14ac:dyDescent="0.3">
      <c r="A115" s="4">
        <v>114</v>
      </c>
      <c r="B115" s="3">
        <v>0.19700000000000001</v>
      </c>
      <c r="C115" s="1">
        <v>0.55000000000000004</v>
      </c>
      <c r="D115" s="1">
        <v>0.1343</v>
      </c>
      <c r="E115" s="4">
        <v>1</v>
      </c>
      <c r="F115" s="4">
        <v>41</v>
      </c>
      <c r="G115" s="4">
        <v>42</v>
      </c>
      <c r="H115" s="2" t="s">
        <v>19</v>
      </c>
      <c r="I115" s="2" t="s">
        <v>14</v>
      </c>
      <c r="J115" s="2" t="s">
        <v>15</v>
      </c>
      <c r="K115" s="1">
        <v>2.3809523809523809</v>
      </c>
      <c r="L115" s="1">
        <v>97.61904761904762</v>
      </c>
      <c r="M115" s="2" t="s">
        <v>16</v>
      </c>
    </row>
    <row r="116" spans="1:13" x14ac:dyDescent="0.3">
      <c r="A116" s="4">
        <v>115</v>
      </c>
      <c r="B116" s="3">
        <v>0.2576</v>
      </c>
      <c r="C116" s="1">
        <v>0.47</v>
      </c>
      <c r="D116" s="1">
        <v>0</v>
      </c>
      <c r="E116" s="4">
        <v>1</v>
      </c>
      <c r="F116" s="4">
        <v>18</v>
      </c>
      <c r="G116" s="4">
        <v>19</v>
      </c>
      <c r="H116" s="2" t="s">
        <v>19</v>
      </c>
      <c r="I116" s="2" t="s">
        <v>14</v>
      </c>
      <c r="J116" s="2" t="s">
        <v>15</v>
      </c>
      <c r="K116" s="1">
        <v>5.2631578947368416</v>
      </c>
      <c r="L116" s="1">
        <v>94.73684210526315</v>
      </c>
      <c r="M116" s="2" t="s">
        <v>16</v>
      </c>
    </row>
    <row r="117" spans="1:13" x14ac:dyDescent="0.3">
      <c r="A117" s="4">
        <v>116</v>
      </c>
      <c r="B117" s="3">
        <v>0.2424</v>
      </c>
      <c r="C117" s="1">
        <v>0.55000000000000004</v>
      </c>
      <c r="D117" s="1">
        <v>0</v>
      </c>
      <c r="E117" s="4">
        <v>0</v>
      </c>
      <c r="F117" s="4">
        <v>11</v>
      </c>
      <c r="G117" s="4">
        <v>11</v>
      </c>
      <c r="H117" s="2" t="s">
        <v>19</v>
      </c>
      <c r="I117" s="2" t="s">
        <v>14</v>
      </c>
      <c r="J117" s="2" t="s">
        <v>15</v>
      </c>
      <c r="K117" s="1">
        <v>0</v>
      </c>
      <c r="L117" s="1">
        <v>100</v>
      </c>
      <c r="M117" s="2" t="s">
        <v>16</v>
      </c>
    </row>
    <row r="118" spans="1:13" x14ac:dyDescent="0.3">
      <c r="A118" s="4">
        <v>117</v>
      </c>
      <c r="B118" s="3">
        <v>0.2273</v>
      </c>
      <c r="C118" s="1">
        <v>0.64</v>
      </c>
      <c r="D118" s="1">
        <v>0</v>
      </c>
      <c r="E118" s="4">
        <v>0</v>
      </c>
      <c r="F118" s="4">
        <v>4</v>
      </c>
      <c r="G118" s="4">
        <v>4</v>
      </c>
      <c r="H118" s="2" t="s">
        <v>19</v>
      </c>
      <c r="I118" s="2" t="s">
        <v>14</v>
      </c>
      <c r="J118" s="2" t="s">
        <v>15</v>
      </c>
      <c r="K118" s="1">
        <v>0</v>
      </c>
      <c r="L118" s="1">
        <v>100</v>
      </c>
      <c r="M118" s="2" t="s">
        <v>16</v>
      </c>
    </row>
    <row r="119" spans="1:13" x14ac:dyDescent="0.3">
      <c r="A119" s="4">
        <v>118</v>
      </c>
      <c r="B119" s="3">
        <v>0.2273</v>
      </c>
      <c r="C119" s="1">
        <v>0.64</v>
      </c>
      <c r="D119" s="1">
        <v>0</v>
      </c>
      <c r="E119" s="4">
        <v>0</v>
      </c>
      <c r="F119" s="4">
        <v>2</v>
      </c>
      <c r="G119" s="4">
        <v>2</v>
      </c>
      <c r="H119" s="2" t="s">
        <v>19</v>
      </c>
      <c r="I119" s="2" t="s">
        <v>14</v>
      </c>
      <c r="J119" s="2" t="s">
        <v>15</v>
      </c>
      <c r="K119" s="1">
        <v>0</v>
      </c>
      <c r="L119" s="1">
        <v>100</v>
      </c>
      <c r="M119" s="2" t="s">
        <v>16</v>
      </c>
    </row>
    <row r="120" spans="1:13" x14ac:dyDescent="0.3">
      <c r="A120" s="4">
        <v>119</v>
      </c>
      <c r="B120" s="3">
        <v>0.19700000000000001</v>
      </c>
      <c r="C120" s="1">
        <v>0.64</v>
      </c>
      <c r="D120" s="1">
        <v>8.9599999999999999E-2</v>
      </c>
      <c r="E120" s="4">
        <v>0</v>
      </c>
      <c r="F120" s="4">
        <v>1</v>
      </c>
      <c r="G120" s="4">
        <v>1</v>
      </c>
      <c r="H120" s="2" t="s">
        <v>19</v>
      </c>
      <c r="I120" s="2" t="s">
        <v>14</v>
      </c>
      <c r="J120" s="2" t="s">
        <v>15</v>
      </c>
      <c r="K120" s="1">
        <v>0</v>
      </c>
      <c r="L120" s="1">
        <v>100</v>
      </c>
      <c r="M120" s="2" t="s">
        <v>16</v>
      </c>
    </row>
    <row r="121" spans="1:13" x14ac:dyDescent="0.3">
      <c r="A121" s="4">
        <v>120</v>
      </c>
      <c r="B121" s="3">
        <v>0.18179999999999999</v>
      </c>
      <c r="C121" s="1">
        <v>0.69</v>
      </c>
      <c r="D121" s="1">
        <v>8.9599999999999999E-2</v>
      </c>
      <c r="E121" s="4">
        <v>0</v>
      </c>
      <c r="F121" s="4">
        <v>4</v>
      </c>
      <c r="G121" s="4">
        <v>4</v>
      </c>
      <c r="H121" s="2" t="s">
        <v>19</v>
      </c>
      <c r="I121" s="2" t="s">
        <v>14</v>
      </c>
      <c r="J121" s="2" t="s">
        <v>15</v>
      </c>
      <c r="K121" s="1">
        <v>0</v>
      </c>
      <c r="L121" s="1">
        <v>100</v>
      </c>
      <c r="M121" s="2" t="s">
        <v>16</v>
      </c>
    </row>
    <row r="122" spans="1:13" x14ac:dyDescent="0.3">
      <c r="A122" s="4">
        <v>121</v>
      </c>
      <c r="B122" s="3">
        <v>0.16669999999999999</v>
      </c>
      <c r="C122" s="1">
        <v>0.63</v>
      </c>
      <c r="D122" s="1">
        <v>0.1045</v>
      </c>
      <c r="E122" s="4">
        <v>0</v>
      </c>
      <c r="F122" s="4">
        <v>36</v>
      </c>
      <c r="G122" s="4">
        <v>36</v>
      </c>
      <c r="H122" s="2" t="s">
        <v>19</v>
      </c>
      <c r="I122" s="2" t="s">
        <v>14</v>
      </c>
      <c r="J122" s="2" t="s">
        <v>15</v>
      </c>
      <c r="K122" s="1">
        <v>0</v>
      </c>
      <c r="L122" s="1">
        <v>100</v>
      </c>
      <c r="M122" s="2" t="s">
        <v>16</v>
      </c>
    </row>
    <row r="123" spans="1:13" x14ac:dyDescent="0.3">
      <c r="A123" s="4">
        <v>122</v>
      </c>
      <c r="B123" s="3">
        <v>0.2273</v>
      </c>
      <c r="C123" s="1">
        <v>0.59</v>
      </c>
      <c r="D123" s="1">
        <v>0</v>
      </c>
      <c r="E123" s="4">
        <v>0</v>
      </c>
      <c r="F123" s="4">
        <v>95</v>
      </c>
      <c r="G123" s="4">
        <v>95</v>
      </c>
      <c r="H123" s="2" t="s">
        <v>19</v>
      </c>
      <c r="I123" s="2" t="s">
        <v>14</v>
      </c>
      <c r="J123" s="2" t="s">
        <v>15</v>
      </c>
      <c r="K123" s="1">
        <v>0</v>
      </c>
      <c r="L123" s="1">
        <v>100</v>
      </c>
      <c r="M123" s="2" t="s">
        <v>16</v>
      </c>
    </row>
    <row r="124" spans="1:13" x14ac:dyDescent="0.3">
      <c r="A124" s="4">
        <v>123</v>
      </c>
      <c r="B124" s="3">
        <v>0.2273</v>
      </c>
      <c r="C124" s="1">
        <v>0.59</v>
      </c>
      <c r="D124" s="1">
        <v>0</v>
      </c>
      <c r="E124" s="4">
        <v>3</v>
      </c>
      <c r="F124" s="4">
        <v>216</v>
      </c>
      <c r="G124" s="4">
        <v>219</v>
      </c>
      <c r="H124" s="2" t="s">
        <v>19</v>
      </c>
      <c r="I124" s="2" t="s">
        <v>14</v>
      </c>
      <c r="J124" s="2" t="s">
        <v>15</v>
      </c>
      <c r="K124" s="1">
        <v>1.3698630136986301</v>
      </c>
      <c r="L124" s="1">
        <v>98.630136986301366</v>
      </c>
      <c r="M124" s="2" t="s">
        <v>19</v>
      </c>
    </row>
    <row r="125" spans="1:13" x14ac:dyDescent="0.3">
      <c r="A125" s="4">
        <v>124</v>
      </c>
      <c r="B125" s="3">
        <v>0.2424</v>
      </c>
      <c r="C125" s="1">
        <v>0.51</v>
      </c>
      <c r="D125" s="1">
        <v>0</v>
      </c>
      <c r="E125" s="4">
        <v>6</v>
      </c>
      <c r="F125" s="4">
        <v>116</v>
      </c>
      <c r="G125" s="4">
        <v>122</v>
      </c>
      <c r="H125" s="2" t="s">
        <v>19</v>
      </c>
      <c r="I125" s="2" t="s">
        <v>14</v>
      </c>
      <c r="J125" s="2" t="s">
        <v>15</v>
      </c>
      <c r="K125" s="1">
        <v>4.918032786885246</v>
      </c>
      <c r="L125" s="1">
        <v>95.081967213114751</v>
      </c>
      <c r="M125" s="2" t="s">
        <v>19</v>
      </c>
    </row>
    <row r="126" spans="1:13" x14ac:dyDescent="0.3">
      <c r="A126" s="4">
        <v>125</v>
      </c>
      <c r="B126" s="3">
        <v>0.2576</v>
      </c>
      <c r="C126" s="1">
        <v>0.47</v>
      </c>
      <c r="D126" s="1">
        <v>0</v>
      </c>
      <c r="E126" s="4">
        <v>3</v>
      </c>
      <c r="F126" s="4">
        <v>42</v>
      </c>
      <c r="G126" s="4">
        <v>45</v>
      </c>
      <c r="H126" s="2" t="s">
        <v>19</v>
      </c>
      <c r="I126" s="2" t="s">
        <v>14</v>
      </c>
      <c r="J126" s="2" t="s">
        <v>15</v>
      </c>
      <c r="K126" s="1">
        <v>6.666666666666667</v>
      </c>
      <c r="L126" s="1">
        <v>93.333333333333329</v>
      </c>
      <c r="M126" s="2" t="s">
        <v>16</v>
      </c>
    </row>
    <row r="127" spans="1:13" x14ac:dyDescent="0.3">
      <c r="A127" s="4">
        <v>126</v>
      </c>
      <c r="B127" s="3">
        <v>0.2576</v>
      </c>
      <c r="C127" s="1">
        <v>0.44</v>
      </c>
      <c r="D127" s="1">
        <v>8.9599999999999999E-2</v>
      </c>
      <c r="E127" s="4">
        <v>2</v>
      </c>
      <c r="F127" s="4">
        <v>57</v>
      </c>
      <c r="G127" s="4">
        <v>59</v>
      </c>
      <c r="H127" s="2" t="s">
        <v>19</v>
      </c>
      <c r="I127" s="2" t="s">
        <v>14</v>
      </c>
      <c r="J127" s="2" t="s">
        <v>15</v>
      </c>
      <c r="K127" s="1">
        <v>3.3898305084745761</v>
      </c>
      <c r="L127" s="1">
        <v>96.610169491525426</v>
      </c>
      <c r="M127" s="2" t="s">
        <v>16</v>
      </c>
    </row>
    <row r="128" spans="1:13" x14ac:dyDescent="0.3">
      <c r="A128" s="4">
        <v>127</v>
      </c>
      <c r="B128" s="3">
        <v>0.28789999999999999</v>
      </c>
      <c r="C128" s="1">
        <v>0.35</v>
      </c>
      <c r="D128" s="1">
        <v>0</v>
      </c>
      <c r="E128" s="4">
        <v>6</v>
      </c>
      <c r="F128" s="4">
        <v>78</v>
      </c>
      <c r="G128" s="4">
        <v>84</v>
      </c>
      <c r="H128" s="2" t="s">
        <v>16</v>
      </c>
      <c r="I128" s="2" t="s">
        <v>14</v>
      </c>
      <c r="J128" s="2" t="s">
        <v>15</v>
      </c>
      <c r="K128" s="1">
        <v>7.1428571428571423</v>
      </c>
      <c r="L128" s="1">
        <v>92.857142857142861</v>
      </c>
      <c r="M128" s="2" t="s">
        <v>16</v>
      </c>
    </row>
    <row r="129" spans="1:13" x14ac:dyDescent="0.3">
      <c r="A129" s="4">
        <v>128</v>
      </c>
      <c r="B129" s="3">
        <v>0.2727</v>
      </c>
      <c r="C129" s="1">
        <v>0.35</v>
      </c>
      <c r="D129" s="1">
        <v>0.1045</v>
      </c>
      <c r="E129" s="4">
        <v>12</v>
      </c>
      <c r="F129" s="4">
        <v>55</v>
      </c>
      <c r="G129" s="4">
        <v>67</v>
      </c>
      <c r="H129" s="2" t="s">
        <v>16</v>
      </c>
      <c r="I129" s="2" t="s">
        <v>14</v>
      </c>
      <c r="J129" s="2" t="s">
        <v>15</v>
      </c>
      <c r="K129" s="1">
        <v>17.910447761194028</v>
      </c>
      <c r="L129" s="1">
        <v>82.089552238805979</v>
      </c>
      <c r="M129" s="2" t="s">
        <v>16</v>
      </c>
    </row>
    <row r="130" spans="1:13" x14ac:dyDescent="0.3">
      <c r="A130" s="4">
        <v>129</v>
      </c>
      <c r="B130" s="3">
        <v>0.2727</v>
      </c>
      <c r="C130" s="1">
        <v>0.36</v>
      </c>
      <c r="D130" s="1">
        <v>0.16420000000000001</v>
      </c>
      <c r="E130" s="4">
        <v>11</v>
      </c>
      <c r="F130" s="4">
        <v>59</v>
      </c>
      <c r="G130" s="4">
        <v>70</v>
      </c>
      <c r="H130" s="2" t="s">
        <v>16</v>
      </c>
      <c r="I130" s="2" t="s">
        <v>18</v>
      </c>
      <c r="J130" s="2" t="s">
        <v>15</v>
      </c>
      <c r="K130" s="1">
        <v>15.71428571428571</v>
      </c>
      <c r="L130" s="1">
        <v>84.285714285714292</v>
      </c>
      <c r="M130" s="2" t="s">
        <v>16</v>
      </c>
    </row>
    <row r="131" spans="1:13" x14ac:dyDescent="0.3">
      <c r="A131" s="4">
        <v>130</v>
      </c>
      <c r="B131" s="3">
        <v>0.2727</v>
      </c>
      <c r="C131" s="1">
        <v>0.36</v>
      </c>
      <c r="D131" s="1">
        <v>0</v>
      </c>
      <c r="E131" s="4">
        <v>8</v>
      </c>
      <c r="F131" s="4">
        <v>54</v>
      </c>
      <c r="G131" s="4">
        <v>62</v>
      </c>
      <c r="H131" s="2" t="s">
        <v>16</v>
      </c>
      <c r="I131" s="2" t="s">
        <v>14</v>
      </c>
      <c r="J131" s="2" t="s">
        <v>15</v>
      </c>
      <c r="K131" s="1">
        <v>12.90322580645161</v>
      </c>
      <c r="L131" s="1">
        <v>87.096774193548384</v>
      </c>
      <c r="M131" s="2" t="s">
        <v>16</v>
      </c>
    </row>
    <row r="132" spans="1:13" x14ac:dyDescent="0.3">
      <c r="A132" s="4">
        <v>131</v>
      </c>
      <c r="B132" s="3">
        <v>0.2576</v>
      </c>
      <c r="C132" s="1">
        <v>0.38</v>
      </c>
      <c r="D132" s="1">
        <v>0.16420000000000001</v>
      </c>
      <c r="E132" s="4">
        <v>12</v>
      </c>
      <c r="F132" s="4">
        <v>74</v>
      </c>
      <c r="G132" s="4">
        <v>86</v>
      </c>
      <c r="H132" s="2" t="s">
        <v>16</v>
      </c>
      <c r="I132" s="2" t="s">
        <v>18</v>
      </c>
      <c r="J132" s="2" t="s">
        <v>15</v>
      </c>
      <c r="K132" s="1">
        <v>13.95348837209302</v>
      </c>
      <c r="L132" s="1">
        <v>86.04651162790698</v>
      </c>
      <c r="M132" s="2" t="s">
        <v>16</v>
      </c>
    </row>
    <row r="133" spans="1:13" x14ac:dyDescent="0.3">
      <c r="A133" s="4">
        <v>132</v>
      </c>
      <c r="B133" s="3">
        <v>0.2273</v>
      </c>
      <c r="C133" s="1">
        <v>0.51</v>
      </c>
      <c r="D133" s="1">
        <v>0.16420000000000001</v>
      </c>
      <c r="E133" s="4">
        <v>9</v>
      </c>
      <c r="F133" s="4">
        <v>163</v>
      </c>
      <c r="G133" s="4">
        <v>172</v>
      </c>
      <c r="H133" s="2" t="s">
        <v>19</v>
      </c>
      <c r="I133" s="2" t="s">
        <v>18</v>
      </c>
      <c r="J133" s="2" t="s">
        <v>15</v>
      </c>
      <c r="K133" s="1">
        <v>5.2325581395348841</v>
      </c>
      <c r="L133" s="1">
        <v>94.767441860465112</v>
      </c>
      <c r="M133" s="2" t="s">
        <v>19</v>
      </c>
    </row>
    <row r="134" spans="1:13" x14ac:dyDescent="0.3">
      <c r="A134" s="4">
        <v>133</v>
      </c>
      <c r="B134" s="3">
        <v>0.2273</v>
      </c>
      <c r="C134" s="1">
        <v>0.51</v>
      </c>
      <c r="D134" s="1">
        <v>0.1343</v>
      </c>
      <c r="E134" s="4">
        <v>5</v>
      </c>
      <c r="F134" s="4">
        <v>158</v>
      </c>
      <c r="G134" s="4">
        <v>163</v>
      </c>
      <c r="H134" s="2" t="s">
        <v>19</v>
      </c>
      <c r="I134" s="2" t="s">
        <v>14</v>
      </c>
      <c r="J134" s="2" t="s">
        <v>15</v>
      </c>
      <c r="K134" s="1">
        <v>3.0674846625766872</v>
      </c>
      <c r="L134" s="1">
        <v>96.932515337423311</v>
      </c>
      <c r="M134" s="2" t="s">
        <v>19</v>
      </c>
    </row>
    <row r="135" spans="1:13" x14ac:dyDescent="0.3">
      <c r="A135" s="4">
        <v>134</v>
      </c>
      <c r="B135" s="3">
        <v>0.2576</v>
      </c>
      <c r="C135" s="1">
        <v>0.55000000000000004</v>
      </c>
      <c r="D135" s="1">
        <v>8.9599999999999999E-2</v>
      </c>
      <c r="E135" s="4">
        <v>3</v>
      </c>
      <c r="F135" s="4">
        <v>109</v>
      </c>
      <c r="G135" s="4">
        <v>112</v>
      </c>
      <c r="H135" s="2" t="s">
        <v>19</v>
      </c>
      <c r="I135" s="2" t="s">
        <v>14</v>
      </c>
      <c r="J135" s="2" t="s">
        <v>15</v>
      </c>
      <c r="K135" s="1">
        <v>2.6785714285714279</v>
      </c>
      <c r="L135" s="1">
        <v>97.321428571428569</v>
      </c>
      <c r="M135" s="2" t="s">
        <v>19</v>
      </c>
    </row>
    <row r="136" spans="1:13" x14ac:dyDescent="0.3">
      <c r="A136" s="4">
        <v>135</v>
      </c>
      <c r="B136" s="3">
        <v>0.21210000000000001</v>
      </c>
      <c r="C136" s="1">
        <v>0.51</v>
      </c>
      <c r="D136" s="1">
        <v>0.16420000000000001</v>
      </c>
      <c r="E136" s="4">
        <v>3</v>
      </c>
      <c r="F136" s="4">
        <v>66</v>
      </c>
      <c r="G136" s="4">
        <v>69</v>
      </c>
      <c r="H136" s="2" t="s">
        <v>19</v>
      </c>
      <c r="I136" s="2" t="s">
        <v>18</v>
      </c>
      <c r="J136" s="2" t="s">
        <v>15</v>
      </c>
      <c r="K136" s="1">
        <v>4.3478260869565224</v>
      </c>
      <c r="L136" s="1">
        <v>95.652173913043484</v>
      </c>
      <c r="M136" s="2" t="s">
        <v>16</v>
      </c>
    </row>
    <row r="137" spans="1:13" x14ac:dyDescent="0.3">
      <c r="A137" s="4">
        <v>136</v>
      </c>
      <c r="B137" s="3">
        <v>0.21210000000000001</v>
      </c>
      <c r="C137" s="1">
        <v>0.55000000000000004</v>
      </c>
      <c r="D137" s="1">
        <v>0.22389999999999999</v>
      </c>
      <c r="E137" s="4">
        <v>0</v>
      </c>
      <c r="F137" s="4">
        <v>48</v>
      </c>
      <c r="G137" s="4">
        <v>48</v>
      </c>
      <c r="H137" s="2" t="s">
        <v>19</v>
      </c>
      <c r="I137" s="2" t="s">
        <v>18</v>
      </c>
      <c r="J137" s="2" t="s">
        <v>15</v>
      </c>
      <c r="K137" s="1">
        <v>0</v>
      </c>
      <c r="L137" s="1">
        <v>100</v>
      </c>
      <c r="M137" s="2" t="s">
        <v>16</v>
      </c>
    </row>
    <row r="138" spans="1:13" x14ac:dyDescent="0.3">
      <c r="A138" s="4">
        <v>137</v>
      </c>
      <c r="B138" s="3">
        <v>0.21210000000000001</v>
      </c>
      <c r="C138" s="1">
        <v>0.51</v>
      </c>
      <c r="D138" s="1">
        <v>0.28360000000000002</v>
      </c>
      <c r="E138" s="4">
        <v>1</v>
      </c>
      <c r="F138" s="4">
        <v>51</v>
      </c>
      <c r="G138" s="4">
        <v>52</v>
      </c>
      <c r="H138" s="2" t="s">
        <v>19</v>
      </c>
      <c r="I138" s="2" t="s">
        <v>18</v>
      </c>
      <c r="J138" s="2" t="s">
        <v>15</v>
      </c>
      <c r="K138" s="1">
        <v>1.9230769230769229</v>
      </c>
      <c r="L138" s="1">
        <v>98.076923076923066</v>
      </c>
      <c r="M138" s="2" t="s">
        <v>16</v>
      </c>
    </row>
    <row r="139" spans="1:13" x14ac:dyDescent="0.3">
      <c r="A139" s="4">
        <v>138</v>
      </c>
      <c r="B139" s="3">
        <v>0.19700000000000001</v>
      </c>
      <c r="C139" s="1">
        <v>0.59</v>
      </c>
      <c r="D139" s="1">
        <v>0.19400000000000001</v>
      </c>
      <c r="E139" s="4">
        <v>4</v>
      </c>
      <c r="F139" s="4">
        <v>19</v>
      </c>
      <c r="G139" s="4">
        <v>23</v>
      </c>
      <c r="H139" s="2" t="s">
        <v>19</v>
      </c>
      <c r="I139" s="2" t="s">
        <v>18</v>
      </c>
      <c r="J139" s="2" t="s">
        <v>15</v>
      </c>
      <c r="K139" s="1">
        <v>17.39130434782609</v>
      </c>
      <c r="L139" s="1">
        <v>82.608695652173907</v>
      </c>
      <c r="M139" s="2" t="s">
        <v>16</v>
      </c>
    </row>
    <row r="140" spans="1:13" x14ac:dyDescent="0.3">
      <c r="A140" s="4">
        <v>139</v>
      </c>
      <c r="B140" s="3">
        <v>0.19700000000000001</v>
      </c>
      <c r="C140" s="1">
        <v>0.64</v>
      </c>
      <c r="D140" s="1">
        <v>0.19400000000000001</v>
      </c>
      <c r="E140" s="4">
        <v>4</v>
      </c>
      <c r="F140" s="4">
        <v>13</v>
      </c>
      <c r="G140" s="4">
        <v>17</v>
      </c>
      <c r="H140" s="2" t="s">
        <v>19</v>
      </c>
      <c r="I140" s="2" t="s">
        <v>18</v>
      </c>
      <c r="J140" s="2" t="s">
        <v>15</v>
      </c>
      <c r="K140" s="1">
        <v>23.52941176470588</v>
      </c>
      <c r="L140" s="1">
        <v>76.470588235294116</v>
      </c>
      <c r="M140" s="2" t="s">
        <v>16</v>
      </c>
    </row>
    <row r="141" spans="1:13" x14ac:dyDescent="0.3">
      <c r="A141" s="4">
        <v>140</v>
      </c>
      <c r="B141" s="3">
        <v>0.19700000000000001</v>
      </c>
      <c r="C141" s="1">
        <v>0.69</v>
      </c>
      <c r="D141" s="1">
        <v>0.22389999999999999</v>
      </c>
      <c r="E141" s="4">
        <v>2</v>
      </c>
      <c r="F141" s="4">
        <v>5</v>
      </c>
      <c r="G141" s="4">
        <v>7</v>
      </c>
      <c r="H141" s="2" t="s">
        <v>19</v>
      </c>
      <c r="I141" s="2" t="s">
        <v>18</v>
      </c>
      <c r="J141" s="2" t="s">
        <v>15</v>
      </c>
      <c r="K141" s="1">
        <v>28.571428571428569</v>
      </c>
      <c r="L141" s="1">
        <v>71.428571428571431</v>
      </c>
      <c r="M141" s="2" t="s">
        <v>16</v>
      </c>
    </row>
    <row r="142" spans="1:13" x14ac:dyDescent="0.3">
      <c r="A142" s="4">
        <v>141</v>
      </c>
      <c r="B142" s="3">
        <v>0.19700000000000001</v>
      </c>
      <c r="C142" s="1">
        <v>0.69</v>
      </c>
      <c r="D142" s="1">
        <v>0.22389999999999999</v>
      </c>
      <c r="E142" s="4">
        <v>0</v>
      </c>
      <c r="F142" s="4">
        <v>1</v>
      </c>
      <c r="G142" s="4">
        <v>1</v>
      </c>
      <c r="H142" s="2" t="s">
        <v>19</v>
      </c>
      <c r="I142" s="2" t="s">
        <v>18</v>
      </c>
      <c r="J142" s="2" t="s">
        <v>15</v>
      </c>
      <c r="K142" s="1">
        <v>0</v>
      </c>
      <c r="L142" s="1">
        <v>100</v>
      </c>
      <c r="M142" s="2" t="s">
        <v>16</v>
      </c>
    </row>
    <row r="143" spans="1:13" x14ac:dyDescent="0.3">
      <c r="A143" s="4">
        <v>142</v>
      </c>
      <c r="B143" s="3">
        <v>0.21210000000000001</v>
      </c>
      <c r="C143" s="1">
        <v>0.69</v>
      </c>
      <c r="D143" s="1">
        <v>0.1343</v>
      </c>
      <c r="E143" s="4">
        <v>0</v>
      </c>
      <c r="F143" s="4">
        <v>1</v>
      </c>
      <c r="G143" s="4">
        <v>1</v>
      </c>
      <c r="H143" s="2" t="s">
        <v>19</v>
      </c>
      <c r="I143" s="2" t="s">
        <v>14</v>
      </c>
      <c r="J143" s="2" t="s">
        <v>15</v>
      </c>
      <c r="K143" s="1">
        <v>0</v>
      </c>
      <c r="L143" s="1">
        <v>100</v>
      </c>
      <c r="M143" s="2" t="s">
        <v>16</v>
      </c>
    </row>
    <row r="144" spans="1:13" x14ac:dyDescent="0.3">
      <c r="A144" s="4">
        <v>143</v>
      </c>
      <c r="B144" s="3">
        <v>0.2727</v>
      </c>
      <c r="C144" s="1">
        <v>0.55000000000000004</v>
      </c>
      <c r="D144" s="1">
        <v>0</v>
      </c>
      <c r="E144" s="4">
        <v>0</v>
      </c>
      <c r="F144" s="4">
        <v>5</v>
      </c>
      <c r="G144" s="4">
        <v>5</v>
      </c>
      <c r="H144" s="2" t="s">
        <v>19</v>
      </c>
      <c r="I144" s="2" t="s">
        <v>14</v>
      </c>
      <c r="J144" s="2" t="s">
        <v>15</v>
      </c>
      <c r="K144" s="1">
        <v>0</v>
      </c>
      <c r="L144" s="1">
        <v>100</v>
      </c>
      <c r="M144" s="2" t="s">
        <v>16</v>
      </c>
    </row>
    <row r="145" spans="1:13" x14ac:dyDescent="0.3">
      <c r="A145" s="4">
        <v>144</v>
      </c>
      <c r="B145" s="3">
        <v>0.2576</v>
      </c>
      <c r="C145" s="1">
        <v>0.69</v>
      </c>
      <c r="D145" s="1">
        <v>0</v>
      </c>
      <c r="E145" s="4">
        <v>8</v>
      </c>
      <c r="F145" s="4">
        <v>26</v>
      </c>
      <c r="G145" s="4">
        <v>34</v>
      </c>
      <c r="H145" s="2" t="s">
        <v>19</v>
      </c>
      <c r="I145" s="2" t="s">
        <v>14</v>
      </c>
      <c r="J145" s="2" t="s">
        <v>15</v>
      </c>
      <c r="K145" s="1">
        <v>23.52941176470588</v>
      </c>
      <c r="L145" s="1">
        <v>76.470588235294116</v>
      </c>
      <c r="M145" s="2" t="s">
        <v>16</v>
      </c>
    </row>
    <row r="146" spans="1:13" x14ac:dyDescent="0.3">
      <c r="A146" s="4">
        <v>145</v>
      </c>
      <c r="B146" s="3">
        <v>0.21210000000000001</v>
      </c>
      <c r="C146" s="1">
        <v>0.69</v>
      </c>
      <c r="D146" s="1">
        <v>0.1343</v>
      </c>
      <c r="E146" s="4">
        <v>8</v>
      </c>
      <c r="F146" s="4">
        <v>76</v>
      </c>
      <c r="G146" s="4">
        <v>84</v>
      </c>
      <c r="H146" s="2" t="s">
        <v>19</v>
      </c>
      <c r="I146" s="2" t="s">
        <v>14</v>
      </c>
      <c r="J146" s="2" t="s">
        <v>15</v>
      </c>
      <c r="K146" s="1">
        <v>9.5238095238095237</v>
      </c>
      <c r="L146" s="1">
        <v>90.476190476190482</v>
      </c>
      <c r="M146" s="2" t="s">
        <v>16</v>
      </c>
    </row>
    <row r="147" spans="1:13" x14ac:dyDescent="0.3">
      <c r="A147" s="4">
        <v>146</v>
      </c>
      <c r="B147" s="3">
        <v>0.19700000000000001</v>
      </c>
      <c r="C147" s="1">
        <v>0.51</v>
      </c>
      <c r="D147" s="1">
        <v>0.25369999999999998</v>
      </c>
      <c r="E147" s="4">
        <v>20</v>
      </c>
      <c r="F147" s="4">
        <v>190</v>
      </c>
      <c r="G147" s="4">
        <v>210</v>
      </c>
      <c r="H147" s="2" t="s">
        <v>19</v>
      </c>
      <c r="I147" s="2" t="s">
        <v>18</v>
      </c>
      <c r="J147" s="2" t="s">
        <v>15</v>
      </c>
      <c r="K147" s="1">
        <v>9.5238095238095237</v>
      </c>
      <c r="L147" s="1">
        <v>90.476190476190482</v>
      </c>
      <c r="M147" s="2" t="s">
        <v>19</v>
      </c>
    </row>
    <row r="148" spans="1:13" x14ac:dyDescent="0.3">
      <c r="A148" s="4">
        <v>147</v>
      </c>
      <c r="B148" s="3">
        <v>0.18179999999999999</v>
      </c>
      <c r="C148" s="1">
        <v>0.47</v>
      </c>
      <c r="D148" s="1">
        <v>0.29849999999999999</v>
      </c>
      <c r="E148" s="4">
        <v>9</v>
      </c>
      <c r="F148" s="4">
        <v>125</v>
      </c>
      <c r="G148" s="4">
        <v>134</v>
      </c>
      <c r="H148" s="2" t="s">
        <v>19</v>
      </c>
      <c r="I148" s="2" t="s">
        <v>18</v>
      </c>
      <c r="J148" s="2" t="s">
        <v>15</v>
      </c>
      <c r="K148" s="1">
        <v>6.7164179104477606</v>
      </c>
      <c r="L148" s="1">
        <v>93.28358208955224</v>
      </c>
      <c r="M148" s="2" t="s">
        <v>19</v>
      </c>
    </row>
    <row r="149" spans="1:13" x14ac:dyDescent="0.3">
      <c r="A149" s="4">
        <v>148</v>
      </c>
      <c r="B149" s="3">
        <v>0.19700000000000001</v>
      </c>
      <c r="C149" s="1">
        <v>0.37</v>
      </c>
      <c r="D149" s="1">
        <v>0.32840000000000003</v>
      </c>
      <c r="E149" s="4">
        <v>16</v>
      </c>
      <c r="F149" s="4">
        <v>47</v>
      </c>
      <c r="G149" s="4">
        <v>63</v>
      </c>
      <c r="H149" s="2" t="s">
        <v>16</v>
      </c>
      <c r="I149" s="2" t="s">
        <v>20</v>
      </c>
      <c r="J149" s="2" t="s">
        <v>15</v>
      </c>
      <c r="K149" s="1">
        <v>25.396825396825399</v>
      </c>
      <c r="L149" s="1">
        <v>74.603174603174608</v>
      </c>
      <c r="M149" s="2" t="s">
        <v>16</v>
      </c>
    </row>
    <row r="150" spans="1:13" x14ac:dyDescent="0.3">
      <c r="A150" s="4">
        <v>149</v>
      </c>
      <c r="B150" s="3">
        <v>0.19700000000000001</v>
      </c>
      <c r="C150" s="1">
        <v>0.4</v>
      </c>
      <c r="D150" s="1">
        <v>0.22389999999999999</v>
      </c>
      <c r="E150" s="4">
        <v>19</v>
      </c>
      <c r="F150" s="4">
        <v>48</v>
      </c>
      <c r="G150" s="4">
        <v>67</v>
      </c>
      <c r="H150" s="2" t="s">
        <v>19</v>
      </c>
      <c r="I150" s="2" t="s">
        <v>18</v>
      </c>
      <c r="J150" s="2" t="s">
        <v>15</v>
      </c>
      <c r="K150" s="1">
        <v>28.35820895522388</v>
      </c>
      <c r="L150" s="1">
        <v>71.641791044776113</v>
      </c>
      <c r="M150" s="2" t="s">
        <v>16</v>
      </c>
    </row>
    <row r="151" spans="1:13" x14ac:dyDescent="0.3">
      <c r="A151" s="4">
        <v>150</v>
      </c>
      <c r="B151" s="3">
        <v>0.19700000000000001</v>
      </c>
      <c r="C151" s="1">
        <v>0.37</v>
      </c>
      <c r="D151" s="1">
        <v>0.25369999999999998</v>
      </c>
      <c r="E151" s="4">
        <v>9</v>
      </c>
      <c r="F151" s="4">
        <v>50</v>
      </c>
      <c r="G151" s="4">
        <v>59</v>
      </c>
      <c r="H151" s="2" t="s">
        <v>16</v>
      </c>
      <c r="I151" s="2" t="s">
        <v>18</v>
      </c>
      <c r="J151" s="2" t="s">
        <v>15</v>
      </c>
      <c r="K151" s="1">
        <v>15.25423728813559</v>
      </c>
      <c r="L151" s="1">
        <v>84.745762711864401</v>
      </c>
      <c r="M151" s="2" t="s">
        <v>16</v>
      </c>
    </row>
    <row r="152" spans="1:13" x14ac:dyDescent="0.3">
      <c r="A152" s="4">
        <v>151</v>
      </c>
      <c r="B152" s="3">
        <v>0.18179999999999999</v>
      </c>
      <c r="C152" s="1">
        <v>0.37</v>
      </c>
      <c r="D152" s="1">
        <v>0.28360000000000002</v>
      </c>
      <c r="E152" s="4">
        <v>9</v>
      </c>
      <c r="F152" s="4">
        <v>64</v>
      </c>
      <c r="G152" s="4">
        <v>73</v>
      </c>
      <c r="H152" s="2" t="s">
        <v>16</v>
      </c>
      <c r="I152" s="2" t="s">
        <v>18</v>
      </c>
      <c r="J152" s="2" t="s">
        <v>15</v>
      </c>
      <c r="K152" s="1">
        <v>12.328767123287671</v>
      </c>
      <c r="L152" s="1">
        <v>87.671232876712324</v>
      </c>
      <c r="M152" s="2" t="s">
        <v>16</v>
      </c>
    </row>
    <row r="153" spans="1:13" x14ac:dyDescent="0.3">
      <c r="A153" s="4">
        <v>152</v>
      </c>
      <c r="B153" s="3">
        <v>0.19700000000000001</v>
      </c>
      <c r="C153" s="1">
        <v>0.4</v>
      </c>
      <c r="D153" s="1">
        <v>0.25369999999999998</v>
      </c>
      <c r="E153" s="4">
        <v>7</v>
      </c>
      <c r="F153" s="4">
        <v>43</v>
      </c>
      <c r="G153" s="4">
        <v>50</v>
      </c>
      <c r="H153" s="2" t="s">
        <v>19</v>
      </c>
      <c r="I153" s="2" t="s">
        <v>18</v>
      </c>
      <c r="J153" s="2" t="s">
        <v>15</v>
      </c>
      <c r="K153" s="1">
        <v>14</v>
      </c>
      <c r="L153" s="1">
        <v>86</v>
      </c>
      <c r="M153" s="2" t="s">
        <v>16</v>
      </c>
    </row>
    <row r="154" spans="1:13" x14ac:dyDescent="0.3">
      <c r="A154" s="4">
        <v>153</v>
      </c>
      <c r="B154" s="3">
        <v>0.21210000000000001</v>
      </c>
      <c r="C154" s="1">
        <v>0.37</v>
      </c>
      <c r="D154" s="1">
        <v>0.16420000000000001</v>
      </c>
      <c r="E154" s="4">
        <v>9</v>
      </c>
      <c r="F154" s="4">
        <v>63</v>
      </c>
      <c r="G154" s="4">
        <v>72</v>
      </c>
      <c r="H154" s="2" t="s">
        <v>16</v>
      </c>
      <c r="I154" s="2" t="s">
        <v>18</v>
      </c>
      <c r="J154" s="2" t="s">
        <v>15</v>
      </c>
      <c r="K154" s="1">
        <v>12.5</v>
      </c>
      <c r="L154" s="1">
        <v>87.5</v>
      </c>
      <c r="M154" s="2" t="s">
        <v>16</v>
      </c>
    </row>
    <row r="155" spans="1:13" x14ac:dyDescent="0.3">
      <c r="A155" s="4">
        <v>154</v>
      </c>
      <c r="B155" s="3">
        <v>0.21210000000000001</v>
      </c>
      <c r="C155" s="1">
        <v>0.37</v>
      </c>
      <c r="D155" s="1">
        <v>0.16420000000000001</v>
      </c>
      <c r="E155" s="4">
        <v>5</v>
      </c>
      <c r="F155" s="4">
        <v>82</v>
      </c>
      <c r="G155" s="4">
        <v>87</v>
      </c>
      <c r="H155" s="2" t="s">
        <v>16</v>
      </c>
      <c r="I155" s="2" t="s">
        <v>18</v>
      </c>
      <c r="J155" s="2" t="s">
        <v>15</v>
      </c>
      <c r="K155" s="1">
        <v>5.7471264367816088</v>
      </c>
      <c r="L155" s="1">
        <v>94.252873563218387</v>
      </c>
      <c r="M155" s="2" t="s">
        <v>16</v>
      </c>
    </row>
    <row r="156" spans="1:13" x14ac:dyDescent="0.3">
      <c r="A156" s="4">
        <v>155</v>
      </c>
      <c r="B156" s="3">
        <v>0.2576</v>
      </c>
      <c r="C156" s="1">
        <v>0.37</v>
      </c>
      <c r="D156" s="1">
        <v>0</v>
      </c>
      <c r="E156" s="4">
        <v>9</v>
      </c>
      <c r="F156" s="4">
        <v>178</v>
      </c>
      <c r="G156" s="4">
        <v>187</v>
      </c>
      <c r="H156" s="2" t="s">
        <v>16</v>
      </c>
      <c r="I156" s="2" t="s">
        <v>14</v>
      </c>
      <c r="J156" s="2" t="s">
        <v>15</v>
      </c>
      <c r="K156" s="1">
        <v>4.8128342245989302</v>
      </c>
      <c r="L156" s="1">
        <v>95.18716577540107</v>
      </c>
      <c r="M156" s="2" t="s">
        <v>19</v>
      </c>
    </row>
    <row r="157" spans="1:13" x14ac:dyDescent="0.3">
      <c r="A157" s="4">
        <v>156</v>
      </c>
      <c r="B157" s="3">
        <v>0.2273</v>
      </c>
      <c r="C157" s="1">
        <v>0.4</v>
      </c>
      <c r="D157" s="1">
        <v>8.9599999999999999E-2</v>
      </c>
      <c r="E157" s="4">
        <v>7</v>
      </c>
      <c r="F157" s="4">
        <v>116</v>
      </c>
      <c r="G157" s="4">
        <v>123</v>
      </c>
      <c r="H157" s="2" t="s">
        <v>19</v>
      </c>
      <c r="I157" s="2" t="s">
        <v>14</v>
      </c>
      <c r="J157" s="2" t="s">
        <v>15</v>
      </c>
      <c r="K157" s="1">
        <v>5.6910569105691051</v>
      </c>
      <c r="L157" s="1">
        <v>94.308943089430898</v>
      </c>
      <c r="M157" s="2" t="s">
        <v>19</v>
      </c>
    </row>
    <row r="158" spans="1:13" x14ac:dyDescent="0.3">
      <c r="A158" s="4">
        <v>157</v>
      </c>
      <c r="B158" s="3">
        <v>0.19700000000000001</v>
      </c>
      <c r="C158" s="1">
        <v>0.55000000000000004</v>
      </c>
      <c r="D158" s="1">
        <v>8.9599999999999999E-2</v>
      </c>
      <c r="E158" s="4">
        <v>3</v>
      </c>
      <c r="F158" s="4">
        <v>92</v>
      </c>
      <c r="G158" s="4">
        <v>95</v>
      </c>
      <c r="H158" s="2" t="s">
        <v>19</v>
      </c>
      <c r="I158" s="2" t="s">
        <v>14</v>
      </c>
      <c r="J158" s="2" t="s">
        <v>15</v>
      </c>
      <c r="K158" s="1">
        <v>3.1578947368421049</v>
      </c>
      <c r="L158" s="1">
        <v>96.84210526315789</v>
      </c>
      <c r="M158" s="2" t="s">
        <v>16</v>
      </c>
    </row>
    <row r="159" spans="1:13" x14ac:dyDescent="0.3">
      <c r="A159" s="4">
        <v>158</v>
      </c>
      <c r="B159" s="3">
        <v>0.21210000000000001</v>
      </c>
      <c r="C159" s="1">
        <v>0.47</v>
      </c>
      <c r="D159" s="1">
        <v>0.1045</v>
      </c>
      <c r="E159" s="4">
        <v>1</v>
      </c>
      <c r="F159" s="4">
        <v>50</v>
      </c>
      <c r="G159" s="4">
        <v>51</v>
      </c>
      <c r="H159" s="2" t="s">
        <v>19</v>
      </c>
      <c r="I159" s="2" t="s">
        <v>14</v>
      </c>
      <c r="J159" s="2" t="s">
        <v>15</v>
      </c>
      <c r="K159" s="1">
        <v>1.9607843137254899</v>
      </c>
      <c r="L159" s="1">
        <v>98.039215686274503</v>
      </c>
      <c r="M159" s="2" t="s">
        <v>16</v>
      </c>
    </row>
    <row r="160" spans="1:13" x14ac:dyDescent="0.3">
      <c r="A160" s="4">
        <v>159</v>
      </c>
      <c r="B160" s="3">
        <v>0.19700000000000001</v>
      </c>
      <c r="C160" s="1">
        <v>0.47</v>
      </c>
      <c r="D160" s="1">
        <v>0.1343</v>
      </c>
      <c r="E160" s="4">
        <v>0</v>
      </c>
      <c r="F160" s="4">
        <v>39</v>
      </c>
      <c r="G160" s="4">
        <v>39</v>
      </c>
      <c r="H160" s="2" t="s">
        <v>19</v>
      </c>
      <c r="I160" s="2" t="s">
        <v>14</v>
      </c>
      <c r="J160" s="2" t="s">
        <v>15</v>
      </c>
      <c r="K160" s="1">
        <v>0</v>
      </c>
      <c r="L160" s="1">
        <v>100</v>
      </c>
      <c r="M160" s="2" t="s">
        <v>16</v>
      </c>
    </row>
    <row r="161" spans="1:13" x14ac:dyDescent="0.3">
      <c r="A161" s="4">
        <v>160</v>
      </c>
      <c r="B161" s="3">
        <v>0.19700000000000001</v>
      </c>
      <c r="C161" s="1">
        <v>0.43</v>
      </c>
      <c r="D161" s="1">
        <v>0.16420000000000001</v>
      </c>
      <c r="E161" s="4">
        <v>2</v>
      </c>
      <c r="F161" s="4">
        <v>34</v>
      </c>
      <c r="G161" s="4">
        <v>36</v>
      </c>
      <c r="H161" s="2" t="s">
        <v>19</v>
      </c>
      <c r="I161" s="2" t="s">
        <v>18</v>
      </c>
      <c r="J161" s="2" t="s">
        <v>15</v>
      </c>
      <c r="K161" s="1">
        <v>5.5555555555555554</v>
      </c>
      <c r="L161" s="1">
        <v>94.444444444444443</v>
      </c>
      <c r="M161" s="2" t="s">
        <v>16</v>
      </c>
    </row>
    <row r="162" spans="1:13" x14ac:dyDescent="0.3">
      <c r="A162" s="4">
        <v>161</v>
      </c>
      <c r="B162" s="3">
        <v>0.19700000000000001</v>
      </c>
      <c r="C162" s="1">
        <v>0.51</v>
      </c>
      <c r="D162" s="1">
        <v>0.16420000000000001</v>
      </c>
      <c r="E162" s="4">
        <v>1</v>
      </c>
      <c r="F162" s="4">
        <v>14</v>
      </c>
      <c r="G162" s="4">
        <v>15</v>
      </c>
      <c r="H162" s="2" t="s">
        <v>19</v>
      </c>
      <c r="I162" s="2" t="s">
        <v>18</v>
      </c>
      <c r="J162" s="2" t="s">
        <v>15</v>
      </c>
      <c r="K162" s="1">
        <v>6.666666666666667</v>
      </c>
      <c r="L162" s="1">
        <v>93.333333333333329</v>
      </c>
      <c r="M162" s="2" t="s">
        <v>16</v>
      </c>
    </row>
    <row r="163" spans="1:13" x14ac:dyDescent="0.3">
      <c r="A163" s="4">
        <v>162</v>
      </c>
      <c r="B163" s="3">
        <v>0.19700000000000001</v>
      </c>
      <c r="C163" s="1">
        <v>0.51</v>
      </c>
      <c r="D163" s="1">
        <v>0.16420000000000001</v>
      </c>
      <c r="E163" s="4">
        <v>1</v>
      </c>
      <c r="F163" s="4">
        <v>24</v>
      </c>
      <c r="G163" s="4">
        <v>25</v>
      </c>
      <c r="H163" s="2" t="s">
        <v>19</v>
      </c>
      <c r="I163" s="2" t="s">
        <v>18</v>
      </c>
      <c r="J163" s="2" t="s">
        <v>15</v>
      </c>
      <c r="K163" s="1">
        <v>4</v>
      </c>
      <c r="L163" s="1">
        <v>96</v>
      </c>
      <c r="M163" s="2" t="s">
        <v>16</v>
      </c>
    </row>
    <row r="164" spans="1:13" x14ac:dyDescent="0.3">
      <c r="A164" s="4">
        <v>163</v>
      </c>
      <c r="B164" s="3">
        <v>0.21210000000000001</v>
      </c>
      <c r="C164" s="1">
        <v>0.55000000000000004</v>
      </c>
      <c r="D164" s="1">
        <v>8.9599999999999999E-2</v>
      </c>
      <c r="E164" s="4">
        <v>1</v>
      </c>
      <c r="F164" s="4">
        <v>15</v>
      </c>
      <c r="G164" s="4">
        <v>16</v>
      </c>
      <c r="H164" s="2" t="s">
        <v>19</v>
      </c>
      <c r="I164" s="2" t="s">
        <v>14</v>
      </c>
      <c r="J164" s="2" t="s">
        <v>15</v>
      </c>
      <c r="K164" s="1">
        <v>6.25</v>
      </c>
      <c r="L164" s="1">
        <v>93.75</v>
      </c>
      <c r="M164" s="2" t="s">
        <v>16</v>
      </c>
    </row>
    <row r="165" spans="1:13" x14ac:dyDescent="0.3">
      <c r="A165" s="4">
        <v>164</v>
      </c>
      <c r="B165" s="3">
        <v>0.2424</v>
      </c>
      <c r="C165" s="1">
        <v>0.55000000000000004</v>
      </c>
      <c r="D165" s="1">
        <v>0</v>
      </c>
      <c r="E165" s="4">
        <v>3</v>
      </c>
      <c r="F165" s="4">
        <v>13</v>
      </c>
      <c r="G165" s="4">
        <v>16</v>
      </c>
      <c r="H165" s="2" t="s">
        <v>19</v>
      </c>
      <c r="I165" s="2" t="s">
        <v>14</v>
      </c>
      <c r="J165" s="2" t="s">
        <v>15</v>
      </c>
      <c r="K165" s="1">
        <v>18.75</v>
      </c>
      <c r="L165" s="1">
        <v>81.25</v>
      </c>
      <c r="M165" s="2" t="s">
        <v>16</v>
      </c>
    </row>
    <row r="166" spans="1:13" x14ac:dyDescent="0.3">
      <c r="A166" s="4">
        <v>165</v>
      </c>
      <c r="B166" s="3">
        <v>0.19700000000000001</v>
      </c>
      <c r="C166" s="1">
        <v>0.55000000000000004</v>
      </c>
      <c r="D166" s="1">
        <v>0.16420000000000001</v>
      </c>
      <c r="E166" s="4">
        <v>0</v>
      </c>
      <c r="F166" s="4">
        <v>7</v>
      </c>
      <c r="G166" s="4">
        <v>7</v>
      </c>
      <c r="H166" s="2" t="s">
        <v>19</v>
      </c>
      <c r="I166" s="2" t="s">
        <v>18</v>
      </c>
      <c r="J166" s="2" t="s">
        <v>15</v>
      </c>
      <c r="K166" s="1">
        <v>0</v>
      </c>
      <c r="L166" s="1">
        <v>100</v>
      </c>
      <c r="M166" s="2" t="s">
        <v>16</v>
      </c>
    </row>
    <row r="167" spans="1:13" x14ac:dyDescent="0.3">
      <c r="A167" s="4">
        <v>166</v>
      </c>
      <c r="B167" s="3">
        <v>0.19700000000000001</v>
      </c>
      <c r="C167" s="1">
        <v>0.55000000000000004</v>
      </c>
      <c r="D167" s="1">
        <v>0.16420000000000001</v>
      </c>
      <c r="E167" s="4">
        <v>0</v>
      </c>
      <c r="F167" s="4">
        <v>1</v>
      </c>
      <c r="G167" s="4">
        <v>1</v>
      </c>
      <c r="H167" s="2" t="s">
        <v>19</v>
      </c>
      <c r="I167" s="2" t="s">
        <v>18</v>
      </c>
      <c r="J167" s="2" t="s">
        <v>15</v>
      </c>
      <c r="K167" s="1">
        <v>0</v>
      </c>
      <c r="L167" s="1">
        <v>100</v>
      </c>
      <c r="M167" s="2" t="s">
        <v>16</v>
      </c>
    </row>
    <row r="168" spans="1:13" x14ac:dyDescent="0.3">
      <c r="A168" s="4">
        <v>167</v>
      </c>
      <c r="B168" s="3">
        <v>0.16669999999999999</v>
      </c>
      <c r="C168" s="1">
        <v>0.74</v>
      </c>
      <c r="D168" s="1">
        <v>0.16420000000000001</v>
      </c>
      <c r="E168" s="4">
        <v>0</v>
      </c>
      <c r="F168" s="4">
        <v>5</v>
      </c>
      <c r="G168" s="4">
        <v>5</v>
      </c>
      <c r="H168" s="2" t="s">
        <v>13</v>
      </c>
      <c r="I168" s="2" t="s">
        <v>18</v>
      </c>
      <c r="J168" s="2" t="s">
        <v>15</v>
      </c>
      <c r="K168" s="1">
        <v>0</v>
      </c>
      <c r="L168" s="1">
        <v>100</v>
      </c>
      <c r="M168" s="2" t="s">
        <v>16</v>
      </c>
    </row>
    <row r="169" spans="1:13" x14ac:dyDescent="0.3">
      <c r="A169" s="4">
        <v>168</v>
      </c>
      <c r="B169" s="3">
        <v>0.16669999999999999</v>
      </c>
      <c r="C169" s="1">
        <v>0.74</v>
      </c>
      <c r="D169" s="1">
        <v>0.16420000000000001</v>
      </c>
      <c r="E169" s="4">
        <v>0</v>
      </c>
      <c r="F169" s="4">
        <v>2</v>
      </c>
      <c r="G169" s="4">
        <v>2</v>
      </c>
      <c r="H169" s="2" t="s">
        <v>13</v>
      </c>
      <c r="I169" s="2" t="s">
        <v>18</v>
      </c>
      <c r="J169" s="2" t="s">
        <v>15</v>
      </c>
      <c r="K169" s="1">
        <v>0</v>
      </c>
      <c r="L169" s="1">
        <v>100</v>
      </c>
      <c r="M169" s="2" t="s">
        <v>16</v>
      </c>
    </row>
    <row r="170" spans="1:13" x14ac:dyDescent="0.3">
      <c r="A170" s="4">
        <v>169</v>
      </c>
      <c r="B170" s="3">
        <v>0.18179999999999999</v>
      </c>
      <c r="C170" s="1">
        <v>0.74</v>
      </c>
      <c r="D170" s="1">
        <v>0.1045</v>
      </c>
      <c r="E170" s="4">
        <v>1</v>
      </c>
      <c r="F170" s="4">
        <v>8</v>
      </c>
      <c r="G170" s="4">
        <v>9</v>
      </c>
      <c r="H170" s="2" t="s">
        <v>13</v>
      </c>
      <c r="I170" s="2" t="s">
        <v>14</v>
      </c>
      <c r="J170" s="2" t="s">
        <v>15</v>
      </c>
      <c r="K170" s="1">
        <v>11.111111111111111</v>
      </c>
      <c r="L170" s="1">
        <v>88.888888888888886</v>
      </c>
      <c r="M170" s="2" t="s">
        <v>16</v>
      </c>
    </row>
    <row r="171" spans="1:13" x14ac:dyDescent="0.3">
      <c r="A171" s="4">
        <v>170</v>
      </c>
      <c r="B171" s="3">
        <v>0.18179999999999999</v>
      </c>
      <c r="C171" s="1">
        <v>0.93</v>
      </c>
      <c r="D171" s="1">
        <v>0.1045</v>
      </c>
      <c r="E171" s="4">
        <v>0</v>
      </c>
      <c r="F171" s="4">
        <v>15</v>
      </c>
      <c r="G171" s="4">
        <v>15</v>
      </c>
      <c r="H171" s="2" t="s">
        <v>13</v>
      </c>
      <c r="I171" s="2" t="s">
        <v>14</v>
      </c>
      <c r="J171" s="2" t="s">
        <v>15</v>
      </c>
      <c r="K171" s="1">
        <v>0</v>
      </c>
      <c r="L171" s="1">
        <v>100</v>
      </c>
      <c r="M171" s="2" t="s">
        <v>16</v>
      </c>
    </row>
    <row r="172" spans="1:13" x14ac:dyDescent="0.3">
      <c r="A172" s="4">
        <v>171</v>
      </c>
      <c r="B172" s="3">
        <v>0.18179999999999999</v>
      </c>
      <c r="C172" s="1">
        <v>0.93</v>
      </c>
      <c r="D172" s="1">
        <v>0.1045</v>
      </c>
      <c r="E172" s="4">
        <v>0</v>
      </c>
      <c r="F172" s="4">
        <v>20</v>
      </c>
      <c r="G172" s="4">
        <v>20</v>
      </c>
      <c r="H172" s="2" t="s">
        <v>13</v>
      </c>
      <c r="I172" s="2" t="s">
        <v>14</v>
      </c>
      <c r="J172" s="2" t="s">
        <v>15</v>
      </c>
      <c r="K172" s="1">
        <v>0</v>
      </c>
      <c r="L172" s="1">
        <v>100</v>
      </c>
      <c r="M172" s="2" t="s">
        <v>16</v>
      </c>
    </row>
    <row r="173" spans="1:13" x14ac:dyDescent="0.3">
      <c r="A173" s="4">
        <v>172</v>
      </c>
      <c r="B173" s="3">
        <v>0.19700000000000001</v>
      </c>
      <c r="C173" s="1">
        <v>0.8</v>
      </c>
      <c r="D173" s="1">
        <v>0.16420000000000001</v>
      </c>
      <c r="E173" s="4">
        <v>5</v>
      </c>
      <c r="F173" s="4">
        <v>56</v>
      </c>
      <c r="G173" s="4">
        <v>61</v>
      </c>
      <c r="H173" s="2" t="s">
        <v>13</v>
      </c>
      <c r="I173" s="2" t="s">
        <v>18</v>
      </c>
      <c r="J173" s="2" t="s">
        <v>15</v>
      </c>
      <c r="K173" s="1">
        <v>8.1967213114754092</v>
      </c>
      <c r="L173" s="1">
        <v>91.803278688524586</v>
      </c>
      <c r="M173" s="2" t="s">
        <v>16</v>
      </c>
    </row>
    <row r="174" spans="1:13" x14ac:dyDescent="0.3">
      <c r="A174" s="4">
        <v>173</v>
      </c>
      <c r="B174" s="3">
        <v>0.18179999999999999</v>
      </c>
      <c r="C174" s="1">
        <v>0.69</v>
      </c>
      <c r="D174" s="1">
        <v>0.3881</v>
      </c>
      <c r="E174" s="4">
        <v>2</v>
      </c>
      <c r="F174" s="4">
        <v>60</v>
      </c>
      <c r="G174" s="4">
        <v>62</v>
      </c>
      <c r="H174" s="2" t="s">
        <v>19</v>
      </c>
      <c r="I174" s="2" t="s">
        <v>20</v>
      </c>
      <c r="J174" s="2" t="s">
        <v>15</v>
      </c>
      <c r="K174" s="1">
        <v>3.225806451612903</v>
      </c>
      <c r="L174" s="1">
        <v>96.774193548387103</v>
      </c>
      <c r="M174" s="2" t="s">
        <v>16</v>
      </c>
    </row>
    <row r="175" spans="1:13" x14ac:dyDescent="0.3">
      <c r="A175" s="4">
        <v>174</v>
      </c>
      <c r="B175" s="3">
        <v>0.18179999999999999</v>
      </c>
      <c r="C175" s="1">
        <v>0.59</v>
      </c>
      <c r="D175" s="1">
        <v>0.35820000000000002</v>
      </c>
      <c r="E175" s="4">
        <v>8</v>
      </c>
      <c r="F175" s="4">
        <v>90</v>
      </c>
      <c r="G175" s="4">
        <v>98</v>
      </c>
      <c r="H175" s="2" t="s">
        <v>19</v>
      </c>
      <c r="I175" s="2" t="s">
        <v>20</v>
      </c>
      <c r="J175" s="2" t="s">
        <v>15</v>
      </c>
      <c r="K175" s="1">
        <v>8.1632653061224492</v>
      </c>
      <c r="L175" s="1">
        <v>91.83673469387756</v>
      </c>
      <c r="M175" s="2" t="s">
        <v>16</v>
      </c>
    </row>
    <row r="176" spans="1:13" x14ac:dyDescent="0.3">
      <c r="A176" s="4">
        <v>175</v>
      </c>
      <c r="B176" s="3">
        <v>0.18179999999999999</v>
      </c>
      <c r="C176" s="1">
        <v>0.44</v>
      </c>
      <c r="D176" s="1">
        <v>0.32840000000000003</v>
      </c>
      <c r="E176" s="4">
        <v>7</v>
      </c>
      <c r="F176" s="4">
        <v>95</v>
      </c>
      <c r="G176" s="4">
        <v>102</v>
      </c>
      <c r="H176" s="2" t="s">
        <v>19</v>
      </c>
      <c r="I176" s="2" t="s">
        <v>20</v>
      </c>
      <c r="J176" s="2" t="s">
        <v>15</v>
      </c>
      <c r="K176" s="1">
        <v>6.8627450980392162</v>
      </c>
      <c r="L176" s="1">
        <v>93.137254901960787</v>
      </c>
      <c r="M176" s="2" t="s">
        <v>19</v>
      </c>
    </row>
    <row r="177" spans="1:13" x14ac:dyDescent="0.3">
      <c r="A177" s="4">
        <v>176</v>
      </c>
      <c r="B177" s="3">
        <v>0.16669999999999999</v>
      </c>
      <c r="C177" s="1">
        <v>0.32</v>
      </c>
      <c r="D177" s="1">
        <v>0.49249999999999999</v>
      </c>
      <c r="E177" s="4">
        <v>12</v>
      </c>
      <c r="F177" s="4">
        <v>83</v>
      </c>
      <c r="G177" s="4">
        <v>95</v>
      </c>
      <c r="H177" s="2" t="s">
        <v>16</v>
      </c>
      <c r="I177" s="2" t="s">
        <v>20</v>
      </c>
      <c r="J177" s="2" t="s">
        <v>15</v>
      </c>
      <c r="K177" s="1">
        <v>12.631578947368419</v>
      </c>
      <c r="L177" s="1">
        <v>87.368421052631589</v>
      </c>
      <c r="M177" s="2" t="s">
        <v>16</v>
      </c>
    </row>
    <row r="178" spans="1:13" x14ac:dyDescent="0.3">
      <c r="A178" s="4">
        <v>177</v>
      </c>
      <c r="B178" s="3">
        <v>0.16669999999999999</v>
      </c>
      <c r="C178" s="1">
        <v>0.32</v>
      </c>
      <c r="D178" s="1">
        <v>0.44779999999999998</v>
      </c>
      <c r="E178" s="4">
        <v>5</v>
      </c>
      <c r="F178" s="4">
        <v>69</v>
      </c>
      <c r="G178" s="4">
        <v>74</v>
      </c>
      <c r="H178" s="2" t="s">
        <v>16</v>
      </c>
      <c r="I178" s="2" t="s">
        <v>20</v>
      </c>
      <c r="J178" s="2" t="s">
        <v>15</v>
      </c>
      <c r="K178" s="1">
        <v>6.756756756756757</v>
      </c>
      <c r="L178" s="1">
        <v>93.243243243243242</v>
      </c>
      <c r="M178" s="2" t="s">
        <v>16</v>
      </c>
    </row>
    <row r="179" spans="1:13" x14ac:dyDescent="0.3">
      <c r="A179" s="4">
        <v>178</v>
      </c>
      <c r="B179" s="3">
        <v>0.13639999999999999</v>
      </c>
      <c r="C179" s="1">
        <v>0.28999999999999998</v>
      </c>
      <c r="D179" s="1">
        <v>0.44779999999999998</v>
      </c>
      <c r="E179" s="4">
        <v>8</v>
      </c>
      <c r="F179" s="4">
        <v>68</v>
      </c>
      <c r="G179" s="4">
        <v>76</v>
      </c>
      <c r="H179" s="2" t="s">
        <v>16</v>
      </c>
      <c r="I179" s="2" t="s">
        <v>20</v>
      </c>
      <c r="J179" s="2" t="s">
        <v>15</v>
      </c>
      <c r="K179" s="1">
        <v>10.52631578947368</v>
      </c>
      <c r="L179" s="1">
        <v>89.473684210526315</v>
      </c>
      <c r="M179" s="2" t="s">
        <v>16</v>
      </c>
    </row>
    <row r="180" spans="1:13" x14ac:dyDescent="0.3">
      <c r="A180" s="4">
        <v>179</v>
      </c>
      <c r="B180" s="3">
        <v>0.1212</v>
      </c>
      <c r="C180" s="1">
        <v>0.37</v>
      </c>
      <c r="D180" s="1">
        <v>0.55220000000000002</v>
      </c>
      <c r="E180" s="4">
        <v>5</v>
      </c>
      <c r="F180" s="4">
        <v>64</v>
      </c>
      <c r="G180" s="4">
        <v>69</v>
      </c>
      <c r="H180" s="2" t="s">
        <v>16</v>
      </c>
      <c r="I180" s="2" t="s">
        <v>20</v>
      </c>
      <c r="J180" s="2" t="s">
        <v>15</v>
      </c>
      <c r="K180" s="1">
        <v>7.2463768115942031</v>
      </c>
      <c r="L180" s="1">
        <v>92.753623188405797</v>
      </c>
      <c r="M180" s="2" t="s">
        <v>16</v>
      </c>
    </row>
    <row r="181" spans="1:13" x14ac:dyDescent="0.3">
      <c r="A181" s="4">
        <v>180</v>
      </c>
      <c r="B181" s="3">
        <v>0.1212</v>
      </c>
      <c r="C181" s="1">
        <v>0.39</v>
      </c>
      <c r="D181" s="1">
        <v>0.29849999999999999</v>
      </c>
      <c r="E181" s="4">
        <v>3</v>
      </c>
      <c r="F181" s="4">
        <v>52</v>
      </c>
      <c r="G181" s="4">
        <v>55</v>
      </c>
      <c r="H181" s="2" t="s">
        <v>16</v>
      </c>
      <c r="I181" s="2" t="s">
        <v>18</v>
      </c>
      <c r="J181" s="2" t="s">
        <v>15</v>
      </c>
      <c r="K181" s="1">
        <v>5.4545454545454541</v>
      </c>
      <c r="L181" s="1">
        <v>94.545454545454547</v>
      </c>
      <c r="M181" s="2" t="s">
        <v>16</v>
      </c>
    </row>
    <row r="182" spans="1:13" x14ac:dyDescent="0.3">
      <c r="A182" s="4">
        <v>181</v>
      </c>
      <c r="B182" s="3">
        <v>0.1212</v>
      </c>
      <c r="C182" s="1">
        <v>0.36</v>
      </c>
      <c r="D182" s="1">
        <v>0.25369999999999998</v>
      </c>
      <c r="E182" s="4">
        <v>4</v>
      </c>
      <c r="F182" s="4">
        <v>26</v>
      </c>
      <c r="G182" s="4">
        <v>30</v>
      </c>
      <c r="H182" s="2" t="s">
        <v>16</v>
      </c>
      <c r="I182" s="2" t="s">
        <v>18</v>
      </c>
      <c r="J182" s="2" t="s">
        <v>15</v>
      </c>
      <c r="K182" s="1">
        <v>13.33333333333333</v>
      </c>
      <c r="L182" s="1">
        <v>86.666666666666671</v>
      </c>
      <c r="M182" s="2" t="s">
        <v>16</v>
      </c>
    </row>
    <row r="183" spans="1:13" x14ac:dyDescent="0.3">
      <c r="A183" s="4">
        <v>182</v>
      </c>
      <c r="B183" s="3">
        <v>0.1212</v>
      </c>
      <c r="C183" s="1">
        <v>0.36</v>
      </c>
      <c r="D183" s="1">
        <v>0.25369999999999998</v>
      </c>
      <c r="E183" s="4">
        <v>0</v>
      </c>
      <c r="F183" s="4">
        <v>28</v>
      </c>
      <c r="G183" s="4">
        <v>28</v>
      </c>
      <c r="H183" s="2" t="s">
        <v>16</v>
      </c>
      <c r="I183" s="2" t="s">
        <v>18</v>
      </c>
      <c r="J183" s="2" t="s">
        <v>15</v>
      </c>
      <c r="K183" s="1">
        <v>0</v>
      </c>
      <c r="L183" s="1">
        <v>100</v>
      </c>
      <c r="M183" s="2" t="s">
        <v>16</v>
      </c>
    </row>
    <row r="184" spans="1:13" x14ac:dyDescent="0.3">
      <c r="A184" s="4">
        <v>183</v>
      </c>
      <c r="B184" s="3">
        <v>0.1061</v>
      </c>
      <c r="C184" s="1">
        <v>0.39</v>
      </c>
      <c r="D184" s="1">
        <v>0.35820000000000002</v>
      </c>
      <c r="E184" s="4">
        <v>2</v>
      </c>
      <c r="F184" s="4">
        <v>35</v>
      </c>
      <c r="G184" s="4">
        <v>37</v>
      </c>
      <c r="H184" s="2" t="s">
        <v>16</v>
      </c>
      <c r="I184" s="2" t="s">
        <v>20</v>
      </c>
      <c r="J184" s="2" t="s">
        <v>15</v>
      </c>
      <c r="K184" s="1">
        <v>5.4054054054054053</v>
      </c>
      <c r="L184" s="1">
        <v>94.594594594594597</v>
      </c>
      <c r="M184" s="2" t="s">
        <v>16</v>
      </c>
    </row>
    <row r="185" spans="1:13" x14ac:dyDescent="0.3">
      <c r="A185" s="4">
        <v>184</v>
      </c>
      <c r="B185" s="3">
        <v>0.1061</v>
      </c>
      <c r="C185" s="1">
        <v>0.36</v>
      </c>
      <c r="D185" s="1">
        <v>0.3881</v>
      </c>
      <c r="E185" s="4">
        <v>1</v>
      </c>
      <c r="F185" s="4">
        <v>33</v>
      </c>
      <c r="G185" s="4">
        <v>34</v>
      </c>
      <c r="H185" s="2" t="s">
        <v>16</v>
      </c>
      <c r="I185" s="2" t="s">
        <v>20</v>
      </c>
      <c r="J185" s="2" t="s">
        <v>15</v>
      </c>
      <c r="K185" s="1">
        <v>2.9411764705882351</v>
      </c>
      <c r="L185" s="1">
        <v>97.058823529411768</v>
      </c>
      <c r="M185" s="2" t="s">
        <v>16</v>
      </c>
    </row>
    <row r="186" spans="1:13" x14ac:dyDescent="0.3">
      <c r="A186" s="4">
        <v>185</v>
      </c>
      <c r="B186" s="3">
        <v>6.0600000000000001E-2</v>
      </c>
      <c r="C186" s="1">
        <v>0.39</v>
      </c>
      <c r="D186" s="1">
        <v>0.44779999999999998</v>
      </c>
      <c r="E186" s="4">
        <v>0</v>
      </c>
      <c r="F186" s="4">
        <v>22</v>
      </c>
      <c r="G186" s="4">
        <v>22</v>
      </c>
      <c r="H186" s="2" t="s">
        <v>16</v>
      </c>
      <c r="I186" s="2" t="s">
        <v>20</v>
      </c>
      <c r="J186" s="2" t="s">
        <v>15</v>
      </c>
      <c r="K186" s="1">
        <v>0</v>
      </c>
      <c r="L186" s="1">
        <v>100</v>
      </c>
      <c r="M186" s="2" t="s">
        <v>16</v>
      </c>
    </row>
    <row r="187" spans="1:13" x14ac:dyDescent="0.3">
      <c r="A187" s="4">
        <v>186</v>
      </c>
      <c r="B187" s="3">
        <v>7.5800000000000006E-2</v>
      </c>
      <c r="C187" s="1">
        <v>0.42</v>
      </c>
      <c r="D187" s="1">
        <v>0.3881</v>
      </c>
      <c r="E187" s="4">
        <v>1</v>
      </c>
      <c r="F187" s="4">
        <v>24</v>
      </c>
      <c r="G187" s="4">
        <v>25</v>
      </c>
      <c r="H187" s="2" t="s">
        <v>19</v>
      </c>
      <c r="I187" s="2" t="s">
        <v>20</v>
      </c>
      <c r="J187" s="2" t="s">
        <v>15</v>
      </c>
      <c r="K187" s="1">
        <v>4</v>
      </c>
      <c r="L187" s="1">
        <v>96</v>
      </c>
      <c r="M187" s="2" t="s">
        <v>16</v>
      </c>
    </row>
    <row r="188" spans="1:13" x14ac:dyDescent="0.3">
      <c r="A188" s="4">
        <v>187</v>
      </c>
      <c r="B188" s="3">
        <v>6.0600000000000001E-2</v>
      </c>
      <c r="C188" s="1">
        <v>0.42</v>
      </c>
      <c r="D188" s="1">
        <v>0.4627</v>
      </c>
      <c r="E188" s="4">
        <v>0</v>
      </c>
      <c r="F188" s="4">
        <v>12</v>
      </c>
      <c r="G188" s="4">
        <v>12</v>
      </c>
      <c r="H188" s="2" t="s">
        <v>19</v>
      </c>
      <c r="I188" s="2" t="s">
        <v>20</v>
      </c>
      <c r="J188" s="2" t="s">
        <v>15</v>
      </c>
      <c r="K188" s="1">
        <v>0</v>
      </c>
      <c r="L188" s="1">
        <v>100</v>
      </c>
      <c r="M188" s="2" t="s">
        <v>16</v>
      </c>
    </row>
    <row r="189" spans="1:13" x14ac:dyDescent="0.3">
      <c r="A189" s="4">
        <v>188</v>
      </c>
      <c r="B189" s="3">
        <v>6.0600000000000001E-2</v>
      </c>
      <c r="C189" s="1">
        <v>0.46</v>
      </c>
      <c r="D189" s="1">
        <v>0.4627</v>
      </c>
      <c r="E189" s="4">
        <v>0</v>
      </c>
      <c r="F189" s="4">
        <v>11</v>
      </c>
      <c r="G189" s="4">
        <v>11</v>
      </c>
      <c r="H189" s="2" t="s">
        <v>19</v>
      </c>
      <c r="I189" s="2" t="s">
        <v>20</v>
      </c>
      <c r="J189" s="2" t="s">
        <v>15</v>
      </c>
      <c r="K189" s="1">
        <v>0</v>
      </c>
      <c r="L189" s="1">
        <v>100</v>
      </c>
      <c r="M189" s="2" t="s">
        <v>16</v>
      </c>
    </row>
    <row r="190" spans="1:13" x14ac:dyDescent="0.3">
      <c r="A190" s="4">
        <v>189</v>
      </c>
      <c r="B190" s="3">
        <v>7.5800000000000006E-2</v>
      </c>
      <c r="C190" s="1">
        <v>0.46</v>
      </c>
      <c r="D190" s="1">
        <v>0.41789999999999999</v>
      </c>
      <c r="E190" s="4">
        <v>0</v>
      </c>
      <c r="F190" s="4">
        <v>4</v>
      </c>
      <c r="G190" s="4">
        <v>4</v>
      </c>
      <c r="H190" s="2" t="s">
        <v>19</v>
      </c>
      <c r="I190" s="2" t="s">
        <v>20</v>
      </c>
      <c r="J190" s="2" t="s">
        <v>15</v>
      </c>
      <c r="K190" s="1">
        <v>0</v>
      </c>
      <c r="L190" s="1">
        <v>100</v>
      </c>
      <c r="M190" s="2" t="s">
        <v>16</v>
      </c>
    </row>
    <row r="191" spans="1:13" x14ac:dyDescent="0.3">
      <c r="A191" s="4">
        <v>190</v>
      </c>
      <c r="B191" s="3">
        <v>9.0899999999999995E-2</v>
      </c>
      <c r="C191" s="1">
        <v>0.53</v>
      </c>
      <c r="D191" s="1">
        <v>0.19400000000000001</v>
      </c>
      <c r="E191" s="4">
        <v>0</v>
      </c>
      <c r="F191" s="4">
        <v>1</v>
      </c>
      <c r="G191" s="4">
        <v>1</v>
      </c>
      <c r="H191" s="2" t="s">
        <v>19</v>
      </c>
      <c r="I191" s="2" t="s">
        <v>18</v>
      </c>
      <c r="J191" s="2" t="s">
        <v>15</v>
      </c>
      <c r="K191" s="1">
        <v>0</v>
      </c>
      <c r="L191" s="1">
        <v>100</v>
      </c>
      <c r="M191" s="2" t="s">
        <v>16</v>
      </c>
    </row>
    <row r="192" spans="1:13" x14ac:dyDescent="0.3">
      <c r="A192" s="4">
        <v>191</v>
      </c>
      <c r="B192" s="3">
        <v>9.0899999999999995E-2</v>
      </c>
      <c r="C192" s="1">
        <v>0.53</v>
      </c>
      <c r="D192" s="1">
        <v>0.19400000000000001</v>
      </c>
      <c r="E192" s="4">
        <v>0</v>
      </c>
      <c r="F192" s="4">
        <v>1</v>
      </c>
      <c r="G192" s="4">
        <v>1</v>
      </c>
      <c r="H192" s="2" t="s">
        <v>19</v>
      </c>
      <c r="I192" s="2" t="s">
        <v>18</v>
      </c>
      <c r="J192" s="2" t="s">
        <v>15</v>
      </c>
      <c r="K192" s="1">
        <v>0</v>
      </c>
      <c r="L192" s="1">
        <v>100</v>
      </c>
      <c r="M192" s="2" t="s">
        <v>16</v>
      </c>
    </row>
    <row r="193" spans="1:13" x14ac:dyDescent="0.3">
      <c r="A193" s="4">
        <v>192</v>
      </c>
      <c r="B193" s="3">
        <v>9.0899999999999995E-2</v>
      </c>
      <c r="C193" s="1">
        <v>0.49</v>
      </c>
      <c r="D193" s="1">
        <v>0.28360000000000002</v>
      </c>
      <c r="E193" s="4">
        <v>0</v>
      </c>
      <c r="F193" s="4">
        <v>1</v>
      </c>
      <c r="G193" s="4">
        <v>1</v>
      </c>
      <c r="H193" s="2" t="s">
        <v>19</v>
      </c>
      <c r="I193" s="2" t="s">
        <v>18</v>
      </c>
      <c r="J193" s="2" t="s">
        <v>15</v>
      </c>
      <c r="K193" s="1">
        <v>0</v>
      </c>
      <c r="L193" s="1">
        <v>100</v>
      </c>
      <c r="M193" s="2" t="s">
        <v>16</v>
      </c>
    </row>
    <row r="194" spans="1:13" x14ac:dyDescent="0.3">
      <c r="A194" s="4">
        <v>193</v>
      </c>
      <c r="B194" s="3">
        <v>9.0899999999999995E-2</v>
      </c>
      <c r="C194" s="1">
        <v>0.53</v>
      </c>
      <c r="D194" s="1">
        <v>0.19400000000000001</v>
      </c>
      <c r="E194" s="4">
        <v>1</v>
      </c>
      <c r="F194" s="4">
        <v>5</v>
      </c>
      <c r="G194" s="4">
        <v>6</v>
      </c>
      <c r="H194" s="2" t="s">
        <v>19</v>
      </c>
      <c r="I194" s="2" t="s">
        <v>18</v>
      </c>
      <c r="J194" s="2" t="s">
        <v>15</v>
      </c>
      <c r="K194" s="1">
        <v>16.666666666666661</v>
      </c>
      <c r="L194" s="1">
        <v>83.333333333333343</v>
      </c>
      <c r="M194" s="2" t="s">
        <v>16</v>
      </c>
    </row>
    <row r="195" spans="1:13" x14ac:dyDescent="0.3">
      <c r="A195" s="4">
        <v>194</v>
      </c>
      <c r="B195" s="3">
        <v>9.0899999999999995E-2</v>
      </c>
      <c r="C195" s="1">
        <v>0.49</v>
      </c>
      <c r="D195" s="1">
        <v>0.28360000000000002</v>
      </c>
      <c r="E195" s="4">
        <v>0</v>
      </c>
      <c r="F195" s="4">
        <v>10</v>
      </c>
      <c r="G195" s="4">
        <v>10</v>
      </c>
      <c r="H195" s="2" t="s">
        <v>19</v>
      </c>
      <c r="I195" s="2" t="s">
        <v>18</v>
      </c>
      <c r="J195" s="2" t="s">
        <v>15</v>
      </c>
      <c r="K195" s="1">
        <v>0</v>
      </c>
      <c r="L195" s="1">
        <v>100</v>
      </c>
      <c r="M195" s="2" t="s">
        <v>16</v>
      </c>
    </row>
    <row r="196" spans="1:13" x14ac:dyDescent="0.3">
      <c r="A196" s="4">
        <v>195</v>
      </c>
      <c r="B196" s="3">
        <v>7.5800000000000006E-2</v>
      </c>
      <c r="C196" s="1">
        <v>0.46</v>
      </c>
      <c r="D196" s="1">
        <v>0.52239999999999998</v>
      </c>
      <c r="E196" s="4">
        <v>0</v>
      </c>
      <c r="F196" s="4">
        <v>19</v>
      </c>
      <c r="G196" s="4">
        <v>19</v>
      </c>
      <c r="H196" s="2" t="s">
        <v>19</v>
      </c>
      <c r="I196" s="2" t="s">
        <v>20</v>
      </c>
      <c r="J196" s="2" t="s">
        <v>15</v>
      </c>
      <c r="K196" s="1">
        <v>0</v>
      </c>
      <c r="L196" s="1">
        <v>100</v>
      </c>
      <c r="M196" s="2" t="s">
        <v>16</v>
      </c>
    </row>
    <row r="197" spans="1:13" x14ac:dyDescent="0.3">
      <c r="A197" s="4">
        <v>196</v>
      </c>
      <c r="B197" s="3">
        <v>0.1061</v>
      </c>
      <c r="C197" s="1">
        <v>0.43</v>
      </c>
      <c r="D197" s="1">
        <v>0.3881</v>
      </c>
      <c r="E197" s="4">
        <v>0</v>
      </c>
      <c r="F197" s="4">
        <v>49</v>
      </c>
      <c r="G197" s="4">
        <v>49</v>
      </c>
      <c r="H197" s="2" t="s">
        <v>19</v>
      </c>
      <c r="I197" s="2" t="s">
        <v>20</v>
      </c>
      <c r="J197" s="2" t="s">
        <v>15</v>
      </c>
      <c r="K197" s="1">
        <v>0</v>
      </c>
      <c r="L197" s="1">
        <v>100</v>
      </c>
      <c r="M197" s="2" t="s">
        <v>16</v>
      </c>
    </row>
    <row r="198" spans="1:13" x14ac:dyDescent="0.3">
      <c r="A198" s="4">
        <v>197</v>
      </c>
      <c r="B198" s="3">
        <v>0.1212</v>
      </c>
      <c r="C198" s="1">
        <v>0.4</v>
      </c>
      <c r="D198" s="1">
        <v>0.52239999999999998</v>
      </c>
      <c r="E198" s="4">
        <v>2</v>
      </c>
      <c r="F198" s="4">
        <v>47</v>
      </c>
      <c r="G198" s="4">
        <v>49</v>
      </c>
      <c r="H198" s="2" t="s">
        <v>19</v>
      </c>
      <c r="I198" s="2" t="s">
        <v>20</v>
      </c>
      <c r="J198" s="2" t="s">
        <v>15</v>
      </c>
      <c r="K198" s="1">
        <v>4.0816326530612246</v>
      </c>
      <c r="L198" s="1">
        <v>95.918367346938766</v>
      </c>
      <c r="M198" s="2" t="s">
        <v>16</v>
      </c>
    </row>
    <row r="199" spans="1:13" x14ac:dyDescent="0.3">
      <c r="A199" s="4">
        <v>198</v>
      </c>
      <c r="B199" s="3">
        <v>0.13639999999999999</v>
      </c>
      <c r="C199" s="1">
        <v>0.37</v>
      </c>
      <c r="D199" s="1">
        <v>0.44779999999999998</v>
      </c>
      <c r="E199" s="4">
        <v>4</v>
      </c>
      <c r="F199" s="4">
        <v>79</v>
      </c>
      <c r="G199" s="4">
        <v>83</v>
      </c>
      <c r="H199" s="2" t="s">
        <v>16</v>
      </c>
      <c r="I199" s="2" t="s">
        <v>20</v>
      </c>
      <c r="J199" s="2" t="s">
        <v>15</v>
      </c>
      <c r="K199" s="1">
        <v>4.8192771084337354</v>
      </c>
      <c r="L199" s="1">
        <v>95.180722891566262</v>
      </c>
      <c r="M199" s="2" t="s">
        <v>16</v>
      </c>
    </row>
    <row r="200" spans="1:13" x14ac:dyDescent="0.3">
      <c r="A200" s="4">
        <v>199</v>
      </c>
      <c r="B200" s="3">
        <v>0.16669999999999999</v>
      </c>
      <c r="C200" s="1">
        <v>0.34</v>
      </c>
      <c r="D200" s="1">
        <v>0.44779999999999998</v>
      </c>
      <c r="E200" s="4">
        <v>6</v>
      </c>
      <c r="F200" s="4">
        <v>69</v>
      </c>
      <c r="G200" s="4">
        <v>75</v>
      </c>
      <c r="H200" s="2" t="s">
        <v>16</v>
      </c>
      <c r="I200" s="2" t="s">
        <v>20</v>
      </c>
      <c r="J200" s="2" t="s">
        <v>15</v>
      </c>
      <c r="K200" s="1">
        <v>8</v>
      </c>
      <c r="L200" s="1">
        <v>92</v>
      </c>
      <c r="M200" s="2" t="s">
        <v>16</v>
      </c>
    </row>
    <row r="201" spans="1:13" x14ac:dyDescent="0.3">
      <c r="A201" s="4">
        <v>200</v>
      </c>
      <c r="B201" s="3">
        <v>0.18179999999999999</v>
      </c>
      <c r="C201" s="1">
        <v>0.32</v>
      </c>
      <c r="D201" s="1">
        <v>0.4627</v>
      </c>
      <c r="E201" s="4">
        <v>8</v>
      </c>
      <c r="F201" s="4">
        <v>64</v>
      </c>
      <c r="G201" s="4">
        <v>72</v>
      </c>
      <c r="H201" s="2" t="s">
        <v>16</v>
      </c>
      <c r="I201" s="2" t="s">
        <v>20</v>
      </c>
      <c r="J201" s="2" t="s">
        <v>15</v>
      </c>
      <c r="K201" s="1">
        <v>11.111111111111111</v>
      </c>
      <c r="L201" s="1">
        <v>88.888888888888886</v>
      </c>
      <c r="M201" s="2" t="s">
        <v>16</v>
      </c>
    </row>
    <row r="202" spans="1:13" x14ac:dyDescent="0.3">
      <c r="A202" s="4">
        <v>201</v>
      </c>
      <c r="B202" s="3">
        <v>0.19700000000000001</v>
      </c>
      <c r="C202" s="1">
        <v>0.35</v>
      </c>
      <c r="D202" s="1">
        <v>0.35820000000000002</v>
      </c>
      <c r="E202" s="4">
        <v>5</v>
      </c>
      <c r="F202" s="4">
        <v>77</v>
      </c>
      <c r="G202" s="4">
        <v>82</v>
      </c>
      <c r="H202" s="2" t="s">
        <v>16</v>
      </c>
      <c r="I202" s="2" t="s">
        <v>20</v>
      </c>
      <c r="J202" s="2" t="s">
        <v>15</v>
      </c>
      <c r="K202" s="1">
        <v>6.0975609756097562</v>
      </c>
      <c r="L202" s="1">
        <v>93.902439024390233</v>
      </c>
      <c r="M202" s="2" t="s">
        <v>16</v>
      </c>
    </row>
    <row r="203" spans="1:13" x14ac:dyDescent="0.3">
      <c r="A203" s="4">
        <v>202</v>
      </c>
      <c r="B203" s="3">
        <v>0.16669999999999999</v>
      </c>
      <c r="C203" s="1">
        <v>0.34</v>
      </c>
      <c r="D203" s="1">
        <v>0.44779999999999998</v>
      </c>
      <c r="E203" s="4">
        <v>13</v>
      </c>
      <c r="F203" s="4">
        <v>79</v>
      </c>
      <c r="G203" s="4">
        <v>92</v>
      </c>
      <c r="H203" s="2" t="s">
        <v>16</v>
      </c>
      <c r="I203" s="2" t="s">
        <v>20</v>
      </c>
      <c r="J203" s="2" t="s">
        <v>15</v>
      </c>
      <c r="K203" s="1">
        <v>14.130434782608701</v>
      </c>
      <c r="L203" s="1">
        <v>85.869565217391312</v>
      </c>
      <c r="M203" s="2" t="s">
        <v>16</v>
      </c>
    </row>
    <row r="204" spans="1:13" x14ac:dyDescent="0.3">
      <c r="A204" s="4">
        <v>203</v>
      </c>
      <c r="B204" s="3">
        <v>0.1515</v>
      </c>
      <c r="C204" s="1">
        <v>0.37</v>
      </c>
      <c r="D204" s="1">
        <v>0.3881</v>
      </c>
      <c r="E204" s="4">
        <v>3</v>
      </c>
      <c r="F204" s="4">
        <v>59</v>
      </c>
      <c r="G204" s="4">
        <v>62</v>
      </c>
      <c r="H204" s="2" t="s">
        <v>16</v>
      </c>
      <c r="I204" s="2" t="s">
        <v>20</v>
      </c>
      <c r="J204" s="2" t="s">
        <v>15</v>
      </c>
      <c r="K204" s="1">
        <v>4.838709677419355</v>
      </c>
      <c r="L204" s="1">
        <v>95.161290322580655</v>
      </c>
      <c r="M204" s="2" t="s">
        <v>16</v>
      </c>
    </row>
    <row r="205" spans="1:13" x14ac:dyDescent="0.3">
      <c r="A205" s="4">
        <v>204</v>
      </c>
      <c r="B205" s="3">
        <v>0.13639999999999999</v>
      </c>
      <c r="C205" s="1">
        <v>0.4</v>
      </c>
      <c r="D205" s="1">
        <v>0.32840000000000003</v>
      </c>
      <c r="E205" s="4">
        <v>4</v>
      </c>
      <c r="F205" s="4">
        <v>44</v>
      </c>
      <c r="G205" s="4">
        <v>48</v>
      </c>
      <c r="H205" s="2" t="s">
        <v>19</v>
      </c>
      <c r="I205" s="2" t="s">
        <v>20</v>
      </c>
      <c r="J205" s="2" t="s">
        <v>15</v>
      </c>
      <c r="K205" s="1">
        <v>8.3333333333333321</v>
      </c>
      <c r="L205" s="1">
        <v>91.666666666666657</v>
      </c>
      <c r="M205" s="2" t="s">
        <v>16</v>
      </c>
    </row>
    <row r="206" spans="1:13" x14ac:dyDescent="0.3">
      <c r="A206" s="4">
        <v>205</v>
      </c>
      <c r="B206" s="3">
        <v>0.13639999999999999</v>
      </c>
      <c r="C206" s="1">
        <v>0.43</v>
      </c>
      <c r="D206" s="1">
        <v>0.32840000000000003</v>
      </c>
      <c r="E206" s="4">
        <v>1</v>
      </c>
      <c r="F206" s="4">
        <v>40</v>
      </c>
      <c r="G206" s="4">
        <v>41</v>
      </c>
      <c r="H206" s="2" t="s">
        <v>19</v>
      </c>
      <c r="I206" s="2" t="s">
        <v>20</v>
      </c>
      <c r="J206" s="2" t="s">
        <v>15</v>
      </c>
      <c r="K206" s="1">
        <v>2.4390243902439019</v>
      </c>
      <c r="L206" s="1">
        <v>97.560975609756099</v>
      </c>
      <c r="M206" s="2" t="s">
        <v>16</v>
      </c>
    </row>
    <row r="207" spans="1:13" x14ac:dyDescent="0.3">
      <c r="A207" s="4">
        <v>206</v>
      </c>
      <c r="B207" s="3">
        <v>0.1212</v>
      </c>
      <c r="C207" s="1">
        <v>0.46</v>
      </c>
      <c r="D207" s="1">
        <v>0.25369999999999998</v>
      </c>
      <c r="E207" s="4">
        <v>0</v>
      </c>
      <c r="F207" s="4">
        <v>38</v>
      </c>
      <c r="G207" s="4">
        <v>38</v>
      </c>
      <c r="H207" s="2" t="s">
        <v>19</v>
      </c>
      <c r="I207" s="2" t="s">
        <v>18</v>
      </c>
      <c r="J207" s="2" t="s">
        <v>15</v>
      </c>
      <c r="K207" s="1">
        <v>0</v>
      </c>
      <c r="L207" s="1">
        <v>100</v>
      </c>
      <c r="M207" s="2" t="s">
        <v>16</v>
      </c>
    </row>
    <row r="208" spans="1:13" x14ac:dyDescent="0.3">
      <c r="A208" s="4">
        <v>207</v>
      </c>
      <c r="B208" s="3">
        <v>0.1061</v>
      </c>
      <c r="C208" s="1">
        <v>0.46</v>
      </c>
      <c r="D208" s="1">
        <v>0.41789999999999999</v>
      </c>
      <c r="E208" s="4">
        <v>1</v>
      </c>
      <c r="F208" s="4">
        <v>19</v>
      </c>
      <c r="G208" s="4">
        <v>20</v>
      </c>
      <c r="H208" s="2" t="s">
        <v>19</v>
      </c>
      <c r="I208" s="2" t="s">
        <v>20</v>
      </c>
      <c r="J208" s="2" t="s">
        <v>15</v>
      </c>
      <c r="K208" s="1">
        <v>5</v>
      </c>
      <c r="L208" s="1">
        <v>95</v>
      </c>
      <c r="M208" s="2" t="s">
        <v>16</v>
      </c>
    </row>
    <row r="209" spans="1:13" x14ac:dyDescent="0.3">
      <c r="A209" s="4">
        <v>208</v>
      </c>
      <c r="B209" s="3">
        <v>0.1212</v>
      </c>
      <c r="C209" s="1">
        <v>0.46</v>
      </c>
      <c r="D209" s="1">
        <v>0.29849999999999999</v>
      </c>
      <c r="E209" s="4">
        <v>5</v>
      </c>
      <c r="F209" s="4">
        <v>10</v>
      </c>
      <c r="G209" s="4">
        <v>15</v>
      </c>
      <c r="H209" s="2" t="s">
        <v>19</v>
      </c>
      <c r="I209" s="2" t="s">
        <v>18</v>
      </c>
      <c r="J209" s="2" t="s">
        <v>15</v>
      </c>
      <c r="K209" s="1">
        <v>33.333333333333329</v>
      </c>
      <c r="L209" s="1">
        <v>66.666666666666657</v>
      </c>
      <c r="M209" s="2" t="s">
        <v>16</v>
      </c>
    </row>
    <row r="210" spans="1:13" x14ac:dyDescent="0.3">
      <c r="A210" s="4">
        <v>209</v>
      </c>
      <c r="B210" s="3">
        <v>0.13639999999999999</v>
      </c>
      <c r="C210" s="1">
        <v>0.5</v>
      </c>
      <c r="D210" s="1">
        <v>0.19400000000000001</v>
      </c>
      <c r="E210" s="4">
        <v>0</v>
      </c>
      <c r="F210" s="4">
        <v>6</v>
      </c>
      <c r="G210" s="4">
        <v>6</v>
      </c>
      <c r="H210" s="2" t="s">
        <v>19</v>
      </c>
      <c r="I210" s="2" t="s">
        <v>18</v>
      </c>
      <c r="J210" s="2" t="s">
        <v>15</v>
      </c>
      <c r="K210" s="1">
        <v>0</v>
      </c>
      <c r="L210" s="1">
        <v>100</v>
      </c>
      <c r="M210" s="2" t="s">
        <v>16</v>
      </c>
    </row>
    <row r="211" spans="1:13" x14ac:dyDescent="0.3">
      <c r="A211" s="4">
        <v>210</v>
      </c>
      <c r="B211" s="3">
        <v>0.1212</v>
      </c>
      <c r="C211" s="1">
        <v>0.5</v>
      </c>
      <c r="D211" s="1">
        <v>0.28360000000000002</v>
      </c>
      <c r="E211" s="4">
        <v>2</v>
      </c>
      <c r="F211" s="4">
        <v>3</v>
      </c>
      <c r="G211" s="4">
        <v>5</v>
      </c>
      <c r="H211" s="2" t="s">
        <v>19</v>
      </c>
      <c r="I211" s="2" t="s">
        <v>18</v>
      </c>
      <c r="J211" s="2" t="s">
        <v>15</v>
      </c>
      <c r="K211" s="1">
        <v>40</v>
      </c>
      <c r="L211" s="1">
        <v>60</v>
      </c>
      <c r="M211" s="2" t="s">
        <v>16</v>
      </c>
    </row>
    <row r="212" spans="1:13" x14ac:dyDescent="0.3">
      <c r="A212" s="4">
        <v>211</v>
      </c>
      <c r="B212" s="3">
        <v>0.1212</v>
      </c>
      <c r="C212" s="1">
        <v>0.5</v>
      </c>
      <c r="D212" s="1">
        <v>0.28360000000000002</v>
      </c>
      <c r="E212" s="4">
        <v>1</v>
      </c>
      <c r="F212" s="4">
        <v>0</v>
      </c>
      <c r="G212" s="4">
        <v>1</v>
      </c>
      <c r="H212" s="2" t="s">
        <v>19</v>
      </c>
      <c r="I212" s="2" t="s">
        <v>18</v>
      </c>
      <c r="J212" s="2" t="s">
        <v>17</v>
      </c>
      <c r="K212" s="1">
        <v>100</v>
      </c>
      <c r="L212" s="1">
        <v>0</v>
      </c>
      <c r="M212" s="2" t="s">
        <v>16</v>
      </c>
    </row>
    <row r="213" spans="1:13" x14ac:dyDescent="0.3">
      <c r="A213" s="4">
        <v>212</v>
      </c>
      <c r="B213" s="3">
        <v>0.1212</v>
      </c>
      <c r="C213" s="1">
        <v>0.5</v>
      </c>
      <c r="D213" s="1">
        <v>0.22389999999999999</v>
      </c>
      <c r="E213" s="4">
        <v>0</v>
      </c>
      <c r="F213" s="4">
        <v>3</v>
      </c>
      <c r="G213" s="4">
        <v>3</v>
      </c>
      <c r="H213" s="2" t="s">
        <v>19</v>
      </c>
      <c r="I213" s="2" t="s">
        <v>18</v>
      </c>
      <c r="J213" s="2" t="s">
        <v>15</v>
      </c>
      <c r="K213" s="1">
        <v>0</v>
      </c>
      <c r="L213" s="1">
        <v>100</v>
      </c>
      <c r="M213" s="2" t="s">
        <v>16</v>
      </c>
    </row>
    <row r="214" spans="1:13" x14ac:dyDescent="0.3">
      <c r="A214" s="4">
        <v>213</v>
      </c>
      <c r="B214" s="3">
        <v>0.1212</v>
      </c>
      <c r="C214" s="1">
        <v>0.5</v>
      </c>
      <c r="D214" s="1">
        <v>0.22389999999999999</v>
      </c>
      <c r="E214" s="4">
        <v>0</v>
      </c>
      <c r="F214" s="4">
        <v>1</v>
      </c>
      <c r="G214" s="4">
        <v>1</v>
      </c>
      <c r="H214" s="2" t="s">
        <v>19</v>
      </c>
      <c r="I214" s="2" t="s">
        <v>18</v>
      </c>
      <c r="J214" s="2" t="s">
        <v>15</v>
      </c>
      <c r="K214" s="1">
        <v>0</v>
      </c>
      <c r="L214" s="1">
        <v>100</v>
      </c>
      <c r="M214" s="2" t="s">
        <v>16</v>
      </c>
    </row>
    <row r="215" spans="1:13" x14ac:dyDescent="0.3">
      <c r="A215" s="4">
        <v>214</v>
      </c>
      <c r="B215" s="3">
        <v>0.1212</v>
      </c>
      <c r="C215" s="1">
        <v>0.54</v>
      </c>
      <c r="D215" s="1">
        <v>0.1343</v>
      </c>
      <c r="E215" s="4">
        <v>1</v>
      </c>
      <c r="F215" s="4">
        <v>2</v>
      </c>
      <c r="G215" s="4">
        <v>3</v>
      </c>
      <c r="H215" s="2" t="s">
        <v>19</v>
      </c>
      <c r="I215" s="2" t="s">
        <v>14</v>
      </c>
      <c r="J215" s="2" t="s">
        <v>15</v>
      </c>
      <c r="K215" s="1">
        <v>33.333333333333329</v>
      </c>
      <c r="L215" s="1">
        <v>66.666666666666657</v>
      </c>
      <c r="M215" s="2" t="s">
        <v>16</v>
      </c>
    </row>
    <row r="216" spans="1:13" x14ac:dyDescent="0.3">
      <c r="A216" s="4">
        <v>215</v>
      </c>
      <c r="B216" s="3">
        <v>0.1061</v>
      </c>
      <c r="C216" s="1">
        <v>0.54</v>
      </c>
      <c r="D216" s="1">
        <v>0.25369999999999998</v>
      </c>
      <c r="E216" s="4">
        <v>0</v>
      </c>
      <c r="F216" s="4">
        <v>3</v>
      </c>
      <c r="G216" s="4">
        <v>3</v>
      </c>
      <c r="H216" s="2" t="s">
        <v>19</v>
      </c>
      <c r="I216" s="2" t="s">
        <v>18</v>
      </c>
      <c r="J216" s="2" t="s">
        <v>15</v>
      </c>
      <c r="K216" s="1">
        <v>0</v>
      </c>
      <c r="L216" s="1">
        <v>100</v>
      </c>
      <c r="M216" s="2" t="s">
        <v>16</v>
      </c>
    </row>
    <row r="217" spans="1:13" x14ac:dyDescent="0.3">
      <c r="A217" s="4">
        <v>216</v>
      </c>
      <c r="B217" s="3">
        <v>0.1212</v>
      </c>
      <c r="C217" s="1">
        <v>0.5</v>
      </c>
      <c r="D217" s="1">
        <v>0.28360000000000002</v>
      </c>
      <c r="E217" s="4">
        <v>0</v>
      </c>
      <c r="F217" s="4">
        <v>31</v>
      </c>
      <c r="G217" s="4">
        <v>31</v>
      </c>
      <c r="H217" s="2" t="s">
        <v>19</v>
      </c>
      <c r="I217" s="2" t="s">
        <v>18</v>
      </c>
      <c r="J217" s="2" t="s">
        <v>15</v>
      </c>
      <c r="K217" s="1">
        <v>0</v>
      </c>
      <c r="L217" s="1">
        <v>100</v>
      </c>
      <c r="M217" s="2" t="s">
        <v>16</v>
      </c>
    </row>
    <row r="218" spans="1:13" x14ac:dyDescent="0.3">
      <c r="A218" s="4">
        <v>217</v>
      </c>
      <c r="B218" s="3">
        <v>0.1212</v>
      </c>
      <c r="C218" s="1">
        <v>0.5</v>
      </c>
      <c r="D218" s="1">
        <v>0.22389999999999999</v>
      </c>
      <c r="E218" s="4">
        <v>2</v>
      </c>
      <c r="F218" s="4">
        <v>75</v>
      </c>
      <c r="G218" s="4">
        <v>77</v>
      </c>
      <c r="H218" s="2" t="s">
        <v>19</v>
      </c>
      <c r="I218" s="2" t="s">
        <v>18</v>
      </c>
      <c r="J218" s="2" t="s">
        <v>15</v>
      </c>
      <c r="K218" s="1">
        <v>2.5974025974025969</v>
      </c>
      <c r="L218" s="1">
        <v>97.402597402597408</v>
      </c>
      <c r="M218" s="2" t="s">
        <v>16</v>
      </c>
    </row>
    <row r="219" spans="1:13" x14ac:dyDescent="0.3">
      <c r="A219" s="4">
        <v>218</v>
      </c>
      <c r="B219" s="3">
        <v>0.1212</v>
      </c>
      <c r="C219" s="1">
        <v>0.5</v>
      </c>
      <c r="D219" s="1">
        <v>0.28360000000000002</v>
      </c>
      <c r="E219" s="4">
        <v>4</v>
      </c>
      <c r="F219" s="4">
        <v>184</v>
      </c>
      <c r="G219" s="4">
        <v>188</v>
      </c>
      <c r="H219" s="2" t="s">
        <v>19</v>
      </c>
      <c r="I219" s="2" t="s">
        <v>18</v>
      </c>
      <c r="J219" s="2" t="s">
        <v>15</v>
      </c>
      <c r="K219" s="1">
        <v>2.1276595744680851</v>
      </c>
      <c r="L219" s="1">
        <v>97.872340425531917</v>
      </c>
      <c r="M219" s="2" t="s">
        <v>19</v>
      </c>
    </row>
    <row r="220" spans="1:13" x14ac:dyDescent="0.3">
      <c r="A220" s="4">
        <v>219</v>
      </c>
      <c r="B220" s="3">
        <v>0.1212</v>
      </c>
      <c r="C220" s="1">
        <v>0.5</v>
      </c>
      <c r="D220" s="1">
        <v>0.25369999999999998</v>
      </c>
      <c r="E220" s="4">
        <v>2</v>
      </c>
      <c r="F220" s="4">
        <v>92</v>
      </c>
      <c r="G220" s="4">
        <v>94</v>
      </c>
      <c r="H220" s="2" t="s">
        <v>19</v>
      </c>
      <c r="I220" s="2" t="s">
        <v>18</v>
      </c>
      <c r="J220" s="2" t="s">
        <v>15</v>
      </c>
      <c r="K220" s="1">
        <v>2.1276595744680851</v>
      </c>
      <c r="L220" s="1">
        <v>97.872340425531917</v>
      </c>
      <c r="M220" s="2" t="s">
        <v>16</v>
      </c>
    </row>
    <row r="221" spans="1:13" x14ac:dyDescent="0.3">
      <c r="A221" s="4">
        <v>220</v>
      </c>
      <c r="B221" s="3">
        <v>0.1212</v>
      </c>
      <c r="C221" s="1">
        <v>0.5</v>
      </c>
      <c r="D221" s="1">
        <v>0.29849999999999999</v>
      </c>
      <c r="E221" s="4">
        <v>0</v>
      </c>
      <c r="F221" s="4">
        <v>31</v>
      </c>
      <c r="G221" s="4">
        <v>31</v>
      </c>
      <c r="H221" s="2" t="s">
        <v>19</v>
      </c>
      <c r="I221" s="2" t="s">
        <v>18</v>
      </c>
      <c r="J221" s="2" t="s">
        <v>15</v>
      </c>
      <c r="K221" s="1">
        <v>0</v>
      </c>
      <c r="L221" s="1">
        <v>100</v>
      </c>
      <c r="M221" s="2" t="s">
        <v>16</v>
      </c>
    </row>
    <row r="222" spans="1:13" x14ac:dyDescent="0.3">
      <c r="A222" s="4">
        <v>221</v>
      </c>
      <c r="B222" s="3">
        <v>0.13639999999999999</v>
      </c>
      <c r="C222" s="1">
        <v>0.47</v>
      </c>
      <c r="D222" s="1">
        <v>0.28360000000000002</v>
      </c>
      <c r="E222" s="4">
        <v>2</v>
      </c>
      <c r="F222" s="4">
        <v>28</v>
      </c>
      <c r="G222" s="4">
        <v>30</v>
      </c>
      <c r="H222" s="2" t="s">
        <v>19</v>
      </c>
      <c r="I222" s="2" t="s">
        <v>18</v>
      </c>
      <c r="J222" s="2" t="s">
        <v>15</v>
      </c>
      <c r="K222" s="1">
        <v>6.666666666666667</v>
      </c>
      <c r="L222" s="1">
        <v>93.333333333333329</v>
      </c>
      <c r="M222" s="2" t="s">
        <v>16</v>
      </c>
    </row>
    <row r="223" spans="1:13" x14ac:dyDescent="0.3">
      <c r="A223" s="4">
        <v>222</v>
      </c>
      <c r="B223" s="3">
        <v>0.18179999999999999</v>
      </c>
      <c r="C223" s="1">
        <v>0.4</v>
      </c>
      <c r="D223" s="1">
        <v>0.28360000000000002</v>
      </c>
      <c r="E223" s="4">
        <v>5</v>
      </c>
      <c r="F223" s="4">
        <v>47</v>
      </c>
      <c r="G223" s="4">
        <v>52</v>
      </c>
      <c r="H223" s="2" t="s">
        <v>19</v>
      </c>
      <c r="I223" s="2" t="s">
        <v>18</v>
      </c>
      <c r="J223" s="2" t="s">
        <v>15</v>
      </c>
      <c r="K223" s="1">
        <v>9.6153846153846168</v>
      </c>
      <c r="L223" s="1">
        <v>90.384615384615387</v>
      </c>
      <c r="M223" s="2" t="s">
        <v>16</v>
      </c>
    </row>
    <row r="224" spans="1:13" x14ac:dyDescent="0.3">
      <c r="A224" s="4">
        <v>223</v>
      </c>
      <c r="B224" s="3">
        <v>0.18179999999999999</v>
      </c>
      <c r="C224" s="1">
        <v>0.4</v>
      </c>
      <c r="D224" s="1">
        <v>0.28360000000000002</v>
      </c>
      <c r="E224" s="4">
        <v>4</v>
      </c>
      <c r="F224" s="4">
        <v>50</v>
      </c>
      <c r="G224" s="4">
        <v>54</v>
      </c>
      <c r="H224" s="2" t="s">
        <v>19</v>
      </c>
      <c r="I224" s="2" t="s">
        <v>18</v>
      </c>
      <c r="J224" s="2" t="s">
        <v>15</v>
      </c>
      <c r="K224" s="1">
        <v>7.4074074074074074</v>
      </c>
      <c r="L224" s="1">
        <v>92.592592592592595</v>
      </c>
      <c r="M224" s="2" t="s">
        <v>16</v>
      </c>
    </row>
    <row r="225" spans="1:13" x14ac:dyDescent="0.3">
      <c r="A225" s="4">
        <v>224</v>
      </c>
      <c r="B225" s="3">
        <v>0.19700000000000001</v>
      </c>
      <c r="C225" s="1">
        <v>0.4</v>
      </c>
      <c r="D225" s="1">
        <v>0.22389999999999999</v>
      </c>
      <c r="E225" s="4">
        <v>0</v>
      </c>
      <c r="F225" s="4">
        <v>47</v>
      </c>
      <c r="G225" s="4">
        <v>47</v>
      </c>
      <c r="H225" s="2" t="s">
        <v>19</v>
      </c>
      <c r="I225" s="2" t="s">
        <v>18</v>
      </c>
      <c r="J225" s="2" t="s">
        <v>15</v>
      </c>
      <c r="K225" s="1">
        <v>0</v>
      </c>
      <c r="L225" s="1">
        <v>100</v>
      </c>
      <c r="M225" s="2" t="s">
        <v>16</v>
      </c>
    </row>
    <row r="226" spans="1:13" x14ac:dyDescent="0.3">
      <c r="A226" s="4">
        <v>225</v>
      </c>
      <c r="B226" s="3">
        <v>0.19700000000000001</v>
      </c>
      <c r="C226" s="1">
        <v>0.4</v>
      </c>
      <c r="D226" s="1">
        <v>0.22389999999999999</v>
      </c>
      <c r="E226" s="4">
        <v>2</v>
      </c>
      <c r="F226" s="4">
        <v>43</v>
      </c>
      <c r="G226" s="4">
        <v>45</v>
      </c>
      <c r="H226" s="2" t="s">
        <v>19</v>
      </c>
      <c r="I226" s="2" t="s">
        <v>18</v>
      </c>
      <c r="J226" s="2" t="s">
        <v>15</v>
      </c>
      <c r="K226" s="1">
        <v>4.4444444444444446</v>
      </c>
      <c r="L226" s="1">
        <v>95.555555555555557</v>
      </c>
      <c r="M226" s="2" t="s">
        <v>16</v>
      </c>
    </row>
    <row r="227" spans="1:13" x14ac:dyDescent="0.3">
      <c r="A227" s="4">
        <v>226</v>
      </c>
      <c r="B227" s="3">
        <v>0.21210000000000001</v>
      </c>
      <c r="C227" s="1">
        <v>0.4</v>
      </c>
      <c r="D227" s="1">
        <v>0.1343</v>
      </c>
      <c r="E227" s="4">
        <v>4</v>
      </c>
      <c r="F227" s="4">
        <v>70</v>
      </c>
      <c r="G227" s="4">
        <v>74</v>
      </c>
      <c r="H227" s="2" t="s">
        <v>19</v>
      </c>
      <c r="I227" s="2" t="s">
        <v>14</v>
      </c>
      <c r="J227" s="2" t="s">
        <v>15</v>
      </c>
      <c r="K227" s="1">
        <v>5.4054054054054053</v>
      </c>
      <c r="L227" s="1">
        <v>94.594594594594597</v>
      </c>
      <c r="M227" s="2" t="s">
        <v>16</v>
      </c>
    </row>
    <row r="228" spans="1:13" x14ac:dyDescent="0.3">
      <c r="A228" s="4">
        <v>227</v>
      </c>
      <c r="B228" s="3">
        <v>0.2273</v>
      </c>
      <c r="C228" s="1">
        <v>0.4</v>
      </c>
      <c r="D228" s="1">
        <v>0.1045</v>
      </c>
      <c r="E228" s="4">
        <v>4</v>
      </c>
      <c r="F228" s="4">
        <v>174</v>
      </c>
      <c r="G228" s="4">
        <v>178</v>
      </c>
      <c r="H228" s="2" t="s">
        <v>19</v>
      </c>
      <c r="I228" s="2" t="s">
        <v>14</v>
      </c>
      <c r="J228" s="2" t="s">
        <v>15</v>
      </c>
      <c r="K228" s="1">
        <v>2.2471910112359552</v>
      </c>
      <c r="L228" s="1">
        <v>97.752808988764045</v>
      </c>
      <c r="M228" s="2" t="s">
        <v>19</v>
      </c>
    </row>
    <row r="229" spans="1:13" x14ac:dyDescent="0.3">
      <c r="A229" s="4">
        <v>228</v>
      </c>
      <c r="B229" s="3">
        <v>0.19700000000000001</v>
      </c>
      <c r="C229" s="1">
        <v>0.4</v>
      </c>
      <c r="D229" s="1">
        <v>0.22389999999999999</v>
      </c>
      <c r="E229" s="4">
        <v>1</v>
      </c>
      <c r="F229" s="4">
        <v>154</v>
      </c>
      <c r="G229" s="4">
        <v>155</v>
      </c>
      <c r="H229" s="2" t="s">
        <v>19</v>
      </c>
      <c r="I229" s="2" t="s">
        <v>18</v>
      </c>
      <c r="J229" s="2" t="s">
        <v>15</v>
      </c>
      <c r="K229" s="1">
        <v>0.64516129032258063</v>
      </c>
      <c r="L229" s="1">
        <v>99.354838709677423</v>
      </c>
      <c r="M229" s="2" t="s">
        <v>19</v>
      </c>
    </row>
    <row r="230" spans="1:13" x14ac:dyDescent="0.3">
      <c r="A230" s="4">
        <v>229</v>
      </c>
      <c r="B230" s="3">
        <v>0.16669999999999999</v>
      </c>
      <c r="C230" s="1">
        <v>0.47</v>
      </c>
      <c r="D230" s="1">
        <v>0.16420000000000001</v>
      </c>
      <c r="E230" s="4">
        <v>3</v>
      </c>
      <c r="F230" s="4">
        <v>92</v>
      </c>
      <c r="G230" s="4">
        <v>95</v>
      </c>
      <c r="H230" s="2" t="s">
        <v>19</v>
      </c>
      <c r="I230" s="2" t="s">
        <v>18</v>
      </c>
      <c r="J230" s="2" t="s">
        <v>15</v>
      </c>
      <c r="K230" s="1">
        <v>3.1578947368421049</v>
      </c>
      <c r="L230" s="1">
        <v>96.84210526315789</v>
      </c>
      <c r="M230" s="2" t="s">
        <v>16</v>
      </c>
    </row>
    <row r="231" spans="1:13" x14ac:dyDescent="0.3">
      <c r="A231" s="4">
        <v>230</v>
      </c>
      <c r="B231" s="3">
        <v>0.16669999999999999</v>
      </c>
      <c r="C231" s="1">
        <v>0.5</v>
      </c>
      <c r="D231" s="1">
        <v>0.16420000000000001</v>
      </c>
      <c r="E231" s="4">
        <v>1</v>
      </c>
      <c r="F231" s="4">
        <v>73</v>
      </c>
      <c r="G231" s="4">
        <v>74</v>
      </c>
      <c r="H231" s="2" t="s">
        <v>19</v>
      </c>
      <c r="I231" s="2" t="s">
        <v>18</v>
      </c>
      <c r="J231" s="2" t="s">
        <v>15</v>
      </c>
      <c r="K231" s="1">
        <v>1.3513513513513511</v>
      </c>
      <c r="L231" s="1">
        <v>98.648648648648646</v>
      </c>
      <c r="M231" s="2" t="s">
        <v>16</v>
      </c>
    </row>
    <row r="232" spans="1:13" x14ac:dyDescent="0.3">
      <c r="A232" s="4">
        <v>231</v>
      </c>
      <c r="B232" s="3">
        <v>0.13639999999999999</v>
      </c>
      <c r="C232" s="1">
        <v>0.59</v>
      </c>
      <c r="D232" s="1">
        <v>0.19400000000000001</v>
      </c>
      <c r="E232" s="4">
        <v>1</v>
      </c>
      <c r="F232" s="4">
        <v>37</v>
      </c>
      <c r="G232" s="4">
        <v>38</v>
      </c>
      <c r="H232" s="2" t="s">
        <v>19</v>
      </c>
      <c r="I232" s="2" t="s">
        <v>18</v>
      </c>
      <c r="J232" s="2" t="s">
        <v>15</v>
      </c>
      <c r="K232" s="1">
        <v>2.6315789473684208</v>
      </c>
      <c r="L232" s="1">
        <v>97.368421052631575</v>
      </c>
      <c r="M232" s="2" t="s">
        <v>16</v>
      </c>
    </row>
    <row r="233" spans="1:13" x14ac:dyDescent="0.3">
      <c r="A233" s="4">
        <v>232</v>
      </c>
      <c r="B233" s="3">
        <v>0.1515</v>
      </c>
      <c r="C233" s="1">
        <v>0.59</v>
      </c>
      <c r="D233" s="1">
        <v>0.16420000000000001</v>
      </c>
      <c r="E233" s="4">
        <v>2</v>
      </c>
      <c r="F233" s="4">
        <v>22</v>
      </c>
      <c r="G233" s="4">
        <v>24</v>
      </c>
      <c r="H233" s="2" t="s">
        <v>19</v>
      </c>
      <c r="I233" s="2" t="s">
        <v>18</v>
      </c>
      <c r="J233" s="2" t="s">
        <v>15</v>
      </c>
      <c r="K233" s="1">
        <v>8.3333333333333321</v>
      </c>
      <c r="L233" s="1">
        <v>91.666666666666657</v>
      </c>
      <c r="M233" s="2" t="s">
        <v>16</v>
      </c>
    </row>
    <row r="234" spans="1:13" x14ac:dyDescent="0.3">
      <c r="A234" s="4">
        <v>233</v>
      </c>
      <c r="B234" s="3">
        <v>0.1515</v>
      </c>
      <c r="C234" s="1">
        <v>0.59</v>
      </c>
      <c r="D234" s="1">
        <v>0.16420000000000001</v>
      </c>
      <c r="E234" s="4">
        <v>0</v>
      </c>
      <c r="F234" s="4">
        <v>18</v>
      </c>
      <c r="G234" s="4">
        <v>18</v>
      </c>
      <c r="H234" s="2" t="s">
        <v>19</v>
      </c>
      <c r="I234" s="2" t="s">
        <v>18</v>
      </c>
      <c r="J234" s="2" t="s">
        <v>15</v>
      </c>
      <c r="K234" s="1">
        <v>0</v>
      </c>
      <c r="L234" s="1">
        <v>100</v>
      </c>
      <c r="M234" s="2" t="s">
        <v>16</v>
      </c>
    </row>
    <row r="235" spans="1:13" x14ac:dyDescent="0.3">
      <c r="A235" s="4">
        <v>234</v>
      </c>
      <c r="B235" s="3">
        <v>0.16669999999999999</v>
      </c>
      <c r="C235" s="1">
        <v>0.59</v>
      </c>
      <c r="D235" s="1">
        <v>0.1045</v>
      </c>
      <c r="E235" s="4">
        <v>2</v>
      </c>
      <c r="F235" s="4">
        <v>10</v>
      </c>
      <c r="G235" s="4">
        <v>12</v>
      </c>
      <c r="H235" s="2" t="s">
        <v>19</v>
      </c>
      <c r="I235" s="2" t="s">
        <v>14</v>
      </c>
      <c r="J235" s="2" t="s">
        <v>15</v>
      </c>
      <c r="K235" s="1">
        <v>16.666666666666661</v>
      </c>
      <c r="L235" s="1">
        <v>83.333333333333343</v>
      </c>
      <c r="M235" s="2" t="s">
        <v>16</v>
      </c>
    </row>
    <row r="236" spans="1:13" x14ac:dyDescent="0.3">
      <c r="A236" s="4">
        <v>235</v>
      </c>
      <c r="B236" s="3">
        <v>0.1515</v>
      </c>
      <c r="C236" s="1">
        <v>0.59</v>
      </c>
      <c r="D236" s="1">
        <v>0.16420000000000001</v>
      </c>
      <c r="E236" s="4">
        <v>0</v>
      </c>
      <c r="F236" s="4">
        <v>3</v>
      </c>
      <c r="G236" s="4">
        <v>3</v>
      </c>
      <c r="H236" s="2" t="s">
        <v>19</v>
      </c>
      <c r="I236" s="2" t="s">
        <v>18</v>
      </c>
      <c r="J236" s="2" t="s">
        <v>15</v>
      </c>
      <c r="K236" s="1">
        <v>0</v>
      </c>
      <c r="L236" s="1">
        <v>100</v>
      </c>
      <c r="M236" s="2" t="s">
        <v>16</v>
      </c>
    </row>
    <row r="237" spans="1:13" x14ac:dyDescent="0.3">
      <c r="A237" s="4">
        <v>236</v>
      </c>
      <c r="B237" s="3">
        <v>0.1515</v>
      </c>
      <c r="C237" s="1">
        <v>0.55000000000000004</v>
      </c>
      <c r="D237" s="1">
        <v>0.19400000000000001</v>
      </c>
      <c r="E237" s="4">
        <v>0</v>
      </c>
      <c r="F237" s="4">
        <v>3</v>
      </c>
      <c r="G237" s="4">
        <v>3</v>
      </c>
      <c r="H237" s="2" t="s">
        <v>19</v>
      </c>
      <c r="I237" s="2" t="s">
        <v>18</v>
      </c>
      <c r="J237" s="2" t="s">
        <v>15</v>
      </c>
      <c r="K237" s="1">
        <v>0</v>
      </c>
      <c r="L237" s="1">
        <v>100</v>
      </c>
      <c r="M237" s="2" t="s">
        <v>16</v>
      </c>
    </row>
    <row r="238" spans="1:13" x14ac:dyDescent="0.3">
      <c r="A238" s="4">
        <v>237</v>
      </c>
      <c r="B238" s="3">
        <v>0.18179999999999999</v>
      </c>
      <c r="C238" s="1">
        <v>0.55000000000000004</v>
      </c>
      <c r="D238" s="1">
        <v>0.1343</v>
      </c>
      <c r="E238" s="4">
        <v>0</v>
      </c>
      <c r="F238" s="4">
        <v>6</v>
      </c>
      <c r="G238" s="4">
        <v>6</v>
      </c>
      <c r="H238" s="2" t="s">
        <v>19</v>
      </c>
      <c r="I238" s="2" t="s">
        <v>14</v>
      </c>
      <c r="J238" s="2" t="s">
        <v>15</v>
      </c>
      <c r="K238" s="1">
        <v>0</v>
      </c>
      <c r="L238" s="1">
        <v>100</v>
      </c>
      <c r="M238" s="2" t="s">
        <v>16</v>
      </c>
    </row>
    <row r="239" spans="1:13" x14ac:dyDescent="0.3">
      <c r="A239" s="4">
        <v>238</v>
      </c>
      <c r="B239" s="3">
        <v>0.18179999999999999</v>
      </c>
      <c r="C239" s="1">
        <v>0.55000000000000004</v>
      </c>
      <c r="D239" s="1">
        <v>0.1343</v>
      </c>
      <c r="E239" s="4">
        <v>0</v>
      </c>
      <c r="F239" s="4">
        <v>27</v>
      </c>
      <c r="G239" s="4">
        <v>27</v>
      </c>
      <c r="H239" s="2" t="s">
        <v>19</v>
      </c>
      <c r="I239" s="2" t="s">
        <v>14</v>
      </c>
      <c r="J239" s="2" t="s">
        <v>15</v>
      </c>
      <c r="K239" s="1">
        <v>0</v>
      </c>
      <c r="L239" s="1">
        <v>100</v>
      </c>
      <c r="M239" s="2" t="s">
        <v>16</v>
      </c>
    </row>
    <row r="240" spans="1:13" x14ac:dyDescent="0.3">
      <c r="A240" s="4">
        <v>239</v>
      </c>
      <c r="B240" s="3">
        <v>0.2273</v>
      </c>
      <c r="C240" s="1">
        <v>0.55000000000000004</v>
      </c>
      <c r="D240" s="1">
        <v>0</v>
      </c>
      <c r="E240" s="4">
        <v>2</v>
      </c>
      <c r="F240" s="4">
        <v>97</v>
      </c>
      <c r="G240" s="4">
        <v>99</v>
      </c>
      <c r="H240" s="2" t="s">
        <v>19</v>
      </c>
      <c r="I240" s="2" t="s">
        <v>14</v>
      </c>
      <c r="J240" s="2" t="s">
        <v>15</v>
      </c>
      <c r="K240" s="1">
        <v>2.0202020202020199</v>
      </c>
      <c r="L240" s="1">
        <v>97.979797979797979</v>
      </c>
      <c r="M240" s="2" t="s">
        <v>16</v>
      </c>
    </row>
    <row r="241" spans="1:13" x14ac:dyDescent="0.3">
      <c r="A241" s="4">
        <v>240</v>
      </c>
      <c r="B241" s="3">
        <v>0.21210000000000001</v>
      </c>
      <c r="C241" s="1">
        <v>0.51</v>
      </c>
      <c r="D241" s="1">
        <v>8.9599999999999999E-2</v>
      </c>
      <c r="E241" s="4">
        <v>3</v>
      </c>
      <c r="F241" s="4">
        <v>214</v>
      </c>
      <c r="G241" s="4">
        <v>217</v>
      </c>
      <c r="H241" s="2" t="s">
        <v>19</v>
      </c>
      <c r="I241" s="2" t="s">
        <v>14</v>
      </c>
      <c r="J241" s="2" t="s">
        <v>15</v>
      </c>
      <c r="K241" s="1">
        <v>1.382488479262673</v>
      </c>
      <c r="L241" s="1">
        <v>98.617511520737324</v>
      </c>
      <c r="M241" s="2" t="s">
        <v>19</v>
      </c>
    </row>
    <row r="242" spans="1:13" x14ac:dyDescent="0.3">
      <c r="A242" s="4">
        <v>241</v>
      </c>
      <c r="B242" s="3">
        <v>0.19700000000000001</v>
      </c>
      <c r="C242" s="1">
        <v>0.51</v>
      </c>
      <c r="D242" s="1">
        <v>0.16420000000000001</v>
      </c>
      <c r="E242" s="4">
        <v>3</v>
      </c>
      <c r="F242" s="4">
        <v>127</v>
      </c>
      <c r="G242" s="4">
        <v>130</v>
      </c>
      <c r="H242" s="2" t="s">
        <v>19</v>
      </c>
      <c r="I242" s="2" t="s">
        <v>18</v>
      </c>
      <c r="J242" s="2" t="s">
        <v>15</v>
      </c>
      <c r="K242" s="1">
        <v>2.3076923076923079</v>
      </c>
      <c r="L242" s="1">
        <v>97.692307692307693</v>
      </c>
      <c r="M242" s="2" t="s">
        <v>19</v>
      </c>
    </row>
    <row r="243" spans="1:13" x14ac:dyDescent="0.3">
      <c r="A243" s="4">
        <v>242</v>
      </c>
      <c r="B243" s="3">
        <v>0.21210000000000001</v>
      </c>
      <c r="C243" s="1">
        <v>0.51</v>
      </c>
      <c r="D243" s="1">
        <v>0.16420000000000001</v>
      </c>
      <c r="E243" s="4">
        <v>3</v>
      </c>
      <c r="F243" s="4">
        <v>51</v>
      </c>
      <c r="G243" s="4">
        <v>54</v>
      </c>
      <c r="H243" s="2" t="s">
        <v>19</v>
      </c>
      <c r="I243" s="2" t="s">
        <v>18</v>
      </c>
      <c r="J243" s="2" t="s">
        <v>15</v>
      </c>
      <c r="K243" s="1">
        <v>5.5555555555555554</v>
      </c>
      <c r="L243" s="1">
        <v>94.444444444444443</v>
      </c>
      <c r="M243" s="2" t="s">
        <v>16</v>
      </c>
    </row>
    <row r="244" spans="1:13" x14ac:dyDescent="0.3">
      <c r="A244" s="4">
        <v>243</v>
      </c>
      <c r="B244" s="3">
        <v>0.21210000000000001</v>
      </c>
      <c r="C244" s="1">
        <v>0.47</v>
      </c>
      <c r="D244" s="1">
        <v>0.1343</v>
      </c>
      <c r="E244" s="4">
        <v>4</v>
      </c>
      <c r="F244" s="4">
        <v>31</v>
      </c>
      <c r="G244" s="4">
        <v>35</v>
      </c>
      <c r="H244" s="2" t="s">
        <v>19</v>
      </c>
      <c r="I244" s="2" t="s">
        <v>14</v>
      </c>
      <c r="J244" s="2" t="s">
        <v>15</v>
      </c>
      <c r="K244" s="1">
        <v>11.428571428571431</v>
      </c>
      <c r="L244" s="1">
        <v>88.571428571428569</v>
      </c>
      <c r="M244" s="2" t="s">
        <v>16</v>
      </c>
    </row>
    <row r="245" spans="1:13" x14ac:dyDescent="0.3">
      <c r="A245" s="4">
        <v>244</v>
      </c>
      <c r="B245" s="3">
        <v>0.2273</v>
      </c>
      <c r="C245" s="1">
        <v>0.51</v>
      </c>
      <c r="D245" s="1">
        <v>0.1045</v>
      </c>
      <c r="E245" s="4">
        <v>2</v>
      </c>
      <c r="F245" s="4">
        <v>55</v>
      </c>
      <c r="G245" s="4">
        <v>57</v>
      </c>
      <c r="H245" s="2" t="s">
        <v>19</v>
      </c>
      <c r="I245" s="2" t="s">
        <v>14</v>
      </c>
      <c r="J245" s="2" t="s">
        <v>15</v>
      </c>
      <c r="K245" s="1">
        <v>3.5087719298245612</v>
      </c>
      <c r="L245" s="1">
        <v>96.491228070175438</v>
      </c>
      <c r="M245" s="2" t="s">
        <v>16</v>
      </c>
    </row>
    <row r="246" spans="1:13" x14ac:dyDescent="0.3">
      <c r="A246" s="4">
        <v>245</v>
      </c>
      <c r="B246" s="3">
        <v>0.2273</v>
      </c>
      <c r="C246" s="1">
        <v>0.59</v>
      </c>
      <c r="D246" s="1">
        <v>8.9599999999999999E-2</v>
      </c>
      <c r="E246" s="4">
        <v>6</v>
      </c>
      <c r="F246" s="4">
        <v>46</v>
      </c>
      <c r="G246" s="4">
        <v>52</v>
      </c>
      <c r="H246" s="2" t="s">
        <v>19</v>
      </c>
      <c r="I246" s="2" t="s">
        <v>14</v>
      </c>
      <c r="J246" s="2" t="s">
        <v>15</v>
      </c>
      <c r="K246" s="1">
        <v>11.53846153846154</v>
      </c>
      <c r="L246" s="1">
        <v>88.461538461538453</v>
      </c>
      <c r="M246" s="2" t="s">
        <v>16</v>
      </c>
    </row>
    <row r="247" spans="1:13" x14ac:dyDescent="0.3">
      <c r="A247" s="4">
        <v>246</v>
      </c>
      <c r="B247" s="3">
        <v>0.2273</v>
      </c>
      <c r="C247" s="1">
        <v>0.59</v>
      </c>
      <c r="D247" s="1">
        <v>8.9599999999999999E-2</v>
      </c>
      <c r="E247" s="4">
        <v>3</v>
      </c>
      <c r="F247" s="4">
        <v>60</v>
      </c>
      <c r="G247" s="4">
        <v>63</v>
      </c>
      <c r="H247" s="2" t="s">
        <v>19</v>
      </c>
      <c r="I247" s="2" t="s">
        <v>14</v>
      </c>
      <c r="J247" s="2" t="s">
        <v>15</v>
      </c>
      <c r="K247" s="1">
        <v>4.7619047619047619</v>
      </c>
      <c r="L247" s="1">
        <v>95.238095238095227</v>
      </c>
      <c r="M247" s="2" t="s">
        <v>16</v>
      </c>
    </row>
    <row r="248" spans="1:13" x14ac:dyDescent="0.3">
      <c r="A248" s="4">
        <v>247</v>
      </c>
      <c r="B248" s="3">
        <v>0.19700000000000001</v>
      </c>
      <c r="C248" s="1">
        <v>0.8</v>
      </c>
      <c r="D248" s="1">
        <v>8.9599999999999999E-2</v>
      </c>
      <c r="E248" s="4">
        <v>2</v>
      </c>
      <c r="F248" s="4">
        <v>45</v>
      </c>
      <c r="G248" s="4">
        <v>47</v>
      </c>
      <c r="H248" s="2" t="s">
        <v>13</v>
      </c>
      <c r="I248" s="2" t="s">
        <v>14</v>
      </c>
      <c r="J248" s="2" t="s">
        <v>15</v>
      </c>
      <c r="K248" s="1">
        <v>4.2553191489361701</v>
      </c>
      <c r="L248" s="1">
        <v>95.744680851063833</v>
      </c>
      <c r="M248" s="2" t="s">
        <v>16</v>
      </c>
    </row>
    <row r="249" spans="1:13" x14ac:dyDescent="0.3">
      <c r="A249" s="4">
        <v>248</v>
      </c>
      <c r="B249" s="3">
        <v>0.1515</v>
      </c>
      <c r="C249" s="1">
        <v>0.86</v>
      </c>
      <c r="D249" s="1">
        <v>0.22389999999999999</v>
      </c>
      <c r="E249" s="4">
        <v>4</v>
      </c>
      <c r="F249" s="4">
        <v>72</v>
      </c>
      <c r="G249" s="4">
        <v>76</v>
      </c>
      <c r="H249" s="2" t="s">
        <v>13</v>
      </c>
      <c r="I249" s="2" t="s">
        <v>18</v>
      </c>
      <c r="J249" s="2" t="s">
        <v>15</v>
      </c>
      <c r="K249" s="1">
        <v>5.2631578947368416</v>
      </c>
      <c r="L249" s="1">
        <v>94.73684210526315</v>
      </c>
      <c r="M249" s="2" t="s">
        <v>16</v>
      </c>
    </row>
    <row r="250" spans="1:13" x14ac:dyDescent="0.3">
      <c r="A250" s="4">
        <v>249</v>
      </c>
      <c r="B250" s="3">
        <v>0.1515</v>
      </c>
      <c r="C250" s="1">
        <v>0.86</v>
      </c>
      <c r="D250" s="1">
        <v>0.22389999999999999</v>
      </c>
      <c r="E250" s="4">
        <v>6</v>
      </c>
      <c r="F250" s="4">
        <v>130</v>
      </c>
      <c r="G250" s="4">
        <v>136</v>
      </c>
      <c r="H250" s="2" t="s">
        <v>13</v>
      </c>
      <c r="I250" s="2" t="s">
        <v>18</v>
      </c>
      <c r="J250" s="2" t="s">
        <v>15</v>
      </c>
      <c r="K250" s="1">
        <v>4.4117647058823533</v>
      </c>
      <c r="L250" s="1">
        <v>95.588235294117652</v>
      </c>
      <c r="M250" s="2" t="s">
        <v>19</v>
      </c>
    </row>
    <row r="251" spans="1:13" x14ac:dyDescent="0.3">
      <c r="A251" s="4">
        <v>250</v>
      </c>
      <c r="B251" s="3">
        <v>0.18179999999999999</v>
      </c>
      <c r="C251" s="1">
        <v>0.93</v>
      </c>
      <c r="D251" s="1">
        <v>0.1045</v>
      </c>
      <c r="E251" s="4">
        <v>1</v>
      </c>
      <c r="F251" s="4">
        <v>94</v>
      </c>
      <c r="G251" s="4">
        <v>95</v>
      </c>
      <c r="H251" s="2" t="s">
        <v>13</v>
      </c>
      <c r="I251" s="2" t="s">
        <v>14</v>
      </c>
      <c r="J251" s="2" t="s">
        <v>15</v>
      </c>
      <c r="K251" s="1">
        <v>1.0526315789473679</v>
      </c>
      <c r="L251" s="1">
        <v>98.94736842105263</v>
      </c>
      <c r="M251" s="2" t="s">
        <v>16</v>
      </c>
    </row>
    <row r="252" spans="1:13" x14ac:dyDescent="0.3">
      <c r="A252" s="4">
        <v>251</v>
      </c>
      <c r="B252" s="3">
        <v>0.2273</v>
      </c>
      <c r="C252" s="1">
        <v>0.93</v>
      </c>
      <c r="D252" s="1">
        <v>0</v>
      </c>
      <c r="E252" s="4">
        <v>0</v>
      </c>
      <c r="F252" s="4">
        <v>51</v>
      </c>
      <c r="G252" s="4">
        <v>51</v>
      </c>
      <c r="H252" s="2" t="s">
        <v>13</v>
      </c>
      <c r="I252" s="2" t="s">
        <v>14</v>
      </c>
      <c r="J252" s="2" t="s">
        <v>15</v>
      </c>
      <c r="K252" s="1">
        <v>0</v>
      </c>
      <c r="L252" s="1">
        <v>100</v>
      </c>
      <c r="M252" s="2" t="s">
        <v>16</v>
      </c>
    </row>
    <row r="253" spans="1:13" x14ac:dyDescent="0.3">
      <c r="A253" s="4">
        <v>252</v>
      </c>
      <c r="B253" s="3">
        <v>0.1515</v>
      </c>
      <c r="C253" s="1">
        <v>0.93</v>
      </c>
      <c r="D253" s="1">
        <v>0.19400000000000001</v>
      </c>
      <c r="E253" s="4">
        <v>0</v>
      </c>
      <c r="F253" s="4">
        <v>32</v>
      </c>
      <c r="G253" s="4">
        <v>32</v>
      </c>
      <c r="H253" s="2" t="s">
        <v>13</v>
      </c>
      <c r="I253" s="2" t="s">
        <v>18</v>
      </c>
      <c r="J253" s="2" t="s">
        <v>15</v>
      </c>
      <c r="K253" s="1">
        <v>0</v>
      </c>
      <c r="L253" s="1">
        <v>100</v>
      </c>
      <c r="M253" s="2" t="s">
        <v>16</v>
      </c>
    </row>
    <row r="254" spans="1:13" x14ac:dyDescent="0.3">
      <c r="A254" s="4">
        <v>253</v>
      </c>
      <c r="B254" s="3">
        <v>0.19700000000000001</v>
      </c>
      <c r="C254" s="1">
        <v>0.86</v>
      </c>
      <c r="D254" s="1">
        <v>8.9599999999999999E-2</v>
      </c>
      <c r="E254" s="4">
        <v>0</v>
      </c>
      <c r="F254" s="4">
        <v>20</v>
      </c>
      <c r="G254" s="4">
        <v>20</v>
      </c>
      <c r="H254" s="2" t="s">
        <v>13</v>
      </c>
      <c r="I254" s="2" t="s">
        <v>14</v>
      </c>
      <c r="J254" s="2" t="s">
        <v>15</v>
      </c>
      <c r="K254" s="1">
        <v>0</v>
      </c>
      <c r="L254" s="1">
        <v>100</v>
      </c>
      <c r="M254" s="2" t="s">
        <v>16</v>
      </c>
    </row>
    <row r="255" spans="1:13" x14ac:dyDescent="0.3">
      <c r="A255" s="4">
        <v>254</v>
      </c>
      <c r="B255" s="3">
        <v>0.18179999999999999</v>
      </c>
      <c r="C255" s="1">
        <v>0.93</v>
      </c>
      <c r="D255" s="1">
        <v>0.1045</v>
      </c>
      <c r="E255" s="4">
        <v>1</v>
      </c>
      <c r="F255" s="4">
        <v>28</v>
      </c>
      <c r="G255" s="4">
        <v>29</v>
      </c>
      <c r="H255" s="2" t="s">
        <v>13</v>
      </c>
      <c r="I255" s="2" t="s">
        <v>14</v>
      </c>
      <c r="J255" s="2" t="s">
        <v>15</v>
      </c>
      <c r="K255" s="1">
        <v>3.4482758620689649</v>
      </c>
      <c r="L255" s="1">
        <v>96.551724137931032</v>
      </c>
      <c r="M255" s="2" t="s">
        <v>16</v>
      </c>
    </row>
    <row r="256" spans="1:13" x14ac:dyDescent="0.3">
      <c r="A256" s="4">
        <v>255</v>
      </c>
      <c r="B256" s="3">
        <v>0.19700000000000001</v>
      </c>
      <c r="C256" s="1">
        <v>0.93</v>
      </c>
      <c r="D256" s="1">
        <v>8.9599999999999999E-2</v>
      </c>
      <c r="E256" s="4">
        <v>1</v>
      </c>
      <c r="F256" s="4">
        <v>18</v>
      </c>
      <c r="G256" s="4">
        <v>19</v>
      </c>
      <c r="H256" s="2" t="s">
        <v>13</v>
      </c>
      <c r="I256" s="2" t="s">
        <v>14</v>
      </c>
      <c r="J256" s="2" t="s">
        <v>15</v>
      </c>
      <c r="K256" s="1">
        <v>5.2631578947368416</v>
      </c>
      <c r="L256" s="1">
        <v>94.73684210526315</v>
      </c>
      <c r="M256" s="2" t="s">
        <v>16</v>
      </c>
    </row>
    <row r="257" spans="1:13" x14ac:dyDescent="0.3">
      <c r="A257" s="4">
        <v>256</v>
      </c>
      <c r="B257" s="3">
        <v>0.19700000000000001</v>
      </c>
      <c r="C257" s="1">
        <v>0.86</v>
      </c>
      <c r="D257" s="1">
        <v>8.9599999999999999E-2</v>
      </c>
      <c r="E257" s="4">
        <v>0</v>
      </c>
      <c r="F257" s="4">
        <v>7</v>
      </c>
      <c r="G257" s="4">
        <v>7</v>
      </c>
      <c r="H257" s="2" t="s">
        <v>13</v>
      </c>
      <c r="I257" s="2" t="s">
        <v>14</v>
      </c>
      <c r="J257" s="2" t="s">
        <v>15</v>
      </c>
      <c r="K257" s="1">
        <v>0</v>
      </c>
      <c r="L257" s="1">
        <v>100</v>
      </c>
      <c r="M257" s="2" t="s">
        <v>16</v>
      </c>
    </row>
    <row r="258" spans="1:13" x14ac:dyDescent="0.3">
      <c r="A258" s="4">
        <v>257</v>
      </c>
      <c r="B258" s="3">
        <v>0.18179999999999999</v>
      </c>
      <c r="C258" s="1">
        <v>0.86</v>
      </c>
      <c r="D258" s="1">
        <v>0.1045</v>
      </c>
      <c r="E258" s="4">
        <v>0</v>
      </c>
      <c r="F258" s="4">
        <v>6</v>
      </c>
      <c r="G258" s="4">
        <v>6</v>
      </c>
      <c r="H258" s="2" t="s">
        <v>13</v>
      </c>
      <c r="I258" s="2" t="s">
        <v>14</v>
      </c>
      <c r="J258" s="2" t="s">
        <v>15</v>
      </c>
      <c r="K258" s="1">
        <v>0</v>
      </c>
      <c r="L258" s="1">
        <v>100</v>
      </c>
      <c r="M258" s="2" t="s">
        <v>16</v>
      </c>
    </row>
    <row r="259" spans="1:13" x14ac:dyDescent="0.3">
      <c r="A259" s="4">
        <v>258</v>
      </c>
      <c r="B259" s="3">
        <v>0.1515</v>
      </c>
      <c r="C259" s="1">
        <v>0.86</v>
      </c>
      <c r="D259" s="1">
        <v>0.1343</v>
      </c>
      <c r="E259" s="4">
        <v>0</v>
      </c>
      <c r="F259" s="4">
        <v>1</v>
      </c>
      <c r="G259" s="4">
        <v>1</v>
      </c>
      <c r="H259" s="2" t="s">
        <v>13</v>
      </c>
      <c r="I259" s="2" t="s">
        <v>14</v>
      </c>
      <c r="J259" s="2" t="s">
        <v>15</v>
      </c>
      <c r="K259" s="1">
        <v>0</v>
      </c>
      <c r="L259" s="1">
        <v>100</v>
      </c>
      <c r="M259" s="2" t="s">
        <v>16</v>
      </c>
    </row>
    <row r="260" spans="1:13" x14ac:dyDescent="0.3">
      <c r="A260" s="4">
        <v>259</v>
      </c>
      <c r="B260" s="3">
        <v>0.1515</v>
      </c>
      <c r="C260" s="1">
        <v>0.86</v>
      </c>
      <c r="D260" s="1">
        <v>0.16420000000000001</v>
      </c>
      <c r="E260" s="4">
        <v>0</v>
      </c>
      <c r="F260" s="4">
        <v>5</v>
      </c>
      <c r="G260" s="4">
        <v>5</v>
      </c>
      <c r="H260" s="2" t="s">
        <v>13</v>
      </c>
      <c r="I260" s="2" t="s">
        <v>18</v>
      </c>
      <c r="J260" s="2" t="s">
        <v>15</v>
      </c>
      <c r="K260" s="1">
        <v>0</v>
      </c>
      <c r="L260" s="1">
        <v>100</v>
      </c>
      <c r="M260" s="2" t="s">
        <v>16</v>
      </c>
    </row>
    <row r="261" spans="1:13" x14ac:dyDescent="0.3">
      <c r="A261" s="4">
        <v>260</v>
      </c>
      <c r="B261" s="3">
        <v>0.1515</v>
      </c>
      <c r="C261" s="1">
        <v>0.93</v>
      </c>
      <c r="D261" s="1">
        <v>0.1343</v>
      </c>
      <c r="E261" s="4">
        <v>0</v>
      </c>
      <c r="F261" s="4">
        <v>16</v>
      </c>
      <c r="G261" s="4">
        <v>16</v>
      </c>
      <c r="H261" s="2" t="s">
        <v>13</v>
      </c>
      <c r="I261" s="2" t="s">
        <v>14</v>
      </c>
      <c r="J261" s="2" t="s">
        <v>15</v>
      </c>
      <c r="K261" s="1">
        <v>0</v>
      </c>
      <c r="L261" s="1">
        <v>100</v>
      </c>
      <c r="M261" s="2" t="s">
        <v>16</v>
      </c>
    </row>
    <row r="262" spans="1:13" x14ac:dyDescent="0.3">
      <c r="A262" s="4">
        <v>261</v>
      </c>
      <c r="B262" s="3">
        <v>0.1515</v>
      </c>
      <c r="C262" s="1">
        <v>0.69</v>
      </c>
      <c r="D262" s="1">
        <v>0.1343</v>
      </c>
      <c r="E262" s="4">
        <v>0</v>
      </c>
      <c r="F262" s="4">
        <v>54</v>
      </c>
      <c r="G262" s="4">
        <v>54</v>
      </c>
      <c r="H262" s="2" t="s">
        <v>19</v>
      </c>
      <c r="I262" s="2" t="s">
        <v>14</v>
      </c>
      <c r="J262" s="2" t="s">
        <v>15</v>
      </c>
      <c r="K262" s="1">
        <v>0</v>
      </c>
      <c r="L262" s="1">
        <v>100</v>
      </c>
      <c r="M262" s="2" t="s">
        <v>16</v>
      </c>
    </row>
    <row r="263" spans="1:13" x14ac:dyDescent="0.3">
      <c r="A263" s="4">
        <v>262</v>
      </c>
      <c r="B263" s="3">
        <v>0.16669999999999999</v>
      </c>
      <c r="C263" s="1">
        <v>0.59</v>
      </c>
      <c r="D263" s="1">
        <v>0.16420000000000001</v>
      </c>
      <c r="E263" s="4">
        <v>3</v>
      </c>
      <c r="F263" s="4">
        <v>125</v>
      </c>
      <c r="G263" s="4">
        <v>128</v>
      </c>
      <c r="H263" s="2" t="s">
        <v>19</v>
      </c>
      <c r="I263" s="2" t="s">
        <v>18</v>
      </c>
      <c r="J263" s="2" t="s">
        <v>15</v>
      </c>
      <c r="K263" s="1">
        <v>2.34375</v>
      </c>
      <c r="L263" s="1">
        <v>97.65625</v>
      </c>
      <c r="M263" s="2" t="s">
        <v>19</v>
      </c>
    </row>
    <row r="264" spans="1:13" x14ac:dyDescent="0.3">
      <c r="A264" s="4">
        <v>263</v>
      </c>
      <c r="B264" s="3">
        <v>0.13639999999999999</v>
      </c>
      <c r="C264" s="1">
        <v>0.59</v>
      </c>
      <c r="D264" s="1">
        <v>0.32840000000000003</v>
      </c>
      <c r="E264" s="4">
        <v>3</v>
      </c>
      <c r="F264" s="4">
        <v>78</v>
      </c>
      <c r="G264" s="4">
        <v>81</v>
      </c>
      <c r="H264" s="2" t="s">
        <v>19</v>
      </c>
      <c r="I264" s="2" t="s">
        <v>20</v>
      </c>
      <c r="J264" s="2" t="s">
        <v>15</v>
      </c>
      <c r="K264" s="1">
        <v>3.7037037037037028</v>
      </c>
      <c r="L264" s="1">
        <v>96.296296296296291</v>
      </c>
      <c r="M264" s="2" t="s">
        <v>16</v>
      </c>
    </row>
    <row r="265" spans="1:13" x14ac:dyDescent="0.3">
      <c r="A265" s="4">
        <v>264</v>
      </c>
      <c r="B265" s="3">
        <v>0.18179999999999999</v>
      </c>
      <c r="C265" s="1">
        <v>0.55000000000000004</v>
      </c>
      <c r="D265" s="1">
        <v>0.22389999999999999</v>
      </c>
      <c r="E265" s="4">
        <v>0</v>
      </c>
      <c r="F265" s="4">
        <v>39</v>
      </c>
      <c r="G265" s="4">
        <v>39</v>
      </c>
      <c r="H265" s="2" t="s">
        <v>19</v>
      </c>
      <c r="I265" s="2" t="s">
        <v>18</v>
      </c>
      <c r="J265" s="2" t="s">
        <v>15</v>
      </c>
      <c r="K265" s="1">
        <v>0</v>
      </c>
      <c r="L265" s="1">
        <v>100</v>
      </c>
      <c r="M265" s="2" t="s">
        <v>16</v>
      </c>
    </row>
    <row r="266" spans="1:13" x14ac:dyDescent="0.3">
      <c r="A266" s="4">
        <v>265</v>
      </c>
      <c r="B266" s="3">
        <v>0.18179999999999999</v>
      </c>
      <c r="C266" s="1">
        <v>0.51</v>
      </c>
      <c r="D266" s="1">
        <v>0.3881</v>
      </c>
      <c r="E266" s="4">
        <v>3</v>
      </c>
      <c r="F266" s="4">
        <v>32</v>
      </c>
      <c r="G266" s="4">
        <v>35</v>
      </c>
      <c r="H266" s="2" t="s">
        <v>19</v>
      </c>
      <c r="I266" s="2" t="s">
        <v>20</v>
      </c>
      <c r="J266" s="2" t="s">
        <v>15</v>
      </c>
      <c r="K266" s="1">
        <v>8.5714285714285712</v>
      </c>
      <c r="L266" s="1">
        <v>91.428571428571431</v>
      </c>
      <c r="M266" s="2" t="s">
        <v>16</v>
      </c>
    </row>
    <row r="267" spans="1:13" x14ac:dyDescent="0.3">
      <c r="A267" s="4">
        <v>266</v>
      </c>
      <c r="B267" s="3">
        <v>0.1515</v>
      </c>
      <c r="C267" s="1">
        <v>0.47</v>
      </c>
      <c r="D267" s="1">
        <v>0.58209999999999995</v>
      </c>
      <c r="E267" s="4">
        <v>3</v>
      </c>
      <c r="F267" s="4">
        <v>52</v>
      </c>
      <c r="G267" s="4">
        <v>55</v>
      </c>
      <c r="H267" s="2" t="s">
        <v>19</v>
      </c>
      <c r="I267" s="2" t="s">
        <v>20</v>
      </c>
      <c r="J267" s="2" t="s">
        <v>15</v>
      </c>
      <c r="K267" s="1">
        <v>5.4545454545454541</v>
      </c>
      <c r="L267" s="1">
        <v>94.545454545454547</v>
      </c>
      <c r="M267" s="2" t="s">
        <v>16</v>
      </c>
    </row>
    <row r="268" spans="1:13" x14ac:dyDescent="0.3">
      <c r="A268" s="4">
        <v>267</v>
      </c>
      <c r="B268" s="3">
        <v>0.19700000000000001</v>
      </c>
      <c r="C268" s="1">
        <v>0.44</v>
      </c>
      <c r="D268" s="1">
        <v>0.35820000000000002</v>
      </c>
      <c r="E268" s="4">
        <v>0</v>
      </c>
      <c r="F268" s="4">
        <v>49</v>
      </c>
      <c r="G268" s="4">
        <v>49</v>
      </c>
      <c r="H268" s="2" t="s">
        <v>19</v>
      </c>
      <c r="I268" s="2" t="s">
        <v>20</v>
      </c>
      <c r="J268" s="2" t="s">
        <v>15</v>
      </c>
      <c r="K268" s="1">
        <v>0</v>
      </c>
      <c r="L268" s="1">
        <v>100</v>
      </c>
      <c r="M268" s="2" t="s">
        <v>16</v>
      </c>
    </row>
    <row r="269" spans="1:13" x14ac:dyDescent="0.3">
      <c r="A269" s="4">
        <v>268</v>
      </c>
      <c r="B269" s="3">
        <v>0.18179999999999999</v>
      </c>
      <c r="C269" s="1">
        <v>0.47</v>
      </c>
      <c r="D269" s="1">
        <v>0.32840000000000003</v>
      </c>
      <c r="E269" s="4">
        <v>0</v>
      </c>
      <c r="F269" s="4">
        <v>44</v>
      </c>
      <c r="G269" s="4">
        <v>44</v>
      </c>
      <c r="H269" s="2" t="s">
        <v>19</v>
      </c>
      <c r="I269" s="2" t="s">
        <v>20</v>
      </c>
      <c r="J269" s="2" t="s">
        <v>15</v>
      </c>
      <c r="K269" s="1">
        <v>0</v>
      </c>
      <c r="L269" s="1">
        <v>100</v>
      </c>
      <c r="M269" s="2" t="s">
        <v>16</v>
      </c>
    </row>
    <row r="270" spans="1:13" x14ac:dyDescent="0.3">
      <c r="A270" s="4">
        <v>269</v>
      </c>
      <c r="B270" s="3">
        <v>0.16669999999999999</v>
      </c>
      <c r="C270" s="1">
        <v>0.47</v>
      </c>
      <c r="D270" s="1">
        <v>0.41789999999999999</v>
      </c>
      <c r="E270" s="4">
        <v>1</v>
      </c>
      <c r="F270" s="4">
        <v>48</v>
      </c>
      <c r="G270" s="4">
        <v>49</v>
      </c>
      <c r="H270" s="2" t="s">
        <v>19</v>
      </c>
      <c r="I270" s="2" t="s">
        <v>20</v>
      </c>
      <c r="J270" s="2" t="s">
        <v>15</v>
      </c>
      <c r="K270" s="1">
        <v>2.0408163265306118</v>
      </c>
      <c r="L270" s="1">
        <v>97.959183673469383</v>
      </c>
      <c r="M270" s="2" t="s">
        <v>16</v>
      </c>
    </row>
    <row r="271" spans="1:13" x14ac:dyDescent="0.3">
      <c r="A271" s="4">
        <v>270</v>
      </c>
      <c r="B271" s="3">
        <v>0.19700000000000001</v>
      </c>
      <c r="C271" s="1">
        <v>0.44</v>
      </c>
      <c r="D271" s="1">
        <v>0.32840000000000003</v>
      </c>
      <c r="E271" s="4">
        <v>5</v>
      </c>
      <c r="F271" s="4">
        <v>63</v>
      </c>
      <c r="G271" s="4">
        <v>68</v>
      </c>
      <c r="H271" s="2" t="s">
        <v>19</v>
      </c>
      <c r="I271" s="2" t="s">
        <v>20</v>
      </c>
      <c r="J271" s="2" t="s">
        <v>15</v>
      </c>
      <c r="K271" s="1">
        <v>7.3529411764705888</v>
      </c>
      <c r="L271" s="1">
        <v>92.64705882352942</v>
      </c>
      <c r="M271" s="2" t="s">
        <v>16</v>
      </c>
    </row>
    <row r="272" spans="1:13" x14ac:dyDescent="0.3">
      <c r="A272" s="4">
        <v>271</v>
      </c>
      <c r="B272" s="3">
        <v>0.18179999999999999</v>
      </c>
      <c r="C272" s="1">
        <v>0.47</v>
      </c>
      <c r="D272" s="1">
        <v>0.35820000000000002</v>
      </c>
      <c r="E272" s="4">
        <v>0</v>
      </c>
      <c r="F272" s="4">
        <v>139</v>
      </c>
      <c r="G272" s="4">
        <v>139</v>
      </c>
      <c r="H272" s="2" t="s">
        <v>19</v>
      </c>
      <c r="I272" s="2" t="s">
        <v>20</v>
      </c>
      <c r="J272" s="2" t="s">
        <v>15</v>
      </c>
      <c r="K272" s="1">
        <v>0</v>
      </c>
      <c r="L272" s="1">
        <v>100</v>
      </c>
      <c r="M272" s="2" t="s">
        <v>19</v>
      </c>
    </row>
    <row r="273" spans="1:13" x14ac:dyDescent="0.3">
      <c r="A273" s="4">
        <v>272</v>
      </c>
      <c r="B273" s="3">
        <v>0.1515</v>
      </c>
      <c r="C273" s="1">
        <v>0.47</v>
      </c>
      <c r="D273" s="1">
        <v>0.52239999999999998</v>
      </c>
      <c r="E273" s="4">
        <v>2</v>
      </c>
      <c r="F273" s="4">
        <v>135</v>
      </c>
      <c r="G273" s="4">
        <v>137</v>
      </c>
      <c r="H273" s="2" t="s">
        <v>19</v>
      </c>
      <c r="I273" s="2" t="s">
        <v>20</v>
      </c>
      <c r="J273" s="2" t="s">
        <v>15</v>
      </c>
      <c r="K273" s="1">
        <v>1.4598540145985399</v>
      </c>
      <c r="L273" s="1">
        <v>98.540145985401466</v>
      </c>
      <c r="M273" s="2" t="s">
        <v>19</v>
      </c>
    </row>
    <row r="274" spans="1:13" x14ac:dyDescent="0.3">
      <c r="A274" s="4">
        <v>273</v>
      </c>
      <c r="B274" s="3">
        <v>0.1515</v>
      </c>
      <c r="C274" s="1">
        <v>0.47</v>
      </c>
      <c r="D274" s="1">
        <v>0.41789999999999999</v>
      </c>
      <c r="E274" s="4">
        <v>1</v>
      </c>
      <c r="F274" s="4">
        <v>82</v>
      </c>
      <c r="G274" s="4">
        <v>83</v>
      </c>
      <c r="H274" s="2" t="s">
        <v>19</v>
      </c>
      <c r="I274" s="2" t="s">
        <v>20</v>
      </c>
      <c r="J274" s="2" t="s">
        <v>15</v>
      </c>
      <c r="K274" s="1">
        <v>1.2048192771084341</v>
      </c>
      <c r="L274" s="1">
        <v>98.795180722891558</v>
      </c>
      <c r="M274" s="2" t="s">
        <v>16</v>
      </c>
    </row>
    <row r="275" spans="1:13" x14ac:dyDescent="0.3">
      <c r="A275" s="4">
        <v>274</v>
      </c>
      <c r="B275" s="3">
        <v>0.13639999999999999</v>
      </c>
      <c r="C275" s="1">
        <v>0.5</v>
      </c>
      <c r="D275" s="1">
        <v>0.32840000000000003</v>
      </c>
      <c r="E275" s="4">
        <v>2</v>
      </c>
      <c r="F275" s="4">
        <v>54</v>
      </c>
      <c r="G275" s="4">
        <v>56</v>
      </c>
      <c r="H275" s="2" t="s">
        <v>19</v>
      </c>
      <c r="I275" s="2" t="s">
        <v>20</v>
      </c>
      <c r="J275" s="2" t="s">
        <v>15</v>
      </c>
      <c r="K275" s="1">
        <v>3.5714285714285712</v>
      </c>
      <c r="L275" s="1">
        <v>96.428571428571431</v>
      </c>
      <c r="M275" s="2" t="s">
        <v>16</v>
      </c>
    </row>
    <row r="276" spans="1:13" x14ac:dyDescent="0.3">
      <c r="A276" s="4">
        <v>275</v>
      </c>
      <c r="B276" s="3">
        <v>0.13639999999999999</v>
      </c>
      <c r="C276" s="1">
        <v>0.55000000000000004</v>
      </c>
      <c r="D276" s="1">
        <v>0.32840000000000003</v>
      </c>
      <c r="E276" s="4">
        <v>0</v>
      </c>
      <c r="F276" s="4">
        <v>57</v>
      </c>
      <c r="G276" s="4">
        <v>57</v>
      </c>
      <c r="H276" s="2" t="s">
        <v>19</v>
      </c>
      <c r="I276" s="2" t="s">
        <v>20</v>
      </c>
      <c r="J276" s="2" t="s">
        <v>15</v>
      </c>
      <c r="K276" s="1">
        <v>0</v>
      </c>
      <c r="L276" s="1">
        <v>100</v>
      </c>
      <c r="M276" s="2" t="s">
        <v>16</v>
      </c>
    </row>
    <row r="277" spans="1:13" x14ac:dyDescent="0.3">
      <c r="A277" s="4">
        <v>276</v>
      </c>
      <c r="B277" s="3">
        <v>0.1212</v>
      </c>
      <c r="C277" s="1">
        <v>0.55000000000000004</v>
      </c>
      <c r="D277" s="1">
        <v>0.44779999999999998</v>
      </c>
      <c r="E277" s="4">
        <v>1</v>
      </c>
      <c r="F277" s="4">
        <v>32</v>
      </c>
      <c r="G277" s="4">
        <v>33</v>
      </c>
      <c r="H277" s="2" t="s">
        <v>19</v>
      </c>
      <c r="I277" s="2" t="s">
        <v>20</v>
      </c>
      <c r="J277" s="2" t="s">
        <v>15</v>
      </c>
      <c r="K277" s="1">
        <v>3.0303030303030298</v>
      </c>
      <c r="L277" s="1">
        <v>96.969696969696969</v>
      </c>
      <c r="M277" s="2" t="s">
        <v>16</v>
      </c>
    </row>
    <row r="278" spans="1:13" x14ac:dyDescent="0.3">
      <c r="A278" s="4">
        <v>277</v>
      </c>
      <c r="B278" s="3">
        <v>0.1061</v>
      </c>
      <c r="C278" s="1">
        <v>0.59</v>
      </c>
      <c r="D278" s="1">
        <v>0.41789999999999999</v>
      </c>
      <c r="E278" s="4">
        <v>1</v>
      </c>
      <c r="F278" s="4">
        <v>19</v>
      </c>
      <c r="G278" s="4">
        <v>20</v>
      </c>
      <c r="H278" s="2" t="s">
        <v>19</v>
      </c>
      <c r="I278" s="2" t="s">
        <v>20</v>
      </c>
      <c r="J278" s="2" t="s">
        <v>15</v>
      </c>
      <c r="K278" s="1">
        <v>5</v>
      </c>
      <c r="L278" s="1">
        <v>95</v>
      </c>
      <c r="M278" s="2" t="s">
        <v>16</v>
      </c>
    </row>
    <row r="279" spans="1:13" x14ac:dyDescent="0.3">
      <c r="A279" s="4">
        <v>278</v>
      </c>
      <c r="B279" s="3">
        <v>0.1212</v>
      </c>
      <c r="C279" s="1">
        <v>0.59</v>
      </c>
      <c r="D279" s="1">
        <v>0.28360000000000002</v>
      </c>
      <c r="E279" s="4">
        <v>1</v>
      </c>
      <c r="F279" s="4">
        <v>6</v>
      </c>
      <c r="G279" s="4">
        <v>7</v>
      </c>
      <c r="H279" s="2" t="s">
        <v>19</v>
      </c>
      <c r="I279" s="2" t="s">
        <v>18</v>
      </c>
      <c r="J279" s="2" t="s">
        <v>15</v>
      </c>
      <c r="K279" s="1">
        <v>14.285714285714279</v>
      </c>
      <c r="L279" s="1">
        <v>85.714285714285708</v>
      </c>
      <c r="M279" s="2" t="s">
        <v>16</v>
      </c>
    </row>
    <row r="280" spans="1:13" x14ac:dyDescent="0.3">
      <c r="A280" s="4">
        <v>279</v>
      </c>
      <c r="B280" s="3">
        <v>0.1212</v>
      </c>
      <c r="C280" s="1">
        <v>0.5</v>
      </c>
      <c r="D280" s="1">
        <v>0.28360000000000002</v>
      </c>
      <c r="E280" s="4">
        <v>0</v>
      </c>
      <c r="F280" s="4">
        <v>2</v>
      </c>
      <c r="G280" s="4">
        <v>2</v>
      </c>
      <c r="H280" s="2" t="s">
        <v>19</v>
      </c>
      <c r="I280" s="2" t="s">
        <v>18</v>
      </c>
      <c r="J280" s="2" t="s">
        <v>15</v>
      </c>
      <c r="K280" s="1">
        <v>0</v>
      </c>
      <c r="L280" s="1">
        <v>100</v>
      </c>
      <c r="M280" s="2" t="s">
        <v>16</v>
      </c>
    </row>
    <row r="281" spans="1:13" x14ac:dyDescent="0.3">
      <c r="A281" s="4">
        <v>280</v>
      </c>
      <c r="B281" s="3">
        <v>0.1212</v>
      </c>
      <c r="C281" s="1">
        <v>0.5</v>
      </c>
      <c r="D281" s="1">
        <v>0.35820000000000002</v>
      </c>
      <c r="E281" s="4">
        <v>0</v>
      </c>
      <c r="F281" s="4">
        <v>2</v>
      </c>
      <c r="G281" s="4">
        <v>2</v>
      </c>
      <c r="H281" s="2" t="s">
        <v>19</v>
      </c>
      <c r="I281" s="2" t="s">
        <v>20</v>
      </c>
      <c r="J281" s="2" t="s">
        <v>15</v>
      </c>
      <c r="K281" s="1">
        <v>0</v>
      </c>
      <c r="L281" s="1">
        <v>100</v>
      </c>
      <c r="M281" s="2" t="s">
        <v>16</v>
      </c>
    </row>
    <row r="282" spans="1:13" x14ac:dyDescent="0.3">
      <c r="A282" s="4">
        <v>281</v>
      </c>
      <c r="B282" s="3">
        <v>0.1212</v>
      </c>
      <c r="C282" s="1">
        <v>0.5</v>
      </c>
      <c r="D282" s="1">
        <v>0.32840000000000003</v>
      </c>
      <c r="E282" s="4">
        <v>0</v>
      </c>
      <c r="F282" s="4">
        <v>3</v>
      </c>
      <c r="G282" s="4">
        <v>3</v>
      </c>
      <c r="H282" s="2" t="s">
        <v>19</v>
      </c>
      <c r="I282" s="2" t="s">
        <v>20</v>
      </c>
      <c r="J282" s="2" t="s">
        <v>15</v>
      </c>
      <c r="K282" s="1">
        <v>0</v>
      </c>
      <c r="L282" s="1">
        <v>100</v>
      </c>
      <c r="M282" s="2" t="s">
        <v>16</v>
      </c>
    </row>
    <row r="283" spans="1:13" x14ac:dyDescent="0.3">
      <c r="A283" s="4">
        <v>282</v>
      </c>
      <c r="B283" s="3">
        <v>0.1212</v>
      </c>
      <c r="C283" s="1">
        <v>0.5</v>
      </c>
      <c r="D283" s="1">
        <v>0.25369999999999998</v>
      </c>
      <c r="E283" s="4">
        <v>0</v>
      </c>
      <c r="F283" s="4">
        <v>4</v>
      </c>
      <c r="G283" s="4">
        <v>4</v>
      </c>
      <c r="H283" s="2" t="s">
        <v>19</v>
      </c>
      <c r="I283" s="2" t="s">
        <v>18</v>
      </c>
      <c r="J283" s="2" t="s">
        <v>15</v>
      </c>
      <c r="K283" s="1">
        <v>0</v>
      </c>
      <c r="L283" s="1">
        <v>100</v>
      </c>
      <c r="M283" s="2" t="s">
        <v>16</v>
      </c>
    </row>
    <row r="284" spans="1:13" x14ac:dyDescent="0.3">
      <c r="A284" s="4">
        <v>283</v>
      </c>
      <c r="B284" s="3">
        <v>0.1212</v>
      </c>
      <c r="C284" s="1">
        <v>0.5</v>
      </c>
      <c r="D284" s="1">
        <v>0.29849999999999999</v>
      </c>
      <c r="E284" s="4">
        <v>0</v>
      </c>
      <c r="F284" s="4">
        <v>3</v>
      </c>
      <c r="G284" s="4">
        <v>3</v>
      </c>
      <c r="H284" s="2" t="s">
        <v>19</v>
      </c>
      <c r="I284" s="2" t="s">
        <v>18</v>
      </c>
      <c r="J284" s="2" t="s">
        <v>15</v>
      </c>
      <c r="K284" s="1">
        <v>0</v>
      </c>
      <c r="L284" s="1">
        <v>100</v>
      </c>
      <c r="M284" s="2" t="s">
        <v>16</v>
      </c>
    </row>
    <row r="285" spans="1:13" x14ac:dyDescent="0.3">
      <c r="A285" s="4">
        <v>284</v>
      </c>
      <c r="B285" s="3">
        <v>0.1515</v>
      </c>
      <c r="C285" s="1">
        <v>0.54</v>
      </c>
      <c r="D285" s="1">
        <v>0.1343</v>
      </c>
      <c r="E285" s="4">
        <v>0</v>
      </c>
      <c r="F285" s="4">
        <v>28</v>
      </c>
      <c r="G285" s="4">
        <v>28</v>
      </c>
      <c r="H285" s="2" t="s">
        <v>19</v>
      </c>
      <c r="I285" s="2" t="s">
        <v>14</v>
      </c>
      <c r="J285" s="2" t="s">
        <v>15</v>
      </c>
      <c r="K285" s="1">
        <v>0</v>
      </c>
      <c r="L285" s="1">
        <v>100</v>
      </c>
      <c r="M285" s="2" t="s">
        <v>16</v>
      </c>
    </row>
    <row r="286" spans="1:13" x14ac:dyDescent="0.3">
      <c r="A286" s="4">
        <v>285</v>
      </c>
      <c r="B286" s="3">
        <v>0.1515</v>
      </c>
      <c r="C286" s="1">
        <v>0.54</v>
      </c>
      <c r="D286" s="1">
        <v>0.1343</v>
      </c>
      <c r="E286" s="4">
        <v>0</v>
      </c>
      <c r="F286" s="4">
        <v>72</v>
      </c>
      <c r="G286" s="4">
        <v>72</v>
      </c>
      <c r="H286" s="2" t="s">
        <v>19</v>
      </c>
      <c r="I286" s="2" t="s">
        <v>14</v>
      </c>
      <c r="J286" s="2" t="s">
        <v>15</v>
      </c>
      <c r="K286" s="1">
        <v>0</v>
      </c>
      <c r="L286" s="1">
        <v>100</v>
      </c>
      <c r="M286" s="2" t="s">
        <v>16</v>
      </c>
    </row>
    <row r="287" spans="1:13" x14ac:dyDescent="0.3">
      <c r="A287" s="4">
        <v>286</v>
      </c>
      <c r="B287" s="3">
        <v>0.13639999999999999</v>
      </c>
      <c r="C287" s="1">
        <v>0.5</v>
      </c>
      <c r="D287" s="1">
        <v>0.19400000000000001</v>
      </c>
      <c r="E287" s="4">
        <v>5</v>
      </c>
      <c r="F287" s="4">
        <v>197</v>
      </c>
      <c r="G287" s="4">
        <v>202</v>
      </c>
      <c r="H287" s="2" t="s">
        <v>19</v>
      </c>
      <c r="I287" s="2" t="s">
        <v>18</v>
      </c>
      <c r="J287" s="2" t="s">
        <v>15</v>
      </c>
      <c r="K287" s="1">
        <v>2.4752475247524748</v>
      </c>
      <c r="L287" s="1">
        <v>97.524752475247524</v>
      </c>
      <c r="M287" s="2" t="s">
        <v>19</v>
      </c>
    </row>
    <row r="288" spans="1:13" x14ac:dyDescent="0.3">
      <c r="A288" s="4">
        <v>287</v>
      </c>
      <c r="B288" s="3">
        <v>0.1212</v>
      </c>
      <c r="C288" s="1">
        <v>0.5</v>
      </c>
      <c r="D288" s="1">
        <v>0.32840000000000003</v>
      </c>
      <c r="E288" s="4">
        <v>2</v>
      </c>
      <c r="F288" s="4">
        <v>137</v>
      </c>
      <c r="G288" s="4">
        <v>139</v>
      </c>
      <c r="H288" s="2" t="s">
        <v>19</v>
      </c>
      <c r="I288" s="2" t="s">
        <v>20</v>
      </c>
      <c r="J288" s="2" t="s">
        <v>15</v>
      </c>
      <c r="K288" s="1">
        <v>1.43884892086331</v>
      </c>
      <c r="L288" s="1">
        <v>98.561151079136692</v>
      </c>
      <c r="M288" s="2" t="s">
        <v>19</v>
      </c>
    </row>
    <row r="289" spans="1:13" x14ac:dyDescent="0.3">
      <c r="A289" s="4">
        <v>288</v>
      </c>
      <c r="B289" s="3">
        <v>0.13639999999999999</v>
      </c>
      <c r="C289" s="1">
        <v>0.5</v>
      </c>
      <c r="D289" s="1">
        <v>0.35820000000000002</v>
      </c>
      <c r="E289" s="4">
        <v>2</v>
      </c>
      <c r="F289" s="4">
        <v>36</v>
      </c>
      <c r="G289" s="4">
        <v>38</v>
      </c>
      <c r="H289" s="2" t="s">
        <v>19</v>
      </c>
      <c r="I289" s="2" t="s">
        <v>20</v>
      </c>
      <c r="J289" s="2" t="s">
        <v>15</v>
      </c>
      <c r="K289" s="1">
        <v>5.2631578947368416</v>
      </c>
      <c r="L289" s="1">
        <v>94.73684210526315</v>
      </c>
      <c r="M289" s="2" t="s">
        <v>16</v>
      </c>
    </row>
    <row r="290" spans="1:13" x14ac:dyDescent="0.3">
      <c r="A290" s="4">
        <v>289</v>
      </c>
      <c r="B290" s="3">
        <v>0.16669999999999999</v>
      </c>
      <c r="C290" s="1">
        <v>0.44</v>
      </c>
      <c r="D290" s="1">
        <v>0.44779999999999998</v>
      </c>
      <c r="E290" s="4">
        <v>4</v>
      </c>
      <c r="F290" s="4">
        <v>33</v>
      </c>
      <c r="G290" s="4">
        <v>37</v>
      </c>
      <c r="H290" s="2" t="s">
        <v>19</v>
      </c>
      <c r="I290" s="2" t="s">
        <v>20</v>
      </c>
      <c r="J290" s="2" t="s">
        <v>15</v>
      </c>
      <c r="K290" s="1">
        <v>10.810810810810811</v>
      </c>
      <c r="L290" s="1">
        <v>89.189189189189193</v>
      </c>
      <c r="M290" s="2" t="s">
        <v>16</v>
      </c>
    </row>
    <row r="291" spans="1:13" x14ac:dyDescent="0.3">
      <c r="A291" s="4">
        <v>290</v>
      </c>
      <c r="B291" s="3">
        <v>0.16669999999999999</v>
      </c>
      <c r="C291" s="1">
        <v>0.44</v>
      </c>
      <c r="D291" s="1">
        <v>0.41789999999999999</v>
      </c>
      <c r="E291" s="4">
        <v>3</v>
      </c>
      <c r="F291" s="4">
        <v>49</v>
      </c>
      <c r="G291" s="4">
        <v>52</v>
      </c>
      <c r="H291" s="2" t="s">
        <v>19</v>
      </c>
      <c r="I291" s="2" t="s">
        <v>20</v>
      </c>
      <c r="J291" s="2" t="s">
        <v>15</v>
      </c>
      <c r="K291" s="1">
        <v>5.7692307692307692</v>
      </c>
      <c r="L291" s="1">
        <v>94.230769230769226</v>
      </c>
      <c r="M291" s="2" t="s">
        <v>16</v>
      </c>
    </row>
    <row r="292" spans="1:13" x14ac:dyDescent="0.3">
      <c r="A292" s="4">
        <v>291</v>
      </c>
      <c r="B292" s="3">
        <v>0.19700000000000001</v>
      </c>
      <c r="C292" s="1">
        <v>0.41</v>
      </c>
      <c r="D292" s="1">
        <v>0.44779999999999998</v>
      </c>
      <c r="E292" s="4">
        <v>2</v>
      </c>
      <c r="F292" s="4">
        <v>81</v>
      </c>
      <c r="G292" s="4">
        <v>83</v>
      </c>
      <c r="H292" s="2" t="s">
        <v>19</v>
      </c>
      <c r="I292" s="2" t="s">
        <v>20</v>
      </c>
      <c r="J292" s="2" t="s">
        <v>15</v>
      </c>
      <c r="K292" s="1">
        <v>2.4096385542168681</v>
      </c>
      <c r="L292" s="1">
        <v>97.590361445783131</v>
      </c>
      <c r="M292" s="2" t="s">
        <v>16</v>
      </c>
    </row>
    <row r="293" spans="1:13" x14ac:dyDescent="0.3">
      <c r="A293" s="4">
        <v>292</v>
      </c>
      <c r="B293" s="3">
        <v>0.19700000000000001</v>
      </c>
      <c r="C293" s="1">
        <v>0.41</v>
      </c>
      <c r="D293" s="1">
        <v>0.3881</v>
      </c>
      <c r="E293" s="4">
        <v>3</v>
      </c>
      <c r="F293" s="4">
        <v>39</v>
      </c>
      <c r="G293" s="4">
        <v>42</v>
      </c>
      <c r="H293" s="2" t="s">
        <v>19</v>
      </c>
      <c r="I293" s="2" t="s">
        <v>20</v>
      </c>
      <c r="J293" s="2" t="s">
        <v>15</v>
      </c>
      <c r="K293" s="1">
        <v>7.1428571428571423</v>
      </c>
      <c r="L293" s="1">
        <v>92.857142857142861</v>
      </c>
      <c r="M293" s="2" t="s">
        <v>16</v>
      </c>
    </row>
    <row r="294" spans="1:13" x14ac:dyDescent="0.3">
      <c r="A294" s="4">
        <v>293</v>
      </c>
      <c r="B294" s="3">
        <v>0.21210000000000001</v>
      </c>
      <c r="C294" s="1">
        <v>0.38</v>
      </c>
      <c r="D294" s="1">
        <v>0.29849999999999999</v>
      </c>
      <c r="E294" s="4">
        <v>5</v>
      </c>
      <c r="F294" s="4">
        <v>55</v>
      </c>
      <c r="G294" s="4">
        <v>60</v>
      </c>
      <c r="H294" s="2" t="s">
        <v>16</v>
      </c>
      <c r="I294" s="2" t="s">
        <v>18</v>
      </c>
      <c r="J294" s="2" t="s">
        <v>15</v>
      </c>
      <c r="K294" s="1">
        <v>8.3333333333333321</v>
      </c>
      <c r="L294" s="1">
        <v>91.666666666666657</v>
      </c>
      <c r="M294" s="2" t="s">
        <v>16</v>
      </c>
    </row>
    <row r="295" spans="1:13" x14ac:dyDescent="0.3">
      <c r="A295" s="4">
        <v>294</v>
      </c>
      <c r="B295" s="3">
        <v>0.21210000000000001</v>
      </c>
      <c r="C295" s="1">
        <v>0.38</v>
      </c>
      <c r="D295" s="1">
        <v>0.35820000000000002</v>
      </c>
      <c r="E295" s="4">
        <v>2</v>
      </c>
      <c r="F295" s="4">
        <v>76</v>
      </c>
      <c r="G295" s="4">
        <v>78</v>
      </c>
      <c r="H295" s="2" t="s">
        <v>16</v>
      </c>
      <c r="I295" s="2" t="s">
        <v>20</v>
      </c>
      <c r="J295" s="2" t="s">
        <v>15</v>
      </c>
      <c r="K295" s="1">
        <v>2.5641025641025639</v>
      </c>
      <c r="L295" s="1">
        <v>97.435897435897431</v>
      </c>
      <c r="M295" s="2" t="s">
        <v>16</v>
      </c>
    </row>
    <row r="296" spans="1:13" x14ac:dyDescent="0.3">
      <c r="A296" s="4">
        <v>295</v>
      </c>
      <c r="B296" s="3">
        <v>0.18179999999999999</v>
      </c>
      <c r="C296" s="1">
        <v>0.4</v>
      </c>
      <c r="D296" s="1">
        <v>0.28360000000000002</v>
      </c>
      <c r="E296" s="4">
        <v>4</v>
      </c>
      <c r="F296" s="4">
        <v>158</v>
      </c>
      <c r="G296" s="4">
        <v>162</v>
      </c>
      <c r="H296" s="2" t="s">
        <v>19</v>
      </c>
      <c r="I296" s="2" t="s">
        <v>18</v>
      </c>
      <c r="J296" s="2" t="s">
        <v>15</v>
      </c>
      <c r="K296" s="1">
        <v>2.4691358024691361</v>
      </c>
      <c r="L296" s="1">
        <v>97.53086419753086</v>
      </c>
      <c r="M296" s="2" t="s">
        <v>19</v>
      </c>
    </row>
    <row r="297" spans="1:13" x14ac:dyDescent="0.3">
      <c r="A297" s="4">
        <v>296</v>
      </c>
      <c r="B297" s="3">
        <v>0.18179999999999999</v>
      </c>
      <c r="C297" s="1">
        <v>0.4</v>
      </c>
      <c r="D297" s="1">
        <v>0.32840000000000003</v>
      </c>
      <c r="E297" s="4">
        <v>3</v>
      </c>
      <c r="F297" s="4">
        <v>141</v>
      </c>
      <c r="G297" s="4">
        <v>144</v>
      </c>
      <c r="H297" s="2" t="s">
        <v>19</v>
      </c>
      <c r="I297" s="2" t="s">
        <v>20</v>
      </c>
      <c r="J297" s="2" t="s">
        <v>15</v>
      </c>
      <c r="K297" s="1">
        <v>2.083333333333333</v>
      </c>
      <c r="L297" s="1">
        <v>97.916666666666657</v>
      </c>
      <c r="M297" s="2" t="s">
        <v>19</v>
      </c>
    </row>
    <row r="298" spans="1:13" x14ac:dyDescent="0.3">
      <c r="A298" s="4">
        <v>297</v>
      </c>
      <c r="B298" s="3">
        <v>0.1515</v>
      </c>
      <c r="C298" s="1">
        <v>0.47</v>
      </c>
      <c r="D298" s="1">
        <v>0.25369999999999998</v>
      </c>
      <c r="E298" s="4">
        <v>1</v>
      </c>
      <c r="F298" s="4">
        <v>98</v>
      </c>
      <c r="G298" s="4">
        <v>99</v>
      </c>
      <c r="H298" s="2" t="s">
        <v>19</v>
      </c>
      <c r="I298" s="2" t="s">
        <v>18</v>
      </c>
      <c r="J298" s="2" t="s">
        <v>15</v>
      </c>
      <c r="K298" s="1">
        <v>1.0101010101010099</v>
      </c>
      <c r="L298" s="1">
        <v>98.98989898989899</v>
      </c>
      <c r="M298" s="2" t="s">
        <v>16</v>
      </c>
    </row>
    <row r="299" spans="1:13" x14ac:dyDescent="0.3">
      <c r="A299" s="4">
        <v>298</v>
      </c>
      <c r="B299" s="3">
        <v>0.1515</v>
      </c>
      <c r="C299" s="1">
        <v>0.47</v>
      </c>
      <c r="D299" s="1">
        <v>0.22389999999999999</v>
      </c>
      <c r="E299" s="4">
        <v>0</v>
      </c>
      <c r="F299" s="4">
        <v>64</v>
      </c>
      <c r="G299" s="4">
        <v>64</v>
      </c>
      <c r="H299" s="2" t="s">
        <v>19</v>
      </c>
      <c r="I299" s="2" t="s">
        <v>18</v>
      </c>
      <c r="J299" s="2" t="s">
        <v>15</v>
      </c>
      <c r="K299" s="1">
        <v>0</v>
      </c>
      <c r="L299" s="1">
        <v>100</v>
      </c>
      <c r="M299" s="2" t="s">
        <v>16</v>
      </c>
    </row>
    <row r="300" spans="1:13" x14ac:dyDescent="0.3">
      <c r="A300" s="4">
        <v>299</v>
      </c>
      <c r="B300" s="3">
        <v>0.1212</v>
      </c>
      <c r="C300" s="1">
        <v>0.46</v>
      </c>
      <c r="D300" s="1">
        <v>0.29849999999999999</v>
      </c>
      <c r="E300" s="4">
        <v>0</v>
      </c>
      <c r="F300" s="4">
        <v>40</v>
      </c>
      <c r="G300" s="4">
        <v>40</v>
      </c>
      <c r="H300" s="2" t="s">
        <v>19</v>
      </c>
      <c r="I300" s="2" t="s">
        <v>18</v>
      </c>
      <c r="J300" s="2" t="s">
        <v>15</v>
      </c>
      <c r="K300" s="1">
        <v>0</v>
      </c>
      <c r="L300" s="1">
        <v>100</v>
      </c>
      <c r="M300" s="2" t="s">
        <v>16</v>
      </c>
    </row>
    <row r="301" spans="1:13" x14ac:dyDescent="0.3">
      <c r="A301" s="4">
        <v>300</v>
      </c>
      <c r="B301" s="3">
        <v>0.1212</v>
      </c>
      <c r="C301" s="1">
        <v>0.46</v>
      </c>
      <c r="D301" s="1">
        <v>0.32840000000000003</v>
      </c>
      <c r="E301" s="4">
        <v>0</v>
      </c>
      <c r="F301" s="4">
        <v>30</v>
      </c>
      <c r="G301" s="4">
        <v>30</v>
      </c>
      <c r="H301" s="2" t="s">
        <v>19</v>
      </c>
      <c r="I301" s="2" t="s">
        <v>20</v>
      </c>
      <c r="J301" s="2" t="s">
        <v>15</v>
      </c>
      <c r="K301" s="1">
        <v>0</v>
      </c>
      <c r="L301" s="1">
        <v>100</v>
      </c>
      <c r="M301" s="2" t="s">
        <v>16</v>
      </c>
    </row>
    <row r="302" spans="1:13" x14ac:dyDescent="0.3">
      <c r="A302" s="4">
        <v>301</v>
      </c>
      <c r="B302" s="3">
        <v>0.13639999999999999</v>
      </c>
      <c r="C302" s="1">
        <v>0.5</v>
      </c>
      <c r="D302" s="1">
        <v>0.19400000000000001</v>
      </c>
      <c r="E302" s="4">
        <v>1</v>
      </c>
      <c r="F302" s="4">
        <v>14</v>
      </c>
      <c r="G302" s="4">
        <v>15</v>
      </c>
      <c r="H302" s="2" t="s">
        <v>19</v>
      </c>
      <c r="I302" s="2" t="s">
        <v>18</v>
      </c>
      <c r="J302" s="2" t="s">
        <v>15</v>
      </c>
      <c r="K302" s="1">
        <v>6.666666666666667</v>
      </c>
      <c r="L302" s="1">
        <v>93.333333333333329</v>
      </c>
      <c r="M302" s="2" t="s">
        <v>16</v>
      </c>
    </row>
    <row r="303" spans="1:13" x14ac:dyDescent="0.3">
      <c r="A303" s="4">
        <v>302</v>
      </c>
      <c r="B303" s="3">
        <v>0.13639999999999999</v>
      </c>
      <c r="C303" s="1">
        <v>0.5</v>
      </c>
      <c r="D303" s="1">
        <v>0.19400000000000001</v>
      </c>
      <c r="E303" s="4">
        <v>0</v>
      </c>
      <c r="F303" s="4">
        <v>14</v>
      </c>
      <c r="G303" s="4">
        <v>14</v>
      </c>
      <c r="H303" s="2" t="s">
        <v>19</v>
      </c>
      <c r="I303" s="2" t="s">
        <v>18</v>
      </c>
      <c r="J303" s="2" t="s">
        <v>15</v>
      </c>
      <c r="K303" s="1">
        <v>0</v>
      </c>
      <c r="L303" s="1">
        <v>100</v>
      </c>
      <c r="M303" s="2" t="s">
        <v>16</v>
      </c>
    </row>
    <row r="304" spans="1:13" x14ac:dyDescent="0.3">
      <c r="A304" s="4">
        <v>303</v>
      </c>
      <c r="B304" s="3">
        <v>0.1212</v>
      </c>
      <c r="C304" s="1">
        <v>0.54</v>
      </c>
      <c r="D304" s="1">
        <v>0.16420000000000001</v>
      </c>
      <c r="E304" s="4">
        <v>0</v>
      </c>
      <c r="F304" s="4">
        <v>5</v>
      </c>
      <c r="G304" s="4">
        <v>5</v>
      </c>
      <c r="H304" s="2" t="s">
        <v>19</v>
      </c>
      <c r="I304" s="2" t="s">
        <v>18</v>
      </c>
      <c r="J304" s="2" t="s">
        <v>15</v>
      </c>
      <c r="K304" s="1">
        <v>0</v>
      </c>
      <c r="L304" s="1">
        <v>100</v>
      </c>
      <c r="M304" s="2" t="s">
        <v>16</v>
      </c>
    </row>
    <row r="305" spans="1:13" x14ac:dyDescent="0.3">
      <c r="A305" s="4">
        <v>304</v>
      </c>
      <c r="B305" s="3">
        <v>0.1212</v>
      </c>
      <c r="C305" s="1">
        <v>0.54</v>
      </c>
      <c r="D305" s="1">
        <v>0.1343</v>
      </c>
      <c r="E305" s="4">
        <v>0</v>
      </c>
      <c r="F305" s="4">
        <v>1</v>
      </c>
      <c r="G305" s="4">
        <v>1</v>
      </c>
      <c r="H305" s="2" t="s">
        <v>19</v>
      </c>
      <c r="I305" s="2" t="s">
        <v>14</v>
      </c>
      <c r="J305" s="2" t="s">
        <v>15</v>
      </c>
      <c r="K305" s="1">
        <v>0</v>
      </c>
      <c r="L305" s="1">
        <v>100</v>
      </c>
      <c r="M305" s="2" t="s">
        <v>16</v>
      </c>
    </row>
    <row r="306" spans="1:13" x14ac:dyDescent="0.3">
      <c r="A306" s="4">
        <v>305</v>
      </c>
      <c r="B306" s="3">
        <v>0.13639999999999999</v>
      </c>
      <c r="C306" s="1">
        <v>0.54</v>
      </c>
      <c r="D306" s="1">
        <v>0.1045</v>
      </c>
      <c r="E306" s="4">
        <v>0</v>
      </c>
      <c r="F306" s="4">
        <v>1</v>
      </c>
      <c r="G306" s="4">
        <v>1</v>
      </c>
      <c r="H306" s="2" t="s">
        <v>19</v>
      </c>
      <c r="I306" s="2" t="s">
        <v>14</v>
      </c>
      <c r="J306" s="2" t="s">
        <v>15</v>
      </c>
      <c r="K306" s="1">
        <v>0</v>
      </c>
      <c r="L306" s="1">
        <v>100</v>
      </c>
      <c r="M306" s="2" t="s">
        <v>16</v>
      </c>
    </row>
    <row r="307" spans="1:13" x14ac:dyDescent="0.3">
      <c r="A307" s="4">
        <v>306</v>
      </c>
      <c r="B307" s="3">
        <v>0.13639999999999999</v>
      </c>
      <c r="C307" s="1">
        <v>0.54</v>
      </c>
      <c r="D307" s="1">
        <v>8.9599999999999999E-2</v>
      </c>
      <c r="E307" s="4">
        <v>0</v>
      </c>
      <c r="F307" s="4">
        <v>8</v>
      </c>
      <c r="G307" s="4">
        <v>8</v>
      </c>
      <c r="H307" s="2" t="s">
        <v>19</v>
      </c>
      <c r="I307" s="2" t="s">
        <v>14</v>
      </c>
      <c r="J307" s="2" t="s">
        <v>15</v>
      </c>
      <c r="K307" s="1">
        <v>0</v>
      </c>
      <c r="L307" s="1">
        <v>100</v>
      </c>
      <c r="M307" s="2" t="s">
        <v>16</v>
      </c>
    </row>
    <row r="308" spans="1:13" x14ac:dyDescent="0.3">
      <c r="A308" s="4">
        <v>307</v>
      </c>
      <c r="B308" s="3">
        <v>0.18179999999999999</v>
      </c>
      <c r="C308" s="1">
        <v>0.54</v>
      </c>
      <c r="D308" s="1">
        <v>0</v>
      </c>
      <c r="E308" s="4">
        <v>0</v>
      </c>
      <c r="F308" s="4">
        <v>17</v>
      </c>
      <c r="G308" s="4">
        <v>17</v>
      </c>
      <c r="H308" s="2" t="s">
        <v>19</v>
      </c>
      <c r="I308" s="2" t="s">
        <v>14</v>
      </c>
      <c r="J308" s="2" t="s">
        <v>15</v>
      </c>
      <c r="K308" s="1">
        <v>0</v>
      </c>
      <c r="L308" s="1">
        <v>100</v>
      </c>
      <c r="M308" s="2" t="s">
        <v>16</v>
      </c>
    </row>
    <row r="309" spans="1:13" x14ac:dyDescent="0.3">
      <c r="A309" s="4">
        <v>308</v>
      </c>
      <c r="B309" s="3">
        <v>0.1212</v>
      </c>
      <c r="C309" s="1">
        <v>0.74</v>
      </c>
      <c r="D309" s="1">
        <v>0.16420000000000001</v>
      </c>
      <c r="E309" s="4">
        <v>0</v>
      </c>
      <c r="F309" s="4">
        <v>70</v>
      </c>
      <c r="G309" s="4">
        <v>70</v>
      </c>
      <c r="H309" s="2" t="s">
        <v>13</v>
      </c>
      <c r="I309" s="2" t="s">
        <v>18</v>
      </c>
      <c r="J309" s="2" t="s">
        <v>15</v>
      </c>
      <c r="K309" s="1">
        <v>0</v>
      </c>
      <c r="L309" s="1">
        <v>100</v>
      </c>
      <c r="M309" s="2" t="s">
        <v>16</v>
      </c>
    </row>
    <row r="310" spans="1:13" x14ac:dyDescent="0.3">
      <c r="A310" s="4">
        <v>309</v>
      </c>
      <c r="B310" s="3">
        <v>0.16669999999999999</v>
      </c>
      <c r="C310" s="1">
        <v>0.68</v>
      </c>
      <c r="D310" s="1">
        <v>0</v>
      </c>
      <c r="E310" s="4">
        <v>2</v>
      </c>
      <c r="F310" s="4">
        <v>156</v>
      </c>
      <c r="G310" s="4">
        <v>158</v>
      </c>
      <c r="H310" s="2" t="s">
        <v>19</v>
      </c>
      <c r="I310" s="2" t="s">
        <v>14</v>
      </c>
      <c r="J310" s="2" t="s">
        <v>15</v>
      </c>
      <c r="K310" s="1">
        <v>1.2658227848101271</v>
      </c>
      <c r="L310" s="1">
        <v>98.734177215189874</v>
      </c>
      <c r="M310" s="2" t="s">
        <v>19</v>
      </c>
    </row>
    <row r="311" spans="1:13" x14ac:dyDescent="0.3">
      <c r="A311" s="4">
        <v>310</v>
      </c>
      <c r="B311" s="3">
        <v>0.1515</v>
      </c>
      <c r="C311" s="1">
        <v>0.69</v>
      </c>
      <c r="D311" s="1">
        <v>0.1343</v>
      </c>
      <c r="E311" s="4">
        <v>0</v>
      </c>
      <c r="F311" s="4">
        <v>117</v>
      </c>
      <c r="G311" s="4">
        <v>117</v>
      </c>
      <c r="H311" s="2" t="s">
        <v>19</v>
      </c>
      <c r="I311" s="2" t="s">
        <v>14</v>
      </c>
      <c r="J311" s="2" t="s">
        <v>15</v>
      </c>
      <c r="K311" s="1">
        <v>0</v>
      </c>
      <c r="L311" s="1">
        <v>100</v>
      </c>
      <c r="M311" s="2" t="s">
        <v>19</v>
      </c>
    </row>
    <row r="312" spans="1:13" x14ac:dyDescent="0.3">
      <c r="A312" s="4">
        <v>311</v>
      </c>
      <c r="B312" s="3">
        <v>0.18179999999999999</v>
      </c>
      <c r="C312" s="1">
        <v>0.55000000000000004</v>
      </c>
      <c r="D312" s="1">
        <v>0.19400000000000001</v>
      </c>
      <c r="E312" s="4">
        <v>4</v>
      </c>
      <c r="F312" s="4">
        <v>40</v>
      </c>
      <c r="G312" s="4">
        <v>44</v>
      </c>
      <c r="H312" s="2" t="s">
        <v>19</v>
      </c>
      <c r="I312" s="2" t="s">
        <v>18</v>
      </c>
      <c r="J312" s="2" t="s">
        <v>15</v>
      </c>
      <c r="K312" s="1">
        <v>9.0909090909090917</v>
      </c>
      <c r="L312" s="1">
        <v>90.909090909090907</v>
      </c>
      <c r="M312" s="2" t="s">
        <v>16</v>
      </c>
    </row>
    <row r="313" spans="1:13" x14ac:dyDescent="0.3">
      <c r="A313" s="4">
        <v>312</v>
      </c>
      <c r="B313" s="3">
        <v>0.16669999999999999</v>
      </c>
      <c r="C313" s="1">
        <v>0.51</v>
      </c>
      <c r="D313" s="1">
        <v>0.28360000000000002</v>
      </c>
      <c r="E313" s="4">
        <v>6</v>
      </c>
      <c r="F313" s="4">
        <v>47</v>
      </c>
      <c r="G313" s="4">
        <v>53</v>
      </c>
      <c r="H313" s="2" t="s">
        <v>19</v>
      </c>
      <c r="I313" s="2" t="s">
        <v>18</v>
      </c>
      <c r="J313" s="2" t="s">
        <v>15</v>
      </c>
      <c r="K313" s="1">
        <v>11.32075471698113</v>
      </c>
      <c r="L313" s="1">
        <v>88.679245283018872</v>
      </c>
      <c r="M313" s="2" t="s">
        <v>16</v>
      </c>
    </row>
    <row r="314" spans="1:13" x14ac:dyDescent="0.3">
      <c r="A314" s="4">
        <v>313</v>
      </c>
      <c r="B314" s="3">
        <v>0.19700000000000001</v>
      </c>
      <c r="C314" s="1">
        <v>0.44</v>
      </c>
      <c r="D314" s="1">
        <v>0.25369999999999998</v>
      </c>
      <c r="E314" s="4">
        <v>2</v>
      </c>
      <c r="F314" s="4">
        <v>59</v>
      </c>
      <c r="G314" s="4">
        <v>61</v>
      </c>
      <c r="H314" s="2" t="s">
        <v>19</v>
      </c>
      <c r="I314" s="2" t="s">
        <v>18</v>
      </c>
      <c r="J314" s="2" t="s">
        <v>15</v>
      </c>
      <c r="K314" s="1">
        <v>3.278688524590164</v>
      </c>
      <c r="L314" s="1">
        <v>96.721311475409834</v>
      </c>
      <c r="M314" s="2" t="s">
        <v>16</v>
      </c>
    </row>
    <row r="315" spans="1:13" x14ac:dyDescent="0.3">
      <c r="A315" s="4">
        <v>314</v>
      </c>
      <c r="B315" s="3">
        <v>0.19700000000000001</v>
      </c>
      <c r="C315" s="1">
        <v>0.37</v>
      </c>
      <c r="D315" s="1">
        <v>0.3881</v>
      </c>
      <c r="E315" s="4">
        <v>4</v>
      </c>
      <c r="F315" s="4">
        <v>73</v>
      </c>
      <c r="G315" s="4">
        <v>77</v>
      </c>
      <c r="H315" s="2" t="s">
        <v>16</v>
      </c>
      <c r="I315" s="2" t="s">
        <v>20</v>
      </c>
      <c r="J315" s="2" t="s">
        <v>15</v>
      </c>
      <c r="K315" s="1">
        <v>5.1948051948051948</v>
      </c>
      <c r="L315" s="1">
        <v>94.805194805194802</v>
      </c>
      <c r="M315" s="2" t="s">
        <v>16</v>
      </c>
    </row>
    <row r="316" spans="1:13" x14ac:dyDescent="0.3">
      <c r="A316" s="4">
        <v>315</v>
      </c>
      <c r="B316" s="3">
        <v>0.21210000000000001</v>
      </c>
      <c r="C316" s="1">
        <v>0.41</v>
      </c>
      <c r="D316" s="1">
        <v>0.28360000000000002</v>
      </c>
      <c r="E316" s="4">
        <v>5</v>
      </c>
      <c r="F316" s="4">
        <v>59</v>
      </c>
      <c r="G316" s="4">
        <v>64</v>
      </c>
      <c r="H316" s="2" t="s">
        <v>19</v>
      </c>
      <c r="I316" s="2" t="s">
        <v>18</v>
      </c>
      <c r="J316" s="2" t="s">
        <v>15</v>
      </c>
      <c r="K316" s="1">
        <v>7.8125</v>
      </c>
      <c r="L316" s="1">
        <v>92.1875</v>
      </c>
      <c r="M316" s="2" t="s">
        <v>16</v>
      </c>
    </row>
    <row r="317" spans="1:13" x14ac:dyDescent="0.3">
      <c r="A317" s="4">
        <v>316</v>
      </c>
      <c r="B317" s="3">
        <v>0.2424</v>
      </c>
      <c r="C317" s="1">
        <v>0.38</v>
      </c>
      <c r="D317" s="1">
        <v>0.16420000000000001</v>
      </c>
      <c r="E317" s="4">
        <v>9</v>
      </c>
      <c r="F317" s="4">
        <v>59</v>
      </c>
      <c r="G317" s="4">
        <v>68</v>
      </c>
      <c r="H317" s="2" t="s">
        <v>16</v>
      </c>
      <c r="I317" s="2" t="s">
        <v>18</v>
      </c>
      <c r="J317" s="2" t="s">
        <v>15</v>
      </c>
      <c r="K317" s="1">
        <v>13.23529411764706</v>
      </c>
      <c r="L317" s="1">
        <v>86.764705882352942</v>
      </c>
      <c r="M317" s="2" t="s">
        <v>16</v>
      </c>
    </row>
    <row r="318" spans="1:13" x14ac:dyDescent="0.3">
      <c r="A318" s="4">
        <v>317</v>
      </c>
      <c r="B318" s="3">
        <v>0.2424</v>
      </c>
      <c r="C318" s="1">
        <v>0.41</v>
      </c>
      <c r="D318" s="1">
        <v>0.1045</v>
      </c>
      <c r="E318" s="4">
        <v>3</v>
      </c>
      <c r="F318" s="4">
        <v>87</v>
      </c>
      <c r="G318" s="4">
        <v>90</v>
      </c>
      <c r="H318" s="2" t="s">
        <v>19</v>
      </c>
      <c r="I318" s="2" t="s">
        <v>14</v>
      </c>
      <c r="J318" s="2" t="s">
        <v>15</v>
      </c>
      <c r="K318" s="1">
        <v>3.333333333333333</v>
      </c>
      <c r="L318" s="1">
        <v>96.666666666666671</v>
      </c>
      <c r="M318" s="2" t="s">
        <v>16</v>
      </c>
    </row>
    <row r="319" spans="1:13" x14ac:dyDescent="0.3">
      <c r="A319" s="4">
        <v>318</v>
      </c>
      <c r="B319" s="3">
        <v>0.2273</v>
      </c>
      <c r="C319" s="1">
        <v>0.41</v>
      </c>
      <c r="D319" s="1">
        <v>0.16420000000000001</v>
      </c>
      <c r="E319" s="4">
        <v>4</v>
      </c>
      <c r="F319" s="4">
        <v>155</v>
      </c>
      <c r="G319" s="4">
        <v>159</v>
      </c>
      <c r="H319" s="2" t="s">
        <v>19</v>
      </c>
      <c r="I319" s="2" t="s">
        <v>18</v>
      </c>
      <c r="J319" s="2" t="s">
        <v>15</v>
      </c>
      <c r="K319" s="1">
        <v>2.5157232704402519</v>
      </c>
      <c r="L319" s="1">
        <v>97.484276729559753</v>
      </c>
      <c r="M319" s="2" t="s">
        <v>19</v>
      </c>
    </row>
    <row r="320" spans="1:13" x14ac:dyDescent="0.3">
      <c r="A320" s="4">
        <v>319</v>
      </c>
      <c r="B320" s="3">
        <v>0.2576</v>
      </c>
      <c r="C320" s="1">
        <v>0.47</v>
      </c>
      <c r="D320" s="1">
        <v>0</v>
      </c>
      <c r="E320" s="4">
        <v>5</v>
      </c>
      <c r="F320" s="4">
        <v>134</v>
      </c>
      <c r="G320" s="4">
        <v>139</v>
      </c>
      <c r="H320" s="2" t="s">
        <v>19</v>
      </c>
      <c r="I320" s="2" t="s">
        <v>14</v>
      </c>
      <c r="J320" s="2" t="s">
        <v>15</v>
      </c>
      <c r="K320" s="1">
        <v>3.5971223021582732</v>
      </c>
      <c r="L320" s="1">
        <v>96.402877697841731</v>
      </c>
      <c r="M320" s="2" t="s">
        <v>19</v>
      </c>
    </row>
    <row r="321" spans="1:13" x14ac:dyDescent="0.3">
      <c r="A321" s="4">
        <v>320</v>
      </c>
      <c r="B321" s="3">
        <v>0.19700000000000001</v>
      </c>
      <c r="C321" s="1">
        <v>0.59</v>
      </c>
      <c r="D321" s="1">
        <v>8.9599999999999999E-2</v>
      </c>
      <c r="E321" s="4">
        <v>3</v>
      </c>
      <c r="F321" s="4">
        <v>89</v>
      </c>
      <c r="G321" s="4">
        <v>92</v>
      </c>
      <c r="H321" s="2" t="s">
        <v>19</v>
      </c>
      <c r="I321" s="2" t="s">
        <v>14</v>
      </c>
      <c r="J321" s="2" t="s">
        <v>15</v>
      </c>
      <c r="K321" s="1">
        <v>3.2608695652173911</v>
      </c>
      <c r="L321" s="1">
        <v>96.739130434782609</v>
      </c>
      <c r="M321" s="2" t="s">
        <v>16</v>
      </c>
    </row>
    <row r="322" spans="1:13" x14ac:dyDescent="0.3">
      <c r="A322" s="4">
        <v>321</v>
      </c>
      <c r="B322" s="3">
        <v>0.2424</v>
      </c>
      <c r="C322" s="1">
        <v>0.59</v>
      </c>
      <c r="D322" s="1">
        <v>0</v>
      </c>
      <c r="E322" s="4">
        <v>0</v>
      </c>
      <c r="F322" s="4">
        <v>68</v>
      </c>
      <c r="G322" s="4">
        <v>68</v>
      </c>
      <c r="H322" s="2" t="s">
        <v>19</v>
      </c>
      <c r="I322" s="2" t="s">
        <v>14</v>
      </c>
      <c r="J322" s="2" t="s">
        <v>15</v>
      </c>
      <c r="K322" s="1">
        <v>0</v>
      </c>
      <c r="L322" s="1">
        <v>100</v>
      </c>
      <c r="M322" s="2" t="s">
        <v>16</v>
      </c>
    </row>
    <row r="323" spans="1:13" x14ac:dyDescent="0.3">
      <c r="A323" s="4">
        <v>322</v>
      </c>
      <c r="B323" s="3">
        <v>0.2273</v>
      </c>
      <c r="C323" s="1">
        <v>0.69</v>
      </c>
      <c r="D323" s="1">
        <v>0</v>
      </c>
      <c r="E323" s="4">
        <v>4</v>
      </c>
      <c r="F323" s="4">
        <v>48</v>
      </c>
      <c r="G323" s="4">
        <v>52</v>
      </c>
      <c r="H323" s="2" t="s">
        <v>19</v>
      </c>
      <c r="I323" s="2" t="s">
        <v>14</v>
      </c>
      <c r="J323" s="2" t="s">
        <v>15</v>
      </c>
      <c r="K323" s="1">
        <v>7.6923076923076934</v>
      </c>
      <c r="L323" s="1">
        <v>92.307692307692307</v>
      </c>
      <c r="M323" s="2" t="s">
        <v>16</v>
      </c>
    </row>
    <row r="324" spans="1:13" x14ac:dyDescent="0.3">
      <c r="A324" s="4">
        <v>323</v>
      </c>
      <c r="B324" s="3">
        <v>0.2273</v>
      </c>
      <c r="C324" s="1">
        <v>0.69</v>
      </c>
      <c r="D324" s="1">
        <v>0</v>
      </c>
      <c r="E324" s="4">
        <v>2</v>
      </c>
      <c r="F324" s="4">
        <v>34</v>
      </c>
      <c r="G324" s="4">
        <v>36</v>
      </c>
      <c r="H324" s="2" t="s">
        <v>19</v>
      </c>
      <c r="I324" s="2" t="s">
        <v>14</v>
      </c>
      <c r="J324" s="2" t="s">
        <v>15</v>
      </c>
      <c r="K324" s="1">
        <v>5.5555555555555554</v>
      </c>
      <c r="L324" s="1">
        <v>94.444444444444443</v>
      </c>
      <c r="M324" s="2" t="s">
        <v>16</v>
      </c>
    </row>
    <row r="325" spans="1:13" x14ac:dyDescent="0.3">
      <c r="A325" s="4">
        <v>324</v>
      </c>
      <c r="B325" s="3">
        <v>0.2424</v>
      </c>
      <c r="C325" s="1">
        <v>0.55000000000000004</v>
      </c>
      <c r="D325" s="1">
        <v>0</v>
      </c>
      <c r="E325" s="4">
        <v>1</v>
      </c>
      <c r="F325" s="4">
        <v>26</v>
      </c>
      <c r="G325" s="4">
        <v>27</v>
      </c>
      <c r="H325" s="2" t="s">
        <v>19</v>
      </c>
      <c r="I325" s="2" t="s">
        <v>14</v>
      </c>
      <c r="J325" s="2" t="s">
        <v>15</v>
      </c>
      <c r="K325" s="1">
        <v>3.7037037037037028</v>
      </c>
      <c r="L325" s="1">
        <v>96.296296296296291</v>
      </c>
      <c r="M325" s="2" t="s">
        <v>16</v>
      </c>
    </row>
    <row r="326" spans="1:13" x14ac:dyDescent="0.3">
      <c r="A326" s="4">
        <v>325</v>
      </c>
      <c r="B326" s="3">
        <v>0.2424</v>
      </c>
      <c r="C326" s="1">
        <v>0.55000000000000004</v>
      </c>
      <c r="D326" s="1">
        <v>0</v>
      </c>
      <c r="E326" s="4">
        <v>3</v>
      </c>
      <c r="F326" s="4">
        <v>25</v>
      </c>
      <c r="G326" s="4">
        <v>28</v>
      </c>
      <c r="H326" s="2" t="s">
        <v>19</v>
      </c>
      <c r="I326" s="2" t="s">
        <v>14</v>
      </c>
      <c r="J326" s="2" t="s">
        <v>15</v>
      </c>
      <c r="K326" s="1">
        <v>10.71428571428571</v>
      </c>
      <c r="L326" s="1">
        <v>89.285714285714292</v>
      </c>
      <c r="M326" s="2" t="s">
        <v>16</v>
      </c>
    </row>
    <row r="327" spans="1:13" x14ac:dyDescent="0.3">
      <c r="A327" s="4">
        <v>326</v>
      </c>
      <c r="B327" s="3">
        <v>0.19700000000000001</v>
      </c>
      <c r="C327" s="1">
        <v>0.59</v>
      </c>
      <c r="D327" s="1">
        <v>8.9599999999999999E-2</v>
      </c>
      <c r="E327" s="4">
        <v>2</v>
      </c>
      <c r="F327" s="4">
        <v>18</v>
      </c>
      <c r="G327" s="4">
        <v>20</v>
      </c>
      <c r="H327" s="2" t="s">
        <v>19</v>
      </c>
      <c r="I327" s="2" t="s">
        <v>14</v>
      </c>
      <c r="J327" s="2" t="s">
        <v>15</v>
      </c>
      <c r="K327" s="1">
        <v>10</v>
      </c>
      <c r="L327" s="1">
        <v>90</v>
      </c>
      <c r="M327" s="2" t="s">
        <v>16</v>
      </c>
    </row>
    <row r="328" spans="1:13" x14ac:dyDescent="0.3">
      <c r="A328" s="4">
        <v>327</v>
      </c>
      <c r="B328" s="3">
        <v>0.19700000000000001</v>
      </c>
      <c r="C328" s="1">
        <v>0.59</v>
      </c>
      <c r="D328" s="1">
        <v>8.9599999999999999E-2</v>
      </c>
      <c r="E328" s="4">
        <v>0</v>
      </c>
      <c r="F328" s="4">
        <v>12</v>
      </c>
      <c r="G328" s="4">
        <v>12</v>
      </c>
      <c r="H328" s="2" t="s">
        <v>19</v>
      </c>
      <c r="I328" s="2" t="s">
        <v>14</v>
      </c>
      <c r="J328" s="2" t="s">
        <v>15</v>
      </c>
      <c r="K328" s="1">
        <v>0</v>
      </c>
      <c r="L328" s="1">
        <v>100</v>
      </c>
      <c r="M328" s="2" t="s">
        <v>16</v>
      </c>
    </row>
    <row r="329" spans="1:13" x14ac:dyDescent="0.3">
      <c r="A329" s="4">
        <v>328</v>
      </c>
      <c r="B329" s="3">
        <v>0.2273</v>
      </c>
      <c r="C329" s="1">
        <v>0.59</v>
      </c>
      <c r="D329" s="1">
        <v>0</v>
      </c>
      <c r="E329" s="4">
        <v>1</v>
      </c>
      <c r="F329" s="4">
        <v>7</v>
      </c>
      <c r="G329" s="4">
        <v>8</v>
      </c>
      <c r="H329" s="2" t="s">
        <v>19</v>
      </c>
      <c r="I329" s="2" t="s">
        <v>14</v>
      </c>
      <c r="J329" s="2" t="s">
        <v>15</v>
      </c>
      <c r="K329" s="1">
        <v>12.5</v>
      </c>
      <c r="L329" s="1">
        <v>87.5</v>
      </c>
      <c r="M329" s="2" t="s">
        <v>16</v>
      </c>
    </row>
    <row r="330" spans="1:13" x14ac:dyDescent="0.3">
      <c r="A330" s="4">
        <v>329</v>
      </c>
      <c r="B330" s="3">
        <v>0.2273</v>
      </c>
      <c r="C330" s="1">
        <v>0.59</v>
      </c>
      <c r="D330" s="1">
        <v>0</v>
      </c>
      <c r="E330" s="4">
        <v>0</v>
      </c>
      <c r="F330" s="4">
        <v>5</v>
      </c>
      <c r="G330" s="4">
        <v>5</v>
      </c>
      <c r="H330" s="2" t="s">
        <v>19</v>
      </c>
      <c r="I330" s="2" t="s">
        <v>14</v>
      </c>
      <c r="J330" s="2" t="s">
        <v>15</v>
      </c>
      <c r="K330" s="1">
        <v>0</v>
      </c>
      <c r="L330" s="1">
        <v>100</v>
      </c>
      <c r="M330" s="2" t="s">
        <v>16</v>
      </c>
    </row>
    <row r="331" spans="1:13" x14ac:dyDescent="0.3">
      <c r="A331" s="4">
        <v>330</v>
      </c>
      <c r="B331" s="3">
        <v>0.2273</v>
      </c>
      <c r="C331" s="1">
        <v>0.59</v>
      </c>
      <c r="D331" s="1">
        <v>0</v>
      </c>
      <c r="E331" s="4">
        <v>0</v>
      </c>
      <c r="F331" s="4">
        <v>1</v>
      </c>
      <c r="G331" s="4">
        <v>1</v>
      </c>
      <c r="H331" s="2" t="s">
        <v>19</v>
      </c>
      <c r="I331" s="2" t="s">
        <v>14</v>
      </c>
      <c r="J331" s="2" t="s">
        <v>15</v>
      </c>
      <c r="K331" s="1">
        <v>0</v>
      </c>
      <c r="L331" s="1">
        <v>100</v>
      </c>
      <c r="M331" s="2" t="s">
        <v>16</v>
      </c>
    </row>
    <row r="332" spans="1:13" x14ac:dyDescent="0.3">
      <c r="A332" s="4">
        <v>331</v>
      </c>
      <c r="B332" s="3">
        <v>0.16669999999999999</v>
      </c>
      <c r="C332" s="1">
        <v>0.63</v>
      </c>
      <c r="D332" s="1">
        <v>0.1045</v>
      </c>
      <c r="E332" s="4">
        <v>1</v>
      </c>
      <c r="F332" s="4">
        <v>2</v>
      </c>
      <c r="G332" s="4">
        <v>3</v>
      </c>
      <c r="H332" s="2" t="s">
        <v>19</v>
      </c>
      <c r="I332" s="2" t="s">
        <v>14</v>
      </c>
      <c r="J332" s="2" t="s">
        <v>15</v>
      </c>
      <c r="K332" s="1">
        <v>33.333333333333329</v>
      </c>
      <c r="L332" s="1">
        <v>66.666666666666657</v>
      </c>
      <c r="M332" s="2" t="s">
        <v>16</v>
      </c>
    </row>
    <row r="333" spans="1:13" x14ac:dyDescent="0.3">
      <c r="A333" s="4">
        <v>332</v>
      </c>
      <c r="B333" s="3">
        <v>0.21210000000000001</v>
      </c>
      <c r="C333" s="1">
        <v>0.63</v>
      </c>
      <c r="D333" s="1">
        <v>0</v>
      </c>
      <c r="E333" s="4">
        <v>1</v>
      </c>
      <c r="F333" s="4">
        <v>9</v>
      </c>
      <c r="G333" s="4">
        <v>10</v>
      </c>
      <c r="H333" s="2" t="s">
        <v>19</v>
      </c>
      <c r="I333" s="2" t="s">
        <v>14</v>
      </c>
      <c r="J333" s="2" t="s">
        <v>15</v>
      </c>
      <c r="K333" s="1">
        <v>10</v>
      </c>
      <c r="L333" s="1">
        <v>90</v>
      </c>
      <c r="M333" s="2" t="s">
        <v>16</v>
      </c>
    </row>
    <row r="334" spans="1:13" x14ac:dyDescent="0.3">
      <c r="A334" s="4">
        <v>333</v>
      </c>
      <c r="B334" s="3">
        <v>0.1515</v>
      </c>
      <c r="C334" s="1">
        <v>0.63</v>
      </c>
      <c r="D334" s="1">
        <v>0.1343</v>
      </c>
      <c r="E334" s="4">
        <v>1</v>
      </c>
      <c r="F334" s="4">
        <v>22</v>
      </c>
      <c r="G334" s="4">
        <v>23</v>
      </c>
      <c r="H334" s="2" t="s">
        <v>19</v>
      </c>
      <c r="I334" s="2" t="s">
        <v>14</v>
      </c>
      <c r="J334" s="2" t="s">
        <v>15</v>
      </c>
      <c r="K334" s="1">
        <v>4.3478260869565224</v>
      </c>
      <c r="L334" s="1">
        <v>95.652173913043484</v>
      </c>
      <c r="M334" s="2" t="s">
        <v>16</v>
      </c>
    </row>
    <row r="335" spans="1:13" x14ac:dyDescent="0.3">
      <c r="A335" s="4">
        <v>334</v>
      </c>
      <c r="B335" s="3">
        <v>0.18179999999999999</v>
      </c>
      <c r="C335" s="1">
        <v>0.64</v>
      </c>
      <c r="D335" s="1">
        <v>0.1343</v>
      </c>
      <c r="E335" s="4">
        <v>2</v>
      </c>
      <c r="F335" s="4">
        <v>31</v>
      </c>
      <c r="G335" s="4">
        <v>33</v>
      </c>
      <c r="H335" s="2" t="s">
        <v>19</v>
      </c>
      <c r="I335" s="2" t="s">
        <v>14</v>
      </c>
      <c r="J335" s="2" t="s">
        <v>15</v>
      </c>
      <c r="K335" s="1">
        <v>6.0606060606060614</v>
      </c>
      <c r="L335" s="1">
        <v>93.939393939393938</v>
      </c>
      <c r="M335" s="2" t="s">
        <v>16</v>
      </c>
    </row>
    <row r="336" spans="1:13" x14ac:dyDescent="0.3">
      <c r="A336" s="4">
        <v>335</v>
      </c>
      <c r="B336" s="3">
        <v>0.19700000000000001</v>
      </c>
      <c r="C336" s="1">
        <v>0.59</v>
      </c>
      <c r="D336" s="1">
        <v>0.16420000000000001</v>
      </c>
      <c r="E336" s="4">
        <v>2</v>
      </c>
      <c r="F336" s="4">
        <v>57</v>
      </c>
      <c r="G336" s="4">
        <v>59</v>
      </c>
      <c r="H336" s="2" t="s">
        <v>19</v>
      </c>
      <c r="I336" s="2" t="s">
        <v>18</v>
      </c>
      <c r="J336" s="2" t="s">
        <v>15</v>
      </c>
      <c r="K336" s="1">
        <v>3.3898305084745761</v>
      </c>
      <c r="L336" s="1">
        <v>96.610169491525426</v>
      </c>
      <c r="M336" s="2" t="s">
        <v>16</v>
      </c>
    </row>
    <row r="337" spans="1:13" x14ac:dyDescent="0.3">
      <c r="A337" s="4">
        <v>336</v>
      </c>
      <c r="B337" s="3">
        <v>0.19700000000000001</v>
      </c>
      <c r="C337" s="1">
        <v>0.55000000000000004</v>
      </c>
      <c r="D337" s="1">
        <v>0.22389999999999999</v>
      </c>
      <c r="E337" s="4">
        <v>18</v>
      </c>
      <c r="F337" s="4">
        <v>54</v>
      </c>
      <c r="G337" s="4">
        <v>72</v>
      </c>
      <c r="H337" s="2" t="s">
        <v>19</v>
      </c>
      <c r="I337" s="2" t="s">
        <v>18</v>
      </c>
      <c r="J337" s="2" t="s">
        <v>15</v>
      </c>
      <c r="K337" s="1">
        <v>25</v>
      </c>
      <c r="L337" s="1">
        <v>75</v>
      </c>
      <c r="M337" s="2" t="s">
        <v>16</v>
      </c>
    </row>
    <row r="338" spans="1:13" x14ac:dyDescent="0.3">
      <c r="A338" s="4">
        <v>337</v>
      </c>
      <c r="B338" s="3">
        <v>0.2273</v>
      </c>
      <c r="C338" s="1">
        <v>0.48</v>
      </c>
      <c r="D338" s="1">
        <v>0.22389999999999999</v>
      </c>
      <c r="E338" s="4">
        <v>15</v>
      </c>
      <c r="F338" s="4">
        <v>74</v>
      </c>
      <c r="G338" s="4">
        <v>89</v>
      </c>
      <c r="H338" s="2" t="s">
        <v>19</v>
      </c>
      <c r="I338" s="2" t="s">
        <v>18</v>
      </c>
      <c r="J338" s="2" t="s">
        <v>15</v>
      </c>
      <c r="K338" s="1">
        <v>16.853932584269661</v>
      </c>
      <c r="L338" s="1">
        <v>83.146067415730343</v>
      </c>
      <c r="M338" s="2" t="s">
        <v>16</v>
      </c>
    </row>
    <row r="339" spans="1:13" x14ac:dyDescent="0.3">
      <c r="A339" s="4">
        <v>338</v>
      </c>
      <c r="B339" s="3">
        <v>0.2576</v>
      </c>
      <c r="C339" s="1">
        <v>0.38</v>
      </c>
      <c r="D339" s="1">
        <v>0.29849999999999999</v>
      </c>
      <c r="E339" s="4">
        <v>21</v>
      </c>
      <c r="F339" s="4">
        <v>80</v>
      </c>
      <c r="G339" s="4">
        <v>101</v>
      </c>
      <c r="H339" s="2" t="s">
        <v>16</v>
      </c>
      <c r="I339" s="2" t="s">
        <v>18</v>
      </c>
      <c r="J339" s="2" t="s">
        <v>15</v>
      </c>
      <c r="K339" s="1">
        <v>20.792079207920789</v>
      </c>
      <c r="L339" s="1">
        <v>79.207920792079207</v>
      </c>
      <c r="M339" s="2" t="s">
        <v>19</v>
      </c>
    </row>
    <row r="340" spans="1:13" x14ac:dyDescent="0.3">
      <c r="A340" s="4">
        <v>339</v>
      </c>
      <c r="B340" s="3">
        <v>0.28789999999999999</v>
      </c>
      <c r="C340" s="1">
        <v>0.39</v>
      </c>
      <c r="D340" s="1">
        <v>0.28360000000000002</v>
      </c>
      <c r="E340" s="4">
        <v>26</v>
      </c>
      <c r="F340" s="4">
        <v>92</v>
      </c>
      <c r="G340" s="4">
        <v>118</v>
      </c>
      <c r="H340" s="2" t="s">
        <v>16</v>
      </c>
      <c r="I340" s="2" t="s">
        <v>18</v>
      </c>
      <c r="J340" s="2" t="s">
        <v>15</v>
      </c>
      <c r="K340" s="1">
        <v>22.03389830508474</v>
      </c>
      <c r="L340" s="1">
        <v>77.966101694915253</v>
      </c>
      <c r="M340" s="2" t="s">
        <v>19</v>
      </c>
    </row>
    <row r="341" spans="1:13" x14ac:dyDescent="0.3">
      <c r="A341" s="4">
        <v>340</v>
      </c>
      <c r="B341" s="3">
        <v>0.31819999999999998</v>
      </c>
      <c r="C341" s="1">
        <v>0.36</v>
      </c>
      <c r="D341" s="1">
        <v>0.19400000000000001</v>
      </c>
      <c r="E341" s="4">
        <v>21</v>
      </c>
      <c r="F341" s="4">
        <v>108</v>
      </c>
      <c r="G341" s="4">
        <v>129</v>
      </c>
      <c r="H341" s="2" t="s">
        <v>16</v>
      </c>
      <c r="I341" s="2" t="s">
        <v>18</v>
      </c>
      <c r="J341" s="2" t="s">
        <v>15</v>
      </c>
      <c r="K341" s="1">
        <v>16.279069767441861</v>
      </c>
      <c r="L341" s="1">
        <v>83.720930232558146</v>
      </c>
      <c r="M341" s="2" t="s">
        <v>19</v>
      </c>
    </row>
    <row r="342" spans="1:13" x14ac:dyDescent="0.3">
      <c r="A342" s="4">
        <v>341</v>
      </c>
      <c r="B342" s="3">
        <v>0.33329999999999999</v>
      </c>
      <c r="C342" s="1">
        <v>0.34</v>
      </c>
      <c r="D342" s="1">
        <v>0.19400000000000001</v>
      </c>
      <c r="E342" s="4">
        <v>33</v>
      </c>
      <c r="F342" s="4">
        <v>95</v>
      </c>
      <c r="G342" s="4">
        <v>128</v>
      </c>
      <c r="H342" s="2" t="s">
        <v>16</v>
      </c>
      <c r="I342" s="2" t="s">
        <v>18</v>
      </c>
      <c r="J342" s="2" t="s">
        <v>15</v>
      </c>
      <c r="K342" s="1">
        <v>25.78125</v>
      </c>
      <c r="L342" s="1">
        <v>74.21875</v>
      </c>
      <c r="M342" s="2" t="s">
        <v>19</v>
      </c>
    </row>
    <row r="343" spans="1:13" x14ac:dyDescent="0.3">
      <c r="A343" s="4">
        <v>342</v>
      </c>
      <c r="B343" s="3">
        <v>0.30299999999999999</v>
      </c>
      <c r="C343" s="1">
        <v>0.36</v>
      </c>
      <c r="D343" s="1">
        <v>0.28360000000000002</v>
      </c>
      <c r="E343" s="4">
        <v>29</v>
      </c>
      <c r="F343" s="4">
        <v>54</v>
      </c>
      <c r="G343" s="4">
        <v>83</v>
      </c>
      <c r="H343" s="2" t="s">
        <v>16</v>
      </c>
      <c r="I343" s="2" t="s">
        <v>18</v>
      </c>
      <c r="J343" s="2" t="s">
        <v>15</v>
      </c>
      <c r="K343" s="1">
        <v>34.939759036144579</v>
      </c>
      <c r="L343" s="1">
        <v>65.060240963855421</v>
      </c>
      <c r="M343" s="2" t="s">
        <v>16</v>
      </c>
    </row>
    <row r="344" spans="1:13" x14ac:dyDescent="0.3">
      <c r="A344" s="4">
        <v>343</v>
      </c>
      <c r="B344" s="3">
        <v>0.28789999999999999</v>
      </c>
      <c r="C344" s="1">
        <v>0.45</v>
      </c>
      <c r="D344" s="1">
        <v>0.25369999999999998</v>
      </c>
      <c r="E344" s="4">
        <v>15</v>
      </c>
      <c r="F344" s="4">
        <v>69</v>
      </c>
      <c r="G344" s="4">
        <v>84</v>
      </c>
      <c r="H344" s="2" t="s">
        <v>19</v>
      </c>
      <c r="I344" s="2" t="s">
        <v>18</v>
      </c>
      <c r="J344" s="2" t="s">
        <v>15</v>
      </c>
      <c r="K344" s="1">
        <v>17.857142857142861</v>
      </c>
      <c r="L344" s="1">
        <v>82.142857142857139</v>
      </c>
      <c r="M344" s="2" t="s">
        <v>16</v>
      </c>
    </row>
    <row r="345" spans="1:13" x14ac:dyDescent="0.3">
      <c r="A345" s="4">
        <v>344</v>
      </c>
      <c r="B345" s="3">
        <v>0.30299999999999999</v>
      </c>
      <c r="C345" s="1">
        <v>0.39</v>
      </c>
      <c r="D345" s="1">
        <v>0.25369999999999998</v>
      </c>
      <c r="E345" s="4">
        <v>14</v>
      </c>
      <c r="F345" s="4">
        <v>60</v>
      </c>
      <c r="G345" s="4">
        <v>74</v>
      </c>
      <c r="H345" s="2" t="s">
        <v>16</v>
      </c>
      <c r="I345" s="2" t="s">
        <v>18</v>
      </c>
      <c r="J345" s="2" t="s">
        <v>15</v>
      </c>
      <c r="K345" s="1">
        <v>18.918918918918919</v>
      </c>
      <c r="L345" s="1">
        <v>81.081081081081081</v>
      </c>
      <c r="M345" s="2" t="s">
        <v>16</v>
      </c>
    </row>
    <row r="346" spans="1:13" x14ac:dyDescent="0.3">
      <c r="A346" s="4">
        <v>345</v>
      </c>
      <c r="B346" s="3">
        <v>0.30299999999999999</v>
      </c>
      <c r="C346" s="1">
        <v>0.39</v>
      </c>
      <c r="D346" s="1">
        <v>0.25369999999999998</v>
      </c>
      <c r="E346" s="4">
        <v>6</v>
      </c>
      <c r="F346" s="4">
        <v>35</v>
      </c>
      <c r="G346" s="4">
        <v>41</v>
      </c>
      <c r="H346" s="2" t="s">
        <v>16</v>
      </c>
      <c r="I346" s="2" t="s">
        <v>18</v>
      </c>
      <c r="J346" s="2" t="s">
        <v>15</v>
      </c>
      <c r="K346" s="1">
        <v>14.63414634146341</v>
      </c>
      <c r="L346" s="1">
        <v>85.365853658536579</v>
      </c>
      <c r="M346" s="2" t="s">
        <v>16</v>
      </c>
    </row>
    <row r="347" spans="1:13" x14ac:dyDescent="0.3">
      <c r="A347" s="4">
        <v>346</v>
      </c>
      <c r="B347" s="3">
        <v>0.30299999999999999</v>
      </c>
      <c r="C347" s="1">
        <v>0.39</v>
      </c>
      <c r="D347" s="1">
        <v>0.22389999999999999</v>
      </c>
      <c r="E347" s="4">
        <v>6</v>
      </c>
      <c r="F347" s="4">
        <v>51</v>
      </c>
      <c r="G347" s="4">
        <v>57</v>
      </c>
      <c r="H347" s="2" t="s">
        <v>16</v>
      </c>
      <c r="I347" s="2" t="s">
        <v>18</v>
      </c>
      <c r="J347" s="2" t="s">
        <v>15</v>
      </c>
      <c r="K347" s="1">
        <v>10.52631578947368</v>
      </c>
      <c r="L347" s="1">
        <v>89.473684210526315</v>
      </c>
      <c r="M347" s="2" t="s">
        <v>16</v>
      </c>
    </row>
    <row r="348" spans="1:13" x14ac:dyDescent="0.3">
      <c r="A348" s="4">
        <v>347</v>
      </c>
      <c r="B348" s="3">
        <v>0.31819999999999998</v>
      </c>
      <c r="C348" s="1">
        <v>0.42</v>
      </c>
      <c r="D348" s="1">
        <v>0.1045</v>
      </c>
      <c r="E348" s="4">
        <v>0</v>
      </c>
      <c r="F348" s="4">
        <v>26</v>
      </c>
      <c r="G348" s="4">
        <v>26</v>
      </c>
      <c r="H348" s="2" t="s">
        <v>19</v>
      </c>
      <c r="I348" s="2" t="s">
        <v>14</v>
      </c>
      <c r="J348" s="2" t="s">
        <v>15</v>
      </c>
      <c r="K348" s="1">
        <v>0</v>
      </c>
      <c r="L348" s="1">
        <v>100</v>
      </c>
      <c r="M348" s="2" t="s">
        <v>16</v>
      </c>
    </row>
    <row r="349" spans="1:13" x14ac:dyDescent="0.3">
      <c r="A349" s="4">
        <v>348</v>
      </c>
      <c r="B349" s="3">
        <v>0.28789999999999999</v>
      </c>
      <c r="C349" s="1">
        <v>0.45</v>
      </c>
      <c r="D349" s="1">
        <v>0.28360000000000002</v>
      </c>
      <c r="E349" s="4">
        <v>5</v>
      </c>
      <c r="F349" s="4">
        <v>39</v>
      </c>
      <c r="G349" s="4">
        <v>44</v>
      </c>
      <c r="H349" s="2" t="s">
        <v>19</v>
      </c>
      <c r="I349" s="2" t="s">
        <v>18</v>
      </c>
      <c r="J349" s="2" t="s">
        <v>15</v>
      </c>
      <c r="K349" s="1">
        <v>11.36363636363636</v>
      </c>
      <c r="L349" s="1">
        <v>88.63636363636364</v>
      </c>
      <c r="M349" s="2" t="s">
        <v>16</v>
      </c>
    </row>
    <row r="350" spans="1:13" x14ac:dyDescent="0.3">
      <c r="A350" s="4">
        <v>349</v>
      </c>
      <c r="B350" s="3">
        <v>0.30299999999999999</v>
      </c>
      <c r="C350" s="1">
        <v>0.56000000000000005</v>
      </c>
      <c r="D350" s="1">
        <v>0</v>
      </c>
      <c r="E350" s="4">
        <v>6</v>
      </c>
      <c r="F350" s="4">
        <v>33</v>
      </c>
      <c r="G350" s="4">
        <v>39</v>
      </c>
      <c r="H350" s="2" t="s">
        <v>19</v>
      </c>
      <c r="I350" s="2" t="s">
        <v>14</v>
      </c>
      <c r="J350" s="2" t="s">
        <v>15</v>
      </c>
      <c r="K350" s="1">
        <v>15.38461538461539</v>
      </c>
      <c r="L350" s="1">
        <v>84.615384615384613</v>
      </c>
      <c r="M350" s="2" t="s">
        <v>16</v>
      </c>
    </row>
    <row r="351" spans="1:13" x14ac:dyDescent="0.3">
      <c r="A351" s="4">
        <v>350</v>
      </c>
      <c r="B351" s="3">
        <v>0.2727</v>
      </c>
      <c r="C351" s="1">
        <v>0.56000000000000005</v>
      </c>
      <c r="D351" s="1">
        <v>0.1343</v>
      </c>
      <c r="E351" s="4">
        <v>4</v>
      </c>
      <c r="F351" s="4">
        <v>19</v>
      </c>
      <c r="G351" s="4">
        <v>23</v>
      </c>
      <c r="H351" s="2" t="s">
        <v>19</v>
      </c>
      <c r="I351" s="2" t="s">
        <v>14</v>
      </c>
      <c r="J351" s="2" t="s">
        <v>15</v>
      </c>
      <c r="K351" s="1">
        <v>17.39130434782609</v>
      </c>
      <c r="L351" s="1">
        <v>82.608695652173907</v>
      </c>
      <c r="M351" s="2" t="s">
        <v>16</v>
      </c>
    </row>
    <row r="352" spans="1:13" x14ac:dyDescent="0.3">
      <c r="A352" s="4">
        <v>351</v>
      </c>
      <c r="B352" s="3">
        <v>0.28789999999999999</v>
      </c>
      <c r="C352" s="1">
        <v>0.56000000000000005</v>
      </c>
      <c r="D352" s="1">
        <v>8.9599999999999999E-2</v>
      </c>
      <c r="E352" s="4">
        <v>3</v>
      </c>
      <c r="F352" s="4">
        <v>13</v>
      </c>
      <c r="G352" s="4">
        <v>16</v>
      </c>
      <c r="H352" s="2" t="s">
        <v>19</v>
      </c>
      <c r="I352" s="2" t="s">
        <v>14</v>
      </c>
      <c r="J352" s="2" t="s">
        <v>15</v>
      </c>
      <c r="K352" s="1">
        <v>18.75</v>
      </c>
      <c r="L352" s="1">
        <v>81.25</v>
      </c>
      <c r="M352" s="2" t="s">
        <v>16</v>
      </c>
    </row>
    <row r="353" spans="1:13" x14ac:dyDescent="0.3">
      <c r="A353" s="4">
        <v>352</v>
      </c>
      <c r="B353" s="3">
        <v>0.2727</v>
      </c>
      <c r="C353" s="1">
        <v>0.69</v>
      </c>
      <c r="D353" s="1">
        <v>0</v>
      </c>
      <c r="E353" s="4">
        <v>9</v>
      </c>
      <c r="F353" s="4">
        <v>6</v>
      </c>
      <c r="G353" s="4">
        <v>15</v>
      </c>
      <c r="H353" s="2" t="s">
        <v>19</v>
      </c>
      <c r="I353" s="2" t="s">
        <v>14</v>
      </c>
      <c r="J353" s="2" t="s">
        <v>17</v>
      </c>
      <c r="K353" s="1">
        <v>60</v>
      </c>
      <c r="L353" s="1">
        <v>40</v>
      </c>
      <c r="M353" s="2" t="s">
        <v>16</v>
      </c>
    </row>
    <row r="354" spans="1:13" x14ac:dyDescent="0.3">
      <c r="A354" s="4">
        <v>353</v>
      </c>
      <c r="B354" s="3">
        <v>0.2576</v>
      </c>
      <c r="C354" s="1">
        <v>0.56000000000000005</v>
      </c>
      <c r="D354" s="1">
        <v>0.16420000000000001</v>
      </c>
      <c r="E354" s="4">
        <v>0</v>
      </c>
      <c r="F354" s="4">
        <v>1</v>
      </c>
      <c r="G354" s="4">
        <v>1</v>
      </c>
      <c r="H354" s="2" t="s">
        <v>19</v>
      </c>
      <c r="I354" s="2" t="s">
        <v>18</v>
      </c>
      <c r="J354" s="2" t="s">
        <v>15</v>
      </c>
      <c r="K354" s="1">
        <v>0</v>
      </c>
      <c r="L354" s="1">
        <v>100</v>
      </c>
      <c r="M354" s="2" t="s">
        <v>16</v>
      </c>
    </row>
    <row r="355" spans="1:13" x14ac:dyDescent="0.3">
      <c r="A355" s="4">
        <v>354</v>
      </c>
      <c r="B355" s="3">
        <v>0.2576</v>
      </c>
      <c r="C355" s="1">
        <v>0.56000000000000005</v>
      </c>
      <c r="D355" s="1">
        <v>0.16420000000000001</v>
      </c>
      <c r="E355" s="4">
        <v>1</v>
      </c>
      <c r="F355" s="4">
        <v>1</v>
      </c>
      <c r="G355" s="4">
        <v>2</v>
      </c>
      <c r="H355" s="2" t="s">
        <v>19</v>
      </c>
      <c r="I355" s="2" t="s">
        <v>18</v>
      </c>
      <c r="J355" s="2" t="s">
        <v>15</v>
      </c>
      <c r="K355" s="1">
        <v>50</v>
      </c>
      <c r="L355" s="1">
        <v>50</v>
      </c>
      <c r="M355" s="2" t="s">
        <v>16</v>
      </c>
    </row>
    <row r="356" spans="1:13" x14ac:dyDescent="0.3">
      <c r="A356" s="4">
        <v>355</v>
      </c>
      <c r="B356" s="3">
        <v>0.2576</v>
      </c>
      <c r="C356" s="1">
        <v>0.56000000000000005</v>
      </c>
      <c r="D356" s="1">
        <v>0.16420000000000001</v>
      </c>
      <c r="E356" s="4">
        <v>0</v>
      </c>
      <c r="F356" s="4">
        <v>1</v>
      </c>
      <c r="G356" s="4">
        <v>1</v>
      </c>
      <c r="H356" s="2" t="s">
        <v>19</v>
      </c>
      <c r="I356" s="2" t="s">
        <v>18</v>
      </c>
      <c r="J356" s="2" t="s">
        <v>15</v>
      </c>
      <c r="K356" s="1">
        <v>0</v>
      </c>
      <c r="L356" s="1">
        <v>100</v>
      </c>
      <c r="M356" s="2" t="s">
        <v>16</v>
      </c>
    </row>
    <row r="357" spans="1:13" x14ac:dyDescent="0.3">
      <c r="A357" s="4">
        <v>356</v>
      </c>
      <c r="B357" s="3">
        <v>0.21210000000000001</v>
      </c>
      <c r="C357" s="1">
        <v>0.56000000000000005</v>
      </c>
      <c r="D357" s="1">
        <v>0.29849999999999999</v>
      </c>
      <c r="E357" s="4">
        <v>0</v>
      </c>
      <c r="F357" s="4">
        <v>3</v>
      </c>
      <c r="G357" s="4">
        <v>3</v>
      </c>
      <c r="H357" s="2" t="s">
        <v>19</v>
      </c>
      <c r="I357" s="2" t="s">
        <v>18</v>
      </c>
      <c r="J357" s="2" t="s">
        <v>15</v>
      </c>
      <c r="K357" s="1">
        <v>0</v>
      </c>
      <c r="L357" s="1">
        <v>100</v>
      </c>
      <c r="M357" s="2" t="s">
        <v>16</v>
      </c>
    </row>
    <row r="358" spans="1:13" x14ac:dyDescent="0.3">
      <c r="A358" s="4">
        <v>357</v>
      </c>
      <c r="B358" s="3">
        <v>0.21210000000000001</v>
      </c>
      <c r="C358" s="1">
        <v>0.55000000000000004</v>
      </c>
      <c r="D358" s="1">
        <v>0.28360000000000002</v>
      </c>
      <c r="E358" s="4">
        <v>0</v>
      </c>
      <c r="F358" s="4">
        <v>18</v>
      </c>
      <c r="G358" s="4">
        <v>18</v>
      </c>
      <c r="H358" s="2" t="s">
        <v>19</v>
      </c>
      <c r="I358" s="2" t="s">
        <v>18</v>
      </c>
      <c r="J358" s="2" t="s">
        <v>15</v>
      </c>
      <c r="K358" s="1">
        <v>0</v>
      </c>
      <c r="L358" s="1">
        <v>100</v>
      </c>
      <c r="M358" s="2" t="s">
        <v>16</v>
      </c>
    </row>
    <row r="359" spans="1:13" x14ac:dyDescent="0.3">
      <c r="A359" s="4">
        <v>358</v>
      </c>
      <c r="B359" s="3">
        <v>0.21210000000000001</v>
      </c>
      <c r="C359" s="1">
        <v>0.51</v>
      </c>
      <c r="D359" s="1">
        <v>0.25369999999999998</v>
      </c>
      <c r="E359" s="4">
        <v>3</v>
      </c>
      <c r="F359" s="4">
        <v>29</v>
      </c>
      <c r="G359" s="4">
        <v>32</v>
      </c>
      <c r="H359" s="2" t="s">
        <v>19</v>
      </c>
      <c r="I359" s="2" t="s">
        <v>18</v>
      </c>
      <c r="J359" s="2" t="s">
        <v>15</v>
      </c>
      <c r="K359" s="1">
        <v>9.375</v>
      </c>
      <c r="L359" s="1">
        <v>90.625</v>
      </c>
      <c r="M359" s="2" t="s">
        <v>16</v>
      </c>
    </row>
    <row r="360" spans="1:13" x14ac:dyDescent="0.3">
      <c r="A360" s="4">
        <v>359</v>
      </c>
      <c r="B360" s="3">
        <v>0.21210000000000001</v>
      </c>
      <c r="C360" s="1">
        <v>0.51</v>
      </c>
      <c r="D360" s="1">
        <v>0.28360000000000002</v>
      </c>
      <c r="E360" s="4">
        <v>8</v>
      </c>
      <c r="F360" s="4">
        <v>71</v>
      </c>
      <c r="G360" s="4">
        <v>79</v>
      </c>
      <c r="H360" s="2" t="s">
        <v>19</v>
      </c>
      <c r="I360" s="2" t="s">
        <v>18</v>
      </c>
      <c r="J360" s="2" t="s">
        <v>15</v>
      </c>
      <c r="K360" s="1">
        <v>10.12658227848101</v>
      </c>
      <c r="L360" s="1">
        <v>89.87341772151899</v>
      </c>
      <c r="M360" s="2" t="s">
        <v>16</v>
      </c>
    </row>
    <row r="361" spans="1:13" x14ac:dyDescent="0.3">
      <c r="A361" s="4">
        <v>360</v>
      </c>
      <c r="B361" s="3">
        <v>0.2273</v>
      </c>
      <c r="C361" s="1">
        <v>0.44</v>
      </c>
      <c r="D361" s="1">
        <v>0.25369999999999998</v>
      </c>
      <c r="E361" s="4">
        <v>23</v>
      </c>
      <c r="F361" s="4">
        <v>70</v>
      </c>
      <c r="G361" s="4">
        <v>93</v>
      </c>
      <c r="H361" s="2" t="s">
        <v>19</v>
      </c>
      <c r="I361" s="2" t="s">
        <v>18</v>
      </c>
      <c r="J361" s="2" t="s">
        <v>15</v>
      </c>
      <c r="K361" s="1">
        <v>24.731182795698921</v>
      </c>
      <c r="L361" s="1">
        <v>75.268817204301072</v>
      </c>
      <c r="M361" s="2" t="s">
        <v>16</v>
      </c>
    </row>
    <row r="362" spans="1:13" x14ac:dyDescent="0.3">
      <c r="A362" s="4">
        <v>361</v>
      </c>
      <c r="B362" s="3">
        <v>0.21210000000000001</v>
      </c>
      <c r="C362" s="1">
        <v>0.41</v>
      </c>
      <c r="D362" s="1">
        <v>0.28360000000000002</v>
      </c>
      <c r="E362" s="4">
        <v>29</v>
      </c>
      <c r="F362" s="4">
        <v>75</v>
      </c>
      <c r="G362" s="4">
        <v>104</v>
      </c>
      <c r="H362" s="2" t="s">
        <v>19</v>
      </c>
      <c r="I362" s="2" t="s">
        <v>18</v>
      </c>
      <c r="J362" s="2" t="s">
        <v>15</v>
      </c>
      <c r="K362" s="1">
        <v>27.88461538461539</v>
      </c>
      <c r="L362" s="1">
        <v>72.115384615384613</v>
      </c>
      <c r="M362" s="2" t="s">
        <v>19</v>
      </c>
    </row>
    <row r="363" spans="1:13" x14ac:dyDescent="0.3">
      <c r="A363" s="4">
        <v>362</v>
      </c>
      <c r="B363" s="3">
        <v>0.2273</v>
      </c>
      <c r="C363" s="1">
        <v>0.35</v>
      </c>
      <c r="D363" s="1">
        <v>0.29849999999999999</v>
      </c>
      <c r="E363" s="4">
        <v>23</v>
      </c>
      <c r="F363" s="4">
        <v>95</v>
      </c>
      <c r="G363" s="4">
        <v>118</v>
      </c>
      <c r="H363" s="2" t="s">
        <v>16</v>
      </c>
      <c r="I363" s="2" t="s">
        <v>18</v>
      </c>
      <c r="J363" s="2" t="s">
        <v>15</v>
      </c>
      <c r="K363" s="1">
        <v>19.49152542372881</v>
      </c>
      <c r="L363" s="1">
        <v>80.508474576271183</v>
      </c>
      <c r="M363" s="2" t="s">
        <v>19</v>
      </c>
    </row>
    <row r="364" spans="1:13" x14ac:dyDescent="0.3">
      <c r="A364" s="4">
        <v>363</v>
      </c>
      <c r="B364" s="3">
        <v>0.2727</v>
      </c>
      <c r="C364" s="1">
        <v>0.36</v>
      </c>
      <c r="D364" s="1">
        <v>0.25369999999999998</v>
      </c>
      <c r="E364" s="4">
        <v>22</v>
      </c>
      <c r="F364" s="4">
        <v>69</v>
      </c>
      <c r="G364" s="4">
        <v>91</v>
      </c>
      <c r="H364" s="2" t="s">
        <v>16</v>
      </c>
      <c r="I364" s="2" t="s">
        <v>18</v>
      </c>
      <c r="J364" s="2" t="s">
        <v>15</v>
      </c>
      <c r="K364" s="1">
        <v>24.175824175824179</v>
      </c>
      <c r="L364" s="1">
        <v>75.824175824175825</v>
      </c>
      <c r="M364" s="2" t="s">
        <v>16</v>
      </c>
    </row>
    <row r="365" spans="1:13" x14ac:dyDescent="0.3">
      <c r="A365" s="4">
        <v>364</v>
      </c>
      <c r="B365" s="3">
        <v>0.2424</v>
      </c>
      <c r="C365" s="1">
        <v>0.38</v>
      </c>
      <c r="D365" s="1">
        <v>0.25369999999999998</v>
      </c>
      <c r="E365" s="4">
        <v>35</v>
      </c>
      <c r="F365" s="4">
        <v>78</v>
      </c>
      <c r="G365" s="4">
        <v>113</v>
      </c>
      <c r="H365" s="2" t="s">
        <v>16</v>
      </c>
      <c r="I365" s="2" t="s">
        <v>18</v>
      </c>
      <c r="J365" s="2" t="s">
        <v>15</v>
      </c>
      <c r="K365" s="1">
        <v>30.973451327433629</v>
      </c>
      <c r="L365" s="1">
        <v>69.026548672566364</v>
      </c>
      <c r="M365" s="2" t="s">
        <v>19</v>
      </c>
    </row>
    <row r="366" spans="1:13" x14ac:dyDescent="0.3">
      <c r="A366" s="4">
        <v>365</v>
      </c>
      <c r="B366" s="3">
        <v>0.2273</v>
      </c>
      <c r="C366" s="1">
        <v>0.38</v>
      </c>
      <c r="D366" s="1">
        <v>0.22389999999999999</v>
      </c>
      <c r="E366" s="4">
        <v>22</v>
      </c>
      <c r="F366" s="4">
        <v>77</v>
      </c>
      <c r="G366" s="4">
        <v>99</v>
      </c>
      <c r="H366" s="2" t="s">
        <v>16</v>
      </c>
      <c r="I366" s="2" t="s">
        <v>18</v>
      </c>
      <c r="J366" s="2" t="s">
        <v>15</v>
      </c>
      <c r="K366" s="1">
        <v>22.222222222222221</v>
      </c>
      <c r="L366" s="1">
        <v>77.777777777777786</v>
      </c>
      <c r="M366" s="2" t="s">
        <v>16</v>
      </c>
    </row>
    <row r="367" spans="1:13" x14ac:dyDescent="0.3">
      <c r="A367" s="4">
        <v>366</v>
      </c>
      <c r="B367" s="3">
        <v>0.21210000000000001</v>
      </c>
      <c r="C367" s="1">
        <v>0.37</v>
      </c>
      <c r="D367" s="1">
        <v>0.25369999999999998</v>
      </c>
      <c r="E367" s="4">
        <v>23</v>
      </c>
      <c r="F367" s="4">
        <v>82</v>
      </c>
      <c r="G367" s="4">
        <v>105</v>
      </c>
      <c r="H367" s="2" t="s">
        <v>16</v>
      </c>
      <c r="I367" s="2" t="s">
        <v>18</v>
      </c>
      <c r="J367" s="2" t="s">
        <v>15</v>
      </c>
      <c r="K367" s="1">
        <v>21.904761904761909</v>
      </c>
      <c r="L367" s="1">
        <v>78.095238095238102</v>
      </c>
      <c r="M367" s="2" t="s">
        <v>19</v>
      </c>
    </row>
    <row r="368" spans="1:13" x14ac:dyDescent="0.3">
      <c r="A368" s="4">
        <v>367</v>
      </c>
      <c r="B368" s="3">
        <v>0.21210000000000001</v>
      </c>
      <c r="C368" s="1">
        <v>0.4</v>
      </c>
      <c r="D368" s="1">
        <v>0.16420000000000001</v>
      </c>
      <c r="E368" s="4">
        <v>11</v>
      </c>
      <c r="F368" s="4">
        <v>56</v>
      </c>
      <c r="G368" s="4">
        <v>67</v>
      </c>
      <c r="H368" s="2" t="s">
        <v>19</v>
      </c>
      <c r="I368" s="2" t="s">
        <v>18</v>
      </c>
      <c r="J368" s="2" t="s">
        <v>15</v>
      </c>
      <c r="K368" s="1">
        <v>16.417910447761191</v>
      </c>
      <c r="L368" s="1">
        <v>83.582089552238799</v>
      </c>
      <c r="M368" s="2" t="s">
        <v>16</v>
      </c>
    </row>
    <row r="369" spans="1:13" x14ac:dyDescent="0.3">
      <c r="A369" s="4">
        <v>368</v>
      </c>
      <c r="B369" s="3">
        <v>0.19700000000000001</v>
      </c>
      <c r="C369" s="1">
        <v>0.47</v>
      </c>
      <c r="D369" s="1">
        <v>0.1343</v>
      </c>
      <c r="E369" s="4">
        <v>14</v>
      </c>
      <c r="F369" s="4">
        <v>47</v>
      </c>
      <c r="G369" s="4">
        <v>61</v>
      </c>
      <c r="H369" s="2" t="s">
        <v>19</v>
      </c>
      <c r="I369" s="2" t="s">
        <v>14</v>
      </c>
      <c r="J369" s="2" t="s">
        <v>15</v>
      </c>
      <c r="K369" s="1">
        <v>22.95081967213115</v>
      </c>
      <c r="L369" s="1">
        <v>77.049180327868854</v>
      </c>
      <c r="M369" s="2" t="s">
        <v>16</v>
      </c>
    </row>
    <row r="370" spans="1:13" x14ac:dyDescent="0.3">
      <c r="A370" s="4">
        <v>369</v>
      </c>
      <c r="B370" s="3">
        <v>0.19700000000000001</v>
      </c>
      <c r="C370" s="1">
        <v>0.47</v>
      </c>
      <c r="D370" s="1">
        <v>0.16420000000000001</v>
      </c>
      <c r="E370" s="4">
        <v>7</v>
      </c>
      <c r="F370" s="4">
        <v>50</v>
      </c>
      <c r="G370" s="4">
        <v>57</v>
      </c>
      <c r="H370" s="2" t="s">
        <v>19</v>
      </c>
      <c r="I370" s="2" t="s">
        <v>18</v>
      </c>
      <c r="J370" s="2" t="s">
        <v>15</v>
      </c>
      <c r="K370" s="1">
        <v>12.28070175438596</v>
      </c>
      <c r="L370" s="1">
        <v>87.719298245614027</v>
      </c>
      <c r="M370" s="2" t="s">
        <v>16</v>
      </c>
    </row>
    <row r="371" spans="1:13" x14ac:dyDescent="0.3">
      <c r="A371" s="4">
        <v>370</v>
      </c>
      <c r="B371" s="3">
        <v>0.19700000000000001</v>
      </c>
      <c r="C371" s="1">
        <v>0.51</v>
      </c>
      <c r="D371" s="1">
        <v>0.16420000000000001</v>
      </c>
      <c r="E371" s="4">
        <v>6</v>
      </c>
      <c r="F371" s="4">
        <v>22</v>
      </c>
      <c r="G371" s="4">
        <v>28</v>
      </c>
      <c r="H371" s="2" t="s">
        <v>19</v>
      </c>
      <c r="I371" s="2" t="s">
        <v>18</v>
      </c>
      <c r="J371" s="2" t="s">
        <v>15</v>
      </c>
      <c r="K371" s="1">
        <v>21.428571428571431</v>
      </c>
      <c r="L371" s="1">
        <v>78.571428571428569</v>
      </c>
      <c r="M371" s="2" t="s">
        <v>16</v>
      </c>
    </row>
    <row r="372" spans="1:13" x14ac:dyDescent="0.3">
      <c r="A372" s="4">
        <v>371</v>
      </c>
      <c r="B372" s="3">
        <v>0.21210000000000001</v>
      </c>
      <c r="C372" s="1">
        <v>0.49</v>
      </c>
      <c r="D372" s="1">
        <v>0.1343</v>
      </c>
      <c r="E372" s="4">
        <v>2</v>
      </c>
      <c r="F372" s="4">
        <v>19</v>
      </c>
      <c r="G372" s="4">
        <v>21</v>
      </c>
      <c r="H372" s="2" t="s">
        <v>19</v>
      </c>
      <c r="I372" s="2" t="s">
        <v>14</v>
      </c>
      <c r="J372" s="2" t="s">
        <v>15</v>
      </c>
      <c r="K372" s="1">
        <v>9.5238095238095237</v>
      </c>
      <c r="L372" s="1">
        <v>90.476190476190482</v>
      </c>
      <c r="M372" s="2" t="s">
        <v>16</v>
      </c>
    </row>
    <row r="373" spans="1:13" x14ac:dyDescent="0.3">
      <c r="A373" s="4">
        <v>372</v>
      </c>
      <c r="B373" s="3">
        <v>0.2273</v>
      </c>
      <c r="C373" s="1">
        <v>0.4</v>
      </c>
      <c r="D373" s="1">
        <v>0.1045</v>
      </c>
      <c r="E373" s="4">
        <v>0</v>
      </c>
      <c r="F373" s="4">
        <v>18</v>
      </c>
      <c r="G373" s="4">
        <v>18</v>
      </c>
      <c r="H373" s="2" t="s">
        <v>19</v>
      </c>
      <c r="I373" s="2" t="s">
        <v>14</v>
      </c>
      <c r="J373" s="2" t="s">
        <v>15</v>
      </c>
      <c r="K373" s="1">
        <v>0</v>
      </c>
      <c r="L373" s="1">
        <v>100</v>
      </c>
      <c r="M373" s="2" t="s">
        <v>16</v>
      </c>
    </row>
    <row r="374" spans="1:13" x14ac:dyDescent="0.3">
      <c r="A374" s="4">
        <v>373</v>
      </c>
      <c r="B374" s="3">
        <v>0.19700000000000001</v>
      </c>
      <c r="C374" s="1">
        <v>0.47</v>
      </c>
      <c r="D374" s="1">
        <v>0.22389999999999999</v>
      </c>
      <c r="E374" s="4">
        <v>1</v>
      </c>
      <c r="F374" s="4">
        <v>16</v>
      </c>
      <c r="G374" s="4">
        <v>17</v>
      </c>
      <c r="H374" s="2" t="s">
        <v>19</v>
      </c>
      <c r="I374" s="2" t="s">
        <v>18</v>
      </c>
      <c r="J374" s="2" t="s">
        <v>15</v>
      </c>
      <c r="K374" s="1">
        <v>5.8823529411764701</v>
      </c>
      <c r="L374" s="1">
        <v>94.117647058823522</v>
      </c>
      <c r="M374" s="2" t="s">
        <v>16</v>
      </c>
    </row>
    <row r="375" spans="1:13" x14ac:dyDescent="0.3">
      <c r="A375" s="4">
        <v>374</v>
      </c>
      <c r="B375" s="3">
        <v>0.19700000000000001</v>
      </c>
      <c r="C375" s="1">
        <v>0.44</v>
      </c>
      <c r="D375" s="1">
        <v>0.19400000000000001</v>
      </c>
      <c r="E375" s="4">
        <v>1</v>
      </c>
      <c r="F375" s="4">
        <v>15</v>
      </c>
      <c r="G375" s="4">
        <v>16</v>
      </c>
      <c r="H375" s="2" t="s">
        <v>19</v>
      </c>
      <c r="I375" s="2" t="s">
        <v>18</v>
      </c>
      <c r="J375" s="2" t="s">
        <v>15</v>
      </c>
      <c r="K375" s="1">
        <v>6.25</v>
      </c>
      <c r="L375" s="1">
        <v>93.75</v>
      </c>
      <c r="M375" s="2" t="s">
        <v>16</v>
      </c>
    </row>
    <row r="376" spans="1:13" x14ac:dyDescent="0.3">
      <c r="A376" s="4">
        <v>375</v>
      </c>
      <c r="B376" s="3">
        <v>0.16669999999999999</v>
      </c>
      <c r="C376" s="1">
        <v>0.43</v>
      </c>
      <c r="D376" s="1">
        <v>0.25369999999999998</v>
      </c>
      <c r="E376" s="4">
        <v>0</v>
      </c>
      <c r="F376" s="4">
        <v>8</v>
      </c>
      <c r="G376" s="4">
        <v>8</v>
      </c>
      <c r="H376" s="2" t="s">
        <v>19</v>
      </c>
      <c r="I376" s="2" t="s">
        <v>18</v>
      </c>
      <c r="J376" s="2" t="s">
        <v>15</v>
      </c>
      <c r="K376" s="1">
        <v>0</v>
      </c>
      <c r="L376" s="1">
        <v>100</v>
      </c>
      <c r="M376" s="2" t="s">
        <v>16</v>
      </c>
    </row>
    <row r="377" spans="1:13" x14ac:dyDescent="0.3">
      <c r="A377" s="4">
        <v>376</v>
      </c>
      <c r="B377" s="3">
        <v>0.18179999999999999</v>
      </c>
      <c r="C377" s="1">
        <v>0.43</v>
      </c>
      <c r="D377" s="1">
        <v>0.19400000000000001</v>
      </c>
      <c r="E377" s="4">
        <v>0</v>
      </c>
      <c r="F377" s="4">
        <v>2</v>
      </c>
      <c r="G377" s="4">
        <v>2</v>
      </c>
      <c r="H377" s="2" t="s">
        <v>19</v>
      </c>
      <c r="I377" s="2" t="s">
        <v>18</v>
      </c>
      <c r="J377" s="2" t="s">
        <v>15</v>
      </c>
      <c r="K377" s="1">
        <v>0</v>
      </c>
      <c r="L377" s="1">
        <v>100</v>
      </c>
      <c r="M377" s="2" t="s">
        <v>16</v>
      </c>
    </row>
    <row r="378" spans="1:13" x14ac:dyDescent="0.3">
      <c r="A378" s="4">
        <v>377</v>
      </c>
      <c r="B378" s="3">
        <v>0.19700000000000001</v>
      </c>
      <c r="C378" s="1">
        <v>0.43</v>
      </c>
      <c r="D378" s="1">
        <v>0.1343</v>
      </c>
      <c r="E378" s="4">
        <v>1</v>
      </c>
      <c r="F378" s="4">
        <v>2</v>
      </c>
      <c r="G378" s="4">
        <v>3</v>
      </c>
      <c r="H378" s="2" t="s">
        <v>19</v>
      </c>
      <c r="I378" s="2" t="s">
        <v>14</v>
      </c>
      <c r="J378" s="2" t="s">
        <v>15</v>
      </c>
      <c r="K378" s="1">
        <v>33.333333333333329</v>
      </c>
      <c r="L378" s="1">
        <v>66.666666666666657</v>
      </c>
      <c r="M378" s="2" t="s">
        <v>16</v>
      </c>
    </row>
    <row r="379" spans="1:13" x14ac:dyDescent="0.3">
      <c r="A379" s="4">
        <v>378</v>
      </c>
      <c r="B379" s="3">
        <v>0.19700000000000001</v>
      </c>
      <c r="C379" s="1">
        <v>0.43</v>
      </c>
      <c r="D379" s="1">
        <v>0.16420000000000001</v>
      </c>
      <c r="E379" s="4">
        <v>0</v>
      </c>
      <c r="F379" s="4">
        <v>1</v>
      </c>
      <c r="G379" s="4">
        <v>1</v>
      </c>
      <c r="H379" s="2" t="s">
        <v>19</v>
      </c>
      <c r="I379" s="2" t="s">
        <v>18</v>
      </c>
      <c r="J379" s="2" t="s">
        <v>15</v>
      </c>
      <c r="K379" s="1">
        <v>0</v>
      </c>
      <c r="L379" s="1">
        <v>100</v>
      </c>
      <c r="M379" s="2" t="s">
        <v>16</v>
      </c>
    </row>
    <row r="380" spans="1:13" x14ac:dyDescent="0.3">
      <c r="A380" s="4">
        <v>379</v>
      </c>
      <c r="B380" s="3">
        <v>0.18179999999999999</v>
      </c>
      <c r="C380" s="1">
        <v>0.43</v>
      </c>
      <c r="D380" s="1">
        <v>0.19400000000000001</v>
      </c>
      <c r="E380" s="4">
        <v>0</v>
      </c>
      <c r="F380" s="4">
        <v>5</v>
      </c>
      <c r="G380" s="4">
        <v>5</v>
      </c>
      <c r="H380" s="2" t="s">
        <v>19</v>
      </c>
      <c r="I380" s="2" t="s">
        <v>18</v>
      </c>
      <c r="J380" s="2" t="s">
        <v>15</v>
      </c>
      <c r="K380" s="1">
        <v>0</v>
      </c>
      <c r="L380" s="1">
        <v>100</v>
      </c>
      <c r="M380" s="2" t="s">
        <v>16</v>
      </c>
    </row>
    <row r="381" spans="1:13" x14ac:dyDescent="0.3">
      <c r="A381" s="4">
        <v>380</v>
      </c>
      <c r="B381" s="3">
        <v>0.18179999999999999</v>
      </c>
      <c r="C381" s="1">
        <v>0.5</v>
      </c>
      <c r="D381" s="1">
        <v>0.1343</v>
      </c>
      <c r="E381" s="4">
        <v>4</v>
      </c>
      <c r="F381" s="4">
        <v>9</v>
      </c>
      <c r="G381" s="4">
        <v>13</v>
      </c>
      <c r="H381" s="2" t="s">
        <v>19</v>
      </c>
      <c r="I381" s="2" t="s">
        <v>14</v>
      </c>
      <c r="J381" s="2" t="s">
        <v>15</v>
      </c>
      <c r="K381" s="1">
        <v>30.76923076923077</v>
      </c>
      <c r="L381" s="1">
        <v>69.230769230769226</v>
      </c>
      <c r="M381" s="2" t="s">
        <v>16</v>
      </c>
    </row>
    <row r="382" spans="1:13" x14ac:dyDescent="0.3">
      <c r="A382" s="4">
        <v>381</v>
      </c>
      <c r="B382" s="3">
        <v>0.1515</v>
      </c>
      <c r="C382" s="1">
        <v>0.47</v>
      </c>
      <c r="D382" s="1">
        <v>0.22389999999999999</v>
      </c>
      <c r="E382" s="4">
        <v>3</v>
      </c>
      <c r="F382" s="4">
        <v>30</v>
      </c>
      <c r="G382" s="4">
        <v>33</v>
      </c>
      <c r="H382" s="2" t="s">
        <v>19</v>
      </c>
      <c r="I382" s="2" t="s">
        <v>18</v>
      </c>
      <c r="J382" s="2" t="s">
        <v>15</v>
      </c>
      <c r="K382" s="1">
        <v>9.0909090909090917</v>
      </c>
      <c r="L382" s="1">
        <v>90.909090909090907</v>
      </c>
      <c r="M382" s="2" t="s">
        <v>16</v>
      </c>
    </row>
    <row r="383" spans="1:13" x14ac:dyDescent="0.3">
      <c r="A383" s="4">
        <v>382</v>
      </c>
      <c r="B383" s="3">
        <v>0.1515</v>
      </c>
      <c r="C383" s="1">
        <v>0.47</v>
      </c>
      <c r="D383" s="1">
        <v>0.22389999999999999</v>
      </c>
      <c r="E383" s="4">
        <v>8</v>
      </c>
      <c r="F383" s="4">
        <v>39</v>
      </c>
      <c r="G383" s="4">
        <v>47</v>
      </c>
      <c r="H383" s="2" t="s">
        <v>19</v>
      </c>
      <c r="I383" s="2" t="s">
        <v>18</v>
      </c>
      <c r="J383" s="2" t="s">
        <v>15</v>
      </c>
      <c r="K383" s="1">
        <v>17.021276595744681</v>
      </c>
      <c r="L383" s="1">
        <v>82.978723404255319</v>
      </c>
      <c r="M383" s="2" t="s">
        <v>16</v>
      </c>
    </row>
    <row r="384" spans="1:13" x14ac:dyDescent="0.3">
      <c r="A384" s="4">
        <v>383</v>
      </c>
      <c r="B384" s="3">
        <v>0.1515</v>
      </c>
      <c r="C384" s="1">
        <v>0.5</v>
      </c>
      <c r="D384" s="1">
        <v>0.25369999999999998</v>
      </c>
      <c r="E384" s="4">
        <v>7</v>
      </c>
      <c r="F384" s="4">
        <v>50</v>
      </c>
      <c r="G384" s="4">
        <v>57</v>
      </c>
      <c r="H384" s="2" t="s">
        <v>19</v>
      </c>
      <c r="I384" s="2" t="s">
        <v>18</v>
      </c>
      <c r="J384" s="2" t="s">
        <v>15</v>
      </c>
      <c r="K384" s="1">
        <v>12.28070175438596</v>
      </c>
      <c r="L384" s="1">
        <v>87.719298245614027</v>
      </c>
      <c r="M384" s="2" t="s">
        <v>16</v>
      </c>
    </row>
    <row r="385" spans="1:13" x14ac:dyDescent="0.3">
      <c r="A385" s="4">
        <v>384</v>
      </c>
      <c r="B385" s="3">
        <v>0.1515</v>
      </c>
      <c r="C385" s="1">
        <v>0.55000000000000004</v>
      </c>
      <c r="D385" s="1">
        <v>0.19400000000000001</v>
      </c>
      <c r="E385" s="4">
        <v>9</v>
      </c>
      <c r="F385" s="4">
        <v>55</v>
      </c>
      <c r="G385" s="4">
        <v>64</v>
      </c>
      <c r="H385" s="2" t="s">
        <v>19</v>
      </c>
      <c r="I385" s="2" t="s">
        <v>18</v>
      </c>
      <c r="J385" s="2" t="s">
        <v>15</v>
      </c>
      <c r="K385" s="1">
        <v>14.0625</v>
      </c>
      <c r="L385" s="1">
        <v>85.9375</v>
      </c>
      <c r="M385" s="2" t="s">
        <v>16</v>
      </c>
    </row>
    <row r="386" spans="1:13" x14ac:dyDescent="0.3">
      <c r="A386" s="4">
        <v>385</v>
      </c>
      <c r="B386" s="3">
        <v>0.19700000000000001</v>
      </c>
      <c r="C386" s="1">
        <v>0.47</v>
      </c>
      <c r="D386" s="1">
        <v>0.1343</v>
      </c>
      <c r="E386" s="4">
        <v>10</v>
      </c>
      <c r="F386" s="4">
        <v>70</v>
      </c>
      <c r="G386" s="4">
        <v>80</v>
      </c>
      <c r="H386" s="2" t="s">
        <v>19</v>
      </c>
      <c r="I386" s="2" t="s">
        <v>14</v>
      </c>
      <c r="J386" s="2" t="s">
        <v>15</v>
      </c>
      <c r="K386" s="1">
        <v>12.5</v>
      </c>
      <c r="L386" s="1">
        <v>87.5</v>
      </c>
      <c r="M386" s="2" t="s">
        <v>16</v>
      </c>
    </row>
    <row r="387" spans="1:13" x14ac:dyDescent="0.3">
      <c r="A387" s="4">
        <v>386</v>
      </c>
      <c r="B387" s="3">
        <v>0.19700000000000001</v>
      </c>
      <c r="C387" s="1">
        <v>0.47</v>
      </c>
      <c r="D387" s="1">
        <v>0.1343</v>
      </c>
      <c r="E387" s="4">
        <v>13</v>
      </c>
      <c r="F387" s="4">
        <v>80</v>
      </c>
      <c r="G387" s="4">
        <v>93</v>
      </c>
      <c r="H387" s="2" t="s">
        <v>19</v>
      </c>
      <c r="I387" s="2" t="s">
        <v>14</v>
      </c>
      <c r="J387" s="2" t="s">
        <v>15</v>
      </c>
      <c r="K387" s="1">
        <v>13.97849462365591</v>
      </c>
      <c r="L387" s="1">
        <v>86.021505376344081</v>
      </c>
      <c r="M387" s="2" t="s">
        <v>16</v>
      </c>
    </row>
    <row r="388" spans="1:13" x14ac:dyDescent="0.3">
      <c r="A388" s="4">
        <v>387</v>
      </c>
      <c r="B388" s="3">
        <v>0.21210000000000001</v>
      </c>
      <c r="C388" s="1">
        <v>0.43</v>
      </c>
      <c r="D388" s="1">
        <v>0.1045</v>
      </c>
      <c r="E388" s="4">
        <v>12</v>
      </c>
      <c r="F388" s="4">
        <v>74</v>
      </c>
      <c r="G388" s="4">
        <v>86</v>
      </c>
      <c r="H388" s="2" t="s">
        <v>19</v>
      </c>
      <c r="I388" s="2" t="s">
        <v>14</v>
      </c>
      <c r="J388" s="2" t="s">
        <v>15</v>
      </c>
      <c r="K388" s="1">
        <v>13.95348837209302</v>
      </c>
      <c r="L388" s="1">
        <v>86.04651162790698</v>
      </c>
      <c r="M388" s="2" t="s">
        <v>16</v>
      </c>
    </row>
    <row r="389" spans="1:13" x14ac:dyDescent="0.3">
      <c r="A389" s="4">
        <v>388</v>
      </c>
      <c r="B389" s="3">
        <v>0.21210000000000001</v>
      </c>
      <c r="C389" s="1">
        <v>0.47</v>
      </c>
      <c r="D389" s="1">
        <v>0.16420000000000001</v>
      </c>
      <c r="E389" s="4">
        <v>21</v>
      </c>
      <c r="F389" s="4">
        <v>72</v>
      </c>
      <c r="G389" s="4">
        <v>93</v>
      </c>
      <c r="H389" s="2" t="s">
        <v>19</v>
      </c>
      <c r="I389" s="2" t="s">
        <v>18</v>
      </c>
      <c r="J389" s="2" t="s">
        <v>15</v>
      </c>
      <c r="K389" s="1">
        <v>22.58064516129032</v>
      </c>
      <c r="L389" s="1">
        <v>77.41935483870968</v>
      </c>
      <c r="M389" s="2" t="s">
        <v>16</v>
      </c>
    </row>
    <row r="390" spans="1:13" x14ac:dyDescent="0.3">
      <c r="A390" s="4">
        <v>389</v>
      </c>
      <c r="B390" s="3">
        <v>0.21210000000000001</v>
      </c>
      <c r="C390" s="1">
        <v>0.47</v>
      </c>
      <c r="D390" s="1">
        <v>0.16420000000000001</v>
      </c>
      <c r="E390" s="4">
        <v>6</v>
      </c>
      <c r="F390" s="4">
        <v>76</v>
      </c>
      <c r="G390" s="4">
        <v>82</v>
      </c>
      <c r="H390" s="2" t="s">
        <v>19</v>
      </c>
      <c r="I390" s="2" t="s">
        <v>18</v>
      </c>
      <c r="J390" s="2" t="s">
        <v>15</v>
      </c>
      <c r="K390" s="1">
        <v>7.3170731707317067</v>
      </c>
      <c r="L390" s="1">
        <v>92.682926829268297</v>
      </c>
      <c r="M390" s="2" t="s">
        <v>16</v>
      </c>
    </row>
    <row r="391" spans="1:13" x14ac:dyDescent="0.3">
      <c r="A391" s="4">
        <v>390</v>
      </c>
      <c r="B391" s="3">
        <v>0.19700000000000001</v>
      </c>
      <c r="C391" s="1">
        <v>0.51</v>
      </c>
      <c r="D391" s="1">
        <v>0.19400000000000001</v>
      </c>
      <c r="E391" s="4">
        <v>4</v>
      </c>
      <c r="F391" s="4">
        <v>67</v>
      </c>
      <c r="G391" s="4">
        <v>71</v>
      </c>
      <c r="H391" s="2" t="s">
        <v>19</v>
      </c>
      <c r="I391" s="2" t="s">
        <v>18</v>
      </c>
      <c r="J391" s="2" t="s">
        <v>15</v>
      </c>
      <c r="K391" s="1">
        <v>5.6338028169014089</v>
      </c>
      <c r="L391" s="1">
        <v>94.366197183098592</v>
      </c>
      <c r="M391" s="2" t="s">
        <v>16</v>
      </c>
    </row>
    <row r="392" spans="1:13" x14ac:dyDescent="0.3">
      <c r="A392" s="4">
        <v>391</v>
      </c>
      <c r="B392" s="3">
        <v>0.16669999999999999</v>
      </c>
      <c r="C392" s="1">
        <v>0.55000000000000004</v>
      </c>
      <c r="D392" s="1">
        <v>0.25369999999999998</v>
      </c>
      <c r="E392" s="4">
        <v>7</v>
      </c>
      <c r="F392" s="4">
        <v>85</v>
      </c>
      <c r="G392" s="4">
        <v>92</v>
      </c>
      <c r="H392" s="2" t="s">
        <v>19</v>
      </c>
      <c r="I392" s="2" t="s">
        <v>18</v>
      </c>
      <c r="J392" s="2" t="s">
        <v>15</v>
      </c>
      <c r="K392" s="1">
        <v>7.608695652173914</v>
      </c>
      <c r="L392" s="1">
        <v>92.391304347826093</v>
      </c>
      <c r="M392" s="2" t="s">
        <v>16</v>
      </c>
    </row>
    <row r="393" spans="1:13" x14ac:dyDescent="0.3">
      <c r="A393" s="4">
        <v>392</v>
      </c>
      <c r="B393" s="3">
        <v>0.18179999999999999</v>
      </c>
      <c r="C393" s="1">
        <v>0.59</v>
      </c>
      <c r="D393" s="1">
        <v>0.19400000000000001</v>
      </c>
      <c r="E393" s="4">
        <v>2</v>
      </c>
      <c r="F393" s="4">
        <v>58</v>
      </c>
      <c r="G393" s="4">
        <v>60</v>
      </c>
      <c r="H393" s="2" t="s">
        <v>19</v>
      </c>
      <c r="I393" s="2" t="s">
        <v>18</v>
      </c>
      <c r="J393" s="2" t="s">
        <v>15</v>
      </c>
      <c r="K393" s="1">
        <v>3.333333333333333</v>
      </c>
      <c r="L393" s="1">
        <v>96.666666666666671</v>
      </c>
      <c r="M393" s="2" t="s">
        <v>16</v>
      </c>
    </row>
    <row r="394" spans="1:13" x14ac:dyDescent="0.3">
      <c r="A394" s="4">
        <v>393</v>
      </c>
      <c r="B394" s="3">
        <v>0.1515</v>
      </c>
      <c r="C394" s="1">
        <v>0.8</v>
      </c>
      <c r="D394" s="1">
        <v>0.19400000000000001</v>
      </c>
      <c r="E394" s="4">
        <v>4</v>
      </c>
      <c r="F394" s="4">
        <v>29</v>
      </c>
      <c r="G394" s="4">
        <v>33</v>
      </c>
      <c r="H394" s="2" t="s">
        <v>13</v>
      </c>
      <c r="I394" s="2" t="s">
        <v>18</v>
      </c>
      <c r="J394" s="2" t="s">
        <v>15</v>
      </c>
      <c r="K394" s="1">
        <v>12.121212121212119</v>
      </c>
      <c r="L394" s="1">
        <v>87.878787878787875</v>
      </c>
      <c r="M394" s="2" t="s">
        <v>16</v>
      </c>
    </row>
    <row r="395" spans="1:13" x14ac:dyDescent="0.3">
      <c r="A395" s="4">
        <v>394</v>
      </c>
      <c r="B395" s="3">
        <v>0.1515</v>
      </c>
      <c r="C395" s="1">
        <v>0.8</v>
      </c>
      <c r="D395" s="1">
        <v>0.19400000000000001</v>
      </c>
      <c r="E395" s="4">
        <v>3</v>
      </c>
      <c r="F395" s="4">
        <v>24</v>
      </c>
      <c r="G395" s="4">
        <v>27</v>
      </c>
      <c r="H395" s="2" t="s">
        <v>13</v>
      </c>
      <c r="I395" s="2" t="s">
        <v>18</v>
      </c>
      <c r="J395" s="2" t="s">
        <v>15</v>
      </c>
      <c r="K395" s="1">
        <v>11.111111111111111</v>
      </c>
      <c r="L395" s="1">
        <v>88.888888888888886</v>
      </c>
      <c r="M395" s="2" t="s">
        <v>16</v>
      </c>
    </row>
    <row r="396" spans="1:13" x14ac:dyDescent="0.3">
      <c r="A396" s="4">
        <v>395</v>
      </c>
      <c r="B396" s="3">
        <v>0.1212</v>
      </c>
      <c r="C396" s="1">
        <v>0.93</v>
      </c>
      <c r="D396" s="1">
        <v>0.25369999999999998</v>
      </c>
      <c r="E396" s="4">
        <v>0</v>
      </c>
      <c r="F396" s="4">
        <v>13</v>
      </c>
      <c r="G396" s="4">
        <v>13</v>
      </c>
      <c r="H396" s="2" t="s">
        <v>13</v>
      </c>
      <c r="I396" s="2" t="s">
        <v>18</v>
      </c>
      <c r="J396" s="2" t="s">
        <v>15</v>
      </c>
      <c r="K396" s="1">
        <v>0</v>
      </c>
      <c r="L396" s="1">
        <v>100</v>
      </c>
      <c r="M396" s="2" t="s">
        <v>16</v>
      </c>
    </row>
    <row r="397" spans="1:13" x14ac:dyDescent="0.3">
      <c r="A397" s="4">
        <v>396</v>
      </c>
      <c r="B397" s="3">
        <v>0.13639999999999999</v>
      </c>
      <c r="C397" s="1">
        <v>0.86</v>
      </c>
      <c r="D397" s="1">
        <v>0.28360000000000002</v>
      </c>
      <c r="E397" s="4">
        <v>1</v>
      </c>
      <c r="F397" s="4">
        <v>3</v>
      </c>
      <c r="G397" s="4">
        <v>4</v>
      </c>
      <c r="H397" s="2" t="s">
        <v>13</v>
      </c>
      <c r="I397" s="2" t="s">
        <v>18</v>
      </c>
      <c r="J397" s="2" t="s">
        <v>15</v>
      </c>
      <c r="K397" s="1">
        <v>25</v>
      </c>
      <c r="L397" s="1">
        <v>75</v>
      </c>
      <c r="M397" s="2" t="s">
        <v>16</v>
      </c>
    </row>
    <row r="398" spans="1:13" x14ac:dyDescent="0.3">
      <c r="A398" s="4">
        <v>397</v>
      </c>
      <c r="B398" s="3">
        <v>0.18179999999999999</v>
      </c>
      <c r="C398" s="1">
        <v>0.86</v>
      </c>
      <c r="D398" s="1">
        <v>0.32840000000000003</v>
      </c>
      <c r="E398" s="4">
        <v>0</v>
      </c>
      <c r="F398" s="4">
        <v>3</v>
      </c>
      <c r="G398" s="4">
        <v>3</v>
      </c>
      <c r="H398" s="2" t="s">
        <v>13</v>
      </c>
      <c r="I398" s="2" t="s">
        <v>20</v>
      </c>
      <c r="J398" s="2" t="s">
        <v>15</v>
      </c>
      <c r="K398" s="1">
        <v>0</v>
      </c>
      <c r="L398" s="1">
        <v>100</v>
      </c>
      <c r="M398" s="2" t="s">
        <v>16</v>
      </c>
    </row>
    <row r="399" spans="1:13" x14ac:dyDescent="0.3">
      <c r="A399" s="4">
        <v>398</v>
      </c>
      <c r="B399" s="3">
        <v>0.19700000000000001</v>
      </c>
      <c r="C399" s="1">
        <v>0.86</v>
      </c>
      <c r="D399" s="1">
        <v>0.22389999999999999</v>
      </c>
      <c r="E399" s="4">
        <v>0</v>
      </c>
      <c r="F399" s="4">
        <v>22</v>
      </c>
      <c r="G399" s="4">
        <v>22</v>
      </c>
      <c r="H399" s="2" t="s">
        <v>13</v>
      </c>
      <c r="I399" s="2" t="s">
        <v>18</v>
      </c>
      <c r="J399" s="2" t="s">
        <v>15</v>
      </c>
      <c r="K399" s="1">
        <v>0</v>
      </c>
      <c r="L399" s="1">
        <v>100</v>
      </c>
      <c r="M399" s="2" t="s">
        <v>16</v>
      </c>
    </row>
    <row r="400" spans="1:13" x14ac:dyDescent="0.3">
      <c r="A400" s="4">
        <v>399</v>
      </c>
      <c r="B400" s="3">
        <v>0.2273</v>
      </c>
      <c r="C400" s="1">
        <v>0.8</v>
      </c>
      <c r="D400" s="1">
        <v>0.16420000000000001</v>
      </c>
      <c r="E400" s="4">
        <v>2</v>
      </c>
      <c r="F400" s="4">
        <v>26</v>
      </c>
      <c r="G400" s="4">
        <v>28</v>
      </c>
      <c r="H400" s="2" t="s">
        <v>13</v>
      </c>
      <c r="I400" s="2" t="s">
        <v>18</v>
      </c>
      <c r="J400" s="2" t="s">
        <v>15</v>
      </c>
      <c r="K400" s="1">
        <v>7.1428571428571423</v>
      </c>
      <c r="L400" s="1">
        <v>92.857142857142861</v>
      </c>
      <c r="M400" s="2" t="s">
        <v>16</v>
      </c>
    </row>
    <row r="401" spans="1:13" x14ac:dyDescent="0.3">
      <c r="A401" s="4">
        <v>400</v>
      </c>
      <c r="B401" s="3">
        <v>0.2273</v>
      </c>
      <c r="C401" s="1">
        <v>0.87</v>
      </c>
      <c r="D401" s="1">
        <v>0.16420000000000001</v>
      </c>
      <c r="E401" s="4">
        <v>3</v>
      </c>
      <c r="F401" s="4">
        <v>32</v>
      </c>
      <c r="G401" s="4">
        <v>35</v>
      </c>
      <c r="H401" s="2" t="s">
        <v>13</v>
      </c>
      <c r="I401" s="2" t="s">
        <v>18</v>
      </c>
      <c r="J401" s="2" t="s">
        <v>15</v>
      </c>
      <c r="K401" s="1">
        <v>8.5714285714285712</v>
      </c>
      <c r="L401" s="1">
        <v>91.428571428571431</v>
      </c>
      <c r="M401" s="2" t="s">
        <v>16</v>
      </c>
    </row>
    <row r="402" spans="1:13" x14ac:dyDescent="0.3">
      <c r="A402" s="4">
        <v>401</v>
      </c>
      <c r="B402" s="3">
        <v>0.2273</v>
      </c>
      <c r="C402" s="1">
        <v>0.87</v>
      </c>
      <c r="D402" s="1">
        <v>0.19400000000000001</v>
      </c>
      <c r="E402" s="4">
        <v>0</v>
      </c>
      <c r="F402" s="4">
        <v>61</v>
      </c>
      <c r="G402" s="4">
        <v>61</v>
      </c>
      <c r="H402" s="2" t="s">
        <v>13</v>
      </c>
      <c r="I402" s="2" t="s">
        <v>18</v>
      </c>
      <c r="J402" s="2" t="s">
        <v>15</v>
      </c>
      <c r="K402" s="1">
        <v>0</v>
      </c>
      <c r="L402" s="1">
        <v>100</v>
      </c>
      <c r="M402" s="2" t="s">
        <v>16</v>
      </c>
    </row>
    <row r="403" spans="1:13" x14ac:dyDescent="0.3">
      <c r="A403" s="4">
        <v>402</v>
      </c>
      <c r="B403" s="3">
        <v>0.2273</v>
      </c>
      <c r="C403" s="1">
        <v>0.82</v>
      </c>
      <c r="D403" s="1">
        <v>0.19400000000000001</v>
      </c>
      <c r="E403" s="4">
        <v>1</v>
      </c>
      <c r="F403" s="4">
        <v>124</v>
      </c>
      <c r="G403" s="4">
        <v>125</v>
      </c>
      <c r="H403" s="2" t="s">
        <v>13</v>
      </c>
      <c r="I403" s="2" t="s">
        <v>18</v>
      </c>
      <c r="J403" s="2" t="s">
        <v>15</v>
      </c>
      <c r="K403" s="1">
        <v>0.8</v>
      </c>
      <c r="L403" s="1">
        <v>99.2</v>
      </c>
      <c r="M403" s="2" t="s">
        <v>19</v>
      </c>
    </row>
    <row r="404" spans="1:13" x14ac:dyDescent="0.3">
      <c r="A404" s="4">
        <v>403</v>
      </c>
      <c r="B404" s="3">
        <v>0.2273</v>
      </c>
      <c r="C404" s="1">
        <v>0.8</v>
      </c>
      <c r="D404" s="1">
        <v>0.16420000000000001</v>
      </c>
      <c r="E404" s="4">
        <v>1</v>
      </c>
      <c r="F404" s="4">
        <v>132</v>
      </c>
      <c r="G404" s="4">
        <v>133</v>
      </c>
      <c r="H404" s="2" t="s">
        <v>13</v>
      </c>
      <c r="I404" s="2" t="s">
        <v>18</v>
      </c>
      <c r="J404" s="2" t="s">
        <v>15</v>
      </c>
      <c r="K404" s="1">
        <v>0.75187969924812026</v>
      </c>
      <c r="L404" s="1">
        <v>99.248120300751879</v>
      </c>
      <c r="M404" s="2" t="s">
        <v>19</v>
      </c>
    </row>
    <row r="405" spans="1:13" x14ac:dyDescent="0.3">
      <c r="A405" s="4">
        <v>404</v>
      </c>
      <c r="B405" s="3">
        <v>0.2273</v>
      </c>
      <c r="C405" s="1">
        <v>0.8</v>
      </c>
      <c r="D405" s="1">
        <v>0.1343</v>
      </c>
      <c r="E405" s="4">
        <v>1</v>
      </c>
      <c r="F405" s="4">
        <v>98</v>
      </c>
      <c r="G405" s="4">
        <v>99</v>
      </c>
      <c r="H405" s="2" t="s">
        <v>13</v>
      </c>
      <c r="I405" s="2" t="s">
        <v>14</v>
      </c>
      <c r="J405" s="2" t="s">
        <v>15</v>
      </c>
      <c r="K405" s="1">
        <v>1.0101010101010099</v>
      </c>
      <c r="L405" s="1">
        <v>98.98989898989899</v>
      </c>
      <c r="M405" s="2" t="s">
        <v>16</v>
      </c>
    </row>
    <row r="406" spans="1:13" x14ac:dyDescent="0.3">
      <c r="A406" s="4">
        <v>405</v>
      </c>
      <c r="B406" s="3">
        <v>0.2727</v>
      </c>
      <c r="C406" s="1">
        <v>0.87</v>
      </c>
      <c r="D406" s="1">
        <v>0</v>
      </c>
      <c r="E406" s="4">
        <v>0</v>
      </c>
      <c r="F406" s="4">
        <v>83</v>
      </c>
      <c r="G406" s="4">
        <v>83</v>
      </c>
      <c r="H406" s="2" t="s">
        <v>13</v>
      </c>
      <c r="I406" s="2" t="s">
        <v>14</v>
      </c>
      <c r="J406" s="2" t="s">
        <v>15</v>
      </c>
      <c r="K406" s="1">
        <v>0</v>
      </c>
      <c r="L406" s="1">
        <v>100</v>
      </c>
      <c r="M406" s="2" t="s">
        <v>16</v>
      </c>
    </row>
    <row r="407" spans="1:13" x14ac:dyDescent="0.3">
      <c r="A407" s="4">
        <v>406</v>
      </c>
      <c r="B407" s="3">
        <v>0.2424</v>
      </c>
      <c r="C407" s="1">
        <v>0.93</v>
      </c>
      <c r="D407" s="1">
        <v>0.1045</v>
      </c>
      <c r="E407" s="4">
        <v>0</v>
      </c>
      <c r="F407" s="4">
        <v>41</v>
      </c>
      <c r="G407" s="4">
        <v>41</v>
      </c>
      <c r="H407" s="2" t="s">
        <v>13</v>
      </c>
      <c r="I407" s="2" t="s">
        <v>14</v>
      </c>
      <c r="J407" s="2" t="s">
        <v>15</v>
      </c>
      <c r="K407" s="1">
        <v>0</v>
      </c>
      <c r="L407" s="1">
        <v>100</v>
      </c>
      <c r="M407" s="2" t="s">
        <v>16</v>
      </c>
    </row>
    <row r="408" spans="1:13" x14ac:dyDescent="0.3">
      <c r="A408" s="4">
        <v>407</v>
      </c>
      <c r="B408" s="3">
        <v>0.2576</v>
      </c>
      <c r="C408" s="1">
        <v>0.93</v>
      </c>
      <c r="D408" s="1">
        <v>8.9599999999999999E-2</v>
      </c>
      <c r="E408" s="4">
        <v>0</v>
      </c>
      <c r="F408" s="4">
        <v>33</v>
      </c>
      <c r="G408" s="4">
        <v>33</v>
      </c>
      <c r="H408" s="2" t="s">
        <v>13</v>
      </c>
      <c r="I408" s="2" t="s">
        <v>14</v>
      </c>
      <c r="J408" s="2" t="s">
        <v>15</v>
      </c>
      <c r="K408" s="1">
        <v>0</v>
      </c>
      <c r="L408" s="1">
        <v>100</v>
      </c>
      <c r="M408" s="2" t="s">
        <v>16</v>
      </c>
    </row>
    <row r="409" spans="1:13" x14ac:dyDescent="0.3">
      <c r="A409" s="4">
        <v>408</v>
      </c>
      <c r="B409" s="3">
        <v>0.2727</v>
      </c>
      <c r="C409" s="1">
        <v>0.93</v>
      </c>
      <c r="D409" s="1">
        <v>0</v>
      </c>
      <c r="E409" s="4">
        <v>1</v>
      </c>
      <c r="F409" s="4">
        <v>19</v>
      </c>
      <c r="G409" s="4">
        <v>20</v>
      </c>
      <c r="H409" s="2" t="s">
        <v>13</v>
      </c>
      <c r="I409" s="2" t="s">
        <v>14</v>
      </c>
      <c r="J409" s="2" t="s">
        <v>15</v>
      </c>
      <c r="K409" s="1">
        <v>5</v>
      </c>
      <c r="L409" s="1">
        <v>95</v>
      </c>
      <c r="M409" s="2" t="s">
        <v>16</v>
      </c>
    </row>
    <row r="410" spans="1:13" x14ac:dyDescent="0.3">
      <c r="A410" s="4">
        <v>409</v>
      </c>
      <c r="B410" s="3">
        <v>0.2727</v>
      </c>
      <c r="C410" s="1">
        <v>0.93</v>
      </c>
      <c r="D410" s="1">
        <v>0</v>
      </c>
      <c r="E410" s="4">
        <v>0</v>
      </c>
      <c r="F410" s="4">
        <v>3</v>
      </c>
      <c r="G410" s="4">
        <v>3</v>
      </c>
      <c r="H410" s="2" t="s">
        <v>13</v>
      </c>
      <c r="I410" s="2" t="s">
        <v>14</v>
      </c>
      <c r="J410" s="2" t="s">
        <v>15</v>
      </c>
      <c r="K410" s="1">
        <v>0</v>
      </c>
      <c r="L410" s="1">
        <v>100</v>
      </c>
      <c r="M410" s="2" t="s">
        <v>16</v>
      </c>
    </row>
    <row r="411" spans="1:13" x14ac:dyDescent="0.3">
      <c r="A411" s="4">
        <v>410</v>
      </c>
      <c r="B411" s="3">
        <v>0.2273</v>
      </c>
      <c r="C411" s="1">
        <v>0.93</v>
      </c>
      <c r="D411" s="1">
        <v>0.1343</v>
      </c>
      <c r="E411" s="4">
        <v>1</v>
      </c>
      <c r="F411" s="4">
        <v>6</v>
      </c>
      <c r="G411" s="4">
        <v>7</v>
      </c>
      <c r="H411" s="2" t="s">
        <v>13</v>
      </c>
      <c r="I411" s="2" t="s">
        <v>14</v>
      </c>
      <c r="J411" s="2" t="s">
        <v>15</v>
      </c>
      <c r="K411" s="1">
        <v>14.285714285714279</v>
      </c>
      <c r="L411" s="1">
        <v>85.714285714285708</v>
      </c>
      <c r="M411" s="2" t="s">
        <v>16</v>
      </c>
    </row>
    <row r="412" spans="1:13" x14ac:dyDescent="0.3">
      <c r="A412" s="4">
        <v>411</v>
      </c>
      <c r="B412" s="3">
        <v>0.2273</v>
      </c>
      <c r="C412" s="1">
        <v>0.93</v>
      </c>
      <c r="D412" s="1">
        <v>0.1343</v>
      </c>
      <c r="E412" s="4">
        <v>0</v>
      </c>
      <c r="F412" s="4">
        <v>3</v>
      </c>
      <c r="G412" s="4">
        <v>3</v>
      </c>
      <c r="H412" s="2" t="s">
        <v>13</v>
      </c>
      <c r="I412" s="2" t="s">
        <v>14</v>
      </c>
      <c r="J412" s="2" t="s">
        <v>15</v>
      </c>
      <c r="K412" s="1">
        <v>0</v>
      </c>
      <c r="L412" s="1">
        <v>100</v>
      </c>
      <c r="M412" s="2" t="s">
        <v>16</v>
      </c>
    </row>
    <row r="413" spans="1:13" x14ac:dyDescent="0.3">
      <c r="A413" s="4">
        <v>412</v>
      </c>
      <c r="B413" s="3">
        <v>0.2273</v>
      </c>
      <c r="C413" s="1">
        <v>0.93</v>
      </c>
      <c r="D413" s="1">
        <v>0.1343</v>
      </c>
      <c r="E413" s="4">
        <v>1</v>
      </c>
      <c r="F413" s="4">
        <v>1</v>
      </c>
      <c r="G413" s="4">
        <v>2</v>
      </c>
      <c r="H413" s="2" t="s">
        <v>13</v>
      </c>
      <c r="I413" s="2" t="s">
        <v>14</v>
      </c>
      <c r="J413" s="2" t="s">
        <v>15</v>
      </c>
      <c r="K413" s="1">
        <v>50</v>
      </c>
      <c r="L413" s="1">
        <v>50</v>
      </c>
      <c r="M413" s="2" t="s">
        <v>16</v>
      </c>
    </row>
    <row r="414" spans="1:13" x14ac:dyDescent="0.3">
      <c r="A414" s="4">
        <v>413</v>
      </c>
      <c r="B414" s="3">
        <v>0.2576</v>
      </c>
      <c r="C414" s="1">
        <v>0.93</v>
      </c>
      <c r="D414" s="1">
        <v>8.9599999999999999E-2</v>
      </c>
      <c r="E414" s="4">
        <v>0</v>
      </c>
      <c r="F414" s="4">
        <v>7</v>
      </c>
      <c r="G414" s="4">
        <v>7</v>
      </c>
      <c r="H414" s="2" t="s">
        <v>13</v>
      </c>
      <c r="I414" s="2" t="s">
        <v>14</v>
      </c>
      <c r="J414" s="2" t="s">
        <v>15</v>
      </c>
      <c r="K414" s="1">
        <v>0</v>
      </c>
      <c r="L414" s="1">
        <v>100</v>
      </c>
      <c r="M414" s="2" t="s">
        <v>16</v>
      </c>
    </row>
    <row r="415" spans="1:13" x14ac:dyDescent="0.3">
      <c r="A415" s="4">
        <v>414</v>
      </c>
      <c r="B415" s="3">
        <v>0.2576</v>
      </c>
      <c r="C415" s="1">
        <v>0.93</v>
      </c>
      <c r="D415" s="1">
        <v>8.9599999999999999E-2</v>
      </c>
      <c r="E415" s="4">
        <v>0</v>
      </c>
      <c r="F415" s="4">
        <v>32</v>
      </c>
      <c r="G415" s="4">
        <v>32</v>
      </c>
      <c r="H415" s="2" t="s">
        <v>13</v>
      </c>
      <c r="I415" s="2" t="s">
        <v>14</v>
      </c>
      <c r="J415" s="2" t="s">
        <v>15</v>
      </c>
      <c r="K415" s="1">
        <v>0</v>
      </c>
      <c r="L415" s="1">
        <v>100</v>
      </c>
      <c r="M415" s="2" t="s">
        <v>16</v>
      </c>
    </row>
    <row r="416" spans="1:13" x14ac:dyDescent="0.3">
      <c r="A416" s="4">
        <v>415</v>
      </c>
      <c r="B416" s="3">
        <v>0.2576</v>
      </c>
      <c r="C416" s="1">
        <v>0.92</v>
      </c>
      <c r="D416" s="1">
        <v>0.1045</v>
      </c>
      <c r="E416" s="4">
        <v>1</v>
      </c>
      <c r="F416" s="4">
        <v>89</v>
      </c>
      <c r="G416" s="4">
        <v>90</v>
      </c>
      <c r="H416" s="2" t="s">
        <v>13</v>
      </c>
      <c r="I416" s="2" t="s">
        <v>14</v>
      </c>
      <c r="J416" s="2" t="s">
        <v>15</v>
      </c>
      <c r="K416" s="1">
        <v>1.1111111111111109</v>
      </c>
      <c r="L416" s="1">
        <v>98.888888888888886</v>
      </c>
      <c r="M416" s="2" t="s">
        <v>16</v>
      </c>
    </row>
    <row r="417" spans="1:13" x14ac:dyDescent="0.3">
      <c r="A417" s="4">
        <v>416</v>
      </c>
      <c r="B417" s="3">
        <v>0.2576</v>
      </c>
      <c r="C417" s="1">
        <v>0.93</v>
      </c>
      <c r="D417" s="1">
        <v>0.1045</v>
      </c>
      <c r="E417" s="4">
        <v>1</v>
      </c>
      <c r="F417" s="4">
        <v>196</v>
      </c>
      <c r="G417" s="4">
        <v>197</v>
      </c>
      <c r="H417" s="2" t="s">
        <v>13</v>
      </c>
      <c r="I417" s="2" t="s">
        <v>14</v>
      </c>
      <c r="J417" s="2" t="s">
        <v>15</v>
      </c>
      <c r="K417" s="1">
        <v>0.50761421319796951</v>
      </c>
      <c r="L417" s="1">
        <v>99.492385786802032</v>
      </c>
      <c r="M417" s="2" t="s">
        <v>19</v>
      </c>
    </row>
    <row r="418" spans="1:13" x14ac:dyDescent="0.3">
      <c r="A418" s="4">
        <v>417</v>
      </c>
      <c r="B418" s="3">
        <v>0.2576</v>
      </c>
      <c r="C418" s="1">
        <v>0.93</v>
      </c>
      <c r="D418" s="1">
        <v>0.1045</v>
      </c>
      <c r="E418" s="4">
        <v>2</v>
      </c>
      <c r="F418" s="4">
        <v>107</v>
      </c>
      <c r="G418" s="4">
        <v>109</v>
      </c>
      <c r="H418" s="2" t="s">
        <v>13</v>
      </c>
      <c r="I418" s="2" t="s">
        <v>14</v>
      </c>
      <c r="J418" s="2" t="s">
        <v>15</v>
      </c>
      <c r="K418" s="1">
        <v>1.834862385321101</v>
      </c>
      <c r="L418" s="1">
        <v>98.165137614678898</v>
      </c>
      <c r="M418" s="2" t="s">
        <v>19</v>
      </c>
    </row>
    <row r="419" spans="1:13" x14ac:dyDescent="0.3">
      <c r="A419" s="4">
        <v>418</v>
      </c>
      <c r="B419" s="3">
        <v>0.2727</v>
      </c>
      <c r="C419" s="1">
        <v>0.93</v>
      </c>
      <c r="D419" s="1">
        <v>0.1343</v>
      </c>
      <c r="E419" s="4">
        <v>1</v>
      </c>
      <c r="F419" s="4">
        <v>46</v>
      </c>
      <c r="G419" s="4">
        <v>47</v>
      </c>
      <c r="H419" s="2" t="s">
        <v>13</v>
      </c>
      <c r="I419" s="2" t="s">
        <v>14</v>
      </c>
      <c r="J419" s="2" t="s">
        <v>15</v>
      </c>
      <c r="K419" s="1">
        <v>2.1276595744680851</v>
      </c>
      <c r="L419" s="1">
        <v>97.872340425531917</v>
      </c>
      <c r="M419" s="2" t="s">
        <v>16</v>
      </c>
    </row>
    <row r="420" spans="1:13" x14ac:dyDescent="0.3">
      <c r="A420" s="4">
        <v>419</v>
      </c>
      <c r="B420" s="3">
        <v>0.30299999999999999</v>
      </c>
      <c r="C420" s="1">
        <v>0.87</v>
      </c>
      <c r="D420" s="1">
        <v>8.9599999999999999E-2</v>
      </c>
      <c r="E420" s="4">
        <v>5</v>
      </c>
      <c r="F420" s="4">
        <v>47</v>
      </c>
      <c r="G420" s="4">
        <v>52</v>
      </c>
      <c r="H420" s="2" t="s">
        <v>13</v>
      </c>
      <c r="I420" s="2" t="s">
        <v>14</v>
      </c>
      <c r="J420" s="2" t="s">
        <v>15</v>
      </c>
      <c r="K420" s="1">
        <v>9.6153846153846168</v>
      </c>
      <c r="L420" s="1">
        <v>90.384615384615387</v>
      </c>
      <c r="M420" s="2" t="s">
        <v>16</v>
      </c>
    </row>
    <row r="421" spans="1:13" x14ac:dyDescent="0.3">
      <c r="A421" s="4">
        <v>420</v>
      </c>
      <c r="B421" s="3">
        <v>0.31819999999999998</v>
      </c>
      <c r="C421" s="1">
        <v>0.81</v>
      </c>
      <c r="D421" s="1">
        <v>8.9599999999999999E-2</v>
      </c>
      <c r="E421" s="4">
        <v>5</v>
      </c>
      <c r="F421" s="4">
        <v>65</v>
      </c>
      <c r="G421" s="4">
        <v>70</v>
      </c>
      <c r="H421" s="2" t="s">
        <v>13</v>
      </c>
      <c r="I421" s="2" t="s">
        <v>14</v>
      </c>
      <c r="J421" s="2" t="s">
        <v>15</v>
      </c>
      <c r="K421" s="1">
        <v>7.1428571428571423</v>
      </c>
      <c r="L421" s="1">
        <v>92.857142857142861</v>
      </c>
      <c r="M421" s="2" t="s">
        <v>16</v>
      </c>
    </row>
    <row r="422" spans="1:13" x14ac:dyDescent="0.3">
      <c r="A422" s="4">
        <v>421</v>
      </c>
      <c r="B422" s="3">
        <v>0.40910000000000002</v>
      </c>
      <c r="C422" s="1">
        <v>0.62</v>
      </c>
      <c r="D422" s="1">
        <v>0.28360000000000002</v>
      </c>
      <c r="E422" s="4">
        <v>11</v>
      </c>
      <c r="F422" s="4">
        <v>67</v>
      </c>
      <c r="G422" s="4">
        <v>78</v>
      </c>
      <c r="H422" s="2" t="s">
        <v>19</v>
      </c>
      <c r="I422" s="2" t="s">
        <v>18</v>
      </c>
      <c r="J422" s="2" t="s">
        <v>15</v>
      </c>
      <c r="K422" s="1">
        <v>14.1025641025641</v>
      </c>
      <c r="L422" s="1">
        <v>85.897435897435898</v>
      </c>
      <c r="M422" s="2" t="s">
        <v>16</v>
      </c>
    </row>
    <row r="423" spans="1:13" x14ac:dyDescent="0.3">
      <c r="A423" s="4">
        <v>422</v>
      </c>
      <c r="B423" s="3">
        <v>0.40910000000000002</v>
      </c>
      <c r="C423" s="1">
        <v>0.57999999999999996</v>
      </c>
      <c r="D423" s="1">
        <v>0.25369999999999998</v>
      </c>
      <c r="E423" s="4">
        <v>7</v>
      </c>
      <c r="F423" s="4">
        <v>68</v>
      </c>
      <c r="G423" s="4">
        <v>75</v>
      </c>
      <c r="H423" s="2" t="s">
        <v>19</v>
      </c>
      <c r="I423" s="2" t="s">
        <v>18</v>
      </c>
      <c r="J423" s="2" t="s">
        <v>15</v>
      </c>
      <c r="K423" s="1">
        <v>9.3333333333333339</v>
      </c>
      <c r="L423" s="1">
        <v>90.666666666666657</v>
      </c>
      <c r="M423" s="2" t="s">
        <v>16</v>
      </c>
    </row>
    <row r="424" spans="1:13" x14ac:dyDescent="0.3">
      <c r="A424" s="4">
        <v>423</v>
      </c>
      <c r="B424" s="3">
        <v>0.40910000000000002</v>
      </c>
      <c r="C424" s="1">
        <v>0.54</v>
      </c>
      <c r="D424" s="1">
        <v>0.28360000000000002</v>
      </c>
      <c r="E424" s="4">
        <v>4</v>
      </c>
      <c r="F424" s="4">
        <v>78</v>
      </c>
      <c r="G424" s="4">
        <v>82</v>
      </c>
      <c r="H424" s="2" t="s">
        <v>19</v>
      </c>
      <c r="I424" s="2" t="s">
        <v>18</v>
      </c>
      <c r="J424" s="2" t="s">
        <v>15</v>
      </c>
      <c r="K424" s="1">
        <v>4.8780487804878048</v>
      </c>
      <c r="L424" s="1">
        <v>95.121951219512198</v>
      </c>
      <c r="M424" s="2" t="s">
        <v>16</v>
      </c>
    </row>
    <row r="425" spans="1:13" x14ac:dyDescent="0.3">
      <c r="A425" s="4">
        <v>424</v>
      </c>
      <c r="B425" s="3">
        <v>0.39389999999999997</v>
      </c>
      <c r="C425" s="1">
        <v>0.57999999999999996</v>
      </c>
      <c r="D425" s="1">
        <v>0.3881</v>
      </c>
      <c r="E425" s="4">
        <v>10</v>
      </c>
      <c r="F425" s="4">
        <v>94</v>
      </c>
      <c r="G425" s="4">
        <v>104</v>
      </c>
      <c r="H425" s="2" t="s">
        <v>19</v>
      </c>
      <c r="I425" s="2" t="s">
        <v>20</v>
      </c>
      <c r="J425" s="2" t="s">
        <v>15</v>
      </c>
      <c r="K425" s="1">
        <v>9.6153846153846168</v>
      </c>
      <c r="L425" s="1">
        <v>90.384615384615387</v>
      </c>
      <c r="M425" s="2" t="s">
        <v>19</v>
      </c>
    </row>
    <row r="426" spans="1:13" x14ac:dyDescent="0.3">
      <c r="A426" s="4">
        <v>425</v>
      </c>
      <c r="B426" s="3">
        <v>0.33329999999999999</v>
      </c>
      <c r="C426" s="1">
        <v>0.56999999999999995</v>
      </c>
      <c r="D426" s="1">
        <v>0.32840000000000003</v>
      </c>
      <c r="E426" s="4">
        <v>7</v>
      </c>
      <c r="F426" s="4">
        <v>190</v>
      </c>
      <c r="G426" s="4">
        <v>197</v>
      </c>
      <c r="H426" s="2" t="s">
        <v>19</v>
      </c>
      <c r="I426" s="2" t="s">
        <v>20</v>
      </c>
      <c r="J426" s="2" t="s">
        <v>15</v>
      </c>
      <c r="K426" s="1">
        <v>3.5532994923857868</v>
      </c>
      <c r="L426" s="1">
        <v>96.44670050761421</v>
      </c>
      <c r="M426" s="2" t="s">
        <v>19</v>
      </c>
    </row>
    <row r="427" spans="1:13" x14ac:dyDescent="0.3">
      <c r="A427" s="4">
        <v>426</v>
      </c>
      <c r="B427" s="3">
        <v>0.31819999999999998</v>
      </c>
      <c r="C427" s="1">
        <v>0.61</v>
      </c>
      <c r="D427" s="1">
        <v>0.28360000000000002</v>
      </c>
      <c r="E427" s="4">
        <v>5</v>
      </c>
      <c r="F427" s="4">
        <v>156</v>
      </c>
      <c r="G427" s="4">
        <v>161</v>
      </c>
      <c r="H427" s="2" t="s">
        <v>19</v>
      </c>
      <c r="I427" s="2" t="s">
        <v>18</v>
      </c>
      <c r="J427" s="2" t="s">
        <v>15</v>
      </c>
      <c r="K427" s="1">
        <v>3.1055900621118009</v>
      </c>
      <c r="L427" s="1">
        <v>96.894409937888199</v>
      </c>
      <c r="M427" s="2" t="s">
        <v>19</v>
      </c>
    </row>
    <row r="428" spans="1:13" x14ac:dyDescent="0.3">
      <c r="A428" s="4">
        <v>427</v>
      </c>
      <c r="B428" s="3">
        <v>0.28789999999999999</v>
      </c>
      <c r="C428" s="1">
        <v>0.56999999999999995</v>
      </c>
      <c r="D428" s="1">
        <v>0.41789999999999999</v>
      </c>
      <c r="E428" s="4">
        <v>4</v>
      </c>
      <c r="F428" s="4">
        <v>108</v>
      </c>
      <c r="G428" s="4">
        <v>112</v>
      </c>
      <c r="H428" s="2" t="s">
        <v>19</v>
      </c>
      <c r="I428" s="2" t="s">
        <v>20</v>
      </c>
      <c r="J428" s="2" t="s">
        <v>15</v>
      </c>
      <c r="K428" s="1">
        <v>3.5714285714285712</v>
      </c>
      <c r="L428" s="1">
        <v>96.428571428571431</v>
      </c>
      <c r="M428" s="2" t="s">
        <v>19</v>
      </c>
    </row>
    <row r="429" spans="1:13" x14ac:dyDescent="0.3">
      <c r="A429" s="4">
        <v>428</v>
      </c>
      <c r="B429" s="3">
        <v>0.30299999999999999</v>
      </c>
      <c r="C429" s="1">
        <v>0.49</v>
      </c>
      <c r="D429" s="1">
        <v>0.29849999999999999</v>
      </c>
      <c r="E429" s="4">
        <v>2</v>
      </c>
      <c r="F429" s="4">
        <v>74</v>
      </c>
      <c r="G429" s="4">
        <v>76</v>
      </c>
      <c r="H429" s="2" t="s">
        <v>19</v>
      </c>
      <c r="I429" s="2" t="s">
        <v>18</v>
      </c>
      <c r="J429" s="2" t="s">
        <v>15</v>
      </c>
      <c r="K429" s="1">
        <v>2.6315789473684208</v>
      </c>
      <c r="L429" s="1">
        <v>97.368421052631575</v>
      </c>
      <c r="M429" s="2" t="s">
        <v>16</v>
      </c>
    </row>
    <row r="430" spans="1:13" x14ac:dyDescent="0.3">
      <c r="A430" s="4">
        <v>429</v>
      </c>
      <c r="B430" s="3">
        <v>0.28789999999999999</v>
      </c>
      <c r="C430" s="1">
        <v>0.49</v>
      </c>
      <c r="D430" s="1">
        <v>0.41789999999999999</v>
      </c>
      <c r="E430" s="4">
        <v>4</v>
      </c>
      <c r="F430" s="4">
        <v>55</v>
      </c>
      <c r="G430" s="4">
        <v>59</v>
      </c>
      <c r="H430" s="2" t="s">
        <v>19</v>
      </c>
      <c r="I430" s="2" t="s">
        <v>20</v>
      </c>
      <c r="J430" s="2" t="s">
        <v>15</v>
      </c>
      <c r="K430" s="1">
        <v>6.7796610169491522</v>
      </c>
      <c r="L430" s="1">
        <v>93.220338983050837</v>
      </c>
      <c r="M430" s="2" t="s">
        <v>16</v>
      </c>
    </row>
    <row r="431" spans="1:13" x14ac:dyDescent="0.3">
      <c r="A431" s="4">
        <v>430</v>
      </c>
      <c r="B431" s="3">
        <v>0.30299999999999999</v>
      </c>
      <c r="C431" s="1">
        <v>0.52</v>
      </c>
      <c r="D431" s="1">
        <v>0.16420000000000001</v>
      </c>
      <c r="E431" s="4">
        <v>6</v>
      </c>
      <c r="F431" s="4">
        <v>53</v>
      </c>
      <c r="G431" s="4">
        <v>59</v>
      </c>
      <c r="H431" s="2" t="s">
        <v>19</v>
      </c>
      <c r="I431" s="2" t="s">
        <v>18</v>
      </c>
      <c r="J431" s="2" t="s">
        <v>15</v>
      </c>
      <c r="K431" s="1">
        <v>10.16949152542373</v>
      </c>
      <c r="L431" s="1">
        <v>89.830508474576277</v>
      </c>
      <c r="M431" s="2" t="s">
        <v>16</v>
      </c>
    </row>
    <row r="432" spans="1:13" x14ac:dyDescent="0.3">
      <c r="A432" s="4">
        <v>431</v>
      </c>
      <c r="B432" s="3">
        <v>0.2727</v>
      </c>
      <c r="C432" s="1">
        <v>0.52</v>
      </c>
      <c r="D432" s="1">
        <v>0.4627</v>
      </c>
      <c r="E432" s="4">
        <v>1</v>
      </c>
      <c r="F432" s="4">
        <v>27</v>
      </c>
      <c r="G432" s="4">
        <v>28</v>
      </c>
      <c r="H432" s="2" t="s">
        <v>19</v>
      </c>
      <c r="I432" s="2" t="s">
        <v>20</v>
      </c>
      <c r="J432" s="2" t="s">
        <v>15</v>
      </c>
      <c r="K432" s="1">
        <v>3.5714285714285712</v>
      </c>
      <c r="L432" s="1">
        <v>96.428571428571431</v>
      </c>
      <c r="M432" s="2" t="s">
        <v>16</v>
      </c>
    </row>
    <row r="433" spans="1:13" x14ac:dyDescent="0.3">
      <c r="A433" s="4">
        <v>432</v>
      </c>
      <c r="B433" s="3">
        <v>0.2273</v>
      </c>
      <c r="C433" s="1">
        <v>0.56000000000000005</v>
      </c>
      <c r="D433" s="1">
        <v>0.3881</v>
      </c>
      <c r="E433" s="4">
        <v>5</v>
      </c>
      <c r="F433" s="4">
        <v>8</v>
      </c>
      <c r="G433" s="4">
        <v>13</v>
      </c>
      <c r="H433" s="2" t="s">
        <v>19</v>
      </c>
      <c r="I433" s="2" t="s">
        <v>20</v>
      </c>
      <c r="J433" s="2" t="s">
        <v>15</v>
      </c>
      <c r="K433" s="1">
        <v>38.461538461538467</v>
      </c>
      <c r="L433" s="1">
        <v>61.53846153846154</v>
      </c>
      <c r="M433" s="2" t="s">
        <v>16</v>
      </c>
    </row>
    <row r="434" spans="1:13" x14ac:dyDescent="0.3">
      <c r="A434" s="4">
        <v>433</v>
      </c>
      <c r="B434" s="3">
        <v>0.2727</v>
      </c>
      <c r="C434" s="1">
        <v>0.56000000000000005</v>
      </c>
      <c r="D434" s="1">
        <v>0</v>
      </c>
      <c r="E434" s="4">
        <v>2</v>
      </c>
      <c r="F434" s="4">
        <v>3</v>
      </c>
      <c r="G434" s="4">
        <v>5</v>
      </c>
      <c r="H434" s="2" t="s">
        <v>19</v>
      </c>
      <c r="I434" s="2" t="s">
        <v>14</v>
      </c>
      <c r="J434" s="2" t="s">
        <v>15</v>
      </c>
      <c r="K434" s="1">
        <v>40</v>
      </c>
      <c r="L434" s="1">
        <v>60</v>
      </c>
      <c r="M434" s="2" t="s">
        <v>16</v>
      </c>
    </row>
    <row r="435" spans="1:13" x14ac:dyDescent="0.3">
      <c r="A435" s="4">
        <v>434</v>
      </c>
      <c r="B435" s="3">
        <v>0.2727</v>
      </c>
      <c r="C435" s="1">
        <v>0.56000000000000005</v>
      </c>
      <c r="D435" s="1">
        <v>0</v>
      </c>
      <c r="E435" s="4">
        <v>0</v>
      </c>
      <c r="F435" s="4">
        <v>2</v>
      </c>
      <c r="G435" s="4">
        <v>2</v>
      </c>
      <c r="H435" s="2" t="s">
        <v>19</v>
      </c>
      <c r="I435" s="2" t="s">
        <v>14</v>
      </c>
      <c r="J435" s="2" t="s">
        <v>15</v>
      </c>
      <c r="K435" s="1">
        <v>0</v>
      </c>
      <c r="L435" s="1">
        <v>100</v>
      </c>
      <c r="M435" s="2" t="s">
        <v>16</v>
      </c>
    </row>
    <row r="436" spans="1:13" x14ac:dyDescent="0.3">
      <c r="A436" s="4">
        <v>435</v>
      </c>
      <c r="B436" s="3">
        <v>0.2576</v>
      </c>
      <c r="C436" s="1">
        <v>0.56000000000000005</v>
      </c>
      <c r="D436" s="1">
        <v>0.16420000000000001</v>
      </c>
      <c r="E436" s="4">
        <v>0</v>
      </c>
      <c r="F436" s="4">
        <v>1</v>
      </c>
      <c r="G436" s="4">
        <v>1</v>
      </c>
      <c r="H436" s="2" t="s">
        <v>19</v>
      </c>
      <c r="I436" s="2" t="s">
        <v>18</v>
      </c>
      <c r="J436" s="2" t="s">
        <v>15</v>
      </c>
      <c r="K436" s="1">
        <v>0</v>
      </c>
      <c r="L436" s="1">
        <v>100</v>
      </c>
      <c r="M436" s="2" t="s">
        <v>16</v>
      </c>
    </row>
    <row r="437" spans="1:13" x14ac:dyDescent="0.3">
      <c r="A437" s="4">
        <v>436</v>
      </c>
      <c r="B437" s="3">
        <v>0.2576</v>
      </c>
      <c r="C437" s="1">
        <v>0.56000000000000005</v>
      </c>
      <c r="D437" s="1">
        <v>0.16420000000000001</v>
      </c>
      <c r="E437" s="4">
        <v>0</v>
      </c>
      <c r="F437" s="4">
        <v>1</v>
      </c>
      <c r="G437" s="4">
        <v>1</v>
      </c>
      <c r="H437" s="2" t="s">
        <v>19</v>
      </c>
      <c r="I437" s="2" t="s">
        <v>18</v>
      </c>
      <c r="J437" s="2" t="s">
        <v>15</v>
      </c>
      <c r="K437" s="1">
        <v>0</v>
      </c>
      <c r="L437" s="1">
        <v>100</v>
      </c>
      <c r="M437" s="2" t="s">
        <v>16</v>
      </c>
    </row>
    <row r="438" spans="1:13" x14ac:dyDescent="0.3">
      <c r="A438" s="4">
        <v>437</v>
      </c>
      <c r="B438" s="3">
        <v>0.2273</v>
      </c>
      <c r="C438" s="1">
        <v>0.6</v>
      </c>
      <c r="D438" s="1">
        <v>0.22389999999999999</v>
      </c>
      <c r="E438" s="4">
        <v>0</v>
      </c>
      <c r="F438" s="4">
        <v>6</v>
      </c>
      <c r="G438" s="4">
        <v>6</v>
      </c>
      <c r="H438" s="2" t="s">
        <v>19</v>
      </c>
      <c r="I438" s="2" t="s">
        <v>18</v>
      </c>
      <c r="J438" s="2" t="s">
        <v>15</v>
      </c>
      <c r="K438" s="1">
        <v>0</v>
      </c>
      <c r="L438" s="1">
        <v>100</v>
      </c>
      <c r="M438" s="2" t="s">
        <v>16</v>
      </c>
    </row>
    <row r="439" spans="1:13" x14ac:dyDescent="0.3">
      <c r="A439" s="4">
        <v>438</v>
      </c>
      <c r="B439" s="3">
        <v>0.21210000000000001</v>
      </c>
      <c r="C439" s="1">
        <v>0.6</v>
      </c>
      <c r="D439" s="1">
        <v>0.22389999999999999</v>
      </c>
      <c r="E439" s="4">
        <v>0</v>
      </c>
      <c r="F439" s="4">
        <v>35</v>
      </c>
      <c r="G439" s="4">
        <v>35</v>
      </c>
      <c r="H439" s="2" t="s">
        <v>19</v>
      </c>
      <c r="I439" s="2" t="s">
        <v>18</v>
      </c>
      <c r="J439" s="2" t="s">
        <v>15</v>
      </c>
      <c r="K439" s="1">
        <v>0</v>
      </c>
      <c r="L439" s="1">
        <v>100</v>
      </c>
      <c r="M439" s="2" t="s">
        <v>16</v>
      </c>
    </row>
    <row r="440" spans="1:13" x14ac:dyDescent="0.3">
      <c r="A440" s="4">
        <v>439</v>
      </c>
      <c r="B440" s="3">
        <v>0.21210000000000001</v>
      </c>
      <c r="C440" s="1">
        <v>0.55000000000000004</v>
      </c>
      <c r="D440" s="1">
        <v>0.22389999999999999</v>
      </c>
      <c r="E440" s="4">
        <v>1</v>
      </c>
      <c r="F440" s="4">
        <v>100</v>
      </c>
      <c r="G440" s="4">
        <v>101</v>
      </c>
      <c r="H440" s="2" t="s">
        <v>19</v>
      </c>
      <c r="I440" s="2" t="s">
        <v>18</v>
      </c>
      <c r="J440" s="2" t="s">
        <v>15</v>
      </c>
      <c r="K440" s="1">
        <v>0.99009900990099009</v>
      </c>
      <c r="L440" s="1">
        <v>99.009900990099013</v>
      </c>
      <c r="M440" s="2" t="s">
        <v>19</v>
      </c>
    </row>
    <row r="441" spans="1:13" x14ac:dyDescent="0.3">
      <c r="A441" s="4">
        <v>440</v>
      </c>
      <c r="B441" s="3">
        <v>0.21210000000000001</v>
      </c>
      <c r="C441" s="1">
        <v>0.55000000000000004</v>
      </c>
      <c r="D441" s="1">
        <v>0.28360000000000002</v>
      </c>
      <c r="E441" s="4">
        <v>2</v>
      </c>
      <c r="F441" s="4">
        <v>247</v>
      </c>
      <c r="G441" s="4">
        <v>249</v>
      </c>
      <c r="H441" s="2" t="s">
        <v>19</v>
      </c>
      <c r="I441" s="2" t="s">
        <v>18</v>
      </c>
      <c r="J441" s="2" t="s">
        <v>15</v>
      </c>
      <c r="K441" s="1">
        <v>0.80321285140562237</v>
      </c>
      <c r="L441" s="1">
        <v>99.196787148594382</v>
      </c>
      <c r="M441" s="2" t="s">
        <v>19</v>
      </c>
    </row>
    <row r="442" spans="1:13" x14ac:dyDescent="0.3">
      <c r="A442" s="4">
        <v>441</v>
      </c>
      <c r="B442" s="3">
        <v>0.2273</v>
      </c>
      <c r="C442" s="1">
        <v>0.52</v>
      </c>
      <c r="D442" s="1">
        <v>0.22389999999999999</v>
      </c>
      <c r="E442" s="4">
        <v>3</v>
      </c>
      <c r="F442" s="4">
        <v>140</v>
      </c>
      <c r="G442" s="4">
        <v>143</v>
      </c>
      <c r="H442" s="2" t="s">
        <v>19</v>
      </c>
      <c r="I442" s="2" t="s">
        <v>18</v>
      </c>
      <c r="J442" s="2" t="s">
        <v>15</v>
      </c>
      <c r="K442" s="1">
        <v>2.0979020979020979</v>
      </c>
      <c r="L442" s="1">
        <v>97.902097902097907</v>
      </c>
      <c r="M442" s="2" t="s">
        <v>19</v>
      </c>
    </row>
    <row r="443" spans="1:13" x14ac:dyDescent="0.3">
      <c r="A443" s="4">
        <v>442</v>
      </c>
      <c r="B443" s="3">
        <v>0.2273</v>
      </c>
      <c r="C443" s="1">
        <v>0.48</v>
      </c>
      <c r="D443" s="1">
        <v>0.29849999999999999</v>
      </c>
      <c r="E443" s="4">
        <v>1</v>
      </c>
      <c r="F443" s="4">
        <v>56</v>
      </c>
      <c r="G443" s="4">
        <v>57</v>
      </c>
      <c r="H443" s="2" t="s">
        <v>19</v>
      </c>
      <c r="I443" s="2" t="s">
        <v>18</v>
      </c>
      <c r="J443" s="2" t="s">
        <v>15</v>
      </c>
      <c r="K443" s="1">
        <v>1.754385964912281</v>
      </c>
      <c r="L443" s="1">
        <v>98.245614035087712</v>
      </c>
      <c r="M443" s="2" t="s">
        <v>16</v>
      </c>
    </row>
    <row r="444" spans="1:13" x14ac:dyDescent="0.3">
      <c r="A444" s="4">
        <v>443</v>
      </c>
      <c r="B444" s="3">
        <v>0.2727</v>
      </c>
      <c r="C444" s="1">
        <v>0.45</v>
      </c>
      <c r="D444" s="1">
        <v>0.16420000000000001</v>
      </c>
      <c r="E444" s="4">
        <v>5</v>
      </c>
      <c r="F444" s="4">
        <v>63</v>
      </c>
      <c r="G444" s="4">
        <v>68</v>
      </c>
      <c r="H444" s="2" t="s">
        <v>19</v>
      </c>
      <c r="I444" s="2" t="s">
        <v>18</v>
      </c>
      <c r="J444" s="2" t="s">
        <v>15</v>
      </c>
      <c r="K444" s="1">
        <v>7.3529411764705888</v>
      </c>
      <c r="L444" s="1">
        <v>92.64705882352942</v>
      </c>
      <c r="M444" s="2" t="s">
        <v>16</v>
      </c>
    </row>
    <row r="445" spans="1:13" x14ac:dyDescent="0.3">
      <c r="A445" s="4">
        <v>444</v>
      </c>
      <c r="B445" s="3">
        <v>0.33329999999999999</v>
      </c>
      <c r="C445" s="1">
        <v>0.42</v>
      </c>
      <c r="D445" s="1">
        <v>0</v>
      </c>
      <c r="E445" s="4">
        <v>7</v>
      </c>
      <c r="F445" s="4">
        <v>77</v>
      </c>
      <c r="G445" s="4">
        <v>84</v>
      </c>
      <c r="H445" s="2" t="s">
        <v>19</v>
      </c>
      <c r="I445" s="2" t="s">
        <v>14</v>
      </c>
      <c r="J445" s="2" t="s">
        <v>15</v>
      </c>
      <c r="K445" s="1">
        <v>8.3333333333333321</v>
      </c>
      <c r="L445" s="1">
        <v>91.666666666666657</v>
      </c>
      <c r="M445" s="2" t="s">
        <v>16</v>
      </c>
    </row>
    <row r="446" spans="1:13" x14ac:dyDescent="0.3">
      <c r="A446" s="4">
        <v>445</v>
      </c>
      <c r="B446" s="3">
        <v>0.28789999999999999</v>
      </c>
      <c r="C446" s="1">
        <v>0.45</v>
      </c>
      <c r="D446" s="1">
        <v>0.1045</v>
      </c>
      <c r="E446" s="4">
        <v>12</v>
      </c>
      <c r="F446" s="4">
        <v>86</v>
      </c>
      <c r="G446" s="4">
        <v>98</v>
      </c>
      <c r="H446" s="2" t="s">
        <v>19</v>
      </c>
      <c r="I446" s="2" t="s">
        <v>14</v>
      </c>
      <c r="J446" s="2" t="s">
        <v>15</v>
      </c>
      <c r="K446" s="1">
        <v>12.244897959183669</v>
      </c>
      <c r="L446" s="1">
        <v>87.755102040816325</v>
      </c>
      <c r="M446" s="2" t="s">
        <v>16</v>
      </c>
    </row>
    <row r="447" spans="1:13" x14ac:dyDescent="0.3">
      <c r="A447" s="4">
        <v>446</v>
      </c>
      <c r="B447" s="3">
        <v>0.30299999999999999</v>
      </c>
      <c r="C447" s="1">
        <v>0.45</v>
      </c>
      <c r="D447" s="1">
        <v>0.1343</v>
      </c>
      <c r="E447" s="4">
        <v>6</v>
      </c>
      <c r="F447" s="4">
        <v>75</v>
      </c>
      <c r="G447" s="4">
        <v>81</v>
      </c>
      <c r="H447" s="2" t="s">
        <v>19</v>
      </c>
      <c r="I447" s="2" t="s">
        <v>14</v>
      </c>
      <c r="J447" s="2" t="s">
        <v>15</v>
      </c>
      <c r="K447" s="1">
        <v>7.4074074074074074</v>
      </c>
      <c r="L447" s="1">
        <v>92.592592592592595</v>
      </c>
      <c r="M447" s="2" t="s">
        <v>16</v>
      </c>
    </row>
    <row r="448" spans="1:13" x14ac:dyDescent="0.3">
      <c r="A448" s="4">
        <v>447</v>
      </c>
      <c r="B448" s="3">
        <v>0.31819999999999998</v>
      </c>
      <c r="C448" s="1">
        <v>0.45</v>
      </c>
      <c r="D448" s="1">
        <v>0.19400000000000001</v>
      </c>
      <c r="E448" s="4">
        <v>8</v>
      </c>
      <c r="F448" s="4">
        <v>62</v>
      </c>
      <c r="G448" s="4">
        <v>70</v>
      </c>
      <c r="H448" s="2" t="s">
        <v>19</v>
      </c>
      <c r="I448" s="2" t="s">
        <v>18</v>
      </c>
      <c r="J448" s="2" t="s">
        <v>15</v>
      </c>
      <c r="K448" s="1">
        <v>11.428571428571431</v>
      </c>
      <c r="L448" s="1">
        <v>88.571428571428569</v>
      </c>
      <c r="M448" s="2" t="s">
        <v>16</v>
      </c>
    </row>
    <row r="449" spans="1:13" x14ac:dyDescent="0.3">
      <c r="A449" s="4">
        <v>448</v>
      </c>
      <c r="B449" s="3">
        <v>0.30299999999999999</v>
      </c>
      <c r="C449" s="1">
        <v>0.49</v>
      </c>
      <c r="D449" s="1">
        <v>0.1343</v>
      </c>
      <c r="E449" s="4">
        <v>8</v>
      </c>
      <c r="F449" s="4">
        <v>83</v>
      </c>
      <c r="G449" s="4">
        <v>91</v>
      </c>
      <c r="H449" s="2" t="s">
        <v>19</v>
      </c>
      <c r="I449" s="2" t="s">
        <v>14</v>
      </c>
      <c r="J449" s="2" t="s">
        <v>15</v>
      </c>
      <c r="K449" s="1">
        <v>8.791208791208792</v>
      </c>
      <c r="L449" s="1">
        <v>91.208791208791212</v>
      </c>
      <c r="M449" s="2" t="s">
        <v>16</v>
      </c>
    </row>
    <row r="450" spans="1:13" x14ac:dyDescent="0.3">
      <c r="A450" s="4">
        <v>449</v>
      </c>
      <c r="B450" s="3">
        <v>0.31819999999999998</v>
      </c>
      <c r="C450" s="1">
        <v>0.49</v>
      </c>
      <c r="D450" s="1">
        <v>0.1045</v>
      </c>
      <c r="E450" s="4">
        <v>8</v>
      </c>
      <c r="F450" s="4">
        <v>207</v>
      </c>
      <c r="G450" s="4">
        <v>215</v>
      </c>
      <c r="H450" s="2" t="s">
        <v>19</v>
      </c>
      <c r="I450" s="2" t="s">
        <v>14</v>
      </c>
      <c r="J450" s="2" t="s">
        <v>15</v>
      </c>
      <c r="K450" s="1">
        <v>3.720930232558139</v>
      </c>
      <c r="L450" s="1">
        <v>96.279069767441854</v>
      </c>
      <c r="M450" s="2" t="s">
        <v>19</v>
      </c>
    </row>
    <row r="451" spans="1:13" x14ac:dyDescent="0.3">
      <c r="A451" s="4">
        <v>450</v>
      </c>
      <c r="B451" s="3">
        <v>0.2576</v>
      </c>
      <c r="C451" s="1">
        <v>0.56000000000000005</v>
      </c>
      <c r="D451" s="1">
        <v>0.19400000000000001</v>
      </c>
      <c r="E451" s="4">
        <v>1</v>
      </c>
      <c r="F451" s="4">
        <v>184</v>
      </c>
      <c r="G451" s="4">
        <v>185</v>
      </c>
      <c r="H451" s="2" t="s">
        <v>19</v>
      </c>
      <c r="I451" s="2" t="s">
        <v>18</v>
      </c>
      <c r="J451" s="2" t="s">
        <v>15</v>
      </c>
      <c r="K451" s="1">
        <v>0.54054054054054057</v>
      </c>
      <c r="L451" s="1">
        <v>99.459459459459467</v>
      </c>
      <c r="M451" s="2" t="s">
        <v>19</v>
      </c>
    </row>
    <row r="452" spans="1:13" x14ac:dyDescent="0.3">
      <c r="A452" s="4">
        <v>451</v>
      </c>
      <c r="B452" s="3">
        <v>0.2273</v>
      </c>
      <c r="C452" s="1">
        <v>0.56000000000000005</v>
      </c>
      <c r="D452" s="1">
        <v>0.32840000000000003</v>
      </c>
      <c r="E452" s="4">
        <v>6</v>
      </c>
      <c r="F452" s="4">
        <v>146</v>
      </c>
      <c r="G452" s="4">
        <v>152</v>
      </c>
      <c r="H452" s="2" t="s">
        <v>19</v>
      </c>
      <c r="I452" s="2" t="s">
        <v>20</v>
      </c>
      <c r="J452" s="2" t="s">
        <v>15</v>
      </c>
      <c r="K452" s="1">
        <v>3.947368421052631</v>
      </c>
      <c r="L452" s="1">
        <v>96.05263157894737</v>
      </c>
      <c r="M452" s="2" t="s">
        <v>19</v>
      </c>
    </row>
    <row r="453" spans="1:13" x14ac:dyDescent="0.3">
      <c r="A453" s="4">
        <v>452</v>
      </c>
      <c r="B453" s="3">
        <v>0.2424</v>
      </c>
      <c r="C453" s="1">
        <v>0.6</v>
      </c>
      <c r="D453" s="1">
        <v>0.28360000000000002</v>
      </c>
      <c r="E453" s="4">
        <v>2</v>
      </c>
      <c r="F453" s="4">
        <v>124</v>
      </c>
      <c r="G453" s="4">
        <v>126</v>
      </c>
      <c r="H453" s="2" t="s">
        <v>19</v>
      </c>
      <c r="I453" s="2" t="s">
        <v>18</v>
      </c>
      <c r="J453" s="2" t="s">
        <v>15</v>
      </c>
      <c r="K453" s="1">
        <v>1.587301587301587</v>
      </c>
      <c r="L453" s="1">
        <v>98.412698412698404</v>
      </c>
      <c r="M453" s="2" t="s">
        <v>19</v>
      </c>
    </row>
    <row r="454" spans="1:13" x14ac:dyDescent="0.3">
      <c r="A454" s="4">
        <v>453</v>
      </c>
      <c r="B454" s="3">
        <v>0.2273</v>
      </c>
      <c r="C454" s="1">
        <v>0.6</v>
      </c>
      <c r="D454" s="1">
        <v>0.25369999999999998</v>
      </c>
      <c r="E454" s="4">
        <v>3</v>
      </c>
      <c r="F454" s="4">
        <v>54</v>
      </c>
      <c r="G454" s="4">
        <v>57</v>
      </c>
      <c r="H454" s="2" t="s">
        <v>19</v>
      </c>
      <c r="I454" s="2" t="s">
        <v>18</v>
      </c>
      <c r="J454" s="2" t="s">
        <v>15</v>
      </c>
      <c r="K454" s="1">
        <v>5.2631578947368416</v>
      </c>
      <c r="L454" s="1">
        <v>94.73684210526315</v>
      </c>
      <c r="M454" s="2" t="s">
        <v>16</v>
      </c>
    </row>
    <row r="455" spans="1:13" x14ac:dyDescent="0.3">
      <c r="A455" s="4">
        <v>454</v>
      </c>
      <c r="B455" s="3">
        <v>0.21210000000000001</v>
      </c>
      <c r="C455" s="1">
        <v>0.65</v>
      </c>
      <c r="D455" s="1">
        <v>0.28360000000000002</v>
      </c>
      <c r="E455" s="4">
        <v>0</v>
      </c>
      <c r="F455" s="4">
        <v>56</v>
      </c>
      <c r="G455" s="4">
        <v>56</v>
      </c>
      <c r="H455" s="2" t="s">
        <v>19</v>
      </c>
      <c r="I455" s="2" t="s">
        <v>18</v>
      </c>
      <c r="J455" s="2" t="s">
        <v>15</v>
      </c>
      <c r="K455" s="1">
        <v>0</v>
      </c>
      <c r="L455" s="1">
        <v>100</v>
      </c>
      <c r="M455" s="2" t="s">
        <v>16</v>
      </c>
    </row>
    <row r="456" spans="1:13" x14ac:dyDescent="0.3">
      <c r="A456" s="4">
        <v>455</v>
      </c>
      <c r="B456" s="3">
        <v>0.21210000000000001</v>
      </c>
      <c r="C456" s="1">
        <v>0.65</v>
      </c>
      <c r="D456" s="1">
        <v>0.32840000000000003</v>
      </c>
      <c r="E456" s="4">
        <v>3</v>
      </c>
      <c r="F456" s="4">
        <v>28</v>
      </c>
      <c r="G456" s="4">
        <v>31</v>
      </c>
      <c r="H456" s="2" t="s">
        <v>19</v>
      </c>
      <c r="I456" s="2" t="s">
        <v>20</v>
      </c>
      <c r="J456" s="2" t="s">
        <v>15</v>
      </c>
      <c r="K456" s="1">
        <v>9.67741935483871</v>
      </c>
      <c r="L456" s="1">
        <v>90.322580645161281</v>
      </c>
      <c r="M456" s="2" t="s">
        <v>16</v>
      </c>
    </row>
    <row r="457" spans="1:13" x14ac:dyDescent="0.3">
      <c r="A457" s="4">
        <v>456</v>
      </c>
      <c r="B457" s="3">
        <v>0.2273</v>
      </c>
      <c r="C457" s="1">
        <v>0.7</v>
      </c>
      <c r="D457" s="1">
        <v>0.25369999999999998</v>
      </c>
      <c r="E457" s="4">
        <v>1</v>
      </c>
      <c r="F457" s="4">
        <v>20</v>
      </c>
      <c r="G457" s="4">
        <v>21</v>
      </c>
      <c r="H457" s="2" t="s">
        <v>13</v>
      </c>
      <c r="I457" s="2" t="s">
        <v>18</v>
      </c>
      <c r="J457" s="2" t="s">
        <v>15</v>
      </c>
      <c r="K457" s="1">
        <v>4.7619047619047619</v>
      </c>
      <c r="L457" s="1">
        <v>95.238095238095227</v>
      </c>
      <c r="M457" s="2" t="s">
        <v>16</v>
      </c>
    </row>
    <row r="458" spans="1:13" x14ac:dyDescent="0.3">
      <c r="A458" s="4">
        <v>457</v>
      </c>
      <c r="B458" s="3">
        <v>0.2273</v>
      </c>
      <c r="C458" s="1">
        <v>0.7</v>
      </c>
      <c r="D458" s="1">
        <v>0.25369999999999998</v>
      </c>
      <c r="E458" s="4">
        <v>0</v>
      </c>
      <c r="F458" s="4">
        <v>6</v>
      </c>
      <c r="G458" s="4">
        <v>6</v>
      </c>
      <c r="H458" s="2" t="s">
        <v>13</v>
      </c>
      <c r="I458" s="2" t="s">
        <v>18</v>
      </c>
      <c r="J458" s="2" t="s">
        <v>15</v>
      </c>
      <c r="K458" s="1">
        <v>0</v>
      </c>
      <c r="L458" s="1">
        <v>100</v>
      </c>
      <c r="M458" s="2" t="s">
        <v>16</v>
      </c>
    </row>
    <row r="459" spans="1:13" x14ac:dyDescent="0.3">
      <c r="A459" s="4">
        <v>458</v>
      </c>
      <c r="B459" s="3">
        <v>0.2424</v>
      </c>
      <c r="C459" s="1">
        <v>0.75</v>
      </c>
      <c r="D459" s="1">
        <v>0.16420000000000001</v>
      </c>
      <c r="E459" s="4">
        <v>0</v>
      </c>
      <c r="F459" s="4">
        <v>2</v>
      </c>
      <c r="G459" s="4">
        <v>2</v>
      </c>
      <c r="H459" s="2" t="s">
        <v>13</v>
      </c>
      <c r="I459" s="2" t="s">
        <v>18</v>
      </c>
      <c r="J459" s="2" t="s">
        <v>15</v>
      </c>
      <c r="K459" s="1">
        <v>0</v>
      </c>
      <c r="L459" s="1">
        <v>100</v>
      </c>
      <c r="M459" s="2" t="s">
        <v>16</v>
      </c>
    </row>
    <row r="460" spans="1:13" x14ac:dyDescent="0.3">
      <c r="A460" s="4">
        <v>459</v>
      </c>
      <c r="B460" s="3">
        <v>0.21210000000000001</v>
      </c>
      <c r="C460" s="1">
        <v>0.8</v>
      </c>
      <c r="D460" s="1">
        <v>0.29849999999999999</v>
      </c>
      <c r="E460" s="4">
        <v>0</v>
      </c>
      <c r="F460" s="4">
        <v>1</v>
      </c>
      <c r="G460" s="4">
        <v>1</v>
      </c>
      <c r="H460" s="2" t="s">
        <v>13</v>
      </c>
      <c r="I460" s="2" t="s">
        <v>18</v>
      </c>
      <c r="J460" s="2" t="s">
        <v>15</v>
      </c>
      <c r="K460" s="1">
        <v>0</v>
      </c>
      <c r="L460" s="1">
        <v>100</v>
      </c>
      <c r="M460" s="2" t="s">
        <v>16</v>
      </c>
    </row>
    <row r="461" spans="1:13" x14ac:dyDescent="0.3">
      <c r="A461" s="4">
        <v>460</v>
      </c>
      <c r="B461" s="3">
        <v>0.2576</v>
      </c>
      <c r="C461" s="1">
        <v>0.87</v>
      </c>
      <c r="D461" s="1">
        <v>8.9599999999999999E-2</v>
      </c>
      <c r="E461" s="4">
        <v>0</v>
      </c>
      <c r="F461" s="4">
        <v>1</v>
      </c>
      <c r="G461" s="4">
        <v>1</v>
      </c>
      <c r="H461" s="2" t="s">
        <v>13</v>
      </c>
      <c r="I461" s="2" t="s">
        <v>14</v>
      </c>
      <c r="J461" s="2" t="s">
        <v>15</v>
      </c>
      <c r="K461" s="1">
        <v>0</v>
      </c>
      <c r="L461" s="1">
        <v>100</v>
      </c>
      <c r="M461" s="2" t="s">
        <v>16</v>
      </c>
    </row>
    <row r="462" spans="1:13" x14ac:dyDescent="0.3">
      <c r="A462" s="4">
        <v>461</v>
      </c>
      <c r="B462" s="3">
        <v>0.19700000000000001</v>
      </c>
      <c r="C462" s="1">
        <v>0.6</v>
      </c>
      <c r="D462" s="1">
        <v>0.41789999999999999</v>
      </c>
      <c r="E462" s="4">
        <v>1</v>
      </c>
      <c r="F462" s="4">
        <v>4</v>
      </c>
      <c r="G462" s="4">
        <v>5</v>
      </c>
      <c r="H462" s="2" t="s">
        <v>19</v>
      </c>
      <c r="I462" s="2" t="s">
        <v>20</v>
      </c>
      <c r="J462" s="2" t="s">
        <v>15</v>
      </c>
      <c r="K462" s="1">
        <v>20</v>
      </c>
      <c r="L462" s="1">
        <v>80</v>
      </c>
      <c r="M462" s="2" t="s">
        <v>16</v>
      </c>
    </row>
    <row r="463" spans="1:13" x14ac:dyDescent="0.3">
      <c r="A463" s="4">
        <v>462</v>
      </c>
      <c r="B463" s="3">
        <v>0.21210000000000001</v>
      </c>
      <c r="C463" s="1">
        <v>0.55000000000000004</v>
      </c>
      <c r="D463" s="1">
        <v>0.25369999999999998</v>
      </c>
      <c r="E463" s="4">
        <v>0</v>
      </c>
      <c r="F463" s="4">
        <v>27</v>
      </c>
      <c r="G463" s="4">
        <v>27</v>
      </c>
      <c r="H463" s="2" t="s">
        <v>19</v>
      </c>
      <c r="I463" s="2" t="s">
        <v>18</v>
      </c>
      <c r="J463" s="2" t="s">
        <v>15</v>
      </c>
      <c r="K463" s="1">
        <v>0</v>
      </c>
      <c r="L463" s="1">
        <v>100</v>
      </c>
      <c r="M463" s="2" t="s">
        <v>16</v>
      </c>
    </row>
    <row r="464" spans="1:13" x14ac:dyDescent="0.3">
      <c r="A464" s="4">
        <v>463</v>
      </c>
      <c r="B464" s="3">
        <v>0.18179999999999999</v>
      </c>
      <c r="C464" s="1">
        <v>0.51</v>
      </c>
      <c r="D464" s="1">
        <v>0.28360000000000002</v>
      </c>
      <c r="E464" s="4">
        <v>2</v>
      </c>
      <c r="F464" s="4">
        <v>66</v>
      </c>
      <c r="G464" s="4">
        <v>68</v>
      </c>
      <c r="H464" s="2" t="s">
        <v>19</v>
      </c>
      <c r="I464" s="2" t="s">
        <v>18</v>
      </c>
      <c r="J464" s="2" t="s">
        <v>15</v>
      </c>
      <c r="K464" s="1">
        <v>2.9411764705882351</v>
      </c>
      <c r="L464" s="1">
        <v>97.058823529411768</v>
      </c>
      <c r="M464" s="2" t="s">
        <v>16</v>
      </c>
    </row>
    <row r="465" spans="1:13" x14ac:dyDescent="0.3">
      <c r="A465" s="4">
        <v>464</v>
      </c>
      <c r="B465" s="3">
        <v>0.18179999999999999</v>
      </c>
      <c r="C465" s="1">
        <v>0.47</v>
      </c>
      <c r="D465" s="1">
        <v>0.32840000000000003</v>
      </c>
      <c r="E465" s="4">
        <v>7</v>
      </c>
      <c r="F465" s="4">
        <v>210</v>
      </c>
      <c r="G465" s="4">
        <v>217</v>
      </c>
      <c r="H465" s="2" t="s">
        <v>19</v>
      </c>
      <c r="I465" s="2" t="s">
        <v>20</v>
      </c>
      <c r="J465" s="2" t="s">
        <v>15</v>
      </c>
      <c r="K465" s="1">
        <v>3.225806451612903</v>
      </c>
      <c r="L465" s="1">
        <v>96.774193548387103</v>
      </c>
      <c r="M465" s="2" t="s">
        <v>19</v>
      </c>
    </row>
    <row r="466" spans="1:13" x14ac:dyDescent="0.3">
      <c r="A466" s="4">
        <v>465</v>
      </c>
      <c r="B466" s="3">
        <v>0.18179999999999999</v>
      </c>
      <c r="C466" s="1">
        <v>0.51</v>
      </c>
      <c r="D466" s="1">
        <v>0.35820000000000002</v>
      </c>
      <c r="E466" s="4">
        <v>7</v>
      </c>
      <c r="F466" s="4">
        <v>159</v>
      </c>
      <c r="G466" s="4">
        <v>166</v>
      </c>
      <c r="H466" s="2" t="s">
        <v>19</v>
      </c>
      <c r="I466" s="2" t="s">
        <v>20</v>
      </c>
      <c r="J466" s="2" t="s">
        <v>15</v>
      </c>
      <c r="K466" s="1">
        <v>4.2168674698795181</v>
      </c>
      <c r="L466" s="1">
        <v>95.783132530120483</v>
      </c>
      <c r="M466" s="2" t="s">
        <v>19</v>
      </c>
    </row>
    <row r="467" spans="1:13" x14ac:dyDescent="0.3">
      <c r="A467" s="4">
        <v>466</v>
      </c>
      <c r="B467" s="3">
        <v>0.16669999999999999</v>
      </c>
      <c r="C467" s="1">
        <v>0.47</v>
      </c>
      <c r="D467" s="1">
        <v>0.4627</v>
      </c>
      <c r="E467" s="4">
        <v>6</v>
      </c>
      <c r="F467" s="4">
        <v>57</v>
      </c>
      <c r="G467" s="4">
        <v>63</v>
      </c>
      <c r="H467" s="2" t="s">
        <v>19</v>
      </c>
      <c r="I467" s="2" t="s">
        <v>20</v>
      </c>
      <c r="J467" s="2" t="s">
        <v>15</v>
      </c>
      <c r="K467" s="1">
        <v>9.5238095238095237</v>
      </c>
      <c r="L467" s="1">
        <v>90.476190476190482</v>
      </c>
      <c r="M467" s="2" t="s">
        <v>16</v>
      </c>
    </row>
    <row r="468" spans="1:13" x14ac:dyDescent="0.3">
      <c r="A468" s="4">
        <v>467</v>
      </c>
      <c r="B468" s="3">
        <v>0.18179999999999999</v>
      </c>
      <c r="C468" s="1">
        <v>0.41</v>
      </c>
      <c r="D468" s="1">
        <v>0.4627</v>
      </c>
      <c r="E468" s="4">
        <v>6</v>
      </c>
      <c r="F468" s="4">
        <v>53</v>
      </c>
      <c r="G468" s="4">
        <v>59</v>
      </c>
      <c r="H468" s="2" t="s">
        <v>19</v>
      </c>
      <c r="I468" s="2" t="s">
        <v>20</v>
      </c>
      <c r="J468" s="2" t="s">
        <v>15</v>
      </c>
      <c r="K468" s="1">
        <v>10.16949152542373</v>
      </c>
      <c r="L468" s="1">
        <v>89.830508474576277</v>
      </c>
      <c r="M468" s="2" t="s">
        <v>16</v>
      </c>
    </row>
    <row r="469" spans="1:13" x14ac:dyDescent="0.3">
      <c r="A469" s="4">
        <v>468</v>
      </c>
      <c r="B469" s="3">
        <v>0.18179999999999999</v>
      </c>
      <c r="C469" s="1">
        <v>0.27</v>
      </c>
      <c r="D469" s="1">
        <v>0.58209999999999995</v>
      </c>
      <c r="E469" s="4">
        <v>11</v>
      </c>
      <c r="F469" s="4">
        <v>67</v>
      </c>
      <c r="G469" s="4">
        <v>78</v>
      </c>
      <c r="H469" s="2" t="s">
        <v>16</v>
      </c>
      <c r="I469" s="2" t="s">
        <v>20</v>
      </c>
      <c r="J469" s="2" t="s">
        <v>15</v>
      </c>
      <c r="K469" s="1">
        <v>14.1025641025641</v>
      </c>
      <c r="L469" s="1">
        <v>85.897435897435898</v>
      </c>
      <c r="M469" s="2" t="s">
        <v>16</v>
      </c>
    </row>
    <row r="470" spans="1:13" x14ac:dyDescent="0.3">
      <c r="A470" s="4">
        <v>469</v>
      </c>
      <c r="B470" s="3">
        <v>0.1515</v>
      </c>
      <c r="C470" s="1">
        <v>0.21</v>
      </c>
      <c r="D470" s="1">
        <v>0.58209999999999995</v>
      </c>
      <c r="E470" s="4">
        <v>8</v>
      </c>
      <c r="F470" s="4">
        <v>65</v>
      </c>
      <c r="G470" s="4">
        <v>73</v>
      </c>
      <c r="H470" s="2" t="s">
        <v>16</v>
      </c>
      <c r="I470" s="2" t="s">
        <v>20</v>
      </c>
      <c r="J470" s="2" t="s">
        <v>15</v>
      </c>
      <c r="K470" s="1">
        <v>10.95890410958904</v>
      </c>
      <c r="L470" s="1">
        <v>89.041095890410958</v>
      </c>
      <c r="M470" s="2" t="s">
        <v>16</v>
      </c>
    </row>
    <row r="471" spans="1:13" x14ac:dyDescent="0.3">
      <c r="A471" s="4">
        <v>470</v>
      </c>
      <c r="B471" s="3">
        <v>0.1515</v>
      </c>
      <c r="C471" s="1">
        <v>0.25</v>
      </c>
      <c r="D471" s="1">
        <v>0.52239999999999998</v>
      </c>
      <c r="E471" s="4">
        <v>6</v>
      </c>
      <c r="F471" s="4">
        <v>56</v>
      </c>
      <c r="G471" s="4">
        <v>62</v>
      </c>
      <c r="H471" s="2" t="s">
        <v>16</v>
      </c>
      <c r="I471" s="2" t="s">
        <v>20</v>
      </c>
      <c r="J471" s="2" t="s">
        <v>15</v>
      </c>
      <c r="K471" s="1">
        <v>9.67741935483871</v>
      </c>
      <c r="L471" s="1">
        <v>90.322580645161281</v>
      </c>
      <c r="M471" s="2" t="s">
        <v>16</v>
      </c>
    </row>
    <row r="472" spans="1:13" x14ac:dyDescent="0.3">
      <c r="A472" s="4">
        <v>471</v>
      </c>
      <c r="B472" s="3">
        <v>0.1212</v>
      </c>
      <c r="C472" s="1">
        <v>0.26</v>
      </c>
      <c r="D472" s="1">
        <v>0.44779999999999998</v>
      </c>
      <c r="E472" s="4">
        <v>4</v>
      </c>
      <c r="F472" s="4">
        <v>61</v>
      </c>
      <c r="G472" s="4">
        <v>65</v>
      </c>
      <c r="H472" s="2" t="s">
        <v>16</v>
      </c>
      <c r="I472" s="2" t="s">
        <v>20</v>
      </c>
      <c r="J472" s="2" t="s">
        <v>15</v>
      </c>
      <c r="K472" s="1">
        <v>6.1538461538461542</v>
      </c>
      <c r="L472" s="1">
        <v>93.84615384615384</v>
      </c>
      <c r="M472" s="2" t="s">
        <v>16</v>
      </c>
    </row>
    <row r="473" spans="1:13" x14ac:dyDescent="0.3">
      <c r="A473" s="4">
        <v>472</v>
      </c>
      <c r="B473" s="3">
        <v>0.13639999999999999</v>
      </c>
      <c r="C473" s="1">
        <v>0.26</v>
      </c>
      <c r="D473" s="1">
        <v>0.35820000000000002</v>
      </c>
      <c r="E473" s="4">
        <v>0</v>
      </c>
      <c r="F473" s="4">
        <v>97</v>
      </c>
      <c r="G473" s="4">
        <v>97</v>
      </c>
      <c r="H473" s="2" t="s">
        <v>16</v>
      </c>
      <c r="I473" s="2" t="s">
        <v>20</v>
      </c>
      <c r="J473" s="2" t="s">
        <v>15</v>
      </c>
      <c r="K473" s="1">
        <v>0</v>
      </c>
      <c r="L473" s="1">
        <v>100</v>
      </c>
      <c r="M473" s="2" t="s">
        <v>16</v>
      </c>
    </row>
    <row r="474" spans="1:13" x14ac:dyDescent="0.3">
      <c r="A474" s="4">
        <v>473</v>
      </c>
      <c r="B474" s="3">
        <v>0.1212</v>
      </c>
      <c r="C474" s="1">
        <v>0.28000000000000003</v>
      </c>
      <c r="D474" s="1">
        <v>0.35820000000000002</v>
      </c>
      <c r="E474" s="4">
        <v>10</v>
      </c>
      <c r="F474" s="4">
        <v>151</v>
      </c>
      <c r="G474" s="4">
        <v>161</v>
      </c>
      <c r="H474" s="2" t="s">
        <v>16</v>
      </c>
      <c r="I474" s="2" t="s">
        <v>20</v>
      </c>
      <c r="J474" s="2" t="s">
        <v>15</v>
      </c>
      <c r="K474" s="1">
        <v>6.2111801242236027</v>
      </c>
      <c r="L474" s="1">
        <v>93.788819875776397</v>
      </c>
      <c r="M474" s="2" t="s">
        <v>19</v>
      </c>
    </row>
    <row r="475" spans="1:13" x14ac:dyDescent="0.3">
      <c r="A475" s="4">
        <v>474</v>
      </c>
      <c r="B475" s="3">
        <v>0.1212</v>
      </c>
      <c r="C475" s="1">
        <v>0.3</v>
      </c>
      <c r="D475" s="1">
        <v>0.25369999999999998</v>
      </c>
      <c r="E475" s="4">
        <v>1</v>
      </c>
      <c r="F475" s="4">
        <v>119</v>
      </c>
      <c r="G475" s="4">
        <v>120</v>
      </c>
      <c r="H475" s="2" t="s">
        <v>16</v>
      </c>
      <c r="I475" s="2" t="s">
        <v>18</v>
      </c>
      <c r="J475" s="2" t="s">
        <v>15</v>
      </c>
      <c r="K475" s="1">
        <v>0.83333333333333337</v>
      </c>
      <c r="L475" s="1">
        <v>99.166666666666671</v>
      </c>
      <c r="M475" s="2" t="s">
        <v>19</v>
      </c>
    </row>
    <row r="476" spans="1:13" x14ac:dyDescent="0.3">
      <c r="A476" s="4">
        <v>475</v>
      </c>
      <c r="B476" s="3">
        <v>0.1061</v>
      </c>
      <c r="C476" s="1">
        <v>0.3</v>
      </c>
      <c r="D476" s="1">
        <v>0.32840000000000003</v>
      </c>
      <c r="E476" s="4">
        <v>3</v>
      </c>
      <c r="F476" s="4">
        <v>93</v>
      </c>
      <c r="G476" s="4">
        <v>96</v>
      </c>
      <c r="H476" s="2" t="s">
        <v>16</v>
      </c>
      <c r="I476" s="2" t="s">
        <v>20</v>
      </c>
      <c r="J476" s="2" t="s">
        <v>15</v>
      </c>
      <c r="K476" s="1">
        <v>3.125</v>
      </c>
      <c r="L476" s="1">
        <v>96.875</v>
      </c>
      <c r="M476" s="2" t="s">
        <v>16</v>
      </c>
    </row>
    <row r="477" spans="1:13" x14ac:dyDescent="0.3">
      <c r="A477" s="4">
        <v>476</v>
      </c>
      <c r="B477" s="3">
        <v>7.5800000000000006E-2</v>
      </c>
      <c r="C477" s="1">
        <v>0.33</v>
      </c>
      <c r="D477" s="1">
        <v>0.41789999999999999</v>
      </c>
      <c r="E477" s="4">
        <v>1</v>
      </c>
      <c r="F477" s="4">
        <v>52</v>
      </c>
      <c r="G477" s="4">
        <v>53</v>
      </c>
      <c r="H477" s="2" t="s">
        <v>16</v>
      </c>
      <c r="I477" s="2" t="s">
        <v>20</v>
      </c>
      <c r="J477" s="2" t="s">
        <v>15</v>
      </c>
      <c r="K477" s="1">
        <v>1.8867924528301889</v>
      </c>
      <c r="L477" s="1">
        <v>98.113207547169807</v>
      </c>
      <c r="M477" s="2" t="s">
        <v>16</v>
      </c>
    </row>
    <row r="478" spans="1:13" x14ac:dyDescent="0.3">
      <c r="A478" s="4">
        <v>477</v>
      </c>
      <c r="B478" s="3">
        <v>7.5800000000000006E-2</v>
      </c>
      <c r="C478" s="1">
        <v>0.38</v>
      </c>
      <c r="D478" s="1">
        <v>0.28360000000000002</v>
      </c>
      <c r="E478" s="4">
        <v>0</v>
      </c>
      <c r="F478" s="4">
        <v>41</v>
      </c>
      <c r="G478" s="4">
        <v>41</v>
      </c>
      <c r="H478" s="2" t="s">
        <v>16</v>
      </c>
      <c r="I478" s="2" t="s">
        <v>18</v>
      </c>
      <c r="J478" s="2" t="s">
        <v>15</v>
      </c>
      <c r="K478" s="1">
        <v>0</v>
      </c>
      <c r="L478" s="1">
        <v>100</v>
      </c>
      <c r="M478" s="2" t="s">
        <v>16</v>
      </c>
    </row>
    <row r="479" spans="1:13" x14ac:dyDescent="0.3">
      <c r="A479" s="4">
        <v>478</v>
      </c>
      <c r="B479" s="3">
        <v>3.0300000000000001E-2</v>
      </c>
      <c r="C479" s="1">
        <v>0.41</v>
      </c>
      <c r="D479" s="1">
        <v>0.3881</v>
      </c>
      <c r="E479" s="4">
        <v>1</v>
      </c>
      <c r="F479" s="4">
        <v>33</v>
      </c>
      <c r="G479" s="4">
        <v>34</v>
      </c>
      <c r="H479" s="2" t="s">
        <v>19</v>
      </c>
      <c r="I479" s="2" t="s">
        <v>20</v>
      </c>
      <c r="J479" s="2" t="s">
        <v>15</v>
      </c>
      <c r="K479" s="1">
        <v>2.9411764705882351</v>
      </c>
      <c r="L479" s="1">
        <v>97.058823529411768</v>
      </c>
      <c r="M479" s="2" t="s">
        <v>16</v>
      </c>
    </row>
    <row r="480" spans="1:13" x14ac:dyDescent="0.3">
      <c r="A480" s="4">
        <v>479</v>
      </c>
      <c r="B480" s="3">
        <v>4.5499999999999999E-2</v>
      </c>
      <c r="C480" s="1">
        <v>0.38</v>
      </c>
      <c r="D480" s="1">
        <v>0.32840000000000003</v>
      </c>
      <c r="E480" s="4">
        <v>0</v>
      </c>
      <c r="F480" s="4">
        <v>27</v>
      </c>
      <c r="G480" s="4">
        <v>27</v>
      </c>
      <c r="H480" s="2" t="s">
        <v>16</v>
      </c>
      <c r="I480" s="2" t="s">
        <v>20</v>
      </c>
      <c r="J480" s="2" t="s">
        <v>15</v>
      </c>
      <c r="K480" s="1">
        <v>0</v>
      </c>
      <c r="L480" s="1">
        <v>100</v>
      </c>
      <c r="M480" s="2" t="s">
        <v>16</v>
      </c>
    </row>
    <row r="481" spans="1:13" x14ac:dyDescent="0.3">
      <c r="A481" s="4">
        <v>480</v>
      </c>
      <c r="B481" s="3">
        <v>3.0300000000000001E-2</v>
      </c>
      <c r="C481" s="1">
        <v>0.45</v>
      </c>
      <c r="D481" s="1">
        <v>0.25369999999999998</v>
      </c>
      <c r="E481" s="4">
        <v>0</v>
      </c>
      <c r="F481" s="4">
        <v>13</v>
      </c>
      <c r="G481" s="4">
        <v>13</v>
      </c>
      <c r="H481" s="2" t="s">
        <v>19</v>
      </c>
      <c r="I481" s="2" t="s">
        <v>18</v>
      </c>
      <c r="J481" s="2" t="s">
        <v>15</v>
      </c>
      <c r="K481" s="1">
        <v>0</v>
      </c>
      <c r="L481" s="1">
        <v>100</v>
      </c>
      <c r="M481" s="2" t="s">
        <v>16</v>
      </c>
    </row>
    <row r="482" spans="1:13" x14ac:dyDescent="0.3">
      <c r="A482" s="4">
        <v>481</v>
      </c>
      <c r="B482" s="3">
        <v>0</v>
      </c>
      <c r="C482" s="1">
        <v>0.41</v>
      </c>
      <c r="D482" s="1">
        <v>0.3881</v>
      </c>
      <c r="E482" s="4">
        <v>3</v>
      </c>
      <c r="F482" s="4">
        <v>9</v>
      </c>
      <c r="G482" s="4">
        <v>12</v>
      </c>
      <c r="H482" s="2" t="s">
        <v>19</v>
      </c>
      <c r="I482" s="2" t="s">
        <v>20</v>
      </c>
      <c r="J482" s="2" t="s">
        <v>15</v>
      </c>
      <c r="K482" s="1">
        <v>25</v>
      </c>
      <c r="L482" s="1">
        <v>75</v>
      </c>
      <c r="M482" s="2" t="s">
        <v>16</v>
      </c>
    </row>
    <row r="483" spans="1:13" x14ac:dyDescent="0.3">
      <c r="A483" s="4">
        <v>482</v>
      </c>
      <c r="B483" s="3">
        <v>3.0300000000000001E-2</v>
      </c>
      <c r="C483" s="1">
        <v>0.41</v>
      </c>
      <c r="D483" s="1">
        <v>0.25369999999999998</v>
      </c>
      <c r="E483" s="4">
        <v>0</v>
      </c>
      <c r="F483" s="4">
        <v>11</v>
      </c>
      <c r="G483" s="4">
        <v>11</v>
      </c>
      <c r="H483" s="2" t="s">
        <v>19</v>
      </c>
      <c r="I483" s="2" t="s">
        <v>18</v>
      </c>
      <c r="J483" s="2" t="s">
        <v>15</v>
      </c>
      <c r="K483" s="1">
        <v>0</v>
      </c>
      <c r="L483" s="1">
        <v>100</v>
      </c>
      <c r="M483" s="2" t="s">
        <v>16</v>
      </c>
    </row>
    <row r="484" spans="1:13" x14ac:dyDescent="0.3">
      <c r="A484" s="4">
        <v>483</v>
      </c>
      <c r="B484" s="3">
        <v>3.0300000000000001E-2</v>
      </c>
      <c r="C484" s="1">
        <v>0.41</v>
      </c>
      <c r="D484" s="1">
        <v>0.28360000000000002</v>
      </c>
      <c r="E484" s="4">
        <v>1</v>
      </c>
      <c r="F484" s="4">
        <v>6</v>
      </c>
      <c r="G484" s="4">
        <v>7</v>
      </c>
      <c r="H484" s="2" t="s">
        <v>19</v>
      </c>
      <c r="I484" s="2" t="s">
        <v>18</v>
      </c>
      <c r="J484" s="2" t="s">
        <v>15</v>
      </c>
      <c r="K484" s="1">
        <v>14.285714285714279</v>
      </c>
      <c r="L484" s="1">
        <v>85.714285714285708</v>
      </c>
      <c r="M484" s="2" t="s">
        <v>16</v>
      </c>
    </row>
    <row r="485" spans="1:13" x14ac:dyDescent="0.3">
      <c r="A485" s="4">
        <v>484</v>
      </c>
      <c r="B485" s="3">
        <v>1.52E-2</v>
      </c>
      <c r="C485" s="1">
        <v>0.48</v>
      </c>
      <c r="D485" s="1">
        <v>0.29849999999999999</v>
      </c>
      <c r="E485" s="4">
        <v>0</v>
      </c>
      <c r="F485" s="4">
        <v>3</v>
      </c>
      <c r="G485" s="4">
        <v>3</v>
      </c>
      <c r="H485" s="2" t="s">
        <v>19</v>
      </c>
      <c r="I485" s="2" t="s">
        <v>18</v>
      </c>
      <c r="J485" s="2" t="s">
        <v>15</v>
      </c>
      <c r="K485" s="1">
        <v>0</v>
      </c>
      <c r="L485" s="1">
        <v>100</v>
      </c>
      <c r="M485" s="2" t="s">
        <v>16</v>
      </c>
    </row>
    <row r="486" spans="1:13" x14ac:dyDescent="0.3">
      <c r="A486" s="4">
        <v>485</v>
      </c>
      <c r="B486" s="3">
        <v>3.0300000000000001E-2</v>
      </c>
      <c r="C486" s="1">
        <v>0.44</v>
      </c>
      <c r="D486" s="1">
        <v>0.22389999999999999</v>
      </c>
      <c r="E486" s="4">
        <v>0</v>
      </c>
      <c r="F486" s="4">
        <v>2</v>
      </c>
      <c r="G486" s="4">
        <v>2</v>
      </c>
      <c r="H486" s="2" t="s">
        <v>19</v>
      </c>
      <c r="I486" s="2" t="s">
        <v>18</v>
      </c>
      <c r="J486" s="2" t="s">
        <v>15</v>
      </c>
      <c r="K486" s="1">
        <v>0</v>
      </c>
      <c r="L486" s="1">
        <v>100</v>
      </c>
      <c r="M486" s="2" t="s">
        <v>16</v>
      </c>
    </row>
    <row r="487" spans="1:13" x14ac:dyDescent="0.3">
      <c r="A487" s="4">
        <v>486</v>
      </c>
      <c r="B487" s="3">
        <v>1.52E-2</v>
      </c>
      <c r="C487" s="1">
        <v>0.44</v>
      </c>
      <c r="D487" s="1">
        <v>0.28360000000000002</v>
      </c>
      <c r="E487" s="4">
        <v>0</v>
      </c>
      <c r="F487" s="4">
        <v>8</v>
      </c>
      <c r="G487" s="4">
        <v>8</v>
      </c>
      <c r="H487" s="2" t="s">
        <v>19</v>
      </c>
      <c r="I487" s="2" t="s">
        <v>18</v>
      </c>
      <c r="J487" s="2" t="s">
        <v>15</v>
      </c>
      <c r="K487" s="1">
        <v>0</v>
      </c>
      <c r="L487" s="1">
        <v>100</v>
      </c>
      <c r="M487" s="2" t="s">
        <v>16</v>
      </c>
    </row>
    <row r="488" spans="1:13" x14ac:dyDescent="0.3">
      <c r="A488" s="4">
        <v>487</v>
      </c>
      <c r="B488" s="3">
        <v>0</v>
      </c>
      <c r="C488" s="1">
        <v>0.44</v>
      </c>
      <c r="D488" s="1">
        <v>0.32840000000000003</v>
      </c>
      <c r="E488" s="4">
        <v>1</v>
      </c>
      <c r="F488" s="4">
        <v>26</v>
      </c>
      <c r="G488" s="4">
        <v>27</v>
      </c>
      <c r="H488" s="2" t="s">
        <v>19</v>
      </c>
      <c r="I488" s="2" t="s">
        <v>20</v>
      </c>
      <c r="J488" s="2" t="s">
        <v>15</v>
      </c>
      <c r="K488" s="1">
        <v>3.7037037037037028</v>
      </c>
      <c r="L488" s="1">
        <v>96.296296296296291</v>
      </c>
      <c r="M488" s="2" t="s">
        <v>16</v>
      </c>
    </row>
    <row r="489" spans="1:13" x14ac:dyDescent="0.3">
      <c r="A489" s="4">
        <v>488</v>
      </c>
      <c r="B489" s="3">
        <v>3.0300000000000001E-2</v>
      </c>
      <c r="C489" s="1">
        <v>0.41</v>
      </c>
      <c r="D489" s="1">
        <v>0.25369999999999998</v>
      </c>
      <c r="E489" s="4">
        <v>3</v>
      </c>
      <c r="F489" s="4">
        <v>37</v>
      </c>
      <c r="G489" s="4">
        <v>40</v>
      </c>
      <c r="H489" s="2" t="s">
        <v>19</v>
      </c>
      <c r="I489" s="2" t="s">
        <v>18</v>
      </c>
      <c r="J489" s="2" t="s">
        <v>15</v>
      </c>
      <c r="K489" s="1">
        <v>7.5</v>
      </c>
      <c r="L489" s="1">
        <v>92.5</v>
      </c>
      <c r="M489" s="2" t="s">
        <v>16</v>
      </c>
    </row>
    <row r="490" spans="1:13" x14ac:dyDescent="0.3">
      <c r="A490" s="4">
        <v>489</v>
      </c>
      <c r="B490" s="3">
        <v>6.0600000000000001E-2</v>
      </c>
      <c r="C490" s="1">
        <v>0.41</v>
      </c>
      <c r="D490" s="1">
        <v>0.16420000000000001</v>
      </c>
      <c r="E490" s="4">
        <v>3</v>
      </c>
      <c r="F490" s="4">
        <v>50</v>
      </c>
      <c r="G490" s="4">
        <v>53</v>
      </c>
      <c r="H490" s="2" t="s">
        <v>19</v>
      </c>
      <c r="I490" s="2" t="s">
        <v>18</v>
      </c>
      <c r="J490" s="2" t="s">
        <v>15</v>
      </c>
      <c r="K490" s="1">
        <v>5.6603773584905666</v>
      </c>
      <c r="L490" s="1">
        <v>94.339622641509436</v>
      </c>
      <c r="M490" s="2" t="s">
        <v>16</v>
      </c>
    </row>
    <row r="491" spans="1:13" x14ac:dyDescent="0.3">
      <c r="A491" s="4">
        <v>490</v>
      </c>
      <c r="B491" s="3">
        <v>7.5800000000000006E-2</v>
      </c>
      <c r="C491" s="1">
        <v>0.38</v>
      </c>
      <c r="D491" s="1">
        <v>0.1343</v>
      </c>
      <c r="E491" s="4">
        <v>4</v>
      </c>
      <c r="F491" s="4">
        <v>59</v>
      </c>
      <c r="G491" s="4">
        <v>63</v>
      </c>
      <c r="H491" s="2" t="s">
        <v>16</v>
      </c>
      <c r="I491" s="2" t="s">
        <v>14</v>
      </c>
      <c r="J491" s="2" t="s">
        <v>15</v>
      </c>
      <c r="K491" s="1">
        <v>6.3492063492063489</v>
      </c>
      <c r="L491" s="1">
        <v>93.650793650793645</v>
      </c>
      <c r="M491" s="2" t="s">
        <v>16</v>
      </c>
    </row>
    <row r="492" spans="1:13" x14ac:dyDescent="0.3">
      <c r="A492" s="4">
        <v>491</v>
      </c>
      <c r="B492" s="3">
        <v>0.1061</v>
      </c>
      <c r="C492" s="1">
        <v>0.38</v>
      </c>
      <c r="D492" s="1">
        <v>0.1045</v>
      </c>
      <c r="E492" s="4">
        <v>10</v>
      </c>
      <c r="F492" s="4">
        <v>60</v>
      </c>
      <c r="G492" s="4">
        <v>70</v>
      </c>
      <c r="H492" s="2" t="s">
        <v>16</v>
      </c>
      <c r="I492" s="2" t="s">
        <v>14</v>
      </c>
      <c r="J492" s="2" t="s">
        <v>15</v>
      </c>
      <c r="K492" s="1">
        <v>14.285714285714279</v>
      </c>
      <c r="L492" s="1">
        <v>85.714285714285708</v>
      </c>
      <c r="M492" s="2" t="s">
        <v>16</v>
      </c>
    </row>
    <row r="493" spans="1:13" x14ac:dyDescent="0.3">
      <c r="A493" s="4">
        <v>492</v>
      </c>
      <c r="B493" s="3">
        <v>0.16669999999999999</v>
      </c>
      <c r="C493" s="1">
        <v>0.35</v>
      </c>
      <c r="D493" s="1">
        <v>0</v>
      </c>
      <c r="E493" s="4">
        <v>12</v>
      </c>
      <c r="F493" s="4">
        <v>72</v>
      </c>
      <c r="G493" s="4">
        <v>84</v>
      </c>
      <c r="H493" s="2" t="s">
        <v>16</v>
      </c>
      <c r="I493" s="2" t="s">
        <v>14</v>
      </c>
      <c r="J493" s="2" t="s">
        <v>15</v>
      </c>
      <c r="K493" s="1">
        <v>14.285714285714279</v>
      </c>
      <c r="L493" s="1">
        <v>85.714285714285708</v>
      </c>
      <c r="M493" s="2" t="s">
        <v>16</v>
      </c>
    </row>
    <row r="494" spans="1:13" x14ac:dyDescent="0.3">
      <c r="A494" s="4">
        <v>493</v>
      </c>
      <c r="B494" s="3">
        <v>0.13639999999999999</v>
      </c>
      <c r="C494" s="1">
        <v>0.33</v>
      </c>
      <c r="D494" s="1">
        <v>0.1045</v>
      </c>
      <c r="E494" s="4">
        <v>11</v>
      </c>
      <c r="F494" s="4">
        <v>64</v>
      </c>
      <c r="G494" s="4">
        <v>75</v>
      </c>
      <c r="H494" s="2" t="s">
        <v>16</v>
      </c>
      <c r="I494" s="2" t="s">
        <v>14</v>
      </c>
      <c r="J494" s="2" t="s">
        <v>15</v>
      </c>
      <c r="K494" s="1">
        <v>14.66666666666667</v>
      </c>
      <c r="L494" s="1">
        <v>85.333333333333343</v>
      </c>
      <c r="M494" s="2" t="s">
        <v>16</v>
      </c>
    </row>
    <row r="495" spans="1:13" x14ac:dyDescent="0.3">
      <c r="A495" s="4">
        <v>494</v>
      </c>
      <c r="B495" s="3">
        <v>0.1515</v>
      </c>
      <c r="C495" s="1">
        <v>0.28000000000000003</v>
      </c>
      <c r="D495" s="1">
        <v>0</v>
      </c>
      <c r="E495" s="4">
        <v>10</v>
      </c>
      <c r="F495" s="4">
        <v>93</v>
      </c>
      <c r="G495" s="4">
        <v>103</v>
      </c>
      <c r="H495" s="2" t="s">
        <v>16</v>
      </c>
      <c r="I495" s="2" t="s">
        <v>14</v>
      </c>
      <c r="J495" s="2" t="s">
        <v>15</v>
      </c>
      <c r="K495" s="1">
        <v>9.7087378640776691</v>
      </c>
      <c r="L495" s="1">
        <v>90.291262135922338</v>
      </c>
      <c r="M495" s="2" t="s">
        <v>19</v>
      </c>
    </row>
    <row r="496" spans="1:13" x14ac:dyDescent="0.3">
      <c r="A496" s="4">
        <v>495</v>
      </c>
      <c r="B496" s="3">
        <v>0.13639999999999999</v>
      </c>
      <c r="C496" s="1">
        <v>0.28000000000000003</v>
      </c>
      <c r="D496" s="1">
        <v>0.19400000000000001</v>
      </c>
      <c r="E496" s="4">
        <v>11</v>
      </c>
      <c r="F496" s="4">
        <v>72</v>
      </c>
      <c r="G496" s="4">
        <v>83</v>
      </c>
      <c r="H496" s="2" t="s">
        <v>16</v>
      </c>
      <c r="I496" s="2" t="s">
        <v>18</v>
      </c>
      <c r="J496" s="2" t="s">
        <v>15</v>
      </c>
      <c r="K496" s="1">
        <v>13.253012048192771</v>
      </c>
      <c r="L496" s="1">
        <v>86.746987951807228</v>
      </c>
      <c r="M496" s="2" t="s">
        <v>16</v>
      </c>
    </row>
    <row r="497" spans="1:13" x14ac:dyDescent="0.3">
      <c r="A497" s="4">
        <v>496</v>
      </c>
      <c r="B497" s="3">
        <v>0.19700000000000001</v>
      </c>
      <c r="C497" s="1">
        <v>0.28000000000000003</v>
      </c>
      <c r="D497" s="1">
        <v>0</v>
      </c>
      <c r="E497" s="4">
        <v>8</v>
      </c>
      <c r="F497" s="4">
        <v>59</v>
      </c>
      <c r="G497" s="4">
        <v>67</v>
      </c>
      <c r="H497" s="2" t="s">
        <v>16</v>
      </c>
      <c r="I497" s="2" t="s">
        <v>14</v>
      </c>
      <c r="J497" s="2" t="s">
        <v>15</v>
      </c>
      <c r="K497" s="1">
        <v>11.940298507462691</v>
      </c>
      <c r="L497" s="1">
        <v>88.059701492537314</v>
      </c>
      <c r="M497" s="2" t="s">
        <v>16</v>
      </c>
    </row>
    <row r="498" spans="1:13" x14ac:dyDescent="0.3">
      <c r="A498" s="4">
        <v>497</v>
      </c>
      <c r="B498" s="3">
        <v>9.0899999999999995E-2</v>
      </c>
      <c r="C498" s="1">
        <v>0.35</v>
      </c>
      <c r="D498" s="1">
        <v>0.19400000000000001</v>
      </c>
      <c r="E498" s="4">
        <v>0</v>
      </c>
      <c r="F498" s="4">
        <v>54</v>
      </c>
      <c r="G498" s="4">
        <v>54</v>
      </c>
      <c r="H498" s="2" t="s">
        <v>16</v>
      </c>
      <c r="I498" s="2" t="s">
        <v>18</v>
      </c>
      <c r="J498" s="2" t="s">
        <v>15</v>
      </c>
      <c r="K498" s="1">
        <v>0</v>
      </c>
      <c r="L498" s="1">
        <v>100</v>
      </c>
      <c r="M498" s="2" t="s">
        <v>16</v>
      </c>
    </row>
    <row r="499" spans="1:13" x14ac:dyDescent="0.3">
      <c r="A499" s="4">
        <v>498</v>
      </c>
      <c r="B499" s="3">
        <v>0.1061</v>
      </c>
      <c r="C499" s="1">
        <v>0.35</v>
      </c>
      <c r="D499" s="1">
        <v>0.1343</v>
      </c>
      <c r="E499" s="4">
        <v>6</v>
      </c>
      <c r="F499" s="4">
        <v>53</v>
      </c>
      <c r="G499" s="4">
        <v>59</v>
      </c>
      <c r="H499" s="2" t="s">
        <v>16</v>
      </c>
      <c r="I499" s="2" t="s">
        <v>14</v>
      </c>
      <c r="J499" s="2" t="s">
        <v>15</v>
      </c>
      <c r="K499" s="1">
        <v>10.16949152542373</v>
      </c>
      <c r="L499" s="1">
        <v>89.830508474576277</v>
      </c>
      <c r="M499" s="2" t="s">
        <v>16</v>
      </c>
    </row>
    <row r="500" spans="1:13" x14ac:dyDescent="0.3">
      <c r="A500" s="4">
        <v>499</v>
      </c>
      <c r="B500" s="3">
        <v>7.5800000000000006E-2</v>
      </c>
      <c r="C500" s="1">
        <v>0.45</v>
      </c>
      <c r="D500" s="1">
        <v>0.16420000000000001</v>
      </c>
      <c r="E500" s="4">
        <v>1</v>
      </c>
      <c r="F500" s="4">
        <v>44</v>
      </c>
      <c r="G500" s="4">
        <v>45</v>
      </c>
      <c r="H500" s="2" t="s">
        <v>19</v>
      </c>
      <c r="I500" s="2" t="s">
        <v>18</v>
      </c>
      <c r="J500" s="2" t="s">
        <v>15</v>
      </c>
      <c r="K500" s="1">
        <v>2.2222222222222219</v>
      </c>
      <c r="L500" s="1">
        <v>97.777777777777771</v>
      </c>
      <c r="M500" s="2" t="s">
        <v>16</v>
      </c>
    </row>
    <row r="501" spans="1:13" x14ac:dyDescent="0.3">
      <c r="A501" s="4">
        <v>500</v>
      </c>
      <c r="B501" s="3">
        <v>0.1061</v>
      </c>
      <c r="C501" s="1">
        <v>0.41</v>
      </c>
      <c r="D501" s="1">
        <v>8.9599999999999999E-2</v>
      </c>
      <c r="E501" s="4">
        <v>0</v>
      </c>
      <c r="F501" s="4">
        <v>39</v>
      </c>
      <c r="G501" s="4">
        <v>39</v>
      </c>
      <c r="H501" s="2" t="s">
        <v>19</v>
      </c>
      <c r="I501" s="2" t="s">
        <v>14</v>
      </c>
      <c r="J501" s="2" t="s">
        <v>15</v>
      </c>
      <c r="K501" s="1">
        <v>0</v>
      </c>
      <c r="L501" s="1">
        <v>100</v>
      </c>
      <c r="M501" s="2" t="s">
        <v>16</v>
      </c>
    </row>
    <row r="502" spans="1:13" x14ac:dyDescent="0.3">
      <c r="A502" s="4">
        <v>501</v>
      </c>
      <c r="B502" s="3">
        <v>0.1515</v>
      </c>
      <c r="C502" s="1">
        <v>0.49</v>
      </c>
      <c r="D502" s="1">
        <v>0</v>
      </c>
      <c r="E502" s="4">
        <v>7</v>
      </c>
      <c r="F502" s="4">
        <v>23</v>
      </c>
      <c r="G502" s="4">
        <v>30</v>
      </c>
      <c r="H502" s="2" t="s">
        <v>19</v>
      </c>
      <c r="I502" s="2" t="s">
        <v>14</v>
      </c>
      <c r="J502" s="2" t="s">
        <v>15</v>
      </c>
      <c r="K502" s="1">
        <v>23.333333333333329</v>
      </c>
      <c r="L502" s="1">
        <v>76.666666666666671</v>
      </c>
      <c r="M502" s="2" t="s">
        <v>16</v>
      </c>
    </row>
    <row r="503" spans="1:13" x14ac:dyDescent="0.3">
      <c r="A503" s="4">
        <v>502</v>
      </c>
      <c r="B503" s="3">
        <v>7.5800000000000006E-2</v>
      </c>
      <c r="C503" s="1">
        <v>0.56999999999999995</v>
      </c>
      <c r="D503" s="1">
        <v>0.1045</v>
      </c>
      <c r="E503" s="4">
        <v>2</v>
      </c>
      <c r="F503" s="4">
        <v>31</v>
      </c>
      <c r="G503" s="4">
        <v>33</v>
      </c>
      <c r="H503" s="2" t="s">
        <v>19</v>
      </c>
      <c r="I503" s="2" t="s">
        <v>14</v>
      </c>
      <c r="J503" s="2" t="s">
        <v>15</v>
      </c>
      <c r="K503" s="1">
        <v>6.0606060606060614</v>
      </c>
      <c r="L503" s="1">
        <v>93.939393939393938</v>
      </c>
      <c r="M503" s="2" t="s">
        <v>16</v>
      </c>
    </row>
    <row r="504" spans="1:13" x14ac:dyDescent="0.3">
      <c r="A504" s="4">
        <v>503</v>
      </c>
      <c r="B504" s="3">
        <v>7.5800000000000006E-2</v>
      </c>
      <c r="C504" s="1">
        <v>0.56999999999999995</v>
      </c>
      <c r="D504" s="1">
        <v>0.1045</v>
      </c>
      <c r="E504" s="4">
        <v>2</v>
      </c>
      <c r="F504" s="4">
        <v>20</v>
      </c>
      <c r="G504" s="4">
        <v>22</v>
      </c>
      <c r="H504" s="2" t="s">
        <v>19</v>
      </c>
      <c r="I504" s="2" t="s">
        <v>14</v>
      </c>
      <c r="J504" s="2" t="s">
        <v>15</v>
      </c>
      <c r="K504" s="1">
        <v>9.0909090909090917</v>
      </c>
      <c r="L504" s="1">
        <v>90.909090909090907</v>
      </c>
      <c r="M504" s="2" t="s">
        <v>16</v>
      </c>
    </row>
    <row r="505" spans="1:13" x14ac:dyDescent="0.3">
      <c r="A505" s="4">
        <v>504</v>
      </c>
      <c r="B505" s="3">
        <v>7.5800000000000006E-2</v>
      </c>
      <c r="C505" s="1">
        <v>0.56999999999999995</v>
      </c>
      <c r="D505" s="1">
        <v>0.1045</v>
      </c>
      <c r="E505" s="4">
        <v>1</v>
      </c>
      <c r="F505" s="4">
        <v>12</v>
      </c>
      <c r="G505" s="4">
        <v>13</v>
      </c>
      <c r="H505" s="2" t="s">
        <v>19</v>
      </c>
      <c r="I505" s="2" t="s">
        <v>14</v>
      </c>
      <c r="J505" s="2" t="s">
        <v>15</v>
      </c>
      <c r="K505" s="1">
        <v>7.6923076923076934</v>
      </c>
      <c r="L505" s="1">
        <v>92.307692307692307</v>
      </c>
      <c r="M505" s="2" t="s">
        <v>16</v>
      </c>
    </row>
    <row r="506" spans="1:13" x14ac:dyDescent="0.3">
      <c r="A506" s="4">
        <v>505</v>
      </c>
      <c r="B506" s="3">
        <v>6.0600000000000001E-2</v>
      </c>
      <c r="C506" s="1">
        <v>0.62</v>
      </c>
      <c r="D506" s="1">
        <v>0.1343</v>
      </c>
      <c r="E506" s="4">
        <v>3</v>
      </c>
      <c r="F506" s="4">
        <v>15</v>
      </c>
      <c r="G506" s="4">
        <v>18</v>
      </c>
      <c r="H506" s="2" t="s">
        <v>19</v>
      </c>
      <c r="I506" s="2" t="s">
        <v>14</v>
      </c>
      <c r="J506" s="2" t="s">
        <v>15</v>
      </c>
      <c r="K506" s="1">
        <v>16.666666666666661</v>
      </c>
      <c r="L506" s="1">
        <v>83.333333333333343</v>
      </c>
      <c r="M506" s="2" t="s">
        <v>16</v>
      </c>
    </row>
    <row r="507" spans="1:13" x14ac:dyDescent="0.3">
      <c r="A507" s="4">
        <v>506</v>
      </c>
      <c r="B507" s="3">
        <v>6.0600000000000001E-2</v>
      </c>
      <c r="C507" s="1">
        <v>0.62</v>
      </c>
      <c r="D507" s="1">
        <v>0.1343</v>
      </c>
      <c r="E507" s="4">
        <v>1</v>
      </c>
      <c r="F507" s="4">
        <v>4</v>
      </c>
      <c r="G507" s="4">
        <v>5</v>
      </c>
      <c r="H507" s="2" t="s">
        <v>19</v>
      </c>
      <c r="I507" s="2" t="s">
        <v>14</v>
      </c>
      <c r="J507" s="2" t="s">
        <v>15</v>
      </c>
      <c r="K507" s="1">
        <v>20</v>
      </c>
      <c r="L507" s="1">
        <v>80</v>
      </c>
      <c r="M507" s="2" t="s">
        <v>16</v>
      </c>
    </row>
    <row r="508" spans="1:13" x14ac:dyDescent="0.3">
      <c r="A508" s="4">
        <v>507</v>
      </c>
      <c r="B508" s="3">
        <v>7.5800000000000006E-2</v>
      </c>
      <c r="C508" s="1">
        <v>0.56999999999999995</v>
      </c>
      <c r="D508" s="1">
        <v>0.1045</v>
      </c>
      <c r="E508" s="4">
        <v>0</v>
      </c>
      <c r="F508" s="4">
        <v>3</v>
      </c>
      <c r="G508" s="4">
        <v>3</v>
      </c>
      <c r="H508" s="2" t="s">
        <v>19</v>
      </c>
      <c r="I508" s="2" t="s">
        <v>14</v>
      </c>
      <c r="J508" s="2" t="s">
        <v>15</v>
      </c>
      <c r="K508" s="1">
        <v>0</v>
      </c>
      <c r="L508" s="1">
        <v>100</v>
      </c>
      <c r="M508" s="2" t="s">
        <v>16</v>
      </c>
    </row>
    <row r="509" spans="1:13" x14ac:dyDescent="0.3">
      <c r="A509" s="4">
        <v>508</v>
      </c>
      <c r="B509" s="3">
        <v>7.5800000000000006E-2</v>
      </c>
      <c r="C509" s="1">
        <v>0.56999999999999995</v>
      </c>
      <c r="D509" s="1">
        <v>0.1045</v>
      </c>
      <c r="E509" s="4">
        <v>0</v>
      </c>
      <c r="F509" s="4">
        <v>1</v>
      </c>
      <c r="G509" s="4">
        <v>1</v>
      </c>
      <c r="H509" s="2" t="s">
        <v>19</v>
      </c>
      <c r="I509" s="2" t="s">
        <v>14</v>
      </c>
      <c r="J509" s="2" t="s">
        <v>15</v>
      </c>
      <c r="K509" s="1">
        <v>0</v>
      </c>
      <c r="L509" s="1">
        <v>100</v>
      </c>
      <c r="M509" s="2" t="s">
        <v>16</v>
      </c>
    </row>
    <row r="510" spans="1:13" x14ac:dyDescent="0.3">
      <c r="A510" s="4">
        <v>509</v>
      </c>
      <c r="B510" s="3">
        <v>0.1061</v>
      </c>
      <c r="C510" s="1">
        <v>0.57999999999999996</v>
      </c>
      <c r="D510" s="1">
        <v>0.16420000000000001</v>
      </c>
      <c r="E510" s="4">
        <v>1</v>
      </c>
      <c r="F510" s="4">
        <v>1</v>
      </c>
      <c r="G510" s="4">
        <v>2</v>
      </c>
      <c r="H510" s="2" t="s">
        <v>19</v>
      </c>
      <c r="I510" s="2" t="s">
        <v>18</v>
      </c>
      <c r="J510" s="2" t="s">
        <v>15</v>
      </c>
      <c r="K510" s="1">
        <v>50</v>
      </c>
      <c r="L510" s="1">
        <v>50</v>
      </c>
      <c r="M510" s="2" t="s">
        <v>16</v>
      </c>
    </row>
    <row r="511" spans="1:13" x14ac:dyDescent="0.3">
      <c r="A511" s="4">
        <v>510</v>
      </c>
      <c r="B511" s="3">
        <v>7.5800000000000006E-2</v>
      </c>
      <c r="C511" s="1">
        <v>0.62</v>
      </c>
      <c r="D511" s="1">
        <v>0.16420000000000001</v>
      </c>
      <c r="E511" s="4">
        <v>2</v>
      </c>
      <c r="F511" s="4">
        <v>17</v>
      </c>
      <c r="G511" s="4">
        <v>19</v>
      </c>
      <c r="H511" s="2" t="s">
        <v>19</v>
      </c>
      <c r="I511" s="2" t="s">
        <v>18</v>
      </c>
      <c r="J511" s="2" t="s">
        <v>15</v>
      </c>
      <c r="K511" s="1">
        <v>10.52631578947368</v>
      </c>
      <c r="L511" s="1">
        <v>89.473684210526315</v>
      </c>
      <c r="M511" s="2" t="s">
        <v>16</v>
      </c>
    </row>
    <row r="512" spans="1:13" x14ac:dyDescent="0.3">
      <c r="A512" s="4">
        <v>511</v>
      </c>
      <c r="B512" s="3">
        <v>7.5800000000000006E-2</v>
      </c>
      <c r="C512" s="1">
        <v>0.54</v>
      </c>
      <c r="D512" s="1">
        <v>0.35820000000000002</v>
      </c>
      <c r="E512" s="4">
        <v>3</v>
      </c>
      <c r="F512" s="4">
        <v>25</v>
      </c>
      <c r="G512" s="4">
        <v>28</v>
      </c>
      <c r="H512" s="2" t="s">
        <v>19</v>
      </c>
      <c r="I512" s="2" t="s">
        <v>20</v>
      </c>
      <c r="J512" s="2" t="s">
        <v>15</v>
      </c>
      <c r="K512" s="1">
        <v>10.71428571428571</v>
      </c>
      <c r="L512" s="1">
        <v>89.285714285714292</v>
      </c>
      <c r="M512" s="2" t="s">
        <v>16</v>
      </c>
    </row>
    <row r="513" spans="1:13" x14ac:dyDescent="0.3">
      <c r="A513" s="4">
        <v>512</v>
      </c>
      <c r="B513" s="3">
        <v>0.1061</v>
      </c>
      <c r="C513" s="1">
        <v>0.46</v>
      </c>
      <c r="D513" s="1">
        <v>0.3881</v>
      </c>
      <c r="E513" s="4">
        <v>7</v>
      </c>
      <c r="F513" s="4">
        <v>51</v>
      </c>
      <c r="G513" s="4">
        <v>58</v>
      </c>
      <c r="H513" s="2" t="s">
        <v>19</v>
      </c>
      <c r="I513" s="2" t="s">
        <v>20</v>
      </c>
      <c r="J513" s="2" t="s">
        <v>15</v>
      </c>
      <c r="K513" s="1">
        <v>12.068965517241381</v>
      </c>
      <c r="L513" s="1">
        <v>87.931034482758619</v>
      </c>
      <c r="M513" s="2" t="s">
        <v>16</v>
      </c>
    </row>
    <row r="514" spans="1:13" x14ac:dyDescent="0.3">
      <c r="A514" s="4">
        <v>513</v>
      </c>
      <c r="B514" s="3">
        <v>0.13639999999999999</v>
      </c>
      <c r="C514" s="1">
        <v>0.43</v>
      </c>
      <c r="D514" s="1">
        <v>0.22389999999999999</v>
      </c>
      <c r="E514" s="4">
        <v>22</v>
      </c>
      <c r="F514" s="4">
        <v>77</v>
      </c>
      <c r="G514" s="4">
        <v>99</v>
      </c>
      <c r="H514" s="2" t="s">
        <v>19</v>
      </c>
      <c r="I514" s="2" t="s">
        <v>18</v>
      </c>
      <c r="J514" s="2" t="s">
        <v>15</v>
      </c>
      <c r="K514" s="1">
        <v>22.222222222222221</v>
      </c>
      <c r="L514" s="1">
        <v>77.777777777777786</v>
      </c>
      <c r="M514" s="2" t="s">
        <v>16</v>
      </c>
    </row>
    <row r="515" spans="1:13" x14ac:dyDescent="0.3">
      <c r="A515" s="4">
        <v>514</v>
      </c>
      <c r="B515" s="3">
        <v>0.1212</v>
      </c>
      <c r="C515" s="1">
        <v>0.37</v>
      </c>
      <c r="D515" s="1">
        <v>0.4627</v>
      </c>
      <c r="E515" s="4">
        <v>24</v>
      </c>
      <c r="F515" s="4">
        <v>92</v>
      </c>
      <c r="G515" s="4">
        <v>116</v>
      </c>
      <c r="H515" s="2" t="s">
        <v>16</v>
      </c>
      <c r="I515" s="2" t="s">
        <v>20</v>
      </c>
      <c r="J515" s="2" t="s">
        <v>15</v>
      </c>
      <c r="K515" s="1">
        <v>20.68965517241379</v>
      </c>
      <c r="L515" s="1">
        <v>79.310344827586206</v>
      </c>
      <c r="M515" s="2" t="s">
        <v>19</v>
      </c>
    </row>
    <row r="516" spans="1:13" x14ac:dyDescent="0.3">
      <c r="A516" s="4">
        <v>515</v>
      </c>
      <c r="B516" s="3">
        <v>0.1061</v>
      </c>
      <c r="C516" s="1">
        <v>0.33</v>
      </c>
      <c r="D516" s="1">
        <v>0.3881</v>
      </c>
      <c r="E516" s="4">
        <v>12</v>
      </c>
      <c r="F516" s="4">
        <v>75</v>
      </c>
      <c r="G516" s="4">
        <v>87</v>
      </c>
      <c r="H516" s="2" t="s">
        <v>16</v>
      </c>
      <c r="I516" s="2" t="s">
        <v>20</v>
      </c>
      <c r="J516" s="2" t="s">
        <v>15</v>
      </c>
      <c r="K516" s="1">
        <v>13.793103448275859</v>
      </c>
      <c r="L516" s="1">
        <v>86.206896551724128</v>
      </c>
      <c r="M516" s="2" t="s">
        <v>16</v>
      </c>
    </row>
    <row r="517" spans="1:13" x14ac:dyDescent="0.3">
      <c r="A517" s="4">
        <v>516</v>
      </c>
      <c r="B517" s="3">
        <v>0.13639999999999999</v>
      </c>
      <c r="C517" s="1">
        <v>0.28000000000000003</v>
      </c>
      <c r="D517" s="1">
        <v>0.35820000000000002</v>
      </c>
      <c r="E517" s="4">
        <v>17</v>
      </c>
      <c r="F517" s="4">
        <v>93</v>
      </c>
      <c r="G517" s="4">
        <v>110</v>
      </c>
      <c r="H517" s="2" t="s">
        <v>16</v>
      </c>
      <c r="I517" s="2" t="s">
        <v>20</v>
      </c>
      <c r="J517" s="2" t="s">
        <v>15</v>
      </c>
      <c r="K517" s="1">
        <v>15.45454545454545</v>
      </c>
      <c r="L517" s="1">
        <v>84.545454545454547</v>
      </c>
      <c r="M517" s="2" t="s">
        <v>19</v>
      </c>
    </row>
    <row r="518" spans="1:13" x14ac:dyDescent="0.3">
      <c r="A518" s="4">
        <v>517</v>
      </c>
      <c r="B518" s="3">
        <v>0.13639999999999999</v>
      </c>
      <c r="C518" s="1">
        <v>0.28000000000000003</v>
      </c>
      <c r="D518" s="1">
        <v>0.35820000000000002</v>
      </c>
      <c r="E518" s="4">
        <v>13</v>
      </c>
      <c r="F518" s="4">
        <v>64</v>
      </c>
      <c r="G518" s="4">
        <v>77</v>
      </c>
      <c r="H518" s="2" t="s">
        <v>16</v>
      </c>
      <c r="I518" s="2" t="s">
        <v>20</v>
      </c>
      <c r="J518" s="2" t="s">
        <v>15</v>
      </c>
      <c r="K518" s="1">
        <v>16.88311688311688</v>
      </c>
      <c r="L518" s="1">
        <v>83.116883116883116</v>
      </c>
      <c r="M518" s="2" t="s">
        <v>16</v>
      </c>
    </row>
    <row r="519" spans="1:13" x14ac:dyDescent="0.3">
      <c r="A519" s="4">
        <v>518</v>
      </c>
      <c r="B519" s="3">
        <v>0.13639999999999999</v>
      </c>
      <c r="C519" s="1">
        <v>0.26</v>
      </c>
      <c r="D519" s="1">
        <v>0.32840000000000003</v>
      </c>
      <c r="E519" s="4">
        <v>9</v>
      </c>
      <c r="F519" s="4">
        <v>56</v>
      </c>
      <c r="G519" s="4">
        <v>65</v>
      </c>
      <c r="H519" s="2" t="s">
        <v>16</v>
      </c>
      <c r="I519" s="2" t="s">
        <v>20</v>
      </c>
      <c r="J519" s="2" t="s">
        <v>15</v>
      </c>
      <c r="K519" s="1">
        <v>13.84615384615385</v>
      </c>
      <c r="L519" s="1">
        <v>86.15384615384616</v>
      </c>
      <c r="M519" s="2" t="s">
        <v>16</v>
      </c>
    </row>
    <row r="520" spans="1:13" x14ac:dyDescent="0.3">
      <c r="A520" s="4">
        <v>519</v>
      </c>
      <c r="B520" s="3">
        <v>0.1061</v>
      </c>
      <c r="C520" s="1">
        <v>0.26</v>
      </c>
      <c r="D520" s="1">
        <v>0.3881</v>
      </c>
      <c r="E520" s="4">
        <v>5</v>
      </c>
      <c r="F520" s="4">
        <v>50</v>
      </c>
      <c r="G520" s="4">
        <v>55</v>
      </c>
      <c r="H520" s="2" t="s">
        <v>16</v>
      </c>
      <c r="I520" s="2" t="s">
        <v>20</v>
      </c>
      <c r="J520" s="2" t="s">
        <v>15</v>
      </c>
      <c r="K520" s="1">
        <v>9.0909090909090917</v>
      </c>
      <c r="L520" s="1">
        <v>90.909090909090907</v>
      </c>
      <c r="M520" s="2" t="s">
        <v>16</v>
      </c>
    </row>
    <row r="521" spans="1:13" x14ac:dyDescent="0.3">
      <c r="A521" s="4">
        <v>520</v>
      </c>
      <c r="B521" s="3">
        <v>0.1212</v>
      </c>
      <c r="C521" s="1">
        <v>0.3</v>
      </c>
      <c r="D521" s="1">
        <v>0.25369999999999998</v>
      </c>
      <c r="E521" s="4">
        <v>5</v>
      </c>
      <c r="F521" s="4">
        <v>44</v>
      </c>
      <c r="G521" s="4">
        <v>49</v>
      </c>
      <c r="H521" s="2" t="s">
        <v>16</v>
      </c>
      <c r="I521" s="2" t="s">
        <v>18</v>
      </c>
      <c r="J521" s="2" t="s">
        <v>15</v>
      </c>
      <c r="K521" s="1">
        <v>10.204081632653059</v>
      </c>
      <c r="L521" s="1">
        <v>89.795918367346943</v>
      </c>
      <c r="M521" s="2" t="s">
        <v>16</v>
      </c>
    </row>
    <row r="522" spans="1:13" x14ac:dyDescent="0.3">
      <c r="A522" s="4">
        <v>521</v>
      </c>
      <c r="B522" s="3">
        <v>0.1212</v>
      </c>
      <c r="C522" s="1">
        <v>0.3</v>
      </c>
      <c r="D522" s="1">
        <v>0.28360000000000002</v>
      </c>
      <c r="E522" s="4">
        <v>5</v>
      </c>
      <c r="F522" s="4">
        <v>45</v>
      </c>
      <c r="G522" s="4">
        <v>50</v>
      </c>
      <c r="H522" s="2" t="s">
        <v>16</v>
      </c>
      <c r="I522" s="2" t="s">
        <v>18</v>
      </c>
      <c r="J522" s="2" t="s">
        <v>15</v>
      </c>
      <c r="K522" s="1">
        <v>10</v>
      </c>
      <c r="L522" s="1">
        <v>90</v>
      </c>
      <c r="M522" s="2" t="s">
        <v>16</v>
      </c>
    </row>
    <row r="523" spans="1:13" x14ac:dyDescent="0.3">
      <c r="A523" s="4">
        <v>522</v>
      </c>
      <c r="B523" s="3">
        <v>0.1061</v>
      </c>
      <c r="C523" s="1">
        <v>0.36</v>
      </c>
      <c r="D523" s="1">
        <v>0.25369999999999998</v>
      </c>
      <c r="E523" s="4">
        <v>4</v>
      </c>
      <c r="F523" s="4">
        <v>31</v>
      </c>
      <c r="G523" s="4">
        <v>35</v>
      </c>
      <c r="H523" s="2" t="s">
        <v>16</v>
      </c>
      <c r="I523" s="2" t="s">
        <v>18</v>
      </c>
      <c r="J523" s="2" t="s">
        <v>15</v>
      </c>
      <c r="K523" s="1">
        <v>11.428571428571431</v>
      </c>
      <c r="L523" s="1">
        <v>88.571428571428569</v>
      </c>
      <c r="M523" s="2" t="s">
        <v>16</v>
      </c>
    </row>
    <row r="524" spans="1:13" x14ac:dyDescent="0.3">
      <c r="A524" s="4">
        <v>523</v>
      </c>
      <c r="B524" s="3">
        <v>0.1061</v>
      </c>
      <c r="C524" s="1">
        <v>0.36</v>
      </c>
      <c r="D524" s="1">
        <v>0.19400000000000001</v>
      </c>
      <c r="E524" s="4">
        <v>5</v>
      </c>
      <c r="F524" s="4">
        <v>20</v>
      </c>
      <c r="G524" s="4">
        <v>25</v>
      </c>
      <c r="H524" s="2" t="s">
        <v>16</v>
      </c>
      <c r="I524" s="2" t="s">
        <v>18</v>
      </c>
      <c r="J524" s="2" t="s">
        <v>15</v>
      </c>
      <c r="K524" s="1">
        <v>20</v>
      </c>
      <c r="L524" s="1">
        <v>80</v>
      </c>
      <c r="M524" s="2" t="s">
        <v>16</v>
      </c>
    </row>
    <row r="525" spans="1:13" x14ac:dyDescent="0.3">
      <c r="A525" s="4">
        <v>524</v>
      </c>
      <c r="B525" s="3">
        <v>9.0899999999999995E-2</v>
      </c>
      <c r="C525" s="1">
        <v>0.38</v>
      </c>
      <c r="D525" s="1">
        <v>0.19400000000000001</v>
      </c>
      <c r="E525" s="4">
        <v>5</v>
      </c>
      <c r="F525" s="4">
        <v>23</v>
      </c>
      <c r="G525" s="4">
        <v>28</v>
      </c>
      <c r="H525" s="2" t="s">
        <v>16</v>
      </c>
      <c r="I525" s="2" t="s">
        <v>18</v>
      </c>
      <c r="J525" s="2" t="s">
        <v>15</v>
      </c>
      <c r="K525" s="1">
        <v>17.857142857142861</v>
      </c>
      <c r="L525" s="1">
        <v>82.142857142857139</v>
      </c>
      <c r="M525" s="2" t="s">
        <v>16</v>
      </c>
    </row>
    <row r="526" spans="1:13" x14ac:dyDescent="0.3">
      <c r="A526" s="4">
        <v>525</v>
      </c>
      <c r="B526" s="3">
        <v>6.0600000000000001E-2</v>
      </c>
      <c r="C526" s="1">
        <v>0.41</v>
      </c>
      <c r="D526" s="1">
        <v>0.22389999999999999</v>
      </c>
      <c r="E526" s="4">
        <v>4</v>
      </c>
      <c r="F526" s="4">
        <v>17</v>
      </c>
      <c r="G526" s="4">
        <v>21</v>
      </c>
      <c r="H526" s="2" t="s">
        <v>19</v>
      </c>
      <c r="I526" s="2" t="s">
        <v>18</v>
      </c>
      <c r="J526" s="2" t="s">
        <v>15</v>
      </c>
      <c r="K526" s="1">
        <v>19.047619047619051</v>
      </c>
      <c r="L526" s="1">
        <v>80.952380952380949</v>
      </c>
      <c r="M526" s="2" t="s">
        <v>16</v>
      </c>
    </row>
    <row r="527" spans="1:13" x14ac:dyDescent="0.3">
      <c r="A527" s="4">
        <v>526</v>
      </c>
      <c r="B527" s="3">
        <v>6.0600000000000001E-2</v>
      </c>
      <c r="C527" s="1">
        <v>0.41</v>
      </c>
      <c r="D527" s="1">
        <v>0.19400000000000001</v>
      </c>
      <c r="E527" s="4">
        <v>0</v>
      </c>
      <c r="F527" s="4">
        <v>7</v>
      </c>
      <c r="G527" s="4">
        <v>7</v>
      </c>
      <c r="H527" s="2" t="s">
        <v>19</v>
      </c>
      <c r="I527" s="2" t="s">
        <v>18</v>
      </c>
      <c r="J527" s="2" t="s">
        <v>15</v>
      </c>
      <c r="K527" s="1">
        <v>0</v>
      </c>
      <c r="L527" s="1">
        <v>100</v>
      </c>
      <c r="M527" s="2" t="s">
        <v>16</v>
      </c>
    </row>
    <row r="528" spans="1:13" x14ac:dyDescent="0.3">
      <c r="A528" s="4">
        <v>527</v>
      </c>
      <c r="B528" s="3">
        <v>4.5499999999999999E-2</v>
      </c>
      <c r="C528" s="1">
        <v>0.45</v>
      </c>
      <c r="D528" s="1">
        <v>0.19400000000000001</v>
      </c>
      <c r="E528" s="4">
        <v>0</v>
      </c>
      <c r="F528" s="4">
        <v>1</v>
      </c>
      <c r="G528" s="4">
        <v>1</v>
      </c>
      <c r="H528" s="2" t="s">
        <v>19</v>
      </c>
      <c r="I528" s="2" t="s">
        <v>18</v>
      </c>
      <c r="J528" s="2" t="s">
        <v>15</v>
      </c>
      <c r="K528" s="1">
        <v>0</v>
      </c>
      <c r="L528" s="1">
        <v>100</v>
      </c>
      <c r="M528" s="2" t="s">
        <v>16</v>
      </c>
    </row>
    <row r="529" spans="1:13" x14ac:dyDescent="0.3">
      <c r="A529" s="4">
        <v>528</v>
      </c>
      <c r="B529" s="3">
        <v>3.0300000000000001E-2</v>
      </c>
      <c r="C529" s="1">
        <v>0.45</v>
      </c>
      <c r="D529" s="1">
        <v>0.25369999999999998</v>
      </c>
      <c r="E529" s="4">
        <v>0</v>
      </c>
      <c r="F529" s="4">
        <v>1</v>
      </c>
      <c r="G529" s="4">
        <v>1</v>
      </c>
      <c r="H529" s="2" t="s">
        <v>19</v>
      </c>
      <c r="I529" s="2" t="s">
        <v>18</v>
      </c>
      <c r="J529" s="2" t="s">
        <v>15</v>
      </c>
      <c r="K529" s="1">
        <v>0</v>
      </c>
      <c r="L529" s="1">
        <v>100</v>
      </c>
      <c r="M529" s="2" t="s">
        <v>16</v>
      </c>
    </row>
    <row r="530" spans="1:13" x14ac:dyDescent="0.3">
      <c r="A530" s="4">
        <v>529</v>
      </c>
      <c r="B530" s="3">
        <v>6.0600000000000001E-2</v>
      </c>
      <c r="C530" s="1">
        <v>0.48</v>
      </c>
      <c r="D530" s="1">
        <v>0.1343</v>
      </c>
      <c r="E530" s="4">
        <v>0</v>
      </c>
      <c r="F530" s="4">
        <v>1</v>
      </c>
      <c r="G530" s="4">
        <v>1</v>
      </c>
      <c r="H530" s="2" t="s">
        <v>19</v>
      </c>
      <c r="I530" s="2" t="s">
        <v>14</v>
      </c>
      <c r="J530" s="2" t="s">
        <v>15</v>
      </c>
      <c r="K530" s="1">
        <v>0</v>
      </c>
      <c r="L530" s="1">
        <v>100</v>
      </c>
      <c r="M530" s="2" t="s">
        <v>16</v>
      </c>
    </row>
    <row r="531" spans="1:13" x14ac:dyDescent="0.3">
      <c r="A531" s="4">
        <v>530</v>
      </c>
      <c r="B531" s="3">
        <v>6.0600000000000001E-2</v>
      </c>
      <c r="C531" s="1">
        <v>0.48</v>
      </c>
      <c r="D531" s="1">
        <v>0.1343</v>
      </c>
      <c r="E531" s="4">
        <v>0</v>
      </c>
      <c r="F531" s="4">
        <v>5</v>
      </c>
      <c r="G531" s="4">
        <v>5</v>
      </c>
      <c r="H531" s="2" t="s">
        <v>19</v>
      </c>
      <c r="I531" s="2" t="s">
        <v>14</v>
      </c>
      <c r="J531" s="2" t="s">
        <v>15</v>
      </c>
      <c r="K531" s="1">
        <v>0</v>
      </c>
      <c r="L531" s="1">
        <v>100</v>
      </c>
      <c r="M531" s="2" t="s">
        <v>16</v>
      </c>
    </row>
    <row r="532" spans="1:13" x14ac:dyDescent="0.3">
      <c r="A532" s="4">
        <v>531</v>
      </c>
      <c r="B532" s="3">
        <v>7.5800000000000006E-2</v>
      </c>
      <c r="C532" s="1">
        <v>0.48</v>
      </c>
      <c r="D532" s="1">
        <v>8.9599999999999999E-2</v>
      </c>
      <c r="E532" s="4">
        <v>0</v>
      </c>
      <c r="F532" s="4">
        <v>15</v>
      </c>
      <c r="G532" s="4">
        <v>15</v>
      </c>
      <c r="H532" s="2" t="s">
        <v>19</v>
      </c>
      <c r="I532" s="2" t="s">
        <v>14</v>
      </c>
      <c r="J532" s="2" t="s">
        <v>15</v>
      </c>
      <c r="K532" s="1">
        <v>0</v>
      </c>
      <c r="L532" s="1">
        <v>100</v>
      </c>
      <c r="M532" s="2" t="s">
        <v>16</v>
      </c>
    </row>
    <row r="533" spans="1:13" x14ac:dyDescent="0.3">
      <c r="A533" s="4">
        <v>532</v>
      </c>
      <c r="B533" s="3">
        <v>0.1212</v>
      </c>
      <c r="C533" s="1">
        <v>0.48</v>
      </c>
      <c r="D533" s="1">
        <v>0</v>
      </c>
      <c r="E533" s="4">
        <v>5</v>
      </c>
      <c r="F533" s="4">
        <v>79</v>
      </c>
      <c r="G533" s="4">
        <v>84</v>
      </c>
      <c r="H533" s="2" t="s">
        <v>19</v>
      </c>
      <c r="I533" s="2" t="s">
        <v>14</v>
      </c>
      <c r="J533" s="2" t="s">
        <v>15</v>
      </c>
      <c r="K533" s="1">
        <v>5.9523809523809517</v>
      </c>
      <c r="L533" s="1">
        <v>94.047619047619051</v>
      </c>
      <c r="M533" s="2" t="s">
        <v>16</v>
      </c>
    </row>
    <row r="534" spans="1:13" x14ac:dyDescent="0.3">
      <c r="A534" s="4">
        <v>533</v>
      </c>
      <c r="B534" s="3">
        <v>0.13639999999999999</v>
      </c>
      <c r="C534" s="1">
        <v>0.49</v>
      </c>
      <c r="D534" s="1">
        <v>0</v>
      </c>
      <c r="E534" s="4">
        <v>6</v>
      </c>
      <c r="F534" s="4">
        <v>171</v>
      </c>
      <c r="G534" s="4">
        <v>177</v>
      </c>
      <c r="H534" s="2" t="s">
        <v>19</v>
      </c>
      <c r="I534" s="2" t="s">
        <v>14</v>
      </c>
      <c r="J534" s="2" t="s">
        <v>15</v>
      </c>
      <c r="K534" s="1">
        <v>3.3898305084745761</v>
      </c>
      <c r="L534" s="1">
        <v>96.610169491525426</v>
      </c>
      <c r="M534" s="2" t="s">
        <v>19</v>
      </c>
    </row>
    <row r="535" spans="1:13" x14ac:dyDescent="0.3">
      <c r="A535" s="4">
        <v>534</v>
      </c>
      <c r="B535" s="3">
        <v>0.1515</v>
      </c>
      <c r="C535" s="1">
        <v>0.41</v>
      </c>
      <c r="D535" s="1">
        <v>0</v>
      </c>
      <c r="E535" s="4">
        <v>4</v>
      </c>
      <c r="F535" s="4">
        <v>98</v>
      </c>
      <c r="G535" s="4">
        <v>102</v>
      </c>
      <c r="H535" s="2" t="s">
        <v>19</v>
      </c>
      <c r="I535" s="2" t="s">
        <v>14</v>
      </c>
      <c r="J535" s="2" t="s">
        <v>15</v>
      </c>
      <c r="K535" s="1">
        <v>3.9215686274509798</v>
      </c>
      <c r="L535" s="1">
        <v>96.078431372549019</v>
      </c>
      <c r="M535" s="2" t="s">
        <v>19</v>
      </c>
    </row>
    <row r="536" spans="1:13" x14ac:dyDescent="0.3">
      <c r="A536" s="4">
        <v>535</v>
      </c>
      <c r="B536" s="3">
        <v>0.13639999999999999</v>
      </c>
      <c r="C536" s="1">
        <v>0.42</v>
      </c>
      <c r="D536" s="1">
        <v>0</v>
      </c>
      <c r="E536" s="4">
        <v>6</v>
      </c>
      <c r="F536" s="4">
        <v>34</v>
      </c>
      <c r="G536" s="4">
        <v>40</v>
      </c>
      <c r="H536" s="2" t="s">
        <v>19</v>
      </c>
      <c r="I536" s="2" t="s">
        <v>14</v>
      </c>
      <c r="J536" s="2" t="s">
        <v>15</v>
      </c>
      <c r="K536" s="1">
        <v>15</v>
      </c>
      <c r="L536" s="1">
        <v>85</v>
      </c>
      <c r="M536" s="2" t="s">
        <v>16</v>
      </c>
    </row>
    <row r="537" spans="1:13" x14ac:dyDescent="0.3">
      <c r="A537" s="4">
        <v>536</v>
      </c>
      <c r="B537" s="3">
        <v>0.1212</v>
      </c>
      <c r="C537" s="1">
        <v>0.46</v>
      </c>
      <c r="D537" s="1">
        <v>0.1343</v>
      </c>
      <c r="E537" s="4">
        <v>3</v>
      </c>
      <c r="F537" s="4">
        <v>43</v>
      </c>
      <c r="G537" s="4">
        <v>46</v>
      </c>
      <c r="H537" s="2" t="s">
        <v>19</v>
      </c>
      <c r="I537" s="2" t="s">
        <v>14</v>
      </c>
      <c r="J537" s="2" t="s">
        <v>15</v>
      </c>
      <c r="K537" s="1">
        <v>6.5217391304347823</v>
      </c>
      <c r="L537" s="1">
        <v>93.478260869565219</v>
      </c>
      <c r="M537" s="2" t="s">
        <v>16</v>
      </c>
    </row>
    <row r="538" spans="1:13" x14ac:dyDescent="0.3">
      <c r="A538" s="4">
        <v>537</v>
      </c>
      <c r="B538" s="3">
        <v>0.13639999999999999</v>
      </c>
      <c r="C538" s="1">
        <v>0.42</v>
      </c>
      <c r="D538" s="1">
        <v>0.19400000000000001</v>
      </c>
      <c r="E538" s="4">
        <v>11</v>
      </c>
      <c r="F538" s="4">
        <v>52</v>
      </c>
      <c r="G538" s="4">
        <v>63</v>
      </c>
      <c r="H538" s="2" t="s">
        <v>19</v>
      </c>
      <c r="I538" s="2" t="s">
        <v>18</v>
      </c>
      <c r="J538" s="2" t="s">
        <v>15</v>
      </c>
      <c r="K538" s="1">
        <v>17.460317460317459</v>
      </c>
      <c r="L538" s="1">
        <v>82.539682539682531</v>
      </c>
      <c r="M538" s="2" t="s">
        <v>16</v>
      </c>
    </row>
    <row r="539" spans="1:13" x14ac:dyDescent="0.3">
      <c r="A539" s="4">
        <v>538</v>
      </c>
      <c r="B539" s="3">
        <v>0.13639999999999999</v>
      </c>
      <c r="C539" s="1">
        <v>0.43</v>
      </c>
      <c r="D539" s="1">
        <v>0.22389999999999999</v>
      </c>
      <c r="E539" s="4">
        <v>6</v>
      </c>
      <c r="F539" s="4">
        <v>54</v>
      </c>
      <c r="G539" s="4">
        <v>60</v>
      </c>
      <c r="H539" s="2" t="s">
        <v>19</v>
      </c>
      <c r="I539" s="2" t="s">
        <v>18</v>
      </c>
      <c r="J539" s="2" t="s">
        <v>15</v>
      </c>
      <c r="K539" s="1">
        <v>10</v>
      </c>
      <c r="L539" s="1">
        <v>90</v>
      </c>
      <c r="M539" s="2" t="s">
        <v>16</v>
      </c>
    </row>
    <row r="540" spans="1:13" x14ac:dyDescent="0.3">
      <c r="A540" s="4">
        <v>539</v>
      </c>
      <c r="B540" s="3">
        <v>0.13639999999999999</v>
      </c>
      <c r="C540" s="1">
        <v>0.46</v>
      </c>
      <c r="D540" s="1">
        <v>0.22389999999999999</v>
      </c>
      <c r="E540" s="4">
        <v>2</v>
      </c>
      <c r="F540" s="4">
        <v>43</v>
      </c>
      <c r="G540" s="4">
        <v>45</v>
      </c>
      <c r="H540" s="2" t="s">
        <v>19</v>
      </c>
      <c r="I540" s="2" t="s">
        <v>18</v>
      </c>
      <c r="J540" s="2" t="s">
        <v>15</v>
      </c>
      <c r="K540" s="1">
        <v>4.4444444444444446</v>
      </c>
      <c r="L540" s="1">
        <v>95.555555555555557</v>
      </c>
      <c r="M540" s="2" t="s">
        <v>16</v>
      </c>
    </row>
    <row r="541" spans="1:13" x14ac:dyDescent="0.3">
      <c r="A541" s="4">
        <v>540</v>
      </c>
      <c r="B541" s="3">
        <v>0.16669999999999999</v>
      </c>
      <c r="C541" s="1">
        <v>0.4</v>
      </c>
      <c r="D541" s="1">
        <v>0.16420000000000001</v>
      </c>
      <c r="E541" s="4">
        <v>7</v>
      </c>
      <c r="F541" s="4">
        <v>50</v>
      </c>
      <c r="G541" s="4">
        <v>57</v>
      </c>
      <c r="H541" s="2" t="s">
        <v>19</v>
      </c>
      <c r="I541" s="2" t="s">
        <v>18</v>
      </c>
      <c r="J541" s="2" t="s">
        <v>15</v>
      </c>
      <c r="K541" s="1">
        <v>12.28070175438596</v>
      </c>
      <c r="L541" s="1">
        <v>87.719298245614027</v>
      </c>
      <c r="M541" s="2" t="s">
        <v>16</v>
      </c>
    </row>
    <row r="542" spans="1:13" x14ac:dyDescent="0.3">
      <c r="A542" s="4">
        <v>541</v>
      </c>
      <c r="B542" s="3">
        <v>0.1515</v>
      </c>
      <c r="C542" s="1">
        <v>0.47</v>
      </c>
      <c r="D542" s="1">
        <v>0.25369999999999998</v>
      </c>
      <c r="E542" s="4">
        <v>4</v>
      </c>
      <c r="F542" s="4">
        <v>66</v>
      </c>
      <c r="G542" s="4">
        <v>70</v>
      </c>
      <c r="H542" s="2" t="s">
        <v>19</v>
      </c>
      <c r="I542" s="2" t="s">
        <v>18</v>
      </c>
      <c r="J542" s="2" t="s">
        <v>15</v>
      </c>
      <c r="K542" s="1">
        <v>5.7142857142857144</v>
      </c>
      <c r="L542" s="1">
        <v>94.285714285714278</v>
      </c>
      <c r="M542" s="2" t="s">
        <v>16</v>
      </c>
    </row>
    <row r="543" spans="1:13" x14ac:dyDescent="0.3">
      <c r="A543" s="4">
        <v>542</v>
      </c>
      <c r="B543" s="3">
        <v>0.1212</v>
      </c>
      <c r="C543" s="1">
        <v>0.5</v>
      </c>
      <c r="D543" s="1">
        <v>0.25369999999999998</v>
      </c>
      <c r="E543" s="4">
        <v>6</v>
      </c>
      <c r="F543" s="4">
        <v>178</v>
      </c>
      <c r="G543" s="4">
        <v>184</v>
      </c>
      <c r="H543" s="2" t="s">
        <v>19</v>
      </c>
      <c r="I543" s="2" t="s">
        <v>18</v>
      </c>
      <c r="J543" s="2" t="s">
        <v>15</v>
      </c>
      <c r="K543" s="1">
        <v>3.2608695652173911</v>
      </c>
      <c r="L543" s="1">
        <v>96.739130434782609</v>
      </c>
      <c r="M543" s="2" t="s">
        <v>19</v>
      </c>
    </row>
    <row r="544" spans="1:13" x14ac:dyDescent="0.3">
      <c r="A544" s="4">
        <v>543</v>
      </c>
      <c r="B544" s="3">
        <v>0.13639999999999999</v>
      </c>
      <c r="C544" s="1">
        <v>0.59</v>
      </c>
      <c r="D544" s="1">
        <v>0.19400000000000001</v>
      </c>
      <c r="E544" s="4">
        <v>8</v>
      </c>
      <c r="F544" s="4">
        <v>145</v>
      </c>
      <c r="G544" s="4">
        <v>153</v>
      </c>
      <c r="H544" s="2" t="s">
        <v>19</v>
      </c>
      <c r="I544" s="2" t="s">
        <v>18</v>
      </c>
      <c r="J544" s="2" t="s">
        <v>15</v>
      </c>
      <c r="K544" s="1">
        <v>5.2287581699346406</v>
      </c>
      <c r="L544" s="1">
        <v>94.77124183006535</v>
      </c>
      <c r="M544" s="2" t="s">
        <v>19</v>
      </c>
    </row>
    <row r="545" spans="1:13" x14ac:dyDescent="0.3">
      <c r="A545" s="4">
        <v>544</v>
      </c>
      <c r="B545" s="3">
        <v>0.1515</v>
      </c>
      <c r="C545" s="1">
        <v>0.54</v>
      </c>
      <c r="D545" s="1">
        <v>0.16420000000000001</v>
      </c>
      <c r="E545" s="4">
        <v>5</v>
      </c>
      <c r="F545" s="4">
        <v>101</v>
      </c>
      <c r="G545" s="4">
        <v>106</v>
      </c>
      <c r="H545" s="2" t="s">
        <v>19</v>
      </c>
      <c r="I545" s="2" t="s">
        <v>18</v>
      </c>
      <c r="J545" s="2" t="s">
        <v>15</v>
      </c>
      <c r="K545" s="1">
        <v>4.716981132075472</v>
      </c>
      <c r="L545" s="1">
        <v>95.283018867924525</v>
      </c>
      <c r="M545" s="2" t="s">
        <v>19</v>
      </c>
    </row>
    <row r="546" spans="1:13" x14ac:dyDescent="0.3">
      <c r="A546" s="4">
        <v>545</v>
      </c>
      <c r="B546" s="3">
        <v>0.13639999999999999</v>
      </c>
      <c r="C546" s="1">
        <v>0.59</v>
      </c>
      <c r="D546" s="1">
        <v>0.19400000000000001</v>
      </c>
      <c r="E546" s="4">
        <v>1</v>
      </c>
      <c r="F546" s="4">
        <v>80</v>
      </c>
      <c r="G546" s="4">
        <v>81</v>
      </c>
      <c r="H546" s="2" t="s">
        <v>19</v>
      </c>
      <c r="I546" s="2" t="s">
        <v>18</v>
      </c>
      <c r="J546" s="2" t="s">
        <v>15</v>
      </c>
      <c r="K546" s="1">
        <v>1.2345679012345681</v>
      </c>
      <c r="L546" s="1">
        <v>98.76543209876543</v>
      </c>
      <c r="M546" s="2" t="s">
        <v>16</v>
      </c>
    </row>
    <row r="547" spans="1:13" x14ac:dyDescent="0.3">
      <c r="A547" s="4">
        <v>546</v>
      </c>
      <c r="B547" s="3">
        <v>0.1515</v>
      </c>
      <c r="C547" s="1">
        <v>0.63</v>
      </c>
      <c r="D547" s="1">
        <v>0.16420000000000001</v>
      </c>
      <c r="E547" s="4">
        <v>6</v>
      </c>
      <c r="F547" s="4">
        <v>53</v>
      </c>
      <c r="G547" s="4">
        <v>59</v>
      </c>
      <c r="H547" s="2" t="s">
        <v>19</v>
      </c>
      <c r="I547" s="2" t="s">
        <v>18</v>
      </c>
      <c r="J547" s="2" t="s">
        <v>15</v>
      </c>
      <c r="K547" s="1">
        <v>10.16949152542373</v>
      </c>
      <c r="L547" s="1">
        <v>89.830508474576277</v>
      </c>
      <c r="M547" s="2" t="s">
        <v>16</v>
      </c>
    </row>
    <row r="548" spans="1:13" x14ac:dyDescent="0.3">
      <c r="A548" s="4">
        <v>547</v>
      </c>
      <c r="B548" s="3">
        <v>0.13639999999999999</v>
      </c>
      <c r="C548" s="1">
        <v>0.63</v>
      </c>
      <c r="D548" s="1">
        <v>0.22389999999999999</v>
      </c>
      <c r="E548" s="4">
        <v>3</v>
      </c>
      <c r="F548" s="4">
        <v>32</v>
      </c>
      <c r="G548" s="4">
        <v>35</v>
      </c>
      <c r="H548" s="2" t="s">
        <v>19</v>
      </c>
      <c r="I548" s="2" t="s">
        <v>18</v>
      </c>
      <c r="J548" s="2" t="s">
        <v>15</v>
      </c>
      <c r="K548" s="1">
        <v>8.5714285714285712</v>
      </c>
      <c r="L548" s="1">
        <v>91.428571428571431</v>
      </c>
      <c r="M548" s="2" t="s">
        <v>16</v>
      </c>
    </row>
    <row r="549" spans="1:13" x14ac:dyDescent="0.3">
      <c r="A549" s="4">
        <v>548</v>
      </c>
      <c r="B549" s="3">
        <v>0.1515</v>
      </c>
      <c r="C549" s="1">
        <v>0.64</v>
      </c>
      <c r="D549" s="1">
        <v>0.25369999999999998</v>
      </c>
      <c r="E549" s="4">
        <v>3</v>
      </c>
      <c r="F549" s="4">
        <v>21</v>
      </c>
      <c r="G549" s="4">
        <v>24</v>
      </c>
      <c r="H549" s="2" t="s">
        <v>19</v>
      </c>
      <c r="I549" s="2" t="s">
        <v>18</v>
      </c>
      <c r="J549" s="2" t="s">
        <v>15</v>
      </c>
      <c r="K549" s="1">
        <v>12.5</v>
      </c>
      <c r="L549" s="1">
        <v>87.5</v>
      </c>
      <c r="M549" s="2" t="s">
        <v>16</v>
      </c>
    </row>
    <row r="550" spans="1:13" x14ac:dyDescent="0.3">
      <c r="A550" s="4">
        <v>549</v>
      </c>
      <c r="B550" s="3">
        <v>0.13639999999999999</v>
      </c>
      <c r="C550" s="1">
        <v>0.69</v>
      </c>
      <c r="D550" s="1">
        <v>0.28360000000000002</v>
      </c>
      <c r="E550" s="4">
        <v>3</v>
      </c>
      <c r="F550" s="4">
        <v>6</v>
      </c>
      <c r="G550" s="4">
        <v>9</v>
      </c>
      <c r="H550" s="2" t="s">
        <v>19</v>
      </c>
      <c r="I550" s="2" t="s">
        <v>18</v>
      </c>
      <c r="J550" s="2" t="s">
        <v>15</v>
      </c>
      <c r="K550" s="1">
        <v>33.333333333333329</v>
      </c>
      <c r="L550" s="1">
        <v>66.666666666666657</v>
      </c>
      <c r="M550" s="2" t="s">
        <v>16</v>
      </c>
    </row>
    <row r="551" spans="1:13" x14ac:dyDescent="0.3">
      <c r="A551" s="4">
        <v>550</v>
      </c>
      <c r="B551" s="3">
        <v>0.16669999999999999</v>
      </c>
      <c r="C551" s="1">
        <v>0.69</v>
      </c>
      <c r="D551" s="1">
        <v>0.16420000000000001</v>
      </c>
      <c r="E551" s="4">
        <v>0</v>
      </c>
      <c r="F551" s="4">
        <v>5</v>
      </c>
      <c r="G551" s="4">
        <v>5</v>
      </c>
      <c r="H551" s="2" t="s">
        <v>19</v>
      </c>
      <c r="I551" s="2" t="s">
        <v>18</v>
      </c>
      <c r="J551" s="2" t="s">
        <v>15</v>
      </c>
      <c r="K551" s="1">
        <v>0</v>
      </c>
      <c r="L551" s="1">
        <v>100</v>
      </c>
      <c r="M551" s="2" t="s">
        <v>16</v>
      </c>
    </row>
    <row r="552" spans="1:13" x14ac:dyDescent="0.3">
      <c r="A552" s="4">
        <v>551</v>
      </c>
      <c r="B552" s="3">
        <v>0.1515</v>
      </c>
      <c r="C552" s="1">
        <v>0.69</v>
      </c>
      <c r="D552" s="1">
        <v>0.22389999999999999</v>
      </c>
      <c r="E552" s="4">
        <v>0</v>
      </c>
      <c r="F552" s="4">
        <v>2</v>
      </c>
      <c r="G552" s="4">
        <v>2</v>
      </c>
      <c r="H552" s="2" t="s">
        <v>19</v>
      </c>
      <c r="I552" s="2" t="s">
        <v>18</v>
      </c>
      <c r="J552" s="2" t="s">
        <v>15</v>
      </c>
      <c r="K552" s="1">
        <v>0</v>
      </c>
      <c r="L552" s="1">
        <v>100</v>
      </c>
      <c r="M552" s="2" t="s">
        <v>16</v>
      </c>
    </row>
    <row r="553" spans="1:13" x14ac:dyDescent="0.3">
      <c r="A553" s="4">
        <v>552</v>
      </c>
      <c r="B553" s="3">
        <v>0.16669999999999999</v>
      </c>
      <c r="C553" s="1">
        <v>0.74</v>
      </c>
      <c r="D553" s="1">
        <v>0.1045</v>
      </c>
      <c r="E553" s="4">
        <v>0</v>
      </c>
      <c r="F553" s="4">
        <v>1</v>
      </c>
      <c r="G553" s="4">
        <v>1</v>
      </c>
      <c r="H553" s="2" t="s">
        <v>13</v>
      </c>
      <c r="I553" s="2" t="s">
        <v>14</v>
      </c>
      <c r="J553" s="2" t="s">
        <v>15</v>
      </c>
      <c r="K553" s="1">
        <v>0</v>
      </c>
      <c r="L553" s="1">
        <v>100</v>
      </c>
      <c r="M553" s="2" t="s">
        <v>16</v>
      </c>
    </row>
    <row r="554" spans="1:13" x14ac:dyDescent="0.3">
      <c r="A554" s="4">
        <v>553</v>
      </c>
      <c r="B554" s="3">
        <v>0.13639999999999999</v>
      </c>
      <c r="C554" s="1">
        <v>0.74</v>
      </c>
      <c r="D554" s="1">
        <v>0.22389999999999999</v>
      </c>
      <c r="E554" s="4">
        <v>0</v>
      </c>
      <c r="F554" s="4">
        <v>9</v>
      </c>
      <c r="G554" s="4">
        <v>9</v>
      </c>
      <c r="H554" s="2" t="s">
        <v>13</v>
      </c>
      <c r="I554" s="2" t="s">
        <v>18</v>
      </c>
      <c r="J554" s="2" t="s">
        <v>15</v>
      </c>
      <c r="K554" s="1">
        <v>0</v>
      </c>
      <c r="L554" s="1">
        <v>100</v>
      </c>
      <c r="M554" s="2" t="s">
        <v>16</v>
      </c>
    </row>
    <row r="555" spans="1:13" x14ac:dyDescent="0.3">
      <c r="A555" s="4">
        <v>554</v>
      </c>
      <c r="B555" s="3">
        <v>0.18179999999999999</v>
      </c>
      <c r="C555" s="1">
        <v>0.74</v>
      </c>
      <c r="D555" s="1">
        <v>0.1045</v>
      </c>
      <c r="E555" s="4">
        <v>1</v>
      </c>
      <c r="F555" s="4">
        <v>35</v>
      </c>
      <c r="G555" s="4">
        <v>36</v>
      </c>
      <c r="H555" s="2" t="s">
        <v>13</v>
      </c>
      <c r="I555" s="2" t="s">
        <v>14</v>
      </c>
      <c r="J555" s="2" t="s">
        <v>15</v>
      </c>
      <c r="K555" s="1">
        <v>2.7777777777777781</v>
      </c>
      <c r="L555" s="1">
        <v>97.222222222222214</v>
      </c>
      <c r="M555" s="2" t="s">
        <v>16</v>
      </c>
    </row>
    <row r="556" spans="1:13" x14ac:dyDescent="0.3">
      <c r="A556" s="4">
        <v>555</v>
      </c>
      <c r="B556" s="3">
        <v>0.1515</v>
      </c>
      <c r="C556" s="1">
        <v>0.74</v>
      </c>
      <c r="D556" s="1">
        <v>0.22389999999999999</v>
      </c>
      <c r="E556" s="4">
        <v>5</v>
      </c>
      <c r="F556" s="4">
        <v>103</v>
      </c>
      <c r="G556" s="4">
        <v>108</v>
      </c>
      <c r="H556" s="2" t="s">
        <v>13</v>
      </c>
      <c r="I556" s="2" t="s">
        <v>18</v>
      </c>
      <c r="J556" s="2" t="s">
        <v>15</v>
      </c>
      <c r="K556" s="1">
        <v>4.6296296296296298</v>
      </c>
      <c r="L556" s="1">
        <v>95.370370370370367</v>
      </c>
      <c r="M556" s="2" t="s">
        <v>19</v>
      </c>
    </row>
    <row r="557" spans="1:13" x14ac:dyDescent="0.3">
      <c r="A557" s="4">
        <v>556</v>
      </c>
      <c r="B557" s="3">
        <v>0.18179999999999999</v>
      </c>
      <c r="C557" s="1">
        <v>0.74</v>
      </c>
      <c r="D557" s="1">
        <v>0.1343</v>
      </c>
      <c r="E557" s="4">
        <v>5</v>
      </c>
      <c r="F557" s="4">
        <v>233</v>
      </c>
      <c r="G557" s="4">
        <v>238</v>
      </c>
      <c r="H557" s="2" t="s">
        <v>13</v>
      </c>
      <c r="I557" s="2" t="s">
        <v>14</v>
      </c>
      <c r="J557" s="2" t="s">
        <v>15</v>
      </c>
      <c r="K557" s="1">
        <v>2.1008403361344539</v>
      </c>
      <c r="L557" s="1">
        <v>97.899159663865547</v>
      </c>
      <c r="M557" s="2" t="s">
        <v>19</v>
      </c>
    </row>
    <row r="558" spans="1:13" x14ac:dyDescent="0.3">
      <c r="A558" s="4">
        <v>557</v>
      </c>
      <c r="B558" s="3">
        <v>0.2273</v>
      </c>
      <c r="C558" s="1">
        <v>0.64</v>
      </c>
      <c r="D558" s="1">
        <v>8.9599999999999999E-2</v>
      </c>
      <c r="E558" s="4">
        <v>10</v>
      </c>
      <c r="F558" s="4">
        <v>134</v>
      </c>
      <c r="G558" s="4">
        <v>144</v>
      </c>
      <c r="H558" s="2" t="s">
        <v>19</v>
      </c>
      <c r="I558" s="2" t="s">
        <v>14</v>
      </c>
      <c r="J558" s="2" t="s">
        <v>15</v>
      </c>
      <c r="K558" s="1">
        <v>6.9444444444444446</v>
      </c>
      <c r="L558" s="1">
        <v>93.055555555555557</v>
      </c>
      <c r="M558" s="2" t="s">
        <v>19</v>
      </c>
    </row>
    <row r="559" spans="1:13" x14ac:dyDescent="0.3">
      <c r="A559" s="4">
        <v>558</v>
      </c>
      <c r="B559" s="3">
        <v>0.2424</v>
      </c>
      <c r="C559" s="1">
        <v>0.6</v>
      </c>
      <c r="D559" s="1">
        <v>0.1045</v>
      </c>
      <c r="E559" s="4">
        <v>6</v>
      </c>
      <c r="F559" s="4">
        <v>49</v>
      </c>
      <c r="G559" s="4">
        <v>55</v>
      </c>
      <c r="H559" s="2" t="s">
        <v>19</v>
      </c>
      <c r="I559" s="2" t="s">
        <v>14</v>
      </c>
      <c r="J559" s="2" t="s">
        <v>15</v>
      </c>
      <c r="K559" s="1">
        <v>10.90909090909091</v>
      </c>
      <c r="L559" s="1">
        <v>89.090909090909093</v>
      </c>
      <c r="M559" s="2" t="s">
        <v>16</v>
      </c>
    </row>
    <row r="560" spans="1:13" x14ac:dyDescent="0.3">
      <c r="A560" s="4">
        <v>559</v>
      </c>
      <c r="B560" s="3">
        <v>0.2424</v>
      </c>
      <c r="C560" s="1">
        <v>0.6</v>
      </c>
      <c r="D560" s="1">
        <v>0.1343</v>
      </c>
      <c r="E560" s="4">
        <v>6</v>
      </c>
      <c r="F560" s="4">
        <v>55</v>
      </c>
      <c r="G560" s="4">
        <v>61</v>
      </c>
      <c r="H560" s="2" t="s">
        <v>19</v>
      </c>
      <c r="I560" s="2" t="s">
        <v>14</v>
      </c>
      <c r="J560" s="2" t="s">
        <v>15</v>
      </c>
      <c r="K560" s="1">
        <v>9.8360655737704921</v>
      </c>
      <c r="L560" s="1">
        <v>90.163934426229503</v>
      </c>
      <c r="M560" s="2" t="s">
        <v>16</v>
      </c>
    </row>
    <row r="561" spans="1:13" x14ac:dyDescent="0.3">
      <c r="A561" s="4">
        <v>560</v>
      </c>
      <c r="B561" s="3">
        <v>0.28789999999999999</v>
      </c>
      <c r="C561" s="1">
        <v>0.56000000000000005</v>
      </c>
      <c r="D561" s="1">
        <v>8.9599999999999999E-2</v>
      </c>
      <c r="E561" s="4">
        <v>21</v>
      </c>
      <c r="F561" s="4">
        <v>85</v>
      </c>
      <c r="G561" s="4">
        <v>106</v>
      </c>
      <c r="H561" s="2" t="s">
        <v>19</v>
      </c>
      <c r="I561" s="2" t="s">
        <v>14</v>
      </c>
      <c r="J561" s="2" t="s">
        <v>15</v>
      </c>
      <c r="K561" s="1">
        <v>19.811320754716981</v>
      </c>
      <c r="L561" s="1">
        <v>80.188679245283026</v>
      </c>
      <c r="M561" s="2" t="s">
        <v>19</v>
      </c>
    </row>
    <row r="562" spans="1:13" x14ac:dyDescent="0.3">
      <c r="A562" s="4">
        <v>561</v>
      </c>
      <c r="B562" s="3">
        <v>0.2727</v>
      </c>
      <c r="C562" s="1">
        <v>0.56000000000000005</v>
      </c>
      <c r="D562" s="1">
        <v>0.1343</v>
      </c>
      <c r="E562" s="4">
        <v>21</v>
      </c>
      <c r="F562" s="4">
        <v>72</v>
      </c>
      <c r="G562" s="4">
        <v>93</v>
      </c>
      <c r="H562" s="2" t="s">
        <v>19</v>
      </c>
      <c r="I562" s="2" t="s">
        <v>14</v>
      </c>
      <c r="J562" s="2" t="s">
        <v>15</v>
      </c>
      <c r="K562" s="1">
        <v>22.58064516129032</v>
      </c>
      <c r="L562" s="1">
        <v>77.41935483870968</v>
      </c>
      <c r="M562" s="2" t="s">
        <v>16</v>
      </c>
    </row>
    <row r="563" spans="1:13" x14ac:dyDescent="0.3">
      <c r="A563" s="4">
        <v>562</v>
      </c>
      <c r="B563" s="3">
        <v>0.33329999999999999</v>
      </c>
      <c r="C563" s="1">
        <v>0.45</v>
      </c>
      <c r="D563" s="1">
        <v>0</v>
      </c>
      <c r="E563" s="4">
        <v>11</v>
      </c>
      <c r="F563" s="4">
        <v>57</v>
      </c>
      <c r="G563" s="4">
        <v>68</v>
      </c>
      <c r="H563" s="2" t="s">
        <v>19</v>
      </c>
      <c r="I563" s="2" t="s">
        <v>14</v>
      </c>
      <c r="J563" s="2" t="s">
        <v>15</v>
      </c>
      <c r="K563" s="1">
        <v>16.17647058823529</v>
      </c>
      <c r="L563" s="1">
        <v>83.82352941176471</v>
      </c>
      <c r="M563" s="2" t="s">
        <v>16</v>
      </c>
    </row>
    <row r="564" spans="1:13" x14ac:dyDescent="0.3">
      <c r="A564" s="4">
        <v>563</v>
      </c>
      <c r="B564" s="3">
        <v>0.34849999999999998</v>
      </c>
      <c r="C564" s="1">
        <v>0.42</v>
      </c>
      <c r="D564" s="1">
        <v>0</v>
      </c>
      <c r="E564" s="4">
        <v>21</v>
      </c>
      <c r="F564" s="4">
        <v>63</v>
      </c>
      <c r="G564" s="4">
        <v>84</v>
      </c>
      <c r="H564" s="2" t="s">
        <v>19</v>
      </c>
      <c r="I564" s="2" t="s">
        <v>14</v>
      </c>
      <c r="J564" s="2" t="s">
        <v>15</v>
      </c>
      <c r="K564" s="1">
        <v>25</v>
      </c>
      <c r="L564" s="1">
        <v>75</v>
      </c>
      <c r="M564" s="2" t="s">
        <v>16</v>
      </c>
    </row>
    <row r="565" spans="1:13" x14ac:dyDescent="0.3">
      <c r="A565" s="4">
        <v>564</v>
      </c>
      <c r="B565" s="3">
        <v>0.34849999999999998</v>
      </c>
      <c r="C565" s="1">
        <v>0.42</v>
      </c>
      <c r="D565" s="1">
        <v>0</v>
      </c>
      <c r="E565" s="4">
        <v>14</v>
      </c>
      <c r="F565" s="4">
        <v>102</v>
      </c>
      <c r="G565" s="4">
        <v>116</v>
      </c>
      <c r="H565" s="2" t="s">
        <v>19</v>
      </c>
      <c r="I565" s="2" t="s">
        <v>14</v>
      </c>
      <c r="J565" s="2" t="s">
        <v>15</v>
      </c>
      <c r="K565" s="1">
        <v>12.068965517241381</v>
      </c>
      <c r="L565" s="1">
        <v>87.931034482758619</v>
      </c>
      <c r="M565" s="2" t="s">
        <v>19</v>
      </c>
    </row>
    <row r="566" spans="1:13" x14ac:dyDescent="0.3">
      <c r="A566" s="4">
        <v>565</v>
      </c>
      <c r="B566" s="3">
        <v>0.33329999999999999</v>
      </c>
      <c r="C566" s="1">
        <v>0.45</v>
      </c>
      <c r="D566" s="1">
        <v>0</v>
      </c>
      <c r="E566" s="4">
        <v>14</v>
      </c>
      <c r="F566" s="4">
        <v>208</v>
      </c>
      <c r="G566" s="4">
        <v>222</v>
      </c>
      <c r="H566" s="2" t="s">
        <v>19</v>
      </c>
      <c r="I566" s="2" t="s">
        <v>14</v>
      </c>
      <c r="J566" s="2" t="s">
        <v>15</v>
      </c>
      <c r="K566" s="1">
        <v>6.3063063063063058</v>
      </c>
      <c r="L566" s="1">
        <v>93.693693693693689</v>
      </c>
      <c r="M566" s="2" t="s">
        <v>19</v>
      </c>
    </row>
    <row r="567" spans="1:13" x14ac:dyDescent="0.3">
      <c r="A567" s="4">
        <v>566</v>
      </c>
      <c r="B567" s="3">
        <v>0.31819999999999998</v>
      </c>
      <c r="C567" s="1">
        <v>0.49</v>
      </c>
      <c r="D567" s="1">
        <v>8.9599999999999999E-2</v>
      </c>
      <c r="E567" s="4">
        <v>7</v>
      </c>
      <c r="F567" s="4">
        <v>218</v>
      </c>
      <c r="G567" s="4">
        <v>225</v>
      </c>
      <c r="H567" s="2" t="s">
        <v>19</v>
      </c>
      <c r="I567" s="2" t="s">
        <v>14</v>
      </c>
      <c r="J567" s="2" t="s">
        <v>15</v>
      </c>
      <c r="K567" s="1">
        <v>3.1111111111111112</v>
      </c>
      <c r="L567" s="1">
        <v>96.888888888888886</v>
      </c>
      <c r="M567" s="2" t="s">
        <v>19</v>
      </c>
    </row>
    <row r="568" spans="1:13" x14ac:dyDescent="0.3">
      <c r="A568" s="4">
        <v>567</v>
      </c>
      <c r="B568" s="3">
        <v>0.2576</v>
      </c>
      <c r="C568" s="1">
        <v>0.65</v>
      </c>
      <c r="D568" s="1">
        <v>0.16420000000000001</v>
      </c>
      <c r="E568" s="4">
        <v>13</v>
      </c>
      <c r="F568" s="4">
        <v>133</v>
      </c>
      <c r="G568" s="4">
        <v>146</v>
      </c>
      <c r="H568" s="2" t="s">
        <v>19</v>
      </c>
      <c r="I568" s="2" t="s">
        <v>18</v>
      </c>
      <c r="J568" s="2" t="s">
        <v>15</v>
      </c>
      <c r="K568" s="1">
        <v>8.9041095890410951</v>
      </c>
      <c r="L568" s="1">
        <v>91.095890410958901</v>
      </c>
      <c r="M568" s="2" t="s">
        <v>19</v>
      </c>
    </row>
    <row r="569" spans="1:13" x14ac:dyDescent="0.3">
      <c r="A569" s="4">
        <v>568</v>
      </c>
      <c r="B569" s="3">
        <v>0.2273</v>
      </c>
      <c r="C569" s="1">
        <v>0.65</v>
      </c>
      <c r="D569" s="1">
        <v>0.19400000000000001</v>
      </c>
      <c r="E569" s="4">
        <v>16</v>
      </c>
      <c r="F569" s="4">
        <v>103</v>
      </c>
      <c r="G569" s="4">
        <v>119</v>
      </c>
      <c r="H569" s="2" t="s">
        <v>19</v>
      </c>
      <c r="I569" s="2" t="s">
        <v>18</v>
      </c>
      <c r="J569" s="2" t="s">
        <v>15</v>
      </c>
      <c r="K569" s="1">
        <v>13.445378151260501</v>
      </c>
      <c r="L569" s="1">
        <v>86.554621848739501</v>
      </c>
      <c r="M569" s="2" t="s">
        <v>19</v>
      </c>
    </row>
    <row r="570" spans="1:13" x14ac:dyDescent="0.3">
      <c r="A570" s="4">
        <v>569</v>
      </c>
      <c r="B570" s="3">
        <v>0.2273</v>
      </c>
      <c r="C570" s="1">
        <v>0.65</v>
      </c>
      <c r="D570" s="1">
        <v>0.19400000000000001</v>
      </c>
      <c r="E570" s="4">
        <v>5</v>
      </c>
      <c r="F570" s="4">
        <v>40</v>
      </c>
      <c r="G570" s="4">
        <v>45</v>
      </c>
      <c r="H570" s="2" t="s">
        <v>19</v>
      </c>
      <c r="I570" s="2" t="s">
        <v>18</v>
      </c>
      <c r="J570" s="2" t="s">
        <v>15</v>
      </c>
      <c r="K570" s="1">
        <v>11.111111111111111</v>
      </c>
      <c r="L570" s="1">
        <v>88.888888888888886</v>
      </c>
      <c r="M570" s="2" t="s">
        <v>16</v>
      </c>
    </row>
    <row r="571" spans="1:13" x14ac:dyDescent="0.3">
      <c r="A571" s="4">
        <v>570</v>
      </c>
      <c r="B571" s="3">
        <v>0.2273</v>
      </c>
      <c r="C571" s="1">
        <v>0.64</v>
      </c>
      <c r="D571" s="1">
        <v>0.16420000000000001</v>
      </c>
      <c r="E571" s="4">
        <v>4</v>
      </c>
      <c r="F571" s="4">
        <v>49</v>
      </c>
      <c r="G571" s="4">
        <v>53</v>
      </c>
      <c r="H571" s="2" t="s">
        <v>19</v>
      </c>
      <c r="I571" s="2" t="s">
        <v>18</v>
      </c>
      <c r="J571" s="2" t="s">
        <v>15</v>
      </c>
      <c r="K571" s="1">
        <v>7.5471698113207548</v>
      </c>
      <c r="L571" s="1">
        <v>92.452830188679243</v>
      </c>
      <c r="M571" s="2" t="s">
        <v>16</v>
      </c>
    </row>
    <row r="572" spans="1:13" x14ac:dyDescent="0.3">
      <c r="A572" s="4">
        <v>571</v>
      </c>
      <c r="B572" s="3">
        <v>0.2273</v>
      </c>
      <c r="C572" s="1">
        <v>0.64</v>
      </c>
      <c r="D572" s="1">
        <v>0.16420000000000001</v>
      </c>
      <c r="E572" s="4">
        <v>3</v>
      </c>
      <c r="F572" s="4">
        <v>37</v>
      </c>
      <c r="G572" s="4">
        <v>40</v>
      </c>
      <c r="H572" s="2" t="s">
        <v>19</v>
      </c>
      <c r="I572" s="2" t="s">
        <v>18</v>
      </c>
      <c r="J572" s="2" t="s">
        <v>15</v>
      </c>
      <c r="K572" s="1">
        <v>7.5</v>
      </c>
      <c r="L572" s="1">
        <v>92.5</v>
      </c>
      <c r="M572" s="2" t="s">
        <v>16</v>
      </c>
    </row>
    <row r="573" spans="1:13" x14ac:dyDescent="0.3">
      <c r="A573" s="4">
        <v>572</v>
      </c>
      <c r="B573" s="3">
        <v>0.2273</v>
      </c>
      <c r="C573" s="1">
        <v>0.69</v>
      </c>
      <c r="D573" s="1">
        <v>0.1343</v>
      </c>
      <c r="E573" s="4">
        <v>3</v>
      </c>
      <c r="F573" s="4">
        <v>14</v>
      </c>
      <c r="G573" s="4">
        <v>17</v>
      </c>
      <c r="H573" s="2" t="s">
        <v>19</v>
      </c>
      <c r="I573" s="2" t="s">
        <v>14</v>
      </c>
      <c r="J573" s="2" t="s">
        <v>15</v>
      </c>
      <c r="K573" s="1">
        <v>17.647058823529409</v>
      </c>
      <c r="L573" s="1">
        <v>82.35294117647058</v>
      </c>
      <c r="M573" s="2" t="s">
        <v>16</v>
      </c>
    </row>
    <row r="574" spans="1:13" x14ac:dyDescent="0.3">
      <c r="A574" s="4">
        <v>573</v>
      </c>
      <c r="B574" s="3">
        <v>0.2424</v>
      </c>
      <c r="C574" s="1">
        <v>0.65</v>
      </c>
      <c r="D574" s="1">
        <v>0.1343</v>
      </c>
      <c r="E574" s="4">
        <v>0</v>
      </c>
      <c r="F574" s="4">
        <v>5</v>
      </c>
      <c r="G574" s="4">
        <v>5</v>
      </c>
      <c r="H574" s="2" t="s">
        <v>19</v>
      </c>
      <c r="I574" s="2" t="s">
        <v>14</v>
      </c>
      <c r="J574" s="2" t="s">
        <v>15</v>
      </c>
      <c r="K574" s="1">
        <v>0</v>
      </c>
      <c r="L574" s="1">
        <v>100</v>
      </c>
      <c r="M574" s="2" t="s">
        <v>16</v>
      </c>
    </row>
    <row r="575" spans="1:13" x14ac:dyDescent="0.3">
      <c r="A575" s="4">
        <v>574</v>
      </c>
      <c r="B575" s="3">
        <v>0.2273</v>
      </c>
      <c r="C575" s="1">
        <v>0.69</v>
      </c>
      <c r="D575" s="1">
        <v>0.19400000000000001</v>
      </c>
      <c r="E575" s="4">
        <v>3</v>
      </c>
      <c r="F575" s="4">
        <v>7</v>
      </c>
      <c r="G575" s="4">
        <v>10</v>
      </c>
      <c r="H575" s="2" t="s">
        <v>19</v>
      </c>
      <c r="I575" s="2" t="s">
        <v>18</v>
      </c>
      <c r="J575" s="2" t="s">
        <v>15</v>
      </c>
      <c r="K575" s="1">
        <v>30</v>
      </c>
      <c r="L575" s="1">
        <v>70</v>
      </c>
      <c r="M575" s="2" t="s">
        <v>16</v>
      </c>
    </row>
    <row r="576" spans="1:13" x14ac:dyDescent="0.3">
      <c r="A576" s="4">
        <v>575</v>
      </c>
      <c r="B576" s="3">
        <v>0.18179999999999999</v>
      </c>
      <c r="C576" s="1">
        <v>0.86</v>
      </c>
      <c r="D576" s="1">
        <v>0.28360000000000002</v>
      </c>
      <c r="E576" s="4">
        <v>0</v>
      </c>
      <c r="F576" s="4">
        <v>1</v>
      </c>
      <c r="G576" s="4">
        <v>1</v>
      </c>
      <c r="H576" s="2" t="s">
        <v>13</v>
      </c>
      <c r="I576" s="2" t="s">
        <v>18</v>
      </c>
      <c r="J576" s="2" t="s">
        <v>15</v>
      </c>
      <c r="K576" s="1">
        <v>0</v>
      </c>
      <c r="L576" s="1">
        <v>100</v>
      </c>
      <c r="M576" s="2" t="s">
        <v>16</v>
      </c>
    </row>
    <row r="577" spans="1:13" x14ac:dyDescent="0.3">
      <c r="A577" s="4">
        <v>576</v>
      </c>
      <c r="B577" s="3">
        <v>0.18179999999999999</v>
      </c>
      <c r="C577" s="1">
        <v>0.86</v>
      </c>
      <c r="D577" s="1">
        <v>0.28360000000000002</v>
      </c>
      <c r="E577" s="4">
        <v>0</v>
      </c>
      <c r="F577" s="4">
        <v>8</v>
      </c>
      <c r="G577" s="4">
        <v>8</v>
      </c>
      <c r="H577" s="2" t="s">
        <v>13</v>
      </c>
      <c r="I577" s="2" t="s">
        <v>18</v>
      </c>
      <c r="J577" s="2" t="s">
        <v>15</v>
      </c>
      <c r="K577" s="1">
        <v>0</v>
      </c>
      <c r="L577" s="1">
        <v>100</v>
      </c>
      <c r="M577" s="2" t="s">
        <v>16</v>
      </c>
    </row>
    <row r="578" spans="1:13" x14ac:dyDescent="0.3">
      <c r="A578" s="4">
        <v>577</v>
      </c>
      <c r="B578" s="3">
        <v>0.21210000000000001</v>
      </c>
      <c r="C578" s="1">
        <v>0.87</v>
      </c>
      <c r="D578" s="1">
        <v>0.29849999999999999</v>
      </c>
      <c r="E578" s="4">
        <v>1</v>
      </c>
      <c r="F578" s="4">
        <v>29</v>
      </c>
      <c r="G578" s="4">
        <v>30</v>
      </c>
      <c r="H578" s="2" t="s">
        <v>13</v>
      </c>
      <c r="I578" s="2" t="s">
        <v>18</v>
      </c>
      <c r="J578" s="2" t="s">
        <v>15</v>
      </c>
      <c r="K578" s="1">
        <v>3.333333333333333</v>
      </c>
      <c r="L578" s="1">
        <v>96.666666666666671</v>
      </c>
      <c r="M578" s="2" t="s">
        <v>16</v>
      </c>
    </row>
    <row r="579" spans="1:13" x14ac:dyDescent="0.3">
      <c r="A579" s="4">
        <v>578</v>
      </c>
      <c r="B579" s="3">
        <v>0.21210000000000001</v>
      </c>
      <c r="C579" s="1">
        <v>0.87</v>
      </c>
      <c r="D579" s="1">
        <v>0.29849999999999999</v>
      </c>
      <c r="E579" s="4">
        <v>3</v>
      </c>
      <c r="F579" s="4">
        <v>69</v>
      </c>
      <c r="G579" s="4">
        <v>72</v>
      </c>
      <c r="H579" s="2" t="s">
        <v>13</v>
      </c>
      <c r="I579" s="2" t="s">
        <v>18</v>
      </c>
      <c r="J579" s="2" t="s">
        <v>15</v>
      </c>
      <c r="K579" s="1">
        <v>4.1666666666666661</v>
      </c>
      <c r="L579" s="1">
        <v>95.833333333333343</v>
      </c>
      <c r="M579" s="2" t="s">
        <v>16</v>
      </c>
    </row>
    <row r="580" spans="1:13" x14ac:dyDescent="0.3">
      <c r="A580" s="4">
        <v>579</v>
      </c>
      <c r="B580" s="3">
        <v>0.21210000000000001</v>
      </c>
      <c r="C580" s="1">
        <v>0.87</v>
      </c>
      <c r="D580" s="1">
        <v>0.29849999999999999</v>
      </c>
      <c r="E580" s="4">
        <v>3</v>
      </c>
      <c r="F580" s="4">
        <v>55</v>
      </c>
      <c r="G580" s="4">
        <v>58</v>
      </c>
      <c r="H580" s="2" t="s">
        <v>13</v>
      </c>
      <c r="I580" s="2" t="s">
        <v>18</v>
      </c>
      <c r="J580" s="2" t="s">
        <v>15</v>
      </c>
      <c r="K580" s="1">
        <v>5.1724137931034484</v>
      </c>
      <c r="L580" s="1">
        <v>94.827586206896555</v>
      </c>
      <c r="M580" s="2" t="s">
        <v>16</v>
      </c>
    </row>
    <row r="581" spans="1:13" x14ac:dyDescent="0.3">
      <c r="A581" s="4">
        <v>580</v>
      </c>
      <c r="B581" s="3">
        <v>0.21210000000000001</v>
      </c>
      <c r="C581" s="1">
        <v>0.93</v>
      </c>
      <c r="D581" s="1">
        <v>0.28360000000000002</v>
      </c>
      <c r="E581" s="4">
        <v>2</v>
      </c>
      <c r="F581" s="4">
        <v>26</v>
      </c>
      <c r="G581" s="4">
        <v>28</v>
      </c>
      <c r="H581" s="2" t="s">
        <v>13</v>
      </c>
      <c r="I581" s="2" t="s">
        <v>18</v>
      </c>
      <c r="J581" s="2" t="s">
        <v>15</v>
      </c>
      <c r="K581" s="1">
        <v>7.1428571428571423</v>
      </c>
      <c r="L581" s="1">
        <v>92.857142857142861</v>
      </c>
      <c r="M581" s="2" t="s">
        <v>16</v>
      </c>
    </row>
    <row r="582" spans="1:13" x14ac:dyDescent="0.3">
      <c r="A582" s="4">
        <v>581</v>
      </c>
      <c r="B582" s="3">
        <v>0.19700000000000001</v>
      </c>
      <c r="C582" s="1">
        <v>0.93</v>
      </c>
      <c r="D582" s="1">
        <v>0.32840000000000003</v>
      </c>
      <c r="E582" s="4">
        <v>6</v>
      </c>
      <c r="F582" s="4">
        <v>35</v>
      </c>
      <c r="G582" s="4">
        <v>41</v>
      </c>
      <c r="H582" s="2" t="s">
        <v>13</v>
      </c>
      <c r="I582" s="2" t="s">
        <v>20</v>
      </c>
      <c r="J582" s="2" t="s">
        <v>15</v>
      </c>
      <c r="K582" s="1">
        <v>14.63414634146341</v>
      </c>
      <c r="L582" s="1">
        <v>85.365853658536579</v>
      </c>
      <c r="M582" s="2" t="s">
        <v>16</v>
      </c>
    </row>
    <row r="583" spans="1:13" x14ac:dyDescent="0.3">
      <c r="A583" s="4">
        <v>582</v>
      </c>
      <c r="B583" s="3">
        <v>0.19700000000000001</v>
      </c>
      <c r="C583" s="1">
        <v>0.93</v>
      </c>
      <c r="D583" s="1">
        <v>0.32840000000000003</v>
      </c>
      <c r="E583" s="4">
        <v>7</v>
      </c>
      <c r="F583" s="4">
        <v>41</v>
      </c>
      <c r="G583" s="4">
        <v>48</v>
      </c>
      <c r="H583" s="2" t="s">
        <v>13</v>
      </c>
      <c r="I583" s="2" t="s">
        <v>20</v>
      </c>
      <c r="J583" s="2" t="s">
        <v>15</v>
      </c>
      <c r="K583" s="1">
        <v>14.58333333333333</v>
      </c>
      <c r="L583" s="1">
        <v>85.416666666666657</v>
      </c>
      <c r="M583" s="2" t="s">
        <v>16</v>
      </c>
    </row>
    <row r="584" spans="1:13" x14ac:dyDescent="0.3">
      <c r="A584" s="4">
        <v>583</v>
      </c>
      <c r="B584" s="3">
        <v>0.19700000000000001</v>
      </c>
      <c r="C584" s="1">
        <v>0.93</v>
      </c>
      <c r="D584" s="1">
        <v>0.32840000000000003</v>
      </c>
      <c r="E584" s="4">
        <v>4</v>
      </c>
      <c r="F584" s="4">
        <v>43</v>
      </c>
      <c r="G584" s="4">
        <v>47</v>
      </c>
      <c r="H584" s="2" t="s">
        <v>13</v>
      </c>
      <c r="I584" s="2" t="s">
        <v>20</v>
      </c>
      <c r="J584" s="2" t="s">
        <v>15</v>
      </c>
      <c r="K584" s="1">
        <v>8.5106382978723403</v>
      </c>
      <c r="L584" s="1">
        <v>91.489361702127653</v>
      </c>
      <c r="M584" s="2" t="s">
        <v>16</v>
      </c>
    </row>
    <row r="585" spans="1:13" x14ac:dyDescent="0.3">
      <c r="A585" s="4">
        <v>584</v>
      </c>
      <c r="B585" s="3">
        <v>0.19700000000000001</v>
      </c>
      <c r="C585" s="1">
        <v>0.93</v>
      </c>
      <c r="D585" s="1">
        <v>0.35820000000000002</v>
      </c>
      <c r="E585" s="4">
        <v>0</v>
      </c>
      <c r="F585" s="4">
        <v>36</v>
      </c>
      <c r="G585" s="4">
        <v>36</v>
      </c>
      <c r="H585" s="2" t="s">
        <v>13</v>
      </c>
      <c r="I585" s="2" t="s">
        <v>20</v>
      </c>
      <c r="J585" s="2" t="s">
        <v>15</v>
      </c>
      <c r="K585" s="1">
        <v>0</v>
      </c>
      <c r="L585" s="1">
        <v>100</v>
      </c>
      <c r="M585" s="2" t="s">
        <v>16</v>
      </c>
    </row>
    <row r="586" spans="1:13" x14ac:dyDescent="0.3">
      <c r="A586" s="4">
        <v>585</v>
      </c>
      <c r="B586" s="3">
        <v>0.18179999999999999</v>
      </c>
      <c r="C586" s="1">
        <v>0.93</v>
      </c>
      <c r="D586" s="1">
        <v>0.4627</v>
      </c>
      <c r="E586" s="4">
        <v>1</v>
      </c>
      <c r="F586" s="4">
        <v>42</v>
      </c>
      <c r="G586" s="4">
        <v>43</v>
      </c>
      <c r="H586" s="2" t="s">
        <v>13</v>
      </c>
      <c r="I586" s="2" t="s">
        <v>20</v>
      </c>
      <c r="J586" s="2" t="s">
        <v>15</v>
      </c>
      <c r="K586" s="1">
        <v>2.3255813953488369</v>
      </c>
      <c r="L586" s="1">
        <v>97.674418604651152</v>
      </c>
      <c r="M586" s="2" t="s">
        <v>16</v>
      </c>
    </row>
    <row r="587" spans="1:13" x14ac:dyDescent="0.3">
      <c r="A587" s="4">
        <v>586</v>
      </c>
      <c r="B587" s="3">
        <v>0.19700000000000001</v>
      </c>
      <c r="C587" s="1">
        <v>0.93</v>
      </c>
      <c r="D587" s="1">
        <v>0.32840000000000003</v>
      </c>
      <c r="E587" s="4">
        <v>1</v>
      </c>
      <c r="F587" s="4">
        <v>35</v>
      </c>
      <c r="G587" s="4">
        <v>36</v>
      </c>
      <c r="H587" s="2" t="s">
        <v>13</v>
      </c>
      <c r="I587" s="2" t="s">
        <v>20</v>
      </c>
      <c r="J587" s="2" t="s">
        <v>15</v>
      </c>
      <c r="K587" s="1">
        <v>2.7777777777777781</v>
      </c>
      <c r="L587" s="1">
        <v>97.222222222222214</v>
      </c>
      <c r="M587" s="2" t="s">
        <v>16</v>
      </c>
    </row>
    <row r="588" spans="1:13" x14ac:dyDescent="0.3">
      <c r="A588" s="4">
        <v>587</v>
      </c>
      <c r="B588" s="3">
        <v>0.18179999999999999</v>
      </c>
      <c r="C588" s="1">
        <v>0.93</v>
      </c>
      <c r="D588" s="1">
        <v>0.35820000000000002</v>
      </c>
      <c r="E588" s="4">
        <v>0</v>
      </c>
      <c r="F588" s="4">
        <v>26</v>
      </c>
      <c r="G588" s="4">
        <v>26</v>
      </c>
      <c r="H588" s="2" t="s">
        <v>13</v>
      </c>
      <c r="I588" s="2" t="s">
        <v>20</v>
      </c>
      <c r="J588" s="2" t="s">
        <v>15</v>
      </c>
      <c r="K588" s="1">
        <v>0</v>
      </c>
      <c r="L588" s="1">
        <v>100</v>
      </c>
      <c r="M588" s="2" t="s">
        <v>16</v>
      </c>
    </row>
    <row r="589" spans="1:13" x14ac:dyDescent="0.3">
      <c r="A589" s="4">
        <v>588</v>
      </c>
      <c r="B589" s="3">
        <v>0.2273</v>
      </c>
      <c r="C589" s="1">
        <v>0.55000000000000004</v>
      </c>
      <c r="D589" s="1">
        <v>0.19400000000000001</v>
      </c>
      <c r="E589" s="4">
        <v>1</v>
      </c>
      <c r="F589" s="4">
        <v>23</v>
      </c>
      <c r="G589" s="4">
        <v>24</v>
      </c>
      <c r="H589" s="2" t="s">
        <v>19</v>
      </c>
      <c r="I589" s="2" t="s">
        <v>18</v>
      </c>
      <c r="J589" s="2" t="s">
        <v>15</v>
      </c>
      <c r="K589" s="1">
        <v>4.1666666666666661</v>
      </c>
      <c r="L589" s="1">
        <v>95.833333333333343</v>
      </c>
      <c r="M589" s="2" t="s">
        <v>16</v>
      </c>
    </row>
    <row r="590" spans="1:13" x14ac:dyDescent="0.3">
      <c r="A590" s="4">
        <v>589</v>
      </c>
      <c r="B590" s="3">
        <v>0.2424</v>
      </c>
      <c r="C590" s="1">
        <v>0.55000000000000004</v>
      </c>
      <c r="D590" s="1">
        <v>0.1045</v>
      </c>
      <c r="E590" s="4">
        <v>2</v>
      </c>
      <c r="F590" s="4">
        <v>82</v>
      </c>
      <c r="G590" s="4">
        <v>84</v>
      </c>
      <c r="H590" s="2" t="s">
        <v>19</v>
      </c>
      <c r="I590" s="2" t="s">
        <v>14</v>
      </c>
      <c r="J590" s="2" t="s">
        <v>15</v>
      </c>
      <c r="K590" s="1">
        <v>2.3809523809523809</v>
      </c>
      <c r="L590" s="1">
        <v>97.61904761904762</v>
      </c>
      <c r="M590" s="2" t="s">
        <v>16</v>
      </c>
    </row>
    <row r="591" spans="1:13" x14ac:dyDescent="0.3">
      <c r="A591" s="4">
        <v>590</v>
      </c>
      <c r="B591" s="3">
        <v>0.2273</v>
      </c>
      <c r="C591" s="1">
        <v>0.69</v>
      </c>
      <c r="D591" s="1">
        <v>8.9599999999999999E-2</v>
      </c>
      <c r="E591" s="4">
        <v>3</v>
      </c>
      <c r="F591" s="4">
        <v>101</v>
      </c>
      <c r="G591" s="4">
        <v>104</v>
      </c>
      <c r="H591" s="2" t="s">
        <v>19</v>
      </c>
      <c r="I591" s="2" t="s">
        <v>14</v>
      </c>
      <c r="J591" s="2" t="s">
        <v>15</v>
      </c>
      <c r="K591" s="1">
        <v>2.884615384615385</v>
      </c>
      <c r="L591" s="1">
        <v>97.115384615384613</v>
      </c>
      <c r="M591" s="2" t="s">
        <v>19</v>
      </c>
    </row>
    <row r="592" spans="1:13" x14ac:dyDescent="0.3">
      <c r="A592" s="4">
        <v>591</v>
      </c>
      <c r="B592" s="3">
        <v>0.2273</v>
      </c>
      <c r="C592" s="1">
        <v>0.69</v>
      </c>
      <c r="D592" s="1">
        <v>8.9599999999999999E-2</v>
      </c>
      <c r="E592" s="4">
        <v>3</v>
      </c>
      <c r="F592" s="4">
        <v>76</v>
      </c>
      <c r="G592" s="4">
        <v>79</v>
      </c>
      <c r="H592" s="2" t="s">
        <v>19</v>
      </c>
      <c r="I592" s="2" t="s">
        <v>14</v>
      </c>
      <c r="J592" s="2" t="s">
        <v>15</v>
      </c>
      <c r="K592" s="1">
        <v>3.79746835443038</v>
      </c>
      <c r="L592" s="1">
        <v>96.202531645569621</v>
      </c>
      <c r="M592" s="2" t="s">
        <v>16</v>
      </c>
    </row>
    <row r="593" spans="1:13" x14ac:dyDescent="0.3">
      <c r="A593" s="4">
        <v>592</v>
      </c>
      <c r="B593" s="3">
        <v>0.21210000000000001</v>
      </c>
      <c r="C593" s="1">
        <v>0.74</v>
      </c>
      <c r="D593" s="1">
        <v>8.9599999999999999E-2</v>
      </c>
      <c r="E593" s="4">
        <v>4</v>
      </c>
      <c r="F593" s="4">
        <v>55</v>
      </c>
      <c r="G593" s="4">
        <v>59</v>
      </c>
      <c r="H593" s="2" t="s">
        <v>13</v>
      </c>
      <c r="I593" s="2" t="s">
        <v>14</v>
      </c>
      <c r="J593" s="2" t="s">
        <v>15</v>
      </c>
      <c r="K593" s="1">
        <v>6.7796610169491522</v>
      </c>
      <c r="L593" s="1">
        <v>93.220338983050837</v>
      </c>
      <c r="M593" s="2" t="s">
        <v>16</v>
      </c>
    </row>
    <row r="594" spans="1:13" x14ac:dyDescent="0.3">
      <c r="A594" s="4">
        <v>593</v>
      </c>
      <c r="B594" s="3">
        <v>0.21210000000000001</v>
      </c>
      <c r="C594" s="1">
        <v>0.74</v>
      </c>
      <c r="D594" s="1">
        <v>8.9599999999999999E-2</v>
      </c>
      <c r="E594" s="4">
        <v>2</v>
      </c>
      <c r="F594" s="4">
        <v>36</v>
      </c>
      <c r="G594" s="4">
        <v>38</v>
      </c>
      <c r="H594" s="2" t="s">
        <v>13</v>
      </c>
      <c r="I594" s="2" t="s">
        <v>14</v>
      </c>
      <c r="J594" s="2" t="s">
        <v>15</v>
      </c>
      <c r="K594" s="1">
        <v>5.2631578947368416</v>
      </c>
      <c r="L594" s="1">
        <v>94.73684210526315</v>
      </c>
      <c r="M594" s="2" t="s">
        <v>16</v>
      </c>
    </row>
    <row r="595" spans="1:13" x14ac:dyDescent="0.3">
      <c r="A595" s="4">
        <v>594</v>
      </c>
      <c r="B595" s="3">
        <v>0.21210000000000001</v>
      </c>
      <c r="C595" s="1">
        <v>0.74</v>
      </c>
      <c r="D595" s="1">
        <v>8.9599999999999999E-2</v>
      </c>
      <c r="E595" s="4">
        <v>0</v>
      </c>
      <c r="F595" s="4">
        <v>27</v>
      </c>
      <c r="G595" s="4">
        <v>27</v>
      </c>
      <c r="H595" s="2" t="s">
        <v>13</v>
      </c>
      <c r="I595" s="2" t="s">
        <v>14</v>
      </c>
      <c r="J595" s="2" t="s">
        <v>15</v>
      </c>
      <c r="K595" s="1">
        <v>0</v>
      </c>
      <c r="L595" s="1">
        <v>100</v>
      </c>
      <c r="M595" s="2" t="s">
        <v>16</v>
      </c>
    </row>
    <row r="596" spans="1:13" x14ac:dyDescent="0.3">
      <c r="A596" s="4">
        <v>595</v>
      </c>
      <c r="B596" s="3">
        <v>0.19700000000000001</v>
      </c>
      <c r="C596" s="1">
        <v>0.8</v>
      </c>
      <c r="D596" s="1">
        <v>0.16420000000000001</v>
      </c>
      <c r="E596" s="4">
        <v>0</v>
      </c>
      <c r="F596" s="4">
        <v>16</v>
      </c>
      <c r="G596" s="4">
        <v>16</v>
      </c>
      <c r="H596" s="2" t="s">
        <v>13</v>
      </c>
      <c r="I596" s="2" t="s">
        <v>18</v>
      </c>
      <c r="J596" s="2" t="s">
        <v>15</v>
      </c>
      <c r="K596" s="1">
        <v>0</v>
      </c>
      <c r="L596" s="1">
        <v>100</v>
      </c>
      <c r="M596" s="2" t="s">
        <v>16</v>
      </c>
    </row>
    <row r="597" spans="1:13" x14ac:dyDescent="0.3">
      <c r="A597" s="4">
        <v>596</v>
      </c>
      <c r="B597" s="3">
        <v>0.21210000000000001</v>
      </c>
      <c r="C597" s="1">
        <v>0.75</v>
      </c>
      <c r="D597" s="1">
        <v>0.1343</v>
      </c>
      <c r="E597" s="4">
        <v>0</v>
      </c>
      <c r="F597" s="4">
        <v>9</v>
      </c>
      <c r="G597" s="4">
        <v>9</v>
      </c>
      <c r="H597" s="2" t="s">
        <v>13</v>
      </c>
      <c r="I597" s="2" t="s">
        <v>14</v>
      </c>
      <c r="J597" s="2" t="s">
        <v>15</v>
      </c>
      <c r="K597" s="1">
        <v>0</v>
      </c>
      <c r="L597" s="1">
        <v>100</v>
      </c>
      <c r="M597" s="2" t="s">
        <v>16</v>
      </c>
    </row>
    <row r="598" spans="1:13" x14ac:dyDescent="0.3">
      <c r="A598" s="4">
        <v>597</v>
      </c>
      <c r="B598" s="3">
        <v>0.21210000000000001</v>
      </c>
      <c r="C598" s="1">
        <v>0.75</v>
      </c>
      <c r="D598" s="1">
        <v>0.1343</v>
      </c>
      <c r="E598" s="4">
        <v>1</v>
      </c>
      <c r="F598" s="4">
        <v>2</v>
      </c>
      <c r="G598" s="4">
        <v>3</v>
      </c>
      <c r="H598" s="2" t="s">
        <v>13</v>
      </c>
      <c r="I598" s="2" t="s">
        <v>14</v>
      </c>
      <c r="J598" s="2" t="s">
        <v>15</v>
      </c>
      <c r="K598" s="1">
        <v>33.333333333333329</v>
      </c>
      <c r="L598" s="1">
        <v>66.666666666666657</v>
      </c>
      <c r="M598" s="2" t="s">
        <v>16</v>
      </c>
    </row>
    <row r="599" spans="1:13" x14ac:dyDescent="0.3">
      <c r="A599" s="4">
        <v>598</v>
      </c>
      <c r="B599" s="3">
        <v>0.21210000000000001</v>
      </c>
      <c r="C599" s="1">
        <v>0.75</v>
      </c>
      <c r="D599" s="1">
        <v>0.16420000000000001</v>
      </c>
      <c r="E599" s="4">
        <v>0</v>
      </c>
      <c r="F599" s="4">
        <v>2</v>
      </c>
      <c r="G599" s="4">
        <v>2</v>
      </c>
      <c r="H599" s="2" t="s">
        <v>13</v>
      </c>
      <c r="I599" s="2" t="s">
        <v>18</v>
      </c>
      <c r="J599" s="2" t="s">
        <v>15</v>
      </c>
      <c r="K599" s="1">
        <v>0</v>
      </c>
      <c r="L599" s="1">
        <v>100</v>
      </c>
      <c r="M599" s="2" t="s">
        <v>16</v>
      </c>
    </row>
    <row r="600" spans="1:13" x14ac:dyDescent="0.3">
      <c r="A600" s="4">
        <v>599</v>
      </c>
      <c r="B600" s="3">
        <v>0.2273</v>
      </c>
      <c r="C600" s="1">
        <v>0.75</v>
      </c>
      <c r="D600" s="1">
        <v>0.1045</v>
      </c>
      <c r="E600" s="4">
        <v>1</v>
      </c>
      <c r="F600" s="4">
        <v>0</v>
      </c>
      <c r="G600" s="4">
        <v>1</v>
      </c>
      <c r="H600" s="2" t="s">
        <v>13</v>
      </c>
      <c r="I600" s="2" t="s">
        <v>14</v>
      </c>
      <c r="J600" s="2" t="s">
        <v>17</v>
      </c>
      <c r="K600" s="1">
        <v>100</v>
      </c>
      <c r="L600" s="1">
        <v>0</v>
      </c>
      <c r="M600" s="2" t="s">
        <v>16</v>
      </c>
    </row>
    <row r="601" spans="1:13" x14ac:dyDescent="0.3">
      <c r="A601" s="4">
        <v>600</v>
      </c>
      <c r="B601" s="3">
        <v>0.21210000000000001</v>
      </c>
      <c r="C601" s="1">
        <v>0.8</v>
      </c>
      <c r="D601" s="1">
        <v>0.1045</v>
      </c>
      <c r="E601" s="4">
        <v>0</v>
      </c>
      <c r="F601" s="4">
        <v>4</v>
      </c>
      <c r="G601" s="4">
        <v>4</v>
      </c>
      <c r="H601" s="2" t="s">
        <v>13</v>
      </c>
      <c r="I601" s="2" t="s">
        <v>14</v>
      </c>
      <c r="J601" s="2" t="s">
        <v>15</v>
      </c>
      <c r="K601" s="1">
        <v>0</v>
      </c>
      <c r="L601" s="1">
        <v>100</v>
      </c>
      <c r="M601" s="2" t="s">
        <v>16</v>
      </c>
    </row>
    <row r="602" spans="1:13" x14ac:dyDescent="0.3">
      <c r="A602" s="4">
        <v>601</v>
      </c>
      <c r="B602" s="3">
        <v>0.19700000000000001</v>
      </c>
      <c r="C602" s="1">
        <v>0.8</v>
      </c>
      <c r="D602" s="1">
        <v>0.1343</v>
      </c>
      <c r="E602" s="4">
        <v>0</v>
      </c>
      <c r="F602" s="4">
        <v>16</v>
      </c>
      <c r="G602" s="4">
        <v>16</v>
      </c>
      <c r="H602" s="2" t="s">
        <v>13</v>
      </c>
      <c r="I602" s="2" t="s">
        <v>14</v>
      </c>
      <c r="J602" s="2" t="s">
        <v>15</v>
      </c>
      <c r="K602" s="1">
        <v>0</v>
      </c>
      <c r="L602" s="1">
        <v>100</v>
      </c>
      <c r="M602" s="2" t="s">
        <v>16</v>
      </c>
    </row>
    <row r="603" spans="1:13" x14ac:dyDescent="0.3">
      <c r="A603" s="4">
        <v>602</v>
      </c>
      <c r="B603" s="3">
        <v>0.19700000000000001</v>
      </c>
      <c r="C603" s="1">
        <v>0.86</v>
      </c>
      <c r="D603" s="1">
        <v>8.9599999999999999E-2</v>
      </c>
      <c r="E603" s="4">
        <v>2</v>
      </c>
      <c r="F603" s="4">
        <v>58</v>
      </c>
      <c r="G603" s="4">
        <v>60</v>
      </c>
      <c r="H603" s="2" t="s">
        <v>13</v>
      </c>
      <c r="I603" s="2" t="s">
        <v>14</v>
      </c>
      <c r="J603" s="2" t="s">
        <v>15</v>
      </c>
      <c r="K603" s="1">
        <v>3.333333333333333</v>
      </c>
      <c r="L603" s="1">
        <v>96.666666666666671</v>
      </c>
      <c r="M603" s="2" t="s">
        <v>16</v>
      </c>
    </row>
    <row r="604" spans="1:13" x14ac:dyDescent="0.3">
      <c r="A604" s="4">
        <v>603</v>
      </c>
      <c r="B604" s="3">
        <v>0.19700000000000001</v>
      </c>
      <c r="C604" s="1">
        <v>0.86</v>
      </c>
      <c r="D604" s="1">
        <v>8.9599999999999999E-2</v>
      </c>
      <c r="E604" s="4">
        <v>2</v>
      </c>
      <c r="F604" s="4">
        <v>155</v>
      </c>
      <c r="G604" s="4">
        <v>157</v>
      </c>
      <c r="H604" s="2" t="s">
        <v>13</v>
      </c>
      <c r="I604" s="2" t="s">
        <v>14</v>
      </c>
      <c r="J604" s="2" t="s">
        <v>15</v>
      </c>
      <c r="K604" s="1">
        <v>1.2738853503184711</v>
      </c>
      <c r="L604" s="1">
        <v>98.726114649681534</v>
      </c>
      <c r="M604" s="2" t="s">
        <v>19</v>
      </c>
    </row>
    <row r="605" spans="1:13" x14ac:dyDescent="0.3">
      <c r="A605" s="4">
        <v>604</v>
      </c>
      <c r="B605" s="3">
        <v>0.21210000000000001</v>
      </c>
      <c r="C605" s="1">
        <v>0.86</v>
      </c>
      <c r="D605" s="1">
        <v>8.9599999999999999E-2</v>
      </c>
      <c r="E605" s="4">
        <v>6</v>
      </c>
      <c r="F605" s="4">
        <v>95</v>
      </c>
      <c r="G605" s="4">
        <v>101</v>
      </c>
      <c r="H605" s="2" t="s">
        <v>13</v>
      </c>
      <c r="I605" s="2" t="s">
        <v>14</v>
      </c>
      <c r="J605" s="2" t="s">
        <v>15</v>
      </c>
      <c r="K605" s="1">
        <v>5.9405940594059414</v>
      </c>
      <c r="L605" s="1">
        <v>94.059405940594047</v>
      </c>
      <c r="M605" s="2" t="s">
        <v>19</v>
      </c>
    </row>
    <row r="606" spans="1:13" x14ac:dyDescent="0.3">
      <c r="A606" s="4">
        <v>605</v>
      </c>
      <c r="B606" s="3">
        <v>0.21210000000000001</v>
      </c>
      <c r="C606" s="1">
        <v>0.86</v>
      </c>
      <c r="D606" s="1">
        <v>0.1045</v>
      </c>
      <c r="E606" s="4">
        <v>0</v>
      </c>
      <c r="F606" s="4">
        <v>49</v>
      </c>
      <c r="G606" s="4">
        <v>49</v>
      </c>
      <c r="H606" s="2" t="s">
        <v>13</v>
      </c>
      <c r="I606" s="2" t="s">
        <v>14</v>
      </c>
      <c r="J606" s="2" t="s">
        <v>15</v>
      </c>
      <c r="K606" s="1">
        <v>0</v>
      </c>
      <c r="L606" s="1">
        <v>100</v>
      </c>
      <c r="M606" s="2" t="s">
        <v>16</v>
      </c>
    </row>
    <row r="607" spans="1:13" x14ac:dyDescent="0.3">
      <c r="A607" s="4">
        <v>606</v>
      </c>
      <c r="B607" s="3">
        <v>0.21210000000000001</v>
      </c>
      <c r="C607" s="1">
        <v>0.93</v>
      </c>
      <c r="D607" s="1">
        <v>0.1045</v>
      </c>
      <c r="E607" s="4">
        <v>0</v>
      </c>
      <c r="F607" s="4">
        <v>30</v>
      </c>
      <c r="G607" s="4">
        <v>30</v>
      </c>
      <c r="H607" s="2" t="s">
        <v>13</v>
      </c>
      <c r="I607" s="2" t="s">
        <v>14</v>
      </c>
      <c r="J607" s="2" t="s">
        <v>15</v>
      </c>
      <c r="K607" s="1">
        <v>0</v>
      </c>
      <c r="L607" s="1">
        <v>100</v>
      </c>
      <c r="M607" s="2" t="s">
        <v>16</v>
      </c>
    </row>
    <row r="608" spans="1:13" x14ac:dyDescent="0.3">
      <c r="A608" s="4">
        <v>607</v>
      </c>
      <c r="B608" s="3">
        <v>0.21210000000000001</v>
      </c>
      <c r="C608" s="1">
        <v>0.93</v>
      </c>
      <c r="D608" s="1">
        <v>0.1045</v>
      </c>
      <c r="E608" s="4">
        <v>1</v>
      </c>
      <c r="F608" s="4">
        <v>28</v>
      </c>
      <c r="G608" s="4">
        <v>29</v>
      </c>
      <c r="H608" s="2" t="s">
        <v>13</v>
      </c>
      <c r="I608" s="2" t="s">
        <v>14</v>
      </c>
      <c r="J608" s="2" t="s">
        <v>15</v>
      </c>
      <c r="K608" s="1">
        <v>3.4482758620689649</v>
      </c>
      <c r="L608" s="1">
        <v>96.551724137931032</v>
      </c>
      <c r="M608" s="2" t="s">
        <v>16</v>
      </c>
    </row>
    <row r="609" spans="1:13" x14ac:dyDescent="0.3">
      <c r="A609" s="4">
        <v>608</v>
      </c>
      <c r="B609" s="3">
        <v>0.21210000000000001</v>
      </c>
      <c r="C609" s="1">
        <v>0.93</v>
      </c>
      <c r="D609" s="1">
        <v>0.1045</v>
      </c>
      <c r="E609" s="4">
        <v>0</v>
      </c>
      <c r="F609" s="4">
        <v>31</v>
      </c>
      <c r="G609" s="4">
        <v>31</v>
      </c>
      <c r="H609" s="2" t="s">
        <v>13</v>
      </c>
      <c r="I609" s="2" t="s">
        <v>14</v>
      </c>
      <c r="J609" s="2" t="s">
        <v>15</v>
      </c>
      <c r="K609" s="1">
        <v>0</v>
      </c>
      <c r="L609" s="1">
        <v>100</v>
      </c>
      <c r="M609" s="2" t="s">
        <v>16</v>
      </c>
    </row>
    <row r="610" spans="1:13" x14ac:dyDescent="0.3">
      <c r="A610" s="4">
        <v>609</v>
      </c>
      <c r="B610" s="3">
        <v>0.2727</v>
      </c>
      <c r="C610" s="1">
        <v>0.8</v>
      </c>
      <c r="D610" s="1">
        <v>0</v>
      </c>
      <c r="E610" s="4">
        <v>2</v>
      </c>
      <c r="F610" s="4">
        <v>36</v>
      </c>
      <c r="G610" s="4">
        <v>38</v>
      </c>
      <c r="H610" s="2" t="s">
        <v>13</v>
      </c>
      <c r="I610" s="2" t="s">
        <v>14</v>
      </c>
      <c r="J610" s="2" t="s">
        <v>15</v>
      </c>
      <c r="K610" s="1">
        <v>5.2631578947368416</v>
      </c>
      <c r="L610" s="1">
        <v>94.73684210526315</v>
      </c>
      <c r="M610" s="2" t="s">
        <v>16</v>
      </c>
    </row>
    <row r="611" spans="1:13" x14ac:dyDescent="0.3">
      <c r="A611" s="4">
        <v>610</v>
      </c>
      <c r="B611" s="3">
        <v>0.2576</v>
      </c>
      <c r="C611" s="1">
        <v>0.86</v>
      </c>
      <c r="D611" s="1">
        <v>0</v>
      </c>
      <c r="E611" s="4">
        <v>1</v>
      </c>
      <c r="F611" s="4">
        <v>40</v>
      </c>
      <c r="G611" s="4">
        <v>41</v>
      </c>
      <c r="H611" s="2" t="s">
        <v>13</v>
      </c>
      <c r="I611" s="2" t="s">
        <v>14</v>
      </c>
      <c r="J611" s="2" t="s">
        <v>15</v>
      </c>
      <c r="K611" s="1">
        <v>2.4390243902439019</v>
      </c>
      <c r="L611" s="1">
        <v>97.560975609756099</v>
      </c>
      <c r="M611" s="2" t="s">
        <v>16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48F35-14B4-4BA9-BC51-4AADA9B59D07}">
  <dimension ref="A19:AD43"/>
  <sheetViews>
    <sheetView zoomScaleNormal="100" workbookViewId="0">
      <selection activeCell="K22" sqref="K22"/>
    </sheetView>
  </sheetViews>
  <sheetFormatPr defaultRowHeight="14.4" x14ac:dyDescent="0.3"/>
  <cols>
    <col min="1" max="1" width="12.44140625" style="8" bestFit="1" customWidth="1"/>
    <col min="2" max="2" width="21.6640625" style="8" bestFit="1" customWidth="1"/>
    <col min="3" max="3" width="16.5546875" style="8" bestFit="1" customWidth="1"/>
    <col min="4" max="4" width="12.5546875" style="8" bestFit="1" customWidth="1"/>
    <col min="5" max="5" width="21.6640625" style="8" bestFit="1" customWidth="1"/>
    <col min="6" max="6" width="18.44140625" style="8" bestFit="1" customWidth="1"/>
    <col min="7" max="7" width="14.5546875" style="8" customWidth="1"/>
    <col min="8" max="8" width="21.6640625" style="8" bestFit="1" customWidth="1"/>
    <col min="9" max="9" width="25" style="8" bestFit="1" customWidth="1"/>
    <col min="10" max="10" width="21.88671875" style="8" bestFit="1" customWidth="1"/>
    <col min="11" max="11" width="16.5546875" style="8" bestFit="1" customWidth="1"/>
    <col min="12" max="12" width="9.5546875" style="8" bestFit="1" customWidth="1"/>
    <col min="13" max="171" width="15.5546875" style="8" bestFit="1" customWidth="1"/>
    <col min="172" max="173" width="10.77734375" style="8" bestFit="1" customWidth="1"/>
    <col min="174" max="336" width="25" style="8" bestFit="1" customWidth="1"/>
    <col min="337" max="337" width="29.88671875" style="8" bestFit="1" customWidth="1"/>
    <col min="338" max="338" width="26.6640625" style="8" bestFit="1" customWidth="1"/>
    <col min="339" max="16384" width="8.88671875" style="8"/>
  </cols>
  <sheetData>
    <row r="19" spans="1:30" ht="18.600000000000001" thickBot="1" x14ac:dyDescent="0.4">
      <c r="A19" s="24" t="s">
        <v>42</v>
      </c>
      <c r="B19" s="25"/>
      <c r="C19" s="25"/>
      <c r="D19" s="25"/>
      <c r="E19" s="25"/>
      <c r="F19" s="25"/>
      <c r="G19" s="25"/>
    </row>
    <row r="20" spans="1:30" x14ac:dyDescent="0.3">
      <c r="A20" s="13" t="s">
        <v>27</v>
      </c>
      <c r="B20" s="14" t="s">
        <v>1</v>
      </c>
      <c r="C20" s="14" t="s">
        <v>2</v>
      </c>
      <c r="D20" s="14" t="s">
        <v>3</v>
      </c>
      <c r="E20" s="14" t="s">
        <v>4</v>
      </c>
      <c r="F20" s="14" t="s">
        <v>5</v>
      </c>
      <c r="G20" s="14" t="s">
        <v>6</v>
      </c>
    </row>
    <row r="21" spans="1:30" ht="15" thickBot="1" x14ac:dyDescent="0.35">
      <c r="A21" s="14" t="s">
        <v>1</v>
      </c>
      <c r="B21" s="9">
        <v>1</v>
      </c>
      <c r="C21" s="9">
        <v>0.32160752152423655</v>
      </c>
      <c r="D21" s="9">
        <v>-0.23146176353204981</v>
      </c>
      <c r="E21" s="9">
        <v>0.3860102758041678</v>
      </c>
      <c r="F21" s="9">
        <v>0.1276423235901272</v>
      </c>
      <c r="G21" s="10">
        <v>0.17116802338621723</v>
      </c>
    </row>
    <row r="22" spans="1:30" ht="15" thickBot="1" x14ac:dyDescent="0.35">
      <c r="A22" s="14" t="s">
        <v>2</v>
      </c>
      <c r="B22" s="9">
        <v>0.32160752152423655</v>
      </c>
      <c r="C22" s="9">
        <v>1</v>
      </c>
      <c r="D22" s="9">
        <v>-0.307205357236353</v>
      </c>
      <c r="E22" s="9">
        <v>-0.20463393582340048</v>
      </c>
      <c r="F22" s="9">
        <v>-0.22827812381189408</v>
      </c>
      <c r="G22" s="10">
        <v>-0.24387606342151705</v>
      </c>
    </row>
    <row r="23" spans="1:30" ht="15" thickBot="1" x14ac:dyDescent="0.35">
      <c r="A23" s="14" t="s">
        <v>3</v>
      </c>
      <c r="B23" s="9">
        <v>-0.23146176353204981</v>
      </c>
      <c r="C23" s="9">
        <v>-0.307205357236353</v>
      </c>
      <c r="D23" s="9">
        <v>1</v>
      </c>
      <c r="E23" s="9">
        <v>0.12010948730148975</v>
      </c>
      <c r="F23" s="9">
        <v>3.8115156301562175E-2</v>
      </c>
      <c r="G23" s="10">
        <v>5.1732995879606836E-2</v>
      </c>
    </row>
    <row r="24" spans="1:30" ht="15" thickBot="1" x14ac:dyDescent="0.35">
      <c r="A24" s="14" t="s">
        <v>4</v>
      </c>
      <c r="B24" s="9">
        <v>0.3860102758041678</v>
      </c>
      <c r="C24" s="9">
        <v>-0.20463393582340048</v>
      </c>
      <c r="D24" s="9">
        <v>0.12010948730148975</v>
      </c>
      <c r="E24" s="9">
        <v>1</v>
      </c>
      <c r="F24" s="9">
        <v>0.30489404869278858</v>
      </c>
      <c r="G24" s="10">
        <v>0.41885178266492218</v>
      </c>
    </row>
    <row r="25" spans="1:30" ht="18.600000000000001" thickBot="1" x14ac:dyDescent="0.4">
      <c r="A25" s="14" t="s">
        <v>5</v>
      </c>
      <c r="B25" s="9">
        <v>0.1276423235901272</v>
      </c>
      <c r="C25" s="9">
        <v>-0.22827812381189408</v>
      </c>
      <c r="D25" s="9">
        <v>3.8115156301562175E-2</v>
      </c>
      <c r="E25" s="9">
        <v>0.30489404869278858</v>
      </c>
      <c r="F25" s="9">
        <v>1</v>
      </c>
      <c r="G25" s="10">
        <v>0.9925241693503063</v>
      </c>
      <c r="S25" s="21" t="s">
        <v>41</v>
      </c>
      <c r="T25" s="26"/>
      <c r="U25" s="26"/>
      <c r="V25" s="26"/>
      <c r="W25" s="26"/>
      <c r="X25" s="26"/>
      <c r="Y25" s="26"/>
      <c r="Z25" s="26"/>
      <c r="AA25" s="26"/>
      <c r="AB25" s="26"/>
      <c r="AC25" s="26"/>
      <c r="AD25" s="27"/>
    </row>
    <row r="26" spans="1:30" ht="15" thickBot="1" x14ac:dyDescent="0.35">
      <c r="A26" s="14" t="s">
        <v>6</v>
      </c>
      <c r="B26" s="10">
        <v>0.17116802338621723</v>
      </c>
      <c r="C26" s="10">
        <v>-0.24387606342151705</v>
      </c>
      <c r="D26" s="10">
        <v>5.1732995879606836E-2</v>
      </c>
      <c r="E26" s="10">
        <v>0.41885178266492218</v>
      </c>
      <c r="F26" s="10">
        <v>0.9925241693503063</v>
      </c>
      <c r="G26" s="10">
        <v>1</v>
      </c>
      <c r="S26" s="22" t="s">
        <v>1</v>
      </c>
      <c r="T26" s="23"/>
      <c r="U26" s="22" t="s">
        <v>2</v>
      </c>
      <c r="V26" s="23"/>
      <c r="W26" s="22" t="s">
        <v>3</v>
      </c>
      <c r="X26" s="23"/>
      <c r="Y26" s="22" t="s">
        <v>4</v>
      </c>
      <c r="Z26" s="23"/>
      <c r="AA26" s="22" t="s">
        <v>5</v>
      </c>
      <c r="AB26" s="23"/>
      <c r="AC26" s="22" t="s">
        <v>6</v>
      </c>
      <c r="AD26" s="23"/>
    </row>
    <row r="27" spans="1:30" x14ac:dyDescent="0.3">
      <c r="S27" s="17" t="s">
        <v>28</v>
      </c>
      <c r="T27" s="18">
        <v>0.20201754098360675</v>
      </c>
      <c r="U27" s="15" t="s">
        <v>28</v>
      </c>
      <c r="V27" s="16">
        <v>0.56247540983606703</v>
      </c>
      <c r="W27" s="17" t="s">
        <v>28</v>
      </c>
      <c r="X27" s="18">
        <v>0.20485098360655737</v>
      </c>
      <c r="Y27" s="17" t="s">
        <v>28</v>
      </c>
      <c r="Z27" s="18">
        <v>4.5016393442622951</v>
      </c>
      <c r="AA27" s="17" t="s">
        <v>28</v>
      </c>
      <c r="AB27" s="18">
        <v>51.068852459016391</v>
      </c>
      <c r="AC27" s="17" t="s">
        <v>28</v>
      </c>
      <c r="AD27" s="18">
        <v>55.570491803278685</v>
      </c>
    </row>
    <row r="28" spans="1:30" x14ac:dyDescent="0.3">
      <c r="S28" s="17" t="s">
        <v>29</v>
      </c>
      <c r="T28" s="18">
        <v>3.2621769231674634E-3</v>
      </c>
      <c r="U28" s="17" t="s">
        <v>29</v>
      </c>
      <c r="V28" s="18">
        <v>7.103364264448726E-3</v>
      </c>
      <c r="W28" s="17" t="s">
        <v>29</v>
      </c>
      <c r="X28" s="18">
        <v>4.9317771179864384E-3</v>
      </c>
      <c r="Y28" s="17" t="s">
        <v>29</v>
      </c>
      <c r="Z28" s="18">
        <v>0.2558870941649381</v>
      </c>
      <c r="AA28" s="17" t="s">
        <v>29</v>
      </c>
      <c r="AB28" s="18">
        <v>1.9038328938578419</v>
      </c>
      <c r="AC28" s="17" t="s">
        <v>29</v>
      </c>
      <c r="AD28" s="18">
        <v>1.9967789271099747</v>
      </c>
    </row>
    <row r="29" spans="1:30" x14ac:dyDescent="0.3">
      <c r="S29" s="17" t="s">
        <v>30</v>
      </c>
      <c r="T29" s="18">
        <v>0.19700000000000001</v>
      </c>
      <c r="U29" s="17" t="s">
        <v>30</v>
      </c>
      <c r="V29" s="18">
        <v>0.52</v>
      </c>
      <c r="W29" s="17" t="s">
        <v>30</v>
      </c>
      <c r="X29" s="18">
        <v>0.19400000000000001</v>
      </c>
      <c r="Y29" s="17" t="s">
        <v>30</v>
      </c>
      <c r="Z29" s="18">
        <v>2</v>
      </c>
      <c r="AA29" s="17" t="s">
        <v>30</v>
      </c>
      <c r="AB29" s="18">
        <v>43</v>
      </c>
      <c r="AC29" s="17" t="s">
        <v>30</v>
      </c>
      <c r="AD29" s="18">
        <v>47</v>
      </c>
    </row>
    <row r="30" spans="1:30" x14ac:dyDescent="0.3">
      <c r="S30" s="17" t="s">
        <v>31</v>
      </c>
      <c r="T30" s="18">
        <v>0.19700000000000001</v>
      </c>
      <c r="U30" s="17" t="s">
        <v>31</v>
      </c>
      <c r="V30" s="18">
        <v>0.47</v>
      </c>
      <c r="W30" s="17" t="s">
        <v>31</v>
      </c>
      <c r="X30" s="18">
        <v>0.16420000000000001</v>
      </c>
      <c r="Y30" s="17" t="s">
        <v>31</v>
      </c>
      <c r="Z30" s="18">
        <v>0</v>
      </c>
      <c r="AA30" s="17" t="s">
        <v>31</v>
      </c>
      <c r="AB30" s="18">
        <v>1</v>
      </c>
      <c r="AC30" s="17" t="s">
        <v>31</v>
      </c>
      <c r="AD30" s="18">
        <v>1</v>
      </c>
    </row>
    <row r="31" spans="1:30" x14ac:dyDescent="0.3">
      <c r="S31" s="17" t="s">
        <v>32</v>
      </c>
      <c r="T31" s="18">
        <v>8.0569826545725323E-2</v>
      </c>
      <c r="U31" s="17" t="s">
        <v>32</v>
      </c>
      <c r="V31" s="18">
        <v>0.175440155502675</v>
      </c>
      <c r="W31" s="17" t="s">
        <v>32</v>
      </c>
      <c r="X31" s="18">
        <v>0.12180590946383396</v>
      </c>
      <c r="Y31" s="17" t="s">
        <v>32</v>
      </c>
      <c r="Z31" s="18">
        <v>6.3199450176174228</v>
      </c>
      <c r="AA31" s="17" t="s">
        <v>32</v>
      </c>
      <c r="AB31" s="18">
        <v>47.021203828894322</v>
      </c>
      <c r="AC31" s="17" t="s">
        <v>32</v>
      </c>
      <c r="AD31" s="18">
        <v>49.316801509098106</v>
      </c>
    </row>
    <row r="32" spans="1:30" x14ac:dyDescent="0.3">
      <c r="S32" s="17" t="s">
        <v>33</v>
      </c>
      <c r="T32" s="18">
        <v>6.4914969496082647E-3</v>
      </c>
      <c r="U32" s="17" t="s">
        <v>33</v>
      </c>
      <c r="V32" s="18">
        <v>3.077924816280278E-2</v>
      </c>
      <c r="W32" s="17" t="s">
        <v>33</v>
      </c>
      <c r="X32" s="18">
        <v>1.4836679580311717E-2</v>
      </c>
      <c r="Y32" s="17" t="s">
        <v>33</v>
      </c>
      <c r="Z32" s="18">
        <v>39.941705025707286</v>
      </c>
      <c r="AA32" s="17" t="s">
        <v>33</v>
      </c>
      <c r="AB32" s="18">
        <v>2210.9936095184262</v>
      </c>
      <c r="AC32" s="17" t="s">
        <v>33</v>
      </c>
      <c r="AD32" s="18">
        <v>2432.1469110877815</v>
      </c>
    </row>
    <row r="33" spans="1:30" x14ac:dyDescent="0.3">
      <c r="S33" s="17" t="s">
        <v>34</v>
      </c>
      <c r="T33" s="18">
        <v>0.99018463348500996</v>
      </c>
      <c r="U33" s="17" t="s">
        <v>34</v>
      </c>
      <c r="V33" s="18">
        <v>-0.48216689190637618</v>
      </c>
      <c r="W33" s="17" t="s">
        <v>34</v>
      </c>
      <c r="X33" s="18">
        <v>-0.11080240836154109</v>
      </c>
      <c r="Y33" s="17" t="s">
        <v>34</v>
      </c>
      <c r="Z33" s="18">
        <v>9.8806518275696238</v>
      </c>
      <c r="AA33" s="17" t="s">
        <v>34</v>
      </c>
      <c r="AB33" s="18">
        <v>2.1650171182753328</v>
      </c>
      <c r="AC33" s="17" t="s">
        <v>34</v>
      </c>
      <c r="AD33" s="18">
        <v>1.5354409137034</v>
      </c>
    </row>
    <row r="34" spans="1:30" x14ac:dyDescent="0.3">
      <c r="S34" s="17" t="s">
        <v>35</v>
      </c>
      <c r="T34" s="18">
        <v>0.59206948736419296</v>
      </c>
      <c r="U34" s="17" t="s">
        <v>35</v>
      </c>
      <c r="V34" s="18">
        <v>0.60955292688294149</v>
      </c>
      <c r="W34" s="17" t="s">
        <v>35</v>
      </c>
      <c r="X34" s="18">
        <v>0.33902937556198109</v>
      </c>
      <c r="Y34" s="17" t="s">
        <v>35</v>
      </c>
      <c r="Z34" s="18">
        <v>2.7128691167704044</v>
      </c>
      <c r="AA34" s="17" t="s">
        <v>35</v>
      </c>
      <c r="AB34" s="18">
        <v>1.4288749411052053</v>
      </c>
      <c r="AC34" s="17" t="s">
        <v>35</v>
      </c>
      <c r="AD34" s="18">
        <v>1.2435625473403071</v>
      </c>
    </row>
    <row r="35" spans="1:30" x14ac:dyDescent="0.3">
      <c r="S35" s="17" t="s">
        <v>36</v>
      </c>
      <c r="T35" s="18">
        <v>0.45450000000000002</v>
      </c>
      <c r="U35" s="17" t="s">
        <v>36</v>
      </c>
      <c r="V35" s="18">
        <v>0.79</v>
      </c>
      <c r="W35" s="17" t="s">
        <v>36</v>
      </c>
      <c r="X35" s="18">
        <v>0.58209999999999995</v>
      </c>
      <c r="Y35" s="17" t="s">
        <v>36</v>
      </c>
      <c r="Z35" s="18">
        <v>47</v>
      </c>
      <c r="AA35" s="17" t="s">
        <v>36</v>
      </c>
      <c r="AB35" s="18">
        <v>247</v>
      </c>
      <c r="AC35" s="17" t="s">
        <v>36</v>
      </c>
      <c r="AD35" s="18">
        <v>248</v>
      </c>
    </row>
    <row r="36" spans="1:30" x14ac:dyDescent="0.3">
      <c r="S36" s="17" t="s">
        <v>37</v>
      </c>
      <c r="T36" s="18">
        <v>0</v>
      </c>
      <c r="U36" s="17" t="s">
        <v>37</v>
      </c>
      <c r="V36" s="18">
        <v>0.21</v>
      </c>
      <c r="W36" s="17" t="s">
        <v>37</v>
      </c>
      <c r="X36" s="18">
        <v>0</v>
      </c>
      <c r="Y36" s="17" t="s">
        <v>37</v>
      </c>
      <c r="Z36" s="18">
        <v>0</v>
      </c>
      <c r="AA36" s="17" t="s">
        <v>37</v>
      </c>
      <c r="AB36" s="18">
        <v>0</v>
      </c>
      <c r="AC36" s="17" t="s">
        <v>37</v>
      </c>
      <c r="AD36" s="18">
        <v>1</v>
      </c>
    </row>
    <row r="37" spans="1:30" x14ac:dyDescent="0.3">
      <c r="S37" s="17" t="s">
        <v>38</v>
      </c>
      <c r="T37" s="18">
        <v>0.45450000000000002</v>
      </c>
      <c r="U37" s="17" t="s">
        <v>38</v>
      </c>
      <c r="V37" s="18">
        <v>1</v>
      </c>
      <c r="W37" s="17" t="s">
        <v>38</v>
      </c>
      <c r="X37" s="18">
        <v>0.58209999999999995</v>
      </c>
      <c r="Y37" s="17" t="s">
        <v>38</v>
      </c>
      <c r="Z37" s="18">
        <v>47</v>
      </c>
      <c r="AA37" s="17" t="s">
        <v>38</v>
      </c>
      <c r="AB37" s="18">
        <v>247</v>
      </c>
      <c r="AC37" s="17" t="s">
        <v>38</v>
      </c>
      <c r="AD37" s="18">
        <v>249</v>
      </c>
    </row>
    <row r="38" spans="1:30" x14ac:dyDescent="0.3">
      <c r="S38" s="17" t="s">
        <v>39</v>
      </c>
      <c r="T38" s="18">
        <v>123.23070000000011</v>
      </c>
      <c r="U38" s="17" t="s">
        <v>39</v>
      </c>
      <c r="V38" s="18">
        <v>343.11000000000087</v>
      </c>
      <c r="W38" s="17" t="s">
        <v>39</v>
      </c>
      <c r="X38" s="18">
        <v>124.95910000000001</v>
      </c>
      <c r="Y38" s="17" t="s">
        <v>39</v>
      </c>
      <c r="Z38" s="18">
        <v>2746</v>
      </c>
      <c r="AA38" s="17" t="s">
        <v>39</v>
      </c>
      <c r="AB38" s="18">
        <v>31152</v>
      </c>
      <c r="AC38" s="17" t="s">
        <v>39</v>
      </c>
      <c r="AD38" s="18">
        <v>33898</v>
      </c>
    </row>
    <row r="39" spans="1:30" ht="15" thickBot="1" x14ac:dyDescent="0.35">
      <c r="A39" s="8" t="s">
        <v>26</v>
      </c>
      <c r="B39" s="8" t="s">
        <v>25</v>
      </c>
      <c r="D39" s="8" t="s">
        <v>21</v>
      </c>
      <c r="E39" s="8" t="s">
        <v>25</v>
      </c>
      <c r="G39" s="8" t="s">
        <v>21</v>
      </c>
      <c r="H39" s="8" t="s">
        <v>25</v>
      </c>
      <c r="I39" s="8" t="s">
        <v>24</v>
      </c>
      <c r="J39" s="8" t="s">
        <v>23</v>
      </c>
      <c r="S39" s="19" t="s">
        <v>40</v>
      </c>
      <c r="T39" s="20">
        <v>610</v>
      </c>
      <c r="U39" s="19" t="s">
        <v>40</v>
      </c>
      <c r="V39" s="20">
        <v>610</v>
      </c>
      <c r="W39" s="19" t="s">
        <v>40</v>
      </c>
      <c r="X39" s="20">
        <v>610</v>
      </c>
      <c r="Y39" s="19" t="s">
        <v>40</v>
      </c>
      <c r="Z39" s="20">
        <v>610</v>
      </c>
      <c r="AA39" s="19" t="s">
        <v>40</v>
      </c>
      <c r="AB39" s="20">
        <v>610</v>
      </c>
      <c r="AC39" s="19" t="s">
        <v>40</v>
      </c>
      <c r="AD39" s="20">
        <v>610</v>
      </c>
    </row>
    <row r="40" spans="1:30" x14ac:dyDescent="0.3">
      <c r="A40" s="11" t="s">
        <v>14</v>
      </c>
      <c r="B40" s="12">
        <v>11027</v>
      </c>
      <c r="D40" s="11" t="s">
        <v>13</v>
      </c>
      <c r="E40" s="12">
        <v>5247</v>
      </c>
      <c r="G40" s="11" t="s">
        <v>16</v>
      </c>
      <c r="H40" s="12">
        <v>20620</v>
      </c>
      <c r="I40" s="12">
        <v>18633</v>
      </c>
      <c r="J40" s="12">
        <v>1987</v>
      </c>
    </row>
    <row r="41" spans="1:30" x14ac:dyDescent="0.3">
      <c r="A41" s="11" t="s">
        <v>18</v>
      </c>
      <c r="B41" s="12">
        <v>16245</v>
      </c>
      <c r="D41" s="11" t="s">
        <v>16</v>
      </c>
      <c r="E41" s="12">
        <v>7419</v>
      </c>
      <c r="G41" s="11" t="s">
        <v>19</v>
      </c>
      <c r="H41" s="12">
        <v>13278</v>
      </c>
      <c r="I41" s="12">
        <v>12519</v>
      </c>
      <c r="J41" s="12">
        <v>759</v>
      </c>
    </row>
    <row r="42" spans="1:30" x14ac:dyDescent="0.3">
      <c r="A42" s="11" t="s">
        <v>20</v>
      </c>
      <c r="B42" s="12">
        <v>6626</v>
      </c>
      <c r="D42" s="11" t="s">
        <v>19</v>
      </c>
      <c r="E42" s="12">
        <v>21232</v>
      </c>
      <c r="G42" s="11" t="s">
        <v>22</v>
      </c>
      <c r="H42" s="12">
        <v>33898</v>
      </c>
      <c r="I42" s="12">
        <v>31152</v>
      </c>
      <c r="J42" s="12">
        <v>2746</v>
      </c>
    </row>
    <row r="43" spans="1:30" x14ac:dyDescent="0.3">
      <c r="A43" s="11" t="s">
        <v>22</v>
      </c>
      <c r="B43" s="12">
        <v>33898</v>
      </c>
      <c r="D43" s="11" t="s">
        <v>22</v>
      </c>
      <c r="E43" s="12">
        <v>33898</v>
      </c>
    </row>
  </sheetData>
  <mergeCells count="2">
    <mergeCell ref="S25:AD25"/>
    <mergeCell ref="A19:G19"/>
  </mergeCells>
  <conditionalFormatting sqref="B21:G26 A20">
    <cfRule type="colorScale" priority="1">
      <colorScale>
        <cfvo type="min"/>
        <cfvo type="percentile" val="50"/>
        <cfvo type="max"/>
        <color rgb="FFF8696B"/>
        <color rgb="FFFFEB84"/>
        <color rgb="FF63BE7B"/>
      </colorScale>
    </cfRule>
  </conditionalFormatting>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46908-A7B3-414F-8FB2-D46EE28ECE3E}">
  <dimension ref="A1:E764"/>
  <sheetViews>
    <sheetView workbookViewId="0">
      <selection activeCell="H26" sqref="H26"/>
    </sheetView>
  </sheetViews>
  <sheetFormatPr defaultColWidth="16.88671875" defaultRowHeight="14.4" x14ac:dyDescent="0.3"/>
  <cols>
    <col min="1" max="1" width="9" bestFit="1" customWidth="1"/>
    <col min="2" max="2" width="17.21875" bestFit="1" customWidth="1"/>
    <col min="3" max="3" width="25.77734375" bestFit="1" customWidth="1"/>
    <col min="4" max="4" width="30" bestFit="1" customWidth="1"/>
    <col min="5" max="5" width="30.109375" bestFit="1" customWidth="1"/>
  </cols>
  <sheetData>
    <row r="1" spans="1:5" x14ac:dyDescent="0.3">
      <c r="A1" t="s">
        <v>0</v>
      </c>
      <c r="B1" t="s">
        <v>6</v>
      </c>
      <c r="C1" t="s">
        <v>43</v>
      </c>
      <c r="D1" t="s">
        <v>44</v>
      </c>
      <c r="E1" t="s">
        <v>45</v>
      </c>
    </row>
    <row r="2" spans="1:5" x14ac:dyDescent="0.3">
      <c r="A2" s="4">
        <v>1</v>
      </c>
      <c r="B2" s="4">
        <v>16</v>
      </c>
    </row>
    <row r="3" spans="1:5" x14ac:dyDescent="0.3">
      <c r="A3" s="4">
        <v>2</v>
      </c>
      <c r="B3" s="4">
        <v>40</v>
      </c>
    </row>
    <row r="4" spans="1:5" x14ac:dyDescent="0.3">
      <c r="A4" s="4">
        <v>3</v>
      </c>
      <c r="B4" s="4">
        <v>32</v>
      </c>
    </row>
    <row r="5" spans="1:5" x14ac:dyDescent="0.3">
      <c r="A5" s="4">
        <v>4</v>
      </c>
      <c r="B5" s="4">
        <v>13</v>
      </c>
    </row>
    <row r="6" spans="1:5" x14ac:dyDescent="0.3">
      <c r="A6" s="4">
        <v>5</v>
      </c>
      <c r="B6" s="4">
        <v>1</v>
      </c>
    </row>
    <row r="7" spans="1:5" x14ac:dyDescent="0.3">
      <c r="A7" s="4">
        <v>6</v>
      </c>
      <c r="B7" s="4">
        <v>1</v>
      </c>
    </row>
    <row r="8" spans="1:5" x14ac:dyDescent="0.3">
      <c r="A8" s="4">
        <v>7</v>
      </c>
      <c r="B8" s="4">
        <v>2</v>
      </c>
    </row>
    <row r="9" spans="1:5" x14ac:dyDescent="0.3">
      <c r="A9" s="4">
        <v>8</v>
      </c>
      <c r="B9" s="4">
        <v>3</v>
      </c>
    </row>
    <row r="10" spans="1:5" x14ac:dyDescent="0.3">
      <c r="A10" s="4">
        <v>9</v>
      </c>
      <c r="B10" s="4">
        <v>8</v>
      </c>
    </row>
    <row r="11" spans="1:5" x14ac:dyDescent="0.3">
      <c r="A11" s="4">
        <v>10</v>
      </c>
      <c r="B11" s="4">
        <v>14</v>
      </c>
    </row>
    <row r="12" spans="1:5" x14ac:dyDescent="0.3">
      <c r="A12" s="4">
        <v>11</v>
      </c>
      <c r="B12" s="4">
        <v>36</v>
      </c>
    </row>
    <row r="13" spans="1:5" x14ac:dyDescent="0.3">
      <c r="A13" s="4">
        <v>12</v>
      </c>
      <c r="B13" s="4">
        <v>56</v>
      </c>
    </row>
    <row r="14" spans="1:5" x14ac:dyDescent="0.3">
      <c r="A14" s="4">
        <v>13</v>
      </c>
      <c r="B14" s="4">
        <v>84</v>
      </c>
    </row>
    <row r="15" spans="1:5" x14ac:dyDescent="0.3">
      <c r="A15" s="4">
        <v>14</v>
      </c>
      <c r="B15" s="4">
        <v>94</v>
      </c>
    </row>
    <row r="16" spans="1:5" x14ac:dyDescent="0.3">
      <c r="A16" s="4">
        <v>15</v>
      </c>
      <c r="B16" s="4">
        <v>106</v>
      </c>
    </row>
    <row r="17" spans="1:2" x14ac:dyDescent="0.3">
      <c r="A17" s="4">
        <v>16</v>
      </c>
      <c r="B17" s="4">
        <v>110</v>
      </c>
    </row>
    <row r="18" spans="1:2" x14ac:dyDescent="0.3">
      <c r="A18" s="4">
        <v>17</v>
      </c>
      <c r="B18" s="4">
        <v>93</v>
      </c>
    </row>
    <row r="19" spans="1:2" x14ac:dyDescent="0.3">
      <c r="A19" s="4">
        <v>18</v>
      </c>
      <c r="B19" s="4">
        <v>67</v>
      </c>
    </row>
    <row r="20" spans="1:2" x14ac:dyDescent="0.3">
      <c r="A20" s="4">
        <v>19</v>
      </c>
      <c r="B20" s="4">
        <v>35</v>
      </c>
    </row>
    <row r="21" spans="1:2" x14ac:dyDescent="0.3">
      <c r="A21" s="4">
        <v>20</v>
      </c>
      <c r="B21" s="4">
        <v>37</v>
      </c>
    </row>
    <row r="22" spans="1:2" x14ac:dyDescent="0.3">
      <c r="A22" s="4">
        <v>21</v>
      </c>
      <c r="B22" s="4">
        <v>36</v>
      </c>
    </row>
    <row r="23" spans="1:2" x14ac:dyDescent="0.3">
      <c r="A23" s="4">
        <v>22</v>
      </c>
      <c r="B23" s="4">
        <v>34</v>
      </c>
    </row>
    <row r="24" spans="1:2" x14ac:dyDescent="0.3">
      <c r="A24" s="4">
        <v>23</v>
      </c>
      <c r="B24" s="4">
        <v>28</v>
      </c>
    </row>
    <row r="25" spans="1:2" x14ac:dyDescent="0.3">
      <c r="A25" s="4">
        <v>24</v>
      </c>
      <c r="B25" s="4">
        <v>39</v>
      </c>
    </row>
    <row r="26" spans="1:2" x14ac:dyDescent="0.3">
      <c r="A26" s="4">
        <v>25</v>
      </c>
      <c r="B26" s="4">
        <v>17</v>
      </c>
    </row>
    <row r="27" spans="1:2" x14ac:dyDescent="0.3">
      <c r="A27" s="4">
        <v>26</v>
      </c>
      <c r="B27" s="4">
        <v>17</v>
      </c>
    </row>
    <row r="28" spans="1:2" x14ac:dyDescent="0.3">
      <c r="A28" s="4">
        <v>27</v>
      </c>
      <c r="B28" s="4">
        <v>9</v>
      </c>
    </row>
    <row r="29" spans="1:2" x14ac:dyDescent="0.3">
      <c r="A29" s="4">
        <v>28</v>
      </c>
      <c r="B29" s="4">
        <v>6</v>
      </c>
    </row>
    <row r="30" spans="1:2" x14ac:dyDescent="0.3">
      <c r="A30" s="4">
        <v>29</v>
      </c>
      <c r="B30" s="4">
        <v>3</v>
      </c>
    </row>
    <row r="31" spans="1:2" x14ac:dyDescent="0.3">
      <c r="A31" s="4">
        <v>30</v>
      </c>
      <c r="B31" s="4">
        <v>2</v>
      </c>
    </row>
    <row r="32" spans="1:2" x14ac:dyDescent="0.3">
      <c r="A32" s="4">
        <v>31</v>
      </c>
      <c r="B32" s="4">
        <v>1</v>
      </c>
    </row>
    <row r="33" spans="1:2" x14ac:dyDescent="0.3">
      <c r="A33" s="4">
        <v>32</v>
      </c>
      <c r="B33" s="4">
        <v>8</v>
      </c>
    </row>
    <row r="34" spans="1:2" x14ac:dyDescent="0.3">
      <c r="A34" s="4">
        <v>33</v>
      </c>
      <c r="B34" s="4">
        <v>20</v>
      </c>
    </row>
    <row r="35" spans="1:2" x14ac:dyDescent="0.3">
      <c r="A35" s="4">
        <v>34</v>
      </c>
      <c r="B35" s="4">
        <v>53</v>
      </c>
    </row>
    <row r="36" spans="1:2" x14ac:dyDescent="0.3">
      <c r="A36" s="4">
        <v>35</v>
      </c>
      <c r="B36" s="4">
        <v>70</v>
      </c>
    </row>
    <row r="37" spans="1:2" x14ac:dyDescent="0.3">
      <c r="A37" s="4">
        <v>36</v>
      </c>
      <c r="B37" s="4">
        <v>93</v>
      </c>
    </row>
    <row r="38" spans="1:2" x14ac:dyDescent="0.3">
      <c r="A38" s="4">
        <v>37</v>
      </c>
      <c r="B38" s="4">
        <v>75</v>
      </c>
    </row>
    <row r="39" spans="1:2" x14ac:dyDescent="0.3">
      <c r="A39" s="4">
        <v>38</v>
      </c>
      <c r="B39" s="4">
        <v>59</v>
      </c>
    </row>
    <row r="40" spans="1:2" x14ac:dyDescent="0.3">
      <c r="A40" s="4">
        <v>39</v>
      </c>
      <c r="B40" s="4">
        <v>74</v>
      </c>
    </row>
    <row r="41" spans="1:2" x14ac:dyDescent="0.3">
      <c r="A41" s="4">
        <v>40</v>
      </c>
      <c r="B41" s="4">
        <v>76</v>
      </c>
    </row>
    <row r="42" spans="1:2" x14ac:dyDescent="0.3">
      <c r="A42" s="4">
        <v>41</v>
      </c>
      <c r="B42" s="4">
        <v>65</v>
      </c>
    </row>
    <row r="43" spans="1:2" x14ac:dyDescent="0.3">
      <c r="A43" s="4">
        <v>42</v>
      </c>
      <c r="B43" s="4">
        <v>53</v>
      </c>
    </row>
    <row r="44" spans="1:2" x14ac:dyDescent="0.3">
      <c r="A44" s="4">
        <v>43</v>
      </c>
      <c r="B44" s="4">
        <v>30</v>
      </c>
    </row>
    <row r="45" spans="1:2" x14ac:dyDescent="0.3">
      <c r="A45" s="4">
        <v>44</v>
      </c>
      <c r="B45" s="4">
        <v>22</v>
      </c>
    </row>
    <row r="46" spans="1:2" x14ac:dyDescent="0.3">
      <c r="A46" s="4">
        <v>45</v>
      </c>
      <c r="B46" s="4">
        <v>31</v>
      </c>
    </row>
    <row r="47" spans="1:2" x14ac:dyDescent="0.3">
      <c r="A47" s="4">
        <v>46</v>
      </c>
      <c r="B47" s="4">
        <v>9</v>
      </c>
    </row>
    <row r="48" spans="1:2" x14ac:dyDescent="0.3">
      <c r="A48" s="4">
        <v>47</v>
      </c>
      <c r="B48" s="4">
        <v>8</v>
      </c>
    </row>
    <row r="49" spans="1:2" x14ac:dyDescent="0.3">
      <c r="A49" s="4">
        <v>48</v>
      </c>
      <c r="B49" s="4">
        <v>5</v>
      </c>
    </row>
    <row r="50" spans="1:2" x14ac:dyDescent="0.3">
      <c r="A50" s="4">
        <v>49</v>
      </c>
      <c r="B50" s="4">
        <v>2</v>
      </c>
    </row>
    <row r="51" spans="1:2" x14ac:dyDescent="0.3">
      <c r="A51" s="4">
        <v>50</v>
      </c>
      <c r="B51" s="4">
        <v>1</v>
      </c>
    </row>
    <row r="52" spans="1:2" x14ac:dyDescent="0.3">
      <c r="A52" s="4">
        <v>51</v>
      </c>
      <c r="B52" s="4">
        <v>3</v>
      </c>
    </row>
    <row r="53" spans="1:2" x14ac:dyDescent="0.3">
      <c r="A53" s="4">
        <v>52</v>
      </c>
      <c r="B53" s="4">
        <v>30</v>
      </c>
    </row>
    <row r="54" spans="1:2" x14ac:dyDescent="0.3">
      <c r="A54" s="4">
        <v>53</v>
      </c>
      <c r="B54" s="4">
        <v>64</v>
      </c>
    </row>
    <row r="55" spans="1:2" x14ac:dyDescent="0.3">
      <c r="A55" s="4">
        <v>54</v>
      </c>
      <c r="B55" s="4">
        <v>154</v>
      </c>
    </row>
    <row r="56" spans="1:2" x14ac:dyDescent="0.3">
      <c r="A56" s="4">
        <v>55</v>
      </c>
      <c r="B56" s="4">
        <v>88</v>
      </c>
    </row>
    <row r="57" spans="1:2" x14ac:dyDescent="0.3">
      <c r="A57" s="4">
        <v>56</v>
      </c>
      <c r="B57" s="4">
        <v>44</v>
      </c>
    </row>
    <row r="58" spans="1:2" x14ac:dyDescent="0.3">
      <c r="A58" s="4">
        <v>57</v>
      </c>
      <c r="B58" s="4">
        <v>51</v>
      </c>
    </row>
    <row r="59" spans="1:2" x14ac:dyDescent="0.3">
      <c r="A59" s="4">
        <v>58</v>
      </c>
      <c r="B59" s="4">
        <v>61</v>
      </c>
    </row>
    <row r="60" spans="1:2" x14ac:dyDescent="0.3">
      <c r="A60" s="4">
        <v>59</v>
      </c>
      <c r="B60" s="4">
        <v>61</v>
      </c>
    </row>
    <row r="61" spans="1:2" x14ac:dyDescent="0.3">
      <c r="A61" s="4">
        <v>60</v>
      </c>
      <c r="B61" s="4">
        <v>77</v>
      </c>
    </row>
    <row r="62" spans="1:2" x14ac:dyDescent="0.3">
      <c r="A62" s="4">
        <v>61</v>
      </c>
      <c r="B62" s="4">
        <v>72</v>
      </c>
    </row>
    <row r="63" spans="1:2" x14ac:dyDescent="0.3">
      <c r="A63" s="4">
        <v>62</v>
      </c>
      <c r="B63" s="4">
        <v>76</v>
      </c>
    </row>
    <row r="64" spans="1:2" x14ac:dyDescent="0.3">
      <c r="A64" s="4">
        <v>63</v>
      </c>
      <c r="B64" s="4">
        <v>157</v>
      </c>
    </row>
    <row r="65" spans="1:2" x14ac:dyDescent="0.3">
      <c r="A65" s="4">
        <v>64</v>
      </c>
      <c r="B65" s="4">
        <v>157</v>
      </c>
    </row>
    <row r="66" spans="1:2" x14ac:dyDescent="0.3">
      <c r="A66" s="4">
        <v>65</v>
      </c>
      <c r="B66" s="4">
        <v>110</v>
      </c>
    </row>
    <row r="67" spans="1:2" x14ac:dyDescent="0.3">
      <c r="A67" s="4">
        <v>66</v>
      </c>
      <c r="B67" s="4">
        <v>52</v>
      </c>
    </row>
    <row r="68" spans="1:2" x14ac:dyDescent="0.3">
      <c r="A68" s="4">
        <v>67</v>
      </c>
      <c r="B68" s="4">
        <v>52</v>
      </c>
    </row>
    <row r="69" spans="1:2" x14ac:dyDescent="0.3">
      <c r="A69" s="4">
        <v>68</v>
      </c>
      <c r="B69" s="4">
        <v>20</v>
      </c>
    </row>
    <row r="70" spans="1:2" x14ac:dyDescent="0.3">
      <c r="A70" s="4">
        <v>69</v>
      </c>
      <c r="B70" s="4">
        <v>12</v>
      </c>
    </row>
    <row r="71" spans="1:2" x14ac:dyDescent="0.3">
      <c r="A71" s="4">
        <v>70</v>
      </c>
      <c r="B71" s="4">
        <v>5</v>
      </c>
    </row>
    <row r="72" spans="1:2" x14ac:dyDescent="0.3">
      <c r="A72" s="4">
        <v>71</v>
      </c>
      <c r="B72" s="4">
        <v>2</v>
      </c>
    </row>
    <row r="73" spans="1:2" x14ac:dyDescent="0.3">
      <c r="A73" s="4">
        <v>72</v>
      </c>
      <c r="B73" s="4">
        <v>1</v>
      </c>
    </row>
    <row r="74" spans="1:2" x14ac:dyDescent="0.3">
      <c r="A74" s="4">
        <v>73</v>
      </c>
      <c r="B74" s="4">
        <v>2</v>
      </c>
    </row>
    <row r="75" spans="1:2" x14ac:dyDescent="0.3">
      <c r="A75" s="4">
        <v>74</v>
      </c>
      <c r="B75" s="4">
        <v>4</v>
      </c>
    </row>
    <row r="76" spans="1:2" x14ac:dyDescent="0.3">
      <c r="A76" s="4">
        <v>75</v>
      </c>
      <c r="B76" s="4">
        <v>36</v>
      </c>
    </row>
    <row r="77" spans="1:2" x14ac:dyDescent="0.3">
      <c r="A77" s="4">
        <v>76</v>
      </c>
      <c r="B77" s="4">
        <v>94</v>
      </c>
    </row>
    <row r="78" spans="1:2" x14ac:dyDescent="0.3">
      <c r="A78" s="4">
        <v>77</v>
      </c>
      <c r="B78" s="4">
        <v>179</v>
      </c>
    </row>
    <row r="79" spans="1:2" x14ac:dyDescent="0.3">
      <c r="A79" s="4">
        <v>78</v>
      </c>
      <c r="B79" s="4">
        <v>100</v>
      </c>
    </row>
    <row r="80" spans="1:2" x14ac:dyDescent="0.3">
      <c r="A80" s="4">
        <v>79</v>
      </c>
      <c r="B80" s="4">
        <v>42</v>
      </c>
    </row>
    <row r="81" spans="1:2" x14ac:dyDescent="0.3">
      <c r="A81" s="4">
        <v>80</v>
      </c>
      <c r="B81" s="4">
        <v>57</v>
      </c>
    </row>
    <row r="82" spans="1:2" x14ac:dyDescent="0.3">
      <c r="A82" s="4">
        <v>81</v>
      </c>
      <c r="B82" s="4">
        <v>78</v>
      </c>
    </row>
    <row r="83" spans="1:2" x14ac:dyDescent="0.3">
      <c r="A83" s="4">
        <v>82</v>
      </c>
      <c r="B83" s="4">
        <v>97</v>
      </c>
    </row>
    <row r="84" spans="1:2" x14ac:dyDescent="0.3">
      <c r="A84" s="4">
        <v>83</v>
      </c>
      <c r="B84" s="4">
        <v>63</v>
      </c>
    </row>
    <row r="85" spans="1:2" x14ac:dyDescent="0.3">
      <c r="A85" s="4">
        <v>84</v>
      </c>
      <c r="B85" s="4">
        <v>65</v>
      </c>
    </row>
    <row r="86" spans="1:2" x14ac:dyDescent="0.3">
      <c r="A86" s="4">
        <v>85</v>
      </c>
      <c r="B86" s="4">
        <v>83</v>
      </c>
    </row>
    <row r="87" spans="1:2" x14ac:dyDescent="0.3">
      <c r="A87" s="4">
        <v>86</v>
      </c>
      <c r="B87" s="4">
        <v>212</v>
      </c>
    </row>
    <row r="88" spans="1:2" x14ac:dyDescent="0.3">
      <c r="A88" s="4">
        <v>87</v>
      </c>
      <c r="B88" s="4">
        <v>182</v>
      </c>
    </row>
    <row r="89" spans="1:2" x14ac:dyDescent="0.3">
      <c r="A89" s="4">
        <v>88</v>
      </c>
      <c r="B89" s="4">
        <v>112</v>
      </c>
    </row>
    <row r="90" spans="1:2" x14ac:dyDescent="0.3">
      <c r="A90" s="4">
        <v>89</v>
      </c>
      <c r="B90" s="4">
        <v>54</v>
      </c>
    </row>
    <row r="91" spans="1:2" x14ac:dyDescent="0.3">
      <c r="A91" s="4">
        <v>90</v>
      </c>
      <c r="B91" s="4">
        <v>48</v>
      </c>
    </row>
    <row r="92" spans="1:2" x14ac:dyDescent="0.3">
      <c r="A92" s="4">
        <v>91</v>
      </c>
      <c r="B92" s="4">
        <v>35</v>
      </c>
    </row>
    <row r="93" spans="1:2" x14ac:dyDescent="0.3">
      <c r="A93" s="4">
        <v>92</v>
      </c>
      <c r="B93" s="4">
        <v>11</v>
      </c>
    </row>
    <row r="94" spans="1:2" x14ac:dyDescent="0.3">
      <c r="A94" s="4">
        <v>93</v>
      </c>
      <c r="B94" s="4">
        <v>6</v>
      </c>
    </row>
    <row r="95" spans="1:2" x14ac:dyDescent="0.3">
      <c r="A95" s="4">
        <v>94</v>
      </c>
      <c r="B95" s="4">
        <v>6</v>
      </c>
    </row>
    <row r="96" spans="1:2" x14ac:dyDescent="0.3">
      <c r="A96" s="4">
        <v>95</v>
      </c>
      <c r="B96" s="4">
        <v>2</v>
      </c>
    </row>
    <row r="97" spans="1:2" x14ac:dyDescent="0.3">
      <c r="A97" s="4">
        <v>96</v>
      </c>
      <c r="B97" s="4">
        <v>2</v>
      </c>
    </row>
    <row r="98" spans="1:2" x14ac:dyDescent="0.3">
      <c r="A98" s="4">
        <v>97</v>
      </c>
      <c r="B98" s="4">
        <v>3</v>
      </c>
    </row>
    <row r="99" spans="1:2" x14ac:dyDescent="0.3">
      <c r="A99" s="4">
        <v>98</v>
      </c>
      <c r="B99" s="4">
        <v>33</v>
      </c>
    </row>
    <row r="100" spans="1:2" x14ac:dyDescent="0.3">
      <c r="A100" s="4">
        <v>99</v>
      </c>
      <c r="B100" s="4">
        <v>88</v>
      </c>
    </row>
    <row r="101" spans="1:2" x14ac:dyDescent="0.3">
      <c r="A101" s="4">
        <v>100</v>
      </c>
      <c r="B101" s="4">
        <v>195</v>
      </c>
    </row>
    <row r="102" spans="1:2" x14ac:dyDescent="0.3">
      <c r="A102" s="4">
        <v>101</v>
      </c>
      <c r="B102" s="4">
        <v>115</v>
      </c>
    </row>
    <row r="103" spans="1:2" x14ac:dyDescent="0.3">
      <c r="A103" s="4">
        <v>102</v>
      </c>
      <c r="B103" s="4">
        <v>57</v>
      </c>
    </row>
    <row r="104" spans="1:2" x14ac:dyDescent="0.3">
      <c r="A104" s="4">
        <v>103</v>
      </c>
      <c r="B104" s="4">
        <v>46</v>
      </c>
    </row>
    <row r="105" spans="1:2" x14ac:dyDescent="0.3">
      <c r="A105" s="4">
        <v>104</v>
      </c>
      <c r="B105" s="4">
        <v>79</v>
      </c>
    </row>
    <row r="106" spans="1:2" x14ac:dyDescent="0.3">
      <c r="A106" s="4">
        <v>105</v>
      </c>
      <c r="B106" s="4">
        <v>71</v>
      </c>
    </row>
    <row r="107" spans="1:2" x14ac:dyDescent="0.3">
      <c r="A107" s="4">
        <v>106</v>
      </c>
      <c r="B107" s="4">
        <v>62</v>
      </c>
    </row>
    <row r="108" spans="1:2" x14ac:dyDescent="0.3">
      <c r="A108" s="4">
        <v>107</v>
      </c>
      <c r="B108" s="4">
        <v>62</v>
      </c>
    </row>
    <row r="109" spans="1:2" x14ac:dyDescent="0.3">
      <c r="A109" s="4">
        <v>108</v>
      </c>
      <c r="B109" s="4">
        <v>89</v>
      </c>
    </row>
    <row r="110" spans="1:2" x14ac:dyDescent="0.3">
      <c r="A110" s="4">
        <v>109</v>
      </c>
      <c r="B110" s="4">
        <v>190</v>
      </c>
    </row>
    <row r="111" spans="1:2" x14ac:dyDescent="0.3">
      <c r="A111" s="4">
        <v>110</v>
      </c>
      <c r="B111" s="4">
        <v>169</v>
      </c>
    </row>
    <row r="112" spans="1:2" x14ac:dyDescent="0.3">
      <c r="A112" s="4">
        <v>111</v>
      </c>
      <c r="B112" s="4">
        <v>132</v>
      </c>
    </row>
    <row r="113" spans="1:2" x14ac:dyDescent="0.3">
      <c r="A113" s="4">
        <v>112</v>
      </c>
      <c r="B113" s="4">
        <v>89</v>
      </c>
    </row>
    <row r="114" spans="1:2" x14ac:dyDescent="0.3">
      <c r="A114" s="4">
        <v>113</v>
      </c>
      <c r="B114" s="4">
        <v>43</v>
      </c>
    </row>
    <row r="115" spans="1:2" x14ac:dyDescent="0.3">
      <c r="A115" s="4">
        <v>114</v>
      </c>
      <c r="B115" s="4">
        <v>42</v>
      </c>
    </row>
    <row r="116" spans="1:2" x14ac:dyDescent="0.3">
      <c r="A116" s="4">
        <v>115</v>
      </c>
      <c r="B116" s="4">
        <v>19</v>
      </c>
    </row>
    <row r="117" spans="1:2" x14ac:dyDescent="0.3">
      <c r="A117" s="4">
        <v>116</v>
      </c>
      <c r="B117" s="4">
        <v>11</v>
      </c>
    </row>
    <row r="118" spans="1:2" x14ac:dyDescent="0.3">
      <c r="A118" s="4">
        <v>117</v>
      </c>
      <c r="B118" s="4">
        <v>4</v>
      </c>
    </row>
    <row r="119" spans="1:2" x14ac:dyDescent="0.3">
      <c r="A119" s="4">
        <v>118</v>
      </c>
      <c r="B119" s="4">
        <v>2</v>
      </c>
    </row>
    <row r="120" spans="1:2" x14ac:dyDescent="0.3">
      <c r="A120" s="4">
        <v>119</v>
      </c>
      <c r="B120" s="4">
        <v>1</v>
      </c>
    </row>
    <row r="121" spans="1:2" x14ac:dyDescent="0.3">
      <c r="A121" s="4">
        <v>120</v>
      </c>
      <c r="B121" s="4">
        <v>4</v>
      </c>
    </row>
    <row r="122" spans="1:2" x14ac:dyDescent="0.3">
      <c r="A122" s="4">
        <v>121</v>
      </c>
      <c r="B122" s="4">
        <v>36</v>
      </c>
    </row>
    <row r="123" spans="1:2" x14ac:dyDescent="0.3">
      <c r="A123" s="4">
        <v>122</v>
      </c>
      <c r="B123" s="4">
        <v>95</v>
      </c>
    </row>
    <row r="124" spans="1:2" x14ac:dyDescent="0.3">
      <c r="A124" s="4">
        <v>123</v>
      </c>
      <c r="B124" s="4">
        <v>219</v>
      </c>
    </row>
    <row r="125" spans="1:2" x14ac:dyDescent="0.3">
      <c r="A125" s="4">
        <v>124</v>
      </c>
      <c r="B125" s="4">
        <v>122</v>
      </c>
    </row>
    <row r="126" spans="1:2" x14ac:dyDescent="0.3">
      <c r="A126" s="4">
        <v>125</v>
      </c>
      <c r="B126" s="4">
        <v>45</v>
      </c>
    </row>
    <row r="127" spans="1:2" x14ac:dyDescent="0.3">
      <c r="A127" s="4">
        <v>126</v>
      </c>
      <c r="B127" s="4">
        <v>59</v>
      </c>
    </row>
    <row r="128" spans="1:2" x14ac:dyDescent="0.3">
      <c r="A128" s="4">
        <v>127</v>
      </c>
      <c r="B128" s="4">
        <v>84</v>
      </c>
    </row>
    <row r="129" spans="1:2" x14ac:dyDescent="0.3">
      <c r="A129" s="4">
        <v>128</v>
      </c>
      <c r="B129" s="4">
        <v>67</v>
      </c>
    </row>
    <row r="130" spans="1:2" x14ac:dyDescent="0.3">
      <c r="A130" s="4">
        <v>129</v>
      </c>
      <c r="B130" s="4">
        <v>70</v>
      </c>
    </row>
    <row r="131" spans="1:2" x14ac:dyDescent="0.3">
      <c r="A131" s="4">
        <v>130</v>
      </c>
      <c r="B131" s="4">
        <v>62</v>
      </c>
    </row>
    <row r="132" spans="1:2" x14ac:dyDescent="0.3">
      <c r="A132" s="4">
        <v>131</v>
      </c>
      <c r="B132" s="4">
        <v>86</v>
      </c>
    </row>
    <row r="133" spans="1:2" x14ac:dyDescent="0.3">
      <c r="A133" s="4">
        <v>132</v>
      </c>
      <c r="B133" s="4">
        <v>172</v>
      </c>
    </row>
    <row r="134" spans="1:2" x14ac:dyDescent="0.3">
      <c r="A134" s="4">
        <v>133</v>
      </c>
      <c r="B134" s="4">
        <v>163</v>
      </c>
    </row>
    <row r="135" spans="1:2" x14ac:dyDescent="0.3">
      <c r="A135" s="4">
        <v>134</v>
      </c>
      <c r="B135" s="4">
        <v>112</v>
      </c>
    </row>
    <row r="136" spans="1:2" x14ac:dyDescent="0.3">
      <c r="A136" s="4">
        <v>135</v>
      </c>
      <c r="B136" s="4">
        <v>69</v>
      </c>
    </row>
    <row r="137" spans="1:2" x14ac:dyDescent="0.3">
      <c r="A137" s="4">
        <v>136</v>
      </c>
      <c r="B137" s="4">
        <v>48</v>
      </c>
    </row>
    <row r="138" spans="1:2" x14ac:dyDescent="0.3">
      <c r="A138" s="4">
        <v>137</v>
      </c>
      <c r="B138" s="4">
        <v>52</v>
      </c>
    </row>
    <row r="139" spans="1:2" x14ac:dyDescent="0.3">
      <c r="A139" s="4">
        <v>138</v>
      </c>
      <c r="B139" s="4">
        <v>23</v>
      </c>
    </row>
    <row r="140" spans="1:2" x14ac:dyDescent="0.3">
      <c r="A140" s="4">
        <v>139</v>
      </c>
      <c r="B140" s="4">
        <v>17</v>
      </c>
    </row>
    <row r="141" spans="1:2" x14ac:dyDescent="0.3">
      <c r="A141" s="4">
        <v>140</v>
      </c>
      <c r="B141" s="4">
        <v>7</v>
      </c>
    </row>
    <row r="142" spans="1:2" x14ac:dyDescent="0.3">
      <c r="A142" s="4">
        <v>141</v>
      </c>
      <c r="B142" s="4">
        <v>1</v>
      </c>
    </row>
    <row r="143" spans="1:2" x14ac:dyDescent="0.3">
      <c r="A143" s="4">
        <v>142</v>
      </c>
      <c r="B143" s="4">
        <v>1</v>
      </c>
    </row>
    <row r="144" spans="1:2" x14ac:dyDescent="0.3">
      <c r="A144" s="4">
        <v>143</v>
      </c>
      <c r="B144" s="4">
        <v>5</v>
      </c>
    </row>
    <row r="145" spans="1:2" x14ac:dyDescent="0.3">
      <c r="A145" s="4">
        <v>144</v>
      </c>
      <c r="B145" s="4">
        <v>34</v>
      </c>
    </row>
    <row r="146" spans="1:2" x14ac:dyDescent="0.3">
      <c r="A146" s="4">
        <v>145</v>
      </c>
      <c r="B146" s="4">
        <v>84</v>
      </c>
    </row>
    <row r="147" spans="1:2" x14ac:dyDescent="0.3">
      <c r="A147" s="4">
        <v>146</v>
      </c>
      <c r="B147" s="4">
        <v>210</v>
      </c>
    </row>
    <row r="148" spans="1:2" x14ac:dyDescent="0.3">
      <c r="A148" s="4">
        <v>147</v>
      </c>
      <c r="B148" s="4">
        <v>134</v>
      </c>
    </row>
    <row r="149" spans="1:2" x14ac:dyDescent="0.3">
      <c r="A149" s="4">
        <v>148</v>
      </c>
      <c r="B149" s="4">
        <v>63</v>
      </c>
    </row>
    <row r="150" spans="1:2" x14ac:dyDescent="0.3">
      <c r="A150" s="4">
        <v>149</v>
      </c>
      <c r="B150" s="4">
        <v>67</v>
      </c>
    </row>
    <row r="151" spans="1:2" x14ac:dyDescent="0.3">
      <c r="A151" s="4">
        <v>150</v>
      </c>
      <c r="B151" s="4">
        <v>59</v>
      </c>
    </row>
    <row r="152" spans="1:2" x14ac:dyDescent="0.3">
      <c r="A152" s="4">
        <v>151</v>
      </c>
      <c r="B152" s="4">
        <v>73</v>
      </c>
    </row>
    <row r="153" spans="1:2" x14ac:dyDescent="0.3">
      <c r="A153" s="4">
        <v>152</v>
      </c>
      <c r="B153" s="4">
        <v>50</v>
      </c>
    </row>
    <row r="154" spans="1:2" x14ac:dyDescent="0.3">
      <c r="A154" s="4">
        <v>153</v>
      </c>
      <c r="B154" s="4">
        <v>72</v>
      </c>
    </row>
    <row r="155" spans="1:2" x14ac:dyDescent="0.3">
      <c r="A155" s="4">
        <v>154</v>
      </c>
      <c r="B155" s="4">
        <v>87</v>
      </c>
    </row>
    <row r="156" spans="1:2" x14ac:dyDescent="0.3">
      <c r="A156" s="4">
        <v>155</v>
      </c>
      <c r="B156" s="4">
        <v>187</v>
      </c>
    </row>
    <row r="157" spans="1:2" x14ac:dyDescent="0.3">
      <c r="A157" s="4">
        <v>156</v>
      </c>
      <c r="B157" s="4">
        <v>123</v>
      </c>
    </row>
    <row r="158" spans="1:2" x14ac:dyDescent="0.3">
      <c r="A158" s="4">
        <v>157</v>
      </c>
      <c r="B158" s="4">
        <v>95</v>
      </c>
    </row>
    <row r="159" spans="1:2" x14ac:dyDescent="0.3">
      <c r="A159" s="4">
        <v>158</v>
      </c>
      <c r="B159" s="4">
        <v>51</v>
      </c>
    </row>
    <row r="160" spans="1:2" x14ac:dyDescent="0.3">
      <c r="A160" s="4">
        <v>159</v>
      </c>
      <c r="B160" s="4">
        <v>39</v>
      </c>
    </row>
    <row r="161" spans="1:2" x14ac:dyDescent="0.3">
      <c r="A161" s="4">
        <v>160</v>
      </c>
      <c r="B161" s="4">
        <v>36</v>
      </c>
    </row>
    <row r="162" spans="1:2" x14ac:dyDescent="0.3">
      <c r="A162" s="4">
        <v>161</v>
      </c>
      <c r="B162" s="4">
        <v>15</v>
      </c>
    </row>
    <row r="163" spans="1:2" x14ac:dyDescent="0.3">
      <c r="A163" s="4">
        <v>162</v>
      </c>
      <c r="B163" s="4">
        <v>25</v>
      </c>
    </row>
    <row r="164" spans="1:2" x14ac:dyDescent="0.3">
      <c r="A164" s="4">
        <v>163</v>
      </c>
      <c r="B164" s="4">
        <v>16</v>
      </c>
    </row>
    <row r="165" spans="1:2" x14ac:dyDescent="0.3">
      <c r="A165" s="4">
        <v>164</v>
      </c>
      <c r="B165" s="4">
        <v>16</v>
      </c>
    </row>
    <row r="166" spans="1:2" x14ac:dyDescent="0.3">
      <c r="A166" s="4">
        <v>165</v>
      </c>
      <c r="B166" s="4">
        <v>7</v>
      </c>
    </row>
    <row r="167" spans="1:2" x14ac:dyDescent="0.3">
      <c r="A167" s="4">
        <v>166</v>
      </c>
      <c r="B167" s="4">
        <v>1</v>
      </c>
    </row>
    <row r="168" spans="1:2" x14ac:dyDescent="0.3">
      <c r="A168" s="4">
        <v>167</v>
      </c>
      <c r="B168" s="4">
        <v>5</v>
      </c>
    </row>
    <row r="169" spans="1:2" x14ac:dyDescent="0.3">
      <c r="A169" s="4">
        <v>168</v>
      </c>
      <c r="B169" s="4">
        <v>2</v>
      </c>
    </row>
    <row r="170" spans="1:2" x14ac:dyDescent="0.3">
      <c r="A170" s="4">
        <v>169</v>
      </c>
      <c r="B170" s="4">
        <v>9</v>
      </c>
    </row>
    <row r="171" spans="1:2" x14ac:dyDescent="0.3">
      <c r="A171" s="4">
        <v>170</v>
      </c>
      <c r="B171" s="4">
        <v>15</v>
      </c>
    </row>
    <row r="172" spans="1:2" x14ac:dyDescent="0.3">
      <c r="A172" s="4">
        <v>171</v>
      </c>
      <c r="B172" s="4">
        <v>20</v>
      </c>
    </row>
    <row r="173" spans="1:2" x14ac:dyDescent="0.3">
      <c r="A173" s="4">
        <v>172</v>
      </c>
      <c r="B173" s="4">
        <v>61</v>
      </c>
    </row>
    <row r="174" spans="1:2" x14ac:dyDescent="0.3">
      <c r="A174" s="4">
        <v>173</v>
      </c>
      <c r="B174" s="4">
        <v>62</v>
      </c>
    </row>
    <row r="175" spans="1:2" x14ac:dyDescent="0.3">
      <c r="A175" s="4">
        <v>174</v>
      </c>
      <c r="B175" s="4">
        <v>98</v>
      </c>
    </row>
    <row r="176" spans="1:2" x14ac:dyDescent="0.3">
      <c r="A176" s="4">
        <v>175</v>
      </c>
      <c r="B176" s="4">
        <v>102</v>
      </c>
    </row>
    <row r="177" spans="1:2" x14ac:dyDescent="0.3">
      <c r="A177" s="4">
        <v>176</v>
      </c>
      <c r="B177" s="4">
        <v>95</v>
      </c>
    </row>
    <row r="178" spans="1:2" x14ac:dyDescent="0.3">
      <c r="A178" s="4">
        <v>177</v>
      </c>
      <c r="B178" s="4">
        <v>74</v>
      </c>
    </row>
    <row r="179" spans="1:2" x14ac:dyDescent="0.3">
      <c r="A179" s="4">
        <v>178</v>
      </c>
      <c r="B179" s="4">
        <v>76</v>
      </c>
    </row>
    <row r="180" spans="1:2" x14ac:dyDescent="0.3">
      <c r="A180" s="4">
        <v>179</v>
      </c>
      <c r="B180" s="4">
        <v>69</v>
      </c>
    </row>
    <row r="181" spans="1:2" x14ac:dyDescent="0.3">
      <c r="A181" s="4">
        <v>180</v>
      </c>
      <c r="B181" s="4">
        <v>55</v>
      </c>
    </row>
    <row r="182" spans="1:2" x14ac:dyDescent="0.3">
      <c r="A182" s="4">
        <v>181</v>
      </c>
      <c r="B182" s="4">
        <v>30</v>
      </c>
    </row>
    <row r="183" spans="1:2" x14ac:dyDescent="0.3">
      <c r="A183" s="4">
        <v>182</v>
      </c>
      <c r="B183" s="4">
        <v>28</v>
      </c>
    </row>
    <row r="184" spans="1:2" x14ac:dyDescent="0.3">
      <c r="A184" s="4">
        <v>183</v>
      </c>
      <c r="B184" s="4">
        <v>37</v>
      </c>
    </row>
    <row r="185" spans="1:2" x14ac:dyDescent="0.3">
      <c r="A185" s="4">
        <v>184</v>
      </c>
      <c r="B185" s="4">
        <v>34</v>
      </c>
    </row>
    <row r="186" spans="1:2" x14ac:dyDescent="0.3">
      <c r="A186" s="4">
        <v>185</v>
      </c>
      <c r="B186" s="4">
        <v>22</v>
      </c>
    </row>
    <row r="187" spans="1:2" x14ac:dyDescent="0.3">
      <c r="A187" s="4">
        <v>186</v>
      </c>
      <c r="B187" s="4">
        <v>25</v>
      </c>
    </row>
    <row r="188" spans="1:2" x14ac:dyDescent="0.3">
      <c r="A188" s="4">
        <v>187</v>
      </c>
      <c r="B188" s="4">
        <v>12</v>
      </c>
    </row>
    <row r="189" spans="1:2" x14ac:dyDescent="0.3">
      <c r="A189" s="4">
        <v>188</v>
      </c>
      <c r="B189" s="4">
        <v>11</v>
      </c>
    </row>
    <row r="190" spans="1:2" x14ac:dyDescent="0.3">
      <c r="A190" s="4">
        <v>189</v>
      </c>
      <c r="B190" s="4">
        <v>4</v>
      </c>
    </row>
    <row r="191" spans="1:2" x14ac:dyDescent="0.3">
      <c r="A191" s="4">
        <v>190</v>
      </c>
      <c r="B191" s="4">
        <v>1</v>
      </c>
    </row>
    <row r="192" spans="1:2" x14ac:dyDescent="0.3">
      <c r="A192" s="4">
        <v>191</v>
      </c>
      <c r="B192" s="4">
        <v>1</v>
      </c>
    </row>
    <row r="193" spans="1:2" x14ac:dyDescent="0.3">
      <c r="A193" s="4">
        <v>192</v>
      </c>
      <c r="B193" s="4">
        <v>1</v>
      </c>
    </row>
    <row r="194" spans="1:2" x14ac:dyDescent="0.3">
      <c r="A194" s="4">
        <v>193</v>
      </c>
      <c r="B194" s="4">
        <v>6</v>
      </c>
    </row>
    <row r="195" spans="1:2" x14ac:dyDescent="0.3">
      <c r="A195" s="4">
        <v>194</v>
      </c>
      <c r="B195" s="4">
        <v>10</v>
      </c>
    </row>
    <row r="196" spans="1:2" x14ac:dyDescent="0.3">
      <c r="A196" s="4">
        <v>195</v>
      </c>
      <c r="B196" s="4">
        <v>19</v>
      </c>
    </row>
    <row r="197" spans="1:2" x14ac:dyDescent="0.3">
      <c r="A197" s="4">
        <v>196</v>
      </c>
      <c r="B197" s="4">
        <v>49</v>
      </c>
    </row>
    <row r="198" spans="1:2" x14ac:dyDescent="0.3">
      <c r="A198" s="4">
        <v>197</v>
      </c>
      <c r="B198" s="4">
        <v>49</v>
      </c>
    </row>
    <row r="199" spans="1:2" x14ac:dyDescent="0.3">
      <c r="A199" s="4">
        <v>198</v>
      </c>
      <c r="B199" s="4">
        <v>83</v>
      </c>
    </row>
    <row r="200" spans="1:2" x14ac:dyDescent="0.3">
      <c r="A200" s="4">
        <v>199</v>
      </c>
      <c r="B200" s="4">
        <v>75</v>
      </c>
    </row>
    <row r="201" spans="1:2" x14ac:dyDescent="0.3">
      <c r="A201" s="4">
        <v>200</v>
      </c>
      <c r="B201" s="4">
        <v>72</v>
      </c>
    </row>
    <row r="202" spans="1:2" x14ac:dyDescent="0.3">
      <c r="A202" s="4">
        <v>201</v>
      </c>
      <c r="B202" s="4">
        <v>82</v>
      </c>
    </row>
    <row r="203" spans="1:2" x14ac:dyDescent="0.3">
      <c r="A203" s="4">
        <v>202</v>
      </c>
      <c r="B203" s="4">
        <v>92</v>
      </c>
    </row>
    <row r="204" spans="1:2" x14ac:dyDescent="0.3">
      <c r="A204" s="4">
        <v>203</v>
      </c>
      <c r="B204" s="4">
        <v>62</v>
      </c>
    </row>
    <row r="205" spans="1:2" x14ac:dyDescent="0.3">
      <c r="A205" s="4">
        <v>204</v>
      </c>
      <c r="B205" s="4">
        <v>48</v>
      </c>
    </row>
    <row r="206" spans="1:2" x14ac:dyDescent="0.3">
      <c r="A206" s="4">
        <v>205</v>
      </c>
      <c r="B206" s="4">
        <v>41</v>
      </c>
    </row>
    <row r="207" spans="1:2" x14ac:dyDescent="0.3">
      <c r="A207" s="4">
        <v>206</v>
      </c>
      <c r="B207" s="4">
        <v>38</v>
      </c>
    </row>
    <row r="208" spans="1:2" x14ac:dyDescent="0.3">
      <c r="A208" s="4">
        <v>207</v>
      </c>
      <c r="B208" s="4">
        <v>20</v>
      </c>
    </row>
    <row r="209" spans="1:2" x14ac:dyDescent="0.3">
      <c r="A209" s="4">
        <v>208</v>
      </c>
      <c r="B209" s="4">
        <v>15</v>
      </c>
    </row>
    <row r="210" spans="1:2" x14ac:dyDescent="0.3">
      <c r="A210" s="4">
        <v>209</v>
      </c>
      <c r="B210" s="4">
        <v>6</v>
      </c>
    </row>
    <row r="211" spans="1:2" x14ac:dyDescent="0.3">
      <c r="A211" s="4">
        <v>210</v>
      </c>
      <c r="B211" s="4">
        <v>5</v>
      </c>
    </row>
    <row r="212" spans="1:2" x14ac:dyDescent="0.3">
      <c r="A212" s="4">
        <v>211</v>
      </c>
      <c r="B212" s="4">
        <v>1</v>
      </c>
    </row>
    <row r="213" spans="1:2" x14ac:dyDescent="0.3">
      <c r="A213" s="4">
        <v>212</v>
      </c>
      <c r="B213" s="4">
        <v>3</v>
      </c>
    </row>
    <row r="214" spans="1:2" x14ac:dyDescent="0.3">
      <c r="A214" s="4">
        <v>213</v>
      </c>
      <c r="B214" s="4">
        <v>1</v>
      </c>
    </row>
    <row r="215" spans="1:2" x14ac:dyDescent="0.3">
      <c r="A215" s="4">
        <v>214</v>
      </c>
      <c r="B215" s="4">
        <v>3</v>
      </c>
    </row>
    <row r="216" spans="1:2" x14ac:dyDescent="0.3">
      <c r="A216" s="4">
        <v>215</v>
      </c>
      <c r="B216" s="4">
        <v>3</v>
      </c>
    </row>
    <row r="217" spans="1:2" x14ac:dyDescent="0.3">
      <c r="A217" s="4">
        <v>216</v>
      </c>
      <c r="B217" s="4">
        <v>31</v>
      </c>
    </row>
    <row r="218" spans="1:2" x14ac:dyDescent="0.3">
      <c r="A218" s="4">
        <v>217</v>
      </c>
      <c r="B218" s="4">
        <v>77</v>
      </c>
    </row>
    <row r="219" spans="1:2" x14ac:dyDescent="0.3">
      <c r="A219" s="4">
        <v>218</v>
      </c>
      <c r="B219" s="4">
        <v>188</v>
      </c>
    </row>
    <row r="220" spans="1:2" x14ac:dyDescent="0.3">
      <c r="A220" s="4">
        <v>219</v>
      </c>
      <c r="B220" s="4">
        <v>94</v>
      </c>
    </row>
    <row r="221" spans="1:2" x14ac:dyDescent="0.3">
      <c r="A221" s="4">
        <v>220</v>
      </c>
      <c r="B221" s="4">
        <v>31</v>
      </c>
    </row>
    <row r="222" spans="1:2" x14ac:dyDescent="0.3">
      <c r="A222" s="4">
        <v>221</v>
      </c>
      <c r="B222" s="4">
        <v>30</v>
      </c>
    </row>
    <row r="223" spans="1:2" x14ac:dyDescent="0.3">
      <c r="A223" s="4">
        <v>222</v>
      </c>
      <c r="B223" s="4">
        <v>52</v>
      </c>
    </row>
    <row r="224" spans="1:2" x14ac:dyDescent="0.3">
      <c r="A224" s="4">
        <v>223</v>
      </c>
      <c r="B224" s="4">
        <v>54</v>
      </c>
    </row>
    <row r="225" spans="1:2" x14ac:dyDescent="0.3">
      <c r="A225" s="4">
        <v>224</v>
      </c>
      <c r="B225" s="4">
        <v>47</v>
      </c>
    </row>
    <row r="226" spans="1:2" x14ac:dyDescent="0.3">
      <c r="A226" s="4">
        <v>225</v>
      </c>
      <c r="B226" s="4">
        <v>45</v>
      </c>
    </row>
    <row r="227" spans="1:2" x14ac:dyDescent="0.3">
      <c r="A227" s="4">
        <v>226</v>
      </c>
      <c r="B227" s="4">
        <v>74</v>
      </c>
    </row>
    <row r="228" spans="1:2" x14ac:dyDescent="0.3">
      <c r="A228" s="4">
        <v>227</v>
      </c>
      <c r="B228" s="4">
        <v>178</v>
      </c>
    </row>
    <row r="229" spans="1:2" x14ac:dyDescent="0.3">
      <c r="A229" s="4">
        <v>228</v>
      </c>
      <c r="B229" s="4">
        <v>155</v>
      </c>
    </row>
    <row r="230" spans="1:2" x14ac:dyDescent="0.3">
      <c r="A230" s="4">
        <v>229</v>
      </c>
      <c r="B230" s="4">
        <v>95</v>
      </c>
    </row>
    <row r="231" spans="1:2" x14ac:dyDescent="0.3">
      <c r="A231" s="4">
        <v>230</v>
      </c>
      <c r="B231" s="4">
        <v>74</v>
      </c>
    </row>
    <row r="232" spans="1:2" x14ac:dyDescent="0.3">
      <c r="A232" s="4">
        <v>231</v>
      </c>
      <c r="B232" s="4">
        <v>38</v>
      </c>
    </row>
    <row r="233" spans="1:2" x14ac:dyDescent="0.3">
      <c r="A233" s="4">
        <v>232</v>
      </c>
      <c r="B233" s="4">
        <v>24</v>
      </c>
    </row>
    <row r="234" spans="1:2" x14ac:dyDescent="0.3">
      <c r="A234" s="4">
        <v>233</v>
      </c>
      <c r="B234" s="4">
        <v>18</v>
      </c>
    </row>
    <row r="235" spans="1:2" x14ac:dyDescent="0.3">
      <c r="A235" s="4">
        <v>234</v>
      </c>
      <c r="B235" s="4">
        <v>12</v>
      </c>
    </row>
    <row r="236" spans="1:2" x14ac:dyDescent="0.3">
      <c r="A236" s="4">
        <v>235</v>
      </c>
      <c r="B236" s="4">
        <v>3</v>
      </c>
    </row>
    <row r="237" spans="1:2" x14ac:dyDescent="0.3">
      <c r="A237" s="4">
        <v>236</v>
      </c>
      <c r="B237" s="4">
        <v>3</v>
      </c>
    </row>
    <row r="238" spans="1:2" x14ac:dyDescent="0.3">
      <c r="A238" s="4">
        <v>237</v>
      </c>
      <c r="B238" s="4">
        <v>6</v>
      </c>
    </row>
    <row r="239" spans="1:2" x14ac:dyDescent="0.3">
      <c r="A239" s="4">
        <v>238</v>
      </c>
      <c r="B239" s="4">
        <v>27</v>
      </c>
    </row>
    <row r="240" spans="1:2" x14ac:dyDescent="0.3">
      <c r="A240" s="4">
        <v>239</v>
      </c>
      <c r="B240" s="4">
        <v>99</v>
      </c>
    </row>
    <row r="241" spans="1:2" x14ac:dyDescent="0.3">
      <c r="A241" s="4">
        <v>240</v>
      </c>
      <c r="B241" s="4">
        <v>217</v>
      </c>
    </row>
    <row r="242" spans="1:2" x14ac:dyDescent="0.3">
      <c r="A242" s="4">
        <v>241</v>
      </c>
      <c r="B242" s="4">
        <v>130</v>
      </c>
    </row>
    <row r="243" spans="1:2" x14ac:dyDescent="0.3">
      <c r="A243" s="4">
        <v>242</v>
      </c>
      <c r="B243" s="4">
        <v>54</v>
      </c>
    </row>
    <row r="244" spans="1:2" x14ac:dyDescent="0.3">
      <c r="A244" s="4">
        <v>243</v>
      </c>
      <c r="B244" s="4">
        <v>35</v>
      </c>
    </row>
    <row r="245" spans="1:2" x14ac:dyDescent="0.3">
      <c r="A245" s="4">
        <v>244</v>
      </c>
      <c r="B245" s="4">
        <v>57</v>
      </c>
    </row>
    <row r="246" spans="1:2" x14ac:dyDescent="0.3">
      <c r="A246" s="4">
        <v>245</v>
      </c>
      <c r="B246" s="4">
        <v>52</v>
      </c>
    </row>
    <row r="247" spans="1:2" x14ac:dyDescent="0.3">
      <c r="A247" s="4">
        <v>246</v>
      </c>
      <c r="B247" s="4">
        <v>63</v>
      </c>
    </row>
    <row r="248" spans="1:2" x14ac:dyDescent="0.3">
      <c r="A248" s="4">
        <v>247</v>
      </c>
      <c r="B248" s="4">
        <v>47</v>
      </c>
    </row>
    <row r="249" spans="1:2" x14ac:dyDescent="0.3">
      <c r="A249" s="4">
        <v>248</v>
      </c>
      <c r="B249" s="4">
        <v>76</v>
      </c>
    </row>
    <row r="250" spans="1:2" x14ac:dyDescent="0.3">
      <c r="A250" s="4">
        <v>249</v>
      </c>
      <c r="B250" s="4">
        <v>136</v>
      </c>
    </row>
    <row r="251" spans="1:2" x14ac:dyDescent="0.3">
      <c r="A251" s="4">
        <v>250</v>
      </c>
      <c r="B251" s="4">
        <v>95</v>
      </c>
    </row>
    <row r="252" spans="1:2" x14ac:dyDescent="0.3">
      <c r="A252" s="4">
        <v>251</v>
      </c>
      <c r="B252" s="4">
        <v>51</v>
      </c>
    </row>
    <row r="253" spans="1:2" x14ac:dyDescent="0.3">
      <c r="A253" s="4">
        <v>252</v>
      </c>
      <c r="B253" s="4">
        <v>32</v>
      </c>
    </row>
    <row r="254" spans="1:2" x14ac:dyDescent="0.3">
      <c r="A254" s="4">
        <v>253</v>
      </c>
      <c r="B254" s="4">
        <v>20</v>
      </c>
    </row>
    <row r="255" spans="1:2" x14ac:dyDescent="0.3">
      <c r="A255" s="4">
        <v>254</v>
      </c>
      <c r="B255" s="4">
        <v>29</v>
      </c>
    </row>
    <row r="256" spans="1:2" x14ac:dyDescent="0.3">
      <c r="A256" s="4">
        <v>255</v>
      </c>
      <c r="B256" s="4">
        <v>19</v>
      </c>
    </row>
    <row r="257" spans="1:2" x14ac:dyDescent="0.3">
      <c r="A257" s="4">
        <v>256</v>
      </c>
      <c r="B257" s="4">
        <v>7</v>
      </c>
    </row>
    <row r="258" spans="1:2" x14ac:dyDescent="0.3">
      <c r="A258" s="4">
        <v>257</v>
      </c>
      <c r="B258" s="4">
        <v>6</v>
      </c>
    </row>
    <row r="259" spans="1:2" x14ac:dyDescent="0.3">
      <c r="A259" s="4">
        <v>258</v>
      </c>
      <c r="B259" s="4">
        <v>1</v>
      </c>
    </row>
    <row r="260" spans="1:2" x14ac:dyDescent="0.3">
      <c r="A260" s="4">
        <v>259</v>
      </c>
      <c r="B260" s="4">
        <v>5</v>
      </c>
    </row>
    <row r="261" spans="1:2" x14ac:dyDescent="0.3">
      <c r="A261" s="4">
        <v>260</v>
      </c>
      <c r="B261" s="4">
        <v>16</v>
      </c>
    </row>
    <row r="262" spans="1:2" x14ac:dyDescent="0.3">
      <c r="A262" s="4">
        <v>261</v>
      </c>
      <c r="B262" s="4">
        <v>54</v>
      </c>
    </row>
    <row r="263" spans="1:2" x14ac:dyDescent="0.3">
      <c r="A263" s="4">
        <v>262</v>
      </c>
      <c r="B263" s="4">
        <v>128</v>
      </c>
    </row>
    <row r="264" spans="1:2" x14ac:dyDescent="0.3">
      <c r="A264" s="4">
        <v>263</v>
      </c>
      <c r="B264" s="4">
        <v>81</v>
      </c>
    </row>
    <row r="265" spans="1:2" x14ac:dyDescent="0.3">
      <c r="A265" s="4">
        <v>264</v>
      </c>
      <c r="B265" s="4">
        <v>39</v>
      </c>
    </row>
    <row r="266" spans="1:2" x14ac:dyDescent="0.3">
      <c r="A266" s="4">
        <v>265</v>
      </c>
      <c r="B266" s="4">
        <v>35</v>
      </c>
    </row>
    <row r="267" spans="1:2" x14ac:dyDescent="0.3">
      <c r="A267" s="4">
        <v>266</v>
      </c>
      <c r="B267" s="4">
        <v>55</v>
      </c>
    </row>
    <row r="268" spans="1:2" x14ac:dyDescent="0.3">
      <c r="A268" s="4">
        <v>267</v>
      </c>
      <c r="B268" s="4">
        <v>49</v>
      </c>
    </row>
    <row r="269" spans="1:2" x14ac:dyDescent="0.3">
      <c r="A269" s="4">
        <v>268</v>
      </c>
      <c r="B269" s="4">
        <v>44</v>
      </c>
    </row>
    <row r="270" spans="1:2" x14ac:dyDescent="0.3">
      <c r="A270" s="4">
        <v>269</v>
      </c>
      <c r="B270" s="4">
        <v>49</v>
      </c>
    </row>
    <row r="271" spans="1:2" x14ac:dyDescent="0.3">
      <c r="A271" s="4">
        <v>270</v>
      </c>
      <c r="B271" s="4">
        <v>68</v>
      </c>
    </row>
    <row r="272" spans="1:2" x14ac:dyDescent="0.3">
      <c r="A272" s="4">
        <v>271</v>
      </c>
      <c r="B272" s="4">
        <v>139</v>
      </c>
    </row>
    <row r="273" spans="1:2" x14ac:dyDescent="0.3">
      <c r="A273" s="4">
        <v>272</v>
      </c>
      <c r="B273" s="4">
        <v>137</v>
      </c>
    </row>
    <row r="274" spans="1:2" x14ac:dyDescent="0.3">
      <c r="A274" s="4">
        <v>273</v>
      </c>
      <c r="B274" s="4">
        <v>83</v>
      </c>
    </row>
    <row r="275" spans="1:2" x14ac:dyDescent="0.3">
      <c r="A275" s="4">
        <v>274</v>
      </c>
      <c r="B275" s="4">
        <v>56</v>
      </c>
    </row>
    <row r="276" spans="1:2" x14ac:dyDescent="0.3">
      <c r="A276" s="4">
        <v>275</v>
      </c>
      <c r="B276" s="4">
        <v>57</v>
      </c>
    </row>
    <row r="277" spans="1:2" x14ac:dyDescent="0.3">
      <c r="A277" s="4">
        <v>276</v>
      </c>
      <c r="B277" s="4">
        <v>33</v>
      </c>
    </row>
    <row r="278" spans="1:2" x14ac:dyDescent="0.3">
      <c r="A278" s="4">
        <v>277</v>
      </c>
      <c r="B278" s="4">
        <v>20</v>
      </c>
    </row>
    <row r="279" spans="1:2" x14ac:dyDescent="0.3">
      <c r="A279" s="4">
        <v>278</v>
      </c>
      <c r="B279" s="4">
        <v>7</v>
      </c>
    </row>
    <row r="280" spans="1:2" x14ac:dyDescent="0.3">
      <c r="A280" s="4">
        <v>279</v>
      </c>
      <c r="B280" s="4">
        <v>2</v>
      </c>
    </row>
    <row r="281" spans="1:2" x14ac:dyDescent="0.3">
      <c r="A281" s="4">
        <v>280</v>
      </c>
      <c r="B281" s="4">
        <v>2</v>
      </c>
    </row>
    <row r="282" spans="1:2" x14ac:dyDescent="0.3">
      <c r="A282" s="4">
        <v>281</v>
      </c>
      <c r="B282" s="4">
        <v>3</v>
      </c>
    </row>
    <row r="283" spans="1:2" x14ac:dyDescent="0.3">
      <c r="A283" s="4">
        <v>282</v>
      </c>
      <c r="B283" s="4">
        <v>4</v>
      </c>
    </row>
    <row r="284" spans="1:2" x14ac:dyDescent="0.3">
      <c r="A284" s="4">
        <v>283</v>
      </c>
      <c r="B284" s="4">
        <v>3</v>
      </c>
    </row>
    <row r="285" spans="1:2" x14ac:dyDescent="0.3">
      <c r="A285" s="4">
        <v>284</v>
      </c>
      <c r="B285" s="4">
        <v>28</v>
      </c>
    </row>
    <row r="286" spans="1:2" x14ac:dyDescent="0.3">
      <c r="A286" s="4">
        <v>285</v>
      </c>
      <c r="B286" s="4">
        <v>72</v>
      </c>
    </row>
    <row r="287" spans="1:2" x14ac:dyDescent="0.3">
      <c r="A287" s="4">
        <v>286</v>
      </c>
      <c r="B287" s="4">
        <v>202</v>
      </c>
    </row>
    <row r="288" spans="1:2" x14ac:dyDescent="0.3">
      <c r="A288" s="4">
        <v>287</v>
      </c>
      <c r="B288" s="4">
        <v>139</v>
      </c>
    </row>
    <row r="289" spans="1:2" x14ac:dyDescent="0.3">
      <c r="A289" s="4">
        <v>288</v>
      </c>
      <c r="B289" s="4">
        <v>38</v>
      </c>
    </row>
    <row r="290" spans="1:2" x14ac:dyDescent="0.3">
      <c r="A290" s="4">
        <v>289</v>
      </c>
      <c r="B290" s="4">
        <v>37</v>
      </c>
    </row>
    <row r="291" spans="1:2" x14ac:dyDescent="0.3">
      <c r="A291" s="4">
        <v>290</v>
      </c>
      <c r="B291" s="4">
        <v>52</v>
      </c>
    </row>
    <row r="292" spans="1:2" x14ac:dyDescent="0.3">
      <c r="A292" s="4">
        <v>291</v>
      </c>
      <c r="B292" s="4">
        <v>83</v>
      </c>
    </row>
    <row r="293" spans="1:2" x14ac:dyDescent="0.3">
      <c r="A293" s="4">
        <v>292</v>
      </c>
      <c r="B293" s="4">
        <v>42</v>
      </c>
    </row>
    <row r="294" spans="1:2" x14ac:dyDescent="0.3">
      <c r="A294" s="4">
        <v>293</v>
      </c>
      <c r="B294" s="4">
        <v>60</v>
      </c>
    </row>
    <row r="295" spans="1:2" x14ac:dyDescent="0.3">
      <c r="A295" s="4">
        <v>294</v>
      </c>
      <c r="B295" s="4">
        <v>78</v>
      </c>
    </row>
    <row r="296" spans="1:2" x14ac:dyDescent="0.3">
      <c r="A296" s="4">
        <v>295</v>
      </c>
      <c r="B296" s="4">
        <v>162</v>
      </c>
    </row>
    <row r="297" spans="1:2" x14ac:dyDescent="0.3">
      <c r="A297" s="4">
        <v>296</v>
      </c>
      <c r="B297" s="4">
        <v>144</v>
      </c>
    </row>
    <row r="298" spans="1:2" x14ac:dyDescent="0.3">
      <c r="A298" s="4">
        <v>297</v>
      </c>
      <c r="B298" s="4">
        <v>99</v>
      </c>
    </row>
    <row r="299" spans="1:2" x14ac:dyDescent="0.3">
      <c r="A299" s="4">
        <v>298</v>
      </c>
      <c r="B299" s="4">
        <v>64</v>
      </c>
    </row>
    <row r="300" spans="1:2" x14ac:dyDescent="0.3">
      <c r="A300" s="4">
        <v>299</v>
      </c>
      <c r="B300" s="4">
        <v>40</v>
      </c>
    </row>
    <row r="301" spans="1:2" x14ac:dyDescent="0.3">
      <c r="A301" s="4">
        <v>300</v>
      </c>
      <c r="B301" s="4">
        <v>30</v>
      </c>
    </row>
    <row r="302" spans="1:2" x14ac:dyDescent="0.3">
      <c r="A302" s="4">
        <v>301</v>
      </c>
      <c r="B302" s="4">
        <v>15</v>
      </c>
    </row>
    <row r="303" spans="1:2" x14ac:dyDescent="0.3">
      <c r="A303" s="4">
        <v>302</v>
      </c>
      <c r="B303" s="4">
        <v>14</v>
      </c>
    </row>
    <row r="304" spans="1:2" x14ac:dyDescent="0.3">
      <c r="A304" s="4">
        <v>303</v>
      </c>
      <c r="B304" s="4">
        <v>5</v>
      </c>
    </row>
    <row r="305" spans="1:2" x14ac:dyDescent="0.3">
      <c r="A305" s="4">
        <v>304</v>
      </c>
      <c r="B305" s="4">
        <v>1</v>
      </c>
    </row>
    <row r="306" spans="1:2" x14ac:dyDescent="0.3">
      <c r="A306" s="4">
        <v>305</v>
      </c>
      <c r="B306" s="4">
        <v>1</v>
      </c>
    </row>
    <row r="307" spans="1:2" x14ac:dyDescent="0.3">
      <c r="A307" s="4">
        <v>306</v>
      </c>
      <c r="B307" s="4">
        <v>8</v>
      </c>
    </row>
    <row r="308" spans="1:2" x14ac:dyDescent="0.3">
      <c r="A308" s="4">
        <v>307</v>
      </c>
      <c r="B308" s="4">
        <v>17</v>
      </c>
    </row>
    <row r="309" spans="1:2" x14ac:dyDescent="0.3">
      <c r="A309" s="4">
        <v>308</v>
      </c>
      <c r="B309" s="4">
        <v>70</v>
      </c>
    </row>
    <row r="310" spans="1:2" x14ac:dyDescent="0.3">
      <c r="A310" s="4">
        <v>309</v>
      </c>
      <c r="B310" s="4">
        <v>158</v>
      </c>
    </row>
    <row r="311" spans="1:2" x14ac:dyDescent="0.3">
      <c r="A311" s="4">
        <v>310</v>
      </c>
      <c r="B311" s="4">
        <v>117</v>
      </c>
    </row>
    <row r="312" spans="1:2" x14ac:dyDescent="0.3">
      <c r="A312" s="4">
        <v>311</v>
      </c>
      <c r="B312" s="4">
        <v>44</v>
      </c>
    </row>
    <row r="313" spans="1:2" x14ac:dyDescent="0.3">
      <c r="A313" s="4">
        <v>312</v>
      </c>
      <c r="B313" s="4">
        <v>53</v>
      </c>
    </row>
    <row r="314" spans="1:2" x14ac:dyDescent="0.3">
      <c r="A314" s="4">
        <v>313</v>
      </c>
      <c r="B314" s="4">
        <v>61</v>
      </c>
    </row>
    <row r="315" spans="1:2" x14ac:dyDescent="0.3">
      <c r="A315" s="4">
        <v>314</v>
      </c>
      <c r="B315" s="4">
        <v>77</v>
      </c>
    </row>
    <row r="316" spans="1:2" x14ac:dyDescent="0.3">
      <c r="A316" s="4">
        <v>315</v>
      </c>
      <c r="B316" s="4">
        <v>64</v>
      </c>
    </row>
    <row r="317" spans="1:2" x14ac:dyDescent="0.3">
      <c r="A317" s="4">
        <v>316</v>
      </c>
      <c r="B317" s="4">
        <v>68</v>
      </c>
    </row>
    <row r="318" spans="1:2" x14ac:dyDescent="0.3">
      <c r="A318" s="4">
        <v>317</v>
      </c>
      <c r="B318" s="4">
        <v>90</v>
      </c>
    </row>
    <row r="319" spans="1:2" x14ac:dyDescent="0.3">
      <c r="A319" s="4">
        <v>318</v>
      </c>
      <c r="B319" s="4">
        <v>159</v>
      </c>
    </row>
    <row r="320" spans="1:2" x14ac:dyDescent="0.3">
      <c r="A320" s="4">
        <v>319</v>
      </c>
      <c r="B320" s="4">
        <v>139</v>
      </c>
    </row>
    <row r="321" spans="1:2" x14ac:dyDescent="0.3">
      <c r="A321" s="4">
        <v>320</v>
      </c>
      <c r="B321" s="4">
        <v>92</v>
      </c>
    </row>
    <row r="322" spans="1:2" x14ac:dyDescent="0.3">
      <c r="A322" s="4">
        <v>321</v>
      </c>
      <c r="B322" s="4">
        <v>68</v>
      </c>
    </row>
    <row r="323" spans="1:2" x14ac:dyDescent="0.3">
      <c r="A323" s="4">
        <v>322</v>
      </c>
      <c r="B323" s="4">
        <v>52</v>
      </c>
    </row>
    <row r="324" spans="1:2" x14ac:dyDescent="0.3">
      <c r="A324" s="4">
        <v>323</v>
      </c>
      <c r="B324" s="4">
        <v>36</v>
      </c>
    </row>
    <row r="325" spans="1:2" x14ac:dyDescent="0.3">
      <c r="A325" s="4">
        <v>324</v>
      </c>
      <c r="B325" s="4">
        <v>27</v>
      </c>
    </row>
    <row r="326" spans="1:2" x14ac:dyDescent="0.3">
      <c r="A326" s="4">
        <v>325</v>
      </c>
      <c r="B326" s="4">
        <v>28</v>
      </c>
    </row>
    <row r="327" spans="1:2" x14ac:dyDescent="0.3">
      <c r="A327" s="4">
        <v>326</v>
      </c>
      <c r="B327" s="4">
        <v>20</v>
      </c>
    </row>
    <row r="328" spans="1:2" x14ac:dyDescent="0.3">
      <c r="A328" s="4">
        <v>327</v>
      </c>
      <c r="B328" s="4">
        <v>12</v>
      </c>
    </row>
    <row r="329" spans="1:2" x14ac:dyDescent="0.3">
      <c r="A329" s="4">
        <v>328</v>
      </c>
      <c r="B329" s="4">
        <v>8</v>
      </c>
    </row>
    <row r="330" spans="1:2" x14ac:dyDescent="0.3">
      <c r="A330" s="4">
        <v>329</v>
      </c>
      <c r="B330" s="4">
        <v>5</v>
      </c>
    </row>
    <row r="331" spans="1:2" x14ac:dyDescent="0.3">
      <c r="A331" s="4">
        <v>330</v>
      </c>
      <c r="B331" s="4">
        <v>1</v>
      </c>
    </row>
    <row r="332" spans="1:2" x14ac:dyDescent="0.3">
      <c r="A332" s="4">
        <v>331</v>
      </c>
      <c r="B332" s="4">
        <v>3</v>
      </c>
    </row>
    <row r="333" spans="1:2" x14ac:dyDescent="0.3">
      <c r="A333" s="4">
        <v>332</v>
      </c>
      <c r="B333" s="4">
        <v>10</v>
      </c>
    </row>
    <row r="334" spans="1:2" x14ac:dyDescent="0.3">
      <c r="A334" s="4">
        <v>333</v>
      </c>
      <c r="B334" s="4">
        <v>23</v>
      </c>
    </row>
    <row r="335" spans="1:2" x14ac:dyDescent="0.3">
      <c r="A335" s="4">
        <v>334</v>
      </c>
      <c r="B335" s="4">
        <v>33</v>
      </c>
    </row>
    <row r="336" spans="1:2" x14ac:dyDescent="0.3">
      <c r="A336" s="4">
        <v>335</v>
      </c>
      <c r="B336" s="4">
        <v>59</v>
      </c>
    </row>
    <row r="337" spans="1:2" x14ac:dyDescent="0.3">
      <c r="A337" s="4">
        <v>336</v>
      </c>
      <c r="B337" s="4">
        <v>72</v>
      </c>
    </row>
    <row r="338" spans="1:2" x14ac:dyDescent="0.3">
      <c r="A338" s="4">
        <v>337</v>
      </c>
      <c r="B338" s="4">
        <v>89</v>
      </c>
    </row>
    <row r="339" spans="1:2" x14ac:dyDescent="0.3">
      <c r="A339" s="4">
        <v>338</v>
      </c>
      <c r="B339" s="4">
        <v>101</v>
      </c>
    </row>
    <row r="340" spans="1:2" x14ac:dyDescent="0.3">
      <c r="A340" s="4">
        <v>339</v>
      </c>
      <c r="B340" s="4">
        <v>118</v>
      </c>
    </row>
    <row r="341" spans="1:2" x14ac:dyDescent="0.3">
      <c r="A341" s="4">
        <v>340</v>
      </c>
      <c r="B341" s="4">
        <v>129</v>
      </c>
    </row>
    <row r="342" spans="1:2" x14ac:dyDescent="0.3">
      <c r="A342" s="4">
        <v>341</v>
      </c>
      <c r="B342" s="4">
        <v>128</v>
      </c>
    </row>
    <row r="343" spans="1:2" x14ac:dyDescent="0.3">
      <c r="A343" s="4">
        <v>342</v>
      </c>
      <c r="B343" s="4">
        <v>83</v>
      </c>
    </row>
    <row r="344" spans="1:2" x14ac:dyDescent="0.3">
      <c r="A344" s="4">
        <v>343</v>
      </c>
      <c r="B344" s="4">
        <v>84</v>
      </c>
    </row>
    <row r="345" spans="1:2" x14ac:dyDescent="0.3">
      <c r="A345" s="4">
        <v>344</v>
      </c>
      <c r="B345" s="4">
        <v>74</v>
      </c>
    </row>
    <row r="346" spans="1:2" x14ac:dyDescent="0.3">
      <c r="A346" s="4">
        <v>345</v>
      </c>
      <c r="B346" s="4">
        <v>41</v>
      </c>
    </row>
    <row r="347" spans="1:2" x14ac:dyDescent="0.3">
      <c r="A347" s="4">
        <v>346</v>
      </c>
      <c r="B347" s="4">
        <v>57</v>
      </c>
    </row>
    <row r="348" spans="1:2" x14ac:dyDescent="0.3">
      <c r="A348" s="4">
        <v>347</v>
      </c>
      <c r="B348" s="4">
        <v>26</v>
      </c>
    </row>
    <row r="349" spans="1:2" x14ac:dyDescent="0.3">
      <c r="A349" s="4">
        <v>348</v>
      </c>
      <c r="B349" s="4">
        <v>44</v>
      </c>
    </row>
    <row r="350" spans="1:2" x14ac:dyDescent="0.3">
      <c r="A350" s="4">
        <v>349</v>
      </c>
      <c r="B350" s="4">
        <v>39</v>
      </c>
    </row>
    <row r="351" spans="1:2" x14ac:dyDescent="0.3">
      <c r="A351" s="4">
        <v>350</v>
      </c>
      <c r="B351" s="4">
        <v>23</v>
      </c>
    </row>
    <row r="352" spans="1:2" x14ac:dyDescent="0.3">
      <c r="A352" s="4">
        <v>351</v>
      </c>
      <c r="B352" s="4">
        <v>16</v>
      </c>
    </row>
    <row r="353" spans="1:2" x14ac:dyDescent="0.3">
      <c r="A353" s="4">
        <v>352</v>
      </c>
      <c r="B353" s="4">
        <v>15</v>
      </c>
    </row>
    <row r="354" spans="1:2" x14ac:dyDescent="0.3">
      <c r="A354" s="4">
        <v>353</v>
      </c>
      <c r="B354" s="4">
        <v>1</v>
      </c>
    </row>
    <row r="355" spans="1:2" x14ac:dyDescent="0.3">
      <c r="A355" s="4">
        <v>354</v>
      </c>
      <c r="B355" s="4">
        <v>2</v>
      </c>
    </row>
    <row r="356" spans="1:2" x14ac:dyDescent="0.3">
      <c r="A356" s="4">
        <v>355</v>
      </c>
      <c r="B356" s="4">
        <v>1</v>
      </c>
    </row>
    <row r="357" spans="1:2" x14ac:dyDescent="0.3">
      <c r="A357" s="4">
        <v>356</v>
      </c>
      <c r="B357" s="4">
        <v>3</v>
      </c>
    </row>
    <row r="358" spans="1:2" x14ac:dyDescent="0.3">
      <c r="A358" s="4">
        <v>357</v>
      </c>
      <c r="B358" s="4">
        <v>18</v>
      </c>
    </row>
    <row r="359" spans="1:2" x14ac:dyDescent="0.3">
      <c r="A359" s="4">
        <v>358</v>
      </c>
      <c r="B359" s="4">
        <v>32</v>
      </c>
    </row>
    <row r="360" spans="1:2" x14ac:dyDescent="0.3">
      <c r="A360" s="4">
        <v>359</v>
      </c>
      <c r="B360" s="4">
        <v>79</v>
      </c>
    </row>
    <row r="361" spans="1:2" x14ac:dyDescent="0.3">
      <c r="A361" s="4">
        <v>360</v>
      </c>
      <c r="B361" s="4">
        <v>93</v>
      </c>
    </row>
    <row r="362" spans="1:2" x14ac:dyDescent="0.3">
      <c r="A362" s="4">
        <v>361</v>
      </c>
      <c r="B362" s="4">
        <v>104</v>
      </c>
    </row>
    <row r="363" spans="1:2" x14ac:dyDescent="0.3">
      <c r="A363" s="4">
        <v>362</v>
      </c>
      <c r="B363" s="4">
        <v>118</v>
      </c>
    </row>
    <row r="364" spans="1:2" x14ac:dyDescent="0.3">
      <c r="A364" s="4">
        <v>363</v>
      </c>
      <c r="B364" s="4">
        <v>91</v>
      </c>
    </row>
    <row r="365" spans="1:2" x14ac:dyDescent="0.3">
      <c r="A365" s="4">
        <v>364</v>
      </c>
      <c r="B365" s="4">
        <v>113</v>
      </c>
    </row>
    <row r="366" spans="1:2" x14ac:dyDescent="0.3">
      <c r="A366" s="4">
        <v>365</v>
      </c>
      <c r="B366" s="4">
        <v>99</v>
      </c>
    </row>
    <row r="367" spans="1:2" x14ac:dyDescent="0.3">
      <c r="A367" s="4">
        <v>366</v>
      </c>
      <c r="B367" s="4">
        <v>105</v>
      </c>
    </row>
    <row r="368" spans="1:2" x14ac:dyDescent="0.3">
      <c r="A368" s="4">
        <v>367</v>
      </c>
      <c r="B368" s="4">
        <v>67</v>
      </c>
    </row>
    <row r="369" spans="1:2" x14ac:dyDescent="0.3">
      <c r="A369" s="4">
        <v>368</v>
      </c>
      <c r="B369" s="4">
        <v>61</v>
      </c>
    </row>
    <row r="370" spans="1:2" x14ac:dyDescent="0.3">
      <c r="A370" s="4">
        <v>369</v>
      </c>
      <c r="B370" s="4">
        <v>57</v>
      </c>
    </row>
    <row r="371" spans="1:2" x14ac:dyDescent="0.3">
      <c r="A371" s="4">
        <v>370</v>
      </c>
      <c r="B371" s="4">
        <v>28</v>
      </c>
    </row>
    <row r="372" spans="1:2" x14ac:dyDescent="0.3">
      <c r="A372" s="4">
        <v>371</v>
      </c>
      <c r="B372" s="4">
        <v>21</v>
      </c>
    </row>
    <row r="373" spans="1:2" x14ac:dyDescent="0.3">
      <c r="A373" s="4">
        <v>372</v>
      </c>
      <c r="B373" s="4">
        <v>18</v>
      </c>
    </row>
    <row r="374" spans="1:2" x14ac:dyDescent="0.3">
      <c r="A374" s="4">
        <v>373</v>
      </c>
      <c r="B374" s="4">
        <v>17</v>
      </c>
    </row>
    <row r="375" spans="1:2" x14ac:dyDescent="0.3">
      <c r="A375" s="4">
        <v>374</v>
      </c>
      <c r="B375" s="4">
        <v>16</v>
      </c>
    </row>
    <row r="376" spans="1:2" x14ac:dyDescent="0.3">
      <c r="A376" s="4">
        <v>375</v>
      </c>
      <c r="B376" s="4">
        <v>8</v>
      </c>
    </row>
    <row r="377" spans="1:2" x14ac:dyDescent="0.3">
      <c r="A377" s="4">
        <v>376</v>
      </c>
      <c r="B377" s="4">
        <v>2</v>
      </c>
    </row>
    <row r="378" spans="1:2" x14ac:dyDescent="0.3">
      <c r="A378" s="4">
        <v>377</v>
      </c>
      <c r="B378" s="4">
        <v>3</v>
      </c>
    </row>
    <row r="379" spans="1:2" x14ac:dyDescent="0.3">
      <c r="A379" s="4">
        <v>378</v>
      </c>
      <c r="B379" s="4">
        <v>1</v>
      </c>
    </row>
    <row r="380" spans="1:2" x14ac:dyDescent="0.3">
      <c r="A380" s="4">
        <v>379</v>
      </c>
      <c r="B380" s="4">
        <v>5</v>
      </c>
    </row>
    <row r="381" spans="1:2" x14ac:dyDescent="0.3">
      <c r="A381" s="4">
        <v>380</v>
      </c>
      <c r="B381" s="4">
        <v>13</v>
      </c>
    </row>
    <row r="382" spans="1:2" x14ac:dyDescent="0.3">
      <c r="A382" s="4">
        <v>381</v>
      </c>
      <c r="B382" s="4">
        <v>33</v>
      </c>
    </row>
    <row r="383" spans="1:2" x14ac:dyDescent="0.3">
      <c r="A383" s="4">
        <v>382</v>
      </c>
      <c r="B383" s="4">
        <v>47</v>
      </c>
    </row>
    <row r="384" spans="1:2" x14ac:dyDescent="0.3">
      <c r="A384" s="4">
        <v>383</v>
      </c>
      <c r="B384" s="4">
        <v>57</v>
      </c>
    </row>
    <row r="385" spans="1:2" x14ac:dyDescent="0.3">
      <c r="A385" s="4">
        <v>384</v>
      </c>
      <c r="B385" s="4">
        <v>64</v>
      </c>
    </row>
    <row r="386" spans="1:2" x14ac:dyDescent="0.3">
      <c r="A386" s="4">
        <v>385</v>
      </c>
      <c r="B386" s="4">
        <v>80</v>
      </c>
    </row>
    <row r="387" spans="1:2" x14ac:dyDescent="0.3">
      <c r="A387" s="4">
        <v>386</v>
      </c>
      <c r="B387" s="4">
        <v>93</v>
      </c>
    </row>
    <row r="388" spans="1:2" x14ac:dyDescent="0.3">
      <c r="A388" s="4">
        <v>387</v>
      </c>
      <c r="B388" s="4">
        <v>86</v>
      </c>
    </row>
    <row r="389" spans="1:2" x14ac:dyDescent="0.3">
      <c r="A389" s="4">
        <v>388</v>
      </c>
      <c r="B389" s="4">
        <v>93</v>
      </c>
    </row>
    <row r="390" spans="1:2" x14ac:dyDescent="0.3">
      <c r="A390" s="4">
        <v>389</v>
      </c>
      <c r="B390" s="4">
        <v>82</v>
      </c>
    </row>
    <row r="391" spans="1:2" x14ac:dyDescent="0.3">
      <c r="A391" s="4">
        <v>390</v>
      </c>
      <c r="B391" s="4">
        <v>71</v>
      </c>
    </row>
    <row r="392" spans="1:2" x14ac:dyDescent="0.3">
      <c r="A392" s="4">
        <v>391</v>
      </c>
      <c r="B392" s="4">
        <v>92</v>
      </c>
    </row>
    <row r="393" spans="1:2" x14ac:dyDescent="0.3">
      <c r="A393" s="4">
        <v>392</v>
      </c>
      <c r="B393" s="4">
        <v>60</v>
      </c>
    </row>
    <row r="394" spans="1:2" x14ac:dyDescent="0.3">
      <c r="A394" s="4">
        <v>393</v>
      </c>
      <c r="B394" s="4">
        <v>33</v>
      </c>
    </row>
    <row r="395" spans="1:2" x14ac:dyDescent="0.3">
      <c r="A395" s="4">
        <v>394</v>
      </c>
      <c r="B395" s="4">
        <v>27</v>
      </c>
    </row>
    <row r="396" spans="1:2" x14ac:dyDescent="0.3">
      <c r="A396" s="4">
        <v>395</v>
      </c>
      <c r="B396" s="4">
        <v>13</v>
      </c>
    </row>
    <row r="397" spans="1:2" x14ac:dyDescent="0.3">
      <c r="A397" s="4">
        <v>396</v>
      </c>
      <c r="B397" s="4">
        <v>4</v>
      </c>
    </row>
    <row r="398" spans="1:2" x14ac:dyDescent="0.3">
      <c r="A398" s="4">
        <v>397</v>
      </c>
      <c r="B398" s="4">
        <v>3</v>
      </c>
    </row>
    <row r="399" spans="1:2" x14ac:dyDescent="0.3">
      <c r="A399" s="4">
        <v>398</v>
      </c>
      <c r="B399" s="4">
        <v>22</v>
      </c>
    </row>
    <row r="400" spans="1:2" x14ac:dyDescent="0.3">
      <c r="A400" s="4">
        <v>399</v>
      </c>
      <c r="B400" s="4">
        <v>28</v>
      </c>
    </row>
    <row r="401" spans="1:2" x14ac:dyDescent="0.3">
      <c r="A401" s="4">
        <v>400</v>
      </c>
      <c r="B401" s="4">
        <v>35</v>
      </c>
    </row>
    <row r="402" spans="1:2" x14ac:dyDescent="0.3">
      <c r="A402" s="4">
        <v>401</v>
      </c>
      <c r="B402" s="4">
        <v>61</v>
      </c>
    </row>
    <row r="403" spans="1:2" x14ac:dyDescent="0.3">
      <c r="A403" s="4">
        <v>402</v>
      </c>
      <c r="B403" s="4">
        <v>125</v>
      </c>
    </row>
    <row r="404" spans="1:2" x14ac:dyDescent="0.3">
      <c r="A404" s="4">
        <v>403</v>
      </c>
      <c r="B404" s="4">
        <v>133</v>
      </c>
    </row>
    <row r="405" spans="1:2" x14ac:dyDescent="0.3">
      <c r="A405" s="4">
        <v>404</v>
      </c>
      <c r="B405" s="4">
        <v>99</v>
      </c>
    </row>
    <row r="406" spans="1:2" x14ac:dyDescent="0.3">
      <c r="A406" s="4">
        <v>405</v>
      </c>
      <c r="B406" s="4">
        <v>83</v>
      </c>
    </row>
    <row r="407" spans="1:2" x14ac:dyDescent="0.3">
      <c r="A407" s="4">
        <v>406</v>
      </c>
      <c r="B407" s="4">
        <v>41</v>
      </c>
    </row>
    <row r="408" spans="1:2" x14ac:dyDescent="0.3">
      <c r="A408" s="4">
        <v>407</v>
      </c>
      <c r="B408" s="4">
        <v>33</v>
      </c>
    </row>
    <row r="409" spans="1:2" x14ac:dyDescent="0.3">
      <c r="A409" s="4">
        <v>408</v>
      </c>
      <c r="B409" s="4">
        <v>20</v>
      </c>
    </row>
    <row r="410" spans="1:2" x14ac:dyDescent="0.3">
      <c r="A410" s="4">
        <v>409</v>
      </c>
      <c r="B410" s="4">
        <v>3</v>
      </c>
    </row>
    <row r="411" spans="1:2" x14ac:dyDescent="0.3">
      <c r="A411" s="4">
        <v>410</v>
      </c>
      <c r="B411" s="4">
        <v>7</v>
      </c>
    </row>
    <row r="412" spans="1:2" x14ac:dyDescent="0.3">
      <c r="A412" s="4">
        <v>411</v>
      </c>
      <c r="B412" s="4">
        <v>3</v>
      </c>
    </row>
    <row r="413" spans="1:2" x14ac:dyDescent="0.3">
      <c r="A413" s="4">
        <v>412</v>
      </c>
      <c r="B413" s="4">
        <v>2</v>
      </c>
    </row>
    <row r="414" spans="1:2" x14ac:dyDescent="0.3">
      <c r="A414" s="4">
        <v>413</v>
      </c>
      <c r="B414" s="4">
        <v>7</v>
      </c>
    </row>
    <row r="415" spans="1:2" x14ac:dyDescent="0.3">
      <c r="A415" s="4">
        <v>414</v>
      </c>
      <c r="B415" s="4">
        <v>32</v>
      </c>
    </row>
    <row r="416" spans="1:2" x14ac:dyDescent="0.3">
      <c r="A416" s="4">
        <v>415</v>
      </c>
      <c r="B416" s="4">
        <v>90</v>
      </c>
    </row>
    <row r="417" spans="1:2" x14ac:dyDescent="0.3">
      <c r="A417" s="4">
        <v>416</v>
      </c>
      <c r="B417" s="4">
        <v>197</v>
      </c>
    </row>
    <row r="418" spans="1:2" x14ac:dyDescent="0.3">
      <c r="A418" s="4">
        <v>417</v>
      </c>
      <c r="B418" s="4">
        <v>109</v>
      </c>
    </row>
    <row r="419" spans="1:2" x14ac:dyDescent="0.3">
      <c r="A419" s="4">
        <v>418</v>
      </c>
      <c r="B419" s="4">
        <v>47</v>
      </c>
    </row>
    <row r="420" spans="1:2" x14ac:dyDescent="0.3">
      <c r="A420" s="4">
        <v>419</v>
      </c>
      <c r="B420" s="4">
        <v>52</v>
      </c>
    </row>
    <row r="421" spans="1:2" x14ac:dyDescent="0.3">
      <c r="A421" s="4">
        <v>420</v>
      </c>
      <c r="B421" s="4">
        <v>70</v>
      </c>
    </row>
    <row r="422" spans="1:2" x14ac:dyDescent="0.3">
      <c r="A422" s="4">
        <v>421</v>
      </c>
      <c r="B422" s="4">
        <v>78</v>
      </c>
    </row>
    <row r="423" spans="1:2" x14ac:dyDescent="0.3">
      <c r="A423" s="4">
        <v>422</v>
      </c>
      <c r="B423" s="4">
        <v>75</v>
      </c>
    </row>
    <row r="424" spans="1:2" x14ac:dyDescent="0.3">
      <c r="A424" s="4">
        <v>423</v>
      </c>
      <c r="B424" s="4">
        <v>82</v>
      </c>
    </row>
    <row r="425" spans="1:2" x14ac:dyDescent="0.3">
      <c r="A425" s="4">
        <v>424</v>
      </c>
      <c r="B425" s="4">
        <v>104</v>
      </c>
    </row>
    <row r="426" spans="1:2" x14ac:dyDescent="0.3">
      <c r="A426" s="4">
        <v>425</v>
      </c>
      <c r="B426" s="4">
        <v>197</v>
      </c>
    </row>
    <row r="427" spans="1:2" x14ac:dyDescent="0.3">
      <c r="A427" s="4">
        <v>426</v>
      </c>
      <c r="B427" s="4">
        <v>161</v>
      </c>
    </row>
    <row r="428" spans="1:2" x14ac:dyDescent="0.3">
      <c r="A428" s="4">
        <v>427</v>
      </c>
      <c r="B428" s="4">
        <v>112</v>
      </c>
    </row>
    <row r="429" spans="1:2" x14ac:dyDescent="0.3">
      <c r="A429" s="4">
        <v>428</v>
      </c>
      <c r="B429" s="4">
        <v>76</v>
      </c>
    </row>
    <row r="430" spans="1:2" x14ac:dyDescent="0.3">
      <c r="A430" s="4">
        <v>429</v>
      </c>
      <c r="B430" s="4">
        <v>59</v>
      </c>
    </row>
    <row r="431" spans="1:2" x14ac:dyDescent="0.3">
      <c r="A431" s="4">
        <v>430</v>
      </c>
      <c r="B431" s="4">
        <v>59</v>
      </c>
    </row>
    <row r="432" spans="1:2" x14ac:dyDescent="0.3">
      <c r="A432" s="4">
        <v>431</v>
      </c>
      <c r="B432" s="4">
        <v>28</v>
      </c>
    </row>
    <row r="433" spans="1:2" x14ac:dyDescent="0.3">
      <c r="A433" s="4">
        <v>432</v>
      </c>
      <c r="B433" s="4">
        <v>13</v>
      </c>
    </row>
    <row r="434" spans="1:2" x14ac:dyDescent="0.3">
      <c r="A434" s="4">
        <v>433</v>
      </c>
      <c r="B434" s="4">
        <v>5</v>
      </c>
    </row>
    <row r="435" spans="1:2" x14ac:dyDescent="0.3">
      <c r="A435" s="4">
        <v>434</v>
      </c>
      <c r="B435" s="4">
        <v>2</v>
      </c>
    </row>
    <row r="436" spans="1:2" x14ac:dyDescent="0.3">
      <c r="A436" s="4">
        <v>435</v>
      </c>
      <c r="B436" s="4">
        <v>1</v>
      </c>
    </row>
    <row r="437" spans="1:2" x14ac:dyDescent="0.3">
      <c r="A437" s="4">
        <v>436</v>
      </c>
      <c r="B437" s="4">
        <v>1</v>
      </c>
    </row>
    <row r="438" spans="1:2" x14ac:dyDescent="0.3">
      <c r="A438" s="4">
        <v>437</v>
      </c>
      <c r="B438" s="4">
        <v>6</v>
      </c>
    </row>
    <row r="439" spans="1:2" x14ac:dyDescent="0.3">
      <c r="A439" s="4">
        <v>438</v>
      </c>
      <c r="B439" s="4">
        <v>35</v>
      </c>
    </row>
    <row r="440" spans="1:2" x14ac:dyDescent="0.3">
      <c r="A440" s="4">
        <v>439</v>
      </c>
      <c r="B440" s="4">
        <v>101</v>
      </c>
    </row>
    <row r="441" spans="1:2" x14ac:dyDescent="0.3">
      <c r="A441" s="4">
        <v>440</v>
      </c>
      <c r="B441" s="4">
        <v>249</v>
      </c>
    </row>
    <row r="442" spans="1:2" x14ac:dyDescent="0.3">
      <c r="A442" s="4">
        <v>441</v>
      </c>
      <c r="B442" s="4">
        <v>143</v>
      </c>
    </row>
    <row r="443" spans="1:2" x14ac:dyDescent="0.3">
      <c r="A443" s="4">
        <v>442</v>
      </c>
      <c r="B443" s="4">
        <v>57</v>
      </c>
    </row>
    <row r="444" spans="1:2" x14ac:dyDescent="0.3">
      <c r="A444" s="4">
        <v>443</v>
      </c>
      <c r="B444" s="4">
        <v>68</v>
      </c>
    </row>
    <row r="445" spans="1:2" x14ac:dyDescent="0.3">
      <c r="A445" s="4">
        <v>444</v>
      </c>
      <c r="B445" s="4">
        <v>84</v>
      </c>
    </row>
    <row r="446" spans="1:2" x14ac:dyDescent="0.3">
      <c r="A446" s="4">
        <v>445</v>
      </c>
      <c r="B446" s="4">
        <v>98</v>
      </c>
    </row>
    <row r="447" spans="1:2" x14ac:dyDescent="0.3">
      <c r="A447" s="4">
        <v>446</v>
      </c>
      <c r="B447" s="4">
        <v>81</v>
      </c>
    </row>
    <row r="448" spans="1:2" x14ac:dyDescent="0.3">
      <c r="A448" s="4">
        <v>447</v>
      </c>
      <c r="B448" s="4">
        <v>70</v>
      </c>
    </row>
    <row r="449" spans="1:2" x14ac:dyDescent="0.3">
      <c r="A449" s="4">
        <v>448</v>
      </c>
      <c r="B449" s="4">
        <v>91</v>
      </c>
    </row>
    <row r="450" spans="1:2" x14ac:dyDescent="0.3">
      <c r="A450" s="4">
        <v>449</v>
      </c>
      <c r="B450" s="4">
        <v>215</v>
      </c>
    </row>
    <row r="451" spans="1:2" x14ac:dyDescent="0.3">
      <c r="A451" s="4">
        <v>450</v>
      </c>
      <c r="B451" s="4">
        <v>185</v>
      </c>
    </row>
    <row r="452" spans="1:2" x14ac:dyDescent="0.3">
      <c r="A452" s="4">
        <v>451</v>
      </c>
      <c r="B452" s="4">
        <v>152</v>
      </c>
    </row>
    <row r="453" spans="1:2" x14ac:dyDescent="0.3">
      <c r="A453" s="4">
        <v>452</v>
      </c>
      <c r="B453" s="4">
        <v>126</v>
      </c>
    </row>
    <row r="454" spans="1:2" x14ac:dyDescent="0.3">
      <c r="A454" s="4">
        <v>453</v>
      </c>
      <c r="B454" s="4">
        <v>57</v>
      </c>
    </row>
    <row r="455" spans="1:2" x14ac:dyDescent="0.3">
      <c r="A455" s="4">
        <v>454</v>
      </c>
      <c r="B455" s="4">
        <v>56</v>
      </c>
    </row>
    <row r="456" spans="1:2" x14ac:dyDescent="0.3">
      <c r="A456" s="4">
        <v>455</v>
      </c>
      <c r="B456" s="4">
        <v>31</v>
      </c>
    </row>
    <row r="457" spans="1:2" x14ac:dyDescent="0.3">
      <c r="A457" s="4">
        <v>456</v>
      </c>
      <c r="B457" s="4">
        <v>21</v>
      </c>
    </row>
    <row r="458" spans="1:2" x14ac:dyDescent="0.3">
      <c r="A458" s="4">
        <v>457</v>
      </c>
      <c r="B458" s="4">
        <v>6</v>
      </c>
    </row>
    <row r="459" spans="1:2" x14ac:dyDescent="0.3">
      <c r="A459" s="4">
        <v>458</v>
      </c>
      <c r="B459" s="4">
        <v>2</v>
      </c>
    </row>
    <row r="460" spans="1:2" x14ac:dyDescent="0.3">
      <c r="A460" s="4">
        <v>459</v>
      </c>
      <c r="B460" s="4">
        <v>1</v>
      </c>
    </row>
    <row r="461" spans="1:2" x14ac:dyDescent="0.3">
      <c r="A461" s="4">
        <v>460</v>
      </c>
      <c r="B461" s="4">
        <v>1</v>
      </c>
    </row>
    <row r="462" spans="1:2" x14ac:dyDescent="0.3">
      <c r="A462" s="4">
        <v>461</v>
      </c>
      <c r="B462" s="4">
        <v>5</v>
      </c>
    </row>
    <row r="463" spans="1:2" x14ac:dyDescent="0.3">
      <c r="A463" s="4">
        <v>462</v>
      </c>
      <c r="B463" s="4">
        <v>27</v>
      </c>
    </row>
    <row r="464" spans="1:2" x14ac:dyDescent="0.3">
      <c r="A464" s="4">
        <v>463</v>
      </c>
      <c r="B464" s="4">
        <v>68</v>
      </c>
    </row>
    <row r="465" spans="1:2" x14ac:dyDescent="0.3">
      <c r="A465" s="4">
        <v>464</v>
      </c>
      <c r="B465" s="4">
        <v>217</v>
      </c>
    </row>
    <row r="466" spans="1:2" x14ac:dyDescent="0.3">
      <c r="A466" s="4">
        <v>465</v>
      </c>
      <c r="B466" s="4">
        <v>166</v>
      </c>
    </row>
    <row r="467" spans="1:2" x14ac:dyDescent="0.3">
      <c r="A467" s="4">
        <v>466</v>
      </c>
      <c r="B467" s="4">
        <v>63</v>
      </c>
    </row>
    <row r="468" spans="1:2" x14ac:dyDescent="0.3">
      <c r="A468" s="4">
        <v>467</v>
      </c>
      <c r="B468" s="4">
        <v>59</v>
      </c>
    </row>
    <row r="469" spans="1:2" x14ac:dyDescent="0.3">
      <c r="A469" s="4">
        <v>468</v>
      </c>
      <c r="B469" s="4">
        <v>78</v>
      </c>
    </row>
    <row r="470" spans="1:2" x14ac:dyDescent="0.3">
      <c r="A470" s="4">
        <v>469</v>
      </c>
      <c r="B470" s="4">
        <v>73</v>
      </c>
    </row>
    <row r="471" spans="1:2" x14ac:dyDescent="0.3">
      <c r="A471" s="4">
        <v>470</v>
      </c>
      <c r="B471" s="4">
        <v>62</v>
      </c>
    </row>
    <row r="472" spans="1:2" x14ac:dyDescent="0.3">
      <c r="A472" s="4">
        <v>471</v>
      </c>
      <c r="B472" s="4">
        <v>65</v>
      </c>
    </row>
    <row r="473" spans="1:2" x14ac:dyDescent="0.3">
      <c r="A473" s="4">
        <v>472</v>
      </c>
      <c r="B473" s="4">
        <v>97</v>
      </c>
    </row>
    <row r="474" spans="1:2" x14ac:dyDescent="0.3">
      <c r="A474" s="4">
        <v>473</v>
      </c>
      <c r="B474" s="4">
        <v>161</v>
      </c>
    </row>
    <row r="475" spans="1:2" x14ac:dyDescent="0.3">
      <c r="A475" s="4">
        <v>474</v>
      </c>
      <c r="B475" s="4">
        <v>120</v>
      </c>
    </row>
    <row r="476" spans="1:2" x14ac:dyDescent="0.3">
      <c r="A476" s="4">
        <v>475</v>
      </c>
      <c r="B476" s="4">
        <v>96</v>
      </c>
    </row>
    <row r="477" spans="1:2" x14ac:dyDescent="0.3">
      <c r="A477" s="4">
        <v>476</v>
      </c>
      <c r="B477" s="4">
        <v>53</v>
      </c>
    </row>
    <row r="478" spans="1:2" x14ac:dyDescent="0.3">
      <c r="A478" s="4">
        <v>477</v>
      </c>
      <c r="B478" s="4">
        <v>41</v>
      </c>
    </row>
    <row r="479" spans="1:2" x14ac:dyDescent="0.3">
      <c r="A479" s="4">
        <v>478</v>
      </c>
      <c r="B479" s="4">
        <v>34</v>
      </c>
    </row>
    <row r="480" spans="1:2" x14ac:dyDescent="0.3">
      <c r="A480" s="4">
        <v>479</v>
      </c>
      <c r="B480" s="4">
        <v>27</v>
      </c>
    </row>
    <row r="481" spans="1:2" x14ac:dyDescent="0.3">
      <c r="A481" s="4">
        <v>480</v>
      </c>
      <c r="B481" s="4">
        <v>13</v>
      </c>
    </row>
    <row r="482" spans="1:2" x14ac:dyDescent="0.3">
      <c r="A482" s="4">
        <v>481</v>
      </c>
      <c r="B482" s="4">
        <v>12</v>
      </c>
    </row>
    <row r="483" spans="1:2" x14ac:dyDescent="0.3">
      <c r="A483" s="4">
        <v>482</v>
      </c>
      <c r="B483" s="4">
        <v>11</v>
      </c>
    </row>
    <row r="484" spans="1:2" x14ac:dyDescent="0.3">
      <c r="A484" s="4">
        <v>483</v>
      </c>
      <c r="B484" s="4">
        <v>7</v>
      </c>
    </row>
    <row r="485" spans="1:2" x14ac:dyDescent="0.3">
      <c r="A485" s="4">
        <v>484</v>
      </c>
      <c r="B485" s="4">
        <v>3</v>
      </c>
    </row>
    <row r="486" spans="1:2" x14ac:dyDescent="0.3">
      <c r="A486" s="4">
        <v>485</v>
      </c>
      <c r="B486" s="4">
        <v>2</v>
      </c>
    </row>
    <row r="487" spans="1:2" x14ac:dyDescent="0.3">
      <c r="A487" s="4">
        <v>486</v>
      </c>
      <c r="B487" s="4">
        <v>8</v>
      </c>
    </row>
    <row r="488" spans="1:2" x14ac:dyDescent="0.3">
      <c r="A488" s="4">
        <v>487</v>
      </c>
      <c r="B488" s="4">
        <v>27</v>
      </c>
    </row>
    <row r="489" spans="1:2" x14ac:dyDescent="0.3">
      <c r="A489" s="4">
        <v>488</v>
      </c>
      <c r="B489" s="4">
        <v>40</v>
      </c>
    </row>
    <row r="490" spans="1:2" x14ac:dyDescent="0.3">
      <c r="A490" s="4">
        <v>489</v>
      </c>
      <c r="B490" s="4">
        <v>53</v>
      </c>
    </row>
    <row r="491" spans="1:2" x14ac:dyDescent="0.3">
      <c r="A491" s="4">
        <v>490</v>
      </c>
      <c r="B491" s="4">
        <v>63</v>
      </c>
    </row>
    <row r="492" spans="1:2" x14ac:dyDescent="0.3">
      <c r="A492" s="4">
        <v>491</v>
      </c>
      <c r="B492" s="4">
        <v>70</v>
      </c>
    </row>
    <row r="493" spans="1:2" x14ac:dyDescent="0.3">
      <c r="A493" s="4">
        <v>492</v>
      </c>
      <c r="B493" s="4">
        <v>84</v>
      </c>
    </row>
    <row r="494" spans="1:2" x14ac:dyDescent="0.3">
      <c r="A494" s="4">
        <v>493</v>
      </c>
      <c r="B494" s="4">
        <v>75</v>
      </c>
    </row>
    <row r="495" spans="1:2" x14ac:dyDescent="0.3">
      <c r="A495" s="4">
        <v>494</v>
      </c>
      <c r="B495" s="4">
        <v>103</v>
      </c>
    </row>
    <row r="496" spans="1:2" x14ac:dyDescent="0.3">
      <c r="A496" s="4">
        <v>495</v>
      </c>
      <c r="B496" s="4">
        <v>83</v>
      </c>
    </row>
    <row r="497" spans="1:2" x14ac:dyDescent="0.3">
      <c r="A497" s="4">
        <v>496</v>
      </c>
      <c r="B497" s="4">
        <v>67</v>
      </c>
    </row>
    <row r="498" spans="1:2" x14ac:dyDescent="0.3">
      <c r="A498" s="4">
        <v>497</v>
      </c>
      <c r="B498" s="4">
        <v>54</v>
      </c>
    </row>
    <row r="499" spans="1:2" x14ac:dyDescent="0.3">
      <c r="A499" s="4">
        <v>498</v>
      </c>
      <c r="B499" s="4">
        <v>59</v>
      </c>
    </row>
    <row r="500" spans="1:2" x14ac:dyDescent="0.3">
      <c r="A500" s="4">
        <v>499</v>
      </c>
      <c r="B500" s="4">
        <v>45</v>
      </c>
    </row>
    <row r="501" spans="1:2" x14ac:dyDescent="0.3">
      <c r="A501" s="4">
        <v>500</v>
      </c>
      <c r="B501" s="4">
        <v>39</v>
      </c>
    </row>
    <row r="502" spans="1:2" x14ac:dyDescent="0.3">
      <c r="A502" s="4">
        <v>501</v>
      </c>
      <c r="B502" s="4">
        <v>30</v>
      </c>
    </row>
    <row r="503" spans="1:2" x14ac:dyDescent="0.3">
      <c r="A503" s="4">
        <v>502</v>
      </c>
      <c r="B503" s="4">
        <v>33</v>
      </c>
    </row>
    <row r="504" spans="1:2" x14ac:dyDescent="0.3">
      <c r="A504" s="4">
        <v>503</v>
      </c>
      <c r="B504" s="4">
        <v>22</v>
      </c>
    </row>
    <row r="505" spans="1:2" x14ac:dyDescent="0.3">
      <c r="A505" s="4">
        <v>504</v>
      </c>
      <c r="B505" s="4">
        <v>13</v>
      </c>
    </row>
    <row r="506" spans="1:2" x14ac:dyDescent="0.3">
      <c r="A506" s="4">
        <v>505</v>
      </c>
      <c r="B506" s="4">
        <v>18</v>
      </c>
    </row>
    <row r="507" spans="1:2" x14ac:dyDescent="0.3">
      <c r="A507" s="4">
        <v>506</v>
      </c>
      <c r="B507" s="4">
        <v>5</v>
      </c>
    </row>
    <row r="508" spans="1:2" x14ac:dyDescent="0.3">
      <c r="A508" s="4">
        <v>507</v>
      </c>
      <c r="B508" s="4">
        <v>3</v>
      </c>
    </row>
    <row r="509" spans="1:2" x14ac:dyDescent="0.3">
      <c r="A509" s="4">
        <v>508</v>
      </c>
      <c r="B509" s="4">
        <v>1</v>
      </c>
    </row>
    <row r="510" spans="1:2" x14ac:dyDescent="0.3">
      <c r="A510" s="4">
        <v>509</v>
      </c>
      <c r="B510" s="4">
        <v>2</v>
      </c>
    </row>
    <row r="511" spans="1:2" x14ac:dyDescent="0.3">
      <c r="A511" s="4">
        <v>510</v>
      </c>
      <c r="B511" s="4">
        <v>19</v>
      </c>
    </row>
    <row r="512" spans="1:2" x14ac:dyDescent="0.3">
      <c r="A512" s="4">
        <v>511</v>
      </c>
      <c r="B512" s="4">
        <v>28</v>
      </c>
    </row>
    <row r="513" spans="1:2" x14ac:dyDescent="0.3">
      <c r="A513" s="4">
        <v>512</v>
      </c>
      <c r="B513" s="4">
        <v>58</v>
      </c>
    </row>
    <row r="514" spans="1:2" x14ac:dyDescent="0.3">
      <c r="A514" s="4">
        <v>513</v>
      </c>
      <c r="B514" s="4">
        <v>99</v>
      </c>
    </row>
    <row r="515" spans="1:2" x14ac:dyDescent="0.3">
      <c r="A515" s="4">
        <v>514</v>
      </c>
      <c r="B515" s="4">
        <v>116</v>
      </c>
    </row>
    <row r="516" spans="1:2" x14ac:dyDescent="0.3">
      <c r="A516" s="4">
        <v>515</v>
      </c>
      <c r="B516" s="4">
        <v>87</v>
      </c>
    </row>
    <row r="517" spans="1:2" x14ac:dyDescent="0.3">
      <c r="A517" s="4">
        <v>516</v>
      </c>
      <c r="B517" s="4">
        <v>110</v>
      </c>
    </row>
    <row r="518" spans="1:2" x14ac:dyDescent="0.3">
      <c r="A518" s="4">
        <v>517</v>
      </c>
      <c r="B518" s="4">
        <v>77</v>
      </c>
    </row>
    <row r="519" spans="1:2" x14ac:dyDescent="0.3">
      <c r="A519" s="4">
        <v>518</v>
      </c>
      <c r="B519" s="4">
        <v>65</v>
      </c>
    </row>
    <row r="520" spans="1:2" x14ac:dyDescent="0.3">
      <c r="A520" s="4">
        <v>519</v>
      </c>
      <c r="B520" s="4">
        <v>55</v>
      </c>
    </row>
    <row r="521" spans="1:2" x14ac:dyDescent="0.3">
      <c r="A521" s="4">
        <v>520</v>
      </c>
      <c r="B521" s="4">
        <v>49</v>
      </c>
    </row>
    <row r="522" spans="1:2" x14ac:dyDescent="0.3">
      <c r="A522" s="4">
        <v>521</v>
      </c>
      <c r="B522" s="4">
        <v>50</v>
      </c>
    </row>
    <row r="523" spans="1:2" x14ac:dyDescent="0.3">
      <c r="A523" s="4">
        <v>522</v>
      </c>
      <c r="B523" s="4">
        <v>35</v>
      </c>
    </row>
    <row r="524" spans="1:2" x14ac:dyDescent="0.3">
      <c r="A524" s="4">
        <v>523</v>
      </c>
      <c r="B524" s="4">
        <v>25</v>
      </c>
    </row>
    <row r="525" spans="1:2" x14ac:dyDescent="0.3">
      <c r="A525" s="4">
        <v>524</v>
      </c>
      <c r="B525" s="4">
        <v>28</v>
      </c>
    </row>
    <row r="526" spans="1:2" x14ac:dyDescent="0.3">
      <c r="A526" s="4">
        <v>525</v>
      </c>
      <c r="B526" s="4">
        <v>21</v>
      </c>
    </row>
    <row r="527" spans="1:2" x14ac:dyDescent="0.3">
      <c r="A527" s="4">
        <v>526</v>
      </c>
      <c r="B527" s="4">
        <v>7</v>
      </c>
    </row>
    <row r="528" spans="1:2" x14ac:dyDescent="0.3">
      <c r="A528" s="4">
        <v>527</v>
      </c>
      <c r="B528" s="4">
        <v>1</v>
      </c>
    </row>
    <row r="529" spans="1:2" x14ac:dyDescent="0.3">
      <c r="A529" s="4">
        <v>528</v>
      </c>
      <c r="B529" s="4">
        <v>1</v>
      </c>
    </row>
    <row r="530" spans="1:2" x14ac:dyDescent="0.3">
      <c r="A530" s="4">
        <v>529</v>
      </c>
      <c r="B530" s="4">
        <v>1</v>
      </c>
    </row>
    <row r="531" spans="1:2" x14ac:dyDescent="0.3">
      <c r="A531" s="4">
        <v>530</v>
      </c>
      <c r="B531" s="4">
        <v>5</v>
      </c>
    </row>
    <row r="532" spans="1:2" x14ac:dyDescent="0.3">
      <c r="A532" s="4">
        <v>531</v>
      </c>
      <c r="B532" s="4">
        <v>15</v>
      </c>
    </row>
    <row r="533" spans="1:2" x14ac:dyDescent="0.3">
      <c r="A533" s="4">
        <v>532</v>
      </c>
      <c r="B533" s="4">
        <v>84</v>
      </c>
    </row>
    <row r="534" spans="1:2" x14ac:dyDescent="0.3">
      <c r="A534" s="4">
        <v>533</v>
      </c>
      <c r="B534" s="4">
        <v>177</v>
      </c>
    </row>
    <row r="535" spans="1:2" x14ac:dyDescent="0.3">
      <c r="A535" s="4">
        <v>534</v>
      </c>
      <c r="B535" s="4">
        <v>102</v>
      </c>
    </row>
    <row r="536" spans="1:2" x14ac:dyDescent="0.3">
      <c r="A536" s="4">
        <v>535</v>
      </c>
      <c r="B536" s="4">
        <v>40</v>
      </c>
    </row>
    <row r="537" spans="1:2" x14ac:dyDescent="0.3">
      <c r="A537" s="4">
        <v>536</v>
      </c>
      <c r="B537" s="4">
        <v>46</v>
      </c>
    </row>
    <row r="538" spans="1:2" x14ac:dyDescent="0.3">
      <c r="A538" s="4">
        <v>537</v>
      </c>
      <c r="B538" s="4">
        <v>63</v>
      </c>
    </row>
    <row r="539" spans="1:2" x14ac:dyDescent="0.3">
      <c r="A539" s="4">
        <v>538</v>
      </c>
      <c r="B539" s="4">
        <v>60</v>
      </c>
    </row>
    <row r="540" spans="1:2" x14ac:dyDescent="0.3">
      <c r="A540" s="4">
        <v>539</v>
      </c>
      <c r="B540" s="4">
        <v>45</v>
      </c>
    </row>
    <row r="541" spans="1:2" x14ac:dyDescent="0.3">
      <c r="A541" s="4">
        <v>540</v>
      </c>
      <c r="B541" s="4">
        <v>57</v>
      </c>
    </row>
    <row r="542" spans="1:2" x14ac:dyDescent="0.3">
      <c r="A542" s="4">
        <v>541</v>
      </c>
      <c r="B542" s="4">
        <v>70</v>
      </c>
    </row>
    <row r="543" spans="1:2" x14ac:dyDescent="0.3">
      <c r="A543" s="4">
        <v>542</v>
      </c>
      <c r="B543" s="4">
        <v>184</v>
      </c>
    </row>
    <row r="544" spans="1:2" x14ac:dyDescent="0.3">
      <c r="A544" s="4">
        <v>543</v>
      </c>
      <c r="B544" s="4">
        <v>153</v>
      </c>
    </row>
    <row r="545" spans="1:2" x14ac:dyDescent="0.3">
      <c r="A545" s="4">
        <v>544</v>
      </c>
      <c r="B545" s="4">
        <v>106</v>
      </c>
    </row>
    <row r="546" spans="1:2" x14ac:dyDescent="0.3">
      <c r="A546" s="4">
        <v>545</v>
      </c>
      <c r="B546" s="4">
        <v>81</v>
      </c>
    </row>
    <row r="547" spans="1:2" x14ac:dyDescent="0.3">
      <c r="A547" s="4">
        <v>546</v>
      </c>
      <c r="B547" s="4">
        <v>59</v>
      </c>
    </row>
    <row r="548" spans="1:2" x14ac:dyDescent="0.3">
      <c r="A548" s="4">
        <v>547</v>
      </c>
      <c r="B548" s="4">
        <v>35</v>
      </c>
    </row>
    <row r="549" spans="1:2" x14ac:dyDescent="0.3">
      <c r="A549" s="4">
        <v>548</v>
      </c>
      <c r="B549" s="4">
        <v>24</v>
      </c>
    </row>
    <row r="550" spans="1:2" x14ac:dyDescent="0.3">
      <c r="A550" s="4">
        <v>549</v>
      </c>
      <c r="B550" s="4">
        <v>9</v>
      </c>
    </row>
    <row r="551" spans="1:2" x14ac:dyDescent="0.3">
      <c r="A551" s="4">
        <v>550</v>
      </c>
      <c r="B551" s="4">
        <v>5</v>
      </c>
    </row>
    <row r="552" spans="1:2" x14ac:dyDescent="0.3">
      <c r="A552" s="4">
        <v>551</v>
      </c>
      <c r="B552" s="4">
        <v>2</v>
      </c>
    </row>
    <row r="553" spans="1:2" x14ac:dyDescent="0.3">
      <c r="A553" s="4">
        <v>552</v>
      </c>
      <c r="B553" s="4">
        <v>1</v>
      </c>
    </row>
    <row r="554" spans="1:2" x14ac:dyDescent="0.3">
      <c r="A554" s="4">
        <v>553</v>
      </c>
      <c r="B554" s="4">
        <v>9</v>
      </c>
    </row>
    <row r="555" spans="1:2" x14ac:dyDescent="0.3">
      <c r="A555" s="4">
        <v>554</v>
      </c>
      <c r="B555" s="4">
        <v>36</v>
      </c>
    </row>
    <row r="556" spans="1:2" x14ac:dyDescent="0.3">
      <c r="A556" s="4">
        <v>555</v>
      </c>
      <c r="B556" s="4">
        <v>108</v>
      </c>
    </row>
    <row r="557" spans="1:2" x14ac:dyDescent="0.3">
      <c r="A557" s="4">
        <v>556</v>
      </c>
      <c r="B557" s="4">
        <v>238</v>
      </c>
    </row>
    <row r="558" spans="1:2" x14ac:dyDescent="0.3">
      <c r="A558" s="4">
        <v>557</v>
      </c>
      <c r="B558" s="4">
        <v>144</v>
      </c>
    </row>
    <row r="559" spans="1:2" x14ac:dyDescent="0.3">
      <c r="A559" s="4">
        <v>558</v>
      </c>
      <c r="B559" s="4">
        <v>55</v>
      </c>
    </row>
    <row r="560" spans="1:2" x14ac:dyDescent="0.3">
      <c r="A560" s="4">
        <v>559</v>
      </c>
      <c r="B560" s="4">
        <v>61</v>
      </c>
    </row>
    <row r="561" spans="1:2" x14ac:dyDescent="0.3">
      <c r="A561" s="4">
        <v>560</v>
      </c>
      <c r="B561" s="4">
        <v>106</v>
      </c>
    </row>
    <row r="562" spans="1:2" x14ac:dyDescent="0.3">
      <c r="A562" s="4">
        <v>561</v>
      </c>
      <c r="B562" s="4">
        <v>93</v>
      </c>
    </row>
    <row r="563" spans="1:2" x14ac:dyDescent="0.3">
      <c r="A563" s="4">
        <v>562</v>
      </c>
      <c r="B563" s="4">
        <v>68</v>
      </c>
    </row>
    <row r="564" spans="1:2" x14ac:dyDescent="0.3">
      <c r="A564" s="4">
        <v>563</v>
      </c>
      <c r="B564" s="4">
        <v>84</v>
      </c>
    </row>
    <row r="565" spans="1:2" x14ac:dyDescent="0.3">
      <c r="A565" s="4">
        <v>564</v>
      </c>
      <c r="B565" s="4">
        <v>116</v>
      </c>
    </row>
    <row r="566" spans="1:2" x14ac:dyDescent="0.3">
      <c r="A566" s="4">
        <v>565</v>
      </c>
      <c r="B566" s="4">
        <v>222</v>
      </c>
    </row>
    <row r="567" spans="1:2" x14ac:dyDescent="0.3">
      <c r="A567" s="4">
        <v>566</v>
      </c>
      <c r="B567" s="4">
        <v>225</v>
      </c>
    </row>
    <row r="568" spans="1:2" x14ac:dyDescent="0.3">
      <c r="A568" s="4">
        <v>567</v>
      </c>
      <c r="B568" s="4">
        <v>146</v>
      </c>
    </row>
    <row r="569" spans="1:2" x14ac:dyDescent="0.3">
      <c r="A569" s="4">
        <v>568</v>
      </c>
      <c r="B569" s="4">
        <v>119</v>
      </c>
    </row>
    <row r="570" spans="1:2" x14ac:dyDescent="0.3">
      <c r="A570" s="4">
        <v>569</v>
      </c>
      <c r="B570" s="4">
        <v>45</v>
      </c>
    </row>
    <row r="571" spans="1:2" x14ac:dyDescent="0.3">
      <c r="A571" s="4">
        <v>570</v>
      </c>
      <c r="B571" s="4">
        <v>53</v>
      </c>
    </row>
    <row r="572" spans="1:2" x14ac:dyDescent="0.3">
      <c r="A572" s="4">
        <v>571</v>
      </c>
      <c r="B572" s="4">
        <v>40</v>
      </c>
    </row>
    <row r="573" spans="1:2" x14ac:dyDescent="0.3">
      <c r="A573" s="4">
        <v>572</v>
      </c>
      <c r="B573" s="4">
        <v>17</v>
      </c>
    </row>
    <row r="574" spans="1:2" x14ac:dyDescent="0.3">
      <c r="A574" s="4">
        <v>573</v>
      </c>
      <c r="B574" s="4">
        <v>5</v>
      </c>
    </row>
    <row r="575" spans="1:2" x14ac:dyDescent="0.3">
      <c r="A575" s="4">
        <v>574</v>
      </c>
      <c r="B575" s="4">
        <v>10</v>
      </c>
    </row>
    <row r="576" spans="1:2" x14ac:dyDescent="0.3">
      <c r="A576" s="4">
        <v>575</v>
      </c>
      <c r="B576" s="4">
        <v>1</v>
      </c>
    </row>
    <row r="577" spans="1:2" x14ac:dyDescent="0.3">
      <c r="A577" s="4">
        <v>576</v>
      </c>
      <c r="B577" s="4">
        <v>8</v>
      </c>
    </row>
    <row r="578" spans="1:2" x14ac:dyDescent="0.3">
      <c r="A578" s="4">
        <v>577</v>
      </c>
      <c r="B578" s="4">
        <v>30</v>
      </c>
    </row>
    <row r="579" spans="1:2" x14ac:dyDescent="0.3">
      <c r="A579" s="4">
        <v>578</v>
      </c>
      <c r="B579" s="4">
        <v>72</v>
      </c>
    </row>
    <row r="580" spans="1:2" x14ac:dyDescent="0.3">
      <c r="A580" s="4">
        <v>579</v>
      </c>
      <c r="B580" s="4">
        <v>58</v>
      </c>
    </row>
    <row r="581" spans="1:2" x14ac:dyDescent="0.3">
      <c r="A581" s="4">
        <v>580</v>
      </c>
      <c r="B581" s="4">
        <v>28</v>
      </c>
    </row>
    <row r="582" spans="1:2" x14ac:dyDescent="0.3">
      <c r="A582" s="4">
        <v>581</v>
      </c>
      <c r="B582" s="4">
        <v>41</v>
      </c>
    </row>
    <row r="583" spans="1:2" x14ac:dyDescent="0.3">
      <c r="A583" s="4">
        <v>582</v>
      </c>
      <c r="B583" s="4">
        <v>48</v>
      </c>
    </row>
    <row r="584" spans="1:2" x14ac:dyDescent="0.3">
      <c r="A584" s="4">
        <v>583</v>
      </c>
      <c r="B584" s="4">
        <v>47</v>
      </c>
    </row>
    <row r="585" spans="1:2" x14ac:dyDescent="0.3">
      <c r="A585" s="4">
        <v>584</v>
      </c>
      <c r="B585" s="4">
        <v>36</v>
      </c>
    </row>
    <row r="586" spans="1:2" x14ac:dyDescent="0.3">
      <c r="A586" s="4">
        <v>585</v>
      </c>
      <c r="B586" s="4">
        <v>43</v>
      </c>
    </row>
    <row r="587" spans="1:2" x14ac:dyDescent="0.3">
      <c r="A587" s="4">
        <v>586</v>
      </c>
      <c r="B587" s="4">
        <v>36</v>
      </c>
    </row>
    <row r="588" spans="1:2" x14ac:dyDescent="0.3">
      <c r="A588" s="4">
        <v>587</v>
      </c>
      <c r="B588" s="4">
        <v>26</v>
      </c>
    </row>
    <row r="589" spans="1:2" x14ac:dyDescent="0.3">
      <c r="A589" s="4">
        <v>588</v>
      </c>
      <c r="B589" s="4">
        <v>24</v>
      </c>
    </row>
    <row r="590" spans="1:2" x14ac:dyDescent="0.3">
      <c r="A590" s="4">
        <v>589</v>
      </c>
      <c r="B590" s="4">
        <v>84</v>
      </c>
    </row>
    <row r="591" spans="1:2" x14ac:dyDescent="0.3">
      <c r="A591" s="4">
        <v>590</v>
      </c>
      <c r="B591" s="4">
        <v>104</v>
      </c>
    </row>
    <row r="592" spans="1:2" x14ac:dyDescent="0.3">
      <c r="A592" s="4">
        <v>591</v>
      </c>
      <c r="B592" s="4">
        <v>79</v>
      </c>
    </row>
    <row r="593" spans="1:2" x14ac:dyDescent="0.3">
      <c r="A593" s="4">
        <v>592</v>
      </c>
      <c r="B593" s="4">
        <v>59</v>
      </c>
    </row>
    <row r="594" spans="1:2" x14ac:dyDescent="0.3">
      <c r="A594" s="4">
        <v>593</v>
      </c>
      <c r="B594" s="4">
        <v>38</v>
      </c>
    </row>
    <row r="595" spans="1:2" x14ac:dyDescent="0.3">
      <c r="A595" s="4">
        <v>594</v>
      </c>
      <c r="B595" s="4">
        <v>27</v>
      </c>
    </row>
    <row r="596" spans="1:2" x14ac:dyDescent="0.3">
      <c r="A596" s="4">
        <v>595</v>
      </c>
      <c r="B596" s="4">
        <v>16</v>
      </c>
    </row>
    <row r="597" spans="1:2" x14ac:dyDescent="0.3">
      <c r="A597" s="4">
        <v>596</v>
      </c>
      <c r="B597" s="4">
        <v>9</v>
      </c>
    </row>
    <row r="598" spans="1:2" x14ac:dyDescent="0.3">
      <c r="A598" s="4">
        <v>597</v>
      </c>
      <c r="B598" s="4">
        <v>3</v>
      </c>
    </row>
    <row r="599" spans="1:2" x14ac:dyDescent="0.3">
      <c r="A599" s="4">
        <v>598</v>
      </c>
      <c r="B599" s="4">
        <v>2</v>
      </c>
    </row>
    <row r="600" spans="1:2" x14ac:dyDescent="0.3">
      <c r="A600" s="4">
        <v>599</v>
      </c>
      <c r="B600" s="4">
        <v>1</v>
      </c>
    </row>
    <row r="601" spans="1:2" x14ac:dyDescent="0.3">
      <c r="A601" s="4">
        <v>600</v>
      </c>
      <c r="B601" s="4">
        <v>4</v>
      </c>
    </row>
    <row r="602" spans="1:2" x14ac:dyDescent="0.3">
      <c r="A602" s="4">
        <v>601</v>
      </c>
      <c r="B602" s="4">
        <v>16</v>
      </c>
    </row>
    <row r="603" spans="1:2" x14ac:dyDescent="0.3">
      <c r="A603" s="4">
        <v>602</v>
      </c>
      <c r="B603" s="4">
        <v>60</v>
      </c>
    </row>
    <row r="604" spans="1:2" x14ac:dyDescent="0.3">
      <c r="A604" s="4">
        <v>603</v>
      </c>
      <c r="B604" s="4">
        <v>157</v>
      </c>
    </row>
    <row r="605" spans="1:2" x14ac:dyDescent="0.3">
      <c r="A605" s="4">
        <v>604</v>
      </c>
      <c r="B605" s="4">
        <v>101</v>
      </c>
    </row>
    <row r="606" spans="1:2" x14ac:dyDescent="0.3">
      <c r="A606" s="4">
        <v>605</v>
      </c>
      <c r="B606" s="4">
        <v>49</v>
      </c>
    </row>
    <row r="607" spans="1:2" x14ac:dyDescent="0.3">
      <c r="A607" s="4">
        <v>606</v>
      </c>
      <c r="B607" s="4">
        <v>30</v>
      </c>
    </row>
    <row r="608" spans="1:2" x14ac:dyDescent="0.3">
      <c r="A608" s="4">
        <v>607</v>
      </c>
      <c r="B608" s="4">
        <v>29</v>
      </c>
    </row>
    <row r="609" spans="1:5" x14ac:dyDescent="0.3">
      <c r="A609" s="4">
        <v>608</v>
      </c>
      <c r="B609" s="4">
        <v>31</v>
      </c>
    </row>
    <row r="610" spans="1:5" x14ac:dyDescent="0.3">
      <c r="A610" s="4">
        <v>609</v>
      </c>
      <c r="B610" s="4">
        <v>38</v>
      </c>
    </row>
    <row r="611" spans="1:5" x14ac:dyDescent="0.3">
      <c r="A611" s="4">
        <v>610</v>
      </c>
      <c r="B611" s="4">
        <v>41</v>
      </c>
      <c r="C611" s="4">
        <v>41</v>
      </c>
      <c r="D611" s="4">
        <v>41</v>
      </c>
      <c r="E611" s="4">
        <v>41</v>
      </c>
    </row>
    <row r="612" spans="1:5" x14ac:dyDescent="0.3">
      <c r="A612" s="4">
        <v>611</v>
      </c>
      <c r="C612" s="4">
        <f>_xlfn.FORECAST.ETS(A612,$B$2:$B$611,$A$2:$A$611,1,1)</f>
        <v>91.701985245465949</v>
      </c>
      <c r="D612" s="4">
        <f>C612-_xlfn.FORECAST.ETS.CONFINT(A612,$B$2:$B$611,$A$2:$A$611,0.95,1,1)</f>
        <v>5.3777255208341472</v>
      </c>
      <c r="E612" s="4">
        <f>C612+_xlfn.FORECAST.ETS.CONFINT(A612,$B$2:$B$611,$A$2:$A$611,0.95,1,1)</f>
        <v>178.02624497009776</v>
      </c>
    </row>
    <row r="613" spans="1:5" x14ac:dyDescent="0.3">
      <c r="A613" s="4">
        <v>612</v>
      </c>
      <c r="C613" s="4">
        <f>_xlfn.FORECAST.ETS(A613,$B$2:$B$611,$A$2:$A$611,1,1)</f>
        <v>116.76454602936577</v>
      </c>
      <c r="D613" s="4">
        <f>C613-_xlfn.FORECAST.ETS.CONFINT(A613,$B$2:$B$611,$A$2:$A$611,0.95,1,1)</f>
        <v>30.439897846439237</v>
      </c>
      <c r="E613" s="4">
        <f>C613+_xlfn.FORECAST.ETS.CONFINT(A613,$B$2:$B$611,$A$2:$A$611,0.95,1,1)</f>
        <v>203.08919421229231</v>
      </c>
    </row>
    <row r="614" spans="1:5" x14ac:dyDescent="0.3">
      <c r="A614" s="4">
        <v>613</v>
      </c>
      <c r="C614" s="4">
        <f>_xlfn.FORECAST.ETS(A614,$B$2:$B$611,$A$2:$A$611,1,1)</f>
        <v>100.58083844002016</v>
      </c>
      <c r="D614" s="4">
        <f>C614-_xlfn.FORECAST.ETS.CONFINT(A614,$B$2:$B$611,$A$2:$A$611,0.95,1,1)</f>
        <v>14.25549966888579</v>
      </c>
      <c r="E614" s="4">
        <f>C614+_xlfn.FORECAST.ETS.CONFINT(A614,$B$2:$B$611,$A$2:$A$611,0.95,1,1)</f>
        <v>186.90617721115453</v>
      </c>
    </row>
    <row r="615" spans="1:5" x14ac:dyDescent="0.3">
      <c r="A615" s="4">
        <v>614</v>
      </c>
      <c r="C615" s="4">
        <f>_xlfn.FORECAST.ETS(A615,$B$2:$B$611,$A$2:$A$611,1,1)</f>
        <v>75.492832739991997</v>
      </c>
      <c r="D615" s="4">
        <f>C615-_xlfn.FORECAST.ETS.CONFINT(A615,$B$2:$B$611,$A$2:$A$611,0.95,1,1)</f>
        <v>-10.833585064157276</v>
      </c>
      <c r="E615" s="4">
        <f>C615+_xlfn.FORECAST.ETS.CONFINT(A615,$B$2:$B$611,$A$2:$A$611,0.95,1,1)</f>
        <v>161.81925054414125</v>
      </c>
    </row>
    <row r="616" spans="1:5" x14ac:dyDescent="0.3">
      <c r="A616" s="4">
        <v>615</v>
      </c>
      <c r="C616" s="4">
        <f>_xlfn.FORECAST.ETS(A616,$B$2:$B$611,$A$2:$A$611,1,1)</f>
        <v>42.986666972786388</v>
      </c>
      <c r="D616" s="4">
        <f>C616-_xlfn.FORECAST.ETS.CONFINT(A616,$B$2:$B$611,$A$2:$A$611,0.95,1,1)</f>
        <v>-43.341304615210241</v>
      </c>
      <c r="E616" s="4">
        <f>C616+_xlfn.FORECAST.ETS.CONFINT(A616,$B$2:$B$611,$A$2:$A$611,0.95,1,1)</f>
        <v>129.31463856078301</v>
      </c>
    </row>
    <row r="617" spans="1:5" x14ac:dyDescent="0.3">
      <c r="A617" s="4">
        <v>616</v>
      </c>
      <c r="C617" s="4">
        <f>_xlfn.FORECAST.ETS(A617,$B$2:$B$611,$A$2:$A$611,1,1)</f>
        <v>30.877077458166546</v>
      </c>
      <c r="D617" s="4">
        <f>C617-_xlfn.FORECAST.ETS.CONFINT(A617,$B$2:$B$611,$A$2:$A$611,0.95,1,1)</f>
        <v>-55.453008957352502</v>
      </c>
      <c r="E617" s="4">
        <f>C617+_xlfn.FORECAST.ETS.CONFINT(A617,$B$2:$B$611,$A$2:$A$611,0.95,1,1)</f>
        <v>117.2071638736856</v>
      </c>
    </row>
    <row r="618" spans="1:5" x14ac:dyDescent="0.3">
      <c r="A618" s="4">
        <v>617</v>
      </c>
      <c r="C618" s="4">
        <f>_xlfn.FORECAST.ETS(A618,$B$2:$B$611,$A$2:$A$611,1,1)</f>
        <v>20.097782241336013</v>
      </c>
      <c r="D618" s="4">
        <f>C618-_xlfn.FORECAST.ETS.CONFINT(A618,$B$2:$B$611,$A$2:$A$611,0.95,1,1)</f>
        <v>-66.235066319865041</v>
      </c>
      <c r="E618" s="4">
        <f>C618+_xlfn.FORECAST.ETS.CONFINT(A618,$B$2:$B$611,$A$2:$A$611,0.95,1,1)</f>
        <v>106.43063080253705</v>
      </c>
    </row>
    <row r="619" spans="1:5" x14ac:dyDescent="0.3">
      <c r="A619" s="4">
        <v>618</v>
      </c>
      <c r="C619" s="4">
        <f>_xlfn.FORECAST.ETS(A619,$B$2:$B$611,$A$2:$A$611,1,1)</f>
        <v>5.2729939055097148</v>
      </c>
      <c r="D619" s="4">
        <f>C619-_xlfn.FORECAST.ETS.CONFINT(A619,$B$2:$B$611,$A$2:$A$611,0.95,1,1)</f>
        <v>-81.063350369624203</v>
      </c>
      <c r="E619" s="4">
        <f>C619+_xlfn.FORECAST.ETS.CONFINT(A619,$B$2:$B$611,$A$2:$A$611,0.95,1,1)</f>
        <v>91.609338180643647</v>
      </c>
    </row>
    <row r="620" spans="1:5" x14ac:dyDescent="0.3">
      <c r="A620" s="4">
        <v>619</v>
      </c>
      <c r="C620" s="4">
        <f>_xlfn.FORECAST.ETS(A620,$B$2:$B$611,$A$2:$A$611,1,1)</f>
        <v>-2.5631090462011059</v>
      </c>
      <c r="D620" s="4">
        <f>C620-_xlfn.FORECAST.ETS.CONFINT(A620,$B$2:$B$611,$A$2:$A$611,0.95,1,1)</f>
        <v>-88.903768822323698</v>
      </c>
      <c r="E620" s="4">
        <f>C620+_xlfn.FORECAST.ETS.CONFINT(A620,$B$2:$B$611,$A$2:$A$611,0.95,1,1)</f>
        <v>83.777550729921487</v>
      </c>
    </row>
    <row r="621" spans="1:5" x14ac:dyDescent="0.3">
      <c r="A621" s="4">
        <v>620</v>
      </c>
      <c r="C621" s="4">
        <f>_xlfn.FORECAST.ETS(A621,$B$2:$B$611,$A$2:$A$611,1,1)</f>
        <v>-4.6874911499871814</v>
      </c>
      <c r="D621" s="4">
        <f>C621-_xlfn.FORECAST.ETS.CONFINT(A621,$B$2:$B$611,$A$2:$A$611,0.95,1,1)</f>
        <v>-91.033372393923827</v>
      </c>
      <c r="E621" s="4">
        <f>C621+_xlfn.FORECAST.ETS.CONFINT(A621,$B$2:$B$611,$A$2:$A$611,0.95,1,1)</f>
        <v>81.658390093949464</v>
      </c>
    </row>
    <row r="622" spans="1:5" x14ac:dyDescent="0.3">
      <c r="A622" s="4">
        <v>621</v>
      </c>
      <c r="C622" s="4">
        <f>_xlfn.FORECAST.ETS(A622,$B$2:$B$611,$A$2:$A$611,1,1)</f>
        <v>-8.0512510926110252</v>
      </c>
      <c r="D622" s="4">
        <f>C622-_xlfn.FORECAST.ETS.CONFINT(A622,$B$2:$B$611,$A$2:$A$611,0.95,1,1)</f>
        <v>-94.403345903319916</v>
      </c>
      <c r="E622" s="4">
        <f>C622+_xlfn.FORECAST.ETS.CONFINT(A622,$B$2:$B$611,$A$2:$A$611,0.95,1,1)</f>
        <v>78.300843718097866</v>
      </c>
    </row>
    <row r="623" spans="1:5" x14ac:dyDescent="0.3">
      <c r="A623" s="4">
        <v>622</v>
      </c>
      <c r="C623" s="4">
        <f>_xlfn.FORECAST.ETS(A623,$B$2:$B$611,$A$2:$A$611,1,1)</f>
        <v>-5.540291377471199</v>
      </c>
      <c r="D623" s="4">
        <f>C623-_xlfn.FORECAST.ETS.CONFINT(A623,$B$2:$B$611,$A$2:$A$611,0.95,1,1)</f>
        <v>-91.899677928955754</v>
      </c>
      <c r="E623" s="4">
        <f>C623+_xlfn.FORECAST.ETS.CONFINT(A623,$B$2:$B$611,$A$2:$A$611,0.95,1,1)</f>
        <v>80.81909517401337</v>
      </c>
    </row>
    <row r="624" spans="1:5" x14ac:dyDescent="0.3">
      <c r="A624" s="4">
        <v>623</v>
      </c>
      <c r="C624" s="4">
        <f>_xlfn.FORECAST.ETS(A624,$B$2:$B$611,$A$2:$A$611,1,1)</f>
        <v>5.8939962825652046</v>
      </c>
      <c r="D624" s="4">
        <f>C624-_xlfn.FORECAST.ETS.CONFINT(A624,$B$2:$B$611,$A$2:$A$611,0.95,1,1)</f>
        <v>-80.473846191360622</v>
      </c>
      <c r="E624" s="4">
        <f>C624+_xlfn.FORECAST.ETS.CONFINT(A624,$B$2:$B$611,$A$2:$A$611,0.95,1,1)</f>
        <v>92.261838756491045</v>
      </c>
    </row>
    <row r="625" spans="1:5" x14ac:dyDescent="0.3">
      <c r="A625" s="4">
        <v>624</v>
      </c>
      <c r="C625" s="4">
        <f>_xlfn.FORECAST.ETS(A625,$B$2:$B$611,$A$2:$A$611,1,1)</f>
        <v>36.50441343088707</v>
      </c>
      <c r="D625" s="4">
        <f>C625-_xlfn.FORECAST.ETS.CONFINT(A625,$B$2:$B$611,$A$2:$A$611,0.95,1,1)</f>
        <v>-49.873135076289799</v>
      </c>
      <c r="E625" s="4">
        <f>C625+_xlfn.FORECAST.ETS.CONFINT(A625,$B$2:$B$611,$A$2:$A$611,0.95,1,1)</f>
        <v>122.88196193806394</v>
      </c>
    </row>
    <row r="626" spans="1:5" x14ac:dyDescent="0.3">
      <c r="A626" s="4">
        <v>625</v>
      </c>
      <c r="C626" s="4">
        <f>_xlfn.FORECAST.ETS(A626,$B$2:$B$611,$A$2:$A$611,1,1)</f>
        <v>78.519742250335014</v>
      </c>
      <c r="D626" s="4">
        <f>C626-_xlfn.FORECAST.ETS.CONFINT(A626,$B$2:$B$611,$A$2:$A$611,0.95,1,1)</f>
        <v>-7.8688482395603785</v>
      </c>
      <c r="E626" s="4">
        <f>C626+_xlfn.FORECAST.ETS.CONFINT(A626,$B$2:$B$611,$A$2:$A$611,0.95,1,1)</f>
        <v>164.90833274023041</v>
      </c>
    </row>
    <row r="627" spans="1:5" x14ac:dyDescent="0.3">
      <c r="A627" s="4">
        <v>626</v>
      </c>
      <c r="C627" s="4">
        <f>_xlfn.FORECAST.ETS(A627,$B$2:$B$611,$A$2:$A$611,1,1)</f>
        <v>102.9042945967991</v>
      </c>
      <c r="D627" s="4">
        <f>C627-_xlfn.FORECAST.ETS.CONFINT(A627,$B$2:$B$611,$A$2:$A$611,0.95,1,1)</f>
        <v>16.503240439341283</v>
      </c>
      <c r="E627" s="4">
        <f>C627+_xlfn.FORECAST.ETS.CONFINT(A627,$B$2:$B$611,$A$2:$A$611,0.95,1,1)</f>
        <v>189.30534875425693</v>
      </c>
    </row>
    <row r="628" spans="1:5" x14ac:dyDescent="0.3">
      <c r="A628" s="4">
        <v>627</v>
      </c>
      <c r="C628" s="4">
        <f>_xlfn.FORECAST.ETS(A628,$B$2:$B$611,$A$2:$A$611,1,1)</f>
        <v>63.466206193792132</v>
      </c>
      <c r="D628" s="4">
        <f>C628-_xlfn.FORECAST.ETS.CONFINT(A628,$B$2:$B$611,$A$2:$A$611,0.95,1,1)</f>
        <v>-22.94881893455387</v>
      </c>
      <c r="E628" s="4">
        <f>C628+_xlfn.FORECAST.ETS.CONFINT(A628,$B$2:$B$611,$A$2:$A$611,0.95,1,1)</f>
        <v>149.88123132213815</v>
      </c>
    </row>
    <row r="629" spans="1:5" x14ac:dyDescent="0.3">
      <c r="A629" s="4">
        <v>628</v>
      </c>
      <c r="C629" s="4">
        <f>_xlfn.FORECAST.ETS(A629,$B$2:$B$611,$A$2:$A$611,1,1)</f>
        <v>41.738332047587647</v>
      </c>
      <c r="D629" s="4">
        <f>C629-_xlfn.FORECAST.ETS.CONFINT(A629,$B$2:$B$611,$A$2:$A$611,0.95,1,1)</f>
        <v>-44.692256842137084</v>
      </c>
      <c r="E629" s="4">
        <f>C629+_xlfn.FORECAST.ETS.CONFINT(A629,$B$2:$B$611,$A$2:$A$611,0.95,1,1)</f>
        <v>128.16892093731238</v>
      </c>
    </row>
    <row r="630" spans="1:5" x14ac:dyDescent="0.3">
      <c r="A630" s="4">
        <v>629</v>
      </c>
      <c r="C630" s="4">
        <f>_xlfn.FORECAST.ETS(A630,$B$2:$B$611,$A$2:$A$611,1,1)</f>
        <v>39.488562202923625</v>
      </c>
      <c r="D630" s="4">
        <f>C630-_xlfn.FORECAST.ETS.CONFINT(A630,$B$2:$B$611,$A$2:$A$611,0.95,1,1)</f>
        <v>-46.959268579296754</v>
      </c>
      <c r="E630" s="4">
        <f>C630+_xlfn.FORECAST.ETS.CONFINT(A630,$B$2:$B$611,$A$2:$A$611,0.95,1,1)</f>
        <v>125.93639298514401</v>
      </c>
    </row>
    <row r="631" spans="1:5" x14ac:dyDescent="0.3">
      <c r="A631" s="4">
        <v>630</v>
      </c>
      <c r="C631" s="4">
        <f>_xlfn.FORECAST.ETS(A631,$B$2:$B$611,$A$2:$A$611,1,1)</f>
        <v>33.706071390807097</v>
      </c>
      <c r="D631" s="4">
        <f>C631-_xlfn.FORECAST.ETS.CONFINT(A631,$B$2:$B$611,$A$2:$A$611,0.95,1,1)</f>
        <v>-52.760764593104739</v>
      </c>
      <c r="E631" s="4">
        <f>C631+_xlfn.FORECAST.ETS.CONFINT(A631,$B$2:$B$611,$A$2:$A$611,0.95,1,1)</f>
        <v>120.17290737471893</v>
      </c>
    </row>
    <row r="632" spans="1:5" x14ac:dyDescent="0.3">
      <c r="A632" s="4">
        <v>631</v>
      </c>
      <c r="C632" s="4">
        <f>_xlfn.FORECAST.ETS(A632,$B$2:$B$611,$A$2:$A$611,1,1)</f>
        <v>32.98517903759415</v>
      </c>
      <c r="D632" s="4">
        <f>C632-_xlfn.FORECAST.ETS.CONFINT(A632,$B$2:$B$611,$A$2:$A$611,0.95,1,1)</f>
        <v>-53.502510455952503</v>
      </c>
      <c r="E632" s="4">
        <f>C632+_xlfn.FORECAST.ETS.CONFINT(A632,$B$2:$B$611,$A$2:$A$611,0.95,1,1)</f>
        <v>119.4728685311408</v>
      </c>
    </row>
    <row r="633" spans="1:5" x14ac:dyDescent="0.3">
      <c r="A633" s="4">
        <v>632</v>
      </c>
      <c r="C633" s="4">
        <f>_xlfn.FORECAST.ETS(A633,$B$2:$B$611,$A$2:$A$611,1,1)</f>
        <v>37.317983294621435</v>
      </c>
      <c r="D633" s="4">
        <f>C633-_xlfn.FORECAST.ETS.CONFINT(A633,$B$2:$B$611,$A$2:$A$611,0.95,1,1)</f>
        <v>-49.192492818375065</v>
      </c>
      <c r="E633" s="4">
        <f>C633+_xlfn.FORECAST.ETS.CONFINT(A633,$B$2:$B$611,$A$2:$A$611,0.95,1,1)</f>
        <v>123.82845940761794</v>
      </c>
    </row>
    <row r="634" spans="1:5" x14ac:dyDescent="0.3">
      <c r="A634" s="4">
        <v>633</v>
      </c>
      <c r="C634" s="4">
        <f>_xlfn.FORECAST.ETS(A634,$B$2:$B$611,$A$2:$A$611,1,1)</f>
        <v>41.218607030325437</v>
      </c>
      <c r="D634" s="4">
        <f>C634-_xlfn.FORECAST.ETS.CONFINT(A634,$B$2:$B$611,$A$2:$A$611,0.95,1,1)</f>
        <v>-45.31667339864142</v>
      </c>
      <c r="E634" s="4">
        <f>C634+_xlfn.FORECAST.ETS.CONFINT(A634,$B$2:$B$611,$A$2:$A$611,0.95,1,1)</f>
        <v>127.75388745929229</v>
      </c>
    </row>
    <row r="635" spans="1:5" x14ac:dyDescent="0.3">
      <c r="A635" s="4">
        <v>634</v>
      </c>
      <c r="C635" s="4">
        <f>_xlfn.FORECAST.ETS(A635,$B$2:$B$611,$A$2:$A$611,1,1)</f>
        <v>91.920592275791392</v>
      </c>
      <c r="D635" s="4">
        <f>C635-_xlfn.FORECAST.ETS.CONFINT(A635,$B$2:$B$611,$A$2:$A$611,0.95,1,1)</f>
        <v>-5.7639949538843354</v>
      </c>
      <c r="E635" s="4">
        <f>C635+_xlfn.FORECAST.ETS.CONFINT(A635,$B$2:$B$611,$A$2:$A$611,0.95,1,1)</f>
        <v>189.60517950546711</v>
      </c>
    </row>
    <row r="636" spans="1:5" x14ac:dyDescent="0.3">
      <c r="A636" s="4">
        <v>635</v>
      </c>
      <c r="C636" s="4">
        <f>_xlfn.FORECAST.ETS(A636,$B$2:$B$611,$A$2:$A$611,1,1)</f>
        <v>116.9831530596912</v>
      </c>
      <c r="D636" s="4">
        <f>C636-_xlfn.FORECAST.ETS.CONFINT(A636,$B$2:$B$611,$A$2:$A$611,0.95,1,1)</f>
        <v>19.272784870658057</v>
      </c>
      <c r="E636" s="4">
        <f>C636+_xlfn.FORECAST.ETS.CONFINT(A636,$B$2:$B$611,$A$2:$A$611,0.95,1,1)</f>
        <v>214.69352124872435</v>
      </c>
    </row>
    <row r="637" spans="1:5" x14ac:dyDescent="0.3">
      <c r="A637" s="4">
        <v>636</v>
      </c>
      <c r="C637" s="4">
        <f>_xlfn.FORECAST.ETS(A637,$B$2:$B$611,$A$2:$A$611,1,1)</f>
        <v>100.79944547034559</v>
      </c>
      <c r="D637" s="4">
        <f>C637-_xlfn.FORECAST.ETS.CONFINT(A637,$B$2:$B$611,$A$2:$A$611,0.95,1,1)</f>
        <v>3.0612826547645966</v>
      </c>
      <c r="E637" s="4">
        <f>C637+_xlfn.FORECAST.ETS.CONFINT(A637,$B$2:$B$611,$A$2:$A$611,0.95,1,1)</f>
        <v>198.53760828592658</v>
      </c>
    </row>
    <row r="638" spans="1:5" x14ac:dyDescent="0.3">
      <c r="A638" s="4">
        <v>637</v>
      </c>
      <c r="C638" s="4">
        <f>_xlfn.FORECAST.ETS(A638,$B$2:$B$611,$A$2:$A$611,1,1)</f>
        <v>75.71143977031744</v>
      </c>
      <c r="D638" s="4">
        <f>C638-_xlfn.FORECAST.ETS.CONFINT(A638,$B$2:$B$611,$A$2:$A$611,0.95,1,1)</f>
        <v>-22.056605841597872</v>
      </c>
      <c r="E638" s="4">
        <f>C638+_xlfn.FORECAST.ETS.CONFINT(A638,$B$2:$B$611,$A$2:$A$611,0.95,1,1)</f>
        <v>173.47948538223275</v>
      </c>
    </row>
    <row r="639" spans="1:5" x14ac:dyDescent="0.3">
      <c r="A639" s="4">
        <v>638</v>
      </c>
      <c r="C639" s="4">
        <f>_xlfn.FORECAST.ETS(A639,$B$2:$B$611,$A$2:$A$611,1,1)</f>
        <v>43.205274003111825</v>
      </c>
      <c r="D639" s="4">
        <f>C639-_xlfn.FORECAST.ETS.CONFINT(A639,$B$2:$B$611,$A$2:$A$611,0.95,1,1)</f>
        <v>-54.594816855831922</v>
      </c>
      <c r="E639" s="4">
        <f>C639+_xlfn.FORECAST.ETS.CONFINT(A639,$B$2:$B$611,$A$2:$A$611,0.95,1,1)</f>
        <v>141.00536486205556</v>
      </c>
    </row>
    <row r="640" spans="1:5" x14ac:dyDescent="0.3">
      <c r="A640" s="4">
        <v>639</v>
      </c>
      <c r="C640" s="4">
        <f>_xlfn.FORECAST.ETS(A640,$B$2:$B$611,$A$2:$A$611,1,1)</f>
        <v>31.095684488491983</v>
      </c>
      <c r="D640" s="4">
        <f>C640-_xlfn.FORECAST.ETS.CONFINT(A640,$B$2:$B$611,$A$2:$A$611,0.95,1,1)</f>
        <v>-66.738688111596559</v>
      </c>
      <c r="E640" s="4">
        <f>C640+_xlfn.FORECAST.ETS.CONFINT(A640,$B$2:$B$611,$A$2:$A$611,0.95,1,1)</f>
        <v>128.93005708858053</v>
      </c>
    </row>
    <row r="641" spans="1:5" x14ac:dyDescent="0.3">
      <c r="A641" s="4">
        <v>640</v>
      </c>
      <c r="C641" s="4">
        <f>_xlfn.FORECAST.ETS(A641,$B$2:$B$611,$A$2:$A$611,1,1)</f>
        <v>20.31638927166145</v>
      </c>
      <c r="D641" s="4">
        <f>C641-_xlfn.FORECAST.ETS.CONFINT(A641,$B$2:$B$611,$A$2:$A$611,0.95,1,1)</f>
        <v>-77.554575353374815</v>
      </c>
      <c r="E641" s="4">
        <f>C641+_xlfn.FORECAST.ETS.CONFINT(A641,$B$2:$B$611,$A$2:$A$611,0.95,1,1)</f>
        <v>118.18735389669772</v>
      </c>
    </row>
    <row r="642" spans="1:5" x14ac:dyDescent="0.3">
      <c r="A642" s="4">
        <v>641</v>
      </c>
      <c r="C642" s="4">
        <f>_xlfn.FORECAST.ETS(A642,$B$2:$B$611,$A$2:$A$611,1,1)</f>
        <v>5.4916009358351516</v>
      </c>
      <c r="D642" s="4">
        <f>C642-_xlfn.FORECAST.ETS.CONFINT(A642,$B$2:$B$611,$A$2:$A$611,0.95,1,1)</f>
        <v>-92.41833951721442</v>
      </c>
      <c r="E642" s="4">
        <f>C642+_xlfn.FORECAST.ETS.CONFINT(A642,$B$2:$B$611,$A$2:$A$611,0.95,1,1)</f>
        <v>103.40154138888472</v>
      </c>
    </row>
    <row r="643" spans="1:5" x14ac:dyDescent="0.3">
      <c r="A643" s="4">
        <v>642</v>
      </c>
      <c r="C643" s="4">
        <f>_xlfn.FORECAST.ETS(A643,$B$2:$B$611,$A$2:$A$611,1,1)</f>
        <v>-2.3445020158756691</v>
      </c>
      <c r="D643" s="4">
        <f>C643-_xlfn.FORECAST.ETS.CONFINT(A643,$B$2:$B$611,$A$2:$A$611,0.95,1,1)</f>
        <v>-100.29587533173293</v>
      </c>
      <c r="E643" s="4">
        <f>C643+_xlfn.FORECAST.ETS.CONFINT(A643,$B$2:$B$611,$A$2:$A$611,0.95,1,1)</f>
        <v>95.606871299981577</v>
      </c>
    </row>
    <row r="644" spans="1:5" x14ac:dyDescent="0.3">
      <c r="A644" s="4">
        <v>643</v>
      </c>
      <c r="C644" s="4">
        <f>_xlfn.FORECAST.ETS(A644,$B$2:$B$611,$A$2:$A$611,1,1)</f>
        <v>-4.4688841196617446</v>
      </c>
      <c r="D644" s="4">
        <f>C644-_xlfn.FORECAST.ETS.CONFINT(A644,$B$2:$B$611,$A$2:$A$611,0.95,1,1)</f>
        <v>-102.46422025980104</v>
      </c>
      <c r="E644" s="4">
        <f>C644+_xlfn.FORECAST.ETS.CONFINT(A644,$B$2:$B$611,$A$2:$A$611,0.95,1,1)</f>
        <v>93.526452020477564</v>
      </c>
    </row>
    <row r="645" spans="1:5" x14ac:dyDescent="0.3">
      <c r="A645" s="4">
        <v>644</v>
      </c>
      <c r="C645" s="4">
        <f>_xlfn.FORECAST.ETS(A645,$B$2:$B$611,$A$2:$A$611,1,1)</f>
        <v>-7.8326440622855884</v>
      </c>
      <c r="D645" s="4">
        <f>C645-_xlfn.FORECAST.ETS.CONFINT(A645,$B$2:$B$611,$A$2:$A$611,0.95,1,1)</f>
        <v>-105.87454559191079</v>
      </c>
      <c r="E645" s="4">
        <f>C645+_xlfn.FORECAST.ETS.CONFINT(A645,$B$2:$B$611,$A$2:$A$611,0.95,1,1)</f>
        <v>90.209257467339626</v>
      </c>
    </row>
    <row r="646" spans="1:5" x14ac:dyDescent="0.3">
      <c r="A646" s="4">
        <v>645</v>
      </c>
      <c r="C646" s="4">
        <f>_xlfn.FORECAST.ETS(A646,$B$2:$B$611,$A$2:$A$611,1,1)</f>
        <v>-5.3216843471457551</v>
      </c>
      <c r="D646" s="4">
        <f>C646-_xlfn.FORECAST.ETS.CONFINT(A646,$B$2:$B$611,$A$2:$A$611,0.95,1,1)</f>
        <v>-103.41282609396998</v>
      </c>
      <c r="E646" s="4">
        <f>C646+_xlfn.FORECAST.ETS.CONFINT(A646,$B$2:$B$611,$A$2:$A$611,0.95,1,1)</f>
        <v>92.769457399678487</v>
      </c>
    </row>
    <row r="647" spans="1:5" x14ac:dyDescent="0.3">
      <c r="A647" s="4">
        <v>646</v>
      </c>
      <c r="C647" s="4">
        <f>_xlfn.FORECAST.ETS(A647,$B$2:$B$611,$A$2:$A$611,1,1)</f>
        <v>6.1126033128906414</v>
      </c>
      <c r="D647" s="4">
        <f>C647-_xlfn.FORECAST.ETS.CONFINT(A647,$B$2:$B$611,$A$2:$A$611,0.95,1,1)</f>
        <v>-92.030525381516924</v>
      </c>
      <c r="E647" s="4">
        <f>C647+_xlfn.FORECAST.ETS.CONFINT(A647,$B$2:$B$611,$A$2:$A$611,0.95,1,1)</f>
        <v>104.25573200729821</v>
      </c>
    </row>
    <row r="648" spans="1:5" x14ac:dyDescent="0.3">
      <c r="A648" s="4">
        <v>647</v>
      </c>
      <c r="C648" s="4">
        <f>_xlfn.FORECAST.ETS(A648,$B$2:$B$611,$A$2:$A$611,1,1)</f>
        <v>36.723020461212514</v>
      </c>
      <c r="D648" s="4">
        <f>C648-_xlfn.FORECAST.ETS.CONFINT(A648,$B$2:$B$611,$A$2:$A$611,0.95,1,1)</f>
        <v>-61.474913435050297</v>
      </c>
      <c r="E648" s="4">
        <f>C648+_xlfn.FORECAST.ETS.CONFINT(A648,$B$2:$B$611,$A$2:$A$611,0.95,1,1)</f>
        <v>134.92095435747532</v>
      </c>
    </row>
    <row r="649" spans="1:5" x14ac:dyDescent="0.3">
      <c r="A649" s="4">
        <v>648</v>
      </c>
      <c r="C649" s="4">
        <f>_xlfn.FORECAST.ETS(A649,$B$2:$B$611,$A$2:$A$611,1,1)</f>
        <v>78.738349280660458</v>
      </c>
      <c r="D649" s="4">
        <f>C649-_xlfn.FORECAST.ETS.CONFINT(A649,$B$2:$B$611,$A$2:$A$611,0.95,1,1)</f>
        <v>-19.517279197582297</v>
      </c>
      <c r="E649" s="4">
        <f>C649+_xlfn.FORECAST.ETS.CONFINT(A649,$B$2:$B$611,$A$2:$A$611,0.95,1,1)</f>
        <v>176.99397775890321</v>
      </c>
    </row>
    <row r="650" spans="1:5" x14ac:dyDescent="0.3">
      <c r="A650" s="4">
        <v>649</v>
      </c>
      <c r="C650" s="4">
        <f>_xlfn.FORECAST.ETS(A650,$B$2:$B$611,$A$2:$A$611,1,1)</f>
        <v>103.12290162712455</v>
      </c>
      <c r="D650" s="4">
        <f>C650-_xlfn.FORECAST.ETS.CONFINT(A650,$B$2:$B$611,$A$2:$A$611,0.95,1,1)</f>
        <v>4.8066184784941015</v>
      </c>
      <c r="E650" s="4">
        <f>C650+_xlfn.FORECAST.ETS.CONFINT(A650,$B$2:$B$611,$A$2:$A$611,0.95,1,1)</f>
        <v>201.439184775755</v>
      </c>
    </row>
    <row r="651" spans="1:5" x14ac:dyDescent="0.3">
      <c r="A651" s="4">
        <v>650</v>
      </c>
      <c r="C651" s="4">
        <f>_xlfn.FORECAST.ETS(A651,$B$2:$B$611,$A$2:$A$611,1,1)</f>
        <v>63.684813224117576</v>
      </c>
      <c r="D651" s="4">
        <f>C651-_xlfn.FORECAST.ETS.CONFINT(A651,$B$2:$B$611,$A$2:$A$611,0.95,1,1)</f>
        <v>-34.695154954226851</v>
      </c>
      <c r="E651" s="4">
        <f>C651+_xlfn.FORECAST.ETS.CONFINT(A651,$B$2:$B$611,$A$2:$A$611,0.95,1,1)</f>
        <v>162.06478140246202</v>
      </c>
    </row>
    <row r="652" spans="1:5" x14ac:dyDescent="0.3">
      <c r="A652" s="4">
        <v>651</v>
      </c>
      <c r="C652" s="4">
        <f>_xlfn.FORECAST.ETS(A652,$B$2:$B$611,$A$2:$A$611,1,1)</f>
        <v>41.956939077913084</v>
      </c>
      <c r="D652" s="4">
        <f>C652-_xlfn.FORECAST.ETS.CONFINT(A652,$B$2:$B$611,$A$2:$A$611,0.95,1,1)</f>
        <v>-56.48981430299461</v>
      </c>
      <c r="E652" s="4">
        <f>C652+_xlfn.FORECAST.ETS.CONFINT(A652,$B$2:$B$611,$A$2:$A$611,0.95,1,1)</f>
        <v>140.40369245882079</v>
      </c>
    </row>
    <row r="653" spans="1:5" x14ac:dyDescent="0.3">
      <c r="A653" s="4">
        <v>652</v>
      </c>
      <c r="C653" s="4">
        <f>_xlfn.FORECAST.ETS(A653,$B$2:$B$611,$A$2:$A$611,1,1)</f>
        <v>39.707169233249061</v>
      </c>
      <c r="D653" s="4">
        <f>C653-_xlfn.FORECAST.ETS.CONFINT(A653,$B$2:$B$611,$A$2:$A$611,0.95,1,1)</f>
        <v>-58.809538858956813</v>
      </c>
      <c r="E653" s="4">
        <f>C653+_xlfn.FORECAST.ETS.CONFINT(A653,$B$2:$B$611,$A$2:$A$611,0.95,1,1)</f>
        <v>138.22387732545494</v>
      </c>
    </row>
    <row r="654" spans="1:5" x14ac:dyDescent="0.3">
      <c r="A654" s="4">
        <v>653</v>
      </c>
      <c r="C654" s="4">
        <f>_xlfn.FORECAST.ETS(A654,$B$2:$B$611,$A$2:$A$611,1,1)</f>
        <v>33.924678421132541</v>
      </c>
      <c r="D654" s="4">
        <f>C654-_xlfn.FORECAST.ETS.CONFINT(A654,$B$2:$B$611,$A$2:$A$611,0.95,1,1)</f>
        <v>-64.665222728927588</v>
      </c>
      <c r="E654" s="4">
        <f>C654+_xlfn.FORECAST.ETS.CONFINT(A654,$B$2:$B$611,$A$2:$A$611,0.95,1,1)</f>
        <v>132.51457957119266</v>
      </c>
    </row>
    <row r="655" spans="1:5" x14ac:dyDescent="0.3">
      <c r="A655" s="4">
        <v>654</v>
      </c>
      <c r="C655" s="4">
        <f>_xlfn.FORECAST.ETS(A655,$B$2:$B$611,$A$2:$A$611,1,1)</f>
        <v>33.203786067919594</v>
      </c>
      <c r="D655" s="4">
        <f>C655-_xlfn.FORECAST.ETS.CONFINT(A655,$B$2:$B$611,$A$2:$A$611,0.95,1,1)</f>
        <v>-65.4626148057216</v>
      </c>
      <c r="E655" s="4">
        <f>C655+_xlfn.FORECAST.ETS.CONFINT(A655,$B$2:$B$611,$A$2:$A$611,0.95,1,1)</f>
        <v>131.8701869415608</v>
      </c>
    </row>
    <row r="656" spans="1:5" x14ac:dyDescent="0.3">
      <c r="A656" s="4">
        <v>655</v>
      </c>
      <c r="C656" s="4">
        <f>_xlfn.FORECAST.ETS(A656,$B$2:$B$611,$A$2:$A$611,1,1)</f>
        <v>37.536590324946872</v>
      </c>
      <c r="D656" s="4">
        <f>C656-_xlfn.FORECAST.ETS.CONFINT(A656,$B$2:$B$611,$A$2:$A$611,0.95,1,1)</f>
        <v>-61.209684717805246</v>
      </c>
      <c r="E656" s="4">
        <f>C656+_xlfn.FORECAST.ETS.CONFINT(A656,$B$2:$B$611,$A$2:$A$611,0.95,1,1)</f>
        <v>136.282865367699</v>
      </c>
    </row>
    <row r="657" spans="1:5" x14ac:dyDescent="0.3">
      <c r="A657" s="4">
        <v>656</v>
      </c>
      <c r="C657" s="4">
        <f>_xlfn.FORECAST.ETS(A657,$B$2:$B$611,$A$2:$A$611,1,1)</f>
        <v>41.437214060650874</v>
      </c>
      <c r="D657" s="4">
        <f>C657-_xlfn.FORECAST.ETS.CONFINT(A657,$B$2:$B$611,$A$2:$A$611,0.95,1,1)</f>
        <v>-57.392376816356261</v>
      </c>
      <c r="E657" s="4">
        <f>C657+_xlfn.FORECAST.ETS.CONFINT(A657,$B$2:$B$611,$A$2:$A$611,0.95,1,1)</f>
        <v>140.26680493765801</v>
      </c>
    </row>
    <row r="658" spans="1:5" x14ac:dyDescent="0.3">
      <c r="A658" s="4">
        <v>657</v>
      </c>
      <c r="C658" s="4">
        <f>_xlfn.FORECAST.ETS(A658,$B$2:$B$611,$A$2:$A$611,1,1)</f>
        <v>92.139199306116836</v>
      </c>
      <c r="D658" s="4">
        <f>C658-_xlfn.FORECAST.ETS.CONFINT(A658,$B$2:$B$611,$A$2:$A$611,0.95,1,1)</f>
        <v>-17.428664362363492</v>
      </c>
      <c r="E658" s="4">
        <f>C658+_xlfn.FORECAST.ETS.CONFINT(A658,$B$2:$B$611,$A$2:$A$611,0.95,1,1)</f>
        <v>201.70706297459716</v>
      </c>
    </row>
    <row r="659" spans="1:5" x14ac:dyDescent="0.3">
      <c r="A659" s="4">
        <v>658</v>
      </c>
      <c r="C659" s="4">
        <f>_xlfn.FORECAST.ETS(A659,$B$2:$B$611,$A$2:$A$611,1,1)</f>
        <v>117.20176009001665</v>
      </c>
      <c r="D659" s="4">
        <f>C659-_xlfn.FORECAST.ETS.CONFINT(A659,$B$2:$B$611,$A$2:$A$611,0.95,1,1)</f>
        <v>7.5522789808325541</v>
      </c>
      <c r="E659" s="4">
        <f>C659+_xlfn.FORECAST.ETS.CONFINT(A659,$B$2:$B$611,$A$2:$A$611,0.95,1,1)</f>
        <v>226.85124119920073</v>
      </c>
    </row>
    <row r="660" spans="1:5" x14ac:dyDescent="0.3">
      <c r="A660" s="4">
        <v>659</v>
      </c>
      <c r="C660" s="4">
        <f>_xlfn.FORECAST.ETS(A660,$B$2:$B$611,$A$2:$A$611,1,1)</f>
        <v>101.01805250067102</v>
      </c>
      <c r="D660" s="4">
        <f>C660-_xlfn.FORECAST.ETS.CONFINT(A660,$B$2:$B$611,$A$2:$A$611,0.95,1,1)</f>
        <v>-8.7163468554827119</v>
      </c>
      <c r="E660" s="4">
        <f>C660+_xlfn.FORECAST.ETS.CONFINT(A660,$B$2:$B$611,$A$2:$A$611,0.95,1,1)</f>
        <v>210.75245185682473</v>
      </c>
    </row>
    <row r="661" spans="1:5" x14ac:dyDescent="0.3">
      <c r="A661" s="4">
        <v>660</v>
      </c>
      <c r="C661" s="4">
        <f>_xlfn.FORECAST.ETS(A661,$B$2:$B$611,$A$2:$A$611,1,1)</f>
        <v>75.93004680064287</v>
      </c>
      <c r="D661" s="4">
        <f>C661-_xlfn.FORECAST.ETS.CONFINT(A661,$B$2:$B$611,$A$2:$A$611,0.95,1,1)</f>
        <v>-33.89263180563529</v>
      </c>
      <c r="E661" s="4">
        <f>C661+_xlfn.FORECAST.ETS.CONFINT(A661,$B$2:$B$611,$A$2:$A$611,0.95,1,1)</f>
        <v>185.75272540692103</v>
      </c>
    </row>
    <row r="662" spans="1:5" x14ac:dyDescent="0.3">
      <c r="A662" s="4">
        <v>661</v>
      </c>
      <c r="C662" s="4">
        <f>_xlfn.FORECAST.ETS(A662,$B$2:$B$611,$A$2:$A$611,1,1)</f>
        <v>43.423881033437262</v>
      </c>
      <c r="D662" s="4">
        <f>C662-_xlfn.FORECAST.ETS.CONFINT(A662,$B$2:$B$611,$A$2:$A$611,0.95,1,1)</f>
        <v>-66.490497524943578</v>
      </c>
      <c r="E662" s="4">
        <f>C662+_xlfn.FORECAST.ETS.CONFINT(A662,$B$2:$B$611,$A$2:$A$611,0.95,1,1)</f>
        <v>153.33825959181809</v>
      </c>
    </row>
    <row r="663" spans="1:5" x14ac:dyDescent="0.3">
      <c r="A663" s="4">
        <v>662</v>
      </c>
      <c r="C663" s="4">
        <f>_xlfn.FORECAST.ETS(A663,$B$2:$B$611,$A$2:$A$611,1,1)</f>
        <v>31.314291518817427</v>
      </c>
      <c r="D663" s="4">
        <f>C663-_xlfn.FORECAST.ETS.CONFINT(A663,$B$2:$B$611,$A$2:$A$611,0.95,1,1)</f>
        <v>-78.695266878001064</v>
      </c>
      <c r="E663" s="4">
        <f>C663+_xlfn.FORECAST.ETS.CONFINT(A663,$B$2:$B$611,$A$2:$A$611,0.95,1,1)</f>
        <v>141.32384991563592</v>
      </c>
    </row>
    <row r="664" spans="1:5" x14ac:dyDescent="0.3">
      <c r="A664" s="4">
        <v>663</v>
      </c>
      <c r="C664" s="4">
        <f>_xlfn.FORECAST.ETS(A664,$B$2:$B$611,$A$2:$A$611,1,1)</f>
        <v>20.534996301986887</v>
      </c>
      <c r="D664" s="4">
        <f>C664-_xlfn.FORECAST.ETS.CONFINT(A664,$B$2:$B$611,$A$2:$A$611,0.95,1,1)</f>
        <v>-89.573280473092154</v>
      </c>
      <c r="E664" s="4">
        <f>C664+_xlfn.FORECAST.ETS.CONFINT(A664,$B$2:$B$611,$A$2:$A$611,0.95,1,1)</f>
        <v>130.64327307706591</v>
      </c>
    </row>
    <row r="665" spans="1:5" x14ac:dyDescent="0.3">
      <c r="A665" s="4">
        <v>664</v>
      </c>
      <c r="C665" s="4">
        <f>_xlfn.FORECAST.ETS(A665,$B$2:$B$611,$A$2:$A$611,1,1)</f>
        <v>5.7102079661605956</v>
      </c>
      <c r="D665" s="4">
        <f>C665-_xlfn.FORECAST.ETS.CONFINT(A665,$B$2:$B$611,$A$2:$A$611,0.95,1,1)</f>
        <v>-104.50038383323883</v>
      </c>
      <c r="E665" s="4">
        <f>C665+_xlfn.FORECAST.ETS.CONFINT(A665,$B$2:$B$611,$A$2:$A$611,0.95,1,1)</f>
        <v>115.92079976556002</v>
      </c>
    </row>
    <row r="666" spans="1:5" x14ac:dyDescent="0.3">
      <c r="A666" s="4">
        <v>665</v>
      </c>
      <c r="C666" s="4">
        <f>_xlfn.FORECAST.ETS(A666,$B$2:$B$611,$A$2:$A$611,1,1)</f>
        <v>-2.1258949855502323</v>
      </c>
      <c r="D666" s="4">
        <f>C666-_xlfn.FORECAST.ETS.CONFINT(A666,$B$2:$B$611,$A$2:$A$611,0.95,1,1)</f>
        <v>-112.44245599797475</v>
      </c>
      <c r="E666" s="4">
        <f>C666+_xlfn.FORECAST.ETS.CONFINT(A666,$B$2:$B$611,$A$2:$A$611,0.95,1,1)</f>
        <v>108.19066602687428</v>
      </c>
    </row>
    <row r="667" spans="1:5" x14ac:dyDescent="0.3">
      <c r="A667" s="4">
        <v>666</v>
      </c>
      <c r="C667" s="4">
        <f>_xlfn.FORECAST.ETS(A667,$B$2:$B$611,$A$2:$A$611,1,1)</f>
        <v>-4.2502770893363007</v>
      </c>
      <c r="D667" s="4">
        <f>C667-_xlfn.FORECAST.ETS.CONFINT(A667,$B$2:$B$611,$A$2:$A$611,0.95,1,1)</f>
        <v>-114.6765184662637</v>
      </c>
      <c r="E667" s="4">
        <f>C667+_xlfn.FORECAST.ETS.CONFINT(A667,$B$2:$B$611,$A$2:$A$611,0.95,1,1)</f>
        <v>106.17596428759109</v>
      </c>
    </row>
    <row r="668" spans="1:5" x14ac:dyDescent="0.3">
      <c r="A668" s="4">
        <v>667</v>
      </c>
      <c r="C668" s="4">
        <f>_xlfn.FORECAST.ETS(A668,$B$2:$B$611,$A$2:$A$611,1,1)</f>
        <v>-7.6140370319601516</v>
      </c>
      <c r="D668" s="4">
        <f>C668-_xlfn.FORECAST.ETS.CONFINT(A668,$B$2:$B$611,$A$2:$A$611,0.95,1,1)</f>
        <v>-118.15372629157332</v>
      </c>
      <c r="E668" s="4">
        <f>C668+_xlfn.FORECAST.ETS.CONFINT(A668,$B$2:$B$611,$A$2:$A$611,0.95,1,1)</f>
        <v>102.92565222765302</v>
      </c>
    </row>
    <row r="669" spans="1:5" x14ac:dyDescent="0.3">
      <c r="A669" s="4">
        <v>668</v>
      </c>
      <c r="C669" s="4">
        <f>_xlfn.FORECAST.ETS(A669,$B$2:$B$611,$A$2:$A$611,1,1)</f>
        <v>-5.1030773168203183</v>
      </c>
      <c r="D669" s="4">
        <f>C669-_xlfn.FORECAST.ETS.CONFINT(A669,$B$2:$B$611,$A$2:$A$611,0.95,1,1)</f>
        <v>-115.76003773184725</v>
      </c>
      <c r="E669" s="4">
        <f>C669+_xlfn.FORECAST.ETS.CONFINT(A669,$B$2:$B$611,$A$2:$A$611,0.95,1,1)</f>
        <v>105.55388309820661</v>
      </c>
    </row>
    <row r="670" spans="1:5" x14ac:dyDescent="0.3">
      <c r="A670" s="4">
        <v>669</v>
      </c>
      <c r="C670" s="4">
        <f>_xlfn.FORECAST.ETS(A670,$B$2:$B$611,$A$2:$A$611,1,1)</f>
        <v>6.3312103432160782</v>
      </c>
      <c r="D670" s="4">
        <f>C670-_xlfn.FORECAST.ETS.CONFINT(A670,$B$2:$B$611,$A$2:$A$611,0.95,1,1)</f>
        <v>-104.44689962637159</v>
      </c>
      <c r="E670" s="4">
        <f>C670+_xlfn.FORECAST.ETS.CONFINT(A670,$B$2:$B$611,$A$2:$A$611,0.95,1,1)</f>
        <v>117.10932031280373</v>
      </c>
    </row>
    <row r="671" spans="1:5" x14ac:dyDescent="0.3">
      <c r="A671" s="4">
        <v>670</v>
      </c>
      <c r="C671" s="4">
        <f>_xlfn.FORECAST.ETS(A671,$B$2:$B$611,$A$2:$A$611,1,1)</f>
        <v>36.94162749153795</v>
      </c>
      <c r="D671" s="4">
        <f>C671-_xlfn.FORECAST.ETS.CONFINT(A671,$B$2:$B$611,$A$2:$A$611,0.95,1,1)</f>
        <v>-73.961564914231559</v>
      </c>
      <c r="E671" s="4">
        <f>C671+_xlfn.FORECAST.ETS.CONFINT(A671,$B$2:$B$611,$A$2:$A$611,0.95,1,1)</f>
        <v>147.84481989730747</v>
      </c>
    </row>
    <row r="672" spans="1:5" x14ac:dyDescent="0.3">
      <c r="A672" s="4">
        <v>671</v>
      </c>
      <c r="C672" s="4">
        <f>_xlfn.FORECAST.ETS(A672,$B$2:$B$611,$A$2:$A$611,1,1)</f>
        <v>78.956956310985888</v>
      </c>
      <c r="D672" s="4">
        <f>C672-_xlfn.FORECAST.ETS.CONFINT(A672,$B$2:$B$611,$A$2:$A$611,0.95,1,1)</f>
        <v>-32.075305235466018</v>
      </c>
      <c r="E672" s="4">
        <f>C672+_xlfn.FORECAST.ETS.CONFINT(A672,$B$2:$B$611,$A$2:$A$611,0.95,1,1)</f>
        <v>189.98921785743778</v>
      </c>
    </row>
    <row r="673" spans="1:5" x14ac:dyDescent="0.3">
      <c r="A673" s="4">
        <v>672</v>
      </c>
      <c r="C673" s="4">
        <f>_xlfn.FORECAST.ETS(A673,$B$2:$B$611,$A$2:$A$611,1,1)</f>
        <v>103.34150865744999</v>
      </c>
      <c r="D673" s="4">
        <f>C673-_xlfn.FORECAST.ETS.CONFINT(A673,$B$2:$B$611,$A$2:$A$611,0.95,1,1)</f>
        <v>-7.8238618820098083</v>
      </c>
      <c r="E673" s="4">
        <f>C673+_xlfn.FORECAST.ETS.CONFINT(A673,$B$2:$B$611,$A$2:$A$611,0.95,1,1)</f>
        <v>214.50687919690978</v>
      </c>
    </row>
    <row r="674" spans="1:5" x14ac:dyDescent="0.3">
      <c r="A674" s="4">
        <v>673</v>
      </c>
      <c r="C674" s="4">
        <f>_xlfn.FORECAST.ETS(A674,$B$2:$B$611,$A$2:$A$611,1,1)</f>
        <v>63.903420254443006</v>
      </c>
      <c r="D674" s="4">
        <f>C674-_xlfn.FORECAST.ETS.CONFINT(A674,$B$2:$B$611,$A$2:$A$611,0.95,1,1)</f>
        <v>-47.399151587872723</v>
      </c>
      <c r="E674" s="4">
        <f>C674+_xlfn.FORECAST.ETS.CONFINT(A674,$B$2:$B$611,$A$2:$A$611,0.95,1,1)</f>
        <v>175.20599209675873</v>
      </c>
    </row>
    <row r="675" spans="1:5" x14ac:dyDescent="0.3">
      <c r="A675" s="4">
        <v>674</v>
      </c>
      <c r="C675" s="4">
        <f>_xlfn.FORECAST.ETS(A675,$B$2:$B$611,$A$2:$A$611,1,1)</f>
        <v>42.175546108238521</v>
      </c>
      <c r="D675" s="4">
        <f>C675-_xlfn.FORECAST.ETS.CONFINT(A675,$B$2:$B$611,$A$2:$A$611,0.95,1,1)</f>
        <v>-69.268371098985952</v>
      </c>
      <c r="E675" s="4">
        <f>C675+_xlfn.FORECAST.ETS.CONFINT(A675,$B$2:$B$611,$A$2:$A$611,0.95,1,1)</f>
        <v>153.61946331546301</v>
      </c>
    </row>
    <row r="676" spans="1:5" x14ac:dyDescent="0.3">
      <c r="A676" s="4">
        <v>675</v>
      </c>
      <c r="C676" s="4">
        <f>_xlfn.FORECAST.ETS(A676,$B$2:$B$611,$A$2:$A$611,1,1)</f>
        <v>39.925776263574498</v>
      </c>
      <c r="D676" s="4">
        <f>C676-_xlfn.FORECAST.ETS.CONFINT(A676,$B$2:$B$611,$A$2:$A$611,0.95,1,1)</f>
        <v>-71.66368140273724</v>
      </c>
      <c r="E676" s="4">
        <f>C676+_xlfn.FORECAST.ETS.CONFINT(A676,$B$2:$B$611,$A$2:$A$611,0.95,1,1)</f>
        <v>151.51523392988622</v>
      </c>
    </row>
    <row r="677" spans="1:5" x14ac:dyDescent="0.3">
      <c r="A677" s="4">
        <v>676</v>
      </c>
      <c r="C677" s="4">
        <f>_xlfn.FORECAST.ETS(A677,$B$2:$B$611,$A$2:$A$611,1,1)</f>
        <v>34.14328545145797</v>
      </c>
      <c r="D677" s="4">
        <f>C677-_xlfn.FORECAST.ETS.CONFINT(A677,$B$2:$B$611,$A$2:$A$611,0.95,1,1)</f>
        <v>-77.595958065679355</v>
      </c>
      <c r="E677" s="4">
        <f>C677+_xlfn.FORECAST.ETS.CONFINT(A677,$B$2:$B$611,$A$2:$A$611,0.95,1,1)</f>
        <v>145.8825289685953</v>
      </c>
    </row>
    <row r="678" spans="1:5" x14ac:dyDescent="0.3">
      <c r="A678" s="4">
        <v>677</v>
      </c>
      <c r="C678" s="4">
        <f>_xlfn.FORECAST.ETS(A678,$B$2:$B$611,$A$2:$A$611,1,1)</f>
        <v>33.422393098245024</v>
      </c>
      <c r="D678" s="4">
        <f>C678-_xlfn.FORECAST.ETS.CONFINT(A678,$B$2:$B$611,$A$2:$A$611,0.95,1,1)</f>
        <v>-78.470931210258541</v>
      </c>
      <c r="E678" s="4">
        <f>C678+_xlfn.FORECAST.ETS.CONFINT(A678,$B$2:$B$611,$A$2:$A$611,0.95,1,1)</f>
        <v>145.3157174067486</v>
      </c>
    </row>
    <row r="679" spans="1:5" x14ac:dyDescent="0.3">
      <c r="A679" s="4">
        <v>678</v>
      </c>
      <c r="C679" s="4">
        <f>_xlfn.FORECAST.ETS(A679,$B$2:$B$611,$A$2:$A$611,1,1)</f>
        <v>37.755197355272308</v>
      </c>
      <c r="D679" s="4">
        <f>C679-_xlfn.FORECAST.ETS.CONFINT(A679,$B$2:$B$611,$A$2:$A$611,0.95,1,1)</f>
        <v>-74.296551471306543</v>
      </c>
      <c r="E679" s="4">
        <f>C679+_xlfn.FORECAST.ETS.CONFINT(A679,$B$2:$B$611,$A$2:$A$611,0.95,1,1)</f>
        <v>149.80694618185117</v>
      </c>
    </row>
    <row r="680" spans="1:5" x14ac:dyDescent="0.3">
      <c r="A680" s="4">
        <v>679</v>
      </c>
      <c r="C680" s="4">
        <f>_xlfn.FORECAST.ETS(A680,$B$2:$B$611,$A$2:$A$611,1,1)</f>
        <v>41.65582109097631</v>
      </c>
      <c r="D680" s="4">
        <f>C680-_xlfn.FORECAST.ETS.CONFINT(A680,$B$2:$B$611,$A$2:$A$611,0.95,1,1)</f>
        <v>-70.558743990380407</v>
      </c>
      <c r="E680" s="4">
        <f>C680+_xlfn.FORECAST.ETS.CONFINT(A680,$B$2:$B$611,$A$2:$A$611,0.95,1,1)</f>
        <v>153.87038617233301</v>
      </c>
    </row>
    <row r="681" spans="1:5" x14ac:dyDescent="0.3">
      <c r="A681" s="4">
        <v>680</v>
      </c>
      <c r="C681" s="4">
        <f>_xlfn.FORECAST.ETS(A681,$B$2:$B$611,$A$2:$A$611,1,1)</f>
        <v>92.357806336442266</v>
      </c>
      <c r="D681" s="4">
        <f>C681-_xlfn.FORECAST.ETS.CONFINT(A681,$B$2:$B$611,$A$2:$A$611,0.95,1,1)</f>
        <v>-30.205346004432172</v>
      </c>
      <c r="E681" s="4">
        <f>C681+_xlfn.FORECAST.ETS.CONFINT(A681,$B$2:$B$611,$A$2:$A$611,0.95,1,1)</f>
        <v>214.92095867731672</v>
      </c>
    </row>
    <row r="682" spans="1:5" x14ac:dyDescent="0.3">
      <c r="A682" s="4">
        <v>681</v>
      </c>
      <c r="C682" s="4">
        <f>_xlfn.FORECAST.ETS(A682,$B$2:$B$611,$A$2:$A$611,1,1)</f>
        <v>117.42036712034209</v>
      </c>
      <c r="D682" s="4">
        <f>C682-_xlfn.FORECAST.ETS.CONFINT(A682,$B$2:$B$611,$A$2:$A$611,0.95,1,1)</f>
        <v>-5.300278438324014</v>
      </c>
      <c r="E682" s="4">
        <f>C682+_xlfn.FORECAST.ETS.CONFINT(A682,$B$2:$B$611,$A$2:$A$611,0.95,1,1)</f>
        <v>240.14101267900821</v>
      </c>
    </row>
    <row r="683" spans="1:5" x14ac:dyDescent="0.3">
      <c r="A683" s="4">
        <v>682</v>
      </c>
      <c r="C683" s="4">
        <f>_xlfn.FORECAST.ETS(A683,$B$2:$B$611,$A$2:$A$611,1,1)</f>
        <v>101.23665953099646</v>
      </c>
      <c r="D683" s="4">
        <f>C683-_xlfn.FORECAST.ETS.CONFINT(A683,$B$2:$B$611,$A$2:$A$611,0.95,1,1)</f>
        <v>-21.645674037432229</v>
      </c>
      <c r="E683" s="4">
        <f>C683+_xlfn.FORECAST.ETS.CONFINT(A683,$B$2:$B$611,$A$2:$A$611,0.95,1,1)</f>
        <v>224.11899309942515</v>
      </c>
    </row>
    <row r="684" spans="1:5" x14ac:dyDescent="0.3">
      <c r="A684" s="4">
        <v>683</v>
      </c>
      <c r="C684" s="4">
        <f>_xlfn.FORECAST.ETS(A684,$B$2:$B$611,$A$2:$A$611,1,1)</f>
        <v>76.148653830968314</v>
      </c>
      <c r="D684" s="4">
        <f>C684-_xlfn.FORECAST.ETS.CONFINT(A684,$B$2:$B$611,$A$2:$A$611,0.95,1,1)</f>
        <v>-46.899606563677239</v>
      </c>
      <c r="E684" s="4">
        <f>C684+_xlfn.FORECAST.ETS.CONFINT(A684,$B$2:$B$611,$A$2:$A$611,0.95,1,1)</f>
        <v>199.19691422561385</v>
      </c>
    </row>
    <row r="685" spans="1:5" x14ac:dyDescent="0.3">
      <c r="A685" s="4">
        <v>684</v>
      </c>
      <c r="C685" s="4">
        <f>_xlfn.FORECAST.ETS(A685,$B$2:$B$611,$A$2:$A$611,1,1)</f>
        <v>43.642488063762698</v>
      </c>
      <c r="D685" s="4">
        <f>C685-_xlfn.FORECAST.ETS.CONFINT(A685,$B$2:$B$611,$A$2:$A$611,0.95,1,1)</f>
        <v>-79.57598132645964</v>
      </c>
      <c r="E685" s="4">
        <f>C685+_xlfn.FORECAST.ETS.CONFINT(A685,$B$2:$B$611,$A$2:$A$611,0.95,1,1)</f>
        <v>166.86095745398504</v>
      </c>
    </row>
    <row r="686" spans="1:5" x14ac:dyDescent="0.3">
      <c r="A686" s="4">
        <v>685</v>
      </c>
      <c r="C686" s="4">
        <f>_xlfn.FORECAST.ETS(A686,$B$2:$B$611,$A$2:$A$611,1,1)</f>
        <v>31.532898549142864</v>
      </c>
      <c r="D686" s="4">
        <f>C686-_xlfn.FORECAST.ETS.CONFINT(A686,$B$2:$B$611,$A$2:$A$611,0.95,1,1)</f>
        <v>-91.860104676891723</v>
      </c>
      <c r="E686" s="4">
        <f>C686+_xlfn.FORECAST.ETS.CONFINT(A686,$B$2:$B$611,$A$2:$A$611,0.95,1,1)</f>
        <v>154.92590177517746</v>
      </c>
    </row>
    <row r="687" spans="1:5" x14ac:dyDescent="0.3">
      <c r="A687" s="4">
        <v>686</v>
      </c>
      <c r="C687" s="4">
        <f>_xlfn.FORECAST.ETS(A687,$B$2:$B$611,$A$2:$A$611,1,1)</f>
        <v>20.753603332312323</v>
      </c>
      <c r="D687" s="4">
        <f>C687-_xlfn.FORECAST.ETS.CONFINT(A687,$B$2:$B$611,$A$2:$A$611,0.95,1,1)</f>
        <v>-102.81830054845342</v>
      </c>
      <c r="E687" s="4">
        <f>C687+_xlfn.FORECAST.ETS.CONFINT(A687,$B$2:$B$611,$A$2:$A$611,0.95,1,1)</f>
        <v>144.32550721307808</v>
      </c>
    </row>
    <row r="688" spans="1:5" x14ac:dyDescent="0.3">
      <c r="A688" s="4">
        <v>687</v>
      </c>
      <c r="C688" s="4">
        <f>_xlfn.FORECAST.ETS(A688,$B$2:$B$611,$A$2:$A$611,1,1)</f>
        <v>5.9288149964860324</v>
      </c>
      <c r="D688" s="4">
        <f>C688-_xlfn.FORECAST.ETS.CONFINT(A688,$B$2:$B$611,$A$2:$A$611,0.95,1,1)</f>
        <v>-117.82639763456183</v>
      </c>
      <c r="E688" s="4">
        <f>C688+_xlfn.FORECAST.ETS.CONFINT(A688,$B$2:$B$611,$A$2:$A$611,0.95,1,1)</f>
        <v>129.68402762753391</v>
      </c>
    </row>
    <row r="689" spans="1:5" x14ac:dyDescent="0.3">
      <c r="A689" s="4">
        <v>688</v>
      </c>
      <c r="C689" s="4">
        <f>_xlfn.FORECAST.ETS(A689,$B$2:$B$611,$A$2:$A$611,1,1)</f>
        <v>-1.9072879552247954</v>
      </c>
      <c r="D689" s="4">
        <f>C689-_xlfn.FORECAST.ETS.CONFINT(A689,$B$2:$B$611,$A$2:$A$611,0.95,1,1)</f>
        <v>-125.85025799714288</v>
      </c>
      <c r="E689" s="4">
        <f>C689+_xlfn.FORECAST.ETS.CONFINT(A689,$B$2:$B$611,$A$2:$A$611,0.95,1,1)</f>
        <v>122.03568208669327</v>
      </c>
    </row>
    <row r="690" spans="1:5" x14ac:dyDescent="0.3">
      <c r="A690" s="4">
        <v>689</v>
      </c>
      <c r="C690" s="4">
        <f>_xlfn.FORECAST.ETS(A690,$B$2:$B$611,$A$2:$A$611,1,1)</f>
        <v>-4.0316700590108638</v>
      </c>
      <c r="D690" s="4">
        <f>C690-_xlfn.FORECAST.ETS.CONFINT(A690,$B$2:$B$611,$A$2:$A$611,0.95,1,1)</f>
        <v>-128.16688601661349</v>
      </c>
      <c r="E690" s="4">
        <f>C690+_xlfn.FORECAST.ETS.CONFINT(A690,$B$2:$B$611,$A$2:$A$611,0.95,1,1)</f>
        <v>120.10354589859176</v>
      </c>
    </row>
    <row r="691" spans="1:5" x14ac:dyDescent="0.3">
      <c r="A691" s="4">
        <v>690</v>
      </c>
      <c r="C691" s="4">
        <f>_xlfn.FORECAST.ETS(A691,$B$2:$B$611,$A$2:$A$611,1,1)</f>
        <v>-7.3954300016347148</v>
      </c>
      <c r="D691" s="4">
        <f>C691-_xlfn.FORECAST.ETS.CONFINT(A691,$B$2:$B$611,$A$2:$A$611,0.95,1,1)</f>
        <v>-131.72741949427501</v>
      </c>
      <c r="E691" s="4">
        <f>C691+_xlfn.FORECAST.ETS.CONFINT(A691,$B$2:$B$611,$A$2:$A$611,0.95,1,1)</f>
        <v>116.93655949100557</v>
      </c>
    </row>
    <row r="692" spans="1:5" x14ac:dyDescent="0.3">
      <c r="A692" s="4">
        <v>691</v>
      </c>
      <c r="C692" s="4">
        <f>_xlfn.FORECAST.ETS(A692,$B$2:$B$611,$A$2:$A$611,1,1)</f>
        <v>-4.8844702864948815</v>
      </c>
      <c r="D692" s="4">
        <f>C692-_xlfn.FORECAST.ETS.CONFINT(A692,$B$2:$B$611,$A$2:$A$611,0.95,1,1)</f>
        <v>-129.41779930985135</v>
      </c>
      <c r="E692" s="4">
        <f>C692+_xlfn.FORECAST.ETS.CONFINT(A692,$B$2:$B$611,$A$2:$A$611,0.95,1,1)</f>
        <v>119.6488587368616</v>
      </c>
    </row>
    <row r="693" spans="1:5" x14ac:dyDescent="0.3">
      <c r="A693" s="4">
        <v>692</v>
      </c>
      <c r="C693" s="4">
        <f>_xlfn.FORECAST.ETS(A693,$B$2:$B$611,$A$2:$A$611,1,1)</f>
        <v>6.5498173735415151</v>
      </c>
      <c r="D693" s="4">
        <f>C693-_xlfn.FORECAST.ETS.CONFINT(A693,$B$2:$B$611,$A$2:$A$611,0.95,1,1)</f>
        <v>-118.18945480615703</v>
      </c>
      <c r="E693" s="4">
        <f>C693+_xlfn.FORECAST.ETS.CONFINT(A693,$B$2:$B$611,$A$2:$A$611,0.95,1,1)</f>
        <v>131.28908955324005</v>
      </c>
    </row>
    <row r="694" spans="1:5" x14ac:dyDescent="0.3">
      <c r="A694" s="4">
        <v>693</v>
      </c>
      <c r="C694" s="4">
        <f>_xlfn.FORECAST.ETS(A694,$B$2:$B$611,$A$2:$A$611,1,1)</f>
        <v>37.160234521863387</v>
      </c>
      <c r="D694" s="4">
        <f>C694-_xlfn.FORECAST.ETS.CONFINT(A694,$B$2:$B$611,$A$2:$A$611,0.95,1,1)</f>
        <v>-87.789621315579282</v>
      </c>
      <c r="E694" s="4">
        <f>C694+_xlfn.FORECAST.ETS.CONFINT(A694,$B$2:$B$611,$A$2:$A$611,0.95,1,1)</f>
        <v>162.11009035930607</v>
      </c>
    </row>
    <row r="695" spans="1:5" x14ac:dyDescent="0.3">
      <c r="A695" s="4">
        <v>694</v>
      </c>
      <c r="C695" s="4">
        <f>_xlfn.FORECAST.ETS(A695,$B$2:$B$611,$A$2:$A$611,1,1)</f>
        <v>79.175563341311317</v>
      </c>
      <c r="D695" s="4">
        <f>C695-_xlfn.FORECAST.ETS.CONFINT(A695,$B$2:$B$611,$A$2:$A$611,0.95,1,1)</f>
        <v>-45.989552769470819</v>
      </c>
      <c r="E695" s="4">
        <f>C695+_xlfn.FORECAST.ETS.CONFINT(A695,$B$2:$B$611,$A$2:$A$611,0.95,1,1)</f>
        <v>204.34067945209347</v>
      </c>
    </row>
    <row r="696" spans="1:5" x14ac:dyDescent="0.3">
      <c r="A696" s="4">
        <v>695</v>
      </c>
      <c r="C696" s="4">
        <f>_xlfn.FORECAST.ETS(A696,$B$2:$B$611,$A$2:$A$611,1,1)</f>
        <v>103.56011568777544</v>
      </c>
      <c r="D696" s="4">
        <f>C696-_xlfn.FORECAST.ETS.CONFINT(A696,$B$2:$B$611,$A$2:$A$611,0.95,1,1)</f>
        <v>-21.824972657530395</v>
      </c>
      <c r="E696" s="4">
        <f>C696+_xlfn.FORECAST.ETS.CONFINT(A696,$B$2:$B$611,$A$2:$A$611,0.95,1,1)</f>
        <v>228.94520403308127</v>
      </c>
    </row>
    <row r="697" spans="1:5" x14ac:dyDescent="0.3">
      <c r="A697" s="4">
        <v>696</v>
      </c>
      <c r="C697" s="4">
        <f>_xlfn.FORECAST.ETS(A697,$B$2:$B$611,$A$2:$A$611,1,1)</f>
        <v>64.12202728476845</v>
      </c>
      <c r="D697" s="4">
        <f>C697-_xlfn.FORECAST.ETS.CONFINT(A697,$B$2:$B$611,$A$2:$A$611,0.95,1,1)</f>
        <v>-61.487779826607465</v>
      </c>
      <c r="E697" s="4">
        <f>C697+_xlfn.FORECAST.ETS.CONFINT(A697,$B$2:$B$611,$A$2:$A$611,0.95,1,1)</f>
        <v>189.73183439614436</v>
      </c>
    </row>
    <row r="698" spans="1:5" x14ac:dyDescent="0.3">
      <c r="A698" s="4">
        <v>697</v>
      </c>
      <c r="C698" s="4">
        <f>_xlfn.FORECAST.ETS(A698,$B$2:$B$611,$A$2:$A$611,1,1)</f>
        <v>42.394153138563958</v>
      </c>
      <c r="D698" s="4">
        <f>C698-_xlfn.FORECAST.ETS.CONFINT(A698,$B$2:$B$611,$A$2:$A$611,0.95,1,1)</f>
        <v>-83.445153059348456</v>
      </c>
      <c r="E698" s="4">
        <f>C698+_xlfn.FORECAST.ETS.CONFINT(A698,$B$2:$B$611,$A$2:$A$611,0.95,1,1)</f>
        <v>168.23345933647636</v>
      </c>
    </row>
    <row r="699" spans="1:5" x14ac:dyDescent="0.3">
      <c r="A699" s="4">
        <v>698</v>
      </c>
      <c r="C699" s="4">
        <f>_xlfn.FORECAST.ETS(A699,$B$2:$B$611,$A$2:$A$611,1,1)</f>
        <v>40.144383293899942</v>
      </c>
      <c r="D699" s="4">
        <f>C699-_xlfn.FORECAST.ETS.CONFINT(A699,$B$2:$B$611,$A$2:$A$611,0.95,1,1)</f>
        <v>-85.929235312692214</v>
      </c>
      <c r="E699" s="4">
        <f>C699+_xlfn.FORECAST.ETS.CONFINT(A699,$B$2:$B$611,$A$2:$A$611,0.95,1,1)</f>
        <v>166.21800190049208</v>
      </c>
    </row>
    <row r="700" spans="1:5" x14ac:dyDescent="0.3">
      <c r="A700" s="4">
        <v>699</v>
      </c>
      <c r="C700" s="4">
        <f>_xlfn.FORECAST.ETS(A700,$B$2:$B$611,$A$2:$A$611,1,1)</f>
        <v>34.361892481783414</v>
      </c>
      <c r="D700" s="4">
        <f>C700-_xlfn.FORECAST.ETS.CONFINT(A700,$B$2:$B$611,$A$2:$A$611,0.95,1,1)</f>
        <v>-91.950884064685553</v>
      </c>
      <c r="E700" s="4">
        <f>C700+_xlfn.FORECAST.ETS.CONFINT(A700,$B$2:$B$611,$A$2:$A$611,0.95,1,1)</f>
        <v>160.67466902825237</v>
      </c>
    </row>
    <row r="701" spans="1:5" x14ac:dyDescent="0.3">
      <c r="A701" s="4">
        <v>700</v>
      </c>
      <c r="C701" s="4">
        <f>_xlfn.FORECAST.ETS(A701,$B$2:$B$611,$A$2:$A$611,1,1)</f>
        <v>33.641000128570468</v>
      </c>
      <c r="D701" s="4">
        <f>C701-_xlfn.FORECAST.ETS.CONFINT(A701,$B$2:$B$611,$A$2:$A$611,0.95,1,1)</f>
        <v>-92.915811300450699</v>
      </c>
      <c r="E701" s="4">
        <f>C701+_xlfn.FORECAST.ETS.CONFINT(A701,$B$2:$B$611,$A$2:$A$611,0.95,1,1)</f>
        <v>160.19781155759165</v>
      </c>
    </row>
    <row r="702" spans="1:5" x14ac:dyDescent="0.3">
      <c r="A702" s="4">
        <v>701</v>
      </c>
      <c r="C702" s="4">
        <f>_xlfn.FORECAST.ETS(A702,$B$2:$B$611,$A$2:$A$611,1,1)</f>
        <v>37.973804385597745</v>
      </c>
      <c r="D702" s="4">
        <f>C702-_xlfn.FORECAST.ETS.CONFINT(A702,$B$2:$B$611,$A$2:$A$611,0.95,1,1)</f>
        <v>-88.831949478033991</v>
      </c>
      <c r="E702" s="4">
        <f>C702+_xlfn.FORECAST.ETS.CONFINT(A702,$B$2:$B$611,$A$2:$A$611,0.95,1,1)</f>
        <v>164.77955824922947</v>
      </c>
    </row>
    <row r="703" spans="1:5" x14ac:dyDescent="0.3">
      <c r="A703" s="4">
        <v>702</v>
      </c>
      <c r="C703" s="4">
        <f>_xlfn.FORECAST.ETS(A703,$B$2:$B$611,$A$2:$A$611,1,1)</f>
        <v>41.874428121301754</v>
      </c>
      <c r="D703" s="4">
        <f>C703-_xlfn.FORECAST.ETS.CONFINT(A703,$B$2:$B$611,$A$2:$A$611,0.95,1,1)</f>
        <v>-85.185205532204577</v>
      </c>
      <c r="E703" s="4">
        <f>C703+_xlfn.FORECAST.ETS.CONFINT(A703,$B$2:$B$611,$A$2:$A$611,0.95,1,1)</f>
        <v>168.9340617748081</v>
      </c>
    </row>
    <row r="704" spans="1:5" x14ac:dyDescent="0.3">
      <c r="A704" s="4">
        <v>703</v>
      </c>
      <c r="C704" s="4">
        <f>_xlfn.FORECAST.ETS(A704,$B$2:$B$611,$A$2:$A$611,1,1)</f>
        <v>92.576413366767696</v>
      </c>
      <c r="D704" s="4">
        <f>C704-_xlfn.FORECAST.ETS.CONFINT(A704,$B$2:$B$611,$A$2:$A$611,0.95,1,1)</f>
        <v>-44.439794673026853</v>
      </c>
      <c r="E704" s="4">
        <f>C704+_xlfn.FORECAST.ETS.CONFINT(A704,$B$2:$B$611,$A$2:$A$611,0.95,1,1)</f>
        <v>229.59262140656224</v>
      </c>
    </row>
    <row r="705" spans="1:5" x14ac:dyDescent="0.3">
      <c r="A705" s="4">
        <v>704</v>
      </c>
      <c r="C705" s="4">
        <f>_xlfn.FORECAST.ETS(A705,$B$2:$B$611,$A$2:$A$611,1,1)</f>
        <v>117.63897415066754</v>
      </c>
      <c r="D705" s="4">
        <f>C705-_xlfn.FORECAST.ETS.CONFINT(A705,$B$2:$B$611,$A$2:$A$611,0.95,1,1)</f>
        <v>-19.622435076043871</v>
      </c>
      <c r="E705" s="4">
        <f>C705+_xlfn.FORECAST.ETS.CONFINT(A705,$B$2:$B$611,$A$2:$A$611,0.95,1,1)</f>
        <v>254.90038337737894</v>
      </c>
    </row>
    <row r="706" spans="1:5" x14ac:dyDescent="0.3">
      <c r="A706" s="4">
        <v>705</v>
      </c>
      <c r="C706" s="4">
        <f>_xlfn.FORECAST.ETS(A706,$B$2:$B$611,$A$2:$A$611,1,1)</f>
        <v>101.45526656132191</v>
      </c>
      <c r="D706" s="4">
        <f>C706-_xlfn.FORECAST.ETS.CONFINT(A706,$B$2:$B$611,$A$2:$A$611,0.95,1,1)</f>
        <v>-36.056081948043897</v>
      </c>
      <c r="E706" s="4">
        <f>C706+_xlfn.FORECAST.ETS.CONFINT(A706,$B$2:$B$611,$A$2:$A$611,0.95,1,1)</f>
        <v>238.96661507068771</v>
      </c>
    </row>
    <row r="707" spans="1:5" x14ac:dyDescent="0.3">
      <c r="A707" s="4">
        <v>706</v>
      </c>
      <c r="C707" s="4">
        <f>_xlfn.FORECAST.ETS(A707,$B$2:$B$611,$A$2:$A$611,1,1)</f>
        <v>76.367260861293744</v>
      </c>
      <c r="D707" s="4">
        <f>C707-_xlfn.FORECAST.ETS.CONFINT(A707,$B$2:$B$611,$A$2:$A$611,0.95,1,1)</f>
        <v>-61.39879332929587</v>
      </c>
      <c r="E707" s="4">
        <f>C707+_xlfn.FORECAST.ETS.CONFINT(A707,$B$2:$B$611,$A$2:$A$611,0.95,1,1)</f>
        <v>214.13331505188336</v>
      </c>
    </row>
    <row r="708" spans="1:5" x14ac:dyDescent="0.3">
      <c r="A708" s="4">
        <v>707</v>
      </c>
      <c r="C708" s="4">
        <f>_xlfn.FORECAST.ETS(A708,$B$2:$B$611,$A$2:$A$611,1,1)</f>
        <v>43.861095094088135</v>
      </c>
      <c r="D708" s="4">
        <f>C708-_xlfn.FORECAST.ETS.CONFINT(A708,$B$2:$B$611,$A$2:$A$611,0.95,1,1)</f>
        <v>-94.164458778370545</v>
      </c>
      <c r="E708" s="4">
        <f>C708+_xlfn.FORECAST.ETS.CONFINT(A708,$B$2:$B$611,$A$2:$A$611,0.95,1,1)</f>
        <v>181.88664896654683</v>
      </c>
    </row>
    <row r="709" spans="1:5" x14ac:dyDescent="0.3">
      <c r="A709" s="4">
        <v>708</v>
      </c>
      <c r="C709" s="4">
        <f>_xlfn.FORECAST.ETS(A709,$B$2:$B$611,$A$2:$A$611,1,1)</f>
        <v>31.751505579468301</v>
      </c>
      <c r="D709" s="4">
        <f>C709-_xlfn.FORECAST.ETS.CONFINT(A709,$B$2:$B$611,$A$2:$A$611,0.95,1,1)</f>
        <v>-106.53836887373765</v>
      </c>
      <c r="E709" s="4">
        <f>C709+_xlfn.FORECAST.ETS.CONFINT(A709,$B$2:$B$611,$A$2:$A$611,0.95,1,1)</f>
        <v>170.04138003267425</v>
      </c>
    </row>
    <row r="710" spans="1:5" x14ac:dyDescent="0.3">
      <c r="A710" s="4">
        <v>709</v>
      </c>
      <c r="C710" s="4">
        <f>_xlfn.FORECAST.ETS(A710,$B$2:$B$611,$A$2:$A$611,1,1)</f>
        <v>20.97221036263776</v>
      </c>
      <c r="D710" s="4">
        <f>C710-_xlfn.FORECAST.ETS.CONFINT(A710,$B$2:$B$611,$A$2:$A$611,0.95,1,1)</f>
        <v>-117.5868317618426</v>
      </c>
      <c r="E710" s="4">
        <f>C710+_xlfn.FORECAST.ETS.CONFINT(A710,$B$2:$B$611,$A$2:$A$611,0.95,1,1)</f>
        <v>159.53125248711811</v>
      </c>
    </row>
    <row r="711" spans="1:5" x14ac:dyDescent="0.3">
      <c r="A711" s="4">
        <v>710</v>
      </c>
      <c r="C711" s="4">
        <f>_xlfn.FORECAST.ETS(A711,$B$2:$B$611,$A$2:$A$611,1,1)</f>
        <v>6.1474220268114692</v>
      </c>
      <c r="D711" s="4">
        <f>C711-_xlfn.FORECAST.ETS.CONFINT(A711,$B$2:$B$611,$A$2:$A$611,0.95,1,1)</f>
        <v>-132.68566034214263</v>
      </c>
      <c r="E711" s="4">
        <f>C711+_xlfn.FORECAST.ETS.CONFINT(A711,$B$2:$B$611,$A$2:$A$611,0.95,1,1)</f>
        <v>144.98050439576559</v>
      </c>
    </row>
    <row r="712" spans="1:5" x14ac:dyDescent="0.3">
      <c r="A712" s="4">
        <v>711</v>
      </c>
      <c r="C712" s="4">
        <f>_xlfn.FORECAST.ETS(A712,$B$2:$B$611,$A$2:$A$611,1,1)</f>
        <v>-1.6886809248993586</v>
      </c>
      <c r="D712" s="4">
        <f>C712-_xlfn.FORECAST.ETS.CONFINT(A712,$B$2:$B$611,$A$2:$A$611,0.95,1,1)</f>
        <v>-140.80070088317947</v>
      </c>
      <c r="E712" s="4">
        <f>C712+_xlfn.FORECAST.ETS.CONFINT(A712,$B$2:$B$611,$A$2:$A$611,0.95,1,1)</f>
        <v>137.42333903338076</v>
      </c>
    </row>
    <row r="713" spans="1:5" x14ac:dyDescent="0.3">
      <c r="A713" s="4">
        <v>712</v>
      </c>
      <c r="C713" s="4">
        <f>_xlfn.FORECAST.ETS(A713,$B$2:$B$611,$A$2:$A$611,1,1)</f>
        <v>-3.813063028685427</v>
      </c>
      <c r="D713" s="4">
        <f>C713-_xlfn.FORECAST.ETS.CONFINT(A713,$B$2:$B$611,$A$2:$A$611,0.95,1,1)</f>
        <v>-143.20894198008605</v>
      </c>
      <c r="E713" s="4">
        <f>C713+_xlfn.FORECAST.ETS.CONFINT(A713,$B$2:$B$611,$A$2:$A$611,0.95,1,1)</f>
        <v>135.58281592271518</v>
      </c>
    </row>
    <row r="714" spans="1:5" x14ac:dyDescent="0.3">
      <c r="A714" s="4">
        <v>713</v>
      </c>
      <c r="C714" s="4">
        <f>_xlfn.FORECAST.ETS(A714,$B$2:$B$611,$A$2:$A$611,1,1)</f>
        <v>-7.1768229713092779</v>
      </c>
      <c r="D714" s="4">
        <f>C714-_xlfn.FORECAST.ETS.CONFINT(A714,$B$2:$B$611,$A$2:$A$611,0.95,1,1)</f>
        <v>-146.86150566451755</v>
      </c>
      <c r="E714" s="4">
        <f>C714+_xlfn.FORECAST.ETS.CONFINT(A714,$B$2:$B$611,$A$2:$A$611,0.95,1,1)</f>
        <v>132.50785972189897</v>
      </c>
    </row>
    <row r="715" spans="1:5" x14ac:dyDescent="0.3">
      <c r="A715" s="4">
        <v>714</v>
      </c>
      <c r="C715" s="4">
        <f>_xlfn.FORECAST.ETS(A715,$B$2:$B$611,$A$2:$A$611,1,1)</f>
        <v>-4.6658632561694446</v>
      </c>
      <c r="D715" s="4">
        <f>C715-_xlfn.FORECAST.ETS.CONFINT(A715,$B$2:$B$611,$A$2:$A$611,0.95,1,1)</f>
        <v>-144.64431706972877</v>
      </c>
      <c r="E715" s="4">
        <f>C715+_xlfn.FORECAST.ETS.CONFINT(A715,$B$2:$B$611,$A$2:$A$611,0.95,1,1)</f>
        <v>135.31259055738988</v>
      </c>
    </row>
    <row r="716" spans="1:5" x14ac:dyDescent="0.3">
      <c r="A716" s="4">
        <v>715</v>
      </c>
      <c r="C716" s="4">
        <f>_xlfn.FORECAST.ETS(A716,$B$2:$B$611,$A$2:$A$611,1,1)</f>
        <v>6.768424403866959</v>
      </c>
      <c r="D716" s="4">
        <f>C716-_xlfn.FORECAST.ETS.CONFINT(A716,$B$2:$B$611,$A$2:$A$611,0.95,1,1)</f>
        <v>-133.508789822773</v>
      </c>
      <c r="E716" s="4">
        <f>C716+_xlfn.FORECAST.ETS.CONFINT(A716,$B$2:$B$611,$A$2:$A$611,0.95,1,1)</f>
        <v>147.04563863050691</v>
      </c>
    </row>
    <row r="717" spans="1:5" x14ac:dyDescent="0.3">
      <c r="A717" s="4">
        <v>716</v>
      </c>
      <c r="C717" s="4">
        <f>_xlfn.FORECAST.ETS(A717,$B$2:$B$611,$A$2:$A$611,1,1)</f>
        <v>37.378841552188824</v>
      </c>
      <c r="D717" s="4">
        <f>C717-_xlfn.FORECAST.ETS.CONFINT(A717,$B$2:$B$611,$A$2:$A$611,0.95,1,1)</f>
        <v>-103.20214357849497</v>
      </c>
      <c r="E717" s="4">
        <f>C717+_xlfn.FORECAST.ETS.CONFINT(A717,$B$2:$B$611,$A$2:$A$611,0.95,1,1)</f>
        <v>177.9598266828726</v>
      </c>
    </row>
    <row r="718" spans="1:5" x14ac:dyDescent="0.3">
      <c r="A718" s="4">
        <v>717</v>
      </c>
      <c r="C718" s="4">
        <f>_xlfn.FORECAST.ETS(A718,$B$2:$B$611,$A$2:$A$611,1,1)</f>
        <v>79.394170371636761</v>
      </c>
      <c r="D718" s="4">
        <f>C718-_xlfn.FORECAST.ETS.CONFINT(A718,$B$2:$B$611,$A$2:$A$611,0.95,1,1)</f>
        <v>-61.495616636404009</v>
      </c>
      <c r="E718" s="4">
        <f>C718+_xlfn.FORECAST.ETS.CONFINT(A718,$B$2:$B$611,$A$2:$A$611,0.95,1,1)</f>
        <v>220.28395737967753</v>
      </c>
    </row>
    <row r="719" spans="1:5" x14ac:dyDescent="0.3">
      <c r="A719" s="4">
        <v>718</v>
      </c>
      <c r="C719" s="4">
        <f>_xlfn.FORECAST.ETS(A719,$B$2:$B$611,$A$2:$A$611,1,1)</f>
        <v>103.77872271810087</v>
      </c>
      <c r="D719" s="4">
        <f>C719-_xlfn.FORECAST.ETS.CONFINT(A719,$B$2:$B$611,$A$2:$A$611,0.95,1,1)</f>
        <v>-37.424916907494222</v>
      </c>
      <c r="E719" s="4">
        <f>C719+_xlfn.FORECAST.ETS.CONFINT(A719,$B$2:$B$611,$A$2:$A$611,0.95,1,1)</f>
        <v>244.98236234369597</v>
      </c>
    </row>
    <row r="720" spans="1:5" x14ac:dyDescent="0.3">
      <c r="A720" s="4">
        <v>719</v>
      </c>
      <c r="C720" s="4">
        <f>_xlfn.FORECAST.ETS(A720,$B$2:$B$611,$A$2:$A$611,1,1)</f>
        <v>64.340634315093894</v>
      </c>
      <c r="D720" s="4">
        <f>C720-_xlfn.FORECAST.ETS.CONFINT(A720,$B$2:$B$611,$A$2:$A$611,0.95,1,1)</f>
        <v>-77.181927720437045</v>
      </c>
      <c r="E720" s="4">
        <f>C720+_xlfn.FORECAST.ETS.CONFINT(A720,$B$2:$B$611,$A$2:$A$611,0.95,1,1)</f>
        <v>205.86319635062483</v>
      </c>
    </row>
    <row r="721" spans="1:5" x14ac:dyDescent="0.3">
      <c r="A721" s="4">
        <v>720</v>
      </c>
      <c r="C721" s="4">
        <f>_xlfn.FORECAST.ETS(A721,$B$2:$B$611,$A$2:$A$611,1,1)</f>
        <v>42.612760168889395</v>
      </c>
      <c r="D721" s="4">
        <f>C721-_xlfn.FORECAST.ETS.CONFINT(A721,$B$2:$B$611,$A$2:$A$611,0.95,1,1)</f>
        <v>-99.23381240755333</v>
      </c>
      <c r="E721" s="4">
        <f>C721+_xlfn.FORECAST.ETS.CONFINT(A721,$B$2:$B$611,$A$2:$A$611,0.95,1,1)</f>
        <v>184.45933274533212</v>
      </c>
    </row>
    <row r="722" spans="1:5" x14ac:dyDescent="0.3">
      <c r="A722" s="4">
        <v>721</v>
      </c>
      <c r="C722" s="4">
        <f>_xlfn.FORECAST.ETS(A722,$B$2:$B$611,$A$2:$A$611,1,1)</f>
        <v>40.362990324225379</v>
      </c>
      <c r="D722" s="4">
        <f>C722-_xlfn.FORECAST.ETS.CONFINT(A722,$B$2:$B$611,$A$2:$A$611,0.95,1,1)</f>
        <v>-101.81269855056273</v>
      </c>
      <c r="E722" s="4">
        <f>C722+_xlfn.FORECAST.ETS.CONFINT(A722,$B$2:$B$611,$A$2:$A$611,0.95,1,1)</f>
        <v>182.53867919901347</v>
      </c>
    </row>
    <row r="723" spans="1:5" x14ac:dyDescent="0.3">
      <c r="A723" s="4">
        <v>722</v>
      </c>
      <c r="C723" s="4">
        <f>_xlfn.FORECAST.ETS(A723,$B$2:$B$611,$A$2:$A$611,1,1)</f>
        <v>34.580499512108844</v>
      </c>
      <c r="D723" s="4">
        <f>C723-_xlfn.FORECAST.ETS.CONFINT(A723,$B$2:$B$611,$A$2:$A$611,0.95,1,1)</f>
        <v>-107.92942833457101</v>
      </c>
      <c r="E723" s="4">
        <f>C723+_xlfn.FORECAST.ETS.CONFINT(A723,$B$2:$B$611,$A$2:$A$611,0.95,1,1)</f>
        <v>177.0904273587887</v>
      </c>
    </row>
    <row r="724" spans="1:5" x14ac:dyDescent="0.3">
      <c r="A724" s="4">
        <v>723</v>
      </c>
      <c r="C724" s="4">
        <f>_xlfn.FORECAST.ETS(A724,$B$2:$B$611,$A$2:$A$611,1,1)</f>
        <v>33.859607158895912</v>
      </c>
      <c r="D724" s="4">
        <f>C724-_xlfn.FORECAST.ETS.CONFINT(A724,$B$2:$B$611,$A$2:$A$611,0.95,1,1)</f>
        <v>-108.98969854111688</v>
      </c>
      <c r="E724" s="4">
        <f>C724+_xlfn.FORECAST.ETS.CONFINT(A724,$B$2:$B$611,$A$2:$A$611,0.95,1,1)</f>
        <v>176.70891285890872</v>
      </c>
    </row>
    <row r="725" spans="1:5" x14ac:dyDescent="0.3">
      <c r="A725" s="4">
        <v>724</v>
      </c>
      <c r="C725" s="4">
        <f>_xlfn.FORECAST.ETS(A725,$B$2:$B$611,$A$2:$A$611,1,1)</f>
        <v>38.192411415923182</v>
      </c>
      <c r="D725" s="4">
        <f>C725-_xlfn.FORECAST.ETS.CONFINT(A725,$B$2:$B$611,$A$2:$A$611,0.95,1,1)</f>
        <v>-105.00142652099925</v>
      </c>
      <c r="E725" s="4">
        <f>C725+_xlfn.FORECAST.ETS.CONFINT(A725,$B$2:$B$611,$A$2:$A$611,0.95,1,1)</f>
        <v>181.3862493528456</v>
      </c>
    </row>
    <row r="726" spans="1:5" x14ac:dyDescent="0.3">
      <c r="A726" s="4">
        <v>725</v>
      </c>
      <c r="C726" s="4">
        <f>_xlfn.FORECAST.ETS(A726,$B$2:$B$611,$A$2:$A$611,1,1)</f>
        <v>42.093035151627191</v>
      </c>
      <c r="D726" s="4">
        <f>C726-_xlfn.FORECAST.ETS.CONFINT(A726,$B$2:$B$611,$A$2:$A$611,0.95,1,1)</f>
        <v>-101.45050420494303</v>
      </c>
      <c r="E726" s="4">
        <f>C726+_xlfn.FORECAST.ETS.CONFINT(A726,$B$2:$B$611,$A$2:$A$611,0.95,1,1)</f>
        <v>185.63657450819741</v>
      </c>
    </row>
    <row r="727" spans="1:5" x14ac:dyDescent="0.3">
      <c r="A727" s="4">
        <v>726</v>
      </c>
      <c r="C727" s="4">
        <f>_xlfn.FORECAST.ETS(A727,$B$2:$B$611,$A$2:$A$611,1,1)</f>
        <v>92.79502039709314</v>
      </c>
      <c r="D727" s="4">
        <f>C727-_xlfn.FORECAST.ETS.CONFINT(A727,$B$2:$B$611,$A$2:$A$611,0.95,1,1)</f>
        <v>-60.31146413341034</v>
      </c>
      <c r="E727" s="4">
        <f>C727+_xlfn.FORECAST.ETS.CONFINT(A727,$B$2:$B$611,$A$2:$A$611,0.95,1,1)</f>
        <v>245.90150492759662</v>
      </c>
    </row>
    <row r="728" spans="1:5" x14ac:dyDescent="0.3">
      <c r="A728" s="4">
        <v>727</v>
      </c>
      <c r="C728" s="4">
        <f>_xlfn.FORECAST.ETS(A728,$B$2:$B$611,$A$2:$A$611,1,1)</f>
        <v>117.85758118099297</v>
      </c>
      <c r="D728" s="4">
        <f>C728-_xlfn.FORECAST.ETS.CONFINT(A728,$B$2:$B$611,$A$2:$A$611,0.95,1,1)</f>
        <v>-35.587378175817733</v>
      </c>
      <c r="E728" s="4">
        <f>C728+_xlfn.FORECAST.ETS.CONFINT(A728,$B$2:$B$611,$A$2:$A$611,0.95,1,1)</f>
        <v>271.30254053780368</v>
      </c>
    </row>
    <row r="729" spans="1:5" x14ac:dyDescent="0.3">
      <c r="A729" s="4">
        <v>728</v>
      </c>
      <c r="C729" s="4">
        <f>_xlfn.FORECAST.ETS(A729,$B$2:$B$611,$A$2:$A$611,1,1)</f>
        <v>101.67387359164734</v>
      </c>
      <c r="D729" s="4">
        <f>C729-_xlfn.FORECAST.ETS.CONFINT(A729,$B$2:$B$611,$A$2:$A$611,0.95,1,1)</f>
        <v>-52.114557682554519</v>
      </c>
      <c r="E729" s="4">
        <f>C729+_xlfn.FORECAST.ETS.CONFINT(A729,$B$2:$B$611,$A$2:$A$611,0.95,1,1)</f>
        <v>255.46230486584921</v>
      </c>
    </row>
    <row r="730" spans="1:5" x14ac:dyDescent="0.3">
      <c r="A730" s="4">
        <v>729</v>
      </c>
      <c r="C730" s="4">
        <f>_xlfn.FORECAST.ETS(A730,$B$2:$B$611,$A$2:$A$611,1,1)</f>
        <v>76.585867891619188</v>
      </c>
      <c r="D730" s="4">
        <f>C730-_xlfn.FORECAST.ETS.CONFINT(A730,$B$2:$B$611,$A$2:$A$611,0.95,1,1)</f>
        <v>-77.551047330999666</v>
      </c>
      <c r="E730" s="4">
        <f>C730+_xlfn.FORECAST.ETS.CONFINT(A730,$B$2:$B$611,$A$2:$A$611,0.95,1,1)</f>
        <v>230.72278311423804</v>
      </c>
    </row>
    <row r="731" spans="1:5" x14ac:dyDescent="0.3">
      <c r="A731" s="4">
        <v>730</v>
      </c>
      <c r="C731" s="4">
        <f>_xlfn.FORECAST.ETS(A731,$B$2:$B$611,$A$2:$A$611,1,1)</f>
        <v>44.079702124413572</v>
      </c>
      <c r="D731" s="4">
        <f>C731-_xlfn.FORECAST.ETS.CONFINT(A731,$B$2:$B$611,$A$2:$A$611,0.95,1,1)</f>
        <v>-110.41072339595185</v>
      </c>
      <c r="E731" s="4">
        <f>C731+_xlfn.FORECAST.ETS.CONFINT(A731,$B$2:$B$611,$A$2:$A$611,0.95,1,1)</f>
        <v>198.57012764477901</v>
      </c>
    </row>
    <row r="732" spans="1:5" x14ac:dyDescent="0.3">
      <c r="A732" s="4">
        <v>731</v>
      </c>
      <c r="C732" s="4">
        <f>_xlfn.FORECAST.ETS(A732,$B$2:$B$611,$A$2:$A$611,1,1)</f>
        <v>31.970112609793738</v>
      </c>
      <c r="D732" s="4">
        <f>C732-_xlfn.FORECAST.ETS.CONFINT(A732,$B$2:$B$611,$A$2:$A$611,0.95,1,1)</f>
        <v>-122.87886325666747</v>
      </c>
      <c r="E732" s="4">
        <f>C732+_xlfn.FORECAST.ETS.CONFINT(A732,$B$2:$B$611,$A$2:$A$611,0.95,1,1)</f>
        <v>186.81908847625496</v>
      </c>
    </row>
    <row r="733" spans="1:5" x14ac:dyDescent="0.3">
      <c r="A733" s="4">
        <v>732</v>
      </c>
      <c r="C733" s="4">
        <f>_xlfn.FORECAST.ETS(A733,$B$2:$B$611,$A$2:$A$611,1,1)</f>
        <v>21.190817392963204</v>
      </c>
      <c r="D733" s="4">
        <f>C733-_xlfn.FORECAST.ETS.CONFINT(A733,$B$2:$B$611,$A$2:$A$611,0.95,1,1)</f>
        <v>-134.02176195028903</v>
      </c>
      <c r="E733" s="4">
        <f>C733+_xlfn.FORECAST.ETS.CONFINT(A733,$B$2:$B$611,$A$2:$A$611,0.95,1,1)</f>
        <v>176.40339673621543</v>
      </c>
    </row>
    <row r="734" spans="1:5" x14ac:dyDescent="0.3">
      <c r="A734" s="4">
        <v>733</v>
      </c>
      <c r="C734" s="4">
        <f>_xlfn.FORECAST.ETS(A734,$B$2:$B$611,$A$2:$A$611,1,1)</f>
        <v>6.366029057136906</v>
      </c>
      <c r="D734" s="4">
        <f>C734-_xlfn.FORECAST.ETS.CONFINT(A734,$B$2:$B$611,$A$2:$A$611,0.95,1,1)</f>
        <v>-149.21521936213645</v>
      </c>
      <c r="E734" s="4">
        <f>C734+_xlfn.FORECAST.ETS.CONFINT(A734,$B$2:$B$611,$A$2:$A$611,0.95,1,1)</f>
        <v>161.94727747641025</v>
      </c>
    </row>
    <row r="735" spans="1:5" x14ac:dyDescent="0.3">
      <c r="A735" s="4">
        <v>734</v>
      </c>
      <c r="C735" s="4">
        <f>_xlfn.FORECAST.ETS(A735,$B$2:$B$611,$A$2:$A$611,1,1)</f>
        <v>-1.4700738945739147</v>
      </c>
      <c r="D735" s="4">
        <f>C735-_xlfn.FORECAST.ETS.CONFINT(A735,$B$2:$B$611,$A$2:$A$611,0.95,1,1)</f>
        <v>-157.42506884693304</v>
      </c>
      <c r="E735" s="4">
        <f>C735+_xlfn.FORECAST.ETS.CONFINT(A735,$B$2:$B$611,$A$2:$A$611,0.95,1,1)</f>
        <v>154.48492105778521</v>
      </c>
    </row>
    <row r="736" spans="1:5" x14ac:dyDescent="0.3">
      <c r="A736" s="4">
        <v>735</v>
      </c>
      <c r="C736" s="4">
        <f>_xlfn.FORECAST.ETS(A736,$B$2:$B$611,$A$2:$A$611,1,1)</f>
        <v>-3.5944559983599902</v>
      </c>
      <c r="D736" s="4">
        <f>C736-_xlfn.FORECAST.ETS.CONFINT(A736,$B$2:$B$611,$A$2:$A$611,0.95,1,1)</f>
        <v>-159.92828619135801</v>
      </c>
      <c r="E736" s="4">
        <f>C736+_xlfn.FORECAST.ETS.CONFINT(A736,$B$2:$B$611,$A$2:$A$611,0.95,1,1)</f>
        <v>152.73937419463803</v>
      </c>
    </row>
    <row r="737" spans="1:5" x14ac:dyDescent="0.3">
      <c r="A737" s="4">
        <v>736</v>
      </c>
      <c r="C737" s="4">
        <f>_xlfn.FORECAST.ETS(A737,$B$2:$B$611,$A$2:$A$611,1,1)</f>
        <v>-6.958215940983834</v>
      </c>
      <c r="D737" s="4">
        <f>C737-_xlfn.FORECAST.ETS.CONFINT(A737,$B$2:$B$611,$A$2:$A$611,0.95,1,1)</f>
        <v>-163.67598072890962</v>
      </c>
      <c r="E737" s="4">
        <f>C737+_xlfn.FORECAST.ETS.CONFINT(A737,$B$2:$B$611,$A$2:$A$611,0.95,1,1)</f>
        <v>149.75954884694193</v>
      </c>
    </row>
    <row r="738" spans="1:5" x14ac:dyDescent="0.3">
      <c r="A738" s="4">
        <v>737</v>
      </c>
      <c r="C738" s="4">
        <f>_xlfn.FORECAST.ETS(A738,$B$2:$B$611,$A$2:$A$611,1,1)</f>
        <v>-4.4472562258440078</v>
      </c>
      <c r="D738" s="4">
        <f>C738-_xlfn.FORECAST.ETS.CONFINT(A738,$B$2:$B$611,$A$2:$A$611,0.95,1,1)</f>
        <v>-161.55406500979663</v>
      </c>
      <c r="E738" s="4">
        <f>C738+_xlfn.FORECAST.ETS.CONFINT(A738,$B$2:$B$611,$A$2:$A$611,0.95,1,1)</f>
        <v>152.65955255810863</v>
      </c>
    </row>
    <row r="739" spans="1:5" x14ac:dyDescent="0.3">
      <c r="A739" s="4">
        <v>738</v>
      </c>
      <c r="C739" s="4">
        <f>_xlfn.FORECAST.ETS(A739,$B$2:$B$611,$A$2:$A$611,1,1)</f>
        <v>6.9870314341923958</v>
      </c>
      <c r="D739" s="4">
        <f>C739-_xlfn.FORECAST.ETS.CONFINT(A739,$B$2:$B$611,$A$2:$A$611,0.95,1,1)</f>
        <v>-150.5139401978272</v>
      </c>
      <c r="E739" s="4">
        <f>C739+_xlfn.FORECAST.ETS.CONFINT(A739,$B$2:$B$611,$A$2:$A$611,0.95,1,1)</f>
        <v>164.488003066212</v>
      </c>
    </row>
    <row r="740" spans="1:5" x14ac:dyDescent="0.3">
      <c r="A740" s="4">
        <v>739</v>
      </c>
      <c r="C740" s="4">
        <f>_xlfn.FORECAST.ETS(A740,$B$2:$B$611,$A$2:$A$611,1,1)</f>
        <v>37.597448582514261</v>
      </c>
      <c r="D740" s="4">
        <f>C740-_xlfn.FORECAST.ETS.CONFINT(A740,$B$2:$B$611,$A$2:$A$611,0.95,1,1)</f>
        <v>-120.30281360896419</v>
      </c>
      <c r="E740" s="4">
        <f>C740+_xlfn.FORECAST.ETS.CONFINT(A740,$B$2:$B$611,$A$2:$A$611,0.95,1,1)</f>
        <v>195.49771077399271</v>
      </c>
    </row>
    <row r="741" spans="1:5" x14ac:dyDescent="0.3">
      <c r="A741" s="4">
        <v>740</v>
      </c>
      <c r="C741" s="4">
        <f>_xlfn.FORECAST.ETS(A741,$B$2:$B$611,$A$2:$A$611,1,1)</f>
        <v>79.612777401962205</v>
      </c>
      <c r="D741" s="4">
        <f>C741-_xlfn.FORECAST.ETS.CONFINT(A741,$B$2:$B$611,$A$2:$A$611,0.95,1,1)</f>
        <v>-78.691911332627285</v>
      </c>
      <c r="E741" s="4">
        <f>C741+_xlfn.FORECAST.ETS.CONFINT(A741,$B$2:$B$611,$A$2:$A$611,0.95,1,1)</f>
        <v>237.9174661365517</v>
      </c>
    </row>
    <row r="742" spans="1:5" x14ac:dyDescent="0.3">
      <c r="A742" s="4">
        <v>741</v>
      </c>
      <c r="C742" s="4">
        <f>_xlfn.FORECAST.ETS(A742,$B$2:$B$611,$A$2:$A$611,1,1)</f>
        <v>103.9973297484263</v>
      </c>
      <c r="D742" s="4">
        <f>C742-_xlfn.FORECAST.ETS.CONFINT(A742,$B$2:$B$611,$A$2:$A$611,0.95,1,1)</f>
        <v>-54.716929202805858</v>
      </c>
      <c r="E742" s="4">
        <f>C742+_xlfn.FORECAST.ETS.CONFINT(A742,$B$2:$B$611,$A$2:$A$611,0.95,1,1)</f>
        <v>262.71158869965848</v>
      </c>
    </row>
    <row r="743" spans="1:5" x14ac:dyDescent="0.3">
      <c r="A743" s="4">
        <v>742</v>
      </c>
      <c r="C743" s="4">
        <f>_xlfn.FORECAST.ETS(A743,$B$2:$B$611,$A$2:$A$611,1,1)</f>
        <v>64.559241345419323</v>
      </c>
      <c r="D743" s="4">
        <f>C743-_xlfn.FORECAST.ETS.CONFINT(A743,$B$2:$B$611,$A$2:$A$611,0.95,1,1)</f>
        <v>-94.569738608402403</v>
      </c>
      <c r="E743" s="4">
        <f>C743+_xlfn.FORECAST.ETS.CONFINT(A743,$B$2:$B$611,$A$2:$A$611,0.95,1,1)</f>
        <v>223.68822129924104</v>
      </c>
    </row>
    <row r="744" spans="1:5" x14ac:dyDescent="0.3">
      <c r="A744" s="4">
        <v>743</v>
      </c>
      <c r="C744" s="4">
        <f>_xlfn.FORECAST.ETS(A744,$B$2:$B$611,$A$2:$A$611,1,1)</f>
        <v>42.831367199214831</v>
      </c>
      <c r="D744" s="4">
        <f>C744-_xlfn.FORECAST.ETS.CONFINT(A744,$B$2:$B$611,$A$2:$A$611,0.95,1,1)</f>
        <v>-116.71749108321208</v>
      </c>
      <c r="E744" s="4">
        <f>C744+_xlfn.FORECAST.ETS.CONFINT(A744,$B$2:$B$611,$A$2:$A$611,0.95,1,1)</f>
        <v>202.38022548164176</v>
      </c>
    </row>
    <row r="745" spans="1:5" x14ac:dyDescent="0.3">
      <c r="A745" s="4">
        <v>744</v>
      </c>
      <c r="C745" s="4">
        <f>_xlfn.FORECAST.ETS(A745,$B$2:$B$611,$A$2:$A$611,1,1)</f>
        <v>40.581597354550816</v>
      </c>
      <c r="D745" s="4">
        <f>C745-_xlfn.FORECAST.ETS.CONFINT(A745,$B$2:$B$611,$A$2:$A$611,0.95,1,1)</f>
        <v>-119.39230255553099</v>
      </c>
      <c r="E745" s="4">
        <f>C745+_xlfn.FORECAST.ETS.CONFINT(A745,$B$2:$B$611,$A$2:$A$611,0.95,1,1)</f>
        <v>200.55549726463261</v>
      </c>
    </row>
    <row r="746" spans="1:5" x14ac:dyDescent="0.3">
      <c r="A746" s="4">
        <v>745</v>
      </c>
      <c r="C746" s="4">
        <f>_xlfn.FORECAST.ETS(A746,$B$2:$B$611,$A$2:$A$611,1,1)</f>
        <v>34.799106542434288</v>
      </c>
      <c r="D746" s="4">
        <f>C746-_xlfn.FORECAST.ETS.CONFINT(A746,$B$2:$B$611,$A$2:$A$611,0.95,1,1)</f>
        <v>-125.60500370585149</v>
      </c>
      <c r="E746" s="4">
        <f>C746+_xlfn.FORECAST.ETS.CONFINT(A746,$B$2:$B$611,$A$2:$A$611,0.95,1,1)</f>
        <v>195.20321679072006</v>
      </c>
    </row>
    <row r="747" spans="1:5" x14ac:dyDescent="0.3">
      <c r="A747" s="4">
        <v>746</v>
      </c>
      <c r="C747" s="4">
        <f>_xlfn.FORECAST.ETS(A747,$B$2:$B$611,$A$2:$A$611,1,1)</f>
        <v>34.078214189221342</v>
      </c>
      <c r="D747" s="4">
        <f>C747-_xlfn.FORECAST.ETS.CONFINT(A747,$B$2:$B$611,$A$2:$A$611,0.95,1,1)</f>
        <v>-126.76127996346364</v>
      </c>
      <c r="E747" s="4">
        <f>C747+_xlfn.FORECAST.ETS.CONFINT(A747,$B$2:$B$611,$A$2:$A$611,0.95,1,1)</f>
        <v>194.91770834190632</v>
      </c>
    </row>
    <row r="748" spans="1:5" x14ac:dyDescent="0.3">
      <c r="A748" s="4">
        <v>747</v>
      </c>
      <c r="C748" s="4">
        <f>_xlfn.FORECAST.ETS(A748,$B$2:$B$611,$A$2:$A$611,1,1)</f>
        <v>38.411018446248619</v>
      </c>
      <c r="D748" s="4">
        <f>C748-_xlfn.FORECAST.ETS.CONFINT(A748,$B$2:$B$611,$A$2:$A$611,0.95,1,1)</f>
        <v>-122.86903748268097</v>
      </c>
      <c r="E748" s="4">
        <f>C748+_xlfn.FORECAST.ETS.CONFINT(A748,$B$2:$B$611,$A$2:$A$611,0.95,1,1)</f>
        <v>199.6910743751782</v>
      </c>
    </row>
    <row r="749" spans="1:5" x14ac:dyDescent="0.3">
      <c r="A749" s="4">
        <v>748</v>
      </c>
      <c r="C749" s="4">
        <f>_xlfn.FORECAST.ETS(A749,$B$2:$B$611,$A$2:$A$611,1,1)</f>
        <v>42.311642181952628</v>
      </c>
      <c r="D749" s="4">
        <f>C749-_xlfn.FORECAST.ETS.CONFINT(A749,$B$2:$B$611,$A$2:$A$611,0.95,1,1)</f>
        <v>-119.414157156746</v>
      </c>
      <c r="E749" s="4">
        <f>C749+_xlfn.FORECAST.ETS.CONFINT(A749,$B$2:$B$611,$A$2:$A$611,0.95,1,1)</f>
        <v>204.03744152065127</v>
      </c>
    </row>
    <row r="750" spans="1:5" x14ac:dyDescent="0.3">
      <c r="A750" s="4">
        <v>749</v>
      </c>
      <c r="C750" s="4">
        <f>_xlfn.FORECAST.ETS(A750,$B$2:$B$611,$A$2:$A$611,1,1)</f>
        <v>93.013627427418584</v>
      </c>
      <c r="D750" s="4">
        <f>C750-_xlfn.FORECAST.ETS.CONFINT(A750,$B$2:$B$611,$A$2:$A$611,0.95,1,1)</f>
        <v>-77.888459527616988</v>
      </c>
      <c r="E750" s="4">
        <f>C750+_xlfn.FORECAST.ETS.CONFINT(A750,$B$2:$B$611,$A$2:$A$611,0.95,1,1)</f>
        <v>263.91571438245415</v>
      </c>
    </row>
    <row r="751" spans="1:5" x14ac:dyDescent="0.3">
      <c r="A751" s="4">
        <v>750</v>
      </c>
      <c r="C751" s="4">
        <f>_xlfn.FORECAST.ETS(A751,$B$2:$B$611,$A$2:$A$611,1,1)</f>
        <v>118.0761882113184</v>
      </c>
      <c r="D751" s="4">
        <f>C751-_xlfn.FORECAST.ETS.CONFINT(A751,$B$2:$B$611,$A$2:$A$611,0.95,1,1)</f>
        <v>-53.258788102528371</v>
      </c>
      <c r="E751" s="4">
        <f>C751+_xlfn.FORECAST.ETS.CONFINT(A751,$B$2:$B$611,$A$2:$A$611,0.95,1,1)</f>
        <v>289.41116452516519</v>
      </c>
    </row>
    <row r="752" spans="1:5" x14ac:dyDescent="0.3">
      <c r="A752" s="4">
        <v>751</v>
      </c>
      <c r="C752" s="4">
        <f>_xlfn.FORECAST.ETS(A752,$B$2:$B$611,$A$2:$A$611,1,1)</f>
        <v>101.89248062197278</v>
      </c>
      <c r="D752" s="4">
        <f>C752-_xlfn.FORECAST.ETS.CONFINT(A752,$B$2:$B$611,$A$2:$A$611,0.95,1,1)</f>
        <v>-69.880432763020892</v>
      </c>
      <c r="E752" s="4">
        <f>C752+_xlfn.FORECAST.ETS.CONFINT(A752,$B$2:$B$611,$A$2:$A$611,0.95,1,1)</f>
        <v>273.66539400696644</v>
      </c>
    </row>
    <row r="753" spans="1:5" x14ac:dyDescent="0.3">
      <c r="A753" s="4">
        <v>752</v>
      </c>
      <c r="C753" s="4">
        <f>_xlfn.FORECAST.ETS(A753,$B$2:$B$611,$A$2:$A$611,1,1)</f>
        <v>76.804474921944632</v>
      </c>
      <c r="D753" s="4">
        <f>C753-_xlfn.FORECAST.ETS.CONFINT(A753,$B$2:$B$611,$A$2:$A$611,0.95,1,1)</f>
        <v>-95.411428008790807</v>
      </c>
      <c r="E753" s="4">
        <f>C753+_xlfn.FORECAST.ETS.CONFINT(A753,$B$2:$B$611,$A$2:$A$611,0.95,1,1)</f>
        <v>249.02037785268007</v>
      </c>
    </row>
    <row r="754" spans="1:5" x14ac:dyDescent="0.3">
      <c r="A754" s="4">
        <v>753</v>
      </c>
      <c r="C754" s="4">
        <f>_xlfn.FORECAST.ETS(A754,$B$2:$B$611,$A$2:$A$611,1,1)</f>
        <v>44.298309154739016</v>
      </c>
      <c r="D754" s="4">
        <f>C754-_xlfn.FORECAST.ETS.CONFINT(A754,$B$2:$B$611,$A$2:$A$611,0.95,1,1)</f>
        <v>-128.36564006646324</v>
      </c>
      <c r="E754" s="4">
        <f>C754+_xlfn.FORECAST.ETS.CONFINT(A754,$B$2:$B$611,$A$2:$A$611,0.95,1,1)</f>
        <v>216.9622583759413</v>
      </c>
    </row>
    <row r="755" spans="1:5" x14ac:dyDescent="0.3">
      <c r="A755" s="4">
        <v>754</v>
      </c>
      <c r="C755" s="4">
        <f>_xlfn.FORECAST.ETS(A755,$B$2:$B$611,$A$2:$A$611,1,1)</f>
        <v>32.188719640119174</v>
      </c>
      <c r="D755" s="4">
        <f>C755-_xlfn.FORECAST.ETS.CONFINT(A755,$B$2:$B$611,$A$2:$A$611,0.95,1,1)</f>
        <v>-140.92833639932616</v>
      </c>
      <c r="E755" s="4">
        <f>C755+_xlfn.FORECAST.ETS.CONFINT(A755,$B$2:$B$611,$A$2:$A$611,0.95,1,1)</f>
        <v>205.30577567956453</v>
      </c>
    </row>
    <row r="756" spans="1:5" x14ac:dyDescent="0.3">
      <c r="A756" s="4">
        <v>755</v>
      </c>
      <c r="C756" s="4">
        <f>_xlfn.FORECAST.ETS(A756,$B$2:$B$611,$A$2:$A$611,1,1)</f>
        <v>21.409424423288641</v>
      </c>
      <c r="D756" s="4">
        <f>C756-_xlfn.FORECAST.ETS.CONFINT(A756,$B$2:$B$611,$A$2:$A$611,0.95,1,1)</f>
        <v>-152.16580226333204</v>
      </c>
      <c r="E756" s="4">
        <f>C756+_xlfn.FORECAST.ETS.CONFINT(A756,$B$2:$B$611,$A$2:$A$611,0.95,1,1)</f>
        <v>194.98465110990932</v>
      </c>
    </row>
    <row r="757" spans="1:5" x14ac:dyDescent="0.3">
      <c r="A757" s="4">
        <v>756</v>
      </c>
      <c r="C757" s="4">
        <f>_xlfn.FORECAST.ETS(A757,$B$2:$B$611,$A$2:$A$611,1,1)</f>
        <v>6.5846360874623429</v>
      </c>
      <c r="D757" s="4">
        <f>C757-_xlfn.FORECAST.ETS.CONFINT(A757,$B$2:$B$611,$A$2:$A$611,0.95,1,1)</f>
        <v>-167.45382789983972</v>
      </c>
      <c r="E757" s="4">
        <f>C757+_xlfn.FORECAST.ETS.CONFINT(A757,$B$2:$B$611,$A$2:$A$611,0.95,1,1)</f>
        <v>180.62310007476441</v>
      </c>
    </row>
    <row r="758" spans="1:5" x14ac:dyDescent="0.3">
      <c r="A758" s="4">
        <v>757</v>
      </c>
      <c r="C758" s="4">
        <f>_xlfn.FORECAST.ETS(A758,$B$2:$B$611,$A$2:$A$611,1,1)</f>
        <v>-1.2514668642484779</v>
      </c>
      <c r="D758" s="4">
        <f>C758-_xlfn.FORECAST.ETS.CONFINT(A758,$B$2:$B$611,$A$2:$A$611,0.95,1,1)</f>
        <v>-175.75823715916601</v>
      </c>
      <c r="E758" s="4">
        <f>C758+_xlfn.FORECAST.ETS.CONFINT(A758,$B$2:$B$611,$A$2:$A$611,0.95,1,1)</f>
        <v>173.25530343066907</v>
      </c>
    </row>
    <row r="759" spans="1:5" x14ac:dyDescent="0.3">
      <c r="A759" s="4">
        <v>758</v>
      </c>
      <c r="C759" s="4">
        <f>_xlfn.FORECAST.ETS(A759,$B$2:$B$611,$A$2:$A$611,1,1)</f>
        <v>-3.3758489680345534</v>
      </c>
      <c r="D759" s="4">
        <f>C759-_xlfn.FORECAST.ETS.CONFINT(A759,$B$2:$B$611,$A$2:$A$611,0.95,1,1)</f>
        <v>-178.35599646533913</v>
      </c>
      <c r="E759" s="4">
        <f>C759+_xlfn.FORECAST.ETS.CONFINT(A759,$B$2:$B$611,$A$2:$A$611,0.95,1,1)</f>
        <v>171.60429852927004</v>
      </c>
    </row>
    <row r="760" spans="1:5" x14ac:dyDescent="0.3">
      <c r="A760" s="4">
        <v>759</v>
      </c>
      <c r="C760" s="4">
        <f>_xlfn.FORECAST.ETS(A760,$B$2:$B$611,$A$2:$A$611,1,1)</f>
        <v>-6.7396089106583972</v>
      </c>
      <c r="D760" s="4">
        <f>C760-_xlfn.FORECAST.ETS.CONFINT(A760,$B$2:$B$611,$A$2:$A$611,0.95,1,1)</f>
        <v>-182.19820593303601</v>
      </c>
      <c r="E760" s="4">
        <f>C760+_xlfn.FORECAST.ETS.CONFINT(A760,$B$2:$B$611,$A$2:$A$611,0.95,1,1)</f>
        <v>168.7189881117192</v>
      </c>
    </row>
    <row r="761" spans="1:5" x14ac:dyDescent="0.3">
      <c r="A761" s="4">
        <v>760</v>
      </c>
      <c r="C761" s="4">
        <f>_xlfn.FORECAST.ETS(A761,$B$2:$B$611,$A$2:$A$611,1,1)</f>
        <v>-4.228649195518571</v>
      </c>
      <c r="D761" s="4">
        <f>C761-_xlfn.FORECAST.ETS.CONFINT(A761,$B$2:$B$611,$A$2:$A$611,0.95,1,1)</f>
        <v>-180.17076903942245</v>
      </c>
      <c r="E761" s="4">
        <f>C761+_xlfn.FORECAST.ETS.CONFINT(A761,$B$2:$B$611,$A$2:$A$611,0.95,1,1)</f>
        <v>171.71347064838534</v>
      </c>
    </row>
    <row r="762" spans="1:5" x14ac:dyDescent="0.3">
      <c r="A762" s="4">
        <v>761</v>
      </c>
      <c r="C762" s="4">
        <f>_xlfn.FORECAST.ETS(A762,$B$2:$B$611,$A$2:$A$611,1,1)</f>
        <v>7.2056384645178326</v>
      </c>
      <c r="D762" s="4">
        <f>C762-_xlfn.FORECAST.ETS.CONFINT(A762,$B$2:$B$611,$A$2:$A$611,0.95,1,1)</f>
        <v>-169.2250780228635</v>
      </c>
      <c r="E762" s="4">
        <f>C762+_xlfn.FORECAST.ETS.CONFINT(A762,$B$2:$B$611,$A$2:$A$611,0.95,1,1)</f>
        <v>183.63635495189919</v>
      </c>
    </row>
    <row r="763" spans="1:5" x14ac:dyDescent="0.3">
      <c r="A763" s="4">
        <v>762</v>
      </c>
      <c r="C763" s="4">
        <f>_xlfn.FORECAST.ETS(A763,$B$2:$B$611,$A$2:$A$611,1,1)</f>
        <v>37.816055612839698</v>
      </c>
      <c r="D763" s="4">
        <f>C763-_xlfn.FORECAST.ETS.CONFINT(A763,$B$2:$B$611,$A$2:$A$611,0.95,1,1)</f>
        <v>-139.10833142317358</v>
      </c>
      <c r="E763" s="4">
        <f>C763+_xlfn.FORECAST.ETS.CONFINT(A763,$B$2:$B$611,$A$2:$A$611,0.95,1,1)</f>
        <v>214.74044264885299</v>
      </c>
    </row>
    <row r="764" spans="1:5" x14ac:dyDescent="0.3">
      <c r="A764" s="4">
        <v>763</v>
      </c>
      <c r="C764" s="4">
        <f>_xlfn.FORECAST.ETS(A764,$B$2:$B$611,$A$2:$A$611,1,1)</f>
        <v>79.831384432287649</v>
      </c>
      <c r="D764" s="4">
        <f>C764-_xlfn.FORECAST.ETS.CONFINT(A764,$B$2:$B$611,$A$2:$A$611,0.95,1,1)</f>
        <v>-97.591746704487036</v>
      </c>
      <c r="E764" s="4">
        <f>C764+_xlfn.FORECAST.ETS.CONFINT(A764,$B$2:$B$611,$A$2:$A$611,0.95,1,1)</f>
        <v>257.25451556906233</v>
      </c>
    </row>
  </sheetData>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Dataset_2</vt:lpstr>
      <vt:lpstr>Modified_Dataset_2</vt:lpstr>
      <vt:lpstr>Statistics</vt:lpstr>
      <vt:lpstr>Customer_Forecast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GAMERZONE</dc:creator>
  <cp:lastModifiedBy>Rajwin George</cp:lastModifiedBy>
  <dcterms:created xsi:type="dcterms:W3CDTF">2015-06-05T18:17:20Z</dcterms:created>
  <dcterms:modified xsi:type="dcterms:W3CDTF">2026-07-20T20:05:23Z</dcterms:modified>
</cp:coreProperties>
</file>