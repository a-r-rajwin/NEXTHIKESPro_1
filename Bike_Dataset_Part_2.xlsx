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tables/table3.xml" ContentType="application/vnd.openxmlformats-officedocument.spreadsheetml.tab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HP\OneDrive\Desktop\Final\"/>
    </mc:Choice>
  </mc:AlternateContent>
  <xr:revisionPtr revIDLastSave="0" documentId="13_ncr:1_{4C4E4224-D38F-45A2-88F4-8F267BFC8FBD}" xr6:coauthVersionLast="47" xr6:coauthVersionMax="47" xr10:uidLastSave="{00000000-0000-0000-0000-000000000000}"/>
  <bookViews>
    <workbookView xWindow="-108" yWindow="-108" windowWidth="23256" windowHeight="12456" tabRatio="549" activeTab="2" xr2:uid="{00000000-000D-0000-FFFF-FFFF00000000}"/>
  </bookViews>
  <sheets>
    <sheet name="Dataset_3" sheetId="2" r:id="rId1"/>
    <sheet name="Modified_Dataset_3" sheetId="1" r:id="rId2"/>
    <sheet name="Statistics" sheetId="3" r:id="rId3"/>
    <sheet name="Forecast" sheetId="4" r:id="rId4"/>
  </sheets>
  <definedNames>
    <definedName name="ExternalData_2" localSheetId="1" hidden="1">Modified_Dataset_3!#REF!</definedName>
    <definedName name="Slicer_date">#N/A</definedName>
  </definedNames>
  <calcPr calcId="191029"/>
  <pivotCaches>
    <pivotCache cacheId="46"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3" i="3" l="1"/>
  <c r="G54" i="3"/>
  <c r="C41" i="4"/>
  <c r="C42" i="4"/>
  <c r="C43" i="4"/>
  <c r="C44" i="4"/>
  <c r="C45" i="4"/>
  <c r="D45" i="4" l="1"/>
  <c r="E41" i="4"/>
  <c r="E45" i="4"/>
  <c r="D41" i="4"/>
  <c r="E43" i="4"/>
  <c r="D44" i="4"/>
  <c r="E44" i="4"/>
  <c r="D43" i="4"/>
  <c r="E42" i="4"/>
  <c r="D42" i="4"/>
</calcChain>
</file>

<file path=xl/sharedStrings.xml><?xml version="1.0" encoding="utf-8"?>
<sst xmlns="http://schemas.openxmlformats.org/spreadsheetml/2006/main" count="4752" uniqueCount="72">
  <si>
    <t>instant</t>
  </si>
  <si>
    <t>season</t>
  </si>
  <si>
    <t>holiday</t>
  </si>
  <si>
    <t>weekday</t>
  </si>
  <si>
    <t>windspeed</t>
  </si>
  <si>
    <t>Season_Name</t>
  </si>
  <si>
    <t>Weekday_Name</t>
  </si>
  <si>
    <t>Weather_Description</t>
  </si>
  <si>
    <t>Time_of_Day</t>
  </si>
  <si>
    <t>Temperature_Level</t>
  </si>
  <si>
    <t>Humidity_Level</t>
  </si>
  <si>
    <t>Wind_Level</t>
  </si>
  <si>
    <t>Day_Type</t>
  </si>
  <si>
    <t>Customer_Type</t>
  </si>
  <si>
    <t>Casual_Percentage</t>
  </si>
  <si>
    <t>Registered_Percentage</t>
  </si>
  <si>
    <t>Rush_Hour</t>
  </si>
  <si>
    <t>Demand_Level</t>
  </si>
  <si>
    <t>Weekend</t>
  </si>
  <si>
    <t>Feels_Like_Difference</t>
  </si>
  <si>
    <t>Spring</t>
  </si>
  <si>
    <t>Saturday</t>
  </si>
  <si>
    <t>Clear</t>
  </si>
  <si>
    <t>Night</t>
  </si>
  <si>
    <t>Cold</t>
  </si>
  <si>
    <t>Medium</t>
  </si>
  <si>
    <t>Moderate</t>
  </si>
  <si>
    <t>Working Day</t>
  </si>
  <si>
    <t>Mostly Registered</t>
  </si>
  <si>
    <t>No</t>
  </si>
  <si>
    <t>Low</t>
  </si>
  <si>
    <t>Yes</t>
  </si>
  <si>
    <t>Calm</t>
  </si>
  <si>
    <t>Morning</t>
  </si>
  <si>
    <t>Mist/Cloudy</t>
  </si>
  <si>
    <t>Afternoon</t>
  </si>
  <si>
    <t>Evening</t>
  </si>
  <si>
    <t>High</t>
  </si>
  <si>
    <t>Sunday</t>
  </si>
  <si>
    <t>Very Cold</t>
  </si>
  <si>
    <t>Mild</t>
  </si>
  <si>
    <t>Monday</t>
  </si>
  <si>
    <t>Windy</t>
  </si>
  <si>
    <t>Light Rain/Snow</t>
  </si>
  <si>
    <t>Tuesday</t>
  </si>
  <si>
    <t>Wednesday</t>
  </si>
  <si>
    <t>Mostly Casual</t>
  </si>
  <si>
    <t>Warm</t>
  </si>
  <si>
    <t>Thursday</t>
  </si>
  <si>
    <t>Friday</t>
  </si>
  <si>
    <t>date</t>
  </si>
  <si>
    <t>hour</t>
  </si>
  <si>
    <t>weather_situation</t>
  </si>
  <si>
    <t>temperature</t>
  </si>
  <si>
    <t>assumed_temperature</t>
  </si>
  <si>
    <t>humidity</t>
  </si>
  <si>
    <t>casual_customer</t>
  </si>
  <si>
    <t>registered_customer</t>
  </si>
  <si>
    <t>total_customer</t>
  </si>
  <si>
    <t>Grand Total</t>
  </si>
  <si>
    <t>Sum of casual_customer</t>
  </si>
  <si>
    <t>Sum of registered_customer</t>
  </si>
  <si>
    <t>Temperature</t>
  </si>
  <si>
    <t>Time of Day</t>
  </si>
  <si>
    <t>Sum of total_customer</t>
  </si>
  <si>
    <t>Humidity</t>
  </si>
  <si>
    <t>Hour</t>
  </si>
  <si>
    <t>Casual Customer</t>
  </si>
  <si>
    <t>Registered Customer</t>
  </si>
  <si>
    <t>Forecast(total_customer)</t>
  </si>
  <si>
    <t>Lower Confidence Bound(total_customer)</t>
  </si>
  <si>
    <t>Upper Confidence Bound(total_customer)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</si>
</sst>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0.0000"/>
  </numFmts>
  <fonts count="2" x14ac:knownFonts="1">
    <font>
      <sz val="11"/>
      <color theme="1"/>
      <name val="Calibri"/>
      <family val="2"/>
      <scheme val="minor"/>
    </font>
    <font>
      <sz val="10"/>
      <color theme="1"/>
      <name val="Calibri"/>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xf numFmtId="164" fontId="1" fillId="0" borderId="0" xfId="0" applyNumberFormat="1" applyFont="1"/>
    <xf numFmtId="0" fontId="0" fillId="0" borderId="0" xfId="0" pivotButton="1"/>
    <xf numFmtId="0" fontId="0" fillId="0" borderId="0" xfId="0" applyAlignment="1">
      <alignment horizontal="left"/>
    </xf>
    <xf numFmtId="0" fontId="0" fillId="0" borderId="0" xfId="0" applyAlignment="1">
      <alignment horizontal="right"/>
    </xf>
    <xf numFmtId="14" fontId="0" fillId="0" borderId="0" xfId="0" applyNumberFormat="1"/>
    <xf numFmtId="165" fontId="0" fillId="0" borderId="0" xfId="0" applyNumberFormat="1"/>
    <xf numFmtId="0" fontId="0" fillId="0" borderId="0" xfId="0" applyNumberFormat="1"/>
  </cellXfs>
  <cellStyles count="1">
    <cellStyle name="Normal" xfId="0" builtinId="0"/>
  </cellStyles>
  <dxfs count="21">
    <dxf>
      <numFmt numFmtId="165" formatCode="0.0000"/>
    </dxf>
    <dxf>
      <numFmt numFmtId="165" formatCode="0.0000"/>
    </dxf>
    <dxf>
      <numFmt numFmtId="165" formatCode="0.0000"/>
    </dxf>
    <dxf>
      <numFmt numFmtId="165" formatCode="0.0000"/>
    </dxf>
    <dxf>
      <numFmt numFmtId="19" formatCode="dd/mm/yyyy"/>
    </dxf>
    <dxf>
      <numFmt numFmtId="19" formatCode="dd/mm/yyyy"/>
    </dxf>
    <dxf>
      <font>
        <b val="0"/>
        <i val="0"/>
        <strike val="0"/>
        <condense val="0"/>
        <extend val="0"/>
        <outline val="0"/>
        <shadow val="0"/>
        <u val="none"/>
        <vertAlign val="baseline"/>
        <sz val="10"/>
        <color theme="1"/>
        <name val="Calibri"/>
        <scheme val="minor"/>
      </font>
    </dxf>
    <dxf>
      <font>
        <b val="0"/>
        <i val="0"/>
        <strike val="0"/>
        <condense val="0"/>
        <extend val="0"/>
        <outline val="0"/>
        <shadow val="0"/>
        <u val="none"/>
        <vertAlign val="baseline"/>
        <sz val="10"/>
        <color theme="1"/>
        <name val="Calibri"/>
        <scheme val="minor"/>
      </font>
    </dxf>
    <dxf>
      <font>
        <b val="0"/>
        <i val="0"/>
        <strike val="0"/>
        <condense val="0"/>
        <extend val="0"/>
        <outline val="0"/>
        <shadow val="0"/>
        <u val="none"/>
        <vertAlign val="baseline"/>
        <sz val="10"/>
        <color theme="1"/>
        <name val="Calibri"/>
        <scheme val="minor"/>
      </font>
    </dxf>
    <dxf>
      <font>
        <b val="0"/>
        <i val="0"/>
        <strike val="0"/>
        <condense val="0"/>
        <extend val="0"/>
        <outline val="0"/>
        <shadow val="0"/>
        <u val="none"/>
        <vertAlign val="baseline"/>
        <sz val="10"/>
        <color theme="1"/>
        <name val="Calibri"/>
        <scheme val="minor"/>
      </font>
    </dxf>
    <dxf>
      <font>
        <b val="0"/>
        <i val="0"/>
        <strike val="0"/>
        <condense val="0"/>
        <extend val="0"/>
        <outline val="0"/>
        <shadow val="0"/>
        <u val="none"/>
        <vertAlign val="baseline"/>
        <sz val="10"/>
        <color theme="1"/>
        <name val="Calibri"/>
        <scheme val="minor"/>
      </font>
    </dxf>
    <dxf>
      <font>
        <b val="0"/>
        <i val="0"/>
        <strike val="0"/>
        <condense val="0"/>
        <extend val="0"/>
        <outline val="0"/>
        <shadow val="0"/>
        <u val="none"/>
        <vertAlign val="baseline"/>
        <sz val="10"/>
        <color theme="1"/>
        <name val="Calibri"/>
        <scheme val="minor"/>
      </font>
    </dxf>
    <dxf>
      <font>
        <b val="0"/>
        <i val="0"/>
        <strike val="0"/>
        <condense val="0"/>
        <extend val="0"/>
        <outline val="0"/>
        <shadow val="0"/>
        <u val="none"/>
        <vertAlign val="baseline"/>
        <sz val="10"/>
        <color theme="1"/>
        <name val="Calibri"/>
        <scheme val="minor"/>
      </font>
    </dxf>
    <dxf>
      <font>
        <b val="0"/>
        <i val="0"/>
        <strike val="0"/>
        <condense val="0"/>
        <extend val="0"/>
        <outline val="0"/>
        <shadow val="0"/>
        <u val="none"/>
        <vertAlign val="baseline"/>
        <sz val="10"/>
        <color theme="1"/>
        <name val="Calibri"/>
        <scheme val="minor"/>
      </font>
    </dxf>
    <dxf>
      <font>
        <b val="0"/>
        <i val="0"/>
        <strike val="0"/>
        <condense val="0"/>
        <extend val="0"/>
        <outline val="0"/>
        <shadow val="0"/>
        <u val="none"/>
        <vertAlign val="baseline"/>
        <sz val="10"/>
        <color theme="1"/>
        <name val="Calibri"/>
        <scheme val="minor"/>
      </font>
    </dxf>
    <dxf>
      <font>
        <b val="0"/>
        <i val="0"/>
        <strike val="0"/>
        <condense val="0"/>
        <extend val="0"/>
        <outline val="0"/>
        <shadow val="0"/>
        <u val="none"/>
        <vertAlign val="baseline"/>
        <sz val="10"/>
        <color theme="1"/>
        <name val="Calibri"/>
        <scheme val="minor"/>
      </font>
    </dxf>
    <dxf>
      <font>
        <b val="0"/>
        <i val="0"/>
        <strike val="0"/>
        <condense val="0"/>
        <extend val="0"/>
        <outline val="0"/>
        <shadow val="0"/>
        <u val="none"/>
        <vertAlign val="baseline"/>
        <sz val="10"/>
        <color theme="1"/>
        <name val="Calibri"/>
        <scheme val="minor"/>
      </font>
    </dxf>
    <dxf>
      <font>
        <b val="0"/>
        <i val="0"/>
        <strike val="0"/>
        <condense val="0"/>
        <extend val="0"/>
        <outline val="0"/>
        <shadow val="0"/>
        <u val="none"/>
        <vertAlign val="baseline"/>
        <sz val="10"/>
        <color theme="1"/>
        <name val="Calibri"/>
        <scheme val="minor"/>
      </font>
    </dxf>
    <dxf>
      <font>
        <b val="0"/>
        <i val="0"/>
        <strike val="0"/>
        <condense val="0"/>
        <extend val="0"/>
        <outline val="0"/>
        <shadow val="0"/>
        <u val="none"/>
        <vertAlign val="baseline"/>
        <sz val="10"/>
        <color theme="1"/>
        <name val="Calibri"/>
        <scheme val="minor"/>
      </font>
      <numFmt numFmtId="164" formatCode="dd\-mm\-yyyy"/>
    </dxf>
    <dxf>
      <font>
        <b val="0"/>
        <i val="0"/>
        <strike val="0"/>
        <condense val="0"/>
        <extend val="0"/>
        <outline val="0"/>
        <shadow val="0"/>
        <u val="none"/>
        <vertAlign val="baseline"/>
        <sz val="10"/>
        <color theme="1"/>
        <name val="Calibri"/>
        <scheme val="minor"/>
      </font>
    </dxf>
    <dxf>
      <font>
        <b val="0"/>
        <i val="0"/>
        <strike val="0"/>
        <condense val="0"/>
        <extend val="0"/>
        <outline val="0"/>
        <shadow val="0"/>
        <u val="none"/>
        <vertAlign val="baseline"/>
        <sz val="10"/>
        <color theme="1"/>
        <name val="Calibri"/>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[Bike_Dataset_Part_2.xlsx]Statistics!PivotTable1</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Temperature</a:t>
            </a:r>
            <a:r>
              <a:rPr lang="en-IN" baseline="0"/>
              <a:t> vs Type of customers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Statistics!$B$45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Statistics!$A$46:$A$68</c:f>
              <c:strCache>
                <c:ptCount val="22"/>
                <c:pt idx="0">
                  <c:v>0.0758</c:v>
                </c:pt>
                <c:pt idx="1">
                  <c:v>0.1061</c:v>
                </c:pt>
                <c:pt idx="2">
                  <c:v>0.1212</c:v>
                </c:pt>
                <c:pt idx="3">
                  <c:v>0.1364</c:v>
                </c:pt>
                <c:pt idx="4">
                  <c:v>0.1515</c:v>
                </c:pt>
                <c:pt idx="5">
                  <c:v>0.1667</c:v>
                </c:pt>
                <c:pt idx="6">
                  <c:v>0.1818</c:v>
                </c:pt>
                <c:pt idx="7">
                  <c:v>0.197</c:v>
                </c:pt>
                <c:pt idx="8">
                  <c:v>0.2121</c:v>
                </c:pt>
                <c:pt idx="9">
                  <c:v>0.2273</c:v>
                </c:pt>
                <c:pt idx="10">
                  <c:v>0.2424</c:v>
                </c:pt>
                <c:pt idx="11">
                  <c:v>0.2576</c:v>
                </c:pt>
                <c:pt idx="12">
                  <c:v>0.2727</c:v>
                </c:pt>
                <c:pt idx="13">
                  <c:v>0.2879</c:v>
                </c:pt>
                <c:pt idx="14">
                  <c:v>0.303</c:v>
                </c:pt>
                <c:pt idx="15">
                  <c:v>0.3182</c:v>
                </c:pt>
                <c:pt idx="16">
                  <c:v>0.3333</c:v>
                </c:pt>
                <c:pt idx="17">
                  <c:v>0.3485</c:v>
                </c:pt>
                <c:pt idx="18">
                  <c:v>0.3636</c:v>
                </c:pt>
                <c:pt idx="19">
                  <c:v>0.3939</c:v>
                </c:pt>
                <c:pt idx="20">
                  <c:v>0.4091</c:v>
                </c:pt>
                <c:pt idx="21">
                  <c:v>0.4242</c:v>
                </c:pt>
              </c:strCache>
            </c:strRef>
          </c:cat>
          <c:val>
            <c:numRef>
              <c:f>Statistics!$B$46:$B$68</c:f>
              <c:numCache>
                <c:formatCode>General</c:formatCode>
                <c:ptCount val="22"/>
                <c:pt idx="0">
                  <c:v>299</c:v>
                </c:pt>
                <c:pt idx="1">
                  <c:v>365</c:v>
                </c:pt>
                <c:pt idx="2">
                  <c:v>901</c:v>
                </c:pt>
                <c:pt idx="3">
                  <c:v>1178</c:v>
                </c:pt>
                <c:pt idx="4">
                  <c:v>1091</c:v>
                </c:pt>
                <c:pt idx="5">
                  <c:v>724</c:v>
                </c:pt>
                <c:pt idx="6">
                  <c:v>1782</c:v>
                </c:pt>
                <c:pt idx="7">
                  <c:v>1960</c:v>
                </c:pt>
                <c:pt idx="8">
                  <c:v>1621</c:v>
                </c:pt>
                <c:pt idx="9">
                  <c:v>2678</c:v>
                </c:pt>
                <c:pt idx="10">
                  <c:v>1592</c:v>
                </c:pt>
                <c:pt idx="11">
                  <c:v>1364</c:v>
                </c:pt>
                <c:pt idx="12">
                  <c:v>1423</c:v>
                </c:pt>
                <c:pt idx="13">
                  <c:v>1527</c:v>
                </c:pt>
                <c:pt idx="14">
                  <c:v>1043</c:v>
                </c:pt>
                <c:pt idx="15">
                  <c:v>1197</c:v>
                </c:pt>
                <c:pt idx="16">
                  <c:v>1085</c:v>
                </c:pt>
                <c:pt idx="17">
                  <c:v>886</c:v>
                </c:pt>
                <c:pt idx="18">
                  <c:v>427</c:v>
                </c:pt>
                <c:pt idx="19">
                  <c:v>361</c:v>
                </c:pt>
                <c:pt idx="20">
                  <c:v>643</c:v>
                </c:pt>
                <c:pt idx="21">
                  <c:v>259</c:v>
                </c:pt>
              </c:numCache>
            </c:numRef>
          </c:val>
          <c:extLst>
            <c:ext xmlns:c16="http://schemas.microsoft.com/office/drawing/2014/chart" uri="{C3380CC4-5D6E-409C-BE32-E72D297353CC}">
              <c16:uniqueId val="{00000001-D989-4296-91E4-7A40937BA0FF}"/>
            </c:ext>
          </c:extLst>
        </c:ser>
        <c:dLbls>
          <c:dLblPos val="outEnd"/>
          <c:showLegendKey val="0"/>
          <c:showVal val="1"/>
          <c:showCatName val="0"/>
          <c:showSerName val="0"/>
          <c:showPercent val="0"/>
          <c:showBubbleSize val="0"/>
        </c:dLbls>
        <c:gapWidth val="115"/>
        <c:overlap val="-20"/>
        <c:axId val="1690094112"/>
        <c:axId val="1690095552"/>
      </c:barChart>
      <c:catAx>
        <c:axId val="1690094112"/>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Temperature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90095552"/>
        <c:crosses val="autoZero"/>
        <c:auto val="1"/>
        <c:lblAlgn val="ctr"/>
        <c:lblOffset val="100"/>
        <c:noMultiLvlLbl val="0"/>
      </c:catAx>
      <c:valAx>
        <c:axId val="1690095552"/>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Number</a:t>
                </a:r>
                <a:r>
                  <a:rPr lang="en-IN" baseline="0"/>
                  <a:t> of customers</a:t>
                </a:r>
                <a:endParaRPr lang="en-IN"/>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90094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[Bike_Dataset_Part_2.xlsx]Statistics!PivotTable2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Dayparts</a:t>
            </a:r>
            <a:r>
              <a:rPr lang="en-IN" baseline="0"/>
              <a:t> vs Customer type</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Statistics!$E$45</c:f>
              <c:strCache>
                <c:ptCount val="1"/>
                <c:pt idx="0">
                  <c:v>Sum of casual_customer</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Statistics!$D$46:$D$50</c:f>
              <c:strCache>
                <c:ptCount val="4"/>
                <c:pt idx="0">
                  <c:v>Afternoon</c:v>
                </c:pt>
                <c:pt idx="1">
                  <c:v>Evening</c:v>
                </c:pt>
                <c:pt idx="2">
                  <c:v>Morning</c:v>
                </c:pt>
                <c:pt idx="3">
                  <c:v>Night</c:v>
                </c:pt>
              </c:strCache>
            </c:strRef>
          </c:cat>
          <c:val>
            <c:numRef>
              <c:f>Statistics!$E$46:$E$50</c:f>
              <c:numCache>
                <c:formatCode>General</c:formatCode>
                <c:ptCount val="4"/>
                <c:pt idx="0">
                  <c:v>1148</c:v>
                </c:pt>
                <c:pt idx="1">
                  <c:v>408</c:v>
                </c:pt>
                <c:pt idx="2">
                  <c:v>387</c:v>
                </c:pt>
                <c:pt idx="3">
                  <c:v>232</c:v>
                </c:pt>
              </c:numCache>
            </c:numRef>
          </c:val>
          <c:extLst>
            <c:ext xmlns:c16="http://schemas.microsoft.com/office/drawing/2014/chart" uri="{C3380CC4-5D6E-409C-BE32-E72D297353CC}">
              <c16:uniqueId val="{00000000-1135-44F8-AFD4-6C18D200B794}"/>
            </c:ext>
          </c:extLst>
        </c:ser>
        <c:ser>
          <c:idx val="1"/>
          <c:order val="1"/>
          <c:tx>
            <c:strRef>
              <c:f>Statistics!$F$45</c:f>
              <c:strCache>
                <c:ptCount val="1"/>
                <c:pt idx="0">
                  <c:v>Sum of registered_customer</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Statistics!$D$46:$D$50</c:f>
              <c:strCache>
                <c:ptCount val="4"/>
                <c:pt idx="0">
                  <c:v>Afternoon</c:v>
                </c:pt>
                <c:pt idx="1">
                  <c:v>Evening</c:v>
                </c:pt>
                <c:pt idx="2">
                  <c:v>Morning</c:v>
                </c:pt>
                <c:pt idx="3">
                  <c:v>Night</c:v>
                </c:pt>
              </c:strCache>
            </c:strRef>
          </c:cat>
          <c:val>
            <c:numRef>
              <c:f>Statistics!$F$46:$F$50</c:f>
              <c:numCache>
                <c:formatCode>General</c:formatCode>
                <c:ptCount val="4"/>
                <c:pt idx="0">
                  <c:v>6079</c:v>
                </c:pt>
                <c:pt idx="1">
                  <c:v>6975</c:v>
                </c:pt>
                <c:pt idx="2">
                  <c:v>6442</c:v>
                </c:pt>
                <c:pt idx="3">
                  <c:v>2735</c:v>
                </c:pt>
              </c:numCache>
            </c:numRef>
          </c:val>
          <c:extLst>
            <c:ext xmlns:c16="http://schemas.microsoft.com/office/drawing/2014/chart" uri="{C3380CC4-5D6E-409C-BE32-E72D297353CC}">
              <c16:uniqueId val="{00000001-1135-44F8-AFD4-6C18D200B794}"/>
            </c:ext>
          </c:extLst>
        </c:ser>
        <c:dLbls>
          <c:dLblPos val="outEnd"/>
          <c:showLegendKey val="0"/>
          <c:showVal val="1"/>
          <c:showCatName val="0"/>
          <c:showSerName val="0"/>
          <c:showPercent val="0"/>
          <c:showBubbleSize val="0"/>
        </c:dLbls>
        <c:gapWidth val="115"/>
        <c:overlap val="-20"/>
        <c:axId val="1689994752"/>
        <c:axId val="1689996672"/>
      </c:barChart>
      <c:catAx>
        <c:axId val="1689994752"/>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Time</a:t>
                </a:r>
                <a:r>
                  <a:rPr lang="en-IN" baseline="0"/>
                  <a:t> of day</a:t>
                </a:r>
                <a:endParaRPr lang="en-IN"/>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89996672"/>
        <c:crosses val="autoZero"/>
        <c:auto val="1"/>
        <c:lblAlgn val="ctr"/>
        <c:lblOffset val="100"/>
        <c:noMultiLvlLbl val="0"/>
      </c:catAx>
      <c:valAx>
        <c:axId val="1689996672"/>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number</a:t>
                </a:r>
                <a:r>
                  <a:rPr lang="en-IN" baseline="0"/>
                  <a:t> of customer</a:t>
                </a:r>
                <a:endParaRPr lang="en-IN"/>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89994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[Bike_Dataset_Part_2.xlsx]Statistics!PivotTable3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Humidity</a:t>
            </a:r>
            <a:r>
              <a:rPr lang="en-IN" baseline="0"/>
              <a:t> vs Customer type</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Statistics!$H$45</c:f>
              <c:strCache>
                <c:ptCount val="1"/>
                <c:pt idx="0">
                  <c:v>Sum of casual_customer</c:v>
                </c:pt>
              </c:strCache>
            </c:strRef>
          </c:tx>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Statistics!$G$46:$G$49</c:f>
              <c:strCache>
                <c:ptCount val="3"/>
                <c:pt idx="0">
                  <c:v>High</c:v>
                </c:pt>
                <c:pt idx="1">
                  <c:v>Low</c:v>
                </c:pt>
                <c:pt idx="2">
                  <c:v>Medium</c:v>
                </c:pt>
              </c:strCache>
            </c:strRef>
          </c:cat>
          <c:val>
            <c:numRef>
              <c:f>Statistics!$H$46:$H$49</c:f>
              <c:numCache>
                <c:formatCode>General</c:formatCode>
                <c:ptCount val="3"/>
                <c:pt idx="0">
                  <c:v>356</c:v>
                </c:pt>
                <c:pt idx="1">
                  <c:v>811</c:v>
                </c:pt>
                <c:pt idx="2">
                  <c:v>1008</c:v>
                </c:pt>
              </c:numCache>
            </c:numRef>
          </c:val>
          <c:extLst>
            <c:ext xmlns:c16="http://schemas.microsoft.com/office/drawing/2014/chart" uri="{C3380CC4-5D6E-409C-BE32-E72D297353CC}">
              <c16:uniqueId val="{00000000-AEE4-47AA-A6A6-236137CBA252}"/>
            </c:ext>
          </c:extLst>
        </c:ser>
        <c:ser>
          <c:idx val="1"/>
          <c:order val="1"/>
          <c:tx>
            <c:strRef>
              <c:f>Statistics!$I$45</c:f>
              <c:strCache>
                <c:ptCount val="1"/>
                <c:pt idx="0">
                  <c:v>Sum of registered_customer</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Statistics!$G$46:$G$49</c:f>
              <c:strCache>
                <c:ptCount val="3"/>
                <c:pt idx="0">
                  <c:v>High</c:v>
                </c:pt>
                <c:pt idx="1">
                  <c:v>Low</c:v>
                </c:pt>
                <c:pt idx="2">
                  <c:v>Medium</c:v>
                </c:pt>
              </c:strCache>
            </c:strRef>
          </c:cat>
          <c:val>
            <c:numRef>
              <c:f>Statistics!$I$46:$I$49</c:f>
              <c:numCache>
                <c:formatCode>General</c:formatCode>
                <c:ptCount val="3"/>
                <c:pt idx="0">
                  <c:v>6383</c:v>
                </c:pt>
                <c:pt idx="1">
                  <c:v>4964</c:v>
                </c:pt>
                <c:pt idx="2">
                  <c:v>10884</c:v>
                </c:pt>
              </c:numCache>
            </c:numRef>
          </c:val>
          <c:extLst>
            <c:ext xmlns:c16="http://schemas.microsoft.com/office/drawing/2014/chart" uri="{C3380CC4-5D6E-409C-BE32-E72D297353CC}">
              <c16:uniqueId val="{00000001-AEE4-47AA-A6A6-236137CBA252}"/>
            </c:ext>
          </c:extLst>
        </c:ser>
        <c:ser>
          <c:idx val="2"/>
          <c:order val="2"/>
          <c:tx>
            <c:strRef>
              <c:f>Statistics!$J$45</c:f>
              <c:strCache>
                <c:ptCount val="1"/>
                <c:pt idx="0">
                  <c:v>Sum of total_customer</c:v>
                </c:pt>
              </c:strCache>
            </c:strRef>
          </c:tx>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Statistics!$G$46:$G$49</c:f>
              <c:strCache>
                <c:ptCount val="3"/>
                <c:pt idx="0">
                  <c:v>High</c:v>
                </c:pt>
                <c:pt idx="1">
                  <c:v>Low</c:v>
                </c:pt>
                <c:pt idx="2">
                  <c:v>Medium</c:v>
                </c:pt>
              </c:strCache>
            </c:strRef>
          </c:cat>
          <c:val>
            <c:numRef>
              <c:f>Statistics!$J$46:$J$49</c:f>
              <c:numCache>
                <c:formatCode>General</c:formatCode>
                <c:ptCount val="3"/>
                <c:pt idx="0">
                  <c:v>6739</c:v>
                </c:pt>
                <c:pt idx="1">
                  <c:v>5775</c:v>
                </c:pt>
                <c:pt idx="2">
                  <c:v>11892</c:v>
                </c:pt>
              </c:numCache>
            </c:numRef>
          </c:val>
          <c:extLst>
            <c:ext xmlns:c16="http://schemas.microsoft.com/office/drawing/2014/chart" uri="{C3380CC4-5D6E-409C-BE32-E72D297353CC}">
              <c16:uniqueId val="{00000002-AEE4-47AA-A6A6-236137CBA252}"/>
            </c:ext>
          </c:extLst>
        </c:ser>
        <c:dLbls>
          <c:dLblPos val="outEnd"/>
          <c:showLegendKey val="0"/>
          <c:showVal val="1"/>
          <c:showCatName val="0"/>
          <c:showSerName val="0"/>
          <c:showPercent val="0"/>
          <c:showBubbleSize val="0"/>
        </c:dLbls>
        <c:gapWidth val="100"/>
        <c:overlap val="-24"/>
        <c:axId val="1690012512"/>
        <c:axId val="1690012992"/>
      </c:barChart>
      <c:catAx>
        <c:axId val="169001251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Humidity</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90012992"/>
        <c:crosses val="autoZero"/>
        <c:auto val="1"/>
        <c:lblAlgn val="ctr"/>
        <c:lblOffset val="100"/>
        <c:noMultiLvlLbl val="0"/>
      </c:catAx>
      <c:valAx>
        <c:axId val="1690012992"/>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Number</a:t>
                </a:r>
                <a:r>
                  <a:rPr lang="en-IN" baseline="0"/>
                  <a:t> of customers</a:t>
                </a:r>
                <a:endParaRPr lang="en-IN"/>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90012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[Bike_Dataset_Part_2.xlsx]Statistics!PivotTable4</c:name>
    <c:fmtId val="1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Total</a:t>
            </a:r>
            <a:r>
              <a:rPr lang="en-US" baseline="0"/>
              <a:t> customers vs Hour</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Statistics!$E$52</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Statistics!$D$53:$D$77</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Statistics!$E$53:$E$77</c:f>
              <c:numCache>
                <c:formatCode>General</c:formatCode>
                <c:ptCount val="24"/>
                <c:pt idx="0">
                  <c:v>333</c:v>
                </c:pt>
                <c:pt idx="1">
                  <c:v>221</c:v>
                </c:pt>
                <c:pt idx="2">
                  <c:v>124</c:v>
                </c:pt>
                <c:pt idx="3">
                  <c:v>75</c:v>
                </c:pt>
                <c:pt idx="4">
                  <c:v>31</c:v>
                </c:pt>
                <c:pt idx="5">
                  <c:v>69</c:v>
                </c:pt>
                <c:pt idx="6">
                  <c:v>346</c:v>
                </c:pt>
                <c:pt idx="7">
                  <c:v>946</c:v>
                </c:pt>
                <c:pt idx="8">
                  <c:v>2070</c:v>
                </c:pt>
                <c:pt idx="9">
                  <c:v>1476</c:v>
                </c:pt>
                <c:pt idx="10">
                  <c:v>952</c:v>
                </c:pt>
                <c:pt idx="11">
                  <c:v>1039</c:v>
                </c:pt>
                <c:pt idx="12">
                  <c:v>1347</c:v>
                </c:pt>
                <c:pt idx="13">
                  <c:v>1361</c:v>
                </c:pt>
                <c:pt idx="14">
                  <c:v>1373</c:v>
                </c:pt>
                <c:pt idx="15">
                  <c:v>1418</c:v>
                </c:pt>
                <c:pt idx="16">
                  <c:v>1728</c:v>
                </c:pt>
                <c:pt idx="17">
                  <c:v>2619</c:v>
                </c:pt>
                <c:pt idx="18">
                  <c:v>2201</c:v>
                </c:pt>
                <c:pt idx="19">
                  <c:v>1448</c:v>
                </c:pt>
                <c:pt idx="20">
                  <c:v>1115</c:v>
                </c:pt>
                <c:pt idx="21">
                  <c:v>921</c:v>
                </c:pt>
                <c:pt idx="22">
                  <c:v>670</c:v>
                </c:pt>
                <c:pt idx="23">
                  <c:v>523</c:v>
                </c:pt>
              </c:numCache>
            </c:numRef>
          </c:val>
          <c:smooth val="0"/>
          <c:extLst>
            <c:ext xmlns:c16="http://schemas.microsoft.com/office/drawing/2014/chart" uri="{C3380CC4-5D6E-409C-BE32-E72D297353CC}">
              <c16:uniqueId val="{00000000-6FEE-41E3-B60E-9C6CC8C59380}"/>
            </c:ext>
          </c:extLst>
        </c:ser>
        <c:dLbls>
          <c:showLegendKey val="0"/>
          <c:showVal val="0"/>
          <c:showCatName val="0"/>
          <c:showSerName val="0"/>
          <c:showPercent val="0"/>
          <c:showBubbleSize val="0"/>
        </c:dLbls>
        <c:marker val="1"/>
        <c:smooth val="0"/>
        <c:axId val="1867988992"/>
        <c:axId val="1867989952"/>
      </c:lineChart>
      <c:catAx>
        <c:axId val="186798899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Hour</a:t>
                </a:r>
                <a:r>
                  <a:rPr lang="en-IN" baseline="0"/>
                  <a:t> of the day</a:t>
                </a:r>
                <a:endParaRPr lang="en-IN"/>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67989952"/>
        <c:crosses val="autoZero"/>
        <c:auto val="1"/>
        <c:lblAlgn val="ctr"/>
        <c:lblOffset val="100"/>
        <c:noMultiLvlLbl val="0"/>
      </c:catAx>
      <c:valAx>
        <c:axId val="186798995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Sum of Total</a:t>
                </a:r>
                <a:r>
                  <a:rPr lang="en-IN" baseline="0"/>
                  <a:t> customers</a:t>
                </a:r>
                <a:endParaRPr lang="en-IN"/>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67988992"/>
        <c:crosses val="autoZero"/>
        <c:crossBetween val="between"/>
      </c:valAx>
      <c:dTable>
        <c:showHorzBorder val="1"/>
        <c:showVertBorder val="1"/>
        <c:showOutline val="1"/>
        <c:showKeys val="1"/>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Customer</a:t>
            </a:r>
            <a:r>
              <a:rPr lang="en-IN" baseline="0"/>
              <a:t> Type</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lotArea>
      <c:layout>
        <c:manualLayout>
          <c:layoutTarget val="inner"/>
          <c:xMode val="edge"/>
          <c:yMode val="edge"/>
          <c:x val="0.27544201834324011"/>
          <c:y val="0.21647932322669169"/>
          <c:w val="0.5014166413143466"/>
          <c:h val="0.65037507636735103"/>
        </c:manualLayout>
      </c:layout>
      <c:pie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35C-47A3-B187-648BCA70291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35C-47A3-B187-648BCA70291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Statistics!$F$53:$F$54</c:f>
              <c:strCache>
                <c:ptCount val="2"/>
                <c:pt idx="0">
                  <c:v>Casual Customer</c:v>
                </c:pt>
                <c:pt idx="1">
                  <c:v>Registered Customer</c:v>
                </c:pt>
              </c:strCache>
            </c:strRef>
          </c:cat>
          <c:val>
            <c:numRef>
              <c:f>Statistics!$G$53:$G$54</c:f>
              <c:numCache>
                <c:formatCode>General</c:formatCode>
                <c:ptCount val="2"/>
                <c:pt idx="0">
                  <c:v>2175</c:v>
                </c:pt>
                <c:pt idx="1">
                  <c:v>22231</c:v>
                </c:pt>
              </c:numCache>
            </c:numRef>
          </c:val>
          <c:extLst>
            <c:ext xmlns:c16="http://schemas.microsoft.com/office/drawing/2014/chart" uri="{C3380CC4-5D6E-409C-BE32-E72D297353CC}">
              <c16:uniqueId val="{00000000-131C-40C7-AF2B-C444CB09AF8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Forecast!$B$22</c:f>
              <c:strCache>
                <c:ptCount val="1"/>
                <c:pt idx="0">
                  <c:v>total_customer</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Forecast!$B$23:$B$45</c:f>
              <c:numCache>
                <c:formatCode>0.0000</c:formatCode>
                <c:ptCount val="23"/>
                <c:pt idx="0">
                  <c:v>74.5</c:v>
                </c:pt>
                <c:pt idx="1">
                  <c:v>47.739130434782609</c:v>
                </c:pt>
                <c:pt idx="2">
                  <c:v>47.652173913043477</c:v>
                </c:pt>
                <c:pt idx="3">
                  <c:v>62.541666666666664</c:v>
                </c:pt>
                <c:pt idx="4">
                  <c:v>59.130434782608695</c:v>
                </c:pt>
                <c:pt idx="5">
                  <c:v>63.583333333333336</c:v>
                </c:pt>
                <c:pt idx="6">
                  <c:v>67.391304347826093</c:v>
                </c:pt>
                <c:pt idx="7">
                  <c:v>74.260869565217391</c:v>
                </c:pt>
                <c:pt idx="8">
                  <c:v>41.875</c:v>
                </c:pt>
                <c:pt idx="9">
                  <c:v>67.625</c:v>
                </c:pt>
                <c:pt idx="10">
                  <c:v>71.333333333333329</c:v>
                </c:pt>
                <c:pt idx="11">
                  <c:v>63.75</c:v>
                </c:pt>
                <c:pt idx="12">
                  <c:v>69.782608695652172</c:v>
                </c:pt>
                <c:pt idx="13">
                  <c:v>66.869565217391298</c:v>
                </c:pt>
                <c:pt idx="14">
                  <c:v>79.36363636363636</c:v>
                </c:pt>
                <c:pt idx="15">
                  <c:v>61.333333333333336</c:v>
                </c:pt>
                <c:pt idx="16">
                  <c:v>69.086956521739125</c:v>
                </c:pt>
                <c:pt idx="17">
                  <c:v>18.875</c:v>
                </c:pt>
              </c:numCache>
            </c:numRef>
          </c:val>
          <c:smooth val="0"/>
          <c:extLst>
            <c:ext xmlns:c16="http://schemas.microsoft.com/office/drawing/2014/chart" uri="{C3380CC4-5D6E-409C-BE32-E72D297353CC}">
              <c16:uniqueId val="{00000000-30AF-4225-B362-FDB03D492C3F}"/>
            </c:ext>
          </c:extLst>
        </c:ser>
        <c:ser>
          <c:idx val="1"/>
          <c:order val="1"/>
          <c:tx>
            <c:strRef>
              <c:f>Forecast!$C$22</c:f>
              <c:strCache>
                <c:ptCount val="1"/>
                <c:pt idx="0">
                  <c:v>Forecast(total_customer)</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Forecast!$A$23:$A$45</c:f>
              <c:numCache>
                <c:formatCode>m/d/yyyy</c:formatCode>
                <c:ptCount val="23"/>
                <c:pt idx="0">
                  <c:v>40571</c:v>
                </c:pt>
                <c:pt idx="1">
                  <c:v>40572</c:v>
                </c:pt>
                <c:pt idx="2">
                  <c:v>40573</c:v>
                </c:pt>
                <c:pt idx="3">
                  <c:v>40574</c:v>
                </c:pt>
                <c:pt idx="4">
                  <c:v>40575</c:v>
                </c:pt>
                <c:pt idx="5">
                  <c:v>40576</c:v>
                </c:pt>
                <c:pt idx="6">
                  <c:v>40577</c:v>
                </c:pt>
                <c:pt idx="7">
                  <c:v>40578</c:v>
                </c:pt>
                <c:pt idx="8">
                  <c:v>40579</c:v>
                </c:pt>
                <c:pt idx="9">
                  <c:v>40580</c:v>
                </c:pt>
                <c:pt idx="10">
                  <c:v>40581</c:v>
                </c:pt>
                <c:pt idx="11">
                  <c:v>40582</c:v>
                </c:pt>
                <c:pt idx="12">
                  <c:v>40583</c:v>
                </c:pt>
                <c:pt idx="13">
                  <c:v>40584</c:v>
                </c:pt>
                <c:pt idx="14">
                  <c:v>40585</c:v>
                </c:pt>
                <c:pt idx="15">
                  <c:v>40586</c:v>
                </c:pt>
                <c:pt idx="16">
                  <c:v>40587</c:v>
                </c:pt>
                <c:pt idx="17">
                  <c:v>40588</c:v>
                </c:pt>
                <c:pt idx="18">
                  <c:v>40589</c:v>
                </c:pt>
                <c:pt idx="19">
                  <c:v>40590</c:v>
                </c:pt>
                <c:pt idx="20">
                  <c:v>40591</c:v>
                </c:pt>
                <c:pt idx="21">
                  <c:v>40592</c:v>
                </c:pt>
                <c:pt idx="22">
                  <c:v>40593</c:v>
                </c:pt>
              </c:numCache>
            </c:numRef>
          </c:cat>
          <c:val>
            <c:numRef>
              <c:f>Forecast!$C$23:$C$45</c:f>
              <c:numCache>
                <c:formatCode>0.0000</c:formatCode>
                <c:ptCount val="23"/>
                <c:pt idx="17">
                  <c:v>18.875</c:v>
                </c:pt>
                <c:pt idx="18">
                  <c:v>54.766772110384849</c:v>
                </c:pt>
                <c:pt idx="19">
                  <c:v>54.546012267964457</c:v>
                </c:pt>
                <c:pt idx="20">
                  <c:v>54.325252425544093</c:v>
                </c:pt>
                <c:pt idx="21">
                  <c:v>54.104492583123694</c:v>
                </c:pt>
                <c:pt idx="22">
                  <c:v>53.88373274070333</c:v>
                </c:pt>
              </c:numCache>
            </c:numRef>
          </c:val>
          <c:smooth val="0"/>
          <c:extLst>
            <c:ext xmlns:c16="http://schemas.microsoft.com/office/drawing/2014/chart" uri="{C3380CC4-5D6E-409C-BE32-E72D297353CC}">
              <c16:uniqueId val="{00000001-30AF-4225-B362-FDB03D492C3F}"/>
            </c:ext>
          </c:extLst>
        </c:ser>
        <c:ser>
          <c:idx val="2"/>
          <c:order val="2"/>
          <c:tx>
            <c:strRef>
              <c:f>Forecast!$D$22</c:f>
              <c:strCache>
                <c:ptCount val="1"/>
                <c:pt idx="0">
                  <c:v>Lower Confidence Bound(total_customer)</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Forecast!$A$23:$A$45</c:f>
              <c:numCache>
                <c:formatCode>m/d/yyyy</c:formatCode>
                <c:ptCount val="23"/>
                <c:pt idx="0">
                  <c:v>40571</c:v>
                </c:pt>
                <c:pt idx="1">
                  <c:v>40572</c:v>
                </c:pt>
                <c:pt idx="2">
                  <c:v>40573</c:v>
                </c:pt>
                <c:pt idx="3">
                  <c:v>40574</c:v>
                </c:pt>
                <c:pt idx="4">
                  <c:v>40575</c:v>
                </c:pt>
                <c:pt idx="5">
                  <c:v>40576</c:v>
                </c:pt>
                <c:pt idx="6">
                  <c:v>40577</c:v>
                </c:pt>
                <c:pt idx="7">
                  <c:v>40578</c:v>
                </c:pt>
                <c:pt idx="8">
                  <c:v>40579</c:v>
                </c:pt>
                <c:pt idx="9">
                  <c:v>40580</c:v>
                </c:pt>
                <c:pt idx="10">
                  <c:v>40581</c:v>
                </c:pt>
                <c:pt idx="11">
                  <c:v>40582</c:v>
                </c:pt>
                <c:pt idx="12">
                  <c:v>40583</c:v>
                </c:pt>
                <c:pt idx="13">
                  <c:v>40584</c:v>
                </c:pt>
                <c:pt idx="14">
                  <c:v>40585</c:v>
                </c:pt>
                <c:pt idx="15">
                  <c:v>40586</c:v>
                </c:pt>
                <c:pt idx="16">
                  <c:v>40587</c:v>
                </c:pt>
                <c:pt idx="17">
                  <c:v>40588</c:v>
                </c:pt>
                <c:pt idx="18">
                  <c:v>40589</c:v>
                </c:pt>
                <c:pt idx="19">
                  <c:v>40590</c:v>
                </c:pt>
                <c:pt idx="20">
                  <c:v>40591</c:v>
                </c:pt>
                <c:pt idx="21">
                  <c:v>40592</c:v>
                </c:pt>
                <c:pt idx="22">
                  <c:v>40593</c:v>
                </c:pt>
              </c:numCache>
            </c:numRef>
          </c:cat>
          <c:val>
            <c:numRef>
              <c:f>Forecast!$D$23:$D$45</c:f>
              <c:numCache>
                <c:formatCode>0.0000</c:formatCode>
                <c:ptCount val="23"/>
                <c:pt idx="17">
                  <c:v>18.875</c:v>
                </c:pt>
                <c:pt idx="18">
                  <c:v>23.32616147101772</c:v>
                </c:pt>
                <c:pt idx="19">
                  <c:v>22.13013279936159</c:v>
                </c:pt>
                <c:pt idx="20">
                  <c:v>20.955150423836443</c:v>
                </c:pt>
                <c:pt idx="21">
                  <c:v>19.799429224423541</c:v>
                </c:pt>
                <c:pt idx="22">
                  <c:v>18.661407262859591</c:v>
                </c:pt>
              </c:numCache>
            </c:numRef>
          </c:val>
          <c:smooth val="0"/>
          <c:extLst>
            <c:ext xmlns:c16="http://schemas.microsoft.com/office/drawing/2014/chart" uri="{C3380CC4-5D6E-409C-BE32-E72D297353CC}">
              <c16:uniqueId val="{00000002-30AF-4225-B362-FDB03D492C3F}"/>
            </c:ext>
          </c:extLst>
        </c:ser>
        <c:ser>
          <c:idx val="3"/>
          <c:order val="3"/>
          <c:tx>
            <c:strRef>
              <c:f>Forecast!$E$22</c:f>
              <c:strCache>
                <c:ptCount val="1"/>
                <c:pt idx="0">
                  <c:v>Upper Confidence Bound(total_customer)</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Forecast!$A$23:$A$45</c:f>
              <c:numCache>
                <c:formatCode>m/d/yyyy</c:formatCode>
                <c:ptCount val="23"/>
                <c:pt idx="0">
                  <c:v>40571</c:v>
                </c:pt>
                <c:pt idx="1">
                  <c:v>40572</c:v>
                </c:pt>
                <c:pt idx="2">
                  <c:v>40573</c:v>
                </c:pt>
                <c:pt idx="3">
                  <c:v>40574</c:v>
                </c:pt>
                <c:pt idx="4">
                  <c:v>40575</c:v>
                </c:pt>
                <c:pt idx="5">
                  <c:v>40576</c:v>
                </c:pt>
                <c:pt idx="6">
                  <c:v>40577</c:v>
                </c:pt>
                <c:pt idx="7">
                  <c:v>40578</c:v>
                </c:pt>
                <c:pt idx="8">
                  <c:v>40579</c:v>
                </c:pt>
                <c:pt idx="9">
                  <c:v>40580</c:v>
                </c:pt>
                <c:pt idx="10">
                  <c:v>40581</c:v>
                </c:pt>
                <c:pt idx="11">
                  <c:v>40582</c:v>
                </c:pt>
                <c:pt idx="12">
                  <c:v>40583</c:v>
                </c:pt>
                <c:pt idx="13">
                  <c:v>40584</c:v>
                </c:pt>
                <c:pt idx="14">
                  <c:v>40585</c:v>
                </c:pt>
                <c:pt idx="15">
                  <c:v>40586</c:v>
                </c:pt>
                <c:pt idx="16">
                  <c:v>40587</c:v>
                </c:pt>
                <c:pt idx="17">
                  <c:v>40588</c:v>
                </c:pt>
                <c:pt idx="18">
                  <c:v>40589</c:v>
                </c:pt>
                <c:pt idx="19">
                  <c:v>40590</c:v>
                </c:pt>
                <c:pt idx="20">
                  <c:v>40591</c:v>
                </c:pt>
                <c:pt idx="21">
                  <c:v>40592</c:v>
                </c:pt>
                <c:pt idx="22">
                  <c:v>40593</c:v>
                </c:pt>
              </c:numCache>
            </c:numRef>
          </c:cat>
          <c:val>
            <c:numRef>
              <c:f>Forecast!$E$23:$E$45</c:f>
              <c:numCache>
                <c:formatCode>0.0000</c:formatCode>
                <c:ptCount val="23"/>
                <c:pt idx="17">
                  <c:v>18.875</c:v>
                </c:pt>
                <c:pt idx="18">
                  <c:v>86.207382749751986</c:v>
                </c:pt>
                <c:pt idx="19">
                  <c:v>86.961891736567324</c:v>
                </c:pt>
                <c:pt idx="20">
                  <c:v>87.695354427251743</c:v>
                </c:pt>
                <c:pt idx="21">
                  <c:v>88.409555941823839</c:v>
                </c:pt>
                <c:pt idx="22">
                  <c:v>89.106058218547076</c:v>
                </c:pt>
              </c:numCache>
            </c:numRef>
          </c:val>
          <c:smooth val="0"/>
          <c:extLst>
            <c:ext xmlns:c16="http://schemas.microsoft.com/office/drawing/2014/chart" uri="{C3380CC4-5D6E-409C-BE32-E72D297353CC}">
              <c16:uniqueId val="{00000003-30AF-4225-B362-FDB03D492C3F}"/>
            </c:ext>
          </c:extLst>
        </c:ser>
        <c:dLbls>
          <c:showLegendKey val="0"/>
          <c:showVal val="0"/>
          <c:showCatName val="0"/>
          <c:showSerName val="0"/>
          <c:showPercent val="0"/>
          <c:showBubbleSize val="0"/>
        </c:dLbls>
        <c:marker val="1"/>
        <c:smooth val="0"/>
        <c:axId val="1972726688"/>
        <c:axId val="1972730528"/>
      </c:lineChart>
      <c:catAx>
        <c:axId val="1972726688"/>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2730528"/>
        <c:crosses val="autoZero"/>
        <c:auto val="1"/>
        <c:lblAlgn val="ctr"/>
        <c:lblOffset val="100"/>
        <c:noMultiLvlLbl val="0"/>
      </c:catAx>
      <c:valAx>
        <c:axId val="1972730528"/>
        <c:scaling>
          <c:orientation val="minMax"/>
        </c:scaling>
        <c:delete val="0"/>
        <c:axPos val="l"/>
        <c:majorGridlines>
          <c:spPr>
            <a:ln w="9525" cap="flat" cmpd="sng" algn="ctr">
              <a:solidFill>
                <a:schemeClr val="tx1">
                  <a:lumMod val="15000"/>
                  <a:lumOff val="85000"/>
                </a:schemeClr>
              </a:solidFill>
              <a:round/>
            </a:ln>
            <a:effectLst/>
          </c:spPr>
        </c:majorGridlines>
        <c:numFmt formatCode="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272668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1">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472108</xdr:colOff>
      <xdr:row>31</xdr:row>
      <xdr:rowOff>79744</xdr:rowOff>
    </xdr:to>
    <xdr:graphicFrame macro="">
      <xdr:nvGraphicFramePr>
        <xdr:cNvPr id="2" name="Chart 1">
          <a:extLst>
            <a:ext uri="{FF2B5EF4-FFF2-40B4-BE49-F238E27FC236}">
              <a16:creationId xmlns:a16="http://schemas.microsoft.com/office/drawing/2014/main" id="{B1E0BE43-2E89-B3A7-4BF9-20EF65CFC9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496957</xdr:colOff>
      <xdr:row>0</xdr:row>
      <xdr:rowOff>0</xdr:rowOff>
    </xdr:from>
    <xdr:to>
      <xdr:col>7</xdr:col>
      <xdr:colOff>28493</xdr:colOff>
      <xdr:row>15</xdr:row>
      <xdr:rowOff>0</xdr:rowOff>
    </xdr:to>
    <xdr:graphicFrame macro="">
      <xdr:nvGraphicFramePr>
        <xdr:cNvPr id="3" name="Chart 2">
          <a:extLst>
            <a:ext uri="{FF2B5EF4-FFF2-40B4-BE49-F238E27FC236}">
              <a16:creationId xmlns:a16="http://schemas.microsoft.com/office/drawing/2014/main" id="{C16A88FF-EA2D-EF96-81A8-DE777F689F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44394</xdr:colOff>
      <xdr:row>0</xdr:row>
      <xdr:rowOff>0</xdr:rowOff>
    </xdr:from>
    <xdr:to>
      <xdr:col>10</xdr:col>
      <xdr:colOff>292395</xdr:colOff>
      <xdr:row>15</xdr:row>
      <xdr:rowOff>0</xdr:rowOff>
    </xdr:to>
    <xdr:graphicFrame macro="">
      <xdr:nvGraphicFramePr>
        <xdr:cNvPr id="4" name="Chart 3">
          <a:extLst>
            <a:ext uri="{FF2B5EF4-FFF2-40B4-BE49-F238E27FC236}">
              <a16:creationId xmlns:a16="http://schemas.microsoft.com/office/drawing/2014/main" id="{FEC89D96-EC7E-F679-1AAB-A4FDF02D27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488675</xdr:colOff>
      <xdr:row>15</xdr:row>
      <xdr:rowOff>36277</xdr:rowOff>
    </xdr:from>
    <xdr:to>
      <xdr:col>8</xdr:col>
      <xdr:colOff>1107558</xdr:colOff>
      <xdr:row>31</xdr:row>
      <xdr:rowOff>70884</xdr:rowOff>
    </xdr:to>
    <xdr:graphicFrame macro="">
      <xdr:nvGraphicFramePr>
        <xdr:cNvPr id="5" name="Chart 4">
          <a:extLst>
            <a:ext uri="{FF2B5EF4-FFF2-40B4-BE49-F238E27FC236}">
              <a16:creationId xmlns:a16="http://schemas.microsoft.com/office/drawing/2014/main" id="{C68DDF9B-9482-BFC3-CC4B-FBF2872D14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1147499</xdr:colOff>
      <xdr:row>15</xdr:row>
      <xdr:rowOff>43749</xdr:rowOff>
    </xdr:from>
    <xdr:to>
      <xdr:col>12</xdr:col>
      <xdr:colOff>283535</xdr:colOff>
      <xdr:row>31</xdr:row>
      <xdr:rowOff>62023</xdr:rowOff>
    </xdr:to>
    <xdr:graphicFrame macro="">
      <xdr:nvGraphicFramePr>
        <xdr:cNvPr id="10" name="Chart 9">
          <a:extLst>
            <a:ext uri="{FF2B5EF4-FFF2-40B4-BE49-F238E27FC236}">
              <a16:creationId xmlns:a16="http://schemas.microsoft.com/office/drawing/2014/main" id="{B1C1C096-C5D1-9693-CCAF-2444215C34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10</xdr:col>
      <xdr:colOff>351406</xdr:colOff>
      <xdr:row>0</xdr:row>
      <xdr:rowOff>14531</xdr:rowOff>
    </xdr:from>
    <xdr:to>
      <xdr:col>12</xdr:col>
      <xdr:colOff>239233</xdr:colOff>
      <xdr:row>14</xdr:row>
      <xdr:rowOff>168349</xdr:rowOff>
    </xdr:to>
    <mc:AlternateContent xmlns:mc="http://schemas.openxmlformats.org/markup-compatibility/2006" xmlns:a14="http://schemas.microsoft.com/office/drawing/2010/main">
      <mc:Choice Requires="a14">
        <xdr:graphicFrame macro="">
          <xdr:nvGraphicFramePr>
            <xdr:cNvPr id="8" name="date">
              <a:extLst>
                <a:ext uri="{FF2B5EF4-FFF2-40B4-BE49-F238E27FC236}">
                  <a16:creationId xmlns:a16="http://schemas.microsoft.com/office/drawing/2014/main" id="{971EEED5-3A62-A4BF-09DF-1F6826982D82}"/>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14705359" y="14531"/>
              <a:ext cx="1828800" cy="27587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19050</xdr:rowOff>
    </xdr:from>
    <xdr:to>
      <xdr:col>14</xdr:col>
      <xdr:colOff>0</xdr:colOff>
      <xdr:row>20</xdr:row>
      <xdr:rowOff>28575</xdr:rowOff>
    </xdr:to>
    <xdr:graphicFrame macro="">
      <xdr:nvGraphicFramePr>
        <xdr:cNvPr id="2" name="Chart 1">
          <a:extLst>
            <a:ext uri="{FF2B5EF4-FFF2-40B4-BE49-F238E27FC236}">
              <a16:creationId xmlns:a16="http://schemas.microsoft.com/office/drawing/2014/main" id="{25FC563C-1956-0446-34A3-C54011A446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26.429954861109" createdVersion="8" refreshedVersion="8" minRefreshableVersion="3" recordCount="390" xr:uid="{4F6223A6-4A45-4722-90AE-13ABED908837}">
  <cacheSource type="worksheet">
    <worksheetSource name="Table3"/>
  </cacheSource>
  <cacheFields count="29">
    <cacheField name="instant" numFmtId="0">
      <sharedItems containsSemiMixedTypes="0" containsString="0" containsNumber="1" containsInteger="1" minValue="611" maxValue="1000"/>
    </cacheField>
    <cacheField name="date" numFmtId="14">
      <sharedItems containsSemiMixedTypes="0" containsNonDate="0" containsDate="1" containsString="0" containsMixedTypes="1" minDate="2011-01-28T00:00:00" maxDate="1900-01-08T20:48:04" count="36">
        <d v="2011-01-29T00:00:00"/>
        <d v="2011-01-30T00:00:00"/>
        <d v="2011-01-31T00:00:00"/>
        <d v="2011-02-01T00:00:00"/>
        <d v="2011-02-02T00:00:00"/>
        <d v="2011-02-03T00:00:00"/>
        <d v="2011-02-04T00:00:00"/>
        <d v="2011-02-05T00:00:00"/>
        <d v="2011-02-06T00:00:00"/>
        <d v="2011-02-07T00:00:00"/>
        <d v="2011-02-08T00:00:00"/>
        <d v="2011-02-09T00:00:00"/>
        <d v="2011-02-10T00:00:00"/>
        <d v="2011-02-11T00:00:00"/>
        <d v="2011-02-12T00:00:00"/>
        <d v="2011-02-13T00:00:00"/>
        <d v="2011-02-14T00:00:00"/>
        <d v="2011-01-28T00:00:00"/>
        <n v="40572" u="1"/>
        <n v="40573" u="1"/>
        <n v="40574" u="1"/>
        <n v="40575" u="1"/>
        <n v="40576" u="1"/>
        <n v="40577" u="1"/>
        <n v="40578" u="1"/>
        <n v="40579" u="1"/>
        <n v="40580" u="1"/>
        <n v="40581" u="1"/>
        <n v="40582" u="1"/>
        <n v="40583" u="1"/>
        <n v="40584" u="1"/>
        <n v="40585" u="1"/>
        <n v="40586" u="1"/>
        <n v="40587" u="1"/>
        <n v="40588" u="1"/>
        <n v="40571" u="1"/>
      </sharedItems>
    </cacheField>
    <cacheField name="season" numFmtId="0">
      <sharedItems containsSemiMixedTypes="0" containsString="0" containsNumber="1" containsInteger="1" minValue="1" maxValue="1"/>
    </cacheField>
    <cacheField name="hour" numFmtId="0">
      <sharedItems containsSemiMixedTypes="0" containsString="0" containsNumber="1" containsInteger="1" minValue="0" maxValue="23" count="24">
        <n v="1"/>
        <n v="2"/>
        <n v="3"/>
        <n v="4"/>
        <n v="6"/>
        <n v="7"/>
        <n v="8"/>
        <n v="9"/>
        <n v="10"/>
        <n v="11"/>
        <n v="12"/>
        <n v="13"/>
        <n v="14"/>
        <n v="15"/>
        <n v="16"/>
        <n v="17"/>
        <n v="18"/>
        <n v="19"/>
        <n v="20"/>
        <n v="21"/>
        <n v="22"/>
        <n v="23"/>
        <n v="0"/>
        <n v="5"/>
      </sharedItems>
    </cacheField>
    <cacheField name="holiday" numFmtId="0">
      <sharedItems/>
    </cacheField>
    <cacheField name="weekday" numFmtId="0">
      <sharedItems containsSemiMixedTypes="0" containsString="0" containsNumber="1" containsInteger="1" minValue="0" maxValue="6"/>
    </cacheField>
    <cacheField name="weather_situation" numFmtId="0">
      <sharedItems containsSemiMixedTypes="0" containsString="0" containsNumber="1" containsInteger="1" minValue="1" maxValue="3"/>
    </cacheField>
    <cacheField name="temperature" numFmtId="0">
      <sharedItems containsSemiMixedTypes="0" containsString="0" containsNumber="1" minValue="0.06" maxValue="0.42"/>
    </cacheField>
    <cacheField name="assumed_temperature" numFmtId="0">
      <sharedItems containsSemiMixedTypes="0" containsString="0" containsNumber="1" minValue="7.5800000000000006E-2" maxValue="0.42420000000000002" count="22">
        <n v="0.2273"/>
        <n v="0.21210000000000001"/>
        <n v="0.18179999999999999"/>
        <n v="0.19700000000000001"/>
        <n v="0.2424"/>
        <n v="0.28789999999999999"/>
        <n v="0.2727"/>
        <n v="0.31819999999999998"/>
        <n v="0.30299999999999999"/>
        <n v="0.33329999999999999"/>
        <n v="0.2576"/>
        <n v="0.16669999999999999"/>
        <n v="0.13639999999999999"/>
        <n v="0.1515"/>
        <n v="0.39389999999999997"/>
        <n v="0.1212"/>
        <n v="0.36359999999999998"/>
        <n v="0.34849999999999998"/>
        <n v="0.1061"/>
        <n v="7.5800000000000006E-2"/>
        <n v="0.40910000000000002"/>
        <n v="0.42420000000000002"/>
      </sharedItems>
    </cacheField>
    <cacheField name="humidity" numFmtId="0">
      <sharedItems containsSemiMixedTypes="0" containsString="0" containsNumber="1" minValue="0.21" maxValue="1"/>
    </cacheField>
    <cacheField name="windspeed" numFmtId="0">
      <sharedItems containsSemiMixedTypes="0" containsString="0" containsNumber="1" minValue="0" maxValue="0.58209999999999995"/>
    </cacheField>
    <cacheField name="casual_customer" numFmtId="0">
      <sharedItems containsSemiMixedTypes="0" containsString="0" containsNumber="1" containsInteger="1" minValue="0" maxValue="62"/>
    </cacheField>
    <cacheField name="registered_customer" numFmtId="0">
      <sharedItems containsSemiMixedTypes="0" containsString="0" containsNumber="1" containsInteger="1" minValue="0" maxValue="236"/>
    </cacheField>
    <cacheField name="total_customer" numFmtId="0">
      <sharedItems containsSemiMixedTypes="0" containsString="0" containsNumber="1" containsInteger="1" minValue="1" maxValue="243"/>
    </cacheField>
    <cacheField name="Season_Name" numFmtId="0">
      <sharedItems/>
    </cacheField>
    <cacheField name="Weekday_Name" numFmtId="0">
      <sharedItems/>
    </cacheField>
    <cacheField name="Weather_Description" numFmtId="0">
      <sharedItems/>
    </cacheField>
    <cacheField name="Time_of_Day" numFmtId="0">
      <sharedItems count="4">
        <s v="Night"/>
        <s v="Morning"/>
        <s v="Afternoon"/>
        <s v="Evening"/>
      </sharedItems>
    </cacheField>
    <cacheField name="Temperature_Level" numFmtId="0">
      <sharedItems/>
    </cacheField>
    <cacheField name="Humidity_Level" numFmtId="0">
      <sharedItems count="3">
        <s v="Medium"/>
        <s v="High"/>
        <s v="Low"/>
      </sharedItems>
    </cacheField>
    <cacheField name="Wind_Level" numFmtId="0">
      <sharedItems/>
    </cacheField>
    <cacheField name="Day_Type" numFmtId="0">
      <sharedItems/>
    </cacheField>
    <cacheField name="Customer_Type" numFmtId="0">
      <sharedItems/>
    </cacheField>
    <cacheField name="Casual_Percentage" numFmtId="0">
      <sharedItems containsSemiMixedTypes="0" containsString="0" containsNumber="1" minValue="0" maxValue="100"/>
    </cacheField>
    <cacheField name="Registered_Percentage" numFmtId="0">
      <sharedItems containsSemiMixedTypes="0" containsString="0" containsNumber="1" minValue="0" maxValue="100"/>
    </cacheField>
    <cacheField name="Rush_Hour" numFmtId="0">
      <sharedItems/>
    </cacheField>
    <cacheField name="Demand_Level" numFmtId="0">
      <sharedItems/>
    </cacheField>
    <cacheField name="Weekend" numFmtId="0">
      <sharedItems/>
    </cacheField>
    <cacheField name="Feels_Like_Difference" numFmtId="0">
      <sharedItems containsSemiMixedTypes="0" containsString="0" containsNumber="1" minValue="-5.2100000000000042E-2" maxValue="9.1499999999999998E-2"/>
    </cacheField>
  </cacheFields>
  <extLst>
    <ext xmlns:x14="http://schemas.microsoft.com/office/spreadsheetml/2009/9/main" uri="{725AE2AE-9491-48be-B2B4-4EB974FC3084}">
      <x14:pivotCacheDefinition pivotCacheId="17637206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0">
  <r>
    <n v="620"/>
    <x v="0"/>
    <n v="1"/>
    <x v="0"/>
    <b v="0"/>
    <n v="6"/>
    <n v="1"/>
    <n v="0.22"/>
    <x v="0"/>
    <n v="0.64"/>
    <n v="0.19400000000000001"/>
    <n v="0"/>
    <n v="20"/>
    <n v="20"/>
    <s v="Spring"/>
    <s v="Saturday"/>
    <s v="Clear"/>
    <x v="0"/>
    <s v="Cold"/>
    <x v="0"/>
    <s v="Moderate"/>
    <s v="Working Day"/>
    <s v="Mostly Registered"/>
    <n v="0"/>
    <n v="100"/>
    <s v="No"/>
    <s v="Low"/>
    <s v="Yes"/>
    <n v="7.3000000000000009E-3"/>
  </r>
  <r>
    <n v="621"/>
    <x v="0"/>
    <n v="1"/>
    <x v="1"/>
    <b v="0"/>
    <n v="6"/>
    <n v="1"/>
    <n v="0.22"/>
    <x v="0"/>
    <n v="0.64"/>
    <n v="0.16420000000000001"/>
    <n v="0"/>
    <n v="15"/>
    <n v="15"/>
    <s v="Spring"/>
    <s v="Saturday"/>
    <s v="Clear"/>
    <x v="0"/>
    <s v="Cold"/>
    <x v="0"/>
    <s v="Moderate"/>
    <s v="Working Day"/>
    <s v="Mostly Registered"/>
    <n v="0"/>
    <n v="100"/>
    <s v="No"/>
    <s v="Low"/>
    <s v="Yes"/>
    <n v="7.3000000000000009E-3"/>
  </r>
  <r>
    <n v="622"/>
    <x v="0"/>
    <n v="1"/>
    <x v="2"/>
    <b v="0"/>
    <n v="6"/>
    <n v="1"/>
    <n v="0.2"/>
    <x v="1"/>
    <n v="0.64"/>
    <n v="0.1343"/>
    <n v="3"/>
    <n v="5"/>
    <n v="8"/>
    <s v="Spring"/>
    <s v="Saturday"/>
    <s v="Clear"/>
    <x v="0"/>
    <s v="Cold"/>
    <x v="0"/>
    <s v="Calm"/>
    <s v="Working Day"/>
    <s v="Mostly Registered"/>
    <n v="37.5"/>
    <n v="62.5"/>
    <s v="No"/>
    <s v="Low"/>
    <s v="Yes"/>
    <n v="1.21E-2"/>
  </r>
  <r>
    <n v="623"/>
    <x v="0"/>
    <n v="1"/>
    <x v="3"/>
    <b v="0"/>
    <n v="6"/>
    <n v="1"/>
    <n v="0.16"/>
    <x v="2"/>
    <n v="0.69"/>
    <n v="0.1045"/>
    <n v="1"/>
    <n v="2"/>
    <n v="3"/>
    <s v="Spring"/>
    <s v="Saturday"/>
    <s v="Clear"/>
    <x v="0"/>
    <s v="Cold"/>
    <x v="0"/>
    <s v="Calm"/>
    <s v="Working Day"/>
    <s v="Mostly Registered"/>
    <n v="33.333333333333329"/>
    <n v="66.666666666666657"/>
    <s v="No"/>
    <s v="Low"/>
    <s v="Yes"/>
    <n v="2.179999999999999E-2"/>
  </r>
  <r>
    <n v="624"/>
    <x v="0"/>
    <n v="1"/>
    <x v="4"/>
    <b v="0"/>
    <n v="6"/>
    <n v="1"/>
    <n v="0.16"/>
    <x v="2"/>
    <n v="0.64"/>
    <n v="0.1343"/>
    <n v="0"/>
    <n v="2"/>
    <n v="2"/>
    <s v="Spring"/>
    <s v="Saturday"/>
    <s v="Clear"/>
    <x v="1"/>
    <s v="Cold"/>
    <x v="0"/>
    <s v="Calm"/>
    <s v="Working Day"/>
    <s v="Mostly Registered"/>
    <n v="0"/>
    <n v="100"/>
    <s v="No"/>
    <s v="Low"/>
    <s v="Yes"/>
    <n v="2.179999999999999E-2"/>
  </r>
  <r>
    <n v="625"/>
    <x v="0"/>
    <n v="1"/>
    <x v="5"/>
    <b v="0"/>
    <n v="6"/>
    <n v="1"/>
    <n v="0.16"/>
    <x v="2"/>
    <n v="0.59"/>
    <n v="0.1045"/>
    <n v="1"/>
    <n v="4"/>
    <n v="5"/>
    <s v="Spring"/>
    <s v="Saturday"/>
    <s v="Clear"/>
    <x v="1"/>
    <s v="Cold"/>
    <x v="0"/>
    <s v="Calm"/>
    <s v="Working Day"/>
    <s v="Mostly Registered"/>
    <n v="20"/>
    <n v="80"/>
    <s v="Yes"/>
    <s v="Low"/>
    <s v="Yes"/>
    <n v="2.179999999999999E-2"/>
  </r>
  <r>
    <n v="626"/>
    <x v="0"/>
    <n v="1"/>
    <x v="6"/>
    <b v="0"/>
    <n v="6"/>
    <n v="1"/>
    <n v="0.18"/>
    <x v="3"/>
    <n v="0.55000000000000004"/>
    <n v="0.16420000000000001"/>
    <n v="3"/>
    <n v="31"/>
    <n v="34"/>
    <s v="Spring"/>
    <s v="Saturday"/>
    <s v="Clear"/>
    <x v="1"/>
    <s v="Cold"/>
    <x v="0"/>
    <s v="Moderate"/>
    <s v="Working Day"/>
    <s v="Mostly Registered"/>
    <n v="8.8235294117647065"/>
    <n v="91.17647058823529"/>
    <s v="Yes"/>
    <s v="Low"/>
    <s v="Yes"/>
    <n v="1.7000000000000019E-2"/>
  </r>
  <r>
    <n v="627"/>
    <x v="0"/>
    <n v="1"/>
    <x v="7"/>
    <b v="0"/>
    <n v="6"/>
    <n v="1"/>
    <n v="0.18"/>
    <x v="1"/>
    <n v="0.59"/>
    <n v="8.9599999999999999E-2"/>
    <n v="0"/>
    <n v="34"/>
    <n v="34"/>
    <s v="Spring"/>
    <s v="Saturday"/>
    <s v="Clear"/>
    <x v="1"/>
    <s v="Cold"/>
    <x v="0"/>
    <s v="Calm"/>
    <s v="Working Day"/>
    <s v="Mostly Registered"/>
    <n v="0"/>
    <n v="100"/>
    <s v="Yes"/>
    <s v="Low"/>
    <s v="Yes"/>
    <n v="3.2100000000000017E-2"/>
  </r>
  <r>
    <n v="628"/>
    <x v="0"/>
    <n v="1"/>
    <x v="8"/>
    <b v="0"/>
    <n v="6"/>
    <n v="2"/>
    <n v="0.18"/>
    <x v="1"/>
    <n v="0.64"/>
    <n v="0.1045"/>
    <n v="4"/>
    <n v="51"/>
    <n v="55"/>
    <s v="Spring"/>
    <s v="Saturday"/>
    <s v="Mist/Cloudy"/>
    <x v="1"/>
    <s v="Cold"/>
    <x v="0"/>
    <s v="Calm"/>
    <s v="Working Day"/>
    <s v="Mostly Registered"/>
    <n v="7.2727272727272716"/>
    <n v="92.72727272727272"/>
    <s v="No"/>
    <s v="Low"/>
    <s v="Yes"/>
    <n v="3.2100000000000017E-2"/>
  </r>
  <r>
    <n v="629"/>
    <x v="0"/>
    <n v="1"/>
    <x v="9"/>
    <b v="0"/>
    <n v="6"/>
    <n v="2"/>
    <n v="0.18"/>
    <x v="3"/>
    <n v="0.64"/>
    <n v="0.1343"/>
    <n v="4"/>
    <n v="60"/>
    <n v="64"/>
    <s v="Spring"/>
    <s v="Saturday"/>
    <s v="Mist/Cloudy"/>
    <x v="1"/>
    <s v="Cold"/>
    <x v="0"/>
    <s v="Calm"/>
    <s v="Working Day"/>
    <s v="Mostly Registered"/>
    <n v="6.25"/>
    <n v="93.75"/>
    <s v="No"/>
    <s v="Low"/>
    <s v="Yes"/>
    <n v="1.7000000000000019E-2"/>
  </r>
  <r>
    <n v="630"/>
    <x v="0"/>
    <n v="1"/>
    <x v="10"/>
    <b v="0"/>
    <n v="6"/>
    <n v="2"/>
    <n v="0.2"/>
    <x v="3"/>
    <n v="0.59"/>
    <n v="0.19400000000000001"/>
    <n v="12"/>
    <n v="66"/>
    <n v="78"/>
    <s v="Spring"/>
    <s v="Saturday"/>
    <s v="Mist/Cloudy"/>
    <x v="2"/>
    <s v="Cold"/>
    <x v="0"/>
    <s v="Moderate"/>
    <s v="Working Day"/>
    <s v="Mostly Registered"/>
    <n v="15.38461538461539"/>
    <n v="84.615384615384613"/>
    <s v="No"/>
    <s v="Low"/>
    <s v="Yes"/>
    <n v="-3.0000000000000031E-3"/>
  </r>
  <r>
    <n v="631"/>
    <x v="0"/>
    <n v="1"/>
    <x v="11"/>
    <b v="0"/>
    <n v="6"/>
    <n v="2"/>
    <n v="0.22"/>
    <x v="0"/>
    <n v="0.55000000000000004"/>
    <n v="0.16420000000000001"/>
    <n v="9"/>
    <n v="56"/>
    <n v="65"/>
    <s v="Spring"/>
    <s v="Saturday"/>
    <s v="Mist/Cloudy"/>
    <x v="2"/>
    <s v="Cold"/>
    <x v="0"/>
    <s v="Moderate"/>
    <s v="Working Day"/>
    <s v="Mostly Registered"/>
    <n v="13.84615384615385"/>
    <n v="86.15384615384616"/>
    <s v="No"/>
    <s v="Low"/>
    <s v="Yes"/>
    <n v="7.3000000000000009E-3"/>
  </r>
  <r>
    <n v="632"/>
    <x v="0"/>
    <n v="1"/>
    <x v="12"/>
    <b v="0"/>
    <n v="6"/>
    <n v="2"/>
    <n v="0.22"/>
    <x v="0"/>
    <n v="0.6"/>
    <n v="0.1343"/>
    <n v="10"/>
    <n v="89"/>
    <n v="99"/>
    <s v="Spring"/>
    <s v="Saturday"/>
    <s v="Mist/Cloudy"/>
    <x v="2"/>
    <s v="Cold"/>
    <x v="0"/>
    <s v="Calm"/>
    <s v="Working Day"/>
    <s v="Mostly Registered"/>
    <n v="10.1010101010101"/>
    <n v="89.898989898989896"/>
    <s v="No"/>
    <s v="Low"/>
    <s v="Yes"/>
    <n v="7.3000000000000009E-3"/>
  </r>
  <r>
    <n v="633"/>
    <x v="0"/>
    <n v="1"/>
    <x v="13"/>
    <b v="0"/>
    <n v="6"/>
    <n v="1"/>
    <n v="0.22"/>
    <x v="1"/>
    <n v="0.69"/>
    <n v="0.25369999999999998"/>
    <n v="22"/>
    <n v="98"/>
    <n v="120"/>
    <s v="Spring"/>
    <s v="Saturday"/>
    <s v="Clear"/>
    <x v="2"/>
    <s v="Cold"/>
    <x v="0"/>
    <s v="Moderate"/>
    <s v="Working Day"/>
    <s v="Mostly Registered"/>
    <n v="18.333333333333329"/>
    <n v="81.666666666666671"/>
    <s v="No"/>
    <s v="Medium"/>
    <s v="Yes"/>
    <n v="-7.8999999999999904E-3"/>
  </r>
  <r>
    <n v="634"/>
    <x v="0"/>
    <n v="1"/>
    <x v="14"/>
    <b v="0"/>
    <n v="6"/>
    <n v="1"/>
    <n v="0.24"/>
    <x v="4"/>
    <n v="0.6"/>
    <n v="0.16420000000000001"/>
    <n v="19"/>
    <n v="88"/>
    <n v="107"/>
    <s v="Spring"/>
    <s v="Saturday"/>
    <s v="Clear"/>
    <x v="2"/>
    <s v="Cold"/>
    <x v="0"/>
    <s v="Moderate"/>
    <s v="Working Day"/>
    <s v="Mostly Registered"/>
    <n v="17.75700934579439"/>
    <n v="82.242990654205599"/>
    <s v="No"/>
    <s v="Medium"/>
    <s v="Yes"/>
    <n v="2.4000000000000128E-3"/>
  </r>
  <r>
    <n v="635"/>
    <x v="0"/>
    <n v="1"/>
    <x v="15"/>
    <b v="0"/>
    <n v="6"/>
    <n v="1"/>
    <n v="0.24"/>
    <x v="5"/>
    <n v="0.6"/>
    <n v="0"/>
    <n v="9"/>
    <n v="82"/>
    <n v="91"/>
    <s v="Spring"/>
    <s v="Saturday"/>
    <s v="Clear"/>
    <x v="3"/>
    <s v="Cold"/>
    <x v="0"/>
    <s v="Calm"/>
    <s v="Working Day"/>
    <s v="Mostly Registered"/>
    <n v="9.8901098901098905"/>
    <n v="90.109890109890117"/>
    <s v="Yes"/>
    <s v="Low"/>
    <s v="Yes"/>
    <n v="4.7899999999999998E-2"/>
  </r>
  <r>
    <n v="636"/>
    <x v="0"/>
    <n v="1"/>
    <x v="16"/>
    <b v="0"/>
    <n v="6"/>
    <n v="1"/>
    <n v="0.22"/>
    <x v="0"/>
    <n v="0.69"/>
    <n v="0.1343"/>
    <n v="9"/>
    <n v="59"/>
    <n v="68"/>
    <s v="Spring"/>
    <s v="Saturday"/>
    <s v="Clear"/>
    <x v="3"/>
    <s v="Cold"/>
    <x v="0"/>
    <s v="Calm"/>
    <s v="Working Day"/>
    <s v="Mostly Registered"/>
    <n v="13.23529411764706"/>
    <n v="86.764705882352942"/>
    <s v="Yes"/>
    <s v="Low"/>
    <s v="Yes"/>
    <n v="7.3000000000000009E-3"/>
  </r>
  <r>
    <n v="637"/>
    <x v="0"/>
    <n v="1"/>
    <x v="17"/>
    <b v="0"/>
    <n v="6"/>
    <n v="2"/>
    <n v="0.22"/>
    <x v="1"/>
    <n v="0.69"/>
    <n v="0.25369999999999998"/>
    <n v="6"/>
    <n v="52"/>
    <n v="58"/>
    <s v="Spring"/>
    <s v="Saturday"/>
    <s v="Mist/Cloudy"/>
    <x v="3"/>
    <s v="Cold"/>
    <x v="0"/>
    <s v="Moderate"/>
    <s v="Working Day"/>
    <s v="Mostly Registered"/>
    <n v="10.3448275862069"/>
    <n v="89.65517241379311"/>
    <s v="Yes"/>
    <s v="Low"/>
    <s v="Yes"/>
    <n v="-7.8999999999999904E-3"/>
  </r>
  <r>
    <n v="638"/>
    <x v="0"/>
    <n v="1"/>
    <x v="18"/>
    <b v="0"/>
    <n v="6"/>
    <n v="1"/>
    <n v="0.18"/>
    <x v="1"/>
    <n v="0.74"/>
    <n v="8.9599999999999999E-2"/>
    <n v="1"/>
    <n v="42"/>
    <n v="43"/>
    <s v="Spring"/>
    <s v="Saturday"/>
    <s v="Clear"/>
    <x v="3"/>
    <s v="Cold"/>
    <x v="1"/>
    <s v="Calm"/>
    <s v="Working Day"/>
    <s v="Mostly Registered"/>
    <n v="2.3255813953488369"/>
    <n v="97.674418604651152"/>
    <s v="No"/>
    <s v="Low"/>
    <s v="Yes"/>
    <n v="3.2100000000000017E-2"/>
  </r>
  <r>
    <n v="639"/>
    <x v="0"/>
    <n v="1"/>
    <x v="19"/>
    <b v="0"/>
    <n v="6"/>
    <n v="1"/>
    <n v="0.18"/>
    <x v="1"/>
    <n v="0.74"/>
    <n v="8.9599999999999999E-2"/>
    <n v="1"/>
    <n v="35"/>
    <n v="36"/>
    <s v="Spring"/>
    <s v="Saturday"/>
    <s v="Clear"/>
    <x v="0"/>
    <s v="Cold"/>
    <x v="1"/>
    <s v="Calm"/>
    <s v="Working Day"/>
    <s v="Mostly Registered"/>
    <n v="2.7777777777777781"/>
    <n v="97.222222222222214"/>
    <s v="No"/>
    <s v="Low"/>
    <s v="Yes"/>
    <n v="3.2100000000000017E-2"/>
  </r>
  <r>
    <n v="640"/>
    <x v="0"/>
    <n v="1"/>
    <x v="20"/>
    <b v="0"/>
    <n v="6"/>
    <n v="1"/>
    <n v="0.16"/>
    <x v="3"/>
    <n v="0.8"/>
    <n v="8.9599999999999999E-2"/>
    <n v="4"/>
    <n v="28"/>
    <n v="32"/>
    <s v="Spring"/>
    <s v="Saturday"/>
    <s v="Clear"/>
    <x v="0"/>
    <s v="Cold"/>
    <x v="1"/>
    <s v="Calm"/>
    <s v="Working Day"/>
    <s v="Mostly Registered"/>
    <n v="12.5"/>
    <n v="87.5"/>
    <s v="No"/>
    <s v="Low"/>
    <s v="Yes"/>
    <n v="3.7000000000000012E-2"/>
  </r>
  <r>
    <n v="641"/>
    <x v="0"/>
    <n v="1"/>
    <x v="21"/>
    <b v="0"/>
    <n v="6"/>
    <n v="1"/>
    <n v="0.16"/>
    <x v="3"/>
    <n v="0.8"/>
    <n v="8.9599999999999999E-2"/>
    <n v="3"/>
    <n v="30"/>
    <n v="33"/>
    <s v="Spring"/>
    <s v="Saturday"/>
    <s v="Clear"/>
    <x v="0"/>
    <s v="Cold"/>
    <x v="1"/>
    <s v="Calm"/>
    <s v="Working Day"/>
    <s v="Mostly Registered"/>
    <n v="9.0909090909090917"/>
    <n v="90.909090909090907"/>
    <s v="No"/>
    <s v="Low"/>
    <s v="Yes"/>
    <n v="3.7000000000000012E-2"/>
  </r>
  <r>
    <n v="642"/>
    <x v="1"/>
    <n v="1"/>
    <x v="22"/>
    <b v="0"/>
    <n v="0"/>
    <n v="1"/>
    <n v="0.16"/>
    <x v="2"/>
    <n v="0.8"/>
    <n v="0.1045"/>
    <n v="0"/>
    <n v="33"/>
    <n v="33"/>
    <s v="Spring"/>
    <s v="Sunday"/>
    <s v="Clear"/>
    <x v="0"/>
    <s v="Cold"/>
    <x v="1"/>
    <s v="Calm"/>
    <s v="Working Day"/>
    <s v="Mostly Registered"/>
    <n v="0"/>
    <n v="100"/>
    <s v="No"/>
    <s v="Low"/>
    <s v="Yes"/>
    <n v="2.179999999999999E-2"/>
  </r>
  <r>
    <n v="643"/>
    <x v="1"/>
    <n v="1"/>
    <x v="0"/>
    <b v="0"/>
    <n v="0"/>
    <n v="1"/>
    <n v="0.14000000000000001"/>
    <x v="1"/>
    <n v="0.8"/>
    <n v="0"/>
    <n v="7"/>
    <n v="22"/>
    <n v="29"/>
    <s v="Spring"/>
    <s v="Sunday"/>
    <s v="Clear"/>
    <x v="0"/>
    <s v="Very Cold"/>
    <x v="1"/>
    <s v="Calm"/>
    <s v="Working Day"/>
    <s v="Mostly Registered"/>
    <n v="24.137931034482762"/>
    <n v="75.862068965517238"/>
    <s v="No"/>
    <s v="Low"/>
    <s v="Yes"/>
    <n v="7.2099999999999997E-2"/>
  </r>
  <r>
    <n v="644"/>
    <x v="1"/>
    <n v="1"/>
    <x v="1"/>
    <b v="0"/>
    <n v="0"/>
    <n v="1"/>
    <n v="0.16"/>
    <x v="0"/>
    <n v="0.8"/>
    <n v="0"/>
    <n v="1"/>
    <n v="10"/>
    <n v="11"/>
    <s v="Spring"/>
    <s v="Sunday"/>
    <s v="Clear"/>
    <x v="0"/>
    <s v="Cold"/>
    <x v="1"/>
    <s v="Calm"/>
    <s v="Working Day"/>
    <s v="Mostly Registered"/>
    <n v="9.0909090909090917"/>
    <n v="90.909090909090907"/>
    <s v="No"/>
    <s v="Low"/>
    <s v="Yes"/>
    <n v="6.7299999999999999E-2"/>
  </r>
  <r>
    <n v="645"/>
    <x v="1"/>
    <n v="1"/>
    <x v="2"/>
    <b v="0"/>
    <n v="0"/>
    <n v="1"/>
    <n v="0.14000000000000001"/>
    <x v="1"/>
    <n v="0.93"/>
    <n v="0"/>
    <n v="1"/>
    <n v="7"/>
    <n v="8"/>
    <s v="Spring"/>
    <s v="Sunday"/>
    <s v="Clear"/>
    <x v="0"/>
    <s v="Very Cold"/>
    <x v="1"/>
    <s v="Calm"/>
    <s v="Working Day"/>
    <s v="Mostly Registered"/>
    <n v="12.5"/>
    <n v="87.5"/>
    <s v="No"/>
    <s v="Low"/>
    <s v="Yes"/>
    <n v="7.2099999999999997E-2"/>
  </r>
  <r>
    <n v="646"/>
    <x v="1"/>
    <n v="1"/>
    <x v="3"/>
    <b v="0"/>
    <n v="0"/>
    <n v="1"/>
    <n v="0.14000000000000001"/>
    <x v="1"/>
    <n v="0.93"/>
    <n v="0"/>
    <n v="0"/>
    <n v="1"/>
    <n v="1"/>
    <s v="Spring"/>
    <s v="Sunday"/>
    <s v="Clear"/>
    <x v="0"/>
    <s v="Very Cold"/>
    <x v="1"/>
    <s v="Calm"/>
    <s v="Working Day"/>
    <s v="Mostly Registered"/>
    <n v="0"/>
    <n v="100"/>
    <s v="No"/>
    <s v="Low"/>
    <s v="Yes"/>
    <n v="7.2099999999999997E-2"/>
  </r>
  <r>
    <n v="647"/>
    <x v="1"/>
    <n v="1"/>
    <x v="23"/>
    <b v="0"/>
    <n v="0"/>
    <n v="1"/>
    <n v="0.14000000000000001"/>
    <x v="1"/>
    <n v="0.86"/>
    <n v="0"/>
    <n v="0"/>
    <n v="3"/>
    <n v="3"/>
    <s v="Spring"/>
    <s v="Sunday"/>
    <s v="Clear"/>
    <x v="0"/>
    <s v="Very Cold"/>
    <x v="1"/>
    <s v="Calm"/>
    <s v="Working Day"/>
    <s v="Mostly Registered"/>
    <n v="0"/>
    <n v="100"/>
    <s v="No"/>
    <s v="Low"/>
    <s v="Yes"/>
    <n v="7.2099999999999997E-2"/>
  </r>
  <r>
    <n v="648"/>
    <x v="1"/>
    <n v="1"/>
    <x v="5"/>
    <b v="0"/>
    <n v="0"/>
    <n v="1"/>
    <n v="0.14000000000000001"/>
    <x v="1"/>
    <n v="0.86"/>
    <n v="0"/>
    <n v="0"/>
    <n v="3"/>
    <n v="3"/>
    <s v="Spring"/>
    <s v="Sunday"/>
    <s v="Clear"/>
    <x v="1"/>
    <s v="Very Cold"/>
    <x v="1"/>
    <s v="Calm"/>
    <s v="Working Day"/>
    <s v="Mostly Registered"/>
    <n v="0"/>
    <n v="100"/>
    <s v="Yes"/>
    <s v="Low"/>
    <s v="Yes"/>
    <n v="7.2099999999999997E-2"/>
  </r>
  <r>
    <n v="649"/>
    <x v="1"/>
    <n v="1"/>
    <x v="6"/>
    <b v="0"/>
    <n v="0"/>
    <n v="2"/>
    <n v="0.14000000000000001"/>
    <x v="1"/>
    <n v="0.86"/>
    <n v="0"/>
    <n v="1"/>
    <n v="11"/>
    <n v="12"/>
    <s v="Spring"/>
    <s v="Sunday"/>
    <s v="Mist/Cloudy"/>
    <x v="1"/>
    <s v="Very Cold"/>
    <x v="1"/>
    <s v="Calm"/>
    <s v="Working Day"/>
    <s v="Mostly Registered"/>
    <n v="8.3333333333333321"/>
    <n v="91.666666666666657"/>
    <s v="Yes"/>
    <s v="Low"/>
    <s v="Yes"/>
    <n v="7.2099999999999997E-2"/>
  </r>
  <r>
    <n v="650"/>
    <x v="1"/>
    <n v="1"/>
    <x v="7"/>
    <b v="0"/>
    <n v="0"/>
    <n v="2"/>
    <n v="0.16"/>
    <x v="0"/>
    <n v="0.8"/>
    <n v="0"/>
    <n v="4"/>
    <n v="34"/>
    <n v="38"/>
    <s v="Spring"/>
    <s v="Sunday"/>
    <s v="Mist/Cloudy"/>
    <x v="1"/>
    <s v="Cold"/>
    <x v="1"/>
    <s v="Calm"/>
    <s v="Working Day"/>
    <s v="Mostly Registered"/>
    <n v="10.52631578947368"/>
    <n v="89.473684210526315"/>
    <s v="Yes"/>
    <s v="Low"/>
    <s v="Yes"/>
    <n v="6.7299999999999999E-2"/>
  </r>
  <r>
    <n v="651"/>
    <x v="1"/>
    <n v="1"/>
    <x v="8"/>
    <b v="0"/>
    <n v="0"/>
    <n v="2"/>
    <n v="0.18"/>
    <x v="4"/>
    <n v="0.8"/>
    <n v="0"/>
    <n v="7"/>
    <n v="57"/>
    <n v="64"/>
    <s v="Spring"/>
    <s v="Sunday"/>
    <s v="Mist/Cloudy"/>
    <x v="1"/>
    <s v="Cold"/>
    <x v="1"/>
    <s v="Calm"/>
    <s v="Working Day"/>
    <s v="Mostly Registered"/>
    <n v="10.9375"/>
    <n v="89.0625"/>
    <s v="No"/>
    <s v="Low"/>
    <s v="Yes"/>
    <n v="6.2400000000000011E-2"/>
  </r>
  <r>
    <n v="652"/>
    <x v="1"/>
    <n v="1"/>
    <x v="9"/>
    <b v="0"/>
    <n v="0"/>
    <n v="1"/>
    <n v="0.22"/>
    <x v="6"/>
    <n v="0.75"/>
    <n v="0"/>
    <n v="9"/>
    <n v="50"/>
    <n v="59"/>
    <s v="Spring"/>
    <s v="Sunday"/>
    <s v="Clear"/>
    <x v="1"/>
    <s v="Cold"/>
    <x v="1"/>
    <s v="Calm"/>
    <s v="Working Day"/>
    <s v="Mostly Registered"/>
    <n v="15.25423728813559"/>
    <n v="84.745762711864401"/>
    <s v="No"/>
    <s v="Low"/>
    <s v="Yes"/>
    <n v="5.2699999999999997E-2"/>
  </r>
  <r>
    <n v="653"/>
    <x v="1"/>
    <n v="1"/>
    <x v="10"/>
    <b v="0"/>
    <n v="0"/>
    <n v="1"/>
    <n v="0.3"/>
    <x v="7"/>
    <n v="0.52"/>
    <n v="0.1045"/>
    <n v="10"/>
    <n v="87"/>
    <n v="97"/>
    <s v="Spring"/>
    <s v="Sunday"/>
    <s v="Clear"/>
    <x v="2"/>
    <s v="Mild"/>
    <x v="0"/>
    <s v="Calm"/>
    <s v="Working Day"/>
    <s v="Mostly Registered"/>
    <n v="10.309278350515459"/>
    <n v="89.690721649484544"/>
    <s v="No"/>
    <s v="Low"/>
    <s v="Yes"/>
    <n v="1.819999999999999E-2"/>
  </r>
  <r>
    <n v="654"/>
    <x v="1"/>
    <n v="1"/>
    <x v="11"/>
    <b v="0"/>
    <n v="0"/>
    <n v="1"/>
    <n v="0.28000000000000003"/>
    <x v="5"/>
    <n v="0.61"/>
    <n v="0.1045"/>
    <n v="13"/>
    <n v="71"/>
    <n v="84"/>
    <s v="Spring"/>
    <s v="Sunday"/>
    <s v="Clear"/>
    <x v="2"/>
    <s v="Mild"/>
    <x v="0"/>
    <s v="Calm"/>
    <s v="Working Day"/>
    <s v="Mostly Registered"/>
    <n v="15.47619047619048"/>
    <n v="84.523809523809518"/>
    <s v="No"/>
    <s v="Low"/>
    <s v="Yes"/>
    <n v="7.8999999999999626E-3"/>
  </r>
  <r>
    <n v="655"/>
    <x v="1"/>
    <n v="1"/>
    <x v="12"/>
    <b v="0"/>
    <n v="0"/>
    <n v="1"/>
    <n v="0.28000000000000003"/>
    <x v="8"/>
    <n v="0.61"/>
    <n v="8.9599999999999999E-2"/>
    <n v="18"/>
    <n v="104"/>
    <n v="122"/>
    <s v="Spring"/>
    <s v="Sunday"/>
    <s v="Clear"/>
    <x v="2"/>
    <s v="Mild"/>
    <x v="0"/>
    <s v="Calm"/>
    <s v="Working Day"/>
    <s v="Mostly Registered"/>
    <n v="14.754098360655741"/>
    <n v="85.245901639344254"/>
    <s v="No"/>
    <s v="Medium"/>
    <s v="Yes"/>
    <n v="2.2999999999999961E-2"/>
  </r>
  <r>
    <n v="656"/>
    <x v="1"/>
    <n v="1"/>
    <x v="13"/>
    <b v="0"/>
    <n v="0"/>
    <n v="1"/>
    <n v="0.3"/>
    <x v="9"/>
    <n v="0.56000000000000005"/>
    <n v="0"/>
    <n v="14"/>
    <n v="95"/>
    <n v="109"/>
    <s v="Spring"/>
    <s v="Sunday"/>
    <s v="Clear"/>
    <x v="2"/>
    <s v="Mild"/>
    <x v="0"/>
    <s v="Calm"/>
    <s v="Working Day"/>
    <s v="Mostly Registered"/>
    <n v="12.844036697247709"/>
    <n v="87.155963302752298"/>
    <s v="No"/>
    <s v="Medium"/>
    <s v="Yes"/>
    <n v="3.3300000000000003E-2"/>
  </r>
  <r>
    <n v="657"/>
    <x v="1"/>
    <n v="1"/>
    <x v="14"/>
    <b v="0"/>
    <n v="0"/>
    <n v="1"/>
    <n v="0.3"/>
    <x v="9"/>
    <n v="0.56000000000000005"/>
    <n v="0"/>
    <n v="19"/>
    <n v="104"/>
    <n v="123"/>
    <s v="Spring"/>
    <s v="Sunday"/>
    <s v="Clear"/>
    <x v="2"/>
    <s v="Mild"/>
    <x v="0"/>
    <s v="Calm"/>
    <s v="Working Day"/>
    <s v="Mostly Registered"/>
    <n v="15.447154471544721"/>
    <n v="84.552845528455293"/>
    <s v="No"/>
    <s v="Medium"/>
    <s v="Yes"/>
    <n v="3.3300000000000003E-2"/>
  </r>
  <r>
    <n v="658"/>
    <x v="1"/>
    <n v="1"/>
    <x v="15"/>
    <b v="0"/>
    <n v="0"/>
    <n v="1"/>
    <n v="0.3"/>
    <x v="5"/>
    <n v="0.56000000000000005"/>
    <n v="0.19400000000000001"/>
    <n v="6"/>
    <n v="71"/>
    <n v="77"/>
    <s v="Spring"/>
    <s v="Sunday"/>
    <s v="Clear"/>
    <x v="3"/>
    <s v="Mild"/>
    <x v="0"/>
    <s v="Moderate"/>
    <s v="Working Day"/>
    <s v="Mostly Registered"/>
    <n v="7.7922077922077921"/>
    <n v="92.20779220779221"/>
    <s v="Yes"/>
    <s v="Low"/>
    <s v="Yes"/>
    <n v="-1.21E-2"/>
  </r>
  <r>
    <n v="659"/>
    <x v="1"/>
    <n v="1"/>
    <x v="16"/>
    <b v="0"/>
    <n v="0"/>
    <n v="1"/>
    <n v="0.26"/>
    <x v="10"/>
    <n v="0.65"/>
    <n v="0.16420000000000001"/>
    <n v="8"/>
    <n v="57"/>
    <n v="65"/>
    <s v="Spring"/>
    <s v="Sunday"/>
    <s v="Clear"/>
    <x v="3"/>
    <s v="Mild"/>
    <x v="0"/>
    <s v="Moderate"/>
    <s v="Working Day"/>
    <s v="Mostly Registered"/>
    <n v="12.30769230769231"/>
    <n v="87.692307692307693"/>
    <s v="Yes"/>
    <s v="Low"/>
    <s v="Yes"/>
    <n v="-2.4000000000000128E-3"/>
  </r>
  <r>
    <n v="660"/>
    <x v="1"/>
    <n v="1"/>
    <x v="17"/>
    <b v="0"/>
    <n v="0"/>
    <n v="1"/>
    <n v="0.26"/>
    <x v="10"/>
    <n v="0.65"/>
    <n v="0.19400000000000001"/>
    <n v="9"/>
    <n v="46"/>
    <n v="55"/>
    <s v="Spring"/>
    <s v="Sunday"/>
    <s v="Clear"/>
    <x v="3"/>
    <s v="Mild"/>
    <x v="0"/>
    <s v="Moderate"/>
    <s v="Working Day"/>
    <s v="Mostly Registered"/>
    <n v="16.36363636363636"/>
    <n v="83.636363636363626"/>
    <s v="Yes"/>
    <s v="Low"/>
    <s v="Yes"/>
    <n v="-2.4000000000000128E-3"/>
  </r>
  <r>
    <n v="661"/>
    <x v="1"/>
    <n v="1"/>
    <x v="18"/>
    <b v="0"/>
    <n v="0"/>
    <n v="2"/>
    <n v="0.26"/>
    <x v="6"/>
    <n v="0.65"/>
    <n v="0.1045"/>
    <n v="3"/>
    <n v="30"/>
    <n v="33"/>
    <s v="Spring"/>
    <s v="Sunday"/>
    <s v="Mist/Cloudy"/>
    <x v="3"/>
    <s v="Mild"/>
    <x v="0"/>
    <s v="Calm"/>
    <s v="Working Day"/>
    <s v="Mostly Registered"/>
    <n v="9.0909090909090917"/>
    <n v="90.909090909090907"/>
    <s v="No"/>
    <s v="Low"/>
    <s v="Yes"/>
    <n v="1.2699999999999991E-2"/>
  </r>
  <r>
    <n v="662"/>
    <x v="1"/>
    <n v="1"/>
    <x v="19"/>
    <b v="0"/>
    <n v="0"/>
    <n v="2"/>
    <n v="0.24"/>
    <x v="4"/>
    <n v="0.7"/>
    <n v="0.16420000000000001"/>
    <n v="3"/>
    <n v="25"/>
    <n v="28"/>
    <s v="Spring"/>
    <s v="Sunday"/>
    <s v="Mist/Cloudy"/>
    <x v="0"/>
    <s v="Cold"/>
    <x v="1"/>
    <s v="Moderate"/>
    <s v="Working Day"/>
    <s v="Mostly Registered"/>
    <n v="10.71428571428571"/>
    <n v="89.285714285714292"/>
    <s v="No"/>
    <s v="Low"/>
    <s v="Yes"/>
    <n v="2.4000000000000128E-3"/>
  </r>
  <r>
    <n v="663"/>
    <x v="1"/>
    <n v="1"/>
    <x v="20"/>
    <b v="0"/>
    <n v="0"/>
    <n v="2"/>
    <n v="0.24"/>
    <x v="0"/>
    <n v="0.7"/>
    <n v="0.19400000000000001"/>
    <n v="2"/>
    <n v="19"/>
    <n v="21"/>
    <s v="Spring"/>
    <s v="Sunday"/>
    <s v="Mist/Cloudy"/>
    <x v="0"/>
    <s v="Cold"/>
    <x v="1"/>
    <s v="Moderate"/>
    <s v="Working Day"/>
    <s v="Mostly Registered"/>
    <n v="9.5238095238095237"/>
    <n v="90.476190476190482"/>
    <s v="No"/>
    <s v="Low"/>
    <s v="Yes"/>
    <n v="-1.2699999999999991E-2"/>
  </r>
  <r>
    <n v="664"/>
    <x v="1"/>
    <n v="1"/>
    <x v="21"/>
    <b v="0"/>
    <n v="0"/>
    <n v="2"/>
    <n v="0.24"/>
    <x v="1"/>
    <n v="0.65"/>
    <n v="0.28360000000000002"/>
    <n v="5"/>
    <n v="16"/>
    <n v="21"/>
    <s v="Spring"/>
    <s v="Sunday"/>
    <s v="Mist/Cloudy"/>
    <x v="0"/>
    <s v="Cold"/>
    <x v="0"/>
    <s v="Moderate"/>
    <s v="Working Day"/>
    <s v="Mostly Registered"/>
    <n v="23.80952380952381"/>
    <n v="76.19047619047619"/>
    <s v="No"/>
    <s v="Low"/>
    <s v="Yes"/>
    <n v="-2.789999999999998E-2"/>
  </r>
  <r>
    <n v="665"/>
    <x v="2"/>
    <n v="1"/>
    <x v="22"/>
    <b v="0"/>
    <n v="1"/>
    <n v="2"/>
    <n v="0.24"/>
    <x v="0"/>
    <n v="0.65"/>
    <n v="0.22389999999999999"/>
    <n v="1"/>
    <n v="6"/>
    <n v="7"/>
    <s v="Spring"/>
    <s v="Monday"/>
    <s v="Mist/Cloudy"/>
    <x v="0"/>
    <s v="Cold"/>
    <x v="0"/>
    <s v="Moderate"/>
    <s v="Working Day"/>
    <s v="Mostly Registered"/>
    <n v="14.285714285714279"/>
    <n v="85.714285714285708"/>
    <s v="No"/>
    <s v="Low"/>
    <s v="No"/>
    <n v="-1.2699999999999991E-2"/>
  </r>
  <r>
    <n v="666"/>
    <x v="2"/>
    <n v="1"/>
    <x v="0"/>
    <b v="0"/>
    <n v="1"/>
    <n v="1"/>
    <n v="0.22"/>
    <x v="1"/>
    <n v="0.64"/>
    <n v="0.25369999999999998"/>
    <n v="2"/>
    <n v="5"/>
    <n v="7"/>
    <s v="Spring"/>
    <s v="Monday"/>
    <s v="Clear"/>
    <x v="0"/>
    <s v="Cold"/>
    <x v="0"/>
    <s v="Moderate"/>
    <s v="Working Day"/>
    <s v="Mostly Registered"/>
    <n v="28.571428571428569"/>
    <n v="71.428571428571431"/>
    <s v="No"/>
    <s v="Low"/>
    <s v="No"/>
    <n v="-7.8999999999999904E-3"/>
  </r>
  <r>
    <n v="667"/>
    <x v="2"/>
    <n v="1"/>
    <x v="1"/>
    <b v="0"/>
    <n v="1"/>
    <n v="1"/>
    <n v="0.22"/>
    <x v="0"/>
    <n v="0.64"/>
    <n v="0.19400000000000001"/>
    <n v="0"/>
    <n v="1"/>
    <n v="1"/>
    <s v="Spring"/>
    <s v="Monday"/>
    <s v="Clear"/>
    <x v="0"/>
    <s v="Cold"/>
    <x v="0"/>
    <s v="Moderate"/>
    <s v="Working Day"/>
    <s v="Mostly Registered"/>
    <n v="0"/>
    <n v="100"/>
    <s v="No"/>
    <s v="Low"/>
    <s v="No"/>
    <n v="7.3000000000000009E-3"/>
  </r>
  <r>
    <n v="668"/>
    <x v="2"/>
    <n v="1"/>
    <x v="2"/>
    <b v="0"/>
    <n v="1"/>
    <n v="1"/>
    <n v="0.22"/>
    <x v="0"/>
    <n v="0.64"/>
    <n v="0.19400000000000001"/>
    <n v="0"/>
    <n v="2"/>
    <n v="2"/>
    <s v="Spring"/>
    <s v="Monday"/>
    <s v="Clear"/>
    <x v="0"/>
    <s v="Cold"/>
    <x v="0"/>
    <s v="Moderate"/>
    <s v="Working Day"/>
    <s v="Mostly Registered"/>
    <n v="0"/>
    <n v="100"/>
    <s v="No"/>
    <s v="Low"/>
    <s v="No"/>
    <n v="7.3000000000000009E-3"/>
  </r>
  <r>
    <n v="669"/>
    <x v="2"/>
    <n v="1"/>
    <x v="3"/>
    <b v="0"/>
    <n v="1"/>
    <n v="1"/>
    <n v="0.2"/>
    <x v="3"/>
    <n v="0.59"/>
    <n v="0.22389999999999999"/>
    <n v="0"/>
    <n v="2"/>
    <n v="2"/>
    <s v="Spring"/>
    <s v="Monday"/>
    <s v="Clear"/>
    <x v="0"/>
    <s v="Cold"/>
    <x v="0"/>
    <s v="Moderate"/>
    <s v="Working Day"/>
    <s v="Mostly Registered"/>
    <n v="0"/>
    <n v="100"/>
    <s v="No"/>
    <s v="Low"/>
    <s v="No"/>
    <n v="-3.0000000000000031E-3"/>
  </r>
  <r>
    <n v="670"/>
    <x v="2"/>
    <n v="1"/>
    <x v="23"/>
    <b v="0"/>
    <n v="1"/>
    <n v="1"/>
    <n v="0.18"/>
    <x v="11"/>
    <n v="0.64"/>
    <n v="0.28360000000000002"/>
    <n v="0"/>
    <n v="8"/>
    <n v="8"/>
    <s v="Spring"/>
    <s v="Monday"/>
    <s v="Clear"/>
    <x v="0"/>
    <s v="Cold"/>
    <x v="0"/>
    <s v="Moderate"/>
    <s v="Working Day"/>
    <s v="Mostly Registered"/>
    <n v="0"/>
    <n v="100"/>
    <s v="No"/>
    <s v="Low"/>
    <s v="No"/>
    <n v="-1.330000000000001E-2"/>
  </r>
  <r>
    <n v="671"/>
    <x v="2"/>
    <n v="1"/>
    <x v="4"/>
    <b v="0"/>
    <n v="1"/>
    <n v="1"/>
    <n v="0.16"/>
    <x v="12"/>
    <n v="0.69"/>
    <n v="0.32840000000000003"/>
    <n v="0"/>
    <n v="37"/>
    <n v="37"/>
    <s v="Spring"/>
    <s v="Monday"/>
    <s v="Clear"/>
    <x v="1"/>
    <s v="Cold"/>
    <x v="0"/>
    <s v="Windy"/>
    <s v="Working Day"/>
    <s v="Mostly Registered"/>
    <n v="0"/>
    <n v="100"/>
    <s v="No"/>
    <s v="Low"/>
    <s v="No"/>
    <n v="-2.360000000000001E-2"/>
  </r>
  <r>
    <n v="672"/>
    <x v="2"/>
    <n v="1"/>
    <x v="5"/>
    <b v="0"/>
    <n v="1"/>
    <n v="2"/>
    <n v="0.16"/>
    <x v="12"/>
    <n v="0.64"/>
    <n v="0.28360000000000002"/>
    <n v="1"/>
    <n v="71"/>
    <n v="72"/>
    <s v="Spring"/>
    <s v="Monday"/>
    <s v="Mist/Cloudy"/>
    <x v="1"/>
    <s v="Cold"/>
    <x v="0"/>
    <s v="Moderate"/>
    <s v="Working Day"/>
    <s v="Mostly Registered"/>
    <n v="1.3888888888888891"/>
    <n v="98.611111111111114"/>
    <s v="Yes"/>
    <s v="Low"/>
    <s v="No"/>
    <n v="-2.360000000000001E-2"/>
  </r>
  <r>
    <n v="673"/>
    <x v="2"/>
    <n v="1"/>
    <x v="6"/>
    <b v="0"/>
    <n v="1"/>
    <n v="2"/>
    <n v="0.16"/>
    <x v="12"/>
    <n v="0.59"/>
    <n v="0.28360000000000002"/>
    <n v="3"/>
    <n v="182"/>
    <n v="185"/>
    <s v="Spring"/>
    <s v="Monday"/>
    <s v="Mist/Cloudy"/>
    <x v="1"/>
    <s v="Cold"/>
    <x v="0"/>
    <s v="Moderate"/>
    <s v="Working Day"/>
    <s v="Mostly Registered"/>
    <n v="1.6216216216216219"/>
    <n v="98.378378378378386"/>
    <s v="Yes"/>
    <s v="Medium"/>
    <s v="No"/>
    <n v="-2.360000000000001E-2"/>
  </r>
  <r>
    <n v="674"/>
    <x v="2"/>
    <n v="1"/>
    <x v="7"/>
    <b v="0"/>
    <n v="1"/>
    <n v="2"/>
    <n v="0.16"/>
    <x v="12"/>
    <n v="0.59"/>
    <n v="0.29849999999999999"/>
    <n v="0"/>
    <n v="112"/>
    <n v="112"/>
    <s v="Spring"/>
    <s v="Monday"/>
    <s v="Mist/Cloudy"/>
    <x v="1"/>
    <s v="Cold"/>
    <x v="0"/>
    <s v="Moderate"/>
    <s v="Working Day"/>
    <s v="Mostly Registered"/>
    <n v="0"/>
    <n v="100"/>
    <s v="Yes"/>
    <s v="Medium"/>
    <s v="No"/>
    <n v="-2.360000000000001E-2"/>
  </r>
  <r>
    <n v="675"/>
    <x v="2"/>
    <n v="1"/>
    <x v="8"/>
    <b v="0"/>
    <n v="1"/>
    <n v="2"/>
    <n v="0.16"/>
    <x v="13"/>
    <n v="0.59"/>
    <n v="0.19400000000000001"/>
    <n v="1"/>
    <n v="68"/>
    <n v="69"/>
    <s v="Spring"/>
    <s v="Monday"/>
    <s v="Mist/Cloudy"/>
    <x v="1"/>
    <s v="Cold"/>
    <x v="0"/>
    <s v="Moderate"/>
    <s v="Working Day"/>
    <s v="Mostly Registered"/>
    <n v="1.449275362318841"/>
    <n v="98.550724637681171"/>
    <s v="No"/>
    <s v="Low"/>
    <s v="No"/>
    <n v="-8.5000000000000075E-3"/>
  </r>
  <r>
    <n v="676"/>
    <x v="2"/>
    <n v="1"/>
    <x v="9"/>
    <b v="0"/>
    <n v="1"/>
    <n v="2"/>
    <n v="0.16"/>
    <x v="13"/>
    <n v="0.59"/>
    <n v="0.19400000000000001"/>
    <n v="2"/>
    <n v="46"/>
    <n v="48"/>
    <s v="Spring"/>
    <s v="Monday"/>
    <s v="Mist/Cloudy"/>
    <x v="1"/>
    <s v="Cold"/>
    <x v="0"/>
    <s v="Moderate"/>
    <s v="Working Day"/>
    <s v="Mostly Registered"/>
    <n v="4.1666666666666661"/>
    <n v="95.833333333333343"/>
    <s v="No"/>
    <s v="Low"/>
    <s v="No"/>
    <n v="-8.5000000000000075E-3"/>
  </r>
  <r>
    <n v="677"/>
    <x v="2"/>
    <n v="1"/>
    <x v="10"/>
    <b v="0"/>
    <n v="1"/>
    <n v="2"/>
    <n v="0.18"/>
    <x v="1"/>
    <n v="0.55000000000000004"/>
    <n v="0.1045"/>
    <n v="6"/>
    <n v="62"/>
    <n v="68"/>
    <s v="Spring"/>
    <s v="Monday"/>
    <s v="Mist/Cloudy"/>
    <x v="2"/>
    <s v="Cold"/>
    <x v="0"/>
    <s v="Calm"/>
    <s v="Working Day"/>
    <s v="Mostly Registered"/>
    <n v="8.8235294117647065"/>
    <n v="91.17647058823529"/>
    <s v="No"/>
    <s v="Low"/>
    <s v="No"/>
    <n v="3.2100000000000017E-2"/>
  </r>
  <r>
    <n v="678"/>
    <x v="2"/>
    <n v="1"/>
    <x v="11"/>
    <b v="0"/>
    <n v="1"/>
    <n v="2"/>
    <n v="0.16"/>
    <x v="0"/>
    <n v="0.59"/>
    <n v="0"/>
    <n v="2"/>
    <n v="52"/>
    <n v="54"/>
    <s v="Spring"/>
    <s v="Monday"/>
    <s v="Mist/Cloudy"/>
    <x v="2"/>
    <s v="Cold"/>
    <x v="0"/>
    <s v="Calm"/>
    <s v="Working Day"/>
    <s v="Mostly Registered"/>
    <n v="3.7037037037037028"/>
    <n v="96.296296296296291"/>
    <s v="No"/>
    <s v="Low"/>
    <s v="No"/>
    <n v="6.7299999999999999E-2"/>
  </r>
  <r>
    <n v="679"/>
    <x v="2"/>
    <n v="1"/>
    <x v="12"/>
    <b v="0"/>
    <n v="1"/>
    <n v="2"/>
    <n v="0.18"/>
    <x v="3"/>
    <n v="0.55000000000000004"/>
    <n v="0.1343"/>
    <n v="1"/>
    <n v="85"/>
    <n v="86"/>
    <s v="Spring"/>
    <s v="Monday"/>
    <s v="Mist/Cloudy"/>
    <x v="2"/>
    <s v="Cold"/>
    <x v="0"/>
    <s v="Calm"/>
    <s v="Working Day"/>
    <s v="Mostly Registered"/>
    <n v="1.1627906976744189"/>
    <n v="98.837209302325576"/>
    <s v="No"/>
    <s v="Low"/>
    <s v="No"/>
    <n v="1.7000000000000019E-2"/>
  </r>
  <r>
    <n v="680"/>
    <x v="2"/>
    <n v="1"/>
    <x v="13"/>
    <b v="0"/>
    <n v="1"/>
    <n v="2"/>
    <n v="0.16"/>
    <x v="2"/>
    <n v="0.59"/>
    <n v="0.1343"/>
    <n v="3"/>
    <n v="41"/>
    <n v="44"/>
    <s v="Spring"/>
    <s v="Monday"/>
    <s v="Mist/Cloudy"/>
    <x v="2"/>
    <s v="Cold"/>
    <x v="0"/>
    <s v="Calm"/>
    <s v="Working Day"/>
    <s v="Mostly Registered"/>
    <n v="6.8181818181818166"/>
    <n v="93.181818181818173"/>
    <s v="No"/>
    <s v="Low"/>
    <s v="No"/>
    <n v="2.179999999999999E-2"/>
  </r>
  <r>
    <n v="681"/>
    <x v="2"/>
    <n v="1"/>
    <x v="14"/>
    <b v="0"/>
    <n v="1"/>
    <n v="2"/>
    <n v="0.16"/>
    <x v="2"/>
    <n v="0.56000000000000005"/>
    <n v="0.19400000000000001"/>
    <n v="3"/>
    <n v="83"/>
    <n v="86"/>
    <s v="Spring"/>
    <s v="Monday"/>
    <s v="Mist/Cloudy"/>
    <x v="2"/>
    <s v="Cold"/>
    <x v="0"/>
    <s v="Moderate"/>
    <s v="Working Day"/>
    <s v="Mostly Registered"/>
    <n v="3.4883720930232558"/>
    <n v="96.511627906976756"/>
    <s v="No"/>
    <s v="Low"/>
    <s v="No"/>
    <n v="2.179999999999999E-2"/>
  </r>
  <r>
    <n v="682"/>
    <x v="2"/>
    <n v="1"/>
    <x v="15"/>
    <b v="0"/>
    <n v="1"/>
    <n v="2"/>
    <n v="0.16"/>
    <x v="13"/>
    <n v="0.59"/>
    <n v="0.19400000000000001"/>
    <n v="6"/>
    <n v="155"/>
    <n v="161"/>
    <s v="Spring"/>
    <s v="Monday"/>
    <s v="Mist/Cloudy"/>
    <x v="3"/>
    <s v="Cold"/>
    <x v="0"/>
    <s v="Moderate"/>
    <s v="Working Day"/>
    <s v="Mostly Registered"/>
    <n v="3.726708074534161"/>
    <n v="96.273291925465841"/>
    <s v="Yes"/>
    <s v="Medium"/>
    <s v="No"/>
    <n v="-8.5000000000000075E-3"/>
  </r>
  <r>
    <n v="683"/>
    <x v="2"/>
    <n v="1"/>
    <x v="16"/>
    <b v="0"/>
    <n v="1"/>
    <n v="2"/>
    <n v="0.16"/>
    <x v="13"/>
    <n v="0.55000000000000004"/>
    <n v="0.22389999999999999"/>
    <n v="3"/>
    <n v="153"/>
    <n v="156"/>
    <s v="Spring"/>
    <s v="Monday"/>
    <s v="Mist/Cloudy"/>
    <x v="3"/>
    <s v="Cold"/>
    <x v="0"/>
    <s v="Moderate"/>
    <s v="Working Day"/>
    <s v="Mostly Registered"/>
    <n v="1.9230769230769229"/>
    <n v="98.076923076923066"/>
    <s v="Yes"/>
    <s v="Medium"/>
    <s v="No"/>
    <n v="-8.5000000000000075E-3"/>
  </r>
  <r>
    <n v="684"/>
    <x v="2"/>
    <n v="1"/>
    <x v="17"/>
    <b v="0"/>
    <n v="1"/>
    <n v="1"/>
    <n v="0.3"/>
    <x v="7"/>
    <n v="0.61"/>
    <n v="0.1045"/>
    <n v="3"/>
    <n v="108"/>
    <n v="111"/>
    <s v="Spring"/>
    <s v="Monday"/>
    <s v="Clear"/>
    <x v="3"/>
    <s v="Mild"/>
    <x v="0"/>
    <s v="Calm"/>
    <s v="Working Day"/>
    <s v="Mostly Registered"/>
    <n v="2.7027027027027031"/>
    <n v="97.297297297297305"/>
    <s v="Yes"/>
    <s v="Medium"/>
    <s v="No"/>
    <n v="1.819999999999999E-2"/>
  </r>
  <r>
    <n v="685"/>
    <x v="2"/>
    <n v="1"/>
    <x v="18"/>
    <b v="0"/>
    <n v="1"/>
    <n v="3"/>
    <n v="0.16"/>
    <x v="11"/>
    <n v="0.59"/>
    <n v="0.16420000000000001"/>
    <n v="0"/>
    <n v="78"/>
    <n v="78"/>
    <s v="Spring"/>
    <s v="Monday"/>
    <s v="Light Rain/Snow"/>
    <x v="3"/>
    <s v="Cold"/>
    <x v="0"/>
    <s v="Moderate"/>
    <s v="Working Day"/>
    <s v="Mostly Registered"/>
    <n v="0"/>
    <n v="100"/>
    <s v="No"/>
    <s v="Low"/>
    <s v="No"/>
    <n v="6.6999999999999837E-3"/>
  </r>
  <r>
    <n v="686"/>
    <x v="2"/>
    <n v="1"/>
    <x v="19"/>
    <b v="0"/>
    <n v="1"/>
    <n v="3"/>
    <n v="0.16"/>
    <x v="3"/>
    <n v="0.59"/>
    <n v="8.9599999999999999E-2"/>
    <n v="3"/>
    <n v="53"/>
    <n v="56"/>
    <s v="Spring"/>
    <s v="Monday"/>
    <s v="Light Rain/Snow"/>
    <x v="0"/>
    <s v="Cold"/>
    <x v="0"/>
    <s v="Calm"/>
    <s v="Working Day"/>
    <s v="Mostly Registered"/>
    <n v="5.3571428571428568"/>
    <n v="94.642857142857139"/>
    <s v="No"/>
    <s v="Low"/>
    <s v="No"/>
    <n v="3.7000000000000012E-2"/>
  </r>
  <r>
    <n v="687"/>
    <x v="2"/>
    <n v="1"/>
    <x v="20"/>
    <b v="0"/>
    <n v="1"/>
    <n v="2"/>
    <n v="0.16"/>
    <x v="2"/>
    <n v="0.59"/>
    <n v="0.1045"/>
    <n v="0"/>
    <n v="34"/>
    <n v="34"/>
    <s v="Spring"/>
    <s v="Monday"/>
    <s v="Mist/Cloudy"/>
    <x v="0"/>
    <s v="Cold"/>
    <x v="0"/>
    <s v="Calm"/>
    <s v="Working Day"/>
    <s v="Mostly Registered"/>
    <n v="0"/>
    <n v="100"/>
    <s v="No"/>
    <s v="Low"/>
    <s v="No"/>
    <n v="2.179999999999999E-2"/>
  </r>
  <r>
    <n v="688"/>
    <x v="2"/>
    <n v="1"/>
    <x v="21"/>
    <b v="0"/>
    <n v="1"/>
    <n v="2"/>
    <n v="0.16"/>
    <x v="3"/>
    <n v="0.64"/>
    <n v="8.9599999999999999E-2"/>
    <n v="2"/>
    <n v="15"/>
    <n v="17"/>
    <s v="Spring"/>
    <s v="Monday"/>
    <s v="Mist/Cloudy"/>
    <x v="0"/>
    <s v="Cold"/>
    <x v="0"/>
    <s v="Calm"/>
    <s v="Working Day"/>
    <s v="Mostly Registered"/>
    <n v="11.76470588235294"/>
    <n v="88.235294117647058"/>
    <s v="No"/>
    <s v="Low"/>
    <s v="No"/>
    <n v="3.7000000000000012E-2"/>
  </r>
  <r>
    <n v="689"/>
    <x v="3"/>
    <n v="1"/>
    <x v="22"/>
    <b v="0"/>
    <n v="2"/>
    <n v="2"/>
    <n v="0.16"/>
    <x v="2"/>
    <n v="0.64"/>
    <n v="0.1045"/>
    <n v="2"/>
    <n v="6"/>
    <n v="8"/>
    <s v="Spring"/>
    <s v="Tuesday"/>
    <s v="Mist/Cloudy"/>
    <x v="0"/>
    <s v="Cold"/>
    <x v="0"/>
    <s v="Calm"/>
    <s v="Working Day"/>
    <s v="Mostly Registered"/>
    <n v="25"/>
    <n v="75"/>
    <s v="No"/>
    <s v="Low"/>
    <s v="No"/>
    <n v="2.179999999999999E-2"/>
  </r>
  <r>
    <n v="690"/>
    <x v="3"/>
    <n v="1"/>
    <x v="0"/>
    <b v="0"/>
    <n v="2"/>
    <n v="2"/>
    <n v="0.16"/>
    <x v="2"/>
    <n v="0.69"/>
    <n v="0.1045"/>
    <n v="0"/>
    <n v="3"/>
    <n v="3"/>
    <s v="Spring"/>
    <s v="Tuesday"/>
    <s v="Mist/Cloudy"/>
    <x v="0"/>
    <s v="Cold"/>
    <x v="0"/>
    <s v="Calm"/>
    <s v="Working Day"/>
    <s v="Mostly Registered"/>
    <n v="0"/>
    <n v="100"/>
    <s v="No"/>
    <s v="Low"/>
    <s v="No"/>
    <n v="2.179999999999999E-2"/>
  </r>
  <r>
    <n v="691"/>
    <x v="3"/>
    <n v="1"/>
    <x v="1"/>
    <b v="0"/>
    <n v="2"/>
    <n v="2"/>
    <n v="0.16"/>
    <x v="0"/>
    <n v="0.69"/>
    <n v="0"/>
    <n v="0"/>
    <n v="2"/>
    <n v="2"/>
    <s v="Spring"/>
    <s v="Tuesday"/>
    <s v="Mist/Cloudy"/>
    <x v="0"/>
    <s v="Cold"/>
    <x v="0"/>
    <s v="Calm"/>
    <s v="Working Day"/>
    <s v="Mostly Registered"/>
    <n v="0"/>
    <n v="100"/>
    <s v="No"/>
    <s v="Low"/>
    <s v="No"/>
    <n v="6.7299999999999999E-2"/>
  </r>
  <r>
    <n v="692"/>
    <x v="3"/>
    <n v="1"/>
    <x v="2"/>
    <b v="0"/>
    <n v="2"/>
    <n v="2"/>
    <n v="0.16"/>
    <x v="0"/>
    <n v="0.69"/>
    <n v="0"/>
    <n v="0"/>
    <n v="2"/>
    <n v="2"/>
    <s v="Spring"/>
    <s v="Tuesday"/>
    <s v="Mist/Cloudy"/>
    <x v="0"/>
    <s v="Cold"/>
    <x v="0"/>
    <s v="Calm"/>
    <s v="Working Day"/>
    <s v="Mostly Registered"/>
    <n v="0"/>
    <n v="100"/>
    <s v="No"/>
    <s v="Low"/>
    <s v="No"/>
    <n v="6.7299999999999999E-2"/>
  </r>
  <r>
    <n v="693"/>
    <x v="3"/>
    <n v="1"/>
    <x v="23"/>
    <b v="0"/>
    <n v="2"/>
    <n v="3"/>
    <n v="0.14000000000000001"/>
    <x v="1"/>
    <n v="0.93"/>
    <n v="0"/>
    <n v="0"/>
    <n v="3"/>
    <n v="3"/>
    <s v="Spring"/>
    <s v="Tuesday"/>
    <s v="Light Rain/Snow"/>
    <x v="0"/>
    <s v="Very Cold"/>
    <x v="1"/>
    <s v="Calm"/>
    <s v="Working Day"/>
    <s v="Mostly Registered"/>
    <n v="0"/>
    <n v="100"/>
    <s v="No"/>
    <s v="Low"/>
    <s v="No"/>
    <n v="7.2099999999999997E-2"/>
  </r>
  <r>
    <n v="694"/>
    <x v="3"/>
    <n v="1"/>
    <x v="4"/>
    <b v="0"/>
    <n v="2"/>
    <n v="3"/>
    <n v="0.14000000000000001"/>
    <x v="1"/>
    <n v="0.93"/>
    <n v="0"/>
    <n v="0"/>
    <n v="22"/>
    <n v="22"/>
    <s v="Spring"/>
    <s v="Tuesday"/>
    <s v="Light Rain/Snow"/>
    <x v="1"/>
    <s v="Very Cold"/>
    <x v="1"/>
    <s v="Calm"/>
    <s v="Working Day"/>
    <s v="Mostly Registered"/>
    <n v="0"/>
    <n v="100"/>
    <s v="No"/>
    <s v="Low"/>
    <s v="No"/>
    <n v="7.2099999999999997E-2"/>
  </r>
  <r>
    <n v="695"/>
    <x v="3"/>
    <n v="1"/>
    <x v="5"/>
    <b v="0"/>
    <n v="2"/>
    <n v="3"/>
    <n v="0.16"/>
    <x v="0"/>
    <n v="0.93"/>
    <n v="0"/>
    <n v="0"/>
    <n v="52"/>
    <n v="52"/>
    <s v="Spring"/>
    <s v="Tuesday"/>
    <s v="Light Rain/Snow"/>
    <x v="1"/>
    <s v="Cold"/>
    <x v="1"/>
    <s v="Calm"/>
    <s v="Working Day"/>
    <s v="Mostly Registered"/>
    <n v="0"/>
    <n v="100"/>
    <s v="Yes"/>
    <s v="Low"/>
    <s v="No"/>
    <n v="6.7299999999999999E-2"/>
  </r>
  <r>
    <n v="696"/>
    <x v="3"/>
    <n v="1"/>
    <x v="6"/>
    <b v="0"/>
    <n v="2"/>
    <n v="3"/>
    <n v="0.16"/>
    <x v="0"/>
    <n v="0.93"/>
    <n v="0"/>
    <n v="3"/>
    <n v="132"/>
    <n v="135"/>
    <s v="Spring"/>
    <s v="Tuesday"/>
    <s v="Light Rain/Snow"/>
    <x v="1"/>
    <s v="Cold"/>
    <x v="1"/>
    <s v="Calm"/>
    <s v="Working Day"/>
    <s v="Mostly Registered"/>
    <n v="2.2222222222222219"/>
    <n v="97.777777777777771"/>
    <s v="Yes"/>
    <s v="Medium"/>
    <s v="No"/>
    <n v="6.7299999999999999E-2"/>
  </r>
  <r>
    <n v="697"/>
    <x v="3"/>
    <n v="1"/>
    <x v="7"/>
    <b v="0"/>
    <n v="2"/>
    <n v="2"/>
    <n v="0.16"/>
    <x v="0"/>
    <n v="0.93"/>
    <n v="0"/>
    <n v="2"/>
    <n v="114"/>
    <n v="116"/>
    <s v="Spring"/>
    <s v="Tuesday"/>
    <s v="Mist/Cloudy"/>
    <x v="1"/>
    <s v="Cold"/>
    <x v="1"/>
    <s v="Calm"/>
    <s v="Working Day"/>
    <s v="Mostly Registered"/>
    <n v="1.7241379310344831"/>
    <n v="98.275862068965509"/>
    <s v="Yes"/>
    <s v="Medium"/>
    <s v="No"/>
    <n v="6.7299999999999999E-2"/>
  </r>
  <r>
    <n v="698"/>
    <x v="3"/>
    <n v="1"/>
    <x v="8"/>
    <b v="0"/>
    <n v="2"/>
    <n v="2"/>
    <n v="0.16"/>
    <x v="0"/>
    <n v="0.93"/>
    <n v="0"/>
    <n v="0"/>
    <n v="47"/>
    <n v="47"/>
    <s v="Spring"/>
    <s v="Tuesday"/>
    <s v="Mist/Cloudy"/>
    <x v="1"/>
    <s v="Cold"/>
    <x v="1"/>
    <s v="Calm"/>
    <s v="Working Day"/>
    <s v="Mostly Registered"/>
    <n v="0"/>
    <n v="100"/>
    <s v="No"/>
    <s v="Low"/>
    <s v="No"/>
    <n v="6.7299999999999999E-2"/>
  </r>
  <r>
    <n v="699"/>
    <x v="3"/>
    <n v="1"/>
    <x v="9"/>
    <b v="0"/>
    <n v="2"/>
    <n v="2"/>
    <n v="0.18"/>
    <x v="4"/>
    <n v="0.86"/>
    <n v="0"/>
    <n v="2"/>
    <n v="49"/>
    <n v="51"/>
    <s v="Spring"/>
    <s v="Tuesday"/>
    <s v="Mist/Cloudy"/>
    <x v="1"/>
    <s v="Cold"/>
    <x v="1"/>
    <s v="Calm"/>
    <s v="Working Day"/>
    <s v="Mostly Registered"/>
    <n v="3.9215686274509798"/>
    <n v="96.078431372549019"/>
    <s v="No"/>
    <s v="Low"/>
    <s v="No"/>
    <n v="6.2400000000000011E-2"/>
  </r>
  <r>
    <n v="700"/>
    <x v="3"/>
    <n v="1"/>
    <x v="10"/>
    <b v="0"/>
    <n v="2"/>
    <n v="2"/>
    <n v="0.2"/>
    <x v="10"/>
    <n v="0.86"/>
    <n v="0"/>
    <n v="2"/>
    <n v="53"/>
    <n v="55"/>
    <s v="Spring"/>
    <s v="Tuesday"/>
    <s v="Mist/Cloudy"/>
    <x v="2"/>
    <s v="Cold"/>
    <x v="1"/>
    <s v="Calm"/>
    <s v="Working Day"/>
    <s v="Mostly Registered"/>
    <n v="3.6363636363636358"/>
    <n v="96.36363636363636"/>
    <s v="No"/>
    <s v="Low"/>
    <s v="No"/>
    <n v="5.7599999999999978E-2"/>
  </r>
  <r>
    <n v="701"/>
    <x v="3"/>
    <n v="1"/>
    <x v="11"/>
    <b v="0"/>
    <n v="2"/>
    <n v="2"/>
    <n v="0.2"/>
    <x v="10"/>
    <n v="0.86"/>
    <n v="0"/>
    <n v="3"/>
    <n v="49"/>
    <n v="52"/>
    <s v="Spring"/>
    <s v="Tuesday"/>
    <s v="Mist/Cloudy"/>
    <x v="2"/>
    <s v="Cold"/>
    <x v="1"/>
    <s v="Calm"/>
    <s v="Working Day"/>
    <s v="Mostly Registered"/>
    <n v="5.7692307692307692"/>
    <n v="94.230769230769226"/>
    <s v="No"/>
    <s v="Low"/>
    <s v="No"/>
    <n v="5.7599999999999978E-2"/>
  </r>
  <r>
    <n v="702"/>
    <x v="3"/>
    <n v="1"/>
    <x v="12"/>
    <b v="0"/>
    <n v="2"/>
    <n v="2"/>
    <n v="0.22"/>
    <x v="10"/>
    <n v="0.8"/>
    <n v="8.9599999999999999E-2"/>
    <n v="5"/>
    <n v="49"/>
    <n v="54"/>
    <s v="Spring"/>
    <s v="Tuesday"/>
    <s v="Mist/Cloudy"/>
    <x v="2"/>
    <s v="Cold"/>
    <x v="1"/>
    <s v="Calm"/>
    <s v="Working Day"/>
    <s v="Mostly Registered"/>
    <n v="9.2592592592592595"/>
    <n v="90.740740740740748"/>
    <s v="No"/>
    <s v="Low"/>
    <s v="No"/>
    <n v="3.7599999999999988E-2"/>
  </r>
  <r>
    <n v="703"/>
    <x v="3"/>
    <n v="1"/>
    <x v="13"/>
    <b v="0"/>
    <n v="2"/>
    <n v="2"/>
    <n v="0.24"/>
    <x v="5"/>
    <n v="0.75"/>
    <n v="0"/>
    <n v="7"/>
    <n v="45"/>
    <n v="52"/>
    <s v="Spring"/>
    <s v="Tuesday"/>
    <s v="Mist/Cloudy"/>
    <x v="2"/>
    <s v="Cold"/>
    <x v="1"/>
    <s v="Calm"/>
    <s v="Working Day"/>
    <s v="Mostly Registered"/>
    <n v="13.46153846153846"/>
    <n v="86.538461538461547"/>
    <s v="No"/>
    <s v="Low"/>
    <s v="No"/>
    <n v="4.7899999999999998E-2"/>
  </r>
  <r>
    <n v="704"/>
    <x v="3"/>
    <n v="1"/>
    <x v="14"/>
    <b v="0"/>
    <n v="2"/>
    <n v="2"/>
    <n v="0.24"/>
    <x v="4"/>
    <n v="0.75"/>
    <n v="0.1343"/>
    <n v="3"/>
    <n v="61"/>
    <n v="64"/>
    <s v="Spring"/>
    <s v="Tuesday"/>
    <s v="Mist/Cloudy"/>
    <x v="2"/>
    <s v="Cold"/>
    <x v="1"/>
    <s v="Calm"/>
    <s v="Working Day"/>
    <s v="Mostly Registered"/>
    <n v="4.6875"/>
    <n v="95.3125"/>
    <s v="No"/>
    <s v="Low"/>
    <s v="No"/>
    <n v="2.4000000000000128E-3"/>
  </r>
  <r>
    <n v="705"/>
    <x v="3"/>
    <n v="1"/>
    <x v="15"/>
    <b v="0"/>
    <n v="2"/>
    <n v="2"/>
    <n v="0.24"/>
    <x v="5"/>
    <n v="0.75"/>
    <n v="0"/>
    <n v="4"/>
    <n v="172"/>
    <n v="176"/>
    <s v="Spring"/>
    <s v="Tuesday"/>
    <s v="Mist/Cloudy"/>
    <x v="3"/>
    <s v="Cold"/>
    <x v="1"/>
    <s v="Calm"/>
    <s v="Working Day"/>
    <s v="Mostly Registered"/>
    <n v="2.2727272727272729"/>
    <n v="97.727272727272734"/>
    <s v="Yes"/>
    <s v="Medium"/>
    <s v="No"/>
    <n v="4.7899999999999998E-2"/>
  </r>
  <r>
    <n v="706"/>
    <x v="3"/>
    <n v="1"/>
    <x v="16"/>
    <b v="0"/>
    <n v="2"/>
    <n v="2"/>
    <n v="0.24"/>
    <x v="10"/>
    <n v="0.81"/>
    <n v="0.1045"/>
    <n v="3"/>
    <n v="165"/>
    <n v="168"/>
    <s v="Spring"/>
    <s v="Tuesday"/>
    <s v="Mist/Cloudy"/>
    <x v="3"/>
    <s v="Cold"/>
    <x v="1"/>
    <s v="Calm"/>
    <s v="Working Day"/>
    <s v="Mostly Registered"/>
    <n v="1.785714285714286"/>
    <n v="98.214285714285708"/>
    <s v="Yes"/>
    <s v="Medium"/>
    <s v="No"/>
    <n v="1.7600000000000001E-2"/>
  </r>
  <r>
    <n v="707"/>
    <x v="3"/>
    <n v="1"/>
    <x v="17"/>
    <b v="0"/>
    <n v="2"/>
    <n v="2"/>
    <n v="0.24"/>
    <x v="4"/>
    <n v="0.81"/>
    <n v="0.1343"/>
    <n v="3"/>
    <n v="105"/>
    <n v="108"/>
    <s v="Spring"/>
    <s v="Tuesday"/>
    <s v="Mist/Cloudy"/>
    <x v="3"/>
    <s v="Cold"/>
    <x v="1"/>
    <s v="Calm"/>
    <s v="Working Day"/>
    <s v="Mostly Registered"/>
    <n v="2.7777777777777781"/>
    <n v="97.222222222222214"/>
    <s v="Yes"/>
    <s v="Medium"/>
    <s v="No"/>
    <n v="2.4000000000000128E-3"/>
  </r>
  <r>
    <n v="708"/>
    <x v="3"/>
    <n v="1"/>
    <x v="18"/>
    <b v="0"/>
    <n v="2"/>
    <n v="2"/>
    <n v="0.22"/>
    <x v="0"/>
    <n v="0.87"/>
    <n v="0.1343"/>
    <n v="5"/>
    <n v="69"/>
    <n v="74"/>
    <s v="Spring"/>
    <s v="Tuesday"/>
    <s v="Mist/Cloudy"/>
    <x v="3"/>
    <s v="Cold"/>
    <x v="1"/>
    <s v="Calm"/>
    <s v="Working Day"/>
    <s v="Mostly Registered"/>
    <n v="6.756756756756757"/>
    <n v="93.243243243243242"/>
    <s v="No"/>
    <s v="Low"/>
    <s v="No"/>
    <n v="7.3000000000000009E-3"/>
  </r>
  <r>
    <n v="709"/>
    <x v="3"/>
    <n v="1"/>
    <x v="19"/>
    <b v="0"/>
    <n v="2"/>
    <n v="2"/>
    <n v="0.22"/>
    <x v="0"/>
    <n v="0.87"/>
    <n v="0.1343"/>
    <n v="0"/>
    <n v="64"/>
    <n v="64"/>
    <s v="Spring"/>
    <s v="Tuesday"/>
    <s v="Mist/Cloudy"/>
    <x v="0"/>
    <s v="Cold"/>
    <x v="1"/>
    <s v="Calm"/>
    <s v="Working Day"/>
    <s v="Mostly Registered"/>
    <n v="0"/>
    <n v="100"/>
    <s v="No"/>
    <s v="Low"/>
    <s v="No"/>
    <n v="7.3000000000000009E-3"/>
  </r>
  <r>
    <n v="710"/>
    <x v="3"/>
    <n v="1"/>
    <x v="20"/>
    <b v="0"/>
    <n v="2"/>
    <n v="2"/>
    <n v="0.22"/>
    <x v="10"/>
    <n v="0.87"/>
    <n v="8.9599999999999999E-2"/>
    <n v="2"/>
    <n v="34"/>
    <n v="36"/>
    <s v="Spring"/>
    <s v="Tuesday"/>
    <s v="Mist/Cloudy"/>
    <x v="0"/>
    <s v="Cold"/>
    <x v="1"/>
    <s v="Calm"/>
    <s v="Working Day"/>
    <s v="Mostly Registered"/>
    <n v="5.5555555555555554"/>
    <n v="94.444444444444443"/>
    <s v="No"/>
    <s v="Low"/>
    <s v="No"/>
    <n v="3.7599999999999988E-2"/>
  </r>
  <r>
    <n v="711"/>
    <x v="3"/>
    <n v="1"/>
    <x v="21"/>
    <b v="0"/>
    <n v="2"/>
    <n v="3"/>
    <n v="0.2"/>
    <x v="3"/>
    <n v="0.93"/>
    <n v="0.19400000000000001"/>
    <n v="1"/>
    <n v="15"/>
    <n v="16"/>
    <s v="Spring"/>
    <s v="Tuesday"/>
    <s v="Light Rain/Snow"/>
    <x v="0"/>
    <s v="Cold"/>
    <x v="1"/>
    <s v="Moderate"/>
    <s v="Working Day"/>
    <s v="Mostly Registered"/>
    <n v="6.25"/>
    <n v="93.75"/>
    <s v="No"/>
    <s v="Low"/>
    <s v="No"/>
    <n v="-3.0000000000000031E-3"/>
  </r>
  <r>
    <n v="712"/>
    <x v="4"/>
    <n v="1"/>
    <x v="22"/>
    <b v="0"/>
    <n v="3"/>
    <n v="3"/>
    <n v="0.22"/>
    <x v="4"/>
    <n v="0.93"/>
    <n v="0.1045"/>
    <n v="0"/>
    <n v="2"/>
    <n v="2"/>
    <s v="Spring"/>
    <s v="Wednesday"/>
    <s v="Light Rain/Snow"/>
    <x v="0"/>
    <s v="Cold"/>
    <x v="1"/>
    <s v="Calm"/>
    <s v="Working Day"/>
    <s v="Mostly Registered"/>
    <n v="0"/>
    <n v="100"/>
    <s v="No"/>
    <s v="Low"/>
    <s v="No"/>
    <n v="2.24E-2"/>
  </r>
  <r>
    <n v="713"/>
    <x v="4"/>
    <n v="1"/>
    <x v="0"/>
    <b v="0"/>
    <n v="3"/>
    <n v="3"/>
    <n v="0.22"/>
    <x v="0"/>
    <n v="0.93"/>
    <n v="0.19400000000000001"/>
    <n v="0"/>
    <n v="3"/>
    <n v="3"/>
    <s v="Spring"/>
    <s v="Wednesday"/>
    <s v="Light Rain/Snow"/>
    <x v="0"/>
    <s v="Cold"/>
    <x v="1"/>
    <s v="Moderate"/>
    <s v="Working Day"/>
    <s v="Mostly Registered"/>
    <n v="0"/>
    <n v="100"/>
    <s v="No"/>
    <s v="Low"/>
    <s v="No"/>
    <n v="7.3000000000000009E-3"/>
  </r>
  <r>
    <n v="714"/>
    <x v="4"/>
    <n v="1"/>
    <x v="1"/>
    <b v="0"/>
    <n v="3"/>
    <n v="3"/>
    <n v="0.22"/>
    <x v="0"/>
    <n v="0.93"/>
    <n v="0.1343"/>
    <n v="4"/>
    <n v="0"/>
    <n v="4"/>
    <s v="Spring"/>
    <s v="Wednesday"/>
    <s v="Light Rain/Snow"/>
    <x v="0"/>
    <s v="Cold"/>
    <x v="1"/>
    <s v="Calm"/>
    <s v="Working Day"/>
    <s v="Mostly Casual"/>
    <n v="100"/>
    <n v="0"/>
    <s v="No"/>
    <s v="Low"/>
    <s v="No"/>
    <n v="7.3000000000000009E-3"/>
  </r>
  <r>
    <n v="715"/>
    <x v="4"/>
    <n v="1"/>
    <x v="2"/>
    <b v="0"/>
    <n v="3"/>
    <n v="3"/>
    <n v="0.22"/>
    <x v="0"/>
    <n v="0.93"/>
    <n v="0.1343"/>
    <n v="0"/>
    <n v="1"/>
    <n v="1"/>
    <s v="Spring"/>
    <s v="Wednesday"/>
    <s v="Light Rain/Snow"/>
    <x v="0"/>
    <s v="Cold"/>
    <x v="1"/>
    <s v="Calm"/>
    <s v="Working Day"/>
    <s v="Mostly Registered"/>
    <n v="0"/>
    <n v="100"/>
    <s v="No"/>
    <s v="Low"/>
    <s v="No"/>
    <n v="7.3000000000000009E-3"/>
  </r>
  <r>
    <n v="716"/>
    <x v="4"/>
    <n v="1"/>
    <x v="3"/>
    <b v="0"/>
    <n v="3"/>
    <n v="3"/>
    <n v="0.22"/>
    <x v="1"/>
    <n v="0.93"/>
    <n v="0.28360000000000002"/>
    <n v="0"/>
    <n v="1"/>
    <n v="1"/>
    <s v="Spring"/>
    <s v="Wednesday"/>
    <s v="Light Rain/Snow"/>
    <x v="0"/>
    <s v="Cold"/>
    <x v="1"/>
    <s v="Moderate"/>
    <s v="Working Day"/>
    <s v="Mostly Registered"/>
    <n v="0"/>
    <n v="100"/>
    <s v="No"/>
    <s v="Low"/>
    <s v="No"/>
    <n v="-7.8999999999999904E-3"/>
  </r>
  <r>
    <n v="717"/>
    <x v="4"/>
    <n v="1"/>
    <x v="23"/>
    <b v="0"/>
    <n v="3"/>
    <n v="3"/>
    <n v="0.22"/>
    <x v="4"/>
    <n v="0.93"/>
    <n v="0.1045"/>
    <n v="0"/>
    <n v="3"/>
    <n v="3"/>
    <s v="Spring"/>
    <s v="Wednesday"/>
    <s v="Light Rain/Snow"/>
    <x v="0"/>
    <s v="Cold"/>
    <x v="1"/>
    <s v="Calm"/>
    <s v="Working Day"/>
    <s v="Mostly Registered"/>
    <n v="0"/>
    <n v="100"/>
    <s v="No"/>
    <s v="Low"/>
    <s v="No"/>
    <n v="2.24E-2"/>
  </r>
  <r>
    <n v="718"/>
    <x v="4"/>
    <n v="1"/>
    <x v="4"/>
    <b v="0"/>
    <n v="3"/>
    <n v="3"/>
    <n v="0.22"/>
    <x v="4"/>
    <n v="0.93"/>
    <n v="0.1045"/>
    <n v="1"/>
    <n v="17"/>
    <n v="18"/>
    <s v="Spring"/>
    <s v="Wednesday"/>
    <s v="Light Rain/Snow"/>
    <x v="1"/>
    <s v="Cold"/>
    <x v="1"/>
    <s v="Calm"/>
    <s v="Working Day"/>
    <s v="Mostly Registered"/>
    <n v="5.5555555555555554"/>
    <n v="94.444444444444443"/>
    <s v="No"/>
    <s v="Low"/>
    <s v="No"/>
    <n v="2.24E-2"/>
  </r>
  <r>
    <n v="719"/>
    <x v="4"/>
    <n v="1"/>
    <x v="5"/>
    <b v="0"/>
    <n v="3"/>
    <n v="3"/>
    <n v="0.22"/>
    <x v="1"/>
    <n v="0.93"/>
    <n v="0.22389999999999999"/>
    <n v="1"/>
    <n v="48"/>
    <n v="49"/>
    <s v="Spring"/>
    <s v="Wednesday"/>
    <s v="Light Rain/Snow"/>
    <x v="1"/>
    <s v="Cold"/>
    <x v="1"/>
    <s v="Moderate"/>
    <s v="Working Day"/>
    <s v="Mostly Registered"/>
    <n v="2.0408163265306118"/>
    <n v="97.959183673469383"/>
    <s v="Yes"/>
    <s v="Low"/>
    <s v="No"/>
    <n v="-7.8999999999999904E-3"/>
  </r>
  <r>
    <n v="720"/>
    <x v="4"/>
    <n v="1"/>
    <x v="6"/>
    <b v="0"/>
    <n v="3"/>
    <n v="3"/>
    <n v="0.22"/>
    <x v="1"/>
    <n v="0.93"/>
    <n v="0.22389999999999999"/>
    <n v="1"/>
    <n v="154"/>
    <n v="155"/>
    <s v="Spring"/>
    <s v="Wednesday"/>
    <s v="Light Rain/Snow"/>
    <x v="1"/>
    <s v="Cold"/>
    <x v="1"/>
    <s v="Moderate"/>
    <s v="Working Day"/>
    <s v="Mostly Registered"/>
    <n v="0.64516129032258063"/>
    <n v="99.354838709677423"/>
    <s v="Yes"/>
    <s v="Medium"/>
    <s v="No"/>
    <n v="-7.8999999999999904E-3"/>
  </r>
  <r>
    <n v="721"/>
    <x v="4"/>
    <n v="1"/>
    <x v="7"/>
    <b v="0"/>
    <n v="3"/>
    <n v="2"/>
    <n v="0.24"/>
    <x v="10"/>
    <n v="0.93"/>
    <n v="8.9599999999999999E-2"/>
    <n v="4"/>
    <n v="119"/>
    <n v="123"/>
    <s v="Spring"/>
    <s v="Wednesday"/>
    <s v="Mist/Cloudy"/>
    <x v="1"/>
    <s v="Cold"/>
    <x v="1"/>
    <s v="Calm"/>
    <s v="Working Day"/>
    <s v="Mostly Registered"/>
    <n v="3.2520325203252041"/>
    <n v="96.747967479674799"/>
    <s v="Yes"/>
    <s v="Medium"/>
    <s v="No"/>
    <n v="1.7600000000000001E-2"/>
  </r>
  <r>
    <n v="722"/>
    <x v="4"/>
    <n v="1"/>
    <x v="8"/>
    <b v="0"/>
    <n v="3"/>
    <n v="2"/>
    <n v="0.22"/>
    <x v="6"/>
    <n v="1"/>
    <n v="0"/>
    <n v="2"/>
    <n v="59"/>
    <n v="61"/>
    <s v="Spring"/>
    <s v="Wednesday"/>
    <s v="Mist/Cloudy"/>
    <x v="1"/>
    <s v="Cold"/>
    <x v="1"/>
    <s v="Calm"/>
    <s v="Working Day"/>
    <s v="Mostly Registered"/>
    <n v="3.278688524590164"/>
    <n v="96.721311475409834"/>
    <s v="No"/>
    <s v="Low"/>
    <s v="No"/>
    <n v="5.2699999999999997E-2"/>
  </r>
  <r>
    <n v="723"/>
    <x v="4"/>
    <n v="1"/>
    <x v="9"/>
    <b v="0"/>
    <n v="3"/>
    <n v="2"/>
    <n v="0.24"/>
    <x v="0"/>
    <n v="0.93"/>
    <n v="0.19400000000000001"/>
    <n v="5"/>
    <n v="47"/>
    <n v="52"/>
    <s v="Spring"/>
    <s v="Wednesday"/>
    <s v="Mist/Cloudy"/>
    <x v="1"/>
    <s v="Cold"/>
    <x v="1"/>
    <s v="Moderate"/>
    <s v="Working Day"/>
    <s v="Mostly Registered"/>
    <n v="9.6153846153846168"/>
    <n v="90.384615384615387"/>
    <s v="No"/>
    <s v="Low"/>
    <s v="No"/>
    <n v="-1.2699999999999991E-2"/>
  </r>
  <r>
    <n v="724"/>
    <x v="4"/>
    <n v="1"/>
    <x v="10"/>
    <b v="0"/>
    <n v="3"/>
    <n v="2"/>
    <n v="0.24"/>
    <x v="0"/>
    <n v="0.93"/>
    <n v="0.22389999999999999"/>
    <n v="3"/>
    <n v="61"/>
    <n v="64"/>
    <s v="Spring"/>
    <s v="Wednesday"/>
    <s v="Mist/Cloudy"/>
    <x v="2"/>
    <s v="Cold"/>
    <x v="1"/>
    <s v="Moderate"/>
    <s v="Working Day"/>
    <s v="Mostly Registered"/>
    <n v="4.6875"/>
    <n v="95.3125"/>
    <s v="No"/>
    <s v="Low"/>
    <s v="No"/>
    <n v="-1.2699999999999991E-2"/>
  </r>
  <r>
    <n v="725"/>
    <x v="4"/>
    <n v="1"/>
    <x v="11"/>
    <b v="0"/>
    <n v="3"/>
    <n v="1"/>
    <n v="0.34"/>
    <x v="9"/>
    <n v="0.93"/>
    <n v="0.16420000000000001"/>
    <n v="1"/>
    <n v="74"/>
    <n v="75"/>
    <s v="Spring"/>
    <s v="Wednesday"/>
    <s v="Clear"/>
    <x v="2"/>
    <s v="Mild"/>
    <x v="1"/>
    <s v="Moderate"/>
    <s v="Working Day"/>
    <s v="Mostly Registered"/>
    <n v="1.333333333333333"/>
    <n v="98.666666666666671"/>
    <s v="No"/>
    <s v="Low"/>
    <s v="No"/>
    <n v="-6.7000000000000393E-3"/>
  </r>
  <r>
    <n v="726"/>
    <x v="4"/>
    <n v="1"/>
    <x v="12"/>
    <b v="0"/>
    <n v="3"/>
    <n v="1"/>
    <n v="0.38"/>
    <x v="14"/>
    <n v="0.82"/>
    <n v="0.3881"/>
    <n v="2"/>
    <n v="61"/>
    <n v="63"/>
    <s v="Spring"/>
    <s v="Wednesday"/>
    <s v="Clear"/>
    <x v="2"/>
    <s v="Warm"/>
    <x v="1"/>
    <s v="Windy"/>
    <s v="Working Day"/>
    <s v="Mostly Registered"/>
    <n v="3.174603174603174"/>
    <n v="96.825396825396822"/>
    <s v="No"/>
    <s v="Low"/>
    <s v="No"/>
    <n v="1.389999999999997E-2"/>
  </r>
  <r>
    <n v="727"/>
    <x v="4"/>
    <n v="1"/>
    <x v="13"/>
    <b v="0"/>
    <n v="3"/>
    <n v="1"/>
    <n v="0.38"/>
    <x v="14"/>
    <n v="0.76"/>
    <n v="0.32840000000000003"/>
    <n v="10"/>
    <n v="66"/>
    <n v="76"/>
    <s v="Spring"/>
    <s v="Wednesday"/>
    <s v="Clear"/>
    <x v="2"/>
    <s v="Warm"/>
    <x v="1"/>
    <s v="Windy"/>
    <s v="Working Day"/>
    <s v="Mostly Registered"/>
    <n v="13.157894736842101"/>
    <n v="86.842105263157904"/>
    <s v="No"/>
    <s v="Low"/>
    <s v="No"/>
    <n v="1.389999999999997E-2"/>
  </r>
  <r>
    <n v="728"/>
    <x v="4"/>
    <n v="1"/>
    <x v="14"/>
    <b v="0"/>
    <n v="3"/>
    <n v="1"/>
    <n v="0.36"/>
    <x v="9"/>
    <n v="0.71"/>
    <n v="0.29849999999999999"/>
    <n v="8"/>
    <n v="95"/>
    <n v="103"/>
    <s v="Spring"/>
    <s v="Wednesday"/>
    <s v="Clear"/>
    <x v="2"/>
    <s v="Warm"/>
    <x v="1"/>
    <s v="Moderate"/>
    <s v="Working Day"/>
    <s v="Mostly Registered"/>
    <n v="7.7669902912621351"/>
    <n v="92.233009708737868"/>
    <s v="No"/>
    <s v="Medium"/>
    <s v="No"/>
    <n v="-2.6700000000000002E-2"/>
  </r>
  <r>
    <n v="729"/>
    <x v="4"/>
    <n v="1"/>
    <x v="15"/>
    <b v="0"/>
    <n v="3"/>
    <n v="1"/>
    <n v="0.36"/>
    <x v="7"/>
    <n v="0.53"/>
    <n v="0.52239999999999998"/>
    <n v="7"/>
    <n v="183"/>
    <n v="190"/>
    <s v="Spring"/>
    <s v="Wednesday"/>
    <s v="Clear"/>
    <x v="3"/>
    <s v="Warm"/>
    <x v="0"/>
    <s v="Windy"/>
    <s v="Working Day"/>
    <s v="Mostly Registered"/>
    <n v="3.6842105263157889"/>
    <n v="96.315789473684205"/>
    <s v="Yes"/>
    <s v="Medium"/>
    <s v="No"/>
    <n v="-4.1799999999999997E-2"/>
  </r>
  <r>
    <n v="730"/>
    <x v="4"/>
    <n v="1"/>
    <x v="16"/>
    <b v="0"/>
    <n v="3"/>
    <n v="1"/>
    <n v="0.34"/>
    <x v="5"/>
    <n v="0.42"/>
    <n v="0.55220000000000002"/>
    <n v="7"/>
    <n v="175"/>
    <n v="182"/>
    <s v="Spring"/>
    <s v="Wednesday"/>
    <s v="Clear"/>
    <x v="3"/>
    <s v="Mild"/>
    <x v="0"/>
    <s v="Windy"/>
    <s v="Working Day"/>
    <s v="Mostly Registered"/>
    <n v="3.8461538461538458"/>
    <n v="96.15384615384616"/>
    <s v="Yes"/>
    <s v="Medium"/>
    <s v="No"/>
    <n v="-5.2100000000000042E-2"/>
  </r>
  <r>
    <n v="731"/>
    <x v="4"/>
    <n v="1"/>
    <x v="17"/>
    <b v="0"/>
    <n v="3"/>
    <n v="1"/>
    <n v="0.28000000000000003"/>
    <x v="4"/>
    <n v="0.45"/>
    <n v="0.49249999999999999"/>
    <n v="3"/>
    <n v="88"/>
    <n v="91"/>
    <s v="Spring"/>
    <s v="Wednesday"/>
    <s v="Clear"/>
    <x v="3"/>
    <s v="Mild"/>
    <x v="0"/>
    <s v="Windy"/>
    <s v="Working Day"/>
    <s v="Mostly Registered"/>
    <n v="3.296703296703297"/>
    <n v="96.703296703296701"/>
    <s v="Yes"/>
    <s v="Low"/>
    <s v="No"/>
    <n v="-3.7600000000000022E-2"/>
  </r>
  <r>
    <n v="732"/>
    <x v="4"/>
    <n v="1"/>
    <x v="18"/>
    <b v="0"/>
    <n v="3"/>
    <n v="1"/>
    <n v="0.24"/>
    <x v="3"/>
    <n v="0.48"/>
    <n v="0.55220000000000002"/>
    <n v="4"/>
    <n v="71"/>
    <n v="75"/>
    <s v="Spring"/>
    <s v="Wednesday"/>
    <s v="Clear"/>
    <x v="3"/>
    <s v="Cold"/>
    <x v="0"/>
    <s v="Windy"/>
    <s v="Working Day"/>
    <s v="Mostly Registered"/>
    <n v="5.3333333333333339"/>
    <n v="94.666666666666671"/>
    <s v="No"/>
    <s v="Low"/>
    <s v="No"/>
    <n v="-4.2999999999999983E-2"/>
  </r>
  <r>
    <n v="733"/>
    <x v="4"/>
    <n v="1"/>
    <x v="19"/>
    <b v="0"/>
    <n v="3"/>
    <n v="1"/>
    <n v="0.22"/>
    <x v="3"/>
    <n v="0.47"/>
    <n v="0.32840000000000003"/>
    <n v="1"/>
    <n v="62"/>
    <n v="63"/>
    <s v="Spring"/>
    <s v="Wednesday"/>
    <s v="Clear"/>
    <x v="0"/>
    <s v="Cold"/>
    <x v="0"/>
    <s v="Windy"/>
    <s v="Working Day"/>
    <s v="Mostly Registered"/>
    <n v="1.587301587301587"/>
    <n v="98.412698412698404"/>
    <s v="No"/>
    <s v="Low"/>
    <s v="No"/>
    <n v="-2.2999999999999989E-2"/>
  </r>
  <r>
    <n v="734"/>
    <x v="4"/>
    <n v="1"/>
    <x v="20"/>
    <b v="0"/>
    <n v="3"/>
    <n v="1"/>
    <n v="0.22"/>
    <x v="1"/>
    <n v="0.44"/>
    <n v="0.25369999999999998"/>
    <n v="5"/>
    <n v="35"/>
    <n v="40"/>
    <s v="Spring"/>
    <s v="Wednesday"/>
    <s v="Clear"/>
    <x v="0"/>
    <s v="Cold"/>
    <x v="0"/>
    <s v="Moderate"/>
    <s v="Working Day"/>
    <s v="Mostly Registered"/>
    <n v="12.5"/>
    <n v="87.5"/>
    <s v="No"/>
    <s v="Low"/>
    <s v="No"/>
    <n v="-7.8999999999999904E-3"/>
  </r>
  <r>
    <n v="735"/>
    <x v="4"/>
    <n v="1"/>
    <x v="21"/>
    <b v="0"/>
    <n v="3"/>
    <n v="1"/>
    <n v="0.2"/>
    <x v="11"/>
    <n v="0.44"/>
    <n v="0.44779999999999998"/>
    <n v="3"/>
    <n v="29"/>
    <n v="32"/>
    <s v="Spring"/>
    <s v="Wednesday"/>
    <s v="Clear"/>
    <x v="0"/>
    <s v="Cold"/>
    <x v="0"/>
    <s v="Windy"/>
    <s v="Working Day"/>
    <s v="Mostly Registered"/>
    <n v="9.375"/>
    <n v="90.625"/>
    <s v="No"/>
    <s v="Low"/>
    <s v="No"/>
    <n v="-3.3300000000000017E-2"/>
  </r>
  <r>
    <n v="736"/>
    <x v="5"/>
    <n v="1"/>
    <x v="22"/>
    <b v="0"/>
    <n v="4"/>
    <n v="1"/>
    <n v="0.2"/>
    <x v="11"/>
    <n v="0.4"/>
    <n v="0.44779999999999998"/>
    <n v="1"/>
    <n v="11"/>
    <n v="12"/>
    <s v="Spring"/>
    <s v="Thursday"/>
    <s v="Clear"/>
    <x v="0"/>
    <s v="Cold"/>
    <x v="0"/>
    <s v="Windy"/>
    <s v="Working Day"/>
    <s v="Mostly Registered"/>
    <n v="8.3333333333333321"/>
    <n v="91.666666666666657"/>
    <s v="No"/>
    <s v="Low"/>
    <s v="No"/>
    <n v="-3.3300000000000017E-2"/>
  </r>
  <r>
    <n v="737"/>
    <x v="5"/>
    <n v="1"/>
    <x v="0"/>
    <b v="0"/>
    <n v="4"/>
    <n v="1"/>
    <n v="0.2"/>
    <x v="13"/>
    <n v="0.44"/>
    <n v="0.52239999999999998"/>
    <n v="0"/>
    <n v="5"/>
    <n v="5"/>
    <s v="Spring"/>
    <s v="Thursday"/>
    <s v="Clear"/>
    <x v="0"/>
    <s v="Cold"/>
    <x v="0"/>
    <s v="Windy"/>
    <s v="Working Day"/>
    <s v="Mostly Registered"/>
    <n v="0"/>
    <n v="100"/>
    <s v="No"/>
    <s v="Low"/>
    <s v="No"/>
    <n v="-4.8500000000000022E-2"/>
  </r>
  <r>
    <n v="738"/>
    <x v="5"/>
    <n v="1"/>
    <x v="1"/>
    <b v="0"/>
    <n v="4"/>
    <n v="1"/>
    <n v="0.18"/>
    <x v="11"/>
    <n v="0.43"/>
    <n v="0.25369999999999998"/>
    <n v="0"/>
    <n v="2"/>
    <n v="2"/>
    <s v="Spring"/>
    <s v="Thursday"/>
    <s v="Clear"/>
    <x v="0"/>
    <s v="Cold"/>
    <x v="0"/>
    <s v="Moderate"/>
    <s v="Working Day"/>
    <s v="Mostly Registered"/>
    <n v="0"/>
    <n v="100"/>
    <s v="No"/>
    <s v="Low"/>
    <s v="No"/>
    <n v="-1.330000000000001E-2"/>
  </r>
  <r>
    <n v="739"/>
    <x v="5"/>
    <n v="1"/>
    <x v="2"/>
    <b v="0"/>
    <n v="4"/>
    <n v="1"/>
    <n v="0.18"/>
    <x v="11"/>
    <n v="0.43"/>
    <n v="0.25369999999999998"/>
    <n v="0"/>
    <n v="1"/>
    <n v="1"/>
    <s v="Spring"/>
    <s v="Thursday"/>
    <s v="Clear"/>
    <x v="0"/>
    <s v="Cold"/>
    <x v="0"/>
    <s v="Moderate"/>
    <s v="Working Day"/>
    <s v="Mostly Registered"/>
    <n v="0"/>
    <n v="100"/>
    <s v="No"/>
    <s v="Low"/>
    <s v="No"/>
    <n v="-1.330000000000001E-2"/>
  </r>
  <r>
    <n v="740"/>
    <x v="5"/>
    <n v="1"/>
    <x v="23"/>
    <b v="0"/>
    <n v="4"/>
    <n v="1"/>
    <n v="0.16"/>
    <x v="12"/>
    <n v="0.5"/>
    <n v="0.29849999999999999"/>
    <n v="0"/>
    <n v="2"/>
    <n v="2"/>
    <s v="Spring"/>
    <s v="Thursday"/>
    <s v="Clear"/>
    <x v="0"/>
    <s v="Cold"/>
    <x v="0"/>
    <s v="Moderate"/>
    <s v="Working Day"/>
    <s v="Mostly Registered"/>
    <n v="0"/>
    <n v="100"/>
    <s v="No"/>
    <s v="Low"/>
    <s v="No"/>
    <n v="-2.360000000000001E-2"/>
  </r>
  <r>
    <n v="741"/>
    <x v="5"/>
    <n v="1"/>
    <x v="4"/>
    <b v="0"/>
    <n v="4"/>
    <n v="1"/>
    <n v="0.16"/>
    <x v="12"/>
    <n v="0.43"/>
    <n v="0.35820000000000002"/>
    <n v="0"/>
    <n v="39"/>
    <n v="39"/>
    <s v="Spring"/>
    <s v="Thursday"/>
    <s v="Clear"/>
    <x v="1"/>
    <s v="Cold"/>
    <x v="0"/>
    <s v="Windy"/>
    <s v="Working Day"/>
    <s v="Mostly Registered"/>
    <n v="0"/>
    <n v="100"/>
    <s v="No"/>
    <s v="Low"/>
    <s v="No"/>
    <n v="-2.360000000000001E-2"/>
  </r>
  <r>
    <n v="742"/>
    <x v="5"/>
    <n v="1"/>
    <x v="5"/>
    <b v="0"/>
    <n v="4"/>
    <n v="1"/>
    <n v="0.14000000000000001"/>
    <x v="15"/>
    <n v="0.5"/>
    <n v="0.32840000000000003"/>
    <n v="1"/>
    <n v="86"/>
    <n v="87"/>
    <s v="Spring"/>
    <s v="Thursday"/>
    <s v="Clear"/>
    <x v="1"/>
    <s v="Very Cold"/>
    <x v="0"/>
    <s v="Windy"/>
    <s v="Working Day"/>
    <s v="Mostly Registered"/>
    <n v="1.149425287356322"/>
    <n v="98.850574712643677"/>
    <s v="Yes"/>
    <s v="Low"/>
    <s v="No"/>
    <n v="-1.8800000000000011E-2"/>
  </r>
  <r>
    <n v="743"/>
    <x v="5"/>
    <n v="1"/>
    <x v="6"/>
    <b v="0"/>
    <n v="4"/>
    <n v="1"/>
    <n v="0.14000000000000001"/>
    <x v="15"/>
    <n v="0.5"/>
    <n v="0.35820000000000002"/>
    <n v="4"/>
    <n v="184"/>
    <n v="188"/>
    <s v="Spring"/>
    <s v="Thursday"/>
    <s v="Clear"/>
    <x v="1"/>
    <s v="Very Cold"/>
    <x v="0"/>
    <s v="Windy"/>
    <s v="Working Day"/>
    <s v="Mostly Registered"/>
    <n v="2.1276595744680851"/>
    <n v="97.872340425531917"/>
    <s v="Yes"/>
    <s v="Medium"/>
    <s v="No"/>
    <n v="-1.8800000000000011E-2"/>
  </r>
  <r>
    <n v="744"/>
    <x v="5"/>
    <n v="1"/>
    <x v="7"/>
    <b v="0"/>
    <n v="4"/>
    <n v="1"/>
    <n v="0.16"/>
    <x v="12"/>
    <n v="0.47"/>
    <n v="0.29849999999999999"/>
    <n v="6"/>
    <n v="127"/>
    <n v="133"/>
    <s v="Spring"/>
    <s v="Thursday"/>
    <s v="Clear"/>
    <x v="1"/>
    <s v="Cold"/>
    <x v="0"/>
    <s v="Moderate"/>
    <s v="Working Day"/>
    <s v="Mostly Registered"/>
    <n v="4.5112781954887211"/>
    <n v="95.488721804511272"/>
    <s v="Yes"/>
    <s v="Medium"/>
    <s v="No"/>
    <n v="-2.360000000000001E-2"/>
  </r>
  <r>
    <n v="745"/>
    <x v="5"/>
    <n v="1"/>
    <x v="8"/>
    <b v="0"/>
    <n v="4"/>
    <n v="1"/>
    <n v="0.18"/>
    <x v="13"/>
    <n v="0.43"/>
    <n v="0.32840000000000003"/>
    <n v="2"/>
    <n v="50"/>
    <n v="52"/>
    <s v="Spring"/>
    <s v="Thursday"/>
    <s v="Clear"/>
    <x v="1"/>
    <s v="Cold"/>
    <x v="0"/>
    <s v="Windy"/>
    <s v="Working Day"/>
    <s v="Mostly Registered"/>
    <n v="3.8461538461538458"/>
    <n v="96.15384615384616"/>
    <s v="No"/>
    <s v="Low"/>
    <s v="No"/>
    <n v="-2.8500000000000001E-2"/>
  </r>
  <r>
    <n v="746"/>
    <x v="5"/>
    <n v="1"/>
    <x v="9"/>
    <b v="0"/>
    <n v="4"/>
    <n v="1"/>
    <n v="0.18"/>
    <x v="12"/>
    <n v="0.43"/>
    <n v="0.44779999999999998"/>
    <n v="9"/>
    <n v="55"/>
    <n v="64"/>
    <s v="Spring"/>
    <s v="Thursday"/>
    <s v="Clear"/>
    <x v="1"/>
    <s v="Cold"/>
    <x v="0"/>
    <s v="Windy"/>
    <s v="Working Day"/>
    <s v="Mostly Registered"/>
    <n v="14.0625"/>
    <n v="85.9375"/>
    <s v="No"/>
    <s v="Low"/>
    <s v="No"/>
    <n v="-4.36E-2"/>
  </r>
  <r>
    <n v="747"/>
    <x v="5"/>
    <n v="1"/>
    <x v="10"/>
    <b v="0"/>
    <n v="4"/>
    <n v="1"/>
    <n v="0.2"/>
    <x v="2"/>
    <n v="0.4"/>
    <n v="0.35820000000000002"/>
    <n v="2"/>
    <n v="67"/>
    <n v="69"/>
    <s v="Spring"/>
    <s v="Thursday"/>
    <s v="Clear"/>
    <x v="2"/>
    <s v="Cold"/>
    <x v="0"/>
    <s v="Windy"/>
    <s v="Working Day"/>
    <s v="Mostly Registered"/>
    <n v="2.8985507246376812"/>
    <n v="97.101449275362313"/>
    <s v="No"/>
    <s v="Low"/>
    <s v="No"/>
    <n v="-1.8200000000000022E-2"/>
  </r>
  <r>
    <n v="748"/>
    <x v="5"/>
    <n v="1"/>
    <x v="11"/>
    <b v="0"/>
    <n v="4"/>
    <n v="1"/>
    <n v="0.2"/>
    <x v="11"/>
    <n v="0.4"/>
    <n v="0.41789999999999999"/>
    <n v="4"/>
    <n v="47"/>
    <n v="51"/>
    <s v="Spring"/>
    <s v="Thursday"/>
    <s v="Clear"/>
    <x v="2"/>
    <s v="Cold"/>
    <x v="0"/>
    <s v="Windy"/>
    <s v="Working Day"/>
    <s v="Mostly Registered"/>
    <n v="7.8431372549019596"/>
    <n v="92.156862745098039"/>
    <s v="No"/>
    <s v="Low"/>
    <s v="No"/>
    <n v="-3.3300000000000017E-2"/>
  </r>
  <r>
    <n v="749"/>
    <x v="5"/>
    <n v="1"/>
    <x v="12"/>
    <b v="0"/>
    <n v="4"/>
    <n v="1"/>
    <n v="0.22"/>
    <x v="3"/>
    <n v="0.37"/>
    <n v="0.3881"/>
    <n v="4"/>
    <n v="43"/>
    <n v="47"/>
    <s v="Spring"/>
    <s v="Thursday"/>
    <s v="Clear"/>
    <x v="2"/>
    <s v="Cold"/>
    <x v="2"/>
    <s v="Windy"/>
    <s v="Working Day"/>
    <s v="Mostly Registered"/>
    <n v="8.5106382978723403"/>
    <n v="91.489361702127653"/>
    <s v="No"/>
    <s v="Low"/>
    <s v="No"/>
    <n v="-2.2999999999999989E-2"/>
  </r>
  <r>
    <n v="750"/>
    <x v="5"/>
    <n v="1"/>
    <x v="13"/>
    <b v="0"/>
    <n v="4"/>
    <n v="1"/>
    <n v="0.22"/>
    <x v="3"/>
    <n v="0.37"/>
    <n v="0.32840000000000003"/>
    <n v="4"/>
    <n v="56"/>
    <n v="60"/>
    <s v="Spring"/>
    <s v="Thursday"/>
    <s v="Clear"/>
    <x v="2"/>
    <s v="Cold"/>
    <x v="2"/>
    <s v="Windy"/>
    <s v="Working Day"/>
    <s v="Mostly Registered"/>
    <n v="6.666666666666667"/>
    <n v="93.333333333333329"/>
    <s v="No"/>
    <s v="Low"/>
    <s v="No"/>
    <n v="-2.2999999999999989E-2"/>
  </r>
  <r>
    <n v="751"/>
    <x v="5"/>
    <n v="1"/>
    <x v="14"/>
    <b v="0"/>
    <n v="4"/>
    <n v="1"/>
    <n v="0.22"/>
    <x v="1"/>
    <n v="0.37"/>
    <n v="0.25369999999999998"/>
    <n v="5"/>
    <n v="73"/>
    <n v="78"/>
    <s v="Spring"/>
    <s v="Thursday"/>
    <s v="Clear"/>
    <x v="2"/>
    <s v="Cold"/>
    <x v="2"/>
    <s v="Moderate"/>
    <s v="Working Day"/>
    <s v="Mostly Registered"/>
    <n v="6.4102564102564097"/>
    <n v="93.589743589743591"/>
    <s v="No"/>
    <s v="Low"/>
    <s v="No"/>
    <n v="-7.8999999999999904E-3"/>
  </r>
  <r>
    <n v="752"/>
    <x v="5"/>
    <n v="1"/>
    <x v="15"/>
    <b v="0"/>
    <n v="4"/>
    <n v="1"/>
    <n v="0.2"/>
    <x v="3"/>
    <n v="0.4"/>
    <n v="0.19400000000000001"/>
    <n v="5"/>
    <n v="170"/>
    <n v="175"/>
    <s v="Spring"/>
    <s v="Thursday"/>
    <s v="Clear"/>
    <x v="3"/>
    <s v="Cold"/>
    <x v="0"/>
    <s v="Moderate"/>
    <s v="Working Day"/>
    <s v="Mostly Registered"/>
    <n v="2.8571428571428572"/>
    <n v="97.142857142857139"/>
    <s v="Yes"/>
    <s v="Medium"/>
    <s v="No"/>
    <n v="-3.0000000000000031E-3"/>
  </r>
  <r>
    <n v="753"/>
    <x v="5"/>
    <n v="1"/>
    <x v="16"/>
    <b v="0"/>
    <n v="4"/>
    <n v="1"/>
    <n v="0.2"/>
    <x v="1"/>
    <n v="0.4"/>
    <n v="0.16420000000000001"/>
    <n v="2"/>
    <n v="145"/>
    <n v="147"/>
    <s v="Spring"/>
    <s v="Thursday"/>
    <s v="Clear"/>
    <x v="3"/>
    <s v="Cold"/>
    <x v="0"/>
    <s v="Moderate"/>
    <s v="Working Day"/>
    <s v="Mostly Registered"/>
    <n v="1.360544217687075"/>
    <n v="98.639455782312922"/>
    <s v="Yes"/>
    <s v="Medium"/>
    <s v="No"/>
    <n v="1.21E-2"/>
  </r>
  <r>
    <n v="754"/>
    <x v="5"/>
    <n v="1"/>
    <x v="17"/>
    <b v="0"/>
    <n v="4"/>
    <n v="1"/>
    <n v="0.2"/>
    <x v="10"/>
    <n v="0.4"/>
    <n v="0"/>
    <n v="4"/>
    <n v="92"/>
    <n v="96"/>
    <s v="Spring"/>
    <s v="Thursday"/>
    <s v="Clear"/>
    <x v="3"/>
    <s v="Cold"/>
    <x v="0"/>
    <s v="Calm"/>
    <s v="Working Day"/>
    <s v="Mostly Registered"/>
    <n v="4.1666666666666661"/>
    <n v="95.833333333333343"/>
    <s v="Yes"/>
    <s v="Low"/>
    <s v="No"/>
    <n v="5.7599999999999978E-2"/>
  </r>
  <r>
    <n v="755"/>
    <x v="5"/>
    <n v="1"/>
    <x v="18"/>
    <b v="0"/>
    <n v="4"/>
    <n v="1"/>
    <n v="0.2"/>
    <x v="0"/>
    <n v="0.47"/>
    <n v="8.9599999999999999E-2"/>
    <n v="1"/>
    <n v="108"/>
    <n v="109"/>
    <s v="Spring"/>
    <s v="Thursday"/>
    <s v="Clear"/>
    <x v="3"/>
    <s v="Cold"/>
    <x v="0"/>
    <s v="Calm"/>
    <s v="Working Day"/>
    <s v="Mostly Registered"/>
    <n v="0.91743119266055051"/>
    <n v="99.082568807339456"/>
    <s v="No"/>
    <s v="Medium"/>
    <s v="No"/>
    <n v="2.7299999999999991E-2"/>
  </r>
  <r>
    <n v="756"/>
    <x v="5"/>
    <n v="1"/>
    <x v="19"/>
    <b v="0"/>
    <n v="4"/>
    <n v="1"/>
    <n v="0.18"/>
    <x v="1"/>
    <n v="0.55000000000000004"/>
    <n v="0.1045"/>
    <n v="1"/>
    <n v="53"/>
    <n v="54"/>
    <s v="Spring"/>
    <s v="Thursday"/>
    <s v="Clear"/>
    <x v="0"/>
    <s v="Cold"/>
    <x v="0"/>
    <s v="Calm"/>
    <s v="Working Day"/>
    <s v="Mostly Registered"/>
    <n v="1.8518518518518521"/>
    <n v="98.148148148148152"/>
    <s v="No"/>
    <s v="Low"/>
    <s v="No"/>
    <n v="3.2100000000000017E-2"/>
  </r>
  <r>
    <n v="757"/>
    <x v="5"/>
    <n v="1"/>
    <x v="20"/>
    <b v="0"/>
    <n v="4"/>
    <n v="1"/>
    <n v="0.18"/>
    <x v="1"/>
    <n v="0.51"/>
    <n v="8.9599999999999999E-2"/>
    <n v="2"/>
    <n v="39"/>
    <n v="41"/>
    <s v="Spring"/>
    <s v="Thursday"/>
    <s v="Clear"/>
    <x v="0"/>
    <s v="Cold"/>
    <x v="0"/>
    <s v="Calm"/>
    <s v="Working Day"/>
    <s v="Mostly Registered"/>
    <n v="4.8780487804878048"/>
    <n v="95.121951219512198"/>
    <s v="No"/>
    <s v="Low"/>
    <s v="No"/>
    <n v="3.2100000000000017E-2"/>
  </r>
  <r>
    <n v="758"/>
    <x v="5"/>
    <n v="1"/>
    <x v="21"/>
    <b v="0"/>
    <n v="4"/>
    <n v="1"/>
    <n v="0.2"/>
    <x v="0"/>
    <n v="0.47"/>
    <n v="0.1045"/>
    <n v="4"/>
    <n v="34"/>
    <n v="38"/>
    <s v="Spring"/>
    <s v="Thursday"/>
    <s v="Clear"/>
    <x v="0"/>
    <s v="Cold"/>
    <x v="0"/>
    <s v="Calm"/>
    <s v="Working Day"/>
    <s v="Mostly Registered"/>
    <n v="10.52631578947368"/>
    <n v="89.473684210526315"/>
    <s v="No"/>
    <s v="Low"/>
    <s v="No"/>
    <n v="2.7299999999999991E-2"/>
  </r>
  <r>
    <n v="759"/>
    <x v="6"/>
    <n v="1"/>
    <x v="22"/>
    <b v="0"/>
    <n v="5"/>
    <n v="2"/>
    <n v="0.2"/>
    <x v="10"/>
    <n v="0.44"/>
    <n v="0"/>
    <n v="3"/>
    <n v="10"/>
    <n v="13"/>
    <s v="Spring"/>
    <s v="Friday"/>
    <s v="Mist/Cloudy"/>
    <x v="0"/>
    <s v="Cold"/>
    <x v="0"/>
    <s v="Calm"/>
    <s v="Working Day"/>
    <s v="Mostly Registered"/>
    <n v="23.07692307692308"/>
    <n v="76.923076923076934"/>
    <s v="No"/>
    <s v="Low"/>
    <s v="No"/>
    <n v="5.7599999999999978E-2"/>
  </r>
  <r>
    <n v="760"/>
    <x v="6"/>
    <n v="1"/>
    <x v="0"/>
    <b v="0"/>
    <n v="5"/>
    <n v="2"/>
    <n v="0.16"/>
    <x v="0"/>
    <n v="0.59"/>
    <n v="0"/>
    <n v="0"/>
    <n v="7"/>
    <n v="7"/>
    <s v="Spring"/>
    <s v="Friday"/>
    <s v="Mist/Cloudy"/>
    <x v="0"/>
    <s v="Cold"/>
    <x v="0"/>
    <s v="Calm"/>
    <s v="Working Day"/>
    <s v="Mostly Registered"/>
    <n v="0"/>
    <n v="100"/>
    <s v="No"/>
    <s v="Low"/>
    <s v="No"/>
    <n v="6.7299999999999999E-2"/>
  </r>
  <r>
    <n v="761"/>
    <x v="6"/>
    <n v="1"/>
    <x v="1"/>
    <b v="0"/>
    <n v="5"/>
    <n v="2"/>
    <n v="0.14000000000000001"/>
    <x v="11"/>
    <n v="0.63"/>
    <n v="0.1045"/>
    <n v="0"/>
    <n v="1"/>
    <n v="1"/>
    <s v="Spring"/>
    <s v="Friday"/>
    <s v="Mist/Cloudy"/>
    <x v="0"/>
    <s v="Very Cold"/>
    <x v="0"/>
    <s v="Calm"/>
    <s v="Working Day"/>
    <s v="Mostly Registered"/>
    <n v="0"/>
    <n v="100"/>
    <s v="No"/>
    <s v="Low"/>
    <s v="No"/>
    <n v="2.669999999999997E-2"/>
  </r>
  <r>
    <n v="762"/>
    <x v="6"/>
    <n v="1"/>
    <x v="2"/>
    <b v="0"/>
    <n v="5"/>
    <n v="2"/>
    <n v="0.14000000000000001"/>
    <x v="11"/>
    <n v="0.63"/>
    <n v="0.1045"/>
    <n v="0"/>
    <n v="1"/>
    <n v="1"/>
    <s v="Spring"/>
    <s v="Friday"/>
    <s v="Mist/Cloudy"/>
    <x v="0"/>
    <s v="Very Cold"/>
    <x v="0"/>
    <s v="Calm"/>
    <s v="Working Day"/>
    <s v="Mostly Registered"/>
    <n v="0"/>
    <n v="100"/>
    <s v="No"/>
    <s v="Low"/>
    <s v="No"/>
    <n v="2.669999999999997E-2"/>
  </r>
  <r>
    <n v="763"/>
    <x v="6"/>
    <n v="1"/>
    <x v="23"/>
    <b v="0"/>
    <n v="5"/>
    <n v="2"/>
    <n v="0.14000000000000001"/>
    <x v="13"/>
    <n v="0.63"/>
    <n v="0.1343"/>
    <n v="0"/>
    <n v="7"/>
    <n v="7"/>
    <s v="Spring"/>
    <s v="Friday"/>
    <s v="Mist/Cloudy"/>
    <x v="0"/>
    <s v="Very Cold"/>
    <x v="0"/>
    <s v="Calm"/>
    <s v="Working Day"/>
    <s v="Mostly Registered"/>
    <n v="0"/>
    <n v="100"/>
    <s v="No"/>
    <s v="Low"/>
    <s v="No"/>
    <n v="1.1499999999999981E-2"/>
  </r>
  <r>
    <n v="764"/>
    <x v="6"/>
    <n v="1"/>
    <x v="4"/>
    <b v="0"/>
    <n v="5"/>
    <n v="2"/>
    <n v="0.16"/>
    <x v="0"/>
    <n v="0.55000000000000004"/>
    <n v="0"/>
    <n v="2"/>
    <n v="26"/>
    <n v="28"/>
    <s v="Spring"/>
    <s v="Friday"/>
    <s v="Mist/Cloudy"/>
    <x v="1"/>
    <s v="Cold"/>
    <x v="0"/>
    <s v="Calm"/>
    <s v="Working Day"/>
    <s v="Mostly Registered"/>
    <n v="7.1428571428571423"/>
    <n v="92.857142857142861"/>
    <s v="No"/>
    <s v="Low"/>
    <s v="No"/>
    <n v="6.7299999999999999E-2"/>
  </r>
  <r>
    <n v="765"/>
    <x v="6"/>
    <n v="1"/>
    <x v="5"/>
    <b v="0"/>
    <n v="5"/>
    <n v="1"/>
    <n v="0.14000000000000001"/>
    <x v="1"/>
    <n v="0.59"/>
    <n v="0"/>
    <n v="0"/>
    <n v="87"/>
    <n v="87"/>
    <s v="Spring"/>
    <s v="Friday"/>
    <s v="Clear"/>
    <x v="1"/>
    <s v="Very Cold"/>
    <x v="0"/>
    <s v="Calm"/>
    <s v="Working Day"/>
    <s v="Mostly Registered"/>
    <n v="0"/>
    <n v="100"/>
    <s v="Yes"/>
    <s v="Low"/>
    <s v="No"/>
    <n v="7.2099999999999997E-2"/>
  </r>
  <r>
    <n v="766"/>
    <x v="6"/>
    <n v="1"/>
    <x v="6"/>
    <b v="0"/>
    <n v="5"/>
    <n v="1"/>
    <n v="0.14000000000000001"/>
    <x v="13"/>
    <n v="0.74"/>
    <n v="0.1343"/>
    <n v="3"/>
    <n v="217"/>
    <n v="220"/>
    <s v="Spring"/>
    <s v="Friday"/>
    <s v="Clear"/>
    <x v="1"/>
    <s v="Very Cold"/>
    <x v="1"/>
    <s v="Calm"/>
    <s v="Working Day"/>
    <s v="Mostly Registered"/>
    <n v="1.363636363636364"/>
    <n v="98.636363636363626"/>
    <s v="Yes"/>
    <s v="Medium"/>
    <s v="No"/>
    <n v="1.1499999999999981E-2"/>
  </r>
  <r>
    <n v="767"/>
    <x v="6"/>
    <n v="1"/>
    <x v="7"/>
    <b v="0"/>
    <n v="5"/>
    <n v="2"/>
    <n v="0.16"/>
    <x v="2"/>
    <n v="0.8"/>
    <n v="0.1343"/>
    <n v="3"/>
    <n v="124"/>
    <n v="127"/>
    <s v="Spring"/>
    <s v="Friday"/>
    <s v="Mist/Cloudy"/>
    <x v="1"/>
    <s v="Cold"/>
    <x v="1"/>
    <s v="Calm"/>
    <s v="Working Day"/>
    <s v="Mostly Registered"/>
    <n v="2.3622047244094491"/>
    <n v="97.637795275590548"/>
    <s v="Yes"/>
    <s v="Medium"/>
    <s v="No"/>
    <n v="2.179999999999999E-2"/>
  </r>
  <r>
    <n v="768"/>
    <x v="6"/>
    <n v="1"/>
    <x v="8"/>
    <b v="0"/>
    <n v="5"/>
    <n v="2"/>
    <n v="0.2"/>
    <x v="1"/>
    <n v="0.51"/>
    <n v="0.1343"/>
    <n v="5"/>
    <n v="46"/>
    <n v="51"/>
    <s v="Spring"/>
    <s v="Friday"/>
    <s v="Mist/Cloudy"/>
    <x v="1"/>
    <s v="Cold"/>
    <x v="0"/>
    <s v="Calm"/>
    <s v="Working Day"/>
    <s v="Mostly Registered"/>
    <n v="9.8039215686274517"/>
    <n v="90.196078431372555"/>
    <s v="No"/>
    <s v="Low"/>
    <s v="No"/>
    <n v="1.21E-2"/>
  </r>
  <r>
    <n v="769"/>
    <x v="6"/>
    <n v="1"/>
    <x v="9"/>
    <b v="0"/>
    <n v="5"/>
    <n v="1"/>
    <n v="0.22"/>
    <x v="0"/>
    <n v="0.51"/>
    <n v="0.16420000000000001"/>
    <n v="3"/>
    <n v="61"/>
    <n v="64"/>
    <s v="Spring"/>
    <s v="Friday"/>
    <s v="Clear"/>
    <x v="1"/>
    <s v="Cold"/>
    <x v="0"/>
    <s v="Moderate"/>
    <s v="Working Day"/>
    <s v="Mostly Registered"/>
    <n v="4.6875"/>
    <n v="95.3125"/>
    <s v="No"/>
    <s v="Low"/>
    <s v="No"/>
    <n v="7.3000000000000009E-3"/>
  </r>
  <r>
    <n v="770"/>
    <x v="6"/>
    <n v="1"/>
    <x v="10"/>
    <b v="0"/>
    <n v="5"/>
    <n v="2"/>
    <n v="0.24"/>
    <x v="4"/>
    <n v="0.48"/>
    <n v="0.16420000000000001"/>
    <n v="8"/>
    <n v="78"/>
    <n v="86"/>
    <s v="Spring"/>
    <s v="Friday"/>
    <s v="Mist/Cloudy"/>
    <x v="2"/>
    <s v="Cold"/>
    <x v="0"/>
    <s v="Moderate"/>
    <s v="Working Day"/>
    <s v="Mostly Registered"/>
    <n v="9.3023255813953494"/>
    <n v="90.697674418604649"/>
    <s v="No"/>
    <s v="Low"/>
    <s v="No"/>
    <n v="2.4000000000000128E-3"/>
  </r>
  <r>
    <n v="771"/>
    <x v="6"/>
    <n v="1"/>
    <x v="11"/>
    <b v="0"/>
    <n v="5"/>
    <n v="2"/>
    <n v="0.26"/>
    <x v="10"/>
    <n v="0.5"/>
    <n v="0.22389999999999999"/>
    <n v="9"/>
    <n v="73"/>
    <n v="82"/>
    <s v="Spring"/>
    <s v="Friday"/>
    <s v="Mist/Cloudy"/>
    <x v="2"/>
    <s v="Mild"/>
    <x v="0"/>
    <s v="Moderate"/>
    <s v="Working Day"/>
    <s v="Mostly Registered"/>
    <n v="10.97560975609756"/>
    <n v="89.024390243902445"/>
    <s v="No"/>
    <s v="Low"/>
    <s v="No"/>
    <n v="-2.4000000000000128E-3"/>
  </r>
  <r>
    <n v="772"/>
    <x v="6"/>
    <n v="1"/>
    <x v="12"/>
    <b v="0"/>
    <n v="5"/>
    <n v="2"/>
    <n v="0.28000000000000003"/>
    <x v="6"/>
    <n v="0.45"/>
    <n v="0.16420000000000001"/>
    <n v="15"/>
    <n v="76"/>
    <n v="91"/>
    <s v="Spring"/>
    <s v="Friday"/>
    <s v="Mist/Cloudy"/>
    <x v="2"/>
    <s v="Mild"/>
    <x v="0"/>
    <s v="Moderate"/>
    <s v="Working Day"/>
    <s v="Mostly Registered"/>
    <n v="16.483516483516478"/>
    <n v="83.516483516483518"/>
    <s v="No"/>
    <s v="Low"/>
    <s v="No"/>
    <n v="-7.3000000000000287E-3"/>
  </r>
  <r>
    <n v="773"/>
    <x v="6"/>
    <n v="1"/>
    <x v="13"/>
    <b v="0"/>
    <n v="5"/>
    <n v="2"/>
    <n v="0.28000000000000003"/>
    <x v="6"/>
    <n v="0.48"/>
    <n v="0.25369999999999998"/>
    <n v="9"/>
    <n v="81"/>
    <n v="90"/>
    <s v="Spring"/>
    <s v="Friday"/>
    <s v="Mist/Cloudy"/>
    <x v="2"/>
    <s v="Mild"/>
    <x v="0"/>
    <s v="Moderate"/>
    <s v="Working Day"/>
    <s v="Mostly Registered"/>
    <n v="10"/>
    <n v="90"/>
    <s v="No"/>
    <s v="Low"/>
    <s v="No"/>
    <n v="-7.3000000000000287E-3"/>
  </r>
  <r>
    <n v="774"/>
    <x v="6"/>
    <n v="1"/>
    <x v="14"/>
    <b v="0"/>
    <n v="5"/>
    <n v="2"/>
    <n v="0.3"/>
    <x v="5"/>
    <n v="0.42"/>
    <n v="0.22389999999999999"/>
    <n v="8"/>
    <n v="91"/>
    <n v="99"/>
    <s v="Spring"/>
    <s v="Friday"/>
    <s v="Mist/Cloudy"/>
    <x v="2"/>
    <s v="Mild"/>
    <x v="0"/>
    <s v="Moderate"/>
    <s v="Working Day"/>
    <s v="Mostly Registered"/>
    <n v="8.0808080808080813"/>
    <n v="91.919191919191917"/>
    <s v="No"/>
    <s v="Low"/>
    <s v="No"/>
    <n v="-1.21E-2"/>
  </r>
  <r>
    <n v="775"/>
    <x v="6"/>
    <n v="1"/>
    <x v="15"/>
    <b v="0"/>
    <n v="5"/>
    <n v="2"/>
    <n v="0.26"/>
    <x v="6"/>
    <n v="0.56000000000000005"/>
    <n v="0.1343"/>
    <n v="10"/>
    <n v="195"/>
    <n v="205"/>
    <s v="Spring"/>
    <s v="Friday"/>
    <s v="Mist/Cloudy"/>
    <x v="3"/>
    <s v="Mild"/>
    <x v="0"/>
    <s v="Calm"/>
    <s v="Working Day"/>
    <s v="Mostly Registered"/>
    <n v="4.8780487804878048"/>
    <n v="95.121951219512198"/>
    <s v="Yes"/>
    <s v="Medium"/>
    <s v="No"/>
    <n v="1.2699999999999991E-2"/>
  </r>
  <r>
    <n v="776"/>
    <x v="6"/>
    <n v="1"/>
    <x v="16"/>
    <b v="0"/>
    <n v="5"/>
    <n v="2"/>
    <n v="0.24"/>
    <x v="10"/>
    <n v="0.6"/>
    <n v="0.1045"/>
    <n v="3"/>
    <n v="152"/>
    <n v="155"/>
    <s v="Spring"/>
    <s v="Friday"/>
    <s v="Mist/Cloudy"/>
    <x v="3"/>
    <s v="Cold"/>
    <x v="0"/>
    <s v="Calm"/>
    <s v="Working Day"/>
    <s v="Mostly Registered"/>
    <n v="1.935483870967742"/>
    <n v="98.064516129032256"/>
    <s v="Yes"/>
    <s v="Medium"/>
    <s v="No"/>
    <n v="1.7600000000000001E-2"/>
  </r>
  <r>
    <n v="777"/>
    <x v="6"/>
    <n v="1"/>
    <x v="17"/>
    <b v="0"/>
    <n v="5"/>
    <n v="2"/>
    <n v="0.24"/>
    <x v="4"/>
    <n v="0.65"/>
    <n v="0.1343"/>
    <n v="1"/>
    <n v="102"/>
    <n v="103"/>
    <s v="Spring"/>
    <s v="Friday"/>
    <s v="Mist/Cloudy"/>
    <x v="3"/>
    <s v="Cold"/>
    <x v="0"/>
    <s v="Calm"/>
    <s v="Working Day"/>
    <s v="Mostly Registered"/>
    <n v="0.97087378640776689"/>
    <n v="99.029126213592235"/>
    <s v="Yes"/>
    <s v="Medium"/>
    <s v="No"/>
    <n v="2.4000000000000128E-3"/>
  </r>
  <r>
    <n v="778"/>
    <x v="6"/>
    <n v="1"/>
    <x v="18"/>
    <b v="0"/>
    <n v="5"/>
    <n v="2"/>
    <n v="0.24"/>
    <x v="4"/>
    <n v="0.65"/>
    <n v="0.16420000000000001"/>
    <n v="2"/>
    <n v="69"/>
    <n v="71"/>
    <s v="Spring"/>
    <s v="Friday"/>
    <s v="Mist/Cloudy"/>
    <x v="3"/>
    <s v="Cold"/>
    <x v="0"/>
    <s v="Moderate"/>
    <s v="Working Day"/>
    <s v="Mostly Registered"/>
    <n v="2.816901408450704"/>
    <n v="97.183098591549296"/>
    <s v="No"/>
    <s v="Low"/>
    <s v="No"/>
    <n v="2.4000000000000128E-3"/>
  </r>
  <r>
    <n v="779"/>
    <x v="6"/>
    <n v="1"/>
    <x v="19"/>
    <b v="0"/>
    <n v="5"/>
    <n v="2"/>
    <n v="0.24"/>
    <x v="4"/>
    <n v="0.7"/>
    <n v="0.16420000000000001"/>
    <n v="2"/>
    <n v="41"/>
    <n v="43"/>
    <s v="Spring"/>
    <s v="Friday"/>
    <s v="Mist/Cloudy"/>
    <x v="0"/>
    <s v="Cold"/>
    <x v="1"/>
    <s v="Moderate"/>
    <s v="Working Day"/>
    <s v="Mostly Registered"/>
    <n v="4.6511627906976747"/>
    <n v="95.348837209302332"/>
    <s v="No"/>
    <s v="Low"/>
    <s v="No"/>
    <n v="2.4000000000000128E-3"/>
  </r>
  <r>
    <n v="780"/>
    <x v="6"/>
    <n v="1"/>
    <x v="20"/>
    <b v="0"/>
    <n v="5"/>
    <n v="2"/>
    <n v="0.24"/>
    <x v="4"/>
    <n v="0.65"/>
    <n v="0.16420000000000001"/>
    <n v="1"/>
    <n v="45"/>
    <n v="46"/>
    <s v="Spring"/>
    <s v="Friday"/>
    <s v="Mist/Cloudy"/>
    <x v="0"/>
    <s v="Cold"/>
    <x v="0"/>
    <s v="Moderate"/>
    <s v="Working Day"/>
    <s v="Mostly Registered"/>
    <n v="2.1739130434782612"/>
    <n v="97.826086956521735"/>
    <s v="No"/>
    <s v="Low"/>
    <s v="No"/>
    <n v="2.4000000000000128E-3"/>
  </r>
  <r>
    <n v="781"/>
    <x v="6"/>
    <n v="1"/>
    <x v="21"/>
    <b v="0"/>
    <n v="5"/>
    <n v="2"/>
    <n v="0.24"/>
    <x v="4"/>
    <n v="0.7"/>
    <n v="0.1343"/>
    <n v="1"/>
    <n v="30"/>
    <n v="31"/>
    <s v="Spring"/>
    <s v="Friday"/>
    <s v="Mist/Cloudy"/>
    <x v="0"/>
    <s v="Cold"/>
    <x v="1"/>
    <s v="Calm"/>
    <s v="Working Day"/>
    <s v="Mostly Registered"/>
    <n v="3.225806451612903"/>
    <n v="96.774193548387103"/>
    <s v="No"/>
    <s v="Low"/>
    <s v="No"/>
    <n v="2.4000000000000128E-3"/>
  </r>
  <r>
    <n v="782"/>
    <x v="7"/>
    <n v="1"/>
    <x v="22"/>
    <b v="0"/>
    <n v="6"/>
    <n v="2"/>
    <n v="0.24"/>
    <x v="4"/>
    <n v="0.7"/>
    <n v="0.16420000000000001"/>
    <n v="3"/>
    <n v="36"/>
    <n v="39"/>
    <s v="Spring"/>
    <s v="Saturday"/>
    <s v="Mist/Cloudy"/>
    <x v="0"/>
    <s v="Cold"/>
    <x v="1"/>
    <s v="Moderate"/>
    <s v="Working Day"/>
    <s v="Mostly Registered"/>
    <n v="7.6923076923076934"/>
    <n v="92.307692307692307"/>
    <s v="No"/>
    <s v="Low"/>
    <s v="Yes"/>
    <n v="2.4000000000000128E-3"/>
  </r>
  <r>
    <n v="783"/>
    <x v="7"/>
    <n v="1"/>
    <x v="0"/>
    <b v="0"/>
    <n v="6"/>
    <n v="2"/>
    <n v="0.24"/>
    <x v="4"/>
    <n v="0.65"/>
    <n v="0.16420000000000001"/>
    <n v="1"/>
    <n v="17"/>
    <n v="18"/>
    <s v="Spring"/>
    <s v="Saturday"/>
    <s v="Mist/Cloudy"/>
    <x v="0"/>
    <s v="Cold"/>
    <x v="0"/>
    <s v="Moderate"/>
    <s v="Working Day"/>
    <s v="Mostly Registered"/>
    <n v="5.5555555555555554"/>
    <n v="94.444444444444443"/>
    <s v="No"/>
    <s v="Low"/>
    <s v="Yes"/>
    <n v="2.4000000000000128E-3"/>
  </r>
  <r>
    <n v="784"/>
    <x v="7"/>
    <n v="1"/>
    <x v="1"/>
    <b v="0"/>
    <n v="6"/>
    <n v="2"/>
    <n v="0.24"/>
    <x v="4"/>
    <n v="0.75"/>
    <n v="0.16420000000000001"/>
    <n v="5"/>
    <n v="12"/>
    <n v="17"/>
    <s v="Spring"/>
    <s v="Saturday"/>
    <s v="Mist/Cloudy"/>
    <x v="0"/>
    <s v="Cold"/>
    <x v="1"/>
    <s v="Moderate"/>
    <s v="Working Day"/>
    <s v="Mostly Registered"/>
    <n v="29.411764705882359"/>
    <n v="70.588235294117652"/>
    <s v="No"/>
    <s v="Low"/>
    <s v="Yes"/>
    <n v="2.4000000000000128E-3"/>
  </r>
  <r>
    <n v="785"/>
    <x v="7"/>
    <n v="1"/>
    <x v="2"/>
    <b v="0"/>
    <n v="6"/>
    <n v="2"/>
    <n v="0.24"/>
    <x v="4"/>
    <n v="0.75"/>
    <n v="0.16420000000000001"/>
    <n v="1"/>
    <n v="10"/>
    <n v="11"/>
    <s v="Spring"/>
    <s v="Saturday"/>
    <s v="Mist/Cloudy"/>
    <x v="0"/>
    <s v="Cold"/>
    <x v="1"/>
    <s v="Moderate"/>
    <s v="Working Day"/>
    <s v="Mostly Registered"/>
    <n v="9.0909090909090917"/>
    <n v="90.909090909090907"/>
    <s v="No"/>
    <s v="Low"/>
    <s v="Yes"/>
    <n v="2.4000000000000128E-3"/>
  </r>
  <r>
    <n v="786"/>
    <x v="7"/>
    <n v="1"/>
    <x v="3"/>
    <b v="0"/>
    <n v="6"/>
    <n v="3"/>
    <n v="0.22"/>
    <x v="0"/>
    <n v="0.93"/>
    <n v="0.1343"/>
    <n v="0"/>
    <n v="8"/>
    <n v="8"/>
    <s v="Spring"/>
    <s v="Saturday"/>
    <s v="Light Rain/Snow"/>
    <x v="0"/>
    <s v="Cold"/>
    <x v="1"/>
    <s v="Calm"/>
    <s v="Working Day"/>
    <s v="Mostly Registered"/>
    <n v="0"/>
    <n v="100"/>
    <s v="No"/>
    <s v="Low"/>
    <s v="Yes"/>
    <n v="7.3000000000000009E-3"/>
  </r>
  <r>
    <n v="787"/>
    <x v="7"/>
    <n v="1"/>
    <x v="23"/>
    <b v="0"/>
    <n v="6"/>
    <n v="3"/>
    <n v="0.2"/>
    <x v="0"/>
    <n v="1"/>
    <n v="8.9599999999999999E-2"/>
    <n v="0"/>
    <n v="9"/>
    <n v="9"/>
    <s v="Spring"/>
    <s v="Saturday"/>
    <s v="Light Rain/Snow"/>
    <x v="0"/>
    <s v="Cold"/>
    <x v="1"/>
    <s v="Calm"/>
    <s v="Working Day"/>
    <s v="Mostly Registered"/>
    <n v="0"/>
    <n v="100"/>
    <s v="No"/>
    <s v="Low"/>
    <s v="Yes"/>
    <n v="2.7299999999999991E-2"/>
  </r>
  <r>
    <n v="788"/>
    <x v="7"/>
    <n v="1"/>
    <x v="4"/>
    <b v="0"/>
    <n v="6"/>
    <n v="3"/>
    <n v="0.2"/>
    <x v="10"/>
    <n v="1"/>
    <n v="0"/>
    <n v="0"/>
    <n v="4"/>
    <n v="4"/>
    <s v="Spring"/>
    <s v="Saturday"/>
    <s v="Light Rain/Snow"/>
    <x v="1"/>
    <s v="Cold"/>
    <x v="1"/>
    <s v="Calm"/>
    <s v="Working Day"/>
    <s v="Mostly Registered"/>
    <n v="0"/>
    <n v="100"/>
    <s v="No"/>
    <s v="Low"/>
    <s v="Yes"/>
    <n v="5.7599999999999978E-2"/>
  </r>
  <r>
    <n v="789"/>
    <x v="7"/>
    <n v="1"/>
    <x v="5"/>
    <b v="0"/>
    <n v="6"/>
    <n v="3"/>
    <n v="0.22"/>
    <x v="10"/>
    <n v="0.93"/>
    <n v="8.9599999999999999E-2"/>
    <n v="0"/>
    <n v="4"/>
    <n v="4"/>
    <s v="Spring"/>
    <s v="Saturday"/>
    <s v="Light Rain/Snow"/>
    <x v="1"/>
    <s v="Cold"/>
    <x v="1"/>
    <s v="Calm"/>
    <s v="Working Day"/>
    <s v="Mostly Registered"/>
    <n v="0"/>
    <n v="100"/>
    <s v="Yes"/>
    <s v="Low"/>
    <s v="Yes"/>
    <n v="3.7599999999999988E-2"/>
  </r>
  <r>
    <n v="790"/>
    <x v="7"/>
    <n v="1"/>
    <x v="6"/>
    <b v="0"/>
    <n v="6"/>
    <n v="3"/>
    <n v="0.2"/>
    <x v="0"/>
    <n v="1"/>
    <n v="8.9599999999999999E-2"/>
    <n v="0"/>
    <n v="10"/>
    <n v="10"/>
    <s v="Spring"/>
    <s v="Saturday"/>
    <s v="Light Rain/Snow"/>
    <x v="1"/>
    <s v="Cold"/>
    <x v="1"/>
    <s v="Calm"/>
    <s v="Working Day"/>
    <s v="Mostly Registered"/>
    <n v="0"/>
    <n v="100"/>
    <s v="Yes"/>
    <s v="Low"/>
    <s v="Yes"/>
    <n v="2.7299999999999991E-2"/>
  </r>
  <r>
    <n v="791"/>
    <x v="7"/>
    <n v="1"/>
    <x v="7"/>
    <b v="0"/>
    <n v="6"/>
    <n v="3"/>
    <n v="0.2"/>
    <x v="0"/>
    <n v="1"/>
    <n v="8.9599999999999999E-2"/>
    <n v="3"/>
    <n v="17"/>
    <n v="20"/>
    <s v="Spring"/>
    <s v="Saturday"/>
    <s v="Light Rain/Snow"/>
    <x v="1"/>
    <s v="Cold"/>
    <x v="1"/>
    <s v="Calm"/>
    <s v="Working Day"/>
    <s v="Mostly Registered"/>
    <n v="15"/>
    <n v="85"/>
    <s v="Yes"/>
    <s v="Low"/>
    <s v="Yes"/>
    <n v="2.7299999999999991E-2"/>
  </r>
  <r>
    <n v="792"/>
    <x v="7"/>
    <n v="1"/>
    <x v="8"/>
    <b v="0"/>
    <n v="6"/>
    <n v="3"/>
    <n v="0.2"/>
    <x v="1"/>
    <n v="1"/>
    <n v="0.1343"/>
    <n v="3"/>
    <n v="31"/>
    <n v="34"/>
    <s v="Spring"/>
    <s v="Saturday"/>
    <s v="Light Rain/Snow"/>
    <x v="1"/>
    <s v="Cold"/>
    <x v="1"/>
    <s v="Calm"/>
    <s v="Working Day"/>
    <s v="Mostly Registered"/>
    <n v="8.8235294117647065"/>
    <n v="91.17647058823529"/>
    <s v="No"/>
    <s v="Low"/>
    <s v="Yes"/>
    <n v="1.21E-2"/>
  </r>
  <r>
    <n v="793"/>
    <x v="7"/>
    <n v="1"/>
    <x v="9"/>
    <b v="0"/>
    <n v="6"/>
    <n v="3"/>
    <n v="0.22"/>
    <x v="0"/>
    <n v="1"/>
    <n v="0.1343"/>
    <n v="1"/>
    <n v="46"/>
    <n v="47"/>
    <s v="Spring"/>
    <s v="Saturday"/>
    <s v="Light Rain/Snow"/>
    <x v="1"/>
    <s v="Cold"/>
    <x v="1"/>
    <s v="Calm"/>
    <s v="Working Day"/>
    <s v="Mostly Registered"/>
    <n v="2.1276595744680851"/>
    <n v="97.872340425531917"/>
    <s v="No"/>
    <s v="Low"/>
    <s v="Yes"/>
    <n v="7.3000000000000009E-3"/>
  </r>
  <r>
    <n v="794"/>
    <x v="7"/>
    <n v="1"/>
    <x v="10"/>
    <b v="0"/>
    <n v="6"/>
    <n v="3"/>
    <n v="0.22"/>
    <x v="0"/>
    <n v="1"/>
    <n v="0.16420000000000001"/>
    <n v="10"/>
    <n v="42"/>
    <n v="52"/>
    <s v="Spring"/>
    <s v="Saturday"/>
    <s v="Light Rain/Snow"/>
    <x v="2"/>
    <s v="Cold"/>
    <x v="1"/>
    <s v="Moderate"/>
    <s v="Working Day"/>
    <s v="Mostly Registered"/>
    <n v="19.23076923076923"/>
    <n v="80.769230769230774"/>
    <s v="No"/>
    <s v="Low"/>
    <s v="Yes"/>
    <n v="7.3000000000000009E-3"/>
  </r>
  <r>
    <n v="795"/>
    <x v="7"/>
    <n v="1"/>
    <x v="11"/>
    <b v="0"/>
    <n v="6"/>
    <n v="3"/>
    <n v="0.22"/>
    <x v="0"/>
    <n v="1"/>
    <n v="0.16420000000000001"/>
    <n v="10"/>
    <n v="62"/>
    <n v="72"/>
    <s v="Spring"/>
    <s v="Saturday"/>
    <s v="Light Rain/Snow"/>
    <x v="2"/>
    <s v="Cold"/>
    <x v="1"/>
    <s v="Moderate"/>
    <s v="Working Day"/>
    <s v="Mostly Registered"/>
    <n v="13.888888888888889"/>
    <n v="86.111111111111114"/>
    <s v="No"/>
    <s v="Low"/>
    <s v="Yes"/>
    <n v="7.3000000000000009E-3"/>
  </r>
  <r>
    <n v="796"/>
    <x v="7"/>
    <n v="1"/>
    <x v="12"/>
    <b v="0"/>
    <n v="6"/>
    <n v="3"/>
    <n v="0.22"/>
    <x v="6"/>
    <n v="1"/>
    <n v="0"/>
    <n v="5"/>
    <n v="50"/>
    <n v="55"/>
    <s v="Spring"/>
    <s v="Saturday"/>
    <s v="Light Rain/Snow"/>
    <x v="2"/>
    <s v="Cold"/>
    <x v="1"/>
    <s v="Calm"/>
    <s v="Working Day"/>
    <s v="Mostly Registered"/>
    <n v="9.0909090909090917"/>
    <n v="90.909090909090907"/>
    <s v="No"/>
    <s v="Low"/>
    <s v="Yes"/>
    <n v="5.2699999999999997E-2"/>
  </r>
  <r>
    <n v="797"/>
    <x v="7"/>
    <n v="1"/>
    <x v="13"/>
    <b v="0"/>
    <n v="6"/>
    <n v="3"/>
    <n v="0.22"/>
    <x v="6"/>
    <n v="1"/>
    <n v="0"/>
    <n v="11"/>
    <n v="49"/>
    <n v="60"/>
    <s v="Spring"/>
    <s v="Saturday"/>
    <s v="Light Rain/Snow"/>
    <x v="2"/>
    <s v="Cold"/>
    <x v="1"/>
    <s v="Calm"/>
    <s v="Working Day"/>
    <s v="Mostly Registered"/>
    <n v="18.333333333333329"/>
    <n v="81.666666666666671"/>
    <s v="No"/>
    <s v="Low"/>
    <s v="Yes"/>
    <n v="5.2699999999999997E-2"/>
  </r>
  <r>
    <n v="798"/>
    <x v="7"/>
    <n v="1"/>
    <x v="14"/>
    <b v="0"/>
    <n v="6"/>
    <n v="3"/>
    <n v="0.22"/>
    <x v="0"/>
    <n v="1"/>
    <n v="0.1343"/>
    <n v="8"/>
    <n v="63"/>
    <n v="71"/>
    <s v="Spring"/>
    <s v="Saturday"/>
    <s v="Light Rain/Snow"/>
    <x v="2"/>
    <s v="Cold"/>
    <x v="1"/>
    <s v="Calm"/>
    <s v="Working Day"/>
    <s v="Mostly Registered"/>
    <n v="11.26760563380282"/>
    <n v="88.732394366197184"/>
    <s v="No"/>
    <s v="Low"/>
    <s v="Yes"/>
    <n v="7.3000000000000009E-3"/>
  </r>
  <r>
    <n v="799"/>
    <x v="7"/>
    <n v="1"/>
    <x v="15"/>
    <b v="0"/>
    <n v="6"/>
    <n v="2"/>
    <n v="0.24"/>
    <x v="1"/>
    <n v="1"/>
    <n v="0.28360000000000002"/>
    <n v="14"/>
    <n v="64"/>
    <n v="78"/>
    <s v="Spring"/>
    <s v="Saturday"/>
    <s v="Mist/Cloudy"/>
    <x v="3"/>
    <s v="Cold"/>
    <x v="1"/>
    <s v="Moderate"/>
    <s v="Working Day"/>
    <s v="Mostly Registered"/>
    <n v="17.948717948717949"/>
    <n v="82.051282051282044"/>
    <s v="Yes"/>
    <s v="Low"/>
    <s v="Yes"/>
    <n v="-2.789999999999998E-2"/>
  </r>
  <r>
    <n v="800"/>
    <x v="7"/>
    <n v="1"/>
    <x v="16"/>
    <b v="0"/>
    <n v="6"/>
    <n v="2"/>
    <n v="0.28000000000000003"/>
    <x v="4"/>
    <n v="0.93"/>
    <n v="0.44779999999999998"/>
    <n v="2"/>
    <n v="81"/>
    <n v="83"/>
    <s v="Spring"/>
    <s v="Saturday"/>
    <s v="Mist/Cloudy"/>
    <x v="3"/>
    <s v="Mild"/>
    <x v="1"/>
    <s v="Windy"/>
    <s v="Working Day"/>
    <s v="Mostly Registered"/>
    <n v="2.4096385542168681"/>
    <n v="97.590361445783131"/>
    <s v="Yes"/>
    <s v="Low"/>
    <s v="Yes"/>
    <n v="-3.7600000000000022E-2"/>
  </r>
  <r>
    <n v="801"/>
    <x v="7"/>
    <n v="1"/>
    <x v="17"/>
    <b v="0"/>
    <n v="6"/>
    <n v="2"/>
    <n v="0.28000000000000003"/>
    <x v="4"/>
    <n v="0.93"/>
    <n v="0.44779999999999998"/>
    <n v="6"/>
    <n v="78"/>
    <n v="84"/>
    <s v="Spring"/>
    <s v="Saturday"/>
    <s v="Mist/Cloudy"/>
    <x v="3"/>
    <s v="Mild"/>
    <x v="1"/>
    <s v="Windy"/>
    <s v="Working Day"/>
    <s v="Mostly Registered"/>
    <n v="7.1428571428571423"/>
    <n v="92.857142857142861"/>
    <s v="Yes"/>
    <s v="Low"/>
    <s v="Yes"/>
    <n v="-3.7600000000000022E-2"/>
  </r>
  <r>
    <n v="802"/>
    <x v="7"/>
    <n v="1"/>
    <x v="18"/>
    <b v="0"/>
    <n v="6"/>
    <n v="1"/>
    <n v="0.3"/>
    <x v="5"/>
    <n v="0.87"/>
    <n v="0.25369999999999998"/>
    <n v="5"/>
    <n v="64"/>
    <n v="69"/>
    <s v="Spring"/>
    <s v="Saturday"/>
    <s v="Clear"/>
    <x v="3"/>
    <s v="Mild"/>
    <x v="1"/>
    <s v="Moderate"/>
    <s v="Working Day"/>
    <s v="Mostly Registered"/>
    <n v="7.2463768115942031"/>
    <n v="92.753623188405797"/>
    <s v="No"/>
    <s v="Low"/>
    <s v="Yes"/>
    <n v="-1.21E-2"/>
  </r>
  <r>
    <n v="803"/>
    <x v="7"/>
    <n v="1"/>
    <x v="19"/>
    <b v="0"/>
    <n v="6"/>
    <n v="1"/>
    <n v="0.26"/>
    <x v="10"/>
    <n v="1"/>
    <n v="0.19400000000000001"/>
    <n v="3"/>
    <n v="53"/>
    <n v="56"/>
    <s v="Spring"/>
    <s v="Saturday"/>
    <s v="Clear"/>
    <x v="0"/>
    <s v="Mild"/>
    <x v="1"/>
    <s v="Moderate"/>
    <s v="Working Day"/>
    <s v="Mostly Registered"/>
    <n v="5.3571428571428568"/>
    <n v="94.642857142857139"/>
    <s v="No"/>
    <s v="Low"/>
    <s v="Yes"/>
    <n v="-2.4000000000000128E-3"/>
  </r>
  <r>
    <n v="804"/>
    <x v="7"/>
    <n v="1"/>
    <x v="20"/>
    <b v="0"/>
    <n v="6"/>
    <n v="1"/>
    <n v="0.26"/>
    <x v="6"/>
    <n v="0.93"/>
    <n v="0.1343"/>
    <n v="2"/>
    <n v="43"/>
    <n v="45"/>
    <s v="Spring"/>
    <s v="Saturday"/>
    <s v="Clear"/>
    <x v="0"/>
    <s v="Mild"/>
    <x v="1"/>
    <s v="Calm"/>
    <s v="Working Day"/>
    <s v="Mostly Registered"/>
    <n v="4.4444444444444446"/>
    <n v="95.555555555555557"/>
    <s v="No"/>
    <s v="Low"/>
    <s v="Yes"/>
    <n v="1.2699999999999991E-2"/>
  </r>
  <r>
    <n v="805"/>
    <x v="7"/>
    <n v="1"/>
    <x v="21"/>
    <b v="0"/>
    <n v="6"/>
    <n v="1"/>
    <n v="0.26"/>
    <x v="10"/>
    <n v="0.93"/>
    <n v="0.22389999999999999"/>
    <n v="7"/>
    <n v="52"/>
    <n v="59"/>
    <s v="Spring"/>
    <s v="Saturday"/>
    <s v="Clear"/>
    <x v="0"/>
    <s v="Mild"/>
    <x v="1"/>
    <s v="Moderate"/>
    <s v="Working Day"/>
    <s v="Mostly Registered"/>
    <n v="11.864406779661021"/>
    <n v="88.135593220338976"/>
    <s v="No"/>
    <s v="Low"/>
    <s v="Yes"/>
    <n v="-2.4000000000000128E-3"/>
  </r>
  <r>
    <n v="806"/>
    <x v="8"/>
    <n v="1"/>
    <x v="22"/>
    <b v="0"/>
    <n v="0"/>
    <n v="1"/>
    <n v="0.26"/>
    <x v="10"/>
    <n v="0.7"/>
    <n v="0.19400000000000001"/>
    <n v="2"/>
    <n v="37"/>
    <n v="39"/>
    <s v="Spring"/>
    <s v="Sunday"/>
    <s v="Clear"/>
    <x v="0"/>
    <s v="Mild"/>
    <x v="1"/>
    <s v="Moderate"/>
    <s v="Working Day"/>
    <s v="Mostly Registered"/>
    <n v="5.1282051282051277"/>
    <n v="94.871794871794862"/>
    <s v="No"/>
    <s v="Low"/>
    <s v="Yes"/>
    <n v="-2.4000000000000128E-3"/>
  </r>
  <r>
    <n v="807"/>
    <x v="8"/>
    <n v="1"/>
    <x v="0"/>
    <b v="0"/>
    <n v="0"/>
    <n v="1"/>
    <n v="0.26"/>
    <x v="0"/>
    <n v="0.65"/>
    <n v="0.41789999999999999"/>
    <n v="4"/>
    <n v="40"/>
    <n v="44"/>
    <s v="Spring"/>
    <s v="Sunday"/>
    <s v="Clear"/>
    <x v="0"/>
    <s v="Mild"/>
    <x v="0"/>
    <s v="Windy"/>
    <s v="Working Day"/>
    <s v="Mostly Registered"/>
    <n v="9.0909090909090917"/>
    <n v="90.909090909090907"/>
    <s v="No"/>
    <s v="Low"/>
    <s v="Yes"/>
    <n v="-3.2700000000000007E-2"/>
  </r>
  <r>
    <n v="808"/>
    <x v="8"/>
    <n v="1"/>
    <x v="1"/>
    <b v="0"/>
    <n v="0"/>
    <n v="1"/>
    <n v="0.26"/>
    <x v="0"/>
    <n v="0.6"/>
    <n v="0.32840000000000003"/>
    <n v="0"/>
    <n v="20"/>
    <n v="20"/>
    <s v="Spring"/>
    <s v="Sunday"/>
    <s v="Clear"/>
    <x v="0"/>
    <s v="Mild"/>
    <x v="0"/>
    <s v="Windy"/>
    <s v="Working Day"/>
    <s v="Mostly Registered"/>
    <n v="0"/>
    <n v="100"/>
    <s v="No"/>
    <s v="Low"/>
    <s v="Yes"/>
    <n v="-3.2700000000000007E-2"/>
  </r>
  <r>
    <n v="809"/>
    <x v="8"/>
    <n v="1"/>
    <x v="2"/>
    <b v="0"/>
    <n v="0"/>
    <n v="1"/>
    <n v="0.26"/>
    <x v="5"/>
    <n v="0.6"/>
    <n v="8.9599999999999999E-2"/>
    <n v="3"/>
    <n v="10"/>
    <n v="13"/>
    <s v="Spring"/>
    <s v="Sunday"/>
    <s v="Clear"/>
    <x v="0"/>
    <s v="Mild"/>
    <x v="0"/>
    <s v="Calm"/>
    <s v="Working Day"/>
    <s v="Mostly Registered"/>
    <n v="23.07692307692308"/>
    <n v="76.923076923076934"/>
    <s v="No"/>
    <s v="Low"/>
    <s v="Yes"/>
    <n v="2.789999999999998E-2"/>
  </r>
  <r>
    <n v="810"/>
    <x v="8"/>
    <n v="1"/>
    <x v="3"/>
    <b v="0"/>
    <n v="0"/>
    <n v="1"/>
    <n v="0.26"/>
    <x v="0"/>
    <n v="0.6"/>
    <n v="0.35820000000000002"/>
    <n v="0"/>
    <n v="2"/>
    <n v="2"/>
    <s v="Spring"/>
    <s v="Sunday"/>
    <s v="Clear"/>
    <x v="0"/>
    <s v="Mild"/>
    <x v="0"/>
    <s v="Windy"/>
    <s v="Working Day"/>
    <s v="Mostly Registered"/>
    <n v="0"/>
    <n v="100"/>
    <s v="No"/>
    <s v="Low"/>
    <s v="Yes"/>
    <n v="-3.2700000000000007E-2"/>
  </r>
  <r>
    <n v="811"/>
    <x v="8"/>
    <n v="1"/>
    <x v="23"/>
    <b v="0"/>
    <n v="0"/>
    <n v="1"/>
    <n v="0.26"/>
    <x v="10"/>
    <n v="0.6"/>
    <n v="0.22389999999999999"/>
    <n v="0"/>
    <n v="1"/>
    <n v="1"/>
    <s v="Spring"/>
    <s v="Sunday"/>
    <s v="Clear"/>
    <x v="0"/>
    <s v="Mild"/>
    <x v="0"/>
    <s v="Moderate"/>
    <s v="Working Day"/>
    <s v="Mostly Registered"/>
    <n v="0"/>
    <n v="100"/>
    <s v="No"/>
    <s v="Low"/>
    <s v="Yes"/>
    <n v="-2.4000000000000128E-3"/>
  </r>
  <r>
    <n v="812"/>
    <x v="8"/>
    <n v="1"/>
    <x v="4"/>
    <b v="0"/>
    <n v="0"/>
    <n v="1"/>
    <n v="0.26"/>
    <x v="10"/>
    <n v="0.6"/>
    <n v="0.22389999999999999"/>
    <n v="0"/>
    <n v="1"/>
    <n v="1"/>
    <s v="Spring"/>
    <s v="Sunday"/>
    <s v="Clear"/>
    <x v="1"/>
    <s v="Mild"/>
    <x v="0"/>
    <s v="Moderate"/>
    <s v="Working Day"/>
    <s v="Mostly Registered"/>
    <n v="0"/>
    <n v="100"/>
    <s v="No"/>
    <s v="Low"/>
    <s v="Yes"/>
    <n v="-2.4000000000000128E-3"/>
  </r>
  <r>
    <n v="813"/>
    <x v="8"/>
    <n v="1"/>
    <x v="5"/>
    <b v="0"/>
    <n v="0"/>
    <n v="1"/>
    <n v="0.24"/>
    <x v="4"/>
    <n v="0.65"/>
    <n v="0.16420000000000001"/>
    <n v="0"/>
    <n v="8"/>
    <n v="8"/>
    <s v="Spring"/>
    <s v="Sunday"/>
    <s v="Clear"/>
    <x v="1"/>
    <s v="Cold"/>
    <x v="0"/>
    <s v="Moderate"/>
    <s v="Working Day"/>
    <s v="Mostly Registered"/>
    <n v="0"/>
    <n v="100"/>
    <s v="Yes"/>
    <s v="Low"/>
    <s v="Yes"/>
    <n v="2.4000000000000128E-3"/>
  </r>
  <r>
    <n v="814"/>
    <x v="8"/>
    <n v="1"/>
    <x v="6"/>
    <b v="0"/>
    <n v="0"/>
    <n v="1"/>
    <n v="0.24"/>
    <x v="10"/>
    <n v="0.65"/>
    <n v="0.1045"/>
    <n v="2"/>
    <n v="21"/>
    <n v="23"/>
    <s v="Spring"/>
    <s v="Sunday"/>
    <s v="Clear"/>
    <x v="1"/>
    <s v="Cold"/>
    <x v="0"/>
    <s v="Calm"/>
    <s v="Working Day"/>
    <s v="Mostly Registered"/>
    <n v="8.695652173913043"/>
    <n v="91.304347826086953"/>
    <s v="Yes"/>
    <s v="Low"/>
    <s v="Yes"/>
    <n v="1.7600000000000001E-2"/>
  </r>
  <r>
    <n v="815"/>
    <x v="8"/>
    <n v="1"/>
    <x v="7"/>
    <b v="0"/>
    <n v="0"/>
    <n v="1"/>
    <n v="0.28000000000000003"/>
    <x v="5"/>
    <n v="0.56000000000000005"/>
    <n v="0.1045"/>
    <n v="7"/>
    <n v="38"/>
    <n v="45"/>
    <s v="Spring"/>
    <s v="Sunday"/>
    <s v="Clear"/>
    <x v="1"/>
    <s v="Mild"/>
    <x v="0"/>
    <s v="Calm"/>
    <s v="Working Day"/>
    <s v="Mostly Registered"/>
    <n v="15.555555555555561"/>
    <n v="84.444444444444443"/>
    <s v="Yes"/>
    <s v="Low"/>
    <s v="Yes"/>
    <n v="7.8999999999999626E-3"/>
  </r>
  <r>
    <n v="816"/>
    <x v="8"/>
    <n v="1"/>
    <x v="8"/>
    <b v="0"/>
    <n v="0"/>
    <n v="1"/>
    <n v="0.3"/>
    <x v="5"/>
    <n v="0.52"/>
    <n v="0.25369999999999998"/>
    <n v="15"/>
    <n v="74"/>
    <n v="89"/>
    <s v="Spring"/>
    <s v="Sunday"/>
    <s v="Clear"/>
    <x v="1"/>
    <s v="Mild"/>
    <x v="0"/>
    <s v="Moderate"/>
    <s v="Working Day"/>
    <s v="Mostly Registered"/>
    <n v="16.853932584269661"/>
    <n v="83.146067415730343"/>
    <s v="No"/>
    <s v="Low"/>
    <s v="Yes"/>
    <n v="-1.21E-2"/>
  </r>
  <r>
    <n v="817"/>
    <x v="8"/>
    <n v="1"/>
    <x v="9"/>
    <b v="0"/>
    <n v="0"/>
    <n v="1"/>
    <n v="0.32"/>
    <x v="8"/>
    <n v="0.49"/>
    <n v="0.25369999999999998"/>
    <n v="28"/>
    <n v="89"/>
    <n v="117"/>
    <s v="Spring"/>
    <s v="Sunday"/>
    <s v="Clear"/>
    <x v="1"/>
    <s v="Mild"/>
    <x v="0"/>
    <s v="Moderate"/>
    <s v="Working Day"/>
    <s v="Mostly Registered"/>
    <n v="23.931623931623928"/>
    <n v="76.068376068376068"/>
    <s v="No"/>
    <s v="Medium"/>
    <s v="Yes"/>
    <n v="-1.7000000000000019E-2"/>
  </r>
  <r>
    <n v="818"/>
    <x v="8"/>
    <n v="1"/>
    <x v="10"/>
    <b v="0"/>
    <n v="0"/>
    <n v="1"/>
    <n v="0.34"/>
    <x v="9"/>
    <n v="0.46"/>
    <n v="0"/>
    <n v="48"/>
    <n v="126"/>
    <n v="174"/>
    <s v="Spring"/>
    <s v="Sunday"/>
    <s v="Clear"/>
    <x v="2"/>
    <s v="Mild"/>
    <x v="0"/>
    <s v="Calm"/>
    <s v="Working Day"/>
    <s v="Mostly Registered"/>
    <n v="27.586206896551719"/>
    <n v="72.41379310344827"/>
    <s v="No"/>
    <s v="Medium"/>
    <s v="Yes"/>
    <n v="-6.7000000000000393E-3"/>
  </r>
  <r>
    <n v="819"/>
    <x v="8"/>
    <n v="1"/>
    <x v="11"/>
    <b v="0"/>
    <n v="0"/>
    <n v="1"/>
    <n v="0.34"/>
    <x v="16"/>
    <n v="0.46"/>
    <n v="0"/>
    <n v="47"/>
    <n v="135"/>
    <n v="182"/>
    <s v="Spring"/>
    <s v="Sunday"/>
    <s v="Clear"/>
    <x v="2"/>
    <s v="Mild"/>
    <x v="0"/>
    <s v="Calm"/>
    <s v="Working Day"/>
    <s v="Mostly Registered"/>
    <n v="25.824175824175828"/>
    <n v="74.175824175824175"/>
    <s v="No"/>
    <s v="Medium"/>
    <s v="Yes"/>
    <n v="2.3599999999999951E-2"/>
  </r>
  <r>
    <n v="820"/>
    <x v="8"/>
    <n v="1"/>
    <x v="12"/>
    <b v="0"/>
    <n v="0"/>
    <n v="1"/>
    <n v="0.34"/>
    <x v="17"/>
    <n v="0.46"/>
    <n v="8.9599999999999999E-2"/>
    <n v="47"/>
    <n v="114"/>
    <n v="161"/>
    <s v="Spring"/>
    <s v="Sunday"/>
    <s v="Clear"/>
    <x v="2"/>
    <s v="Mild"/>
    <x v="0"/>
    <s v="Calm"/>
    <s v="Working Day"/>
    <s v="Mostly Registered"/>
    <n v="29.19254658385093"/>
    <n v="70.807453416149073"/>
    <s v="No"/>
    <s v="Medium"/>
    <s v="Yes"/>
    <n v="8.499999999999952E-3"/>
  </r>
  <r>
    <n v="821"/>
    <x v="8"/>
    <n v="1"/>
    <x v="13"/>
    <b v="0"/>
    <n v="0"/>
    <n v="1"/>
    <n v="0.34"/>
    <x v="17"/>
    <n v="0.46"/>
    <n v="8.9599999999999999E-2"/>
    <n v="52"/>
    <n v="130"/>
    <n v="182"/>
    <s v="Spring"/>
    <s v="Sunday"/>
    <s v="Clear"/>
    <x v="2"/>
    <s v="Mild"/>
    <x v="0"/>
    <s v="Calm"/>
    <s v="Working Day"/>
    <s v="Mostly Registered"/>
    <n v="28.571428571428569"/>
    <n v="71.428571428571431"/>
    <s v="No"/>
    <s v="Medium"/>
    <s v="Yes"/>
    <n v="8.499999999999952E-3"/>
  </r>
  <r>
    <n v="822"/>
    <x v="8"/>
    <n v="1"/>
    <x v="14"/>
    <b v="0"/>
    <n v="0"/>
    <n v="1"/>
    <n v="0.34"/>
    <x v="17"/>
    <n v="0.49"/>
    <n v="0.1045"/>
    <n v="42"/>
    <n v="115"/>
    <n v="157"/>
    <s v="Spring"/>
    <s v="Sunday"/>
    <s v="Clear"/>
    <x v="2"/>
    <s v="Mild"/>
    <x v="0"/>
    <s v="Calm"/>
    <s v="Working Day"/>
    <s v="Mostly Registered"/>
    <n v="26.751592356687901"/>
    <n v="73.248407643312092"/>
    <s v="No"/>
    <s v="Medium"/>
    <s v="Yes"/>
    <n v="8.499999999999952E-3"/>
  </r>
  <r>
    <n v="823"/>
    <x v="8"/>
    <n v="1"/>
    <x v="15"/>
    <b v="0"/>
    <n v="0"/>
    <n v="1"/>
    <n v="0.34"/>
    <x v="16"/>
    <n v="0.46"/>
    <n v="0"/>
    <n v="24"/>
    <n v="97"/>
    <n v="121"/>
    <s v="Spring"/>
    <s v="Sunday"/>
    <s v="Clear"/>
    <x v="3"/>
    <s v="Mild"/>
    <x v="0"/>
    <s v="Calm"/>
    <s v="Working Day"/>
    <s v="Mostly Registered"/>
    <n v="19.834710743801651"/>
    <n v="80.165289256198349"/>
    <s v="Yes"/>
    <s v="Medium"/>
    <s v="Yes"/>
    <n v="2.3599999999999951E-2"/>
  </r>
  <r>
    <n v="824"/>
    <x v="8"/>
    <n v="1"/>
    <x v="16"/>
    <b v="0"/>
    <n v="0"/>
    <n v="1"/>
    <n v="0.3"/>
    <x v="8"/>
    <n v="0.56000000000000005"/>
    <n v="0.16420000000000001"/>
    <n v="13"/>
    <n v="65"/>
    <n v="78"/>
    <s v="Spring"/>
    <s v="Sunday"/>
    <s v="Clear"/>
    <x v="3"/>
    <s v="Mild"/>
    <x v="0"/>
    <s v="Moderate"/>
    <s v="Working Day"/>
    <s v="Mostly Registered"/>
    <n v="16.666666666666661"/>
    <n v="83.333333333333343"/>
    <s v="Yes"/>
    <s v="Low"/>
    <s v="Yes"/>
    <n v="3.0000000000000031E-3"/>
  </r>
  <r>
    <n v="825"/>
    <x v="8"/>
    <n v="1"/>
    <x v="17"/>
    <b v="0"/>
    <n v="0"/>
    <n v="1"/>
    <n v="0.28000000000000003"/>
    <x v="5"/>
    <n v="0.61"/>
    <n v="0.1343"/>
    <n v="1"/>
    <n v="20"/>
    <n v="21"/>
    <s v="Spring"/>
    <s v="Sunday"/>
    <s v="Clear"/>
    <x v="3"/>
    <s v="Mild"/>
    <x v="0"/>
    <s v="Calm"/>
    <s v="Working Day"/>
    <s v="Mostly Registered"/>
    <n v="4.7619047619047619"/>
    <n v="95.238095238095227"/>
    <s v="Yes"/>
    <s v="Low"/>
    <s v="Yes"/>
    <n v="7.8999999999999626E-3"/>
  </r>
  <r>
    <n v="826"/>
    <x v="8"/>
    <n v="1"/>
    <x v="18"/>
    <b v="0"/>
    <n v="0"/>
    <n v="1"/>
    <n v="0.28000000000000003"/>
    <x v="5"/>
    <n v="0.61"/>
    <n v="0.1045"/>
    <n v="5"/>
    <n v="21"/>
    <n v="26"/>
    <s v="Spring"/>
    <s v="Sunday"/>
    <s v="Clear"/>
    <x v="3"/>
    <s v="Mild"/>
    <x v="0"/>
    <s v="Calm"/>
    <s v="Working Day"/>
    <s v="Mostly Registered"/>
    <n v="19.23076923076923"/>
    <n v="80.769230769230774"/>
    <s v="No"/>
    <s v="Low"/>
    <s v="Yes"/>
    <n v="7.8999999999999626E-3"/>
  </r>
  <r>
    <n v="827"/>
    <x v="8"/>
    <n v="1"/>
    <x v="19"/>
    <b v="0"/>
    <n v="0"/>
    <n v="1"/>
    <n v="0.26"/>
    <x v="8"/>
    <n v="0.6"/>
    <n v="0"/>
    <n v="5"/>
    <n v="22"/>
    <n v="27"/>
    <s v="Spring"/>
    <s v="Sunday"/>
    <s v="Clear"/>
    <x v="0"/>
    <s v="Mild"/>
    <x v="0"/>
    <s v="Calm"/>
    <s v="Working Day"/>
    <s v="Mostly Registered"/>
    <n v="18.518518518518519"/>
    <n v="81.481481481481481"/>
    <s v="No"/>
    <s v="Low"/>
    <s v="Yes"/>
    <n v="4.2999999999999983E-2"/>
  </r>
  <r>
    <n v="828"/>
    <x v="8"/>
    <n v="1"/>
    <x v="20"/>
    <b v="0"/>
    <n v="0"/>
    <n v="1"/>
    <n v="0.26"/>
    <x v="8"/>
    <n v="0.6"/>
    <n v="0"/>
    <n v="5"/>
    <n v="57"/>
    <n v="62"/>
    <s v="Spring"/>
    <s v="Sunday"/>
    <s v="Clear"/>
    <x v="0"/>
    <s v="Mild"/>
    <x v="0"/>
    <s v="Calm"/>
    <s v="Working Day"/>
    <s v="Mostly Registered"/>
    <n v="8.064516129032258"/>
    <n v="91.935483870967744"/>
    <s v="No"/>
    <s v="Low"/>
    <s v="Yes"/>
    <n v="4.2999999999999983E-2"/>
  </r>
  <r>
    <n v="829"/>
    <x v="8"/>
    <n v="1"/>
    <x v="21"/>
    <b v="0"/>
    <n v="0"/>
    <n v="1"/>
    <n v="0.24"/>
    <x v="5"/>
    <n v="0.65"/>
    <n v="0"/>
    <n v="4"/>
    <n v="26"/>
    <n v="30"/>
    <s v="Spring"/>
    <s v="Sunday"/>
    <s v="Clear"/>
    <x v="0"/>
    <s v="Cold"/>
    <x v="0"/>
    <s v="Calm"/>
    <s v="Working Day"/>
    <s v="Mostly Registered"/>
    <n v="13.33333333333333"/>
    <n v="86.666666666666671"/>
    <s v="No"/>
    <s v="Low"/>
    <s v="Yes"/>
    <n v="4.7899999999999998E-2"/>
  </r>
  <r>
    <n v="830"/>
    <x v="9"/>
    <n v="1"/>
    <x v="22"/>
    <b v="0"/>
    <n v="1"/>
    <n v="1"/>
    <n v="0.24"/>
    <x v="5"/>
    <n v="0.65"/>
    <n v="0"/>
    <n v="1"/>
    <n v="14"/>
    <n v="15"/>
    <s v="Spring"/>
    <s v="Monday"/>
    <s v="Clear"/>
    <x v="0"/>
    <s v="Cold"/>
    <x v="0"/>
    <s v="Calm"/>
    <s v="Working Day"/>
    <s v="Mostly Registered"/>
    <n v="6.666666666666667"/>
    <n v="93.333333333333329"/>
    <s v="No"/>
    <s v="Low"/>
    <s v="No"/>
    <n v="4.7899999999999998E-2"/>
  </r>
  <r>
    <n v="831"/>
    <x v="9"/>
    <n v="1"/>
    <x v="0"/>
    <b v="0"/>
    <n v="1"/>
    <n v="1"/>
    <n v="0.22"/>
    <x v="6"/>
    <n v="0.75"/>
    <n v="0"/>
    <n v="1"/>
    <n v="4"/>
    <n v="5"/>
    <s v="Spring"/>
    <s v="Monday"/>
    <s v="Clear"/>
    <x v="0"/>
    <s v="Cold"/>
    <x v="1"/>
    <s v="Calm"/>
    <s v="Working Day"/>
    <s v="Mostly Registered"/>
    <n v="20"/>
    <n v="80"/>
    <s v="No"/>
    <s v="Low"/>
    <s v="No"/>
    <n v="5.2699999999999997E-2"/>
  </r>
  <r>
    <n v="832"/>
    <x v="9"/>
    <n v="1"/>
    <x v="1"/>
    <b v="0"/>
    <n v="1"/>
    <n v="1"/>
    <n v="0.2"/>
    <x v="10"/>
    <n v="0.8"/>
    <n v="0"/>
    <n v="0"/>
    <n v="3"/>
    <n v="3"/>
    <s v="Spring"/>
    <s v="Monday"/>
    <s v="Clear"/>
    <x v="0"/>
    <s v="Cold"/>
    <x v="1"/>
    <s v="Calm"/>
    <s v="Working Day"/>
    <s v="Mostly Registered"/>
    <n v="0"/>
    <n v="100"/>
    <s v="No"/>
    <s v="Low"/>
    <s v="No"/>
    <n v="5.7599999999999978E-2"/>
  </r>
  <r>
    <n v="833"/>
    <x v="9"/>
    <n v="1"/>
    <x v="2"/>
    <b v="0"/>
    <n v="1"/>
    <n v="1"/>
    <n v="0.2"/>
    <x v="10"/>
    <n v="0.86"/>
    <n v="0"/>
    <n v="0"/>
    <n v="1"/>
    <n v="1"/>
    <s v="Spring"/>
    <s v="Monday"/>
    <s v="Clear"/>
    <x v="0"/>
    <s v="Cold"/>
    <x v="1"/>
    <s v="Calm"/>
    <s v="Working Day"/>
    <s v="Mostly Registered"/>
    <n v="0"/>
    <n v="100"/>
    <s v="No"/>
    <s v="Low"/>
    <s v="No"/>
    <n v="5.7599999999999978E-2"/>
  </r>
  <r>
    <n v="834"/>
    <x v="9"/>
    <n v="1"/>
    <x v="3"/>
    <b v="0"/>
    <n v="1"/>
    <n v="1"/>
    <n v="0.2"/>
    <x v="10"/>
    <n v="0.86"/>
    <n v="0"/>
    <n v="1"/>
    <n v="1"/>
    <n v="2"/>
    <s v="Spring"/>
    <s v="Monday"/>
    <s v="Clear"/>
    <x v="0"/>
    <s v="Cold"/>
    <x v="1"/>
    <s v="Calm"/>
    <s v="Working Day"/>
    <s v="Mostly Registered"/>
    <n v="50"/>
    <n v="50"/>
    <s v="No"/>
    <s v="Low"/>
    <s v="No"/>
    <n v="5.7599999999999978E-2"/>
  </r>
  <r>
    <n v="835"/>
    <x v="9"/>
    <n v="1"/>
    <x v="23"/>
    <b v="0"/>
    <n v="1"/>
    <n v="1"/>
    <n v="0.2"/>
    <x v="10"/>
    <n v="0.86"/>
    <n v="0"/>
    <n v="1"/>
    <n v="9"/>
    <n v="10"/>
    <s v="Spring"/>
    <s v="Monday"/>
    <s v="Clear"/>
    <x v="0"/>
    <s v="Cold"/>
    <x v="1"/>
    <s v="Calm"/>
    <s v="Working Day"/>
    <s v="Mostly Registered"/>
    <n v="10"/>
    <n v="90"/>
    <s v="No"/>
    <s v="Low"/>
    <s v="No"/>
    <n v="5.7599999999999978E-2"/>
  </r>
  <r>
    <n v="836"/>
    <x v="9"/>
    <n v="1"/>
    <x v="4"/>
    <b v="0"/>
    <n v="1"/>
    <n v="1"/>
    <n v="0.18"/>
    <x v="4"/>
    <n v="0.93"/>
    <n v="0"/>
    <n v="1"/>
    <n v="29"/>
    <n v="30"/>
    <s v="Spring"/>
    <s v="Monday"/>
    <s v="Clear"/>
    <x v="1"/>
    <s v="Cold"/>
    <x v="1"/>
    <s v="Calm"/>
    <s v="Working Day"/>
    <s v="Mostly Registered"/>
    <n v="3.333333333333333"/>
    <n v="96.666666666666671"/>
    <s v="No"/>
    <s v="Low"/>
    <s v="No"/>
    <n v="6.2400000000000011E-2"/>
  </r>
  <r>
    <n v="837"/>
    <x v="9"/>
    <n v="1"/>
    <x v="5"/>
    <b v="0"/>
    <n v="1"/>
    <n v="1"/>
    <n v="0.18"/>
    <x v="4"/>
    <n v="0.86"/>
    <n v="0"/>
    <n v="6"/>
    <n v="89"/>
    <n v="95"/>
    <s v="Spring"/>
    <s v="Monday"/>
    <s v="Clear"/>
    <x v="1"/>
    <s v="Cold"/>
    <x v="1"/>
    <s v="Calm"/>
    <s v="Working Day"/>
    <s v="Mostly Registered"/>
    <n v="6.3157894736842106"/>
    <n v="93.684210526315795"/>
    <s v="Yes"/>
    <s v="Low"/>
    <s v="No"/>
    <n v="6.2400000000000011E-2"/>
  </r>
  <r>
    <n v="838"/>
    <x v="9"/>
    <n v="1"/>
    <x v="6"/>
    <b v="0"/>
    <n v="1"/>
    <n v="2"/>
    <n v="0.16"/>
    <x v="0"/>
    <n v="1"/>
    <n v="0"/>
    <n v="7"/>
    <n v="223"/>
    <n v="230"/>
    <s v="Spring"/>
    <s v="Monday"/>
    <s v="Mist/Cloudy"/>
    <x v="1"/>
    <s v="Cold"/>
    <x v="1"/>
    <s v="Calm"/>
    <s v="Working Day"/>
    <s v="Mostly Registered"/>
    <n v="3.043478260869565"/>
    <n v="96.956521739130437"/>
    <s v="Yes"/>
    <s v="Medium"/>
    <s v="No"/>
    <n v="6.7299999999999999E-2"/>
  </r>
  <r>
    <n v="839"/>
    <x v="9"/>
    <n v="1"/>
    <x v="7"/>
    <b v="0"/>
    <n v="1"/>
    <n v="1"/>
    <n v="0.22"/>
    <x v="6"/>
    <n v="0.8"/>
    <n v="0"/>
    <n v="3"/>
    <n v="115"/>
    <n v="118"/>
    <s v="Spring"/>
    <s v="Monday"/>
    <s v="Clear"/>
    <x v="1"/>
    <s v="Cold"/>
    <x v="1"/>
    <s v="Calm"/>
    <s v="Working Day"/>
    <s v="Mostly Registered"/>
    <n v="2.542372881355933"/>
    <n v="97.457627118644069"/>
    <s v="Yes"/>
    <s v="Medium"/>
    <s v="No"/>
    <n v="5.2699999999999997E-2"/>
  </r>
  <r>
    <n v="840"/>
    <x v="9"/>
    <n v="1"/>
    <x v="8"/>
    <b v="0"/>
    <n v="1"/>
    <n v="1"/>
    <n v="0.24"/>
    <x v="10"/>
    <n v="0.75"/>
    <n v="0.1045"/>
    <n v="6"/>
    <n v="49"/>
    <n v="55"/>
    <s v="Spring"/>
    <s v="Monday"/>
    <s v="Clear"/>
    <x v="1"/>
    <s v="Cold"/>
    <x v="1"/>
    <s v="Calm"/>
    <s v="Working Day"/>
    <s v="Mostly Registered"/>
    <n v="10.90909090909091"/>
    <n v="89.090909090909093"/>
    <s v="No"/>
    <s v="Low"/>
    <s v="No"/>
    <n v="1.7600000000000001E-2"/>
  </r>
  <r>
    <n v="841"/>
    <x v="9"/>
    <n v="1"/>
    <x v="9"/>
    <b v="0"/>
    <n v="1"/>
    <n v="1"/>
    <n v="0.3"/>
    <x v="7"/>
    <n v="0.65"/>
    <n v="8.9599999999999999E-2"/>
    <n v="11"/>
    <n v="36"/>
    <n v="47"/>
    <s v="Spring"/>
    <s v="Monday"/>
    <s v="Clear"/>
    <x v="1"/>
    <s v="Mild"/>
    <x v="0"/>
    <s v="Calm"/>
    <s v="Working Day"/>
    <s v="Mostly Registered"/>
    <n v="23.404255319148941"/>
    <n v="76.59574468085107"/>
    <s v="No"/>
    <s v="Low"/>
    <s v="No"/>
    <n v="1.819999999999999E-2"/>
  </r>
  <r>
    <n v="842"/>
    <x v="9"/>
    <n v="1"/>
    <x v="10"/>
    <b v="0"/>
    <n v="1"/>
    <n v="2"/>
    <n v="0.32"/>
    <x v="17"/>
    <n v="0.62"/>
    <n v="0"/>
    <n v="7"/>
    <n v="59"/>
    <n v="66"/>
    <s v="Spring"/>
    <s v="Monday"/>
    <s v="Mist/Cloudy"/>
    <x v="2"/>
    <s v="Mild"/>
    <x v="0"/>
    <s v="Calm"/>
    <s v="Working Day"/>
    <s v="Mostly Registered"/>
    <n v="10.606060606060611"/>
    <n v="89.393939393939391"/>
    <s v="No"/>
    <s v="Low"/>
    <s v="No"/>
    <n v="2.849999999999997E-2"/>
  </r>
  <r>
    <n v="843"/>
    <x v="9"/>
    <n v="1"/>
    <x v="11"/>
    <b v="0"/>
    <n v="1"/>
    <n v="2"/>
    <n v="0.36"/>
    <x v="16"/>
    <n v="0.56999999999999995"/>
    <n v="8.9599999999999999E-2"/>
    <n v="10"/>
    <n v="54"/>
    <n v="64"/>
    <s v="Spring"/>
    <s v="Monday"/>
    <s v="Mist/Cloudy"/>
    <x v="2"/>
    <s v="Warm"/>
    <x v="0"/>
    <s v="Calm"/>
    <s v="Working Day"/>
    <s v="Mostly Registered"/>
    <n v="15.625"/>
    <n v="84.375"/>
    <s v="No"/>
    <s v="Low"/>
    <s v="No"/>
    <n v="3.5999999999999921E-3"/>
  </r>
  <r>
    <n v="844"/>
    <x v="9"/>
    <n v="1"/>
    <x v="12"/>
    <b v="0"/>
    <n v="1"/>
    <n v="2"/>
    <n v="0.36"/>
    <x v="16"/>
    <n v="0.56999999999999995"/>
    <n v="8.9599999999999999E-2"/>
    <n v="8"/>
    <n v="52"/>
    <n v="60"/>
    <s v="Spring"/>
    <s v="Monday"/>
    <s v="Mist/Cloudy"/>
    <x v="2"/>
    <s v="Warm"/>
    <x v="0"/>
    <s v="Calm"/>
    <s v="Working Day"/>
    <s v="Mostly Registered"/>
    <n v="13.33333333333333"/>
    <n v="86.666666666666671"/>
    <s v="No"/>
    <s v="Low"/>
    <s v="No"/>
    <n v="3.5999999999999921E-3"/>
  </r>
  <r>
    <n v="845"/>
    <x v="9"/>
    <n v="1"/>
    <x v="13"/>
    <b v="0"/>
    <n v="1"/>
    <n v="2"/>
    <n v="0.38"/>
    <x v="14"/>
    <n v="0.54"/>
    <n v="8.9599999999999999E-2"/>
    <n v="4"/>
    <n v="46"/>
    <n v="50"/>
    <s v="Spring"/>
    <s v="Monday"/>
    <s v="Mist/Cloudy"/>
    <x v="2"/>
    <s v="Warm"/>
    <x v="0"/>
    <s v="Calm"/>
    <s v="Working Day"/>
    <s v="Mostly Registered"/>
    <n v="8"/>
    <n v="92"/>
    <s v="No"/>
    <s v="Low"/>
    <s v="No"/>
    <n v="1.389999999999997E-2"/>
  </r>
  <r>
    <n v="846"/>
    <x v="9"/>
    <n v="1"/>
    <x v="14"/>
    <b v="0"/>
    <n v="1"/>
    <n v="2"/>
    <n v="0.36"/>
    <x v="17"/>
    <n v="0.56999999999999995"/>
    <n v="0.1343"/>
    <n v="16"/>
    <n v="98"/>
    <n v="114"/>
    <s v="Spring"/>
    <s v="Monday"/>
    <s v="Mist/Cloudy"/>
    <x v="2"/>
    <s v="Warm"/>
    <x v="0"/>
    <s v="Calm"/>
    <s v="Working Day"/>
    <s v="Mostly Registered"/>
    <n v="14.03508771929824"/>
    <n v="85.964912280701753"/>
    <s v="No"/>
    <s v="Medium"/>
    <s v="No"/>
    <n v="-1.150000000000001E-2"/>
  </r>
  <r>
    <n v="847"/>
    <x v="9"/>
    <n v="1"/>
    <x v="15"/>
    <b v="0"/>
    <n v="1"/>
    <n v="2"/>
    <n v="0.32"/>
    <x v="7"/>
    <n v="0.7"/>
    <n v="0.16420000000000001"/>
    <n v="9"/>
    <n v="207"/>
    <n v="216"/>
    <s v="Spring"/>
    <s v="Monday"/>
    <s v="Mist/Cloudy"/>
    <x v="3"/>
    <s v="Mild"/>
    <x v="1"/>
    <s v="Moderate"/>
    <s v="Working Day"/>
    <s v="Mostly Registered"/>
    <n v="4.1666666666666661"/>
    <n v="95.833333333333343"/>
    <s v="Yes"/>
    <s v="Medium"/>
    <s v="No"/>
    <n v="-1.800000000000024E-3"/>
  </r>
  <r>
    <n v="848"/>
    <x v="9"/>
    <n v="1"/>
    <x v="16"/>
    <b v="0"/>
    <n v="1"/>
    <n v="2"/>
    <n v="0.34"/>
    <x v="9"/>
    <n v="0.66"/>
    <n v="0.1343"/>
    <n v="5"/>
    <n v="170"/>
    <n v="175"/>
    <s v="Spring"/>
    <s v="Monday"/>
    <s v="Mist/Cloudy"/>
    <x v="3"/>
    <s v="Mild"/>
    <x v="0"/>
    <s v="Calm"/>
    <s v="Working Day"/>
    <s v="Mostly Registered"/>
    <n v="2.8571428571428572"/>
    <n v="97.142857142857139"/>
    <s v="Yes"/>
    <s v="Medium"/>
    <s v="No"/>
    <n v="-6.7000000000000393E-3"/>
  </r>
  <r>
    <n v="849"/>
    <x v="9"/>
    <n v="1"/>
    <x v="17"/>
    <b v="0"/>
    <n v="1"/>
    <n v="2"/>
    <n v="0.32"/>
    <x v="17"/>
    <n v="0.7"/>
    <n v="0"/>
    <n v="5"/>
    <n v="123"/>
    <n v="128"/>
    <s v="Spring"/>
    <s v="Monday"/>
    <s v="Mist/Cloudy"/>
    <x v="3"/>
    <s v="Mild"/>
    <x v="1"/>
    <s v="Calm"/>
    <s v="Working Day"/>
    <s v="Mostly Registered"/>
    <n v="3.90625"/>
    <n v="96.09375"/>
    <s v="Yes"/>
    <s v="Medium"/>
    <s v="No"/>
    <n v="2.849999999999997E-2"/>
  </r>
  <r>
    <n v="850"/>
    <x v="9"/>
    <n v="1"/>
    <x v="18"/>
    <b v="0"/>
    <n v="1"/>
    <n v="2"/>
    <n v="0.32"/>
    <x v="9"/>
    <n v="0.7"/>
    <n v="0.1045"/>
    <n v="6"/>
    <n v="82"/>
    <n v="88"/>
    <s v="Spring"/>
    <s v="Monday"/>
    <s v="Mist/Cloudy"/>
    <x v="3"/>
    <s v="Mild"/>
    <x v="1"/>
    <s v="Calm"/>
    <s v="Working Day"/>
    <s v="Mostly Registered"/>
    <n v="6.8181818181818166"/>
    <n v="93.181818181818173"/>
    <s v="No"/>
    <s v="Low"/>
    <s v="No"/>
    <n v="1.329999999999998E-2"/>
  </r>
  <r>
    <n v="851"/>
    <x v="9"/>
    <n v="1"/>
    <x v="19"/>
    <b v="0"/>
    <n v="1"/>
    <n v="1"/>
    <n v="0.32"/>
    <x v="17"/>
    <n v="0.7"/>
    <n v="0"/>
    <n v="3"/>
    <n v="75"/>
    <n v="78"/>
    <s v="Spring"/>
    <s v="Monday"/>
    <s v="Clear"/>
    <x v="0"/>
    <s v="Mild"/>
    <x v="1"/>
    <s v="Calm"/>
    <s v="Working Day"/>
    <s v="Mostly Registered"/>
    <n v="3.8461538461538458"/>
    <n v="96.15384615384616"/>
    <s v="No"/>
    <s v="Low"/>
    <s v="No"/>
    <n v="2.849999999999997E-2"/>
  </r>
  <r>
    <n v="852"/>
    <x v="9"/>
    <n v="1"/>
    <x v="20"/>
    <b v="0"/>
    <n v="1"/>
    <n v="1"/>
    <n v="0.28000000000000003"/>
    <x v="8"/>
    <n v="0.81"/>
    <n v="8.9599999999999999E-2"/>
    <n v="3"/>
    <n v="34"/>
    <n v="37"/>
    <s v="Spring"/>
    <s v="Monday"/>
    <s v="Clear"/>
    <x v="0"/>
    <s v="Mild"/>
    <x v="1"/>
    <s v="Calm"/>
    <s v="Working Day"/>
    <s v="Mostly Registered"/>
    <n v="8.1081081081081088"/>
    <n v="91.891891891891902"/>
    <s v="No"/>
    <s v="Low"/>
    <s v="No"/>
    <n v="2.2999999999999961E-2"/>
  </r>
  <r>
    <n v="853"/>
    <x v="9"/>
    <n v="1"/>
    <x v="21"/>
    <b v="0"/>
    <n v="1"/>
    <n v="2"/>
    <n v="0.3"/>
    <x v="9"/>
    <n v="0.81"/>
    <n v="0"/>
    <n v="6"/>
    <n v="19"/>
    <n v="25"/>
    <s v="Spring"/>
    <s v="Monday"/>
    <s v="Mist/Cloudy"/>
    <x v="0"/>
    <s v="Mild"/>
    <x v="1"/>
    <s v="Calm"/>
    <s v="Working Day"/>
    <s v="Mostly Registered"/>
    <n v="24"/>
    <n v="76"/>
    <s v="No"/>
    <s v="Low"/>
    <s v="No"/>
    <n v="3.3300000000000003E-2"/>
  </r>
  <r>
    <n v="854"/>
    <x v="10"/>
    <n v="1"/>
    <x v="22"/>
    <b v="0"/>
    <n v="2"/>
    <n v="2"/>
    <n v="0.28000000000000003"/>
    <x v="7"/>
    <n v="0.87"/>
    <n v="0"/>
    <n v="4"/>
    <n v="6"/>
    <n v="10"/>
    <s v="Spring"/>
    <s v="Tuesday"/>
    <s v="Mist/Cloudy"/>
    <x v="0"/>
    <s v="Mild"/>
    <x v="1"/>
    <s v="Calm"/>
    <s v="Working Day"/>
    <s v="Mostly Registered"/>
    <n v="40"/>
    <n v="60"/>
    <s v="No"/>
    <s v="Low"/>
    <s v="No"/>
    <n v="3.8199999999999963E-2"/>
  </r>
  <r>
    <n v="855"/>
    <x v="10"/>
    <n v="1"/>
    <x v="0"/>
    <b v="0"/>
    <n v="2"/>
    <n v="2"/>
    <n v="0.28000000000000003"/>
    <x v="7"/>
    <n v="0.87"/>
    <n v="0"/>
    <n v="0"/>
    <n v="4"/>
    <n v="4"/>
    <s v="Spring"/>
    <s v="Tuesday"/>
    <s v="Mist/Cloudy"/>
    <x v="0"/>
    <s v="Mild"/>
    <x v="1"/>
    <s v="Calm"/>
    <s v="Working Day"/>
    <s v="Mostly Registered"/>
    <n v="0"/>
    <n v="100"/>
    <s v="No"/>
    <s v="Low"/>
    <s v="No"/>
    <n v="3.8199999999999963E-2"/>
  </r>
  <r>
    <n v="856"/>
    <x v="10"/>
    <n v="1"/>
    <x v="1"/>
    <b v="0"/>
    <n v="2"/>
    <n v="2"/>
    <n v="0.26"/>
    <x v="6"/>
    <n v="0.93"/>
    <n v="0.1045"/>
    <n v="1"/>
    <n v="1"/>
    <n v="2"/>
    <s v="Spring"/>
    <s v="Tuesday"/>
    <s v="Mist/Cloudy"/>
    <x v="0"/>
    <s v="Mild"/>
    <x v="1"/>
    <s v="Calm"/>
    <s v="Working Day"/>
    <s v="Mostly Registered"/>
    <n v="50"/>
    <n v="50"/>
    <s v="No"/>
    <s v="Low"/>
    <s v="No"/>
    <n v="1.2699999999999991E-2"/>
  </r>
  <r>
    <n v="857"/>
    <x v="10"/>
    <n v="1"/>
    <x v="2"/>
    <b v="0"/>
    <n v="2"/>
    <n v="3"/>
    <n v="0.28000000000000003"/>
    <x v="6"/>
    <n v="0.93"/>
    <n v="0.16420000000000001"/>
    <n v="0"/>
    <n v="1"/>
    <n v="1"/>
    <s v="Spring"/>
    <s v="Tuesday"/>
    <s v="Light Rain/Snow"/>
    <x v="0"/>
    <s v="Mild"/>
    <x v="1"/>
    <s v="Moderate"/>
    <s v="Working Day"/>
    <s v="Mostly Registered"/>
    <n v="0"/>
    <n v="100"/>
    <s v="No"/>
    <s v="Low"/>
    <s v="No"/>
    <n v="-7.3000000000000287E-3"/>
  </r>
  <r>
    <n v="858"/>
    <x v="10"/>
    <n v="1"/>
    <x v="3"/>
    <b v="0"/>
    <n v="2"/>
    <n v="1"/>
    <n v="0.26"/>
    <x v="10"/>
    <n v="0.93"/>
    <n v="0.16420000000000001"/>
    <n v="0"/>
    <n v="3"/>
    <n v="3"/>
    <s v="Spring"/>
    <s v="Tuesday"/>
    <s v="Clear"/>
    <x v="0"/>
    <s v="Mild"/>
    <x v="1"/>
    <s v="Moderate"/>
    <s v="Working Day"/>
    <s v="Mostly Registered"/>
    <n v="0"/>
    <n v="100"/>
    <s v="No"/>
    <s v="Low"/>
    <s v="No"/>
    <n v="-2.4000000000000128E-3"/>
  </r>
  <r>
    <n v="859"/>
    <x v="10"/>
    <n v="1"/>
    <x v="23"/>
    <b v="0"/>
    <n v="2"/>
    <n v="1"/>
    <n v="0.26"/>
    <x v="0"/>
    <n v="0.81"/>
    <n v="0.32840000000000003"/>
    <n v="0"/>
    <n v="2"/>
    <n v="2"/>
    <s v="Spring"/>
    <s v="Tuesday"/>
    <s v="Clear"/>
    <x v="0"/>
    <s v="Mild"/>
    <x v="1"/>
    <s v="Windy"/>
    <s v="Working Day"/>
    <s v="Mostly Registered"/>
    <n v="0"/>
    <n v="100"/>
    <s v="No"/>
    <s v="Low"/>
    <s v="No"/>
    <n v="-3.2700000000000007E-2"/>
  </r>
  <r>
    <n v="860"/>
    <x v="10"/>
    <n v="1"/>
    <x v="4"/>
    <b v="0"/>
    <n v="2"/>
    <n v="1"/>
    <n v="0.26"/>
    <x v="0"/>
    <n v="0.7"/>
    <n v="0.32840000000000003"/>
    <n v="0"/>
    <n v="39"/>
    <n v="39"/>
    <s v="Spring"/>
    <s v="Tuesday"/>
    <s v="Clear"/>
    <x v="1"/>
    <s v="Mild"/>
    <x v="1"/>
    <s v="Windy"/>
    <s v="Working Day"/>
    <s v="Mostly Registered"/>
    <n v="0"/>
    <n v="100"/>
    <s v="No"/>
    <s v="Low"/>
    <s v="No"/>
    <n v="-3.2700000000000007E-2"/>
  </r>
  <r>
    <n v="861"/>
    <x v="10"/>
    <n v="1"/>
    <x v="5"/>
    <b v="0"/>
    <n v="2"/>
    <n v="1"/>
    <n v="0.24"/>
    <x v="3"/>
    <n v="0.65"/>
    <n v="0.41789999999999999"/>
    <n v="3"/>
    <n v="97"/>
    <n v="100"/>
    <s v="Spring"/>
    <s v="Tuesday"/>
    <s v="Clear"/>
    <x v="1"/>
    <s v="Cold"/>
    <x v="0"/>
    <s v="Windy"/>
    <s v="Working Day"/>
    <s v="Mostly Registered"/>
    <n v="3"/>
    <n v="97"/>
    <s v="Yes"/>
    <s v="Medium"/>
    <s v="No"/>
    <n v="-4.2999999999999983E-2"/>
  </r>
  <r>
    <n v="862"/>
    <x v="10"/>
    <n v="1"/>
    <x v="6"/>
    <b v="0"/>
    <n v="2"/>
    <n v="1"/>
    <n v="0.24"/>
    <x v="3"/>
    <n v="0.56000000000000005"/>
    <n v="0.49249999999999999"/>
    <n v="7"/>
    <n v="236"/>
    <n v="243"/>
    <s v="Spring"/>
    <s v="Tuesday"/>
    <s v="Clear"/>
    <x v="1"/>
    <s v="Cold"/>
    <x v="0"/>
    <s v="Windy"/>
    <s v="Working Day"/>
    <s v="Mostly Registered"/>
    <n v="2.880658436213992"/>
    <n v="97.119341563786008"/>
    <s v="Yes"/>
    <s v="Medium"/>
    <s v="No"/>
    <n v="-4.2999999999999983E-2"/>
  </r>
  <r>
    <n v="863"/>
    <x v="10"/>
    <n v="1"/>
    <x v="7"/>
    <b v="0"/>
    <n v="2"/>
    <n v="1"/>
    <n v="0.24"/>
    <x v="3"/>
    <n v="0.52"/>
    <n v="0.49249999999999999"/>
    <n v="7"/>
    <n v="128"/>
    <n v="135"/>
    <s v="Spring"/>
    <s v="Tuesday"/>
    <s v="Clear"/>
    <x v="1"/>
    <s v="Cold"/>
    <x v="0"/>
    <s v="Windy"/>
    <s v="Working Day"/>
    <s v="Mostly Registered"/>
    <n v="5.1851851851851851"/>
    <n v="94.814814814814824"/>
    <s v="Yes"/>
    <s v="Medium"/>
    <s v="No"/>
    <n v="-4.2999999999999983E-2"/>
  </r>
  <r>
    <n v="864"/>
    <x v="10"/>
    <n v="1"/>
    <x v="8"/>
    <b v="0"/>
    <n v="2"/>
    <n v="1"/>
    <n v="0.22"/>
    <x v="2"/>
    <n v="0.47"/>
    <n v="0.55220000000000002"/>
    <n v="4"/>
    <n v="44"/>
    <n v="48"/>
    <s v="Spring"/>
    <s v="Tuesday"/>
    <s v="Clear"/>
    <x v="1"/>
    <s v="Cold"/>
    <x v="0"/>
    <s v="Windy"/>
    <s v="Working Day"/>
    <s v="Mostly Registered"/>
    <n v="8.3333333333333321"/>
    <n v="91.666666666666657"/>
    <s v="No"/>
    <s v="Low"/>
    <s v="No"/>
    <n v="-3.8200000000000012E-2"/>
  </r>
  <r>
    <n v="865"/>
    <x v="10"/>
    <n v="1"/>
    <x v="9"/>
    <b v="0"/>
    <n v="2"/>
    <n v="1"/>
    <n v="0.22"/>
    <x v="2"/>
    <n v="0.47"/>
    <n v="0.4627"/>
    <n v="1"/>
    <n v="49"/>
    <n v="50"/>
    <s v="Spring"/>
    <s v="Tuesday"/>
    <s v="Clear"/>
    <x v="1"/>
    <s v="Cold"/>
    <x v="0"/>
    <s v="Windy"/>
    <s v="Working Day"/>
    <s v="Mostly Registered"/>
    <n v="2"/>
    <n v="98"/>
    <s v="No"/>
    <s v="Low"/>
    <s v="No"/>
    <n v="-3.8200000000000012E-2"/>
  </r>
  <r>
    <n v="866"/>
    <x v="10"/>
    <n v="1"/>
    <x v="10"/>
    <b v="0"/>
    <n v="2"/>
    <n v="1"/>
    <n v="0.24"/>
    <x v="3"/>
    <n v="0.38"/>
    <n v="0.49249999999999999"/>
    <n v="2"/>
    <n v="63"/>
    <n v="65"/>
    <s v="Spring"/>
    <s v="Tuesday"/>
    <s v="Clear"/>
    <x v="2"/>
    <s v="Cold"/>
    <x v="2"/>
    <s v="Windy"/>
    <s v="Working Day"/>
    <s v="Mostly Registered"/>
    <n v="3.0769230769230771"/>
    <n v="96.92307692307692"/>
    <s v="No"/>
    <s v="Low"/>
    <s v="No"/>
    <n v="-4.2999999999999983E-2"/>
  </r>
  <r>
    <n v="867"/>
    <x v="10"/>
    <n v="1"/>
    <x v="11"/>
    <b v="0"/>
    <n v="2"/>
    <n v="2"/>
    <n v="0.24"/>
    <x v="3"/>
    <n v="0.32"/>
    <n v="0.44779999999999998"/>
    <n v="2"/>
    <n v="48"/>
    <n v="50"/>
    <s v="Spring"/>
    <s v="Tuesday"/>
    <s v="Mist/Cloudy"/>
    <x v="2"/>
    <s v="Cold"/>
    <x v="2"/>
    <s v="Windy"/>
    <s v="Working Day"/>
    <s v="Mostly Registered"/>
    <n v="4"/>
    <n v="96"/>
    <s v="No"/>
    <s v="Low"/>
    <s v="No"/>
    <n v="-4.2999999999999983E-2"/>
  </r>
  <r>
    <n v="868"/>
    <x v="10"/>
    <n v="1"/>
    <x v="12"/>
    <b v="0"/>
    <n v="2"/>
    <n v="1"/>
    <n v="0.22"/>
    <x v="3"/>
    <n v="0.37"/>
    <n v="0.41789999999999999"/>
    <n v="3"/>
    <n v="61"/>
    <n v="64"/>
    <s v="Spring"/>
    <s v="Tuesday"/>
    <s v="Clear"/>
    <x v="2"/>
    <s v="Cold"/>
    <x v="2"/>
    <s v="Windy"/>
    <s v="Working Day"/>
    <s v="Mostly Registered"/>
    <n v="4.6875"/>
    <n v="95.3125"/>
    <s v="No"/>
    <s v="Low"/>
    <s v="No"/>
    <n v="-2.2999999999999989E-2"/>
  </r>
  <r>
    <n v="869"/>
    <x v="10"/>
    <n v="1"/>
    <x v="13"/>
    <b v="0"/>
    <n v="2"/>
    <n v="1"/>
    <n v="0.22"/>
    <x v="3"/>
    <n v="0.35"/>
    <n v="0.3881"/>
    <n v="6"/>
    <n v="45"/>
    <n v="51"/>
    <s v="Spring"/>
    <s v="Tuesday"/>
    <s v="Clear"/>
    <x v="2"/>
    <s v="Cold"/>
    <x v="2"/>
    <s v="Windy"/>
    <s v="Working Day"/>
    <s v="Mostly Registered"/>
    <n v="11.76470588235294"/>
    <n v="88.235294117647058"/>
    <s v="No"/>
    <s v="Low"/>
    <s v="No"/>
    <n v="-2.2999999999999989E-2"/>
  </r>
  <r>
    <n v="870"/>
    <x v="10"/>
    <n v="1"/>
    <x v="14"/>
    <b v="0"/>
    <n v="2"/>
    <n v="1"/>
    <n v="0.22"/>
    <x v="2"/>
    <n v="0.35"/>
    <n v="0.52239999999999998"/>
    <n v="4"/>
    <n v="79"/>
    <n v="83"/>
    <s v="Spring"/>
    <s v="Tuesday"/>
    <s v="Clear"/>
    <x v="2"/>
    <s v="Cold"/>
    <x v="2"/>
    <s v="Windy"/>
    <s v="Working Day"/>
    <s v="Mostly Registered"/>
    <n v="4.8192771084337354"/>
    <n v="95.180722891566262"/>
    <s v="No"/>
    <s v="Low"/>
    <s v="No"/>
    <n v="-3.8200000000000012E-2"/>
  </r>
  <r>
    <n v="871"/>
    <x v="10"/>
    <n v="1"/>
    <x v="15"/>
    <b v="0"/>
    <n v="2"/>
    <n v="1"/>
    <n v="0.22"/>
    <x v="2"/>
    <n v="0.32"/>
    <n v="0.58209999999999995"/>
    <n v="4"/>
    <n v="172"/>
    <n v="176"/>
    <s v="Spring"/>
    <s v="Tuesday"/>
    <s v="Clear"/>
    <x v="3"/>
    <s v="Cold"/>
    <x v="2"/>
    <s v="Windy"/>
    <s v="Working Day"/>
    <s v="Mostly Registered"/>
    <n v="2.2727272727272729"/>
    <n v="97.727272727272734"/>
    <s v="Yes"/>
    <s v="Medium"/>
    <s v="No"/>
    <n v="-3.8200000000000012E-2"/>
  </r>
  <r>
    <n v="872"/>
    <x v="10"/>
    <n v="1"/>
    <x v="16"/>
    <b v="0"/>
    <n v="2"/>
    <n v="1"/>
    <n v="0.2"/>
    <x v="2"/>
    <n v="0.32"/>
    <n v="0.3881"/>
    <n v="1"/>
    <n v="151"/>
    <n v="152"/>
    <s v="Spring"/>
    <s v="Tuesday"/>
    <s v="Clear"/>
    <x v="3"/>
    <s v="Cold"/>
    <x v="2"/>
    <s v="Windy"/>
    <s v="Working Day"/>
    <s v="Mostly Registered"/>
    <n v="0.6578947368421052"/>
    <n v="99.342105263157904"/>
    <s v="Yes"/>
    <s v="Medium"/>
    <s v="No"/>
    <n v="-1.8200000000000022E-2"/>
  </r>
  <r>
    <n v="873"/>
    <x v="10"/>
    <n v="1"/>
    <x v="17"/>
    <b v="0"/>
    <n v="2"/>
    <n v="1"/>
    <n v="0.16"/>
    <x v="15"/>
    <n v="0.4"/>
    <n v="0.4627"/>
    <n v="1"/>
    <n v="100"/>
    <n v="101"/>
    <s v="Spring"/>
    <s v="Tuesday"/>
    <s v="Clear"/>
    <x v="3"/>
    <s v="Cold"/>
    <x v="0"/>
    <s v="Windy"/>
    <s v="Working Day"/>
    <s v="Mostly Registered"/>
    <n v="0.99009900990099009"/>
    <n v="99.009900990099013"/>
    <s v="Yes"/>
    <s v="Medium"/>
    <s v="No"/>
    <n v="-3.8800000000000001E-2"/>
  </r>
  <r>
    <n v="874"/>
    <x v="10"/>
    <n v="1"/>
    <x v="18"/>
    <b v="0"/>
    <n v="2"/>
    <n v="1"/>
    <n v="0.16"/>
    <x v="12"/>
    <n v="0.4"/>
    <n v="0.32840000000000003"/>
    <n v="3"/>
    <n v="53"/>
    <n v="56"/>
    <s v="Spring"/>
    <s v="Tuesday"/>
    <s v="Clear"/>
    <x v="3"/>
    <s v="Cold"/>
    <x v="0"/>
    <s v="Windy"/>
    <s v="Working Day"/>
    <s v="Mostly Registered"/>
    <n v="5.3571428571428568"/>
    <n v="94.642857142857139"/>
    <s v="No"/>
    <s v="Low"/>
    <s v="No"/>
    <n v="-2.360000000000001E-2"/>
  </r>
  <r>
    <n v="875"/>
    <x v="10"/>
    <n v="1"/>
    <x v="19"/>
    <b v="0"/>
    <n v="2"/>
    <n v="1"/>
    <n v="0.14000000000000001"/>
    <x v="18"/>
    <n v="0.33"/>
    <n v="0.4627"/>
    <n v="8"/>
    <n v="46"/>
    <n v="54"/>
    <s v="Spring"/>
    <s v="Tuesday"/>
    <s v="Clear"/>
    <x v="0"/>
    <s v="Very Cold"/>
    <x v="2"/>
    <s v="Windy"/>
    <s v="Working Day"/>
    <s v="Mostly Registered"/>
    <n v="14.81481481481481"/>
    <n v="85.18518518518519"/>
    <s v="No"/>
    <s v="Low"/>
    <s v="No"/>
    <n v="-3.3900000000000013E-2"/>
  </r>
  <r>
    <n v="876"/>
    <x v="10"/>
    <n v="1"/>
    <x v="20"/>
    <b v="0"/>
    <n v="2"/>
    <n v="1"/>
    <n v="0.12"/>
    <x v="18"/>
    <n v="0.33"/>
    <n v="0.35820000000000002"/>
    <n v="0"/>
    <n v="29"/>
    <n v="29"/>
    <s v="Spring"/>
    <s v="Tuesday"/>
    <s v="Clear"/>
    <x v="0"/>
    <s v="Very Cold"/>
    <x v="2"/>
    <s v="Windy"/>
    <s v="Working Day"/>
    <s v="Mostly Registered"/>
    <n v="0"/>
    <n v="100"/>
    <s v="No"/>
    <s v="Low"/>
    <s v="No"/>
    <n v="-1.3899999999999999E-2"/>
  </r>
  <r>
    <n v="877"/>
    <x v="10"/>
    <n v="1"/>
    <x v="21"/>
    <b v="0"/>
    <n v="2"/>
    <n v="1"/>
    <n v="0.12"/>
    <x v="18"/>
    <n v="0.33"/>
    <n v="0.32840000000000003"/>
    <n v="3"/>
    <n v="9"/>
    <n v="12"/>
    <s v="Spring"/>
    <s v="Tuesday"/>
    <s v="Clear"/>
    <x v="0"/>
    <s v="Very Cold"/>
    <x v="2"/>
    <s v="Windy"/>
    <s v="Working Day"/>
    <s v="Mostly Registered"/>
    <n v="25"/>
    <n v="75"/>
    <s v="No"/>
    <s v="Low"/>
    <s v="No"/>
    <n v="-1.3899999999999999E-2"/>
  </r>
  <r>
    <n v="878"/>
    <x v="11"/>
    <n v="1"/>
    <x v="22"/>
    <b v="0"/>
    <n v="3"/>
    <n v="1"/>
    <n v="0.1"/>
    <x v="19"/>
    <n v="0.36"/>
    <n v="0.35820000000000002"/>
    <n v="0"/>
    <n v="17"/>
    <n v="17"/>
    <s v="Spring"/>
    <s v="Wednesday"/>
    <s v="Clear"/>
    <x v="0"/>
    <s v="Very Cold"/>
    <x v="2"/>
    <s v="Windy"/>
    <s v="Working Day"/>
    <s v="Mostly Registered"/>
    <n v="0"/>
    <n v="100"/>
    <s v="No"/>
    <s v="Low"/>
    <s v="No"/>
    <n v="-2.4199999999999999E-2"/>
  </r>
  <r>
    <n v="879"/>
    <x v="11"/>
    <n v="1"/>
    <x v="0"/>
    <b v="0"/>
    <n v="3"/>
    <n v="1"/>
    <n v="0.1"/>
    <x v="18"/>
    <n v="0.36"/>
    <n v="0.22389999999999999"/>
    <n v="0"/>
    <n v="7"/>
    <n v="7"/>
    <s v="Spring"/>
    <s v="Wednesday"/>
    <s v="Clear"/>
    <x v="0"/>
    <s v="Very Cold"/>
    <x v="2"/>
    <s v="Moderate"/>
    <s v="Working Day"/>
    <s v="Mostly Registered"/>
    <n v="0"/>
    <n v="100"/>
    <s v="No"/>
    <s v="Low"/>
    <s v="No"/>
    <n v="6.0999999999999943E-3"/>
  </r>
  <r>
    <n v="880"/>
    <x v="11"/>
    <n v="1"/>
    <x v="1"/>
    <b v="0"/>
    <n v="3"/>
    <n v="1"/>
    <n v="0.08"/>
    <x v="19"/>
    <n v="0.38"/>
    <n v="0.28360000000000002"/>
    <n v="1"/>
    <n v="2"/>
    <n v="3"/>
    <s v="Spring"/>
    <s v="Wednesday"/>
    <s v="Clear"/>
    <x v="0"/>
    <s v="Very Cold"/>
    <x v="2"/>
    <s v="Moderate"/>
    <s v="Working Day"/>
    <s v="Mostly Registered"/>
    <n v="33.333333333333329"/>
    <n v="66.666666666666657"/>
    <s v="No"/>
    <s v="Low"/>
    <s v="No"/>
    <n v="-4.1999999999999954E-3"/>
  </r>
  <r>
    <n v="881"/>
    <x v="11"/>
    <n v="1"/>
    <x v="2"/>
    <b v="0"/>
    <n v="3"/>
    <n v="1"/>
    <n v="0.06"/>
    <x v="19"/>
    <n v="0.45"/>
    <n v="0.1343"/>
    <n v="0"/>
    <n v="2"/>
    <n v="2"/>
    <s v="Spring"/>
    <s v="Wednesday"/>
    <s v="Clear"/>
    <x v="0"/>
    <s v="Very Cold"/>
    <x v="0"/>
    <s v="Calm"/>
    <s v="Working Day"/>
    <s v="Mostly Registered"/>
    <n v="0"/>
    <n v="100"/>
    <s v="No"/>
    <s v="Low"/>
    <s v="No"/>
    <n v="1.5800000000000008E-2"/>
  </r>
  <r>
    <n v="882"/>
    <x v="11"/>
    <n v="1"/>
    <x v="23"/>
    <b v="0"/>
    <n v="3"/>
    <n v="1"/>
    <n v="0.06"/>
    <x v="18"/>
    <n v="0.45"/>
    <n v="0.1045"/>
    <n v="0"/>
    <n v="7"/>
    <n v="7"/>
    <s v="Spring"/>
    <s v="Wednesday"/>
    <s v="Clear"/>
    <x v="0"/>
    <s v="Very Cold"/>
    <x v="0"/>
    <s v="Calm"/>
    <s v="Working Day"/>
    <s v="Mostly Registered"/>
    <n v="0"/>
    <n v="100"/>
    <s v="No"/>
    <s v="Low"/>
    <s v="No"/>
    <n v="4.6100000000000002E-2"/>
  </r>
  <r>
    <n v="883"/>
    <x v="11"/>
    <n v="1"/>
    <x v="4"/>
    <b v="0"/>
    <n v="3"/>
    <n v="1"/>
    <n v="0.06"/>
    <x v="13"/>
    <n v="0.45"/>
    <n v="0"/>
    <n v="0"/>
    <n v="43"/>
    <n v="43"/>
    <s v="Spring"/>
    <s v="Wednesday"/>
    <s v="Clear"/>
    <x v="1"/>
    <s v="Very Cold"/>
    <x v="0"/>
    <s v="Calm"/>
    <s v="Working Day"/>
    <s v="Mostly Registered"/>
    <n v="0"/>
    <n v="100"/>
    <s v="No"/>
    <s v="Low"/>
    <s v="No"/>
    <n v="9.1499999999999998E-2"/>
  </r>
  <r>
    <n v="884"/>
    <x v="11"/>
    <n v="1"/>
    <x v="5"/>
    <b v="0"/>
    <n v="3"/>
    <n v="1"/>
    <n v="0.06"/>
    <x v="18"/>
    <n v="0.49"/>
    <n v="0.1045"/>
    <n v="4"/>
    <n v="95"/>
    <n v="99"/>
    <s v="Spring"/>
    <s v="Wednesday"/>
    <s v="Clear"/>
    <x v="1"/>
    <s v="Very Cold"/>
    <x v="0"/>
    <s v="Calm"/>
    <s v="Working Day"/>
    <s v="Mostly Registered"/>
    <n v="4.0404040404040407"/>
    <n v="95.959595959595958"/>
    <s v="Yes"/>
    <s v="Low"/>
    <s v="No"/>
    <n v="4.6100000000000002E-2"/>
  </r>
  <r>
    <n v="885"/>
    <x v="11"/>
    <n v="1"/>
    <x v="6"/>
    <b v="0"/>
    <n v="3"/>
    <n v="1"/>
    <n v="0.1"/>
    <x v="12"/>
    <n v="0.42"/>
    <n v="0"/>
    <n v="1"/>
    <n v="198"/>
    <n v="199"/>
    <s v="Spring"/>
    <s v="Wednesday"/>
    <s v="Clear"/>
    <x v="1"/>
    <s v="Very Cold"/>
    <x v="0"/>
    <s v="Calm"/>
    <s v="Working Day"/>
    <s v="Mostly Registered"/>
    <n v="0.50251256281407031"/>
    <n v="99.497487437185924"/>
    <s v="Yes"/>
    <s v="Medium"/>
    <s v="No"/>
    <n v="3.6399999999999988E-2"/>
  </r>
  <r>
    <n v="886"/>
    <x v="11"/>
    <n v="1"/>
    <x v="7"/>
    <b v="0"/>
    <n v="3"/>
    <n v="1"/>
    <n v="0.12"/>
    <x v="12"/>
    <n v="0.39"/>
    <n v="0.16420000000000001"/>
    <n v="4"/>
    <n v="119"/>
    <n v="123"/>
    <s v="Spring"/>
    <s v="Wednesday"/>
    <s v="Clear"/>
    <x v="1"/>
    <s v="Very Cold"/>
    <x v="2"/>
    <s v="Moderate"/>
    <s v="Working Day"/>
    <s v="Mostly Registered"/>
    <n v="3.2520325203252041"/>
    <n v="96.747967479674799"/>
    <s v="Yes"/>
    <s v="Medium"/>
    <s v="No"/>
    <n v="1.6400000000000001E-2"/>
  </r>
  <r>
    <n v="887"/>
    <x v="11"/>
    <n v="1"/>
    <x v="8"/>
    <b v="0"/>
    <n v="3"/>
    <n v="1"/>
    <n v="0.14000000000000001"/>
    <x v="2"/>
    <n v="0.36"/>
    <n v="0"/>
    <n v="8"/>
    <n v="51"/>
    <n v="59"/>
    <s v="Spring"/>
    <s v="Wednesday"/>
    <s v="Clear"/>
    <x v="1"/>
    <s v="Very Cold"/>
    <x v="2"/>
    <s v="Calm"/>
    <s v="Working Day"/>
    <s v="Mostly Registered"/>
    <n v="13.559322033898299"/>
    <n v="86.440677966101703"/>
    <s v="No"/>
    <s v="Low"/>
    <s v="No"/>
    <n v="4.1799999999999983E-2"/>
  </r>
  <r>
    <n v="888"/>
    <x v="11"/>
    <n v="1"/>
    <x v="9"/>
    <b v="0"/>
    <n v="3"/>
    <n v="2"/>
    <n v="0.14000000000000001"/>
    <x v="13"/>
    <n v="0.43"/>
    <n v="0.16420000000000001"/>
    <n v="1"/>
    <n v="40"/>
    <n v="41"/>
    <s v="Spring"/>
    <s v="Wednesday"/>
    <s v="Mist/Cloudy"/>
    <x v="1"/>
    <s v="Very Cold"/>
    <x v="0"/>
    <s v="Moderate"/>
    <s v="Working Day"/>
    <s v="Mostly Registered"/>
    <n v="2.4390243902439019"/>
    <n v="97.560975609756099"/>
    <s v="No"/>
    <s v="Low"/>
    <s v="No"/>
    <n v="1.1499999999999981E-2"/>
  </r>
  <r>
    <n v="889"/>
    <x v="11"/>
    <n v="1"/>
    <x v="10"/>
    <b v="0"/>
    <n v="3"/>
    <n v="2"/>
    <n v="0.18"/>
    <x v="2"/>
    <n v="0.4"/>
    <n v="0.22389999999999999"/>
    <n v="4"/>
    <n v="57"/>
    <n v="61"/>
    <s v="Spring"/>
    <s v="Wednesday"/>
    <s v="Mist/Cloudy"/>
    <x v="2"/>
    <s v="Cold"/>
    <x v="0"/>
    <s v="Moderate"/>
    <s v="Working Day"/>
    <s v="Mostly Registered"/>
    <n v="6.557377049180328"/>
    <n v="93.442622950819683"/>
    <s v="No"/>
    <s v="Low"/>
    <s v="No"/>
    <n v="1.799999999999996E-3"/>
  </r>
  <r>
    <n v="890"/>
    <x v="11"/>
    <n v="1"/>
    <x v="11"/>
    <b v="0"/>
    <n v="3"/>
    <n v="1"/>
    <n v="0.18"/>
    <x v="11"/>
    <n v="0.4"/>
    <n v="0.25369999999999998"/>
    <n v="2"/>
    <n v="67"/>
    <n v="69"/>
    <s v="Spring"/>
    <s v="Wednesday"/>
    <s v="Clear"/>
    <x v="2"/>
    <s v="Cold"/>
    <x v="0"/>
    <s v="Moderate"/>
    <s v="Working Day"/>
    <s v="Mostly Registered"/>
    <n v="2.8985507246376812"/>
    <n v="97.101449275362313"/>
    <s v="No"/>
    <s v="Low"/>
    <s v="No"/>
    <n v="-1.330000000000001E-2"/>
  </r>
  <r>
    <n v="891"/>
    <x v="11"/>
    <n v="1"/>
    <x v="12"/>
    <b v="0"/>
    <n v="3"/>
    <n v="1"/>
    <n v="0.2"/>
    <x v="2"/>
    <n v="0.34"/>
    <n v="0.29849999999999999"/>
    <n v="2"/>
    <n v="56"/>
    <n v="58"/>
    <s v="Spring"/>
    <s v="Wednesday"/>
    <s v="Clear"/>
    <x v="2"/>
    <s v="Cold"/>
    <x v="2"/>
    <s v="Moderate"/>
    <s v="Working Day"/>
    <s v="Mostly Registered"/>
    <n v="3.4482758620689649"/>
    <n v="96.551724137931032"/>
    <s v="No"/>
    <s v="Low"/>
    <s v="No"/>
    <n v="-1.8200000000000022E-2"/>
  </r>
  <r>
    <n v="892"/>
    <x v="11"/>
    <n v="1"/>
    <x v="13"/>
    <b v="0"/>
    <n v="3"/>
    <n v="2"/>
    <n v="0.2"/>
    <x v="2"/>
    <n v="0.34"/>
    <n v="0.28360000000000002"/>
    <n v="3"/>
    <n v="61"/>
    <n v="64"/>
    <s v="Spring"/>
    <s v="Wednesday"/>
    <s v="Mist/Cloudy"/>
    <x v="2"/>
    <s v="Cold"/>
    <x v="2"/>
    <s v="Moderate"/>
    <s v="Working Day"/>
    <s v="Mostly Registered"/>
    <n v="4.6875"/>
    <n v="95.3125"/>
    <s v="No"/>
    <s v="Low"/>
    <s v="No"/>
    <n v="-1.8200000000000022E-2"/>
  </r>
  <r>
    <n v="893"/>
    <x v="11"/>
    <n v="1"/>
    <x v="14"/>
    <b v="0"/>
    <n v="3"/>
    <n v="2"/>
    <n v="0.2"/>
    <x v="3"/>
    <n v="0.37"/>
    <n v="0.25369999999999998"/>
    <n v="7"/>
    <n v="72"/>
    <n v="79"/>
    <s v="Spring"/>
    <s v="Wednesday"/>
    <s v="Mist/Cloudy"/>
    <x v="2"/>
    <s v="Cold"/>
    <x v="2"/>
    <s v="Moderate"/>
    <s v="Working Day"/>
    <s v="Mostly Registered"/>
    <n v="8.8607594936708853"/>
    <n v="91.139240506329116"/>
    <s v="No"/>
    <s v="Low"/>
    <s v="No"/>
    <n v="-3.0000000000000031E-3"/>
  </r>
  <r>
    <n v="894"/>
    <x v="11"/>
    <n v="1"/>
    <x v="15"/>
    <b v="0"/>
    <n v="3"/>
    <n v="2"/>
    <n v="0.2"/>
    <x v="3"/>
    <n v="0.34"/>
    <n v="0.25369999999999998"/>
    <n v="9"/>
    <n v="157"/>
    <n v="166"/>
    <s v="Spring"/>
    <s v="Wednesday"/>
    <s v="Mist/Cloudy"/>
    <x v="3"/>
    <s v="Cold"/>
    <x v="2"/>
    <s v="Moderate"/>
    <s v="Working Day"/>
    <s v="Mostly Registered"/>
    <n v="5.4216867469879517"/>
    <n v="94.578313253012041"/>
    <s v="Yes"/>
    <s v="Medium"/>
    <s v="No"/>
    <n v="-3.0000000000000031E-3"/>
  </r>
  <r>
    <n v="895"/>
    <x v="11"/>
    <n v="1"/>
    <x v="16"/>
    <b v="0"/>
    <n v="3"/>
    <n v="2"/>
    <n v="0.18"/>
    <x v="11"/>
    <n v="0.47"/>
    <n v="0.29849999999999999"/>
    <n v="2"/>
    <n v="168"/>
    <n v="170"/>
    <s v="Spring"/>
    <s v="Wednesday"/>
    <s v="Mist/Cloudy"/>
    <x v="3"/>
    <s v="Cold"/>
    <x v="0"/>
    <s v="Moderate"/>
    <s v="Working Day"/>
    <s v="Mostly Registered"/>
    <n v="1.1764705882352939"/>
    <n v="98.82352941176471"/>
    <s v="Yes"/>
    <s v="Medium"/>
    <s v="No"/>
    <n v="-1.330000000000001E-2"/>
  </r>
  <r>
    <n v="896"/>
    <x v="11"/>
    <n v="1"/>
    <x v="17"/>
    <b v="0"/>
    <n v="3"/>
    <n v="3"/>
    <n v="0.14000000000000001"/>
    <x v="15"/>
    <n v="0.86"/>
    <n v="0.25369999999999998"/>
    <n v="1"/>
    <n v="87"/>
    <n v="88"/>
    <s v="Spring"/>
    <s v="Wednesday"/>
    <s v="Light Rain/Snow"/>
    <x v="3"/>
    <s v="Very Cold"/>
    <x v="1"/>
    <s v="Moderate"/>
    <s v="Working Day"/>
    <s v="Mostly Registered"/>
    <n v="1.136363636363636"/>
    <n v="98.86363636363636"/>
    <s v="Yes"/>
    <s v="Low"/>
    <s v="No"/>
    <n v="-1.8800000000000011E-2"/>
  </r>
  <r>
    <n v="897"/>
    <x v="11"/>
    <n v="1"/>
    <x v="18"/>
    <b v="0"/>
    <n v="3"/>
    <n v="3"/>
    <n v="0.14000000000000001"/>
    <x v="13"/>
    <n v="0.86"/>
    <n v="0.16420000000000001"/>
    <n v="0"/>
    <n v="84"/>
    <n v="84"/>
    <s v="Spring"/>
    <s v="Wednesday"/>
    <s v="Light Rain/Snow"/>
    <x v="3"/>
    <s v="Very Cold"/>
    <x v="1"/>
    <s v="Moderate"/>
    <s v="Working Day"/>
    <s v="Mostly Registered"/>
    <n v="0"/>
    <n v="100"/>
    <s v="No"/>
    <s v="Low"/>
    <s v="No"/>
    <n v="1.1499999999999981E-2"/>
  </r>
  <r>
    <n v="898"/>
    <x v="11"/>
    <n v="1"/>
    <x v="19"/>
    <b v="0"/>
    <n v="3"/>
    <n v="2"/>
    <n v="0.14000000000000001"/>
    <x v="13"/>
    <n v="0.86"/>
    <n v="0.16420000000000001"/>
    <n v="0"/>
    <n v="83"/>
    <n v="83"/>
    <s v="Spring"/>
    <s v="Wednesday"/>
    <s v="Mist/Cloudy"/>
    <x v="0"/>
    <s v="Very Cold"/>
    <x v="1"/>
    <s v="Moderate"/>
    <s v="Working Day"/>
    <s v="Mostly Registered"/>
    <n v="0"/>
    <n v="100"/>
    <s v="No"/>
    <s v="Low"/>
    <s v="No"/>
    <n v="1.1499999999999981E-2"/>
  </r>
  <r>
    <n v="899"/>
    <x v="11"/>
    <n v="1"/>
    <x v="20"/>
    <b v="0"/>
    <n v="3"/>
    <n v="3"/>
    <n v="0.16"/>
    <x v="11"/>
    <n v="0.8"/>
    <n v="0.16420000000000001"/>
    <n v="4"/>
    <n v="42"/>
    <n v="46"/>
    <s v="Spring"/>
    <s v="Wednesday"/>
    <s v="Light Rain/Snow"/>
    <x v="0"/>
    <s v="Cold"/>
    <x v="1"/>
    <s v="Moderate"/>
    <s v="Working Day"/>
    <s v="Mostly Registered"/>
    <n v="8.695652173913043"/>
    <n v="91.304347826086953"/>
    <s v="No"/>
    <s v="Low"/>
    <s v="No"/>
    <n v="6.6999999999999837E-3"/>
  </r>
  <r>
    <n v="900"/>
    <x v="11"/>
    <n v="1"/>
    <x v="21"/>
    <b v="0"/>
    <n v="3"/>
    <n v="3"/>
    <n v="0.16"/>
    <x v="13"/>
    <n v="0.8"/>
    <n v="0.19400000000000001"/>
    <n v="0"/>
    <n v="37"/>
    <n v="37"/>
    <s v="Spring"/>
    <s v="Wednesday"/>
    <s v="Light Rain/Snow"/>
    <x v="0"/>
    <s v="Cold"/>
    <x v="1"/>
    <s v="Moderate"/>
    <s v="Working Day"/>
    <s v="Mostly Registered"/>
    <n v="0"/>
    <n v="100"/>
    <s v="No"/>
    <s v="Low"/>
    <s v="No"/>
    <n v="-8.5000000000000075E-3"/>
  </r>
  <r>
    <n v="901"/>
    <x v="12"/>
    <n v="1"/>
    <x v="22"/>
    <b v="0"/>
    <n v="4"/>
    <n v="3"/>
    <n v="0.14000000000000001"/>
    <x v="12"/>
    <n v="0.86"/>
    <n v="0.19400000000000001"/>
    <n v="0"/>
    <n v="16"/>
    <n v="16"/>
    <s v="Spring"/>
    <s v="Thursday"/>
    <s v="Light Rain/Snow"/>
    <x v="0"/>
    <s v="Very Cold"/>
    <x v="1"/>
    <s v="Moderate"/>
    <s v="Working Day"/>
    <s v="Mostly Registered"/>
    <n v="0"/>
    <n v="100"/>
    <s v="No"/>
    <s v="Low"/>
    <s v="No"/>
    <n v="-3.6000000000000199E-3"/>
  </r>
  <r>
    <n v="902"/>
    <x v="12"/>
    <n v="1"/>
    <x v="0"/>
    <b v="0"/>
    <n v="4"/>
    <n v="3"/>
    <n v="0.14000000000000001"/>
    <x v="13"/>
    <n v="0.8"/>
    <n v="0.1343"/>
    <n v="0"/>
    <n v="7"/>
    <n v="7"/>
    <s v="Spring"/>
    <s v="Thursday"/>
    <s v="Light Rain/Snow"/>
    <x v="0"/>
    <s v="Very Cold"/>
    <x v="1"/>
    <s v="Calm"/>
    <s v="Working Day"/>
    <s v="Mostly Registered"/>
    <n v="0"/>
    <n v="100"/>
    <s v="No"/>
    <s v="Low"/>
    <s v="No"/>
    <n v="1.1499999999999981E-2"/>
  </r>
  <r>
    <n v="903"/>
    <x v="12"/>
    <n v="1"/>
    <x v="1"/>
    <b v="0"/>
    <n v="4"/>
    <n v="3"/>
    <n v="0.14000000000000001"/>
    <x v="13"/>
    <n v="0.8"/>
    <n v="0.1343"/>
    <n v="0"/>
    <n v="3"/>
    <n v="3"/>
    <s v="Spring"/>
    <s v="Thursday"/>
    <s v="Light Rain/Snow"/>
    <x v="0"/>
    <s v="Very Cold"/>
    <x v="1"/>
    <s v="Calm"/>
    <s v="Working Day"/>
    <s v="Mostly Registered"/>
    <n v="0"/>
    <n v="100"/>
    <s v="No"/>
    <s v="Low"/>
    <s v="No"/>
    <n v="1.1499999999999981E-2"/>
  </r>
  <r>
    <n v="904"/>
    <x v="12"/>
    <n v="1"/>
    <x v="3"/>
    <b v="0"/>
    <n v="4"/>
    <n v="2"/>
    <n v="0.14000000000000001"/>
    <x v="12"/>
    <n v="0.59"/>
    <n v="0.22389999999999999"/>
    <n v="0"/>
    <n v="1"/>
    <n v="1"/>
    <s v="Spring"/>
    <s v="Thursday"/>
    <s v="Mist/Cloudy"/>
    <x v="0"/>
    <s v="Very Cold"/>
    <x v="0"/>
    <s v="Moderate"/>
    <s v="Working Day"/>
    <s v="Mostly Registered"/>
    <n v="0"/>
    <n v="100"/>
    <s v="No"/>
    <s v="Low"/>
    <s v="No"/>
    <n v="-3.6000000000000199E-3"/>
  </r>
  <r>
    <n v="905"/>
    <x v="12"/>
    <n v="1"/>
    <x v="23"/>
    <b v="0"/>
    <n v="4"/>
    <n v="2"/>
    <n v="0.12"/>
    <x v="15"/>
    <n v="0.5"/>
    <n v="0.22389999999999999"/>
    <n v="0"/>
    <n v="6"/>
    <n v="6"/>
    <s v="Spring"/>
    <s v="Thursday"/>
    <s v="Mist/Cloudy"/>
    <x v="0"/>
    <s v="Very Cold"/>
    <x v="0"/>
    <s v="Moderate"/>
    <s v="Working Day"/>
    <s v="Mostly Registered"/>
    <n v="0"/>
    <n v="100"/>
    <s v="No"/>
    <s v="Low"/>
    <s v="No"/>
    <n v="1.2000000000000071E-3"/>
  </r>
  <r>
    <n v="906"/>
    <x v="12"/>
    <n v="1"/>
    <x v="4"/>
    <b v="0"/>
    <n v="4"/>
    <n v="2"/>
    <n v="0.12"/>
    <x v="15"/>
    <n v="0.54"/>
    <n v="0.28360000000000002"/>
    <n v="0"/>
    <n v="26"/>
    <n v="26"/>
    <s v="Spring"/>
    <s v="Thursday"/>
    <s v="Mist/Cloudy"/>
    <x v="1"/>
    <s v="Very Cold"/>
    <x v="0"/>
    <s v="Moderate"/>
    <s v="Working Day"/>
    <s v="Mostly Registered"/>
    <n v="0"/>
    <n v="100"/>
    <s v="No"/>
    <s v="Low"/>
    <s v="No"/>
    <n v="1.2000000000000071E-3"/>
  </r>
  <r>
    <n v="907"/>
    <x v="12"/>
    <n v="1"/>
    <x v="5"/>
    <b v="0"/>
    <n v="4"/>
    <n v="1"/>
    <n v="0.1"/>
    <x v="19"/>
    <n v="0.5"/>
    <n v="0.41789999999999999"/>
    <n v="0"/>
    <n v="99"/>
    <n v="99"/>
    <s v="Spring"/>
    <s v="Thursday"/>
    <s v="Clear"/>
    <x v="1"/>
    <s v="Very Cold"/>
    <x v="0"/>
    <s v="Windy"/>
    <s v="Working Day"/>
    <s v="Mostly Registered"/>
    <n v="0"/>
    <n v="100"/>
    <s v="Yes"/>
    <s v="Low"/>
    <s v="No"/>
    <n v="-2.4199999999999999E-2"/>
  </r>
  <r>
    <n v="908"/>
    <x v="12"/>
    <n v="1"/>
    <x v="6"/>
    <b v="0"/>
    <n v="4"/>
    <n v="1"/>
    <n v="0.1"/>
    <x v="19"/>
    <n v="0.49"/>
    <n v="0.32840000000000003"/>
    <n v="5"/>
    <n v="173"/>
    <n v="178"/>
    <s v="Spring"/>
    <s v="Thursday"/>
    <s v="Clear"/>
    <x v="1"/>
    <s v="Very Cold"/>
    <x v="0"/>
    <s v="Windy"/>
    <s v="Working Day"/>
    <s v="Mostly Registered"/>
    <n v="2.808988764044944"/>
    <n v="97.19101123595506"/>
    <s v="Yes"/>
    <s v="Medium"/>
    <s v="No"/>
    <n v="-2.4199999999999999E-2"/>
  </r>
  <r>
    <n v="909"/>
    <x v="12"/>
    <n v="1"/>
    <x v="7"/>
    <b v="0"/>
    <n v="4"/>
    <n v="1"/>
    <n v="0.12"/>
    <x v="18"/>
    <n v="0.42"/>
    <n v="0.35820000000000002"/>
    <n v="1"/>
    <n v="121"/>
    <n v="122"/>
    <s v="Spring"/>
    <s v="Thursday"/>
    <s v="Clear"/>
    <x v="1"/>
    <s v="Very Cold"/>
    <x v="0"/>
    <s v="Windy"/>
    <s v="Working Day"/>
    <s v="Mostly Registered"/>
    <n v="0.81967213114754101"/>
    <n v="99.180327868852459"/>
    <s v="Yes"/>
    <s v="Medium"/>
    <s v="No"/>
    <n v="-1.3899999999999999E-2"/>
  </r>
  <r>
    <n v="910"/>
    <x v="12"/>
    <n v="1"/>
    <x v="8"/>
    <b v="0"/>
    <n v="4"/>
    <n v="1"/>
    <n v="0.12"/>
    <x v="18"/>
    <n v="0.42"/>
    <n v="0.29849999999999999"/>
    <n v="1"/>
    <n v="34"/>
    <n v="35"/>
    <s v="Spring"/>
    <s v="Thursday"/>
    <s v="Clear"/>
    <x v="1"/>
    <s v="Very Cold"/>
    <x v="0"/>
    <s v="Moderate"/>
    <s v="Working Day"/>
    <s v="Mostly Registered"/>
    <n v="2.8571428571428572"/>
    <n v="97.142857142857139"/>
    <s v="No"/>
    <s v="Low"/>
    <s v="No"/>
    <n v="-1.3899999999999999E-2"/>
  </r>
  <r>
    <n v="911"/>
    <x v="12"/>
    <n v="1"/>
    <x v="9"/>
    <b v="0"/>
    <n v="4"/>
    <n v="1"/>
    <n v="0.14000000000000001"/>
    <x v="15"/>
    <n v="0.39"/>
    <n v="0.35820000000000002"/>
    <n v="1"/>
    <n v="44"/>
    <n v="45"/>
    <s v="Spring"/>
    <s v="Thursday"/>
    <s v="Clear"/>
    <x v="1"/>
    <s v="Very Cold"/>
    <x v="2"/>
    <s v="Windy"/>
    <s v="Working Day"/>
    <s v="Mostly Registered"/>
    <n v="2.2222222222222219"/>
    <n v="97.777777777777771"/>
    <s v="No"/>
    <s v="Low"/>
    <s v="No"/>
    <n v="-1.8800000000000011E-2"/>
  </r>
  <r>
    <n v="912"/>
    <x v="12"/>
    <n v="1"/>
    <x v="10"/>
    <b v="0"/>
    <n v="4"/>
    <n v="1"/>
    <n v="0.16"/>
    <x v="12"/>
    <n v="0.34"/>
    <n v="0.3881"/>
    <n v="4"/>
    <n v="65"/>
    <n v="69"/>
    <s v="Spring"/>
    <s v="Thursday"/>
    <s v="Clear"/>
    <x v="2"/>
    <s v="Cold"/>
    <x v="2"/>
    <s v="Windy"/>
    <s v="Working Day"/>
    <s v="Mostly Registered"/>
    <n v="5.7971014492753623"/>
    <n v="94.20289855072464"/>
    <s v="No"/>
    <s v="Low"/>
    <s v="No"/>
    <n v="-2.360000000000001E-2"/>
  </r>
  <r>
    <n v="913"/>
    <x v="12"/>
    <n v="1"/>
    <x v="11"/>
    <b v="0"/>
    <n v="4"/>
    <n v="1"/>
    <n v="0.18"/>
    <x v="11"/>
    <n v="0.28999999999999998"/>
    <n v="0.29849999999999999"/>
    <n v="3"/>
    <n v="59"/>
    <n v="62"/>
    <s v="Spring"/>
    <s v="Thursday"/>
    <s v="Clear"/>
    <x v="2"/>
    <s v="Cold"/>
    <x v="2"/>
    <s v="Moderate"/>
    <s v="Working Day"/>
    <s v="Mostly Registered"/>
    <n v="4.838709677419355"/>
    <n v="95.161290322580655"/>
    <s v="No"/>
    <s v="Low"/>
    <s v="No"/>
    <n v="-1.330000000000001E-2"/>
  </r>
  <r>
    <n v="914"/>
    <x v="12"/>
    <n v="1"/>
    <x v="12"/>
    <b v="0"/>
    <n v="4"/>
    <n v="1"/>
    <n v="0.2"/>
    <x v="2"/>
    <n v="0.27"/>
    <n v="0.28360000000000002"/>
    <n v="6"/>
    <n v="42"/>
    <n v="48"/>
    <s v="Spring"/>
    <s v="Thursday"/>
    <s v="Clear"/>
    <x v="2"/>
    <s v="Cold"/>
    <x v="2"/>
    <s v="Moderate"/>
    <s v="Working Day"/>
    <s v="Mostly Registered"/>
    <n v="12.5"/>
    <n v="87.5"/>
    <s v="No"/>
    <s v="Low"/>
    <s v="No"/>
    <n v="-1.8200000000000022E-2"/>
  </r>
  <r>
    <n v="915"/>
    <x v="12"/>
    <n v="1"/>
    <x v="13"/>
    <b v="0"/>
    <n v="4"/>
    <n v="1"/>
    <n v="0.2"/>
    <x v="3"/>
    <n v="0.25"/>
    <n v="0.25369999999999998"/>
    <n v="0"/>
    <n v="50"/>
    <n v="50"/>
    <s v="Spring"/>
    <s v="Thursday"/>
    <s v="Clear"/>
    <x v="2"/>
    <s v="Cold"/>
    <x v="2"/>
    <s v="Moderate"/>
    <s v="Working Day"/>
    <s v="Mostly Registered"/>
    <n v="0"/>
    <n v="100"/>
    <s v="No"/>
    <s v="Low"/>
    <s v="No"/>
    <n v="-3.0000000000000031E-3"/>
  </r>
  <r>
    <n v="916"/>
    <x v="12"/>
    <n v="1"/>
    <x v="14"/>
    <b v="0"/>
    <n v="4"/>
    <n v="1"/>
    <n v="0.2"/>
    <x v="2"/>
    <n v="0.27"/>
    <n v="0.29849999999999999"/>
    <n v="4"/>
    <n v="76"/>
    <n v="80"/>
    <s v="Spring"/>
    <s v="Thursday"/>
    <s v="Clear"/>
    <x v="2"/>
    <s v="Cold"/>
    <x v="2"/>
    <s v="Moderate"/>
    <s v="Working Day"/>
    <s v="Mostly Registered"/>
    <n v="5"/>
    <n v="95"/>
    <s v="No"/>
    <s v="Low"/>
    <s v="No"/>
    <n v="-1.8200000000000022E-2"/>
  </r>
  <r>
    <n v="917"/>
    <x v="12"/>
    <n v="1"/>
    <x v="15"/>
    <b v="0"/>
    <n v="4"/>
    <n v="1"/>
    <n v="0.18"/>
    <x v="2"/>
    <n v="0.26"/>
    <n v="0.19400000000000001"/>
    <n v="6"/>
    <n v="159"/>
    <n v="165"/>
    <s v="Spring"/>
    <s v="Thursday"/>
    <s v="Clear"/>
    <x v="3"/>
    <s v="Cold"/>
    <x v="2"/>
    <s v="Moderate"/>
    <s v="Working Day"/>
    <s v="Mostly Registered"/>
    <n v="3.6363636363636358"/>
    <n v="96.36363636363636"/>
    <s v="Yes"/>
    <s v="Medium"/>
    <s v="No"/>
    <n v="1.799999999999996E-3"/>
  </r>
  <r>
    <n v="918"/>
    <x v="12"/>
    <n v="1"/>
    <x v="16"/>
    <b v="0"/>
    <n v="4"/>
    <n v="1"/>
    <n v="0.16"/>
    <x v="2"/>
    <n v="0.28000000000000003"/>
    <n v="0.1343"/>
    <n v="3"/>
    <n v="157"/>
    <n v="160"/>
    <s v="Spring"/>
    <s v="Thursday"/>
    <s v="Clear"/>
    <x v="3"/>
    <s v="Cold"/>
    <x v="2"/>
    <s v="Calm"/>
    <s v="Working Day"/>
    <s v="Mostly Registered"/>
    <n v="1.875"/>
    <n v="98.125"/>
    <s v="Yes"/>
    <s v="Medium"/>
    <s v="No"/>
    <n v="2.179999999999999E-2"/>
  </r>
  <r>
    <n v="919"/>
    <x v="12"/>
    <n v="1"/>
    <x v="17"/>
    <b v="0"/>
    <n v="4"/>
    <n v="1"/>
    <n v="0.14000000000000001"/>
    <x v="11"/>
    <n v="0.28000000000000003"/>
    <n v="0.1045"/>
    <n v="2"/>
    <n v="110"/>
    <n v="112"/>
    <s v="Spring"/>
    <s v="Thursday"/>
    <s v="Clear"/>
    <x v="3"/>
    <s v="Very Cold"/>
    <x v="2"/>
    <s v="Calm"/>
    <s v="Working Day"/>
    <s v="Mostly Registered"/>
    <n v="1.785714285714286"/>
    <n v="98.214285714285708"/>
    <s v="Yes"/>
    <s v="Medium"/>
    <s v="No"/>
    <n v="2.669999999999997E-2"/>
  </r>
  <r>
    <n v="920"/>
    <x v="12"/>
    <n v="1"/>
    <x v="18"/>
    <b v="0"/>
    <n v="4"/>
    <n v="1"/>
    <n v="0.14000000000000001"/>
    <x v="2"/>
    <n v="0.31"/>
    <n v="8.9599999999999999E-2"/>
    <n v="4"/>
    <n v="93"/>
    <n v="97"/>
    <s v="Spring"/>
    <s v="Thursday"/>
    <s v="Clear"/>
    <x v="3"/>
    <s v="Very Cold"/>
    <x v="2"/>
    <s v="Calm"/>
    <s v="Working Day"/>
    <s v="Mostly Registered"/>
    <n v="4.1237113402061851"/>
    <n v="95.876288659793815"/>
    <s v="No"/>
    <s v="Low"/>
    <s v="No"/>
    <n v="4.1799999999999983E-2"/>
  </r>
  <r>
    <n v="921"/>
    <x v="12"/>
    <n v="1"/>
    <x v="19"/>
    <b v="0"/>
    <n v="4"/>
    <n v="1"/>
    <n v="0.14000000000000001"/>
    <x v="1"/>
    <n v="0.39"/>
    <n v="0"/>
    <n v="2"/>
    <n v="70"/>
    <n v="72"/>
    <s v="Spring"/>
    <s v="Thursday"/>
    <s v="Clear"/>
    <x v="0"/>
    <s v="Very Cold"/>
    <x v="2"/>
    <s v="Calm"/>
    <s v="Working Day"/>
    <s v="Mostly Registered"/>
    <n v="2.7777777777777781"/>
    <n v="97.222222222222214"/>
    <s v="No"/>
    <s v="Low"/>
    <s v="No"/>
    <n v="7.2099999999999997E-2"/>
  </r>
  <r>
    <n v="922"/>
    <x v="12"/>
    <n v="1"/>
    <x v="20"/>
    <b v="0"/>
    <n v="4"/>
    <n v="1"/>
    <n v="0.12"/>
    <x v="3"/>
    <n v="0.39"/>
    <n v="0"/>
    <n v="4"/>
    <n v="47"/>
    <n v="51"/>
    <s v="Spring"/>
    <s v="Thursday"/>
    <s v="Clear"/>
    <x v="0"/>
    <s v="Very Cold"/>
    <x v="2"/>
    <s v="Calm"/>
    <s v="Working Day"/>
    <s v="Mostly Registered"/>
    <n v="7.8431372549019596"/>
    <n v="92.156862745098039"/>
    <s v="No"/>
    <s v="Low"/>
    <s v="No"/>
    <n v="7.7000000000000013E-2"/>
  </r>
  <r>
    <n v="923"/>
    <x v="12"/>
    <n v="1"/>
    <x v="21"/>
    <b v="0"/>
    <n v="4"/>
    <n v="1"/>
    <n v="0.12"/>
    <x v="13"/>
    <n v="0.42"/>
    <n v="0.1045"/>
    <n v="1"/>
    <n v="33"/>
    <n v="34"/>
    <s v="Spring"/>
    <s v="Thursday"/>
    <s v="Clear"/>
    <x v="0"/>
    <s v="Very Cold"/>
    <x v="0"/>
    <s v="Calm"/>
    <s v="Working Day"/>
    <s v="Mostly Registered"/>
    <n v="2.9411764705882351"/>
    <n v="97.058823529411768"/>
    <s v="No"/>
    <s v="Low"/>
    <s v="No"/>
    <n v="3.15E-2"/>
  </r>
  <r>
    <n v="924"/>
    <x v="13"/>
    <n v="1"/>
    <x v="22"/>
    <b v="0"/>
    <n v="5"/>
    <n v="1"/>
    <n v="0.1"/>
    <x v="12"/>
    <n v="0.49"/>
    <n v="0.1045"/>
    <n v="2"/>
    <n v="12"/>
    <n v="14"/>
    <s v="Spring"/>
    <s v="Friday"/>
    <s v="Clear"/>
    <x v="0"/>
    <s v="Very Cold"/>
    <x v="0"/>
    <s v="Calm"/>
    <s v="Working Day"/>
    <s v="Mostly Registered"/>
    <n v="14.285714285714279"/>
    <n v="85.714285714285708"/>
    <s v="No"/>
    <s v="Low"/>
    <s v="No"/>
    <n v="3.6399999999999988E-2"/>
  </r>
  <r>
    <n v="925"/>
    <x v="13"/>
    <n v="1"/>
    <x v="0"/>
    <b v="0"/>
    <n v="5"/>
    <n v="1"/>
    <n v="0.1"/>
    <x v="12"/>
    <n v="0.54"/>
    <n v="8.9599999999999999E-2"/>
    <n v="1"/>
    <n v="6"/>
    <n v="7"/>
    <s v="Spring"/>
    <s v="Friday"/>
    <s v="Clear"/>
    <x v="0"/>
    <s v="Very Cold"/>
    <x v="0"/>
    <s v="Calm"/>
    <s v="Working Day"/>
    <s v="Mostly Registered"/>
    <n v="14.285714285714279"/>
    <n v="85.714285714285708"/>
    <s v="No"/>
    <s v="Low"/>
    <s v="No"/>
    <n v="3.6399999999999988E-2"/>
  </r>
  <r>
    <n v="926"/>
    <x v="13"/>
    <n v="1"/>
    <x v="1"/>
    <b v="0"/>
    <n v="5"/>
    <n v="1"/>
    <n v="0.1"/>
    <x v="12"/>
    <n v="0.54"/>
    <n v="8.9599999999999999E-2"/>
    <n v="0"/>
    <n v="3"/>
    <n v="3"/>
    <s v="Spring"/>
    <s v="Friday"/>
    <s v="Clear"/>
    <x v="0"/>
    <s v="Very Cold"/>
    <x v="0"/>
    <s v="Calm"/>
    <s v="Working Day"/>
    <s v="Mostly Registered"/>
    <n v="0"/>
    <n v="100"/>
    <s v="No"/>
    <s v="Low"/>
    <s v="No"/>
    <n v="3.6399999999999988E-2"/>
  </r>
  <r>
    <n v="927"/>
    <x v="13"/>
    <n v="1"/>
    <x v="23"/>
    <b v="0"/>
    <n v="5"/>
    <n v="1"/>
    <n v="0.08"/>
    <x v="15"/>
    <n v="0.63"/>
    <n v="8.9599999999999999E-2"/>
    <n v="0"/>
    <n v="4"/>
    <n v="4"/>
    <s v="Spring"/>
    <s v="Friday"/>
    <s v="Clear"/>
    <x v="0"/>
    <s v="Very Cold"/>
    <x v="0"/>
    <s v="Calm"/>
    <s v="Working Day"/>
    <s v="Mostly Registered"/>
    <n v="0"/>
    <n v="100"/>
    <s v="No"/>
    <s v="Low"/>
    <s v="No"/>
    <n v="4.1200000000000001E-2"/>
  </r>
  <r>
    <n v="928"/>
    <x v="13"/>
    <n v="1"/>
    <x v="4"/>
    <b v="0"/>
    <n v="5"/>
    <n v="1"/>
    <n v="0.1"/>
    <x v="2"/>
    <n v="0.68"/>
    <n v="0"/>
    <n v="1"/>
    <n v="23"/>
    <n v="24"/>
    <s v="Spring"/>
    <s v="Friday"/>
    <s v="Clear"/>
    <x v="1"/>
    <s v="Very Cold"/>
    <x v="0"/>
    <s v="Calm"/>
    <s v="Working Day"/>
    <s v="Mostly Registered"/>
    <n v="4.1666666666666661"/>
    <n v="95.833333333333343"/>
    <s v="No"/>
    <s v="Low"/>
    <s v="No"/>
    <n v="8.1799999999999984E-2"/>
  </r>
  <r>
    <n v="929"/>
    <x v="13"/>
    <n v="1"/>
    <x v="5"/>
    <b v="0"/>
    <n v="5"/>
    <n v="1"/>
    <n v="0.08"/>
    <x v="11"/>
    <n v="0.73"/>
    <n v="0"/>
    <n v="1"/>
    <n v="73"/>
    <n v="74"/>
    <s v="Spring"/>
    <s v="Friday"/>
    <s v="Clear"/>
    <x v="1"/>
    <s v="Very Cold"/>
    <x v="1"/>
    <s v="Calm"/>
    <s v="Working Day"/>
    <s v="Mostly Registered"/>
    <n v="1.3513513513513511"/>
    <n v="98.648648648648646"/>
    <s v="Yes"/>
    <s v="Low"/>
    <s v="No"/>
    <n v="8.6699999999999985E-2"/>
  </r>
  <r>
    <n v="930"/>
    <x v="13"/>
    <n v="1"/>
    <x v="6"/>
    <b v="0"/>
    <n v="5"/>
    <n v="1"/>
    <n v="0.1"/>
    <x v="15"/>
    <n v="0.74"/>
    <n v="0.16420000000000001"/>
    <n v="4"/>
    <n v="212"/>
    <n v="216"/>
    <s v="Spring"/>
    <s v="Friday"/>
    <s v="Clear"/>
    <x v="1"/>
    <s v="Very Cold"/>
    <x v="1"/>
    <s v="Moderate"/>
    <s v="Working Day"/>
    <s v="Mostly Registered"/>
    <n v="1.8518518518518521"/>
    <n v="98.148148148148152"/>
    <s v="Yes"/>
    <s v="Medium"/>
    <s v="No"/>
    <n v="2.12E-2"/>
  </r>
  <r>
    <n v="931"/>
    <x v="13"/>
    <n v="1"/>
    <x v="7"/>
    <b v="0"/>
    <n v="5"/>
    <n v="1"/>
    <n v="0.12"/>
    <x v="15"/>
    <n v="0.74"/>
    <n v="0.22389999999999999"/>
    <n v="8"/>
    <n v="132"/>
    <n v="140"/>
    <s v="Spring"/>
    <s v="Friday"/>
    <s v="Clear"/>
    <x v="1"/>
    <s v="Very Cold"/>
    <x v="1"/>
    <s v="Moderate"/>
    <s v="Working Day"/>
    <s v="Mostly Registered"/>
    <n v="5.7142857142857144"/>
    <n v="94.285714285714278"/>
    <s v="Yes"/>
    <s v="Medium"/>
    <s v="No"/>
    <n v="1.2000000000000071E-3"/>
  </r>
  <r>
    <n v="932"/>
    <x v="13"/>
    <n v="1"/>
    <x v="8"/>
    <b v="0"/>
    <n v="5"/>
    <n v="1"/>
    <n v="0.14000000000000001"/>
    <x v="12"/>
    <n v="0.69"/>
    <n v="0.19400000000000001"/>
    <n v="5"/>
    <n v="39"/>
    <n v="44"/>
    <s v="Spring"/>
    <s v="Friday"/>
    <s v="Clear"/>
    <x v="1"/>
    <s v="Very Cold"/>
    <x v="0"/>
    <s v="Moderate"/>
    <s v="Working Day"/>
    <s v="Mostly Registered"/>
    <n v="11.36363636363636"/>
    <n v="88.63636363636364"/>
    <s v="No"/>
    <s v="Low"/>
    <s v="No"/>
    <n v="-3.6000000000000199E-3"/>
  </r>
  <r>
    <n v="933"/>
    <x v="13"/>
    <n v="1"/>
    <x v="9"/>
    <b v="0"/>
    <n v="5"/>
    <n v="1"/>
    <n v="0.22"/>
    <x v="0"/>
    <n v="0.47"/>
    <n v="0.1343"/>
    <n v="12"/>
    <n v="52"/>
    <n v="64"/>
    <s v="Spring"/>
    <s v="Friday"/>
    <s v="Clear"/>
    <x v="1"/>
    <s v="Cold"/>
    <x v="0"/>
    <s v="Calm"/>
    <s v="Working Day"/>
    <s v="Mostly Registered"/>
    <n v="18.75"/>
    <n v="81.25"/>
    <s v="No"/>
    <s v="Low"/>
    <s v="No"/>
    <n v="7.3000000000000009E-3"/>
  </r>
  <r>
    <n v="934"/>
    <x v="13"/>
    <n v="1"/>
    <x v="10"/>
    <b v="0"/>
    <n v="5"/>
    <n v="1"/>
    <n v="0.22"/>
    <x v="0"/>
    <n v="0.47"/>
    <n v="0.1343"/>
    <n v="7"/>
    <n v="64"/>
    <n v="71"/>
    <s v="Spring"/>
    <s v="Friday"/>
    <s v="Clear"/>
    <x v="2"/>
    <s v="Cold"/>
    <x v="0"/>
    <s v="Calm"/>
    <s v="Working Day"/>
    <s v="Mostly Registered"/>
    <n v="9.8591549295774641"/>
    <n v="90.140845070422543"/>
    <s v="No"/>
    <s v="Low"/>
    <s v="No"/>
    <n v="7.3000000000000009E-3"/>
  </r>
  <r>
    <n v="935"/>
    <x v="13"/>
    <n v="1"/>
    <x v="11"/>
    <b v="0"/>
    <n v="5"/>
    <n v="1"/>
    <n v="0.24"/>
    <x v="0"/>
    <n v="0.35"/>
    <n v="0.19400000000000001"/>
    <n v="21"/>
    <n v="89"/>
    <n v="110"/>
    <s v="Spring"/>
    <s v="Friday"/>
    <s v="Clear"/>
    <x v="2"/>
    <s v="Cold"/>
    <x v="2"/>
    <s v="Moderate"/>
    <s v="Working Day"/>
    <s v="Mostly Registered"/>
    <n v="19.09090909090909"/>
    <n v="80.909090909090907"/>
    <s v="No"/>
    <s v="Medium"/>
    <s v="No"/>
    <n v="-1.2699999999999991E-2"/>
  </r>
  <r>
    <n v="936"/>
    <x v="13"/>
    <n v="1"/>
    <x v="12"/>
    <b v="0"/>
    <n v="5"/>
    <n v="1"/>
    <n v="0.3"/>
    <x v="5"/>
    <n v="0.26"/>
    <n v="0.25369999999999998"/>
    <n v="17"/>
    <n v="67"/>
    <n v="84"/>
    <s v="Spring"/>
    <s v="Friday"/>
    <s v="Clear"/>
    <x v="2"/>
    <s v="Mild"/>
    <x v="2"/>
    <s v="Moderate"/>
    <s v="Working Day"/>
    <s v="Mostly Registered"/>
    <n v="20.238095238095241"/>
    <n v="79.761904761904773"/>
    <s v="No"/>
    <s v="Low"/>
    <s v="No"/>
    <n v="-1.21E-2"/>
  </r>
  <r>
    <n v="937"/>
    <x v="13"/>
    <n v="1"/>
    <x v="13"/>
    <b v="0"/>
    <n v="5"/>
    <n v="1"/>
    <n v="0.32"/>
    <x v="7"/>
    <n v="0.21"/>
    <n v="0.16420000000000001"/>
    <n v="12"/>
    <n v="62"/>
    <n v="74"/>
    <s v="Spring"/>
    <s v="Friday"/>
    <s v="Clear"/>
    <x v="2"/>
    <s v="Mild"/>
    <x v="2"/>
    <s v="Moderate"/>
    <s v="Working Day"/>
    <s v="Mostly Registered"/>
    <n v="16.216216216216221"/>
    <n v="83.78378378378379"/>
    <s v="No"/>
    <s v="Low"/>
    <s v="No"/>
    <n v="-1.800000000000024E-3"/>
  </r>
  <r>
    <n v="938"/>
    <x v="13"/>
    <n v="1"/>
    <x v="14"/>
    <b v="0"/>
    <n v="5"/>
    <n v="1"/>
    <n v="0.3"/>
    <x v="5"/>
    <n v="0.28000000000000003"/>
    <n v="0.19400000000000001"/>
    <n v="14"/>
    <n v="111"/>
    <n v="125"/>
    <s v="Spring"/>
    <s v="Friday"/>
    <s v="Clear"/>
    <x v="2"/>
    <s v="Mild"/>
    <x v="2"/>
    <s v="Moderate"/>
    <s v="Working Day"/>
    <s v="Mostly Registered"/>
    <n v="11.2"/>
    <n v="88.8"/>
    <s v="No"/>
    <s v="Medium"/>
    <s v="No"/>
    <n v="-1.21E-2"/>
  </r>
  <r>
    <n v="939"/>
    <x v="13"/>
    <n v="1"/>
    <x v="15"/>
    <b v="0"/>
    <n v="5"/>
    <n v="1"/>
    <n v="0.3"/>
    <x v="9"/>
    <n v="0.24"/>
    <n v="0"/>
    <n v="18"/>
    <n v="193"/>
    <n v="211"/>
    <s v="Spring"/>
    <s v="Friday"/>
    <s v="Clear"/>
    <x v="3"/>
    <s v="Mild"/>
    <x v="2"/>
    <s v="Calm"/>
    <s v="Working Day"/>
    <s v="Mostly Registered"/>
    <n v="8.5308056872037916"/>
    <n v="91.469194312796205"/>
    <s v="Yes"/>
    <s v="Medium"/>
    <s v="No"/>
    <n v="3.3300000000000003E-2"/>
  </r>
  <r>
    <n v="940"/>
    <x v="13"/>
    <n v="1"/>
    <x v="16"/>
    <b v="0"/>
    <n v="5"/>
    <n v="1"/>
    <n v="0.28000000000000003"/>
    <x v="7"/>
    <n v="0.28000000000000003"/>
    <n v="0"/>
    <n v="9"/>
    <n v="165"/>
    <n v="174"/>
    <s v="Spring"/>
    <s v="Friday"/>
    <s v="Clear"/>
    <x v="3"/>
    <s v="Mild"/>
    <x v="2"/>
    <s v="Calm"/>
    <s v="Working Day"/>
    <s v="Mostly Registered"/>
    <n v="5.1724137931034484"/>
    <n v="94.827586206896555"/>
    <s v="Yes"/>
    <s v="Medium"/>
    <s v="No"/>
    <n v="3.8199999999999963E-2"/>
  </r>
  <r>
    <n v="941"/>
    <x v="13"/>
    <n v="1"/>
    <x v="17"/>
    <b v="0"/>
    <n v="5"/>
    <n v="1"/>
    <n v="0.26"/>
    <x v="8"/>
    <n v="0.33"/>
    <n v="0"/>
    <n v="7"/>
    <n v="94"/>
    <n v="101"/>
    <s v="Spring"/>
    <s v="Friday"/>
    <s v="Clear"/>
    <x v="3"/>
    <s v="Mild"/>
    <x v="2"/>
    <s v="Calm"/>
    <s v="Working Day"/>
    <s v="Mostly Registered"/>
    <n v="6.9306930693069324"/>
    <n v="93.069306930693074"/>
    <s v="Yes"/>
    <s v="Medium"/>
    <s v="No"/>
    <n v="4.2999999999999983E-2"/>
  </r>
  <r>
    <n v="942"/>
    <x v="13"/>
    <n v="1"/>
    <x v="18"/>
    <b v="0"/>
    <n v="5"/>
    <n v="1"/>
    <n v="0.22"/>
    <x v="0"/>
    <n v="0.55000000000000004"/>
    <n v="0.1343"/>
    <n v="2"/>
    <n v="61"/>
    <n v="63"/>
    <s v="Spring"/>
    <s v="Friday"/>
    <s v="Clear"/>
    <x v="3"/>
    <s v="Cold"/>
    <x v="0"/>
    <s v="Calm"/>
    <s v="Working Day"/>
    <s v="Mostly Registered"/>
    <n v="3.174603174603174"/>
    <n v="96.825396825396822"/>
    <s v="No"/>
    <s v="Low"/>
    <s v="No"/>
    <n v="7.3000000000000009E-3"/>
  </r>
  <r>
    <n v="943"/>
    <x v="13"/>
    <n v="1"/>
    <x v="19"/>
    <b v="0"/>
    <n v="5"/>
    <n v="1"/>
    <n v="0.2"/>
    <x v="1"/>
    <n v="0.59"/>
    <n v="0.1343"/>
    <n v="1"/>
    <n v="46"/>
    <n v="47"/>
    <s v="Spring"/>
    <s v="Friday"/>
    <s v="Clear"/>
    <x v="0"/>
    <s v="Cold"/>
    <x v="0"/>
    <s v="Calm"/>
    <s v="Working Day"/>
    <s v="Mostly Registered"/>
    <n v="2.1276595744680851"/>
    <n v="97.872340425531917"/>
    <s v="No"/>
    <s v="Low"/>
    <s v="No"/>
    <n v="1.21E-2"/>
  </r>
  <r>
    <n v="944"/>
    <x v="13"/>
    <n v="1"/>
    <x v="20"/>
    <b v="0"/>
    <n v="5"/>
    <n v="1"/>
    <n v="0.2"/>
    <x v="0"/>
    <n v="0.64"/>
    <n v="8.9599999999999999E-2"/>
    <n v="2"/>
    <n v="41"/>
    <n v="43"/>
    <s v="Spring"/>
    <s v="Friday"/>
    <s v="Clear"/>
    <x v="0"/>
    <s v="Cold"/>
    <x v="0"/>
    <s v="Calm"/>
    <s v="Working Day"/>
    <s v="Mostly Registered"/>
    <n v="4.6511627906976747"/>
    <n v="95.348837209302332"/>
    <s v="No"/>
    <s v="Low"/>
    <s v="No"/>
    <n v="2.7299999999999991E-2"/>
  </r>
  <r>
    <n v="945"/>
    <x v="13"/>
    <n v="1"/>
    <x v="21"/>
    <b v="0"/>
    <n v="5"/>
    <n v="1"/>
    <n v="0.18"/>
    <x v="4"/>
    <n v="0.69"/>
    <n v="0"/>
    <n v="5"/>
    <n v="48"/>
    <n v="53"/>
    <s v="Spring"/>
    <s v="Friday"/>
    <s v="Clear"/>
    <x v="0"/>
    <s v="Cold"/>
    <x v="0"/>
    <s v="Calm"/>
    <s v="Working Day"/>
    <s v="Mostly Registered"/>
    <n v="9.433962264150944"/>
    <n v="90.566037735849065"/>
    <s v="No"/>
    <s v="Low"/>
    <s v="No"/>
    <n v="6.2400000000000011E-2"/>
  </r>
  <r>
    <n v="946"/>
    <x v="14"/>
    <n v="1"/>
    <x v="22"/>
    <b v="0"/>
    <n v="6"/>
    <n v="1"/>
    <n v="0.16"/>
    <x v="3"/>
    <n v="0.69"/>
    <n v="8.9599999999999999E-2"/>
    <n v="3"/>
    <n v="27"/>
    <n v="30"/>
    <s v="Spring"/>
    <s v="Saturday"/>
    <s v="Clear"/>
    <x v="0"/>
    <s v="Cold"/>
    <x v="0"/>
    <s v="Calm"/>
    <s v="Working Day"/>
    <s v="Mostly Registered"/>
    <n v="10"/>
    <n v="90"/>
    <s v="No"/>
    <s v="Low"/>
    <s v="Yes"/>
    <n v="3.7000000000000012E-2"/>
  </r>
  <r>
    <n v="947"/>
    <x v="14"/>
    <n v="1"/>
    <x v="0"/>
    <b v="0"/>
    <n v="6"/>
    <n v="1"/>
    <n v="0.14000000000000001"/>
    <x v="1"/>
    <n v="0.86"/>
    <n v="0"/>
    <n v="2"/>
    <n v="22"/>
    <n v="24"/>
    <s v="Spring"/>
    <s v="Saturday"/>
    <s v="Clear"/>
    <x v="0"/>
    <s v="Very Cold"/>
    <x v="1"/>
    <s v="Calm"/>
    <s v="Working Day"/>
    <s v="Mostly Registered"/>
    <n v="8.3333333333333321"/>
    <n v="91.666666666666657"/>
    <s v="No"/>
    <s v="Low"/>
    <s v="Yes"/>
    <n v="7.2099999999999997E-2"/>
  </r>
  <r>
    <n v="948"/>
    <x v="14"/>
    <n v="1"/>
    <x v="1"/>
    <b v="0"/>
    <n v="6"/>
    <n v="1"/>
    <n v="0.14000000000000001"/>
    <x v="1"/>
    <n v="0.8"/>
    <n v="0"/>
    <n v="2"/>
    <n v="13"/>
    <n v="15"/>
    <s v="Spring"/>
    <s v="Saturday"/>
    <s v="Clear"/>
    <x v="0"/>
    <s v="Very Cold"/>
    <x v="1"/>
    <s v="Calm"/>
    <s v="Working Day"/>
    <s v="Mostly Registered"/>
    <n v="13.33333333333333"/>
    <n v="86.666666666666671"/>
    <s v="No"/>
    <s v="Low"/>
    <s v="Yes"/>
    <n v="7.2099999999999997E-2"/>
  </r>
  <r>
    <n v="949"/>
    <x v="14"/>
    <n v="1"/>
    <x v="2"/>
    <b v="0"/>
    <n v="6"/>
    <n v="1"/>
    <n v="0.12"/>
    <x v="3"/>
    <n v="0.8"/>
    <n v="0"/>
    <n v="3"/>
    <n v="7"/>
    <n v="10"/>
    <s v="Spring"/>
    <s v="Saturday"/>
    <s v="Clear"/>
    <x v="0"/>
    <s v="Very Cold"/>
    <x v="1"/>
    <s v="Calm"/>
    <s v="Working Day"/>
    <s v="Mostly Registered"/>
    <n v="30"/>
    <n v="70"/>
    <s v="No"/>
    <s v="Low"/>
    <s v="Yes"/>
    <n v="7.7000000000000013E-2"/>
  </r>
  <r>
    <n v="950"/>
    <x v="14"/>
    <n v="1"/>
    <x v="3"/>
    <b v="0"/>
    <n v="6"/>
    <n v="1"/>
    <n v="0.12"/>
    <x v="11"/>
    <n v="0.74"/>
    <n v="8.9599999999999999E-2"/>
    <n v="0"/>
    <n v="4"/>
    <n v="4"/>
    <s v="Spring"/>
    <s v="Saturday"/>
    <s v="Clear"/>
    <x v="0"/>
    <s v="Very Cold"/>
    <x v="1"/>
    <s v="Calm"/>
    <s v="Working Day"/>
    <s v="Mostly Registered"/>
    <n v="0"/>
    <n v="100"/>
    <s v="No"/>
    <s v="Low"/>
    <s v="Yes"/>
    <n v="4.6699999999999992E-2"/>
  </r>
  <r>
    <n v="951"/>
    <x v="14"/>
    <n v="1"/>
    <x v="23"/>
    <b v="0"/>
    <n v="6"/>
    <n v="1"/>
    <n v="0.12"/>
    <x v="11"/>
    <n v="0.74"/>
    <n v="8.9599999999999999E-2"/>
    <n v="0"/>
    <n v="1"/>
    <n v="1"/>
    <s v="Spring"/>
    <s v="Saturday"/>
    <s v="Clear"/>
    <x v="0"/>
    <s v="Very Cold"/>
    <x v="1"/>
    <s v="Calm"/>
    <s v="Working Day"/>
    <s v="Mostly Registered"/>
    <n v="0"/>
    <n v="100"/>
    <s v="No"/>
    <s v="Low"/>
    <s v="Yes"/>
    <n v="4.6699999999999992E-2"/>
  </r>
  <r>
    <n v="952"/>
    <x v="14"/>
    <n v="1"/>
    <x v="4"/>
    <b v="0"/>
    <n v="6"/>
    <n v="1"/>
    <n v="0.12"/>
    <x v="12"/>
    <n v="0.93"/>
    <n v="0.19400000000000001"/>
    <n v="1"/>
    <n v="1"/>
    <n v="2"/>
    <s v="Spring"/>
    <s v="Saturday"/>
    <s v="Clear"/>
    <x v="1"/>
    <s v="Very Cold"/>
    <x v="1"/>
    <s v="Moderate"/>
    <s v="Working Day"/>
    <s v="Mostly Registered"/>
    <n v="50"/>
    <n v="50"/>
    <s v="No"/>
    <s v="Low"/>
    <s v="Yes"/>
    <n v="1.6400000000000001E-2"/>
  </r>
  <r>
    <n v="953"/>
    <x v="14"/>
    <n v="1"/>
    <x v="5"/>
    <b v="0"/>
    <n v="6"/>
    <n v="1"/>
    <n v="0.12"/>
    <x v="13"/>
    <n v="0.8"/>
    <n v="0.1045"/>
    <n v="2"/>
    <n v="9"/>
    <n v="11"/>
    <s v="Spring"/>
    <s v="Saturday"/>
    <s v="Clear"/>
    <x v="1"/>
    <s v="Very Cold"/>
    <x v="1"/>
    <s v="Calm"/>
    <s v="Working Day"/>
    <s v="Mostly Registered"/>
    <n v="18.18181818181818"/>
    <n v="81.818181818181827"/>
    <s v="Yes"/>
    <s v="Low"/>
    <s v="Yes"/>
    <n v="3.15E-2"/>
  </r>
  <r>
    <n v="954"/>
    <x v="14"/>
    <n v="1"/>
    <x v="6"/>
    <b v="0"/>
    <n v="6"/>
    <n v="1"/>
    <n v="0.14000000000000001"/>
    <x v="13"/>
    <n v="0.86"/>
    <n v="0.1343"/>
    <n v="2"/>
    <n v="28"/>
    <n v="30"/>
    <s v="Spring"/>
    <s v="Saturday"/>
    <s v="Clear"/>
    <x v="1"/>
    <s v="Very Cold"/>
    <x v="1"/>
    <s v="Calm"/>
    <s v="Working Day"/>
    <s v="Mostly Registered"/>
    <n v="6.666666666666667"/>
    <n v="93.333333333333329"/>
    <s v="Yes"/>
    <s v="Low"/>
    <s v="Yes"/>
    <n v="1.1499999999999981E-2"/>
  </r>
  <r>
    <n v="955"/>
    <x v="14"/>
    <n v="1"/>
    <x v="7"/>
    <b v="0"/>
    <n v="6"/>
    <n v="1"/>
    <n v="0.16"/>
    <x v="2"/>
    <n v="0.64"/>
    <n v="0.1343"/>
    <n v="5"/>
    <n v="38"/>
    <n v="43"/>
    <s v="Spring"/>
    <s v="Saturday"/>
    <s v="Clear"/>
    <x v="1"/>
    <s v="Cold"/>
    <x v="0"/>
    <s v="Calm"/>
    <s v="Working Day"/>
    <s v="Mostly Registered"/>
    <n v="11.627906976744191"/>
    <n v="88.372093023255815"/>
    <s v="Yes"/>
    <s v="Low"/>
    <s v="Yes"/>
    <n v="2.179999999999999E-2"/>
  </r>
  <r>
    <n v="956"/>
    <x v="14"/>
    <n v="1"/>
    <x v="8"/>
    <b v="0"/>
    <n v="6"/>
    <n v="1"/>
    <n v="0.22"/>
    <x v="1"/>
    <n v="0.41"/>
    <n v="0.25369999999999998"/>
    <n v="13"/>
    <n v="71"/>
    <n v="84"/>
    <s v="Spring"/>
    <s v="Saturday"/>
    <s v="Clear"/>
    <x v="1"/>
    <s v="Cold"/>
    <x v="0"/>
    <s v="Moderate"/>
    <s v="Working Day"/>
    <s v="Mostly Registered"/>
    <n v="15.47619047619048"/>
    <n v="84.523809523809518"/>
    <s v="No"/>
    <s v="Low"/>
    <s v="Yes"/>
    <n v="-7.8999999999999904E-3"/>
  </r>
  <r>
    <n v="957"/>
    <x v="14"/>
    <n v="1"/>
    <x v="9"/>
    <b v="0"/>
    <n v="6"/>
    <n v="1"/>
    <n v="0.3"/>
    <x v="6"/>
    <n v="0.28000000000000003"/>
    <n v="0.32840000000000003"/>
    <n v="30"/>
    <n v="84"/>
    <n v="114"/>
    <s v="Spring"/>
    <s v="Saturday"/>
    <s v="Clear"/>
    <x v="1"/>
    <s v="Mild"/>
    <x v="2"/>
    <s v="Windy"/>
    <s v="Working Day"/>
    <s v="Mostly Registered"/>
    <n v="26.315789473684209"/>
    <n v="73.68421052631578"/>
    <s v="No"/>
    <s v="Medium"/>
    <s v="Yes"/>
    <n v="-2.7299999999999991E-2"/>
  </r>
  <r>
    <n v="958"/>
    <x v="14"/>
    <n v="1"/>
    <x v="10"/>
    <b v="0"/>
    <n v="6"/>
    <n v="1"/>
    <n v="0.3"/>
    <x v="6"/>
    <n v="0.39"/>
    <n v="0.4627"/>
    <n v="27"/>
    <n v="93"/>
    <n v="120"/>
    <s v="Spring"/>
    <s v="Saturday"/>
    <s v="Clear"/>
    <x v="2"/>
    <s v="Mild"/>
    <x v="2"/>
    <s v="Windy"/>
    <s v="Working Day"/>
    <s v="Mostly Registered"/>
    <n v="22.5"/>
    <n v="77.5"/>
    <s v="No"/>
    <s v="Medium"/>
    <s v="Yes"/>
    <n v="-2.7299999999999991E-2"/>
  </r>
  <r>
    <n v="959"/>
    <x v="14"/>
    <n v="1"/>
    <x v="11"/>
    <b v="0"/>
    <n v="6"/>
    <n v="1"/>
    <n v="0.3"/>
    <x v="6"/>
    <n v="0.39"/>
    <n v="0.41789999999999999"/>
    <n v="32"/>
    <n v="103"/>
    <n v="135"/>
    <s v="Spring"/>
    <s v="Saturday"/>
    <s v="Clear"/>
    <x v="2"/>
    <s v="Mild"/>
    <x v="2"/>
    <s v="Windy"/>
    <s v="Working Day"/>
    <s v="Mostly Registered"/>
    <n v="23.703703703703709"/>
    <n v="76.296296296296291"/>
    <s v="No"/>
    <s v="Medium"/>
    <s v="Yes"/>
    <n v="-2.7299999999999991E-2"/>
  </r>
  <r>
    <n v="960"/>
    <x v="14"/>
    <n v="1"/>
    <x v="12"/>
    <b v="0"/>
    <n v="6"/>
    <n v="1"/>
    <n v="0.34"/>
    <x v="7"/>
    <n v="0.31"/>
    <n v="0.28360000000000002"/>
    <n v="30"/>
    <n v="90"/>
    <n v="120"/>
    <s v="Spring"/>
    <s v="Saturday"/>
    <s v="Clear"/>
    <x v="2"/>
    <s v="Mild"/>
    <x v="2"/>
    <s v="Moderate"/>
    <s v="Working Day"/>
    <s v="Mostly Registered"/>
    <n v="25"/>
    <n v="75"/>
    <s v="No"/>
    <s v="Medium"/>
    <s v="Yes"/>
    <n v="-2.1800000000000042E-2"/>
  </r>
  <r>
    <n v="961"/>
    <x v="14"/>
    <n v="1"/>
    <x v="13"/>
    <b v="0"/>
    <n v="6"/>
    <n v="1"/>
    <n v="0.34"/>
    <x v="8"/>
    <n v="0.28999999999999998"/>
    <n v="0.41789999999999999"/>
    <n v="47"/>
    <n v="127"/>
    <n v="174"/>
    <s v="Spring"/>
    <s v="Saturday"/>
    <s v="Clear"/>
    <x v="2"/>
    <s v="Mild"/>
    <x v="2"/>
    <s v="Windy"/>
    <s v="Working Day"/>
    <s v="Mostly Registered"/>
    <n v="27.011494252873561"/>
    <n v="72.988505747126439"/>
    <s v="No"/>
    <s v="Medium"/>
    <s v="Yes"/>
    <n v="-3.7000000000000033E-2"/>
  </r>
  <r>
    <n v="962"/>
    <x v="14"/>
    <n v="1"/>
    <x v="14"/>
    <b v="0"/>
    <n v="6"/>
    <n v="1"/>
    <n v="0.34"/>
    <x v="8"/>
    <n v="0.28999999999999998"/>
    <n v="0.41789999999999999"/>
    <n v="42"/>
    <n v="103"/>
    <n v="145"/>
    <s v="Spring"/>
    <s v="Saturday"/>
    <s v="Clear"/>
    <x v="2"/>
    <s v="Mild"/>
    <x v="2"/>
    <s v="Windy"/>
    <s v="Working Day"/>
    <s v="Mostly Registered"/>
    <n v="28.96551724137931"/>
    <n v="71.034482758620683"/>
    <s v="No"/>
    <s v="Medium"/>
    <s v="Yes"/>
    <n v="-3.7000000000000033E-2"/>
  </r>
  <r>
    <n v="963"/>
    <x v="14"/>
    <n v="1"/>
    <x v="15"/>
    <b v="0"/>
    <n v="6"/>
    <n v="1"/>
    <n v="0.32"/>
    <x v="5"/>
    <n v="0.31"/>
    <n v="0.52239999999999998"/>
    <n v="24"/>
    <n v="113"/>
    <n v="137"/>
    <s v="Spring"/>
    <s v="Saturday"/>
    <s v="Clear"/>
    <x v="3"/>
    <s v="Mild"/>
    <x v="2"/>
    <s v="Windy"/>
    <s v="Working Day"/>
    <s v="Mostly Registered"/>
    <n v="17.518248175182482"/>
    <n v="82.481751824817522"/>
    <s v="Yes"/>
    <s v="Medium"/>
    <s v="Yes"/>
    <n v="-3.2100000000000017E-2"/>
  </r>
  <r>
    <n v="964"/>
    <x v="14"/>
    <n v="1"/>
    <x v="16"/>
    <b v="0"/>
    <n v="6"/>
    <n v="1"/>
    <n v="0.28000000000000003"/>
    <x v="10"/>
    <n v="0.38"/>
    <n v="0.32840000000000003"/>
    <n v="4"/>
    <n v="60"/>
    <n v="64"/>
    <s v="Spring"/>
    <s v="Saturday"/>
    <s v="Clear"/>
    <x v="3"/>
    <s v="Mild"/>
    <x v="2"/>
    <s v="Windy"/>
    <s v="Working Day"/>
    <s v="Mostly Registered"/>
    <n v="6.25"/>
    <n v="93.75"/>
    <s v="Yes"/>
    <s v="Low"/>
    <s v="Yes"/>
    <n v="-2.2400000000000031E-2"/>
  </r>
  <r>
    <n v="965"/>
    <x v="14"/>
    <n v="1"/>
    <x v="17"/>
    <b v="0"/>
    <n v="6"/>
    <n v="1"/>
    <n v="0.28000000000000003"/>
    <x v="6"/>
    <n v="0.38"/>
    <n v="0.16420000000000001"/>
    <n v="2"/>
    <n v="39"/>
    <n v="41"/>
    <s v="Spring"/>
    <s v="Saturday"/>
    <s v="Clear"/>
    <x v="3"/>
    <s v="Mild"/>
    <x v="2"/>
    <s v="Moderate"/>
    <s v="Working Day"/>
    <s v="Mostly Registered"/>
    <n v="4.8780487804878048"/>
    <n v="95.121951219512198"/>
    <s v="Yes"/>
    <s v="Low"/>
    <s v="Yes"/>
    <n v="-7.3000000000000287E-3"/>
  </r>
  <r>
    <n v="966"/>
    <x v="14"/>
    <n v="1"/>
    <x v="18"/>
    <b v="0"/>
    <n v="6"/>
    <n v="1"/>
    <n v="0.26"/>
    <x v="10"/>
    <n v="0.41"/>
    <n v="0.22389999999999999"/>
    <n v="1"/>
    <n v="39"/>
    <n v="40"/>
    <s v="Spring"/>
    <s v="Saturday"/>
    <s v="Clear"/>
    <x v="3"/>
    <s v="Mild"/>
    <x v="0"/>
    <s v="Moderate"/>
    <s v="Working Day"/>
    <s v="Mostly Registered"/>
    <n v="2.5"/>
    <n v="97.5"/>
    <s v="No"/>
    <s v="Low"/>
    <s v="Yes"/>
    <n v="-2.4000000000000128E-3"/>
  </r>
  <r>
    <n v="967"/>
    <x v="14"/>
    <n v="1"/>
    <x v="19"/>
    <b v="0"/>
    <n v="6"/>
    <n v="1"/>
    <n v="0.26"/>
    <x v="8"/>
    <n v="0.41"/>
    <n v="0"/>
    <n v="9"/>
    <n v="42"/>
    <n v="51"/>
    <s v="Spring"/>
    <s v="Saturday"/>
    <s v="Clear"/>
    <x v="0"/>
    <s v="Mild"/>
    <x v="0"/>
    <s v="Calm"/>
    <s v="Working Day"/>
    <s v="Mostly Registered"/>
    <n v="17.647058823529409"/>
    <n v="82.35294117647058"/>
    <s v="No"/>
    <s v="Low"/>
    <s v="Yes"/>
    <n v="4.2999999999999983E-2"/>
  </r>
  <r>
    <n v="968"/>
    <x v="14"/>
    <n v="1"/>
    <x v="20"/>
    <b v="0"/>
    <n v="6"/>
    <n v="1"/>
    <n v="0.24"/>
    <x v="10"/>
    <n v="0.44"/>
    <n v="8.9599999999999999E-2"/>
    <n v="6"/>
    <n v="39"/>
    <n v="45"/>
    <s v="Spring"/>
    <s v="Saturday"/>
    <s v="Clear"/>
    <x v="0"/>
    <s v="Cold"/>
    <x v="0"/>
    <s v="Calm"/>
    <s v="Working Day"/>
    <s v="Mostly Registered"/>
    <n v="13.33333333333333"/>
    <n v="86.666666666666671"/>
    <s v="No"/>
    <s v="Low"/>
    <s v="Yes"/>
    <n v="1.7600000000000001E-2"/>
  </r>
  <r>
    <n v="969"/>
    <x v="14"/>
    <n v="1"/>
    <x v="21"/>
    <b v="0"/>
    <n v="6"/>
    <n v="1"/>
    <n v="0.22"/>
    <x v="0"/>
    <n v="0.51"/>
    <n v="0.1343"/>
    <n v="1"/>
    <n v="31"/>
    <n v="32"/>
    <s v="Spring"/>
    <s v="Saturday"/>
    <s v="Clear"/>
    <x v="0"/>
    <s v="Cold"/>
    <x v="0"/>
    <s v="Calm"/>
    <s v="Working Day"/>
    <s v="Mostly Registered"/>
    <n v="3.125"/>
    <n v="96.875"/>
    <s v="No"/>
    <s v="Low"/>
    <s v="Yes"/>
    <n v="7.3000000000000009E-3"/>
  </r>
  <r>
    <n v="970"/>
    <x v="15"/>
    <n v="1"/>
    <x v="22"/>
    <b v="0"/>
    <n v="0"/>
    <n v="1"/>
    <n v="0.2"/>
    <x v="0"/>
    <n v="0.64"/>
    <n v="0.1045"/>
    <n v="5"/>
    <n v="34"/>
    <n v="39"/>
    <s v="Spring"/>
    <s v="Sunday"/>
    <s v="Clear"/>
    <x v="0"/>
    <s v="Cold"/>
    <x v="0"/>
    <s v="Calm"/>
    <s v="Working Day"/>
    <s v="Mostly Registered"/>
    <n v="12.820512820512819"/>
    <n v="87.179487179487182"/>
    <s v="No"/>
    <s v="Low"/>
    <s v="Yes"/>
    <n v="2.7299999999999991E-2"/>
  </r>
  <r>
    <n v="971"/>
    <x v="15"/>
    <n v="1"/>
    <x v="0"/>
    <b v="0"/>
    <n v="0"/>
    <n v="1"/>
    <n v="0.2"/>
    <x v="0"/>
    <n v="0.59"/>
    <n v="8.9599999999999999E-2"/>
    <n v="1"/>
    <n v="23"/>
    <n v="24"/>
    <s v="Spring"/>
    <s v="Sunday"/>
    <s v="Clear"/>
    <x v="0"/>
    <s v="Cold"/>
    <x v="0"/>
    <s v="Calm"/>
    <s v="Working Day"/>
    <s v="Mostly Registered"/>
    <n v="4.1666666666666661"/>
    <n v="95.833333333333343"/>
    <s v="No"/>
    <s v="Low"/>
    <s v="Yes"/>
    <n v="2.7299999999999991E-2"/>
  </r>
  <r>
    <n v="972"/>
    <x v="15"/>
    <n v="1"/>
    <x v="1"/>
    <b v="0"/>
    <n v="0"/>
    <n v="2"/>
    <n v="0.2"/>
    <x v="0"/>
    <n v="0.75"/>
    <n v="8.9599999999999999E-2"/>
    <n v="1"/>
    <n v="19"/>
    <n v="20"/>
    <s v="Spring"/>
    <s v="Sunday"/>
    <s v="Mist/Cloudy"/>
    <x v="0"/>
    <s v="Cold"/>
    <x v="1"/>
    <s v="Calm"/>
    <s v="Working Day"/>
    <s v="Mostly Registered"/>
    <n v="5"/>
    <n v="95"/>
    <s v="No"/>
    <s v="Low"/>
    <s v="Yes"/>
    <n v="2.7299999999999991E-2"/>
  </r>
  <r>
    <n v="973"/>
    <x v="15"/>
    <n v="1"/>
    <x v="2"/>
    <b v="0"/>
    <n v="0"/>
    <n v="2"/>
    <n v="0.2"/>
    <x v="0"/>
    <n v="0.69"/>
    <n v="0.1045"/>
    <n v="4"/>
    <n v="8"/>
    <n v="12"/>
    <s v="Spring"/>
    <s v="Sunday"/>
    <s v="Mist/Cloudy"/>
    <x v="0"/>
    <s v="Cold"/>
    <x v="0"/>
    <s v="Calm"/>
    <s v="Working Day"/>
    <s v="Mostly Registered"/>
    <n v="33.333333333333329"/>
    <n v="66.666666666666657"/>
    <s v="No"/>
    <s v="Low"/>
    <s v="Yes"/>
    <n v="2.7299999999999991E-2"/>
  </r>
  <r>
    <n v="974"/>
    <x v="15"/>
    <n v="1"/>
    <x v="3"/>
    <b v="0"/>
    <n v="0"/>
    <n v="2"/>
    <n v="0.2"/>
    <x v="1"/>
    <n v="0.69"/>
    <n v="0.16420000000000001"/>
    <n v="0"/>
    <n v="2"/>
    <n v="2"/>
    <s v="Spring"/>
    <s v="Sunday"/>
    <s v="Mist/Cloudy"/>
    <x v="0"/>
    <s v="Cold"/>
    <x v="0"/>
    <s v="Moderate"/>
    <s v="Working Day"/>
    <s v="Mostly Registered"/>
    <n v="0"/>
    <n v="100"/>
    <s v="No"/>
    <s v="Low"/>
    <s v="Yes"/>
    <n v="1.21E-2"/>
  </r>
  <r>
    <n v="975"/>
    <x v="15"/>
    <n v="1"/>
    <x v="4"/>
    <b v="0"/>
    <n v="0"/>
    <n v="2"/>
    <n v="0.2"/>
    <x v="1"/>
    <n v="0.69"/>
    <n v="0.1343"/>
    <n v="2"/>
    <n v="3"/>
    <n v="5"/>
    <s v="Spring"/>
    <s v="Sunday"/>
    <s v="Mist/Cloudy"/>
    <x v="1"/>
    <s v="Cold"/>
    <x v="0"/>
    <s v="Calm"/>
    <s v="Working Day"/>
    <s v="Mostly Registered"/>
    <n v="40"/>
    <n v="60"/>
    <s v="No"/>
    <s v="Low"/>
    <s v="Yes"/>
    <n v="1.21E-2"/>
  </r>
  <r>
    <n v="976"/>
    <x v="15"/>
    <n v="1"/>
    <x v="5"/>
    <b v="0"/>
    <n v="0"/>
    <n v="2"/>
    <n v="0.22"/>
    <x v="6"/>
    <n v="0.55000000000000004"/>
    <n v="0"/>
    <n v="0"/>
    <n v="3"/>
    <n v="3"/>
    <s v="Spring"/>
    <s v="Sunday"/>
    <s v="Mist/Cloudy"/>
    <x v="1"/>
    <s v="Cold"/>
    <x v="0"/>
    <s v="Calm"/>
    <s v="Working Day"/>
    <s v="Mostly Registered"/>
    <n v="0"/>
    <n v="100"/>
    <s v="Yes"/>
    <s v="Low"/>
    <s v="Yes"/>
    <n v="5.2699999999999997E-2"/>
  </r>
  <r>
    <n v="977"/>
    <x v="15"/>
    <n v="1"/>
    <x v="6"/>
    <b v="0"/>
    <n v="0"/>
    <n v="2"/>
    <n v="0.22"/>
    <x v="0"/>
    <n v="0.64"/>
    <n v="0.19400000000000001"/>
    <n v="1"/>
    <n v="11"/>
    <n v="12"/>
    <s v="Spring"/>
    <s v="Sunday"/>
    <s v="Mist/Cloudy"/>
    <x v="1"/>
    <s v="Cold"/>
    <x v="0"/>
    <s v="Moderate"/>
    <s v="Working Day"/>
    <s v="Mostly Registered"/>
    <n v="8.3333333333333321"/>
    <n v="91.666666666666657"/>
    <s v="Yes"/>
    <s v="Low"/>
    <s v="Yes"/>
    <n v="7.3000000000000009E-3"/>
  </r>
  <r>
    <n v="978"/>
    <x v="15"/>
    <n v="1"/>
    <x v="7"/>
    <b v="0"/>
    <n v="0"/>
    <n v="2"/>
    <n v="0.24"/>
    <x v="0"/>
    <n v="0.6"/>
    <n v="0.22389999999999999"/>
    <n v="12"/>
    <n v="35"/>
    <n v="47"/>
    <s v="Spring"/>
    <s v="Sunday"/>
    <s v="Mist/Cloudy"/>
    <x v="1"/>
    <s v="Cold"/>
    <x v="0"/>
    <s v="Moderate"/>
    <s v="Working Day"/>
    <s v="Mostly Registered"/>
    <n v="25.531914893617021"/>
    <n v="74.468085106382972"/>
    <s v="Yes"/>
    <s v="Low"/>
    <s v="Yes"/>
    <n v="-1.2699999999999991E-2"/>
  </r>
  <r>
    <n v="979"/>
    <x v="15"/>
    <n v="1"/>
    <x v="8"/>
    <b v="0"/>
    <n v="0"/>
    <n v="1"/>
    <n v="0.3"/>
    <x v="6"/>
    <n v="0.45"/>
    <n v="0.32840000000000003"/>
    <n v="19"/>
    <n v="86"/>
    <n v="105"/>
    <s v="Spring"/>
    <s v="Sunday"/>
    <s v="Clear"/>
    <x v="1"/>
    <s v="Mild"/>
    <x v="0"/>
    <s v="Windy"/>
    <s v="Working Day"/>
    <s v="Mostly Registered"/>
    <n v="18.095238095238091"/>
    <n v="81.904761904761898"/>
    <s v="No"/>
    <s v="Medium"/>
    <s v="Yes"/>
    <n v="-2.7299999999999991E-2"/>
  </r>
  <r>
    <n v="980"/>
    <x v="15"/>
    <n v="1"/>
    <x v="9"/>
    <b v="0"/>
    <n v="0"/>
    <n v="1"/>
    <n v="0.32"/>
    <x v="5"/>
    <n v="0.39"/>
    <n v="0.44779999999999998"/>
    <n v="26"/>
    <n v="86"/>
    <n v="112"/>
    <s v="Spring"/>
    <s v="Sunday"/>
    <s v="Clear"/>
    <x v="1"/>
    <s v="Mild"/>
    <x v="2"/>
    <s v="Windy"/>
    <s v="Working Day"/>
    <s v="Mostly Registered"/>
    <n v="23.214285714285719"/>
    <n v="76.785714285714292"/>
    <s v="No"/>
    <s v="Medium"/>
    <s v="Yes"/>
    <n v="-3.2100000000000017E-2"/>
  </r>
  <r>
    <n v="981"/>
    <x v="15"/>
    <n v="1"/>
    <x v="10"/>
    <b v="0"/>
    <n v="0"/>
    <n v="1"/>
    <n v="0.36"/>
    <x v="7"/>
    <n v="0.32"/>
    <n v="0.4627"/>
    <n v="58"/>
    <n v="94"/>
    <n v="152"/>
    <s v="Spring"/>
    <s v="Sunday"/>
    <s v="Clear"/>
    <x v="2"/>
    <s v="Warm"/>
    <x v="2"/>
    <s v="Windy"/>
    <s v="Working Day"/>
    <s v="Mostly Registered"/>
    <n v="38.15789473684211"/>
    <n v="61.842105263157897"/>
    <s v="No"/>
    <s v="Medium"/>
    <s v="Yes"/>
    <n v="-4.1799999999999997E-2"/>
  </r>
  <r>
    <n v="982"/>
    <x v="15"/>
    <n v="1"/>
    <x v="11"/>
    <b v="0"/>
    <n v="0"/>
    <n v="1"/>
    <n v="0.38"/>
    <x v="14"/>
    <n v="0.28999999999999998"/>
    <n v="0.35820000000000002"/>
    <n v="62"/>
    <n v="92"/>
    <n v="154"/>
    <s v="Spring"/>
    <s v="Sunday"/>
    <s v="Clear"/>
    <x v="2"/>
    <s v="Warm"/>
    <x v="2"/>
    <s v="Windy"/>
    <s v="Working Day"/>
    <s v="Mostly Registered"/>
    <n v="40.259740259740262"/>
    <n v="59.740259740259738"/>
    <s v="No"/>
    <s v="Medium"/>
    <s v="Yes"/>
    <n v="1.389999999999997E-2"/>
  </r>
  <r>
    <n v="983"/>
    <x v="15"/>
    <n v="1"/>
    <x v="12"/>
    <b v="0"/>
    <n v="0"/>
    <n v="2"/>
    <n v="0.4"/>
    <x v="20"/>
    <n v="0.3"/>
    <n v="0.41789999999999999"/>
    <n v="51"/>
    <n v="110"/>
    <n v="161"/>
    <s v="Spring"/>
    <s v="Sunday"/>
    <s v="Mist/Cloudy"/>
    <x v="2"/>
    <s v="Warm"/>
    <x v="2"/>
    <s v="Windy"/>
    <s v="Working Day"/>
    <s v="Mostly Registered"/>
    <n v="31.677018633540371"/>
    <n v="68.322981366459629"/>
    <s v="No"/>
    <s v="Medium"/>
    <s v="Yes"/>
    <n v="9.099999999999997E-3"/>
  </r>
  <r>
    <n v="984"/>
    <x v="15"/>
    <n v="1"/>
    <x v="13"/>
    <b v="0"/>
    <n v="0"/>
    <n v="2"/>
    <n v="0.4"/>
    <x v="20"/>
    <n v="0.3"/>
    <n v="0.29849999999999999"/>
    <n v="40"/>
    <n v="122"/>
    <n v="162"/>
    <s v="Spring"/>
    <s v="Sunday"/>
    <s v="Mist/Cloudy"/>
    <x v="2"/>
    <s v="Warm"/>
    <x v="2"/>
    <s v="Moderate"/>
    <s v="Working Day"/>
    <s v="Mostly Registered"/>
    <n v="24.691358024691361"/>
    <n v="75.308641975308646"/>
    <s v="No"/>
    <s v="Medium"/>
    <s v="Yes"/>
    <n v="9.099999999999997E-3"/>
  </r>
  <r>
    <n v="985"/>
    <x v="15"/>
    <n v="1"/>
    <x v="14"/>
    <b v="0"/>
    <n v="0"/>
    <n v="2"/>
    <n v="0.42"/>
    <x v="21"/>
    <n v="0.28000000000000003"/>
    <n v="0.32840000000000003"/>
    <n v="28"/>
    <n v="106"/>
    <n v="134"/>
    <s v="Spring"/>
    <s v="Sunday"/>
    <s v="Mist/Cloudy"/>
    <x v="2"/>
    <s v="Warm"/>
    <x v="2"/>
    <s v="Windy"/>
    <s v="Working Day"/>
    <s v="Mostly Registered"/>
    <n v="20.8955223880597"/>
    <n v="79.104477611940297"/>
    <s v="No"/>
    <s v="Medium"/>
    <s v="Yes"/>
    <n v="4.200000000000037E-3"/>
  </r>
  <r>
    <n v="986"/>
    <x v="15"/>
    <n v="1"/>
    <x v="15"/>
    <b v="0"/>
    <n v="0"/>
    <n v="1"/>
    <n v="0.42"/>
    <x v="21"/>
    <n v="0.28000000000000003"/>
    <n v="0.32840000000000003"/>
    <n v="30"/>
    <n v="95"/>
    <n v="125"/>
    <s v="Spring"/>
    <s v="Sunday"/>
    <s v="Clear"/>
    <x v="3"/>
    <s v="Warm"/>
    <x v="2"/>
    <s v="Windy"/>
    <s v="Working Day"/>
    <s v="Mostly Registered"/>
    <n v="24"/>
    <n v="76"/>
    <s v="Yes"/>
    <s v="Medium"/>
    <s v="Yes"/>
    <n v="4.200000000000037E-3"/>
  </r>
  <r>
    <n v="987"/>
    <x v="15"/>
    <n v="1"/>
    <x v="16"/>
    <b v="0"/>
    <n v="0"/>
    <n v="1"/>
    <n v="0.4"/>
    <x v="20"/>
    <n v="0.32"/>
    <n v="0.29849999999999999"/>
    <n v="17"/>
    <n v="78"/>
    <n v="95"/>
    <s v="Spring"/>
    <s v="Sunday"/>
    <s v="Clear"/>
    <x v="3"/>
    <s v="Warm"/>
    <x v="2"/>
    <s v="Moderate"/>
    <s v="Working Day"/>
    <s v="Mostly Registered"/>
    <n v="17.89473684210526"/>
    <n v="82.10526315789474"/>
    <s v="Yes"/>
    <s v="Low"/>
    <s v="Yes"/>
    <n v="9.099999999999997E-3"/>
  </r>
  <r>
    <n v="988"/>
    <x v="15"/>
    <n v="1"/>
    <x v="17"/>
    <b v="0"/>
    <n v="0"/>
    <n v="1"/>
    <n v="0.4"/>
    <x v="20"/>
    <n v="0.35"/>
    <n v="0.28360000000000002"/>
    <n v="11"/>
    <n v="50"/>
    <n v="61"/>
    <s v="Spring"/>
    <s v="Sunday"/>
    <s v="Clear"/>
    <x v="3"/>
    <s v="Warm"/>
    <x v="2"/>
    <s v="Moderate"/>
    <s v="Working Day"/>
    <s v="Mostly Registered"/>
    <n v="18.032786885245901"/>
    <n v="81.967213114754102"/>
    <s v="Yes"/>
    <s v="Low"/>
    <s v="Yes"/>
    <n v="9.099999999999997E-3"/>
  </r>
  <r>
    <n v="989"/>
    <x v="15"/>
    <n v="1"/>
    <x v="18"/>
    <b v="0"/>
    <n v="0"/>
    <n v="1"/>
    <n v="0.4"/>
    <x v="20"/>
    <n v="0.35"/>
    <n v="0.32840000000000003"/>
    <n v="15"/>
    <n v="32"/>
    <n v="47"/>
    <s v="Spring"/>
    <s v="Sunday"/>
    <s v="Clear"/>
    <x v="3"/>
    <s v="Warm"/>
    <x v="2"/>
    <s v="Windy"/>
    <s v="Working Day"/>
    <s v="Mostly Registered"/>
    <n v="31.914893617021281"/>
    <n v="68.085106382978722"/>
    <s v="No"/>
    <s v="Low"/>
    <s v="Yes"/>
    <n v="9.099999999999997E-3"/>
  </r>
  <r>
    <n v="990"/>
    <x v="15"/>
    <n v="1"/>
    <x v="19"/>
    <b v="0"/>
    <n v="0"/>
    <n v="1"/>
    <n v="0.4"/>
    <x v="20"/>
    <n v="0.35"/>
    <n v="0.35820000000000002"/>
    <n v="6"/>
    <n v="45"/>
    <n v="51"/>
    <s v="Spring"/>
    <s v="Sunday"/>
    <s v="Clear"/>
    <x v="0"/>
    <s v="Warm"/>
    <x v="2"/>
    <s v="Windy"/>
    <s v="Working Day"/>
    <s v="Mostly Registered"/>
    <n v="11.76470588235294"/>
    <n v="88.235294117647058"/>
    <s v="No"/>
    <s v="Low"/>
    <s v="Yes"/>
    <n v="9.099999999999997E-3"/>
  </r>
  <r>
    <n v="991"/>
    <x v="15"/>
    <n v="1"/>
    <x v="20"/>
    <b v="0"/>
    <n v="0"/>
    <n v="1"/>
    <n v="0.4"/>
    <x v="20"/>
    <n v="0.35"/>
    <n v="0.29849999999999999"/>
    <n v="5"/>
    <n v="31"/>
    <n v="36"/>
    <s v="Spring"/>
    <s v="Sunday"/>
    <s v="Clear"/>
    <x v="0"/>
    <s v="Warm"/>
    <x v="2"/>
    <s v="Moderate"/>
    <s v="Working Day"/>
    <s v="Mostly Registered"/>
    <n v="13.888888888888889"/>
    <n v="86.111111111111114"/>
    <s v="No"/>
    <s v="Low"/>
    <s v="Yes"/>
    <n v="9.099999999999997E-3"/>
  </r>
  <r>
    <n v="992"/>
    <x v="15"/>
    <n v="1"/>
    <x v="21"/>
    <b v="0"/>
    <n v="0"/>
    <n v="1"/>
    <n v="0.4"/>
    <x v="20"/>
    <n v="0.35"/>
    <n v="0.35820000000000002"/>
    <n v="3"/>
    <n v="27"/>
    <n v="30"/>
    <s v="Spring"/>
    <s v="Sunday"/>
    <s v="Clear"/>
    <x v="0"/>
    <s v="Warm"/>
    <x v="2"/>
    <s v="Windy"/>
    <s v="Working Day"/>
    <s v="Mostly Registered"/>
    <n v="10"/>
    <n v="90"/>
    <s v="No"/>
    <s v="Low"/>
    <s v="Yes"/>
    <n v="9.099999999999997E-3"/>
  </r>
  <r>
    <n v="993"/>
    <x v="16"/>
    <n v="1"/>
    <x v="22"/>
    <b v="0"/>
    <n v="1"/>
    <n v="1"/>
    <n v="0.38"/>
    <x v="14"/>
    <n v="0.37"/>
    <n v="0.35820000000000002"/>
    <n v="3"/>
    <n v="8"/>
    <n v="11"/>
    <s v="Spring"/>
    <s v="Monday"/>
    <s v="Clear"/>
    <x v="0"/>
    <s v="Warm"/>
    <x v="2"/>
    <s v="Windy"/>
    <s v="Working Day"/>
    <s v="Mostly Registered"/>
    <n v="27.27272727272727"/>
    <n v="72.727272727272734"/>
    <s v="No"/>
    <s v="Low"/>
    <s v="No"/>
    <n v="1.389999999999997E-2"/>
  </r>
  <r>
    <n v="994"/>
    <x v="16"/>
    <n v="1"/>
    <x v="0"/>
    <b v="0"/>
    <n v="1"/>
    <n v="1"/>
    <n v="0.38"/>
    <x v="14"/>
    <n v="0.37"/>
    <n v="0.35820000000000002"/>
    <n v="1"/>
    <n v="6"/>
    <n v="7"/>
    <s v="Spring"/>
    <s v="Monday"/>
    <s v="Clear"/>
    <x v="0"/>
    <s v="Warm"/>
    <x v="2"/>
    <s v="Windy"/>
    <s v="Working Day"/>
    <s v="Mostly Registered"/>
    <n v="14.285714285714279"/>
    <n v="85.714285714285708"/>
    <s v="No"/>
    <s v="Low"/>
    <s v="No"/>
    <n v="1.389999999999997E-2"/>
  </r>
  <r>
    <n v="995"/>
    <x v="16"/>
    <n v="1"/>
    <x v="1"/>
    <b v="0"/>
    <n v="1"/>
    <n v="1"/>
    <n v="0.36"/>
    <x v="9"/>
    <n v="0.4"/>
    <n v="0.29849999999999999"/>
    <n v="0"/>
    <n v="2"/>
    <n v="2"/>
    <s v="Spring"/>
    <s v="Monday"/>
    <s v="Clear"/>
    <x v="0"/>
    <s v="Warm"/>
    <x v="0"/>
    <s v="Moderate"/>
    <s v="Working Day"/>
    <s v="Mostly Registered"/>
    <n v="0"/>
    <n v="100"/>
    <s v="No"/>
    <s v="Low"/>
    <s v="No"/>
    <n v="-2.6700000000000002E-2"/>
  </r>
  <r>
    <n v="996"/>
    <x v="16"/>
    <n v="1"/>
    <x v="2"/>
    <b v="0"/>
    <n v="1"/>
    <n v="1"/>
    <n v="0.34"/>
    <x v="7"/>
    <n v="0.46"/>
    <n v="0.22389999999999999"/>
    <n v="1"/>
    <n v="1"/>
    <n v="2"/>
    <s v="Spring"/>
    <s v="Monday"/>
    <s v="Clear"/>
    <x v="0"/>
    <s v="Mild"/>
    <x v="0"/>
    <s v="Moderate"/>
    <s v="Working Day"/>
    <s v="Mostly Registered"/>
    <n v="50"/>
    <n v="50"/>
    <s v="No"/>
    <s v="Low"/>
    <s v="No"/>
    <n v="-2.1800000000000042E-2"/>
  </r>
  <r>
    <n v="997"/>
    <x v="16"/>
    <n v="1"/>
    <x v="3"/>
    <b v="0"/>
    <n v="1"/>
    <n v="1"/>
    <n v="0.32"/>
    <x v="8"/>
    <n v="0.53"/>
    <n v="0.28360000000000002"/>
    <n v="0"/>
    <n v="2"/>
    <n v="2"/>
    <s v="Spring"/>
    <s v="Monday"/>
    <s v="Clear"/>
    <x v="0"/>
    <s v="Mild"/>
    <x v="0"/>
    <s v="Moderate"/>
    <s v="Working Day"/>
    <s v="Mostly Registered"/>
    <n v="0"/>
    <n v="100"/>
    <s v="No"/>
    <s v="Low"/>
    <s v="No"/>
    <n v="-1.7000000000000019E-2"/>
  </r>
  <r>
    <n v="998"/>
    <x v="16"/>
    <n v="1"/>
    <x v="23"/>
    <b v="0"/>
    <n v="1"/>
    <n v="1"/>
    <n v="0.32"/>
    <x v="8"/>
    <n v="0.53"/>
    <n v="0.28360000000000002"/>
    <n v="0"/>
    <n v="3"/>
    <n v="3"/>
    <s v="Spring"/>
    <s v="Monday"/>
    <s v="Clear"/>
    <x v="0"/>
    <s v="Mild"/>
    <x v="0"/>
    <s v="Moderate"/>
    <s v="Working Day"/>
    <s v="Mostly Registered"/>
    <n v="0"/>
    <n v="100"/>
    <s v="No"/>
    <s v="Low"/>
    <s v="No"/>
    <n v="-1.7000000000000019E-2"/>
  </r>
  <r>
    <n v="999"/>
    <x v="16"/>
    <n v="1"/>
    <x v="4"/>
    <b v="0"/>
    <n v="1"/>
    <n v="1"/>
    <n v="0.34"/>
    <x v="8"/>
    <n v="0.46"/>
    <n v="0.29849999999999999"/>
    <n v="1"/>
    <n v="25"/>
    <n v="26"/>
    <s v="Spring"/>
    <s v="Monday"/>
    <s v="Clear"/>
    <x v="1"/>
    <s v="Mild"/>
    <x v="0"/>
    <s v="Moderate"/>
    <s v="Working Day"/>
    <s v="Mostly Registered"/>
    <n v="3.8461538461538458"/>
    <n v="96.15384615384616"/>
    <s v="No"/>
    <s v="Low"/>
    <s v="No"/>
    <n v="-3.7000000000000033E-2"/>
  </r>
  <r>
    <n v="1000"/>
    <x v="16"/>
    <n v="1"/>
    <x v="5"/>
    <b v="0"/>
    <n v="1"/>
    <n v="1"/>
    <n v="0.34"/>
    <x v="8"/>
    <n v="0.46"/>
    <n v="0.29849999999999999"/>
    <n v="2"/>
    <n v="96"/>
    <n v="98"/>
    <s v="Spring"/>
    <s v="Monday"/>
    <s v="Clear"/>
    <x v="1"/>
    <s v="Mild"/>
    <x v="0"/>
    <s v="Moderate"/>
    <s v="Working Day"/>
    <s v="Mostly Registered"/>
    <n v="2.0408163265306118"/>
    <n v="97.959183673469383"/>
    <s v="Yes"/>
    <s v="Low"/>
    <s v="No"/>
    <n v="-3.7000000000000033E-2"/>
  </r>
  <r>
    <n v="611"/>
    <x v="17"/>
    <n v="1"/>
    <x v="14"/>
    <b v="0"/>
    <n v="5"/>
    <n v="1"/>
    <n v="0.22"/>
    <x v="6"/>
    <n v="0.8"/>
    <n v="0"/>
    <n v="10"/>
    <n v="70"/>
    <n v="80"/>
    <s v="Spring"/>
    <s v="Friday"/>
    <s v="Clear"/>
    <x v="2"/>
    <s v="Cold"/>
    <x v="1"/>
    <s v="Calm"/>
    <s v="Working Day"/>
    <s v="Mostly Registered"/>
    <n v="12.5"/>
    <n v="87.5"/>
    <s v="No"/>
    <s v="Low"/>
    <s v="No"/>
    <n v="5.2699999999999997E-2"/>
  </r>
  <r>
    <n v="612"/>
    <x v="17"/>
    <n v="1"/>
    <x v="15"/>
    <b v="0"/>
    <n v="5"/>
    <n v="1"/>
    <n v="0.24"/>
    <x v="4"/>
    <n v="0.75"/>
    <n v="0.1343"/>
    <n v="2"/>
    <n v="147"/>
    <n v="149"/>
    <s v="Spring"/>
    <s v="Friday"/>
    <s v="Clear"/>
    <x v="3"/>
    <s v="Cold"/>
    <x v="1"/>
    <s v="Calm"/>
    <s v="Working Day"/>
    <s v="Mostly Registered"/>
    <n v="1.3422818791946309"/>
    <n v="98.65771812080537"/>
    <s v="Yes"/>
    <s v="Medium"/>
    <s v="No"/>
    <n v="2.4000000000000128E-3"/>
  </r>
  <r>
    <n v="613"/>
    <x v="17"/>
    <n v="1"/>
    <x v="16"/>
    <b v="0"/>
    <n v="5"/>
    <n v="1"/>
    <n v="0.24"/>
    <x v="0"/>
    <n v="0.75"/>
    <n v="0.19400000000000001"/>
    <n v="2"/>
    <n v="107"/>
    <n v="109"/>
    <s v="Spring"/>
    <s v="Friday"/>
    <s v="Clear"/>
    <x v="3"/>
    <s v="Cold"/>
    <x v="1"/>
    <s v="Moderate"/>
    <s v="Working Day"/>
    <s v="Mostly Registered"/>
    <n v="1.834862385321101"/>
    <n v="98.165137614678898"/>
    <s v="Yes"/>
    <s v="Medium"/>
    <s v="No"/>
    <n v="-1.2699999999999991E-2"/>
  </r>
  <r>
    <n v="614"/>
    <x v="17"/>
    <n v="1"/>
    <x v="17"/>
    <b v="0"/>
    <n v="5"/>
    <n v="2"/>
    <n v="0.24"/>
    <x v="4"/>
    <n v="0.75"/>
    <n v="0.1343"/>
    <n v="5"/>
    <n v="84"/>
    <n v="89"/>
    <s v="Spring"/>
    <s v="Friday"/>
    <s v="Mist/Cloudy"/>
    <x v="3"/>
    <s v="Cold"/>
    <x v="1"/>
    <s v="Calm"/>
    <s v="Working Day"/>
    <s v="Mostly Registered"/>
    <n v="5.6179775280898872"/>
    <n v="94.382022471910105"/>
    <s v="Yes"/>
    <s v="Low"/>
    <s v="No"/>
    <n v="2.4000000000000128E-3"/>
  </r>
  <r>
    <n v="615"/>
    <x v="17"/>
    <n v="1"/>
    <x v="18"/>
    <b v="0"/>
    <n v="5"/>
    <n v="2"/>
    <n v="0.24"/>
    <x v="0"/>
    <n v="0.7"/>
    <n v="0.19400000000000001"/>
    <n v="1"/>
    <n v="61"/>
    <n v="62"/>
    <s v="Spring"/>
    <s v="Friday"/>
    <s v="Mist/Cloudy"/>
    <x v="3"/>
    <s v="Cold"/>
    <x v="1"/>
    <s v="Moderate"/>
    <s v="Working Day"/>
    <s v="Mostly Registered"/>
    <n v="1.612903225806452"/>
    <n v="98.387096774193552"/>
    <s v="No"/>
    <s v="Low"/>
    <s v="No"/>
    <n v="-1.2699999999999991E-2"/>
  </r>
  <r>
    <n v="616"/>
    <x v="17"/>
    <n v="1"/>
    <x v="19"/>
    <b v="0"/>
    <n v="5"/>
    <n v="2"/>
    <n v="0.22"/>
    <x v="0"/>
    <n v="0.75"/>
    <n v="0.1343"/>
    <n v="1"/>
    <n v="57"/>
    <n v="58"/>
    <s v="Spring"/>
    <s v="Friday"/>
    <s v="Mist/Cloudy"/>
    <x v="0"/>
    <s v="Cold"/>
    <x v="1"/>
    <s v="Calm"/>
    <s v="Working Day"/>
    <s v="Mostly Registered"/>
    <n v="1.7241379310344831"/>
    <n v="98.275862068965509"/>
    <s v="No"/>
    <s v="Low"/>
    <s v="No"/>
    <n v="7.3000000000000009E-3"/>
  </r>
  <r>
    <n v="617"/>
    <x v="17"/>
    <n v="1"/>
    <x v="20"/>
    <b v="0"/>
    <n v="5"/>
    <n v="1"/>
    <n v="0.24"/>
    <x v="1"/>
    <n v="0.65"/>
    <n v="0.35820000000000002"/>
    <n v="0"/>
    <n v="26"/>
    <n v="26"/>
    <s v="Spring"/>
    <s v="Friday"/>
    <s v="Clear"/>
    <x v="0"/>
    <s v="Cold"/>
    <x v="0"/>
    <s v="Windy"/>
    <s v="Working Day"/>
    <s v="Mostly Registered"/>
    <n v="0"/>
    <n v="100"/>
    <s v="No"/>
    <s v="Low"/>
    <s v="No"/>
    <n v="-2.789999999999998E-2"/>
  </r>
  <r>
    <n v="618"/>
    <x v="17"/>
    <n v="1"/>
    <x v="21"/>
    <b v="0"/>
    <n v="5"/>
    <n v="1"/>
    <n v="0.24"/>
    <x v="0"/>
    <n v="0.6"/>
    <n v="0.22389999999999999"/>
    <n v="1"/>
    <n v="22"/>
    <n v="23"/>
    <s v="Spring"/>
    <s v="Friday"/>
    <s v="Clear"/>
    <x v="0"/>
    <s v="Cold"/>
    <x v="0"/>
    <s v="Moderate"/>
    <s v="Working Day"/>
    <s v="Mostly Registered"/>
    <n v="4.3478260869565224"/>
    <n v="95.652173913043484"/>
    <s v="No"/>
    <s v="Low"/>
    <s v="No"/>
    <n v="-1.2699999999999991E-2"/>
  </r>
  <r>
    <n v="619"/>
    <x v="0"/>
    <n v="1"/>
    <x v="22"/>
    <b v="0"/>
    <n v="6"/>
    <n v="1"/>
    <n v="0.22"/>
    <x v="3"/>
    <n v="0.64"/>
    <n v="0.35820000000000002"/>
    <n v="2"/>
    <n v="26"/>
    <n v="28"/>
    <s v="Spring"/>
    <s v="Saturday"/>
    <s v="Clear"/>
    <x v="0"/>
    <s v="Cold"/>
    <x v="0"/>
    <s v="Windy"/>
    <s v="Working Day"/>
    <s v="Mostly Registered"/>
    <n v="7.1428571428571423"/>
    <n v="92.857142857142861"/>
    <s v="No"/>
    <s v="Low"/>
    <s v="Yes"/>
    <n v="-2.2999999999999989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9998062-0698-437E-A6F3-6F40F0274C30}" name="PivotTable3"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Humidity">
  <location ref="G45:J49" firstHeaderRow="0" firstDataRow="1" firstDataCol="1"/>
  <pivotFields count="29">
    <pivotField showAll="0"/>
    <pivotField showAll="0">
      <items count="37">
        <item m="1" x="35"/>
        <item m="1" x="18"/>
        <item m="1" x="19"/>
        <item m="1" x="20"/>
        <item m="1" x="21"/>
        <item m="1" x="22"/>
        <item m="1" x="23"/>
        <item m="1" x="24"/>
        <item m="1" x="25"/>
        <item m="1" x="26"/>
        <item m="1" x="27"/>
        <item m="1" x="28"/>
        <item m="1" x="29"/>
        <item m="1" x="30"/>
        <item m="1" x="31"/>
        <item m="1" x="32"/>
        <item m="1" x="33"/>
        <item m="1" x="34"/>
        <item x="17"/>
        <item x="0"/>
        <item x="1"/>
        <item x="2"/>
        <item x="3"/>
        <item x="4"/>
        <item x="5"/>
        <item x="6"/>
        <item x="7"/>
        <item x="8"/>
        <item x="9"/>
        <item x="10"/>
        <item x="11"/>
        <item x="12"/>
        <item x="13"/>
        <item x="14"/>
        <item x="15"/>
        <item x="16"/>
        <item t="default"/>
      </items>
    </pivotField>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showAll="0"/>
    <pivotField showAll="0"/>
    <pivotField showAll="0"/>
    <pivotField showAll="0"/>
    <pivotField showAll="0"/>
    <pivotField axis="axisRow" showAll="0">
      <items count="4">
        <item x="1"/>
        <item x="2"/>
        <item x="0"/>
        <item t="default"/>
      </items>
    </pivotField>
    <pivotField showAll="0"/>
    <pivotField showAll="0"/>
    <pivotField showAll="0"/>
    <pivotField showAll="0"/>
    <pivotField showAll="0"/>
    <pivotField showAll="0"/>
    <pivotField showAll="0"/>
    <pivotField showAll="0"/>
    <pivotField showAll="0"/>
  </pivotFields>
  <rowFields count="1">
    <field x="19"/>
  </rowFields>
  <rowItems count="4">
    <i>
      <x/>
    </i>
    <i>
      <x v="1"/>
    </i>
    <i>
      <x v="2"/>
    </i>
    <i t="grand">
      <x/>
    </i>
  </rowItems>
  <colFields count="1">
    <field x="-2"/>
  </colFields>
  <colItems count="3">
    <i>
      <x/>
    </i>
    <i i="1">
      <x v="1"/>
    </i>
    <i i="2">
      <x v="2"/>
    </i>
  </colItems>
  <dataFields count="3">
    <dataField name="Sum of casual_customer" fld="11" baseField="0" baseItem="0"/>
    <dataField name="Sum of registered_customer" fld="12" baseField="0" baseItem="0"/>
    <dataField name="Sum of total_customer" fld="13"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28399D8-66EF-4C3E-B822-7FC27CF1A650}" name="PivotTable2"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Time of Day">
  <location ref="D45:F50" firstHeaderRow="0" firstDataRow="1" firstDataCol="1"/>
  <pivotFields count="29">
    <pivotField showAll="0"/>
    <pivotField showAll="0">
      <items count="37">
        <item m="1" x="35"/>
        <item m="1" x="18"/>
        <item m="1" x="19"/>
        <item m="1" x="20"/>
        <item m="1" x="21"/>
        <item m="1" x="22"/>
        <item m="1" x="23"/>
        <item m="1" x="24"/>
        <item m="1" x="25"/>
        <item m="1" x="26"/>
        <item m="1" x="27"/>
        <item m="1" x="28"/>
        <item m="1" x="29"/>
        <item m="1" x="30"/>
        <item m="1" x="31"/>
        <item m="1" x="32"/>
        <item m="1" x="33"/>
        <item m="1" x="34"/>
        <item x="17"/>
        <item x="0"/>
        <item x="1"/>
        <item x="2"/>
        <item x="3"/>
        <item x="4"/>
        <item x="5"/>
        <item x="6"/>
        <item x="7"/>
        <item x="8"/>
        <item x="9"/>
        <item x="10"/>
        <item x="11"/>
        <item x="12"/>
        <item x="13"/>
        <item x="14"/>
        <item x="15"/>
        <item x="16"/>
        <item t="default"/>
      </items>
    </pivotField>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axis="axisRow" showAll="0">
      <items count="5">
        <item x="2"/>
        <item x="3"/>
        <item x="1"/>
        <item x="0"/>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17"/>
  </rowFields>
  <rowItems count="5">
    <i>
      <x/>
    </i>
    <i>
      <x v="1"/>
    </i>
    <i>
      <x v="2"/>
    </i>
    <i>
      <x v="3"/>
    </i>
    <i t="grand">
      <x/>
    </i>
  </rowItems>
  <colFields count="1">
    <field x="-2"/>
  </colFields>
  <colItems count="2">
    <i>
      <x/>
    </i>
    <i i="1">
      <x v="1"/>
    </i>
  </colItems>
  <dataFields count="2">
    <dataField name="Sum of casual_customer" fld="11" baseField="0" baseItem="0"/>
    <dataField name="Sum of registered_customer" fld="12"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A4A3084-1000-423D-91F0-4EC9BE2CF3F9}" name="PivotTable1" cacheId="46"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9" rowHeaderCaption="Temperature">
  <location ref="A45:B68" firstHeaderRow="1" firstDataRow="1" firstDataCol="1"/>
  <pivotFields count="29">
    <pivotField showAll="0"/>
    <pivotField showAll="0">
      <items count="37">
        <item m="1" x="35"/>
        <item m="1" x="18"/>
        <item m="1" x="19"/>
        <item m="1" x="20"/>
        <item m="1" x="21"/>
        <item m="1" x="22"/>
        <item m="1" x="23"/>
        <item m="1" x="24"/>
        <item m="1" x="25"/>
        <item m="1" x="26"/>
        <item m="1" x="27"/>
        <item m="1" x="28"/>
        <item m="1" x="29"/>
        <item m="1" x="30"/>
        <item m="1" x="31"/>
        <item m="1" x="32"/>
        <item m="1" x="33"/>
        <item m="1" x="34"/>
        <item x="17"/>
        <item x="0"/>
        <item x="1"/>
        <item x="2"/>
        <item x="3"/>
        <item x="4"/>
        <item x="5"/>
        <item x="6"/>
        <item x="7"/>
        <item x="8"/>
        <item x="9"/>
        <item x="10"/>
        <item x="11"/>
        <item x="12"/>
        <item x="13"/>
        <item x="14"/>
        <item x="15"/>
        <item x="16"/>
        <item t="default"/>
      </items>
    </pivotField>
    <pivotField showAll="0"/>
    <pivotField showAll="0"/>
    <pivotField showAll="0"/>
    <pivotField showAll="0"/>
    <pivotField showAll="0"/>
    <pivotField showAll="0"/>
    <pivotField axis="axisRow" showAll="0">
      <items count="23">
        <item x="19"/>
        <item x="18"/>
        <item x="15"/>
        <item x="12"/>
        <item x="13"/>
        <item x="11"/>
        <item x="2"/>
        <item x="3"/>
        <item x="1"/>
        <item x="0"/>
        <item x="4"/>
        <item x="10"/>
        <item x="6"/>
        <item x="5"/>
        <item x="8"/>
        <item x="7"/>
        <item x="9"/>
        <item x="17"/>
        <item x="16"/>
        <item x="14"/>
        <item x="20"/>
        <item x="21"/>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Sum of total_customer" fld="13" baseField="0" baseItem="0"/>
  </dataFields>
  <chartFormats count="1">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1874A9B-D5B1-4744-AD37-4E20A698E91F}" name="PivotTable4"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Hour">
  <location ref="D52:E77" firstHeaderRow="1" firstDataRow="1" firstDataCol="1"/>
  <pivotFields count="29">
    <pivotField showAll="0"/>
    <pivotField showAll="0">
      <items count="37">
        <item m="1" x="35"/>
        <item m="1" x="18"/>
        <item m="1" x="19"/>
        <item m="1" x="20"/>
        <item m="1" x="21"/>
        <item m="1" x="22"/>
        <item m="1" x="23"/>
        <item m="1" x="24"/>
        <item m="1" x="25"/>
        <item m="1" x="26"/>
        <item m="1" x="27"/>
        <item m="1" x="28"/>
        <item m="1" x="29"/>
        <item m="1" x="30"/>
        <item m="1" x="31"/>
        <item m="1" x="32"/>
        <item m="1" x="33"/>
        <item m="1" x="34"/>
        <item x="17"/>
        <item x="0"/>
        <item x="1"/>
        <item x="2"/>
        <item x="3"/>
        <item x="4"/>
        <item x="5"/>
        <item x="6"/>
        <item x="7"/>
        <item x="8"/>
        <item x="9"/>
        <item x="10"/>
        <item x="11"/>
        <item x="12"/>
        <item x="13"/>
        <item x="14"/>
        <item x="15"/>
        <item x="16"/>
        <item t="default"/>
      </items>
    </pivotField>
    <pivotField showAll="0"/>
    <pivotField axis="axisRow" showAll="0">
      <items count="25">
        <item x="22"/>
        <item x="0"/>
        <item x="1"/>
        <item x="2"/>
        <item x="3"/>
        <item x="23"/>
        <item x="4"/>
        <item x="5"/>
        <item x="6"/>
        <item x="7"/>
        <item x="8"/>
        <item x="9"/>
        <item x="10"/>
        <item x="11"/>
        <item x="12"/>
        <item x="13"/>
        <item x="14"/>
        <item x="15"/>
        <item x="16"/>
        <item x="17"/>
        <item x="18"/>
        <item x="19"/>
        <item x="20"/>
        <item x="2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total_customer" fld="13" baseField="0" baseItem="0"/>
  </dataFields>
  <chartFormats count="1">
    <chartFormat chart="1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CFD7F315-8F5B-45E2-90C5-A13DB480CB06}" sourceName="date">
  <pivotTables>
    <pivotTable tabId="3" name="PivotTable3"/>
    <pivotTable tabId="3" name="PivotTable1"/>
    <pivotTable tabId="3" name="PivotTable2"/>
    <pivotTable tabId="3" name="PivotTable4"/>
  </pivotTables>
  <data>
    <tabular pivotCacheId="1763720612">
      <items count="36">
        <i x="17" s="1"/>
        <i x="0" s="1"/>
        <i x="1" s="1"/>
        <i x="2" s="1"/>
        <i x="3" s="1"/>
        <i x="4" s="1"/>
        <i x="5" s="1"/>
        <i x="6" s="1"/>
        <i x="7" s="1"/>
        <i x="8" s="1"/>
        <i x="9" s="1"/>
        <i x="10" s="1"/>
        <i x="11" s="1"/>
        <i x="12" s="1"/>
        <i x="13" s="1"/>
        <i x="14" s="1"/>
        <i x="15" s="1"/>
        <i x="16" s="1"/>
        <i x="35" s="1" nd="1"/>
        <i x="18" s="1" nd="1"/>
        <i x="19" s="1" nd="1"/>
        <i x="20" s="1" nd="1"/>
        <i x="21" s="1" nd="1"/>
        <i x="22" s="1" nd="1"/>
        <i x="23" s="1" nd="1"/>
        <i x="24" s="1" nd="1"/>
        <i x="25" s="1" nd="1"/>
        <i x="26" s="1" nd="1"/>
        <i x="27" s="1" nd="1"/>
        <i x="28" s="1" nd="1"/>
        <i x="29" s="1" nd="1"/>
        <i x="30" s="1" nd="1"/>
        <i x="31" s="1" nd="1"/>
        <i x="32" s="1" nd="1"/>
        <i x="33" s="1" nd="1"/>
        <i x="3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17D704B5-A32B-4321-9BE6-9CD7923FC5E6}" cache="Slicer_date" caption="dat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DF1BA22-2BC0-4E73-B038-79F46A3F5424}" name="Table13" displayName="Table13" ref="A1:N391" totalsRowShown="0" dataDxfId="20">
  <autoFilter ref="A1:N391" xr:uid="{72D3964A-9F66-430C-8917-1281E5E2E1C2}"/>
  <tableColumns count="14">
    <tableColumn id="1" xr3:uid="{2CB63BA5-82E9-4E86-99B8-0EF7FFE57669}" name="instant" dataDxfId="19"/>
    <tableColumn id="2" xr3:uid="{181944E5-FC55-468E-B668-5C7F2AD7150E}" name="date" dataDxfId="18"/>
    <tableColumn id="3" xr3:uid="{0498DD07-2138-49B8-A005-DB4A38F71371}" name="season" dataDxfId="17"/>
    <tableColumn id="4" xr3:uid="{17F10955-B674-4944-9B66-E8A55CB19C6B}" name="hour" dataDxfId="16"/>
    <tableColumn id="5" xr3:uid="{DEF09D9E-3E54-478C-BC35-D5091F48D573}" name="holiday" dataDxfId="15"/>
    <tableColumn id="6" xr3:uid="{6403E87B-D594-482F-A796-05359A3328D8}" name="weekday" dataDxfId="14"/>
    <tableColumn id="7" xr3:uid="{C451E749-FCEB-4602-BA63-B4F7D3BB4055}" name="weather_situation" dataDxfId="13"/>
    <tableColumn id="8" xr3:uid="{4D966665-F49F-4B8F-8F5A-4B723B59ABCD}" name="temperature" dataDxfId="12"/>
    <tableColumn id="9" xr3:uid="{4700BF6F-940B-4BB0-BA9D-F69FC2BF7649}" name="assumed_temperature" dataDxfId="11"/>
    <tableColumn id="10" xr3:uid="{3F239A15-62A7-4D78-B198-C86D833CB153}" name="humidity" dataDxfId="10"/>
    <tableColumn id="11" xr3:uid="{837F990D-1260-44C0-B5B5-759FBDDBE16B}" name="windspeed" dataDxfId="9"/>
    <tableColumn id="12" xr3:uid="{F391C6A7-8B78-4746-9592-8D840668042E}" name="casual_customer" dataDxfId="8"/>
    <tableColumn id="13" xr3:uid="{54C0B872-9C24-4DDD-AD20-5EEA1AC815F1}" name="registered_customer" dataDxfId="7"/>
    <tableColumn id="14" xr3:uid="{A6311EBF-D8C1-4064-A93A-8C0C15B25323}" name="total_customer" dataDxfId="6"/>
  </tableColumns>
  <tableStyleInfo name="TableStyleMedium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F97BABA-4BFF-4BA7-A355-D468A1F2E992}" name="Table3" displayName="Table3" ref="A1:AC391" totalsRowShown="0">
  <autoFilter ref="A1:AC391" xr:uid="{1F97BABA-4BFF-4BA7-A355-D468A1F2E992}"/>
  <tableColumns count="29">
    <tableColumn id="1" xr3:uid="{75CA3825-5B38-4762-949E-9085FF3D8901}" name="instant"/>
    <tableColumn id="2" xr3:uid="{D92E6DC2-4791-4F48-8215-73FC39B7CABE}" name="date" dataDxfId="5"/>
    <tableColumn id="3" xr3:uid="{D9642568-8DC1-4071-8B28-35C9BA6CCBD1}" name="season"/>
    <tableColumn id="6" xr3:uid="{5C27B133-75CB-4C7B-AD1F-33AAEBC9A4A9}" name="hour"/>
    <tableColumn id="7" xr3:uid="{82289EAE-61AF-43C8-AF49-2CC89FD8361A}" name="holiday"/>
    <tableColumn id="8" xr3:uid="{688068B1-7538-463F-A5A9-9506C8D76D54}" name="weekday"/>
    <tableColumn id="9" xr3:uid="{9BC0938E-AF0B-47C9-9053-4E1FC32C082D}" name="weather_situation"/>
    <tableColumn id="10" xr3:uid="{52D5D279-B145-451F-B3DC-45538B2EB869}" name="temperature"/>
    <tableColumn id="11" xr3:uid="{32159484-4D7F-414A-A66F-6CDC9D63C7C2}" name="assumed_temperature"/>
    <tableColumn id="12" xr3:uid="{ED6E52E2-9EEE-4545-912C-6A4DDBB6239D}" name="humidity"/>
    <tableColumn id="13" xr3:uid="{36DAE03A-67A5-4D1A-A4A6-097BDBD1A6DD}" name="windspeed"/>
    <tableColumn id="14" xr3:uid="{97EECB0B-E98A-4354-B2CA-E30D5A53E1CE}" name="casual_customer"/>
    <tableColumn id="15" xr3:uid="{407950D9-7FBF-400E-873B-EB0701946CA5}" name="registered_customer"/>
    <tableColumn id="16" xr3:uid="{02B3591C-B479-41BA-B541-A10D7A1A296A}" name="total_customer"/>
    <tableColumn id="17" xr3:uid="{A970A4E9-57F9-4286-BEDF-C726AC8199C4}" name="Season_Name"/>
    <tableColumn id="18" xr3:uid="{24A5339B-4823-4DE5-B0E0-F1E7AA38354E}" name="Weekday_Name"/>
    <tableColumn id="19" xr3:uid="{7BF0746C-1F97-486D-979D-91EA63341522}" name="Weather_Description"/>
    <tableColumn id="20" xr3:uid="{DDBF7599-CAEA-4CB4-9BA8-BBA7BB7E3967}" name="Time_of_Day"/>
    <tableColumn id="21" xr3:uid="{B0FDEE4F-74AD-47A3-AE8F-B27231C9AFF0}" name="Temperature_Level"/>
    <tableColumn id="22" xr3:uid="{EFEEF4B5-D2F3-4514-A280-1254090C2B9B}" name="Humidity_Level"/>
    <tableColumn id="23" xr3:uid="{E9FC1FC6-1605-4049-9874-4E9F0C021FF9}" name="Wind_Level"/>
    <tableColumn id="24" xr3:uid="{4CC63DBC-7B0C-4E0D-A07B-688FC12D7630}" name="Day_Type"/>
    <tableColumn id="25" xr3:uid="{6AB4EDE8-6A1D-4C64-8D4A-A7EE6D78E801}" name="Customer_Type"/>
    <tableColumn id="26" xr3:uid="{6D9E40E6-E1E6-41B5-8805-D5322A3A1759}" name="Casual_Percentage"/>
    <tableColumn id="27" xr3:uid="{AF64A840-A392-4784-8E99-4BC47963FBC5}" name="Registered_Percentage"/>
    <tableColumn id="28" xr3:uid="{93E1E9D8-8B8C-40D2-B30F-73E5F6EABA73}" name="Rush_Hour"/>
    <tableColumn id="29" xr3:uid="{19629323-E2D6-4788-A08E-2104BD86F0B0}" name="Demand_Level"/>
    <tableColumn id="30" xr3:uid="{D00C78F5-E97A-49E0-A113-63E9D09E1202}" name="Weekend"/>
    <tableColumn id="31" xr3:uid="{70383FCF-81F3-465E-B76D-CEDB5973309B}" name="Feels_Like_Differenc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1D9CD83-660F-42DF-B800-3BADE71FBDC9}" name="Table1" displayName="Table1" ref="A22:E45" totalsRowShown="0">
  <autoFilter ref="A22:E45" xr:uid="{61D9CD83-660F-42DF-B800-3BADE71FBDC9}"/>
  <tableColumns count="5">
    <tableColumn id="1" xr3:uid="{29EFCED8-B93D-40F9-8BCB-F3163DCF149E}" name="date" dataDxfId="4"/>
    <tableColumn id="2" xr3:uid="{EF16E63A-5A2E-40D2-AFA6-F8A022B3B103}" name="total_customer" dataDxfId="3"/>
    <tableColumn id="3" xr3:uid="{6C0E4451-C56A-43D3-9497-766E9C1C0E2E}" name="Forecast(total_customer)" dataDxfId="2">
      <calculatedColumnFormula>_xlfn.FORECAST.ETS(A23,$B$23:$B$40,$A$23:$A$40,1,1)</calculatedColumnFormula>
    </tableColumn>
    <tableColumn id="4" xr3:uid="{6BE7E473-E90B-49FE-8FAD-5F7B2F0C6971}" name="Lower Confidence Bound(total_customer)" dataDxfId="1">
      <calculatedColumnFormula>C23-_xlfn.FORECAST.ETS.CONFINT(A23,$B$23:$B$40,$A$23:$A$40,0.95,1,1)</calculatedColumnFormula>
    </tableColumn>
    <tableColumn id="5" xr3:uid="{1C306248-D45C-45E9-B1CD-14817F2910C5}" name="Upper Confidence Bound(total_customer)" dataDxfId="0">
      <calculatedColumnFormula>C23+_xlfn.FORECAST.ETS.CONFINT(A23,$B$23:$B$40,$A$23:$A$40,0.95,1,1)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4A0AC-8346-4442-8E04-D28D5D70F7CF}">
  <dimension ref="A1:N391"/>
  <sheetViews>
    <sheetView workbookViewId="0">
      <selection activeCell="L8" sqref="L8"/>
    </sheetView>
  </sheetViews>
  <sheetFormatPr defaultRowHeight="14.4" x14ac:dyDescent="0.3"/>
  <cols>
    <col min="1" max="1" width="9" bestFit="1" customWidth="1"/>
    <col min="2" max="2" width="10.109375" bestFit="1" customWidth="1"/>
    <col min="3" max="3" width="9" bestFit="1" customWidth="1"/>
    <col min="4" max="4" width="7.21875" bestFit="1" customWidth="1"/>
    <col min="5" max="5" width="9.44140625" bestFit="1" customWidth="1"/>
    <col min="6" max="6" width="10.77734375" bestFit="1" customWidth="1"/>
    <col min="7" max="7" width="18.5546875" bestFit="1" customWidth="1"/>
    <col min="8" max="8" width="13.77734375" bestFit="1" customWidth="1"/>
    <col min="9" max="9" width="22.44140625" bestFit="1" customWidth="1"/>
    <col min="10" max="10" width="10.77734375" bestFit="1" customWidth="1"/>
    <col min="11" max="11" width="12.33203125" bestFit="1" customWidth="1"/>
    <col min="12" max="12" width="17.44140625" bestFit="1" customWidth="1"/>
    <col min="13" max="13" width="20.6640625" bestFit="1" customWidth="1"/>
    <col min="14" max="14" width="16.109375" bestFit="1" customWidth="1"/>
  </cols>
  <sheetData>
    <row r="1" spans="1:14" x14ac:dyDescent="0.3">
      <c r="A1" t="s">
        <v>0</v>
      </c>
      <c r="B1" t="s">
        <v>50</v>
      </c>
      <c r="C1" t="s">
        <v>1</v>
      </c>
      <c r="D1" t="s">
        <v>51</v>
      </c>
      <c r="E1" t="s">
        <v>2</v>
      </c>
      <c r="F1" t="s">
        <v>3</v>
      </c>
      <c r="G1" t="s">
        <v>52</v>
      </c>
      <c r="H1" t="s">
        <v>53</v>
      </c>
      <c r="I1" t="s">
        <v>54</v>
      </c>
      <c r="J1" t="s">
        <v>55</v>
      </c>
      <c r="K1" t="s">
        <v>4</v>
      </c>
      <c r="L1" t="s">
        <v>56</v>
      </c>
      <c r="M1" t="s">
        <v>57</v>
      </c>
      <c r="N1" t="s">
        <v>58</v>
      </c>
    </row>
    <row r="2" spans="1:14" x14ac:dyDescent="0.3">
      <c r="A2" s="1">
        <v>620</v>
      </c>
      <c r="B2" s="2">
        <v>40572</v>
      </c>
      <c r="C2" s="1">
        <v>1</v>
      </c>
      <c r="D2" s="1">
        <v>1</v>
      </c>
      <c r="E2" s="1" t="b">
        <v>0</v>
      </c>
      <c r="F2" s="1">
        <v>6</v>
      </c>
      <c r="G2" s="1">
        <v>1</v>
      </c>
      <c r="H2" s="1">
        <v>0.22</v>
      </c>
      <c r="I2" s="1">
        <v>0.2273</v>
      </c>
      <c r="J2" s="1">
        <v>0.64</v>
      </c>
      <c r="K2" s="1">
        <v>0.19400000000000001</v>
      </c>
      <c r="L2" s="1">
        <v>0</v>
      </c>
      <c r="M2" s="1">
        <v>20</v>
      </c>
      <c r="N2" s="1">
        <v>20</v>
      </c>
    </row>
    <row r="3" spans="1:14" x14ac:dyDescent="0.3">
      <c r="A3" s="1">
        <v>621</v>
      </c>
      <c r="B3" s="2">
        <v>40572</v>
      </c>
      <c r="C3" s="1">
        <v>1</v>
      </c>
      <c r="D3" s="1">
        <v>2</v>
      </c>
      <c r="E3" s="1" t="b">
        <v>0</v>
      </c>
      <c r="F3" s="1">
        <v>6</v>
      </c>
      <c r="G3" s="1">
        <v>1</v>
      </c>
      <c r="H3" s="1">
        <v>0.22</v>
      </c>
      <c r="I3" s="1">
        <v>0.2273</v>
      </c>
      <c r="J3" s="1">
        <v>0.64</v>
      </c>
      <c r="K3" s="1">
        <v>0.16420000000000001</v>
      </c>
      <c r="L3" s="1">
        <v>0</v>
      </c>
      <c r="M3" s="1">
        <v>15</v>
      </c>
      <c r="N3" s="1">
        <v>15</v>
      </c>
    </row>
    <row r="4" spans="1:14" x14ac:dyDescent="0.3">
      <c r="A4" s="1">
        <v>622</v>
      </c>
      <c r="B4" s="2">
        <v>40572</v>
      </c>
      <c r="C4" s="1">
        <v>1</v>
      </c>
      <c r="D4" s="1">
        <v>3</v>
      </c>
      <c r="E4" s="1" t="b">
        <v>0</v>
      </c>
      <c r="F4" s="1">
        <v>6</v>
      </c>
      <c r="G4" s="1">
        <v>1</v>
      </c>
      <c r="H4" s="1">
        <v>0.2</v>
      </c>
      <c r="I4" s="1">
        <v>0.21210000000000001</v>
      </c>
      <c r="J4" s="1">
        <v>0.64</v>
      </c>
      <c r="K4" s="1">
        <v>0.1343</v>
      </c>
      <c r="L4" s="1">
        <v>3</v>
      </c>
      <c r="M4" s="1">
        <v>5</v>
      </c>
      <c r="N4" s="1">
        <v>8</v>
      </c>
    </row>
    <row r="5" spans="1:14" x14ac:dyDescent="0.3">
      <c r="A5" s="1">
        <v>623</v>
      </c>
      <c r="B5" s="2">
        <v>40572</v>
      </c>
      <c r="C5" s="1">
        <v>1</v>
      </c>
      <c r="D5" s="1">
        <v>4</v>
      </c>
      <c r="E5" s="1" t="b">
        <v>0</v>
      </c>
      <c r="F5" s="1">
        <v>6</v>
      </c>
      <c r="G5" s="1">
        <v>1</v>
      </c>
      <c r="H5" s="1">
        <v>0.16</v>
      </c>
      <c r="I5" s="1">
        <v>0.18179999999999999</v>
      </c>
      <c r="J5" s="1">
        <v>0.69</v>
      </c>
      <c r="K5" s="1">
        <v>0.1045</v>
      </c>
      <c r="L5" s="1">
        <v>1</v>
      </c>
      <c r="M5" s="1">
        <v>2</v>
      </c>
      <c r="N5" s="1">
        <v>3</v>
      </c>
    </row>
    <row r="6" spans="1:14" x14ac:dyDescent="0.3">
      <c r="A6" s="1">
        <v>624</v>
      </c>
      <c r="B6" s="2">
        <v>40572</v>
      </c>
      <c r="C6" s="1">
        <v>1</v>
      </c>
      <c r="D6" s="1">
        <v>6</v>
      </c>
      <c r="E6" s="1" t="b">
        <v>0</v>
      </c>
      <c r="F6" s="1">
        <v>6</v>
      </c>
      <c r="G6" s="1">
        <v>1</v>
      </c>
      <c r="H6" s="1">
        <v>0.16</v>
      </c>
      <c r="I6" s="1">
        <v>0.18179999999999999</v>
      </c>
      <c r="J6" s="1">
        <v>0.64</v>
      </c>
      <c r="K6" s="1">
        <v>0.1343</v>
      </c>
      <c r="L6" s="1">
        <v>0</v>
      </c>
      <c r="M6" s="1">
        <v>2</v>
      </c>
      <c r="N6" s="1">
        <v>2</v>
      </c>
    </row>
    <row r="7" spans="1:14" x14ac:dyDescent="0.3">
      <c r="A7" s="1">
        <v>625</v>
      </c>
      <c r="B7" s="2">
        <v>40572</v>
      </c>
      <c r="C7" s="1">
        <v>1</v>
      </c>
      <c r="D7" s="1">
        <v>7</v>
      </c>
      <c r="E7" s="1" t="b">
        <v>0</v>
      </c>
      <c r="F7" s="1">
        <v>6</v>
      </c>
      <c r="G7" s="1">
        <v>1</v>
      </c>
      <c r="H7" s="1">
        <v>0.16</v>
      </c>
      <c r="I7" s="1">
        <v>0.18179999999999999</v>
      </c>
      <c r="J7" s="1">
        <v>0.59</v>
      </c>
      <c r="K7" s="1">
        <v>0.1045</v>
      </c>
      <c r="L7" s="1">
        <v>1</v>
      </c>
      <c r="M7" s="1">
        <v>4</v>
      </c>
      <c r="N7" s="1">
        <v>5</v>
      </c>
    </row>
    <row r="8" spans="1:14" x14ac:dyDescent="0.3">
      <c r="A8" s="1">
        <v>626</v>
      </c>
      <c r="B8" s="2">
        <v>40572</v>
      </c>
      <c r="C8" s="1">
        <v>1</v>
      </c>
      <c r="D8" s="1">
        <v>8</v>
      </c>
      <c r="E8" s="1" t="b">
        <v>0</v>
      </c>
      <c r="F8" s="1">
        <v>6</v>
      </c>
      <c r="G8" s="1">
        <v>1</v>
      </c>
      <c r="H8" s="1">
        <v>0.18</v>
      </c>
      <c r="I8" s="1">
        <v>0.19700000000000001</v>
      </c>
      <c r="J8" s="1">
        <v>0.55000000000000004</v>
      </c>
      <c r="K8" s="1">
        <v>0.16420000000000001</v>
      </c>
      <c r="L8" s="1">
        <v>3</v>
      </c>
      <c r="M8" s="1">
        <v>31</v>
      </c>
      <c r="N8" s="1">
        <v>34</v>
      </c>
    </row>
    <row r="9" spans="1:14" x14ac:dyDescent="0.3">
      <c r="A9" s="1">
        <v>627</v>
      </c>
      <c r="B9" s="2">
        <v>40572</v>
      </c>
      <c r="C9" s="1">
        <v>1</v>
      </c>
      <c r="D9" s="1">
        <v>9</v>
      </c>
      <c r="E9" s="1" t="b">
        <v>0</v>
      </c>
      <c r="F9" s="1">
        <v>6</v>
      </c>
      <c r="G9" s="1">
        <v>1</v>
      </c>
      <c r="H9" s="1">
        <v>0.18</v>
      </c>
      <c r="I9" s="1">
        <v>0.21210000000000001</v>
      </c>
      <c r="J9" s="1">
        <v>0.59</v>
      </c>
      <c r="K9" s="1">
        <v>8.9599999999999999E-2</v>
      </c>
      <c r="L9" s="1">
        <v>0</v>
      </c>
      <c r="M9" s="1">
        <v>34</v>
      </c>
      <c r="N9" s="1">
        <v>34</v>
      </c>
    </row>
    <row r="10" spans="1:14" x14ac:dyDescent="0.3">
      <c r="A10" s="1">
        <v>628</v>
      </c>
      <c r="B10" s="2">
        <v>40572</v>
      </c>
      <c r="C10" s="1">
        <v>1</v>
      </c>
      <c r="D10" s="1">
        <v>10</v>
      </c>
      <c r="E10" s="1" t="b">
        <v>0</v>
      </c>
      <c r="F10" s="1">
        <v>6</v>
      </c>
      <c r="G10" s="1">
        <v>2</v>
      </c>
      <c r="H10" s="1">
        <v>0.18</v>
      </c>
      <c r="I10" s="1">
        <v>0.21210000000000001</v>
      </c>
      <c r="J10" s="1">
        <v>0.64</v>
      </c>
      <c r="K10" s="1">
        <v>0.1045</v>
      </c>
      <c r="L10" s="1">
        <v>4</v>
      </c>
      <c r="M10" s="1">
        <v>51</v>
      </c>
      <c r="N10" s="1">
        <v>55</v>
      </c>
    </row>
    <row r="11" spans="1:14" x14ac:dyDescent="0.3">
      <c r="A11" s="1">
        <v>629</v>
      </c>
      <c r="B11" s="2">
        <v>40572</v>
      </c>
      <c r="C11" s="1">
        <v>1</v>
      </c>
      <c r="D11" s="1">
        <v>11</v>
      </c>
      <c r="E11" s="1" t="b">
        <v>0</v>
      </c>
      <c r="F11" s="1">
        <v>6</v>
      </c>
      <c r="G11" s="1">
        <v>2</v>
      </c>
      <c r="H11" s="1">
        <v>0.18</v>
      </c>
      <c r="I11" s="1">
        <v>0.19700000000000001</v>
      </c>
      <c r="J11" s="1">
        <v>0.64</v>
      </c>
      <c r="K11" s="1">
        <v>0.1343</v>
      </c>
      <c r="L11" s="1">
        <v>4</v>
      </c>
      <c r="M11" s="1">
        <v>60</v>
      </c>
      <c r="N11" s="1">
        <v>64</v>
      </c>
    </row>
    <row r="12" spans="1:14" x14ac:dyDescent="0.3">
      <c r="A12" s="1">
        <v>630</v>
      </c>
      <c r="B12" s="2">
        <v>40572</v>
      </c>
      <c r="C12" s="1">
        <v>1</v>
      </c>
      <c r="D12" s="1">
        <v>12</v>
      </c>
      <c r="E12" s="1" t="b">
        <v>0</v>
      </c>
      <c r="F12" s="1">
        <v>6</v>
      </c>
      <c r="G12" s="1">
        <v>2</v>
      </c>
      <c r="H12" s="1">
        <v>0.2</v>
      </c>
      <c r="I12" s="1">
        <v>0.19700000000000001</v>
      </c>
      <c r="J12" s="1">
        <v>0.59</v>
      </c>
      <c r="K12" s="1">
        <v>0.19400000000000001</v>
      </c>
      <c r="L12" s="1">
        <v>12</v>
      </c>
      <c r="M12" s="1">
        <v>66</v>
      </c>
      <c r="N12" s="1">
        <v>78</v>
      </c>
    </row>
    <row r="13" spans="1:14" x14ac:dyDescent="0.3">
      <c r="A13" s="1">
        <v>631</v>
      </c>
      <c r="B13" s="2">
        <v>40572</v>
      </c>
      <c r="C13" s="1">
        <v>1</v>
      </c>
      <c r="D13" s="1">
        <v>13</v>
      </c>
      <c r="E13" s="1" t="b">
        <v>0</v>
      </c>
      <c r="F13" s="1">
        <v>6</v>
      </c>
      <c r="G13" s="1">
        <v>2</v>
      </c>
      <c r="H13" s="1">
        <v>0.22</v>
      </c>
      <c r="I13" s="1">
        <v>0.2273</v>
      </c>
      <c r="J13" s="1">
        <v>0.55000000000000004</v>
      </c>
      <c r="K13" s="1">
        <v>0.16420000000000001</v>
      </c>
      <c r="L13" s="1">
        <v>9</v>
      </c>
      <c r="M13" s="1">
        <v>56</v>
      </c>
      <c r="N13" s="1">
        <v>65</v>
      </c>
    </row>
    <row r="14" spans="1:14" x14ac:dyDescent="0.3">
      <c r="A14" s="1">
        <v>632</v>
      </c>
      <c r="B14" s="2">
        <v>40572</v>
      </c>
      <c r="C14" s="1">
        <v>1</v>
      </c>
      <c r="D14" s="1">
        <v>14</v>
      </c>
      <c r="E14" s="1" t="b">
        <v>0</v>
      </c>
      <c r="F14" s="1">
        <v>6</v>
      </c>
      <c r="G14" s="1">
        <v>2</v>
      </c>
      <c r="H14" s="1">
        <v>0.22</v>
      </c>
      <c r="I14" s="1">
        <v>0.2273</v>
      </c>
      <c r="J14" s="1">
        <v>0.6</v>
      </c>
      <c r="K14" s="1">
        <v>0.1343</v>
      </c>
      <c r="L14" s="1">
        <v>10</v>
      </c>
      <c r="M14" s="1">
        <v>89</v>
      </c>
      <c r="N14" s="1">
        <v>99</v>
      </c>
    </row>
    <row r="15" spans="1:14" x14ac:dyDescent="0.3">
      <c r="A15" s="1">
        <v>633</v>
      </c>
      <c r="B15" s="2">
        <v>40572</v>
      </c>
      <c r="C15" s="1">
        <v>1</v>
      </c>
      <c r="D15" s="1">
        <v>15</v>
      </c>
      <c r="E15" s="1" t="b">
        <v>0</v>
      </c>
      <c r="F15" s="1">
        <v>6</v>
      </c>
      <c r="G15" s="1">
        <v>1</v>
      </c>
      <c r="H15" s="1">
        <v>0.22</v>
      </c>
      <c r="I15" s="1">
        <v>0.21210000000000001</v>
      </c>
      <c r="J15" s="1">
        <v>0.69</v>
      </c>
      <c r="K15" s="1">
        <v>0.25369999999999998</v>
      </c>
      <c r="L15" s="1">
        <v>22</v>
      </c>
      <c r="M15" s="1">
        <v>98</v>
      </c>
      <c r="N15" s="1">
        <v>120</v>
      </c>
    </row>
    <row r="16" spans="1:14" x14ac:dyDescent="0.3">
      <c r="A16" s="1">
        <v>634</v>
      </c>
      <c r="B16" s="2">
        <v>40572</v>
      </c>
      <c r="C16" s="1">
        <v>1</v>
      </c>
      <c r="D16" s="1">
        <v>16</v>
      </c>
      <c r="E16" s="1" t="b">
        <v>0</v>
      </c>
      <c r="F16" s="1">
        <v>6</v>
      </c>
      <c r="G16" s="1">
        <v>1</v>
      </c>
      <c r="H16" s="1">
        <v>0.24</v>
      </c>
      <c r="I16" s="1">
        <v>0.2424</v>
      </c>
      <c r="J16" s="1">
        <v>0.6</v>
      </c>
      <c r="K16" s="1">
        <v>0.16420000000000001</v>
      </c>
      <c r="L16" s="1">
        <v>19</v>
      </c>
      <c r="M16" s="1">
        <v>88</v>
      </c>
      <c r="N16" s="1">
        <v>107</v>
      </c>
    </row>
    <row r="17" spans="1:14" x14ac:dyDescent="0.3">
      <c r="A17" s="1">
        <v>635</v>
      </c>
      <c r="B17" s="2">
        <v>40572</v>
      </c>
      <c r="C17" s="1">
        <v>1</v>
      </c>
      <c r="D17" s="1">
        <v>17</v>
      </c>
      <c r="E17" s="1" t="b">
        <v>0</v>
      </c>
      <c r="F17" s="1">
        <v>6</v>
      </c>
      <c r="G17" s="1">
        <v>1</v>
      </c>
      <c r="H17" s="1">
        <v>0.24</v>
      </c>
      <c r="I17" s="1">
        <v>0.28789999999999999</v>
      </c>
      <c r="J17" s="1">
        <v>0.6</v>
      </c>
      <c r="K17" s="1">
        <v>0</v>
      </c>
      <c r="L17" s="1">
        <v>9</v>
      </c>
      <c r="M17" s="1">
        <v>82</v>
      </c>
      <c r="N17" s="1">
        <v>91</v>
      </c>
    </row>
    <row r="18" spans="1:14" x14ac:dyDescent="0.3">
      <c r="A18" s="1">
        <v>636</v>
      </c>
      <c r="B18" s="2">
        <v>40572</v>
      </c>
      <c r="C18" s="1">
        <v>1</v>
      </c>
      <c r="D18" s="1">
        <v>18</v>
      </c>
      <c r="E18" s="1" t="b">
        <v>0</v>
      </c>
      <c r="F18" s="1">
        <v>6</v>
      </c>
      <c r="G18" s="1">
        <v>1</v>
      </c>
      <c r="H18" s="1">
        <v>0.22</v>
      </c>
      <c r="I18" s="1">
        <v>0.2273</v>
      </c>
      <c r="J18" s="1">
        <v>0.69</v>
      </c>
      <c r="K18" s="1">
        <v>0.1343</v>
      </c>
      <c r="L18" s="1">
        <v>9</v>
      </c>
      <c r="M18" s="1">
        <v>59</v>
      </c>
      <c r="N18" s="1">
        <v>68</v>
      </c>
    </row>
    <row r="19" spans="1:14" x14ac:dyDescent="0.3">
      <c r="A19" s="1">
        <v>637</v>
      </c>
      <c r="B19" s="2">
        <v>40572</v>
      </c>
      <c r="C19" s="1">
        <v>1</v>
      </c>
      <c r="D19" s="1">
        <v>19</v>
      </c>
      <c r="E19" s="1" t="b">
        <v>0</v>
      </c>
      <c r="F19" s="1">
        <v>6</v>
      </c>
      <c r="G19" s="1">
        <v>2</v>
      </c>
      <c r="H19" s="1">
        <v>0.22</v>
      </c>
      <c r="I19" s="1">
        <v>0.21210000000000001</v>
      </c>
      <c r="J19" s="1">
        <v>0.69</v>
      </c>
      <c r="K19" s="1">
        <v>0.25369999999999998</v>
      </c>
      <c r="L19" s="1">
        <v>6</v>
      </c>
      <c r="M19" s="1">
        <v>52</v>
      </c>
      <c r="N19" s="1">
        <v>58</v>
      </c>
    </row>
    <row r="20" spans="1:14" x14ac:dyDescent="0.3">
      <c r="A20" s="1">
        <v>638</v>
      </c>
      <c r="B20" s="2">
        <v>40572</v>
      </c>
      <c r="C20" s="1">
        <v>1</v>
      </c>
      <c r="D20" s="1">
        <v>20</v>
      </c>
      <c r="E20" s="1" t="b">
        <v>0</v>
      </c>
      <c r="F20" s="1">
        <v>6</v>
      </c>
      <c r="G20" s="1">
        <v>1</v>
      </c>
      <c r="H20" s="1">
        <v>0.18</v>
      </c>
      <c r="I20" s="1">
        <v>0.21210000000000001</v>
      </c>
      <c r="J20" s="1">
        <v>0.74</v>
      </c>
      <c r="K20" s="1">
        <v>8.9599999999999999E-2</v>
      </c>
      <c r="L20" s="1">
        <v>1</v>
      </c>
      <c r="M20" s="1">
        <v>42</v>
      </c>
      <c r="N20" s="1">
        <v>43</v>
      </c>
    </row>
    <row r="21" spans="1:14" x14ac:dyDescent="0.3">
      <c r="A21" s="1">
        <v>639</v>
      </c>
      <c r="B21" s="2">
        <v>40572</v>
      </c>
      <c r="C21" s="1">
        <v>1</v>
      </c>
      <c r="D21" s="1">
        <v>21</v>
      </c>
      <c r="E21" s="1" t="b">
        <v>0</v>
      </c>
      <c r="F21" s="1">
        <v>6</v>
      </c>
      <c r="G21" s="1">
        <v>1</v>
      </c>
      <c r="H21" s="1">
        <v>0.18</v>
      </c>
      <c r="I21" s="1">
        <v>0.21210000000000001</v>
      </c>
      <c r="J21" s="1">
        <v>0.74</v>
      </c>
      <c r="K21" s="1">
        <v>8.9599999999999999E-2</v>
      </c>
      <c r="L21" s="1">
        <v>1</v>
      </c>
      <c r="M21" s="1">
        <v>35</v>
      </c>
      <c r="N21" s="1">
        <v>36</v>
      </c>
    </row>
    <row r="22" spans="1:14" x14ac:dyDescent="0.3">
      <c r="A22" s="1">
        <v>640</v>
      </c>
      <c r="B22" s="2">
        <v>40572</v>
      </c>
      <c r="C22" s="1">
        <v>1</v>
      </c>
      <c r="D22" s="1">
        <v>22</v>
      </c>
      <c r="E22" s="1" t="b">
        <v>0</v>
      </c>
      <c r="F22" s="1">
        <v>6</v>
      </c>
      <c r="G22" s="1">
        <v>1</v>
      </c>
      <c r="H22" s="1">
        <v>0.16</v>
      </c>
      <c r="I22" s="1">
        <v>0.19700000000000001</v>
      </c>
      <c r="J22" s="1">
        <v>0.8</v>
      </c>
      <c r="K22" s="1">
        <v>8.9599999999999999E-2</v>
      </c>
      <c r="L22" s="1">
        <v>4</v>
      </c>
      <c r="M22" s="1">
        <v>28</v>
      </c>
      <c r="N22" s="1">
        <v>32</v>
      </c>
    </row>
    <row r="23" spans="1:14" x14ac:dyDescent="0.3">
      <c r="A23" s="1">
        <v>641</v>
      </c>
      <c r="B23" s="2">
        <v>40572</v>
      </c>
      <c r="C23" s="1">
        <v>1</v>
      </c>
      <c r="D23" s="1">
        <v>23</v>
      </c>
      <c r="E23" s="1" t="b">
        <v>0</v>
      </c>
      <c r="F23" s="1">
        <v>6</v>
      </c>
      <c r="G23" s="1">
        <v>1</v>
      </c>
      <c r="H23" s="1">
        <v>0.16</v>
      </c>
      <c r="I23" s="1">
        <v>0.19700000000000001</v>
      </c>
      <c r="J23" s="1">
        <v>0.8</v>
      </c>
      <c r="K23" s="1">
        <v>8.9599999999999999E-2</v>
      </c>
      <c r="L23" s="1">
        <v>3</v>
      </c>
      <c r="M23" s="1">
        <v>30</v>
      </c>
      <c r="N23" s="1">
        <v>33</v>
      </c>
    </row>
    <row r="24" spans="1:14" x14ac:dyDescent="0.3">
      <c r="A24" s="1">
        <v>642</v>
      </c>
      <c r="B24" s="2">
        <v>40573</v>
      </c>
      <c r="C24" s="1">
        <v>1</v>
      </c>
      <c r="D24" s="1">
        <v>0</v>
      </c>
      <c r="E24" s="1" t="b">
        <v>0</v>
      </c>
      <c r="F24" s="1">
        <v>0</v>
      </c>
      <c r="G24" s="1">
        <v>1</v>
      </c>
      <c r="H24" s="1">
        <v>0.16</v>
      </c>
      <c r="I24" s="1">
        <v>0.18179999999999999</v>
      </c>
      <c r="J24" s="1">
        <v>0.8</v>
      </c>
      <c r="K24" s="1">
        <v>0.1045</v>
      </c>
      <c r="L24" s="1">
        <v>0</v>
      </c>
      <c r="M24" s="1">
        <v>33</v>
      </c>
      <c r="N24" s="1">
        <v>33</v>
      </c>
    </row>
    <row r="25" spans="1:14" x14ac:dyDescent="0.3">
      <c r="A25" s="1">
        <v>643</v>
      </c>
      <c r="B25" s="2">
        <v>40573</v>
      </c>
      <c r="C25" s="1">
        <v>1</v>
      </c>
      <c r="D25" s="1">
        <v>1</v>
      </c>
      <c r="E25" s="1" t="b">
        <v>0</v>
      </c>
      <c r="F25" s="1">
        <v>0</v>
      </c>
      <c r="G25" s="1">
        <v>1</v>
      </c>
      <c r="H25" s="1">
        <v>0.14000000000000001</v>
      </c>
      <c r="I25" s="1">
        <v>0.21210000000000001</v>
      </c>
      <c r="J25" s="1">
        <v>0.8</v>
      </c>
      <c r="K25" s="1">
        <v>0</v>
      </c>
      <c r="L25" s="1">
        <v>7</v>
      </c>
      <c r="M25" s="1">
        <v>22</v>
      </c>
      <c r="N25" s="1">
        <v>29</v>
      </c>
    </row>
    <row r="26" spans="1:14" x14ac:dyDescent="0.3">
      <c r="A26" s="1">
        <v>644</v>
      </c>
      <c r="B26" s="2">
        <v>40573</v>
      </c>
      <c r="C26" s="1">
        <v>1</v>
      </c>
      <c r="D26" s="1">
        <v>2</v>
      </c>
      <c r="E26" s="1" t="b">
        <v>0</v>
      </c>
      <c r="F26" s="1">
        <v>0</v>
      </c>
      <c r="G26" s="1">
        <v>1</v>
      </c>
      <c r="H26" s="1">
        <v>0.16</v>
      </c>
      <c r="I26" s="1">
        <v>0.2273</v>
      </c>
      <c r="J26" s="1">
        <v>0.8</v>
      </c>
      <c r="K26" s="1">
        <v>0</v>
      </c>
      <c r="L26" s="1">
        <v>1</v>
      </c>
      <c r="M26" s="1">
        <v>10</v>
      </c>
      <c r="N26" s="1">
        <v>11</v>
      </c>
    </row>
    <row r="27" spans="1:14" x14ac:dyDescent="0.3">
      <c r="A27" s="1">
        <v>645</v>
      </c>
      <c r="B27" s="2">
        <v>40573</v>
      </c>
      <c r="C27" s="1">
        <v>1</v>
      </c>
      <c r="D27" s="1">
        <v>3</v>
      </c>
      <c r="E27" s="1" t="b">
        <v>0</v>
      </c>
      <c r="F27" s="1">
        <v>0</v>
      </c>
      <c r="G27" s="1">
        <v>1</v>
      </c>
      <c r="H27" s="1">
        <v>0.14000000000000001</v>
      </c>
      <c r="I27" s="1">
        <v>0.21210000000000001</v>
      </c>
      <c r="J27" s="1">
        <v>0.93</v>
      </c>
      <c r="K27" s="1">
        <v>0</v>
      </c>
      <c r="L27" s="1">
        <v>1</v>
      </c>
      <c r="M27" s="1">
        <v>7</v>
      </c>
      <c r="N27" s="1">
        <v>8</v>
      </c>
    </row>
    <row r="28" spans="1:14" x14ac:dyDescent="0.3">
      <c r="A28" s="1">
        <v>646</v>
      </c>
      <c r="B28" s="2">
        <v>40573</v>
      </c>
      <c r="C28" s="1">
        <v>1</v>
      </c>
      <c r="D28" s="1">
        <v>4</v>
      </c>
      <c r="E28" s="1" t="b">
        <v>0</v>
      </c>
      <c r="F28" s="1">
        <v>0</v>
      </c>
      <c r="G28" s="1">
        <v>1</v>
      </c>
      <c r="H28" s="1">
        <v>0.14000000000000001</v>
      </c>
      <c r="I28" s="1">
        <v>0.21210000000000001</v>
      </c>
      <c r="J28" s="1">
        <v>0.93</v>
      </c>
      <c r="K28" s="1">
        <v>0</v>
      </c>
      <c r="L28" s="1">
        <v>0</v>
      </c>
      <c r="M28" s="1">
        <v>1</v>
      </c>
      <c r="N28" s="1">
        <v>1</v>
      </c>
    </row>
    <row r="29" spans="1:14" x14ac:dyDescent="0.3">
      <c r="A29" s="1">
        <v>647</v>
      </c>
      <c r="B29" s="2">
        <v>40573</v>
      </c>
      <c r="C29" s="1">
        <v>1</v>
      </c>
      <c r="D29" s="1">
        <v>5</v>
      </c>
      <c r="E29" s="1" t="b">
        <v>0</v>
      </c>
      <c r="F29" s="1">
        <v>0</v>
      </c>
      <c r="G29" s="1">
        <v>1</v>
      </c>
      <c r="H29" s="1">
        <v>0.14000000000000001</v>
      </c>
      <c r="I29" s="1">
        <v>0.21210000000000001</v>
      </c>
      <c r="J29" s="1">
        <v>0.86</v>
      </c>
      <c r="K29" s="1">
        <v>0</v>
      </c>
      <c r="L29" s="1">
        <v>0</v>
      </c>
      <c r="M29" s="1">
        <v>3</v>
      </c>
      <c r="N29" s="1">
        <v>3</v>
      </c>
    </row>
    <row r="30" spans="1:14" x14ac:dyDescent="0.3">
      <c r="A30" s="1">
        <v>648</v>
      </c>
      <c r="B30" s="2">
        <v>40573</v>
      </c>
      <c r="C30" s="1">
        <v>1</v>
      </c>
      <c r="D30" s="1">
        <v>7</v>
      </c>
      <c r="E30" s="1" t="b">
        <v>0</v>
      </c>
      <c r="F30" s="1">
        <v>0</v>
      </c>
      <c r="G30" s="1">
        <v>1</v>
      </c>
      <c r="H30" s="1">
        <v>0.14000000000000001</v>
      </c>
      <c r="I30" s="1">
        <v>0.21210000000000001</v>
      </c>
      <c r="J30" s="1">
        <v>0.86</v>
      </c>
      <c r="K30" s="1">
        <v>0</v>
      </c>
      <c r="L30" s="1">
        <v>0</v>
      </c>
      <c r="M30" s="1">
        <v>3</v>
      </c>
      <c r="N30" s="1">
        <v>3</v>
      </c>
    </row>
    <row r="31" spans="1:14" x14ac:dyDescent="0.3">
      <c r="A31" s="1">
        <v>649</v>
      </c>
      <c r="B31" s="2">
        <v>40573</v>
      </c>
      <c r="C31" s="1">
        <v>1</v>
      </c>
      <c r="D31" s="1">
        <v>8</v>
      </c>
      <c r="E31" s="1" t="b">
        <v>0</v>
      </c>
      <c r="F31" s="1">
        <v>0</v>
      </c>
      <c r="G31" s="1">
        <v>2</v>
      </c>
      <c r="H31" s="1">
        <v>0.14000000000000001</v>
      </c>
      <c r="I31" s="1">
        <v>0.21210000000000001</v>
      </c>
      <c r="J31" s="1">
        <v>0.86</v>
      </c>
      <c r="K31" s="1">
        <v>0</v>
      </c>
      <c r="L31" s="1">
        <v>1</v>
      </c>
      <c r="M31" s="1">
        <v>11</v>
      </c>
      <c r="N31" s="1">
        <v>12</v>
      </c>
    </row>
    <row r="32" spans="1:14" x14ac:dyDescent="0.3">
      <c r="A32" s="1">
        <v>650</v>
      </c>
      <c r="B32" s="2">
        <v>40573</v>
      </c>
      <c r="C32" s="1">
        <v>1</v>
      </c>
      <c r="D32" s="1">
        <v>9</v>
      </c>
      <c r="E32" s="1" t="b">
        <v>0</v>
      </c>
      <c r="F32" s="1">
        <v>0</v>
      </c>
      <c r="G32" s="1">
        <v>2</v>
      </c>
      <c r="H32" s="1">
        <v>0.16</v>
      </c>
      <c r="I32" s="1">
        <v>0.2273</v>
      </c>
      <c r="J32" s="1">
        <v>0.8</v>
      </c>
      <c r="K32" s="1">
        <v>0</v>
      </c>
      <c r="L32" s="1">
        <v>4</v>
      </c>
      <c r="M32" s="1">
        <v>34</v>
      </c>
      <c r="N32" s="1">
        <v>38</v>
      </c>
    </row>
    <row r="33" spans="1:14" x14ac:dyDescent="0.3">
      <c r="A33" s="1">
        <v>651</v>
      </c>
      <c r="B33" s="2">
        <v>40573</v>
      </c>
      <c r="C33" s="1">
        <v>1</v>
      </c>
      <c r="D33" s="1">
        <v>10</v>
      </c>
      <c r="E33" s="1" t="b">
        <v>0</v>
      </c>
      <c r="F33" s="1">
        <v>0</v>
      </c>
      <c r="G33" s="1">
        <v>2</v>
      </c>
      <c r="H33" s="1">
        <v>0.18</v>
      </c>
      <c r="I33" s="1">
        <v>0.2424</v>
      </c>
      <c r="J33" s="1">
        <v>0.8</v>
      </c>
      <c r="K33" s="1">
        <v>0</v>
      </c>
      <c r="L33" s="1">
        <v>7</v>
      </c>
      <c r="M33" s="1">
        <v>57</v>
      </c>
      <c r="N33" s="1">
        <v>64</v>
      </c>
    </row>
    <row r="34" spans="1:14" x14ac:dyDescent="0.3">
      <c r="A34" s="1">
        <v>652</v>
      </c>
      <c r="B34" s="2">
        <v>40573</v>
      </c>
      <c r="C34" s="1">
        <v>1</v>
      </c>
      <c r="D34" s="1">
        <v>11</v>
      </c>
      <c r="E34" s="1" t="b">
        <v>0</v>
      </c>
      <c r="F34" s="1">
        <v>0</v>
      </c>
      <c r="G34" s="1">
        <v>1</v>
      </c>
      <c r="H34" s="1">
        <v>0.22</v>
      </c>
      <c r="I34" s="1">
        <v>0.2727</v>
      </c>
      <c r="J34" s="1">
        <v>0.75</v>
      </c>
      <c r="K34" s="1">
        <v>0</v>
      </c>
      <c r="L34" s="1">
        <v>9</v>
      </c>
      <c r="M34" s="1">
        <v>50</v>
      </c>
      <c r="N34" s="1">
        <v>59</v>
      </c>
    </row>
    <row r="35" spans="1:14" x14ac:dyDescent="0.3">
      <c r="A35" s="1">
        <v>653</v>
      </c>
      <c r="B35" s="2">
        <v>40573</v>
      </c>
      <c r="C35" s="1">
        <v>1</v>
      </c>
      <c r="D35" s="1">
        <v>12</v>
      </c>
      <c r="E35" s="1" t="b">
        <v>0</v>
      </c>
      <c r="F35" s="1">
        <v>0</v>
      </c>
      <c r="G35" s="1">
        <v>1</v>
      </c>
      <c r="H35" s="1">
        <v>0.3</v>
      </c>
      <c r="I35" s="1">
        <v>0.31819999999999998</v>
      </c>
      <c r="J35" s="1">
        <v>0.52</v>
      </c>
      <c r="K35" s="1">
        <v>0.1045</v>
      </c>
      <c r="L35" s="1">
        <v>10</v>
      </c>
      <c r="M35" s="1">
        <v>87</v>
      </c>
      <c r="N35" s="1">
        <v>97</v>
      </c>
    </row>
    <row r="36" spans="1:14" x14ac:dyDescent="0.3">
      <c r="A36" s="1">
        <v>654</v>
      </c>
      <c r="B36" s="2">
        <v>40573</v>
      </c>
      <c r="C36" s="1">
        <v>1</v>
      </c>
      <c r="D36" s="1">
        <v>13</v>
      </c>
      <c r="E36" s="1" t="b">
        <v>0</v>
      </c>
      <c r="F36" s="1">
        <v>0</v>
      </c>
      <c r="G36" s="1">
        <v>1</v>
      </c>
      <c r="H36" s="1">
        <v>0.28000000000000003</v>
      </c>
      <c r="I36" s="1">
        <v>0.28789999999999999</v>
      </c>
      <c r="J36" s="1">
        <v>0.61</v>
      </c>
      <c r="K36" s="1">
        <v>0.1045</v>
      </c>
      <c r="L36" s="1">
        <v>13</v>
      </c>
      <c r="M36" s="1">
        <v>71</v>
      </c>
      <c r="N36" s="1">
        <v>84</v>
      </c>
    </row>
    <row r="37" spans="1:14" x14ac:dyDescent="0.3">
      <c r="A37" s="1">
        <v>655</v>
      </c>
      <c r="B37" s="2">
        <v>40573</v>
      </c>
      <c r="C37" s="1">
        <v>1</v>
      </c>
      <c r="D37" s="1">
        <v>14</v>
      </c>
      <c r="E37" s="1" t="b">
        <v>0</v>
      </c>
      <c r="F37" s="1">
        <v>0</v>
      </c>
      <c r="G37" s="1">
        <v>1</v>
      </c>
      <c r="H37" s="1">
        <v>0.28000000000000003</v>
      </c>
      <c r="I37" s="1">
        <v>0.30299999999999999</v>
      </c>
      <c r="J37" s="1">
        <v>0.61</v>
      </c>
      <c r="K37" s="1">
        <v>8.9599999999999999E-2</v>
      </c>
      <c r="L37" s="1">
        <v>18</v>
      </c>
      <c r="M37" s="1">
        <v>104</v>
      </c>
      <c r="N37" s="1">
        <v>122</v>
      </c>
    </row>
    <row r="38" spans="1:14" x14ac:dyDescent="0.3">
      <c r="A38" s="1">
        <v>656</v>
      </c>
      <c r="B38" s="2">
        <v>40573</v>
      </c>
      <c r="C38" s="1">
        <v>1</v>
      </c>
      <c r="D38" s="1">
        <v>15</v>
      </c>
      <c r="E38" s="1" t="b">
        <v>0</v>
      </c>
      <c r="F38" s="1">
        <v>0</v>
      </c>
      <c r="G38" s="1">
        <v>1</v>
      </c>
      <c r="H38" s="1">
        <v>0.3</v>
      </c>
      <c r="I38" s="1">
        <v>0.33329999999999999</v>
      </c>
      <c r="J38" s="1">
        <v>0.56000000000000005</v>
      </c>
      <c r="K38" s="1">
        <v>0</v>
      </c>
      <c r="L38" s="1">
        <v>14</v>
      </c>
      <c r="M38" s="1">
        <v>95</v>
      </c>
      <c r="N38" s="1">
        <v>109</v>
      </c>
    </row>
    <row r="39" spans="1:14" x14ac:dyDescent="0.3">
      <c r="A39" s="1">
        <v>657</v>
      </c>
      <c r="B39" s="2">
        <v>40573</v>
      </c>
      <c r="C39" s="1">
        <v>1</v>
      </c>
      <c r="D39" s="1">
        <v>16</v>
      </c>
      <c r="E39" s="1" t="b">
        <v>0</v>
      </c>
      <c r="F39" s="1">
        <v>0</v>
      </c>
      <c r="G39" s="1">
        <v>1</v>
      </c>
      <c r="H39" s="1">
        <v>0.3</v>
      </c>
      <c r="I39" s="1">
        <v>0.33329999999999999</v>
      </c>
      <c r="J39" s="1">
        <v>0.56000000000000005</v>
      </c>
      <c r="K39" s="1">
        <v>0</v>
      </c>
      <c r="L39" s="1">
        <v>19</v>
      </c>
      <c r="M39" s="1">
        <v>104</v>
      </c>
      <c r="N39" s="1">
        <v>123</v>
      </c>
    </row>
    <row r="40" spans="1:14" x14ac:dyDescent="0.3">
      <c r="A40" s="1">
        <v>658</v>
      </c>
      <c r="B40" s="2">
        <v>40573</v>
      </c>
      <c r="C40" s="1">
        <v>1</v>
      </c>
      <c r="D40" s="1">
        <v>17</v>
      </c>
      <c r="E40" s="1" t="b">
        <v>0</v>
      </c>
      <c r="F40" s="1">
        <v>0</v>
      </c>
      <c r="G40" s="1">
        <v>1</v>
      </c>
      <c r="H40" s="1">
        <v>0.3</v>
      </c>
      <c r="I40" s="1">
        <v>0.28789999999999999</v>
      </c>
      <c r="J40" s="1">
        <v>0.56000000000000005</v>
      </c>
      <c r="K40" s="1">
        <v>0.19400000000000001</v>
      </c>
      <c r="L40" s="1">
        <v>6</v>
      </c>
      <c r="M40" s="1">
        <v>71</v>
      </c>
      <c r="N40" s="1">
        <v>77</v>
      </c>
    </row>
    <row r="41" spans="1:14" x14ac:dyDescent="0.3">
      <c r="A41" s="1">
        <v>659</v>
      </c>
      <c r="B41" s="2">
        <v>40573</v>
      </c>
      <c r="C41" s="1">
        <v>1</v>
      </c>
      <c r="D41" s="1">
        <v>18</v>
      </c>
      <c r="E41" s="1" t="b">
        <v>0</v>
      </c>
      <c r="F41" s="1">
        <v>0</v>
      </c>
      <c r="G41" s="1">
        <v>1</v>
      </c>
      <c r="H41" s="1">
        <v>0.26</v>
      </c>
      <c r="I41" s="1">
        <v>0.2576</v>
      </c>
      <c r="J41" s="1">
        <v>0.65</v>
      </c>
      <c r="K41" s="1">
        <v>0.16420000000000001</v>
      </c>
      <c r="L41" s="1">
        <v>8</v>
      </c>
      <c r="M41" s="1">
        <v>57</v>
      </c>
      <c r="N41" s="1">
        <v>65</v>
      </c>
    </row>
    <row r="42" spans="1:14" x14ac:dyDescent="0.3">
      <c r="A42" s="1">
        <v>660</v>
      </c>
      <c r="B42" s="2">
        <v>40573</v>
      </c>
      <c r="C42" s="1">
        <v>1</v>
      </c>
      <c r="D42" s="1">
        <v>19</v>
      </c>
      <c r="E42" s="1" t="b">
        <v>0</v>
      </c>
      <c r="F42" s="1">
        <v>0</v>
      </c>
      <c r="G42" s="1">
        <v>1</v>
      </c>
      <c r="H42" s="1">
        <v>0.26</v>
      </c>
      <c r="I42" s="1">
        <v>0.2576</v>
      </c>
      <c r="J42" s="1">
        <v>0.65</v>
      </c>
      <c r="K42" s="1">
        <v>0.19400000000000001</v>
      </c>
      <c r="L42" s="1">
        <v>9</v>
      </c>
      <c r="M42" s="1">
        <v>46</v>
      </c>
      <c r="N42" s="1">
        <v>55</v>
      </c>
    </row>
    <row r="43" spans="1:14" x14ac:dyDescent="0.3">
      <c r="A43" s="1">
        <v>661</v>
      </c>
      <c r="B43" s="2">
        <v>40573</v>
      </c>
      <c r="C43" s="1">
        <v>1</v>
      </c>
      <c r="D43" s="1">
        <v>20</v>
      </c>
      <c r="E43" s="1" t="b">
        <v>0</v>
      </c>
      <c r="F43" s="1">
        <v>0</v>
      </c>
      <c r="G43" s="1">
        <v>2</v>
      </c>
      <c r="H43" s="1">
        <v>0.26</v>
      </c>
      <c r="I43" s="1">
        <v>0.2727</v>
      </c>
      <c r="J43" s="1">
        <v>0.65</v>
      </c>
      <c r="K43" s="1">
        <v>0.1045</v>
      </c>
      <c r="L43" s="1">
        <v>3</v>
      </c>
      <c r="M43" s="1">
        <v>30</v>
      </c>
      <c r="N43" s="1">
        <v>33</v>
      </c>
    </row>
    <row r="44" spans="1:14" x14ac:dyDescent="0.3">
      <c r="A44" s="1">
        <v>662</v>
      </c>
      <c r="B44" s="2">
        <v>40573</v>
      </c>
      <c r="C44" s="1">
        <v>1</v>
      </c>
      <c r="D44" s="1">
        <v>21</v>
      </c>
      <c r="E44" s="1" t="b">
        <v>0</v>
      </c>
      <c r="F44" s="1">
        <v>0</v>
      </c>
      <c r="G44" s="1">
        <v>2</v>
      </c>
      <c r="H44" s="1">
        <v>0.24</v>
      </c>
      <c r="I44" s="1">
        <v>0.2424</v>
      </c>
      <c r="J44" s="1">
        <v>0.7</v>
      </c>
      <c r="K44" s="1">
        <v>0.16420000000000001</v>
      </c>
      <c r="L44" s="1">
        <v>3</v>
      </c>
      <c r="M44" s="1">
        <v>25</v>
      </c>
      <c r="N44" s="1">
        <v>28</v>
      </c>
    </row>
    <row r="45" spans="1:14" x14ac:dyDescent="0.3">
      <c r="A45" s="1">
        <v>663</v>
      </c>
      <c r="B45" s="2">
        <v>40573</v>
      </c>
      <c r="C45" s="1">
        <v>1</v>
      </c>
      <c r="D45" s="1">
        <v>22</v>
      </c>
      <c r="E45" s="1" t="b">
        <v>0</v>
      </c>
      <c r="F45" s="1">
        <v>0</v>
      </c>
      <c r="G45" s="1">
        <v>2</v>
      </c>
      <c r="H45" s="1">
        <v>0.24</v>
      </c>
      <c r="I45" s="1">
        <v>0.2273</v>
      </c>
      <c r="J45" s="1">
        <v>0.7</v>
      </c>
      <c r="K45" s="1">
        <v>0.19400000000000001</v>
      </c>
      <c r="L45" s="1">
        <v>2</v>
      </c>
      <c r="M45" s="1">
        <v>19</v>
      </c>
      <c r="N45" s="1">
        <v>21</v>
      </c>
    </row>
    <row r="46" spans="1:14" x14ac:dyDescent="0.3">
      <c r="A46" s="1">
        <v>664</v>
      </c>
      <c r="B46" s="2">
        <v>40573</v>
      </c>
      <c r="C46" s="1">
        <v>1</v>
      </c>
      <c r="D46" s="1">
        <v>23</v>
      </c>
      <c r="E46" s="1" t="b">
        <v>0</v>
      </c>
      <c r="F46" s="1">
        <v>0</v>
      </c>
      <c r="G46" s="1">
        <v>2</v>
      </c>
      <c r="H46" s="1">
        <v>0.24</v>
      </c>
      <c r="I46" s="1">
        <v>0.21210000000000001</v>
      </c>
      <c r="J46" s="1">
        <v>0.65</v>
      </c>
      <c r="K46" s="1">
        <v>0.28360000000000002</v>
      </c>
      <c r="L46" s="1">
        <v>5</v>
      </c>
      <c r="M46" s="1">
        <v>16</v>
      </c>
      <c r="N46" s="1">
        <v>21</v>
      </c>
    </row>
    <row r="47" spans="1:14" x14ac:dyDescent="0.3">
      <c r="A47" s="1">
        <v>665</v>
      </c>
      <c r="B47" s="2">
        <v>40574</v>
      </c>
      <c r="C47" s="1">
        <v>1</v>
      </c>
      <c r="D47" s="1">
        <v>0</v>
      </c>
      <c r="E47" s="1" t="b">
        <v>0</v>
      </c>
      <c r="F47" s="1">
        <v>1</v>
      </c>
      <c r="G47" s="1">
        <v>2</v>
      </c>
      <c r="H47" s="1">
        <v>0.24</v>
      </c>
      <c r="I47" s="1">
        <v>0.2273</v>
      </c>
      <c r="J47" s="1">
        <v>0.65</v>
      </c>
      <c r="K47" s="1">
        <v>0.22389999999999999</v>
      </c>
      <c r="L47" s="1">
        <v>1</v>
      </c>
      <c r="M47" s="1">
        <v>6</v>
      </c>
      <c r="N47" s="1">
        <v>7</v>
      </c>
    </row>
    <row r="48" spans="1:14" x14ac:dyDescent="0.3">
      <c r="A48" s="1">
        <v>666</v>
      </c>
      <c r="B48" s="2">
        <v>40574</v>
      </c>
      <c r="C48" s="1">
        <v>1</v>
      </c>
      <c r="D48" s="1">
        <v>1</v>
      </c>
      <c r="E48" s="1" t="b">
        <v>0</v>
      </c>
      <c r="F48" s="1">
        <v>1</v>
      </c>
      <c r="G48" s="1">
        <v>1</v>
      </c>
      <c r="H48" s="1">
        <v>0.22</v>
      </c>
      <c r="I48" s="1">
        <v>0.21210000000000001</v>
      </c>
      <c r="J48" s="1">
        <v>0.64</v>
      </c>
      <c r="K48" s="1">
        <v>0.25369999999999998</v>
      </c>
      <c r="L48" s="1">
        <v>2</v>
      </c>
      <c r="M48" s="1">
        <v>5</v>
      </c>
      <c r="N48" s="1">
        <v>7</v>
      </c>
    </row>
    <row r="49" spans="1:14" x14ac:dyDescent="0.3">
      <c r="A49" s="1">
        <v>667</v>
      </c>
      <c r="B49" s="2">
        <v>40574</v>
      </c>
      <c r="C49" s="1">
        <v>1</v>
      </c>
      <c r="D49" s="1">
        <v>2</v>
      </c>
      <c r="E49" s="1" t="b">
        <v>0</v>
      </c>
      <c r="F49" s="1">
        <v>1</v>
      </c>
      <c r="G49" s="1">
        <v>1</v>
      </c>
      <c r="H49" s="1">
        <v>0.22</v>
      </c>
      <c r="I49" s="1">
        <v>0.2273</v>
      </c>
      <c r="J49" s="1">
        <v>0.64</v>
      </c>
      <c r="K49" s="1">
        <v>0.19400000000000001</v>
      </c>
      <c r="L49" s="1">
        <v>0</v>
      </c>
      <c r="M49" s="1">
        <v>1</v>
      </c>
      <c r="N49" s="1">
        <v>1</v>
      </c>
    </row>
    <row r="50" spans="1:14" x14ac:dyDescent="0.3">
      <c r="A50" s="1">
        <v>668</v>
      </c>
      <c r="B50" s="2">
        <v>40574</v>
      </c>
      <c r="C50" s="1">
        <v>1</v>
      </c>
      <c r="D50" s="1">
        <v>3</v>
      </c>
      <c r="E50" s="1" t="b">
        <v>0</v>
      </c>
      <c r="F50" s="1">
        <v>1</v>
      </c>
      <c r="G50" s="1">
        <v>1</v>
      </c>
      <c r="H50" s="1">
        <v>0.22</v>
      </c>
      <c r="I50" s="1">
        <v>0.2273</v>
      </c>
      <c r="J50" s="1">
        <v>0.64</v>
      </c>
      <c r="K50" s="1">
        <v>0.19400000000000001</v>
      </c>
      <c r="L50" s="1">
        <v>0</v>
      </c>
      <c r="M50" s="1">
        <v>2</v>
      </c>
      <c r="N50" s="1">
        <v>2</v>
      </c>
    </row>
    <row r="51" spans="1:14" x14ac:dyDescent="0.3">
      <c r="A51" s="1">
        <v>669</v>
      </c>
      <c r="B51" s="2">
        <v>40574</v>
      </c>
      <c r="C51" s="1">
        <v>1</v>
      </c>
      <c r="D51" s="1">
        <v>4</v>
      </c>
      <c r="E51" s="1" t="b">
        <v>0</v>
      </c>
      <c r="F51" s="1">
        <v>1</v>
      </c>
      <c r="G51" s="1">
        <v>1</v>
      </c>
      <c r="H51" s="1">
        <v>0.2</v>
      </c>
      <c r="I51" s="1">
        <v>0.19700000000000001</v>
      </c>
      <c r="J51" s="1">
        <v>0.59</v>
      </c>
      <c r="K51" s="1">
        <v>0.22389999999999999</v>
      </c>
      <c r="L51" s="1">
        <v>0</v>
      </c>
      <c r="M51" s="1">
        <v>2</v>
      </c>
      <c r="N51" s="1">
        <v>2</v>
      </c>
    </row>
    <row r="52" spans="1:14" x14ac:dyDescent="0.3">
      <c r="A52" s="1">
        <v>670</v>
      </c>
      <c r="B52" s="2">
        <v>40574</v>
      </c>
      <c r="C52" s="1">
        <v>1</v>
      </c>
      <c r="D52" s="1">
        <v>5</v>
      </c>
      <c r="E52" s="1" t="b">
        <v>0</v>
      </c>
      <c r="F52" s="1">
        <v>1</v>
      </c>
      <c r="G52" s="1">
        <v>1</v>
      </c>
      <c r="H52" s="1">
        <v>0.18</v>
      </c>
      <c r="I52" s="1">
        <v>0.16669999999999999</v>
      </c>
      <c r="J52" s="1">
        <v>0.64</v>
      </c>
      <c r="K52" s="1">
        <v>0.28360000000000002</v>
      </c>
      <c r="L52" s="1">
        <v>0</v>
      </c>
      <c r="M52" s="1">
        <v>8</v>
      </c>
      <c r="N52" s="1">
        <v>8</v>
      </c>
    </row>
    <row r="53" spans="1:14" x14ac:dyDescent="0.3">
      <c r="A53" s="1">
        <v>671</v>
      </c>
      <c r="B53" s="2">
        <v>40574</v>
      </c>
      <c r="C53" s="1">
        <v>1</v>
      </c>
      <c r="D53" s="1">
        <v>6</v>
      </c>
      <c r="E53" s="1" t="b">
        <v>0</v>
      </c>
      <c r="F53" s="1">
        <v>1</v>
      </c>
      <c r="G53" s="1">
        <v>1</v>
      </c>
      <c r="H53" s="1">
        <v>0.16</v>
      </c>
      <c r="I53" s="1">
        <v>0.13639999999999999</v>
      </c>
      <c r="J53" s="1">
        <v>0.69</v>
      </c>
      <c r="K53" s="1">
        <v>0.32840000000000003</v>
      </c>
      <c r="L53" s="1">
        <v>0</v>
      </c>
      <c r="M53" s="1">
        <v>37</v>
      </c>
      <c r="N53" s="1">
        <v>37</v>
      </c>
    </row>
    <row r="54" spans="1:14" x14ac:dyDescent="0.3">
      <c r="A54" s="1">
        <v>672</v>
      </c>
      <c r="B54" s="2">
        <v>40574</v>
      </c>
      <c r="C54" s="1">
        <v>1</v>
      </c>
      <c r="D54" s="1">
        <v>7</v>
      </c>
      <c r="E54" s="1" t="b">
        <v>0</v>
      </c>
      <c r="F54" s="1">
        <v>1</v>
      </c>
      <c r="G54" s="1">
        <v>2</v>
      </c>
      <c r="H54" s="1">
        <v>0.16</v>
      </c>
      <c r="I54" s="1">
        <v>0.13639999999999999</v>
      </c>
      <c r="J54" s="1">
        <v>0.64</v>
      </c>
      <c r="K54" s="1">
        <v>0.28360000000000002</v>
      </c>
      <c r="L54" s="1">
        <v>1</v>
      </c>
      <c r="M54" s="1">
        <v>71</v>
      </c>
      <c r="N54" s="1">
        <v>72</v>
      </c>
    </row>
    <row r="55" spans="1:14" x14ac:dyDescent="0.3">
      <c r="A55" s="1">
        <v>673</v>
      </c>
      <c r="B55" s="2">
        <v>40574</v>
      </c>
      <c r="C55" s="1">
        <v>1</v>
      </c>
      <c r="D55" s="1">
        <v>8</v>
      </c>
      <c r="E55" s="1" t="b">
        <v>0</v>
      </c>
      <c r="F55" s="1">
        <v>1</v>
      </c>
      <c r="G55" s="1">
        <v>2</v>
      </c>
      <c r="H55" s="1">
        <v>0.16</v>
      </c>
      <c r="I55" s="1">
        <v>0.13639999999999999</v>
      </c>
      <c r="J55" s="1">
        <v>0.59</v>
      </c>
      <c r="K55" s="1">
        <v>0.28360000000000002</v>
      </c>
      <c r="L55" s="1">
        <v>3</v>
      </c>
      <c r="M55" s="1">
        <v>182</v>
      </c>
      <c r="N55" s="1">
        <v>185</v>
      </c>
    </row>
    <row r="56" spans="1:14" x14ac:dyDescent="0.3">
      <c r="A56" s="1">
        <v>674</v>
      </c>
      <c r="B56" s="2">
        <v>40574</v>
      </c>
      <c r="C56" s="1">
        <v>1</v>
      </c>
      <c r="D56" s="1">
        <v>9</v>
      </c>
      <c r="E56" s="1" t="b">
        <v>0</v>
      </c>
      <c r="F56" s="1">
        <v>1</v>
      </c>
      <c r="G56" s="1">
        <v>2</v>
      </c>
      <c r="H56" s="1">
        <v>0.16</v>
      </c>
      <c r="I56" s="1">
        <v>0.13639999999999999</v>
      </c>
      <c r="J56" s="1">
        <v>0.59</v>
      </c>
      <c r="K56" s="1">
        <v>0.29849999999999999</v>
      </c>
      <c r="L56" s="1">
        <v>0</v>
      </c>
      <c r="M56" s="1">
        <v>112</v>
      </c>
      <c r="N56" s="1">
        <v>112</v>
      </c>
    </row>
    <row r="57" spans="1:14" x14ac:dyDescent="0.3">
      <c r="A57" s="1">
        <v>675</v>
      </c>
      <c r="B57" s="2">
        <v>40574</v>
      </c>
      <c r="C57" s="1">
        <v>1</v>
      </c>
      <c r="D57" s="1">
        <v>10</v>
      </c>
      <c r="E57" s="1" t="b">
        <v>0</v>
      </c>
      <c r="F57" s="1">
        <v>1</v>
      </c>
      <c r="G57" s="1">
        <v>2</v>
      </c>
      <c r="H57" s="1">
        <v>0.16</v>
      </c>
      <c r="I57" s="1">
        <v>0.1515</v>
      </c>
      <c r="J57" s="1">
        <v>0.59</v>
      </c>
      <c r="K57" s="1">
        <v>0.19400000000000001</v>
      </c>
      <c r="L57" s="1">
        <v>1</v>
      </c>
      <c r="M57" s="1">
        <v>68</v>
      </c>
      <c r="N57" s="1">
        <v>69</v>
      </c>
    </row>
    <row r="58" spans="1:14" x14ac:dyDescent="0.3">
      <c r="A58" s="1">
        <v>676</v>
      </c>
      <c r="B58" s="2">
        <v>40574</v>
      </c>
      <c r="C58" s="1">
        <v>1</v>
      </c>
      <c r="D58" s="1">
        <v>11</v>
      </c>
      <c r="E58" s="1" t="b">
        <v>0</v>
      </c>
      <c r="F58" s="1">
        <v>1</v>
      </c>
      <c r="G58" s="1">
        <v>2</v>
      </c>
      <c r="H58" s="1">
        <v>0.16</v>
      </c>
      <c r="I58" s="1">
        <v>0.1515</v>
      </c>
      <c r="J58" s="1">
        <v>0.59</v>
      </c>
      <c r="K58" s="1">
        <v>0.19400000000000001</v>
      </c>
      <c r="L58" s="1">
        <v>2</v>
      </c>
      <c r="M58" s="1">
        <v>46</v>
      </c>
      <c r="N58" s="1">
        <v>48</v>
      </c>
    </row>
    <row r="59" spans="1:14" x14ac:dyDescent="0.3">
      <c r="A59" s="1">
        <v>677</v>
      </c>
      <c r="B59" s="2">
        <v>40574</v>
      </c>
      <c r="C59" s="1">
        <v>1</v>
      </c>
      <c r="D59" s="1">
        <v>12</v>
      </c>
      <c r="E59" s="1" t="b">
        <v>0</v>
      </c>
      <c r="F59" s="1">
        <v>1</v>
      </c>
      <c r="G59" s="1">
        <v>2</v>
      </c>
      <c r="H59" s="1">
        <v>0.18</v>
      </c>
      <c r="I59" s="1">
        <v>0.21210000000000001</v>
      </c>
      <c r="J59" s="1">
        <v>0.55000000000000004</v>
      </c>
      <c r="K59" s="1">
        <v>0.1045</v>
      </c>
      <c r="L59" s="1">
        <v>6</v>
      </c>
      <c r="M59" s="1">
        <v>62</v>
      </c>
      <c r="N59" s="1">
        <v>68</v>
      </c>
    </row>
    <row r="60" spans="1:14" x14ac:dyDescent="0.3">
      <c r="A60" s="1">
        <v>678</v>
      </c>
      <c r="B60" s="2">
        <v>40574</v>
      </c>
      <c r="C60" s="1">
        <v>1</v>
      </c>
      <c r="D60" s="1">
        <v>13</v>
      </c>
      <c r="E60" s="1" t="b">
        <v>0</v>
      </c>
      <c r="F60" s="1">
        <v>1</v>
      </c>
      <c r="G60" s="1">
        <v>2</v>
      </c>
      <c r="H60" s="1">
        <v>0.16</v>
      </c>
      <c r="I60" s="1">
        <v>0.2273</v>
      </c>
      <c r="J60" s="1">
        <v>0.59</v>
      </c>
      <c r="K60" s="1">
        <v>0</v>
      </c>
      <c r="L60" s="1">
        <v>2</v>
      </c>
      <c r="M60" s="1">
        <v>52</v>
      </c>
      <c r="N60" s="1">
        <v>54</v>
      </c>
    </row>
    <row r="61" spans="1:14" x14ac:dyDescent="0.3">
      <c r="A61" s="1">
        <v>679</v>
      </c>
      <c r="B61" s="2">
        <v>40574</v>
      </c>
      <c r="C61" s="1">
        <v>1</v>
      </c>
      <c r="D61" s="1">
        <v>14</v>
      </c>
      <c r="E61" s="1" t="b">
        <v>0</v>
      </c>
      <c r="F61" s="1">
        <v>1</v>
      </c>
      <c r="G61" s="1">
        <v>2</v>
      </c>
      <c r="H61" s="1">
        <v>0.18</v>
      </c>
      <c r="I61" s="1">
        <v>0.19700000000000001</v>
      </c>
      <c r="J61" s="1">
        <v>0.55000000000000004</v>
      </c>
      <c r="K61" s="1">
        <v>0.1343</v>
      </c>
      <c r="L61" s="1">
        <v>1</v>
      </c>
      <c r="M61" s="1">
        <v>85</v>
      </c>
      <c r="N61" s="1">
        <v>86</v>
      </c>
    </row>
    <row r="62" spans="1:14" x14ac:dyDescent="0.3">
      <c r="A62" s="1">
        <v>680</v>
      </c>
      <c r="B62" s="2">
        <v>40574</v>
      </c>
      <c r="C62" s="1">
        <v>1</v>
      </c>
      <c r="D62" s="1">
        <v>15</v>
      </c>
      <c r="E62" s="1" t="b">
        <v>0</v>
      </c>
      <c r="F62" s="1">
        <v>1</v>
      </c>
      <c r="G62" s="1">
        <v>2</v>
      </c>
      <c r="H62" s="1">
        <v>0.16</v>
      </c>
      <c r="I62" s="1">
        <v>0.18179999999999999</v>
      </c>
      <c r="J62" s="1">
        <v>0.59</v>
      </c>
      <c r="K62" s="1">
        <v>0.1343</v>
      </c>
      <c r="L62" s="1">
        <v>3</v>
      </c>
      <c r="M62" s="1">
        <v>41</v>
      </c>
      <c r="N62" s="1">
        <v>44</v>
      </c>
    </row>
    <row r="63" spans="1:14" x14ac:dyDescent="0.3">
      <c r="A63" s="1">
        <v>681</v>
      </c>
      <c r="B63" s="2">
        <v>40574</v>
      </c>
      <c r="C63" s="1">
        <v>1</v>
      </c>
      <c r="D63" s="1">
        <v>16</v>
      </c>
      <c r="E63" s="1" t="b">
        <v>0</v>
      </c>
      <c r="F63" s="1">
        <v>1</v>
      </c>
      <c r="G63" s="1">
        <v>2</v>
      </c>
      <c r="H63" s="1">
        <v>0.16</v>
      </c>
      <c r="I63" s="1">
        <v>0.18179999999999999</v>
      </c>
      <c r="J63" s="1">
        <v>0.56000000000000005</v>
      </c>
      <c r="K63" s="1">
        <v>0.19400000000000001</v>
      </c>
      <c r="L63" s="1">
        <v>3</v>
      </c>
      <c r="M63" s="1">
        <v>83</v>
      </c>
      <c r="N63" s="1">
        <v>86</v>
      </c>
    </row>
    <row r="64" spans="1:14" x14ac:dyDescent="0.3">
      <c r="A64" s="1">
        <v>682</v>
      </c>
      <c r="B64" s="2">
        <v>40574</v>
      </c>
      <c r="C64" s="1">
        <v>1</v>
      </c>
      <c r="D64" s="1">
        <v>17</v>
      </c>
      <c r="E64" s="1" t="b">
        <v>0</v>
      </c>
      <c r="F64" s="1">
        <v>1</v>
      </c>
      <c r="G64" s="1">
        <v>2</v>
      </c>
      <c r="H64" s="1">
        <v>0.16</v>
      </c>
      <c r="I64" s="1">
        <v>0.1515</v>
      </c>
      <c r="J64" s="1">
        <v>0.59</v>
      </c>
      <c r="K64" s="1">
        <v>0.19400000000000001</v>
      </c>
      <c r="L64" s="1">
        <v>6</v>
      </c>
      <c r="M64" s="1">
        <v>155</v>
      </c>
      <c r="N64" s="1">
        <v>161</v>
      </c>
    </row>
    <row r="65" spans="1:14" x14ac:dyDescent="0.3">
      <c r="A65" s="1">
        <v>683</v>
      </c>
      <c r="B65" s="2">
        <v>40574</v>
      </c>
      <c r="C65" s="1">
        <v>1</v>
      </c>
      <c r="D65" s="1">
        <v>18</v>
      </c>
      <c r="E65" s="1" t="b">
        <v>0</v>
      </c>
      <c r="F65" s="1">
        <v>1</v>
      </c>
      <c r="G65" s="1">
        <v>2</v>
      </c>
      <c r="H65" s="1">
        <v>0.16</v>
      </c>
      <c r="I65" s="1">
        <v>0.1515</v>
      </c>
      <c r="J65" s="1">
        <v>0.55000000000000004</v>
      </c>
      <c r="K65" s="1">
        <v>0.22389999999999999</v>
      </c>
      <c r="L65" s="1">
        <v>3</v>
      </c>
      <c r="M65" s="1">
        <v>153</v>
      </c>
      <c r="N65" s="1">
        <v>156</v>
      </c>
    </row>
    <row r="66" spans="1:14" x14ac:dyDescent="0.3">
      <c r="A66" s="1">
        <v>684</v>
      </c>
      <c r="B66" s="2">
        <v>40574</v>
      </c>
      <c r="C66" s="1">
        <v>1</v>
      </c>
      <c r="D66" s="1">
        <v>19</v>
      </c>
      <c r="E66" s="1" t="b">
        <v>0</v>
      </c>
      <c r="F66" s="1">
        <v>1</v>
      </c>
      <c r="G66" s="1">
        <v>1</v>
      </c>
      <c r="H66" s="1">
        <v>0.3</v>
      </c>
      <c r="I66" s="1">
        <v>0.31819999999999998</v>
      </c>
      <c r="J66" s="1">
        <v>0.61</v>
      </c>
      <c r="K66" s="1">
        <v>0.1045</v>
      </c>
      <c r="L66" s="1">
        <v>3</v>
      </c>
      <c r="M66" s="1">
        <v>108</v>
      </c>
      <c r="N66" s="1">
        <v>111</v>
      </c>
    </row>
    <row r="67" spans="1:14" x14ac:dyDescent="0.3">
      <c r="A67" s="1">
        <v>685</v>
      </c>
      <c r="B67" s="2">
        <v>40574</v>
      </c>
      <c r="C67" s="1">
        <v>1</v>
      </c>
      <c r="D67" s="1">
        <v>20</v>
      </c>
      <c r="E67" s="1" t="b">
        <v>0</v>
      </c>
      <c r="F67" s="1">
        <v>1</v>
      </c>
      <c r="G67" s="1">
        <v>3</v>
      </c>
      <c r="H67" s="1">
        <v>0.16</v>
      </c>
      <c r="I67" s="1">
        <v>0.16669999999999999</v>
      </c>
      <c r="J67" s="1">
        <v>0.59</v>
      </c>
      <c r="K67" s="1">
        <v>0.16420000000000001</v>
      </c>
      <c r="L67" s="1">
        <v>0</v>
      </c>
      <c r="M67" s="1">
        <v>78</v>
      </c>
      <c r="N67" s="1">
        <v>78</v>
      </c>
    </row>
    <row r="68" spans="1:14" x14ac:dyDescent="0.3">
      <c r="A68" s="1">
        <v>686</v>
      </c>
      <c r="B68" s="2">
        <v>40574</v>
      </c>
      <c r="C68" s="1">
        <v>1</v>
      </c>
      <c r="D68" s="1">
        <v>21</v>
      </c>
      <c r="E68" s="1" t="b">
        <v>0</v>
      </c>
      <c r="F68" s="1">
        <v>1</v>
      </c>
      <c r="G68" s="1">
        <v>3</v>
      </c>
      <c r="H68" s="1">
        <v>0.16</v>
      </c>
      <c r="I68" s="1">
        <v>0.19700000000000001</v>
      </c>
      <c r="J68" s="1">
        <v>0.59</v>
      </c>
      <c r="K68" s="1">
        <v>8.9599999999999999E-2</v>
      </c>
      <c r="L68" s="1">
        <v>3</v>
      </c>
      <c r="M68" s="1">
        <v>53</v>
      </c>
      <c r="N68" s="1">
        <v>56</v>
      </c>
    </row>
    <row r="69" spans="1:14" x14ac:dyDescent="0.3">
      <c r="A69" s="1">
        <v>687</v>
      </c>
      <c r="B69" s="2">
        <v>40574</v>
      </c>
      <c r="C69" s="1">
        <v>1</v>
      </c>
      <c r="D69" s="1">
        <v>22</v>
      </c>
      <c r="E69" s="1" t="b">
        <v>0</v>
      </c>
      <c r="F69" s="1">
        <v>1</v>
      </c>
      <c r="G69" s="1">
        <v>2</v>
      </c>
      <c r="H69" s="1">
        <v>0.16</v>
      </c>
      <c r="I69" s="1">
        <v>0.18179999999999999</v>
      </c>
      <c r="J69" s="1">
        <v>0.59</v>
      </c>
      <c r="K69" s="1">
        <v>0.1045</v>
      </c>
      <c r="L69" s="1">
        <v>0</v>
      </c>
      <c r="M69" s="1">
        <v>34</v>
      </c>
      <c r="N69" s="1">
        <v>34</v>
      </c>
    </row>
    <row r="70" spans="1:14" x14ac:dyDescent="0.3">
      <c r="A70" s="1">
        <v>688</v>
      </c>
      <c r="B70" s="2">
        <v>40574</v>
      </c>
      <c r="C70" s="1">
        <v>1</v>
      </c>
      <c r="D70" s="1">
        <v>23</v>
      </c>
      <c r="E70" s="1" t="b">
        <v>0</v>
      </c>
      <c r="F70" s="1">
        <v>1</v>
      </c>
      <c r="G70" s="1">
        <v>2</v>
      </c>
      <c r="H70" s="1">
        <v>0.16</v>
      </c>
      <c r="I70" s="1">
        <v>0.19700000000000001</v>
      </c>
      <c r="J70" s="1">
        <v>0.64</v>
      </c>
      <c r="K70" s="1">
        <v>8.9599999999999999E-2</v>
      </c>
      <c r="L70" s="1">
        <v>2</v>
      </c>
      <c r="M70" s="1">
        <v>15</v>
      </c>
      <c r="N70" s="1">
        <v>17</v>
      </c>
    </row>
    <row r="71" spans="1:14" x14ac:dyDescent="0.3">
      <c r="A71" s="1">
        <v>689</v>
      </c>
      <c r="B71" s="2">
        <v>40575</v>
      </c>
      <c r="C71" s="1">
        <v>1</v>
      </c>
      <c r="D71" s="1">
        <v>0</v>
      </c>
      <c r="E71" s="1" t="b">
        <v>0</v>
      </c>
      <c r="F71" s="1">
        <v>2</v>
      </c>
      <c r="G71" s="1">
        <v>2</v>
      </c>
      <c r="H71" s="1">
        <v>0.16</v>
      </c>
      <c r="I71" s="1">
        <v>0.18179999999999999</v>
      </c>
      <c r="J71" s="1">
        <v>0.64</v>
      </c>
      <c r="K71" s="1">
        <v>0.1045</v>
      </c>
      <c r="L71" s="1">
        <v>2</v>
      </c>
      <c r="M71" s="1">
        <v>6</v>
      </c>
      <c r="N71" s="1">
        <v>8</v>
      </c>
    </row>
    <row r="72" spans="1:14" x14ac:dyDescent="0.3">
      <c r="A72" s="1">
        <v>690</v>
      </c>
      <c r="B72" s="2">
        <v>40575</v>
      </c>
      <c r="C72" s="1">
        <v>1</v>
      </c>
      <c r="D72" s="1">
        <v>1</v>
      </c>
      <c r="E72" s="1" t="b">
        <v>0</v>
      </c>
      <c r="F72" s="1">
        <v>2</v>
      </c>
      <c r="G72" s="1">
        <v>2</v>
      </c>
      <c r="H72" s="1">
        <v>0.16</v>
      </c>
      <c r="I72" s="1">
        <v>0.18179999999999999</v>
      </c>
      <c r="J72" s="1">
        <v>0.69</v>
      </c>
      <c r="K72" s="1">
        <v>0.1045</v>
      </c>
      <c r="L72" s="1">
        <v>0</v>
      </c>
      <c r="M72" s="1">
        <v>3</v>
      </c>
      <c r="N72" s="1">
        <v>3</v>
      </c>
    </row>
    <row r="73" spans="1:14" x14ac:dyDescent="0.3">
      <c r="A73" s="1">
        <v>691</v>
      </c>
      <c r="B73" s="2">
        <v>40575</v>
      </c>
      <c r="C73" s="1">
        <v>1</v>
      </c>
      <c r="D73" s="1">
        <v>2</v>
      </c>
      <c r="E73" s="1" t="b">
        <v>0</v>
      </c>
      <c r="F73" s="1">
        <v>2</v>
      </c>
      <c r="G73" s="1">
        <v>2</v>
      </c>
      <c r="H73" s="1">
        <v>0.16</v>
      </c>
      <c r="I73" s="1">
        <v>0.2273</v>
      </c>
      <c r="J73" s="1">
        <v>0.69</v>
      </c>
      <c r="K73" s="1">
        <v>0</v>
      </c>
      <c r="L73" s="1">
        <v>0</v>
      </c>
      <c r="M73" s="1">
        <v>2</v>
      </c>
      <c r="N73" s="1">
        <v>2</v>
      </c>
    </row>
    <row r="74" spans="1:14" x14ac:dyDescent="0.3">
      <c r="A74" s="1">
        <v>692</v>
      </c>
      <c r="B74" s="2">
        <v>40575</v>
      </c>
      <c r="C74" s="1">
        <v>1</v>
      </c>
      <c r="D74" s="1">
        <v>3</v>
      </c>
      <c r="E74" s="1" t="b">
        <v>0</v>
      </c>
      <c r="F74" s="1">
        <v>2</v>
      </c>
      <c r="G74" s="1">
        <v>2</v>
      </c>
      <c r="H74" s="1">
        <v>0.16</v>
      </c>
      <c r="I74" s="1">
        <v>0.2273</v>
      </c>
      <c r="J74" s="1">
        <v>0.69</v>
      </c>
      <c r="K74" s="1">
        <v>0</v>
      </c>
      <c r="L74" s="1">
        <v>0</v>
      </c>
      <c r="M74" s="1">
        <v>2</v>
      </c>
      <c r="N74" s="1">
        <v>2</v>
      </c>
    </row>
    <row r="75" spans="1:14" x14ac:dyDescent="0.3">
      <c r="A75" s="1">
        <v>693</v>
      </c>
      <c r="B75" s="2">
        <v>40575</v>
      </c>
      <c r="C75" s="1">
        <v>1</v>
      </c>
      <c r="D75" s="1">
        <v>5</v>
      </c>
      <c r="E75" s="1" t="b">
        <v>0</v>
      </c>
      <c r="F75" s="1">
        <v>2</v>
      </c>
      <c r="G75" s="1">
        <v>3</v>
      </c>
      <c r="H75" s="1">
        <v>0.14000000000000001</v>
      </c>
      <c r="I75" s="1">
        <v>0.21210000000000001</v>
      </c>
      <c r="J75" s="1">
        <v>0.93</v>
      </c>
      <c r="K75" s="1">
        <v>0</v>
      </c>
      <c r="L75" s="1">
        <v>0</v>
      </c>
      <c r="M75" s="1">
        <v>3</v>
      </c>
      <c r="N75" s="1">
        <v>3</v>
      </c>
    </row>
    <row r="76" spans="1:14" x14ac:dyDescent="0.3">
      <c r="A76" s="1">
        <v>694</v>
      </c>
      <c r="B76" s="2">
        <v>40575</v>
      </c>
      <c r="C76" s="1">
        <v>1</v>
      </c>
      <c r="D76" s="1">
        <v>6</v>
      </c>
      <c r="E76" s="1" t="b">
        <v>0</v>
      </c>
      <c r="F76" s="1">
        <v>2</v>
      </c>
      <c r="G76" s="1">
        <v>3</v>
      </c>
      <c r="H76" s="1">
        <v>0.14000000000000001</v>
      </c>
      <c r="I76" s="1">
        <v>0.21210000000000001</v>
      </c>
      <c r="J76" s="1">
        <v>0.93</v>
      </c>
      <c r="K76" s="1">
        <v>0</v>
      </c>
      <c r="L76" s="1">
        <v>0</v>
      </c>
      <c r="M76" s="1">
        <v>22</v>
      </c>
      <c r="N76" s="1">
        <v>22</v>
      </c>
    </row>
    <row r="77" spans="1:14" x14ac:dyDescent="0.3">
      <c r="A77" s="1">
        <v>695</v>
      </c>
      <c r="B77" s="2">
        <v>40575</v>
      </c>
      <c r="C77" s="1">
        <v>1</v>
      </c>
      <c r="D77" s="1">
        <v>7</v>
      </c>
      <c r="E77" s="1" t="b">
        <v>0</v>
      </c>
      <c r="F77" s="1">
        <v>2</v>
      </c>
      <c r="G77" s="1">
        <v>3</v>
      </c>
      <c r="H77" s="1">
        <v>0.16</v>
      </c>
      <c r="I77" s="1">
        <v>0.2273</v>
      </c>
      <c r="J77" s="1">
        <v>0.93</v>
      </c>
      <c r="K77" s="1">
        <v>0</v>
      </c>
      <c r="L77" s="1">
        <v>0</v>
      </c>
      <c r="M77" s="1">
        <v>52</v>
      </c>
      <c r="N77" s="1">
        <v>52</v>
      </c>
    </row>
    <row r="78" spans="1:14" x14ac:dyDescent="0.3">
      <c r="A78" s="1">
        <v>696</v>
      </c>
      <c r="B78" s="2">
        <v>40575</v>
      </c>
      <c r="C78" s="1">
        <v>1</v>
      </c>
      <c r="D78" s="1">
        <v>8</v>
      </c>
      <c r="E78" s="1" t="b">
        <v>0</v>
      </c>
      <c r="F78" s="1">
        <v>2</v>
      </c>
      <c r="G78" s="1">
        <v>3</v>
      </c>
      <c r="H78" s="1">
        <v>0.16</v>
      </c>
      <c r="I78" s="1">
        <v>0.2273</v>
      </c>
      <c r="J78" s="1">
        <v>0.93</v>
      </c>
      <c r="K78" s="1">
        <v>0</v>
      </c>
      <c r="L78" s="1">
        <v>3</v>
      </c>
      <c r="M78" s="1">
        <v>132</v>
      </c>
      <c r="N78" s="1">
        <v>135</v>
      </c>
    </row>
    <row r="79" spans="1:14" x14ac:dyDescent="0.3">
      <c r="A79" s="1">
        <v>697</v>
      </c>
      <c r="B79" s="2">
        <v>40575</v>
      </c>
      <c r="C79" s="1">
        <v>1</v>
      </c>
      <c r="D79" s="1">
        <v>9</v>
      </c>
      <c r="E79" s="1" t="b">
        <v>0</v>
      </c>
      <c r="F79" s="1">
        <v>2</v>
      </c>
      <c r="G79" s="1">
        <v>2</v>
      </c>
      <c r="H79" s="1">
        <v>0.16</v>
      </c>
      <c r="I79" s="1">
        <v>0.2273</v>
      </c>
      <c r="J79" s="1">
        <v>0.93</v>
      </c>
      <c r="K79" s="1">
        <v>0</v>
      </c>
      <c r="L79" s="1">
        <v>2</v>
      </c>
      <c r="M79" s="1">
        <v>114</v>
      </c>
      <c r="N79" s="1">
        <v>116</v>
      </c>
    </row>
    <row r="80" spans="1:14" x14ac:dyDescent="0.3">
      <c r="A80" s="1">
        <v>698</v>
      </c>
      <c r="B80" s="2">
        <v>40575</v>
      </c>
      <c r="C80" s="1">
        <v>1</v>
      </c>
      <c r="D80" s="1">
        <v>10</v>
      </c>
      <c r="E80" s="1" t="b">
        <v>0</v>
      </c>
      <c r="F80" s="1">
        <v>2</v>
      </c>
      <c r="G80" s="1">
        <v>2</v>
      </c>
      <c r="H80" s="1">
        <v>0.16</v>
      </c>
      <c r="I80" s="1">
        <v>0.2273</v>
      </c>
      <c r="J80" s="1">
        <v>0.93</v>
      </c>
      <c r="K80" s="1">
        <v>0</v>
      </c>
      <c r="L80" s="1">
        <v>0</v>
      </c>
      <c r="M80" s="1">
        <v>47</v>
      </c>
      <c r="N80" s="1">
        <v>47</v>
      </c>
    </row>
    <row r="81" spans="1:14" x14ac:dyDescent="0.3">
      <c r="A81" s="1">
        <v>699</v>
      </c>
      <c r="B81" s="2">
        <v>40575</v>
      </c>
      <c r="C81" s="1">
        <v>1</v>
      </c>
      <c r="D81" s="1">
        <v>11</v>
      </c>
      <c r="E81" s="1" t="b">
        <v>0</v>
      </c>
      <c r="F81" s="1">
        <v>2</v>
      </c>
      <c r="G81" s="1">
        <v>2</v>
      </c>
      <c r="H81" s="1">
        <v>0.18</v>
      </c>
      <c r="I81" s="1">
        <v>0.2424</v>
      </c>
      <c r="J81" s="1">
        <v>0.86</v>
      </c>
      <c r="K81" s="1">
        <v>0</v>
      </c>
      <c r="L81" s="1">
        <v>2</v>
      </c>
      <c r="M81" s="1">
        <v>49</v>
      </c>
      <c r="N81" s="1">
        <v>51</v>
      </c>
    </row>
    <row r="82" spans="1:14" x14ac:dyDescent="0.3">
      <c r="A82" s="1">
        <v>700</v>
      </c>
      <c r="B82" s="2">
        <v>40575</v>
      </c>
      <c r="C82" s="1">
        <v>1</v>
      </c>
      <c r="D82" s="1">
        <v>12</v>
      </c>
      <c r="E82" s="1" t="b">
        <v>0</v>
      </c>
      <c r="F82" s="1">
        <v>2</v>
      </c>
      <c r="G82" s="1">
        <v>2</v>
      </c>
      <c r="H82" s="1">
        <v>0.2</v>
      </c>
      <c r="I82" s="1">
        <v>0.2576</v>
      </c>
      <c r="J82" s="1">
        <v>0.86</v>
      </c>
      <c r="K82" s="1">
        <v>0</v>
      </c>
      <c r="L82" s="1">
        <v>2</v>
      </c>
      <c r="M82" s="1">
        <v>53</v>
      </c>
      <c r="N82" s="1">
        <v>55</v>
      </c>
    </row>
    <row r="83" spans="1:14" x14ac:dyDescent="0.3">
      <c r="A83" s="1">
        <v>701</v>
      </c>
      <c r="B83" s="2">
        <v>40575</v>
      </c>
      <c r="C83" s="1">
        <v>1</v>
      </c>
      <c r="D83" s="1">
        <v>13</v>
      </c>
      <c r="E83" s="1" t="b">
        <v>0</v>
      </c>
      <c r="F83" s="1">
        <v>2</v>
      </c>
      <c r="G83" s="1">
        <v>2</v>
      </c>
      <c r="H83" s="1">
        <v>0.2</v>
      </c>
      <c r="I83" s="1">
        <v>0.2576</v>
      </c>
      <c r="J83" s="1">
        <v>0.86</v>
      </c>
      <c r="K83" s="1">
        <v>0</v>
      </c>
      <c r="L83" s="1">
        <v>3</v>
      </c>
      <c r="M83" s="1">
        <v>49</v>
      </c>
      <c r="N83" s="1">
        <v>52</v>
      </c>
    </row>
    <row r="84" spans="1:14" x14ac:dyDescent="0.3">
      <c r="A84" s="1">
        <v>702</v>
      </c>
      <c r="B84" s="2">
        <v>40575</v>
      </c>
      <c r="C84" s="1">
        <v>1</v>
      </c>
      <c r="D84" s="1">
        <v>14</v>
      </c>
      <c r="E84" s="1" t="b">
        <v>0</v>
      </c>
      <c r="F84" s="1">
        <v>2</v>
      </c>
      <c r="G84" s="1">
        <v>2</v>
      </c>
      <c r="H84" s="1">
        <v>0.22</v>
      </c>
      <c r="I84" s="1">
        <v>0.2576</v>
      </c>
      <c r="J84" s="1">
        <v>0.8</v>
      </c>
      <c r="K84" s="1">
        <v>8.9599999999999999E-2</v>
      </c>
      <c r="L84" s="1">
        <v>5</v>
      </c>
      <c r="M84" s="1">
        <v>49</v>
      </c>
      <c r="N84" s="1">
        <v>54</v>
      </c>
    </row>
    <row r="85" spans="1:14" x14ac:dyDescent="0.3">
      <c r="A85" s="1">
        <v>703</v>
      </c>
      <c r="B85" s="2">
        <v>40575</v>
      </c>
      <c r="C85" s="1">
        <v>1</v>
      </c>
      <c r="D85" s="1">
        <v>15</v>
      </c>
      <c r="E85" s="1" t="b">
        <v>0</v>
      </c>
      <c r="F85" s="1">
        <v>2</v>
      </c>
      <c r="G85" s="1">
        <v>2</v>
      </c>
      <c r="H85" s="1">
        <v>0.24</v>
      </c>
      <c r="I85" s="1">
        <v>0.28789999999999999</v>
      </c>
      <c r="J85" s="1">
        <v>0.75</v>
      </c>
      <c r="K85" s="1">
        <v>0</v>
      </c>
      <c r="L85" s="1">
        <v>7</v>
      </c>
      <c r="M85" s="1">
        <v>45</v>
      </c>
      <c r="N85" s="1">
        <v>52</v>
      </c>
    </row>
    <row r="86" spans="1:14" x14ac:dyDescent="0.3">
      <c r="A86" s="1">
        <v>704</v>
      </c>
      <c r="B86" s="2">
        <v>40575</v>
      </c>
      <c r="C86" s="1">
        <v>1</v>
      </c>
      <c r="D86" s="1">
        <v>16</v>
      </c>
      <c r="E86" s="1" t="b">
        <v>0</v>
      </c>
      <c r="F86" s="1">
        <v>2</v>
      </c>
      <c r="G86" s="1">
        <v>2</v>
      </c>
      <c r="H86" s="1">
        <v>0.24</v>
      </c>
      <c r="I86" s="1">
        <v>0.2424</v>
      </c>
      <c r="J86" s="1">
        <v>0.75</v>
      </c>
      <c r="K86" s="1">
        <v>0.1343</v>
      </c>
      <c r="L86" s="1">
        <v>3</v>
      </c>
      <c r="M86" s="1">
        <v>61</v>
      </c>
      <c r="N86" s="1">
        <v>64</v>
      </c>
    </row>
    <row r="87" spans="1:14" x14ac:dyDescent="0.3">
      <c r="A87" s="1">
        <v>705</v>
      </c>
      <c r="B87" s="2">
        <v>40575</v>
      </c>
      <c r="C87" s="1">
        <v>1</v>
      </c>
      <c r="D87" s="1">
        <v>17</v>
      </c>
      <c r="E87" s="1" t="b">
        <v>0</v>
      </c>
      <c r="F87" s="1">
        <v>2</v>
      </c>
      <c r="G87" s="1">
        <v>2</v>
      </c>
      <c r="H87" s="1">
        <v>0.24</v>
      </c>
      <c r="I87" s="1">
        <v>0.28789999999999999</v>
      </c>
      <c r="J87" s="1">
        <v>0.75</v>
      </c>
      <c r="K87" s="1">
        <v>0</v>
      </c>
      <c r="L87" s="1">
        <v>4</v>
      </c>
      <c r="M87" s="1">
        <v>172</v>
      </c>
      <c r="N87" s="1">
        <v>176</v>
      </c>
    </row>
    <row r="88" spans="1:14" x14ac:dyDescent="0.3">
      <c r="A88" s="1">
        <v>706</v>
      </c>
      <c r="B88" s="2">
        <v>40575</v>
      </c>
      <c r="C88" s="1">
        <v>1</v>
      </c>
      <c r="D88" s="1">
        <v>18</v>
      </c>
      <c r="E88" s="1" t="b">
        <v>0</v>
      </c>
      <c r="F88" s="1">
        <v>2</v>
      </c>
      <c r="G88" s="1">
        <v>2</v>
      </c>
      <c r="H88" s="1">
        <v>0.24</v>
      </c>
      <c r="I88" s="1">
        <v>0.2576</v>
      </c>
      <c r="J88" s="1">
        <v>0.81</v>
      </c>
      <c r="K88" s="1">
        <v>0.1045</v>
      </c>
      <c r="L88" s="1">
        <v>3</v>
      </c>
      <c r="M88" s="1">
        <v>165</v>
      </c>
      <c r="N88" s="1">
        <v>168</v>
      </c>
    </row>
    <row r="89" spans="1:14" x14ac:dyDescent="0.3">
      <c r="A89" s="1">
        <v>707</v>
      </c>
      <c r="B89" s="2">
        <v>40575</v>
      </c>
      <c r="C89" s="1">
        <v>1</v>
      </c>
      <c r="D89" s="1">
        <v>19</v>
      </c>
      <c r="E89" s="1" t="b">
        <v>0</v>
      </c>
      <c r="F89" s="1">
        <v>2</v>
      </c>
      <c r="G89" s="1">
        <v>2</v>
      </c>
      <c r="H89" s="1">
        <v>0.24</v>
      </c>
      <c r="I89" s="1">
        <v>0.2424</v>
      </c>
      <c r="J89" s="1">
        <v>0.81</v>
      </c>
      <c r="K89" s="1">
        <v>0.1343</v>
      </c>
      <c r="L89" s="1">
        <v>3</v>
      </c>
      <c r="M89" s="1">
        <v>105</v>
      </c>
      <c r="N89" s="1">
        <v>108</v>
      </c>
    </row>
    <row r="90" spans="1:14" x14ac:dyDescent="0.3">
      <c r="A90" s="1">
        <v>708</v>
      </c>
      <c r="B90" s="2">
        <v>40575</v>
      </c>
      <c r="C90" s="1">
        <v>1</v>
      </c>
      <c r="D90" s="1">
        <v>20</v>
      </c>
      <c r="E90" s="1" t="b">
        <v>0</v>
      </c>
      <c r="F90" s="1">
        <v>2</v>
      </c>
      <c r="G90" s="1">
        <v>2</v>
      </c>
      <c r="H90" s="1">
        <v>0.22</v>
      </c>
      <c r="I90" s="1">
        <v>0.2273</v>
      </c>
      <c r="J90" s="1">
        <v>0.87</v>
      </c>
      <c r="K90" s="1">
        <v>0.1343</v>
      </c>
      <c r="L90" s="1">
        <v>5</v>
      </c>
      <c r="M90" s="1">
        <v>69</v>
      </c>
      <c r="N90" s="1">
        <v>74</v>
      </c>
    </row>
    <row r="91" spans="1:14" x14ac:dyDescent="0.3">
      <c r="A91" s="1">
        <v>709</v>
      </c>
      <c r="B91" s="2">
        <v>40575</v>
      </c>
      <c r="C91" s="1">
        <v>1</v>
      </c>
      <c r="D91" s="1">
        <v>21</v>
      </c>
      <c r="E91" s="1" t="b">
        <v>0</v>
      </c>
      <c r="F91" s="1">
        <v>2</v>
      </c>
      <c r="G91" s="1">
        <v>2</v>
      </c>
      <c r="H91" s="1">
        <v>0.22</v>
      </c>
      <c r="I91" s="1">
        <v>0.2273</v>
      </c>
      <c r="J91" s="1">
        <v>0.87</v>
      </c>
      <c r="K91" s="1">
        <v>0.1343</v>
      </c>
      <c r="L91" s="1">
        <v>0</v>
      </c>
      <c r="M91" s="1">
        <v>64</v>
      </c>
      <c r="N91" s="1">
        <v>64</v>
      </c>
    </row>
    <row r="92" spans="1:14" x14ac:dyDescent="0.3">
      <c r="A92" s="1">
        <v>710</v>
      </c>
      <c r="B92" s="2">
        <v>40575</v>
      </c>
      <c r="C92" s="1">
        <v>1</v>
      </c>
      <c r="D92" s="1">
        <v>22</v>
      </c>
      <c r="E92" s="1" t="b">
        <v>0</v>
      </c>
      <c r="F92" s="1">
        <v>2</v>
      </c>
      <c r="G92" s="1">
        <v>2</v>
      </c>
      <c r="H92" s="1">
        <v>0.22</v>
      </c>
      <c r="I92" s="1">
        <v>0.2576</v>
      </c>
      <c r="J92" s="1">
        <v>0.87</v>
      </c>
      <c r="K92" s="1">
        <v>8.9599999999999999E-2</v>
      </c>
      <c r="L92" s="1">
        <v>2</v>
      </c>
      <c r="M92" s="1">
        <v>34</v>
      </c>
      <c r="N92" s="1">
        <v>36</v>
      </c>
    </row>
    <row r="93" spans="1:14" x14ac:dyDescent="0.3">
      <c r="A93" s="1">
        <v>711</v>
      </c>
      <c r="B93" s="2">
        <v>40575</v>
      </c>
      <c r="C93" s="1">
        <v>1</v>
      </c>
      <c r="D93" s="1">
        <v>23</v>
      </c>
      <c r="E93" s="1" t="b">
        <v>0</v>
      </c>
      <c r="F93" s="1">
        <v>2</v>
      </c>
      <c r="G93" s="1">
        <v>3</v>
      </c>
      <c r="H93" s="1">
        <v>0.2</v>
      </c>
      <c r="I93" s="1">
        <v>0.19700000000000001</v>
      </c>
      <c r="J93" s="1">
        <v>0.93</v>
      </c>
      <c r="K93" s="1">
        <v>0.19400000000000001</v>
      </c>
      <c r="L93" s="1">
        <v>1</v>
      </c>
      <c r="M93" s="1">
        <v>15</v>
      </c>
      <c r="N93" s="1">
        <v>16</v>
      </c>
    </row>
    <row r="94" spans="1:14" x14ac:dyDescent="0.3">
      <c r="A94" s="1">
        <v>712</v>
      </c>
      <c r="B94" s="2">
        <v>40576</v>
      </c>
      <c r="C94" s="1">
        <v>1</v>
      </c>
      <c r="D94" s="1">
        <v>0</v>
      </c>
      <c r="E94" s="1" t="b">
        <v>0</v>
      </c>
      <c r="F94" s="1">
        <v>3</v>
      </c>
      <c r="G94" s="1">
        <v>3</v>
      </c>
      <c r="H94" s="1">
        <v>0.22</v>
      </c>
      <c r="I94" s="1">
        <v>0.2424</v>
      </c>
      <c r="J94" s="1">
        <v>0.93</v>
      </c>
      <c r="K94" s="1">
        <v>0.1045</v>
      </c>
      <c r="L94" s="1">
        <v>0</v>
      </c>
      <c r="M94" s="1">
        <v>2</v>
      </c>
      <c r="N94" s="1">
        <v>2</v>
      </c>
    </row>
    <row r="95" spans="1:14" x14ac:dyDescent="0.3">
      <c r="A95" s="1">
        <v>713</v>
      </c>
      <c r="B95" s="2">
        <v>40576</v>
      </c>
      <c r="C95" s="1">
        <v>1</v>
      </c>
      <c r="D95" s="1">
        <v>1</v>
      </c>
      <c r="E95" s="1" t="b">
        <v>0</v>
      </c>
      <c r="F95" s="1">
        <v>3</v>
      </c>
      <c r="G95" s="1">
        <v>3</v>
      </c>
      <c r="H95" s="1">
        <v>0.22</v>
      </c>
      <c r="I95" s="1">
        <v>0.2273</v>
      </c>
      <c r="J95" s="1">
        <v>0.93</v>
      </c>
      <c r="K95" s="1">
        <v>0.19400000000000001</v>
      </c>
      <c r="L95" s="1">
        <v>0</v>
      </c>
      <c r="M95" s="1">
        <v>3</v>
      </c>
      <c r="N95" s="1">
        <v>3</v>
      </c>
    </row>
    <row r="96" spans="1:14" x14ac:dyDescent="0.3">
      <c r="A96" s="1">
        <v>714</v>
      </c>
      <c r="B96" s="2">
        <v>40576</v>
      </c>
      <c r="C96" s="1">
        <v>1</v>
      </c>
      <c r="D96" s="1">
        <v>2</v>
      </c>
      <c r="E96" s="1" t="b">
        <v>0</v>
      </c>
      <c r="F96" s="1">
        <v>3</v>
      </c>
      <c r="G96" s="1">
        <v>3</v>
      </c>
      <c r="H96" s="1">
        <v>0.22</v>
      </c>
      <c r="I96" s="1">
        <v>0.2273</v>
      </c>
      <c r="J96" s="1">
        <v>0.93</v>
      </c>
      <c r="K96" s="1">
        <v>0.1343</v>
      </c>
      <c r="L96" s="1">
        <v>4</v>
      </c>
      <c r="M96" s="1">
        <v>0</v>
      </c>
      <c r="N96" s="1">
        <v>4</v>
      </c>
    </row>
    <row r="97" spans="1:14" x14ac:dyDescent="0.3">
      <c r="A97" s="1">
        <v>715</v>
      </c>
      <c r="B97" s="2">
        <v>40576</v>
      </c>
      <c r="C97" s="1">
        <v>1</v>
      </c>
      <c r="D97" s="1">
        <v>3</v>
      </c>
      <c r="E97" s="1" t="b">
        <v>0</v>
      </c>
      <c r="F97" s="1">
        <v>3</v>
      </c>
      <c r="G97" s="1">
        <v>3</v>
      </c>
      <c r="H97" s="1">
        <v>0.22</v>
      </c>
      <c r="I97" s="1">
        <v>0.2273</v>
      </c>
      <c r="J97" s="1">
        <v>0.93</v>
      </c>
      <c r="K97" s="1">
        <v>0.1343</v>
      </c>
      <c r="L97" s="1">
        <v>0</v>
      </c>
      <c r="M97" s="1">
        <v>1</v>
      </c>
      <c r="N97" s="1">
        <v>1</v>
      </c>
    </row>
    <row r="98" spans="1:14" x14ac:dyDescent="0.3">
      <c r="A98" s="1">
        <v>716</v>
      </c>
      <c r="B98" s="2">
        <v>40576</v>
      </c>
      <c r="C98" s="1">
        <v>1</v>
      </c>
      <c r="D98" s="1">
        <v>4</v>
      </c>
      <c r="E98" s="1" t="b">
        <v>0</v>
      </c>
      <c r="F98" s="1">
        <v>3</v>
      </c>
      <c r="G98" s="1">
        <v>3</v>
      </c>
      <c r="H98" s="1">
        <v>0.22</v>
      </c>
      <c r="I98" s="1">
        <v>0.21210000000000001</v>
      </c>
      <c r="J98" s="1">
        <v>0.93</v>
      </c>
      <c r="K98" s="1">
        <v>0.28360000000000002</v>
      </c>
      <c r="L98" s="1">
        <v>0</v>
      </c>
      <c r="M98" s="1">
        <v>1</v>
      </c>
      <c r="N98" s="1">
        <v>1</v>
      </c>
    </row>
    <row r="99" spans="1:14" x14ac:dyDescent="0.3">
      <c r="A99" s="1">
        <v>717</v>
      </c>
      <c r="B99" s="2">
        <v>40576</v>
      </c>
      <c r="C99" s="1">
        <v>1</v>
      </c>
      <c r="D99" s="1">
        <v>5</v>
      </c>
      <c r="E99" s="1" t="b">
        <v>0</v>
      </c>
      <c r="F99" s="1">
        <v>3</v>
      </c>
      <c r="G99" s="1">
        <v>3</v>
      </c>
      <c r="H99" s="1">
        <v>0.22</v>
      </c>
      <c r="I99" s="1">
        <v>0.2424</v>
      </c>
      <c r="J99" s="1">
        <v>0.93</v>
      </c>
      <c r="K99" s="1">
        <v>0.1045</v>
      </c>
      <c r="L99" s="1">
        <v>0</v>
      </c>
      <c r="M99" s="1">
        <v>3</v>
      </c>
      <c r="N99" s="1">
        <v>3</v>
      </c>
    </row>
    <row r="100" spans="1:14" x14ac:dyDescent="0.3">
      <c r="A100" s="1">
        <v>718</v>
      </c>
      <c r="B100" s="2">
        <v>40576</v>
      </c>
      <c r="C100" s="1">
        <v>1</v>
      </c>
      <c r="D100" s="1">
        <v>6</v>
      </c>
      <c r="E100" s="1" t="b">
        <v>0</v>
      </c>
      <c r="F100" s="1">
        <v>3</v>
      </c>
      <c r="G100" s="1">
        <v>3</v>
      </c>
      <c r="H100" s="1">
        <v>0.22</v>
      </c>
      <c r="I100" s="1">
        <v>0.2424</v>
      </c>
      <c r="J100" s="1">
        <v>0.93</v>
      </c>
      <c r="K100" s="1">
        <v>0.1045</v>
      </c>
      <c r="L100" s="1">
        <v>1</v>
      </c>
      <c r="M100" s="1">
        <v>17</v>
      </c>
      <c r="N100" s="1">
        <v>18</v>
      </c>
    </row>
    <row r="101" spans="1:14" x14ac:dyDescent="0.3">
      <c r="A101" s="1">
        <v>719</v>
      </c>
      <c r="B101" s="2">
        <v>40576</v>
      </c>
      <c r="C101" s="1">
        <v>1</v>
      </c>
      <c r="D101" s="1">
        <v>7</v>
      </c>
      <c r="E101" s="1" t="b">
        <v>0</v>
      </c>
      <c r="F101" s="1">
        <v>3</v>
      </c>
      <c r="G101" s="1">
        <v>3</v>
      </c>
      <c r="H101" s="1">
        <v>0.22</v>
      </c>
      <c r="I101" s="1">
        <v>0.21210000000000001</v>
      </c>
      <c r="J101" s="1">
        <v>0.93</v>
      </c>
      <c r="K101" s="1">
        <v>0.22389999999999999</v>
      </c>
      <c r="L101" s="1">
        <v>1</v>
      </c>
      <c r="M101" s="1">
        <v>48</v>
      </c>
      <c r="N101" s="1">
        <v>49</v>
      </c>
    </row>
    <row r="102" spans="1:14" x14ac:dyDescent="0.3">
      <c r="A102" s="1">
        <v>720</v>
      </c>
      <c r="B102" s="2">
        <v>40576</v>
      </c>
      <c r="C102" s="1">
        <v>1</v>
      </c>
      <c r="D102" s="1">
        <v>8</v>
      </c>
      <c r="E102" s="1" t="b">
        <v>0</v>
      </c>
      <c r="F102" s="1">
        <v>3</v>
      </c>
      <c r="G102" s="1">
        <v>3</v>
      </c>
      <c r="H102" s="1">
        <v>0.22</v>
      </c>
      <c r="I102" s="1">
        <v>0.21210000000000001</v>
      </c>
      <c r="J102" s="1">
        <v>0.93</v>
      </c>
      <c r="K102" s="1">
        <v>0.22389999999999999</v>
      </c>
      <c r="L102" s="1">
        <v>1</v>
      </c>
      <c r="M102" s="1">
        <v>154</v>
      </c>
      <c r="N102" s="1">
        <v>155</v>
      </c>
    </row>
    <row r="103" spans="1:14" x14ac:dyDescent="0.3">
      <c r="A103" s="1">
        <v>721</v>
      </c>
      <c r="B103" s="2">
        <v>40576</v>
      </c>
      <c r="C103" s="1">
        <v>1</v>
      </c>
      <c r="D103" s="1">
        <v>9</v>
      </c>
      <c r="E103" s="1" t="b">
        <v>0</v>
      </c>
      <c r="F103" s="1">
        <v>3</v>
      </c>
      <c r="G103" s="1">
        <v>2</v>
      </c>
      <c r="H103" s="1">
        <v>0.24</v>
      </c>
      <c r="I103" s="1">
        <v>0.2576</v>
      </c>
      <c r="J103" s="1">
        <v>0.93</v>
      </c>
      <c r="K103" s="1">
        <v>8.9599999999999999E-2</v>
      </c>
      <c r="L103" s="1">
        <v>4</v>
      </c>
      <c r="M103" s="1">
        <v>119</v>
      </c>
      <c r="N103" s="1">
        <v>123</v>
      </c>
    </row>
    <row r="104" spans="1:14" x14ac:dyDescent="0.3">
      <c r="A104" s="1">
        <v>722</v>
      </c>
      <c r="B104" s="2">
        <v>40576</v>
      </c>
      <c r="C104" s="1">
        <v>1</v>
      </c>
      <c r="D104" s="1">
        <v>10</v>
      </c>
      <c r="E104" s="1" t="b">
        <v>0</v>
      </c>
      <c r="F104" s="1">
        <v>3</v>
      </c>
      <c r="G104" s="1">
        <v>2</v>
      </c>
      <c r="H104" s="1">
        <v>0.22</v>
      </c>
      <c r="I104" s="1">
        <v>0.2727</v>
      </c>
      <c r="J104" s="1">
        <v>1</v>
      </c>
      <c r="K104" s="1">
        <v>0</v>
      </c>
      <c r="L104" s="1">
        <v>2</v>
      </c>
      <c r="M104" s="1">
        <v>59</v>
      </c>
      <c r="N104" s="1">
        <v>61</v>
      </c>
    </row>
    <row r="105" spans="1:14" x14ac:dyDescent="0.3">
      <c r="A105" s="1">
        <v>723</v>
      </c>
      <c r="B105" s="2">
        <v>40576</v>
      </c>
      <c r="C105" s="1">
        <v>1</v>
      </c>
      <c r="D105" s="1">
        <v>11</v>
      </c>
      <c r="E105" s="1" t="b">
        <v>0</v>
      </c>
      <c r="F105" s="1">
        <v>3</v>
      </c>
      <c r="G105" s="1">
        <v>2</v>
      </c>
      <c r="H105" s="1">
        <v>0.24</v>
      </c>
      <c r="I105" s="1">
        <v>0.2273</v>
      </c>
      <c r="J105" s="1">
        <v>0.93</v>
      </c>
      <c r="K105" s="1">
        <v>0.19400000000000001</v>
      </c>
      <c r="L105" s="1">
        <v>5</v>
      </c>
      <c r="M105" s="1">
        <v>47</v>
      </c>
      <c r="N105" s="1">
        <v>52</v>
      </c>
    </row>
    <row r="106" spans="1:14" x14ac:dyDescent="0.3">
      <c r="A106" s="1">
        <v>724</v>
      </c>
      <c r="B106" s="2">
        <v>40576</v>
      </c>
      <c r="C106" s="1">
        <v>1</v>
      </c>
      <c r="D106" s="1">
        <v>12</v>
      </c>
      <c r="E106" s="1" t="b">
        <v>0</v>
      </c>
      <c r="F106" s="1">
        <v>3</v>
      </c>
      <c r="G106" s="1">
        <v>2</v>
      </c>
      <c r="H106" s="1">
        <v>0.24</v>
      </c>
      <c r="I106" s="1">
        <v>0.2273</v>
      </c>
      <c r="J106" s="1">
        <v>0.93</v>
      </c>
      <c r="K106" s="1">
        <v>0.22389999999999999</v>
      </c>
      <c r="L106" s="1">
        <v>3</v>
      </c>
      <c r="M106" s="1">
        <v>61</v>
      </c>
      <c r="N106" s="1">
        <v>64</v>
      </c>
    </row>
    <row r="107" spans="1:14" x14ac:dyDescent="0.3">
      <c r="A107" s="1">
        <v>725</v>
      </c>
      <c r="B107" s="2">
        <v>40576</v>
      </c>
      <c r="C107" s="1">
        <v>1</v>
      </c>
      <c r="D107" s="1">
        <v>13</v>
      </c>
      <c r="E107" s="1" t="b">
        <v>0</v>
      </c>
      <c r="F107" s="1">
        <v>3</v>
      </c>
      <c r="G107" s="1">
        <v>1</v>
      </c>
      <c r="H107" s="1">
        <v>0.34</v>
      </c>
      <c r="I107" s="1">
        <v>0.33329999999999999</v>
      </c>
      <c r="J107" s="1">
        <v>0.93</v>
      </c>
      <c r="K107" s="1">
        <v>0.16420000000000001</v>
      </c>
      <c r="L107" s="1">
        <v>1</v>
      </c>
      <c r="M107" s="1">
        <v>74</v>
      </c>
      <c r="N107" s="1">
        <v>75</v>
      </c>
    </row>
    <row r="108" spans="1:14" x14ac:dyDescent="0.3">
      <c r="A108" s="1">
        <v>726</v>
      </c>
      <c r="B108" s="2">
        <v>40576</v>
      </c>
      <c r="C108" s="1">
        <v>1</v>
      </c>
      <c r="D108" s="1">
        <v>14</v>
      </c>
      <c r="E108" s="1" t="b">
        <v>0</v>
      </c>
      <c r="F108" s="1">
        <v>3</v>
      </c>
      <c r="G108" s="1">
        <v>1</v>
      </c>
      <c r="H108" s="1">
        <v>0.38</v>
      </c>
      <c r="I108" s="1">
        <v>0.39389999999999997</v>
      </c>
      <c r="J108" s="1">
        <v>0.82</v>
      </c>
      <c r="K108" s="1">
        <v>0.3881</v>
      </c>
      <c r="L108" s="1">
        <v>2</v>
      </c>
      <c r="M108" s="1">
        <v>61</v>
      </c>
      <c r="N108" s="1">
        <v>63</v>
      </c>
    </row>
    <row r="109" spans="1:14" x14ac:dyDescent="0.3">
      <c r="A109" s="1">
        <v>727</v>
      </c>
      <c r="B109" s="2">
        <v>40576</v>
      </c>
      <c r="C109" s="1">
        <v>1</v>
      </c>
      <c r="D109" s="1">
        <v>15</v>
      </c>
      <c r="E109" s="1" t="b">
        <v>0</v>
      </c>
      <c r="F109" s="1">
        <v>3</v>
      </c>
      <c r="G109" s="1">
        <v>1</v>
      </c>
      <c r="H109" s="1">
        <v>0.38</v>
      </c>
      <c r="I109" s="1">
        <v>0.39389999999999997</v>
      </c>
      <c r="J109" s="1">
        <v>0.76</v>
      </c>
      <c r="K109" s="1">
        <v>0.32840000000000003</v>
      </c>
      <c r="L109" s="1">
        <v>10</v>
      </c>
      <c r="M109" s="1">
        <v>66</v>
      </c>
      <c r="N109" s="1">
        <v>76</v>
      </c>
    </row>
    <row r="110" spans="1:14" x14ac:dyDescent="0.3">
      <c r="A110" s="1">
        <v>728</v>
      </c>
      <c r="B110" s="2">
        <v>40576</v>
      </c>
      <c r="C110" s="1">
        <v>1</v>
      </c>
      <c r="D110" s="1">
        <v>16</v>
      </c>
      <c r="E110" s="1" t="b">
        <v>0</v>
      </c>
      <c r="F110" s="1">
        <v>3</v>
      </c>
      <c r="G110" s="1">
        <v>1</v>
      </c>
      <c r="H110" s="1">
        <v>0.36</v>
      </c>
      <c r="I110" s="1">
        <v>0.33329999999999999</v>
      </c>
      <c r="J110" s="1">
        <v>0.71</v>
      </c>
      <c r="K110" s="1">
        <v>0.29849999999999999</v>
      </c>
      <c r="L110" s="1">
        <v>8</v>
      </c>
      <c r="M110" s="1">
        <v>95</v>
      </c>
      <c r="N110" s="1">
        <v>103</v>
      </c>
    </row>
    <row r="111" spans="1:14" x14ac:dyDescent="0.3">
      <c r="A111" s="1">
        <v>729</v>
      </c>
      <c r="B111" s="2">
        <v>40576</v>
      </c>
      <c r="C111" s="1">
        <v>1</v>
      </c>
      <c r="D111" s="1">
        <v>17</v>
      </c>
      <c r="E111" s="1" t="b">
        <v>0</v>
      </c>
      <c r="F111" s="1">
        <v>3</v>
      </c>
      <c r="G111" s="1">
        <v>1</v>
      </c>
      <c r="H111" s="1">
        <v>0.36</v>
      </c>
      <c r="I111" s="1">
        <v>0.31819999999999998</v>
      </c>
      <c r="J111" s="1">
        <v>0.53</v>
      </c>
      <c r="K111" s="1">
        <v>0.52239999999999998</v>
      </c>
      <c r="L111" s="1">
        <v>7</v>
      </c>
      <c r="M111" s="1">
        <v>183</v>
      </c>
      <c r="N111" s="1">
        <v>190</v>
      </c>
    </row>
    <row r="112" spans="1:14" x14ac:dyDescent="0.3">
      <c r="A112" s="1">
        <v>730</v>
      </c>
      <c r="B112" s="2">
        <v>40576</v>
      </c>
      <c r="C112" s="1">
        <v>1</v>
      </c>
      <c r="D112" s="1">
        <v>18</v>
      </c>
      <c r="E112" s="1" t="b">
        <v>0</v>
      </c>
      <c r="F112" s="1">
        <v>3</v>
      </c>
      <c r="G112" s="1">
        <v>1</v>
      </c>
      <c r="H112" s="1">
        <v>0.34</v>
      </c>
      <c r="I112" s="1">
        <v>0.28789999999999999</v>
      </c>
      <c r="J112" s="1">
        <v>0.42</v>
      </c>
      <c r="K112" s="1">
        <v>0.55220000000000002</v>
      </c>
      <c r="L112" s="1">
        <v>7</v>
      </c>
      <c r="M112" s="1">
        <v>175</v>
      </c>
      <c r="N112" s="1">
        <v>182</v>
      </c>
    </row>
    <row r="113" spans="1:14" x14ac:dyDescent="0.3">
      <c r="A113" s="1">
        <v>731</v>
      </c>
      <c r="B113" s="2">
        <v>40576</v>
      </c>
      <c r="C113" s="1">
        <v>1</v>
      </c>
      <c r="D113" s="1">
        <v>19</v>
      </c>
      <c r="E113" s="1" t="b">
        <v>0</v>
      </c>
      <c r="F113" s="1">
        <v>3</v>
      </c>
      <c r="G113" s="1">
        <v>1</v>
      </c>
      <c r="H113" s="1">
        <v>0.28000000000000003</v>
      </c>
      <c r="I113" s="1">
        <v>0.2424</v>
      </c>
      <c r="J113" s="1">
        <v>0.45</v>
      </c>
      <c r="K113" s="1">
        <v>0.49249999999999999</v>
      </c>
      <c r="L113" s="1">
        <v>3</v>
      </c>
      <c r="M113" s="1">
        <v>88</v>
      </c>
      <c r="N113" s="1">
        <v>91</v>
      </c>
    </row>
    <row r="114" spans="1:14" x14ac:dyDescent="0.3">
      <c r="A114" s="1">
        <v>732</v>
      </c>
      <c r="B114" s="2">
        <v>40576</v>
      </c>
      <c r="C114" s="1">
        <v>1</v>
      </c>
      <c r="D114" s="1">
        <v>20</v>
      </c>
      <c r="E114" s="1" t="b">
        <v>0</v>
      </c>
      <c r="F114" s="1">
        <v>3</v>
      </c>
      <c r="G114" s="1">
        <v>1</v>
      </c>
      <c r="H114" s="1">
        <v>0.24</v>
      </c>
      <c r="I114" s="1">
        <v>0.19700000000000001</v>
      </c>
      <c r="J114" s="1">
        <v>0.48</v>
      </c>
      <c r="K114" s="1">
        <v>0.55220000000000002</v>
      </c>
      <c r="L114" s="1">
        <v>4</v>
      </c>
      <c r="M114" s="1">
        <v>71</v>
      </c>
      <c r="N114" s="1">
        <v>75</v>
      </c>
    </row>
    <row r="115" spans="1:14" x14ac:dyDescent="0.3">
      <c r="A115" s="1">
        <v>733</v>
      </c>
      <c r="B115" s="2">
        <v>40576</v>
      </c>
      <c r="C115" s="1">
        <v>1</v>
      </c>
      <c r="D115" s="1">
        <v>21</v>
      </c>
      <c r="E115" s="1" t="b">
        <v>0</v>
      </c>
      <c r="F115" s="1">
        <v>3</v>
      </c>
      <c r="G115" s="1">
        <v>1</v>
      </c>
      <c r="H115" s="1">
        <v>0.22</v>
      </c>
      <c r="I115" s="1">
        <v>0.19700000000000001</v>
      </c>
      <c r="J115" s="1">
        <v>0.47</v>
      </c>
      <c r="K115" s="1">
        <v>0.32840000000000003</v>
      </c>
      <c r="L115" s="1">
        <v>1</v>
      </c>
      <c r="M115" s="1">
        <v>62</v>
      </c>
      <c r="N115" s="1">
        <v>63</v>
      </c>
    </row>
    <row r="116" spans="1:14" x14ac:dyDescent="0.3">
      <c r="A116" s="1">
        <v>734</v>
      </c>
      <c r="B116" s="2">
        <v>40576</v>
      </c>
      <c r="C116" s="1">
        <v>1</v>
      </c>
      <c r="D116" s="1">
        <v>22</v>
      </c>
      <c r="E116" s="1" t="b">
        <v>0</v>
      </c>
      <c r="F116" s="1">
        <v>3</v>
      </c>
      <c r="G116" s="1">
        <v>1</v>
      </c>
      <c r="H116" s="1">
        <v>0.22</v>
      </c>
      <c r="I116" s="1">
        <v>0.21210000000000001</v>
      </c>
      <c r="J116" s="1">
        <v>0.44</v>
      </c>
      <c r="K116" s="1">
        <v>0.25369999999999998</v>
      </c>
      <c r="L116" s="1">
        <v>5</v>
      </c>
      <c r="M116" s="1">
        <v>35</v>
      </c>
      <c r="N116" s="1">
        <v>40</v>
      </c>
    </row>
    <row r="117" spans="1:14" x14ac:dyDescent="0.3">
      <c r="A117" s="1">
        <v>735</v>
      </c>
      <c r="B117" s="2">
        <v>40576</v>
      </c>
      <c r="C117" s="1">
        <v>1</v>
      </c>
      <c r="D117" s="1">
        <v>23</v>
      </c>
      <c r="E117" s="1" t="b">
        <v>0</v>
      </c>
      <c r="F117" s="1">
        <v>3</v>
      </c>
      <c r="G117" s="1">
        <v>1</v>
      </c>
      <c r="H117" s="1">
        <v>0.2</v>
      </c>
      <c r="I117" s="1">
        <v>0.16669999999999999</v>
      </c>
      <c r="J117" s="1">
        <v>0.44</v>
      </c>
      <c r="K117" s="1">
        <v>0.44779999999999998</v>
      </c>
      <c r="L117" s="1">
        <v>3</v>
      </c>
      <c r="M117" s="1">
        <v>29</v>
      </c>
      <c r="N117" s="1">
        <v>32</v>
      </c>
    </row>
    <row r="118" spans="1:14" x14ac:dyDescent="0.3">
      <c r="A118" s="1">
        <v>736</v>
      </c>
      <c r="B118" s="2">
        <v>40577</v>
      </c>
      <c r="C118" s="1">
        <v>1</v>
      </c>
      <c r="D118" s="1">
        <v>0</v>
      </c>
      <c r="E118" s="1" t="b">
        <v>0</v>
      </c>
      <c r="F118" s="1">
        <v>4</v>
      </c>
      <c r="G118" s="1">
        <v>1</v>
      </c>
      <c r="H118" s="1">
        <v>0.2</v>
      </c>
      <c r="I118" s="1">
        <v>0.16669999999999999</v>
      </c>
      <c r="J118" s="1">
        <v>0.4</v>
      </c>
      <c r="K118" s="1">
        <v>0.44779999999999998</v>
      </c>
      <c r="L118" s="1">
        <v>1</v>
      </c>
      <c r="M118" s="1">
        <v>11</v>
      </c>
      <c r="N118" s="1">
        <v>12</v>
      </c>
    </row>
    <row r="119" spans="1:14" x14ac:dyDescent="0.3">
      <c r="A119" s="1">
        <v>737</v>
      </c>
      <c r="B119" s="2">
        <v>40577</v>
      </c>
      <c r="C119" s="1">
        <v>1</v>
      </c>
      <c r="D119" s="1">
        <v>1</v>
      </c>
      <c r="E119" s="1" t="b">
        <v>0</v>
      </c>
      <c r="F119" s="1">
        <v>4</v>
      </c>
      <c r="G119" s="1">
        <v>1</v>
      </c>
      <c r="H119" s="1">
        <v>0.2</v>
      </c>
      <c r="I119" s="1">
        <v>0.1515</v>
      </c>
      <c r="J119" s="1">
        <v>0.44</v>
      </c>
      <c r="K119" s="1">
        <v>0.52239999999999998</v>
      </c>
      <c r="L119" s="1">
        <v>0</v>
      </c>
      <c r="M119" s="1">
        <v>5</v>
      </c>
      <c r="N119" s="1">
        <v>5</v>
      </c>
    </row>
    <row r="120" spans="1:14" x14ac:dyDescent="0.3">
      <c r="A120" s="1">
        <v>738</v>
      </c>
      <c r="B120" s="2">
        <v>40577</v>
      </c>
      <c r="C120" s="1">
        <v>1</v>
      </c>
      <c r="D120" s="1">
        <v>2</v>
      </c>
      <c r="E120" s="1" t="b">
        <v>0</v>
      </c>
      <c r="F120" s="1">
        <v>4</v>
      </c>
      <c r="G120" s="1">
        <v>1</v>
      </c>
      <c r="H120" s="1">
        <v>0.18</v>
      </c>
      <c r="I120" s="1">
        <v>0.16669999999999999</v>
      </c>
      <c r="J120" s="1">
        <v>0.43</v>
      </c>
      <c r="K120" s="1">
        <v>0.25369999999999998</v>
      </c>
      <c r="L120" s="1">
        <v>0</v>
      </c>
      <c r="M120" s="1">
        <v>2</v>
      </c>
      <c r="N120" s="1">
        <v>2</v>
      </c>
    </row>
    <row r="121" spans="1:14" x14ac:dyDescent="0.3">
      <c r="A121" s="1">
        <v>739</v>
      </c>
      <c r="B121" s="2">
        <v>40577</v>
      </c>
      <c r="C121" s="1">
        <v>1</v>
      </c>
      <c r="D121" s="1">
        <v>3</v>
      </c>
      <c r="E121" s="1" t="b">
        <v>0</v>
      </c>
      <c r="F121" s="1">
        <v>4</v>
      </c>
      <c r="G121" s="1">
        <v>1</v>
      </c>
      <c r="H121" s="1">
        <v>0.18</v>
      </c>
      <c r="I121" s="1">
        <v>0.16669999999999999</v>
      </c>
      <c r="J121" s="1">
        <v>0.43</v>
      </c>
      <c r="K121" s="1">
        <v>0.25369999999999998</v>
      </c>
      <c r="L121" s="1">
        <v>0</v>
      </c>
      <c r="M121" s="1">
        <v>1</v>
      </c>
      <c r="N121" s="1">
        <v>1</v>
      </c>
    </row>
    <row r="122" spans="1:14" x14ac:dyDescent="0.3">
      <c r="A122" s="1">
        <v>740</v>
      </c>
      <c r="B122" s="2">
        <v>40577</v>
      </c>
      <c r="C122" s="1">
        <v>1</v>
      </c>
      <c r="D122" s="1">
        <v>5</v>
      </c>
      <c r="E122" s="1" t="b">
        <v>0</v>
      </c>
      <c r="F122" s="1">
        <v>4</v>
      </c>
      <c r="G122" s="1">
        <v>1</v>
      </c>
      <c r="H122" s="1">
        <v>0.16</v>
      </c>
      <c r="I122" s="1">
        <v>0.13639999999999999</v>
      </c>
      <c r="J122" s="1">
        <v>0.5</v>
      </c>
      <c r="K122" s="1">
        <v>0.29849999999999999</v>
      </c>
      <c r="L122" s="1">
        <v>0</v>
      </c>
      <c r="M122" s="1">
        <v>2</v>
      </c>
      <c r="N122" s="1">
        <v>2</v>
      </c>
    </row>
    <row r="123" spans="1:14" x14ac:dyDescent="0.3">
      <c r="A123" s="1">
        <v>741</v>
      </c>
      <c r="B123" s="2">
        <v>40577</v>
      </c>
      <c r="C123" s="1">
        <v>1</v>
      </c>
      <c r="D123" s="1">
        <v>6</v>
      </c>
      <c r="E123" s="1" t="b">
        <v>0</v>
      </c>
      <c r="F123" s="1">
        <v>4</v>
      </c>
      <c r="G123" s="1">
        <v>1</v>
      </c>
      <c r="H123" s="1">
        <v>0.16</v>
      </c>
      <c r="I123" s="1">
        <v>0.13639999999999999</v>
      </c>
      <c r="J123" s="1">
        <v>0.43</v>
      </c>
      <c r="K123" s="1">
        <v>0.35820000000000002</v>
      </c>
      <c r="L123" s="1">
        <v>0</v>
      </c>
      <c r="M123" s="1">
        <v>39</v>
      </c>
      <c r="N123" s="1">
        <v>39</v>
      </c>
    </row>
    <row r="124" spans="1:14" x14ac:dyDescent="0.3">
      <c r="A124" s="1">
        <v>742</v>
      </c>
      <c r="B124" s="2">
        <v>40577</v>
      </c>
      <c r="C124" s="1">
        <v>1</v>
      </c>
      <c r="D124" s="1">
        <v>7</v>
      </c>
      <c r="E124" s="1" t="b">
        <v>0</v>
      </c>
      <c r="F124" s="1">
        <v>4</v>
      </c>
      <c r="G124" s="1">
        <v>1</v>
      </c>
      <c r="H124" s="1">
        <v>0.14000000000000001</v>
      </c>
      <c r="I124" s="1">
        <v>0.1212</v>
      </c>
      <c r="J124" s="1">
        <v>0.5</v>
      </c>
      <c r="K124" s="1">
        <v>0.32840000000000003</v>
      </c>
      <c r="L124" s="1">
        <v>1</v>
      </c>
      <c r="M124" s="1">
        <v>86</v>
      </c>
      <c r="N124" s="1">
        <v>87</v>
      </c>
    </row>
    <row r="125" spans="1:14" x14ac:dyDescent="0.3">
      <c r="A125" s="1">
        <v>743</v>
      </c>
      <c r="B125" s="2">
        <v>40577</v>
      </c>
      <c r="C125" s="1">
        <v>1</v>
      </c>
      <c r="D125" s="1">
        <v>8</v>
      </c>
      <c r="E125" s="1" t="b">
        <v>0</v>
      </c>
      <c r="F125" s="1">
        <v>4</v>
      </c>
      <c r="G125" s="1">
        <v>1</v>
      </c>
      <c r="H125" s="1">
        <v>0.14000000000000001</v>
      </c>
      <c r="I125" s="1">
        <v>0.1212</v>
      </c>
      <c r="J125" s="1">
        <v>0.5</v>
      </c>
      <c r="K125" s="1">
        <v>0.35820000000000002</v>
      </c>
      <c r="L125" s="1">
        <v>4</v>
      </c>
      <c r="M125" s="1">
        <v>184</v>
      </c>
      <c r="N125" s="1">
        <v>188</v>
      </c>
    </row>
    <row r="126" spans="1:14" x14ac:dyDescent="0.3">
      <c r="A126" s="1">
        <v>744</v>
      </c>
      <c r="B126" s="2">
        <v>40577</v>
      </c>
      <c r="C126" s="1">
        <v>1</v>
      </c>
      <c r="D126" s="1">
        <v>9</v>
      </c>
      <c r="E126" s="1" t="b">
        <v>0</v>
      </c>
      <c r="F126" s="1">
        <v>4</v>
      </c>
      <c r="G126" s="1">
        <v>1</v>
      </c>
      <c r="H126" s="1">
        <v>0.16</v>
      </c>
      <c r="I126" s="1">
        <v>0.13639999999999999</v>
      </c>
      <c r="J126" s="1">
        <v>0.47</v>
      </c>
      <c r="K126" s="1">
        <v>0.29849999999999999</v>
      </c>
      <c r="L126" s="1">
        <v>6</v>
      </c>
      <c r="M126" s="1">
        <v>127</v>
      </c>
      <c r="N126" s="1">
        <v>133</v>
      </c>
    </row>
    <row r="127" spans="1:14" x14ac:dyDescent="0.3">
      <c r="A127" s="1">
        <v>745</v>
      </c>
      <c r="B127" s="2">
        <v>40577</v>
      </c>
      <c r="C127" s="1">
        <v>1</v>
      </c>
      <c r="D127" s="1">
        <v>10</v>
      </c>
      <c r="E127" s="1" t="b">
        <v>0</v>
      </c>
      <c r="F127" s="1">
        <v>4</v>
      </c>
      <c r="G127" s="1">
        <v>1</v>
      </c>
      <c r="H127" s="1">
        <v>0.18</v>
      </c>
      <c r="I127" s="1">
        <v>0.1515</v>
      </c>
      <c r="J127" s="1">
        <v>0.43</v>
      </c>
      <c r="K127" s="1">
        <v>0.32840000000000003</v>
      </c>
      <c r="L127" s="1">
        <v>2</v>
      </c>
      <c r="M127" s="1">
        <v>50</v>
      </c>
      <c r="N127" s="1">
        <v>52</v>
      </c>
    </row>
    <row r="128" spans="1:14" x14ac:dyDescent="0.3">
      <c r="A128" s="1">
        <v>746</v>
      </c>
      <c r="B128" s="2">
        <v>40577</v>
      </c>
      <c r="C128" s="1">
        <v>1</v>
      </c>
      <c r="D128" s="1">
        <v>11</v>
      </c>
      <c r="E128" s="1" t="b">
        <v>0</v>
      </c>
      <c r="F128" s="1">
        <v>4</v>
      </c>
      <c r="G128" s="1">
        <v>1</v>
      </c>
      <c r="H128" s="1">
        <v>0.18</v>
      </c>
      <c r="I128" s="1">
        <v>0.13639999999999999</v>
      </c>
      <c r="J128" s="1">
        <v>0.43</v>
      </c>
      <c r="K128" s="1">
        <v>0.44779999999999998</v>
      </c>
      <c r="L128" s="1">
        <v>9</v>
      </c>
      <c r="M128" s="1">
        <v>55</v>
      </c>
      <c r="N128" s="1">
        <v>64</v>
      </c>
    </row>
    <row r="129" spans="1:14" x14ac:dyDescent="0.3">
      <c r="A129" s="1">
        <v>747</v>
      </c>
      <c r="B129" s="2">
        <v>40577</v>
      </c>
      <c r="C129" s="1">
        <v>1</v>
      </c>
      <c r="D129" s="1">
        <v>12</v>
      </c>
      <c r="E129" s="1" t="b">
        <v>0</v>
      </c>
      <c r="F129" s="1">
        <v>4</v>
      </c>
      <c r="G129" s="1">
        <v>1</v>
      </c>
      <c r="H129" s="1">
        <v>0.2</v>
      </c>
      <c r="I129" s="1">
        <v>0.18179999999999999</v>
      </c>
      <c r="J129" s="1">
        <v>0.4</v>
      </c>
      <c r="K129" s="1">
        <v>0.35820000000000002</v>
      </c>
      <c r="L129" s="1">
        <v>2</v>
      </c>
      <c r="M129" s="1">
        <v>67</v>
      </c>
      <c r="N129" s="1">
        <v>69</v>
      </c>
    </row>
    <row r="130" spans="1:14" x14ac:dyDescent="0.3">
      <c r="A130" s="1">
        <v>748</v>
      </c>
      <c r="B130" s="2">
        <v>40577</v>
      </c>
      <c r="C130" s="1">
        <v>1</v>
      </c>
      <c r="D130" s="1">
        <v>13</v>
      </c>
      <c r="E130" s="1" t="b">
        <v>0</v>
      </c>
      <c r="F130" s="1">
        <v>4</v>
      </c>
      <c r="G130" s="1">
        <v>1</v>
      </c>
      <c r="H130" s="1">
        <v>0.2</v>
      </c>
      <c r="I130" s="1">
        <v>0.16669999999999999</v>
      </c>
      <c r="J130" s="1">
        <v>0.4</v>
      </c>
      <c r="K130" s="1">
        <v>0.41789999999999999</v>
      </c>
      <c r="L130" s="1">
        <v>4</v>
      </c>
      <c r="M130" s="1">
        <v>47</v>
      </c>
      <c r="N130" s="1">
        <v>51</v>
      </c>
    </row>
    <row r="131" spans="1:14" x14ac:dyDescent="0.3">
      <c r="A131" s="1">
        <v>749</v>
      </c>
      <c r="B131" s="2">
        <v>40577</v>
      </c>
      <c r="C131" s="1">
        <v>1</v>
      </c>
      <c r="D131" s="1">
        <v>14</v>
      </c>
      <c r="E131" s="1" t="b">
        <v>0</v>
      </c>
      <c r="F131" s="1">
        <v>4</v>
      </c>
      <c r="G131" s="1">
        <v>1</v>
      </c>
      <c r="H131" s="1">
        <v>0.22</v>
      </c>
      <c r="I131" s="1">
        <v>0.19700000000000001</v>
      </c>
      <c r="J131" s="1">
        <v>0.37</v>
      </c>
      <c r="K131" s="1">
        <v>0.3881</v>
      </c>
      <c r="L131" s="1">
        <v>4</v>
      </c>
      <c r="M131" s="1">
        <v>43</v>
      </c>
      <c r="N131" s="1">
        <v>47</v>
      </c>
    </row>
    <row r="132" spans="1:14" x14ac:dyDescent="0.3">
      <c r="A132" s="1">
        <v>750</v>
      </c>
      <c r="B132" s="2">
        <v>40577</v>
      </c>
      <c r="C132" s="1">
        <v>1</v>
      </c>
      <c r="D132" s="1">
        <v>15</v>
      </c>
      <c r="E132" s="1" t="b">
        <v>0</v>
      </c>
      <c r="F132" s="1">
        <v>4</v>
      </c>
      <c r="G132" s="1">
        <v>1</v>
      </c>
      <c r="H132" s="1">
        <v>0.22</v>
      </c>
      <c r="I132" s="1">
        <v>0.19700000000000001</v>
      </c>
      <c r="J132" s="1">
        <v>0.37</v>
      </c>
      <c r="K132" s="1">
        <v>0.32840000000000003</v>
      </c>
      <c r="L132" s="1">
        <v>4</v>
      </c>
      <c r="M132" s="1">
        <v>56</v>
      </c>
      <c r="N132" s="1">
        <v>60</v>
      </c>
    </row>
    <row r="133" spans="1:14" x14ac:dyDescent="0.3">
      <c r="A133" s="1">
        <v>751</v>
      </c>
      <c r="B133" s="2">
        <v>40577</v>
      </c>
      <c r="C133" s="1">
        <v>1</v>
      </c>
      <c r="D133" s="1">
        <v>16</v>
      </c>
      <c r="E133" s="1" t="b">
        <v>0</v>
      </c>
      <c r="F133" s="1">
        <v>4</v>
      </c>
      <c r="G133" s="1">
        <v>1</v>
      </c>
      <c r="H133" s="1">
        <v>0.22</v>
      </c>
      <c r="I133" s="1">
        <v>0.21210000000000001</v>
      </c>
      <c r="J133" s="1">
        <v>0.37</v>
      </c>
      <c r="K133" s="1">
        <v>0.25369999999999998</v>
      </c>
      <c r="L133" s="1">
        <v>5</v>
      </c>
      <c r="M133" s="1">
        <v>73</v>
      </c>
      <c r="N133" s="1">
        <v>78</v>
      </c>
    </row>
    <row r="134" spans="1:14" x14ac:dyDescent="0.3">
      <c r="A134" s="1">
        <v>752</v>
      </c>
      <c r="B134" s="2">
        <v>40577</v>
      </c>
      <c r="C134" s="1">
        <v>1</v>
      </c>
      <c r="D134" s="1">
        <v>17</v>
      </c>
      <c r="E134" s="1" t="b">
        <v>0</v>
      </c>
      <c r="F134" s="1">
        <v>4</v>
      </c>
      <c r="G134" s="1">
        <v>1</v>
      </c>
      <c r="H134" s="1">
        <v>0.2</v>
      </c>
      <c r="I134" s="1">
        <v>0.19700000000000001</v>
      </c>
      <c r="J134" s="1">
        <v>0.4</v>
      </c>
      <c r="K134" s="1">
        <v>0.19400000000000001</v>
      </c>
      <c r="L134" s="1">
        <v>5</v>
      </c>
      <c r="M134" s="1">
        <v>170</v>
      </c>
      <c r="N134" s="1">
        <v>175</v>
      </c>
    </row>
    <row r="135" spans="1:14" x14ac:dyDescent="0.3">
      <c r="A135" s="1">
        <v>753</v>
      </c>
      <c r="B135" s="2">
        <v>40577</v>
      </c>
      <c r="C135" s="1">
        <v>1</v>
      </c>
      <c r="D135" s="1">
        <v>18</v>
      </c>
      <c r="E135" s="1" t="b">
        <v>0</v>
      </c>
      <c r="F135" s="1">
        <v>4</v>
      </c>
      <c r="G135" s="1">
        <v>1</v>
      </c>
      <c r="H135" s="1">
        <v>0.2</v>
      </c>
      <c r="I135" s="1">
        <v>0.21210000000000001</v>
      </c>
      <c r="J135" s="1">
        <v>0.4</v>
      </c>
      <c r="K135" s="1">
        <v>0.16420000000000001</v>
      </c>
      <c r="L135" s="1">
        <v>2</v>
      </c>
      <c r="M135" s="1">
        <v>145</v>
      </c>
      <c r="N135" s="1">
        <v>147</v>
      </c>
    </row>
    <row r="136" spans="1:14" x14ac:dyDescent="0.3">
      <c r="A136" s="1">
        <v>754</v>
      </c>
      <c r="B136" s="2">
        <v>40577</v>
      </c>
      <c r="C136" s="1">
        <v>1</v>
      </c>
      <c r="D136" s="1">
        <v>19</v>
      </c>
      <c r="E136" s="1" t="b">
        <v>0</v>
      </c>
      <c r="F136" s="1">
        <v>4</v>
      </c>
      <c r="G136" s="1">
        <v>1</v>
      </c>
      <c r="H136" s="1">
        <v>0.2</v>
      </c>
      <c r="I136" s="1">
        <v>0.2576</v>
      </c>
      <c r="J136" s="1">
        <v>0.4</v>
      </c>
      <c r="K136" s="1">
        <v>0</v>
      </c>
      <c r="L136" s="1">
        <v>4</v>
      </c>
      <c r="M136" s="1">
        <v>92</v>
      </c>
      <c r="N136" s="1">
        <v>96</v>
      </c>
    </row>
    <row r="137" spans="1:14" x14ac:dyDescent="0.3">
      <c r="A137" s="1">
        <v>755</v>
      </c>
      <c r="B137" s="2">
        <v>40577</v>
      </c>
      <c r="C137" s="1">
        <v>1</v>
      </c>
      <c r="D137" s="1">
        <v>20</v>
      </c>
      <c r="E137" s="1" t="b">
        <v>0</v>
      </c>
      <c r="F137" s="1">
        <v>4</v>
      </c>
      <c r="G137" s="1">
        <v>1</v>
      </c>
      <c r="H137" s="1">
        <v>0.2</v>
      </c>
      <c r="I137" s="1">
        <v>0.2273</v>
      </c>
      <c r="J137" s="1">
        <v>0.47</v>
      </c>
      <c r="K137" s="1">
        <v>8.9599999999999999E-2</v>
      </c>
      <c r="L137" s="1">
        <v>1</v>
      </c>
      <c r="M137" s="1">
        <v>108</v>
      </c>
      <c r="N137" s="1">
        <v>109</v>
      </c>
    </row>
    <row r="138" spans="1:14" x14ac:dyDescent="0.3">
      <c r="A138" s="1">
        <v>756</v>
      </c>
      <c r="B138" s="2">
        <v>40577</v>
      </c>
      <c r="C138" s="1">
        <v>1</v>
      </c>
      <c r="D138" s="1">
        <v>21</v>
      </c>
      <c r="E138" s="1" t="b">
        <v>0</v>
      </c>
      <c r="F138" s="1">
        <v>4</v>
      </c>
      <c r="G138" s="1">
        <v>1</v>
      </c>
      <c r="H138" s="1">
        <v>0.18</v>
      </c>
      <c r="I138" s="1">
        <v>0.21210000000000001</v>
      </c>
      <c r="J138" s="1">
        <v>0.55000000000000004</v>
      </c>
      <c r="K138" s="1">
        <v>0.1045</v>
      </c>
      <c r="L138" s="1">
        <v>1</v>
      </c>
      <c r="M138" s="1">
        <v>53</v>
      </c>
      <c r="N138" s="1">
        <v>54</v>
      </c>
    </row>
    <row r="139" spans="1:14" x14ac:dyDescent="0.3">
      <c r="A139" s="1">
        <v>757</v>
      </c>
      <c r="B139" s="2">
        <v>40577</v>
      </c>
      <c r="C139" s="1">
        <v>1</v>
      </c>
      <c r="D139" s="1">
        <v>22</v>
      </c>
      <c r="E139" s="1" t="b">
        <v>0</v>
      </c>
      <c r="F139" s="1">
        <v>4</v>
      </c>
      <c r="G139" s="1">
        <v>1</v>
      </c>
      <c r="H139" s="1">
        <v>0.18</v>
      </c>
      <c r="I139" s="1">
        <v>0.21210000000000001</v>
      </c>
      <c r="J139" s="1">
        <v>0.51</v>
      </c>
      <c r="K139" s="1">
        <v>8.9599999999999999E-2</v>
      </c>
      <c r="L139" s="1">
        <v>2</v>
      </c>
      <c r="M139" s="1">
        <v>39</v>
      </c>
      <c r="N139" s="1">
        <v>41</v>
      </c>
    </row>
    <row r="140" spans="1:14" x14ac:dyDescent="0.3">
      <c r="A140" s="1">
        <v>758</v>
      </c>
      <c r="B140" s="2">
        <v>40577</v>
      </c>
      <c r="C140" s="1">
        <v>1</v>
      </c>
      <c r="D140" s="1">
        <v>23</v>
      </c>
      <c r="E140" s="1" t="b">
        <v>0</v>
      </c>
      <c r="F140" s="1">
        <v>4</v>
      </c>
      <c r="G140" s="1">
        <v>1</v>
      </c>
      <c r="H140" s="1">
        <v>0.2</v>
      </c>
      <c r="I140" s="1">
        <v>0.2273</v>
      </c>
      <c r="J140" s="1">
        <v>0.47</v>
      </c>
      <c r="K140" s="1">
        <v>0.1045</v>
      </c>
      <c r="L140" s="1">
        <v>4</v>
      </c>
      <c r="M140" s="1">
        <v>34</v>
      </c>
      <c r="N140" s="1">
        <v>38</v>
      </c>
    </row>
    <row r="141" spans="1:14" x14ac:dyDescent="0.3">
      <c r="A141" s="1">
        <v>759</v>
      </c>
      <c r="B141" s="2">
        <v>40578</v>
      </c>
      <c r="C141" s="1">
        <v>1</v>
      </c>
      <c r="D141" s="1">
        <v>0</v>
      </c>
      <c r="E141" s="1" t="b">
        <v>0</v>
      </c>
      <c r="F141" s="1">
        <v>5</v>
      </c>
      <c r="G141" s="1">
        <v>2</v>
      </c>
      <c r="H141" s="1">
        <v>0.2</v>
      </c>
      <c r="I141" s="1">
        <v>0.2576</v>
      </c>
      <c r="J141" s="1">
        <v>0.44</v>
      </c>
      <c r="K141" s="1">
        <v>0</v>
      </c>
      <c r="L141" s="1">
        <v>3</v>
      </c>
      <c r="M141" s="1">
        <v>10</v>
      </c>
      <c r="N141" s="1">
        <v>13</v>
      </c>
    </row>
    <row r="142" spans="1:14" x14ac:dyDescent="0.3">
      <c r="A142" s="1">
        <v>760</v>
      </c>
      <c r="B142" s="2">
        <v>40578</v>
      </c>
      <c r="C142" s="1">
        <v>1</v>
      </c>
      <c r="D142" s="1">
        <v>1</v>
      </c>
      <c r="E142" s="1" t="b">
        <v>0</v>
      </c>
      <c r="F142" s="1">
        <v>5</v>
      </c>
      <c r="G142" s="1">
        <v>2</v>
      </c>
      <c r="H142" s="1">
        <v>0.16</v>
      </c>
      <c r="I142" s="1">
        <v>0.2273</v>
      </c>
      <c r="J142" s="1">
        <v>0.59</v>
      </c>
      <c r="K142" s="1">
        <v>0</v>
      </c>
      <c r="L142" s="1">
        <v>0</v>
      </c>
      <c r="M142" s="1">
        <v>7</v>
      </c>
      <c r="N142" s="1">
        <v>7</v>
      </c>
    </row>
    <row r="143" spans="1:14" x14ac:dyDescent="0.3">
      <c r="A143" s="1">
        <v>761</v>
      </c>
      <c r="B143" s="2">
        <v>40578</v>
      </c>
      <c r="C143" s="1">
        <v>1</v>
      </c>
      <c r="D143" s="1">
        <v>2</v>
      </c>
      <c r="E143" s="1" t="b">
        <v>0</v>
      </c>
      <c r="F143" s="1">
        <v>5</v>
      </c>
      <c r="G143" s="1">
        <v>2</v>
      </c>
      <c r="H143" s="1">
        <v>0.14000000000000001</v>
      </c>
      <c r="I143" s="1">
        <v>0.16669999999999999</v>
      </c>
      <c r="J143" s="1">
        <v>0.63</v>
      </c>
      <c r="K143" s="1">
        <v>0.1045</v>
      </c>
      <c r="L143" s="1">
        <v>0</v>
      </c>
      <c r="M143" s="1">
        <v>1</v>
      </c>
      <c r="N143" s="1">
        <v>1</v>
      </c>
    </row>
    <row r="144" spans="1:14" x14ac:dyDescent="0.3">
      <c r="A144" s="1">
        <v>762</v>
      </c>
      <c r="B144" s="2">
        <v>40578</v>
      </c>
      <c r="C144" s="1">
        <v>1</v>
      </c>
      <c r="D144" s="1">
        <v>3</v>
      </c>
      <c r="E144" s="1" t="b">
        <v>0</v>
      </c>
      <c r="F144" s="1">
        <v>5</v>
      </c>
      <c r="G144" s="1">
        <v>2</v>
      </c>
      <c r="H144" s="1">
        <v>0.14000000000000001</v>
      </c>
      <c r="I144" s="1">
        <v>0.16669999999999999</v>
      </c>
      <c r="J144" s="1">
        <v>0.63</v>
      </c>
      <c r="K144" s="1">
        <v>0.1045</v>
      </c>
      <c r="L144" s="1">
        <v>0</v>
      </c>
      <c r="M144" s="1">
        <v>1</v>
      </c>
      <c r="N144" s="1">
        <v>1</v>
      </c>
    </row>
    <row r="145" spans="1:14" x14ac:dyDescent="0.3">
      <c r="A145" s="1">
        <v>763</v>
      </c>
      <c r="B145" s="2">
        <v>40578</v>
      </c>
      <c r="C145" s="1">
        <v>1</v>
      </c>
      <c r="D145" s="1">
        <v>5</v>
      </c>
      <c r="E145" s="1" t="b">
        <v>0</v>
      </c>
      <c r="F145" s="1">
        <v>5</v>
      </c>
      <c r="G145" s="1">
        <v>2</v>
      </c>
      <c r="H145" s="1">
        <v>0.14000000000000001</v>
      </c>
      <c r="I145" s="1">
        <v>0.1515</v>
      </c>
      <c r="J145" s="1">
        <v>0.63</v>
      </c>
      <c r="K145" s="1">
        <v>0.1343</v>
      </c>
      <c r="L145" s="1">
        <v>0</v>
      </c>
      <c r="M145" s="1">
        <v>7</v>
      </c>
      <c r="N145" s="1">
        <v>7</v>
      </c>
    </row>
    <row r="146" spans="1:14" x14ac:dyDescent="0.3">
      <c r="A146" s="1">
        <v>764</v>
      </c>
      <c r="B146" s="2">
        <v>40578</v>
      </c>
      <c r="C146" s="1">
        <v>1</v>
      </c>
      <c r="D146" s="1">
        <v>6</v>
      </c>
      <c r="E146" s="1" t="b">
        <v>0</v>
      </c>
      <c r="F146" s="1">
        <v>5</v>
      </c>
      <c r="G146" s="1">
        <v>2</v>
      </c>
      <c r="H146" s="1">
        <v>0.16</v>
      </c>
      <c r="I146" s="1">
        <v>0.2273</v>
      </c>
      <c r="J146" s="1">
        <v>0.55000000000000004</v>
      </c>
      <c r="K146" s="1">
        <v>0</v>
      </c>
      <c r="L146" s="1">
        <v>2</v>
      </c>
      <c r="M146" s="1">
        <v>26</v>
      </c>
      <c r="N146" s="1">
        <v>28</v>
      </c>
    </row>
    <row r="147" spans="1:14" x14ac:dyDescent="0.3">
      <c r="A147" s="1">
        <v>765</v>
      </c>
      <c r="B147" s="2">
        <v>40578</v>
      </c>
      <c r="C147" s="1">
        <v>1</v>
      </c>
      <c r="D147" s="1">
        <v>7</v>
      </c>
      <c r="E147" s="1" t="b">
        <v>0</v>
      </c>
      <c r="F147" s="1">
        <v>5</v>
      </c>
      <c r="G147" s="1">
        <v>1</v>
      </c>
      <c r="H147" s="1">
        <v>0.14000000000000001</v>
      </c>
      <c r="I147" s="1">
        <v>0.21210000000000001</v>
      </c>
      <c r="J147" s="1">
        <v>0.59</v>
      </c>
      <c r="K147" s="1">
        <v>0</v>
      </c>
      <c r="L147" s="1">
        <v>0</v>
      </c>
      <c r="M147" s="1">
        <v>87</v>
      </c>
      <c r="N147" s="1">
        <v>87</v>
      </c>
    </row>
    <row r="148" spans="1:14" x14ac:dyDescent="0.3">
      <c r="A148" s="1">
        <v>766</v>
      </c>
      <c r="B148" s="2">
        <v>40578</v>
      </c>
      <c r="C148" s="1">
        <v>1</v>
      </c>
      <c r="D148" s="1">
        <v>8</v>
      </c>
      <c r="E148" s="1" t="b">
        <v>0</v>
      </c>
      <c r="F148" s="1">
        <v>5</v>
      </c>
      <c r="G148" s="1">
        <v>1</v>
      </c>
      <c r="H148" s="1">
        <v>0.14000000000000001</v>
      </c>
      <c r="I148" s="1">
        <v>0.1515</v>
      </c>
      <c r="J148" s="1">
        <v>0.74</v>
      </c>
      <c r="K148" s="1">
        <v>0.1343</v>
      </c>
      <c r="L148" s="1">
        <v>3</v>
      </c>
      <c r="M148" s="1">
        <v>217</v>
      </c>
      <c r="N148" s="1">
        <v>220</v>
      </c>
    </row>
    <row r="149" spans="1:14" x14ac:dyDescent="0.3">
      <c r="A149" s="1">
        <v>767</v>
      </c>
      <c r="B149" s="2">
        <v>40578</v>
      </c>
      <c r="C149" s="1">
        <v>1</v>
      </c>
      <c r="D149" s="1">
        <v>9</v>
      </c>
      <c r="E149" s="1" t="b">
        <v>0</v>
      </c>
      <c r="F149" s="1">
        <v>5</v>
      </c>
      <c r="G149" s="1">
        <v>2</v>
      </c>
      <c r="H149" s="1">
        <v>0.16</v>
      </c>
      <c r="I149" s="1">
        <v>0.18179999999999999</v>
      </c>
      <c r="J149" s="1">
        <v>0.8</v>
      </c>
      <c r="K149" s="1">
        <v>0.1343</v>
      </c>
      <c r="L149" s="1">
        <v>3</v>
      </c>
      <c r="M149" s="1">
        <v>124</v>
      </c>
      <c r="N149" s="1">
        <v>127</v>
      </c>
    </row>
    <row r="150" spans="1:14" x14ac:dyDescent="0.3">
      <c r="A150" s="1">
        <v>768</v>
      </c>
      <c r="B150" s="2">
        <v>40578</v>
      </c>
      <c r="C150" s="1">
        <v>1</v>
      </c>
      <c r="D150" s="1">
        <v>10</v>
      </c>
      <c r="E150" s="1" t="b">
        <v>0</v>
      </c>
      <c r="F150" s="1">
        <v>5</v>
      </c>
      <c r="G150" s="1">
        <v>2</v>
      </c>
      <c r="H150" s="1">
        <v>0.2</v>
      </c>
      <c r="I150" s="1">
        <v>0.21210000000000001</v>
      </c>
      <c r="J150" s="1">
        <v>0.51</v>
      </c>
      <c r="K150" s="1">
        <v>0.1343</v>
      </c>
      <c r="L150" s="1">
        <v>5</v>
      </c>
      <c r="M150" s="1">
        <v>46</v>
      </c>
      <c r="N150" s="1">
        <v>51</v>
      </c>
    </row>
    <row r="151" spans="1:14" x14ac:dyDescent="0.3">
      <c r="A151" s="1">
        <v>769</v>
      </c>
      <c r="B151" s="2">
        <v>40578</v>
      </c>
      <c r="C151" s="1">
        <v>1</v>
      </c>
      <c r="D151" s="1">
        <v>11</v>
      </c>
      <c r="E151" s="1" t="b">
        <v>0</v>
      </c>
      <c r="F151" s="1">
        <v>5</v>
      </c>
      <c r="G151" s="1">
        <v>1</v>
      </c>
      <c r="H151" s="1">
        <v>0.22</v>
      </c>
      <c r="I151" s="1">
        <v>0.2273</v>
      </c>
      <c r="J151" s="1">
        <v>0.51</v>
      </c>
      <c r="K151" s="1">
        <v>0.16420000000000001</v>
      </c>
      <c r="L151" s="1">
        <v>3</v>
      </c>
      <c r="M151" s="1">
        <v>61</v>
      </c>
      <c r="N151" s="1">
        <v>64</v>
      </c>
    </row>
    <row r="152" spans="1:14" x14ac:dyDescent="0.3">
      <c r="A152" s="1">
        <v>770</v>
      </c>
      <c r="B152" s="2">
        <v>40578</v>
      </c>
      <c r="C152" s="1">
        <v>1</v>
      </c>
      <c r="D152" s="1">
        <v>12</v>
      </c>
      <c r="E152" s="1" t="b">
        <v>0</v>
      </c>
      <c r="F152" s="1">
        <v>5</v>
      </c>
      <c r="G152" s="1">
        <v>2</v>
      </c>
      <c r="H152" s="1">
        <v>0.24</v>
      </c>
      <c r="I152" s="1">
        <v>0.2424</v>
      </c>
      <c r="J152" s="1">
        <v>0.48</v>
      </c>
      <c r="K152" s="1">
        <v>0.16420000000000001</v>
      </c>
      <c r="L152" s="1">
        <v>8</v>
      </c>
      <c r="M152" s="1">
        <v>78</v>
      </c>
      <c r="N152" s="1">
        <v>86</v>
      </c>
    </row>
    <row r="153" spans="1:14" x14ac:dyDescent="0.3">
      <c r="A153" s="1">
        <v>771</v>
      </c>
      <c r="B153" s="2">
        <v>40578</v>
      </c>
      <c r="C153" s="1">
        <v>1</v>
      </c>
      <c r="D153" s="1">
        <v>13</v>
      </c>
      <c r="E153" s="1" t="b">
        <v>0</v>
      </c>
      <c r="F153" s="1">
        <v>5</v>
      </c>
      <c r="G153" s="1">
        <v>2</v>
      </c>
      <c r="H153" s="1">
        <v>0.26</v>
      </c>
      <c r="I153" s="1">
        <v>0.2576</v>
      </c>
      <c r="J153" s="1">
        <v>0.5</v>
      </c>
      <c r="K153" s="1">
        <v>0.22389999999999999</v>
      </c>
      <c r="L153" s="1">
        <v>9</v>
      </c>
      <c r="M153" s="1">
        <v>73</v>
      </c>
      <c r="N153" s="1">
        <v>82</v>
      </c>
    </row>
    <row r="154" spans="1:14" x14ac:dyDescent="0.3">
      <c r="A154" s="1">
        <v>772</v>
      </c>
      <c r="B154" s="2">
        <v>40578</v>
      </c>
      <c r="C154" s="1">
        <v>1</v>
      </c>
      <c r="D154" s="1">
        <v>14</v>
      </c>
      <c r="E154" s="1" t="b">
        <v>0</v>
      </c>
      <c r="F154" s="1">
        <v>5</v>
      </c>
      <c r="G154" s="1">
        <v>2</v>
      </c>
      <c r="H154" s="1">
        <v>0.28000000000000003</v>
      </c>
      <c r="I154" s="1">
        <v>0.2727</v>
      </c>
      <c r="J154" s="1">
        <v>0.45</v>
      </c>
      <c r="K154" s="1">
        <v>0.16420000000000001</v>
      </c>
      <c r="L154" s="1">
        <v>15</v>
      </c>
      <c r="M154" s="1">
        <v>76</v>
      </c>
      <c r="N154" s="1">
        <v>91</v>
      </c>
    </row>
    <row r="155" spans="1:14" x14ac:dyDescent="0.3">
      <c r="A155" s="1">
        <v>773</v>
      </c>
      <c r="B155" s="2">
        <v>40578</v>
      </c>
      <c r="C155" s="1">
        <v>1</v>
      </c>
      <c r="D155" s="1">
        <v>15</v>
      </c>
      <c r="E155" s="1" t="b">
        <v>0</v>
      </c>
      <c r="F155" s="1">
        <v>5</v>
      </c>
      <c r="G155" s="1">
        <v>2</v>
      </c>
      <c r="H155" s="1">
        <v>0.28000000000000003</v>
      </c>
      <c r="I155" s="1">
        <v>0.2727</v>
      </c>
      <c r="J155" s="1">
        <v>0.48</v>
      </c>
      <c r="K155" s="1">
        <v>0.25369999999999998</v>
      </c>
      <c r="L155" s="1">
        <v>9</v>
      </c>
      <c r="M155" s="1">
        <v>81</v>
      </c>
      <c r="N155" s="1">
        <v>90</v>
      </c>
    </row>
    <row r="156" spans="1:14" x14ac:dyDescent="0.3">
      <c r="A156" s="1">
        <v>774</v>
      </c>
      <c r="B156" s="2">
        <v>40578</v>
      </c>
      <c r="C156" s="1">
        <v>1</v>
      </c>
      <c r="D156" s="1">
        <v>16</v>
      </c>
      <c r="E156" s="1" t="b">
        <v>0</v>
      </c>
      <c r="F156" s="1">
        <v>5</v>
      </c>
      <c r="G156" s="1">
        <v>2</v>
      </c>
      <c r="H156" s="1">
        <v>0.3</v>
      </c>
      <c r="I156" s="1">
        <v>0.28789999999999999</v>
      </c>
      <c r="J156" s="1">
        <v>0.42</v>
      </c>
      <c r="K156" s="1">
        <v>0.22389999999999999</v>
      </c>
      <c r="L156" s="1">
        <v>8</v>
      </c>
      <c r="M156" s="1">
        <v>91</v>
      </c>
      <c r="N156" s="1">
        <v>99</v>
      </c>
    </row>
    <row r="157" spans="1:14" x14ac:dyDescent="0.3">
      <c r="A157" s="1">
        <v>775</v>
      </c>
      <c r="B157" s="2">
        <v>40578</v>
      </c>
      <c r="C157" s="1">
        <v>1</v>
      </c>
      <c r="D157" s="1">
        <v>17</v>
      </c>
      <c r="E157" s="1" t="b">
        <v>0</v>
      </c>
      <c r="F157" s="1">
        <v>5</v>
      </c>
      <c r="G157" s="1">
        <v>2</v>
      </c>
      <c r="H157" s="1">
        <v>0.26</v>
      </c>
      <c r="I157" s="1">
        <v>0.2727</v>
      </c>
      <c r="J157" s="1">
        <v>0.56000000000000005</v>
      </c>
      <c r="K157" s="1">
        <v>0.1343</v>
      </c>
      <c r="L157" s="1">
        <v>10</v>
      </c>
      <c r="M157" s="1">
        <v>195</v>
      </c>
      <c r="N157" s="1">
        <v>205</v>
      </c>
    </row>
    <row r="158" spans="1:14" x14ac:dyDescent="0.3">
      <c r="A158" s="1">
        <v>776</v>
      </c>
      <c r="B158" s="2">
        <v>40578</v>
      </c>
      <c r="C158" s="1">
        <v>1</v>
      </c>
      <c r="D158" s="1">
        <v>18</v>
      </c>
      <c r="E158" s="1" t="b">
        <v>0</v>
      </c>
      <c r="F158" s="1">
        <v>5</v>
      </c>
      <c r="G158" s="1">
        <v>2</v>
      </c>
      <c r="H158" s="1">
        <v>0.24</v>
      </c>
      <c r="I158" s="1">
        <v>0.2576</v>
      </c>
      <c r="J158" s="1">
        <v>0.6</v>
      </c>
      <c r="K158" s="1">
        <v>0.1045</v>
      </c>
      <c r="L158" s="1">
        <v>3</v>
      </c>
      <c r="M158" s="1">
        <v>152</v>
      </c>
      <c r="N158" s="1">
        <v>155</v>
      </c>
    </row>
    <row r="159" spans="1:14" x14ac:dyDescent="0.3">
      <c r="A159" s="1">
        <v>777</v>
      </c>
      <c r="B159" s="2">
        <v>40578</v>
      </c>
      <c r="C159" s="1">
        <v>1</v>
      </c>
      <c r="D159" s="1">
        <v>19</v>
      </c>
      <c r="E159" s="1" t="b">
        <v>0</v>
      </c>
      <c r="F159" s="1">
        <v>5</v>
      </c>
      <c r="G159" s="1">
        <v>2</v>
      </c>
      <c r="H159" s="1">
        <v>0.24</v>
      </c>
      <c r="I159" s="1">
        <v>0.2424</v>
      </c>
      <c r="J159" s="1">
        <v>0.65</v>
      </c>
      <c r="K159" s="1">
        <v>0.1343</v>
      </c>
      <c r="L159" s="1">
        <v>1</v>
      </c>
      <c r="M159" s="1">
        <v>102</v>
      </c>
      <c r="N159" s="1">
        <v>103</v>
      </c>
    </row>
    <row r="160" spans="1:14" x14ac:dyDescent="0.3">
      <c r="A160" s="1">
        <v>778</v>
      </c>
      <c r="B160" s="2">
        <v>40578</v>
      </c>
      <c r="C160" s="1">
        <v>1</v>
      </c>
      <c r="D160" s="1">
        <v>20</v>
      </c>
      <c r="E160" s="1" t="b">
        <v>0</v>
      </c>
      <c r="F160" s="1">
        <v>5</v>
      </c>
      <c r="G160" s="1">
        <v>2</v>
      </c>
      <c r="H160" s="1">
        <v>0.24</v>
      </c>
      <c r="I160" s="1">
        <v>0.2424</v>
      </c>
      <c r="J160" s="1">
        <v>0.65</v>
      </c>
      <c r="K160" s="1">
        <v>0.16420000000000001</v>
      </c>
      <c r="L160" s="1">
        <v>2</v>
      </c>
      <c r="M160" s="1">
        <v>69</v>
      </c>
      <c r="N160" s="1">
        <v>71</v>
      </c>
    </row>
    <row r="161" spans="1:14" x14ac:dyDescent="0.3">
      <c r="A161" s="1">
        <v>779</v>
      </c>
      <c r="B161" s="2">
        <v>40578</v>
      </c>
      <c r="C161" s="1">
        <v>1</v>
      </c>
      <c r="D161" s="1">
        <v>21</v>
      </c>
      <c r="E161" s="1" t="b">
        <v>0</v>
      </c>
      <c r="F161" s="1">
        <v>5</v>
      </c>
      <c r="G161" s="1">
        <v>2</v>
      </c>
      <c r="H161" s="1">
        <v>0.24</v>
      </c>
      <c r="I161" s="1">
        <v>0.2424</v>
      </c>
      <c r="J161" s="1">
        <v>0.7</v>
      </c>
      <c r="K161" s="1">
        <v>0.16420000000000001</v>
      </c>
      <c r="L161" s="1">
        <v>2</v>
      </c>
      <c r="M161" s="1">
        <v>41</v>
      </c>
      <c r="N161" s="1">
        <v>43</v>
      </c>
    </row>
    <row r="162" spans="1:14" x14ac:dyDescent="0.3">
      <c r="A162" s="1">
        <v>780</v>
      </c>
      <c r="B162" s="2">
        <v>40578</v>
      </c>
      <c r="C162" s="1">
        <v>1</v>
      </c>
      <c r="D162" s="1">
        <v>22</v>
      </c>
      <c r="E162" s="1" t="b">
        <v>0</v>
      </c>
      <c r="F162" s="1">
        <v>5</v>
      </c>
      <c r="G162" s="1">
        <v>2</v>
      </c>
      <c r="H162" s="1">
        <v>0.24</v>
      </c>
      <c r="I162" s="1">
        <v>0.2424</v>
      </c>
      <c r="J162" s="1">
        <v>0.65</v>
      </c>
      <c r="K162" s="1">
        <v>0.16420000000000001</v>
      </c>
      <c r="L162" s="1">
        <v>1</v>
      </c>
      <c r="M162" s="1">
        <v>45</v>
      </c>
      <c r="N162" s="1">
        <v>46</v>
      </c>
    </row>
    <row r="163" spans="1:14" x14ac:dyDescent="0.3">
      <c r="A163" s="1">
        <v>781</v>
      </c>
      <c r="B163" s="2">
        <v>40578</v>
      </c>
      <c r="C163" s="1">
        <v>1</v>
      </c>
      <c r="D163" s="1">
        <v>23</v>
      </c>
      <c r="E163" s="1" t="b">
        <v>0</v>
      </c>
      <c r="F163" s="1">
        <v>5</v>
      </c>
      <c r="G163" s="1">
        <v>2</v>
      </c>
      <c r="H163" s="1">
        <v>0.24</v>
      </c>
      <c r="I163" s="1">
        <v>0.2424</v>
      </c>
      <c r="J163" s="1">
        <v>0.7</v>
      </c>
      <c r="K163" s="1">
        <v>0.1343</v>
      </c>
      <c r="L163" s="1">
        <v>1</v>
      </c>
      <c r="M163" s="1">
        <v>30</v>
      </c>
      <c r="N163" s="1">
        <v>31</v>
      </c>
    </row>
    <row r="164" spans="1:14" x14ac:dyDescent="0.3">
      <c r="A164" s="1">
        <v>782</v>
      </c>
      <c r="B164" s="2">
        <v>40579</v>
      </c>
      <c r="C164" s="1">
        <v>1</v>
      </c>
      <c r="D164" s="1">
        <v>0</v>
      </c>
      <c r="E164" s="1" t="b">
        <v>0</v>
      </c>
      <c r="F164" s="1">
        <v>6</v>
      </c>
      <c r="G164" s="1">
        <v>2</v>
      </c>
      <c r="H164" s="1">
        <v>0.24</v>
      </c>
      <c r="I164" s="1">
        <v>0.2424</v>
      </c>
      <c r="J164" s="1">
        <v>0.7</v>
      </c>
      <c r="K164" s="1">
        <v>0.16420000000000001</v>
      </c>
      <c r="L164" s="1">
        <v>3</v>
      </c>
      <c r="M164" s="1">
        <v>36</v>
      </c>
      <c r="N164" s="1">
        <v>39</v>
      </c>
    </row>
    <row r="165" spans="1:14" x14ac:dyDescent="0.3">
      <c r="A165" s="1">
        <v>783</v>
      </c>
      <c r="B165" s="2">
        <v>40579</v>
      </c>
      <c r="C165" s="1">
        <v>1</v>
      </c>
      <c r="D165" s="1">
        <v>1</v>
      </c>
      <c r="E165" s="1" t="b">
        <v>0</v>
      </c>
      <c r="F165" s="1">
        <v>6</v>
      </c>
      <c r="G165" s="1">
        <v>2</v>
      </c>
      <c r="H165" s="1">
        <v>0.24</v>
      </c>
      <c r="I165" s="1">
        <v>0.2424</v>
      </c>
      <c r="J165" s="1">
        <v>0.65</v>
      </c>
      <c r="K165" s="1">
        <v>0.16420000000000001</v>
      </c>
      <c r="L165" s="1">
        <v>1</v>
      </c>
      <c r="M165" s="1">
        <v>17</v>
      </c>
      <c r="N165" s="1">
        <v>18</v>
      </c>
    </row>
    <row r="166" spans="1:14" x14ac:dyDescent="0.3">
      <c r="A166" s="1">
        <v>784</v>
      </c>
      <c r="B166" s="2">
        <v>40579</v>
      </c>
      <c r="C166" s="1">
        <v>1</v>
      </c>
      <c r="D166" s="1">
        <v>2</v>
      </c>
      <c r="E166" s="1" t="b">
        <v>0</v>
      </c>
      <c r="F166" s="1">
        <v>6</v>
      </c>
      <c r="G166" s="1">
        <v>2</v>
      </c>
      <c r="H166" s="1">
        <v>0.24</v>
      </c>
      <c r="I166" s="1">
        <v>0.2424</v>
      </c>
      <c r="J166" s="1">
        <v>0.75</v>
      </c>
      <c r="K166" s="1">
        <v>0.16420000000000001</v>
      </c>
      <c r="L166" s="1">
        <v>5</v>
      </c>
      <c r="M166" s="1">
        <v>12</v>
      </c>
      <c r="N166" s="1">
        <v>17</v>
      </c>
    </row>
    <row r="167" spans="1:14" x14ac:dyDescent="0.3">
      <c r="A167" s="1">
        <v>785</v>
      </c>
      <c r="B167" s="2">
        <v>40579</v>
      </c>
      <c r="C167" s="1">
        <v>1</v>
      </c>
      <c r="D167" s="1">
        <v>3</v>
      </c>
      <c r="E167" s="1" t="b">
        <v>0</v>
      </c>
      <c r="F167" s="1">
        <v>6</v>
      </c>
      <c r="G167" s="1">
        <v>2</v>
      </c>
      <c r="H167" s="1">
        <v>0.24</v>
      </c>
      <c r="I167" s="1">
        <v>0.2424</v>
      </c>
      <c r="J167" s="1">
        <v>0.75</v>
      </c>
      <c r="K167" s="1">
        <v>0.16420000000000001</v>
      </c>
      <c r="L167" s="1">
        <v>1</v>
      </c>
      <c r="M167" s="1">
        <v>10</v>
      </c>
      <c r="N167" s="1">
        <v>11</v>
      </c>
    </row>
    <row r="168" spans="1:14" x14ac:dyDescent="0.3">
      <c r="A168" s="1">
        <v>786</v>
      </c>
      <c r="B168" s="2">
        <v>40579</v>
      </c>
      <c r="C168" s="1">
        <v>1</v>
      </c>
      <c r="D168" s="1">
        <v>4</v>
      </c>
      <c r="E168" s="1" t="b">
        <v>0</v>
      </c>
      <c r="F168" s="1">
        <v>6</v>
      </c>
      <c r="G168" s="1">
        <v>3</v>
      </c>
      <c r="H168" s="1">
        <v>0.22</v>
      </c>
      <c r="I168" s="1">
        <v>0.2273</v>
      </c>
      <c r="J168" s="1">
        <v>0.93</v>
      </c>
      <c r="K168" s="1">
        <v>0.1343</v>
      </c>
      <c r="L168" s="1">
        <v>0</v>
      </c>
      <c r="M168" s="1">
        <v>8</v>
      </c>
      <c r="N168" s="1">
        <v>8</v>
      </c>
    </row>
    <row r="169" spans="1:14" x14ac:dyDescent="0.3">
      <c r="A169" s="1">
        <v>787</v>
      </c>
      <c r="B169" s="2">
        <v>40579</v>
      </c>
      <c r="C169" s="1">
        <v>1</v>
      </c>
      <c r="D169" s="1">
        <v>5</v>
      </c>
      <c r="E169" s="1" t="b">
        <v>0</v>
      </c>
      <c r="F169" s="1">
        <v>6</v>
      </c>
      <c r="G169" s="1">
        <v>3</v>
      </c>
      <c r="H169" s="1">
        <v>0.2</v>
      </c>
      <c r="I169" s="1">
        <v>0.2273</v>
      </c>
      <c r="J169" s="1">
        <v>1</v>
      </c>
      <c r="K169" s="1">
        <v>8.9599999999999999E-2</v>
      </c>
      <c r="L169" s="1">
        <v>0</v>
      </c>
      <c r="M169" s="1">
        <v>9</v>
      </c>
      <c r="N169" s="1">
        <v>9</v>
      </c>
    </row>
    <row r="170" spans="1:14" x14ac:dyDescent="0.3">
      <c r="A170" s="1">
        <v>788</v>
      </c>
      <c r="B170" s="2">
        <v>40579</v>
      </c>
      <c r="C170" s="1">
        <v>1</v>
      </c>
      <c r="D170" s="1">
        <v>6</v>
      </c>
      <c r="E170" s="1" t="b">
        <v>0</v>
      </c>
      <c r="F170" s="1">
        <v>6</v>
      </c>
      <c r="G170" s="1">
        <v>3</v>
      </c>
      <c r="H170" s="1">
        <v>0.2</v>
      </c>
      <c r="I170" s="1">
        <v>0.2576</v>
      </c>
      <c r="J170" s="1">
        <v>1</v>
      </c>
      <c r="K170" s="1">
        <v>0</v>
      </c>
      <c r="L170" s="1">
        <v>0</v>
      </c>
      <c r="M170" s="1">
        <v>4</v>
      </c>
      <c r="N170" s="1">
        <v>4</v>
      </c>
    </row>
    <row r="171" spans="1:14" x14ac:dyDescent="0.3">
      <c r="A171" s="1">
        <v>789</v>
      </c>
      <c r="B171" s="2">
        <v>40579</v>
      </c>
      <c r="C171" s="1">
        <v>1</v>
      </c>
      <c r="D171" s="1">
        <v>7</v>
      </c>
      <c r="E171" s="1" t="b">
        <v>0</v>
      </c>
      <c r="F171" s="1">
        <v>6</v>
      </c>
      <c r="G171" s="1">
        <v>3</v>
      </c>
      <c r="H171" s="1">
        <v>0.22</v>
      </c>
      <c r="I171" s="1">
        <v>0.2576</v>
      </c>
      <c r="J171" s="1">
        <v>0.93</v>
      </c>
      <c r="K171" s="1">
        <v>8.9599999999999999E-2</v>
      </c>
      <c r="L171" s="1">
        <v>0</v>
      </c>
      <c r="M171" s="1">
        <v>4</v>
      </c>
      <c r="N171" s="1">
        <v>4</v>
      </c>
    </row>
    <row r="172" spans="1:14" x14ac:dyDescent="0.3">
      <c r="A172" s="1">
        <v>790</v>
      </c>
      <c r="B172" s="2">
        <v>40579</v>
      </c>
      <c r="C172" s="1">
        <v>1</v>
      </c>
      <c r="D172" s="1">
        <v>8</v>
      </c>
      <c r="E172" s="1" t="b">
        <v>0</v>
      </c>
      <c r="F172" s="1">
        <v>6</v>
      </c>
      <c r="G172" s="1">
        <v>3</v>
      </c>
      <c r="H172" s="1">
        <v>0.2</v>
      </c>
      <c r="I172" s="1">
        <v>0.2273</v>
      </c>
      <c r="J172" s="1">
        <v>1</v>
      </c>
      <c r="K172" s="1">
        <v>8.9599999999999999E-2</v>
      </c>
      <c r="L172" s="1">
        <v>0</v>
      </c>
      <c r="M172" s="1">
        <v>10</v>
      </c>
      <c r="N172" s="1">
        <v>10</v>
      </c>
    </row>
    <row r="173" spans="1:14" x14ac:dyDescent="0.3">
      <c r="A173" s="1">
        <v>791</v>
      </c>
      <c r="B173" s="2">
        <v>40579</v>
      </c>
      <c r="C173" s="1">
        <v>1</v>
      </c>
      <c r="D173" s="1">
        <v>9</v>
      </c>
      <c r="E173" s="1" t="b">
        <v>0</v>
      </c>
      <c r="F173" s="1">
        <v>6</v>
      </c>
      <c r="G173" s="1">
        <v>3</v>
      </c>
      <c r="H173" s="1">
        <v>0.2</v>
      </c>
      <c r="I173" s="1">
        <v>0.2273</v>
      </c>
      <c r="J173" s="1">
        <v>1</v>
      </c>
      <c r="K173" s="1">
        <v>8.9599999999999999E-2</v>
      </c>
      <c r="L173" s="1">
        <v>3</v>
      </c>
      <c r="M173" s="1">
        <v>17</v>
      </c>
      <c r="N173" s="1">
        <v>20</v>
      </c>
    </row>
    <row r="174" spans="1:14" x14ac:dyDescent="0.3">
      <c r="A174" s="1">
        <v>792</v>
      </c>
      <c r="B174" s="2">
        <v>40579</v>
      </c>
      <c r="C174" s="1">
        <v>1</v>
      </c>
      <c r="D174" s="1">
        <v>10</v>
      </c>
      <c r="E174" s="1" t="b">
        <v>0</v>
      </c>
      <c r="F174" s="1">
        <v>6</v>
      </c>
      <c r="G174" s="1">
        <v>3</v>
      </c>
      <c r="H174" s="1">
        <v>0.2</v>
      </c>
      <c r="I174" s="1">
        <v>0.21210000000000001</v>
      </c>
      <c r="J174" s="1">
        <v>1</v>
      </c>
      <c r="K174" s="1">
        <v>0.1343</v>
      </c>
      <c r="L174" s="1">
        <v>3</v>
      </c>
      <c r="M174" s="1">
        <v>31</v>
      </c>
      <c r="N174" s="1">
        <v>34</v>
      </c>
    </row>
    <row r="175" spans="1:14" x14ac:dyDescent="0.3">
      <c r="A175" s="1">
        <v>793</v>
      </c>
      <c r="B175" s="2">
        <v>40579</v>
      </c>
      <c r="C175" s="1">
        <v>1</v>
      </c>
      <c r="D175" s="1">
        <v>11</v>
      </c>
      <c r="E175" s="1" t="b">
        <v>0</v>
      </c>
      <c r="F175" s="1">
        <v>6</v>
      </c>
      <c r="G175" s="1">
        <v>3</v>
      </c>
      <c r="H175" s="1">
        <v>0.22</v>
      </c>
      <c r="I175" s="1">
        <v>0.2273</v>
      </c>
      <c r="J175" s="1">
        <v>1</v>
      </c>
      <c r="K175" s="1">
        <v>0.1343</v>
      </c>
      <c r="L175" s="1">
        <v>1</v>
      </c>
      <c r="M175" s="1">
        <v>46</v>
      </c>
      <c r="N175" s="1">
        <v>47</v>
      </c>
    </row>
    <row r="176" spans="1:14" x14ac:dyDescent="0.3">
      <c r="A176" s="1">
        <v>794</v>
      </c>
      <c r="B176" s="2">
        <v>40579</v>
      </c>
      <c r="C176" s="1">
        <v>1</v>
      </c>
      <c r="D176" s="1">
        <v>12</v>
      </c>
      <c r="E176" s="1" t="b">
        <v>0</v>
      </c>
      <c r="F176" s="1">
        <v>6</v>
      </c>
      <c r="G176" s="1">
        <v>3</v>
      </c>
      <c r="H176" s="1">
        <v>0.22</v>
      </c>
      <c r="I176" s="1">
        <v>0.2273</v>
      </c>
      <c r="J176" s="1">
        <v>1</v>
      </c>
      <c r="K176" s="1">
        <v>0.16420000000000001</v>
      </c>
      <c r="L176" s="1">
        <v>10</v>
      </c>
      <c r="M176" s="1">
        <v>42</v>
      </c>
      <c r="N176" s="1">
        <v>52</v>
      </c>
    </row>
    <row r="177" spans="1:14" x14ac:dyDescent="0.3">
      <c r="A177" s="1">
        <v>795</v>
      </c>
      <c r="B177" s="2">
        <v>40579</v>
      </c>
      <c r="C177" s="1">
        <v>1</v>
      </c>
      <c r="D177" s="1">
        <v>13</v>
      </c>
      <c r="E177" s="1" t="b">
        <v>0</v>
      </c>
      <c r="F177" s="1">
        <v>6</v>
      </c>
      <c r="G177" s="1">
        <v>3</v>
      </c>
      <c r="H177" s="1">
        <v>0.22</v>
      </c>
      <c r="I177" s="1">
        <v>0.2273</v>
      </c>
      <c r="J177" s="1">
        <v>1</v>
      </c>
      <c r="K177" s="1">
        <v>0.16420000000000001</v>
      </c>
      <c r="L177" s="1">
        <v>10</v>
      </c>
      <c r="M177" s="1">
        <v>62</v>
      </c>
      <c r="N177" s="1">
        <v>72</v>
      </c>
    </row>
    <row r="178" spans="1:14" x14ac:dyDescent="0.3">
      <c r="A178" s="1">
        <v>796</v>
      </c>
      <c r="B178" s="2">
        <v>40579</v>
      </c>
      <c r="C178" s="1">
        <v>1</v>
      </c>
      <c r="D178" s="1">
        <v>14</v>
      </c>
      <c r="E178" s="1" t="b">
        <v>0</v>
      </c>
      <c r="F178" s="1">
        <v>6</v>
      </c>
      <c r="G178" s="1">
        <v>3</v>
      </c>
      <c r="H178" s="1">
        <v>0.22</v>
      </c>
      <c r="I178" s="1">
        <v>0.2727</v>
      </c>
      <c r="J178" s="1">
        <v>1</v>
      </c>
      <c r="K178" s="1">
        <v>0</v>
      </c>
      <c r="L178" s="1">
        <v>5</v>
      </c>
      <c r="M178" s="1">
        <v>50</v>
      </c>
      <c r="N178" s="1">
        <v>55</v>
      </c>
    </row>
    <row r="179" spans="1:14" x14ac:dyDescent="0.3">
      <c r="A179" s="1">
        <v>797</v>
      </c>
      <c r="B179" s="2">
        <v>40579</v>
      </c>
      <c r="C179" s="1">
        <v>1</v>
      </c>
      <c r="D179" s="1">
        <v>15</v>
      </c>
      <c r="E179" s="1" t="b">
        <v>0</v>
      </c>
      <c r="F179" s="1">
        <v>6</v>
      </c>
      <c r="G179" s="1">
        <v>3</v>
      </c>
      <c r="H179" s="1">
        <v>0.22</v>
      </c>
      <c r="I179" s="1">
        <v>0.2727</v>
      </c>
      <c r="J179" s="1">
        <v>1</v>
      </c>
      <c r="K179" s="1">
        <v>0</v>
      </c>
      <c r="L179" s="1">
        <v>11</v>
      </c>
      <c r="M179" s="1">
        <v>49</v>
      </c>
      <c r="N179" s="1">
        <v>60</v>
      </c>
    </row>
    <row r="180" spans="1:14" x14ac:dyDescent="0.3">
      <c r="A180" s="1">
        <v>798</v>
      </c>
      <c r="B180" s="2">
        <v>40579</v>
      </c>
      <c r="C180" s="1">
        <v>1</v>
      </c>
      <c r="D180" s="1">
        <v>16</v>
      </c>
      <c r="E180" s="1" t="b">
        <v>0</v>
      </c>
      <c r="F180" s="1">
        <v>6</v>
      </c>
      <c r="G180" s="1">
        <v>3</v>
      </c>
      <c r="H180" s="1">
        <v>0.22</v>
      </c>
      <c r="I180" s="1">
        <v>0.2273</v>
      </c>
      <c r="J180" s="1">
        <v>1</v>
      </c>
      <c r="K180" s="1">
        <v>0.1343</v>
      </c>
      <c r="L180" s="1">
        <v>8</v>
      </c>
      <c r="M180" s="1">
        <v>63</v>
      </c>
      <c r="N180" s="1">
        <v>71</v>
      </c>
    </row>
    <row r="181" spans="1:14" x14ac:dyDescent="0.3">
      <c r="A181" s="1">
        <v>799</v>
      </c>
      <c r="B181" s="2">
        <v>40579</v>
      </c>
      <c r="C181" s="1">
        <v>1</v>
      </c>
      <c r="D181" s="1">
        <v>17</v>
      </c>
      <c r="E181" s="1" t="b">
        <v>0</v>
      </c>
      <c r="F181" s="1">
        <v>6</v>
      </c>
      <c r="G181" s="1">
        <v>2</v>
      </c>
      <c r="H181" s="1">
        <v>0.24</v>
      </c>
      <c r="I181" s="1">
        <v>0.21210000000000001</v>
      </c>
      <c r="J181" s="1">
        <v>1</v>
      </c>
      <c r="K181" s="1">
        <v>0.28360000000000002</v>
      </c>
      <c r="L181" s="1">
        <v>14</v>
      </c>
      <c r="M181" s="1">
        <v>64</v>
      </c>
      <c r="N181" s="1">
        <v>78</v>
      </c>
    </row>
    <row r="182" spans="1:14" x14ac:dyDescent="0.3">
      <c r="A182" s="1">
        <v>800</v>
      </c>
      <c r="B182" s="2">
        <v>40579</v>
      </c>
      <c r="C182" s="1">
        <v>1</v>
      </c>
      <c r="D182" s="1">
        <v>18</v>
      </c>
      <c r="E182" s="1" t="b">
        <v>0</v>
      </c>
      <c r="F182" s="1">
        <v>6</v>
      </c>
      <c r="G182" s="1">
        <v>2</v>
      </c>
      <c r="H182" s="1">
        <v>0.28000000000000003</v>
      </c>
      <c r="I182" s="1">
        <v>0.2424</v>
      </c>
      <c r="J182" s="1">
        <v>0.93</v>
      </c>
      <c r="K182" s="1">
        <v>0.44779999999999998</v>
      </c>
      <c r="L182" s="1">
        <v>2</v>
      </c>
      <c r="M182" s="1">
        <v>81</v>
      </c>
      <c r="N182" s="1">
        <v>83</v>
      </c>
    </row>
    <row r="183" spans="1:14" x14ac:dyDescent="0.3">
      <c r="A183" s="1">
        <v>801</v>
      </c>
      <c r="B183" s="2">
        <v>40579</v>
      </c>
      <c r="C183" s="1">
        <v>1</v>
      </c>
      <c r="D183" s="1">
        <v>19</v>
      </c>
      <c r="E183" s="1" t="b">
        <v>0</v>
      </c>
      <c r="F183" s="1">
        <v>6</v>
      </c>
      <c r="G183" s="1">
        <v>2</v>
      </c>
      <c r="H183" s="1">
        <v>0.28000000000000003</v>
      </c>
      <c r="I183" s="1">
        <v>0.2424</v>
      </c>
      <c r="J183" s="1">
        <v>0.93</v>
      </c>
      <c r="K183" s="1">
        <v>0.44779999999999998</v>
      </c>
      <c r="L183" s="1">
        <v>6</v>
      </c>
      <c r="M183" s="1">
        <v>78</v>
      </c>
      <c r="N183" s="1">
        <v>84</v>
      </c>
    </row>
    <row r="184" spans="1:14" x14ac:dyDescent="0.3">
      <c r="A184" s="1">
        <v>802</v>
      </c>
      <c r="B184" s="2">
        <v>40579</v>
      </c>
      <c r="C184" s="1">
        <v>1</v>
      </c>
      <c r="D184" s="1">
        <v>20</v>
      </c>
      <c r="E184" s="1" t="b">
        <v>0</v>
      </c>
      <c r="F184" s="1">
        <v>6</v>
      </c>
      <c r="G184" s="1">
        <v>1</v>
      </c>
      <c r="H184" s="1">
        <v>0.3</v>
      </c>
      <c r="I184" s="1">
        <v>0.28789999999999999</v>
      </c>
      <c r="J184" s="1">
        <v>0.87</v>
      </c>
      <c r="K184" s="1">
        <v>0.25369999999999998</v>
      </c>
      <c r="L184" s="1">
        <v>5</v>
      </c>
      <c r="M184" s="1">
        <v>64</v>
      </c>
      <c r="N184" s="1">
        <v>69</v>
      </c>
    </row>
    <row r="185" spans="1:14" x14ac:dyDescent="0.3">
      <c r="A185" s="1">
        <v>803</v>
      </c>
      <c r="B185" s="2">
        <v>40579</v>
      </c>
      <c r="C185" s="1">
        <v>1</v>
      </c>
      <c r="D185" s="1">
        <v>21</v>
      </c>
      <c r="E185" s="1" t="b">
        <v>0</v>
      </c>
      <c r="F185" s="1">
        <v>6</v>
      </c>
      <c r="G185" s="1">
        <v>1</v>
      </c>
      <c r="H185" s="1">
        <v>0.26</v>
      </c>
      <c r="I185" s="1">
        <v>0.2576</v>
      </c>
      <c r="J185" s="1">
        <v>1</v>
      </c>
      <c r="K185" s="1">
        <v>0.19400000000000001</v>
      </c>
      <c r="L185" s="1">
        <v>3</v>
      </c>
      <c r="M185" s="1">
        <v>53</v>
      </c>
      <c r="N185" s="1">
        <v>56</v>
      </c>
    </row>
    <row r="186" spans="1:14" x14ac:dyDescent="0.3">
      <c r="A186" s="1">
        <v>804</v>
      </c>
      <c r="B186" s="2">
        <v>40579</v>
      </c>
      <c r="C186" s="1">
        <v>1</v>
      </c>
      <c r="D186" s="1">
        <v>22</v>
      </c>
      <c r="E186" s="1" t="b">
        <v>0</v>
      </c>
      <c r="F186" s="1">
        <v>6</v>
      </c>
      <c r="G186" s="1">
        <v>1</v>
      </c>
      <c r="H186" s="1">
        <v>0.26</v>
      </c>
      <c r="I186" s="1">
        <v>0.2727</v>
      </c>
      <c r="J186" s="1">
        <v>0.93</v>
      </c>
      <c r="K186" s="1">
        <v>0.1343</v>
      </c>
      <c r="L186" s="1">
        <v>2</v>
      </c>
      <c r="M186" s="1">
        <v>43</v>
      </c>
      <c r="N186" s="1">
        <v>45</v>
      </c>
    </row>
    <row r="187" spans="1:14" x14ac:dyDescent="0.3">
      <c r="A187" s="1">
        <v>805</v>
      </c>
      <c r="B187" s="2">
        <v>40579</v>
      </c>
      <c r="C187" s="1">
        <v>1</v>
      </c>
      <c r="D187" s="1">
        <v>23</v>
      </c>
      <c r="E187" s="1" t="b">
        <v>0</v>
      </c>
      <c r="F187" s="1">
        <v>6</v>
      </c>
      <c r="G187" s="1">
        <v>1</v>
      </c>
      <c r="H187" s="1">
        <v>0.26</v>
      </c>
      <c r="I187" s="1">
        <v>0.2576</v>
      </c>
      <c r="J187" s="1">
        <v>0.93</v>
      </c>
      <c r="K187" s="1">
        <v>0.22389999999999999</v>
      </c>
      <c r="L187" s="1">
        <v>7</v>
      </c>
      <c r="M187" s="1">
        <v>52</v>
      </c>
      <c r="N187" s="1">
        <v>59</v>
      </c>
    </row>
    <row r="188" spans="1:14" x14ac:dyDescent="0.3">
      <c r="A188" s="1">
        <v>806</v>
      </c>
      <c r="B188" s="2">
        <v>40580</v>
      </c>
      <c r="C188" s="1">
        <v>1</v>
      </c>
      <c r="D188" s="1">
        <v>0</v>
      </c>
      <c r="E188" s="1" t="b">
        <v>0</v>
      </c>
      <c r="F188" s="1">
        <v>0</v>
      </c>
      <c r="G188" s="1">
        <v>1</v>
      </c>
      <c r="H188" s="1">
        <v>0.26</v>
      </c>
      <c r="I188" s="1">
        <v>0.2576</v>
      </c>
      <c r="J188" s="1">
        <v>0.7</v>
      </c>
      <c r="K188" s="1">
        <v>0.19400000000000001</v>
      </c>
      <c r="L188" s="1">
        <v>2</v>
      </c>
      <c r="M188" s="1">
        <v>37</v>
      </c>
      <c r="N188" s="1">
        <v>39</v>
      </c>
    </row>
    <row r="189" spans="1:14" x14ac:dyDescent="0.3">
      <c r="A189" s="1">
        <v>807</v>
      </c>
      <c r="B189" s="2">
        <v>40580</v>
      </c>
      <c r="C189" s="1">
        <v>1</v>
      </c>
      <c r="D189" s="1">
        <v>1</v>
      </c>
      <c r="E189" s="1" t="b">
        <v>0</v>
      </c>
      <c r="F189" s="1">
        <v>0</v>
      </c>
      <c r="G189" s="1">
        <v>1</v>
      </c>
      <c r="H189" s="1">
        <v>0.26</v>
      </c>
      <c r="I189" s="1">
        <v>0.2273</v>
      </c>
      <c r="J189" s="1">
        <v>0.65</v>
      </c>
      <c r="K189" s="1">
        <v>0.41789999999999999</v>
      </c>
      <c r="L189" s="1">
        <v>4</v>
      </c>
      <c r="M189" s="1">
        <v>40</v>
      </c>
      <c r="N189" s="1">
        <v>44</v>
      </c>
    </row>
    <row r="190" spans="1:14" x14ac:dyDescent="0.3">
      <c r="A190" s="1">
        <v>808</v>
      </c>
      <c r="B190" s="2">
        <v>40580</v>
      </c>
      <c r="C190" s="1">
        <v>1</v>
      </c>
      <c r="D190" s="1">
        <v>2</v>
      </c>
      <c r="E190" s="1" t="b">
        <v>0</v>
      </c>
      <c r="F190" s="1">
        <v>0</v>
      </c>
      <c r="G190" s="1">
        <v>1</v>
      </c>
      <c r="H190" s="1">
        <v>0.26</v>
      </c>
      <c r="I190" s="1">
        <v>0.2273</v>
      </c>
      <c r="J190" s="1">
        <v>0.6</v>
      </c>
      <c r="K190" s="1">
        <v>0.32840000000000003</v>
      </c>
      <c r="L190" s="1">
        <v>0</v>
      </c>
      <c r="M190" s="1">
        <v>20</v>
      </c>
      <c r="N190" s="1">
        <v>20</v>
      </c>
    </row>
    <row r="191" spans="1:14" x14ac:dyDescent="0.3">
      <c r="A191" s="1">
        <v>809</v>
      </c>
      <c r="B191" s="2">
        <v>40580</v>
      </c>
      <c r="C191" s="1">
        <v>1</v>
      </c>
      <c r="D191" s="1">
        <v>3</v>
      </c>
      <c r="E191" s="1" t="b">
        <v>0</v>
      </c>
      <c r="F191" s="1">
        <v>0</v>
      </c>
      <c r="G191" s="1">
        <v>1</v>
      </c>
      <c r="H191" s="1">
        <v>0.26</v>
      </c>
      <c r="I191" s="1">
        <v>0.28789999999999999</v>
      </c>
      <c r="J191" s="1">
        <v>0.6</v>
      </c>
      <c r="K191" s="1">
        <v>8.9599999999999999E-2</v>
      </c>
      <c r="L191" s="1">
        <v>3</v>
      </c>
      <c r="M191" s="1">
        <v>10</v>
      </c>
      <c r="N191" s="1">
        <v>13</v>
      </c>
    </row>
    <row r="192" spans="1:14" x14ac:dyDescent="0.3">
      <c r="A192" s="1">
        <v>810</v>
      </c>
      <c r="B192" s="2">
        <v>40580</v>
      </c>
      <c r="C192" s="1">
        <v>1</v>
      </c>
      <c r="D192" s="1">
        <v>4</v>
      </c>
      <c r="E192" s="1" t="b">
        <v>0</v>
      </c>
      <c r="F192" s="1">
        <v>0</v>
      </c>
      <c r="G192" s="1">
        <v>1</v>
      </c>
      <c r="H192" s="1">
        <v>0.26</v>
      </c>
      <c r="I192" s="1">
        <v>0.2273</v>
      </c>
      <c r="J192" s="1">
        <v>0.6</v>
      </c>
      <c r="K192" s="1">
        <v>0.35820000000000002</v>
      </c>
      <c r="L192" s="1">
        <v>0</v>
      </c>
      <c r="M192" s="1">
        <v>2</v>
      </c>
      <c r="N192" s="1">
        <v>2</v>
      </c>
    </row>
    <row r="193" spans="1:14" x14ac:dyDescent="0.3">
      <c r="A193" s="1">
        <v>811</v>
      </c>
      <c r="B193" s="2">
        <v>40580</v>
      </c>
      <c r="C193" s="1">
        <v>1</v>
      </c>
      <c r="D193" s="1">
        <v>5</v>
      </c>
      <c r="E193" s="1" t="b">
        <v>0</v>
      </c>
      <c r="F193" s="1">
        <v>0</v>
      </c>
      <c r="G193" s="1">
        <v>1</v>
      </c>
      <c r="H193" s="1">
        <v>0.26</v>
      </c>
      <c r="I193" s="1">
        <v>0.2576</v>
      </c>
      <c r="J193" s="1">
        <v>0.6</v>
      </c>
      <c r="K193" s="1">
        <v>0.22389999999999999</v>
      </c>
      <c r="L193" s="1">
        <v>0</v>
      </c>
      <c r="M193" s="1">
        <v>1</v>
      </c>
      <c r="N193" s="1">
        <v>1</v>
      </c>
    </row>
    <row r="194" spans="1:14" x14ac:dyDescent="0.3">
      <c r="A194" s="1">
        <v>812</v>
      </c>
      <c r="B194" s="2">
        <v>40580</v>
      </c>
      <c r="C194" s="1">
        <v>1</v>
      </c>
      <c r="D194" s="1">
        <v>6</v>
      </c>
      <c r="E194" s="1" t="b">
        <v>0</v>
      </c>
      <c r="F194" s="1">
        <v>0</v>
      </c>
      <c r="G194" s="1">
        <v>1</v>
      </c>
      <c r="H194" s="1">
        <v>0.26</v>
      </c>
      <c r="I194" s="1">
        <v>0.2576</v>
      </c>
      <c r="J194" s="1">
        <v>0.6</v>
      </c>
      <c r="K194" s="1">
        <v>0.22389999999999999</v>
      </c>
      <c r="L194" s="1">
        <v>0</v>
      </c>
      <c r="M194" s="1">
        <v>1</v>
      </c>
      <c r="N194" s="1">
        <v>1</v>
      </c>
    </row>
    <row r="195" spans="1:14" x14ac:dyDescent="0.3">
      <c r="A195" s="1">
        <v>813</v>
      </c>
      <c r="B195" s="2">
        <v>40580</v>
      </c>
      <c r="C195" s="1">
        <v>1</v>
      </c>
      <c r="D195" s="1">
        <v>7</v>
      </c>
      <c r="E195" s="1" t="b">
        <v>0</v>
      </c>
      <c r="F195" s="1">
        <v>0</v>
      </c>
      <c r="G195" s="1">
        <v>1</v>
      </c>
      <c r="H195" s="1">
        <v>0.24</v>
      </c>
      <c r="I195" s="1">
        <v>0.2424</v>
      </c>
      <c r="J195" s="1">
        <v>0.65</v>
      </c>
      <c r="K195" s="1">
        <v>0.16420000000000001</v>
      </c>
      <c r="L195" s="1">
        <v>0</v>
      </c>
      <c r="M195" s="1">
        <v>8</v>
      </c>
      <c r="N195" s="1">
        <v>8</v>
      </c>
    </row>
    <row r="196" spans="1:14" x14ac:dyDescent="0.3">
      <c r="A196" s="1">
        <v>814</v>
      </c>
      <c r="B196" s="2">
        <v>40580</v>
      </c>
      <c r="C196" s="1">
        <v>1</v>
      </c>
      <c r="D196" s="1">
        <v>8</v>
      </c>
      <c r="E196" s="1" t="b">
        <v>0</v>
      </c>
      <c r="F196" s="1">
        <v>0</v>
      </c>
      <c r="G196" s="1">
        <v>1</v>
      </c>
      <c r="H196" s="1">
        <v>0.24</v>
      </c>
      <c r="I196" s="1">
        <v>0.2576</v>
      </c>
      <c r="J196" s="1">
        <v>0.65</v>
      </c>
      <c r="K196" s="1">
        <v>0.1045</v>
      </c>
      <c r="L196" s="1">
        <v>2</v>
      </c>
      <c r="M196" s="1">
        <v>21</v>
      </c>
      <c r="N196" s="1">
        <v>23</v>
      </c>
    </row>
    <row r="197" spans="1:14" x14ac:dyDescent="0.3">
      <c r="A197" s="1">
        <v>815</v>
      </c>
      <c r="B197" s="2">
        <v>40580</v>
      </c>
      <c r="C197" s="1">
        <v>1</v>
      </c>
      <c r="D197" s="1">
        <v>9</v>
      </c>
      <c r="E197" s="1" t="b">
        <v>0</v>
      </c>
      <c r="F197" s="1">
        <v>0</v>
      </c>
      <c r="G197" s="1">
        <v>1</v>
      </c>
      <c r="H197" s="1">
        <v>0.28000000000000003</v>
      </c>
      <c r="I197" s="1">
        <v>0.28789999999999999</v>
      </c>
      <c r="J197" s="1">
        <v>0.56000000000000005</v>
      </c>
      <c r="K197" s="1">
        <v>0.1045</v>
      </c>
      <c r="L197" s="1">
        <v>7</v>
      </c>
      <c r="M197" s="1">
        <v>38</v>
      </c>
      <c r="N197" s="1">
        <v>45</v>
      </c>
    </row>
    <row r="198" spans="1:14" x14ac:dyDescent="0.3">
      <c r="A198" s="1">
        <v>816</v>
      </c>
      <c r="B198" s="2">
        <v>40580</v>
      </c>
      <c r="C198" s="1">
        <v>1</v>
      </c>
      <c r="D198" s="1">
        <v>10</v>
      </c>
      <c r="E198" s="1" t="b">
        <v>0</v>
      </c>
      <c r="F198" s="1">
        <v>0</v>
      </c>
      <c r="G198" s="1">
        <v>1</v>
      </c>
      <c r="H198" s="1">
        <v>0.3</v>
      </c>
      <c r="I198" s="1">
        <v>0.28789999999999999</v>
      </c>
      <c r="J198" s="1">
        <v>0.52</v>
      </c>
      <c r="K198" s="1">
        <v>0.25369999999999998</v>
      </c>
      <c r="L198" s="1">
        <v>15</v>
      </c>
      <c r="M198" s="1">
        <v>74</v>
      </c>
      <c r="N198" s="1">
        <v>89</v>
      </c>
    </row>
    <row r="199" spans="1:14" x14ac:dyDescent="0.3">
      <c r="A199" s="1">
        <v>817</v>
      </c>
      <c r="B199" s="2">
        <v>40580</v>
      </c>
      <c r="C199" s="1">
        <v>1</v>
      </c>
      <c r="D199" s="1">
        <v>11</v>
      </c>
      <c r="E199" s="1" t="b">
        <v>0</v>
      </c>
      <c r="F199" s="1">
        <v>0</v>
      </c>
      <c r="G199" s="1">
        <v>1</v>
      </c>
      <c r="H199" s="1">
        <v>0.32</v>
      </c>
      <c r="I199" s="1">
        <v>0.30299999999999999</v>
      </c>
      <c r="J199" s="1">
        <v>0.49</v>
      </c>
      <c r="K199" s="1">
        <v>0.25369999999999998</v>
      </c>
      <c r="L199" s="1">
        <v>28</v>
      </c>
      <c r="M199" s="1">
        <v>89</v>
      </c>
      <c r="N199" s="1">
        <v>117</v>
      </c>
    </row>
    <row r="200" spans="1:14" x14ac:dyDescent="0.3">
      <c r="A200" s="1">
        <v>818</v>
      </c>
      <c r="B200" s="2">
        <v>40580</v>
      </c>
      <c r="C200" s="1">
        <v>1</v>
      </c>
      <c r="D200" s="1">
        <v>12</v>
      </c>
      <c r="E200" s="1" t="b">
        <v>0</v>
      </c>
      <c r="F200" s="1">
        <v>0</v>
      </c>
      <c r="G200" s="1">
        <v>1</v>
      </c>
      <c r="H200" s="1">
        <v>0.34</v>
      </c>
      <c r="I200" s="1">
        <v>0.33329999999999999</v>
      </c>
      <c r="J200" s="1">
        <v>0.46</v>
      </c>
      <c r="K200" s="1">
        <v>0</v>
      </c>
      <c r="L200" s="1">
        <v>48</v>
      </c>
      <c r="M200" s="1">
        <v>126</v>
      </c>
      <c r="N200" s="1">
        <v>174</v>
      </c>
    </row>
    <row r="201" spans="1:14" x14ac:dyDescent="0.3">
      <c r="A201" s="1">
        <v>819</v>
      </c>
      <c r="B201" s="2">
        <v>40580</v>
      </c>
      <c r="C201" s="1">
        <v>1</v>
      </c>
      <c r="D201" s="1">
        <v>13</v>
      </c>
      <c r="E201" s="1" t="b">
        <v>0</v>
      </c>
      <c r="F201" s="1">
        <v>0</v>
      </c>
      <c r="G201" s="1">
        <v>1</v>
      </c>
      <c r="H201" s="1">
        <v>0.34</v>
      </c>
      <c r="I201" s="1">
        <v>0.36359999999999998</v>
      </c>
      <c r="J201" s="1">
        <v>0.46</v>
      </c>
      <c r="K201" s="1">
        <v>0</v>
      </c>
      <c r="L201" s="1">
        <v>47</v>
      </c>
      <c r="M201" s="1">
        <v>135</v>
      </c>
      <c r="N201" s="1">
        <v>182</v>
      </c>
    </row>
    <row r="202" spans="1:14" x14ac:dyDescent="0.3">
      <c r="A202" s="1">
        <v>820</v>
      </c>
      <c r="B202" s="2">
        <v>40580</v>
      </c>
      <c r="C202" s="1">
        <v>1</v>
      </c>
      <c r="D202" s="1">
        <v>14</v>
      </c>
      <c r="E202" s="1" t="b">
        <v>0</v>
      </c>
      <c r="F202" s="1">
        <v>0</v>
      </c>
      <c r="G202" s="1">
        <v>1</v>
      </c>
      <c r="H202" s="1">
        <v>0.34</v>
      </c>
      <c r="I202" s="1">
        <v>0.34849999999999998</v>
      </c>
      <c r="J202" s="1">
        <v>0.46</v>
      </c>
      <c r="K202" s="1">
        <v>8.9599999999999999E-2</v>
      </c>
      <c r="L202" s="1">
        <v>47</v>
      </c>
      <c r="M202" s="1">
        <v>114</v>
      </c>
      <c r="N202" s="1">
        <v>161</v>
      </c>
    </row>
    <row r="203" spans="1:14" x14ac:dyDescent="0.3">
      <c r="A203" s="1">
        <v>821</v>
      </c>
      <c r="B203" s="2">
        <v>40580</v>
      </c>
      <c r="C203" s="1">
        <v>1</v>
      </c>
      <c r="D203" s="1">
        <v>15</v>
      </c>
      <c r="E203" s="1" t="b">
        <v>0</v>
      </c>
      <c r="F203" s="1">
        <v>0</v>
      </c>
      <c r="G203" s="1">
        <v>1</v>
      </c>
      <c r="H203" s="1">
        <v>0.34</v>
      </c>
      <c r="I203" s="1">
        <v>0.34849999999999998</v>
      </c>
      <c r="J203" s="1">
        <v>0.46</v>
      </c>
      <c r="K203" s="1">
        <v>8.9599999999999999E-2</v>
      </c>
      <c r="L203" s="1">
        <v>52</v>
      </c>
      <c r="M203" s="1">
        <v>130</v>
      </c>
      <c r="N203" s="1">
        <v>182</v>
      </c>
    </row>
    <row r="204" spans="1:14" x14ac:dyDescent="0.3">
      <c r="A204" s="1">
        <v>822</v>
      </c>
      <c r="B204" s="2">
        <v>40580</v>
      </c>
      <c r="C204" s="1">
        <v>1</v>
      </c>
      <c r="D204" s="1">
        <v>16</v>
      </c>
      <c r="E204" s="1" t="b">
        <v>0</v>
      </c>
      <c r="F204" s="1">
        <v>0</v>
      </c>
      <c r="G204" s="1">
        <v>1</v>
      </c>
      <c r="H204" s="1">
        <v>0.34</v>
      </c>
      <c r="I204" s="1">
        <v>0.34849999999999998</v>
      </c>
      <c r="J204" s="1">
        <v>0.49</v>
      </c>
      <c r="K204" s="1">
        <v>0.1045</v>
      </c>
      <c r="L204" s="1">
        <v>42</v>
      </c>
      <c r="M204" s="1">
        <v>115</v>
      </c>
      <c r="N204" s="1">
        <v>157</v>
      </c>
    </row>
    <row r="205" spans="1:14" x14ac:dyDescent="0.3">
      <c r="A205" s="1">
        <v>823</v>
      </c>
      <c r="B205" s="2">
        <v>40580</v>
      </c>
      <c r="C205" s="1">
        <v>1</v>
      </c>
      <c r="D205" s="1">
        <v>17</v>
      </c>
      <c r="E205" s="1" t="b">
        <v>0</v>
      </c>
      <c r="F205" s="1">
        <v>0</v>
      </c>
      <c r="G205" s="1">
        <v>1</v>
      </c>
      <c r="H205" s="1">
        <v>0.34</v>
      </c>
      <c r="I205" s="1">
        <v>0.36359999999999998</v>
      </c>
      <c r="J205" s="1">
        <v>0.46</v>
      </c>
      <c r="K205" s="1">
        <v>0</v>
      </c>
      <c r="L205" s="1">
        <v>24</v>
      </c>
      <c r="M205" s="1">
        <v>97</v>
      </c>
      <c r="N205" s="1">
        <v>121</v>
      </c>
    </row>
    <row r="206" spans="1:14" x14ac:dyDescent="0.3">
      <c r="A206" s="1">
        <v>824</v>
      </c>
      <c r="B206" s="2">
        <v>40580</v>
      </c>
      <c r="C206" s="1">
        <v>1</v>
      </c>
      <c r="D206" s="1">
        <v>18</v>
      </c>
      <c r="E206" s="1" t="b">
        <v>0</v>
      </c>
      <c r="F206" s="1">
        <v>0</v>
      </c>
      <c r="G206" s="1">
        <v>1</v>
      </c>
      <c r="H206" s="1">
        <v>0.3</v>
      </c>
      <c r="I206" s="1">
        <v>0.30299999999999999</v>
      </c>
      <c r="J206" s="1">
        <v>0.56000000000000005</v>
      </c>
      <c r="K206" s="1">
        <v>0.16420000000000001</v>
      </c>
      <c r="L206" s="1">
        <v>13</v>
      </c>
      <c r="M206" s="1">
        <v>65</v>
      </c>
      <c r="N206" s="1">
        <v>78</v>
      </c>
    </row>
    <row r="207" spans="1:14" x14ac:dyDescent="0.3">
      <c r="A207" s="1">
        <v>825</v>
      </c>
      <c r="B207" s="2">
        <v>40580</v>
      </c>
      <c r="C207" s="1">
        <v>1</v>
      </c>
      <c r="D207" s="1">
        <v>19</v>
      </c>
      <c r="E207" s="1" t="b">
        <v>0</v>
      </c>
      <c r="F207" s="1">
        <v>0</v>
      </c>
      <c r="G207" s="1">
        <v>1</v>
      </c>
      <c r="H207" s="1">
        <v>0.28000000000000003</v>
      </c>
      <c r="I207" s="1">
        <v>0.28789999999999999</v>
      </c>
      <c r="J207" s="1">
        <v>0.61</v>
      </c>
      <c r="K207" s="1">
        <v>0.1343</v>
      </c>
      <c r="L207" s="1">
        <v>1</v>
      </c>
      <c r="M207" s="1">
        <v>20</v>
      </c>
      <c r="N207" s="1">
        <v>21</v>
      </c>
    </row>
    <row r="208" spans="1:14" x14ac:dyDescent="0.3">
      <c r="A208" s="1">
        <v>826</v>
      </c>
      <c r="B208" s="2">
        <v>40580</v>
      </c>
      <c r="C208" s="1">
        <v>1</v>
      </c>
      <c r="D208" s="1">
        <v>20</v>
      </c>
      <c r="E208" s="1" t="b">
        <v>0</v>
      </c>
      <c r="F208" s="1">
        <v>0</v>
      </c>
      <c r="G208" s="1">
        <v>1</v>
      </c>
      <c r="H208" s="1">
        <v>0.28000000000000003</v>
      </c>
      <c r="I208" s="1">
        <v>0.28789999999999999</v>
      </c>
      <c r="J208" s="1">
        <v>0.61</v>
      </c>
      <c r="K208" s="1">
        <v>0.1045</v>
      </c>
      <c r="L208" s="1">
        <v>5</v>
      </c>
      <c r="M208" s="1">
        <v>21</v>
      </c>
      <c r="N208" s="1">
        <v>26</v>
      </c>
    </row>
    <row r="209" spans="1:14" x14ac:dyDescent="0.3">
      <c r="A209" s="1">
        <v>827</v>
      </c>
      <c r="B209" s="2">
        <v>40580</v>
      </c>
      <c r="C209" s="1">
        <v>1</v>
      </c>
      <c r="D209" s="1">
        <v>21</v>
      </c>
      <c r="E209" s="1" t="b">
        <v>0</v>
      </c>
      <c r="F209" s="1">
        <v>0</v>
      </c>
      <c r="G209" s="1">
        <v>1</v>
      </c>
      <c r="H209" s="1">
        <v>0.26</v>
      </c>
      <c r="I209" s="1">
        <v>0.30299999999999999</v>
      </c>
      <c r="J209" s="1">
        <v>0.6</v>
      </c>
      <c r="K209" s="1">
        <v>0</v>
      </c>
      <c r="L209" s="1">
        <v>5</v>
      </c>
      <c r="M209" s="1">
        <v>22</v>
      </c>
      <c r="N209" s="1">
        <v>27</v>
      </c>
    </row>
    <row r="210" spans="1:14" x14ac:dyDescent="0.3">
      <c r="A210" s="1">
        <v>828</v>
      </c>
      <c r="B210" s="2">
        <v>40580</v>
      </c>
      <c r="C210" s="1">
        <v>1</v>
      </c>
      <c r="D210" s="1">
        <v>22</v>
      </c>
      <c r="E210" s="1" t="b">
        <v>0</v>
      </c>
      <c r="F210" s="1">
        <v>0</v>
      </c>
      <c r="G210" s="1">
        <v>1</v>
      </c>
      <c r="H210" s="1">
        <v>0.26</v>
      </c>
      <c r="I210" s="1">
        <v>0.30299999999999999</v>
      </c>
      <c r="J210" s="1">
        <v>0.6</v>
      </c>
      <c r="K210" s="1">
        <v>0</v>
      </c>
      <c r="L210" s="1">
        <v>5</v>
      </c>
      <c r="M210" s="1">
        <v>57</v>
      </c>
      <c r="N210" s="1">
        <v>62</v>
      </c>
    </row>
    <row r="211" spans="1:14" x14ac:dyDescent="0.3">
      <c r="A211" s="1">
        <v>829</v>
      </c>
      <c r="B211" s="2">
        <v>40580</v>
      </c>
      <c r="C211" s="1">
        <v>1</v>
      </c>
      <c r="D211" s="1">
        <v>23</v>
      </c>
      <c r="E211" s="1" t="b">
        <v>0</v>
      </c>
      <c r="F211" s="1">
        <v>0</v>
      </c>
      <c r="G211" s="1">
        <v>1</v>
      </c>
      <c r="H211" s="1">
        <v>0.24</v>
      </c>
      <c r="I211" s="1">
        <v>0.28789999999999999</v>
      </c>
      <c r="J211" s="1">
        <v>0.65</v>
      </c>
      <c r="K211" s="1">
        <v>0</v>
      </c>
      <c r="L211" s="1">
        <v>4</v>
      </c>
      <c r="M211" s="1">
        <v>26</v>
      </c>
      <c r="N211" s="1">
        <v>30</v>
      </c>
    </row>
    <row r="212" spans="1:14" x14ac:dyDescent="0.3">
      <c r="A212" s="1">
        <v>830</v>
      </c>
      <c r="B212" s="2">
        <v>40581</v>
      </c>
      <c r="C212" s="1">
        <v>1</v>
      </c>
      <c r="D212" s="1">
        <v>0</v>
      </c>
      <c r="E212" s="1" t="b">
        <v>0</v>
      </c>
      <c r="F212" s="1">
        <v>1</v>
      </c>
      <c r="G212" s="1">
        <v>1</v>
      </c>
      <c r="H212" s="1">
        <v>0.24</v>
      </c>
      <c r="I212" s="1">
        <v>0.28789999999999999</v>
      </c>
      <c r="J212" s="1">
        <v>0.65</v>
      </c>
      <c r="K212" s="1">
        <v>0</v>
      </c>
      <c r="L212" s="1">
        <v>1</v>
      </c>
      <c r="M212" s="1">
        <v>14</v>
      </c>
      <c r="N212" s="1">
        <v>15</v>
      </c>
    </row>
    <row r="213" spans="1:14" x14ac:dyDescent="0.3">
      <c r="A213" s="1">
        <v>831</v>
      </c>
      <c r="B213" s="2">
        <v>40581</v>
      </c>
      <c r="C213" s="1">
        <v>1</v>
      </c>
      <c r="D213" s="1">
        <v>1</v>
      </c>
      <c r="E213" s="1" t="b">
        <v>0</v>
      </c>
      <c r="F213" s="1">
        <v>1</v>
      </c>
      <c r="G213" s="1">
        <v>1</v>
      </c>
      <c r="H213" s="1">
        <v>0.22</v>
      </c>
      <c r="I213" s="1">
        <v>0.2727</v>
      </c>
      <c r="J213" s="1">
        <v>0.75</v>
      </c>
      <c r="K213" s="1">
        <v>0</v>
      </c>
      <c r="L213" s="1">
        <v>1</v>
      </c>
      <c r="M213" s="1">
        <v>4</v>
      </c>
      <c r="N213" s="1">
        <v>5</v>
      </c>
    </row>
    <row r="214" spans="1:14" x14ac:dyDescent="0.3">
      <c r="A214" s="1">
        <v>832</v>
      </c>
      <c r="B214" s="2">
        <v>40581</v>
      </c>
      <c r="C214" s="1">
        <v>1</v>
      </c>
      <c r="D214" s="1">
        <v>2</v>
      </c>
      <c r="E214" s="1" t="b">
        <v>0</v>
      </c>
      <c r="F214" s="1">
        <v>1</v>
      </c>
      <c r="G214" s="1">
        <v>1</v>
      </c>
      <c r="H214" s="1">
        <v>0.2</v>
      </c>
      <c r="I214" s="1">
        <v>0.2576</v>
      </c>
      <c r="J214" s="1">
        <v>0.8</v>
      </c>
      <c r="K214" s="1">
        <v>0</v>
      </c>
      <c r="L214" s="1">
        <v>0</v>
      </c>
      <c r="M214" s="1">
        <v>3</v>
      </c>
      <c r="N214" s="1">
        <v>3</v>
      </c>
    </row>
    <row r="215" spans="1:14" x14ac:dyDescent="0.3">
      <c r="A215" s="1">
        <v>833</v>
      </c>
      <c r="B215" s="2">
        <v>40581</v>
      </c>
      <c r="C215" s="1">
        <v>1</v>
      </c>
      <c r="D215" s="1">
        <v>3</v>
      </c>
      <c r="E215" s="1" t="b">
        <v>0</v>
      </c>
      <c r="F215" s="1">
        <v>1</v>
      </c>
      <c r="G215" s="1">
        <v>1</v>
      </c>
      <c r="H215" s="1">
        <v>0.2</v>
      </c>
      <c r="I215" s="1">
        <v>0.2576</v>
      </c>
      <c r="J215" s="1">
        <v>0.86</v>
      </c>
      <c r="K215" s="1">
        <v>0</v>
      </c>
      <c r="L215" s="1">
        <v>0</v>
      </c>
      <c r="M215" s="1">
        <v>1</v>
      </c>
      <c r="N215" s="1">
        <v>1</v>
      </c>
    </row>
    <row r="216" spans="1:14" x14ac:dyDescent="0.3">
      <c r="A216" s="1">
        <v>834</v>
      </c>
      <c r="B216" s="2">
        <v>40581</v>
      </c>
      <c r="C216" s="1">
        <v>1</v>
      </c>
      <c r="D216" s="1">
        <v>4</v>
      </c>
      <c r="E216" s="1" t="b">
        <v>0</v>
      </c>
      <c r="F216" s="1">
        <v>1</v>
      </c>
      <c r="G216" s="1">
        <v>1</v>
      </c>
      <c r="H216" s="1">
        <v>0.2</v>
      </c>
      <c r="I216" s="1">
        <v>0.2576</v>
      </c>
      <c r="J216" s="1">
        <v>0.86</v>
      </c>
      <c r="K216" s="1">
        <v>0</v>
      </c>
      <c r="L216" s="1">
        <v>1</v>
      </c>
      <c r="M216" s="1">
        <v>1</v>
      </c>
      <c r="N216" s="1">
        <v>2</v>
      </c>
    </row>
    <row r="217" spans="1:14" x14ac:dyDescent="0.3">
      <c r="A217" s="1">
        <v>835</v>
      </c>
      <c r="B217" s="2">
        <v>40581</v>
      </c>
      <c r="C217" s="1">
        <v>1</v>
      </c>
      <c r="D217" s="1">
        <v>5</v>
      </c>
      <c r="E217" s="1" t="b">
        <v>0</v>
      </c>
      <c r="F217" s="1">
        <v>1</v>
      </c>
      <c r="G217" s="1">
        <v>1</v>
      </c>
      <c r="H217" s="1">
        <v>0.2</v>
      </c>
      <c r="I217" s="1">
        <v>0.2576</v>
      </c>
      <c r="J217" s="1">
        <v>0.86</v>
      </c>
      <c r="K217" s="1">
        <v>0</v>
      </c>
      <c r="L217" s="1">
        <v>1</v>
      </c>
      <c r="M217" s="1">
        <v>9</v>
      </c>
      <c r="N217" s="1">
        <v>10</v>
      </c>
    </row>
    <row r="218" spans="1:14" x14ac:dyDescent="0.3">
      <c r="A218" s="1">
        <v>836</v>
      </c>
      <c r="B218" s="2">
        <v>40581</v>
      </c>
      <c r="C218" s="1">
        <v>1</v>
      </c>
      <c r="D218" s="1">
        <v>6</v>
      </c>
      <c r="E218" s="1" t="b">
        <v>0</v>
      </c>
      <c r="F218" s="1">
        <v>1</v>
      </c>
      <c r="G218" s="1">
        <v>1</v>
      </c>
      <c r="H218" s="1">
        <v>0.18</v>
      </c>
      <c r="I218" s="1">
        <v>0.2424</v>
      </c>
      <c r="J218" s="1">
        <v>0.93</v>
      </c>
      <c r="K218" s="1">
        <v>0</v>
      </c>
      <c r="L218" s="1">
        <v>1</v>
      </c>
      <c r="M218" s="1">
        <v>29</v>
      </c>
      <c r="N218" s="1">
        <v>30</v>
      </c>
    </row>
    <row r="219" spans="1:14" x14ac:dyDescent="0.3">
      <c r="A219" s="1">
        <v>837</v>
      </c>
      <c r="B219" s="2">
        <v>40581</v>
      </c>
      <c r="C219" s="1">
        <v>1</v>
      </c>
      <c r="D219" s="1">
        <v>7</v>
      </c>
      <c r="E219" s="1" t="b">
        <v>0</v>
      </c>
      <c r="F219" s="1">
        <v>1</v>
      </c>
      <c r="G219" s="1">
        <v>1</v>
      </c>
      <c r="H219" s="1">
        <v>0.18</v>
      </c>
      <c r="I219" s="1">
        <v>0.2424</v>
      </c>
      <c r="J219" s="1">
        <v>0.86</v>
      </c>
      <c r="K219" s="1">
        <v>0</v>
      </c>
      <c r="L219" s="1">
        <v>6</v>
      </c>
      <c r="M219" s="1">
        <v>89</v>
      </c>
      <c r="N219" s="1">
        <v>95</v>
      </c>
    </row>
    <row r="220" spans="1:14" x14ac:dyDescent="0.3">
      <c r="A220" s="1">
        <v>838</v>
      </c>
      <c r="B220" s="2">
        <v>40581</v>
      </c>
      <c r="C220" s="1">
        <v>1</v>
      </c>
      <c r="D220" s="1">
        <v>8</v>
      </c>
      <c r="E220" s="1" t="b">
        <v>0</v>
      </c>
      <c r="F220" s="1">
        <v>1</v>
      </c>
      <c r="G220" s="1">
        <v>2</v>
      </c>
      <c r="H220" s="1">
        <v>0.16</v>
      </c>
      <c r="I220" s="1">
        <v>0.2273</v>
      </c>
      <c r="J220" s="1">
        <v>1</v>
      </c>
      <c r="K220" s="1">
        <v>0</v>
      </c>
      <c r="L220" s="1">
        <v>7</v>
      </c>
      <c r="M220" s="1">
        <v>223</v>
      </c>
      <c r="N220" s="1">
        <v>230</v>
      </c>
    </row>
    <row r="221" spans="1:14" x14ac:dyDescent="0.3">
      <c r="A221" s="1">
        <v>839</v>
      </c>
      <c r="B221" s="2">
        <v>40581</v>
      </c>
      <c r="C221" s="1">
        <v>1</v>
      </c>
      <c r="D221" s="1">
        <v>9</v>
      </c>
      <c r="E221" s="1" t="b">
        <v>0</v>
      </c>
      <c r="F221" s="1">
        <v>1</v>
      </c>
      <c r="G221" s="1">
        <v>1</v>
      </c>
      <c r="H221" s="1">
        <v>0.22</v>
      </c>
      <c r="I221" s="1">
        <v>0.2727</v>
      </c>
      <c r="J221" s="1">
        <v>0.8</v>
      </c>
      <c r="K221" s="1">
        <v>0</v>
      </c>
      <c r="L221" s="1">
        <v>3</v>
      </c>
      <c r="M221" s="1">
        <v>115</v>
      </c>
      <c r="N221" s="1">
        <v>118</v>
      </c>
    </row>
    <row r="222" spans="1:14" x14ac:dyDescent="0.3">
      <c r="A222" s="1">
        <v>840</v>
      </c>
      <c r="B222" s="2">
        <v>40581</v>
      </c>
      <c r="C222" s="1">
        <v>1</v>
      </c>
      <c r="D222" s="1">
        <v>10</v>
      </c>
      <c r="E222" s="1" t="b">
        <v>0</v>
      </c>
      <c r="F222" s="1">
        <v>1</v>
      </c>
      <c r="G222" s="1">
        <v>1</v>
      </c>
      <c r="H222" s="1">
        <v>0.24</v>
      </c>
      <c r="I222" s="1">
        <v>0.2576</v>
      </c>
      <c r="J222" s="1">
        <v>0.75</v>
      </c>
      <c r="K222" s="1">
        <v>0.1045</v>
      </c>
      <c r="L222" s="1">
        <v>6</v>
      </c>
      <c r="M222" s="1">
        <v>49</v>
      </c>
      <c r="N222" s="1">
        <v>55</v>
      </c>
    </row>
    <row r="223" spans="1:14" x14ac:dyDescent="0.3">
      <c r="A223" s="1">
        <v>841</v>
      </c>
      <c r="B223" s="2">
        <v>40581</v>
      </c>
      <c r="C223" s="1">
        <v>1</v>
      </c>
      <c r="D223" s="1">
        <v>11</v>
      </c>
      <c r="E223" s="1" t="b">
        <v>0</v>
      </c>
      <c r="F223" s="1">
        <v>1</v>
      </c>
      <c r="G223" s="1">
        <v>1</v>
      </c>
      <c r="H223" s="1">
        <v>0.3</v>
      </c>
      <c r="I223" s="1">
        <v>0.31819999999999998</v>
      </c>
      <c r="J223" s="1">
        <v>0.65</v>
      </c>
      <c r="K223" s="1">
        <v>8.9599999999999999E-2</v>
      </c>
      <c r="L223" s="1">
        <v>11</v>
      </c>
      <c r="M223" s="1">
        <v>36</v>
      </c>
      <c r="N223" s="1">
        <v>47</v>
      </c>
    </row>
    <row r="224" spans="1:14" x14ac:dyDescent="0.3">
      <c r="A224" s="1">
        <v>842</v>
      </c>
      <c r="B224" s="2">
        <v>40581</v>
      </c>
      <c r="C224" s="1">
        <v>1</v>
      </c>
      <c r="D224" s="1">
        <v>12</v>
      </c>
      <c r="E224" s="1" t="b">
        <v>0</v>
      </c>
      <c r="F224" s="1">
        <v>1</v>
      </c>
      <c r="G224" s="1">
        <v>2</v>
      </c>
      <c r="H224" s="1">
        <v>0.32</v>
      </c>
      <c r="I224" s="1">
        <v>0.34849999999999998</v>
      </c>
      <c r="J224" s="1">
        <v>0.62</v>
      </c>
      <c r="K224" s="1">
        <v>0</v>
      </c>
      <c r="L224" s="1">
        <v>7</v>
      </c>
      <c r="M224" s="1">
        <v>59</v>
      </c>
      <c r="N224" s="1">
        <v>66</v>
      </c>
    </row>
    <row r="225" spans="1:14" x14ac:dyDescent="0.3">
      <c r="A225" s="1">
        <v>843</v>
      </c>
      <c r="B225" s="2">
        <v>40581</v>
      </c>
      <c r="C225" s="1">
        <v>1</v>
      </c>
      <c r="D225" s="1">
        <v>13</v>
      </c>
      <c r="E225" s="1" t="b">
        <v>0</v>
      </c>
      <c r="F225" s="1">
        <v>1</v>
      </c>
      <c r="G225" s="1">
        <v>2</v>
      </c>
      <c r="H225" s="1">
        <v>0.36</v>
      </c>
      <c r="I225" s="1">
        <v>0.36359999999999998</v>
      </c>
      <c r="J225" s="1">
        <v>0.56999999999999995</v>
      </c>
      <c r="K225" s="1">
        <v>8.9599999999999999E-2</v>
      </c>
      <c r="L225" s="1">
        <v>10</v>
      </c>
      <c r="M225" s="1">
        <v>54</v>
      </c>
      <c r="N225" s="1">
        <v>64</v>
      </c>
    </row>
    <row r="226" spans="1:14" x14ac:dyDescent="0.3">
      <c r="A226" s="1">
        <v>844</v>
      </c>
      <c r="B226" s="2">
        <v>40581</v>
      </c>
      <c r="C226" s="1">
        <v>1</v>
      </c>
      <c r="D226" s="1">
        <v>14</v>
      </c>
      <c r="E226" s="1" t="b">
        <v>0</v>
      </c>
      <c r="F226" s="1">
        <v>1</v>
      </c>
      <c r="G226" s="1">
        <v>2</v>
      </c>
      <c r="H226" s="1">
        <v>0.36</v>
      </c>
      <c r="I226" s="1">
        <v>0.36359999999999998</v>
      </c>
      <c r="J226" s="1">
        <v>0.56999999999999995</v>
      </c>
      <c r="K226" s="1">
        <v>8.9599999999999999E-2</v>
      </c>
      <c r="L226" s="1">
        <v>8</v>
      </c>
      <c r="M226" s="1">
        <v>52</v>
      </c>
      <c r="N226" s="1">
        <v>60</v>
      </c>
    </row>
    <row r="227" spans="1:14" x14ac:dyDescent="0.3">
      <c r="A227" s="1">
        <v>845</v>
      </c>
      <c r="B227" s="2">
        <v>40581</v>
      </c>
      <c r="C227" s="1">
        <v>1</v>
      </c>
      <c r="D227" s="1">
        <v>15</v>
      </c>
      <c r="E227" s="1" t="b">
        <v>0</v>
      </c>
      <c r="F227" s="1">
        <v>1</v>
      </c>
      <c r="G227" s="1">
        <v>2</v>
      </c>
      <c r="H227" s="1">
        <v>0.38</v>
      </c>
      <c r="I227" s="1">
        <v>0.39389999999999997</v>
      </c>
      <c r="J227" s="1">
        <v>0.54</v>
      </c>
      <c r="K227" s="1">
        <v>8.9599999999999999E-2</v>
      </c>
      <c r="L227" s="1">
        <v>4</v>
      </c>
      <c r="M227" s="1">
        <v>46</v>
      </c>
      <c r="N227" s="1">
        <v>50</v>
      </c>
    </row>
    <row r="228" spans="1:14" x14ac:dyDescent="0.3">
      <c r="A228" s="1">
        <v>846</v>
      </c>
      <c r="B228" s="2">
        <v>40581</v>
      </c>
      <c r="C228" s="1">
        <v>1</v>
      </c>
      <c r="D228" s="1">
        <v>16</v>
      </c>
      <c r="E228" s="1" t="b">
        <v>0</v>
      </c>
      <c r="F228" s="1">
        <v>1</v>
      </c>
      <c r="G228" s="1">
        <v>2</v>
      </c>
      <c r="H228" s="1">
        <v>0.36</v>
      </c>
      <c r="I228" s="1">
        <v>0.34849999999999998</v>
      </c>
      <c r="J228" s="1">
        <v>0.56999999999999995</v>
      </c>
      <c r="K228" s="1">
        <v>0.1343</v>
      </c>
      <c r="L228" s="1">
        <v>16</v>
      </c>
      <c r="M228" s="1">
        <v>98</v>
      </c>
      <c r="N228" s="1">
        <v>114</v>
      </c>
    </row>
    <row r="229" spans="1:14" x14ac:dyDescent="0.3">
      <c r="A229" s="1">
        <v>847</v>
      </c>
      <c r="B229" s="2">
        <v>40581</v>
      </c>
      <c r="C229" s="1">
        <v>1</v>
      </c>
      <c r="D229" s="1">
        <v>17</v>
      </c>
      <c r="E229" s="1" t="b">
        <v>0</v>
      </c>
      <c r="F229" s="1">
        <v>1</v>
      </c>
      <c r="G229" s="1">
        <v>2</v>
      </c>
      <c r="H229" s="1">
        <v>0.32</v>
      </c>
      <c r="I229" s="1">
        <v>0.31819999999999998</v>
      </c>
      <c r="J229" s="1">
        <v>0.7</v>
      </c>
      <c r="K229" s="1">
        <v>0.16420000000000001</v>
      </c>
      <c r="L229" s="1">
        <v>9</v>
      </c>
      <c r="M229" s="1">
        <v>207</v>
      </c>
      <c r="N229" s="1">
        <v>216</v>
      </c>
    </row>
    <row r="230" spans="1:14" x14ac:dyDescent="0.3">
      <c r="A230" s="1">
        <v>848</v>
      </c>
      <c r="B230" s="2">
        <v>40581</v>
      </c>
      <c r="C230" s="1">
        <v>1</v>
      </c>
      <c r="D230" s="1">
        <v>18</v>
      </c>
      <c r="E230" s="1" t="b">
        <v>0</v>
      </c>
      <c r="F230" s="1">
        <v>1</v>
      </c>
      <c r="G230" s="1">
        <v>2</v>
      </c>
      <c r="H230" s="1">
        <v>0.34</v>
      </c>
      <c r="I230" s="1">
        <v>0.33329999999999999</v>
      </c>
      <c r="J230" s="1">
        <v>0.66</v>
      </c>
      <c r="K230" s="1">
        <v>0.1343</v>
      </c>
      <c r="L230" s="1">
        <v>5</v>
      </c>
      <c r="M230" s="1">
        <v>170</v>
      </c>
      <c r="N230" s="1">
        <v>175</v>
      </c>
    </row>
    <row r="231" spans="1:14" x14ac:dyDescent="0.3">
      <c r="A231" s="1">
        <v>849</v>
      </c>
      <c r="B231" s="2">
        <v>40581</v>
      </c>
      <c r="C231" s="1">
        <v>1</v>
      </c>
      <c r="D231" s="1">
        <v>19</v>
      </c>
      <c r="E231" s="1" t="b">
        <v>0</v>
      </c>
      <c r="F231" s="1">
        <v>1</v>
      </c>
      <c r="G231" s="1">
        <v>2</v>
      </c>
      <c r="H231" s="1">
        <v>0.32</v>
      </c>
      <c r="I231" s="1">
        <v>0.34849999999999998</v>
      </c>
      <c r="J231" s="1">
        <v>0.7</v>
      </c>
      <c r="K231" s="1">
        <v>0</v>
      </c>
      <c r="L231" s="1">
        <v>5</v>
      </c>
      <c r="M231" s="1">
        <v>123</v>
      </c>
      <c r="N231" s="1">
        <v>128</v>
      </c>
    </row>
    <row r="232" spans="1:14" x14ac:dyDescent="0.3">
      <c r="A232" s="1">
        <v>850</v>
      </c>
      <c r="B232" s="2">
        <v>40581</v>
      </c>
      <c r="C232" s="1">
        <v>1</v>
      </c>
      <c r="D232" s="1">
        <v>20</v>
      </c>
      <c r="E232" s="1" t="b">
        <v>0</v>
      </c>
      <c r="F232" s="1">
        <v>1</v>
      </c>
      <c r="G232" s="1">
        <v>2</v>
      </c>
      <c r="H232" s="1">
        <v>0.32</v>
      </c>
      <c r="I232" s="1">
        <v>0.33329999999999999</v>
      </c>
      <c r="J232" s="1">
        <v>0.7</v>
      </c>
      <c r="K232" s="1">
        <v>0.1045</v>
      </c>
      <c r="L232" s="1">
        <v>6</v>
      </c>
      <c r="M232" s="1">
        <v>82</v>
      </c>
      <c r="N232" s="1">
        <v>88</v>
      </c>
    </row>
    <row r="233" spans="1:14" x14ac:dyDescent="0.3">
      <c r="A233" s="1">
        <v>851</v>
      </c>
      <c r="B233" s="2">
        <v>40581</v>
      </c>
      <c r="C233" s="1">
        <v>1</v>
      </c>
      <c r="D233" s="1">
        <v>21</v>
      </c>
      <c r="E233" s="1" t="b">
        <v>0</v>
      </c>
      <c r="F233" s="1">
        <v>1</v>
      </c>
      <c r="G233" s="1">
        <v>1</v>
      </c>
      <c r="H233" s="1">
        <v>0.32</v>
      </c>
      <c r="I233" s="1">
        <v>0.34849999999999998</v>
      </c>
      <c r="J233" s="1">
        <v>0.7</v>
      </c>
      <c r="K233" s="1">
        <v>0</v>
      </c>
      <c r="L233" s="1">
        <v>3</v>
      </c>
      <c r="M233" s="1">
        <v>75</v>
      </c>
      <c r="N233" s="1">
        <v>78</v>
      </c>
    </row>
    <row r="234" spans="1:14" x14ac:dyDescent="0.3">
      <c r="A234" s="1">
        <v>852</v>
      </c>
      <c r="B234" s="2">
        <v>40581</v>
      </c>
      <c r="C234" s="1">
        <v>1</v>
      </c>
      <c r="D234" s="1">
        <v>22</v>
      </c>
      <c r="E234" s="1" t="b">
        <v>0</v>
      </c>
      <c r="F234" s="1">
        <v>1</v>
      </c>
      <c r="G234" s="1">
        <v>1</v>
      </c>
      <c r="H234" s="1">
        <v>0.28000000000000003</v>
      </c>
      <c r="I234" s="1">
        <v>0.30299999999999999</v>
      </c>
      <c r="J234" s="1">
        <v>0.81</v>
      </c>
      <c r="K234" s="1">
        <v>8.9599999999999999E-2</v>
      </c>
      <c r="L234" s="1">
        <v>3</v>
      </c>
      <c r="M234" s="1">
        <v>34</v>
      </c>
      <c r="N234" s="1">
        <v>37</v>
      </c>
    </row>
    <row r="235" spans="1:14" x14ac:dyDescent="0.3">
      <c r="A235" s="1">
        <v>853</v>
      </c>
      <c r="B235" s="2">
        <v>40581</v>
      </c>
      <c r="C235" s="1">
        <v>1</v>
      </c>
      <c r="D235" s="1">
        <v>23</v>
      </c>
      <c r="E235" s="1" t="b">
        <v>0</v>
      </c>
      <c r="F235" s="1">
        <v>1</v>
      </c>
      <c r="G235" s="1">
        <v>2</v>
      </c>
      <c r="H235" s="1">
        <v>0.3</v>
      </c>
      <c r="I235" s="1">
        <v>0.33329999999999999</v>
      </c>
      <c r="J235" s="1">
        <v>0.81</v>
      </c>
      <c r="K235" s="1">
        <v>0</v>
      </c>
      <c r="L235" s="1">
        <v>6</v>
      </c>
      <c r="M235" s="1">
        <v>19</v>
      </c>
      <c r="N235" s="1">
        <v>25</v>
      </c>
    </row>
    <row r="236" spans="1:14" x14ac:dyDescent="0.3">
      <c r="A236" s="1">
        <v>854</v>
      </c>
      <c r="B236" s="2">
        <v>40582</v>
      </c>
      <c r="C236" s="1">
        <v>1</v>
      </c>
      <c r="D236" s="1">
        <v>0</v>
      </c>
      <c r="E236" s="1" t="b">
        <v>0</v>
      </c>
      <c r="F236" s="1">
        <v>2</v>
      </c>
      <c r="G236" s="1">
        <v>2</v>
      </c>
      <c r="H236" s="1">
        <v>0.28000000000000003</v>
      </c>
      <c r="I236" s="1">
        <v>0.31819999999999998</v>
      </c>
      <c r="J236" s="1">
        <v>0.87</v>
      </c>
      <c r="K236" s="1">
        <v>0</v>
      </c>
      <c r="L236" s="1">
        <v>4</v>
      </c>
      <c r="M236" s="1">
        <v>6</v>
      </c>
      <c r="N236" s="1">
        <v>10</v>
      </c>
    </row>
    <row r="237" spans="1:14" x14ac:dyDescent="0.3">
      <c r="A237" s="1">
        <v>855</v>
      </c>
      <c r="B237" s="2">
        <v>40582</v>
      </c>
      <c r="C237" s="1">
        <v>1</v>
      </c>
      <c r="D237" s="1">
        <v>1</v>
      </c>
      <c r="E237" s="1" t="b">
        <v>0</v>
      </c>
      <c r="F237" s="1">
        <v>2</v>
      </c>
      <c r="G237" s="1">
        <v>2</v>
      </c>
      <c r="H237" s="1">
        <v>0.28000000000000003</v>
      </c>
      <c r="I237" s="1">
        <v>0.31819999999999998</v>
      </c>
      <c r="J237" s="1">
        <v>0.87</v>
      </c>
      <c r="K237" s="1">
        <v>0</v>
      </c>
      <c r="L237" s="1">
        <v>0</v>
      </c>
      <c r="M237" s="1">
        <v>4</v>
      </c>
      <c r="N237" s="1">
        <v>4</v>
      </c>
    </row>
    <row r="238" spans="1:14" x14ac:dyDescent="0.3">
      <c r="A238" s="1">
        <v>856</v>
      </c>
      <c r="B238" s="2">
        <v>40582</v>
      </c>
      <c r="C238" s="1">
        <v>1</v>
      </c>
      <c r="D238" s="1">
        <v>2</v>
      </c>
      <c r="E238" s="1" t="b">
        <v>0</v>
      </c>
      <c r="F238" s="1">
        <v>2</v>
      </c>
      <c r="G238" s="1">
        <v>2</v>
      </c>
      <c r="H238" s="1">
        <v>0.26</v>
      </c>
      <c r="I238" s="1">
        <v>0.2727</v>
      </c>
      <c r="J238" s="1">
        <v>0.93</v>
      </c>
      <c r="K238" s="1">
        <v>0.1045</v>
      </c>
      <c r="L238" s="1">
        <v>1</v>
      </c>
      <c r="M238" s="1">
        <v>1</v>
      </c>
      <c r="N238" s="1">
        <v>2</v>
      </c>
    </row>
    <row r="239" spans="1:14" x14ac:dyDescent="0.3">
      <c r="A239" s="1">
        <v>857</v>
      </c>
      <c r="B239" s="2">
        <v>40582</v>
      </c>
      <c r="C239" s="1">
        <v>1</v>
      </c>
      <c r="D239" s="1">
        <v>3</v>
      </c>
      <c r="E239" s="1" t="b">
        <v>0</v>
      </c>
      <c r="F239" s="1">
        <v>2</v>
      </c>
      <c r="G239" s="1">
        <v>3</v>
      </c>
      <c r="H239" s="1">
        <v>0.28000000000000003</v>
      </c>
      <c r="I239" s="1">
        <v>0.2727</v>
      </c>
      <c r="J239" s="1">
        <v>0.93</v>
      </c>
      <c r="K239" s="1">
        <v>0.16420000000000001</v>
      </c>
      <c r="L239" s="1">
        <v>0</v>
      </c>
      <c r="M239" s="1">
        <v>1</v>
      </c>
      <c r="N239" s="1">
        <v>1</v>
      </c>
    </row>
    <row r="240" spans="1:14" x14ac:dyDescent="0.3">
      <c r="A240" s="1">
        <v>858</v>
      </c>
      <c r="B240" s="2">
        <v>40582</v>
      </c>
      <c r="C240" s="1">
        <v>1</v>
      </c>
      <c r="D240" s="1">
        <v>4</v>
      </c>
      <c r="E240" s="1" t="b">
        <v>0</v>
      </c>
      <c r="F240" s="1">
        <v>2</v>
      </c>
      <c r="G240" s="1">
        <v>1</v>
      </c>
      <c r="H240" s="1">
        <v>0.26</v>
      </c>
      <c r="I240" s="1">
        <v>0.2576</v>
      </c>
      <c r="J240" s="1">
        <v>0.93</v>
      </c>
      <c r="K240" s="1">
        <v>0.16420000000000001</v>
      </c>
      <c r="L240" s="1">
        <v>0</v>
      </c>
      <c r="M240" s="1">
        <v>3</v>
      </c>
      <c r="N240" s="1">
        <v>3</v>
      </c>
    </row>
    <row r="241" spans="1:14" x14ac:dyDescent="0.3">
      <c r="A241" s="1">
        <v>859</v>
      </c>
      <c r="B241" s="2">
        <v>40582</v>
      </c>
      <c r="C241" s="1">
        <v>1</v>
      </c>
      <c r="D241" s="1">
        <v>5</v>
      </c>
      <c r="E241" s="1" t="b">
        <v>0</v>
      </c>
      <c r="F241" s="1">
        <v>2</v>
      </c>
      <c r="G241" s="1">
        <v>1</v>
      </c>
      <c r="H241" s="1">
        <v>0.26</v>
      </c>
      <c r="I241" s="1">
        <v>0.2273</v>
      </c>
      <c r="J241" s="1">
        <v>0.81</v>
      </c>
      <c r="K241" s="1">
        <v>0.32840000000000003</v>
      </c>
      <c r="L241" s="1">
        <v>0</v>
      </c>
      <c r="M241" s="1">
        <v>2</v>
      </c>
      <c r="N241" s="1">
        <v>2</v>
      </c>
    </row>
    <row r="242" spans="1:14" x14ac:dyDescent="0.3">
      <c r="A242" s="1">
        <v>860</v>
      </c>
      <c r="B242" s="2">
        <v>40582</v>
      </c>
      <c r="C242" s="1">
        <v>1</v>
      </c>
      <c r="D242" s="1">
        <v>6</v>
      </c>
      <c r="E242" s="1" t="b">
        <v>0</v>
      </c>
      <c r="F242" s="1">
        <v>2</v>
      </c>
      <c r="G242" s="1">
        <v>1</v>
      </c>
      <c r="H242" s="1">
        <v>0.26</v>
      </c>
      <c r="I242" s="1">
        <v>0.2273</v>
      </c>
      <c r="J242" s="1">
        <v>0.7</v>
      </c>
      <c r="K242" s="1">
        <v>0.32840000000000003</v>
      </c>
      <c r="L242" s="1">
        <v>0</v>
      </c>
      <c r="M242" s="1">
        <v>39</v>
      </c>
      <c r="N242" s="1">
        <v>39</v>
      </c>
    </row>
    <row r="243" spans="1:14" x14ac:dyDescent="0.3">
      <c r="A243" s="1">
        <v>861</v>
      </c>
      <c r="B243" s="2">
        <v>40582</v>
      </c>
      <c r="C243" s="1">
        <v>1</v>
      </c>
      <c r="D243" s="1">
        <v>7</v>
      </c>
      <c r="E243" s="1" t="b">
        <v>0</v>
      </c>
      <c r="F243" s="1">
        <v>2</v>
      </c>
      <c r="G243" s="1">
        <v>1</v>
      </c>
      <c r="H243" s="1">
        <v>0.24</v>
      </c>
      <c r="I243" s="1">
        <v>0.19700000000000001</v>
      </c>
      <c r="J243" s="1">
        <v>0.65</v>
      </c>
      <c r="K243" s="1">
        <v>0.41789999999999999</v>
      </c>
      <c r="L243" s="1">
        <v>3</v>
      </c>
      <c r="M243" s="1">
        <v>97</v>
      </c>
      <c r="N243" s="1">
        <v>100</v>
      </c>
    </row>
    <row r="244" spans="1:14" x14ac:dyDescent="0.3">
      <c r="A244" s="1">
        <v>862</v>
      </c>
      <c r="B244" s="2">
        <v>40582</v>
      </c>
      <c r="C244" s="1">
        <v>1</v>
      </c>
      <c r="D244" s="1">
        <v>8</v>
      </c>
      <c r="E244" s="1" t="b">
        <v>0</v>
      </c>
      <c r="F244" s="1">
        <v>2</v>
      </c>
      <c r="G244" s="1">
        <v>1</v>
      </c>
      <c r="H244" s="1">
        <v>0.24</v>
      </c>
      <c r="I244" s="1">
        <v>0.19700000000000001</v>
      </c>
      <c r="J244" s="1">
        <v>0.56000000000000005</v>
      </c>
      <c r="K244" s="1">
        <v>0.49249999999999999</v>
      </c>
      <c r="L244" s="1">
        <v>7</v>
      </c>
      <c r="M244" s="1">
        <v>236</v>
      </c>
      <c r="N244" s="1">
        <v>243</v>
      </c>
    </row>
    <row r="245" spans="1:14" x14ac:dyDescent="0.3">
      <c r="A245" s="1">
        <v>863</v>
      </c>
      <c r="B245" s="2">
        <v>40582</v>
      </c>
      <c r="C245" s="1">
        <v>1</v>
      </c>
      <c r="D245" s="1">
        <v>9</v>
      </c>
      <c r="E245" s="1" t="b">
        <v>0</v>
      </c>
      <c r="F245" s="1">
        <v>2</v>
      </c>
      <c r="G245" s="1">
        <v>1</v>
      </c>
      <c r="H245" s="1">
        <v>0.24</v>
      </c>
      <c r="I245" s="1">
        <v>0.19700000000000001</v>
      </c>
      <c r="J245" s="1">
        <v>0.52</v>
      </c>
      <c r="K245" s="1">
        <v>0.49249999999999999</v>
      </c>
      <c r="L245" s="1">
        <v>7</v>
      </c>
      <c r="M245" s="1">
        <v>128</v>
      </c>
      <c r="N245" s="1">
        <v>135</v>
      </c>
    </row>
    <row r="246" spans="1:14" x14ac:dyDescent="0.3">
      <c r="A246" s="1">
        <v>864</v>
      </c>
      <c r="B246" s="2">
        <v>40582</v>
      </c>
      <c r="C246" s="1">
        <v>1</v>
      </c>
      <c r="D246" s="1">
        <v>10</v>
      </c>
      <c r="E246" s="1" t="b">
        <v>0</v>
      </c>
      <c r="F246" s="1">
        <v>2</v>
      </c>
      <c r="G246" s="1">
        <v>1</v>
      </c>
      <c r="H246" s="1">
        <v>0.22</v>
      </c>
      <c r="I246" s="1">
        <v>0.18179999999999999</v>
      </c>
      <c r="J246" s="1">
        <v>0.47</v>
      </c>
      <c r="K246" s="1">
        <v>0.55220000000000002</v>
      </c>
      <c r="L246" s="1">
        <v>4</v>
      </c>
      <c r="M246" s="1">
        <v>44</v>
      </c>
      <c r="N246" s="1">
        <v>48</v>
      </c>
    </row>
    <row r="247" spans="1:14" x14ac:dyDescent="0.3">
      <c r="A247" s="1">
        <v>865</v>
      </c>
      <c r="B247" s="2">
        <v>40582</v>
      </c>
      <c r="C247" s="1">
        <v>1</v>
      </c>
      <c r="D247" s="1">
        <v>11</v>
      </c>
      <c r="E247" s="1" t="b">
        <v>0</v>
      </c>
      <c r="F247" s="1">
        <v>2</v>
      </c>
      <c r="G247" s="1">
        <v>1</v>
      </c>
      <c r="H247" s="1">
        <v>0.22</v>
      </c>
      <c r="I247" s="1">
        <v>0.18179999999999999</v>
      </c>
      <c r="J247" s="1">
        <v>0.47</v>
      </c>
      <c r="K247" s="1">
        <v>0.4627</v>
      </c>
      <c r="L247" s="1">
        <v>1</v>
      </c>
      <c r="M247" s="1">
        <v>49</v>
      </c>
      <c r="N247" s="1">
        <v>50</v>
      </c>
    </row>
    <row r="248" spans="1:14" x14ac:dyDescent="0.3">
      <c r="A248" s="1">
        <v>866</v>
      </c>
      <c r="B248" s="2">
        <v>40582</v>
      </c>
      <c r="C248" s="1">
        <v>1</v>
      </c>
      <c r="D248" s="1">
        <v>12</v>
      </c>
      <c r="E248" s="1" t="b">
        <v>0</v>
      </c>
      <c r="F248" s="1">
        <v>2</v>
      </c>
      <c r="G248" s="1">
        <v>1</v>
      </c>
      <c r="H248" s="1">
        <v>0.24</v>
      </c>
      <c r="I248" s="1">
        <v>0.19700000000000001</v>
      </c>
      <c r="J248" s="1">
        <v>0.38</v>
      </c>
      <c r="K248" s="1">
        <v>0.49249999999999999</v>
      </c>
      <c r="L248" s="1">
        <v>2</v>
      </c>
      <c r="M248" s="1">
        <v>63</v>
      </c>
      <c r="N248" s="1">
        <v>65</v>
      </c>
    </row>
    <row r="249" spans="1:14" x14ac:dyDescent="0.3">
      <c r="A249" s="1">
        <v>867</v>
      </c>
      <c r="B249" s="2">
        <v>40582</v>
      </c>
      <c r="C249" s="1">
        <v>1</v>
      </c>
      <c r="D249" s="1">
        <v>13</v>
      </c>
      <c r="E249" s="1" t="b">
        <v>0</v>
      </c>
      <c r="F249" s="1">
        <v>2</v>
      </c>
      <c r="G249" s="1">
        <v>2</v>
      </c>
      <c r="H249" s="1">
        <v>0.24</v>
      </c>
      <c r="I249" s="1">
        <v>0.19700000000000001</v>
      </c>
      <c r="J249" s="1">
        <v>0.32</v>
      </c>
      <c r="K249" s="1">
        <v>0.44779999999999998</v>
      </c>
      <c r="L249" s="1">
        <v>2</v>
      </c>
      <c r="M249" s="1">
        <v>48</v>
      </c>
      <c r="N249" s="1">
        <v>50</v>
      </c>
    </row>
    <row r="250" spans="1:14" x14ac:dyDescent="0.3">
      <c r="A250" s="1">
        <v>868</v>
      </c>
      <c r="B250" s="2">
        <v>40582</v>
      </c>
      <c r="C250" s="1">
        <v>1</v>
      </c>
      <c r="D250" s="1">
        <v>14</v>
      </c>
      <c r="E250" s="1" t="b">
        <v>0</v>
      </c>
      <c r="F250" s="1">
        <v>2</v>
      </c>
      <c r="G250" s="1">
        <v>1</v>
      </c>
      <c r="H250" s="1">
        <v>0.22</v>
      </c>
      <c r="I250" s="1">
        <v>0.19700000000000001</v>
      </c>
      <c r="J250" s="1">
        <v>0.37</v>
      </c>
      <c r="K250" s="1">
        <v>0.41789999999999999</v>
      </c>
      <c r="L250" s="1">
        <v>3</v>
      </c>
      <c r="M250" s="1">
        <v>61</v>
      </c>
      <c r="N250" s="1">
        <v>64</v>
      </c>
    </row>
    <row r="251" spans="1:14" x14ac:dyDescent="0.3">
      <c r="A251" s="1">
        <v>869</v>
      </c>
      <c r="B251" s="2">
        <v>40582</v>
      </c>
      <c r="C251" s="1">
        <v>1</v>
      </c>
      <c r="D251" s="1">
        <v>15</v>
      </c>
      <c r="E251" s="1" t="b">
        <v>0</v>
      </c>
      <c r="F251" s="1">
        <v>2</v>
      </c>
      <c r="G251" s="1">
        <v>1</v>
      </c>
      <c r="H251" s="1">
        <v>0.22</v>
      </c>
      <c r="I251" s="1">
        <v>0.19700000000000001</v>
      </c>
      <c r="J251" s="1">
        <v>0.35</v>
      </c>
      <c r="K251" s="1">
        <v>0.3881</v>
      </c>
      <c r="L251" s="1">
        <v>6</v>
      </c>
      <c r="M251" s="1">
        <v>45</v>
      </c>
      <c r="N251" s="1">
        <v>51</v>
      </c>
    </row>
    <row r="252" spans="1:14" x14ac:dyDescent="0.3">
      <c r="A252" s="1">
        <v>870</v>
      </c>
      <c r="B252" s="2">
        <v>40582</v>
      </c>
      <c r="C252" s="1">
        <v>1</v>
      </c>
      <c r="D252" s="1">
        <v>16</v>
      </c>
      <c r="E252" s="1" t="b">
        <v>0</v>
      </c>
      <c r="F252" s="1">
        <v>2</v>
      </c>
      <c r="G252" s="1">
        <v>1</v>
      </c>
      <c r="H252" s="1">
        <v>0.22</v>
      </c>
      <c r="I252" s="1">
        <v>0.18179999999999999</v>
      </c>
      <c r="J252" s="1">
        <v>0.35</v>
      </c>
      <c r="K252" s="1">
        <v>0.52239999999999998</v>
      </c>
      <c r="L252" s="1">
        <v>4</v>
      </c>
      <c r="M252" s="1">
        <v>79</v>
      </c>
      <c r="N252" s="1">
        <v>83</v>
      </c>
    </row>
    <row r="253" spans="1:14" x14ac:dyDescent="0.3">
      <c r="A253" s="1">
        <v>871</v>
      </c>
      <c r="B253" s="2">
        <v>40582</v>
      </c>
      <c r="C253" s="1">
        <v>1</v>
      </c>
      <c r="D253" s="1">
        <v>17</v>
      </c>
      <c r="E253" s="1" t="b">
        <v>0</v>
      </c>
      <c r="F253" s="1">
        <v>2</v>
      </c>
      <c r="G253" s="1">
        <v>1</v>
      </c>
      <c r="H253" s="1">
        <v>0.22</v>
      </c>
      <c r="I253" s="1">
        <v>0.18179999999999999</v>
      </c>
      <c r="J253" s="1">
        <v>0.32</v>
      </c>
      <c r="K253" s="1">
        <v>0.58209999999999995</v>
      </c>
      <c r="L253" s="1">
        <v>4</v>
      </c>
      <c r="M253" s="1">
        <v>172</v>
      </c>
      <c r="N253" s="1">
        <v>176</v>
      </c>
    </row>
    <row r="254" spans="1:14" x14ac:dyDescent="0.3">
      <c r="A254" s="1">
        <v>872</v>
      </c>
      <c r="B254" s="2">
        <v>40582</v>
      </c>
      <c r="C254" s="1">
        <v>1</v>
      </c>
      <c r="D254" s="1">
        <v>18</v>
      </c>
      <c r="E254" s="1" t="b">
        <v>0</v>
      </c>
      <c r="F254" s="1">
        <v>2</v>
      </c>
      <c r="G254" s="1">
        <v>1</v>
      </c>
      <c r="H254" s="1">
        <v>0.2</v>
      </c>
      <c r="I254" s="1">
        <v>0.18179999999999999</v>
      </c>
      <c r="J254" s="1">
        <v>0.32</v>
      </c>
      <c r="K254" s="1">
        <v>0.3881</v>
      </c>
      <c r="L254" s="1">
        <v>1</v>
      </c>
      <c r="M254" s="1">
        <v>151</v>
      </c>
      <c r="N254" s="1">
        <v>152</v>
      </c>
    </row>
    <row r="255" spans="1:14" x14ac:dyDescent="0.3">
      <c r="A255" s="1">
        <v>873</v>
      </c>
      <c r="B255" s="2">
        <v>40582</v>
      </c>
      <c r="C255" s="1">
        <v>1</v>
      </c>
      <c r="D255" s="1">
        <v>19</v>
      </c>
      <c r="E255" s="1" t="b">
        <v>0</v>
      </c>
      <c r="F255" s="1">
        <v>2</v>
      </c>
      <c r="G255" s="1">
        <v>1</v>
      </c>
      <c r="H255" s="1">
        <v>0.16</v>
      </c>
      <c r="I255" s="1">
        <v>0.1212</v>
      </c>
      <c r="J255" s="1">
        <v>0.4</v>
      </c>
      <c r="K255" s="1">
        <v>0.4627</v>
      </c>
      <c r="L255" s="1">
        <v>1</v>
      </c>
      <c r="M255" s="1">
        <v>100</v>
      </c>
      <c r="N255" s="1">
        <v>101</v>
      </c>
    </row>
    <row r="256" spans="1:14" x14ac:dyDescent="0.3">
      <c r="A256" s="1">
        <v>874</v>
      </c>
      <c r="B256" s="2">
        <v>40582</v>
      </c>
      <c r="C256" s="1">
        <v>1</v>
      </c>
      <c r="D256" s="1">
        <v>20</v>
      </c>
      <c r="E256" s="1" t="b">
        <v>0</v>
      </c>
      <c r="F256" s="1">
        <v>2</v>
      </c>
      <c r="G256" s="1">
        <v>1</v>
      </c>
      <c r="H256" s="1">
        <v>0.16</v>
      </c>
      <c r="I256" s="1">
        <v>0.13639999999999999</v>
      </c>
      <c r="J256" s="1">
        <v>0.4</v>
      </c>
      <c r="K256" s="1">
        <v>0.32840000000000003</v>
      </c>
      <c r="L256" s="1">
        <v>3</v>
      </c>
      <c r="M256" s="1">
        <v>53</v>
      </c>
      <c r="N256" s="1">
        <v>56</v>
      </c>
    </row>
    <row r="257" spans="1:14" x14ac:dyDescent="0.3">
      <c r="A257" s="1">
        <v>875</v>
      </c>
      <c r="B257" s="2">
        <v>40582</v>
      </c>
      <c r="C257" s="1">
        <v>1</v>
      </c>
      <c r="D257" s="1">
        <v>21</v>
      </c>
      <c r="E257" s="1" t="b">
        <v>0</v>
      </c>
      <c r="F257" s="1">
        <v>2</v>
      </c>
      <c r="G257" s="1">
        <v>1</v>
      </c>
      <c r="H257" s="1">
        <v>0.14000000000000001</v>
      </c>
      <c r="I257" s="1">
        <v>0.1061</v>
      </c>
      <c r="J257" s="1">
        <v>0.33</v>
      </c>
      <c r="K257" s="1">
        <v>0.4627</v>
      </c>
      <c r="L257" s="1">
        <v>8</v>
      </c>
      <c r="M257" s="1">
        <v>46</v>
      </c>
      <c r="N257" s="1">
        <v>54</v>
      </c>
    </row>
    <row r="258" spans="1:14" x14ac:dyDescent="0.3">
      <c r="A258" s="1">
        <v>876</v>
      </c>
      <c r="B258" s="2">
        <v>40582</v>
      </c>
      <c r="C258" s="1">
        <v>1</v>
      </c>
      <c r="D258" s="1">
        <v>22</v>
      </c>
      <c r="E258" s="1" t="b">
        <v>0</v>
      </c>
      <c r="F258" s="1">
        <v>2</v>
      </c>
      <c r="G258" s="1">
        <v>1</v>
      </c>
      <c r="H258" s="1">
        <v>0.12</v>
      </c>
      <c r="I258" s="1">
        <v>0.1061</v>
      </c>
      <c r="J258" s="1">
        <v>0.33</v>
      </c>
      <c r="K258" s="1">
        <v>0.35820000000000002</v>
      </c>
      <c r="L258" s="1">
        <v>0</v>
      </c>
      <c r="M258" s="1">
        <v>29</v>
      </c>
      <c r="N258" s="1">
        <v>29</v>
      </c>
    </row>
    <row r="259" spans="1:14" x14ac:dyDescent="0.3">
      <c r="A259" s="1">
        <v>877</v>
      </c>
      <c r="B259" s="2">
        <v>40582</v>
      </c>
      <c r="C259" s="1">
        <v>1</v>
      </c>
      <c r="D259" s="1">
        <v>23</v>
      </c>
      <c r="E259" s="1" t="b">
        <v>0</v>
      </c>
      <c r="F259" s="1">
        <v>2</v>
      </c>
      <c r="G259" s="1">
        <v>1</v>
      </c>
      <c r="H259" s="1">
        <v>0.12</v>
      </c>
      <c r="I259" s="1">
        <v>0.1061</v>
      </c>
      <c r="J259" s="1">
        <v>0.33</v>
      </c>
      <c r="K259" s="1">
        <v>0.32840000000000003</v>
      </c>
      <c r="L259" s="1">
        <v>3</v>
      </c>
      <c r="M259" s="1">
        <v>9</v>
      </c>
      <c r="N259" s="1">
        <v>12</v>
      </c>
    </row>
    <row r="260" spans="1:14" x14ac:dyDescent="0.3">
      <c r="A260" s="1">
        <v>878</v>
      </c>
      <c r="B260" s="2">
        <v>40583</v>
      </c>
      <c r="C260" s="1">
        <v>1</v>
      </c>
      <c r="D260" s="1">
        <v>0</v>
      </c>
      <c r="E260" s="1" t="b">
        <v>0</v>
      </c>
      <c r="F260" s="1">
        <v>3</v>
      </c>
      <c r="G260" s="1">
        <v>1</v>
      </c>
      <c r="H260" s="1">
        <v>0.1</v>
      </c>
      <c r="I260" s="1">
        <v>7.5800000000000006E-2</v>
      </c>
      <c r="J260" s="1">
        <v>0.36</v>
      </c>
      <c r="K260" s="1">
        <v>0.35820000000000002</v>
      </c>
      <c r="L260" s="1">
        <v>0</v>
      </c>
      <c r="M260" s="1">
        <v>17</v>
      </c>
      <c r="N260" s="1">
        <v>17</v>
      </c>
    </row>
    <row r="261" spans="1:14" x14ac:dyDescent="0.3">
      <c r="A261" s="1">
        <v>879</v>
      </c>
      <c r="B261" s="2">
        <v>40583</v>
      </c>
      <c r="C261" s="1">
        <v>1</v>
      </c>
      <c r="D261" s="1">
        <v>1</v>
      </c>
      <c r="E261" s="1" t="b">
        <v>0</v>
      </c>
      <c r="F261" s="1">
        <v>3</v>
      </c>
      <c r="G261" s="1">
        <v>1</v>
      </c>
      <c r="H261" s="1">
        <v>0.1</v>
      </c>
      <c r="I261" s="1">
        <v>0.1061</v>
      </c>
      <c r="J261" s="1">
        <v>0.36</v>
      </c>
      <c r="K261" s="1">
        <v>0.22389999999999999</v>
      </c>
      <c r="L261" s="1">
        <v>0</v>
      </c>
      <c r="M261" s="1">
        <v>7</v>
      </c>
      <c r="N261" s="1">
        <v>7</v>
      </c>
    </row>
    <row r="262" spans="1:14" x14ac:dyDescent="0.3">
      <c r="A262" s="1">
        <v>880</v>
      </c>
      <c r="B262" s="2">
        <v>40583</v>
      </c>
      <c r="C262" s="1">
        <v>1</v>
      </c>
      <c r="D262" s="1">
        <v>2</v>
      </c>
      <c r="E262" s="1" t="b">
        <v>0</v>
      </c>
      <c r="F262" s="1">
        <v>3</v>
      </c>
      <c r="G262" s="1">
        <v>1</v>
      </c>
      <c r="H262" s="1">
        <v>0.08</v>
      </c>
      <c r="I262" s="1">
        <v>7.5800000000000006E-2</v>
      </c>
      <c r="J262" s="1">
        <v>0.38</v>
      </c>
      <c r="K262" s="1">
        <v>0.28360000000000002</v>
      </c>
      <c r="L262" s="1">
        <v>1</v>
      </c>
      <c r="M262" s="1">
        <v>2</v>
      </c>
      <c r="N262" s="1">
        <v>3</v>
      </c>
    </row>
    <row r="263" spans="1:14" x14ac:dyDescent="0.3">
      <c r="A263" s="1">
        <v>881</v>
      </c>
      <c r="B263" s="2">
        <v>40583</v>
      </c>
      <c r="C263" s="1">
        <v>1</v>
      </c>
      <c r="D263" s="1">
        <v>3</v>
      </c>
      <c r="E263" s="1" t="b">
        <v>0</v>
      </c>
      <c r="F263" s="1">
        <v>3</v>
      </c>
      <c r="G263" s="1">
        <v>1</v>
      </c>
      <c r="H263" s="1">
        <v>0.06</v>
      </c>
      <c r="I263" s="1">
        <v>7.5800000000000006E-2</v>
      </c>
      <c r="J263" s="1">
        <v>0.45</v>
      </c>
      <c r="K263" s="1">
        <v>0.1343</v>
      </c>
      <c r="L263" s="1">
        <v>0</v>
      </c>
      <c r="M263" s="1">
        <v>2</v>
      </c>
      <c r="N263" s="1">
        <v>2</v>
      </c>
    </row>
    <row r="264" spans="1:14" x14ac:dyDescent="0.3">
      <c r="A264" s="1">
        <v>882</v>
      </c>
      <c r="B264" s="2">
        <v>40583</v>
      </c>
      <c r="C264" s="1">
        <v>1</v>
      </c>
      <c r="D264" s="1">
        <v>5</v>
      </c>
      <c r="E264" s="1" t="b">
        <v>0</v>
      </c>
      <c r="F264" s="1">
        <v>3</v>
      </c>
      <c r="G264" s="1">
        <v>1</v>
      </c>
      <c r="H264" s="1">
        <v>0.06</v>
      </c>
      <c r="I264" s="1">
        <v>0.1061</v>
      </c>
      <c r="J264" s="1">
        <v>0.45</v>
      </c>
      <c r="K264" s="1">
        <v>0.1045</v>
      </c>
      <c r="L264" s="1">
        <v>0</v>
      </c>
      <c r="M264" s="1">
        <v>7</v>
      </c>
      <c r="N264" s="1">
        <v>7</v>
      </c>
    </row>
    <row r="265" spans="1:14" x14ac:dyDescent="0.3">
      <c r="A265" s="1">
        <v>883</v>
      </c>
      <c r="B265" s="2">
        <v>40583</v>
      </c>
      <c r="C265" s="1">
        <v>1</v>
      </c>
      <c r="D265" s="1">
        <v>6</v>
      </c>
      <c r="E265" s="1" t="b">
        <v>0</v>
      </c>
      <c r="F265" s="1">
        <v>3</v>
      </c>
      <c r="G265" s="1">
        <v>1</v>
      </c>
      <c r="H265" s="1">
        <v>0.06</v>
      </c>
      <c r="I265" s="1">
        <v>0.1515</v>
      </c>
      <c r="J265" s="1">
        <v>0.45</v>
      </c>
      <c r="K265" s="1">
        <v>0</v>
      </c>
      <c r="L265" s="1">
        <v>0</v>
      </c>
      <c r="M265" s="1">
        <v>43</v>
      </c>
      <c r="N265" s="1">
        <v>43</v>
      </c>
    </row>
    <row r="266" spans="1:14" x14ac:dyDescent="0.3">
      <c r="A266" s="1">
        <v>884</v>
      </c>
      <c r="B266" s="2">
        <v>40583</v>
      </c>
      <c r="C266" s="1">
        <v>1</v>
      </c>
      <c r="D266" s="1">
        <v>7</v>
      </c>
      <c r="E266" s="1" t="b">
        <v>0</v>
      </c>
      <c r="F266" s="1">
        <v>3</v>
      </c>
      <c r="G266" s="1">
        <v>1</v>
      </c>
      <c r="H266" s="1">
        <v>0.06</v>
      </c>
      <c r="I266" s="1">
        <v>0.1061</v>
      </c>
      <c r="J266" s="1">
        <v>0.49</v>
      </c>
      <c r="K266" s="1">
        <v>0.1045</v>
      </c>
      <c r="L266" s="1">
        <v>4</v>
      </c>
      <c r="M266" s="1">
        <v>95</v>
      </c>
      <c r="N266" s="1">
        <v>99</v>
      </c>
    </row>
    <row r="267" spans="1:14" x14ac:dyDescent="0.3">
      <c r="A267" s="1">
        <v>885</v>
      </c>
      <c r="B267" s="2">
        <v>40583</v>
      </c>
      <c r="C267" s="1">
        <v>1</v>
      </c>
      <c r="D267" s="1">
        <v>8</v>
      </c>
      <c r="E267" s="1" t="b">
        <v>0</v>
      </c>
      <c r="F267" s="1">
        <v>3</v>
      </c>
      <c r="G267" s="1">
        <v>1</v>
      </c>
      <c r="H267" s="1">
        <v>0.1</v>
      </c>
      <c r="I267" s="1">
        <v>0.13639999999999999</v>
      </c>
      <c r="J267" s="1">
        <v>0.42</v>
      </c>
      <c r="K267" s="1">
        <v>0</v>
      </c>
      <c r="L267" s="1">
        <v>1</v>
      </c>
      <c r="M267" s="1">
        <v>198</v>
      </c>
      <c r="N267" s="1">
        <v>199</v>
      </c>
    </row>
    <row r="268" spans="1:14" x14ac:dyDescent="0.3">
      <c r="A268" s="1">
        <v>886</v>
      </c>
      <c r="B268" s="2">
        <v>40583</v>
      </c>
      <c r="C268" s="1">
        <v>1</v>
      </c>
      <c r="D268" s="1">
        <v>9</v>
      </c>
      <c r="E268" s="1" t="b">
        <v>0</v>
      </c>
      <c r="F268" s="1">
        <v>3</v>
      </c>
      <c r="G268" s="1">
        <v>1</v>
      </c>
      <c r="H268" s="1">
        <v>0.12</v>
      </c>
      <c r="I268" s="1">
        <v>0.13639999999999999</v>
      </c>
      <c r="J268" s="1">
        <v>0.39</v>
      </c>
      <c r="K268" s="1">
        <v>0.16420000000000001</v>
      </c>
      <c r="L268" s="1">
        <v>4</v>
      </c>
      <c r="M268" s="1">
        <v>119</v>
      </c>
      <c r="N268" s="1">
        <v>123</v>
      </c>
    </row>
    <row r="269" spans="1:14" x14ac:dyDescent="0.3">
      <c r="A269" s="1">
        <v>887</v>
      </c>
      <c r="B269" s="2">
        <v>40583</v>
      </c>
      <c r="C269" s="1">
        <v>1</v>
      </c>
      <c r="D269" s="1">
        <v>10</v>
      </c>
      <c r="E269" s="1" t="b">
        <v>0</v>
      </c>
      <c r="F269" s="1">
        <v>3</v>
      </c>
      <c r="G269" s="1">
        <v>1</v>
      </c>
      <c r="H269" s="1">
        <v>0.14000000000000001</v>
      </c>
      <c r="I269" s="1">
        <v>0.18179999999999999</v>
      </c>
      <c r="J269" s="1">
        <v>0.36</v>
      </c>
      <c r="K269" s="1">
        <v>0</v>
      </c>
      <c r="L269" s="1">
        <v>8</v>
      </c>
      <c r="M269" s="1">
        <v>51</v>
      </c>
      <c r="N269" s="1">
        <v>59</v>
      </c>
    </row>
    <row r="270" spans="1:14" x14ac:dyDescent="0.3">
      <c r="A270" s="1">
        <v>888</v>
      </c>
      <c r="B270" s="2">
        <v>40583</v>
      </c>
      <c r="C270" s="1">
        <v>1</v>
      </c>
      <c r="D270" s="1">
        <v>11</v>
      </c>
      <c r="E270" s="1" t="b">
        <v>0</v>
      </c>
      <c r="F270" s="1">
        <v>3</v>
      </c>
      <c r="G270" s="1">
        <v>2</v>
      </c>
      <c r="H270" s="1">
        <v>0.14000000000000001</v>
      </c>
      <c r="I270" s="1">
        <v>0.1515</v>
      </c>
      <c r="J270" s="1">
        <v>0.43</v>
      </c>
      <c r="K270" s="1">
        <v>0.16420000000000001</v>
      </c>
      <c r="L270" s="1">
        <v>1</v>
      </c>
      <c r="M270" s="1">
        <v>40</v>
      </c>
      <c r="N270" s="1">
        <v>41</v>
      </c>
    </row>
    <row r="271" spans="1:14" x14ac:dyDescent="0.3">
      <c r="A271" s="1">
        <v>889</v>
      </c>
      <c r="B271" s="2">
        <v>40583</v>
      </c>
      <c r="C271" s="1">
        <v>1</v>
      </c>
      <c r="D271" s="1">
        <v>12</v>
      </c>
      <c r="E271" s="1" t="b">
        <v>0</v>
      </c>
      <c r="F271" s="1">
        <v>3</v>
      </c>
      <c r="G271" s="1">
        <v>2</v>
      </c>
      <c r="H271" s="1">
        <v>0.18</v>
      </c>
      <c r="I271" s="1">
        <v>0.18179999999999999</v>
      </c>
      <c r="J271" s="1">
        <v>0.4</v>
      </c>
      <c r="K271" s="1">
        <v>0.22389999999999999</v>
      </c>
      <c r="L271" s="1">
        <v>4</v>
      </c>
      <c r="M271" s="1">
        <v>57</v>
      </c>
      <c r="N271" s="1">
        <v>61</v>
      </c>
    </row>
    <row r="272" spans="1:14" x14ac:dyDescent="0.3">
      <c r="A272" s="1">
        <v>890</v>
      </c>
      <c r="B272" s="2">
        <v>40583</v>
      </c>
      <c r="C272" s="1">
        <v>1</v>
      </c>
      <c r="D272" s="1">
        <v>13</v>
      </c>
      <c r="E272" s="1" t="b">
        <v>0</v>
      </c>
      <c r="F272" s="1">
        <v>3</v>
      </c>
      <c r="G272" s="1">
        <v>1</v>
      </c>
      <c r="H272" s="1">
        <v>0.18</v>
      </c>
      <c r="I272" s="1">
        <v>0.16669999999999999</v>
      </c>
      <c r="J272" s="1">
        <v>0.4</v>
      </c>
      <c r="K272" s="1">
        <v>0.25369999999999998</v>
      </c>
      <c r="L272" s="1">
        <v>2</v>
      </c>
      <c r="M272" s="1">
        <v>67</v>
      </c>
      <c r="N272" s="1">
        <v>69</v>
      </c>
    </row>
    <row r="273" spans="1:14" x14ac:dyDescent="0.3">
      <c r="A273" s="1">
        <v>891</v>
      </c>
      <c r="B273" s="2">
        <v>40583</v>
      </c>
      <c r="C273" s="1">
        <v>1</v>
      </c>
      <c r="D273" s="1">
        <v>14</v>
      </c>
      <c r="E273" s="1" t="b">
        <v>0</v>
      </c>
      <c r="F273" s="1">
        <v>3</v>
      </c>
      <c r="G273" s="1">
        <v>1</v>
      </c>
      <c r="H273" s="1">
        <v>0.2</v>
      </c>
      <c r="I273" s="1">
        <v>0.18179999999999999</v>
      </c>
      <c r="J273" s="1">
        <v>0.34</v>
      </c>
      <c r="K273" s="1">
        <v>0.29849999999999999</v>
      </c>
      <c r="L273" s="1">
        <v>2</v>
      </c>
      <c r="M273" s="1">
        <v>56</v>
      </c>
      <c r="N273" s="1">
        <v>58</v>
      </c>
    </row>
    <row r="274" spans="1:14" x14ac:dyDescent="0.3">
      <c r="A274" s="1">
        <v>892</v>
      </c>
      <c r="B274" s="2">
        <v>40583</v>
      </c>
      <c r="C274" s="1">
        <v>1</v>
      </c>
      <c r="D274" s="1">
        <v>15</v>
      </c>
      <c r="E274" s="1" t="b">
        <v>0</v>
      </c>
      <c r="F274" s="1">
        <v>3</v>
      </c>
      <c r="G274" s="1">
        <v>2</v>
      </c>
      <c r="H274" s="1">
        <v>0.2</v>
      </c>
      <c r="I274" s="1">
        <v>0.18179999999999999</v>
      </c>
      <c r="J274" s="1">
        <v>0.34</v>
      </c>
      <c r="K274" s="1">
        <v>0.28360000000000002</v>
      </c>
      <c r="L274" s="1">
        <v>3</v>
      </c>
      <c r="M274" s="1">
        <v>61</v>
      </c>
      <c r="N274" s="1">
        <v>64</v>
      </c>
    </row>
    <row r="275" spans="1:14" x14ac:dyDescent="0.3">
      <c r="A275" s="1">
        <v>893</v>
      </c>
      <c r="B275" s="2">
        <v>40583</v>
      </c>
      <c r="C275" s="1">
        <v>1</v>
      </c>
      <c r="D275" s="1">
        <v>16</v>
      </c>
      <c r="E275" s="1" t="b">
        <v>0</v>
      </c>
      <c r="F275" s="1">
        <v>3</v>
      </c>
      <c r="G275" s="1">
        <v>2</v>
      </c>
      <c r="H275" s="1">
        <v>0.2</v>
      </c>
      <c r="I275" s="1">
        <v>0.19700000000000001</v>
      </c>
      <c r="J275" s="1">
        <v>0.37</v>
      </c>
      <c r="K275" s="1">
        <v>0.25369999999999998</v>
      </c>
      <c r="L275" s="1">
        <v>7</v>
      </c>
      <c r="M275" s="1">
        <v>72</v>
      </c>
      <c r="N275" s="1">
        <v>79</v>
      </c>
    </row>
    <row r="276" spans="1:14" x14ac:dyDescent="0.3">
      <c r="A276" s="1">
        <v>894</v>
      </c>
      <c r="B276" s="2">
        <v>40583</v>
      </c>
      <c r="C276" s="1">
        <v>1</v>
      </c>
      <c r="D276" s="1">
        <v>17</v>
      </c>
      <c r="E276" s="1" t="b">
        <v>0</v>
      </c>
      <c r="F276" s="1">
        <v>3</v>
      </c>
      <c r="G276" s="1">
        <v>2</v>
      </c>
      <c r="H276" s="1">
        <v>0.2</v>
      </c>
      <c r="I276" s="1">
        <v>0.19700000000000001</v>
      </c>
      <c r="J276" s="1">
        <v>0.34</v>
      </c>
      <c r="K276" s="1">
        <v>0.25369999999999998</v>
      </c>
      <c r="L276" s="1">
        <v>9</v>
      </c>
      <c r="M276" s="1">
        <v>157</v>
      </c>
      <c r="N276" s="1">
        <v>166</v>
      </c>
    </row>
    <row r="277" spans="1:14" x14ac:dyDescent="0.3">
      <c r="A277" s="1">
        <v>895</v>
      </c>
      <c r="B277" s="2">
        <v>40583</v>
      </c>
      <c r="C277" s="1">
        <v>1</v>
      </c>
      <c r="D277" s="1">
        <v>18</v>
      </c>
      <c r="E277" s="1" t="b">
        <v>0</v>
      </c>
      <c r="F277" s="1">
        <v>3</v>
      </c>
      <c r="G277" s="1">
        <v>2</v>
      </c>
      <c r="H277" s="1">
        <v>0.18</v>
      </c>
      <c r="I277" s="1">
        <v>0.16669999999999999</v>
      </c>
      <c r="J277" s="1">
        <v>0.47</v>
      </c>
      <c r="K277" s="1">
        <v>0.29849999999999999</v>
      </c>
      <c r="L277" s="1">
        <v>2</v>
      </c>
      <c r="M277" s="1">
        <v>168</v>
      </c>
      <c r="N277" s="1">
        <v>170</v>
      </c>
    </row>
    <row r="278" spans="1:14" x14ac:dyDescent="0.3">
      <c r="A278" s="1">
        <v>896</v>
      </c>
      <c r="B278" s="2">
        <v>40583</v>
      </c>
      <c r="C278" s="1">
        <v>1</v>
      </c>
      <c r="D278" s="1">
        <v>19</v>
      </c>
      <c r="E278" s="1" t="b">
        <v>0</v>
      </c>
      <c r="F278" s="1">
        <v>3</v>
      </c>
      <c r="G278" s="1">
        <v>3</v>
      </c>
      <c r="H278" s="1">
        <v>0.14000000000000001</v>
      </c>
      <c r="I278" s="1">
        <v>0.1212</v>
      </c>
      <c r="J278" s="1">
        <v>0.86</v>
      </c>
      <c r="K278" s="1">
        <v>0.25369999999999998</v>
      </c>
      <c r="L278" s="1">
        <v>1</v>
      </c>
      <c r="M278" s="1">
        <v>87</v>
      </c>
      <c r="N278" s="1">
        <v>88</v>
      </c>
    </row>
    <row r="279" spans="1:14" x14ac:dyDescent="0.3">
      <c r="A279" s="1">
        <v>897</v>
      </c>
      <c r="B279" s="2">
        <v>40583</v>
      </c>
      <c r="C279" s="1">
        <v>1</v>
      </c>
      <c r="D279" s="1">
        <v>20</v>
      </c>
      <c r="E279" s="1" t="b">
        <v>0</v>
      </c>
      <c r="F279" s="1">
        <v>3</v>
      </c>
      <c r="G279" s="1">
        <v>3</v>
      </c>
      <c r="H279" s="1">
        <v>0.14000000000000001</v>
      </c>
      <c r="I279" s="1">
        <v>0.1515</v>
      </c>
      <c r="J279" s="1">
        <v>0.86</v>
      </c>
      <c r="K279" s="1">
        <v>0.16420000000000001</v>
      </c>
      <c r="L279" s="1">
        <v>0</v>
      </c>
      <c r="M279" s="1">
        <v>84</v>
      </c>
      <c r="N279" s="1">
        <v>84</v>
      </c>
    </row>
    <row r="280" spans="1:14" x14ac:dyDescent="0.3">
      <c r="A280" s="1">
        <v>898</v>
      </c>
      <c r="B280" s="2">
        <v>40583</v>
      </c>
      <c r="C280" s="1">
        <v>1</v>
      </c>
      <c r="D280" s="1">
        <v>21</v>
      </c>
      <c r="E280" s="1" t="b">
        <v>0</v>
      </c>
      <c r="F280" s="1">
        <v>3</v>
      </c>
      <c r="G280" s="1">
        <v>2</v>
      </c>
      <c r="H280" s="1">
        <v>0.14000000000000001</v>
      </c>
      <c r="I280" s="1">
        <v>0.1515</v>
      </c>
      <c r="J280" s="1">
        <v>0.86</v>
      </c>
      <c r="K280" s="1">
        <v>0.16420000000000001</v>
      </c>
      <c r="L280" s="1">
        <v>0</v>
      </c>
      <c r="M280" s="1">
        <v>83</v>
      </c>
      <c r="N280" s="1">
        <v>83</v>
      </c>
    </row>
    <row r="281" spans="1:14" x14ac:dyDescent="0.3">
      <c r="A281" s="1">
        <v>899</v>
      </c>
      <c r="B281" s="2">
        <v>40583</v>
      </c>
      <c r="C281" s="1">
        <v>1</v>
      </c>
      <c r="D281" s="1">
        <v>22</v>
      </c>
      <c r="E281" s="1" t="b">
        <v>0</v>
      </c>
      <c r="F281" s="1">
        <v>3</v>
      </c>
      <c r="G281" s="1">
        <v>3</v>
      </c>
      <c r="H281" s="1">
        <v>0.16</v>
      </c>
      <c r="I281" s="1">
        <v>0.16669999999999999</v>
      </c>
      <c r="J281" s="1">
        <v>0.8</v>
      </c>
      <c r="K281" s="1">
        <v>0.16420000000000001</v>
      </c>
      <c r="L281" s="1">
        <v>4</v>
      </c>
      <c r="M281" s="1">
        <v>42</v>
      </c>
      <c r="N281" s="1">
        <v>46</v>
      </c>
    </row>
    <row r="282" spans="1:14" x14ac:dyDescent="0.3">
      <c r="A282" s="1">
        <v>900</v>
      </c>
      <c r="B282" s="2">
        <v>40583</v>
      </c>
      <c r="C282" s="1">
        <v>1</v>
      </c>
      <c r="D282" s="1">
        <v>23</v>
      </c>
      <c r="E282" s="1" t="b">
        <v>0</v>
      </c>
      <c r="F282" s="1">
        <v>3</v>
      </c>
      <c r="G282" s="1">
        <v>3</v>
      </c>
      <c r="H282" s="1">
        <v>0.16</v>
      </c>
      <c r="I282" s="1">
        <v>0.1515</v>
      </c>
      <c r="J282" s="1">
        <v>0.8</v>
      </c>
      <c r="K282" s="1">
        <v>0.19400000000000001</v>
      </c>
      <c r="L282" s="1">
        <v>0</v>
      </c>
      <c r="M282" s="1">
        <v>37</v>
      </c>
      <c r="N282" s="1">
        <v>37</v>
      </c>
    </row>
    <row r="283" spans="1:14" x14ac:dyDescent="0.3">
      <c r="A283" s="1">
        <v>901</v>
      </c>
      <c r="B283" s="2">
        <v>40584</v>
      </c>
      <c r="C283" s="1">
        <v>1</v>
      </c>
      <c r="D283" s="1">
        <v>0</v>
      </c>
      <c r="E283" s="1" t="b">
        <v>0</v>
      </c>
      <c r="F283" s="1">
        <v>4</v>
      </c>
      <c r="G283" s="1">
        <v>3</v>
      </c>
      <c r="H283" s="1">
        <v>0.14000000000000001</v>
      </c>
      <c r="I283" s="1">
        <v>0.13639999999999999</v>
      </c>
      <c r="J283" s="1">
        <v>0.86</v>
      </c>
      <c r="K283" s="1">
        <v>0.19400000000000001</v>
      </c>
      <c r="L283" s="1">
        <v>0</v>
      </c>
      <c r="M283" s="1">
        <v>16</v>
      </c>
      <c r="N283" s="1">
        <v>16</v>
      </c>
    </row>
    <row r="284" spans="1:14" x14ac:dyDescent="0.3">
      <c r="A284" s="1">
        <v>902</v>
      </c>
      <c r="B284" s="2">
        <v>40584</v>
      </c>
      <c r="C284" s="1">
        <v>1</v>
      </c>
      <c r="D284" s="1">
        <v>1</v>
      </c>
      <c r="E284" s="1" t="b">
        <v>0</v>
      </c>
      <c r="F284" s="1">
        <v>4</v>
      </c>
      <c r="G284" s="1">
        <v>3</v>
      </c>
      <c r="H284" s="1">
        <v>0.14000000000000001</v>
      </c>
      <c r="I284" s="1">
        <v>0.1515</v>
      </c>
      <c r="J284" s="1">
        <v>0.8</v>
      </c>
      <c r="K284" s="1">
        <v>0.1343</v>
      </c>
      <c r="L284" s="1">
        <v>0</v>
      </c>
      <c r="M284" s="1">
        <v>7</v>
      </c>
      <c r="N284" s="1">
        <v>7</v>
      </c>
    </row>
    <row r="285" spans="1:14" x14ac:dyDescent="0.3">
      <c r="A285" s="1">
        <v>903</v>
      </c>
      <c r="B285" s="2">
        <v>40584</v>
      </c>
      <c r="C285" s="1">
        <v>1</v>
      </c>
      <c r="D285" s="1">
        <v>2</v>
      </c>
      <c r="E285" s="1" t="b">
        <v>0</v>
      </c>
      <c r="F285" s="1">
        <v>4</v>
      </c>
      <c r="G285" s="1">
        <v>3</v>
      </c>
      <c r="H285" s="1">
        <v>0.14000000000000001</v>
      </c>
      <c r="I285" s="1">
        <v>0.1515</v>
      </c>
      <c r="J285" s="1">
        <v>0.8</v>
      </c>
      <c r="K285" s="1">
        <v>0.1343</v>
      </c>
      <c r="L285" s="1">
        <v>0</v>
      </c>
      <c r="M285" s="1">
        <v>3</v>
      </c>
      <c r="N285" s="1">
        <v>3</v>
      </c>
    </row>
    <row r="286" spans="1:14" x14ac:dyDescent="0.3">
      <c r="A286" s="1">
        <v>904</v>
      </c>
      <c r="B286" s="2">
        <v>40584</v>
      </c>
      <c r="C286" s="1">
        <v>1</v>
      </c>
      <c r="D286" s="1">
        <v>4</v>
      </c>
      <c r="E286" s="1" t="b">
        <v>0</v>
      </c>
      <c r="F286" s="1">
        <v>4</v>
      </c>
      <c r="G286" s="1">
        <v>2</v>
      </c>
      <c r="H286" s="1">
        <v>0.14000000000000001</v>
      </c>
      <c r="I286" s="1">
        <v>0.13639999999999999</v>
      </c>
      <c r="J286" s="1">
        <v>0.59</v>
      </c>
      <c r="K286" s="1">
        <v>0.22389999999999999</v>
      </c>
      <c r="L286" s="1">
        <v>0</v>
      </c>
      <c r="M286" s="1">
        <v>1</v>
      </c>
      <c r="N286" s="1">
        <v>1</v>
      </c>
    </row>
    <row r="287" spans="1:14" x14ac:dyDescent="0.3">
      <c r="A287" s="1">
        <v>905</v>
      </c>
      <c r="B287" s="2">
        <v>40584</v>
      </c>
      <c r="C287" s="1">
        <v>1</v>
      </c>
      <c r="D287" s="1">
        <v>5</v>
      </c>
      <c r="E287" s="1" t="b">
        <v>0</v>
      </c>
      <c r="F287" s="1">
        <v>4</v>
      </c>
      <c r="G287" s="1">
        <v>2</v>
      </c>
      <c r="H287" s="1">
        <v>0.12</v>
      </c>
      <c r="I287" s="1">
        <v>0.1212</v>
      </c>
      <c r="J287" s="1">
        <v>0.5</v>
      </c>
      <c r="K287" s="1">
        <v>0.22389999999999999</v>
      </c>
      <c r="L287" s="1">
        <v>0</v>
      </c>
      <c r="M287" s="1">
        <v>6</v>
      </c>
      <c r="N287" s="1">
        <v>6</v>
      </c>
    </row>
    <row r="288" spans="1:14" x14ac:dyDescent="0.3">
      <c r="A288" s="1">
        <v>906</v>
      </c>
      <c r="B288" s="2">
        <v>40584</v>
      </c>
      <c r="C288" s="1">
        <v>1</v>
      </c>
      <c r="D288" s="1">
        <v>6</v>
      </c>
      <c r="E288" s="1" t="b">
        <v>0</v>
      </c>
      <c r="F288" s="1">
        <v>4</v>
      </c>
      <c r="G288" s="1">
        <v>2</v>
      </c>
      <c r="H288" s="1">
        <v>0.12</v>
      </c>
      <c r="I288" s="1">
        <v>0.1212</v>
      </c>
      <c r="J288" s="1">
        <v>0.54</v>
      </c>
      <c r="K288" s="1">
        <v>0.28360000000000002</v>
      </c>
      <c r="L288" s="1">
        <v>0</v>
      </c>
      <c r="M288" s="1">
        <v>26</v>
      </c>
      <c r="N288" s="1">
        <v>26</v>
      </c>
    </row>
    <row r="289" spans="1:14" x14ac:dyDescent="0.3">
      <c r="A289" s="1">
        <v>907</v>
      </c>
      <c r="B289" s="2">
        <v>40584</v>
      </c>
      <c r="C289" s="1">
        <v>1</v>
      </c>
      <c r="D289" s="1">
        <v>7</v>
      </c>
      <c r="E289" s="1" t="b">
        <v>0</v>
      </c>
      <c r="F289" s="1">
        <v>4</v>
      </c>
      <c r="G289" s="1">
        <v>1</v>
      </c>
      <c r="H289" s="1">
        <v>0.1</v>
      </c>
      <c r="I289" s="1">
        <v>7.5800000000000006E-2</v>
      </c>
      <c r="J289" s="1">
        <v>0.5</v>
      </c>
      <c r="K289" s="1">
        <v>0.41789999999999999</v>
      </c>
      <c r="L289" s="1">
        <v>0</v>
      </c>
      <c r="M289" s="1">
        <v>99</v>
      </c>
      <c r="N289" s="1">
        <v>99</v>
      </c>
    </row>
    <row r="290" spans="1:14" x14ac:dyDescent="0.3">
      <c r="A290" s="1">
        <v>908</v>
      </c>
      <c r="B290" s="2">
        <v>40584</v>
      </c>
      <c r="C290" s="1">
        <v>1</v>
      </c>
      <c r="D290" s="1">
        <v>8</v>
      </c>
      <c r="E290" s="1" t="b">
        <v>0</v>
      </c>
      <c r="F290" s="1">
        <v>4</v>
      </c>
      <c r="G290" s="1">
        <v>1</v>
      </c>
      <c r="H290" s="1">
        <v>0.1</v>
      </c>
      <c r="I290" s="1">
        <v>7.5800000000000006E-2</v>
      </c>
      <c r="J290" s="1">
        <v>0.49</v>
      </c>
      <c r="K290" s="1">
        <v>0.32840000000000003</v>
      </c>
      <c r="L290" s="1">
        <v>5</v>
      </c>
      <c r="M290" s="1">
        <v>173</v>
      </c>
      <c r="N290" s="1">
        <v>178</v>
      </c>
    </row>
    <row r="291" spans="1:14" x14ac:dyDescent="0.3">
      <c r="A291" s="1">
        <v>909</v>
      </c>
      <c r="B291" s="2">
        <v>40584</v>
      </c>
      <c r="C291" s="1">
        <v>1</v>
      </c>
      <c r="D291" s="1">
        <v>9</v>
      </c>
      <c r="E291" s="1" t="b">
        <v>0</v>
      </c>
      <c r="F291" s="1">
        <v>4</v>
      </c>
      <c r="G291" s="1">
        <v>1</v>
      </c>
      <c r="H291" s="1">
        <v>0.12</v>
      </c>
      <c r="I291" s="1">
        <v>0.1061</v>
      </c>
      <c r="J291" s="1">
        <v>0.42</v>
      </c>
      <c r="K291" s="1">
        <v>0.35820000000000002</v>
      </c>
      <c r="L291" s="1">
        <v>1</v>
      </c>
      <c r="M291" s="1">
        <v>121</v>
      </c>
      <c r="N291" s="1">
        <v>122</v>
      </c>
    </row>
    <row r="292" spans="1:14" x14ac:dyDescent="0.3">
      <c r="A292" s="1">
        <v>910</v>
      </c>
      <c r="B292" s="2">
        <v>40584</v>
      </c>
      <c r="C292" s="1">
        <v>1</v>
      </c>
      <c r="D292" s="1">
        <v>10</v>
      </c>
      <c r="E292" s="1" t="b">
        <v>0</v>
      </c>
      <c r="F292" s="1">
        <v>4</v>
      </c>
      <c r="G292" s="1">
        <v>1</v>
      </c>
      <c r="H292" s="1">
        <v>0.12</v>
      </c>
      <c r="I292" s="1">
        <v>0.1061</v>
      </c>
      <c r="J292" s="1">
        <v>0.42</v>
      </c>
      <c r="K292" s="1">
        <v>0.29849999999999999</v>
      </c>
      <c r="L292" s="1">
        <v>1</v>
      </c>
      <c r="M292" s="1">
        <v>34</v>
      </c>
      <c r="N292" s="1">
        <v>35</v>
      </c>
    </row>
    <row r="293" spans="1:14" x14ac:dyDescent="0.3">
      <c r="A293" s="1">
        <v>911</v>
      </c>
      <c r="B293" s="2">
        <v>40584</v>
      </c>
      <c r="C293" s="1">
        <v>1</v>
      </c>
      <c r="D293" s="1">
        <v>11</v>
      </c>
      <c r="E293" s="1" t="b">
        <v>0</v>
      </c>
      <c r="F293" s="1">
        <v>4</v>
      </c>
      <c r="G293" s="1">
        <v>1</v>
      </c>
      <c r="H293" s="1">
        <v>0.14000000000000001</v>
      </c>
      <c r="I293" s="1">
        <v>0.1212</v>
      </c>
      <c r="J293" s="1">
        <v>0.39</v>
      </c>
      <c r="K293" s="1">
        <v>0.35820000000000002</v>
      </c>
      <c r="L293" s="1">
        <v>1</v>
      </c>
      <c r="M293" s="1">
        <v>44</v>
      </c>
      <c r="N293" s="1">
        <v>45</v>
      </c>
    </row>
    <row r="294" spans="1:14" x14ac:dyDescent="0.3">
      <c r="A294" s="1">
        <v>912</v>
      </c>
      <c r="B294" s="2">
        <v>40584</v>
      </c>
      <c r="C294" s="1">
        <v>1</v>
      </c>
      <c r="D294" s="1">
        <v>12</v>
      </c>
      <c r="E294" s="1" t="b">
        <v>0</v>
      </c>
      <c r="F294" s="1">
        <v>4</v>
      </c>
      <c r="G294" s="1">
        <v>1</v>
      </c>
      <c r="H294" s="1">
        <v>0.16</v>
      </c>
      <c r="I294" s="1">
        <v>0.13639999999999999</v>
      </c>
      <c r="J294" s="1">
        <v>0.34</v>
      </c>
      <c r="K294" s="1">
        <v>0.3881</v>
      </c>
      <c r="L294" s="1">
        <v>4</v>
      </c>
      <c r="M294" s="1">
        <v>65</v>
      </c>
      <c r="N294" s="1">
        <v>69</v>
      </c>
    </row>
    <row r="295" spans="1:14" x14ac:dyDescent="0.3">
      <c r="A295" s="1">
        <v>913</v>
      </c>
      <c r="B295" s="2">
        <v>40584</v>
      </c>
      <c r="C295" s="1">
        <v>1</v>
      </c>
      <c r="D295" s="1">
        <v>13</v>
      </c>
      <c r="E295" s="1" t="b">
        <v>0</v>
      </c>
      <c r="F295" s="1">
        <v>4</v>
      </c>
      <c r="G295" s="1">
        <v>1</v>
      </c>
      <c r="H295" s="1">
        <v>0.18</v>
      </c>
      <c r="I295" s="1">
        <v>0.16669999999999999</v>
      </c>
      <c r="J295" s="1">
        <v>0.28999999999999998</v>
      </c>
      <c r="K295" s="1">
        <v>0.29849999999999999</v>
      </c>
      <c r="L295" s="1">
        <v>3</v>
      </c>
      <c r="M295" s="1">
        <v>59</v>
      </c>
      <c r="N295" s="1">
        <v>62</v>
      </c>
    </row>
    <row r="296" spans="1:14" x14ac:dyDescent="0.3">
      <c r="A296" s="1">
        <v>914</v>
      </c>
      <c r="B296" s="2">
        <v>40584</v>
      </c>
      <c r="C296" s="1">
        <v>1</v>
      </c>
      <c r="D296" s="1">
        <v>14</v>
      </c>
      <c r="E296" s="1" t="b">
        <v>0</v>
      </c>
      <c r="F296" s="1">
        <v>4</v>
      </c>
      <c r="G296" s="1">
        <v>1</v>
      </c>
      <c r="H296" s="1">
        <v>0.2</v>
      </c>
      <c r="I296" s="1">
        <v>0.18179999999999999</v>
      </c>
      <c r="J296" s="1">
        <v>0.27</v>
      </c>
      <c r="K296" s="1">
        <v>0.28360000000000002</v>
      </c>
      <c r="L296" s="1">
        <v>6</v>
      </c>
      <c r="M296" s="1">
        <v>42</v>
      </c>
      <c r="N296" s="1">
        <v>48</v>
      </c>
    </row>
    <row r="297" spans="1:14" x14ac:dyDescent="0.3">
      <c r="A297" s="1">
        <v>915</v>
      </c>
      <c r="B297" s="2">
        <v>40584</v>
      </c>
      <c r="C297" s="1">
        <v>1</v>
      </c>
      <c r="D297" s="1">
        <v>15</v>
      </c>
      <c r="E297" s="1" t="b">
        <v>0</v>
      </c>
      <c r="F297" s="1">
        <v>4</v>
      </c>
      <c r="G297" s="1">
        <v>1</v>
      </c>
      <c r="H297" s="1">
        <v>0.2</v>
      </c>
      <c r="I297" s="1">
        <v>0.19700000000000001</v>
      </c>
      <c r="J297" s="1">
        <v>0.25</v>
      </c>
      <c r="K297" s="1">
        <v>0.25369999999999998</v>
      </c>
      <c r="L297" s="1">
        <v>0</v>
      </c>
      <c r="M297" s="1">
        <v>50</v>
      </c>
      <c r="N297" s="1">
        <v>50</v>
      </c>
    </row>
    <row r="298" spans="1:14" x14ac:dyDescent="0.3">
      <c r="A298" s="1">
        <v>916</v>
      </c>
      <c r="B298" s="2">
        <v>40584</v>
      </c>
      <c r="C298" s="1">
        <v>1</v>
      </c>
      <c r="D298" s="1">
        <v>16</v>
      </c>
      <c r="E298" s="1" t="b">
        <v>0</v>
      </c>
      <c r="F298" s="1">
        <v>4</v>
      </c>
      <c r="G298" s="1">
        <v>1</v>
      </c>
      <c r="H298" s="1">
        <v>0.2</v>
      </c>
      <c r="I298" s="1">
        <v>0.18179999999999999</v>
      </c>
      <c r="J298" s="1">
        <v>0.27</v>
      </c>
      <c r="K298" s="1">
        <v>0.29849999999999999</v>
      </c>
      <c r="L298" s="1">
        <v>4</v>
      </c>
      <c r="M298" s="1">
        <v>76</v>
      </c>
      <c r="N298" s="1">
        <v>80</v>
      </c>
    </row>
    <row r="299" spans="1:14" x14ac:dyDescent="0.3">
      <c r="A299" s="1">
        <v>917</v>
      </c>
      <c r="B299" s="2">
        <v>40584</v>
      </c>
      <c r="C299" s="1">
        <v>1</v>
      </c>
      <c r="D299" s="1">
        <v>17</v>
      </c>
      <c r="E299" s="1" t="b">
        <v>0</v>
      </c>
      <c r="F299" s="1">
        <v>4</v>
      </c>
      <c r="G299" s="1">
        <v>1</v>
      </c>
      <c r="H299" s="1">
        <v>0.18</v>
      </c>
      <c r="I299" s="1">
        <v>0.18179999999999999</v>
      </c>
      <c r="J299" s="1">
        <v>0.26</v>
      </c>
      <c r="K299" s="1">
        <v>0.19400000000000001</v>
      </c>
      <c r="L299" s="1">
        <v>6</v>
      </c>
      <c r="M299" s="1">
        <v>159</v>
      </c>
      <c r="N299" s="1">
        <v>165</v>
      </c>
    </row>
    <row r="300" spans="1:14" x14ac:dyDescent="0.3">
      <c r="A300" s="1">
        <v>918</v>
      </c>
      <c r="B300" s="2">
        <v>40584</v>
      </c>
      <c r="C300" s="1">
        <v>1</v>
      </c>
      <c r="D300" s="1">
        <v>18</v>
      </c>
      <c r="E300" s="1" t="b">
        <v>0</v>
      </c>
      <c r="F300" s="1">
        <v>4</v>
      </c>
      <c r="G300" s="1">
        <v>1</v>
      </c>
      <c r="H300" s="1">
        <v>0.16</v>
      </c>
      <c r="I300" s="1">
        <v>0.18179999999999999</v>
      </c>
      <c r="J300" s="1">
        <v>0.28000000000000003</v>
      </c>
      <c r="K300" s="1">
        <v>0.1343</v>
      </c>
      <c r="L300" s="1">
        <v>3</v>
      </c>
      <c r="M300" s="1">
        <v>157</v>
      </c>
      <c r="N300" s="1">
        <v>160</v>
      </c>
    </row>
    <row r="301" spans="1:14" x14ac:dyDescent="0.3">
      <c r="A301" s="1">
        <v>919</v>
      </c>
      <c r="B301" s="2">
        <v>40584</v>
      </c>
      <c r="C301" s="1">
        <v>1</v>
      </c>
      <c r="D301" s="1">
        <v>19</v>
      </c>
      <c r="E301" s="1" t="b">
        <v>0</v>
      </c>
      <c r="F301" s="1">
        <v>4</v>
      </c>
      <c r="G301" s="1">
        <v>1</v>
      </c>
      <c r="H301" s="1">
        <v>0.14000000000000001</v>
      </c>
      <c r="I301" s="1">
        <v>0.16669999999999999</v>
      </c>
      <c r="J301" s="1">
        <v>0.28000000000000003</v>
      </c>
      <c r="K301" s="1">
        <v>0.1045</v>
      </c>
      <c r="L301" s="1">
        <v>2</v>
      </c>
      <c r="M301" s="1">
        <v>110</v>
      </c>
      <c r="N301" s="1">
        <v>112</v>
      </c>
    </row>
    <row r="302" spans="1:14" x14ac:dyDescent="0.3">
      <c r="A302" s="1">
        <v>920</v>
      </c>
      <c r="B302" s="2">
        <v>40584</v>
      </c>
      <c r="C302" s="1">
        <v>1</v>
      </c>
      <c r="D302" s="1">
        <v>20</v>
      </c>
      <c r="E302" s="1" t="b">
        <v>0</v>
      </c>
      <c r="F302" s="1">
        <v>4</v>
      </c>
      <c r="G302" s="1">
        <v>1</v>
      </c>
      <c r="H302" s="1">
        <v>0.14000000000000001</v>
      </c>
      <c r="I302" s="1">
        <v>0.18179999999999999</v>
      </c>
      <c r="J302" s="1">
        <v>0.31</v>
      </c>
      <c r="K302" s="1">
        <v>8.9599999999999999E-2</v>
      </c>
      <c r="L302" s="1">
        <v>4</v>
      </c>
      <c r="M302" s="1">
        <v>93</v>
      </c>
      <c r="N302" s="1">
        <v>97</v>
      </c>
    </row>
    <row r="303" spans="1:14" x14ac:dyDescent="0.3">
      <c r="A303" s="1">
        <v>921</v>
      </c>
      <c r="B303" s="2">
        <v>40584</v>
      </c>
      <c r="C303" s="1">
        <v>1</v>
      </c>
      <c r="D303" s="1">
        <v>21</v>
      </c>
      <c r="E303" s="1" t="b">
        <v>0</v>
      </c>
      <c r="F303" s="1">
        <v>4</v>
      </c>
      <c r="G303" s="1">
        <v>1</v>
      </c>
      <c r="H303" s="1">
        <v>0.14000000000000001</v>
      </c>
      <c r="I303" s="1">
        <v>0.21210000000000001</v>
      </c>
      <c r="J303" s="1">
        <v>0.39</v>
      </c>
      <c r="K303" s="1">
        <v>0</v>
      </c>
      <c r="L303" s="1">
        <v>2</v>
      </c>
      <c r="M303" s="1">
        <v>70</v>
      </c>
      <c r="N303" s="1">
        <v>72</v>
      </c>
    </row>
    <row r="304" spans="1:14" x14ac:dyDescent="0.3">
      <c r="A304" s="1">
        <v>922</v>
      </c>
      <c r="B304" s="2">
        <v>40584</v>
      </c>
      <c r="C304" s="1">
        <v>1</v>
      </c>
      <c r="D304" s="1">
        <v>22</v>
      </c>
      <c r="E304" s="1" t="b">
        <v>0</v>
      </c>
      <c r="F304" s="1">
        <v>4</v>
      </c>
      <c r="G304" s="1">
        <v>1</v>
      </c>
      <c r="H304" s="1">
        <v>0.12</v>
      </c>
      <c r="I304" s="1">
        <v>0.19700000000000001</v>
      </c>
      <c r="J304" s="1">
        <v>0.39</v>
      </c>
      <c r="K304" s="1">
        <v>0</v>
      </c>
      <c r="L304" s="1">
        <v>4</v>
      </c>
      <c r="M304" s="1">
        <v>47</v>
      </c>
      <c r="N304" s="1">
        <v>51</v>
      </c>
    </row>
    <row r="305" spans="1:14" x14ac:dyDescent="0.3">
      <c r="A305" s="1">
        <v>923</v>
      </c>
      <c r="B305" s="2">
        <v>40584</v>
      </c>
      <c r="C305" s="1">
        <v>1</v>
      </c>
      <c r="D305" s="1">
        <v>23</v>
      </c>
      <c r="E305" s="1" t="b">
        <v>0</v>
      </c>
      <c r="F305" s="1">
        <v>4</v>
      </c>
      <c r="G305" s="1">
        <v>1</v>
      </c>
      <c r="H305" s="1">
        <v>0.12</v>
      </c>
      <c r="I305" s="1">
        <v>0.1515</v>
      </c>
      <c r="J305" s="1">
        <v>0.42</v>
      </c>
      <c r="K305" s="1">
        <v>0.1045</v>
      </c>
      <c r="L305" s="1">
        <v>1</v>
      </c>
      <c r="M305" s="1">
        <v>33</v>
      </c>
      <c r="N305" s="1">
        <v>34</v>
      </c>
    </row>
    <row r="306" spans="1:14" x14ac:dyDescent="0.3">
      <c r="A306" s="1">
        <v>924</v>
      </c>
      <c r="B306" s="2">
        <v>40585</v>
      </c>
      <c r="C306" s="1">
        <v>1</v>
      </c>
      <c r="D306" s="1">
        <v>0</v>
      </c>
      <c r="E306" s="1" t="b">
        <v>0</v>
      </c>
      <c r="F306" s="1">
        <v>5</v>
      </c>
      <c r="G306" s="1">
        <v>1</v>
      </c>
      <c r="H306" s="1">
        <v>0.1</v>
      </c>
      <c r="I306" s="1">
        <v>0.13639999999999999</v>
      </c>
      <c r="J306" s="1">
        <v>0.49</v>
      </c>
      <c r="K306" s="1">
        <v>0.1045</v>
      </c>
      <c r="L306" s="1">
        <v>2</v>
      </c>
      <c r="M306" s="1">
        <v>12</v>
      </c>
      <c r="N306" s="1">
        <v>14</v>
      </c>
    </row>
    <row r="307" spans="1:14" x14ac:dyDescent="0.3">
      <c r="A307" s="1">
        <v>925</v>
      </c>
      <c r="B307" s="2">
        <v>40585</v>
      </c>
      <c r="C307" s="1">
        <v>1</v>
      </c>
      <c r="D307" s="1">
        <v>1</v>
      </c>
      <c r="E307" s="1" t="b">
        <v>0</v>
      </c>
      <c r="F307" s="1">
        <v>5</v>
      </c>
      <c r="G307" s="1">
        <v>1</v>
      </c>
      <c r="H307" s="1">
        <v>0.1</v>
      </c>
      <c r="I307" s="1">
        <v>0.13639999999999999</v>
      </c>
      <c r="J307" s="1">
        <v>0.54</v>
      </c>
      <c r="K307" s="1">
        <v>8.9599999999999999E-2</v>
      </c>
      <c r="L307" s="1">
        <v>1</v>
      </c>
      <c r="M307" s="1">
        <v>6</v>
      </c>
      <c r="N307" s="1">
        <v>7</v>
      </c>
    </row>
    <row r="308" spans="1:14" x14ac:dyDescent="0.3">
      <c r="A308" s="1">
        <v>926</v>
      </c>
      <c r="B308" s="2">
        <v>40585</v>
      </c>
      <c r="C308" s="1">
        <v>1</v>
      </c>
      <c r="D308" s="1">
        <v>2</v>
      </c>
      <c r="E308" s="1" t="b">
        <v>0</v>
      </c>
      <c r="F308" s="1">
        <v>5</v>
      </c>
      <c r="G308" s="1">
        <v>1</v>
      </c>
      <c r="H308" s="1">
        <v>0.1</v>
      </c>
      <c r="I308" s="1">
        <v>0.13639999999999999</v>
      </c>
      <c r="J308" s="1">
        <v>0.54</v>
      </c>
      <c r="K308" s="1">
        <v>8.9599999999999999E-2</v>
      </c>
      <c r="L308" s="1">
        <v>0</v>
      </c>
      <c r="M308" s="1">
        <v>3</v>
      </c>
      <c r="N308" s="1">
        <v>3</v>
      </c>
    </row>
    <row r="309" spans="1:14" x14ac:dyDescent="0.3">
      <c r="A309" s="1">
        <v>927</v>
      </c>
      <c r="B309" s="2">
        <v>40585</v>
      </c>
      <c r="C309" s="1">
        <v>1</v>
      </c>
      <c r="D309" s="1">
        <v>5</v>
      </c>
      <c r="E309" s="1" t="b">
        <v>0</v>
      </c>
      <c r="F309" s="1">
        <v>5</v>
      </c>
      <c r="G309" s="1">
        <v>1</v>
      </c>
      <c r="H309" s="1">
        <v>0.08</v>
      </c>
      <c r="I309" s="1">
        <v>0.1212</v>
      </c>
      <c r="J309" s="1">
        <v>0.63</v>
      </c>
      <c r="K309" s="1">
        <v>8.9599999999999999E-2</v>
      </c>
      <c r="L309" s="1">
        <v>0</v>
      </c>
      <c r="M309" s="1">
        <v>4</v>
      </c>
      <c r="N309" s="1">
        <v>4</v>
      </c>
    </row>
    <row r="310" spans="1:14" x14ac:dyDescent="0.3">
      <c r="A310" s="1">
        <v>928</v>
      </c>
      <c r="B310" s="2">
        <v>40585</v>
      </c>
      <c r="C310" s="1">
        <v>1</v>
      </c>
      <c r="D310" s="1">
        <v>6</v>
      </c>
      <c r="E310" s="1" t="b">
        <v>0</v>
      </c>
      <c r="F310" s="1">
        <v>5</v>
      </c>
      <c r="G310" s="1">
        <v>1</v>
      </c>
      <c r="H310" s="1">
        <v>0.1</v>
      </c>
      <c r="I310" s="1">
        <v>0.18179999999999999</v>
      </c>
      <c r="J310" s="1">
        <v>0.68</v>
      </c>
      <c r="K310" s="1">
        <v>0</v>
      </c>
      <c r="L310" s="1">
        <v>1</v>
      </c>
      <c r="M310" s="1">
        <v>23</v>
      </c>
      <c r="N310" s="1">
        <v>24</v>
      </c>
    </row>
    <row r="311" spans="1:14" x14ac:dyDescent="0.3">
      <c r="A311" s="1">
        <v>929</v>
      </c>
      <c r="B311" s="2">
        <v>40585</v>
      </c>
      <c r="C311" s="1">
        <v>1</v>
      </c>
      <c r="D311" s="1">
        <v>7</v>
      </c>
      <c r="E311" s="1" t="b">
        <v>0</v>
      </c>
      <c r="F311" s="1">
        <v>5</v>
      </c>
      <c r="G311" s="1">
        <v>1</v>
      </c>
      <c r="H311" s="1">
        <v>0.08</v>
      </c>
      <c r="I311" s="1">
        <v>0.16669999999999999</v>
      </c>
      <c r="J311" s="1">
        <v>0.73</v>
      </c>
      <c r="K311" s="1">
        <v>0</v>
      </c>
      <c r="L311" s="1">
        <v>1</v>
      </c>
      <c r="M311" s="1">
        <v>73</v>
      </c>
      <c r="N311" s="1">
        <v>74</v>
      </c>
    </row>
    <row r="312" spans="1:14" x14ac:dyDescent="0.3">
      <c r="A312" s="1">
        <v>930</v>
      </c>
      <c r="B312" s="2">
        <v>40585</v>
      </c>
      <c r="C312" s="1">
        <v>1</v>
      </c>
      <c r="D312" s="1">
        <v>8</v>
      </c>
      <c r="E312" s="1" t="b">
        <v>0</v>
      </c>
      <c r="F312" s="1">
        <v>5</v>
      </c>
      <c r="G312" s="1">
        <v>1</v>
      </c>
      <c r="H312" s="1">
        <v>0.1</v>
      </c>
      <c r="I312" s="1">
        <v>0.1212</v>
      </c>
      <c r="J312" s="1">
        <v>0.74</v>
      </c>
      <c r="K312" s="1">
        <v>0.16420000000000001</v>
      </c>
      <c r="L312" s="1">
        <v>4</v>
      </c>
      <c r="M312" s="1">
        <v>212</v>
      </c>
      <c r="N312" s="1">
        <v>216</v>
      </c>
    </row>
    <row r="313" spans="1:14" x14ac:dyDescent="0.3">
      <c r="A313" s="1">
        <v>931</v>
      </c>
      <c r="B313" s="2">
        <v>40585</v>
      </c>
      <c r="C313" s="1">
        <v>1</v>
      </c>
      <c r="D313" s="1">
        <v>9</v>
      </c>
      <c r="E313" s="1" t="b">
        <v>0</v>
      </c>
      <c r="F313" s="1">
        <v>5</v>
      </c>
      <c r="G313" s="1">
        <v>1</v>
      </c>
      <c r="H313" s="1">
        <v>0.12</v>
      </c>
      <c r="I313" s="1">
        <v>0.1212</v>
      </c>
      <c r="J313" s="1">
        <v>0.74</v>
      </c>
      <c r="K313" s="1">
        <v>0.22389999999999999</v>
      </c>
      <c r="L313" s="1">
        <v>8</v>
      </c>
      <c r="M313" s="1">
        <v>132</v>
      </c>
      <c r="N313" s="1">
        <v>140</v>
      </c>
    </row>
    <row r="314" spans="1:14" x14ac:dyDescent="0.3">
      <c r="A314" s="1">
        <v>932</v>
      </c>
      <c r="B314" s="2">
        <v>40585</v>
      </c>
      <c r="C314" s="1">
        <v>1</v>
      </c>
      <c r="D314" s="1">
        <v>10</v>
      </c>
      <c r="E314" s="1" t="b">
        <v>0</v>
      </c>
      <c r="F314" s="1">
        <v>5</v>
      </c>
      <c r="G314" s="1">
        <v>1</v>
      </c>
      <c r="H314" s="1">
        <v>0.14000000000000001</v>
      </c>
      <c r="I314" s="1">
        <v>0.13639999999999999</v>
      </c>
      <c r="J314" s="1">
        <v>0.69</v>
      </c>
      <c r="K314" s="1">
        <v>0.19400000000000001</v>
      </c>
      <c r="L314" s="1">
        <v>5</v>
      </c>
      <c r="M314" s="1">
        <v>39</v>
      </c>
      <c r="N314" s="1">
        <v>44</v>
      </c>
    </row>
    <row r="315" spans="1:14" x14ac:dyDescent="0.3">
      <c r="A315" s="1">
        <v>933</v>
      </c>
      <c r="B315" s="2">
        <v>40585</v>
      </c>
      <c r="C315" s="1">
        <v>1</v>
      </c>
      <c r="D315" s="1">
        <v>11</v>
      </c>
      <c r="E315" s="1" t="b">
        <v>0</v>
      </c>
      <c r="F315" s="1">
        <v>5</v>
      </c>
      <c r="G315" s="1">
        <v>1</v>
      </c>
      <c r="H315" s="1">
        <v>0.22</v>
      </c>
      <c r="I315" s="1">
        <v>0.2273</v>
      </c>
      <c r="J315" s="1">
        <v>0.47</v>
      </c>
      <c r="K315" s="1">
        <v>0.1343</v>
      </c>
      <c r="L315" s="1">
        <v>12</v>
      </c>
      <c r="M315" s="1">
        <v>52</v>
      </c>
      <c r="N315" s="1">
        <v>64</v>
      </c>
    </row>
    <row r="316" spans="1:14" x14ac:dyDescent="0.3">
      <c r="A316" s="1">
        <v>934</v>
      </c>
      <c r="B316" s="2">
        <v>40585</v>
      </c>
      <c r="C316" s="1">
        <v>1</v>
      </c>
      <c r="D316" s="1">
        <v>12</v>
      </c>
      <c r="E316" s="1" t="b">
        <v>0</v>
      </c>
      <c r="F316" s="1">
        <v>5</v>
      </c>
      <c r="G316" s="1">
        <v>1</v>
      </c>
      <c r="H316" s="1">
        <v>0.22</v>
      </c>
      <c r="I316" s="1">
        <v>0.2273</v>
      </c>
      <c r="J316" s="1">
        <v>0.47</v>
      </c>
      <c r="K316" s="1">
        <v>0.1343</v>
      </c>
      <c r="L316" s="1">
        <v>7</v>
      </c>
      <c r="M316" s="1">
        <v>64</v>
      </c>
      <c r="N316" s="1">
        <v>71</v>
      </c>
    </row>
    <row r="317" spans="1:14" x14ac:dyDescent="0.3">
      <c r="A317" s="1">
        <v>935</v>
      </c>
      <c r="B317" s="2">
        <v>40585</v>
      </c>
      <c r="C317" s="1">
        <v>1</v>
      </c>
      <c r="D317" s="1">
        <v>13</v>
      </c>
      <c r="E317" s="1" t="b">
        <v>0</v>
      </c>
      <c r="F317" s="1">
        <v>5</v>
      </c>
      <c r="G317" s="1">
        <v>1</v>
      </c>
      <c r="H317" s="1">
        <v>0.24</v>
      </c>
      <c r="I317" s="1">
        <v>0.2273</v>
      </c>
      <c r="J317" s="1">
        <v>0.35</v>
      </c>
      <c r="K317" s="1">
        <v>0.19400000000000001</v>
      </c>
      <c r="L317" s="1">
        <v>21</v>
      </c>
      <c r="M317" s="1">
        <v>89</v>
      </c>
      <c r="N317" s="1">
        <v>110</v>
      </c>
    </row>
    <row r="318" spans="1:14" x14ac:dyDescent="0.3">
      <c r="A318" s="1">
        <v>936</v>
      </c>
      <c r="B318" s="2">
        <v>40585</v>
      </c>
      <c r="C318" s="1">
        <v>1</v>
      </c>
      <c r="D318" s="1">
        <v>14</v>
      </c>
      <c r="E318" s="1" t="b">
        <v>0</v>
      </c>
      <c r="F318" s="1">
        <v>5</v>
      </c>
      <c r="G318" s="1">
        <v>1</v>
      </c>
      <c r="H318" s="1">
        <v>0.3</v>
      </c>
      <c r="I318" s="1">
        <v>0.28789999999999999</v>
      </c>
      <c r="J318" s="1">
        <v>0.26</v>
      </c>
      <c r="K318" s="1">
        <v>0.25369999999999998</v>
      </c>
      <c r="L318" s="1">
        <v>17</v>
      </c>
      <c r="M318" s="1">
        <v>67</v>
      </c>
      <c r="N318" s="1">
        <v>84</v>
      </c>
    </row>
    <row r="319" spans="1:14" x14ac:dyDescent="0.3">
      <c r="A319" s="1">
        <v>937</v>
      </c>
      <c r="B319" s="2">
        <v>40585</v>
      </c>
      <c r="C319" s="1">
        <v>1</v>
      </c>
      <c r="D319" s="1">
        <v>15</v>
      </c>
      <c r="E319" s="1" t="b">
        <v>0</v>
      </c>
      <c r="F319" s="1">
        <v>5</v>
      </c>
      <c r="G319" s="1">
        <v>1</v>
      </c>
      <c r="H319" s="1">
        <v>0.32</v>
      </c>
      <c r="I319" s="1">
        <v>0.31819999999999998</v>
      </c>
      <c r="J319" s="1">
        <v>0.21</v>
      </c>
      <c r="K319" s="1">
        <v>0.16420000000000001</v>
      </c>
      <c r="L319" s="1">
        <v>12</v>
      </c>
      <c r="M319" s="1">
        <v>62</v>
      </c>
      <c r="N319" s="1">
        <v>74</v>
      </c>
    </row>
    <row r="320" spans="1:14" x14ac:dyDescent="0.3">
      <c r="A320" s="1">
        <v>938</v>
      </c>
      <c r="B320" s="2">
        <v>40585</v>
      </c>
      <c r="C320" s="1">
        <v>1</v>
      </c>
      <c r="D320" s="1">
        <v>16</v>
      </c>
      <c r="E320" s="1" t="b">
        <v>0</v>
      </c>
      <c r="F320" s="1">
        <v>5</v>
      </c>
      <c r="G320" s="1">
        <v>1</v>
      </c>
      <c r="H320" s="1">
        <v>0.3</v>
      </c>
      <c r="I320" s="1">
        <v>0.28789999999999999</v>
      </c>
      <c r="J320" s="1">
        <v>0.28000000000000003</v>
      </c>
      <c r="K320" s="1">
        <v>0.19400000000000001</v>
      </c>
      <c r="L320" s="1">
        <v>14</v>
      </c>
      <c r="M320" s="1">
        <v>111</v>
      </c>
      <c r="N320" s="1">
        <v>125</v>
      </c>
    </row>
    <row r="321" spans="1:14" x14ac:dyDescent="0.3">
      <c r="A321" s="1">
        <v>939</v>
      </c>
      <c r="B321" s="2">
        <v>40585</v>
      </c>
      <c r="C321" s="1">
        <v>1</v>
      </c>
      <c r="D321" s="1">
        <v>17</v>
      </c>
      <c r="E321" s="1" t="b">
        <v>0</v>
      </c>
      <c r="F321" s="1">
        <v>5</v>
      </c>
      <c r="G321" s="1">
        <v>1</v>
      </c>
      <c r="H321" s="1">
        <v>0.3</v>
      </c>
      <c r="I321" s="1">
        <v>0.33329999999999999</v>
      </c>
      <c r="J321" s="1">
        <v>0.24</v>
      </c>
      <c r="K321" s="1">
        <v>0</v>
      </c>
      <c r="L321" s="1">
        <v>18</v>
      </c>
      <c r="M321" s="1">
        <v>193</v>
      </c>
      <c r="N321" s="1">
        <v>211</v>
      </c>
    </row>
    <row r="322" spans="1:14" x14ac:dyDescent="0.3">
      <c r="A322" s="1">
        <v>940</v>
      </c>
      <c r="B322" s="2">
        <v>40585</v>
      </c>
      <c r="C322" s="1">
        <v>1</v>
      </c>
      <c r="D322" s="1">
        <v>18</v>
      </c>
      <c r="E322" s="1" t="b">
        <v>0</v>
      </c>
      <c r="F322" s="1">
        <v>5</v>
      </c>
      <c r="G322" s="1">
        <v>1</v>
      </c>
      <c r="H322" s="1">
        <v>0.28000000000000003</v>
      </c>
      <c r="I322" s="1">
        <v>0.31819999999999998</v>
      </c>
      <c r="J322" s="1">
        <v>0.28000000000000003</v>
      </c>
      <c r="K322" s="1">
        <v>0</v>
      </c>
      <c r="L322" s="1">
        <v>9</v>
      </c>
      <c r="M322" s="1">
        <v>165</v>
      </c>
      <c r="N322" s="1">
        <v>174</v>
      </c>
    </row>
    <row r="323" spans="1:14" x14ac:dyDescent="0.3">
      <c r="A323" s="1">
        <v>941</v>
      </c>
      <c r="B323" s="2">
        <v>40585</v>
      </c>
      <c r="C323" s="1">
        <v>1</v>
      </c>
      <c r="D323" s="1">
        <v>19</v>
      </c>
      <c r="E323" s="1" t="b">
        <v>0</v>
      </c>
      <c r="F323" s="1">
        <v>5</v>
      </c>
      <c r="G323" s="1">
        <v>1</v>
      </c>
      <c r="H323" s="1">
        <v>0.26</v>
      </c>
      <c r="I323" s="1">
        <v>0.30299999999999999</v>
      </c>
      <c r="J323" s="1">
        <v>0.33</v>
      </c>
      <c r="K323" s="1">
        <v>0</v>
      </c>
      <c r="L323" s="1">
        <v>7</v>
      </c>
      <c r="M323" s="1">
        <v>94</v>
      </c>
      <c r="N323" s="1">
        <v>101</v>
      </c>
    </row>
    <row r="324" spans="1:14" x14ac:dyDescent="0.3">
      <c r="A324" s="1">
        <v>942</v>
      </c>
      <c r="B324" s="2">
        <v>40585</v>
      </c>
      <c r="C324" s="1">
        <v>1</v>
      </c>
      <c r="D324" s="1">
        <v>20</v>
      </c>
      <c r="E324" s="1" t="b">
        <v>0</v>
      </c>
      <c r="F324" s="1">
        <v>5</v>
      </c>
      <c r="G324" s="1">
        <v>1</v>
      </c>
      <c r="H324" s="1">
        <v>0.22</v>
      </c>
      <c r="I324" s="1">
        <v>0.2273</v>
      </c>
      <c r="J324" s="1">
        <v>0.55000000000000004</v>
      </c>
      <c r="K324" s="1">
        <v>0.1343</v>
      </c>
      <c r="L324" s="1">
        <v>2</v>
      </c>
      <c r="M324" s="1">
        <v>61</v>
      </c>
      <c r="N324" s="1">
        <v>63</v>
      </c>
    </row>
    <row r="325" spans="1:14" x14ac:dyDescent="0.3">
      <c r="A325" s="1">
        <v>943</v>
      </c>
      <c r="B325" s="2">
        <v>40585</v>
      </c>
      <c r="C325" s="1">
        <v>1</v>
      </c>
      <c r="D325" s="1">
        <v>21</v>
      </c>
      <c r="E325" s="1" t="b">
        <v>0</v>
      </c>
      <c r="F325" s="1">
        <v>5</v>
      </c>
      <c r="G325" s="1">
        <v>1</v>
      </c>
      <c r="H325" s="1">
        <v>0.2</v>
      </c>
      <c r="I325" s="1">
        <v>0.21210000000000001</v>
      </c>
      <c r="J325" s="1">
        <v>0.59</v>
      </c>
      <c r="K325" s="1">
        <v>0.1343</v>
      </c>
      <c r="L325" s="1">
        <v>1</v>
      </c>
      <c r="M325" s="1">
        <v>46</v>
      </c>
      <c r="N325" s="1">
        <v>47</v>
      </c>
    </row>
    <row r="326" spans="1:14" x14ac:dyDescent="0.3">
      <c r="A326" s="1">
        <v>944</v>
      </c>
      <c r="B326" s="2">
        <v>40585</v>
      </c>
      <c r="C326" s="1">
        <v>1</v>
      </c>
      <c r="D326" s="1">
        <v>22</v>
      </c>
      <c r="E326" s="1" t="b">
        <v>0</v>
      </c>
      <c r="F326" s="1">
        <v>5</v>
      </c>
      <c r="G326" s="1">
        <v>1</v>
      </c>
      <c r="H326" s="1">
        <v>0.2</v>
      </c>
      <c r="I326" s="1">
        <v>0.2273</v>
      </c>
      <c r="J326" s="1">
        <v>0.64</v>
      </c>
      <c r="K326" s="1">
        <v>8.9599999999999999E-2</v>
      </c>
      <c r="L326" s="1">
        <v>2</v>
      </c>
      <c r="M326" s="1">
        <v>41</v>
      </c>
      <c r="N326" s="1">
        <v>43</v>
      </c>
    </row>
    <row r="327" spans="1:14" x14ac:dyDescent="0.3">
      <c r="A327" s="1">
        <v>945</v>
      </c>
      <c r="B327" s="2">
        <v>40585</v>
      </c>
      <c r="C327" s="1">
        <v>1</v>
      </c>
      <c r="D327" s="1">
        <v>23</v>
      </c>
      <c r="E327" s="1" t="b">
        <v>0</v>
      </c>
      <c r="F327" s="1">
        <v>5</v>
      </c>
      <c r="G327" s="1">
        <v>1</v>
      </c>
      <c r="H327" s="1">
        <v>0.18</v>
      </c>
      <c r="I327" s="1">
        <v>0.2424</v>
      </c>
      <c r="J327" s="1">
        <v>0.69</v>
      </c>
      <c r="K327" s="1">
        <v>0</v>
      </c>
      <c r="L327" s="1">
        <v>5</v>
      </c>
      <c r="M327" s="1">
        <v>48</v>
      </c>
      <c r="N327" s="1">
        <v>53</v>
      </c>
    </row>
    <row r="328" spans="1:14" x14ac:dyDescent="0.3">
      <c r="A328" s="1">
        <v>946</v>
      </c>
      <c r="B328" s="2">
        <v>40586</v>
      </c>
      <c r="C328" s="1">
        <v>1</v>
      </c>
      <c r="D328" s="1">
        <v>0</v>
      </c>
      <c r="E328" s="1" t="b">
        <v>0</v>
      </c>
      <c r="F328" s="1">
        <v>6</v>
      </c>
      <c r="G328" s="1">
        <v>1</v>
      </c>
      <c r="H328" s="1">
        <v>0.16</v>
      </c>
      <c r="I328" s="1">
        <v>0.19700000000000001</v>
      </c>
      <c r="J328" s="1">
        <v>0.69</v>
      </c>
      <c r="K328" s="1">
        <v>8.9599999999999999E-2</v>
      </c>
      <c r="L328" s="1">
        <v>3</v>
      </c>
      <c r="M328" s="1">
        <v>27</v>
      </c>
      <c r="N328" s="1">
        <v>30</v>
      </c>
    </row>
    <row r="329" spans="1:14" x14ac:dyDescent="0.3">
      <c r="A329" s="1">
        <v>947</v>
      </c>
      <c r="B329" s="2">
        <v>40586</v>
      </c>
      <c r="C329" s="1">
        <v>1</v>
      </c>
      <c r="D329" s="1">
        <v>1</v>
      </c>
      <c r="E329" s="1" t="b">
        <v>0</v>
      </c>
      <c r="F329" s="1">
        <v>6</v>
      </c>
      <c r="G329" s="1">
        <v>1</v>
      </c>
      <c r="H329" s="1">
        <v>0.14000000000000001</v>
      </c>
      <c r="I329" s="1">
        <v>0.21210000000000001</v>
      </c>
      <c r="J329" s="1">
        <v>0.86</v>
      </c>
      <c r="K329" s="1">
        <v>0</v>
      </c>
      <c r="L329" s="1">
        <v>2</v>
      </c>
      <c r="M329" s="1">
        <v>22</v>
      </c>
      <c r="N329" s="1">
        <v>24</v>
      </c>
    </row>
    <row r="330" spans="1:14" x14ac:dyDescent="0.3">
      <c r="A330" s="1">
        <v>948</v>
      </c>
      <c r="B330" s="2">
        <v>40586</v>
      </c>
      <c r="C330" s="1">
        <v>1</v>
      </c>
      <c r="D330" s="1">
        <v>2</v>
      </c>
      <c r="E330" s="1" t="b">
        <v>0</v>
      </c>
      <c r="F330" s="1">
        <v>6</v>
      </c>
      <c r="G330" s="1">
        <v>1</v>
      </c>
      <c r="H330" s="1">
        <v>0.14000000000000001</v>
      </c>
      <c r="I330" s="1">
        <v>0.21210000000000001</v>
      </c>
      <c r="J330" s="1">
        <v>0.8</v>
      </c>
      <c r="K330" s="1">
        <v>0</v>
      </c>
      <c r="L330" s="1">
        <v>2</v>
      </c>
      <c r="M330" s="1">
        <v>13</v>
      </c>
      <c r="N330" s="1">
        <v>15</v>
      </c>
    </row>
    <row r="331" spans="1:14" x14ac:dyDescent="0.3">
      <c r="A331" s="1">
        <v>949</v>
      </c>
      <c r="B331" s="2">
        <v>40586</v>
      </c>
      <c r="C331" s="1">
        <v>1</v>
      </c>
      <c r="D331" s="1">
        <v>3</v>
      </c>
      <c r="E331" s="1" t="b">
        <v>0</v>
      </c>
      <c r="F331" s="1">
        <v>6</v>
      </c>
      <c r="G331" s="1">
        <v>1</v>
      </c>
      <c r="H331" s="1">
        <v>0.12</v>
      </c>
      <c r="I331" s="1">
        <v>0.19700000000000001</v>
      </c>
      <c r="J331" s="1">
        <v>0.8</v>
      </c>
      <c r="K331" s="1">
        <v>0</v>
      </c>
      <c r="L331" s="1">
        <v>3</v>
      </c>
      <c r="M331" s="1">
        <v>7</v>
      </c>
      <c r="N331" s="1">
        <v>10</v>
      </c>
    </row>
    <row r="332" spans="1:14" x14ac:dyDescent="0.3">
      <c r="A332" s="1">
        <v>950</v>
      </c>
      <c r="B332" s="2">
        <v>40586</v>
      </c>
      <c r="C332" s="1">
        <v>1</v>
      </c>
      <c r="D332" s="1">
        <v>4</v>
      </c>
      <c r="E332" s="1" t="b">
        <v>0</v>
      </c>
      <c r="F332" s="1">
        <v>6</v>
      </c>
      <c r="G332" s="1">
        <v>1</v>
      </c>
      <c r="H332" s="1">
        <v>0.12</v>
      </c>
      <c r="I332" s="1">
        <v>0.16669999999999999</v>
      </c>
      <c r="J332" s="1">
        <v>0.74</v>
      </c>
      <c r="K332" s="1">
        <v>8.9599999999999999E-2</v>
      </c>
      <c r="L332" s="1">
        <v>0</v>
      </c>
      <c r="M332" s="1">
        <v>4</v>
      </c>
      <c r="N332" s="1">
        <v>4</v>
      </c>
    </row>
    <row r="333" spans="1:14" x14ac:dyDescent="0.3">
      <c r="A333" s="1">
        <v>951</v>
      </c>
      <c r="B333" s="2">
        <v>40586</v>
      </c>
      <c r="C333" s="1">
        <v>1</v>
      </c>
      <c r="D333" s="1">
        <v>5</v>
      </c>
      <c r="E333" s="1" t="b">
        <v>0</v>
      </c>
      <c r="F333" s="1">
        <v>6</v>
      </c>
      <c r="G333" s="1">
        <v>1</v>
      </c>
      <c r="H333" s="1">
        <v>0.12</v>
      </c>
      <c r="I333" s="1">
        <v>0.16669999999999999</v>
      </c>
      <c r="J333" s="1">
        <v>0.74</v>
      </c>
      <c r="K333" s="1">
        <v>8.9599999999999999E-2</v>
      </c>
      <c r="L333" s="1">
        <v>0</v>
      </c>
      <c r="M333" s="1">
        <v>1</v>
      </c>
      <c r="N333" s="1">
        <v>1</v>
      </c>
    </row>
    <row r="334" spans="1:14" x14ac:dyDescent="0.3">
      <c r="A334" s="1">
        <v>952</v>
      </c>
      <c r="B334" s="2">
        <v>40586</v>
      </c>
      <c r="C334" s="1">
        <v>1</v>
      </c>
      <c r="D334" s="1">
        <v>6</v>
      </c>
      <c r="E334" s="1" t="b">
        <v>0</v>
      </c>
      <c r="F334" s="1">
        <v>6</v>
      </c>
      <c r="G334" s="1">
        <v>1</v>
      </c>
      <c r="H334" s="1">
        <v>0.12</v>
      </c>
      <c r="I334" s="1">
        <v>0.13639999999999999</v>
      </c>
      <c r="J334" s="1">
        <v>0.93</v>
      </c>
      <c r="K334" s="1">
        <v>0.19400000000000001</v>
      </c>
      <c r="L334" s="1">
        <v>1</v>
      </c>
      <c r="M334" s="1">
        <v>1</v>
      </c>
      <c r="N334" s="1">
        <v>2</v>
      </c>
    </row>
    <row r="335" spans="1:14" x14ac:dyDescent="0.3">
      <c r="A335" s="1">
        <v>953</v>
      </c>
      <c r="B335" s="2">
        <v>40586</v>
      </c>
      <c r="C335" s="1">
        <v>1</v>
      </c>
      <c r="D335" s="1">
        <v>7</v>
      </c>
      <c r="E335" s="1" t="b">
        <v>0</v>
      </c>
      <c r="F335" s="1">
        <v>6</v>
      </c>
      <c r="G335" s="1">
        <v>1</v>
      </c>
      <c r="H335" s="1">
        <v>0.12</v>
      </c>
      <c r="I335" s="1">
        <v>0.1515</v>
      </c>
      <c r="J335" s="1">
        <v>0.8</v>
      </c>
      <c r="K335" s="1">
        <v>0.1045</v>
      </c>
      <c r="L335" s="1">
        <v>2</v>
      </c>
      <c r="M335" s="1">
        <v>9</v>
      </c>
      <c r="N335" s="1">
        <v>11</v>
      </c>
    </row>
    <row r="336" spans="1:14" x14ac:dyDescent="0.3">
      <c r="A336" s="1">
        <v>954</v>
      </c>
      <c r="B336" s="2">
        <v>40586</v>
      </c>
      <c r="C336" s="1">
        <v>1</v>
      </c>
      <c r="D336" s="1">
        <v>8</v>
      </c>
      <c r="E336" s="1" t="b">
        <v>0</v>
      </c>
      <c r="F336" s="1">
        <v>6</v>
      </c>
      <c r="G336" s="1">
        <v>1</v>
      </c>
      <c r="H336" s="1">
        <v>0.14000000000000001</v>
      </c>
      <c r="I336" s="1">
        <v>0.1515</v>
      </c>
      <c r="J336" s="1">
        <v>0.86</v>
      </c>
      <c r="K336" s="1">
        <v>0.1343</v>
      </c>
      <c r="L336" s="1">
        <v>2</v>
      </c>
      <c r="M336" s="1">
        <v>28</v>
      </c>
      <c r="N336" s="1">
        <v>30</v>
      </c>
    </row>
    <row r="337" spans="1:14" x14ac:dyDescent="0.3">
      <c r="A337" s="1">
        <v>955</v>
      </c>
      <c r="B337" s="2">
        <v>40586</v>
      </c>
      <c r="C337" s="1">
        <v>1</v>
      </c>
      <c r="D337" s="1">
        <v>9</v>
      </c>
      <c r="E337" s="1" t="b">
        <v>0</v>
      </c>
      <c r="F337" s="1">
        <v>6</v>
      </c>
      <c r="G337" s="1">
        <v>1</v>
      </c>
      <c r="H337" s="1">
        <v>0.16</v>
      </c>
      <c r="I337" s="1">
        <v>0.18179999999999999</v>
      </c>
      <c r="J337" s="1">
        <v>0.64</v>
      </c>
      <c r="K337" s="1">
        <v>0.1343</v>
      </c>
      <c r="L337" s="1">
        <v>5</v>
      </c>
      <c r="M337" s="1">
        <v>38</v>
      </c>
      <c r="N337" s="1">
        <v>43</v>
      </c>
    </row>
    <row r="338" spans="1:14" x14ac:dyDescent="0.3">
      <c r="A338" s="1">
        <v>956</v>
      </c>
      <c r="B338" s="2">
        <v>40586</v>
      </c>
      <c r="C338" s="1">
        <v>1</v>
      </c>
      <c r="D338" s="1">
        <v>10</v>
      </c>
      <c r="E338" s="1" t="b">
        <v>0</v>
      </c>
      <c r="F338" s="1">
        <v>6</v>
      </c>
      <c r="G338" s="1">
        <v>1</v>
      </c>
      <c r="H338" s="1">
        <v>0.22</v>
      </c>
      <c r="I338" s="1">
        <v>0.21210000000000001</v>
      </c>
      <c r="J338" s="1">
        <v>0.41</v>
      </c>
      <c r="K338" s="1">
        <v>0.25369999999999998</v>
      </c>
      <c r="L338" s="1">
        <v>13</v>
      </c>
      <c r="M338" s="1">
        <v>71</v>
      </c>
      <c r="N338" s="1">
        <v>84</v>
      </c>
    </row>
    <row r="339" spans="1:14" x14ac:dyDescent="0.3">
      <c r="A339" s="1">
        <v>957</v>
      </c>
      <c r="B339" s="2">
        <v>40586</v>
      </c>
      <c r="C339" s="1">
        <v>1</v>
      </c>
      <c r="D339" s="1">
        <v>11</v>
      </c>
      <c r="E339" s="1" t="b">
        <v>0</v>
      </c>
      <c r="F339" s="1">
        <v>6</v>
      </c>
      <c r="G339" s="1">
        <v>1</v>
      </c>
      <c r="H339" s="1">
        <v>0.3</v>
      </c>
      <c r="I339" s="1">
        <v>0.2727</v>
      </c>
      <c r="J339" s="1">
        <v>0.28000000000000003</v>
      </c>
      <c r="K339" s="1">
        <v>0.32840000000000003</v>
      </c>
      <c r="L339" s="1">
        <v>30</v>
      </c>
      <c r="M339" s="1">
        <v>84</v>
      </c>
      <c r="N339" s="1">
        <v>114</v>
      </c>
    </row>
    <row r="340" spans="1:14" x14ac:dyDescent="0.3">
      <c r="A340" s="1">
        <v>958</v>
      </c>
      <c r="B340" s="2">
        <v>40586</v>
      </c>
      <c r="C340" s="1">
        <v>1</v>
      </c>
      <c r="D340" s="1">
        <v>12</v>
      </c>
      <c r="E340" s="1" t="b">
        <v>0</v>
      </c>
      <c r="F340" s="1">
        <v>6</v>
      </c>
      <c r="G340" s="1">
        <v>1</v>
      </c>
      <c r="H340" s="1">
        <v>0.3</v>
      </c>
      <c r="I340" s="1">
        <v>0.2727</v>
      </c>
      <c r="J340" s="1">
        <v>0.39</v>
      </c>
      <c r="K340" s="1">
        <v>0.4627</v>
      </c>
      <c r="L340" s="1">
        <v>27</v>
      </c>
      <c r="M340" s="1">
        <v>93</v>
      </c>
      <c r="N340" s="1">
        <v>120</v>
      </c>
    </row>
    <row r="341" spans="1:14" x14ac:dyDescent="0.3">
      <c r="A341" s="1">
        <v>959</v>
      </c>
      <c r="B341" s="2">
        <v>40586</v>
      </c>
      <c r="C341" s="1">
        <v>1</v>
      </c>
      <c r="D341" s="1">
        <v>13</v>
      </c>
      <c r="E341" s="1" t="b">
        <v>0</v>
      </c>
      <c r="F341" s="1">
        <v>6</v>
      </c>
      <c r="G341" s="1">
        <v>1</v>
      </c>
      <c r="H341" s="1">
        <v>0.3</v>
      </c>
      <c r="I341" s="1">
        <v>0.2727</v>
      </c>
      <c r="J341" s="1">
        <v>0.39</v>
      </c>
      <c r="K341" s="1">
        <v>0.41789999999999999</v>
      </c>
      <c r="L341" s="1">
        <v>32</v>
      </c>
      <c r="M341" s="1">
        <v>103</v>
      </c>
      <c r="N341" s="1">
        <v>135</v>
      </c>
    </row>
    <row r="342" spans="1:14" x14ac:dyDescent="0.3">
      <c r="A342" s="1">
        <v>960</v>
      </c>
      <c r="B342" s="2">
        <v>40586</v>
      </c>
      <c r="C342" s="1">
        <v>1</v>
      </c>
      <c r="D342" s="1">
        <v>14</v>
      </c>
      <c r="E342" s="1" t="b">
        <v>0</v>
      </c>
      <c r="F342" s="1">
        <v>6</v>
      </c>
      <c r="G342" s="1">
        <v>1</v>
      </c>
      <c r="H342" s="1">
        <v>0.34</v>
      </c>
      <c r="I342" s="1">
        <v>0.31819999999999998</v>
      </c>
      <c r="J342" s="1">
        <v>0.31</v>
      </c>
      <c r="K342" s="1">
        <v>0.28360000000000002</v>
      </c>
      <c r="L342" s="1">
        <v>30</v>
      </c>
      <c r="M342" s="1">
        <v>90</v>
      </c>
      <c r="N342" s="1">
        <v>120</v>
      </c>
    </row>
    <row r="343" spans="1:14" x14ac:dyDescent="0.3">
      <c r="A343" s="1">
        <v>961</v>
      </c>
      <c r="B343" s="2">
        <v>40586</v>
      </c>
      <c r="C343" s="1">
        <v>1</v>
      </c>
      <c r="D343" s="1">
        <v>15</v>
      </c>
      <c r="E343" s="1" t="b">
        <v>0</v>
      </c>
      <c r="F343" s="1">
        <v>6</v>
      </c>
      <c r="G343" s="1">
        <v>1</v>
      </c>
      <c r="H343" s="1">
        <v>0.34</v>
      </c>
      <c r="I343" s="1">
        <v>0.30299999999999999</v>
      </c>
      <c r="J343" s="1">
        <v>0.28999999999999998</v>
      </c>
      <c r="K343" s="1">
        <v>0.41789999999999999</v>
      </c>
      <c r="L343" s="1">
        <v>47</v>
      </c>
      <c r="M343" s="1">
        <v>127</v>
      </c>
      <c r="N343" s="1">
        <v>174</v>
      </c>
    </row>
    <row r="344" spans="1:14" x14ac:dyDescent="0.3">
      <c r="A344" s="1">
        <v>962</v>
      </c>
      <c r="B344" s="2">
        <v>40586</v>
      </c>
      <c r="C344" s="1">
        <v>1</v>
      </c>
      <c r="D344" s="1">
        <v>16</v>
      </c>
      <c r="E344" s="1" t="b">
        <v>0</v>
      </c>
      <c r="F344" s="1">
        <v>6</v>
      </c>
      <c r="G344" s="1">
        <v>1</v>
      </c>
      <c r="H344" s="1">
        <v>0.34</v>
      </c>
      <c r="I344" s="1">
        <v>0.30299999999999999</v>
      </c>
      <c r="J344" s="1">
        <v>0.28999999999999998</v>
      </c>
      <c r="K344" s="1">
        <v>0.41789999999999999</v>
      </c>
      <c r="L344" s="1">
        <v>42</v>
      </c>
      <c r="M344" s="1">
        <v>103</v>
      </c>
      <c r="N344" s="1">
        <v>145</v>
      </c>
    </row>
    <row r="345" spans="1:14" x14ac:dyDescent="0.3">
      <c r="A345" s="1">
        <v>963</v>
      </c>
      <c r="B345" s="2">
        <v>40586</v>
      </c>
      <c r="C345" s="1">
        <v>1</v>
      </c>
      <c r="D345" s="1">
        <v>17</v>
      </c>
      <c r="E345" s="1" t="b">
        <v>0</v>
      </c>
      <c r="F345" s="1">
        <v>6</v>
      </c>
      <c r="G345" s="1">
        <v>1</v>
      </c>
      <c r="H345" s="1">
        <v>0.32</v>
      </c>
      <c r="I345" s="1">
        <v>0.28789999999999999</v>
      </c>
      <c r="J345" s="1">
        <v>0.31</v>
      </c>
      <c r="K345" s="1">
        <v>0.52239999999999998</v>
      </c>
      <c r="L345" s="1">
        <v>24</v>
      </c>
      <c r="M345" s="1">
        <v>113</v>
      </c>
      <c r="N345" s="1">
        <v>137</v>
      </c>
    </row>
    <row r="346" spans="1:14" x14ac:dyDescent="0.3">
      <c r="A346" s="1">
        <v>964</v>
      </c>
      <c r="B346" s="2">
        <v>40586</v>
      </c>
      <c r="C346" s="1">
        <v>1</v>
      </c>
      <c r="D346" s="1">
        <v>18</v>
      </c>
      <c r="E346" s="1" t="b">
        <v>0</v>
      </c>
      <c r="F346" s="1">
        <v>6</v>
      </c>
      <c r="G346" s="1">
        <v>1</v>
      </c>
      <c r="H346" s="1">
        <v>0.28000000000000003</v>
      </c>
      <c r="I346" s="1">
        <v>0.2576</v>
      </c>
      <c r="J346" s="1">
        <v>0.38</v>
      </c>
      <c r="K346" s="1">
        <v>0.32840000000000003</v>
      </c>
      <c r="L346" s="1">
        <v>4</v>
      </c>
      <c r="M346" s="1">
        <v>60</v>
      </c>
      <c r="N346" s="1">
        <v>64</v>
      </c>
    </row>
    <row r="347" spans="1:14" x14ac:dyDescent="0.3">
      <c r="A347" s="1">
        <v>965</v>
      </c>
      <c r="B347" s="2">
        <v>40586</v>
      </c>
      <c r="C347" s="1">
        <v>1</v>
      </c>
      <c r="D347" s="1">
        <v>19</v>
      </c>
      <c r="E347" s="1" t="b">
        <v>0</v>
      </c>
      <c r="F347" s="1">
        <v>6</v>
      </c>
      <c r="G347" s="1">
        <v>1</v>
      </c>
      <c r="H347" s="1">
        <v>0.28000000000000003</v>
      </c>
      <c r="I347" s="1">
        <v>0.2727</v>
      </c>
      <c r="J347" s="1">
        <v>0.38</v>
      </c>
      <c r="K347" s="1">
        <v>0.16420000000000001</v>
      </c>
      <c r="L347" s="1">
        <v>2</v>
      </c>
      <c r="M347" s="1">
        <v>39</v>
      </c>
      <c r="N347" s="1">
        <v>41</v>
      </c>
    </row>
    <row r="348" spans="1:14" x14ac:dyDescent="0.3">
      <c r="A348" s="1">
        <v>966</v>
      </c>
      <c r="B348" s="2">
        <v>40586</v>
      </c>
      <c r="C348" s="1">
        <v>1</v>
      </c>
      <c r="D348" s="1">
        <v>20</v>
      </c>
      <c r="E348" s="1" t="b">
        <v>0</v>
      </c>
      <c r="F348" s="1">
        <v>6</v>
      </c>
      <c r="G348" s="1">
        <v>1</v>
      </c>
      <c r="H348" s="1">
        <v>0.26</v>
      </c>
      <c r="I348" s="1">
        <v>0.2576</v>
      </c>
      <c r="J348" s="1">
        <v>0.41</v>
      </c>
      <c r="K348" s="1">
        <v>0.22389999999999999</v>
      </c>
      <c r="L348" s="1">
        <v>1</v>
      </c>
      <c r="M348" s="1">
        <v>39</v>
      </c>
      <c r="N348" s="1">
        <v>40</v>
      </c>
    </row>
    <row r="349" spans="1:14" x14ac:dyDescent="0.3">
      <c r="A349" s="1">
        <v>967</v>
      </c>
      <c r="B349" s="2">
        <v>40586</v>
      </c>
      <c r="C349" s="1">
        <v>1</v>
      </c>
      <c r="D349" s="1">
        <v>21</v>
      </c>
      <c r="E349" s="1" t="b">
        <v>0</v>
      </c>
      <c r="F349" s="1">
        <v>6</v>
      </c>
      <c r="G349" s="1">
        <v>1</v>
      </c>
      <c r="H349" s="1">
        <v>0.26</v>
      </c>
      <c r="I349" s="1">
        <v>0.30299999999999999</v>
      </c>
      <c r="J349" s="1">
        <v>0.41</v>
      </c>
      <c r="K349" s="1">
        <v>0</v>
      </c>
      <c r="L349" s="1">
        <v>9</v>
      </c>
      <c r="M349" s="1">
        <v>42</v>
      </c>
      <c r="N349" s="1">
        <v>51</v>
      </c>
    </row>
    <row r="350" spans="1:14" x14ac:dyDescent="0.3">
      <c r="A350" s="1">
        <v>968</v>
      </c>
      <c r="B350" s="2">
        <v>40586</v>
      </c>
      <c r="C350" s="1">
        <v>1</v>
      </c>
      <c r="D350" s="1">
        <v>22</v>
      </c>
      <c r="E350" s="1" t="b">
        <v>0</v>
      </c>
      <c r="F350" s="1">
        <v>6</v>
      </c>
      <c r="G350" s="1">
        <v>1</v>
      </c>
      <c r="H350" s="1">
        <v>0.24</v>
      </c>
      <c r="I350" s="1">
        <v>0.2576</v>
      </c>
      <c r="J350" s="1">
        <v>0.44</v>
      </c>
      <c r="K350" s="1">
        <v>8.9599999999999999E-2</v>
      </c>
      <c r="L350" s="1">
        <v>6</v>
      </c>
      <c r="M350" s="1">
        <v>39</v>
      </c>
      <c r="N350" s="1">
        <v>45</v>
      </c>
    </row>
    <row r="351" spans="1:14" x14ac:dyDescent="0.3">
      <c r="A351" s="1">
        <v>969</v>
      </c>
      <c r="B351" s="2">
        <v>40586</v>
      </c>
      <c r="C351" s="1">
        <v>1</v>
      </c>
      <c r="D351" s="1">
        <v>23</v>
      </c>
      <c r="E351" s="1" t="b">
        <v>0</v>
      </c>
      <c r="F351" s="1">
        <v>6</v>
      </c>
      <c r="G351" s="1">
        <v>1</v>
      </c>
      <c r="H351" s="1">
        <v>0.22</v>
      </c>
      <c r="I351" s="1">
        <v>0.2273</v>
      </c>
      <c r="J351" s="1">
        <v>0.51</v>
      </c>
      <c r="K351" s="1">
        <v>0.1343</v>
      </c>
      <c r="L351" s="1">
        <v>1</v>
      </c>
      <c r="M351" s="1">
        <v>31</v>
      </c>
      <c r="N351" s="1">
        <v>32</v>
      </c>
    </row>
    <row r="352" spans="1:14" x14ac:dyDescent="0.3">
      <c r="A352" s="1">
        <v>970</v>
      </c>
      <c r="B352" s="2">
        <v>40587</v>
      </c>
      <c r="C352" s="1">
        <v>1</v>
      </c>
      <c r="D352" s="1">
        <v>0</v>
      </c>
      <c r="E352" s="1" t="b">
        <v>0</v>
      </c>
      <c r="F352" s="1">
        <v>0</v>
      </c>
      <c r="G352" s="1">
        <v>1</v>
      </c>
      <c r="H352" s="1">
        <v>0.2</v>
      </c>
      <c r="I352" s="1">
        <v>0.2273</v>
      </c>
      <c r="J352" s="1">
        <v>0.64</v>
      </c>
      <c r="K352" s="1">
        <v>0.1045</v>
      </c>
      <c r="L352" s="1">
        <v>5</v>
      </c>
      <c r="M352" s="1">
        <v>34</v>
      </c>
      <c r="N352" s="1">
        <v>39</v>
      </c>
    </row>
    <row r="353" spans="1:14" x14ac:dyDescent="0.3">
      <c r="A353" s="1">
        <v>971</v>
      </c>
      <c r="B353" s="2">
        <v>40587</v>
      </c>
      <c r="C353" s="1">
        <v>1</v>
      </c>
      <c r="D353" s="1">
        <v>1</v>
      </c>
      <c r="E353" s="1" t="b">
        <v>0</v>
      </c>
      <c r="F353" s="1">
        <v>0</v>
      </c>
      <c r="G353" s="1">
        <v>1</v>
      </c>
      <c r="H353" s="1">
        <v>0.2</v>
      </c>
      <c r="I353" s="1">
        <v>0.2273</v>
      </c>
      <c r="J353" s="1">
        <v>0.59</v>
      </c>
      <c r="K353" s="1">
        <v>8.9599999999999999E-2</v>
      </c>
      <c r="L353" s="1">
        <v>1</v>
      </c>
      <c r="M353" s="1">
        <v>23</v>
      </c>
      <c r="N353" s="1">
        <v>24</v>
      </c>
    </row>
    <row r="354" spans="1:14" x14ac:dyDescent="0.3">
      <c r="A354" s="1">
        <v>972</v>
      </c>
      <c r="B354" s="2">
        <v>40587</v>
      </c>
      <c r="C354" s="1">
        <v>1</v>
      </c>
      <c r="D354" s="1">
        <v>2</v>
      </c>
      <c r="E354" s="1" t="b">
        <v>0</v>
      </c>
      <c r="F354" s="1">
        <v>0</v>
      </c>
      <c r="G354" s="1">
        <v>2</v>
      </c>
      <c r="H354" s="1">
        <v>0.2</v>
      </c>
      <c r="I354" s="1">
        <v>0.2273</v>
      </c>
      <c r="J354" s="1">
        <v>0.75</v>
      </c>
      <c r="K354" s="1">
        <v>8.9599999999999999E-2</v>
      </c>
      <c r="L354" s="1">
        <v>1</v>
      </c>
      <c r="M354" s="1">
        <v>19</v>
      </c>
      <c r="N354" s="1">
        <v>20</v>
      </c>
    </row>
    <row r="355" spans="1:14" x14ac:dyDescent="0.3">
      <c r="A355" s="1">
        <v>973</v>
      </c>
      <c r="B355" s="2">
        <v>40587</v>
      </c>
      <c r="C355" s="1">
        <v>1</v>
      </c>
      <c r="D355" s="1">
        <v>3</v>
      </c>
      <c r="E355" s="1" t="b">
        <v>0</v>
      </c>
      <c r="F355" s="1">
        <v>0</v>
      </c>
      <c r="G355" s="1">
        <v>2</v>
      </c>
      <c r="H355" s="1">
        <v>0.2</v>
      </c>
      <c r="I355" s="1">
        <v>0.2273</v>
      </c>
      <c r="J355" s="1">
        <v>0.69</v>
      </c>
      <c r="K355" s="1">
        <v>0.1045</v>
      </c>
      <c r="L355" s="1">
        <v>4</v>
      </c>
      <c r="M355" s="1">
        <v>8</v>
      </c>
      <c r="N355" s="1">
        <v>12</v>
      </c>
    </row>
    <row r="356" spans="1:14" x14ac:dyDescent="0.3">
      <c r="A356" s="1">
        <v>974</v>
      </c>
      <c r="B356" s="2">
        <v>40587</v>
      </c>
      <c r="C356" s="1">
        <v>1</v>
      </c>
      <c r="D356" s="1">
        <v>4</v>
      </c>
      <c r="E356" s="1" t="b">
        <v>0</v>
      </c>
      <c r="F356" s="1">
        <v>0</v>
      </c>
      <c r="G356" s="1">
        <v>2</v>
      </c>
      <c r="H356" s="1">
        <v>0.2</v>
      </c>
      <c r="I356" s="1">
        <v>0.21210000000000001</v>
      </c>
      <c r="J356" s="1">
        <v>0.69</v>
      </c>
      <c r="K356" s="1">
        <v>0.16420000000000001</v>
      </c>
      <c r="L356" s="1">
        <v>0</v>
      </c>
      <c r="M356" s="1">
        <v>2</v>
      </c>
      <c r="N356" s="1">
        <v>2</v>
      </c>
    </row>
    <row r="357" spans="1:14" x14ac:dyDescent="0.3">
      <c r="A357" s="1">
        <v>975</v>
      </c>
      <c r="B357" s="2">
        <v>40587</v>
      </c>
      <c r="C357" s="1">
        <v>1</v>
      </c>
      <c r="D357" s="1">
        <v>6</v>
      </c>
      <c r="E357" s="1" t="b">
        <v>0</v>
      </c>
      <c r="F357" s="1">
        <v>0</v>
      </c>
      <c r="G357" s="1">
        <v>2</v>
      </c>
      <c r="H357" s="1">
        <v>0.2</v>
      </c>
      <c r="I357" s="1">
        <v>0.21210000000000001</v>
      </c>
      <c r="J357" s="1">
        <v>0.69</v>
      </c>
      <c r="K357" s="1">
        <v>0.1343</v>
      </c>
      <c r="L357" s="1">
        <v>2</v>
      </c>
      <c r="M357" s="1">
        <v>3</v>
      </c>
      <c r="N357" s="1">
        <v>5</v>
      </c>
    </row>
    <row r="358" spans="1:14" x14ac:dyDescent="0.3">
      <c r="A358" s="1">
        <v>976</v>
      </c>
      <c r="B358" s="2">
        <v>40587</v>
      </c>
      <c r="C358" s="1">
        <v>1</v>
      </c>
      <c r="D358" s="1">
        <v>7</v>
      </c>
      <c r="E358" s="1" t="b">
        <v>0</v>
      </c>
      <c r="F358" s="1">
        <v>0</v>
      </c>
      <c r="G358" s="1">
        <v>2</v>
      </c>
      <c r="H358" s="1">
        <v>0.22</v>
      </c>
      <c r="I358" s="1">
        <v>0.2727</v>
      </c>
      <c r="J358" s="1">
        <v>0.55000000000000004</v>
      </c>
      <c r="K358" s="1">
        <v>0</v>
      </c>
      <c r="L358" s="1">
        <v>0</v>
      </c>
      <c r="M358" s="1">
        <v>3</v>
      </c>
      <c r="N358" s="1">
        <v>3</v>
      </c>
    </row>
    <row r="359" spans="1:14" x14ac:dyDescent="0.3">
      <c r="A359" s="1">
        <v>977</v>
      </c>
      <c r="B359" s="2">
        <v>40587</v>
      </c>
      <c r="C359" s="1">
        <v>1</v>
      </c>
      <c r="D359" s="1">
        <v>8</v>
      </c>
      <c r="E359" s="1" t="b">
        <v>0</v>
      </c>
      <c r="F359" s="1">
        <v>0</v>
      </c>
      <c r="G359" s="1">
        <v>2</v>
      </c>
      <c r="H359" s="1">
        <v>0.22</v>
      </c>
      <c r="I359" s="1">
        <v>0.2273</v>
      </c>
      <c r="J359" s="1">
        <v>0.64</v>
      </c>
      <c r="K359" s="1">
        <v>0.19400000000000001</v>
      </c>
      <c r="L359" s="1">
        <v>1</v>
      </c>
      <c r="M359" s="1">
        <v>11</v>
      </c>
      <c r="N359" s="1">
        <v>12</v>
      </c>
    </row>
    <row r="360" spans="1:14" x14ac:dyDescent="0.3">
      <c r="A360" s="1">
        <v>978</v>
      </c>
      <c r="B360" s="2">
        <v>40587</v>
      </c>
      <c r="C360" s="1">
        <v>1</v>
      </c>
      <c r="D360" s="1">
        <v>9</v>
      </c>
      <c r="E360" s="1" t="b">
        <v>0</v>
      </c>
      <c r="F360" s="1">
        <v>0</v>
      </c>
      <c r="G360" s="1">
        <v>2</v>
      </c>
      <c r="H360" s="1">
        <v>0.24</v>
      </c>
      <c r="I360" s="1">
        <v>0.2273</v>
      </c>
      <c r="J360" s="1">
        <v>0.6</v>
      </c>
      <c r="K360" s="1">
        <v>0.22389999999999999</v>
      </c>
      <c r="L360" s="1">
        <v>12</v>
      </c>
      <c r="M360" s="1">
        <v>35</v>
      </c>
      <c r="N360" s="1">
        <v>47</v>
      </c>
    </row>
    <row r="361" spans="1:14" x14ac:dyDescent="0.3">
      <c r="A361" s="1">
        <v>979</v>
      </c>
      <c r="B361" s="2">
        <v>40587</v>
      </c>
      <c r="C361" s="1">
        <v>1</v>
      </c>
      <c r="D361" s="1">
        <v>10</v>
      </c>
      <c r="E361" s="1" t="b">
        <v>0</v>
      </c>
      <c r="F361" s="1">
        <v>0</v>
      </c>
      <c r="G361" s="1">
        <v>1</v>
      </c>
      <c r="H361" s="1">
        <v>0.3</v>
      </c>
      <c r="I361" s="1">
        <v>0.2727</v>
      </c>
      <c r="J361" s="1">
        <v>0.45</v>
      </c>
      <c r="K361" s="1">
        <v>0.32840000000000003</v>
      </c>
      <c r="L361" s="1">
        <v>19</v>
      </c>
      <c r="M361" s="1">
        <v>86</v>
      </c>
      <c r="N361" s="1">
        <v>105</v>
      </c>
    </row>
    <row r="362" spans="1:14" x14ac:dyDescent="0.3">
      <c r="A362" s="1">
        <v>980</v>
      </c>
      <c r="B362" s="2">
        <v>40587</v>
      </c>
      <c r="C362" s="1">
        <v>1</v>
      </c>
      <c r="D362" s="1">
        <v>11</v>
      </c>
      <c r="E362" s="1" t="b">
        <v>0</v>
      </c>
      <c r="F362" s="1">
        <v>0</v>
      </c>
      <c r="G362" s="1">
        <v>1</v>
      </c>
      <c r="H362" s="1">
        <v>0.32</v>
      </c>
      <c r="I362" s="1">
        <v>0.28789999999999999</v>
      </c>
      <c r="J362" s="1">
        <v>0.39</v>
      </c>
      <c r="K362" s="1">
        <v>0.44779999999999998</v>
      </c>
      <c r="L362" s="1">
        <v>26</v>
      </c>
      <c r="M362" s="1">
        <v>86</v>
      </c>
      <c r="N362" s="1">
        <v>112</v>
      </c>
    </row>
    <row r="363" spans="1:14" x14ac:dyDescent="0.3">
      <c r="A363" s="1">
        <v>981</v>
      </c>
      <c r="B363" s="2">
        <v>40587</v>
      </c>
      <c r="C363" s="1">
        <v>1</v>
      </c>
      <c r="D363" s="1">
        <v>12</v>
      </c>
      <c r="E363" s="1" t="b">
        <v>0</v>
      </c>
      <c r="F363" s="1">
        <v>0</v>
      </c>
      <c r="G363" s="1">
        <v>1</v>
      </c>
      <c r="H363" s="1">
        <v>0.36</v>
      </c>
      <c r="I363" s="1">
        <v>0.31819999999999998</v>
      </c>
      <c r="J363" s="1">
        <v>0.32</v>
      </c>
      <c r="K363" s="1">
        <v>0.4627</v>
      </c>
      <c r="L363" s="1">
        <v>58</v>
      </c>
      <c r="M363" s="1">
        <v>94</v>
      </c>
      <c r="N363" s="1">
        <v>152</v>
      </c>
    </row>
    <row r="364" spans="1:14" x14ac:dyDescent="0.3">
      <c r="A364" s="1">
        <v>982</v>
      </c>
      <c r="B364" s="2">
        <v>40587</v>
      </c>
      <c r="C364" s="1">
        <v>1</v>
      </c>
      <c r="D364" s="1">
        <v>13</v>
      </c>
      <c r="E364" s="1" t="b">
        <v>0</v>
      </c>
      <c r="F364" s="1">
        <v>0</v>
      </c>
      <c r="G364" s="1">
        <v>1</v>
      </c>
      <c r="H364" s="1">
        <v>0.38</v>
      </c>
      <c r="I364" s="1">
        <v>0.39389999999999997</v>
      </c>
      <c r="J364" s="1">
        <v>0.28999999999999998</v>
      </c>
      <c r="K364" s="1">
        <v>0.35820000000000002</v>
      </c>
      <c r="L364" s="1">
        <v>62</v>
      </c>
      <c r="M364" s="1">
        <v>92</v>
      </c>
      <c r="N364" s="1">
        <v>154</v>
      </c>
    </row>
    <row r="365" spans="1:14" x14ac:dyDescent="0.3">
      <c r="A365" s="1">
        <v>983</v>
      </c>
      <c r="B365" s="2">
        <v>40587</v>
      </c>
      <c r="C365" s="1">
        <v>1</v>
      </c>
      <c r="D365" s="1">
        <v>14</v>
      </c>
      <c r="E365" s="1" t="b">
        <v>0</v>
      </c>
      <c r="F365" s="1">
        <v>0</v>
      </c>
      <c r="G365" s="1">
        <v>2</v>
      </c>
      <c r="H365" s="1">
        <v>0.4</v>
      </c>
      <c r="I365" s="1">
        <v>0.40910000000000002</v>
      </c>
      <c r="J365" s="1">
        <v>0.3</v>
      </c>
      <c r="K365" s="1">
        <v>0.41789999999999999</v>
      </c>
      <c r="L365" s="1">
        <v>51</v>
      </c>
      <c r="M365" s="1">
        <v>110</v>
      </c>
      <c r="N365" s="1">
        <v>161</v>
      </c>
    </row>
    <row r="366" spans="1:14" x14ac:dyDescent="0.3">
      <c r="A366" s="1">
        <v>984</v>
      </c>
      <c r="B366" s="2">
        <v>40587</v>
      </c>
      <c r="C366" s="1">
        <v>1</v>
      </c>
      <c r="D366" s="1">
        <v>15</v>
      </c>
      <c r="E366" s="1" t="b">
        <v>0</v>
      </c>
      <c r="F366" s="1">
        <v>0</v>
      </c>
      <c r="G366" s="1">
        <v>2</v>
      </c>
      <c r="H366" s="1">
        <v>0.4</v>
      </c>
      <c r="I366" s="1">
        <v>0.40910000000000002</v>
      </c>
      <c r="J366" s="1">
        <v>0.3</v>
      </c>
      <c r="K366" s="1">
        <v>0.29849999999999999</v>
      </c>
      <c r="L366" s="1">
        <v>40</v>
      </c>
      <c r="M366" s="1">
        <v>122</v>
      </c>
      <c r="N366" s="1">
        <v>162</v>
      </c>
    </row>
    <row r="367" spans="1:14" x14ac:dyDescent="0.3">
      <c r="A367" s="1">
        <v>985</v>
      </c>
      <c r="B367" s="2">
        <v>40587</v>
      </c>
      <c r="C367" s="1">
        <v>1</v>
      </c>
      <c r="D367" s="1">
        <v>16</v>
      </c>
      <c r="E367" s="1" t="b">
        <v>0</v>
      </c>
      <c r="F367" s="1">
        <v>0</v>
      </c>
      <c r="G367" s="1">
        <v>2</v>
      </c>
      <c r="H367" s="1">
        <v>0.42</v>
      </c>
      <c r="I367" s="1">
        <v>0.42420000000000002</v>
      </c>
      <c r="J367" s="1">
        <v>0.28000000000000003</v>
      </c>
      <c r="K367" s="1">
        <v>0.32840000000000003</v>
      </c>
      <c r="L367" s="1">
        <v>28</v>
      </c>
      <c r="M367" s="1">
        <v>106</v>
      </c>
      <c r="N367" s="1">
        <v>134</v>
      </c>
    </row>
    <row r="368" spans="1:14" x14ac:dyDescent="0.3">
      <c r="A368" s="1">
        <v>986</v>
      </c>
      <c r="B368" s="2">
        <v>40587</v>
      </c>
      <c r="C368" s="1">
        <v>1</v>
      </c>
      <c r="D368" s="1">
        <v>17</v>
      </c>
      <c r="E368" s="1" t="b">
        <v>0</v>
      </c>
      <c r="F368" s="1">
        <v>0</v>
      </c>
      <c r="G368" s="1">
        <v>1</v>
      </c>
      <c r="H368" s="1">
        <v>0.42</v>
      </c>
      <c r="I368" s="1">
        <v>0.42420000000000002</v>
      </c>
      <c r="J368" s="1">
        <v>0.28000000000000003</v>
      </c>
      <c r="K368" s="1">
        <v>0.32840000000000003</v>
      </c>
      <c r="L368" s="1">
        <v>30</v>
      </c>
      <c r="M368" s="1">
        <v>95</v>
      </c>
      <c r="N368" s="1">
        <v>125</v>
      </c>
    </row>
    <row r="369" spans="1:14" x14ac:dyDescent="0.3">
      <c r="A369" s="1">
        <v>987</v>
      </c>
      <c r="B369" s="2">
        <v>40587</v>
      </c>
      <c r="C369" s="1">
        <v>1</v>
      </c>
      <c r="D369" s="1">
        <v>18</v>
      </c>
      <c r="E369" s="1" t="b">
        <v>0</v>
      </c>
      <c r="F369" s="1">
        <v>0</v>
      </c>
      <c r="G369" s="1">
        <v>1</v>
      </c>
      <c r="H369" s="1">
        <v>0.4</v>
      </c>
      <c r="I369" s="1">
        <v>0.40910000000000002</v>
      </c>
      <c r="J369" s="1">
        <v>0.32</v>
      </c>
      <c r="K369" s="1">
        <v>0.29849999999999999</v>
      </c>
      <c r="L369" s="1">
        <v>17</v>
      </c>
      <c r="M369" s="1">
        <v>78</v>
      </c>
      <c r="N369" s="1">
        <v>95</v>
      </c>
    </row>
    <row r="370" spans="1:14" x14ac:dyDescent="0.3">
      <c r="A370" s="1">
        <v>988</v>
      </c>
      <c r="B370" s="2">
        <v>40587</v>
      </c>
      <c r="C370" s="1">
        <v>1</v>
      </c>
      <c r="D370" s="1">
        <v>19</v>
      </c>
      <c r="E370" s="1" t="b">
        <v>0</v>
      </c>
      <c r="F370" s="1">
        <v>0</v>
      </c>
      <c r="G370" s="1">
        <v>1</v>
      </c>
      <c r="H370" s="1">
        <v>0.4</v>
      </c>
      <c r="I370" s="1">
        <v>0.40910000000000002</v>
      </c>
      <c r="J370" s="1">
        <v>0.35</v>
      </c>
      <c r="K370" s="1">
        <v>0.28360000000000002</v>
      </c>
      <c r="L370" s="1">
        <v>11</v>
      </c>
      <c r="M370" s="1">
        <v>50</v>
      </c>
      <c r="N370" s="1">
        <v>61</v>
      </c>
    </row>
    <row r="371" spans="1:14" x14ac:dyDescent="0.3">
      <c r="A371" s="1">
        <v>989</v>
      </c>
      <c r="B371" s="2">
        <v>40587</v>
      </c>
      <c r="C371" s="1">
        <v>1</v>
      </c>
      <c r="D371" s="1">
        <v>20</v>
      </c>
      <c r="E371" s="1" t="b">
        <v>0</v>
      </c>
      <c r="F371" s="1">
        <v>0</v>
      </c>
      <c r="G371" s="1">
        <v>1</v>
      </c>
      <c r="H371" s="1">
        <v>0.4</v>
      </c>
      <c r="I371" s="1">
        <v>0.40910000000000002</v>
      </c>
      <c r="J371" s="1">
        <v>0.35</v>
      </c>
      <c r="K371" s="1">
        <v>0.32840000000000003</v>
      </c>
      <c r="L371" s="1">
        <v>15</v>
      </c>
      <c r="M371" s="1">
        <v>32</v>
      </c>
      <c r="N371" s="1">
        <v>47</v>
      </c>
    </row>
    <row r="372" spans="1:14" x14ac:dyDescent="0.3">
      <c r="A372" s="1">
        <v>990</v>
      </c>
      <c r="B372" s="2">
        <v>40587</v>
      </c>
      <c r="C372" s="1">
        <v>1</v>
      </c>
      <c r="D372" s="1">
        <v>21</v>
      </c>
      <c r="E372" s="1" t="b">
        <v>0</v>
      </c>
      <c r="F372" s="1">
        <v>0</v>
      </c>
      <c r="G372" s="1">
        <v>1</v>
      </c>
      <c r="H372" s="1">
        <v>0.4</v>
      </c>
      <c r="I372" s="1">
        <v>0.40910000000000002</v>
      </c>
      <c r="J372" s="1">
        <v>0.35</v>
      </c>
      <c r="K372" s="1">
        <v>0.35820000000000002</v>
      </c>
      <c r="L372" s="1">
        <v>6</v>
      </c>
      <c r="M372" s="1">
        <v>45</v>
      </c>
      <c r="N372" s="1">
        <v>51</v>
      </c>
    </row>
    <row r="373" spans="1:14" x14ac:dyDescent="0.3">
      <c r="A373" s="1">
        <v>991</v>
      </c>
      <c r="B373" s="2">
        <v>40587</v>
      </c>
      <c r="C373" s="1">
        <v>1</v>
      </c>
      <c r="D373" s="1">
        <v>22</v>
      </c>
      <c r="E373" s="1" t="b">
        <v>0</v>
      </c>
      <c r="F373" s="1">
        <v>0</v>
      </c>
      <c r="G373" s="1">
        <v>1</v>
      </c>
      <c r="H373" s="1">
        <v>0.4</v>
      </c>
      <c r="I373" s="1">
        <v>0.40910000000000002</v>
      </c>
      <c r="J373" s="1">
        <v>0.35</v>
      </c>
      <c r="K373" s="1">
        <v>0.29849999999999999</v>
      </c>
      <c r="L373" s="1">
        <v>5</v>
      </c>
      <c r="M373" s="1">
        <v>31</v>
      </c>
      <c r="N373" s="1">
        <v>36</v>
      </c>
    </row>
    <row r="374" spans="1:14" x14ac:dyDescent="0.3">
      <c r="A374" s="1">
        <v>992</v>
      </c>
      <c r="B374" s="2">
        <v>40587</v>
      </c>
      <c r="C374" s="1">
        <v>1</v>
      </c>
      <c r="D374" s="1">
        <v>23</v>
      </c>
      <c r="E374" s="1" t="b">
        <v>0</v>
      </c>
      <c r="F374" s="1">
        <v>0</v>
      </c>
      <c r="G374" s="1">
        <v>1</v>
      </c>
      <c r="H374" s="1">
        <v>0.4</v>
      </c>
      <c r="I374" s="1">
        <v>0.40910000000000002</v>
      </c>
      <c r="J374" s="1">
        <v>0.35</v>
      </c>
      <c r="K374" s="1">
        <v>0.35820000000000002</v>
      </c>
      <c r="L374" s="1">
        <v>3</v>
      </c>
      <c r="M374" s="1">
        <v>27</v>
      </c>
      <c r="N374" s="1">
        <v>30</v>
      </c>
    </row>
    <row r="375" spans="1:14" x14ac:dyDescent="0.3">
      <c r="A375" s="1">
        <v>993</v>
      </c>
      <c r="B375" s="2">
        <v>40588</v>
      </c>
      <c r="C375" s="1">
        <v>1</v>
      </c>
      <c r="D375" s="1">
        <v>0</v>
      </c>
      <c r="E375" s="1" t="b">
        <v>0</v>
      </c>
      <c r="F375" s="1">
        <v>1</v>
      </c>
      <c r="G375" s="1">
        <v>1</v>
      </c>
      <c r="H375" s="1">
        <v>0.38</v>
      </c>
      <c r="I375" s="1">
        <v>0.39389999999999997</v>
      </c>
      <c r="J375" s="1">
        <v>0.37</v>
      </c>
      <c r="K375" s="1">
        <v>0.35820000000000002</v>
      </c>
      <c r="L375" s="1">
        <v>3</v>
      </c>
      <c r="M375" s="1">
        <v>8</v>
      </c>
      <c r="N375" s="1">
        <v>11</v>
      </c>
    </row>
    <row r="376" spans="1:14" x14ac:dyDescent="0.3">
      <c r="A376" s="1">
        <v>994</v>
      </c>
      <c r="B376" s="2">
        <v>40588</v>
      </c>
      <c r="C376" s="1">
        <v>1</v>
      </c>
      <c r="D376" s="1">
        <v>1</v>
      </c>
      <c r="E376" s="1" t="b">
        <v>0</v>
      </c>
      <c r="F376" s="1">
        <v>1</v>
      </c>
      <c r="G376" s="1">
        <v>1</v>
      </c>
      <c r="H376" s="1">
        <v>0.38</v>
      </c>
      <c r="I376" s="1">
        <v>0.39389999999999997</v>
      </c>
      <c r="J376" s="1">
        <v>0.37</v>
      </c>
      <c r="K376" s="1">
        <v>0.35820000000000002</v>
      </c>
      <c r="L376" s="1">
        <v>1</v>
      </c>
      <c r="M376" s="1">
        <v>6</v>
      </c>
      <c r="N376" s="1">
        <v>7</v>
      </c>
    </row>
    <row r="377" spans="1:14" x14ac:dyDescent="0.3">
      <c r="A377" s="1">
        <v>995</v>
      </c>
      <c r="B377" s="2">
        <v>40588</v>
      </c>
      <c r="C377" s="1">
        <v>1</v>
      </c>
      <c r="D377" s="1">
        <v>2</v>
      </c>
      <c r="E377" s="1" t="b">
        <v>0</v>
      </c>
      <c r="F377" s="1">
        <v>1</v>
      </c>
      <c r="G377" s="1">
        <v>1</v>
      </c>
      <c r="H377" s="1">
        <v>0.36</v>
      </c>
      <c r="I377" s="1">
        <v>0.33329999999999999</v>
      </c>
      <c r="J377" s="1">
        <v>0.4</v>
      </c>
      <c r="K377" s="1">
        <v>0.29849999999999999</v>
      </c>
      <c r="L377" s="1">
        <v>0</v>
      </c>
      <c r="M377" s="1">
        <v>2</v>
      </c>
      <c r="N377" s="1">
        <v>2</v>
      </c>
    </row>
    <row r="378" spans="1:14" x14ac:dyDescent="0.3">
      <c r="A378" s="1">
        <v>996</v>
      </c>
      <c r="B378" s="2">
        <v>40588</v>
      </c>
      <c r="C378" s="1">
        <v>1</v>
      </c>
      <c r="D378" s="1">
        <v>3</v>
      </c>
      <c r="E378" s="1" t="b">
        <v>0</v>
      </c>
      <c r="F378" s="1">
        <v>1</v>
      </c>
      <c r="G378" s="1">
        <v>1</v>
      </c>
      <c r="H378" s="1">
        <v>0.34</v>
      </c>
      <c r="I378" s="1">
        <v>0.31819999999999998</v>
      </c>
      <c r="J378" s="1">
        <v>0.46</v>
      </c>
      <c r="K378" s="1">
        <v>0.22389999999999999</v>
      </c>
      <c r="L378" s="1">
        <v>1</v>
      </c>
      <c r="M378" s="1">
        <v>1</v>
      </c>
      <c r="N378" s="1">
        <v>2</v>
      </c>
    </row>
    <row r="379" spans="1:14" x14ac:dyDescent="0.3">
      <c r="A379" s="1">
        <v>997</v>
      </c>
      <c r="B379" s="2">
        <v>40588</v>
      </c>
      <c r="C379" s="1">
        <v>1</v>
      </c>
      <c r="D379" s="1">
        <v>4</v>
      </c>
      <c r="E379" s="1" t="b">
        <v>0</v>
      </c>
      <c r="F379" s="1">
        <v>1</v>
      </c>
      <c r="G379" s="1">
        <v>1</v>
      </c>
      <c r="H379" s="1">
        <v>0.32</v>
      </c>
      <c r="I379" s="1">
        <v>0.30299999999999999</v>
      </c>
      <c r="J379" s="1">
        <v>0.53</v>
      </c>
      <c r="K379" s="1">
        <v>0.28360000000000002</v>
      </c>
      <c r="L379" s="1">
        <v>0</v>
      </c>
      <c r="M379" s="1">
        <v>2</v>
      </c>
      <c r="N379" s="1">
        <v>2</v>
      </c>
    </row>
    <row r="380" spans="1:14" x14ac:dyDescent="0.3">
      <c r="A380" s="1">
        <v>998</v>
      </c>
      <c r="B380" s="2">
        <v>40588</v>
      </c>
      <c r="C380" s="1">
        <v>1</v>
      </c>
      <c r="D380" s="1">
        <v>5</v>
      </c>
      <c r="E380" s="1" t="b">
        <v>0</v>
      </c>
      <c r="F380" s="1">
        <v>1</v>
      </c>
      <c r="G380" s="1">
        <v>1</v>
      </c>
      <c r="H380" s="1">
        <v>0.32</v>
      </c>
      <c r="I380" s="1">
        <v>0.30299999999999999</v>
      </c>
      <c r="J380" s="1">
        <v>0.53</v>
      </c>
      <c r="K380" s="1">
        <v>0.28360000000000002</v>
      </c>
      <c r="L380" s="1">
        <v>0</v>
      </c>
      <c r="M380" s="1">
        <v>3</v>
      </c>
      <c r="N380" s="1">
        <v>3</v>
      </c>
    </row>
    <row r="381" spans="1:14" x14ac:dyDescent="0.3">
      <c r="A381" s="1">
        <v>999</v>
      </c>
      <c r="B381" s="2">
        <v>40588</v>
      </c>
      <c r="C381" s="1">
        <v>1</v>
      </c>
      <c r="D381" s="1">
        <v>6</v>
      </c>
      <c r="E381" s="1" t="b">
        <v>0</v>
      </c>
      <c r="F381" s="1">
        <v>1</v>
      </c>
      <c r="G381" s="1">
        <v>1</v>
      </c>
      <c r="H381" s="1">
        <v>0.34</v>
      </c>
      <c r="I381" s="1">
        <v>0.30299999999999999</v>
      </c>
      <c r="J381" s="1">
        <v>0.46</v>
      </c>
      <c r="K381" s="1">
        <v>0.29849999999999999</v>
      </c>
      <c r="L381" s="1">
        <v>1</v>
      </c>
      <c r="M381" s="1">
        <v>25</v>
      </c>
      <c r="N381" s="1">
        <v>26</v>
      </c>
    </row>
    <row r="382" spans="1:14" x14ac:dyDescent="0.3">
      <c r="A382" s="1">
        <v>1000</v>
      </c>
      <c r="B382" s="2">
        <v>40588</v>
      </c>
      <c r="C382" s="1">
        <v>1</v>
      </c>
      <c r="D382" s="1">
        <v>7</v>
      </c>
      <c r="E382" s="1" t="b">
        <v>0</v>
      </c>
      <c r="F382" s="1">
        <v>1</v>
      </c>
      <c r="G382" s="1">
        <v>1</v>
      </c>
      <c r="H382" s="1">
        <v>0.34</v>
      </c>
      <c r="I382" s="1">
        <v>0.30299999999999999</v>
      </c>
      <c r="J382" s="1">
        <v>0.46</v>
      </c>
      <c r="K382" s="1">
        <v>0.29849999999999999</v>
      </c>
      <c r="L382" s="1">
        <v>2</v>
      </c>
      <c r="M382" s="1">
        <v>96</v>
      </c>
      <c r="N382" s="1">
        <v>98</v>
      </c>
    </row>
    <row r="383" spans="1:14" x14ac:dyDescent="0.3">
      <c r="A383" s="1">
        <v>611</v>
      </c>
      <c r="B383" s="2">
        <v>40571</v>
      </c>
      <c r="C383" s="1">
        <v>1</v>
      </c>
      <c r="D383" s="1">
        <v>16</v>
      </c>
      <c r="E383" s="1" t="b">
        <v>0</v>
      </c>
      <c r="F383" s="1">
        <v>5</v>
      </c>
      <c r="G383" s="1">
        <v>1</v>
      </c>
      <c r="H383" s="1">
        <v>0.22</v>
      </c>
      <c r="I383" s="1">
        <v>0.2727</v>
      </c>
      <c r="J383" s="1">
        <v>0.8</v>
      </c>
      <c r="K383" s="1">
        <v>0</v>
      </c>
      <c r="L383" s="1">
        <v>10</v>
      </c>
      <c r="M383" s="1">
        <v>70</v>
      </c>
      <c r="N383" s="1">
        <v>80</v>
      </c>
    </row>
    <row r="384" spans="1:14" x14ac:dyDescent="0.3">
      <c r="A384" s="1">
        <v>612</v>
      </c>
      <c r="B384" s="2">
        <v>40571</v>
      </c>
      <c r="C384" s="1">
        <v>1</v>
      </c>
      <c r="D384" s="1">
        <v>17</v>
      </c>
      <c r="E384" s="1" t="b">
        <v>0</v>
      </c>
      <c r="F384" s="1">
        <v>5</v>
      </c>
      <c r="G384" s="1">
        <v>1</v>
      </c>
      <c r="H384" s="1">
        <v>0.24</v>
      </c>
      <c r="I384" s="1">
        <v>0.2424</v>
      </c>
      <c r="J384" s="1">
        <v>0.75</v>
      </c>
      <c r="K384" s="1">
        <v>0.1343</v>
      </c>
      <c r="L384" s="1">
        <v>2</v>
      </c>
      <c r="M384" s="1">
        <v>147</v>
      </c>
      <c r="N384" s="1">
        <v>149</v>
      </c>
    </row>
    <row r="385" spans="1:14" x14ac:dyDescent="0.3">
      <c r="A385" s="1">
        <v>613</v>
      </c>
      <c r="B385" s="2">
        <v>40571</v>
      </c>
      <c r="C385" s="1">
        <v>1</v>
      </c>
      <c r="D385" s="1">
        <v>18</v>
      </c>
      <c r="E385" s="1" t="b">
        <v>0</v>
      </c>
      <c r="F385" s="1">
        <v>5</v>
      </c>
      <c r="G385" s="1">
        <v>1</v>
      </c>
      <c r="H385" s="1">
        <v>0.24</v>
      </c>
      <c r="I385" s="1">
        <v>0.2273</v>
      </c>
      <c r="J385" s="1">
        <v>0.75</v>
      </c>
      <c r="K385" s="1">
        <v>0.19400000000000001</v>
      </c>
      <c r="L385" s="1">
        <v>2</v>
      </c>
      <c r="M385" s="1">
        <v>107</v>
      </c>
      <c r="N385" s="1">
        <v>109</v>
      </c>
    </row>
    <row r="386" spans="1:14" x14ac:dyDescent="0.3">
      <c r="A386" s="1">
        <v>614</v>
      </c>
      <c r="B386" s="2">
        <v>40571</v>
      </c>
      <c r="C386" s="1">
        <v>1</v>
      </c>
      <c r="D386" s="1">
        <v>19</v>
      </c>
      <c r="E386" s="1" t="b">
        <v>0</v>
      </c>
      <c r="F386" s="1">
        <v>5</v>
      </c>
      <c r="G386" s="1">
        <v>2</v>
      </c>
      <c r="H386" s="1">
        <v>0.24</v>
      </c>
      <c r="I386" s="1">
        <v>0.2424</v>
      </c>
      <c r="J386" s="1">
        <v>0.75</v>
      </c>
      <c r="K386" s="1">
        <v>0.1343</v>
      </c>
      <c r="L386" s="1">
        <v>5</v>
      </c>
      <c r="M386" s="1">
        <v>84</v>
      </c>
      <c r="N386" s="1">
        <v>89</v>
      </c>
    </row>
    <row r="387" spans="1:14" x14ac:dyDescent="0.3">
      <c r="A387" s="1">
        <v>615</v>
      </c>
      <c r="B387" s="2">
        <v>40571</v>
      </c>
      <c r="C387" s="1">
        <v>1</v>
      </c>
      <c r="D387" s="1">
        <v>20</v>
      </c>
      <c r="E387" s="1" t="b">
        <v>0</v>
      </c>
      <c r="F387" s="1">
        <v>5</v>
      </c>
      <c r="G387" s="1">
        <v>2</v>
      </c>
      <c r="H387" s="1">
        <v>0.24</v>
      </c>
      <c r="I387" s="1">
        <v>0.2273</v>
      </c>
      <c r="J387" s="1">
        <v>0.7</v>
      </c>
      <c r="K387" s="1">
        <v>0.19400000000000001</v>
      </c>
      <c r="L387" s="1">
        <v>1</v>
      </c>
      <c r="M387" s="1">
        <v>61</v>
      </c>
      <c r="N387" s="1">
        <v>62</v>
      </c>
    </row>
    <row r="388" spans="1:14" x14ac:dyDescent="0.3">
      <c r="A388" s="1">
        <v>616</v>
      </c>
      <c r="B388" s="2">
        <v>40571</v>
      </c>
      <c r="C388" s="1">
        <v>1</v>
      </c>
      <c r="D388" s="1">
        <v>21</v>
      </c>
      <c r="E388" s="1" t="b">
        <v>0</v>
      </c>
      <c r="F388" s="1">
        <v>5</v>
      </c>
      <c r="G388" s="1">
        <v>2</v>
      </c>
      <c r="H388" s="1">
        <v>0.22</v>
      </c>
      <c r="I388" s="1">
        <v>0.2273</v>
      </c>
      <c r="J388" s="1">
        <v>0.75</v>
      </c>
      <c r="K388" s="1">
        <v>0.1343</v>
      </c>
      <c r="L388" s="1">
        <v>1</v>
      </c>
      <c r="M388" s="1">
        <v>57</v>
      </c>
      <c r="N388" s="1">
        <v>58</v>
      </c>
    </row>
    <row r="389" spans="1:14" x14ac:dyDescent="0.3">
      <c r="A389" s="1">
        <v>617</v>
      </c>
      <c r="B389" s="2">
        <v>40571</v>
      </c>
      <c r="C389" s="1">
        <v>1</v>
      </c>
      <c r="D389" s="1">
        <v>22</v>
      </c>
      <c r="E389" s="1" t="b">
        <v>0</v>
      </c>
      <c r="F389" s="1">
        <v>5</v>
      </c>
      <c r="G389" s="1">
        <v>1</v>
      </c>
      <c r="H389" s="1">
        <v>0.24</v>
      </c>
      <c r="I389" s="1">
        <v>0.21210000000000001</v>
      </c>
      <c r="J389" s="1">
        <v>0.65</v>
      </c>
      <c r="K389" s="1">
        <v>0.35820000000000002</v>
      </c>
      <c r="L389" s="1">
        <v>0</v>
      </c>
      <c r="M389" s="1">
        <v>26</v>
      </c>
      <c r="N389" s="1">
        <v>26</v>
      </c>
    </row>
    <row r="390" spans="1:14" x14ac:dyDescent="0.3">
      <c r="A390" s="1">
        <v>618</v>
      </c>
      <c r="B390" s="2">
        <v>40571</v>
      </c>
      <c r="C390" s="1">
        <v>1</v>
      </c>
      <c r="D390" s="1">
        <v>23</v>
      </c>
      <c r="E390" s="1" t="b">
        <v>0</v>
      </c>
      <c r="F390" s="1">
        <v>5</v>
      </c>
      <c r="G390" s="1">
        <v>1</v>
      </c>
      <c r="H390" s="1">
        <v>0.24</v>
      </c>
      <c r="I390" s="1">
        <v>0.2273</v>
      </c>
      <c r="J390" s="1">
        <v>0.6</v>
      </c>
      <c r="K390" s="1">
        <v>0.22389999999999999</v>
      </c>
      <c r="L390" s="1">
        <v>1</v>
      </c>
      <c r="M390" s="1">
        <v>22</v>
      </c>
      <c r="N390" s="1">
        <v>23</v>
      </c>
    </row>
    <row r="391" spans="1:14" x14ac:dyDescent="0.3">
      <c r="A391" s="1">
        <v>619</v>
      </c>
      <c r="B391" s="2">
        <v>40572</v>
      </c>
      <c r="C391" s="1">
        <v>1</v>
      </c>
      <c r="D391" s="1">
        <v>0</v>
      </c>
      <c r="E391" s="1" t="b">
        <v>0</v>
      </c>
      <c r="F391" s="1">
        <v>6</v>
      </c>
      <c r="G391" s="1">
        <v>1</v>
      </c>
      <c r="H391" s="1">
        <v>0.22</v>
      </c>
      <c r="I391" s="1">
        <v>0.19700000000000001</v>
      </c>
      <c r="J391" s="1">
        <v>0.64</v>
      </c>
      <c r="K391" s="1">
        <v>0.35820000000000002</v>
      </c>
      <c r="L391" s="1">
        <v>2</v>
      </c>
      <c r="M391" s="1">
        <v>26</v>
      </c>
      <c r="N391" s="1">
        <v>28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391"/>
  <sheetViews>
    <sheetView workbookViewId="0">
      <selection activeCell="N3" sqref="A1:AC391"/>
    </sheetView>
  </sheetViews>
  <sheetFormatPr defaultRowHeight="14.4" x14ac:dyDescent="0.3"/>
  <cols>
    <col min="1" max="1" width="9" bestFit="1" customWidth="1"/>
    <col min="2" max="2" width="10.33203125" style="6" bestFit="1" customWidth="1"/>
    <col min="3" max="3" width="9" bestFit="1" customWidth="1"/>
    <col min="4" max="4" width="7.21875" bestFit="1" customWidth="1"/>
    <col min="5" max="5" width="9.44140625" bestFit="1" customWidth="1"/>
    <col min="6" max="6" width="10.77734375" bestFit="1" customWidth="1"/>
    <col min="7" max="7" width="18.5546875" bestFit="1" customWidth="1"/>
    <col min="8" max="8" width="13.77734375" bestFit="1" customWidth="1"/>
    <col min="9" max="9" width="22.44140625" bestFit="1" customWidth="1"/>
    <col min="10" max="10" width="10.77734375" bestFit="1" customWidth="1"/>
    <col min="11" max="11" width="12.33203125" bestFit="1" customWidth="1"/>
    <col min="12" max="12" width="17.44140625" bestFit="1" customWidth="1"/>
    <col min="13" max="13" width="20.6640625" bestFit="1" customWidth="1"/>
    <col min="14" max="14" width="16.109375" bestFit="1" customWidth="1"/>
    <col min="15" max="15" width="15.33203125" bestFit="1" customWidth="1"/>
    <col min="16" max="16" width="17.21875" bestFit="1" customWidth="1"/>
    <col min="17" max="17" width="21.109375" bestFit="1" customWidth="1"/>
    <col min="18" max="18" width="14.33203125" bestFit="1" customWidth="1"/>
    <col min="19" max="19" width="19.6640625" bestFit="1" customWidth="1"/>
    <col min="20" max="20" width="16.33203125" bestFit="1" customWidth="1"/>
    <col min="21" max="21" width="13" bestFit="1" customWidth="1"/>
    <col min="22" max="22" width="11.5546875" bestFit="1" customWidth="1"/>
    <col min="23" max="23" width="16.5546875" bestFit="1" customWidth="1"/>
    <col min="24" max="24" width="19.21875" bestFit="1" customWidth="1"/>
    <col min="25" max="25" width="22.6640625" bestFit="1" customWidth="1"/>
    <col min="26" max="26" width="12.44140625" bestFit="1" customWidth="1"/>
    <col min="27" max="27" width="15.77734375" bestFit="1" customWidth="1"/>
    <col min="28" max="28" width="11.21875" bestFit="1" customWidth="1"/>
    <col min="29" max="29" width="21.5546875" bestFit="1" customWidth="1"/>
  </cols>
  <sheetData>
    <row r="1" spans="1:29" x14ac:dyDescent="0.3">
      <c r="A1" t="s">
        <v>0</v>
      </c>
      <c r="B1" s="6" t="s">
        <v>50</v>
      </c>
      <c r="C1" t="s">
        <v>1</v>
      </c>
      <c r="D1" t="s">
        <v>51</v>
      </c>
      <c r="E1" t="s">
        <v>2</v>
      </c>
      <c r="F1" t="s">
        <v>3</v>
      </c>
      <c r="G1" t="s">
        <v>52</v>
      </c>
      <c r="H1" t="s">
        <v>53</v>
      </c>
      <c r="I1" t="s">
        <v>54</v>
      </c>
      <c r="J1" t="s">
        <v>55</v>
      </c>
      <c r="K1" t="s">
        <v>4</v>
      </c>
      <c r="L1" t="s">
        <v>56</v>
      </c>
      <c r="M1" t="s">
        <v>57</v>
      </c>
      <c r="N1" t="s">
        <v>58</v>
      </c>
      <c r="O1" t="s">
        <v>5</v>
      </c>
      <c r="P1" t="s">
        <v>6</v>
      </c>
      <c r="Q1" t="s">
        <v>7</v>
      </c>
      <c r="R1" t="s">
        <v>8</v>
      </c>
      <c r="S1" t="s">
        <v>9</v>
      </c>
      <c r="T1" t="s">
        <v>10</v>
      </c>
      <c r="U1" t="s">
        <v>11</v>
      </c>
      <c r="V1" t="s">
        <v>12</v>
      </c>
      <c r="W1" t="s">
        <v>13</v>
      </c>
      <c r="X1" t="s">
        <v>14</v>
      </c>
      <c r="Y1" t="s">
        <v>15</v>
      </c>
      <c r="Z1" t="s">
        <v>16</v>
      </c>
      <c r="AA1" t="s">
        <v>17</v>
      </c>
      <c r="AB1" t="s">
        <v>18</v>
      </c>
      <c r="AC1" t="s">
        <v>19</v>
      </c>
    </row>
    <row r="2" spans="1:29" x14ac:dyDescent="0.3">
      <c r="A2">
        <v>620</v>
      </c>
      <c r="B2" s="6">
        <v>40572</v>
      </c>
      <c r="C2">
        <v>1</v>
      </c>
      <c r="D2">
        <v>1</v>
      </c>
      <c r="E2" t="b">
        <v>0</v>
      </c>
      <c r="F2">
        <v>6</v>
      </c>
      <c r="G2">
        <v>1</v>
      </c>
      <c r="H2">
        <v>0.22</v>
      </c>
      <c r="I2">
        <v>0.2273</v>
      </c>
      <c r="J2">
        <v>0.64</v>
      </c>
      <c r="K2">
        <v>0.19400000000000001</v>
      </c>
      <c r="L2">
        <v>0</v>
      </c>
      <c r="M2">
        <v>20</v>
      </c>
      <c r="N2">
        <v>20</v>
      </c>
      <c r="O2" t="s">
        <v>20</v>
      </c>
      <c r="P2" t="s">
        <v>21</v>
      </c>
      <c r="Q2" t="s">
        <v>22</v>
      </c>
      <c r="R2" t="s">
        <v>23</v>
      </c>
      <c r="S2" t="s">
        <v>24</v>
      </c>
      <c r="T2" t="s">
        <v>25</v>
      </c>
      <c r="U2" t="s">
        <v>26</v>
      </c>
      <c r="V2" t="s">
        <v>27</v>
      </c>
      <c r="W2" t="s">
        <v>28</v>
      </c>
      <c r="X2">
        <v>0</v>
      </c>
      <c r="Y2">
        <v>100</v>
      </c>
      <c r="Z2" t="s">
        <v>29</v>
      </c>
      <c r="AA2" t="s">
        <v>30</v>
      </c>
      <c r="AB2" t="s">
        <v>31</v>
      </c>
      <c r="AC2">
        <v>7.3000000000000009E-3</v>
      </c>
    </row>
    <row r="3" spans="1:29" x14ac:dyDescent="0.3">
      <c r="A3">
        <v>621</v>
      </c>
      <c r="B3" s="6">
        <v>40572</v>
      </c>
      <c r="C3">
        <v>1</v>
      </c>
      <c r="D3">
        <v>2</v>
      </c>
      <c r="E3" t="b">
        <v>0</v>
      </c>
      <c r="F3">
        <v>6</v>
      </c>
      <c r="G3">
        <v>1</v>
      </c>
      <c r="H3">
        <v>0.22</v>
      </c>
      <c r="I3">
        <v>0.2273</v>
      </c>
      <c r="J3">
        <v>0.64</v>
      </c>
      <c r="K3">
        <v>0.16420000000000001</v>
      </c>
      <c r="L3">
        <v>0</v>
      </c>
      <c r="M3">
        <v>15</v>
      </c>
      <c r="N3">
        <v>15</v>
      </c>
      <c r="O3" t="s">
        <v>20</v>
      </c>
      <c r="P3" t="s">
        <v>21</v>
      </c>
      <c r="Q3" t="s">
        <v>22</v>
      </c>
      <c r="R3" t="s">
        <v>23</v>
      </c>
      <c r="S3" t="s">
        <v>24</v>
      </c>
      <c r="T3" t="s">
        <v>25</v>
      </c>
      <c r="U3" t="s">
        <v>26</v>
      </c>
      <c r="V3" t="s">
        <v>27</v>
      </c>
      <c r="W3" t="s">
        <v>28</v>
      </c>
      <c r="X3">
        <v>0</v>
      </c>
      <c r="Y3">
        <v>100</v>
      </c>
      <c r="Z3" t="s">
        <v>29</v>
      </c>
      <c r="AA3" t="s">
        <v>30</v>
      </c>
      <c r="AB3" t="s">
        <v>31</v>
      </c>
      <c r="AC3">
        <v>7.3000000000000009E-3</v>
      </c>
    </row>
    <row r="4" spans="1:29" x14ac:dyDescent="0.3">
      <c r="A4">
        <v>622</v>
      </c>
      <c r="B4" s="6">
        <v>40572</v>
      </c>
      <c r="C4">
        <v>1</v>
      </c>
      <c r="D4">
        <v>3</v>
      </c>
      <c r="E4" t="b">
        <v>0</v>
      </c>
      <c r="F4">
        <v>6</v>
      </c>
      <c r="G4">
        <v>1</v>
      </c>
      <c r="H4">
        <v>0.2</v>
      </c>
      <c r="I4">
        <v>0.21210000000000001</v>
      </c>
      <c r="J4">
        <v>0.64</v>
      </c>
      <c r="K4">
        <v>0.1343</v>
      </c>
      <c r="L4">
        <v>3</v>
      </c>
      <c r="M4">
        <v>5</v>
      </c>
      <c r="N4">
        <v>8</v>
      </c>
      <c r="O4" t="s">
        <v>20</v>
      </c>
      <c r="P4" t="s">
        <v>21</v>
      </c>
      <c r="Q4" t="s">
        <v>22</v>
      </c>
      <c r="R4" t="s">
        <v>23</v>
      </c>
      <c r="S4" t="s">
        <v>24</v>
      </c>
      <c r="T4" t="s">
        <v>25</v>
      </c>
      <c r="U4" t="s">
        <v>32</v>
      </c>
      <c r="V4" t="s">
        <v>27</v>
      </c>
      <c r="W4" t="s">
        <v>28</v>
      </c>
      <c r="X4">
        <v>37.5</v>
      </c>
      <c r="Y4">
        <v>62.5</v>
      </c>
      <c r="Z4" t="s">
        <v>29</v>
      </c>
      <c r="AA4" t="s">
        <v>30</v>
      </c>
      <c r="AB4" t="s">
        <v>31</v>
      </c>
      <c r="AC4">
        <v>1.21E-2</v>
      </c>
    </row>
    <row r="5" spans="1:29" x14ac:dyDescent="0.3">
      <c r="A5">
        <v>623</v>
      </c>
      <c r="B5" s="6">
        <v>40572</v>
      </c>
      <c r="C5">
        <v>1</v>
      </c>
      <c r="D5">
        <v>4</v>
      </c>
      <c r="E5" t="b">
        <v>0</v>
      </c>
      <c r="F5">
        <v>6</v>
      </c>
      <c r="G5">
        <v>1</v>
      </c>
      <c r="H5">
        <v>0.16</v>
      </c>
      <c r="I5">
        <v>0.18179999999999999</v>
      </c>
      <c r="J5">
        <v>0.69</v>
      </c>
      <c r="K5">
        <v>0.1045</v>
      </c>
      <c r="L5">
        <v>1</v>
      </c>
      <c r="M5">
        <v>2</v>
      </c>
      <c r="N5">
        <v>3</v>
      </c>
      <c r="O5" t="s">
        <v>20</v>
      </c>
      <c r="P5" t="s">
        <v>21</v>
      </c>
      <c r="Q5" t="s">
        <v>22</v>
      </c>
      <c r="R5" t="s">
        <v>23</v>
      </c>
      <c r="S5" t="s">
        <v>24</v>
      </c>
      <c r="T5" t="s">
        <v>25</v>
      </c>
      <c r="U5" t="s">
        <v>32</v>
      </c>
      <c r="V5" t="s">
        <v>27</v>
      </c>
      <c r="W5" t="s">
        <v>28</v>
      </c>
      <c r="X5">
        <v>33.333333333333329</v>
      </c>
      <c r="Y5">
        <v>66.666666666666657</v>
      </c>
      <c r="Z5" t="s">
        <v>29</v>
      </c>
      <c r="AA5" t="s">
        <v>30</v>
      </c>
      <c r="AB5" t="s">
        <v>31</v>
      </c>
      <c r="AC5">
        <v>2.179999999999999E-2</v>
      </c>
    </row>
    <row r="6" spans="1:29" x14ac:dyDescent="0.3">
      <c r="A6">
        <v>624</v>
      </c>
      <c r="B6" s="6">
        <v>40572</v>
      </c>
      <c r="C6">
        <v>1</v>
      </c>
      <c r="D6">
        <v>6</v>
      </c>
      <c r="E6" t="b">
        <v>0</v>
      </c>
      <c r="F6">
        <v>6</v>
      </c>
      <c r="G6">
        <v>1</v>
      </c>
      <c r="H6">
        <v>0.16</v>
      </c>
      <c r="I6">
        <v>0.18179999999999999</v>
      </c>
      <c r="J6">
        <v>0.64</v>
      </c>
      <c r="K6">
        <v>0.1343</v>
      </c>
      <c r="L6">
        <v>0</v>
      </c>
      <c r="M6">
        <v>2</v>
      </c>
      <c r="N6">
        <v>2</v>
      </c>
      <c r="O6" t="s">
        <v>20</v>
      </c>
      <c r="P6" t="s">
        <v>21</v>
      </c>
      <c r="Q6" t="s">
        <v>22</v>
      </c>
      <c r="R6" t="s">
        <v>33</v>
      </c>
      <c r="S6" t="s">
        <v>24</v>
      </c>
      <c r="T6" t="s">
        <v>25</v>
      </c>
      <c r="U6" t="s">
        <v>32</v>
      </c>
      <c r="V6" t="s">
        <v>27</v>
      </c>
      <c r="W6" t="s">
        <v>28</v>
      </c>
      <c r="X6">
        <v>0</v>
      </c>
      <c r="Y6">
        <v>100</v>
      </c>
      <c r="Z6" t="s">
        <v>29</v>
      </c>
      <c r="AA6" t="s">
        <v>30</v>
      </c>
      <c r="AB6" t="s">
        <v>31</v>
      </c>
      <c r="AC6">
        <v>2.179999999999999E-2</v>
      </c>
    </row>
    <row r="7" spans="1:29" x14ac:dyDescent="0.3">
      <c r="A7">
        <v>625</v>
      </c>
      <c r="B7" s="6">
        <v>40572</v>
      </c>
      <c r="C7">
        <v>1</v>
      </c>
      <c r="D7">
        <v>7</v>
      </c>
      <c r="E7" t="b">
        <v>0</v>
      </c>
      <c r="F7">
        <v>6</v>
      </c>
      <c r="G7">
        <v>1</v>
      </c>
      <c r="H7">
        <v>0.16</v>
      </c>
      <c r="I7">
        <v>0.18179999999999999</v>
      </c>
      <c r="J7">
        <v>0.59</v>
      </c>
      <c r="K7">
        <v>0.1045</v>
      </c>
      <c r="L7">
        <v>1</v>
      </c>
      <c r="M7">
        <v>4</v>
      </c>
      <c r="N7">
        <v>5</v>
      </c>
      <c r="O7" t="s">
        <v>20</v>
      </c>
      <c r="P7" t="s">
        <v>21</v>
      </c>
      <c r="Q7" t="s">
        <v>22</v>
      </c>
      <c r="R7" t="s">
        <v>33</v>
      </c>
      <c r="S7" t="s">
        <v>24</v>
      </c>
      <c r="T7" t="s">
        <v>25</v>
      </c>
      <c r="U7" t="s">
        <v>32</v>
      </c>
      <c r="V7" t="s">
        <v>27</v>
      </c>
      <c r="W7" t="s">
        <v>28</v>
      </c>
      <c r="X7">
        <v>20</v>
      </c>
      <c r="Y7">
        <v>80</v>
      </c>
      <c r="Z7" t="s">
        <v>31</v>
      </c>
      <c r="AA7" t="s">
        <v>30</v>
      </c>
      <c r="AB7" t="s">
        <v>31</v>
      </c>
      <c r="AC7">
        <v>2.179999999999999E-2</v>
      </c>
    </row>
    <row r="8" spans="1:29" x14ac:dyDescent="0.3">
      <c r="A8">
        <v>626</v>
      </c>
      <c r="B8" s="6">
        <v>40572</v>
      </c>
      <c r="C8">
        <v>1</v>
      </c>
      <c r="D8">
        <v>8</v>
      </c>
      <c r="E8" t="b">
        <v>0</v>
      </c>
      <c r="F8">
        <v>6</v>
      </c>
      <c r="G8">
        <v>1</v>
      </c>
      <c r="H8">
        <v>0.18</v>
      </c>
      <c r="I8">
        <v>0.19700000000000001</v>
      </c>
      <c r="J8">
        <v>0.55000000000000004</v>
      </c>
      <c r="K8">
        <v>0.16420000000000001</v>
      </c>
      <c r="L8">
        <v>3</v>
      </c>
      <c r="M8">
        <v>31</v>
      </c>
      <c r="N8">
        <v>34</v>
      </c>
      <c r="O8" t="s">
        <v>20</v>
      </c>
      <c r="P8" t="s">
        <v>21</v>
      </c>
      <c r="Q8" t="s">
        <v>22</v>
      </c>
      <c r="R8" t="s">
        <v>33</v>
      </c>
      <c r="S8" t="s">
        <v>24</v>
      </c>
      <c r="T8" t="s">
        <v>25</v>
      </c>
      <c r="U8" t="s">
        <v>26</v>
      </c>
      <c r="V8" t="s">
        <v>27</v>
      </c>
      <c r="W8" t="s">
        <v>28</v>
      </c>
      <c r="X8">
        <v>8.8235294117647065</v>
      </c>
      <c r="Y8">
        <v>91.17647058823529</v>
      </c>
      <c r="Z8" t="s">
        <v>31</v>
      </c>
      <c r="AA8" t="s">
        <v>30</v>
      </c>
      <c r="AB8" t="s">
        <v>31</v>
      </c>
      <c r="AC8">
        <v>1.7000000000000019E-2</v>
      </c>
    </row>
    <row r="9" spans="1:29" x14ac:dyDescent="0.3">
      <c r="A9">
        <v>627</v>
      </c>
      <c r="B9" s="6">
        <v>40572</v>
      </c>
      <c r="C9">
        <v>1</v>
      </c>
      <c r="D9">
        <v>9</v>
      </c>
      <c r="E9" t="b">
        <v>0</v>
      </c>
      <c r="F9">
        <v>6</v>
      </c>
      <c r="G9">
        <v>1</v>
      </c>
      <c r="H9">
        <v>0.18</v>
      </c>
      <c r="I9">
        <v>0.21210000000000001</v>
      </c>
      <c r="J9">
        <v>0.59</v>
      </c>
      <c r="K9">
        <v>8.9599999999999999E-2</v>
      </c>
      <c r="L9">
        <v>0</v>
      </c>
      <c r="M9">
        <v>34</v>
      </c>
      <c r="N9">
        <v>34</v>
      </c>
      <c r="O9" t="s">
        <v>20</v>
      </c>
      <c r="P9" t="s">
        <v>21</v>
      </c>
      <c r="Q9" t="s">
        <v>22</v>
      </c>
      <c r="R9" t="s">
        <v>33</v>
      </c>
      <c r="S9" t="s">
        <v>24</v>
      </c>
      <c r="T9" t="s">
        <v>25</v>
      </c>
      <c r="U9" t="s">
        <v>32</v>
      </c>
      <c r="V9" t="s">
        <v>27</v>
      </c>
      <c r="W9" t="s">
        <v>28</v>
      </c>
      <c r="X9">
        <v>0</v>
      </c>
      <c r="Y9">
        <v>100</v>
      </c>
      <c r="Z9" t="s">
        <v>31</v>
      </c>
      <c r="AA9" t="s">
        <v>30</v>
      </c>
      <c r="AB9" t="s">
        <v>31</v>
      </c>
      <c r="AC9">
        <v>3.2100000000000017E-2</v>
      </c>
    </row>
    <row r="10" spans="1:29" x14ac:dyDescent="0.3">
      <c r="A10">
        <v>628</v>
      </c>
      <c r="B10" s="6">
        <v>40572</v>
      </c>
      <c r="C10">
        <v>1</v>
      </c>
      <c r="D10">
        <v>10</v>
      </c>
      <c r="E10" t="b">
        <v>0</v>
      </c>
      <c r="F10">
        <v>6</v>
      </c>
      <c r="G10">
        <v>2</v>
      </c>
      <c r="H10">
        <v>0.18</v>
      </c>
      <c r="I10">
        <v>0.21210000000000001</v>
      </c>
      <c r="J10">
        <v>0.64</v>
      </c>
      <c r="K10">
        <v>0.1045</v>
      </c>
      <c r="L10">
        <v>4</v>
      </c>
      <c r="M10">
        <v>51</v>
      </c>
      <c r="N10">
        <v>55</v>
      </c>
      <c r="O10" t="s">
        <v>20</v>
      </c>
      <c r="P10" t="s">
        <v>21</v>
      </c>
      <c r="Q10" t="s">
        <v>34</v>
      </c>
      <c r="R10" t="s">
        <v>33</v>
      </c>
      <c r="S10" t="s">
        <v>24</v>
      </c>
      <c r="T10" t="s">
        <v>25</v>
      </c>
      <c r="U10" t="s">
        <v>32</v>
      </c>
      <c r="V10" t="s">
        <v>27</v>
      </c>
      <c r="W10" t="s">
        <v>28</v>
      </c>
      <c r="X10">
        <v>7.2727272727272716</v>
      </c>
      <c r="Y10">
        <v>92.72727272727272</v>
      </c>
      <c r="Z10" t="s">
        <v>29</v>
      </c>
      <c r="AA10" t="s">
        <v>30</v>
      </c>
      <c r="AB10" t="s">
        <v>31</v>
      </c>
      <c r="AC10">
        <v>3.2100000000000017E-2</v>
      </c>
    </row>
    <row r="11" spans="1:29" x14ac:dyDescent="0.3">
      <c r="A11">
        <v>629</v>
      </c>
      <c r="B11" s="6">
        <v>40572</v>
      </c>
      <c r="C11">
        <v>1</v>
      </c>
      <c r="D11">
        <v>11</v>
      </c>
      <c r="E11" t="b">
        <v>0</v>
      </c>
      <c r="F11">
        <v>6</v>
      </c>
      <c r="G11">
        <v>2</v>
      </c>
      <c r="H11">
        <v>0.18</v>
      </c>
      <c r="I11">
        <v>0.19700000000000001</v>
      </c>
      <c r="J11">
        <v>0.64</v>
      </c>
      <c r="K11">
        <v>0.1343</v>
      </c>
      <c r="L11">
        <v>4</v>
      </c>
      <c r="M11">
        <v>60</v>
      </c>
      <c r="N11">
        <v>64</v>
      </c>
      <c r="O11" t="s">
        <v>20</v>
      </c>
      <c r="P11" t="s">
        <v>21</v>
      </c>
      <c r="Q11" t="s">
        <v>34</v>
      </c>
      <c r="R11" t="s">
        <v>33</v>
      </c>
      <c r="S11" t="s">
        <v>24</v>
      </c>
      <c r="T11" t="s">
        <v>25</v>
      </c>
      <c r="U11" t="s">
        <v>32</v>
      </c>
      <c r="V11" t="s">
        <v>27</v>
      </c>
      <c r="W11" t="s">
        <v>28</v>
      </c>
      <c r="X11">
        <v>6.25</v>
      </c>
      <c r="Y11">
        <v>93.75</v>
      </c>
      <c r="Z11" t="s">
        <v>29</v>
      </c>
      <c r="AA11" t="s">
        <v>30</v>
      </c>
      <c r="AB11" t="s">
        <v>31</v>
      </c>
      <c r="AC11">
        <v>1.7000000000000019E-2</v>
      </c>
    </row>
    <row r="12" spans="1:29" x14ac:dyDescent="0.3">
      <c r="A12">
        <v>630</v>
      </c>
      <c r="B12" s="6">
        <v>40572</v>
      </c>
      <c r="C12">
        <v>1</v>
      </c>
      <c r="D12">
        <v>12</v>
      </c>
      <c r="E12" t="b">
        <v>0</v>
      </c>
      <c r="F12">
        <v>6</v>
      </c>
      <c r="G12">
        <v>2</v>
      </c>
      <c r="H12">
        <v>0.2</v>
      </c>
      <c r="I12">
        <v>0.19700000000000001</v>
      </c>
      <c r="J12">
        <v>0.59</v>
      </c>
      <c r="K12">
        <v>0.19400000000000001</v>
      </c>
      <c r="L12">
        <v>12</v>
      </c>
      <c r="M12">
        <v>66</v>
      </c>
      <c r="N12">
        <v>78</v>
      </c>
      <c r="O12" t="s">
        <v>20</v>
      </c>
      <c r="P12" t="s">
        <v>21</v>
      </c>
      <c r="Q12" t="s">
        <v>34</v>
      </c>
      <c r="R12" t="s">
        <v>35</v>
      </c>
      <c r="S12" t="s">
        <v>24</v>
      </c>
      <c r="T12" t="s">
        <v>25</v>
      </c>
      <c r="U12" t="s">
        <v>26</v>
      </c>
      <c r="V12" t="s">
        <v>27</v>
      </c>
      <c r="W12" t="s">
        <v>28</v>
      </c>
      <c r="X12">
        <v>15.38461538461539</v>
      </c>
      <c r="Y12">
        <v>84.615384615384613</v>
      </c>
      <c r="Z12" t="s">
        <v>29</v>
      </c>
      <c r="AA12" t="s">
        <v>30</v>
      </c>
      <c r="AB12" t="s">
        <v>31</v>
      </c>
      <c r="AC12">
        <v>-3.0000000000000031E-3</v>
      </c>
    </row>
    <row r="13" spans="1:29" x14ac:dyDescent="0.3">
      <c r="A13">
        <v>631</v>
      </c>
      <c r="B13" s="6">
        <v>40572</v>
      </c>
      <c r="C13">
        <v>1</v>
      </c>
      <c r="D13">
        <v>13</v>
      </c>
      <c r="E13" t="b">
        <v>0</v>
      </c>
      <c r="F13">
        <v>6</v>
      </c>
      <c r="G13">
        <v>2</v>
      </c>
      <c r="H13">
        <v>0.22</v>
      </c>
      <c r="I13">
        <v>0.2273</v>
      </c>
      <c r="J13">
        <v>0.55000000000000004</v>
      </c>
      <c r="K13">
        <v>0.16420000000000001</v>
      </c>
      <c r="L13">
        <v>9</v>
      </c>
      <c r="M13">
        <v>56</v>
      </c>
      <c r="N13">
        <v>65</v>
      </c>
      <c r="O13" t="s">
        <v>20</v>
      </c>
      <c r="P13" t="s">
        <v>21</v>
      </c>
      <c r="Q13" t="s">
        <v>34</v>
      </c>
      <c r="R13" t="s">
        <v>35</v>
      </c>
      <c r="S13" t="s">
        <v>24</v>
      </c>
      <c r="T13" t="s">
        <v>25</v>
      </c>
      <c r="U13" t="s">
        <v>26</v>
      </c>
      <c r="V13" t="s">
        <v>27</v>
      </c>
      <c r="W13" t="s">
        <v>28</v>
      </c>
      <c r="X13">
        <v>13.84615384615385</v>
      </c>
      <c r="Y13">
        <v>86.15384615384616</v>
      </c>
      <c r="Z13" t="s">
        <v>29</v>
      </c>
      <c r="AA13" t="s">
        <v>30</v>
      </c>
      <c r="AB13" t="s">
        <v>31</v>
      </c>
      <c r="AC13">
        <v>7.3000000000000009E-3</v>
      </c>
    </row>
    <row r="14" spans="1:29" x14ac:dyDescent="0.3">
      <c r="A14">
        <v>632</v>
      </c>
      <c r="B14" s="6">
        <v>40572</v>
      </c>
      <c r="C14">
        <v>1</v>
      </c>
      <c r="D14">
        <v>14</v>
      </c>
      <c r="E14" t="b">
        <v>0</v>
      </c>
      <c r="F14">
        <v>6</v>
      </c>
      <c r="G14">
        <v>2</v>
      </c>
      <c r="H14">
        <v>0.22</v>
      </c>
      <c r="I14">
        <v>0.2273</v>
      </c>
      <c r="J14">
        <v>0.6</v>
      </c>
      <c r="K14">
        <v>0.1343</v>
      </c>
      <c r="L14">
        <v>10</v>
      </c>
      <c r="M14">
        <v>89</v>
      </c>
      <c r="N14">
        <v>99</v>
      </c>
      <c r="O14" t="s">
        <v>20</v>
      </c>
      <c r="P14" t="s">
        <v>21</v>
      </c>
      <c r="Q14" t="s">
        <v>34</v>
      </c>
      <c r="R14" t="s">
        <v>35</v>
      </c>
      <c r="S14" t="s">
        <v>24</v>
      </c>
      <c r="T14" t="s">
        <v>25</v>
      </c>
      <c r="U14" t="s">
        <v>32</v>
      </c>
      <c r="V14" t="s">
        <v>27</v>
      </c>
      <c r="W14" t="s">
        <v>28</v>
      </c>
      <c r="X14">
        <v>10.1010101010101</v>
      </c>
      <c r="Y14">
        <v>89.898989898989896</v>
      </c>
      <c r="Z14" t="s">
        <v>29</v>
      </c>
      <c r="AA14" t="s">
        <v>30</v>
      </c>
      <c r="AB14" t="s">
        <v>31</v>
      </c>
      <c r="AC14">
        <v>7.3000000000000009E-3</v>
      </c>
    </row>
    <row r="15" spans="1:29" x14ac:dyDescent="0.3">
      <c r="A15">
        <v>633</v>
      </c>
      <c r="B15" s="6">
        <v>40572</v>
      </c>
      <c r="C15">
        <v>1</v>
      </c>
      <c r="D15">
        <v>15</v>
      </c>
      <c r="E15" t="b">
        <v>0</v>
      </c>
      <c r="F15">
        <v>6</v>
      </c>
      <c r="G15">
        <v>1</v>
      </c>
      <c r="H15">
        <v>0.22</v>
      </c>
      <c r="I15">
        <v>0.21210000000000001</v>
      </c>
      <c r="J15">
        <v>0.69</v>
      </c>
      <c r="K15">
        <v>0.25369999999999998</v>
      </c>
      <c r="L15">
        <v>22</v>
      </c>
      <c r="M15">
        <v>98</v>
      </c>
      <c r="N15">
        <v>120</v>
      </c>
      <c r="O15" t="s">
        <v>20</v>
      </c>
      <c r="P15" t="s">
        <v>21</v>
      </c>
      <c r="Q15" t="s">
        <v>22</v>
      </c>
      <c r="R15" t="s">
        <v>35</v>
      </c>
      <c r="S15" t="s">
        <v>24</v>
      </c>
      <c r="T15" t="s">
        <v>25</v>
      </c>
      <c r="U15" t="s">
        <v>26</v>
      </c>
      <c r="V15" t="s">
        <v>27</v>
      </c>
      <c r="W15" t="s">
        <v>28</v>
      </c>
      <c r="X15">
        <v>18.333333333333329</v>
      </c>
      <c r="Y15">
        <v>81.666666666666671</v>
      </c>
      <c r="Z15" t="s">
        <v>29</v>
      </c>
      <c r="AA15" t="s">
        <v>25</v>
      </c>
      <c r="AB15" t="s">
        <v>31</v>
      </c>
      <c r="AC15">
        <v>-7.8999999999999904E-3</v>
      </c>
    </row>
    <row r="16" spans="1:29" x14ac:dyDescent="0.3">
      <c r="A16">
        <v>634</v>
      </c>
      <c r="B16" s="6">
        <v>40572</v>
      </c>
      <c r="C16">
        <v>1</v>
      </c>
      <c r="D16">
        <v>16</v>
      </c>
      <c r="E16" t="b">
        <v>0</v>
      </c>
      <c r="F16">
        <v>6</v>
      </c>
      <c r="G16">
        <v>1</v>
      </c>
      <c r="H16">
        <v>0.24</v>
      </c>
      <c r="I16">
        <v>0.2424</v>
      </c>
      <c r="J16">
        <v>0.6</v>
      </c>
      <c r="K16">
        <v>0.16420000000000001</v>
      </c>
      <c r="L16">
        <v>19</v>
      </c>
      <c r="M16">
        <v>88</v>
      </c>
      <c r="N16">
        <v>107</v>
      </c>
      <c r="O16" t="s">
        <v>20</v>
      </c>
      <c r="P16" t="s">
        <v>21</v>
      </c>
      <c r="Q16" t="s">
        <v>22</v>
      </c>
      <c r="R16" t="s">
        <v>35</v>
      </c>
      <c r="S16" t="s">
        <v>24</v>
      </c>
      <c r="T16" t="s">
        <v>25</v>
      </c>
      <c r="U16" t="s">
        <v>26</v>
      </c>
      <c r="V16" t="s">
        <v>27</v>
      </c>
      <c r="W16" t="s">
        <v>28</v>
      </c>
      <c r="X16">
        <v>17.75700934579439</v>
      </c>
      <c r="Y16">
        <v>82.242990654205599</v>
      </c>
      <c r="Z16" t="s">
        <v>29</v>
      </c>
      <c r="AA16" t="s">
        <v>25</v>
      </c>
      <c r="AB16" t="s">
        <v>31</v>
      </c>
      <c r="AC16">
        <v>2.4000000000000128E-3</v>
      </c>
    </row>
    <row r="17" spans="1:29" x14ac:dyDescent="0.3">
      <c r="A17">
        <v>635</v>
      </c>
      <c r="B17" s="6">
        <v>40572</v>
      </c>
      <c r="C17">
        <v>1</v>
      </c>
      <c r="D17">
        <v>17</v>
      </c>
      <c r="E17" t="b">
        <v>0</v>
      </c>
      <c r="F17">
        <v>6</v>
      </c>
      <c r="G17">
        <v>1</v>
      </c>
      <c r="H17">
        <v>0.24</v>
      </c>
      <c r="I17">
        <v>0.28789999999999999</v>
      </c>
      <c r="J17">
        <v>0.6</v>
      </c>
      <c r="K17">
        <v>0</v>
      </c>
      <c r="L17">
        <v>9</v>
      </c>
      <c r="M17">
        <v>82</v>
      </c>
      <c r="N17">
        <v>91</v>
      </c>
      <c r="O17" t="s">
        <v>20</v>
      </c>
      <c r="P17" t="s">
        <v>21</v>
      </c>
      <c r="Q17" t="s">
        <v>22</v>
      </c>
      <c r="R17" t="s">
        <v>36</v>
      </c>
      <c r="S17" t="s">
        <v>24</v>
      </c>
      <c r="T17" t="s">
        <v>25</v>
      </c>
      <c r="U17" t="s">
        <v>32</v>
      </c>
      <c r="V17" t="s">
        <v>27</v>
      </c>
      <c r="W17" t="s">
        <v>28</v>
      </c>
      <c r="X17">
        <v>9.8901098901098905</v>
      </c>
      <c r="Y17">
        <v>90.109890109890117</v>
      </c>
      <c r="Z17" t="s">
        <v>31</v>
      </c>
      <c r="AA17" t="s">
        <v>30</v>
      </c>
      <c r="AB17" t="s">
        <v>31</v>
      </c>
      <c r="AC17">
        <v>4.7899999999999998E-2</v>
      </c>
    </row>
    <row r="18" spans="1:29" x14ac:dyDescent="0.3">
      <c r="A18">
        <v>636</v>
      </c>
      <c r="B18" s="6">
        <v>40572</v>
      </c>
      <c r="C18">
        <v>1</v>
      </c>
      <c r="D18">
        <v>18</v>
      </c>
      <c r="E18" t="b">
        <v>0</v>
      </c>
      <c r="F18">
        <v>6</v>
      </c>
      <c r="G18">
        <v>1</v>
      </c>
      <c r="H18">
        <v>0.22</v>
      </c>
      <c r="I18">
        <v>0.2273</v>
      </c>
      <c r="J18">
        <v>0.69</v>
      </c>
      <c r="K18">
        <v>0.1343</v>
      </c>
      <c r="L18">
        <v>9</v>
      </c>
      <c r="M18">
        <v>59</v>
      </c>
      <c r="N18">
        <v>68</v>
      </c>
      <c r="O18" t="s">
        <v>20</v>
      </c>
      <c r="P18" t="s">
        <v>21</v>
      </c>
      <c r="Q18" t="s">
        <v>22</v>
      </c>
      <c r="R18" t="s">
        <v>36</v>
      </c>
      <c r="S18" t="s">
        <v>24</v>
      </c>
      <c r="T18" t="s">
        <v>25</v>
      </c>
      <c r="U18" t="s">
        <v>32</v>
      </c>
      <c r="V18" t="s">
        <v>27</v>
      </c>
      <c r="W18" t="s">
        <v>28</v>
      </c>
      <c r="X18">
        <v>13.23529411764706</v>
      </c>
      <c r="Y18">
        <v>86.764705882352942</v>
      </c>
      <c r="Z18" t="s">
        <v>31</v>
      </c>
      <c r="AA18" t="s">
        <v>30</v>
      </c>
      <c r="AB18" t="s">
        <v>31</v>
      </c>
      <c r="AC18">
        <v>7.3000000000000009E-3</v>
      </c>
    </row>
    <row r="19" spans="1:29" x14ac:dyDescent="0.3">
      <c r="A19">
        <v>637</v>
      </c>
      <c r="B19" s="6">
        <v>40572</v>
      </c>
      <c r="C19">
        <v>1</v>
      </c>
      <c r="D19">
        <v>19</v>
      </c>
      <c r="E19" t="b">
        <v>0</v>
      </c>
      <c r="F19">
        <v>6</v>
      </c>
      <c r="G19">
        <v>2</v>
      </c>
      <c r="H19">
        <v>0.22</v>
      </c>
      <c r="I19">
        <v>0.21210000000000001</v>
      </c>
      <c r="J19">
        <v>0.69</v>
      </c>
      <c r="K19">
        <v>0.25369999999999998</v>
      </c>
      <c r="L19">
        <v>6</v>
      </c>
      <c r="M19">
        <v>52</v>
      </c>
      <c r="N19">
        <v>58</v>
      </c>
      <c r="O19" t="s">
        <v>20</v>
      </c>
      <c r="P19" t="s">
        <v>21</v>
      </c>
      <c r="Q19" t="s">
        <v>34</v>
      </c>
      <c r="R19" t="s">
        <v>36</v>
      </c>
      <c r="S19" t="s">
        <v>24</v>
      </c>
      <c r="T19" t="s">
        <v>25</v>
      </c>
      <c r="U19" t="s">
        <v>26</v>
      </c>
      <c r="V19" t="s">
        <v>27</v>
      </c>
      <c r="W19" t="s">
        <v>28</v>
      </c>
      <c r="X19">
        <v>10.3448275862069</v>
      </c>
      <c r="Y19">
        <v>89.65517241379311</v>
      </c>
      <c r="Z19" t="s">
        <v>31</v>
      </c>
      <c r="AA19" t="s">
        <v>30</v>
      </c>
      <c r="AB19" t="s">
        <v>31</v>
      </c>
      <c r="AC19">
        <v>-7.8999999999999904E-3</v>
      </c>
    </row>
    <row r="20" spans="1:29" x14ac:dyDescent="0.3">
      <c r="A20">
        <v>638</v>
      </c>
      <c r="B20" s="6">
        <v>40572</v>
      </c>
      <c r="C20">
        <v>1</v>
      </c>
      <c r="D20">
        <v>20</v>
      </c>
      <c r="E20" t="b">
        <v>0</v>
      </c>
      <c r="F20">
        <v>6</v>
      </c>
      <c r="G20">
        <v>1</v>
      </c>
      <c r="H20">
        <v>0.18</v>
      </c>
      <c r="I20">
        <v>0.21210000000000001</v>
      </c>
      <c r="J20">
        <v>0.74</v>
      </c>
      <c r="K20">
        <v>8.9599999999999999E-2</v>
      </c>
      <c r="L20">
        <v>1</v>
      </c>
      <c r="M20">
        <v>42</v>
      </c>
      <c r="N20">
        <v>43</v>
      </c>
      <c r="O20" t="s">
        <v>20</v>
      </c>
      <c r="P20" t="s">
        <v>21</v>
      </c>
      <c r="Q20" t="s">
        <v>22</v>
      </c>
      <c r="R20" t="s">
        <v>36</v>
      </c>
      <c r="S20" t="s">
        <v>24</v>
      </c>
      <c r="T20" t="s">
        <v>37</v>
      </c>
      <c r="U20" t="s">
        <v>32</v>
      </c>
      <c r="V20" t="s">
        <v>27</v>
      </c>
      <c r="W20" t="s">
        <v>28</v>
      </c>
      <c r="X20">
        <v>2.3255813953488369</v>
      </c>
      <c r="Y20">
        <v>97.674418604651152</v>
      </c>
      <c r="Z20" t="s">
        <v>29</v>
      </c>
      <c r="AA20" t="s">
        <v>30</v>
      </c>
      <c r="AB20" t="s">
        <v>31</v>
      </c>
      <c r="AC20">
        <v>3.2100000000000017E-2</v>
      </c>
    </row>
    <row r="21" spans="1:29" x14ac:dyDescent="0.3">
      <c r="A21">
        <v>639</v>
      </c>
      <c r="B21" s="6">
        <v>40572</v>
      </c>
      <c r="C21">
        <v>1</v>
      </c>
      <c r="D21">
        <v>21</v>
      </c>
      <c r="E21" t="b">
        <v>0</v>
      </c>
      <c r="F21">
        <v>6</v>
      </c>
      <c r="G21">
        <v>1</v>
      </c>
      <c r="H21">
        <v>0.18</v>
      </c>
      <c r="I21">
        <v>0.21210000000000001</v>
      </c>
      <c r="J21">
        <v>0.74</v>
      </c>
      <c r="K21">
        <v>8.9599999999999999E-2</v>
      </c>
      <c r="L21">
        <v>1</v>
      </c>
      <c r="M21">
        <v>35</v>
      </c>
      <c r="N21">
        <v>36</v>
      </c>
      <c r="O21" t="s">
        <v>20</v>
      </c>
      <c r="P21" t="s">
        <v>21</v>
      </c>
      <c r="Q21" t="s">
        <v>22</v>
      </c>
      <c r="R21" t="s">
        <v>23</v>
      </c>
      <c r="S21" t="s">
        <v>24</v>
      </c>
      <c r="T21" t="s">
        <v>37</v>
      </c>
      <c r="U21" t="s">
        <v>32</v>
      </c>
      <c r="V21" t="s">
        <v>27</v>
      </c>
      <c r="W21" t="s">
        <v>28</v>
      </c>
      <c r="X21">
        <v>2.7777777777777781</v>
      </c>
      <c r="Y21">
        <v>97.222222222222214</v>
      </c>
      <c r="Z21" t="s">
        <v>29</v>
      </c>
      <c r="AA21" t="s">
        <v>30</v>
      </c>
      <c r="AB21" t="s">
        <v>31</v>
      </c>
      <c r="AC21">
        <v>3.2100000000000017E-2</v>
      </c>
    </row>
    <row r="22" spans="1:29" x14ac:dyDescent="0.3">
      <c r="A22">
        <v>640</v>
      </c>
      <c r="B22" s="6">
        <v>40572</v>
      </c>
      <c r="C22">
        <v>1</v>
      </c>
      <c r="D22">
        <v>22</v>
      </c>
      <c r="E22" t="b">
        <v>0</v>
      </c>
      <c r="F22">
        <v>6</v>
      </c>
      <c r="G22">
        <v>1</v>
      </c>
      <c r="H22">
        <v>0.16</v>
      </c>
      <c r="I22">
        <v>0.19700000000000001</v>
      </c>
      <c r="J22">
        <v>0.8</v>
      </c>
      <c r="K22">
        <v>8.9599999999999999E-2</v>
      </c>
      <c r="L22">
        <v>4</v>
      </c>
      <c r="M22">
        <v>28</v>
      </c>
      <c r="N22">
        <v>32</v>
      </c>
      <c r="O22" t="s">
        <v>20</v>
      </c>
      <c r="P22" t="s">
        <v>21</v>
      </c>
      <c r="Q22" t="s">
        <v>22</v>
      </c>
      <c r="R22" t="s">
        <v>23</v>
      </c>
      <c r="S22" t="s">
        <v>24</v>
      </c>
      <c r="T22" t="s">
        <v>37</v>
      </c>
      <c r="U22" t="s">
        <v>32</v>
      </c>
      <c r="V22" t="s">
        <v>27</v>
      </c>
      <c r="W22" t="s">
        <v>28</v>
      </c>
      <c r="X22">
        <v>12.5</v>
      </c>
      <c r="Y22">
        <v>87.5</v>
      </c>
      <c r="Z22" t="s">
        <v>29</v>
      </c>
      <c r="AA22" t="s">
        <v>30</v>
      </c>
      <c r="AB22" t="s">
        <v>31</v>
      </c>
      <c r="AC22">
        <v>3.7000000000000012E-2</v>
      </c>
    </row>
    <row r="23" spans="1:29" x14ac:dyDescent="0.3">
      <c r="A23">
        <v>641</v>
      </c>
      <c r="B23" s="6">
        <v>40572</v>
      </c>
      <c r="C23">
        <v>1</v>
      </c>
      <c r="D23">
        <v>23</v>
      </c>
      <c r="E23" t="b">
        <v>0</v>
      </c>
      <c r="F23">
        <v>6</v>
      </c>
      <c r="G23">
        <v>1</v>
      </c>
      <c r="H23">
        <v>0.16</v>
      </c>
      <c r="I23">
        <v>0.19700000000000001</v>
      </c>
      <c r="J23">
        <v>0.8</v>
      </c>
      <c r="K23">
        <v>8.9599999999999999E-2</v>
      </c>
      <c r="L23">
        <v>3</v>
      </c>
      <c r="M23">
        <v>30</v>
      </c>
      <c r="N23">
        <v>33</v>
      </c>
      <c r="O23" t="s">
        <v>20</v>
      </c>
      <c r="P23" t="s">
        <v>21</v>
      </c>
      <c r="Q23" t="s">
        <v>22</v>
      </c>
      <c r="R23" t="s">
        <v>23</v>
      </c>
      <c r="S23" t="s">
        <v>24</v>
      </c>
      <c r="T23" t="s">
        <v>37</v>
      </c>
      <c r="U23" t="s">
        <v>32</v>
      </c>
      <c r="V23" t="s">
        <v>27</v>
      </c>
      <c r="W23" t="s">
        <v>28</v>
      </c>
      <c r="X23">
        <v>9.0909090909090917</v>
      </c>
      <c r="Y23">
        <v>90.909090909090907</v>
      </c>
      <c r="Z23" t="s">
        <v>29</v>
      </c>
      <c r="AA23" t="s">
        <v>30</v>
      </c>
      <c r="AB23" t="s">
        <v>31</v>
      </c>
      <c r="AC23">
        <v>3.7000000000000012E-2</v>
      </c>
    </row>
    <row r="24" spans="1:29" x14ac:dyDescent="0.3">
      <c r="A24">
        <v>642</v>
      </c>
      <c r="B24" s="6">
        <v>40573</v>
      </c>
      <c r="C24">
        <v>1</v>
      </c>
      <c r="D24">
        <v>0</v>
      </c>
      <c r="E24" t="b">
        <v>0</v>
      </c>
      <c r="F24">
        <v>0</v>
      </c>
      <c r="G24">
        <v>1</v>
      </c>
      <c r="H24">
        <v>0.16</v>
      </c>
      <c r="I24">
        <v>0.18179999999999999</v>
      </c>
      <c r="J24">
        <v>0.8</v>
      </c>
      <c r="K24">
        <v>0.1045</v>
      </c>
      <c r="L24">
        <v>0</v>
      </c>
      <c r="M24">
        <v>33</v>
      </c>
      <c r="N24">
        <v>33</v>
      </c>
      <c r="O24" t="s">
        <v>20</v>
      </c>
      <c r="P24" t="s">
        <v>38</v>
      </c>
      <c r="Q24" t="s">
        <v>22</v>
      </c>
      <c r="R24" t="s">
        <v>23</v>
      </c>
      <c r="S24" t="s">
        <v>24</v>
      </c>
      <c r="T24" t="s">
        <v>37</v>
      </c>
      <c r="U24" t="s">
        <v>32</v>
      </c>
      <c r="V24" t="s">
        <v>27</v>
      </c>
      <c r="W24" t="s">
        <v>28</v>
      </c>
      <c r="X24">
        <v>0</v>
      </c>
      <c r="Y24">
        <v>100</v>
      </c>
      <c r="Z24" t="s">
        <v>29</v>
      </c>
      <c r="AA24" t="s">
        <v>30</v>
      </c>
      <c r="AB24" t="s">
        <v>31</v>
      </c>
      <c r="AC24">
        <v>2.179999999999999E-2</v>
      </c>
    </row>
    <row r="25" spans="1:29" x14ac:dyDescent="0.3">
      <c r="A25">
        <v>643</v>
      </c>
      <c r="B25" s="6">
        <v>40573</v>
      </c>
      <c r="C25">
        <v>1</v>
      </c>
      <c r="D25">
        <v>1</v>
      </c>
      <c r="E25" t="b">
        <v>0</v>
      </c>
      <c r="F25">
        <v>0</v>
      </c>
      <c r="G25">
        <v>1</v>
      </c>
      <c r="H25">
        <v>0.14000000000000001</v>
      </c>
      <c r="I25">
        <v>0.21210000000000001</v>
      </c>
      <c r="J25">
        <v>0.8</v>
      </c>
      <c r="K25">
        <v>0</v>
      </c>
      <c r="L25">
        <v>7</v>
      </c>
      <c r="M25">
        <v>22</v>
      </c>
      <c r="N25">
        <v>29</v>
      </c>
      <c r="O25" t="s">
        <v>20</v>
      </c>
      <c r="P25" t="s">
        <v>38</v>
      </c>
      <c r="Q25" t="s">
        <v>22</v>
      </c>
      <c r="R25" t="s">
        <v>23</v>
      </c>
      <c r="S25" t="s">
        <v>39</v>
      </c>
      <c r="T25" t="s">
        <v>37</v>
      </c>
      <c r="U25" t="s">
        <v>32</v>
      </c>
      <c r="V25" t="s">
        <v>27</v>
      </c>
      <c r="W25" t="s">
        <v>28</v>
      </c>
      <c r="X25">
        <v>24.137931034482762</v>
      </c>
      <c r="Y25">
        <v>75.862068965517238</v>
      </c>
      <c r="Z25" t="s">
        <v>29</v>
      </c>
      <c r="AA25" t="s">
        <v>30</v>
      </c>
      <c r="AB25" t="s">
        <v>31</v>
      </c>
      <c r="AC25">
        <v>7.2099999999999997E-2</v>
      </c>
    </row>
    <row r="26" spans="1:29" x14ac:dyDescent="0.3">
      <c r="A26">
        <v>644</v>
      </c>
      <c r="B26" s="6">
        <v>40573</v>
      </c>
      <c r="C26">
        <v>1</v>
      </c>
      <c r="D26">
        <v>2</v>
      </c>
      <c r="E26" t="b">
        <v>0</v>
      </c>
      <c r="F26">
        <v>0</v>
      </c>
      <c r="G26">
        <v>1</v>
      </c>
      <c r="H26">
        <v>0.16</v>
      </c>
      <c r="I26">
        <v>0.2273</v>
      </c>
      <c r="J26">
        <v>0.8</v>
      </c>
      <c r="K26">
        <v>0</v>
      </c>
      <c r="L26">
        <v>1</v>
      </c>
      <c r="M26">
        <v>10</v>
      </c>
      <c r="N26">
        <v>11</v>
      </c>
      <c r="O26" t="s">
        <v>20</v>
      </c>
      <c r="P26" t="s">
        <v>38</v>
      </c>
      <c r="Q26" t="s">
        <v>22</v>
      </c>
      <c r="R26" t="s">
        <v>23</v>
      </c>
      <c r="S26" t="s">
        <v>24</v>
      </c>
      <c r="T26" t="s">
        <v>37</v>
      </c>
      <c r="U26" t="s">
        <v>32</v>
      </c>
      <c r="V26" t="s">
        <v>27</v>
      </c>
      <c r="W26" t="s">
        <v>28</v>
      </c>
      <c r="X26">
        <v>9.0909090909090917</v>
      </c>
      <c r="Y26">
        <v>90.909090909090907</v>
      </c>
      <c r="Z26" t="s">
        <v>29</v>
      </c>
      <c r="AA26" t="s">
        <v>30</v>
      </c>
      <c r="AB26" t="s">
        <v>31</v>
      </c>
      <c r="AC26">
        <v>6.7299999999999999E-2</v>
      </c>
    </row>
    <row r="27" spans="1:29" x14ac:dyDescent="0.3">
      <c r="A27">
        <v>645</v>
      </c>
      <c r="B27" s="6">
        <v>40573</v>
      </c>
      <c r="C27">
        <v>1</v>
      </c>
      <c r="D27">
        <v>3</v>
      </c>
      <c r="E27" t="b">
        <v>0</v>
      </c>
      <c r="F27">
        <v>0</v>
      </c>
      <c r="G27">
        <v>1</v>
      </c>
      <c r="H27">
        <v>0.14000000000000001</v>
      </c>
      <c r="I27">
        <v>0.21210000000000001</v>
      </c>
      <c r="J27">
        <v>0.93</v>
      </c>
      <c r="K27">
        <v>0</v>
      </c>
      <c r="L27">
        <v>1</v>
      </c>
      <c r="M27">
        <v>7</v>
      </c>
      <c r="N27">
        <v>8</v>
      </c>
      <c r="O27" t="s">
        <v>20</v>
      </c>
      <c r="P27" t="s">
        <v>38</v>
      </c>
      <c r="Q27" t="s">
        <v>22</v>
      </c>
      <c r="R27" t="s">
        <v>23</v>
      </c>
      <c r="S27" t="s">
        <v>39</v>
      </c>
      <c r="T27" t="s">
        <v>37</v>
      </c>
      <c r="U27" t="s">
        <v>32</v>
      </c>
      <c r="V27" t="s">
        <v>27</v>
      </c>
      <c r="W27" t="s">
        <v>28</v>
      </c>
      <c r="X27">
        <v>12.5</v>
      </c>
      <c r="Y27">
        <v>87.5</v>
      </c>
      <c r="Z27" t="s">
        <v>29</v>
      </c>
      <c r="AA27" t="s">
        <v>30</v>
      </c>
      <c r="AB27" t="s">
        <v>31</v>
      </c>
      <c r="AC27">
        <v>7.2099999999999997E-2</v>
      </c>
    </row>
    <row r="28" spans="1:29" x14ac:dyDescent="0.3">
      <c r="A28">
        <v>646</v>
      </c>
      <c r="B28" s="6">
        <v>40573</v>
      </c>
      <c r="C28">
        <v>1</v>
      </c>
      <c r="D28">
        <v>4</v>
      </c>
      <c r="E28" t="b">
        <v>0</v>
      </c>
      <c r="F28">
        <v>0</v>
      </c>
      <c r="G28">
        <v>1</v>
      </c>
      <c r="H28">
        <v>0.14000000000000001</v>
      </c>
      <c r="I28">
        <v>0.21210000000000001</v>
      </c>
      <c r="J28">
        <v>0.93</v>
      </c>
      <c r="K28">
        <v>0</v>
      </c>
      <c r="L28">
        <v>0</v>
      </c>
      <c r="M28">
        <v>1</v>
      </c>
      <c r="N28">
        <v>1</v>
      </c>
      <c r="O28" t="s">
        <v>20</v>
      </c>
      <c r="P28" t="s">
        <v>38</v>
      </c>
      <c r="Q28" t="s">
        <v>22</v>
      </c>
      <c r="R28" t="s">
        <v>23</v>
      </c>
      <c r="S28" t="s">
        <v>39</v>
      </c>
      <c r="T28" t="s">
        <v>37</v>
      </c>
      <c r="U28" t="s">
        <v>32</v>
      </c>
      <c r="V28" t="s">
        <v>27</v>
      </c>
      <c r="W28" t="s">
        <v>28</v>
      </c>
      <c r="X28">
        <v>0</v>
      </c>
      <c r="Y28">
        <v>100</v>
      </c>
      <c r="Z28" t="s">
        <v>29</v>
      </c>
      <c r="AA28" t="s">
        <v>30</v>
      </c>
      <c r="AB28" t="s">
        <v>31</v>
      </c>
      <c r="AC28">
        <v>7.2099999999999997E-2</v>
      </c>
    </row>
    <row r="29" spans="1:29" x14ac:dyDescent="0.3">
      <c r="A29">
        <v>647</v>
      </c>
      <c r="B29" s="6">
        <v>40573</v>
      </c>
      <c r="C29">
        <v>1</v>
      </c>
      <c r="D29">
        <v>5</v>
      </c>
      <c r="E29" t="b">
        <v>0</v>
      </c>
      <c r="F29">
        <v>0</v>
      </c>
      <c r="G29">
        <v>1</v>
      </c>
      <c r="H29">
        <v>0.14000000000000001</v>
      </c>
      <c r="I29">
        <v>0.21210000000000001</v>
      </c>
      <c r="J29">
        <v>0.86</v>
      </c>
      <c r="K29">
        <v>0</v>
      </c>
      <c r="L29">
        <v>0</v>
      </c>
      <c r="M29">
        <v>3</v>
      </c>
      <c r="N29">
        <v>3</v>
      </c>
      <c r="O29" t="s">
        <v>20</v>
      </c>
      <c r="P29" t="s">
        <v>38</v>
      </c>
      <c r="Q29" t="s">
        <v>22</v>
      </c>
      <c r="R29" t="s">
        <v>23</v>
      </c>
      <c r="S29" t="s">
        <v>39</v>
      </c>
      <c r="T29" t="s">
        <v>37</v>
      </c>
      <c r="U29" t="s">
        <v>32</v>
      </c>
      <c r="V29" t="s">
        <v>27</v>
      </c>
      <c r="W29" t="s">
        <v>28</v>
      </c>
      <c r="X29">
        <v>0</v>
      </c>
      <c r="Y29">
        <v>100</v>
      </c>
      <c r="Z29" t="s">
        <v>29</v>
      </c>
      <c r="AA29" t="s">
        <v>30</v>
      </c>
      <c r="AB29" t="s">
        <v>31</v>
      </c>
      <c r="AC29">
        <v>7.2099999999999997E-2</v>
      </c>
    </row>
    <row r="30" spans="1:29" x14ac:dyDescent="0.3">
      <c r="A30">
        <v>648</v>
      </c>
      <c r="B30" s="6">
        <v>40573</v>
      </c>
      <c r="C30">
        <v>1</v>
      </c>
      <c r="D30">
        <v>7</v>
      </c>
      <c r="E30" t="b">
        <v>0</v>
      </c>
      <c r="F30">
        <v>0</v>
      </c>
      <c r="G30">
        <v>1</v>
      </c>
      <c r="H30">
        <v>0.14000000000000001</v>
      </c>
      <c r="I30">
        <v>0.21210000000000001</v>
      </c>
      <c r="J30">
        <v>0.86</v>
      </c>
      <c r="K30">
        <v>0</v>
      </c>
      <c r="L30">
        <v>0</v>
      </c>
      <c r="M30">
        <v>3</v>
      </c>
      <c r="N30">
        <v>3</v>
      </c>
      <c r="O30" t="s">
        <v>20</v>
      </c>
      <c r="P30" t="s">
        <v>38</v>
      </c>
      <c r="Q30" t="s">
        <v>22</v>
      </c>
      <c r="R30" t="s">
        <v>33</v>
      </c>
      <c r="S30" t="s">
        <v>39</v>
      </c>
      <c r="T30" t="s">
        <v>37</v>
      </c>
      <c r="U30" t="s">
        <v>32</v>
      </c>
      <c r="V30" t="s">
        <v>27</v>
      </c>
      <c r="W30" t="s">
        <v>28</v>
      </c>
      <c r="X30">
        <v>0</v>
      </c>
      <c r="Y30">
        <v>100</v>
      </c>
      <c r="Z30" t="s">
        <v>31</v>
      </c>
      <c r="AA30" t="s">
        <v>30</v>
      </c>
      <c r="AB30" t="s">
        <v>31</v>
      </c>
      <c r="AC30">
        <v>7.2099999999999997E-2</v>
      </c>
    </row>
    <row r="31" spans="1:29" x14ac:dyDescent="0.3">
      <c r="A31">
        <v>649</v>
      </c>
      <c r="B31" s="6">
        <v>40573</v>
      </c>
      <c r="C31">
        <v>1</v>
      </c>
      <c r="D31">
        <v>8</v>
      </c>
      <c r="E31" t="b">
        <v>0</v>
      </c>
      <c r="F31">
        <v>0</v>
      </c>
      <c r="G31">
        <v>2</v>
      </c>
      <c r="H31">
        <v>0.14000000000000001</v>
      </c>
      <c r="I31">
        <v>0.21210000000000001</v>
      </c>
      <c r="J31">
        <v>0.86</v>
      </c>
      <c r="K31">
        <v>0</v>
      </c>
      <c r="L31">
        <v>1</v>
      </c>
      <c r="M31">
        <v>11</v>
      </c>
      <c r="N31">
        <v>12</v>
      </c>
      <c r="O31" t="s">
        <v>20</v>
      </c>
      <c r="P31" t="s">
        <v>38</v>
      </c>
      <c r="Q31" t="s">
        <v>34</v>
      </c>
      <c r="R31" t="s">
        <v>33</v>
      </c>
      <c r="S31" t="s">
        <v>39</v>
      </c>
      <c r="T31" t="s">
        <v>37</v>
      </c>
      <c r="U31" t="s">
        <v>32</v>
      </c>
      <c r="V31" t="s">
        <v>27</v>
      </c>
      <c r="W31" t="s">
        <v>28</v>
      </c>
      <c r="X31">
        <v>8.3333333333333321</v>
      </c>
      <c r="Y31">
        <v>91.666666666666657</v>
      </c>
      <c r="Z31" t="s">
        <v>31</v>
      </c>
      <c r="AA31" t="s">
        <v>30</v>
      </c>
      <c r="AB31" t="s">
        <v>31</v>
      </c>
      <c r="AC31">
        <v>7.2099999999999997E-2</v>
      </c>
    </row>
    <row r="32" spans="1:29" x14ac:dyDescent="0.3">
      <c r="A32">
        <v>650</v>
      </c>
      <c r="B32" s="6">
        <v>40573</v>
      </c>
      <c r="C32">
        <v>1</v>
      </c>
      <c r="D32">
        <v>9</v>
      </c>
      <c r="E32" t="b">
        <v>0</v>
      </c>
      <c r="F32">
        <v>0</v>
      </c>
      <c r="G32">
        <v>2</v>
      </c>
      <c r="H32">
        <v>0.16</v>
      </c>
      <c r="I32">
        <v>0.2273</v>
      </c>
      <c r="J32">
        <v>0.8</v>
      </c>
      <c r="K32">
        <v>0</v>
      </c>
      <c r="L32">
        <v>4</v>
      </c>
      <c r="M32">
        <v>34</v>
      </c>
      <c r="N32">
        <v>38</v>
      </c>
      <c r="O32" t="s">
        <v>20</v>
      </c>
      <c r="P32" t="s">
        <v>38</v>
      </c>
      <c r="Q32" t="s">
        <v>34</v>
      </c>
      <c r="R32" t="s">
        <v>33</v>
      </c>
      <c r="S32" t="s">
        <v>24</v>
      </c>
      <c r="T32" t="s">
        <v>37</v>
      </c>
      <c r="U32" t="s">
        <v>32</v>
      </c>
      <c r="V32" t="s">
        <v>27</v>
      </c>
      <c r="W32" t="s">
        <v>28</v>
      </c>
      <c r="X32">
        <v>10.52631578947368</v>
      </c>
      <c r="Y32">
        <v>89.473684210526315</v>
      </c>
      <c r="Z32" t="s">
        <v>31</v>
      </c>
      <c r="AA32" t="s">
        <v>30</v>
      </c>
      <c r="AB32" t="s">
        <v>31</v>
      </c>
      <c r="AC32">
        <v>6.7299999999999999E-2</v>
      </c>
    </row>
    <row r="33" spans="1:29" x14ac:dyDescent="0.3">
      <c r="A33">
        <v>651</v>
      </c>
      <c r="B33" s="6">
        <v>40573</v>
      </c>
      <c r="C33">
        <v>1</v>
      </c>
      <c r="D33">
        <v>10</v>
      </c>
      <c r="E33" t="b">
        <v>0</v>
      </c>
      <c r="F33">
        <v>0</v>
      </c>
      <c r="G33">
        <v>2</v>
      </c>
      <c r="H33">
        <v>0.18</v>
      </c>
      <c r="I33">
        <v>0.2424</v>
      </c>
      <c r="J33">
        <v>0.8</v>
      </c>
      <c r="K33">
        <v>0</v>
      </c>
      <c r="L33">
        <v>7</v>
      </c>
      <c r="M33">
        <v>57</v>
      </c>
      <c r="N33">
        <v>64</v>
      </c>
      <c r="O33" t="s">
        <v>20</v>
      </c>
      <c r="P33" t="s">
        <v>38</v>
      </c>
      <c r="Q33" t="s">
        <v>34</v>
      </c>
      <c r="R33" t="s">
        <v>33</v>
      </c>
      <c r="S33" t="s">
        <v>24</v>
      </c>
      <c r="T33" t="s">
        <v>37</v>
      </c>
      <c r="U33" t="s">
        <v>32</v>
      </c>
      <c r="V33" t="s">
        <v>27</v>
      </c>
      <c r="W33" t="s">
        <v>28</v>
      </c>
      <c r="X33">
        <v>10.9375</v>
      </c>
      <c r="Y33">
        <v>89.0625</v>
      </c>
      <c r="Z33" t="s">
        <v>29</v>
      </c>
      <c r="AA33" t="s">
        <v>30</v>
      </c>
      <c r="AB33" t="s">
        <v>31</v>
      </c>
      <c r="AC33">
        <v>6.2400000000000011E-2</v>
      </c>
    </row>
    <row r="34" spans="1:29" x14ac:dyDescent="0.3">
      <c r="A34">
        <v>652</v>
      </c>
      <c r="B34" s="6">
        <v>40573</v>
      </c>
      <c r="C34">
        <v>1</v>
      </c>
      <c r="D34">
        <v>11</v>
      </c>
      <c r="E34" t="b">
        <v>0</v>
      </c>
      <c r="F34">
        <v>0</v>
      </c>
      <c r="G34">
        <v>1</v>
      </c>
      <c r="H34">
        <v>0.22</v>
      </c>
      <c r="I34">
        <v>0.2727</v>
      </c>
      <c r="J34">
        <v>0.75</v>
      </c>
      <c r="K34">
        <v>0</v>
      </c>
      <c r="L34">
        <v>9</v>
      </c>
      <c r="M34">
        <v>50</v>
      </c>
      <c r="N34">
        <v>59</v>
      </c>
      <c r="O34" t="s">
        <v>20</v>
      </c>
      <c r="P34" t="s">
        <v>38</v>
      </c>
      <c r="Q34" t="s">
        <v>22</v>
      </c>
      <c r="R34" t="s">
        <v>33</v>
      </c>
      <c r="S34" t="s">
        <v>24</v>
      </c>
      <c r="T34" t="s">
        <v>37</v>
      </c>
      <c r="U34" t="s">
        <v>32</v>
      </c>
      <c r="V34" t="s">
        <v>27</v>
      </c>
      <c r="W34" t="s">
        <v>28</v>
      </c>
      <c r="X34">
        <v>15.25423728813559</v>
      </c>
      <c r="Y34">
        <v>84.745762711864401</v>
      </c>
      <c r="Z34" t="s">
        <v>29</v>
      </c>
      <c r="AA34" t="s">
        <v>30</v>
      </c>
      <c r="AB34" t="s">
        <v>31</v>
      </c>
      <c r="AC34">
        <v>5.2699999999999997E-2</v>
      </c>
    </row>
    <row r="35" spans="1:29" x14ac:dyDescent="0.3">
      <c r="A35">
        <v>653</v>
      </c>
      <c r="B35" s="6">
        <v>40573</v>
      </c>
      <c r="C35">
        <v>1</v>
      </c>
      <c r="D35">
        <v>12</v>
      </c>
      <c r="E35" t="b">
        <v>0</v>
      </c>
      <c r="F35">
        <v>0</v>
      </c>
      <c r="G35">
        <v>1</v>
      </c>
      <c r="H35">
        <v>0.3</v>
      </c>
      <c r="I35">
        <v>0.31819999999999998</v>
      </c>
      <c r="J35">
        <v>0.52</v>
      </c>
      <c r="K35">
        <v>0.1045</v>
      </c>
      <c r="L35">
        <v>10</v>
      </c>
      <c r="M35">
        <v>87</v>
      </c>
      <c r="N35">
        <v>97</v>
      </c>
      <c r="O35" t="s">
        <v>20</v>
      </c>
      <c r="P35" t="s">
        <v>38</v>
      </c>
      <c r="Q35" t="s">
        <v>22</v>
      </c>
      <c r="R35" t="s">
        <v>35</v>
      </c>
      <c r="S35" t="s">
        <v>40</v>
      </c>
      <c r="T35" t="s">
        <v>25</v>
      </c>
      <c r="U35" t="s">
        <v>32</v>
      </c>
      <c r="V35" t="s">
        <v>27</v>
      </c>
      <c r="W35" t="s">
        <v>28</v>
      </c>
      <c r="X35">
        <v>10.309278350515459</v>
      </c>
      <c r="Y35">
        <v>89.690721649484544</v>
      </c>
      <c r="Z35" t="s">
        <v>29</v>
      </c>
      <c r="AA35" t="s">
        <v>30</v>
      </c>
      <c r="AB35" t="s">
        <v>31</v>
      </c>
      <c r="AC35">
        <v>1.819999999999999E-2</v>
      </c>
    </row>
    <row r="36" spans="1:29" x14ac:dyDescent="0.3">
      <c r="A36">
        <v>654</v>
      </c>
      <c r="B36" s="6">
        <v>40573</v>
      </c>
      <c r="C36">
        <v>1</v>
      </c>
      <c r="D36">
        <v>13</v>
      </c>
      <c r="E36" t="b">
        <v>0</v>
      </c>
      <c r="F36">
        <v>0</v>
      </c>
      <c r="G36">
        <v>1</v>
      </c>
      <c r="H36">
        <v>0.28000000000000003</v>
      </c>
      <c r="I36">
        <v>0.28789999999999999</v>
      </c>
      <c r="J36">
        <v>0.61</v>
      </c>
      <c r="K36">
        <v>0.1045</v>
      </c>
      <c r="L36">
        <v>13</v>
      </c>
      <c r="M36">
        <v>71</v>
      </c>
      <c r="N36">
        <v>84</v>
      </c>
      <c r="O36" t="s">
        <v>20</v>
      </c>
      <c r="P36" t="s">
        <v>38</v>
      </c>
      <c r="Q36" t="s">
        <v>22</v>
      </c>
      <c r="R36" t="s">
        <v>35</v>
      </c>
      <c r="S36" t="s">
        <v>40</v>
      </c>
      <c r="T36" t="s">
        <v>25</v>
      </c>
      <c r="U36" t="s">
        <v>32</v>
      </c>
      <c r="V36" t="s">
        <v>27</v>
      </c>
      <c r="W36" t="s">
        <v>28</v>
      </c>
      <c r="X36">
        <v>15.47619047619048</v>
      </c>
      <c r="Y36">
        <v>84.523809523809518</v>
      </c>
      <c r="Z36" t="s">
        <v>29</v>
      </c>
      <c r="AA36" t="s">
        <v>30</v>
      </c>
      <c r="AB36" t="s">
        <v>31</v>
      </c>
      <c r="AC36">
        <v>7.8999999999999626E-3</v>
      </c>
    </row>
    <row r="37" spans="1:29" x14ac:dyDescent="0.3">
      <c r="A37">
        <v>655</v>
      </c>
      <c r="B37" s="6">
        <v>40573</v>
      </c>
      <c r="C37">
        <v>1</v>
      </c>
      <c r="D37">
        <v>14</v>
      </c>
      <c r="E37" t="b">
        <v>0</v>
      </c>
      <c r="F37">
        <v>0</v>
      </c>
      <c r="G37">
        <v>1</v>
      </c>
      <c r="H37">
        <v>0.28000000000000003</v>
      </c>
      <c r="I37">
        <v>0.30299999999999999</v>
      </c>
      <c r="J37">
        <v>0.61</v>
      </c>
      <c r="K37">
        <v>8.9599999999999999E-2</v>
      </c>
      <c r="L37">
        <v>18</v>
      </c>
      <c r="M37">
        <v>104</v>
      </c>
      <c r="N37">
        <v>122</v>
      </c>
      <c r="O37" t="s">
        <v>20</v>
      </c>
      <c r="P37" t="s">
        <v>38</v>
      </c>
      <c r="Q37" t="s">
        <v>22</v>
      </c>
      <c r="R37" t="s">
        <v>35</v>
      </c>
      <c r="S37" t="s">
        <v>40</v>
      </c>
      <c r="T37" t="s">
        <v>25</v>
      </c>
      <c r="U37" t="s">
        <v>32</v>
      </c>
      <c r="V37" t="s">
        <v>27</v>
      </c>
      <c r="W37" t="s">
        <v>28</v>
      </c>
      <c r="X37">
        <v>14.754098360655741</v>
      </c>
      <c r="Y37">
        <v>85.245901639344254</v>
      </c>
      <c r="Z37" t="s">
        <v>29</v>
      </c>
      <c r="AA37" t="s">
        <v>25</v>
      </c>
      <c r="AB37" t="s">
        <v>31</v>
      </c>
      <c r="AC37">
        <v>2.2999999999999961E-2</v>
      </c>
    </row>
    <row r="38" spans="1:29" x14ac:dyDescent="0.3">
      <c r="A38">
        <v>656</v>
      </c>
      <c r="B38" s="6">
        <v>40573</v>
      </c>
      <c r="C38">
        <v>1</v>
      </c>
      <c r="D38">
        <v>15</v>
      </c>
      <c r="E38" t="b">
        <v>0</v>
      </c>
      <c r="F38">
        <v>0</v>
      </c>
      <c r="G38">
        <v>1</v>
      </c>
      <c r="H38">
        <v>0.3</v>
      </c>
      <c r="I38">
        <v>0.33329999999999999</v>
      </c>
      <c r="J38">
        <v>0.56000000000000005</v>
      </c>
      <c r="K38">
        <v>0</v>
      </c>
      <c r="L38">
        <v>14</v>
      </c>
      <c r="M38">
        <v>95</v>
      </c>
      <c r="N38">
        <v>109</v>
      </c>
      <c r="O38" t="s">
        <v>20</v>
      </c>
      <c r="P38" t="s">
        <v>38</v>
      </c>
      <c r="Q38" t="s">
        <v>22</v>
      </c>
      <c r="R38" t="s">
        <v>35</v>
      </c>
      <c r="S38" t="s">
        <v>40</v>
      </c>
      <c r="T38" t="s">
        <v>25</v>
      </c>
      <c r="U38" t="s">
        <v>32</v>
      </c>
      <c r="V38" t="s">
        <v>27</v>
      </c>
      <c r="W38" t="s">
        <v>28</v>
      </c>
      <c r="X38">
        <v>12.844036697247709</v>
      </c>
      <c r="Y38">
        <v>87.155963302752298</v>
      </c>
      <c r="Z38" t="s">
        <v>29</v>
      </c>
      <c r="AA38" t="s">
        <v>25</v>
      </c>
      <c r="AB38" t="s">
        <v>31</v>
      </c>
      <c r="AC38">
        <v>3.3300000000000003E-2</v>
      </c>
    </row>
    <row r="39" spans="1:29" x14ac:dyDescent="0.3">
      <c r="A39">
        <v>657</v>
      </c>
      <c r="B39" s="6">
        <v>40573</v>
      </c>
      <c r="C39">
        <v>1</v>
      </c>
      <c r="D39">
        <v>16</v>
      </c>
      <c r="E39" t="b">
        <v>0</v>
      </c>
      <c r="F39">
        <v>0</v>
      </c>
      <c r="G39">
        <v>1</v>
      </c>
      <c r="H39">
        <v>0.3</v>
      </c>
      <c r="I39">
        <v>0.33329999999999999</v>
      </c>
      <c r="J39">
        <v>0.56000000000000005</v>
      </c>
      <c r="K39">
        <v>0</v>
      </c>
      <c r="L39">
        <v>19</v>
      </c>
      <c r="M39">
        <v>104</v>
      </c>
      <c r="N39">
        <v>123</v>
      </c>
      <c r="O39" t="s">
        <v>20</v>
      </c>
      <c r="P39" t="s">
        <v>38</v>
      </c>
      <c r="Q39" t="s">
        <v>22</v>
      </c>
      <c r="R39" t="s">
        <v>35</v>
      </c>
      <c r="S39" t="s">
        <v>40</v>
      </c>
      <c r="T39" t="s">
        <v>25</v>
      </c>
      <c r="U39" t="s">
        <v>32</v>
      </c>
      <c r="V39" t="s">
        <v>27</v>
      </c>
      <c r="W39" t="s">
        <v>28</v>
      </c>
      <c r="X39">
        <v>15.447154471544721</v>
      </c>
      <c r="Y39">
        <v>84.552845528455293</v>
      </c>
      <c r="Z39" t="s">
        <v>29</v>
      </c>
      <c r="AA39" t="s">
        <v>25</v>
      </c>
      <c r="AB39" t="s">
        <v>31</v>
      </c>
      <c r="AC39">
        <v>3.3300000000000003E-2</v>
      </c>
    </row>
    <row r="40" spans="1:29" x14ac:dyDescent="0.3">
      <c r="A40">
        <v>658</v>
      </c>
      <c r="B40" s="6">
        <v>40573</v>
      </c>
      <c r="C40">
        <v>1</v>
      </c>
      <c r="D40">
        <v>17</v>
      </c>
      <c r="E40" t="b">
        <v>0</v>
      </c>
      <c r="F40">
        <v>0</v>
      </c>
      <c r="G40">
        <v>1</v>
      </c>
      <c r="H40">
        <v>0.3</v>
      </c>
      <c r="I40">
        <v>0.28789999999999999</v>
      </c>
      <c r="J40">
        <v>0.56000000000000005</v>
      </c>
      <c r="K40">
        <v>0.19400000000000001</v>
      </c>
      <c r="L40">
        <v>6</v>
      </c>
      <c r="M40">
        <v>71</v>
      </c>
      <c r="N40">
        <v>77</v>
      </c>
      <c r="O40" t="s">
        <v>20</v>
      </c>
      <c r="P40" t="s">
        <v>38</v>
      </c>
      <c r="Q40" t="s">
        <v>22</v>
      </c>
      <c r="R40" t="s">
        <v>36</v>
      </c>
      <c r="S40" t="s">
        <v>40</v>
      </c>
      <c r="T40" t="s">
        <v>25</v>
      </c>
      <c r="U40" t="s">
        <v>26</v>
      </c>
      <c r="V40" t="s">
        <v>27</v>
      </c>
      <c r="W40" t="s">
        <v>28</v>
      </c>
      <c r="X40">
        <v>7.7922077922077921</v>
      </c>
      <c r="Y40">
        <v>92.20779220779221</v>
      </c>
      <c r="Z40" t="s">
        <v>31</v>
      </c>
      <c r="AA40" t="s">
        <v>30</v>
      </c>
      <c r="AB40" t="s">
        <v>31</v>
      </c>
      <c r="AC40">
        <v>-1.21E-2</v>
      </c>
    </row>
    <row r="41" spans="1:29" x14ac:dyDescent="0.3">
      <c r="A41">
        <v>659</v>
      </c>
      <c r="B41" s="6">
        <v>40573</v>
      </c>
      <c r="C41">
        <v>1</v>
      </c>
      <c r="D41">
        <v>18</v>
      </c>
      <c r="E41" t="b">
        <v>0</v>
      </c>
      <c r="F41">
        <v>0</v>
      </c>
      <c r="G41">
        <v>1</v>
      </c>
      <c r="H41">
        <v>0.26</v>
      </c>
      <c r="I41">
        <v>0.2576</v>
      </c>
      <c r="J41">
        <v>0.65</v>
      </c>
      <c r="K41">
        <v>0.16420000000000001</v>
      </c>
      <c r="L41">
        <v>8</v>
      </c>
      <c r="M41">
        <v>57</v>
      </c>
      <c r="N41">
        <v>65</v>
      </c>
      <c r="O41" t="s">
        <v>20</v>
      </c>
      <c r="P41" t="s">
        <v>38</v>
      </c>
      <c r="Q41" t="s">
        <v>22</v>
      </c>
      <c r="R41" t="s">
        <v>36</v>
      </c>
      <c r="S41" t="s">
        <v>40</v>
      </c>
      <c r="T41" t="s">
        <v>25</v>
      </c>
      <c r="U41" t="s">
        <v>26</v>
      </c>
      <c r="V41" t="s">
        <v>27</v>
      </c>
      <c r="W41" t="s">
        <v>28</v>
      </c>
      <c r="X41">
        <v>12.30769230769231</v>
      </c>
      <c r="Y41">
        <v>87.692307692307693</v>
      </c>
      <c r="Z41" t="s">
        <v>31</v>
      </c>
      <c r="AA41" t="s">
        <v>30</v>
      </c>
      <c r="AB41" t="s">
        <v>31</v>
      </c>
      <c r="AC41">
        <v>-2.4000000000000128E-3</v>
      </c>
    </row>
    <row r="42" spans="1:29" x14ac:dyDescent="0.3">
      <c r="A42">
        <v>660</v>
      </c>
      <c r="B42" s="6">
        <v>40573</v>
      </c>
      <c r="C42">
        <v>1</v>
      </c>
      <c r="D42">
        <v>19</v>
      </c>
      <c r="E42" t="b">
        <v>0</v>
      </c>
      <c r="F42">
        <v>0</v>
      </c>
      <c r="G42">
        <v>1</v>
      </c>
      <c r="H42">
        <v>0.26</v>
      </c>
      <c r="I42">
        <v>0.2576</v>
      </c>
      <c r="J42">
        <v>0.65</v>
      </c>
      <c r="K42">
        <v>0.19400000000000001</v>
      </c>
      <c r="L42">
        <v>9</v>
      </c>
      <c r="M42">
        <v>46</v>
      </c>
      <c r="N42">
        <v>55</v>
      </c>
      <c r="O42" t="s">
        <v>20</v>
      </c>
      <c r="P42" t="s">
        <v>38</v>
      </c>
      <c r="Q42" t="s">
        <v>22</v>
      </c>
      <c r="R42" t="s">
        <v>36</v>
      </c>
      <c r="S42" t="s">
        <v>40</v>
      </c>
      <c r="T42" t="s">
        <v>25</v>
      </c>
      <c r="U42" t="s">
        <v>26</v>
      </c>
      <c r="V42" t="s">
        <v>27</v>
      </c>
      <c r="W42" t="s">
        <v>28</v>
      </c>
      <c r="X42">
        <v>16.36363636363636</v>
      </c>
      <c r="Y42">
        <v>83.636363636363626</v>
      </c>
      <c r="Z42" t="s">
        <v>31</v>
      </c>
      <c r="AA42" t="s">
        <v>30</v>
      </c>
      <c r="AB42" t="s">
        <v>31</v>
      </c>
      <c r="AC42">
        <v>-2.4000000000000128E-3</v>
      </c>
    </row>
    <row r="43" spans="1:29" x14ac:dyDescent="0.3">
      <c r="A43">
        <v>661</v>
      </c>
      <c r="B43" s="6">
        <v>40573</v>
      </c>
      <c r="C43">
        <v>1</v>
      </c>
      <c r="D43">
        <v>20</v>
      </c>
      <c r="E43" t="b">
        <v>0</v>
      </c>
      <c r="F43">
        <v>0</v>
      </c>
      <c r="G43">
        <v>2</v>
      </c>
      <c r="H43">
        <v>0.26</v>
      </c>
      <c r="I43">
        <v>0.2727</v>
      </c>
      <c r="J43">
        <v>0.65</v>
      </c>
      <c r="K43">
        <v>0.1045</v>
      </c>
      <c r="L43">
        <v>3</v>
      </c>
      <c r="M43">
        <v>30</v>
      </c>
      <c r="N43">
        <v>33</v>
      </c>
      <c r="O43" t="s">
        <v>20</v>
      </c>
      <c r="P43" t="s">
        <v>38</v>
      </c>
      <c r="Q43" t="s">
        <v>34</v>
      </c>
      <c r="R43" t="s">
        <v>36</v>
      </c>
      <c r="S43" t="s">
        <v>40</v>
      </c>
      <c r="T43" t="s">
        <v>25</v>
      </c>
      <c r="U43" t="s">
        <v>32</v>
      </c>
      <c r="V43" t="s">
        <v>27</v>
      </c>
      <c r="W43" t="s">
        <v>28</v>
      </c>
      <c r="X43">
        <v>9.0909090909090917</v>
      </c>
      <c r="Y43">
        <v>90.909090909090907</v>
      </c>
      <c r="Z43" t="s">
        <v>29</v>
      </c>
      <c r="AA43" t="s">
        <v>30</v>
      </c>
      <c r="AB43" t="s">
        <v>31</v>
      </c>
      <c r="AC43">
        <v>1.2699999999999991E-2</v>
      </c>
    </row>
    <row r="44" spans="1:29" x14ac:dyDescent="0.3">
      <c r="A44">
        <v>662</v>
      </c>
      <c r="B44" s="6">
        <v>40573</v>
      </c>
      <c r="C44">
        <v>1</v>
      </c>
      <c r="D44">
        <v>21</v>
      </c>
      <c r="E44" t="b">
        <v>0</v>
      </c>
      <c r="F44">
        <v>0</v>
      </c>
      <c r="G44">
        <v>2</v>
      </c>
      <c r="H44">
        <v>0.24</v>
      </c>
      <c r="I44">
        <v>0.2424</v>
      </c>
      <c r="J44">
        <v>0.7</v>
      </c>
      <c r="K44">
        <v>0.16420000000000001</v>
      </c>
      <c r="L44">
        <v>3</v>
      </c>
      <c r="M44">
        <v>25</v>
      </c>
      <c r="N44">
        <v>28</v>
      </c>
      <c r="O44" t="s">
        <v>20</v>
      </c>
      <c r="P44" t="s">
        <v>38</v>
      </c>
      <c r="Q44" t="s">
        <v>34</v>
      </c>
      <c r="R44" t="s">
        <v>23</v>
      </c>
      <c r="S44" t="s">
        <v>24</v>
      </c>
      <c r="T44" t="s">
        <v>37</v>
      </c>
      <c r="U44" t="s">
        <v>26</v>
      </c>
      <c r="V44" t="s">
        <v>27</v>
      </c>
      <c r="W44" t="s">
        <v>28</v>
      </c>
      <c r="X44">
        <v>10.71428571428571</v>
      </c>
      <c r="Y44">
        <v>89.285714285714292</v>
      </c>
      <c r="Z44" t="s">
        <v>29</v>
      </c>
      <c r="AA44" t="s">
        <v>30</v>
      </c>
      <c r="AB44" t="s">
        <v>31</v>
      </c>
      <c r="AC44">
        <v>2.4000000000000128E-3</v>
      </c>
    </row>
    <row r="45" spans="1:29" x14ac:dyDescent="0.3">
      <c r="A45">
        <v>663</v>
      </c>
      <c r="B45" s="6">
        <v>40573</v>
      </c>
      <c r="C45">
        <v>1</v>
      </c>
      <c r="D45">
        <v>22</v>
      </c>
      <c r="E45" t="b">
        <v>0</v>
      </c>
      <c r="F45">
        <v>0</v>
      </c>
      <c r="G45">
        <v>2</v>
      </c>
      <c r="H45">
        <v>0.24</v>
      </c>
      <c r="I45">
        <v>0.2273</v>
      </c>
      <c r="J45">
        <v>0.7</v>
      </c>
      <c r="K45">
        <v>0.19400000000000001</v>
      </c>
      <c r="L45">
        <v>2</v>
      </c>
      <c r="M45">
        <v>19</v>
      </c>
      <c r="N45">
        <v>21</v>
      </c>
      <c r="O45" t="s">
        <v>20</v>
      </c>
      <c r="P45" t="s">
        <v>38</v>
      </c>
      <c r="Q45" t="s">
        <v>34</v>
      </c>
      <c r="R45" t="s">
        <v>23</v>
      </c>
      <c r="S45" t="s">
        <v>24</v>
      </c>
      <c r="T45" t="s">
        <v>37</v>
      </c>
      <c r="U45" t="s">
        <v>26</v>
      </c>
      <c r="V45" t="s">
        <v>27</v>
      </c>
      <c r="W45" t="s">
        <v>28</v>
      </c>
      <c r="X45">
        <v>9.5238095238095237</v>
      </c>
      <c r="Y45">
        <v>90.476190476190482</v>
      </c>
      <c r="Z45" t="s">
        <v>29</v>
      </c>
      <c r="AA45" t="s">
        <v>30</v>
      </c>
      <c r="AB45" t="s">
        <v>31</v>
      </c>
      <c r="AC45">
        <v>-1.2699999999999991E-2</v>
      </c>
    </row>
    <row r="46" spans="1:29" x14ac:dyDescent="0.3">
      <c r="A46">
        <v>664</v>
      </c>
      <c r="B46" s="6">
        <v>40573</v>
      </c>
      <c r="C46">
        <v>1</v>
      </c>
      <c r="D46">
        <v>23</v>
      </c>
      <c r="E46" t="b">
        <v>0</v>
      </c>
      <c r="F46">
        <v>0</v>
      </c>
      <c r="G46">
        <v>2</v>
      </c>
      <c r="H46">
        <v>0.24</v>
      </c>
      <c r="I46">
        <v>0.21210000000000001</v>
      </c>
      <c r="J46">
        <v>0.65</v>
      </c>
      <c r="K46">
        <v>0.28360000000000002</v>
      </c>
      <c r="L46">
        <v>5</v>
      </c>
      <c r="M46">
        <v>16</v>
      </c>
      <c r="N46">
        <v>21</v>
      </c>
      <c r="O46" t="s">
        <v>20</v>
      </c>
      <c r="P46" t="s">
        <v>38</v>
      </c>
      <c r="Q46" t="s">
        <v>34</v>
      </c>
      <c r="R46" t="s">
        <v>23</v>
      </c>
      <c r="S46" t="s">
        <v>24</v>
      </c>
      <c r="T46" t="s">
        <v>25</v>
      </c>
      <c r="U46" t="s">
        <v>26</v>
      </c>
      <c r="V46" t="s">
        <v>27</v>
      </c>
      <c r="W46" t="s">
        <v>28</v>
      </c>
      <c r="X46">
        <v>23.80952380952381</v>
      </c>
      <c r="Y46">
        <v>76.19047619047619</v>
      </c>
      <c r="Z46" t="s">
        <v>29</v>
      </c>
      <c r="AA46" t="s">
        <v>30</v>
      </c>
      <c r="AB46" t="s">
        <v>31</v>
      </c>
      <c r="AC46">
        <v>-2.789999999999998E-2</v>
      </c>
    </row>
    <row r="47" spans="1:29" x14ac:dyDescent="0.3">
      <c r="A47">
        <v>665</v>
      </c>
      <c r="B47" s="6">
        <v>40574</v>
      </c>
      <c r="C47">
        <v>1</v>
      </c>
      <c r="D47">
        <v>0</v>
      </c>
      <c r="E47" t="b">
        <v>0</v>
      </c>
      <c r="F47">
        <v>1</v>
      </c>
      <c r="G47">
        <v>2</v>
      </c>
      <c r="H47">
        <v>0.24</v>
      </c>
      <c r="I47">
        <v>0.2273</v>
      </c>
      <c r="J47">
        <v>0.65</v>
      </c>
      <c r="K47">
        <v>0.22389999999999999</v>
      </c>
      <c r="L47">
        <v>1</v>
      </c>
      <c r="M47">
        <v>6</v>
      </c>
      <c r="N47">
        <v>7</v>
      </c>
      <c r="O47" t="s">
        <v>20</v>
      </c>
      <c r="P47" t="s">
        <v>41</v>
      </c>
      <c r="Q47" t="s">
        <v>34</v>
      </c>
      <c r="R47" t="s">
        <v>23</v>
      </c>
      <c r="S47" t="s">
        <v>24</v>
      </c>
      <c r="T47" t="s">
        <v>25</v>
      </c>
      <c r="U47" t="s">
        <v>26</v>
      </c>
      <c r="V47" t="s">
        <v>27</v>
      </c>
      <c r="W47" t="s">
        <v>28</v>
      </c>
      <c r="X47">
        <v>14.285714285714279</v>
      </c>
      <c r="Y47">
        <v>85.714285714285708</v>
      </c>
      <c r="Z47" t="s">
        <v>29</v>
      </c>
      <c r="AA47" t="s">
        <v>30</v>
      </c>
      <c r="AB47" t="s">
        <v>29</v>
      </c>
      <c r="AC47">
        <v>-1.2699999999999991E-2</v>
      </c>
    </row>
    <row r="48" spans="1:29" x14ac:dyDescent="0.3">
      <c r="A48">
        <v>666</v>
      </c>
      <c r="B48" s="6">
        <v>40574</v>
      </c>
      <c r="C48">
        <v>1</v>
      </c>
      <c r="D48">
        <v>1</v>
      </c>
      <c r="E48" t="b">
        <v>0</v>
      </c>
      <c r="F48">
        <v>1</v>
      </c>
      <c r="G48">
        <v>1</v>
      </c>
      <c r="H48">
        <v>0.22</v>
      </c>
      <c r="I48">
        <v>0.21210000000000001</v>
      </c>
      <c r="J48">
        <v>0.64</v>
      </c>
      <c r="K48">
        <v>0.25369999999999998</v>
      </c>
      <c r="L48">
        <v>2</v>
      </c>
      <c r="M48">
        <v>5</v>
      </c>
      <c r="N48">
        <v>7</v>
      </c>
      <c r="O48" t="s">
        <v>20</v>
      </c>
      <c r="P48" t="s">
        <v>41</v>
      </c>
      <c r="Q48" t="s">
        <v>22</v>
      </c>
      <c r="R48" t="s">
        <v>23</v>
      </c>
      <c r="S48" t="s">
        <v>24</v>
      </c>
      <c r="T48" t="s">
        <v>25</v>
      </c>
      <c r="U48" t="s">
        <v>26</v>
      </c>
      <c r="V48" t="s">
        <v>27</v>
      </c>
      <c r="W48" t="s">
        <v>28</v>
      </c>
      <c r="X48">
        <v>28.571428571428569</v>
      </c>
      <c r="Y48">
        <v>71.428571428571431</v>
      </c>
      <c r="Z48" t="s">
        <v>29</v>
      </c>
      <c r="AA48" t="s">
        <v>30</v>
      </c>
      <c r="AB48" t="s">
        <v>29</v>
      </c>
      <c r="AC48">
        <v>-7.8999999999999904E-3</v>
      </c>
    </row>
    <row r="49" spans="1:29" x14ac:dyDescent="0.3">
      <c r="A49">
        <v>667</v>
      </c>
      <c r="B49" s="6">
        <v>40574</v>
      </c>
      <c r="C49">
        <v>1</v>
      </c>
      <c r="D49">
        <v>2</v>
      </c>
      <c r="E49" t="b">
        <v>0</v>
      </c>
      <c r="F49">
        <v>1</v>
      </c>
      <c r="G49">
        <v>1</v>
      </c>
      <c r="H49">
        <v>0.22</v>
      </c>
      <c r="I49">
        <v>0.2273</v>
      </c>
      <c r="J49">
        <v>0.64</v>
      </c>
      <c r="K49">
        <v>0.19400000000000001</v>
      </c>
      <c r="L49">
        <v>0</v>
      </c>
      <c r="M49">
        <v>1</v>
      </c>
      <c r="N49">
        <v>1</v>
      </c>
      <c r="O49" t="s">
        <v>20</v>
      </c>
      <c r="P49" t="s">
        <v>41</v>
      </c>
      <c r="Q49" t="s">
        <v>22</v>
      </c>
      <c r="R49" t="s">
        <v>23</v>
      </c>
      <c r="S49" t="s">
        <v>24</v>
      </c>
      <c r="T49" t="s">
        <v>25</v>
      </c>
      <c r="U49" t="s">
        <v>26</v>
      </c>
      <c r="V49" t="s">
        <v>27</v>
      </c>
      <c r="W49" t="s">
        <v>28</v>
      </c>
      <c r="X49">
        <v>0</v>
      </c>
      <c r="Y49">
        <v>100</v>
      </c>
      <c r="Z49" t="s">
        <v>29</v>
      </c>
      <c r="AA49" t="s">
        <v>30</v>
      </c>
      <c r="AB49" t="s">
        <v>29</v>
      </c>
      <c r="AC49">
        <v>7.3000000000000009E-3</v>
      </c>
    </row>
    <row r="50" spans="1:29" x14ac:dyDescent="0.3">
      <c r="A50">
        <v>668</v>
      </c>
      <c r="B50" s="6">
        <v>40574</v>
      </c>
      <c r="C50">
        <v>1</v>
      </c>
      <c r="D50">
        <v>3</v>
      </c>
      <c r="E50" t="b">
        <v>0</v>
      </c>
      <c r="F50">
        <v>1</v>
      </c>
      <c r="G50">
        <v>1</v>
      </c>
      <c r="H50">
        <v>0.22</v>
      </c>
      <c r="I50">
        <v>0.2273</v>
      </c>
      <c r="J50">
        <v>0.64</v>
      </c>
      <c r="K50">
        <v>0.19400000000000001</v>
      </c>
      <c r="L50">
        <v>0</v>
      </c>
      <c r="M50">
        <v>2</v>
      </c>
      <c r="N50">
        <v>2</v>
      </c>
      <c r="O50" t="s">
        <v>20</v>
      </c>
      <c r="P50" t="s">
        <v>41</v>
      </c>
      <c r="Q50" t="s">
        <v>22</v>
      </c>
      <c r="R50" t="s">
        <v>23</v>
      </c>
      <c r="S50" t="s">
        <v>24</v>
      </c>
      <c r="T50" t="s">
        <v>25</v>
      </c>
      <c r="U50" t="s">
        <v>26</v>
      </c>
      <c r="V50" t="s">
        <v>27</v>
      </c>
      <c r="W50" t="s">
        <v>28</v>
      </c>
      <c r="X50">
        <v>0</v>
      </c>
      <c r="Y50">
        <v>100</v>
      </c>
      <c r="Z50" t="s">
        <v>29</v>
      </c>
      <c r="AA50" t="s">
        <v>30</v>
      </c>
      <c r="AB50" t="s">
        <v>29</v>
      </c>
      <c r="AC50">
        <v>7.3000000000000009E-3</v>
      </c>
    </row>
    <row r="51" spans="1:29" x14ac:dyDescent="0.3">
      <c r="A51">
        <v>669</v>
      </c>
      <c r="B51" s="6">
        <v>40574</v>
      </c>
      <c r="C51">
        <v>1</v>
      </c>
      <c r="D51">
        <v>4</v>
      </c>
      <c r="E51" t="b">
        <v>0</v>
      </c>
      <c r="F51">
        <v>1</v>
      </c>
      <c r="G51">
        <v>1</v>
      </c>
      <c r="H51">
        <v>0.2</v>
      </c>
      <c r="I51">
        <v>0.19700000000000001</v>
      </c>
      <c r="J51">
        <v>0.59</v>
      </c>
      <c r="K51">
        <v>0.22389999999999999</v>
      </c>
      <c r="L51">
        <v>0</v>
      </c>
      <c r="M51">
        <v>2</v>
      </c>
      <c r="N51">
        <v>2</v>
      </c>
      <c r="O51" t="s">
        <v>20</v>
      </c>
      <c r="P51" t="s">
        <v>41</v>
      </c>
      <c r="Q51" t="s">
        <v>22</v>
      </c>
      <c r="R51" t="s">
        <v>23</v>
      </c>
      <c r="S51" t="s">
        <v>24</v>
      </c>
      <c r="T51" t="s">
        <v>25</v>
      </c>
      <c r="U51" t="s">
        <v>26</v>
      </c>
      <c r="V51" t="s">
        <v>27</v>
      </c>
      <c r="W51" t="s">
        <v>28</v>
      </c>
      <c r="X51">
        <v>0</v>
      </c>
      <c r="Y51">
        <v>100</v>
      </c>
      <c r="Z51" t="s">
        <v>29</v>
      </c>
      <c r="AA51" t="s">
        <v>30</v>
      </c>
      <c r="AB51" t="s">
        <v>29</v>
      </c>
      <c r="AC51">
        <v>-3.0000000000000031E-3</v>
      </c>
    </row>
    <row r="52" spans="1:29" x14ac:dyDescent="0.3">
      <c r="A52">
        <v>670</v>
      </c>
      <c r="B52" s="6">
        <v>40574</v>
      </c>
      <c r="C52">
        <v>1</v>
      </c>
      <c r="D52">
        <v>5</v>
      </c>
      <c r="E52" t="b">
        <v>0</v>
      </c>
      <c r="F52">
        <v>1</v>
      </c>
      <c r="G52">
        <v>1</v>
      </c>
      <c r="H52">
        <v>0.18</v>
      </c>
      <c r="I52">
        <v>0.16669999999999999</v>
      </c>
      <c r="J52">
        <v>0.64</v>
      </c>
      <c r="K52">
        <v>0.28360000000000002</v>
      </c>
      <c r="L52">
        <v>0</v>
      </c>
      <c r="M52">
        <v>8</v>
      </c>
      <c r="N52">
        <v>8</v>
      </c>
      <c r="O52" t="s">
        <v>20</v>
      </c>
      <c r="P52" t="s">
        <v>41</v>
      </c>
      <c r="Q52" t="s">
        <v>22</v>
      </c>
      <c r="R52" t="s">
        <v>23</v>
      </c>
      <c r="S52" t="s">
        <v>24</v>
      </c>
      <c r="T52" t="s">
        <v>25</v>
      </c>
      <c r="U52" t="s">
        <v>26</v>
      </c>
      <c r="V52" t="s">
        <v>27</v>
      </c>
      <c r="W52" t="s">
        <v>28</v>
      </c>
      <c r="X52">
        <v>0</v>
      </c>
      <c r="Y52">
        <v>100</v>
      </c>
      <c r="Z52" t="s">
        <v>29</v>
      </c>
      <c r="AA52" t="s">
        <v>30</v>
      </c>
      <c r="AB52" t="s">
        <v>29</v>
      </c>
      <c r="AC52">
        <v>-1.330000000000001E-2</v>
      </c>
    </row>
    <row r="53" spans="1:29" x14ac:dyDescent="0.3">
      <c r="A53">
        <v>671</v>
      </c>
      <c r="B53" s="6">
        <v>40574</v>
      </c>
      <c r="C53">
        <v>1</v>
      </c>
      <c r="D53">
        <v>6</v>
      </c>
      <c r="E53" t="b">
        <v>0</v>
      </c>
      <c r="F53">
        <v>1</v>
      </c>
      <c r="G53">
        <v>1</v>
      </c>
      <c r="H53">
        <v>0.16</v>
      </c>
      <c r="I53">
        <v>0.13639999999999999</v>
      </c>
      <c r="J53">
        <v>0.69</v>
      </c>
      <c r="K53">
        <v>0.32840000000000003</v>
      </c>
      <c r="L53">
        <v>0</v>
      </c>
      <c r="M53">
        <v>37</v>
      </c>
      <c r="N53">
        <v>37</v>
      </c>
      <c r="O53" t="s">
        <v>20</v>
      </c>
      <c r="P53" t="s">
        <v>41</v>
      </c>
      <c r="Q53" t="s">
        <v>22</v>
      </c>
      <c r="R53" t="s">
        <v>33</v>
      </c>
      <c r="S53" t="s">
        <v>24</v>
      </c>
      <c r="T53" t="s">
        <v>25</v>
      </c>
      <c r="U53" t="s">
        <v>42</v>
      </c>
      <c r="V53" t="s">
        <v>27</v>
      </c>
      <c r="W53" t="s">
        <v>28</v>
      </c>
      <c r="X53">
        <v>0</v>
      </c>
      <c r="Y53">
        <v>100</v>
      </c>
      <c r="Z53" t="s">
        <v>29</v>
      </c>
      <c r="AA53" t="s">
        <v>30</v>
      </c>
      <c r="AB53" t="s">
        <v>29</v>
      </c>
      <c r="AC53">
        <v>-2.360000000000001E-2</v>
      </c>
    </row>
    <row r="54" spans="1:29" x14ac:dyDescent="0.3">
      <c r="A54">
        <v>672</v>
      </c>
      <c r="B54" s="6">
        <v>40574</v>
      </c>
      <c r="C54">
        <v>1</v>
      </c>
      <c r="D54">
        <v>7</v>
      </c>
      <c r="E54" t="b">
        <v>0</v>
      </c>
      <c r="F54">
        <v>1</v>
      </c>
      <c r="G54">
        <v>2</v>
      </c>
      <c r="H54">
        <v>0.16</v>
      </c>
      <c r="I54">
        <v>0.13639999999999999</v>
      </c>
      <c r="J54">
        <v>0.64</v>
      </c>
      <c r="K54">
        <v>0.28360000000000002</v>
      </c>
      <c r="L54">
        <v>1</v>
      </c>
      <c r="M54">
        <v>71</v>
      </c>
      <c r="N54">
        <v>72</v>
      </c>
      <c r="O54" t="s">
        <v>20</v>
      </c>
      <c r="P54" t="s">
        <v>41</v>
      </c>
      <c r="Q54" t="s">
        <v>34</v>
      </c>
      <c r="R54" t="s">
        <v>33</v>
      </c>
      <c r="S54" t="s">
        <v>24</v>
      </c>
      <c r="T54" t="s">
        <v>25</v>
      </c>
      <c r="U54" t="s">
        <v>26</v>
      </c>
      <c r="V54" t="s">
        <v>27</v>
      </c>
      <c r="W54" t="s">
        <v>28</v>
      </c>
      <c r="X54">
        <v>1.3888888888888891</v>
      </c>
      <c r="Y54">
        <v>98.611111111111114</v>
      </c>
      <c r="Z54" t="s">
        <v>31</v>
      </c>
      <c r="AA54" t="s">
        <v>30</v>
      </c>
      <c r="AB54" t="s">
        <v>29</v>
      </c>
      <c r="AC54">
        <v>-2.360000000000001E-2</v>
      </c>
    </row>
    <row r="55" spans="1:29" x14ac:dyDescent="0.3">
      <c r="A55">
        <v>673</v>
      </c>
      <c r="B55" s="6">
        <v>40574</v>
      </c>
      <c r="C55">
        <v>1</v>
      </c>
      <c r="D55">
        <v>8</v>
      </c>
      <c r="E55" t="b">
        <v>0</v>
      </c>
      <c r="F55">
        <v>1</v>
      </c>
      <c r="G55">
        <v>2</v>
      </c>
      <c r="H55">
        <v>0.16</v>
      </c>
      <c r="I55">
        <v>0.13639999999999999</v>
      </c>
      <c r="J55">
        <v>0.59</v>
      </c>
      <c r="K55">
        <v>0.28360000000000002</v>
      </c>
      <c r="L55">
        <v>3</v>
      </c>
      <c r="M55">
        <v>182</v>
      </c>
      <c r="N55">
        <v>185</v>
      </c>
      <c r="O55" t="s">
        <v>20</v>
      </c>
      <c r="P55" t="s">
        <v>41</v>
      </c>
      <c r="Q55" t="s">
        <v>34</v>
      </c>
      <c r="R55" t="s">
        <v>33</v>
      </c>
      <c r="S55" t="s">
        <v>24</v>
      </c>
      <c r="T55" t="s">
        <v>25</v>
      </c>
      <c r="U55" t="s">
        <v>26</v>
      </c>
      <c r="V55" t="s">
        <v>27</v>
      </c>
      <c r="W55" t="s">
        <v>28</v>
      </c>
      <c r="X55">
        <v>1.6216216216216219</v>
      </c>
      <c r="Y55">
        <v>98.378378378378386</v>
      </c>
      <c r="Z55" t="s">
        <v>31</v>
      </c>
      <c r="AA55" t="s">
        <v>25</v>
      </c>
      <c r="AB55" t="s">
        <v>29</v>
      </c>
      <c r="AC55">
        <v>-2.360000000000001E-2</v>
      </c>
    </row>
    <row r="56" spans="1:29" x14ac:dyDescent="0.3">
      <c r="A56">
        <v>674</v>
      </c>
      <c r="B56" s="6">
        <v>40574</v>
      </c>
      <c r="C56">
        <v>1</v>
      </c>
      <c r="D56">
        <v>9</v>
      </c>
      <c r="E56" t="b">
        <v>0</v>
      </c>
      <c r="F56">
        <v>1</v>
      </c>
      <c r="G56">
        <v>2</v>
      </c>
      <c r="H56">
        <v>0.16</v>
      </c>
      <c r="I56">
        <v>0.13639999999999999</v>
      </c>
      <c r="J56">
        <v>0.59</v>
      </c>
      <c r="K56">
        <v>0.29849999999999999</v>
      </c>
      <c r="L56">
        <v>0</v>
      </c>
      <c r="M56">
        <v>112</v>
      </c>
      <c r="N56">
        <v>112</v>
      </c>
      <c r="O56" t="s">
        <v>20</v>
      </c>
      <c r="P56" t="s">
        <v>41</v>
      </c>
      <c r="Q56" t="s">
        <v>34</v>
      </c>
      <c r="R56" t="s">
        <v>33</v>
      </c>
      <c r="S56" t="s">
        <v>24</v>
      </c>
      <c r="T56" t="s">
        <v>25</v>
      </c>
      <c r="U56" t="s">
        <v>26</v>
      </c>
      <c r="V56" t="s">
        <v>27</v>
      </c>
      <c r="W56" t="s">
        <v>28</v>
      </c>
      <c r="X56">
        <v>0</v>
      </c>
      <c r="Y56">
        <v>100</v>
      </c>
      <c r="Z56" t="s">
        <v>31</v>
      </c>
      <c r="AA56" t="s">
        <v>25</v>
      </c>
      <c r="AB56" t="s">
        <v>29</v>
      </c>
      <c r="AC56">
        <v>-2.360000000000001E-2</v>
      </c>
    </row>
    <row r="57" spans="1:29" x14ac:dyDescent="0.3">
      <c r="A57">
        <v>675</v>
      </c>
      <c r="B57" s="6">
        <v>40574</v>
      </c>
      <c r="C57">
        <v>1</v>
      </c>
      <c r="D57">
        <v>10</v>
      </c>
      <c r="E57" t="b">
        <v>0</v>
      </c>
      <c r="F57">
        <v>1</v>
      </c>
      <c r="G57">
        <v>2</v>
      </c>
      <c r="H57">
        <v>0.16</v>
      </c>
      <c r="I57">
        <v>0.1515</v>
      </c>
      <c r="J57">
        <v>0.59</v>
      </c>
      <c r="K57">
        <v>0.19400000000000001</v>
      </c>
      <c r="L57">
        <v>1</v>
      </c>
      <c r="M57">
        <v>68</v>
      </c>
      <c r="N57">
        <v>69</v>
      </c>
      <c r="O57" t="s">
        <v>20</v>
      </c>
      <c r="P57" t="s">
        <v>41</v>
      </c>
      <c r="Q57" t="s">
        <v>34</v>
      </c>
      <c r="R57" t="s">
        <v>33</v>
      </c>
      <c r="S57" t="s">
        <v>24</v>
      </c>
      <c r="T57" t="s">
        <v>25</v>
      </c>
      <c r="U57" t="s">
        <v>26</v>
      </c>
      <c r="V57" t="s">
        <v>27</v>
      </c>
      <c r="W57" t="s">
        <v>28</v>
      </c>
      <c r="X57">
        <v>1.449275362318841</v>
      </c>
      <c r="Y57">
        <v>98.550724637681171</v>
      </c>
      <c r="Z57" t="s">
        <v>29</v>
      </c>
      <c r="AA57" t="s">
        <v>30</v>
      </c>
      <c r="AB57" t="s">
        <v>29</v>
      </c>
      <c r="AC57">
        <v>-8.5000000000000075E-3</v>
      </c>
    </row>
    <row r="58" spans="1:29" x14ac:dyDescent="0.3">
      <c r="A58">
        <v>676</v>
      </c>
      <c r="B58" s="6">
        <v>40574</v>
      </c>
      <c r="C58">
        <v>1</v>
      </c>
      <c r="D58">
        <v>11</v>
      </c>
      <c r="E58" t="b">
        <v>0</v>
      </c>
      <c r="F58">
        <v>1</v>
      </c>
      <c r="G58">
        <v>2</v>
      </c>
      <c r="H58">
        <v>0.16</v>
      </c>
      <c r="I58">
        <v>0.1515</v>
      </c>
      <c r="J58">
        <v>0.59</v>
      </c>
      <c r="K58">
        <v>0.19400000000000001</v>
      </c>
      <c r="L58">
        <v>2</v>
      </c>
      <c r="M58">
        <v>46</v>
      </c>
      <c r="N58">
        <v>48</v>
      </c>
      <c r="O58" t="s">
        <v>20</v>
      </c>
      <c r="P58" t="s">
        <v>41</v>
      </c>
      <c r="Q58" t="s">
        <v>34</v>
      </c>
      <c r="R58" t="s">
        <v>33</v>
      </c>
      <c r="S58" t="s">
        <v>24</v>
      </c>
      <c r="T58" t="s">
        <v>25</v>
      </c>
      <c r="U58" t="s">
        <v>26</v>
      </c>
      <c r="V58" t="s">
        <v>27</v>
      </c>
      <c r="W58" t="s">
        <v>28</v>
      </c>
      <c r="X58">
        <v>4.1666666666666661</v>
      </c>
      <c r="Y58">
        <v>95.833333333333343</v>
      </c>
      <c r="Z58" t="s">
        <v>29</v>
      </c>
      <c r="AA58" t="s">
        <v>30</v>
      </c>
      <c r="AB58" t="s">
        <v>29</v>
      </c>
      <c r="AC58">
        <v>-8.5000000000000075E-3</v>
      </c>
    </row>
    <row r="59" spans="1:29" x14ac:dyDescent="0.3">
      <c r="A59">
        <v>677</v>
      </c>
      <c r="B59" s="6">
        <v>40574</v>
      </c>
      <c r="C59">
        <v>1</v>
      </c>
      <c r="D59">
        <v>12</v>
      </c>
      <c r="E59" t="b">
        <v>0</v>
      </c>
      <c r="F59">
        <v>1</v>
      </c>
      <c r="G59">
        <v>2</v>
      </c>
      <c r="H59">
        <v>0.18</v>
      </c>
      <c r="I59">
        <v>0.21210000000000001</v>
      </c>
      <c r="J59">
        <v>0.55000000000000004</v>
      </c>
      <c r="K59">
        <v>0.1045</v>
      </c>
      <c r="L59">
        <v>6</v>
      </c>
      <c r="M59">
        <v>62</v>
      </c>
      <c r="N59">
        <v>68</v>
      </c>
      <c r="O59" t="s">
        <v>20</v>
      </c>
      <c r="P59" t="s">
        <v>41</v>
      </c>
      <c r="Q59" t="s">
        <v>34</v>
      </c>
      <c r="R59" t="s">
        <v>35</v>
      </c>
      <c r="S59" t="s">
        <v>24</v>
      </c>
      <c r="T59" t="s">
        <v>25</v>
      </c>
      <c r="U59" t="s">
        <v>32</v>
      </c>
      <c r="V59" t="s">
        <v>27</v>
      </c>
      <c r="W59" t="s">
        <v>28</v>
      </c>
      <c r="X59">
        <v>8.8235294117647065</v>
      </c>
      <c r="Y59">
        <v>91.17647058823529</v>
      </c>
      <c r="Z59" t="s">
        <v>29</v>
      </c>
      <c r="AA59" t="s">
        <v>30</v>
      </c>
      <c r="AB59" t="s">
        <v>29</v>
      </c>
      <c r="AC59">
        <v>3.2100000000000017E-2</v>
      </c>
    </row>
    <row r="60" spans="1:29" x14ac:dyDescent="0.3">
      <c r="A60">
        <v>678</v>
      </c>
      <c r="B60" s="6">
        <v>40574</v>
      </c>
      <c r="C60">
        <v>1</v>
      </c>
      <c r="D60">
        <v>13</v>
      </c>
      <c r="E60" t="b">
        <v>0</v>
      </c>
      <c r="F60">
        <v>1</v>
      </c>
      <c r="G60">
        <v>2</v>
      </c>
      <c r="H60">
        <v>0.16</v>
      </c>
      <c r="I60">
        <v>0.2273</v>
      </c>
      <c r="J60">
        <v>0.59</v>
      </c>
      <c r="K60">
        <v>0</v>
      </c>
      <c r="L60">
        <v>2</v>
      </c>
      <c r="M60">
        <v>52</v>
      </c>
      <c r="N60">
        <v>54</v>
      </c>
      <c r="O60" t="s">
        <v>20</v>
      </c>
      <c r="P60" t="s">
        <v>41</v>
      </c>
      <c r="Q60" t="s">
        <v>34</v>
      </c>
      <c r="R60" t="s">
        <v>35</v>
      </c>
      <c r="S60" t="s">
        <v>24</v>
      </c>
      <c r="T60" t="s">
        <v>25</v>
      </c>
      <c r="U60" t="s">
        <v>32</v>
      </c>
      <c r="V60" t="s">
        <v>27</v>
      </c>
      <c r="W60" t="s">
        <v>28</v>
      </c>
      <c r="X60">
        <v>3.7037037037037028</v>
      </c>
      <c r="Y60">
        <v>96.296296296296291</v>
      </c>
      <c r="Z60" t="s">
        <v>29</v>
      </c>
      <c r="AA60" t="s">
        <v>30</v>
      </c>
      <c r="AB60" t="s">
        <v>29</v>
      </c>
      <c r="AC60">
        <v>6.7299999999999999E-2</v>
      </c>
    </row>
    <row r="61" spans="1:29" x14ac:dyDescent="0.3">
      <c r="A61">
        <v>679</v>
      </c>
      <c r="B61" s="6">
        <v>40574</v>
      </c>
      <c r="C61">
        <v>1</v>
      </c>
      <c r="D61">
        <v>14</v>
      </c>
      <c r="E61" t="b">
        <v>0</v>
      </c>
      <c r="F61">
        <v>1</v>
      </c>
      <c r="G61">
        <v>2</v>
      </c>
      <c r="H61">
        <v>0.18</v>
      </c>
      <c r="I61">
        <v>0.19700000000000001</v>
      </c>
      <c r="J61">
        <v>0.55000000000000004</v>
      </c>
      <c r="K61">
        <v>0.1343</v>
      </c>
      <c r="L61">
        <v>1</v>
      </c>
      <c r="M61">
        <v>85</v>
      </c>
      <c r="N61">
        <v>86</v>
      </c>
      <c r="O61" t="s">
        <v>20</v>
      </c>
      <c r="P61" t="s">
        <v>41</v>
      </c>
      <c r="Q61" t="s">
        <v>34</v>
      </c>
      <c r="R61" t="s">
        <v>35</v>
      </c>
      <c r="S61" t="s">
        <v>24</v>
      </c>
      <c r="T61" t="s">
        <v>25</v>
      </c>
      <c r="U61" t="s">
        <v>32</v>
      </c>
      <c r="V61" t="s">
        <v>27</v>
      </c>
      <c r="W61" t="s">
        <v>28</v>
      </c>
      <c r="X61">
        <v>1.1627906976744189</v>
      </c>
      <c r="Y61">
        <v>98.837209302325576</v>
      </c>
      <c r="Z61" t="s">
        <v>29</v>
      </c>
      <c r="AA61" t="s">
        <v>30</v>
      </c>
      <c r="AB61" t="s">
        <v>29</v>
      </c>
      <c r="AC61">
        <v>1.7000000000000019E-2</v>
      </c>
    </row>
    <row r="62" spans="1:29" x14ac:dyDescent="0.3">
      <c r="A62">
        <v>680</v>
      </c>
      <c r="B62" s="6">
        <v>40574</v>
      </c>
      <c r="C62">
        <v>1</v>
      </c>
      <c r="D62">
        <v>15</v>
      </c>
      <c r="E62" t="b">
        <v>0</v>
      </c>
      <c r="F62">
        <v>1</v>
      </c>
      <c r="G62">
        <v>2</v>
      </c>
      <c r="H62">
        <v>0.16</v>
      </c>
      <c r="I62">
        <v>0.18179999999999999</v>
      </c>
      <c r="J62">
        <v>0.59</v>
      </c>
      <c r="K62">
        <v>0.1343</v>
      </c>
      <c r="L62">
        <v>3</v>
      </c>
      <c r="M62">
        <v>41</v>
      </c>
      <c r="N62">
        <v>44</v>
      </c>
      <c r="O62" t="s">
        <v>20</v>
      </c>
      <c r="P62" t="s">
        <v>41</v>
      </c>
      <c r="Q62" t="s">
        <v>34</v>
      </c>
      <c r="R62" t="s">
        <v>35</v>
      </c>
      <c r="S62" t="s">
        <v>24</v>
      </c>
      <c r="T62" t="s">
        <v>25</v>
      </c>
      <c r="U62" t="s">
        <v>32</v>
      </c>
      <c r="V62" t="s">
        <v>27</v>
      </c>
      <c r="W62" t="s">
        <v>28</v>
      </c>
      <c r="X62">
        <v>6.8181818181818166</v>
      </c>
      <c r="Y62">
        <v>93.181818181818173</v>
      </c>
      <c r="Z62" t="s">
        <v>29</v>
      </c>
      <c r="AA62" t="s">
        <v>30</v>
      </c>
      <c r="AB62" t="s">
        <v>29</v>
      </c>
      <c r="AC62">
        <v>2.179999999999999E-2</v>
      </c>
    </row>
    <row r="63" spans="1:29" x14ac:dyDescent="0.3">
      <c r="A63">
        <v>681</v>
      </c>
      <c r="B63" s="6">
        <v>40574</v>
      </c>
      <c r="C63">
        <v>1</v>
      </c>
      <c r="D63">
        <v>16</v>
      </c>
      <c r="E63" t="b">
        <v>0</v>
      </c>
      <c r="F63">
        <v>1</v>
      </c>
      <c r="G63">
        <v>2</v>
      </c>
      <c r="H63">
        <v>0.16</v>
      </c>
      <c r="I63">
        <v>0.18179999999999999</v>
      </c>
      <c r="J63">
        <v>0.56000000000000005</v>
      </c>
      <c r="K63">
        <v>0.19400000000000001</v>
      </c>
      <c r="L63">
        <v>3</v>
      </c>
      <c r="M63">
        <v>83</v>
      </c>
      <c r="N63">
        <v>86</v>
      </c>
      <c r="O63" t="s">
        <v>20</v>
      </c>
      <c r="P63" t="s">
        <v>41</v>
      </c>
      <c r="Q63" t="s">
        <v>34</v>
      </c>
      <c r="R63" t="s">
        <v>35</v>
      </c>
      <c r="S63" t="s">
        <v>24</v>
      </c>
      <c r="T63" t="s">
        <v>25</v>
      </c>
      <c r="U63" t="s">
        <v>26</v>
      </c>
      <c r="V63" t="s">
        <v>27</v>
      </c>
      <c r="W63" t="s">
        <v>28</v>
      </c>
      <c r="X63">
        <v>3.4883720930232558</v>
      </c>
      <c r="Y63">
        <v>96.511627906976756</v>
      </c>
      <c r="Z63" t="s">
        <v>29</v>
      </c>
      <c r="AA63" t="s">
        <v>30</v>
      </c>
      <c r="AB63" t="s">
        <v>29</v>
      </c>
      <c r="AC63">
        <v>2.179999999999999E-2</v>
      </c>
    </row>
    <row r="64" spans="1:29" x14ac:dyDescent="0.3">
      <c r="A64">
        <v>682</v>
      </c>
      <c r="B64" s="6">
        <v>40574</v>
      </c>
      <c r="C64">
        <v>1</v>
      </c>
      <c r="D64">
        <v>17</v>
      </c>
      <c r="E64" t="b">
        <v>0</v>
      </c>
      <c r="F64">
        <v>1</v>
      </c>
      <c r="G64">
        <v>2</v>
      </c>
      <c r="H64">
        <v>0.16</v>
      </c>
      <c r="I64">
        <v>0.1515</v>
      </c>
      <c r="J64">
        <v>0.59</v>
      </c>
      <c r="K64">
        <v>0.19400000000000001</v>
      </c>
      <c r="L64">
        <v>6</v>
      </c>
      <c r="M64">
        <v>155</v>
      </c>
      <c r="N64">
        <v>161</v>
      </c>
      <c r="O64" t="s">
        <v>20</v>
      </c>
      <c r="P64" t="s">
        <v>41</v>
      </c>
      <c r="Q64" t="s">
        <v>34</v>
      </c>
      <c r="R64" t="s">
        <v>36</v>
      </c>
      <c r="S64" t="s">
        <v>24</v>
      </c>
      <c r="T64" t="s">
        <v>25</v>
      </c>
      <c r="U64" t="s">
        <v>26</v>
      </c>
      <c r="V64" t="s">
        <v>27</v>
      </c>
      <c r="W64" t="s">
        <v>28</v>
      </c>
      <c r="X64">
        <v>3.726708074534161</v>
      </c>
      <c r="Y64">
        <v>96.273291925465841</v>
      </c>
      <c r="Z64" t="s">
        <v>31</v>
      </c>
      <c r="AA64" t="s">
        <v>25</v>
      </c>
      <c r="AB64" t="s">
        <v>29</v>
      </c>
      <c r="AC64">
        <v>-8.5000000000000075E-3</v>
      </c>
    </row>
    <row r="65" spans="1:29" x14ac:dyDescent="0.3">
      <c r="A65">
        <v>683</v>
      </c>
      <c r="B65" s="6">
        <v>40574</v>
      </c>
      <c r="C65">
        <v>1</v>
      </c>
      <c r="D65">
        <v>18</v>
      </c>
      <c r="E65" t="b">
        <v>0</v>
      </c>
      <c r="F65">
        <v>1</v>
      </c>
      <c r="G65">
        <v>2</v>
      </c>
      <c r="H65">
        <v>0.16</v>
      </c>
      <c r="I65">
        <v>0.1515</v>
      </c>
      <c r="J65">
        <v>0.55000000000000004</v>
      </c>
      <c r="K65">
        <v>0.22389999999999999</v>
      </c>
      <c r="L65">
        <v>3</v>
      </c>
      <c r="M65">
        <v>153</v>
      </c>
      <c r="N65">
        <v>156</v>
      </c>
      <c r="O65" t="s">
        <v>20</v>
      </c>
      <c r="P65" t="s">
        <v>41</v>
      </c>
      <c r="Q65" t="s">
        <v>34</v>
      </c>
      <c r="R65" t="s">
        <v>36</v>
      </c>
      <c r="S65" t="s">
        <v>24</v>
      </c>
      <c r="T65" t="s">
        <v>25</v>
      </c>
      <c r="U65" t="s">
        <v>26</v>
      </c>
      <c r="V65" t="s">
        <v>27</v>
      </c>
      <c r="W65" t="s">
        <v>28</v>
      </c>
      <c r="X65">
        <v>1.9230769230769229</v>
      </c>
      <c r="Y65">
        <v>98.076923076923066</v>
      </c>
      <c r="Z65" t="s">
        <v>31</v>
      </c>
      <c r="AA65" t="s">
        <v>25</v>
      </c>
      <c r="AB65" t="s">
        <v>29</v>
      </c>
      <c r="AC65">
        <v>-8.5000000000000075E-3</v>
      </c>
    </row>
    <row r="66" spans="1:29" x14ac:dyDescent="0.3">
      <c r="A66">
        <v>684</v>
      </c>
      <c r="B66" s="6">
        <v>40574</v>
      </c>
      <c r="C66">
        <v>1</v>
      </c>
      <c r="D66">
        <v>19</v>
      </c>
      <c r="E66" t="b">
        <v>0</v>
      </c>
      <c r="F66">
        <v>1</v>
      </c>
      <c r="G66">
        <v>1</v>
      </c>
      <c r="H66">
        <v>0.3</v>
      </c>
      <c r="I66">
        <v>0.31819999999999998</v>
      </c>
      <c r="J66">
        <v>0.61</v>
      </c>
      <c r="K66">
        <v>0.1045</v>
      </c>
      <c r="L66">
        <v>3</v>
      </c>
      <c r="M66">
        <v>108</v>
      </c>
      <c r="N66">
        <v>111</v>
      </c>
      <c r="O66" t="s">
        <v>20</v>
      </c>
      <c r="P66" t="s">
        <v>41</v>
      </c>
      <c r="Q66" t="s">
        <v>22</v>
      </c>
      <c r="R66" t="s">
        <v>36</v>
      </c>
      <c r="S66" t="s">
        <v>40</v>
      </c>
      <c r="T66" t="s">
        <v>25</v>
      </c>
      <c r="U66" t="s">
        <v>32</v>
      </c>
      <c r="V66" t="s">
        <v>27</v>
      </c>
      <c r="W66" t="s">
        <v>28</v>
      </c>
      <c r="X66">
        <v>2.7027027027027031</v>
      </c>
      <c r="Y66">
        <v>97.297297297297305</v>
      </c>
      <c r="Z66" t="s">
        <v>31</v>
      </c>
      <c r="AA66" t="s">
        <v>25</v>
      </c>
      <c r="AB66" t="s">
        <v>29</v>
      </c>
      <c r="AC66">
        <v>1.819999999999999E-2</v>
      </c>
    </row>
    <row r="67" spans="1:29" x14ac:dyDescent="0.3">
      <c r="A67">
        <v>685</v>
      </c>
      <c r="B67" s="6">
        <v>40574</v>
      </c>
      <c r="C67">
        <v>1</v>
      </c>
      <c r="D67">
        <v>20</v>
      </c>
      <c r="E67" t="b">
        <v>0</v>
      </c>
      <c r="F67">
        <v>1</v>
      </c>
      <c r="G67">
        <v>3</v>
      </c>
      <c r="H67">
        <v>0.16</v>
      </c>
      <c r="I67">
        <v>0.16669999999999999</v>
      </c>
      <c r="J67">
        <v>0.59</v>
      </c>
      <c r="K67">
        <v>0.16420000000000001</v>
      </c>
      <c r="L67">
        <v>0</v>
      </c>
      <c r="M67">
        <v>78</v>
      </c>
      <c r="N67">
        <v>78</v>
      </c>
      <c r="O67" t="s">
        <v>20</v>
      </c>
      <c r="P67" t="s">
        <v>41</v>
      </c>
      <c r="Q67" t="s">
        <v>43</v>
      </c>
      <c r="R67" t="s">
        <v>36</v>
      </c>
      <c r="S67" t="s">
        <v>24</v>
      </c>
      <c r="T67" t="s">
        <v>25</v>
      </c>
      <c r="U67" t="s">
        <v>26</v>
      </c>
      <c r="V67" t="s">
        <v>27</v>
      </c>
      <c r="W67" t="s">
        <v>28</v>
      </c>
      <c r="X67">
        <v>0</v>
      </c>
      <c r="Y67">
        <v>100</v>
      </c>
      <c r="Z67" t="s">
        <v>29</v>
      </c>
      <c r="AA67" t="s">
        <v>30</v>
      </c>
      <c r="AB67" t="s">
        <v>29</v>
      </c>
      <c r="AC67">
        <v>6.6999999999999837E-3</v>
      </c>
    </row>
    <row r="68" spans="1:29" x14ac:dyDescent="0.3">
      <c r="A68">
        <v>686</v>
      </c>
      <c r="B68" s="6">
        <v>40574</v>
      </c>
      <c r="C68">
        <v>1</v>
      </c>
      <c r="D68">
        <v>21</v>
      </c>
      <c r="E68" t="b">
        <v>0</v>
      </c>
      <c r="F68">
        <v>1</v>
      </c>
      <c r="G68">
        <v>3</v>
      </c>
      <c r="H68">
        <v>0.16</v>
      </c>
      <c r="I68">
        <v>0.19700000000000001</v>
      </c>
      <c r="J68">
        <v>0.59</v>
      </c>
      <c r="K68">
        <v>8.9599999999999999E-2</v>
      </c>
      <c r="L68">
        <v>3</v>
      </c>
      <c r="M68">
        <v>53</v>
      </c>
      <c r="N68">
        <v>56</v>
      </c>
      <c r="O68" t="s">
        <v>20</v>
      </c>
      <c r="P68" t="s">
        <v>41</v>
      </c>
      <c r="Q68" t="s">
        <v>43</v>
      </c>
      <c r="R68" t="s">
        <v>23</v>
      </c>
      <c r="S68" t="s">
        <v>24</v>
      </c>
      <c r="T68" t="s">
        <v>25</v>
      </c>
      <c r="U68" t="s">
        <v>32</v>
      </c>
      <c r="V68" t="s">
        <v>27</v>
      </c>
      <c r="W68" t="s">
        <v>28</v>
      </c>
      <c r="X68">
        <v>5.3571428571428568</v>
      </c>
      <c r="Y68">
        <v>94.642857142857139</v>
      </c>
      <c r="Z68" t="s">
        <v>29</v>
      </c>
      <c r="AA68" t="s">
        <v>30</v>
      </c>
      <c r="AB68" t="s">
        <v>29</v>
      </c>
      <c r="AC68">
        <v>3.7000000000000012E-2</v>
      </c>
    </row>
    <row r="69" spans="1:29" x14ac:dyDescent="0.3">
      <c r="A69">
        <v>687</v>
      </c>
      <c r="B69" s="6">
        <v>40574</v>
      </c>
      <c r="C69">
        <v>1</v>
      </c>
      <c r="D69">
        <v>22</v>
      </c>
      <c r="E69" t="b">
        <v>0</v>
      </c>
      <c r="F69">
        <v>1</v>
      </c>
      <c r="G69">
        <v>2</v>
      </c>
      <c r="H69">
        <v>0.16</v>
      </c>
      <c r="I69">
        <v>0.18179999999999999</v>
      </c>
      <c r="J69">
        <v>0.59</v>
      </c>
      <c r="K69">
        <v>0.1045</v>
      </c>
      <c r="L69">
        <v>0</v>
      </c>
      <c r="M69">
        <v>34</v>
      </c>
      <c r="N69">
        <v>34</v>
      </c>
      <c r="O69" t="s">
        <v>20</v>
      </c>
      <c r="P69" t="s">
        <v>41</v>
      </c>
      <c r="Q69" t="s">
        <v>34</v>
      </c>
      <c r="R69" t="s">
        <v>23</v>
      </c>
      <c r="S69" t="s">
        <v>24</v>
      </c>
      <c r="T69" t="s">
        <v>25</v>
      </c>
      <c r="U69" t="s">
        <v>32</v>
      </c>
      <c r="V69" t="s">
        <v>27</v>
      </c>
      <c r="W69" t="s">
        <v>28</v>
      </c>
      <c r="X69">
        <v>0</v>
      </c>
      <c r="Y69">
        <v>100</v>
      </c>
      <c r="Z69" t="s">
        <v>29</v>
      </c>
      <c r="AA69" t="s">
        <v>30</v>
      </c>
      <c r="AB69" t="s">
        <v>29</v>
      </c>
      <c r="AC69">
        <v>2.179999999999999E-2</v>
      </c>
    </row>
    <row r="70" spans="1:29" x14ac:dyDescent="0.3">
      <c r="A70">
        <v>688</v>
      </c>
      <c r="B70" s="6">
        <v>40574</v>
      </c>
      <c r="C70">
        <v>1</v>
      </c>
      <c r="D70">
        <v>23</v>
      </c>
      <c r="E70" t="b">
        <v>0</v>
      </c>
      <c r="F70">
        <v>1</v>
      </c>
      <c r="G70">
        <v>2</v>
      </c>
      <c r="H70">
        <v>0.16</v>
      </c>
      <c r="I70">
        <v>0.19700000000000001</v>
      </c>
      <c r="J70">
        <v>0.64</v>
      </c>
      <c r="K70">
        <v>8.9599999999999999E-2</v>
      </c>
      <c r="L70">
        <v>2</v>
      </c>
      <c r="M70">
        <v>15</v>
      </c>
      <c r="N70">
        <v>17</v>
      </c>
      <c r="O70" t="s">
        <v>20</v>
      </c>
      <c r="P70" t="s">
        <v>41</v>
      </c>
      <c r="Q70" t="s">
        <v>34</v>
      </c>
      <c r="R70" t="s">
        <v>23</v>
      </c>
      <c r="S70" t="s">
        <v>24</v>
      </c>
      <c r="T70" t="s">
        <v>25</v>
      </c>
      <c r="U70" t="s">
        <v>32</v>
      </c>
      <c r="V70" t="s">
        <v>27</v>
      </c>
      <c r="W70" t="s">
        <v>28</v>
      </c>
      <c r="X70">
        <v>11.76470588235294</v>
      </c>
      <c r="Y70">
        <v>88.235294117647058</v>
      </c>
      <c r="Z70" t="s">
        <v>29</v>
      </c>
      <c r="AA70" t="s">
        <v>30</v>
      </c>
      <c r="AB70" t="s">
        <v>29</v>
      </c>
      <c r="AC70">
        <v>3.7000000000000012E-2</v>
      </c>
    </row>
    <row r="71" spans="1:29" x14ac:dyDescent="0.3">
      <c r="A71">
        <v>689</v>
      </c>
      <c r="B71" s="6">
        <v>40575</v>
      </c>
      <c r="C71">
        <v>1</v>
      </c>
      <c r="D71">
        <v>0</v>
      </c>
      <c r="E71" t="b">
        <v>0</v>
      </c>
      <c r="F71">
        <v>2</v>
      </c>
      <c r="G71">
        <v>2</v>
      </c>
      <c r="H71">
        <v>0.16</v>
      </c>
      <c r="I71">
        <v>0.18179999999999999</v>
      </c>
      <c r="J71">
        <v>0.64</v>
      </c>
      <c r="K71">
        <v>0.1045</v>
      </c>
      <c r="L71">
        <v>2</v>
      </c>
      <c r="M71">
        <v>6</v>
      </c>
      <c r="N71">
        <v>8</v>
      </c>
      <c r="O71" t="s">
        <v>20</v>
      </c>
      <c r="P71" t="s">
        <v>44</v>
      </c>
      <c r="Q71" t="s">
        <v>34</v>
      </c>
      <c r="R71" t="s">
        <v>23</v>
      </c>
      <c r="S71" t="s">
        <v>24</v>
      </c>
      <c r="T71" t="s">
        <v>25</v>
      </c>
      <c r="U71" t="s">
        <v>32</v>
      </c>
      <c r="V71" t="s">
        <v>27</v>
      </c>
      <c r="W71" t="s">
        <v>28</v>
      </c>
      <c r="X71">
        <v>25</v>
      </c>
      <c r="Y71">
        <v>75</v>
      </c>
      <c r="Z71" t="s">
        <v>29</v>
      </c>
      <c r="AA71" t="s">
        <v>30</v>
      </c>
      <c r="AB71" t="s">
        <v>29</v>
      </c>
      <c r="AC71">
        <v>2.179999999999999E-2</v>
      </c>
    </row>
    <row r="72" spans="1:29" x14ac:dyDescent="0.3">
      <c r="A72">
        <v>690</v>
      </c>
      <c r="B72" s="6">
        <v>40575</v>
      </c>
      <c r="C72">
        <v>1</v>
      </c>
      <c r="D72">
        <v>1</v>
      </c>
      <c r="E72" t="b">
        <v>0</v>
      </c>
      <c r="F72">
        <v>2</v>
      </c>
      <c r="G72">
        <v>2</v>
      </c>
      <c r="H72">
        <v>0.16</v>
      </c>
      <c r="I72">
        <v>0.18179999999999999</v>
      </c>
      <c r="J72">
        <v>0.69</v>
      </c>
      <c r="K72">
        <v>0.1045</v>
      </c>
      <c r="L72">
        <v>0</v>
      </c>
      <c r="M72">
        <v>3</v>
      </c>
      <c r="N72">
        <v>3</v>
      </c>
      <c r="O72" t="s">
        <v>20</v>
      </c>
      <c r="P72" t="s">
        <v>44</v>
      </c>
      <c r="Q72" t="s">
        <v>34</v>
      </c>
      <c r="R72" t="s">
        <v>23</v>
      </c>
      <c r="S72" t="s">
        <v>24</v>
      </c>
      <c r="T72" t="s">
        <v>25</v>
      </c>
      <c r="U72" t="s">
        <v>32</v>
      </c>
      <c r="V72" t="s">
        <v>27</v>
      </c>
      <c r="W72" t="s">
        <v>28</v>
      </c>
      <c r="X72">
        <v>0</v>
      </c>
      <c r="Y72">
        <v>100</v>
      </c>
      <c r="Z72" t="s">
        <v>29</v>
      </c>
      <c r="AA72" t="s">
        <v>30</v>
      </c>
      <c r="AB72" t="s">
        <v>29</v>
      </c>
      <c r="AC72">
        <v>2.179999999999999E-2</v>
      </c>
    </row>
    <row r="73" spans="1:29" x14ac:dyDescent="0.3">
      <c r="A73">
        <v>691</v>
      </c>
      <c r="B73" s="6">
        <v>40575</v>
      </c>
      <c r="C73">
        <v>1</v>
      </c>
      <c r="D73">
        <v>2</v>
      </c>
      <c r="E73" t="b">
        <v>0</v>
      </c>
      <c r="F73">
        <v>2</v>
      </c>
      <c r="G73">
        <v>2</v>
      </c>
      <c r="H73">
        <v>0.16</v>
      </c>
      <c r="I73">
        <v>0.2273</v>
      </c>
      <c r="J73">
        <v>0.69</v>
      </c>
      <c r="K73">
        <v>0</v>
      </c>
      <c r="L73">
        <v>0</v>
      </c>
      <c r="M73">
        <v>2</v>
      </c>
      <c r="N73">
        <v>2</v>
      </c>
      <c r="O73" t="s">
        <v>20</v>
      </c>
      <c r="P73" t="s">
        <v>44</v>
      </c>
      <c r="Q73" t="s">
        <v>34</v>
      </c>
      <c r="R73" t="s">
        <v>23</v>
      </c>
      <c r="S73" t="s">
        <v>24</v>
      </c>
      <c r="T73" t="s">
        <v>25</v>
      </c>
      <c r="U73" t="s">
        <v>32</v>
      </c>
      <c r="V73" t="s">
        <v>27</v>
      </c>
      <c r="W73" t="s">
        <v>28</v>
      </c>
      <c r="X73">
        <v>0</v>
      </c>
      <c r="Y73">
        <v>100</v>
      </c>
      <c r="Z73" t="s">
        <v>29</v>
      </c>
      <c r="AA73" t="s">
        <v>30</v>
      </c>
      <c r="AB73" t="s">
        <v>29</v>
      </c>
      <c r="AC73">
        <v>6.7299999999999999E-2</v>
      </c>
    </row>
    <row r="74" spans="1:29" x14ac:dyDescent="0.3">
      <c r="A74">
        <v>692</v>
      </c>
      <c r="B74" s="6">
        <v>40575</v>
      </c>
      <c r="C74">
        <v>1</v>
      </c>
      <c r="D74">
        <v>3</v>
      </c>
      <c r="E74" t="b">
        <v>0</v>
      </c>
      <c r="F74">
        <v>2</v>
      </c>
      <c r="G74">
        <v>2</v>
      </c>
      <c r="H74">
        <v>0.16</v>
      </c>
      <c r="I74">
        <v>0.2273</v>
      </c>
      <c r="J74">
        <v>0.69</v>
      </c>
      <c r="K74">
        <v>0</v>
      </c>
      <c r="L74">
        <v>0</v>
      </c>
      <c r="M74">
        <v>2</v>
      </c>
      <c r="N74">
        <v>2</v>
      </c>
      <c r="O74" t="s">
        <v>20</v>
      </c>
      <c r="P74" t="s">
        <v>44</v>
      </c>
      <c r="Q74" t="s">
        <v>34</v>
      </c>
      <c r="R74" t="s">
        <v>23</v>
      </c>
      <c r="S74" t="s">
        <v>24</v>
      </c>
      <c r="T74" t="s">
        <v>25</v>
      </c>
      <c r="U74" t="s">
        <v>32</v>
      </c>
      <c r="V74" t="s">
        <v>27</v>
      </c>
      <c r="W74" t="s">
        <v>28</v>
      </c>
      <c r="X74">
        <v>0</v>
      </c>
      <c r="Y74">
        <v>100</v>
      </c>
      <c r="Z74" t="s">
        <v>29</v>
      </c>
      <c r="AA74" t="s">
        <v>30</v>
      </c>
      <c r="AB74" t="s">
        <v>29</v>
      </c>
      <c r="AC74">
        <v>6.7299999999999999E-2</v>
      </c>
    </row>
    <row r="75" spans="1:29" x14ac:dyDescent="0.3">
      <c r="A75">
        <v>693</v>
      </c>
      <c r="B75" s="6">
        <v>40575</v>
      </c>
      <c r="C75">
        <v>1</v>
      </c>
      <c r="D75">
        <v>5</v>
      </c>
      <c r="E75" t="b">
        <v>0</v>
      </c>
      <c r="F75">
        <v>2</v>
      </c>
      <c r="G75">
        <v>3</v>
      </c>
      <c r="H75">
        <v>0.14000000000000001</v>
      </c>
      <c r="I75">
        <v>0.21210000000000001</v>
      </c>
      <c r="J75">
        <v>0.93</v>
      </c>
      <c r="K75">
        <v>0</v>
      </c>
      <c r="L75">
        <v>0</v>
      </c>
      <c r="M75">
        <v>3</v>
      </c>
      <c r="N75">
        <v>3</v>
      </c>
      <c r="O75" t="s">
        <v>20</v>
      </c>
      <c r="P75" t="s">
        <v>44</v>
      </c>
      <c r="Q75" t="s">
        <v>43</v>
      </c>
      <c r="R75" t="s">
        <v>23</v>
      </c>
      <c r="S75" t="s">
        <v>39</v>
      </c>
      <c r="T75" t="s">
        <v>37</v>
      </c>
      <c r="U75" t="s">
        <v>32</v>
      </c>
      <c r="V75" t="s">
        <v>27</v>
      </c>
      <c r="W75" t="s">
        <v>28</v>
      </c>
      <c r="X75">
        <v>0</v>
      </c>
      <c r="Y75">
        <v>100</v>
      </c>
      <c r="Z75" t="s">
        <v>29</v>
      </c>
      <c r="AA75" t="s">
        <v>30</v>
      </c>
      <c r="AB75" t="s">
        <v>29</v>
      </c>
      <c r="AC75">
        <v>7.2099999999999997E-2</v>
      </c>
    </row>
    <row r="76" spans="1:29" x14ac:dyDescent="0.3">
      <c r="A76">
        <v>694</v>
      </c>
      <c r="B76" s="6">
        <v>40575</v>
      </c>
      <c r="C76">
        <v>1</v>
      </c>
      <c r="D76">
        <v>6</v>
      </c>
      <c r="E76" t="b">
        <v>0</v>
      </c>
      <c r="F76">
        <v>2</v>
      </c>
      <c r="G76">
        <v>3</v>
      </c>
      <c r="H76">
        <v>0.14000000000000001</v>
      </c>
      <c r="I76">
        <v>0.21210000000000001</v>
      </c>
      <c r="J76">
        <v>0.93</v>
      </c>
      <c r="K76">
        <v>0</v>
      </c>
      <c r="L76">
        <v>0</v>
      </c>
      <c r="M76">
        <v>22</v>
      </c>
      <c r="N76">
        <v>22</v>
      </c>
      <c r="O76" t="s">
        <v>20</v>
      </c>
      <c r="P76" t="s">
        <v>44</v>
      </c>
      <c r="Q76" t="s">
        <v>43</v>
      </c>
      <c r="R76" t="s">
        <v>33</v>
      </c>
      <c r="S76" t="s">
        <v>39</v>
      </c>
      <c r="T76" t="s">
        <v>37</v>
      </c>
      <c r="U76" t="s">
        <v>32</v>
      </c>
      <c r="V76" t="s">
        <v>27</v>
      </c>
      <c r="W76" t="s">
        <v>28</v>
      </c>
      <c r="X76">
        <v>0</v>
      </c>
      <c r="Y76">
        <v>100</v>
      </c>
      <c r="Z76" t="s">
        <v>29</v>
      </c>
      <c r="AA76" t="s">
        <v>30</v>
      </c>
      <c r="AB76" t="s">
        <v>29</v>
      </c>
      <c r="AC76">
        <v>7.2099999999999997E-2</v>
      </c>
    </row>
    <row r="77" spans="1:29" x14ac:dyDescent="0.3">
      <c r="A77">
        <v>695</v>
      </c>
      <c r="B77" s="6">
        <v>40575</v>
      </c>
      <c r="C77">
        <v>1</v>
      </c>
      <c r="D77">
        <v>7</v>
      </c>
      <c r="E77" t="b">
        <v>0</v>
      </c>
      <c r="F77">
        <v>2</v>
      </c>
      <c r="G77">
        <v>3</v>
      </c>
      <c r="H77">
        <v>0.16</v>
      </c>
      <c r="I77">
        <v>0.2273</v>
      </c>
      <c r="J77">
        <v>0.93</v>
      </c>
      <c r="K77">
        <v>0</v>
      </c>
      <c r="L77">
        <v>0</v>
      </c>
      <c r="M77">
        <v>52</v>
      </c>
      <c r="N77">
        <v>52</v>
      </c>
      <c r="O77" t="s">
        <v>20</v>
      </c>
      <c r="P77" t="s">
        <v>44</v>
      </c>
      <c r="Q77" t="s">
        <v>43</v>
      </c>
      <c r="R77" t="s">
        <v>33</v>
      </c>
      <c r="S77" t="s">
        <v>24</v>
      </c>
      <c r="T77" t="s">
        <v>37</v>
      </c>
      <c r="U77" t="s">
        <v>32</v>
      </c>
      <c r="V77" t="s">
        <v>27</v>
      </c>
      <c r="W77" t="s">
        <v>28</v>
      </c>
      <c r="X77">
        <v>0</v>
      </c>
      <c r="Y77">
        <v>100</v>
      </c>
      <c r="Z77" t="s">
        <v>31</v>
      </c>
      <c r="AA77" t="s">
        <v>30</v>
      </c>
      <c r="AB77" t="s">
        <v>29</v>
      </c>
      <c r="AC77">
        <v>6.7299999999999999E-2</v>
      </c>
    </row>
    <row r="78" spans="1:29" x14ac:dyDescent="0.3">
      <c r="A78">
        <v>696</v>
      </c>
      <c r="B78" s="6">
        <v>40575</v>
      </c>
      <c r="C78">
        <v>1</v>
      </c>
      <c r="D78">
        <v>8</v>
      </c>
      <c r="E78" t="b">
        <v>0</v>
      </c>
      <c r="F78">
        <v>2</v>
      </c>
      <c r="G78">
        <v>3</v>
      </c>
      <c r="H78">
        <v>0.16</v>
      </c>
      <c r="I78">
        <v>0.2273</v>
      </c>
      <c r="J78">
        <v>0.93</v>
      </c>
      <c r="K78">
        <v>0</v>
      </c>
      <c r="L78">
        <v>3</v>
      </c>
      <c r="M78">
        <v>132</v>
      </c>
      <c r="N78">
        <v>135</v>
      </c>
      <c r="O78" t="s">
        <v>20</v>
      </c>
      <c r="P78" t="s">
        <v>44</v>
      </c>
      <c r="Q78" t="s">
        <v>43</v>
      </c>
      <c r="R78" t="s">
        <v>33</v>
      </c>
      <c r="S78" t="s">
        <v>24</v>
      </c>
      <c r="T78" t="s">
        <v>37</v>
      </c>
      <c r="U78" t="s">
        <v>32</v>
      </c>
      <c r="V78" t="s">
        <v>27</v>
      </c>
      <c r="W78" t="s">
        <v>28</v>
      </c>
      <c r="X78">
        <v>2.2222222222222219</v>
      </c>
      <c r="Y78">
        <v>97.777777777777771</v>
      </c>
      <c r="Z78" t="s">
        <v>31</v>
      </c>
      <c r="AA78" t="s">
        <v>25</v>
      </c>
      <c r="AB78" t="s">
        <v>29</v>
      </c>
      <c r="AC78">
        <v>6.7299999999999999E-2</v>
      </c>
    </row>
    <row r="79" spans="1:29" x14ac:dyDescent="0.3">
      <c r="A79">
        <v>697</v>
      </c>
      <c r="B79" s="6">
        <v>40575</v>
      </c>
      <c r="C79">
        <v>1</v>
      </c>
      <c r="D79">
        <v>9</v>
      </c>
      <c r="E79" t="b">
        <v>0</v>
      </c>
      <c r="F79">
        <v>2</v>
      </c>
      <c r="G79">
        <v>2</v>
      </c>
      <c r="H79">
        <v>0.16</v>
      </c>
      <c r="I79">
        <v>0.2273</v>
      </c>
      <c r="J79">
        <v>0.93</v>
      </c>
      <c r="K79">
        <v>0</v>
      </c>
      <c r="L79">
        <v>2</v>
      </c>
      <c r="M79">
        <v>114</v>
      </c>
      <c r="N79">
        <v>116</v>
      </c>
      <c r="O79" t="s">
        <v>20</v>
      </c>
      <c r="P79" t="s">
        <v>44</v>
      </c>
      <c r="Q79" t="s">
        <v>34</v>
      </c>
      <c r="R79" t="s">
        <v>33</v>
      </c>
      <c r="S79" t="s">
        <v>24</v>
      </c>
      <c r="T79" t="s">
        <v>37</v>
      </c>
      <c r="U79" t="s">
        <v>32</v>
      </c>
      <c r="V79" t="s">
        <v>27</v>
      </c>
      <c r="W79" t="s">
        <v>28</v>
      </c>
      <c r="X79">
        <v>1.7241379310344831</v>
      </c>
      <c r="Y79">
        <v>98.275862068965509</v>
      </c>
      <c r="Z79" t="s">
        <v>31</v>
      </c>
      <c r="AA79" t="s">
        <v>25</v>
      </c>
      <c r="AB79" t="s">
        <v>29</v>
      </c>
      <c r="AC79">
        <v>6.7299999999999999E-2</v>
      </c>
    </row>
    <row r="80" spans="1:29" x14ac:dyDescent="0.3">
      <c r="A80">
        <v>698</v>
      </c>
      <c r="B80" s="6">
        <v>40575</v>
      </c>
      <c r="C80">
        <v>1</v>
      </c>
      <c r="D80">
        <v>10</v>
      </c>
      <c r="E80" t="b">
        <v>0</v>
      </c>
      <c r="F80">
        <v>2</v>
      </c>
      <c r="G80">
        <v>2</v>
      </c>
      <c r="H80">
        <v>0.16</v>
      </c>
      <c r="I80">
        <v>0.2273</v>
      </c>
      <c r="J80">
        <v>0.93</v>
      </c>
      <c r="K80">
        <v>0</v>
      </c>
      <c r="L80">
        <v>0</v>
      </c>
      <c r="M80">
        <v>47</v>
      </c>
      <c r="N80">
        <v>47</v>
      </c>
      <c r="O80" t="s">
        <v>20</v>
      </c>
      <c r="P80" t="s">
        <v>44</v>
      </c>
      <c r="Q80" t="s">
        <v>34</v>
      </c>
      <c r="R80" t="s">
        <v>33</v>
      </c>
      <c r="S80" t="s">
        <v>24</v>
      </c>
      <c r="T80" t="s">
        <v>37</v>
      </c>
      <c r="U80" t="s">
        <v>32</v>
      </c>
      <c r="V80" t="s">
        <v>27</v>
      </c>
      <c r="W80" t="s">
        <v>28</v>
      </c>
      <c r="X80">
        <v>0</v>
      </c>
      <c r="Y80">
        <v>100</v>
      </c>
      <c r="Z80" t="s">
        <v>29</v>
      </c>
      <c r="AA80" t="s">
        <v>30</v>
      </c>
      <c r="AB80" t="s">
        <v>29</v>
      </c>
      <c r="AC80">
        <v>6.7299999999999999E-2</v>
      </c>
    </row>
    <row r="81" spans="1:29" x14ac:dyDescent="0.3">
      <c r="A81">
        <v>699</v>
      </c>
      <c r="B81" s="6">
        <v>40575</v>
      </c>
      <c r="C81">
        <v>1</v>
      </c>
      <c r="D81">
        <v>11</v>
      </c>
      <c r="E81" t="b">
        <v>0</v>
      </c>
      <c r="F81">
        <v>2</v>
      </c>
      <c r="G81">
        <v>2</v>
      </c>
      <c r="H81">
        <v>0.18</v>
      </c>
      <c r="I81">
        <v>0.2424</v>
      </c>
      <c r="J81">
        <v>0.86</v>
      </c>
      <c r="K81">
        <v>0</v>
      </c>
      <c r="L81">
        <v>2</v>
      </c>
      <c r="M81">
        <v>49</v>
      </c>
      <c r="N81">
        <v>51</v>
      </c>
      <c r="O81" t="s">
        <v>20</v>
      </c>
      <c r="P81" t="s">
        <v>44</v>
      </c>
      <c r="Q81" t="s">
        <v>34</v>
      </c>
      <c r="R81" t="s">
        <v>33</v>
      </c>
      <c r="S81" t="s">
        <v>24</v>
      </c>
      <c r="T81" t="s">
        <v>37</v>
      </c>
      <c r="U81" t="s">
        <v>32</v>
      </c>
      <c r="V81" t="s">
        <v>27</v>
      </c>
      <c r="W81" t="s">
        <v>28</v>
      </c>
      <c r="X81">
        <v>3.9215686274509798</v>
      </c>
      <c r="Y81">
        <v>96.078431372549019</v>
      </c>
      <c r="Z81" t="s">
        <v>29</v>
      </c>
      <c r="AA81" t="s">
        <v>30</v>
      </c>
      <c r="AB81" t="s">
        <v>29</v>
      </c>
      <c r="AC81">
        <v>6.2400000000000011E-2</v>
      </c>
    </row>
    <row r="82" spans="1:29" x14ac:dyDescent="0.3">
      <c r="A82">
        <v>700</v>
      </c>
      <c r="B82" s="6">
        <v>40575</v>
      </c>
      <c r="C82">
        <v>1</v>
      </c>
      <c r="D82">
        <v>12</v>
      </c>
      <c r="E82" t="b">
        <v>0</v>
      </c>
      <c r="F82">
        <v>2</v>
      </c>
      <c r="G82">
        <v>2</v>
      </c>
      <c r="H82">
        <v>0.2</v>
      </c>
      <c r="I82">
        <v>0.2576</v>
      </c>
      <c r="J82">
        <v>0.86</v>
      </c>
      <c r="K82">
        <v>0</v>
      </c>
      <c r="L82">
        <v>2</v>
      </c>
      <c r="M82">
        <v>53</v>
      </c>
      <c r="N82">
        <v>55</v>
      </c>
      <c r="O82" t="s">
        <v>20</v>
      </c>
      <c r="P82" t="s">
        <v>44</v>
      </c>
      <c r="Q82" t="s">
        <v>34</v>
      </c>
      <c r="R82" t="s">
        <v>35</v>
      </c>
      <c r="S82" t="s">
        <v>24</v>
      </c>
      <c r="T82" t="s">
        <v>37</v>
      </c>
      <c r="U82" t="s">
        <v>32</v>
      </c>
      <c r="V82" t="s">
        <v>27</v>
      </c>
      <c r="W82" t="s">
        <v>28</v>
      </c>
      <c r="X82">
        <v>3.6363636363636358</v>
      </c>
      <c r="Y82">
        <v>96.36363636363636</v>
      </c>
      <c r="Z82" t="s">
        <v>29</v>
      </c>
      <c r="AA82" t="s">
        <v>30</v>
      </c>
      <c r="AB82" t="s">
        <v>29</v>
      </c>
      <c r="AC82">
        <v>5.7599999999999978E-2</v>
      </c>
    </row>
    <row r="83" spans="1:29" x14ac:dyDescent="0.3">
      <c r="A83">
        <v>701</v>
      </c>
      <c r="B83" s="6">
        <v>40575</v>
      </c>
      <c r="C83">
        <v>1</v>
      </c>
      <c r="D83">
        <v>13</v>
      </c>
      <c r="E83" t="b">
        <v>0</v>
      </c>
      <c r="F83">
        <v>2</v>
      </c>
      <c r="G83">
        <v>2</v>
      </c>
      <c r="H83">
        <v>0.2</v>
      </c>
      <c r="I83">
        <v>0.2576</v>
      </c>
      <c r="J83">
        <v>0.86</v>
      </c>
      <c r="K83">
        <v>0</v>
      </c>
      <c r="L83">
        <v>3</v>
      </c>
      <c r="M83">
        <v>49</v>
      </c>
      <c r="N83">
        <v>52</v>
      </c>
      <c r="O83" t="s">
        <v>20</v>
      </c>
      <c r="P83" t="s">
        <v>44</v>
      </c>
      <c r="Q83" t="s">
        <v>34</v>
      </c>
      <c r="R83" t="s">
        <v>35</v>
      </c>
      <c r="S83" t="s">
        <v>24</v>
      </c>
      <c r="T83" t="s">
        <v>37</v>
      </c>
      <c r="U83" t="s">
        <v>32</v>
      </c>
      <c r="V83" t="s">
        <v>27</v>
      </c>
      <c r="W83" t="s">
        <v>28</v>
      </c>
      <c r="X83">
        <v>5.7692307692307692</v>
      </c>
      <c r="Y83">
        <v>94.230769230769226</v>
      </c>
      <c r="Z83" t="s">
        <v>29</v>
      </c>
      <c r="AA83" t="s">
        <v>30</v>
      </c>
      <c r="AB83" t="s">
        <v>29</v>
      </c>
      <c r="AC83">
        <v>5.7599999999999978E-2</v>
      </c>
    </row>
    <row r="84" spans="1:29" x14ac:dyDescent="0.3">
      <c r="A84">
        <v>702</v>
      </c>
      <c r="B84" s="6">
        <v>40575</v>
      </c>
      <c r="C84">
        <v>1</v>
      </c>
      <c r="D84">
        <v>14</v>
      </c>
      <c r="E84" t="b">
        <v>0</v>
      </c>
      <c r="F84">
        <v>2</v>
      </c>
      <c r="G84">
        <v>2</v>
      </c>
      <c r="H84">
        <v>0.22</v>
      </c>
      <c r="I84">
        <v>0.2576</v>
      </c>
      <c r="J84">
        <v>0.8</v>
      </c>
      <c r="K84">
        <v>8.9599999999999999E-2</v>
      </c>
      <c r="L84">
        <v>5</v>
      </c>
      <c r="M84">
        <v>49</v>
      </c>
      <c r="N84">
        <v>54</v>
      </c>
      <c r="O84" t="s">
        <v>20</v>
      </c>
      <c r="P84" t="s">
        <v>44</v>
      </c>
      <c r="Q84" t="s">
        <v>34</v>
      </c>
      <c r="R84" t="s">
        <v>35</v>
      </c>
      <c r="S84" t="s">
        <v>24</v>
      </c>
      <c r="T84" t="s">
        <v>37</v>
      </c>
      <c r="U84" t="s">
        <v>32</v>
      </c>
      <c r="V84" t="s">
        <v>27</v>
      </c>
      <c r="W84" t="s">
        <v>28</v>
      </c>
      <c r="X84">
        <v>9.2592592592592595</v>
      </c>
      <c r="Y84">
        <v>90.740740740740748</v>
      </c>
      <c r="Z84" t="s">
        <v>29</v>
      </c>
      <c r="AA84" t="s">
        <v>30</v>
      </c>
      <c r="AB84" t="s">
        <v>29</v>
      </c>
      <c r="AC84">
        <v>3.7599999999999988E-2</v>
      </c>
    </row>
    <row r="85" spans="1:29" x14ac:dyDescent="0.3">
      <c r="A85">
        <v>703</v>
      </c>
      <c r="B85" s="6">
        <v>40575</v>
      </c>
      <c r="C85">
        <v>1</v>
      </c>
      <c r="D85">
        <v>15</v>
      </c>
      <c r="E85" t="b">
        <v>0</v>
      </c>
      <c r="F85">
        <v>2</v>
      </c>
      <c r="G85">
        <v>2</v>
      </c>
      <c r="H85">
        <v>0.24</v>
      </c>
      <c r="I85">
        <v>0.28789999999999999</v>
      </c>
      <c r="J85">
        <v>0.75</v>
      </c>
      <c r="K85">
        <v>0</v>
      </c>
      <c r="L85">
        <v>7</v>
      </c>
      <c r="M85">
        <v>45</v>
      </c>
      <c r="N85">
        <v>52</v>
      </c>
      <c r="O85" t="s">
        <v>20</v>
      </c>
      <c r="P85" t="s">
        <v>44</v>
      </c>
      <c r="Q85" t="s">
        <v>34</v>
      </c>
      <c r="R85" t="s">
        <v>35</v>
      </c>
      <c r="S85" t="s">
        <v>24</v>
      </c>
      <c r="T85" t="s">
        <v>37</v>
      </c>
      <c r="U85" t="s">
        <v>32</v>
      </c>
      <c r="V85" t="s">
        <v>27</v>
      </c>
      <c r="W85" t="s">
        <v>28</v>
      </c>
      <c r="X85">
        <v>13.46153846153846</v>
      </c>
      <c r="Y85">
        <v>86.538461538461547</v>
      </c>
      <c r="Z85" t="s">
        <v>29</v>
      </c>
      <c r="AA85" t="s">
        <v>30</v>
      </c>
      <c r="AB85" t="s">
        <v>29</v>
      </c>
      <c r="AC85">
        <v>4.7899999999999998E-2</v>
      </c>
    </row>
    <row r="86" spans="1:29" x14ac:dyDescent="0.3">
      <c r="A86">
        <v>704</v>
      </c>
      <c r="B86" s="6">
        <v>40575</v>
      </c>
      <c r="C86">
        <v>1</v>
      </c>
      <c r="D86">
        <v>16</v>
      </c>
      <c r="E86" t="b">
        <v>0</v>
      </c>
      <c r="F86">
        <v>2</v>
      </c>
      <c r="G86">
        <v>2</v>
      </c>
      <c r="H86">
        <v>0.24</v>
      </c>
      <c r="I86">
        <v>0.2424</v>
      </c>
      <c r="J86">
        <v>0.75</v>
      </c>
      <c r="K86">
        <v>0.1343</v>
      </c>
      <c r="L86">
        <v>3</v>
      </c>
      <c r="M86">
        <v>61</v>
      </c>
      <c r="N86">
        <v>64</v>
      </c>
      <c r="O86" t="s">
        <v>20</v>
      </c>
      <c r="P86" t="s">
        <v>44</v>
      </c>
      <c r="Q86" t="s">
        <v>34</v>
      </c>
      <c r="R86" t="s">
        <v>35</v>
      </c>
      <c r="S86" t="s">
        <v>24</v>
      </c>
      <c r="T86" t="s">
        <v>37</v>
      </c>
      <c r="U86" t="s">
        <v>32</v>
      </c>
      <c r="V86" t="s">
        <v>27</v>
      </c>
      <c r="W86" t="s">
        <v>28</v>
      </c>
      <c r="X86">
        <v>4.6875</v>
      </c>
      <c r="Y86">
        <v>95.3125</v>
      </c>
      <c r="Z86" t="s">
        <v>29</v>
      </c>
      <c r="AA86" t="s">
        <v>30</v>
      </c>
      <c r="AB86" t="s">
        <v>29</v>
      </c>
      <c r="AC86">
        <v>2.4000000000000128E-3</v>
      </c>
    </row>
    <row r="87" spans="1:29" x14ac:dyDescent="0.3">
      <c r="A87">
        <v>705</v>
      </c>
      <c r="B87" s="6">
        <v>40575</v>
      </c>
      <c r="C87">
        <v>1</v>
      </c>
      <c r="D87">
        <v>17</v>
      </c>
      <c r="E87" t="b">
        <v>0</v>
      </c>
      <c r="F87">
        <v>2</v>
      </c>
      <c r="G87">
        <v>2</v>
      </c>
      <c r="H87">
        <v>0.24</v>
      </c>
      <c r="I87">
        <v>0.28789999999999999</v>
      </c>
      <c r="J87">
        <v>0.75</v>
      </c>
      <c r="K87">
        <v>0</v>
      </c>
      <c r="L87">
        <v>4</v>
      </c>
      <c r="M87">
        <v>172</v>
      </c>
      <c r="N87">
        <v>176</v>
      </c>
      <c r="O87" t="s">
        <v>20</v>
      </c>
      <c r="P87" t="s">
        <v>44</v>
      </c>
      <c r="Q87" t="s">
        <v>34</v>
      </c>
      <c r="R87" t="s">
        <v>36</v>
      </c>
      <c r="S87" t="s">
        <v>24</v>
      </c>
      <c r="T87" t="s">
        <v>37</v>
      </c>
      <c r="U87" t="s">
        <v>32</v>
      </c>
      <c r="V87" t="s">
        <v>27</v>
      </c>
      <c r="W87" t="s">
        <v>28</v>
      </c>
      <c r="X87">
        <v>2.2727272727272729</v>
      </c>
      <c r="Y87">
        <v>97.727272727272734</v>
      </c>
      <c r="Z87" t="s">
        <v>31</v>
      </c>
      <c r="AA87" t="s">
        <v>25</v>
      </c>
      <c r="AB87" t="s">
        <v>29</v>
      </c>
      <c r="AC87">
        <v>4.7899999999999998E-2</v>
      </c>
    </row>
    <row r="88" spans="1:29" x14ac:dyDescent="0.3">
      <c r="A88">
        <v>706</v>
      </c>
      <c r="B88" s="6">
        <v>40575</v>
      </c>
      <c r="C88">
        <v>1</v>
      </c>
      <c r="D88">
        <v>18</v>
      </c>
      <c r="E88" t="b">
        <v>0</v>
      </c>
      <c r="F88">
        <v>2</v>
      </c>
      <c r="G88">
        <v>2</v>
      </c>
      <c r="H88">
        <v>0.24</v>
      </c>
      <c r="I88">
        <v>0.2576</v>
      </c>
      <c r="J88">
        <v>0.81</v>
      </c>
      <c r="K88">
        <v>0.1045</v>
      </c>
      <c r="L88">
        <v>3</v>
      </c>
      <c r="M88">
        <v>165</v>
      </c>
      <c r="N88">
        <v>168</v>
      </c>
      <c r="O88" t="s">
        <v>20</v>
      </c>
      <c r="P88" t="s">
        <v>44</v>
      </c>
      <c r="Q88" t="s">
        <v>34</v>
      </c>
      <c r="R88" t="s">
        <v>36</v>
      </c>
      <c r="S88" t="s">
        <v>24</v>
      </c>
      <c r="T88" t="s">
        <v>37</v>
      </c>
      <c r="U88" t="s">
        <v>32</v>
      </c>
      <c r="V88" t="s">
        <v>27</v>
      </c>
      <c r="W88" t="s">
        <v>28</v>
      </c>
      <c r="X88">
        <v>1.785714285714286</v>
      </c>
      <c r="Y88">
        <v>98.214285714285708</v>
      </c>
      <c r="Z88" t="s">
        <v>31</v>
      </c>
      <c r="AA88" t="s">
        <v>25</v>
      </c>
      <c r="AB88" t="s">
        <v>29</v>
      </c>
      <c r="AC88">
        <v>1.7600000000000001E-2</v>
      </c>
    </row>
    <row r="89" spans="1:29" x14ac:dyDescent="0.3">
      <c r="A89">
        <v>707</v>
      </c>
      <c r="B89" s="6">
        <v>40575</v>
      </c>
      <c r="C89">
        <v>1</v>
      </c>
      <c r="D89">
        <v>19</v>
      </c>
      <c r="E89" t="b">
        <v>0</v>
      </c>
      <c r="F89">
        <v>2</v>
      </c>
      <c r="G89">
        <v>2</v>
      </c>
      <c r="H89">
        <v>0.24</v>
      </c>
      <c r="I89">
        <v>0.2424</v>
      </c>
      <c r="J89">
        <v>0.81</v>
      </c>
      <c r="K89">
        <v>0.1343</v>
      </c>
      <c r="L89">
        <v>3</v>
      </c>
      <c r="M89">
        <v>105</v>
      </c>
      <c r="N89">
        <v>108</v>
      </c>
      <c r="O89" t="s">
        <v>20</v>
      </c>
      <c r="P89" t="s">
        <v>44</v>
      </c>
      <c r="Q89" t="s">
        <v>34</v>
      </c>
      <c r="R89" t="s">
        <v>36</v>
      </c>
      <c r="S89" t="s">
        <v>24</v>
      </c>
      <c r="T89" t="s">
        <v>37</v>
      </c>
      <c r="U89" t="s">
        <v>32</v>
      </c>
      <c r="V89" t="s">
        <v>27</v>
      </c>
      <c r="W89" t="s">
        <v>28</v>
      </c>
      <c r="X89">
        <v>2.7777777777777781</v>
      </c>
      <c r="Y89">
        <v>97.222222222222214</v>
      </c>
      <c r="Z89" t="s">
        <v>31</v>
      </c>
      <c r="AA89" t="s">
        <v>25</v>
      </c>
      <c r="AB89" t="s">
        <v>29</v>
      </c>
      <c r="AC89">
        <v>2.4000000000000128E-3</v>
      </c>
    </row>
    <row r="90" spans="1:29" x14ac:dyDescent="0.3">
      <c r="A90">
        <v>708</v>
      </c>
      <c r="B90" s="6">
        <v>40575</v>
      </c>
      <c r="C90">
        <v>1</v>
      </c>
      <c r="D90">
        <v>20</v>
      </c>
      <c r="E90" t="b">
        <v>0</v>
      </c>
      <c r="F90">
        <v>2</v>
      </c>
      <c r="G90">
        <v>2</v>
      </c>
      <c r="H90">
        <v>0.22</v>
      </c>
      <c r="I90">
        <v>0.2273</v>
      </c>
      <c r="J90">
        <v>0.87</v>
      </c>
      <c r="K90">
        <v>0.1343</v>
      </c>
      <c r="L90">
        <v>5</v>
      </c>
      <c r="M90">
        <v>69</v>
      </c>
      <c r="N90">
        <v>74</v>
      </c>
      <c r="O90" t="s">
        <v>20</v>
      </c>
      <c r="P90" t="s">
        <v>44</v>
      </c>
      <c r="Q90" t="s">
        <v>34</v>
      </c>
      <c r="R90" t="s">
        <v>36</v>
      </c>
      <c r="S90" t="s">
        <v>24</v>
      </c>
      <c r="T90" t="s">
        <v>37</v>
      </c>
      <c r="U90" t="s">
        <v>32</v>
      </c>
      <c r="V90" t="s">
        <v>27</v>
      </c>
      <c r="W90" t="s">
        <v>28</v>
      </c>
      <c r="X90">
        <v>6.756756756756757</v>
      </c>
      <c r="Y90">
        <v>93.243243243243242</v>
      </c>
      <c r="Z90" t="s">
        <v>29</v>
      </c>
      <c r="AA90" t="s">
        <v>30</v>
      </c>
      <c r="AB90" t="s">
        <v>29</v>
      </c>
      <c r="AC90">
        <v>7.3000000000000009E-3</v>
      </c>
    </row>
    <row r="91" spans="1:29" x14ac:dyDescent="0.3">
      <c r="A91">
        <v>709</v>
      </c>
      <c r="B91" s="6">
        <v>40575</v>
      </c>
      <c r="C91">
        <v>1</v>
      </c>
      <c r="D91">
        <v>21</v>
      </c>
      <c r="E91" t="b">
        <v>0</v>
      </c>
      <c r="F91">
        <v>2</v>
      </c>
      <c r="G91">
        <v>2</v>
      </c>
      <c r="H91">
        <v>0.22</v>
      </c>
      <c r="I91">
        <v>0.2273</v>
      </c>
      <c r="J91">
        <v>0.87</v>
      </c>
      <c r="K91">
        <v>0.1343</v>
      </c>
      <c r="L91">
        <v>0</v>
      </c>
      <c r="M91">
        <v>64</v>
      </c>
      <c r="N91">
        <v>64</v>
      </c>
      <c r="O91" t="s">
        <v>20</v>
      </c>
      <c r="P91" t="s">
        <v>44</v>
      </c>
      <c r="Q91" t="s">
        <v>34</v>
      </c>
      <c r="R91" t="s">
        <v>23</v>
      </c>
      <c r="S91" t="s">
        <v>24</v>
      </c>
      <c r="T91" t="s">
        <v>37</v>
      </c>
      <c r="U91" t="s">
        <v>32</v>
      </c>
      <c r="V91" t="s">
        <v>27</v>
      </c>
      <c r="W91" t="s">
        <v>28</v>
      </c>
      <c r="X91">
        <v>0</v>
      </c>
      <c r="Y91">
        <v>100</v>
      </c>
      <c r="Z91" t="s">
        <v>29</v>
      </c>
      <c r="AA91" t="s">
        <v>30</v>
      </c>
      <c r="AB91" t="s">
        <v>29</v>
      </c>
      <c r="AC91">
        <v>7.3000000000000009E-3</v>
      </c>
    </row>
    <row r="92" spans="1:29" x14ac:dyDescent="0.3">
      <c r="A92">
        <v>710</v>
      </c>
      <c r="B92" s="6">
        <v>40575</v>
      </c>
      <c r="C92">
        <v>1</v>
      </c>
      <c r="D92">
        <v>22</v>
      </c>
      <c r="E92" t="b">
        <v>0</v>
      </c>
      <c r="F92">
        <v>2</v>
      </c>
      <c r="G92">
        <v>2</v>
      </c>
      <c r="H92">
        <v>0.22</v>
      </c>
      <c r="I92">
        <v>0.2576</v>
      </c>
      <c r="J92">
        <v>0.87</v>
      </c>
      <c r="K92">
        <v>8.9599999999999999E-2</v>
      </c>
      <c r="L92">
        <v>2</v>
      </c>
      <c r="M92">
        <v>34</v>
      </c>
      <c r="N92">
        <v>36</v>
      </c>
      <c r="O92" t="s">
        <v>20</v>
      </c>
      <c r="P92" t="s">
        <v>44</v>
      </c>
      <c r="Q92" t="s">
        <v>34</v>
      </c>
      <c r="R92" t="s">
        <v>23</v>
      </c>
      <c r="S92" t="s">
        <v>24</v>
      </c>
      <c r="T92" t="s">
        <v>37</v>
      </c>
      <c r="U92" t="s">
        <v>32</v>
      </c>
      <c r="V92" t="s">
        <v>27</v>
      </c>
      <c r="W92" t="s">
        <v>28</v>
      </c>
      <c r="X92">
        <v>5.5555555555555554</v>
      </c>
      <c r="Y92">
        <v>94.444444444444443</v>
      </c>
      <c r="Z92" t="s">
        <v>29</v>
      </c>
      <c r="AA92" t="s">
        <v>30</v>
      </c>
      <c r="AB92" t="s">
        <v>29</v>
      </c>
      <c r="AC92">
        <v>3.7599999999999988E-2</v>
      </c>
    </row>
    <row r="93" spans="1:29" x14ac:dyDescent="0.3">
      <c r="A93">
        <v>711</v>
      </c>
      <c r="B93" s="6">
        <v>40575</v>
      </c>
      <c r="C93">
        <v>1</v>
      </c>
      <c r="D93">
        <v>23</v>
      </c>
      <c r="E93" t="b">
        <v>0</v>
      </c>
      <c r="F93">
        <v>2</v>
      </c>
      <c r="G93">
        <v>3</v>
      </c>
      <c r="H93">
        <v>0.2</v>
      </c>
      <c r="I93">
        <v>0.19700000000000001</v>
      </c>
      <c r="J93">
        <v>0.93</v>
      </c>
      <c r="K93">
        <v>0.19400000000000001</v>
      </c>
      <c r="L93">
        <v>1</v>
      </c>
      <c r="M93">
        <v>15</v>
      </c>
      <c r="N93">
        <v>16</v>
      </c>
      <c r="O93" t="s">
        <v>20</v>
      </c>
      <c r="P93" t="s">
        <v>44</v>
      </c>
      <c r="Q93" t="s">
        <v>43</v>
      </c>
      <c r="R93" t="s">
        <v>23</v>
      </c>
      <c r="S93" t="s">
        <v>24</v>
      </c>
      <c r="T93" t="s">
        <v>37</v>
      </c>
      <c r="U93" t="s">
        <v>26</v>
      </c>
      <c r="V93" t="s">
        <v>27</v>
      </c>
      <c r="W93" t="s">
        <v>28</v>
      </c>
      <c r="X93">
        <v>6.25</v>
      </c>
      <c r="Y93">
        <v>93.75</v>
      </c>
      <c r="Z93" t="s">
        <v>29</v>
      </c>
      <c r="AA93" t="s">
        <v>30</v>
      </c>
      <c r="AB93" t="s">
        <v>29</v>
      </c>
      <c r="AC93">
        <v>-3.0000000000000031E-3</v>
      </c>
    </row>
    <row r="94" spans="1:29" x14ac:dyDescent="0.3">
      <c r="A94">
        <v>712</v>
      </c>
      <c r="B94" s="6">
        <v>40576</v>
      </c>
      <c r="C94">
        <v>1</v>
      </c>
      <c r="D94">
        <v>0</v>
      </c>
      <c r="E94" t="b">
        <v>0</v>
      </c>
      <c r="F94">
        <v>3</v>
      </c>
      <c r="G94">
        <v>3</v>
      </c>
      <c r="H94">
        <v>0.22</v>
      </c>
      <c r="I94">
        <v>0.2424</v>
      </c>
      <c r="J94">
        <v>0.93</v>
      </c>
      <c r="K94">
        <v>0.1045</v>
      </c>
      <c r="L94">
        <v>0</v>
      </c>
      <c r="M94">
        <v>2</v>
      </c>
      <c r="N94">
        <v>2</v>
      </c>
      <c r="O94" t="s">
        <v>20</v>
      </c>
      <c r="P94" t="s">
        <v>45</v>
      </c>
      <c r="Q94" t="s">
        <v>43</v>
      </c>
      <c r="R94" t="s">
        <v>23</v>
      </c>
      <c r="S94" t="s">
        <v>24</v>
      </c>
      <c r="T94" t="s">
        <v>37</v>
      </c>
      <c r="U94" t="s">
        <v>32</v>
      </c>
      <c r="V94" t="s">
        <v>27</v>
      </c>
      <c r="W94" t="s">
        <v>28</v>
      </c>
      <c r="X94">
        <v>0</v>
      </c>
      <c r="Y94">
        <v>100</v>
      </c>
      <c r="Z94" t="s">
        <v>29</v>
      </c>
      <c r="AA94" t="s">
        <v>30</v>
      </c>
      <c r="AB94" t="s">
        <v>29</v>
      </c>
      <c r="AC94">
        <v>2.24E-2</v>
      </c>
    </row>
    <row r="95" spans="1:29" x14ac:dyDescent="0.3">
      <c r="A95">
        <v>713</v>
      </c>
      <c r="B95" s="6">
        <v>40576</v>
      </c>
      <c r="C95">
        <v>1</v>
      </c>
      <c r="D95">
        <v>1</v>
      </c>
      <c r="E95" t="b">
        <v>0</v>
      </c>
      <c r="F95">
        <v>3</v>
      </c>
      <c r="G95">
        <v>3</v>
      </c>
      <c r="H95">
        <v>0.22</v>
      </c>
      <c r="I95">
        <v>0.2273</v>
      </c>
      <c r="J95">
        <v>0.93</v>
      </c>
      <c r="K95">
        <v>0.19400000000000001</v>
      </c>
      <c r="L95">
        <v>0</v>
      </c>
      <c r="M95">
        <v>3</v>
      </c>
      <c r="N95">
        <v>3</v>
      </c>
      <c r="O95" t="s">
        <v>20</v>
      </c>
      <c r="P95" t="s">
        <v>45</v>
      </c>
      <c r="Q95" t="s">
        <v>43</v>
      </c>
      <c r="R95" t="s">
        <v>23</v>
      </c>
      <c r="S95" t="s">
        <v>24</v>
      </c>
      <c r="T95" t="s">
        <v>37</v>
      </c>
      <c r="U95" t="s">
        <v>26</v>
      </c>
      <c r="V95" t="s">
        <v>27</v>
      </c>
      <c r="W95" t="s">
        <v>28</v>
      </c>
      <c r="X95">
        <v>0</v>
      </c>
      <c r="Y95">
        <v>100</v>
      </c>
      <c r="Z95" t="s">
        <v>29</v>
      </c>
      <c r="AA95" t="s">
        <v>30</v>
      </c>
      <c r="AB95" t="s">
        <v>29</v>
      </c>
      <c r="AC95">
        <v>7.3000000000000009E-3</v>
      </c>
    </row>
    <row r="96" spans="1:29" x14ac:dyDescent="0.3">
      <c r="A96">
        <v>714</v>
      </c>
      <c r="B96" s="6">
        <v>40576</v>
      </c>
      <c r="C96">
        <v>1</v>
      </c>
      <c r="D96">
        <v>2</v>
      </c>
      <c r="E96" t="b">
        <v>0</v>
      </c>
      <c r="F96">
        <v>3</v>
      </c>
      <c r="G96">
        <v>3</v>
      </c>
      <c r="H96">
        <v>0.22</v>
      </c>
      <c r="I96">
        <v>0.2273</v>
      </c>
      <c r="J96">
        <v>0.93</v>
      </c>
      <c r="K96">
        <v>0.1343</v>
      </c>
      <c r="L96">
        <v>4</v>
      </c>
      <c r="M96">
        <v>0</v>
      </c>
      <c r="N96">
        <v>4</v>
      </c>
      <c r="O96" t="s">
        <v>20</v>
      </c>
      <c r="P96" t="s">
        <v>45</v>
      </c>
      <c r="Q96" t="s">
        <v>43</v>
      </c>
      <c r="R96" t="s">
        <v>23</v>
      </c>
      <c r="S96" t="s">
        <v>24</v>
      </c>
      <c r="T96" t="s">
        <v>37</v>
      </c>
      <c r="U96" t="s">
        <v>32</v>
      </c>
      <c r="V96" t="s">
        <v>27</v>
      </c>
      <c r="W96" t="s">
        <v>46</v>
      </c>
      <c r="X96">
        <v>100</v>
      </c>
      <c r="Y96">
        <v>0</v>
      </c>
      <c r="Z96" t="s">
        <v>29</v>
      </c>
      <c r="AA96" t="s">
        <v>30</v>
      </c>
      <c r="AB96" t="s">
        <v>29</v>
      </c>
      <c r="AC96">
        <v>7.3000000000000009E-3</v>
      </c>
    </row>
    <row r="97" spans="1:29" x14ac:dyDescent="0.3">
      <c r="A97">
        <v>715</v>
      </c>
      <c r="B97" s="6">
        <v>40576</v>
      </c>
      <c r="C97">
        <v>1</v>
      </c>
      <c r="D97">
        <v>3</v>
      </c>
      <c r="E97" t="b">
        <v>0</v>
      </c>
      <c r="F97">
        <v>3</v>
      </c>
      <c r="G97">
        <v>3</v>
      </c>
      <c r="H97">
        <v>0.22</v>
      </c>
      <c r="I97">
        <v>0.2273</v>
      </c>
      <c r="J97">
        <v>0.93</v>
      </c>
      <c r="K97">
        <v>0.1343</v>
      </c>
      <c r="L97">
        <v>0</v>
      </c>
      <c r="M97">
        <v>1</v>
      </c>
      <c r="N97">
        <v>1</v>
      </c>
      <c r="O97" t="s">
        <v>20</v>
      </c>
      <c r="P97" t="s">
        <v>45</v>
      </c>
      <c r="Q97" t="s">
        <v>43</v>
      </c>
      <c r="R97" t="s">
        <v>23</v>
      </c>
      <c r="S97" t="s">
        <v>24</v>
      </c>
      <c r="T97" t="s">
        <v>37</v>
      </c>
      <c r="U97" t="s">
        <v>32</v>
      </c>
      <c r="V97" t="s">
        <v>27</v>
      </c>
      <c r="W97" t="s">
        <v>28</v>
      </c>
      <c r="X97">
        <v>0</v>
      </c>
      <c r="Y97">
        <v>100</v>
      </c>
      <c r="Z97" t="s">
        <v>29</v>
      </c>
      <c r="AA97" t="s">
        <v>30</v>
      </c>
      <c r="AB97" t="s">
        <v>29</v>
      </c>
      <c r="AC97">
        <v>7.3000000000000009E-3</v>
      </c>
    </row>
    <row r="98" spans="1:29" x14ac:dyDescent="0.3">
      <c r="A98">
        <v>716</v>
      </c>
      <c r="B98" s="6">
        <v>40576</v>
      </c>
      <c r="C98">
        <v>1</v>
      </c>
      <c r="D98">
        <v>4</v>
      </c>
      <c r="E98" t="b">
        <v>0</v>
      </c>
      <c r="F98">
        <v>3</v>
      </c>
      <c r="G98">
        <v>3</v>
      </c>
      <c r="H98">
        <v>0.22</v>
      </c>
      <c r="I98">
        <v>0.21210000000000001</v>
      </c>
      <c r="J98">
        <v>0.93</v>
      </c>
      <c r="K98">
        <v>0.28360000000000002</v>
      </c>
      <c r="L98">
        <v>0</v>
      </c>
      <c r="M98">
        <v>1</v>
      </c>
      <c r="N98">
        <v>1</v>
      </c>
      <c r="O98" t="s">
        <v>20</v>
      </c>
      <c r="P98" t="s">
        <v>45</v>
      </c>
      <c r="Q98" t="s">
        <v>43</v>
      </c>
      <c r="R98" t="s">
        <v>23</v>
      </c>
      <c r="S98" t="s">
        <v>24</v>
      </c>
      <c r="T98" t="s">
        <v>37</v>
      </c>
      <c r="U98" t="s">
        <v>26</v>
      </c>
      <c r="V98" t="s">
        <v>27</v>
      </c>
      <c r="W98" t="s">
        <v>28</v>
      </c>
      <c r="X98">
        <v>0</v>
      </c>
      <c r="Y98">
        <v>100</v>
      </c>
      <c r="Z98" t="s">
        <v>29</v>
      </c>
      <c r="AA98" t="s">
        <v>30</v>
      </c>
      <c r="AB98" t="s">
        <v>29</v>
      </c>
      <c r="AC98">
        <v>-7.8999999999999904E-3</v>
      </c>
    </row>
    <row r="99" spans="1:29" x14ac:dyDescent="0.3">
      <c r="A99">
        <v>717</v>
      </c>
      <c r="B99" s="6">
        <v>40576</v>
      </c>
      <c r="C99">
        <v>1</v>
      </c>
      <c r="D99">
        <v>5</v>
      </c>
      <c r="E99" t="b">
        <v>0</v>
      </c>
      <c r="F99">
        <v>3</v>
      </c>
      <c r="G99">
        <v>3</v>
      </c>
      <c r="H99">
        <v>0.22</v>
      </c>
      <c r="I99">
        <v>0.2424</v>
      </c>
      <c r="J99">
        <v>0.93</v>
      </c>
      <c r="K99">
        <v>0.1045</v>
      </c>
      <c r="L99">
        <v>0</v>
      </c>
      <c r="M99">
        <v>3</v>
      </c>
      <c r="N99">
        <v>3</v>
      </c>
      <c r="O99" t="s">
        <v>20</v>
      </c>
      <c r="P99" t="s">
        <v>45</v>
      </c>
      <c r="Q99" t="s">
        <v>43</v>
      </c>
      <c r="R99" t="s">
        <v>23</v>
      </c>
      <c r="S99" t="s">
        <v>24</v>
      </c>
      <c r="T99" t="s">
        <v>37</v>
      </c>
      <c r="U99" t="s">
        <v>32</v>
      </c>
      <c r="V99" t="s">
        <v>27</v>
      </c>
      <c r="W99" t="s">
        <v>28</v>
      </c>
      <c r="X99">
        <v>0</v>
      </c>
      <c r="Y99">
        <v>100</v>
      </c>
      <c r="Z99" t="s">
        <v>29</v>
      </c>
      <c r="AA99" t="s">
        <v>30</v>
      </c>
      <c r="AB99" t="s">
        <v>29</v>
      </c>
      <c r="AC99">
        <v>2.24E-2</v>
      </c>
    </row>
    <row r="100" spans="1:29" x14ac:dyDescent="0.3">
      <c r="A100">
        <v>718</v>
      </c>
      <c r="B100" s="6">
        <v>40576</v>
      </c>
      <c r="C100">
        <v>1</v>
      </c>
      <c r="D100">
        <v>6</v>
      </c>
      <c r="E100" t="b">
        <v>0</v>
      </c>
      <c r="F100">
        <v>3</v>
      </c>
      <c r="G100">
        <v>3</v>
      </c>
      <c r="H100">
        <v>0.22</v>
      </c>
      <c r="I100">
        <v>0.2424</v>
      </c>
      <c r="J100">
        <v>0.93</v>
      </c>
      <c r="K100">
        <v>0.1045</v>
      </c>
      <c r="L100">
        <v>1</v>
      </c>
      <c r="M100">
        <v>17</v>
      </c>
      <c r="N100">
        <v>18</v>
      </c>
      <c r="O100" t="s">
        <v>20</v>
      </c>
      <c r="P100" t="s">
        <v>45</v>
      </c>
      <c r="Q100" t="s">
        <v>43</v>
      </c>
      <c r="R100" t="s">
        <v>33</v>
      </c>
      <c r="S100" t="s">
        <v>24</v>
      </c>
      <c r="T100" t="s">
        <v>37</v>
      </c>
      <c r="U100" t="s">
        <v>32</v>
      </c>
      <c r="V100" t="s">
        <v>27</v>
      </c>
      <c r="W100" t="s">
        <v>28</v>
      </c>
      <c r="X100">
        <v>5.5555555555555554</v>
      </c>
      <c r="Y100">
        <v>94.444444444444443</v>
      </c>
      <c r="Z100" t="s">
        <v>29</v>
      </c>
      <c r="AA100" t="s">
        <v>30</v>
      </c>
      <c r="AB100" t="s">
        <v>29</v>
      </c>
      <c r="AC100">
        <v>2.24E-2</v>
      </c>
    </row>
    <row r="101" spans="1:29" x14ac:dyDescent="0.3">
      <c r="A101">
        <v>719</v>
      </c>
      <c r="B101" s="6">
        <v>40576</v>
      </c>
      <c r="C101">
        <v>1</v>
      </c>
      <c r="D101">
        <v>7</v>
      </c>
      <c r="E101" t="b">
        <v>0</v>
      </c>
      <c r="F101">
        <v>3</v>
      </c>
      <c r="G101">
        <v>3</v>
      </c>
      <c r="H101">
        <v>0.22</v>
      </c>
      <c r="I101">
        <v>0.21210000000000001</v>
      </c>
      <c r="J101">
        <v>0.93</v>
      </c>
      <c r="K101">
        <v>0.22389999999999999</v>
      </c>
      <c r="L101">
        <v>1</v>
      </c>
      <c r="M101">
        <v>48</v>
      </c>
      <c r="N101">
        <v>49</v>
      </c>
      <c r="O101" t="s">
        <v>20</v>
      </c>
      <c r="P101" t="s">
        <v>45</v>
      </c>
      <c r="Q101" t="s">
        <v>43</v>
      </c>
      <c r="R101" t="s">
        <v>33</v>
      </c>
      <c r="S101" t="s">
        <v>24</v>
      </c>
      <c r="T101" t="s">
        <v>37</v>
      </c>
      <c r="U101" t="s">
        <v>26</v>
      </c>
      <c r="V101" t="s">
        <v>27</v>
      </c>
      <c r="W101" t="s">
        <v>28</v>
      </c>
      <c r="X101">
        <v>2.0408163265306118</v>
      </c>
      <c r="Y101">
        <v>97.959183673469383</v>
      </c>
      <c r="Z101" t="s">
        <v>31</v>
      </c>
      <c r="AA101" t="s">
        <v>30</v>
      </c>
      <c r="AB101" t="s">
        <v>29</v>
      </c>
      <c r="AC101">
        <v>-7.8999999999999904E-3</v>
      </c>
    </row>
    <row r="102" spans="1:29" x14ac:dyDescent="0.3">
      <c r="A102">
        <v>720</v>
      </c>
      <c r="B102" s="6">
        <v>40576</v>
      </c>
      <c r="C102">
        <v>1</v>
      </c>
      <c r="D102">
        <v>8</v>
      </c>
      <c r="E102" t="b">
        <v>0</v>
      </c>
      <c r="F102">
        <v>3</v>
      </c>
      <c r="G102">
        <v>3</v>
      </c>
      <c r="H102">
        <v>0.22</v>
      </c>
      <c r="I102">
        <v>0.21210000000000001</v>
      </c>
      <c r="J102">
        <v>0.93</v>
      </c>
      <c r="K102">
        <v>0.22389999999999999</v>
      </c>
      <c r="L102">
        <v>1</v>
      </c>
      <c r="M102">
        <v>154</v>
      </c>
      <c r="N102">
        <v>155</v>
      </c>
      <c r="O102" t="s">
        <v>20</v>
      </c>
      <c r="P102" t="s">
        <v>45</v>
      </c>
      <c r="Q102" t="s">
        <v>43</v>
      </c>
      <c r="R102" t="s">
        <v>33</v>
      </c>
      <c r="S102" t="s">
        <v>24</v>
      </c>
      <c r="T102" t="s">
        <v>37</v>
      </c>
      <c r="U102" t="s">
        <v>26</v>
      </c>
      <c r="V102" t="s">
        <v>27</v>
      </c>
      <c r="W102" t="s">
        <v>28</v>
      </c>
      <c r="X102">
        <v>0.64516129032258063</v>
      </c>
      <c r="Y102">
        <v>99.354838709677423</v>
      </c>
      <c r="Z102" t="s">
        <v>31</v>
      </c>
      <c r="AA102" t="s">
        <v>25</v>
      </c>
      <c r="AB102" t="s">
        <v>29</v>
      </c>
      <c r="AC102">
        <v>-7.8999999999999904E-3</v>
      </c>
    </row>
    <row r="103" spans="1:29" x14ac:dyDescent="0.3">
      <c r="A103">
        <v>721</v>
      </c>
      <c r="B103" s="6">
        <v>40576</v>
      </c>
      <c r="C103">
        <v>1</v>
      </c>
      <c r="D103">
        <v>9</v>
      </c>
      <c r="E103" t="b">
        <v>0</v>
      </c>
      <c r="F103">
        <v>3</v>
      </c>
      <c r="G103">
        <v>2</v>
      </c>
      <c r="H103">
        <v>0.24</v>
      </c>
      <c r="I103">
        <v>0.2576</v>
      </c>
      <c r="J103">
        <v>0.93</v>
      </c>
      <c r="K103">
        <v>8.9599999999999999E-2</v>
      </c>
      <c r="L103">
        <v>4</v>
      </c>
      <c r="M103">
        <v>119</v>
      </c>
      <c r="N103">
        <v>123</v>
      </c>
      <c r="O103" t="s">
        <v>20</v>
      </c>
      <c r="P103" t="s">
        <v>45</v>
      </c>
      <c r="Q103" t="s">
        <v>34</v>
      </c>
      <c r="R103" t="s">
        <v>33</v>
      </c>
      <c r="S103" t="s">
        <v>24</v>
      </c>
      <c r="T103" t="s">
        <v>37</v>
      </c>
      <c r="U103" t="s">
        <v>32</v>
      </c>
      <c r="V103" t="s">
        <v>27</v>
      </c>
      <c r="W103" t="s">
        <v>28</v>
      </c>
      <c r="X103">
        <v>3.2520325203252041</v>
      </c>
      <c r="Y103">
        <v>96.747967479674799</v>
      </c>
      <c r="Z103" t="s">
        <v>31</v>
      </c>
      <c r="AA103" t="s">
        <v>25</v>
      </c>
      <c r="AB103" t="s">
        <v>29</v>
      </c>
      <c r="AC103">
        <v>1.7600000000000001E-2</v>
      </c>
    </row>
    <row r="104" spans="1:29" x14ac:dyDescent="0.3">
      <c r="A104">
        <v>722</v>
      </c>
      <c r="B104" s="6">
        <v>40576</v>
      </c>
      <c r="C104">
        <v>1</v>
      </c>
      <c r="D104">
        <v>10</v>
      </c>
      <c r="E104" t="b">
        <v>0</v>
      </c>
      <c r="F104">
        <v>3</v>
      </c>
      <c r="G104">
        <v>2</v>
      </c>
      <c r="H104">
        <v>0.22</v>
      </c>
      <c r="I104">
        <v>0.2727</v>
      </c>
      <c r="J104">
        <v>1</v>
      </c>
      <c r="K104">
        <v>0</v>
      </c>
      <c r="L104">
        <v>2</v>
      </c>
      <c r="M104">
        <v>59</v>
      </c>
      <c r="N104">
        <v>61</v>
      </c>
      <c r="O104" t="s">
        <v>20</v>
      </c>
      <c r="P104" t="s">
        <v>45</v>
      </c>
      <c r="Q104" t="s">
        <v>34</v>
      </c>
      <c r="R104" t="s">
        <v>33</v>
      </c>
      <c r="S104" t="s">
        <v>24</v>
      </c>
      <c r="T104" t="s">
        <v>37</v>
      </c>
      <c r="U104" t="s">
        <v>32</v>
      </c>
      <c r="V104" t="s">
        <v>27</v>
      </c>
      <c r="W104" t="s">
        <v>28</v>
      </c>
      <c r="X104">
        <v>3.278688524590164</v>
      </c>
      <c r="Y104">
        <v>96.721311475409834</v>
      </c>
      <c r="Z104" t="s">
        <v>29</v>
      </c>
      <c r="AA104" t="s">
        <v>30</v>
      </c>
      <c r="AB104" t="s">
        <v>29</v>
      </c>
      <c r="AC104">
        <v>5.2699999999999997E-2</v>
      </c>
    </row>
    <row r="105" spans="1:29" x14ac:dyDescent="0.3">
      <c r="A105">
        <v>723</v>
      </c>
      <c r="B105" s="6">
        <v>40576</v>
      </c>
      <c r="C105">
        <v>1</v>
      </c>
      <c r="D105">
        <v>11</v>
      </c>
      <c r="E105" t="b">
        <v>0</v>
      </c>
      <c r="F105">
        <v>3</v>
      </c>
      <c r="G105">
        <v>2</v>
      </c>
      <c r="H105">
        <v>0.24</v>
      </c>
      <c r="I105">
        <v>0.2273</v>
      </c>
      <c r="J105">
        <v>0.93</v>
      </c>
      <c r="K105">
        <v>0.19400000000000001</v>
      </c>
      <c r="L105">
        <v>5</v>
      </c>
      <c r="M105">
        <v>47</v>
      </c>
      <c r="N105">
        <v>52</v>
      </c>
      <c r="O105" t="s">
        <v>20</v>
      </c>
      <c r="P105" t="s">
        <v>45</v>
      </c>
      <c r="Q105" t="s">
        <v>34</v>
      </c>
      <c r="R105" t="s">
        <v>33</v>
      </c>
      <c r="S105" t="s">
        <v>24</v>
      </c>
      <c r="T105" t="s">
        <v>37</v>
      </c>
      <c r="U105" t="s">
        <v>26</v>
      </c>
      <c r="V105" t="s">
        <v>27</v>
      </c>
      <c r="W105" t="s">
        <v>28</v>
      </c>
      <c r="X105">
        <v>9.6153846153846168</v>
      </c>
      <c r="Y105">
        <v>90.384615384615387</v>
      </c>
      <c r="Z105" t="s">
        <v>29</v>
      </c>
      <c r="AA105" t="s">
        <v>30</v>
      </c>
      <c r="AB105" t="s">
        <v>29</v>
      </c>
      <c r="AC105">
        <v>-1.2699999999999991E-2</v>
      </c>
    </row>
    <row r="106" spans="1:29" x14ac:dyDescent="0.3">
      <c r="A106">
        <v>724</v>
      </c>
      <c r="B106" s="6">
        <v>40576</v>
      </c>
      <c r="C106">
        <v>1</v>
      </c>
      <c r="D106">
        <v>12</v>
      </c>
      <c r="E106" t="b">
        <v>0</v>
      </c>
      <c r="F106">
        <v>3</v>
      </c>
      <c r="G106">
        <v>2</v>
      </c>
      <c r="H106">
        <v>0.24</v>
      </c>
      <c r="I106">
        <v>0.2273</v>
      </c>
      <c r="J106">
        <v>0.93</v>
      </c>
      <c r="K106">
        <v>0.22389999999999999</v>
      </c>
      <c r="L106">
        <v>3</v>
      </c>
      <c r="M106">
        <v>61</v>
      </c>
      <c r="N106">
        <v>64</v>
      </c>
      <c r="O106" t="s">
        <v>20</v>
      </c>
      <c r="P106" t="s">
        <v>45</v>
      </c>
      <c r="Q106" t="s">
        <v>34</v>
      </c>
      <c r="R106" t="s">
        <v>35</v>
      </c>
      <c r="S106" t="s">
        <v>24</v>
      </c>
      <c r="T106" t="s">
        <v>37</v>
      </c>
      <c r="U106" t="s">
        <v>26</v>
      </c>
      <c r="V106" t="s">
        <v>27</v>
      </c>
      <c r="W106" t="s">
        <v>28</v>
      </c>
      <c r="X106">
        <v>4.6875</v>
      </c>
      <c r="Y106">
        <v>95.3125</v>
      </c>
      <c r="Z106" t="s">
        <v>29</v>
      </c>
      <c r="AA106" t="s">
        <v>30</v>
      </c>
      <c r="AB106" t="s">
        <v>29</v>
      </c>
      <c r="AC106">
        <v>-1.2699999999999991E-2</v>
      </c>
    </row>
    <row r="107" spans="1:29" x14ac:dyDescent="0.3">
      <c r="A107">
        <v>725</v>
      </c>
      <c r="B107" s="6">
        <v>40576</v>
      </c>
      <c r="C107">
        <v>1</v>
      </c>
      <c r="D107">
        <v>13</v>
      </c>
      <c r="E107" t="b">
        <v>0</v>
      </c>
      <c r="F107">
        <v>3</v>
      </c>
      <c r="G107">
        <v>1</v>
      </c>
      <c r="H107">
        <v>0.34</v>
      </c>
      <c r="I107">
        <v>0.33329999999999999</v>
      </c>
      <c r="J107">
        <v>0.93</v>
      </c>
      <c r="K107">
        <v>0.16420000000000001</v>
      </c>
      <c r="L107">
        <v>1</v>
      </c>
      <c r="M107">
        <v>74</v>
      </c>
      <c r="N107">
        <v>75</v>
      </c>
      <c r="O107" t="s">
        <v>20</v>
      </c>
      <c r="P107" t="s">
        <v>45</v>
      </c>
      <c r="Q107" t="s">
        <v>22</v>
      </c>
      <c r="R107" t="s">
        <v>35</v>
      </c>
      <c r="S107" t="s">
        <v>40</v>
      </c>
      <c r="T107" t="s">
        <v>37</v>
      </c>
      <c r="U107" t="s">
        <v>26</v>
      </c>
      <c r="V107" t="s">
        <v>27</v>
      </c>
      <c r="W107" t="s">
        <v>28</v>
      </c>
      <c r="X107">
        <v>1.333333333333333</v>
      </c>
      <c r="Y107">
        <v>98.666666666666671</v>
      </c>
      <c r="Z107" t="s">
        <v>29</v>
      </c>
      <c r="AA107" t="s">
        <v>30</v>
      </c>
      <c r="AB107" t="s">
        <v>29</v>
      </c>
      <c r="AC107">
        <v>-6.7000000000000393E-3</v>
      </c>
    </row>
    <row r="108" spans="1:29" x14ac:dyDescent="0.3">
      <c r="A108">
        <v>726</v>
      </c>
      <c r="B108" s="6">
        <v>40576</v>
      </c>
      <c r="C108">
        <v>1</v>
      </c>
      <c r="D108">
        <v>14</v>
      </c>
      <c r="E108" t="b">
        <v>0</v>
      </c>
      <c r="F108">
        <v>3</v>
      </c>
      <c r="G108">
        <v>1</v>
      </c>
      <c r="H108">
        <v>0.38</v>
      </c>
      <c r="I108">
        <v>0.39389999999999997</v>
      </c>
      <c r="J108">
        <v>0.82</v>
      </c>
      <c r="K108">
        <v>0.3881</v>
      </c>
      <c r="L108">
        <v>2</v>
      </c>
      <c r="M108">
        <v>61</v>
      </c>
      <c r="N108">
        <v>63</v>
      </c>
      <c r="O108" t="s">
        <v>20</v>
      </c>
      <c r="P108" t="s">
        <v>45</v>
      </c>
      <c r="Q108" t="s">
        <v>22</v>
      </c>
      <c r="R108" t="s">
        <v>35</v>
      </c>
      <c r="S108" t="s">
        <v>47</v>
      </c>
      <c r="T108" t="s">
        <v>37</v>
      </c>
      <c r="U108" t="s">
        <v>42</v>
      </c>
      <c r="V108" t="s">
        <v>27</v>
      </c>
      <c r="W108" t="s">
        <v>28</v>
      </c>
      <c r="X108">
        <v>3.174603174603174</v>
      </c>
      <c r="Y108">
        <v>96.825396825396822</v>
      </c>
      <c r="Z108" t="s">
        <v>29</v>
      </c>
      <c r="AA108" t="s">
        <v>30</v>
      </c>
      <c r="AB108" t="s">
        <v>29</v>
      </c>
      <c r="AC108">
        <v>1.389999999999997E-2</v>
      </c>
    </row>
    <row r="109" spans="1:29" x14ac:dyDescent="0.3">
      <c r="A109">
        <v>727</v>
      </c>
      <c r="B109" s="6">
        <v>40576</v>
      </c>
      <c r="C109">
        <v>1</v>
      </c>
      <c r="D109">
        <v>15</v>
      </c>
      <c r="E109" t="b">
        <v>0</v>
      </c>
      <c r="F109">
        <v>3</v>
      </c>
      <c r="G109">
        <v>1</v>
      </c>
      <c r="H109">
        <v>0.38</v>
      </c>
      <c r="I109">
        <v>0.39389999999999997</v>
      </c>
      <c r="J109">
        <v>0.76</v>
      </c>
      <c r="K109">
        <v>0.32840000000000003</v>
      </c>
      <c r="L109">
        <v>10</v>
      </c>
      <c r="M109">
        <v>66</v>
      </c>
      <c r="N109">
        <v>76</v>
      </c>
      <c r="O109" t="s">
        <v>20</v>
      </c>
      <c r="P109" t="s">
        <v>45</v>
      </c>
      <c r="Q109" t="s">
        <v>22</v>
      </c>
      <c r="R109" t="s">
        <v>35</v>
      </c>
      <c r="S109" t="s">
        <v>47</v>
      </c>
      <c r="T109" t="s">
        <v>37</v>
      </c>
      <c r="U109" t="s">
        <v>42</v>
      </c>
      <c r="V109" t="s">
        <v>27</v>
      </c>
      <c r="W109" t="s">
        <v>28</v>
      </c>
      <c r="X109">
        <v>13.157894736842101</v>
      </c>
      <c r="Y109">
        <v>86.842105263157904</v>
      </c>
      <c r="Z109" t="s">
        <v>29</v>
      </c>
      <c r="AA109" t="s">
        <v>30</v>
      </c>
      <c r="AB109" t="s">
        <v>29</v>
      </c>
      <c r="AC109">
        <v>1.389999999999997E-2</v>
      </c>
    </row>
    <row r="110" spans="1:29" x14ac:dyDescent="0.3">
      <c r="A110">
        <v>728</v>
      </c>
      <c r="B110" s="6">
        <v>40576</v>
      </c>
      <c r="C110">
        <v>1</v>
      </c>
      <c r="D110">
        <v>16</v>
      </c>
      <c r="E110" t="b">
        <v>0</v>
      </c>
      <c r="F110">
        <v>3</v>
      </c>
      <c r="G110">
        <v>1</v>
      </c>
      <c r="H110">
        <v>0.36</v>
      </c>
      <c r="I110">
        <v>0.33329999999999999</v>
      </c>
      <c r="J110">
        <v>0.71</v>
      </c>
      <c r="K110">
        <v>0.29849999999999999</v>
      </c>
      <c r="L110">
        <v>8</v>
      </c>
      <c r="M110">
        <v>95</v>
      </c>
      <c r="N110">
        <v>103</v>
      </c>
      <c r="O110" t="s">
        <v>20</v>
      </c>
      <c r="P110" t="s">
        <v>45</v>
      </c>
      <c r="Q110" t="s">
        <v>22</v>
      </c>
      <c r="R110" t="s">
        <v>35</v>
      </c>
      <c r="S110" t="s">
        <v>47</v>
      </c>
      <c r="T110" t="s">
        <v>37</v>
      </c>
      <c r="U110" t="s">
        <v>26</v>
      </c>
      <c r="V110" t="s">
        <v>27</v>
      </c>
      <c r="W110" t="s">
        <v>28</v>
      </c>
      <c r="X110">
        <v>7.7669902912621351</v>
      </c>
      <c r="Y110">
        <v>92.233009708737868</v>
      </c>
      <c r="Z110" t="s">
        <v>29</v>
      </c>
      <c r="AA110" t="s">
        <v>25</v>
      </c>
      <c r="AB110" t="s">
        <v>29</v>
      </c>
      <c r="AC110">
        <v>-2.6700000000000002E-2</v>
      </c>
    </row>
    <row r="111" spans="1:29" x14ac:dyDescent="0.3">
      <c r="A111">
        <v>729</v>
      </c>
      <c r="B111" s="6">
        <v>40576</v>
      </c>
      <c r="C111">
        <v>1</v>
      </c>
      <c r="D111">
        <v>17</v>
      </c>
      <c r="E111" t="b">
        <v>0</v>
      </c>
      <c r="F111">
        <v>3</v>
      </c>
      <c r="G111">
        <v>1</v>
      </c>
      <c r="H111">
        <v>0.36</v>
      </c>
      <c r="I111">
        <v>0.31819999999999998</v>
      </c>
      <c r="J111">
        <v>0.53</v>
      </c>
      <c r="K111">
        <v>0.52239999999999998</v>
      </c>
      <c r="L111">
        <v>7</v>
      </c>
      <c r="M111">
        <v>183</v>
      </c>
      <c r="N111">
        <v>190</v>
      </c>
      <c r="O111" t="s">
        <v>20</v>
      </c>
      <c r="P111" t="s">
        <v>45</v>
      </c>
      <c r="Q111" t="s">
        <v>22</v>
      </c>
      <c r="R111" t="s">
        <v>36</v>
      </c>
      <c r="S111" t="s">
        <v>47</v>
      </c>
      <c r="T111" t="s">
        <v>25</v>
      </c>
      <c r="U111" t="s">
        <v>42</v>
      </c>
      <c r="V111" t="s">
        <v>27</v>
      </c>
      <c r="W111" t="s">
        <v>28</v>
      </c>
      <c r="X111">
        <v>3.6842105263157889</v>
      </c>
      <c r="Y111">
        <v>96.315789473684205</v>
      </c>
      <c r="Z111" t="s">
        <v>31</v>
      </c>
      <c r="AA111" t="s">
        <v>25</v>
      </c>
      <c r="AB111" t="s">
        <v>29</v>
      </c>
      <c r="AC111">
        <v>-4.1799999999999997E-2</v>
      </c>
    </row>
    <row r="112" spans="1:29" x14ac:dyDescent="0.3">
      <c r="A112">
        <v>730</v>
      </c>
      <c r="B112" s="6">
        <v>40576</v>
      </c>
      <c r="C112">
        <v>1</v>
      </c>
      <c r="D112">
        <v>18</v>
      </c>
      <c r="E112" t="b">
        <v>0</v>
      </c>
      <c r="F112">
        <v>3</v>
      </c>
      <c r="G112">
        <v>1</v>
      </c>
      <c r="H112">
        <v>0.34</v>
      </c>
      <c r="I112">
        <v>0.28789999999999999</v>
      </c>
      <c r="J112">
        <v>0.42</v>
      </c>
      <c r="K112">
        <v>0.55220000000000002</v>
      </c>
      <c r="L112">
        <v>7</v>
      </c>
      <c r="M112">
        <v>175</v>
      </c>
      <c r="N112">
        <v>182</v>
      </c>
      <c r="O112" t="s">
        <v>20</v>
      </c>
      <c r="P112" t="s">
        <v>45</v>
      </c>
      <c r="Q112" t="s">
        <v>22</v>
      </c>
      <c r="R112" t="s">
        <v>36</v>
      </c>
      <c r="S112" t="s">
        <v>40</v>
      </c>
      <c r="T112" t="s">
        <v>25</v>
      </c>
      <c r="U112" t="s">
        <v>42</v>
      </c>
      <c r="V112" t="s">
        <v>27</v>
      </c>
      <c r="W112" t="s">
        <v>28</v>
      </c>
      <c r="X112">
        <v>3.8461538461538458</v>
      </c>
      <c r="Y112">
        <v>96.15384615384616</v>
      </c>
      <c r="Z112" t="s">
        <v>31</v>
      </c>
      <c r="AA112" t="s">
        <v>25</v>
      </c>
      <c r="AB112" t="s">
        <v>29</v>
      </c>
      <c r="AC112">
        <v>-5.2100000000000042E-2</v>
      </c>
    </row>
    <row r="113" spans="1:29" x14ac:dyDescent="0.3">
      <c r="A113">
        <v>731</v>
      </c>
      <c r="B113" s="6">
        <v>40576</v>
      </c>
      <c r="C113">
        <v>1</v>
      </c>
      <c r="D113">
        <v>19</v>
      </c>
      <c r="E113" t="b">
        <v>0</v>
      </c>
      <c r="F113">
        <v>3</v>
      </c>
      <c r="G113">
        <v>1</v>
      </c>
      <c r="H113">
        <v>0.28000000000000003</v>
      </c>
      <c r="I113">
        <v>0.2424</v>
      </c>
      <c r="J113">
        <v>0.45</v>
      </c>
      <c r="K113">
        <v>0.49249999999999999</v>
      </c>
      <c r="L113">
        <v>3</v>
      </c>
      <c r="M113">
        <v>88</v>
      </c>
      <c r="N113">
        <v>91</v>
      </c>
      <c r="O113" t="s">
        <v>20</v>
      </c>
      <c r="P113" t="s">
        <v>45</v>
      </c>
      <c r="Q113" t="s">
        <v>22</v>
      </c>
      <c r="R113" t="s">
        <v>36</v>
      </c>
      <c r="S113" t="s">
        <v>40</v>
      </c>
      <c r="T113" t="s">
        <v>25</v>
      </c>
      <c r="U113" t="s">
        <v>42</v>
      </c>
      <c r="V113" t="s">
        <v>27</v>
      </c>
      <c r="W113" t="s">
        <v>28</v>
      </c>
      <c r="X113">
        <v>3.296703296703297</v>
      </c>
      <c r="Y113">
        <v>96.703296703296701</v>
      </c>
      <c r="Z113" t="s">
        <v>31</v>
      </c>
      <c r="AA113" t="s">
        <v>30</v>
      </c>
      <c r="AB113" t="s">
        <v>29</v>
      </c>
      <c r="AC113">
        <v>-3.7600000000000022E-2</v>
      </c>
    </row>
    <row r="114" spans="1:29" x14ac:dyDescent="0.3">
      <c r="A114">
        <v>732</v>
      </c>
      <c r="B114" s="6">
        <v>40576</v>
      </c>
      <c r="C114">
        <v>1</v>
      </c>
      <c r="D114">
        <v>20</v>
      </c>
      <c r="E114" t="b">
        <v>0</v>
      </c>
      <c r="F114">
        <v>3</v>
      </c>
      <c r="G114">
        <v>1</v>
      </c>
      <c r="H114">
        <v>0.24</v>
      </c>
      <c r="I114">
        <v>0.19700000000000001</v>
      </c>
      <c r="J114">
        <v>0.48</v>
      </c>
      <c r="K114">
        <v>0.55220000000000002</v>
      </c>
      <c r="L114">
        <v>4</v>
      </c>
      <c r="M114">
        <v>71</v>
      </c>
      <c r="N114">
        <v>75</v>
      </c>
      <c r="O114" t="s">
        <v>20</v>
      </c>
      <c r="P114" t="s">
        <v>45</v>
      </c>
      <c r="Q114" t="s">
        <v>22</v>
      </c>
      <c r="R114" t="s">
        <v>36</v>
      </c>
      <c r="S114" t="s">
        <v>24</v>
      </c>
      <c r="T114" t="s">
        <v>25</v>
      </c>
      <c r="U114" t="s">
        <v>42</v>
      </c>
      <c r="V114" t="s">
        <v>27</v>
      </c>
      <c r="W114" t="s">
        <v>28</v>
      </c>
      <c r="X114">
        <v>5.3333333333333339</v>
      </c>
      <c r="Y114">
        <v>94.666666666666671</v>
      </c>
      <c r="Z114" t="s">
        <v>29</v>
      </c>
      <c r="AA114" t="s">
        <v>30</v>
      </c>
      <c r="AB114" t="s">
        <v>29</v>
      </c>
      <c r="AC114">
        <v>-4.2999999999999983E-2</v>
      </c>
    </row>
    <row r="115" spans="1:29" x14ac:dyDescent="0.3">
      <c r="A115">
        <v>733</v>
      </c>
      <c r="B115" s="6">
        <v>40576</v>
      </c>
      <c r="C115">
        <v>1</v>
      </c>
      <c r="D115">
        <v>21</v>
      </c>
      <c r="E115" t="b">
        <v>0</v>
      </c>
      <c r="F115">
        <v>3</v>
      </c>
      <c r="G115">
        <v>1</v>
      </c>
      <c r="H115">
        <v>0.22</v>
      </c>
      <c r="I115">
        <v>0.19700000000000001</v>
      </c>
      <c r="J115">
        <v>0.47</v>
      </c>
      <c r="K115">
        <v>0.32840000000000003</v>
      </c>
      <c r="L115">
        <v>1</v>
      </c>
      <c r="M115">
        <v>62</v>
      </c>
      <c r="N115">
        <v>63</v>
      </c>
      <c r="O115" t="s">
        <v>20</v>
      </c>
      <c r="P115" t="s">
        <v>45</v>
      </c>
      <c r="Q115" t="s">
        <v>22</v>
      </c>
      <c r="R115" t="s">
        <v>23</v>
      </c>
      <c r="S115" t="s">
        <v>24</v>
      </c>
      <c r="T115" t="s">
        <v>25</v>
      </c>
      <c r="U115" t="s">
        <v>42</v>
      </c>
      <c r="V115" t="s">
        <v>27</v>
      </c>
      <c r="W115" t="s">
        <v>28</v>
      </c>
      <c r="X115">
        <v>1.587301587301587</v>
      </c>
      <c r="Y115">
        <v>98.412698412698404</v>
      </c>
      <c r="Z115" t="s">
        <v>29</v>
      </c>
      <c r="AA115" t="s">
        <v>30</v>
      </c>
      <c r="AB115" t="s">
        <v>29</v>
      </c>
      <c r="AC115">
        <v>-2.2999999999999989E-2</v>
      </c>
    </row>
    <row r="116" spans="1:29" x14ac:dyDescent="0.3">
      <c r="A116">
        <v>734</v>
      </c>
      <c r="B116" s="6">
        <v>40576</v>
      </c>
      <c r="C116">
        <v>1</v>
      </c>
      <c r="D116">
        <v>22</v>
      </c>
      <c r="E116" t="b">
        <v>0</v>
      </c>
      <c r="F116">
        <v>3</v>
      </c>
      <c r="G116">
        <v>1</v>
      </c>
      <c r="H116">
        <v>0.22</v>
      </c>
      <c r="I116">
        <v>0.21210000000000001</v>
      </c>
      <c r="J116">
        <v>0.44</v>
      </c>
      <c r="K116">
        <v>0.25369999999999998</v>
      </c>
      <c r="L116">
        <v>5</v>
      </c>
      <c r="M116">
        <v>35</v>
      </c>
      <c r="N116">
        <v>40</v>
      </c>
      <c r="O116" t="s">
        <v>20</v>
      </c>
      <c r="P116" t="s">
        <v>45</v>
      </c>
      <c r="Q116" t="s">
        <v>22</v>
      </c>
      <c r="R116" t="s">
        <v>23</v>
      </c>
      <c r="S116" t="s">
        <v>24</v>
      </c>
      <c r="T116" t="s">
        <v>25</v>
      </c>
      <c r="U116" t="s">
        <v>26</v>
      </c>
      <c r="V116" t="s">
        <v>27</v>
      </c>
      <c r="W116" t="s">
        <v>28</v>
      </c>
      <c r="X116">
        <v>12.5</v>
      </c>
      <c r="Y116">
        <v>87.5</v>
      </c>
      <c r="Z116" t="s">
        <v>29</v>
      </c>
      <c r="AA116" t="s">
        <v>30</v>
      </c>
      <c r="AB116" t="s">
        <v>29</v>
      </c>
      <c r="AC116">
        <v>-7.8999999999999904E-3</v>
      </c>
    </row>
    <row r="117" spans="1:29" x14ac:dyDescent="0.3">
      <c r="A117">
        <v>735</v>
      </c>
      <c r="B117" s="6">
        <v>40576</v>
      </c>
      <c r="C117">
        <v>1</v>
      </c>
      <c r="D117">
        <v>23</v>
      </c>
      <c r="E117" t="b">
        <v>0</v>
      </c>
      <c r="F117">
        <v>3</v>
      </c>
      <c r="G117">
        <v>1</v>
      </c>
      <c r="H117">
        <v>0.2</v>
      </c>
      <c r="I117">
        <v>0.16669999999999999</v>
      </c>
      <c r="J117">
        <v>0.44</v>
      </c>
      <c r="K117">
        <v>0.44779999999999998</v>
      </c>
      <c r="L117">
        <v>3</v>
      </c>
      <c r="M117">
        <v>29</v>
      </c>
      <c r="N117">
        <v>32</v>
      </c>
      <c r="O117" t="s">
        <v>20</v>
      </c>
      <c r="P117" t="s">
        <v>45</v>
      </c>
      <c r="Q117" t="s">
        <v>22</v>
      </c>
      <c r="R117" t="s">
        <v>23</v>
      </c>
      <c r="S117" t="s">
        <v>24</v>
      </c>
      <c r="T117" t="s">
        <v>25</v>
      </c>
      <c r="U117" t="s">
        <v>42</v>
      </c>
      <c r="V117" t="s">
        <v>27</v>
      </c>
      <c r="W117" t="s">
        <v>28</v>
      </c>
      <c r="X117">
        <v>9.375</v>
      </c>
      <c r="Y117">
        <v>90.625</v>
      </c>
      <c r="Z117" t="s">
        <v>29</v>
      </c>
      <c r="AA117" t="s">
        <v>30</v>
      </c>
      <c r="AB117" t="s">
        <v>29</v>
      </c>
      <c r="AC117">
        <v>-3.3300000000000017E-2</v>
      </c>
    </row>
    <row r="118" spans="1:29" x14ac:dyDescent="0.3">
      <c r="A118">
        <v>736</v>
      </c>
      <c r="B118" s="6">
        <v>40577</v>
      </c>
      <c r="C118">
        <v>1</v>
      </c>
      <c r="D118">
        <v>0</v>
      </c>
      <c r="E118" t="b">
        <v>0</v>
      </c>
      <c r="F118">
        <v>4</v>
      </c>
      <c r="G118">
        <v>1</v>
      </c>
      <c r="H118">
        <v>0.2</v>
      </c>
      <c r="I118">
        <v>0.16669999999999999</v>
      </c>
      <c r="J118">
        <v>0.4</v>
      </c>
      <c r="K118">
        <v>0.44779999999999998</v>
      </c>
      <c r="L118">
        <v>1</v>
      </c>
      <c r="M118">
        <v>11</v>
      </c>
      <c r="N118">
        <v>12</v>
      </c>
      <c r="O118" t="s">
        <v>20</v>
      </c>
      <c r="P118" t="s">
        <v>48</v>
      </c>
      <c r="Q118" t="s">
        <v>22</v>
      </c>
      <c r="R118" t="s">
        <v>23</v>
      </c>
      <c r="S118" t="s">
        <v>24</v>
      </c>
      <c r="T118" t="s">
        <v>25</v>
      </c>
      <c r="U118" t="s">
        <v>42</v>
      </c>
      <c r="V118" t="s">
        <v>27</v>
      </c>
      <c r="W118" t="s">
        <v>28</v>
      </c>
      <c r="X118">
        <v>8.3333333333333321</v>
      </c>
      <c r="Y118">
        <v>91.666666666666657</v>
      </c>
      <c r="Z118" t="s">
        <v>29</v>
      </c>
      <c r="AA118" t="s">
        <v>30</v>
      </c>
      <c r="AB118" t="s">
        <v>29</v>
      </c>
      <c r="AC118">
        <v>-3.3300000000000017E-2</v>
      </c>
    </row>
    <row r="119" spans="1:29" x14ac:dyDescent="0.3">
      <c r="A119">
        <v>737</v>
      </c>
      <c r="B119" s="6">
        <v>40577</v>
      </c>
      <c r="C119">
        <v>1</v>
      </c>
      <c r="D119">
        <v>1</v>
      </c>
      <c r="E119" t="b">
        <v>0</v>
      </c>
      <c r="F119">
        <v>4</v>
      </c>
      <c r="G119">
        <v>1</v>
      </c>
      <c r="H119">
        <v>0.2</v>
      </c>
      <c r="I119">
        <v>0.1515</v>
      </c>
      <c r="J119">
        <v>0.44</v>
      </c>
      <c r="K119">
        <v>0.52239999999999998</v>
      </c>
      <c r="L119">
        <v>0</v>
      </c>
      <c r="M119">
        <v>5</v>
      </c>
      <c r="N119">
        <v>5</v>
      </c>
      <c r="O119" t="s">
        <v>20</v>
      </c>
      <c r="P119" t="s">
        <v>48</v>
      </c>
      <c r="Q119" t="s">
        <v>22</v>
      </c>
      <c r="R119" t="s">
        <v>23</v>
      </c>
      <c r="S119" t="s">
        <v>24</v>
      </c>
      <c r="T119" t="s">
        <v>25</v>
      </c>
      <c r="U119" t="s">
        <v>42</v>
      </c>
      <c r="V119" t="s">
        <v>27</v>
      </c>
      <c r="W119" t="s">
        <v>28</v>
      </c>
      <c r="X119">
        <v>0</v>
      </c>
      <c r="Y119">
        <v>100</v>
      </c>
      <c r="Z119" t="s">
        <v>29</v>
      </c>
      <c r="AA119" t="s">
        <v>30</v>
      </c>
      <c r="AB119" t="s">
        <v>29</v>
      </c>
      <c r="AC119">
        <v>-4.8500000000000022E-2</v>
      </c>
    </row>
    <row r="120" spans="1:29" x14ac:dyDescent="0.3">
      <c r="A120">
        <v>738</v>
      </c>
      <c r="B120" s="6">
        <v>40577</v>
      </c>
      <c r="C120">
        <v>1</v>
      </c>
      <c r="D120">
        <v>2</v>
      </c>
      <c r="E120" t="b">
        <v>0</v>
      </c>
      <c r="F120">
        <v>4</v>
      </c>
      <c r="G120">
        <v>1</v>
      </c>
      <c r="H120">
        <v>0.18</v>
      </c>
      <c r="I120">
        <v>0.16669999999999999</v>
      </c>
      <c r="J120">
        <v>0.43</v>
      </c>
      <c r="K120">
        <v>0.25369999999999998</v>
      </c>
      <c r="L120">
        <v>0</v>
      </c>
      <c r="M120">
        <v>2</v>
      </c>
      <c r="N120">
        <v>2</v>
      </c>
      <c r="O120" t="s">
        <v>20</v>
      </c>
      <c r="P120" t="s">
        <v>48</v>
      </c>
      <c r="Q120" t="s">
        <v>22</v>
      </c>
      <c r="R120" t="s">
        <v>23</v>
      </c>
      <c r="S120" t="s">
        <v>24</v>
      </c>
      <c r="T120" t="s">
        <v>25</v>
      </c>
      <c r="U120" t="s">
        <v>26</v>
      </c>
      <c r="V120" t="s">
        <v>27</v>
      </c>
      <c r="W120" t="s">
        <v>28</v>
      </c>
      <c r="X120">
        <v>0</v>
      </c>
      <c r="Y120">
        <v>100</v>
      </c>
      <c r="Z120" t="s">
        <v>29</v>
      </c>
      <c r="AA120" t="s">
        <v>30</v>
      </c>
      <c r="AB120" t="s">
        <v>29</v>
      </c>
      <c r="AC120">
        <v>-1.330000000000001E-2</v>
      </c>
    </row>
    <row r="121" spans="1:29" x14ac:dyDescent="0.3">
      <c r="A121">
        <v>739</v>
      </c>
      <c r="B121" s="6">
        <v>40577</v>
      </c>
      <c r="C121">
        <v>1</v>
      </c>
      <c r="D121">
        <v>3</v>
      </c>
      <c r="E121" t="b">
        <v>0</v>
      </c>
      <c r="F121">
        <v>4</v>
      </c>
      <c r="G121">
        <v>1</v>
      </c>
      <c r="H121">
        <v>0.18</v>
      </c>
      <c r="I121">
        <v>0.16669999999999999</v>
      </c>
      <c r="J121">
        <v>0.43</v>
      </c>
      <c r="K121">
        <v>0.25369999999999998</v>
      </c>
      <c r="L121">
        <v>0</v>
      </c>
      <c r="M121">
        <v>1</v>
      </c>
      <c r="N121">
        <v>1</v>
      </c>
      <c r="O121" t="s">
        <v>20</v>
      </c>
      <c r="P121" t="s">
        <v>48</v>
      </c>
      <c r="Q121" t="s">
        <v>22</v>
      </c>
      <c r="R121" t="s">
        <v>23</v>
      </c>
      <c r="S121" t="s">
        <v>24</v>
      </c>
      <c r="T121" t="s">
        <v>25</v>
      </c>
      <c r="U121" t="s">
        <v>26</v>
      </c>
      <c r="V121" t="s">
        <v>27</v>
      </c>
      <c r="W121" t="s">
        <v>28</v>
      </c>
      <c r="X121">
        <v>0</v>
      </c>
      <c r="Y121">
        <v>100</v>
      </c>
      <c r="Z121" t="s">
        <v>29</v>
      </c>
      <c r="AA121" t="s">
        <v>30</v>
      </c>
      <c r="AB121" t="s">
        <v>29</v>
      </c>
      <c r="AC121">
        <v>-1.330000000000001E-2</v>
      </c>
    </row>
    <row r="122" spans="1:29" x14ac:dyDescent="0.3">
      <c r="A122">
        <v>740</v>
      </c>
      <c r="B122" s="6">
        <v>40577</v>
      </c>
      <c r="C122">
        <v>1</v>
      </c>
      <c r="D122">
        <v>5</v>
      </c>
      <c r="E122" t="b">
        <v>0</v>
      </c>
      <c r="F122">
        <v>4</v>
      </c>
      <c r="G122">
        <v>1</v>
      </c>
      <c r="H122">
        <v>0.16</v>
      </c>
      <c r="I122">
        <v>0.13639999999999999</v>
      </c>
      <c r="J122">
        <v>0.5</v>
      </c>
      <c r="K122">
        <v>0.29849999999999999</v>
      </c>
      <c r="L122">
        <v>0</v>
      </c>
      <c r="M122">
        <v>2</v>
      </c>
      <c r="N122">
        <v>2</v>
      </c>
      <c r="O122" t="s">
        <v>20</v>
      </c>
      <c r="P122" t="s">
        <v>48</v>
      </c>
      <c r="Q122" t="s">
        <v>22</v>
      </c>
      <c r="R122" t="s">
        <v>23</v>
      </c>
      <c r="S122" t="s">
        <v>24</v>
      </c>
      <c r="T122" t="s">
        <v>25</v>
      </c>
      <c r="U122" t="s">
        <v>26</v>
      </c>
      <c r="V122" t="s">
        <v>27</v>
      </c>
      <c r="W122" t="s">
        <v>28</v>
      </c>
      <c r="X122">
        <v>0</v>
      </c>
      <c r="Y122">
        <v>100</v>
      </c>
      <c r="Z122" t="s">
        <v>29</v>
      </c>
      <c r="AA122" t="s">
        <v>30</v>
      </c>
      <c r="AB122" t="s">
        <v>29</v>
      </c>
      <c r="AC122">
        <v>-2.360000000000001E-2</v>
      </c>
    </row>
    <row r="123" spans="1:29" x14ac:dyDescent="0.3">
      <c r="A123">
        <v>741</v>
      </c>
      <c r="B123" s="6">
        <v>40577</v>
      </c>
      <c r="C123">
        <v>1</v>
      </c>
      <c r="D123">
        <v>6</v>
      </c>
      <c r="E123" t="b">
        <v>0</v>
      </c>
      <c r="F123">
        <v>4</v>
      </c>
      <c r="G123">
        <v>1</v>
      </c>
      <c r="H123">
        <v>0.16</v>
      </c>
      <c r="I123">
        <v>0.13639999999999999</v>
      </c>
      <c r="J123">
        <v>0.43</v>
      </c>
      <c r="K123">
        <v>0.35820000000000002</v>
      </c>
      <c r="L123">
        <v>0</v>
      </c>
      <c r="M123">
        <v>39</v>
      </c>
      <c r="N123">
        <v>39</v>
      </c>
      <c r="O123" t="s">
        <v>20</v>
      </c>
      <c r="P123" t="s">
        <v>48</v>
      </c>
      <c r="Q123" t="s">
        <v>22</v>
      </c>
      <c r="R123" t="s">
        <v>33</v>
      </c>
      <c r="S123" t="s">
        <v>24</v>
      </c>
      <c r="T123" t="s">
        <v>25</v>
      </c>
      <c r="U123" t="s">
        <v>42</v>
      </c>
      <c r="V123" t="s">
        <v>27</v>
      </c>
      <c r="W123" t="s">
        <v>28</v>
      </c>
      <c r="X123">
        <v>0</v>
      </c>
      <c r="Y123">
        <v>100</v>
      </c>
      <c r="Z123" t="s">
        <v>29</v>
      </c>
      <c r="AA123" t="s">
        <v>30</v>
      </c>
      <c r="AB123" t="s">
        <v>29</v>
      </c>
      <c r="AC123">
        <v>-2.360000000000001E-2</v>
      </c>
    </row>
    <row r="124" spans="1:29" x14ac:dyDescent="0.3">
      <c r="A124">
        <v>742</v>
      </c>
      <c r="B124" s="6">
        <v>40577</v>
      </c>
      <c r="C124">
        <v>1</v>
      </c>
      <c r="D124">
        <v>7</v>
      </c>
      <c r="E124" t="b">
        <v>0</v>
      </c>
      <c r="F124">
        <v>4</v>
      </c>
      <c r="G124">
        <v>1</v>
      </c>
      <c r="H124">
        <v>0.14000000000000001</v>
      </c>
      <c r="I124">
        <v>0.1212</v>
      </c>
      <c r="J124">
        <v>0.5</v>
      </c>
      <c r="K124">
        <v>0.32840000000000003</v>
      </c>
      <c r="L124">
        <v>1</v>
      </c>
      <c r="M124">
        <v>86</v>
      </c>
      <c r="N124">
        <v>87</v>
      </c>
      <c r="O124" t="s">
        <v>20</v>
      </c>
      <c r="P124" t="s">
        <v>48</v>
      </c>
      <c r="Q124" t="s">
        <v>22</v>
      </c>
      <c r="R124" t="s">
        <v>33</v>
      </c>
      <c r="S124" t="s">
        <v>39</v>
      </c>
      <c r="T124" t="s">
        <v>25</v>
      </c>
      <c r="U124" t="s">
        <v>42</v>
      </c>
      <c r="V124" t="s">
        <v>27</v>
      </c>
      <c r="W124" t="s">
        <v>28</v>
      </c>
      <c r="X124">
        <v>1.149425287356322</v>
      </c>
      <c r="Y124">
        <v>98.850574712643677</v>
      </c>
      <c r="Z124" t="s">
        <v>31</v>
      </c>
      <c r="AA124" t="s">
        <v>30</v>
      </c>
      <c r="AB124" t="s">
        <v>29</v>
      </c>
      <c r="AC124">
        <v>-1.8800000000000011E-2</v>
      </c>
    </row>
    <row r="125" spans="1:29" x14ac:dyDescent="0.3">
      <c r="A125">
        <v>743</v>
      </c>
      <c r="B125" s="6">
        <v>40577</v>
      </c>
      <c r="C125">
        <v>1</v>
      </c>
      <c r="D125">
        <v>8</v>
      </c>
      <c r="E125" t="b">
        <v>0</v>
      </c>
      <c r="F125">
        <v>4</v>
      </c>
      <c r="G125">
        <v>1</v>
      </c>
      <c r="H125">
        <v>0.14000000000000001</v>
      </c>
      <c r="I125">
        <v>0.1212</v>
      </c>
      <c r="J125">
        <v>0.5</v>
      </c>
      <c r="K125">
        <v>0.35820000000000002</v>
      </c>
      <c r="L125">
        <v>4</v>
      </c>
      <c r="M125">
        <v>184</v>
      </c>
      <c r="N125">
        <v>188</v>
      </c>
      <c r="O125" t="s">
        <v>20</v>
      </c>
      <c r="P125" t="s">
        <v>48</v>
      </c>
      <c r="Q125" t="s">
        <v>22</v>
      </c>
      <c r="R125" t="s">
        <v>33</v>
      </c>
      <c r="S125" t="s">
        <v>39</v>
      </c>
      <c r="T125" t="s">
        <v>25</v>
      </c>
      <c r="U125" t="s">
        <v>42</v>
      </c>
      <c r="V125" t="s">
        <v>27</v>
      </c>
      <c r="W125" t="s">
        <v>28</v>
      </c>
      <c r="X125">
        <v>2.1276595744680851</v>
      </c>
      <c r="Y125">
        <v>97.872340425531917</v>
      </c>
      <c r="Z125" t="s">
        <v>31</v>
      </c>
      <c r="AA125" t="s">
        <v>25</v>
      </c>
      <c r="AB125" t="s">
        <v>29</v>
      </c>
      <c r="AC125">
        <v>-1.8800000000000011E-2</v>
      </c>
    </row>
    <row r="126" spans="1:29" x14ac:dyDescent="0.3">
      <c r="A126">
        <v>744</v>
      </c>
      <c r="B126" s="6">
        <v>40577</v>
      </c>
      <c r="C126">
        <v>1</v>
      </c>
      <c r="D126">
        <v>9</v>
      </c>
      <c r="E126" t="b">
        <v>0</v>
      </c>
      <c r="F126">
        <v>4</v>
      </c>
      <c r="G126">
        <v>1</v>
      </c>
      <c r="H126">
        <v>0.16</v>
      </c>
      <c r="I126">
        <v>0.13639999999999999</v>
      </c>
      <c r="J126">
        <v>0.47</v>
      </c>
      <c r="K126">
        <v>0.29849999999999999</v>
      </c>
      <c r="L126">
        <v>6</v>
      </c>
      <c r="M126">
        <v>127</v>
      </c>
      <c r="N126">
        <v>133</v>
      </c>
      <c r="O126" t="s">
        <v>20</v>
      </c>
      <c r="P126" t="s">
        <v>48</v>
      </c>
      <c r="Q126" t="s">
        <v>22</v>
      </c>
      <c r="R126" t="s">
        <v>33</v>
      </c>
      <c r="S126" t="s">
        <v>24</v>
      </c>
      <c r="T126" t="s">
        <v>25</v>
      </c>
      <c r="U126" t="s">
        <v>26</v>
      </c>
      <c r="V126" t="s">
        <v>27</v>
      </c>
      <c r="W126" t="s">
        <v>28</v>
      </c>
      <c r="X126">
        <v>4.5112781954887211</v>
      </c>
      <c r="Y126">
        <v>95.488721804511272</v>
      </c>
      <c r="Z126" t="s">
        <v>31</v>
      </c>
      <c r="AA126" t="s">
        <v>25</v>
      </c>
      <c r="AB126" t="s">
        <v>29</v>
      </c>
      <c r="AC126">
        <v>-2.360000000000001E-2</v>
      </c>
    </row>
    <row r="127" spans="1:29" x14ac:dyDescent="0.3">
      <c r="A127">
        <v>745</v>
      </c>
      <c r="B127" s="6">
        <v>40577</v>
      </c>
      <c r="C127">
        <v>1</v>
      </c>
      <c r="D127">
        <v>10</v>
      </c>
      <c r="E127" t="b">
        <v>0</v>
      </c>
      <c r="F127">
        <v>4</v>
      </c>
      <c r="G127">
        <v>1</v>
      </c>
      <c r="H127">
        <v>0.18</v>
      </c>
      <c r="I127">
        <v>0.1515</v>
      </c>
      <c r="J127">
        <v>0.43</v>
      </c>
      <c r="K127">
        <v>0.32840000000000003</v>
      </c>
      <c r="L127">
        <v>2</v>
      </c>
      <c r="M127">
        <v>50</v>
      </c>
      <c r="N127">
        <v>52</v>
      </c>
      <c r="O127" t="s">
        <v>20</v>
      </c>
      <c r="P127" t="s">
        <v>48</v>
      </c>
      <c r="Q127" t="s">
        <v>22</v>
      </c>
      <c r="R127" t="s">
        <v>33</v>
      </c>
      <c r="S127" t="s">
        <v>24</v>
      </c>
      <c r="T127" t="s">
        <v>25</v>
      </c>
      <c r="U127" t="s">
        <v>42</v>
      </c>
      <c r="V127" t="s">
        <v>27</v>
      </c>
      <c r="W127" t="s">
        <v>28</v>
      </c>
      <c r="X127">
        <v>3.8461538461538458</v>
      </c>
      <c r="Y127">
        <v>96.15384615384616</v>
      </c>
      <c r="Z127" t="s">
        <v>29</v>
      </c>
      <c r="AA127" t="s">
        <v>30</v>
      </c>
      <c r="AB127" t="s">
        <v>29</v>
      </c>
      <c r="AC127">
        <v>-2.8500000000000001E-2</v>
      </c>
    </row>
    <row r="128" spans="1:29" x14ac:dyDescent="0.3">
      <c r="A128">
        <v>746</v>
      </c>
      <c r="B128" s="6">
        <v>40577</v>
      </c>
      <c r="C128">
        <v>1</v>
      </c>
      <c r="D128">
        <v>11</v>
      </c>
      <c r="E128" t="b">
        <v>0</v>
      </c>
      <c r="F128">
        <v>4</v>
      </c>
      <c r="G128">
        <v>1</v>
      </c>
      <c r="H128">
        <v>0.18</v>
      </c>
      <c r="I128">
        <v>0.13639999999999999</v>
      </c>
      <c r="J128">
        <v>0.43</v>
      </c>
      <c r="K128">
        <v>0.44779999999999998</v>
      </c>
      <c r="L128">
        <v>9</v>
      </c>
      <c r="M128">
        <v>55</v>
      </c>
      <c r="N128">
        <v>64</v>
      </c>
      <c r="O128" t="s">
        <v>20</v>
      </c>
      <c r="P128" t="s">
        <v>48</v>
      </c>
      <c r="Q128" t="s">
        <v>22</v>
      </c>
      <c r="R128" t="s">
        <v>33</v>
      </c>
      <c r="S128" t="s">
        <v>24</v>
      </c>
      <c r="T128" t="s">
        <v>25</v>
      </c>
      <c r="U128" t="s">
        <v>42</v>
      </c>
      <c r="V128" t="s">
        <v>27</v>
      </c>
      <c r="W128" t="s">
        <v>28</v>
      </c>
      <c r="X128">
        <v>14.0625</v>
      </c>
      <c r="Y128">
        <v>85.9375</v>
      </c>
      <c r="Z128" t="s">
        <v>29</v>
      </c>
      <c r="AA128" t="s">
        <v>30</v>
      </c>
      <c r="AB128" t="s">
        <v>29</v>
      </c>
      <c r="AC128">
        <v>-4.36E-2</v>
      </c>
    </row>
    <row r="129" spans="1:29" x14ac:dyDescent="0.3">
      <c r="A129">
        <v>747</v>
      </c>
      <c r="B129" s="6">
        <v>40577</v>
      </c>
      <c r="C129">
        <v>1</v>
      </c>
      <c r="D129">
        <v>12</v>
      </c>
      <c r="E129" t="b">
        <v>0</v>
      </c>
      <c r="F129">
        <v>4</v>
      </c>
      <c r="G129">
        <v>1</v>
      </c>
      <c r="H129">
        <v>0.2</v>
      </c>
      <c r="I129">
        <v>0.18179999999999999</v>
      </c>
      <c r="J129">
        <v>0.4</v>
      </c>
      <c r="K129">
        <v>0.35820000000000002</v>
      </c>
      <c r="L129">
        <v>2</v>
      </c>
      <c r="M129">
        <v>67</v>
      </c>
      <c r="N129">
        <v>69</v>
      </c>
      <c r="O129" t="s">
        <v>20</v>
      </c>
      <c r="P129" t="s">
        <v>48</v>
      </c>
      <c r="Q129" t="s">
        <v>22</v>
      </c>
      <c r="R129" t="s">
        <v>35</v>
      </c>
      <c r="S129" t="s">
        <v>24</v>
      </c>
      <c r="T129" t="s">
        <v>25</v>
      </c>
      <c r="U129" t="s">
        <v>42</v>
      </c>
      <c r="V129" t="s">
        <v>27</v>
      </c>
      <c r="W129" t="s">
        <v>28</v>
      </c>
      <c r="X129">
        <v>2.8985507246376812</v>
      </c>
      <c r="Y129">
        <v>97.101449275362313</v>
      </c>
      <c r="Z129" t="s">
        <v>29</v>
      </c>
      <c r="AA129" t="s">
        <v>30</v>
      </c>
      <c r="AB129" t="s">
        <v>29</v>
      </c>
      <c r="AC129">
        <v>-1.8200000000000022E-2</v>
      </c>
    </row>
    <row r="130" spans="1:29" x14ac:dyDescent="0.3">
      <c r="A130">
        <v>748</v>
      </c>
      <c r="B130" s="6">
        <v>40577</v>
      </c>
      <c r="C130">
        <v>1</v>
      </c>
      <c r="D130">
        <v>13</v>
      </c>
      <c r="E130" t="b">
        <v>0</v>
      </c>
      <c r="F130">
        <v>4</v>
      </c>
      <c r="G130">
        <v>1</v>
      </c>
      <c r="H130">
        <v>0.2</v>
      </c>
      <c r="I130">
        <v>0.16669999999999999</v>
      </c>
      <c r="J130">
        <v>0.4</v>
      </c>
      <c r="K130">
        <v>0.41789999999999999</v>
      </c>
      <c r="L130">
        <v>4</v>
      </c>
      <c r="M130">
        <v>47</v>
      </c>
      <c r="N130">
        <v>51</v>
      </c>
      <c r="O130" t="s">
        <v>20</v>
      </c>
      <c r="P130" t="s">
        <v>48</v>
      </c>
      <c r="Q130" t="s">
        <v>22</v>
      </c>
      <c r="R130" t="s">
        <v>35</v>
      </c>
      <c r="S130" t="s">
        <v>24</v>
      </c>
      <c r="T130" t="s">
        <v>25</v>
      </c>
      <c r="U130" t="s">
        <v>42</v>
      </c>
      <c r="V130" t="s">
        <v>27</v>
      </c>
      <c r="W130" t="s">
        <v>28</v>
      </c>
      <c r="X130">
        <v>7.8431372549019596</v>
      </c>
      <c r="Y130">
        <v>92.156862745098039</v>
      </c>
      <c r="Z130" t="s">
        <v>29</v>
      </c>
      <c r="AA130" t="s">
        <v>30</v>
      </c>
      <c r="AB130" t="s">
        <v>29</v>
      </c>
      <c r="AC130">
        <v>-3.3300000000000017E-2</v>
      </c>
    </row>
    <row r="131" spans="1:29" x14ac:dyDescent="0.3">
      <c r="A131">
        <v>749</v>
      </c>
      <c r="B131" s="6">
        <v>40577</v>
      </c>
      <c r="C131">
        <v>1</v>
      </c>
      <c r="D131">
        <v>14</v>
      </c>
      <c r="E131" t="b">
        <v>0</v>
      </c>
      <c r="F131">
        <v>4</v>
      </c>
      <c r="G131">
        <v>1</v>
      </c>
      <c r="H131">
        <v>0.22</v>
      </c>
      <c r="I131">
        <v>0.19700000000000001</v>
      </c>
      <c r="J131">
        <v>0.37</v>
      </c>
      <c r="K131">
        <v>0.3881</v>
      </c>
      <c r="L131">
        <v>4</v>
      </c>
      <c r="M131">
        <v>43</v>
      </c>
      <c r="N131">
        <v>47</v>
      </c>
      <c r="O131" t="s">
        <v>20</v>
      </c>
      <c r="P131" t="s">
        <v>48</v>
      </c>
      <c r="Q131" t="s">
        <v>22</v>
      </c>
      <c r="R131" t="s">
        <v>35</v>
      </c>
      <c r="S131" t="s">
        <v>24</v>
      </c>
      <c r="T131" t="s">
        <v>30</v>
      </c>
      <c r="U131" t="s">
        <v>42</v>
      </c>
      <c r="V131" t="s">
        <v>27</v>
      </c>
      <c r="W131" t="s">
        <v>28</v>
      </c>
      <c r="X131">
        <v>8.5106382978723403</v>
      </c>
      <c r="Y131">
        <v>91.489361702127653</v>
      </c>
      <c r="Z131" t="s">
        <v>29</v>
      </c>
      <c r="AA131" t="s">
        <v>30</v>
      </c>
      <c r="AB131" t="s">
        <v>29</v>
      </c>
      <c r="AC131">
        <v>-2.2999999999999989E-2</v>
      </c>
    </row>
    <row r="132" spans="1:29" x14ac:dyDescent="0.3">
      <c r="A132">
        <v>750</v>
      </c>
      <c r="B132" s="6">
        <v>40577</v>
      </c>
      <c r="C132">
        <v>1</v>
      </c>
      <c r="D132">
        <v>15</v>
      </c>
      <c r="E132" t="b">
        <v>0</v>
      </c>
      <c r="F132">
        <v>4</v>
      </c>
      <c r="G132">
        <v>1</v>
      </c>
      <c r="H132">
        <v>0.22</v>
      </c>
      <c r="I132">
        <v>0.19700000000000001</v>
      </c>
      <c r="J132">
        <v>0.37</v>
      </c>
      <c r="K132">
        <v>0.32840000000000003</v>
      </c>
      <c r="L132">
        <v>4</v>
      </c>
      <c r="M132">
        <v>56</v>
      </c>
      <c r="N132">
        <v>60</v>
      </c>
      <c r="O132" t="s">
        <v>20</v>
      </c>
      <c r="P132" t="s">
        <v>48</v>
      </c>
      <c r="Q132" t="s">
        <v>22</v>
      </c>
      <c r="R132" t="s">
        <v>35</v>
      </c>
      <c r="S132" t="s">
        <v>24</v>
      </c>
      <c r="T132" t="s">
        <v>30</v>
      </c>
      <c r="U132" t="s">
        <v>42</v>
      </c>
      <c r="V132" t="s">
        <v>27</v>
      </c>
      <c r="W132" t="s">
        <v>28</v>
      </c>
      <c r="X132">
        <v>6.666666666666667</v>
      </c>
      <c r="Y132">
        <v>93.333333333333329</v>
      </c>
      <c r="Z132" t="s">
        <v>29</v>
      </c>
      <c r="AA132" t="s">
        <v>30</v>
      </c>
      <c r="AB132" t="s">
        <v>29</v>
      </c>
      <c r="AC132">
        <v>-2.2999999999999989E-2</v>
      </c>
    </row>
    <row r="133" spans="1:29" x14ac:dyDescent="0.3">
      <c r="A133">
        <v>751</v>
      </c>
      <c r="B133" s="6">
        <v>40577</v>
      </c>
      <c r="C133">
        <v>1</v>
      </c>
      <c r="D133">
        <v>16</v>
      </c>
      <c r="E133" t="b">
        <v>0</v>
      </c>
      <c r="F133">
        <v>4</v>
      </c>
      <c r="G133">
        <v>1</v>
      </c>
      <c r="H133">
        <v>0.22</v>
      </c>
      <c r="I133">
        <v>0.21210000000000001</v>
      </c>
      <c r="J133">
        <v>0.37</v>
      </c>
      <c r="K133">
        <v>0.25369999999999998</v>
      </c>
      <c r="L133">
        <v>5</v>
      </c>
      <c r="M133">
        <v>73</v>
      </c>
      <c r="N133">
        <v>78</v>
      </c>
      <c r="O133" t="s">
        <v>20</v>
      </c>
      <c r="P133" t="s">
        <v>48</v>
      </c>
      <c r="Q133" t="s">
        <v>22</v>
      </c>
      <c r="R133" t="s">
        <v>35</v>
      </c>
      <c r="S133" t="s">
        <v>24</v>
      </c>
      <c r="T133" t="s">
        <v>30</v>
      </c>
      <c r="U133" t="s">
        <v>26</v>
      </c>
      <c r="V133" t="s">
        <v>27</v>
      </c>
      <c r="W133" t="s">
        <v>28</v>
      </c>
      <c r="X133">
        <v>6.4102564102564097</v>
      </c>
      <c r="Y133">
        <v>93.589743589743591</v>
      </c>
      <c r="Z133" t="s">
        <v>29</v>
      </c>
      <c r="AA133" t="s">
        <v>30</v>
      </c>
      <c r="AB133" t="s">
        <v>29</v>
      </c>
      <c r="AC133">
        <v>-7.8999999999999904E-3</v>
      </c>
    </row>
    <row r="134" spans="1:29" x14ac:dyDescent="0.3">
      <c r="A134">
        <v>752</v>
      </c>
      <c r="B134" s="6">
        <v>40577</v>
      </c>
      <c r="C134">
        <v>1</v>
      </c>
      <c r="D134">
        <v>17</v>
      </c>
      <c r="E134" t="b">
        <v>0</v>
      </c>
      <c r="F134">
        <v>4</v>
      </c>
      <c r="G134">
        <v>1</v>
      </c>
      <c r="H134">
        <v>0.2</v>
      </c>
      <c r="I134">
        <v>0.19700000000000001</v>
      </c>
      <c r="J134">
        <v>0.4</v>
      </c>
      <c r="K134">
        <v>0.19400000000000001</v>
      </c>
      <c r="L134">
        <v>5</v>
      </c>
      <c r="M134">
        <v>170</v>
      </c>
      <c r="N134">
        <v>175</v>
      </c>
      <c r="O134" t="s">
        <v>20</v>
      </c>
      <c r="P134" t="s">
        <v>48</v>
      </c>
      <c r="Q134" t="s">
        <v>22</v>
      </c>
      <c r="R134" t="s">
        <v>36</v>
      </c>
      <c r="S134" t="s">
        <v>24</v>
      </c>
      <c r="T134" t="s">
        <v>25</v>
      </c>
      <c r="U134" t="s">
        <v>26</v>
      </c>
      <c r="V134" t="s">
        <v>27</v>
      </c>
      <c r="W134" t="s">
        <v>28</v>
      </c>
      <c r="X134">
        <v>2.8571428571428572</v>
      </c>
      <c r="Y134">
        <v>97.142857142857139</v>
      </c>
      <c r="Z134" t="s">
        <v>31</v>
      </c>
      <c r="AA134" t="s">
        <v>25</v>
      </c>
      <c r="AB134" t="s">
        <v>29</v>
      </c>
      <c r="AC134">
        <v>-3.0000000000000031E-3</v>
      </c>
    </row>
    <row r="135" spans="1:29" x14ac:dyDescent="0.3">
      <c r="A135">
        <v>753</v>
      </c>
      <c r="B135" s="6">
        <v>40577</v>
      </c>
      <c r="C135">
        <v>1</v>
      </c>
      <c r="D135">
        <v>18</v>
      </c>
      <c r="E135" t="b">
        <v>0</v>
      </c>
      <c r="F135">
        <v>4</v>
      </c>
      <c r="G135">
        <v>1</v>
      </c>
      <c r="H135">
        <v>0.2</v>
      </c>
      <c r="I135">
        <v>0.21210000000000001</v>
      </c>
      <c r="J135">
        <v>0.4</v>
      </c>
      <c r="K135">
        <v>0.16420000000000001</v>
      </c>
      <c r="L135">
        <v>2</v>
      </c>
      <c r="M135">
        <v>145</v>
      </c>
      <c r="N135">
        <v>147</v>
      </c>
      <c r="O135" t="s">
        <v>20</v>
      </c>
      <c r="P135" t="s">
        <v>48</v>
      </c>
      <c r="Q135" t="s">
        <v>22</v>
      </c>
      <c r="R135" t="s">
        <v>36</v>
      </c>
      <c r="S135" t="s">
        <v>24</v>
      </c>
      <c r="T135" t="s">
        <v>25</v>
      </c>
      <c r="U135" t="s">
        <v>26</v>
      </c>
      <c r="V135" t="s">
        <v>27</v>
      </c>
      <c r="W135" t="s">
        <v>28</v>
      </c>
      <c r="X135">
        <v>1.360544217687075</v>
      </c>
      <c r="Y135">
        <v>98.639455782312922</v>
      </c>
      <c r="Z135" t="s">
        <v>31</v>
      </c>
      <c r="AA135" t="s">
        <v>25</v>
      </c>
      <c r="AB135" t="s">
        <v>29</v>
      </c>
      <c r="AC135">
        <v>1.21E-2</v>
      </c>
    </row>
    <row r="136" spans="1:29" x14ac:dyDescent="0.3">
      <c r="A136">
        <v>754</v>
      </c>
      <c r="B136" s="6">
        <v>40577</v>
      </c>
      <c r="C136">
        <v>1</v>
      </c>
      <c r="D136">
        <v>19</v>
      </c>
      <c r="E136" t="b">
        <v>0</v>
      </c>
      <c r="F136">
        <v>4</v>
      </c>
      <c r="G136">
        <v>1</v>
      </c>
      <c r="H136">
        <v>0.2</v>
      </c>
      <c r="I136">
        <v>0.2576</v>
      </c>
      <c r="J136">
        <v>0.4</v>
      </c>
      <c r="K136">
        <v>0</v>
      </c>
      <c r="L136">
        <v>4</v>
      </c>
      <c r="M136">
        <v>92</v>
      </c>
      <c r="N136">
        <v>96</v>
      </c>
      <c r="O136" t="s">
        <v>20</v>
      </c>
      <c r="P136" t="s">
        <v>48</v>
      </c>
      <c r="Q136" t="s">
        <v>22</v>
      </c>
      <c r="R136" t="s">
        <v>36</v>
      </c>
      <c r="S136" t="s">
        <v>24</v>
      </c>
      <c r="T136" t="s">
        <v>25</v>
      </c>
      <c r="U136" t="s">
        <v>32</v>
      </c>
      <c r="V136" t="s">
        <v>27</v>
      </c>
      <c r="W136" t="s">
        <v>28</v>
      </c>
      <c r="X136">
        <v>4.1666666666666661</v>
      </c>
      <c r="Y136">
        <v>95.833333333333343</v>
      </c>
      <c r="Z136" t="s">
        <v>31</v>
      </c>
      <c r="AA136" t="s">
        <v>30</v>
      </c>
      <c r="AB136" t="s">
        <v>29</v>
      </c>
      <c r="AC136">
        <v>5.7599999999999978E-2</v>
      </c>
    </row>
    <row r="137" spans="1:29" x14ac:dyDescent="0.3">
      <c r="A137">
        <v>755</v>
      </c>
      <c r="B137" s="6">
        <v>40577</v>
      </c>
      <c r="C137">
        <v>1</v>
      </c>
      <c r="D137">
        <v>20</v>
      </c>
      <c r="E137" t="b">
        <v>0</v>
      </c>
      <c r="F137">
        <v>4</v>
      </c>
      <c r="G137">
        <v>1</v>
      </c>
      <c r="H137">
        <v>0.2</v>
      </c>
      <c r="I137">
        <v>0.2273</v>
      </c>
      <c r="J137">
        <v>0.47</v>
      </c>
      <c r="K137">
        <v>8.9599999999999999E-2</v>
      </c>
      <c r="L137">
        <v>1</v>
      </c>
      <c r="M137">
        <v>108</v>
      </c>
      <c r="N137">
        <v>109</v>
      </c>
      <c r="O137" t="s">
        <v>20</v>
      </c>
      <c r="P137" t="s">
        <v>48</v>
      </c>
      <c r="Q137" t="s">
        <v>22</v>
      </c>
      <c r="R137" t="s">
        <v>36</v>
      </c>
      <c r="S137" t="s">
        <v>24</v>
      </c>
      <c r="T137" t="s">
        <v>25</v>
      </c>
      <c r="U137" t="s">
        <v>32</v>
      </c>
      <c r="V137" t="s">
        <v>27</v>
      </c>
      <c r="W137" t="s">
        <v>28</v>
      </c>
      <c r="X137">
        <v>0.91743119266055051</v>
      </c>
      <c r="Y137">
        <v>99.082568807339456</v>
      </c>
      <c r="Z137" t="s">
        <v>29</v>
      </c>
      <c r="AA137" t="s">
        <v>25</v>
      </c>
      <c r="AB137" t="s">
        <v>29</v>
      </c>
      <c r="AC137">
        <v>2.7299999999999991E-2</v>
      </c>
    </row>
    <row r="138" spans="1:29" x14ac:dyDescent="0.3">
      <c r="A138">
        <v>756</v>
      </c>
      <c r="B138" s="6">
        <v>40577</v>
      </c>
      <c r="C138">
        <v>1</v>
      </c>
      <c r="D138">
        <v>21</v>
      </c>
      <c r="E138" t="b">
        <v>0</v>
      </c>
      <c r="F138">
        <v>4</v>
      </c>
      <c r="G138">
        <v>1</v>
      </c>
      <c r="H138">
        <v>0.18</v>
      </c>
      <c r="I138">
        <v>0.21210000000000001</v>
      </c>
      <c r="J138">
        <v>0.55000000000000004</v>
      </c>
      <c r="K138">
        <v>0.1045</v>
      </c>
      <c r="L138">
        <v>1</v>
      </c>
      <c r="M138">
        <v>53</v>
      </c>
      <c r="N138">
        <v>54</v>
      </c>
      <c r="O138" t="s">
        <v>20</v>
      </c>
      <c r="P138" t="s">
        <v>48</v>
      </c>
      <c r="Q138" t="s">
        <v>22</v>
      </c>
      <c r="R138" t="s">
        <v>23</v>
      </c>
      <c r="S138" t="s">
        <v>24</v>
      </c>
      <c r="T138" t="s">
        <v>25</v>
      </c>
      <c r="U138" t="s">
        <v>32</v>
      </c>
      <c r="V138" t="s">
        <v>27</v>
      </c>
      <c r="W138" t="s">
        <v>28</v>
      </c>
      <c r="X138">
        <v>1.8518518518518521</v>
      </c>
      <c r="Y138">
        <v>98.148148148148152</v>
      </c>
      <c r="Z138" t="s">
        <v>29</v>
      </c>
      <c r="AA138" t="s">
        <v>30</v>
      </c>
      <c r="AB138" t="s">
        <v>29</v>
      </c>
      <c r="AC138">
        <v>3.2100000000000017E-2</v>
      </c>
    </row>
    <row r="139" spans="1:29" x14ac:dyDescent="0.3">
      <c r="A139">
        <v>757</v>
      </c>
      <c r="B139" s="6">
        <v>40577</v>
      </c>
      <c r="C139">
        <v>1</v>
      </c>
      <c r="D139">
        <v>22</v>
      </c>
      <c r="E139" t="b">
        <v>0</v>
      </c>
      <c r="F139">
        <v>4</v>
      </c>
      <c r="G139">
        <v>1</v>
      </c>
      <c r="H139">
        <v>0.18</v>
      </c>
      <c r="I139">
        <v>0.21210000000000001</v>
      </c>
      <c r="J139">
        <v>0.51</v>
      </c>
      <c r="K139">
        <v>8.9599999999999999E-2</v>
      </c>
      <c r="L139">
        <v>2</v>
      </c>
      <c r="M139">
        <v>39</v>
      </c>
      <c r="N139">
        <v>41</v>
      </c>
      <c r="O139" t="s">
        <v>20</v>
      </c>
      <c r="P139" t="s">
        <v>48</v>
      </c>
      <c r="Q139" t="s">
        <v>22</v>
      </c>
      <c r="R139" t="s">
        <v>23</v>
      </c>
      <c r="S139" t="s">
        <v>24</v>
      </c>
      <c r="T139" t="s">
        <v>25</v>
      </c>
      <c r="U139" t="s">
        <v>32</v>
      </c>
      <c r="V139" t="s">
        <v>27</v>
      </c>
      <c r="W139" t="s">
        <v>28</v>
      </c>
      <c r="X139">
        <v>4.8780487804878048</v>
      </c>
      <c r="Y139">
        <v>95.121951219512198</v>
      </c>
      <c r="Z139" t="s">
        <v>29</v>
      </c>
      <c r="AA139" t="s">
        <v>30</v>
      </c>
      <c r="AB139" t="s">
        <v>29</v>
      </c>
      <c r="AC139">
        <v>3.2100000000000017E-2</v>
      </c>
    </row>
    <row r="140" spans="1:29" x14ac:dyDescent="0.3">
      <c r="A140">
        <v>758</v>
      </c>
      <c r="B140" s="6">
        <v>40577</v>
      </c>
      <c r="C140">
        <v>1</v>
      </c>
      <c r="D140">
        <v>23</v>
      </c>
      <c r="E140" t="b">
        <v>0</v>
      </c>
      <c r="F140">
        <v>4</v>
      </c>
      <c r="G140">
        <v>1</v>
      </c>
      <c r="H140">
        <v>0.2</v>
      </c>
      <c r="I140">
        <v>0.2273</v>
      </c>
      <c r="J140">
        <v>0.47</v>
      </c>
      <c r="K140">
        <v>0.1045</v>
      </c>
      <c r="L140">
        <v>4</v>
      </c>
      <c r="M140">
        <v>34</v>
      </c>
      <c r="N140">
        <v>38</v>
      </c>
      <c r="O140" t="s">
        <v>20</v>
      </c>
      <c r="P140" t="s">
        <v>48</v>
      </c>
      <c r="Q140" t="s">
        <v>22</v>
      </c>
      <c r="R140" t="s">
        <v>23</v>
      </c>
      <c r="S140" t="s">
        <v>24</v>
      </c>
      <c r="T140" t="s">
        <v>25</v>
      </c>
      <c r="U140" t="s">
        <v>32</v>
      </c>
      <c r="V140" t="s">
        <v>27</v>
      </c>
      <c r="W140" t="s">
        <v>28</v>
      </c>
      <c r="X140">
        <v>10.52631578947368</v>
      </c>
      <c r="Y140">
        <v>89.473684210526315</v>
      </c>
      <c r="Z140" t="s">
        <v>29</v>
      </c>
      <c r="AA140" t="s">
        <v>30</v>
      </c>
      <c r="AB140" t="s">
        <v>29</v>
      </c>
      <c r="AC140">
        <v>2.7299999999999991E-2</v>
      </c>
    </row>
    <row r="141" spans="1:29" x14ac:dyDescent="0.3">
      <c r="A141">
        <v>759</v>
      </c>
      <c r="B141" s="6">
        <v>40578</v>
      </c>
      <c r="C141">
        <v>1</v>
      </c>
      <c r="D141">
        <v>0</v>
      </c>
      <c r="E141" t="b">
        <v>0</v>
      </c>
      <c r="F141">
        <v>5</v>
      </c>
      <c r="G141">
        <v>2</v>
      </c>
      <c r="H141">
        <v>0.2</v>
      </c>
      <c r="I141">
        <v>0.2576</v>
      </c>
      <c r="J141">
        <v>0.44</v>
      </c>
      <c r="K141">
        <v>0</v>
      </c>
      <c r="L141">
        <v>3</v>
      </c>
      <c r="M141">
        <v>10</v>
      </c>
      <c r="N141">
        <v>13</v>
      </c>
      <c r="O141" t="s">
        <v>20</v>
      </c>
      <c r="P141" t="s">
        <v>49</v>
      </c>
      <c r="Q141" t="s">
        <v>34</v>
      </c>
      <c r="R141" t="s">
        <v>23</v>
      </c>
      <c r="S141" t="s">
        <v>24</v>
      </c>
      <c r="T141" t="s">
        <v>25</v>
      </c>
      <c r="U141" t="s">
        <v>32</v>
      </c>
      <c r="V141" t="s">
        <v>27</v>
      </c>
      <c r="W141" t="s">
        <v>28</v>
      </c>
      <c r="X141">
        <v>23.07692307692308</v>
      </c>
      <c r="Y141">
        <v>76.923076923076934</v>
      </c>
      <c r="Z141" t="s">
        <v>29</v>
      </c>
      <c r="AA141" t="s">
        <v>30</v>
      </c>
      <c r="AB141" t="s">
        <v>29</v>
      </c>
      <c r="AC141">
        <v>5.7599999999999978E-2</v>
      </c>
    </row>
    <row r="142" spans="1:29" x14ac:dyDescent="0.3">
      <c r="A142">
        <v>760</v>
      </c>
      <c r="B142" s="6">
        <v>40578</v>
      </c>
      <c r="C142">
        <v>1</v>
      </c>
      <c r="D142">
        <v>1</v>
      </c>
      <c r="E142" t="b">
        <v>0</v>
      </c>
      <c r="F142">
        <v>5</v>
      </c>
      <c r="G142">
        <v>2</v>
      </c>
      <c r="H142">
        <v>0.16</v>
      </c>
      <c r="I142">
        <v>0.2273</v>
      </c>
      <c r="J142">
        <v>0.59</v>
      </c>
      <c r="K142">
        <v>0</v>
      </c>
      <c r="L142">
        <v>0</v>
      </c>
      <c r="M142">
        <v>7</v>
      </c>
      <c r="N142">
        <v>7</v>
      </c>
      <c r="O142" t="s">
        <v>20</v>
      </c>
      <c r="P142" t="s">
        <v>49</v>
      </c>
      <c r="Q142" t="s">
        <v>34</v>
      </c>
      <c r="R142" t="s">
        <v>23</v>
      </c>
      <c r="S142" t="s">
        <v>24</v>
      </c>
      <c r="T142" t="s">
        <v>25</v>
      </c>
      <c r="U142" t="s">
        <v>32</v>
      </c>
      <c r="V142" t="s">
        <v>27</v>
      </c>
      <c r="W142" t="s">
        <v>28</v>
      </c>
      <c r="X142">
        <v>0</v>
      </c>
      <c r="Y142">
        <v>100</v>
      </c>
      <c r="Z142" t="s">
        <v>29</v>
      </c>
      <c r="AA142" t="s">
        <v>30</v>
      </c>
      <c r="AB142" t="s">
        <v>29</v>
      </c>
      <c r="AC142">
        <v>6.7299999999999999E-2</v>
      </c>
    </row>
    <row r="143" spans="1:29" x14ac:dyDescent="0.3">
      <c r="A143">
        <v>761</v>
      </c>
      <c r="B143" s="6">
        <v>40578</v>
      </c>
      <c r="C143">
        <v>1</v>
      </c>
      <c r="D143">
        <v>2</v>
      </c>
      <c r="E143" t="b">
        <v>0</v>
      </c>
      <c r="F143">
        <v>5</v>
      </c>
      <c r="G143">
        <v>2</v>
      </c>
      <c r="H143">
        <v>0.14000000000000001</v>
      </c>
      <c r="I143">
        <v>0.16669999999999999</v>
      </c>
      <c r="J143">
        <v>0.63</v>
      </c>
      <c r="K143">
        <v>0.1045</v>
      </c>
      <c r="L143">
        <v>0</v>
      </c>
      <c r="M143">
        <v>1</v>
      </c>
      <c r="N143">
        <v>1</v>
      </c>
      <c r="O143" t="s">
        <v>20</v>
      </c>
      <c r="P143" t="s">
        <v>49</v>
      </c>
      <c r="Q143" t="s">
        <v>34</v>
      </c>
      <c r="R143" t="s">
        <v>23</v>
      </c>
      <c r="S143" t="s">
        <v>39</v>
      </c>
      <c r="T143" t="s">
        <v>25</v>
      </c>
      <c r="U143" t="s">
        <v>32</v>
      </c>
      <c r="V143" t="s">
        <v>27</v>
      </c>
      <c r="W143" t="s">
        <v>28</v>
      </c>
      <c r="X143">
        <v>0</v>
      </c>
      <c r="Y143">
        <v>100</v>
      </c>
      <c r="Z143" t="s">
        <v>29</v>
      </c>
      <c r="AA143" t="s">
        <v>30</v>
      </c>
      <c r="AB143" t="s">
        <v>29</v>
      </c>
      <c r="AC143">
        <v>2.669999999999997E-2</v>
      </c>
    </row>
    <row r="144" spans="1:29" x14ac:dyDescent="0.3">
      <c r="A144">
        <v>762</v>
      </c>
      <c r="B144" s="6">
        <v>40578</v>
      </c>
      <c r="C144">
        <v>1</v>
      </c>
      <c r="D144">
        <v>3</v>
      </c>
      <c r="E144" t="b">
        <v>0</v>
      </c>
      <c r="F144">
        <v>5</v>
      </c>
      <c r="G144">
        <v>2</v>
      </c>
      <c r="H144">
        <v>0.14000000000000001</v>
      </c>
      <c r="I144">
        <v>0.16669999999999999</v>
      </c>
      <c r="J144">
        <v>0.63</v>
      </c>
      <c r="K144">
        <v>0.1045</v>
      </c>
      <c r="L144">
        <v>0</v>
      </c>
      <c r="M144">
        <v>1</v>
      </c>
      <c r="N144">
        <v>1</v>
      </c>
      <c r="O144" t="s">
        <v>20</v>
      </c>
      <c r="P144" t="s">
        <v>49</v>
      </c>
      <c r="Q144" t="s">
        <v>34</v>
      </c>
      <c r="R144" t="s">
        <v>23</v>
      </c>
      <c r="S144" t="s">
        <v>39</v>
      </c>
      <c r="T144" t="s">
        <v>25</v>
      </c>
      <c r="U144" t="s">
        <v>32</v>
      </c>
      <c r="V144" t="s">
        <v>27</v>
      </c>
      <c r="W144" t="s">
        <v>28</v>
      </c>
      <c r="X144">
        <v>0</v>
      </c>
      <c r="Y144">
        <v>100</v>
      </c>
      <c r="Z144" t="s">
        <v>29</v>
      </c>
      <c r="AA144" t="s">
        <v>30</v>
      </c>
      <c r="AB144" t="s">
        <v>29</v>
      </c>
      <c r="AC144">
        <v>2.669999999999997E-2</v>
      </c>
    </row>
    <row r="145" spans="1:29" x14ac:dyDescent="0.3">
      <c r="A145">
        <v>763</v>
      </c>
      <c r="B145" s="6">
        <v>40578</v>
      </c>
      <c r="C145">
        <v>1</v>
      </c>
      <c r="D145">
        <v>5</v>
      </c>
      <c r="E145" t="b">
        <v>0</v>
      </c>
      <c r="F145">
        <v>5</v>
      </c>
      <c r="G145">
        <v>2</v>
      </c>
      <c r="H145">
        <v>0.14000000000000001</v>
      </c>
      <c r="I145">
        <v>0.1515</v>
      </c>
      <c r="J145">
        <v>0.63</v>
      </c>
      <c r="K145">
        <v>0.1343</v>
      </c>
      <c r="L145">
        <v>0</v>
      </c>
      <c r="M145">
        <v>7</v>
      </c>
      <c r="N145">
        <v>7</v>
      </c>
      <c r="O145" t="s">
        <v>20</v>
      </c>
      <c r="P145" t="s">
        <v>49</v>
      </c>
      <c r="Q145" t="s">
        <v>34</v>
      </c>
      <c r="R145" t="s">
        <v>23</v>
      </c>
      <c r="S145" t="s">
        <v>39</v>
      </c>
      <c r="T145" t="s">
        <v>25</v>
      </c>
      <c r="U145" t="s">
        <v>32</v>
      </c>
      <c r="V145" t="s">
        <v>27</v>
      </c>
      <c r="W145" t="s">
        <v>28</v>
      </c>
      <c r="X145">
        <v>0</v>
      </c>
      <c r="Y145">
        <v>100</v>
      </c>
      <c r="Z145" t="s">
        <v>29</v>
      </c>
      <c r="AA145" t="s">
        <v>30</v>
      </c>
      <c r="AB145" t="s">
        <v>29</v>
      </c>
      <c r="AC145">
        <v>1.1499999999999981E-2</v>
      </c>
    </row>
    <row r="146" spans="1:29" x14ac:dyDescent="0.3">
      <c r="A146">
        <v>764</v>
      </c>
      <c r="B146" s="6">
        <v>40578</v>
      </c>
      <c r="C146">
        <v>1</v>
      </c>
      <c r="D146">
        <v>6</v>
      </c>
      <c r="E146" t="b">
        <v>0</v>
      </c>
      <c r="F146">
        <v>5</v>
      </c>
      <c r="G146">
        <v>2</v>
      </c>
      <c r="H146">
        <v>0.16</v>
      </c>
      <c r="I146">
        <v>0.2273</v>
      </c>
      <c r="J146">
        <v>0.55000000000000004</v>
      </c>
      <c r="K146">
        <v>0</v>
      </c>
      <c r="L146">
        <v>2</v>
      </c>
      <c r="M146">
        <v>26</v>
      </c>
      <c r="N146">
        <v>28</v>
      </c>
      <c r="O146" t="s">
        <v>20</v>
      </c>
      <c r="P146" t="s">
        <v>49</v>
      </c>
      <c r="Q146" t="s">
        <v>34</v>
      </c>
      <c r="R146" t="s">
        <v>33</v>
      </c>
      <c r="S146" t="s">
        <v>24</v>
      </c>
      <c r="T146" t="s">
        <v>25</v>
      </c>
      <c r="U146" t="s">
        <v>32</v>
      </c>
      <c r="V146" t="s">
        <v>27</v>
      </c>
      <c r="W146" t="s">
        <v>28</v>
      </c>
      <c r="X146">
        <v>7.1428571428571423</v>
      </c>
      <c r="Y146">
        <v>92.857142857142861</v>
      </c>
      <c r="Z146" t="s">
        <v>29</v>
      </c>
      <c r="AA146" t="s">
        <v>30</v>
      </c>
      <c r="AB146" t="s">
        <v>29</v>
      </c>
      <c r="AC146">
        <v>6.7299999999999999E-2</v>
      </c>
    </row>
    <row r="147" spans="1:29" x14ac:dyDescent="0.3">
      <c r="A147">
        <v>765</v>
      </c>
      <c r="B147" s="6">
        <v>40578</v>
      </c>
      <c r="C147">
        <v>1</v>
      </c>
      <c r="D147">
        <v>7</v>
      </c>
      <c r="E147" t="b">
        <v>0</v>
      </c>
      <c r="F147">
        <v>5</v>
      </c>
      <c r="G147">
        <v>1</v>
      </c>
      <c r="H147">
        <v>0.14000000000000001</v>
      </c>
      <c r="I147">
        <v>0.21210000000000001</v>
      </c>
      <c r="J147">
        <v>0.59</v>
      </c>
      <c r="K147">
        <v>0</v>
      </c>
      <c r="L147">
        <v>0</v>
      </c>
      <c r="M147">
        <v>87</v>
      </c>
      <c r="N147">
        <v>87</v>
      </c>
      <c r="O147" t="s">
        <v>20</v>
      </c>
      <c r="P147" t="s">
        <v>49</v>
      </c>
      <c r="Q147" t="s">
        <v>22</v>
      </c>
      <c r="R147" t="s">
        <v>33</v>
      </c>
      <c r="S147" t="s">
        <v>39</v>
      </c>
      <c r="T147" t="s">
        <v>25</v>
      </c>
      <c r="U147" t="s">
        <v>32</v>
      </c>
      <c r="V147" t="s">
        <v>27</v>
      </c>
      <c r="W147" t="s">
        <v>28</v>
      </c>
      <c r="X147">
        <v>0</v>
      </c>
      <c r="Y147">
        <v>100</v>
      </c>
      <c r="Z147" t="s">
        <v>31</v>
      </c>
      <c r="AA147" t="s">
        <v>30</v>
      </c>
      <c r="AB147" t="s">
        <v>29</v>
      </c>
      <c r="AC147">
        <v>7.2099999999999997E-2</v>
      </c>
    </row>
    <row r="148" spans="1:29" x14ac:dyDescent="0.3">
      <c r="A148">
        <v>766</v>
      </c>
      <c r="B148" s="6">
        <v>40578</v>
      </c>
      <c r="C148">
        <v>1</v>
      </c>
      <c r="D148">
        <v>8</v>
      </c>
      <c r="E148" t="b">
        <v>0</v>
      </c>
      <c r="F148">
        <v>5</v>
      </c>
      <c r="G148">
        <v>1</v>
      </c>
      <c r="H148">
        <v>0.14000000000000001</v>
      </c>
      <c r="I148">
        <v>0.1515</v>
      </c>
      <c r="J148">
        <v>0.74</v>
      </c>
      <c r="K148">
        <v>0.1343</v>
      </c>
      <c r="L148">
        <v>3</v>
      </c>
      <c r="M148">
        <v>217</v>
      </c>
      <c r="N148">
        <v>220</v>
      </c>
      <c r="O148" t="s">
        <v>20</v>
      </c>
      <c r="P148" t="s">
        <v>49</v>
      </c>
      <c r="Q148" t="s">
        <v>22</v>
      </c>
      <c r="R148" t="s">
        <v>33</v>
      </c>
      <c r="S148" t="s">
        <v>39</v>
      </c>
      <c r="T148" t="s">
        <v>37</v>
      </c>
      <c r="U148" t="s">
        <v>32</v>
      </c>
      <c r="V148" t="s">
        <v>27</v>
      </c>
      <c r="W148" t="s">
        <v>28</v>
      </c>
      <c r="X148">
        <v>1.363636363636364</v>
      </c>
      <c r="Y148">
        <v>98.636363636363626</v>
      </c>
      <c r="Z148" t="s">
        <v>31</v>
      </c>
      <c r="AA148" t="s">
        <v>25</v>
      </c>
      <c r="AB148" t="s">
        <v>29</v>
      </c>
      <c r="AC148">
        <v>1.1499999999999981E-2</v>
      </c>
    </row>
    <row r="149" spans="1:29" x14ac:dyDescent="0.3">
      <c r="A149">
        <v>767</v>
      </c>
      <c r="B149" s="6">
        <v>40578</v>
      </c>
      <c r="C149">
        <v>1</v>
      </c>
      <c r="D149">
        <v>9</v>
      </c>
      <c r="E149" t="b">
        <v>0</v>
      </c>
      <c r="F149">
        <v>5</v>
      </c>
      <c r="G149">
        <v>2</v>
      </c>
      <c r="H149">
        <v>0.16</v>
      </c>
      <c r="I149">
        <v>0.18179999999999999</v>
      </c>
      <c r="J149">
        <v>0.8</v>
      </c>
      <c r="K149">
        <v>0.1343</v>
      </c>
      <c r="L149">
        <v>3</v>
      </c>
      <c r="M149">
        <v>124</v>
      </c>
      <c r="N149">
        <v>127</v>
      </c>
      <c r="O149" t="s">
        <v>20</v>
      </c>
      <c r="P149" t="s">
        <v>49</v>
      </c>
      <c r="Q149" t="s">
        <v>34</v>
      </c>
      <c r="R149" t="s">
        <v>33</v>
      </c>
      <c r="S149" t="s">
        <v>24</v>
      </c>
      <c r="T149" t="s">
        <v>37</v>
      </c>
      <c r="U149" t="s">
        <v>32</v>
      </c>
      <c r="V149" t="s">
        <v>27</v>
      </c>
      <c r="W149" t="s">
        <v>28</v>
      </c>
      <c r="X149">
        <v>2.3622047244094491</v>
      </c>
      <c r="Y149">
        <v>97.637795275590548</v>
      </c>
      <c r="Z149" t="s">
        <v>31</v>
      </c>
      <c r="AA149" t="s">
        <v>25</v>
      </c>
      <c r="AB149" t="s">
        <v>29</v>
      </c>
      <c r="AC149">
        <v>2.179999999999999E-2</v>
      </c>
    </row>
    <row r="150" spans="1:29" x14ac:dyDescent="0.3">
      <c r="A150">
        <v>768</v>
      </c>
      <c r="B150" s="6">
        <v>40578</v>
      </c>
      <c r="C150">
        <v>1</v>
      </c>
      <c r="D150">
        <v>10</v>
      </c>
      <c r="E150" t="b">
        <v>0</v>
      </c>
      <c r="F150">
        <v>5</v>
      </c>
      <c r="G150">
        <v>2</v>
      </c>
      <c r="H150">
        <v>0.2</v>
      </c>
      <c r="I150">
        <v>0.21210000000000001</v>
      </c>
      <c r="J150">
        <v>0.51</v>
      </c>
      <c r="K150">
        <v>0.1343</v>
      </c>
      <c r="L150">
        <v>5</v>
      </c>
      <c r="M150">
        <v>46</v>
      </c>
      <c r="N150">
        <v>51</v>
      </c>
      <c r="O150" t="s">
        <v>20</v>
      </c>
      <c r="P150" t="s">
        <v>49</v>
      </c>
      <c r="Q150" t="s">
        <v>34</v>
      </c>
      <c r="R150" t="s">
        <v>33</v>
      </c>
      <c r="S150" t="s">
        <v>24</v>
      </c>
      <c r="T150" t="s">
        <v>25</v>
      </c>
      <c r="U150" t="s">
        <v>32</v>
      </c>
      <c r="V150" t="s">
        <v>27</v>
      </c>
      <c r="W150" t="s">
        <v>28</v>
      </c>
      <c r="X150">
        <v>9.8039215686274517</v>
      </c>
      <c r="Y150">
        <v>90.196078431372555</v>
      </c>
      <c r="Z150" t="s">
        <v>29</v>
      </c>
      <c r="AA150" t="s">
        <v>30</v>
      </c>
      <c r="AB150" t="s">
        <v>29</v>
      </c>
      <c r="AC150">
        <v>1.21E-2</v>
      </c>
    </row>
    <row r="151" spans="1:29" x14ac:dyDescent="0.3">
      <c r="A151">
        <v>769</v>
      </c>
      <c r="B151" s="6">
        <v>40578</v>
      </c>
      <c r="C151">
        <v>1</v>
      </c>
      <c r="D151">
        <v>11</v>
      </c>
      <c r="E151" t="b">
        <v>0</v>
      </c>
      <c r="F151">
        <v>5</v>
      </c>
      <c r="G151">
        <v>1</v>
      </c>
      <c r="H151">
        <v>0.22</v>
      </c>
      <c r="I151">
        <v>0.2273</v>
      </c>
      <c r="J151">
        <v>0.51</v>
      </c>
      <c r="K151">
        <v>0.16420000000000001</v>
      </c>
      <c r="L151">
        <v>3</v>
      </c>
      <c r="M151">
        <v>61</v>
      </c>
      <c r="N151">
        <v>64</v>
      </c>
      <c r="O151" t="s">
        <v>20</v>
      </c>
      <c r="P151" t="s">
        <v>49</v>
      </c>
      <c r="Q151" t="s">
        <v>22</v>
      </c>
      <c r="R151" t="s">
        <v>33</v>
      </c>
      <c r="S151" t="s">
        <v>24</v>
      </c>
      <c r="T151" t="s">
        <v>25</v>
      </c>
      <c r="U151" t="s">
        <v>26</v>
      </c>
      <c r="V151" t="s">
        <v>27</v>
      </c>
      <c r="W151" t="s">
        <v>28</v>
      </c>
      <c r="X151">
        <v>4.6875</v>
      </c>
      <c r="Y151">
        <v>95.3125</v>
      </c>
      <c r="Z151" t="s">
        <v>29</v>
      </c>
      <c r="AA151" t="s">
        <v>30</v>
      </c>
      <c r="AB151" t="s">
        <v>29</v>
      </c>
      <c r="AC151">
        <v>7.3000000000000009E-3</v>
      </c>
    </row>
    <row r="152" spans="1:29" x14ac:dyDescent="0.3">
      <c r="A152">
        <v>770</v>
      </c>
      <c r="B152" s="6">
        <v>40578</v>
      </c>
      <c r="C152">
        <v>1</v>
      </c>
      <c r="D152">
        <v>12</v>
      </c>
      <c r="E152" t="b">
        <v>0</v>
      </c>
      <c r="F152">
        <v>5</v>
      </c>
      <c r="G152">
        <v>2</v>
      </c>
      <c r="H152">
        <v>0.24</v>
      </c>
      <c r="I152">
        <v>0.2424</v>
      </c>
      <c r="J152">
        <v>0.48</v>
      </c>
      <c r="K152">
        <v>0.16420000000000001</v>
      </c>
      <c r="L152">
        <v>8</v>
      </c>
      <c r="M152">
        <v>78</v>
      </c>
      <c r="N152">
        <v>86</v>
      </c>
      <c r="O152" t="s">
        <v>20</v>
      </c>
      <c r="P152" t="s">
        <v>49</v>
      </c>
      <c r="Q152" t="s">
        <v>34</v>
      </c>
      <c r="R152" t="s">
        <v>35</v>
      </c>
      <c r="S152" t="s">
        <v>24</v>
      </c>
      <c r="T152" t="s">
        <v>25</v>
      </c>
      <c r="U152" t="s">
        <v>26</v>
      </c>
      <c r="V152" t="s">
        <v>27</v>
      </c>
      <c r="W152" t="s">
        <v>28</v>
      </c>
      <c r="X152">
        <v>9.3023255813953494</v>
      </c>
      <c r="Y152">
        <v>90.697674418604649</v>
      </c>
      <c r="Z152" t="s">
        <v>29</v>
      </c>
      <c r="AA152" t="s">
        <v>30</v>
      </c>
      <c r="AB152" t="s">
        <v>29</v>
      </c>
      <c r="AC152">
        <v>2.4000000000000128E-3</v>
      </c>
    </row>
    <row r="153" spans="1:29" x14ac:dyDescent="0.3">
      <c r="A153">
        <v>771</v>
      </c>
      <c r="B153" s="6">
        <v>40578</v>
      </c>
      <c r="C153">
        <v>1</v>
      </c>
      <c r="D153">
        <v>13</v>
      </c>
      <c r="E153" t="b">
        <v>0</v>
      </c>
      <c r="F153">
        <v>5</v>
      </c>
      <c r="G153">
        <v>2</v>
      </c>
      <c r="H153">
        <v>0.26</v>
      </c>
      <c r="I153">
        <v>0.2576</v>
      </c>
      <c r="J153">
        <v>0.5</v>
      </c>
      <c r="K153">
        <v>0.22389999999999999</v>
      </c>
      <c r="L153">
        <v>9</v>
      </c>
      <c r="M153">
        <v>73</v>
      </c>
      <c r="N153">
        <v>82</v>
      </c>
      <c r="O153" t="s">
        <v>20</v>
      </c>
      <c r="P153" t="s">
        <v>49</v>
      </c>
      <c r="Q153" t="s">
        <v>34</v>
      </c>
      <c r="R153" t="s">
        <v>35</v>
      </c>
      <c r="S153" t="s">
        <v>40</v>
      </c>
      <c r="T153" t="s">
        <v>25</v>
      </c>
      <c r="U153" t="s">
        <v>26</v>
      </c>
      <c r="V153" t="s">
        <v>27</v>
      </c>
      <c r="W153" t="s">
        <v>28</v>
      </c>
      <c r="X153">
        <v>10.97560975609756</v>
      </c>
      <c r="Y153">
        <v>89.024390243902445</v>
      </c>
      <c r="Z153" t="s">
        <v>29</v>
      </c>
      <c r="AA153" t="s">
        <v>30</v>
      </c>
      <c r="AB153" t="s">
        <v>29</v>
      </c>
      <c r="AC153">
        <v>-2.4000000000000128E-3</v>
      </c>
    </row>
    <row r="154" spans="1:29" x14ac:dyDescent="0.3">
      <c r="A154">
        <v>772</v>
      </c>
      <c r="B154" s="6">
        <v>40578</v>
      </c>
      <c r="C154">
        <v>1</v>
      </c>
      <c r="D154">
        <v>14</v>
      </c>
      <c r="E154" t="b">
        <v>0</v>
      </c>
      <c r="F154">
        <v>5</v>
      </c>
      <c r="G154">
        <v>2</v>
      </c>
      <c r="H154">
        <v>0.28000000000000003</v>
      </c>
      <c r="I154">
        <v>0.2727</v>
      </c>
      <c r="J154">
        <v>0.45</v>
      </c>
      <c r="K154">
        <v>0.16420000000000001</v>
      </c>
      <c r="L154">
        <v>15</v>
      </c>
      <c r="M154">
        <v>76</v>
      </c>
      <c r="N154">
        <v>91</v>
      </c>
      <c r="O154" t="s">
        <v>20</v>
      </c>
      <c r="P154" t="s">
        <v>49</v>
      </c>
      <c r="Q154" t="s">
        <v>34</v>
      </c>
      <c r="R154" t="s">
        <v>35</v>
      </c>
      <c r="S154" t="s">
        <v>40</v>
      </c>
      <c r="T154" t="s">
        <v>25</v>
      </c>
      <c r="U154" t="s">
        <v>26</v>
      </c>
      <c r="V154" t="s">
        <v>27</v>
      </c>
      <c r="W154" t="s">
        <v>28</v>
      </c>
      <c r="X154">
        <v>16.483516483516478</v>
      </c>
      <c r="Y154">
        <v>83.516483516483518</v>
      </c>
      <c r="Z154" t="s">
        <v>29</v>
      </c>
      <c r="AA154" t="s">
        <v>30</v>
      </c>
      <c r="AB154" t="s">
        <v>29</v>
      </c>
      <c r="AC154">
        <v>-7.3000000000000287E-3</v>
      </c>
    </row>
    <row r="155" spans="1:29" x14ac:dyDescent="0.3">
      <c r="A155">
        <v>773</v>
      </c>
      <c r="B155" s="6">
        <v>40578</v>
      </c>
      <c r="C155">
        <v>1</v>
      </c>
      <c r="D155">
        <v>15</v>
      </c>
      <c r="E155" t="b">
        <v>0</v>
      </c>
      <c r="F155">
        <v>5</v>
      </c>
      <c r="G155">
        <v>2</v>
      </c>
      <c r="H155">
        <v>0.28000000000000003</v>
      </c>
      <c r="I155">
        <v>0.2727</v>
      </c>
      <c r="J155">
        <v>0.48</v>
      </c>
      <c r="K155">
        <v>0.25369999999999998</v>
      </c>
      <c r="L155">
        <v>9</v>
      </c>
      <c r="M155">
        <v>81</v>
      </c>
      <c r="N155">
        <v>90</v>
      </c>
      <c r="O155" t="s">
        <v>20</v>
      </c>
      <c r="P155" t="s">
        <v>49</v>
      </c>
      <c r="Q155" t="s">
        <v>34</v>
      </c>
      <c r="R155" t="s">
        <v>35</v>
      </c>
      <c r="S155" t="s">
        <v>40</v>
      </c>
      <c r="T155" t="s">
        <v>25</v>
      </c>
      <c r="U155" t="s">
        <v>26</v>
      </c>
      <c r="V155" t="s">
        <v>27</v>
      </c>
      <c r="W155" t="s">
        <v>28</v>
      </c>
      <c r="X155">
        <v>10</v>
      </c>
      <c r="Y155">
        <v>90</v>
      </c>
      <c r="Z155" t="s">
        <v>29</v>
      </c>
      <c r="AA155" t="s">
        <v>30</v>
      </c>
      <c r="AB155" t="s">
        <v>29</v>
      </c>
      <c r="AC155">
        <v>-7.3000000000000287E-3</v>
      </c>
    </row>
    <row r="156" spans="1:29" x14ac:dyDescent="0.3">
      <c r="A156">
        <v>774</v>
      </c>
      <c r="B156" s="6">
        <v>40578</v>
      </c>
      <c r="C156">
        <v>1</v>
      </c>
      <c r="D156">
        <v>16</v>
      </c>
      <c r="E156" t="b">
        <v>0</v>
      </c>
      <c r="F156">
        <v>5</v>
      </c>
      <c r="G156">
        <v>2</v>
      </c>
      <c r="H156">
        <v>0.3</v>
      </c>
      <c r="I156">
        <v>0.28789999999999999</v>
      </c>
      <c r="J156">
        <v>0.42</v>
      </c>
      <c r="K156">
        <v>0.22389999999999999</v>
      </c>
      <c r="L156">
        <v>8</v>
      </c>
      <c r="M156">
        <v>91</v>
      </c>
      <c r="N156">
        <v>99</v>
      </c>
      <c r="O156" t="s">
        <v>20</v>
      </c>
      <c r="P156" t="s">
        <v>49</v>
      </c>
      <c r="Q156" t="s">
        <v>34</v>
      </c>
      <c r="R156" t="s">
        <v>35</v>
      </c>
      <c r="S156" t="s">
        <v>40</v>
      </c>
      <c r="T156" t="s">
        <v>25</v>
      </c>
      <c r="U156" t="s">
        <v>26</v>
      </c>
      <c r="V156" t="s">
        <v>27</v>
      </c>
      <c r="W156" t="s">
        <v>28</v>
      </c>
      <c r="X156">
        <v>8.0808080808080813</v>
      </c>
      <c r="Y156">
        <v>91.919191919191917</v>
      </c>
      <c r="Z156" t="s">
        <v>29</v>
      </c>
      <c r="AA156" t="s">
        <v>30</v>
      </c>
      <c r="AB156" t="s">
        <v>29</v>
      </c>
      <c r="AC156">
        <v>-1.21E-2</v>
      </c>
    </row>
    <row r="157" spans="1:29" x14ac:dyDescent="0.3">
      <c r="A157">
        <v>775</v>
      </c>
      <c r="B157" s="6">
        <v>40578</v>
      </c>
      <c r="C157">
        <v>1</v>
      </c>
      <c r="D157">
        <v>17</v>
      </c>
      <c r="E157" t="b">
        <v>0</v>
      </c>
      <c r="F157">
        <v>5</v>
      </c>
      <c r="G157">
        <v>2</v>
      </c>
      <c r="H157">
        <v>0.26</v>
      </c>
      <c r="I157">
        <v>0.2727</v>
      </c>
      <c r="J157">
        <v>0.56000000000000005</v>
      </c>
      <c r="K157">
        <v>0.1343</v>
      </c>
      <c r="L157">
        <v>10</v>
      </c>
      <c r="M157">
        <v>195</v>
      </c>
      <c r="N157">
        <v>205</v>
      </c>
      <c r="O157" t="s">
        <v>20</v>
      </c>
      <c r="P157" t="s">
        <v>49</v>
      </c>
      <c r="Q157" t="s">
        <v>34</v>
      </c>
      <c r="R157" t="s">
        <v>36</v>
      </c>
      <c r="S157" t="s">
        <v>40</v>
      </c>
      <c r="T157" t="s">
        <v>25</v>
      </c>
      <c r="U157" t="s">
        <v>32</v>
      </c>
      <c r="V157" t="s">
        <v>27</v>
      </c>
      <c r="W157" t="s">
        <v>28</v>
      </c>
      <c r="X157">
        <v>4.8780487804878048</v>
      </c>
      <c r="Y157">
        <v>95.121951219512198</v>
      </c>
      <c r="Z157" t="s">
        <v>31</v>
      </c>
      <c r="AA157" t="s">
        <v>25</v>
      </c>
      <c r="AB157" t="s">
        <v>29</v>
      </c>
      <c r="AC157">
        <v>1.2699999999999991E-2</v>
      </c>
    </row>
    <row r="158" spans="1:29" x14ac:dyDescent="0.3">
      <c r="A158">
        <v>776</v>
      </c>
      <c r="B158" s="6">
        <v>40578</v>
      </c>
      <c r="C158">
        <v>1</v>
      </c>
      <c r="D158">
        <v>18</v>
      </c>
      <c r="E158" t="b">
        <v>0</v>
      </c>
      <c r="F158">
        <v>5</v>
      </c>
      <c r="G158">
        <v>2</v>
      </c>
      <c r="H158">
        <v>0.24</v>
      </c>
      <c r="I158">
        <v>0.2576</v>
      </c>
      <c r="J158">
        <v>0.6</v>
      </c>
      <c r="K158">
        <v>0.1045</v>
      </c>
      <c r="L158">
        <v>3</v>
      </c>
      <c r="M158">
        <v>152</v>
      </c>
      <c r="N158">
        <v>155</v>
      </c>
      <c r="O158" t="s">
        <v>20</v>
      </c>
      <c r="P158" t="s">
        <v>49</v>
      </c>
      <c r="Q158" t="s">
        <v>34</v>
      </c>
      <c r="R158" t="s">
        <v>36</v>
      </c>
      <c r="S158" t="s">
        <v>24</v>
      </c>
      <c r="T158" t="s">
        <v>25</v>
      </c>
      <c r="U158" t="s">
        <v>32</v>
      </c>
      <c r="V158" t="s">
        <v>27</v>
      </c>
      <c r="W158" t="s">
        <v>28</v>
      </c>
      <c r="X158">
        <v>1.935483870967742</v>
      </c>
      <c r="Y158">
        <v>98.064516129032256</v>
      </c>
      <c r="Z158" t="s">
        <v>31</v>
      </c>
      <c r="AA158" t="s">
        <v>25</v>
      </c>
      <c r="AB158" t="s">
        <v>29</v>
      </c>
      <c r="AC158">
        <v>1.7600000000000001E-2</v>
      </c>
    </row>
    <row r="159" spans="1:29" x14ac:dyDescent="0.3">
      <c r="A159">
        <v>777</v>
      </c>
      <c r="B159" s="6">
        <v>40578</v>
      </c>
      <c r="C159">
        <v>1</v>
      </c>
      <c r="D159">
        <v>19</v>
      </c>
      <c r="E159" t="b">
        <v>0</v>
      </c>
      <c r="F159">
        <v>5</v>
      </c>
      <c r="G159">
        <v>2</v>
      </c>
      <c r="H159">
        <v>0.24</v>
      </c>
      <c r="I159">
        <v>0.2424</v>
      </c>
      <c r="J159">
        <v>0.65</v>
      </c>
      <c r="K159">
        <v>0.1343</v>
      </c>
      <c r="L159">
        <v>1</v>
      </c>
      <c r="M159">
        <v>102</v>
      </c>
      <c r="N159">
        <v>103</v>
      </c>
      <c r="O159" t="s">
        <v>20</v>
      </c>
      <c r="P159" t="s">
        <v>49</v>
      </c>
      <c r="Q159" t="s">
        <v>34</v>
      </c>
      <c r="R159" t="s">
        <v>36</v>
      </c>
      <c r="S159" t="s">
        <v>24</v>
      </c>
      <c r="T159" t="s">
        <v>25</v>
      </c>
      <c r="U159" t="s">
        <v>32</v>
      </c>
      <c r="V159" t="s">
        <v>27</v>
      </c>
      <c r="W159" t="s">
        <v>28</v>
      </c>
      <c r="X159">
        <v>0.97087378640776689</v>
      </c>
      <c r="Y159">
        <v>99.029126213592235</v>
      </c>
      <c r="Z159" t="s">
        <v>31</v>
      </c>
      <c r="AA159" t="s">
        <v>25</v>
      </c>
      <c r="AB159" t="s">
        <v>29</v>
      </c>
      <c r="AC159">
        <v>2.4000000000000128E-3</v>
      </c>
    </row>
    <row r="160" spans="1:29" x14ac:dyDescent="0.3">
      <c r="A160">
        <v>778</v>
      </c>
      <c r="B160" s="6">
        <v>40578</v>
      </c>
      <c r="C160">
        <v>1</v>
      </c>
      <c r="D160">
        <v>20</v>
      </c>
      <c r="E160" t="b">
        <v>0</v>
      </c>
      <c r="F160">
        <v>5</v>
      </c>
      <c r="G160">
        <v>2</v>
      </c>
      <c r="H160">
        <v>0.24</v>
      </c>
      <c r="I160">
        <v>0.2424</v>
      </c>
      <c r="J160">
        <v>0.65</v>
      </c>
      <c r="K160">
        <v>0.16420000000000001</v>
      </c>
      <c r="L160">
        <v>2</v>
      </c>
      <c r="M160">
        <v>69</v>
      </c>
      <c r="N160">
        <v>71</v>
      </c>
      <c r="O160" t="s">
        <v>20</v>
      </c>
      <c r="P160" t="s">
        <v>49</v>
      </c>
      <c r="Q160" t="s">
        <v>34</v>
      </c>
      <c r="R160" t="s">
        <v>36</v>
      </c>
      <c r="S160" t="s">
        <v>24</v>
      </c>
      <c r="T160" t="s">
        <v>25</v>
      </c>
      <c r="U160" t="s">
        <v>26</v>
      </c>
      <c r="V160" t="s">
        <v>27</v>
      </c>
      <c r="W160" t="s">
        <v>28</v>
      </c>
      <c r="X160">
        <v>2.816901408450704</v>
      </c>
      <c r="Y160">
        <v>97.183098591549296</v>
      </c>
      <c r="Z160" t="s">
        <v>29</v>
      </c>
      <c r="AA160" t="s">
        <v>30</v>
      </c>
      <c r="AB160" t="s">
        <v>29</v>
      </c>
      <c r="AC160">
        <v>2.4000000000000128E-3</v>
      </c>
    </row>
    <row r="161" spans="1:29" x14ac:dyDescent="0.3">
      <c r="A161">
        <v>779</v>
      </c>
      <c r="B161" s="6">
        <v>40578</v>
      </c>
      <c r="C161">
        <v>1</v>
      </c>
      <c r="D161">
        <v>21</v>
      </c>
      <c r="E161" t="b">
        <v>0</v>
      </c>
      <c r="F161">
        <v>5</v>
      </c>
      <c r="G161">
        <v>2</v>
      </c>
      <c r="H161">
        <v>0.24</v>
      </c>
      <c r="I161">
        <v>0.2424</v>
      </c>
      <c r="J161">
        <v>0.7</v>
      </c>
      <c r="K161">
        <v>0.16420000000000001</v>
      </c>
      <c r="L161">
        <v>2</v>
      </c>
      <c r="M161">
        <v>41</v>
      </c>
      <c r="N161">
        <v>43</v>
      </c>
      <c r="O161" t="s">
        <v>20</v>
      </c>
      <c r="P161" t="s">
        <v>49</v>
      </c>
      <c r="Q161" t="s">
        <v>34</v>
      </c>
      <c r="R161" t="s">
        <v>23</v>
      </c>
      <c r="S161" t="s">
        <v>24</v>
      </c>
      <c r="T161" t="s">
        <v>37</v>
      </c>
      <c r="U161" t="s">
        <v>26</v>
      </c>
      <c r="V161" t="s">
        <v>27</v>
      </c>
      <c r="W161" t="s">
        <v>28</v>
      </c>
      <c r="X161">
        <v>4.6511627906976747</v>
      </c>
      <c r="Y161">
        <v>95.348837209302332</v>
      </c>
      <c r="Z161" t="s">
        <v>29</v>
      </c>
      <c r="AA161" t="s">
        <v>30</v>
      </c>
      <c r="AB161" t="s">
        <v>29</v>
      </c>
      <c r="AC161">
        <v>2.4000000000000128E-3</v>
      </c>
    </row>
    <row r="162" spans="1:29" x14ac:dyDescent="0.3">
      <c r="A162">
        <v>780</v>
      </c>
      <c r="B162" s="6">
        <v>40578</v>
      </c>
      <c r="C162">
        <v>1</v>
      </c>
      <c r="D162">
        <v>22</v>
      </c>
      <c r="E162" t="b">
        <v>0</v>
      </c>
      <c r="F162">
        <v>5</v>
      </c>
      <c r="G162">
        <v>2</v>
      </c>
      <c r="H162">
        <v>0.24</v>
      </c>
      <c r="I162">
        <v>0.2424</v>
      </c>
      <c r="J162">
        <v>0.65</v>
      </c>
      <c r="K162">
        <v>0.16420000000000001</v>
      </c>
      <c r="L162">
        <v>1</v>
      </c>
      <c r="M162">
        <v>45</v>
      </c>
      <c r="N162">
        <v>46</v>
      </c>
      <c r="O162" t="s">
        <v>20</v>
      </c>
      <c r="P162" t="s">
        <v>49</v>
      </c>
      <c r="Q162" t="s">
        <v>34</v>
      </c>
      <c r="R162" t="s">
        <v>23</v>
      </c>
      <c r="S162" t="s">
        <v>24</v>
      </c>
      <c r="T162" t="s">
        <v>25</v>
      </c>
      <c r="U162" t="s">
        <v>26</v>
      </c>
      <c r="V162" t="s">
        <v>27</v>
      </c>
      <c r="W162" t="s">
        <v>28</v>
      </c>
      <c r="X162">
        <v>2.1739130434782612</v>
      </c>
      <c r="Y162">
        <v>97.826086956521735</v>
      </c>
      <c r="Z162" t="s">
        <v>29</v>
      </c>
      <c r="AA162" t="s">
        <v>30</v>
      </c>
      <c r="AB162" t="s">
        <v>29</v>
      </c>
      <c r="AC162">
        <v>2.4000000000000128E-3</v>
      </c>
    </row>
    <row r="163" spans="1:29" x14ac:dyDescent="0.3">
      <c r="A163">
        <v>781</v>
      </c>
      <c r="B163" s="6">
        <v>40578</v>
      </c>
      <c r="C163">
        <v>1</v>
      </c>
      <c r="D163">
        <v>23</v>
      </c>
      <c r="E163" t="b">
        <v>0</v>
      </c>
      <c r="F163">
        <v>5</v>
      </c>
      <c r="G163">
        <v>2</v>
      </c>
      <c r="H163">
        <v>0.24</v>
      </c>
      <c r="I163">
        <v>0.2424</v>
      </c>
      <c r="J163">
        <v>0.7</v>
      </c>
      <c r="K163">
        <v>0.1343</v>
      </c>
      <c r="L163">
        <v>1</v>
      </c>
      <c r="M163">
        <v>30</v>
      </c>
      <c r="N163">
        <v>31</v>
      </c>
      <c r="O163" t="s">
        <v>20</v>
      </c>
      <c r="P163" t="s">
        <v>49</v>
      </c>
      <c r="Q163" t="s">
        <v>34</v>
      </c>
      <c r="R163" t="s">
        <v>23</v>
      </c>
      <c r="S163" t="s">
        <v>24</v>
      </c>
      <c r="T163" t="s">
        <v>37</v>
      </c>
      <c r="U163" t="s">
        <v>32</v>
      </c>
      <c r="V163" t="s">
        <v>27</v>
      </c>
      <c r="W163" t="s">
        <v>28</v>
      </c>
      <c r="X163">
        <v>3.225806451612903</v>
      </c>
      <c r="Y163">
        <v>96.774193548387103</v>
      </c>
      <c r="Z163" t="s">
        <v>29</v>
      </c>
      <c r="AA163" t="s">
        <v>30</v>
      </c>
      <c r="AB163" t="s">
        <v>29</v>
      </c>
      <c r="AC163">
        <v>2.4000000000000128E-3</v>
      </c>
    </row>
    <row r="164" spans="1:29" x14ac:dyDescent="0.3">
      <c r="A164">
        <v>782</v>
      </c>
      <c r="B164" s="6">
        <v>40579</v>
      </c>
      <c r="C164">
        <v>1</v>
      </c>
      <c r="D164">
        <v>0</v>
      </c>
      <c r="E164" t="b">
        <v>0</v>
      </c>
      <c r="F164">
        <v>6</v>
      </c>
      <c r="G164">
        <v>2</v>
      </c>
      <c r="H164">
        <v>0.24</v>
      </c>
      <c r="I164">
        <v>0.2424</v>
      </c>
      <c r="J164">
        <v>0.7</v>
      </c>
      <c r="K164">
        <v>0.16420000000000001</v>
      </c>
      <c r="L164">
        <v>3</v>
      </c>
      <c r="M164">
        <v>36</v>
      </c>
      <c r="N164">
        <v>39</v>
      </c>
      <c r="O164" t="s">
        <v>20</v>
      </c>
      <c r="P164" t="s">
        <v>21</v>
      </c>
      <c r="Q164" t="s">
        <v>34</v>
      </c>
      <c r="R164" t="s">
        <v>23</v>
      </c>
      <c r="S164" t="s">
        <v>24</v>
      </c>
      <c r="T164" t="s">
        <v>37</v>
      </c>
      <c r="U164" t="s">
        <v>26</v>
      </c>
      <c r="V164" t="s">
        <v>27</v>
      </c>
      <c r="W164" t="s">
        <v>28</v>
      </c>
      <c r="X164">
        <v>7.6923076923076934</v>
      </c>
      <c r="Y164">
        <v>92.307692307692307</v>
      </c>
      <c r="Z164" t="s">
        <v>29</v>
      </c>
      <c r="AA164" t="s">
        <v>30</v>
      </c>
      <c r="AB164" t="s">
        <v>31</v>
      </c>
      <c r="AC164">
        <v>2.4000000000000128E-3</v>
      </c>
    </row>
    <row r="165" spans="1:29" x14ac:dyDescent="0.3">
      <c r="A165">
        <v>783</v>
      </c>
      <c r="B165" s="6">
        <v>40579</v>
      </c>
      <c r="C165">
        <v>1</v>
      </c>
      <c r="D165">
        <v>1</v>
      </c>
      <c r="E165" t="b">
        <v>0</v>
      </c>
      <c r="F165">
        <v>6</v>
      </c>
      <c r="G165">
        <v>2</v>
      </c>
      <c r="H165">
        <v>0.24</v>
      </c>
      <c r="I165">
        <v>0.2424</v>
      </c>
      <c r="J165">
        <v>0.65</v>
      </c>
      <c r="K165">
        <v>0.16420000000000001</v>
      </c>
      <c r="L165">
        <v>1</v>
      </c>
      <c r="M165">
        <v>17</v>
      </c>
      <c r="N165">
        <v>18</v>
      </c>
      <c r="O165" t="s">
        <v>20</v>
      </c>
      <c r="P165" t="s">
        <v>21</v>
      </c>
      <c r="Q165" t="s">
        <v>34</v>
      </c>
      <c r="R165" t="s">
        <v>23</v>
      </c>
      <c r="S165" t="s">
        <v>24</v>
      </c>
      <c r="T165" t="s">
        <v>25</v>
      </c>
      <c r="U165" t="s">
        <v>26</v>
      </c>
      <c r="V165" t="s">
        <v>27</v>
      </c>
      <c r="W165" t="s">
        <v>28</v>
      </c>
      <c r="X165">
        <v>5.5555555555555554</v>
      </c>
      <c r="Y165">
        <v>94.444444444444443</v>
      </c>
      <c r="Z165" t="s">
        <v>29</v>
      </c>
      <c r="AA165" t="s">
        <v>30</v>
      </c>
      <c r="AB165" t="s">
        <v>31</v>
      </c>
      <c r="AC165">
        <v>2.4000000000000128E-3</v>
      </c>
    </row>
    <row r="166" spans="1:29" x14ac:dyDescent="0.3">
      <c r="A166">
        <v>784</v>
      </c>
      <c r="B166" s="6">
        <v>40579</v>
      </c>
      <c r="C166">
        <v>1</v>
      </c>
      <c r="D166">
        <v>2</v>
      </c>
      <c r="E166" t="b">
        <v>0</v>
      </c>
      <c r="F166">
        <v>6</v>
      </c>
      <c r="G166">
        <v>2</v>
      </c>
      <c r="H166">
        <v>0.24</v>
      </c>
      <c r="I166">
        <v>0.2424</v>
      </c>
      <c r="J166">
        <v>0.75</v>
      </c>
      <c r="K166">
        <v>0.16420000000000001</v>
      </c>
      <c r="L166">
        <v>5</v>
      </c>
      <c r="M166">
        <v>12</v>
      </c>
      <c r="N166">
        <v>17</v>
      </c>
      <c r="O166" t="s">
        <v>20</v>
      </c>
      <c r="P166" t="s">
        <v>21</v>
      </c>
      <c r="Q166" t="s">
        <v>34</v>
      </c>
      <c r="R166" t="s">
        <v>23</v>
      </c>
      <c r="S166" t="s">
        <v>24</v>
      </c>
      <c r="T166" t="s">
        <v>37</v>
      </c>
      <c r="U166" t="s">
        <v>26</v>
      </c>
      <c r="V166" t="s">
        <v>27</v>
      </c>
      <c r="W166" t="s">
        <v>28</v>
      </c>
      <c r="X166">
        <v>29.411764705882359</v>
      </c>
      <c r="Y166">
        <v>70.588235294117652</v>
      </c>
      <c r="Z166" t="s">
        <v>29</v>
      </c>
      <c r="AA166" t="s">
        <v>30</v>
      </c>
      <c r="AB166" t="s">
        <v>31</v>
      </c>
      <c r="AC166">
        <v>2.4000000000000128E-3</v>
      </c>
    </row>
    <row r="167" spans="1:29" x14ac:dyDescent="0.3">
      <c r="A167">
        <v>785</v>
      </c>
      <c r="B167" s="6">
        <v>40579</v>
      </c>
      <c r="C167">
        <v>1</v>
      </c>
      <c r="D167">
        <v>3</v>
      </c>
      <c r="E167" t="b">
        <v>0</v>
      </c>
      <c r="F167">
        <v>6</v>
      </c>
      <c r="G167">
        <v>2</v>
      </c>
      <c r="H167">
        <v>0.24</v>
      </c>
      <c r="I167">
        <v>0.2424</v>
      </c>
      <c r="J167">
        <v>0.75</v>
      </c>
      <c r="K167">
        <v>0.16420000000000001</v>
      </c>
      <c r="L167">
        <v>1</v>
      </c>
      <c r="M167">
        <v>10</v>
      </c>
      <c r="N167">
        <v>11</v>
      </c>
      <c r="O167" t="s">
        <v>20</v>
      </c>
      <c r="P167" t="s">
        <v>21</v>
      </c>
      <c r="Q167" t="s">
        <v>34</v>
      </c>
      <c r="R167" t="s">
        <v>23</v>
      </c>
      <c r="S167" t="s">
        <v>24</v>
      </c>
      <c r="T167" t="s">
        <v>37</v>
      </c>
      <c r="U167" t="s">
        <v>26</v>
      </c>
      <c r="V167" t="s">
        <v>27</v>
      </c>
      <c r="W167" t="s">
        <v>28</v>
      </c>
      <c r="X167">
        <v>9.0909090909090917</v>
      </c>
      <c r="Y167">
        <v>90.909090909090907</v>
      </c>
      <c r="Z167" t="s">
        <v>29</v>
      </c>
      <c r="AA167" t="s">
        <v>30</v>
      </c>
      <c r="AB167" t="s">
        <v>31</v>
      </c>
      <c r="AC167">
        <v>2.4000000000000128E-3</v>
      </c>
    </row>
    <row r="168" spans="1:29" x14ac:dyDescent="0.3">
      <c r="A168">
        <v>786</v>
      </c>
      <c r="B168" s="6">
        <v>40579</v>
      </c>
      <c r="C168">
        <v>1</v>
      </c>
      <c r="D168">
        <v>4</v>
      </c>
      <c r="E168" t="b">
        <v>0</v>
      </c>
      <c r="F168">
        <v>6</v>
      </c>
      <c r="G168">
        <v>3</v>
      </c>
      <c r="H168">
        <v>0.22</v>
      </c>
      <c r="I168">
        <v>0.2273</v>
      </c>
      <c r="J168">
        <v>0.93</v>
      </c>
      <c r="K168">
        <v>0.1343</v>
      </c>
      <c r="L168">
        <v>0</v>
      </c>
      <c r="M168">
        <v>8</v>
      </c>
      <c r="N168">
        <v>8</v>
      </c>
      <c r="O168" t="s">
        <v>20</v>
      </c>
      <c r="P168" t="s">
        <v>21</v>
      </c>
      <c r="Q168" t="s">
        <v>43</v>
      </c>
      <c r="R168" t="s">
        <v>23</v>
      </c>
      <c r="S168" t="s">
        <v>24</v>
      </c>
      <c r="T168" t="s">
        <v>37</v>
      </c>
      <c r="U168" t="s">
        <v>32</v>
      </c>
      <c r="V168" t="s">
        <v>27</v>
      </c>
      <c r="W168" t="s">
        <v>28</v>
      </c>
      <c r="X168">
        <v>0</v>
      </c>
      <c r="Y168">
        <v>100</v>
      </c>
      <c r="Z168" t="s">
        <v>29</v>
      </c>
      <c r="AA168" t="s">
        <v>30</v>
      </c>
      <c r="AB168" t="s">
        <v>31</v>
      </c>
      <c r="AC168">
        <v>7.3000000000000009E-3</v>
      </c>
    </row>
    <row r="169" spans="1:29" x14ac:dyDescent="0.3">
      <c r="A169">
        <v>787</v>
      </c>
      <c r="B169" s="6">
        <v>40579</v>
      </c>
      <c r="C169">
        <v>1</v>
      </c>
      <c r="D169">
        <v>5</v>
      </c>
      <c r="E169" t="b">
        <v>0</v>
      </c>
      <c r="F169">
        <v>6</v>
      </c>
      <c r="G169">
        <v>3</v>
      </c>
      <c r="H169">
        <v>0.2</v>
      </c>
      <c r="I169">
        <v>0.2273</v>
      </c>
      <c r="J169">
        <v>1</v>
      </c>
      <c r="K169">
        <v>8.9599999999999999E-2</v>
      </c>
      <c r="L169">
        <v>0</v>
      </c>
      <c r="M169">
        <v>9</v>
      </c>
      <c r="N169">
        <v>9</v>
      </c>
      <c r="O169" t="s">
        <v>20</v>
      </c>
      <c r="P169" t="s">
        <v>21</v>
      </c>
      <c r="Q169" t="s">
        <v>43</v>
      </c>
      <c r="R169" t="s">
        <v>23</v>
      </c>
      <c r="S169" t="s">
        <v>24</v>
      </c>
      <c r="T169" t="s">
        <v>37</v>
      </c>
      <c r="U169" t="s">
        <v>32</v>
      </c>
      <c r="V169" t="s">
        <v>27</v>
      </c>
      <c r="W169" t="s">
        <v>28</v>
      </c>
      <c r="X169">
        <v>0</v>
      </c>
      <c r="Y169">
        <v>100</v>
      </c>
      <c r="Z169" t="s">
        <v>29</v>
      </c>
      <c r="AA169" t="s">
        <v>30</v>
      </c>
      <c r="AB169" t="s">
        <v>31</v>
      </c>
      <c r="AC169">
        <v>2.7299999999999991E-2</v>
      </c>
    </row>
    <row r="170" spans="1:29" x14ac:dyDescent="0.3">
      <c r="A170">
        <v>788</v>
      </c>
      <c r="B170" s="6">
        <v>40579</v>
      </c>
      <c r="C170">
        <v>1</v>
      </c>
      <c r="D170">
        <v>6</v>
      </c>
      <c r="E170" t="b">
        <v>0</v>
      </c>
      <c r="F170">
        <v>6</v>
      </c>
      <c r="G170">
        <v>3</v>
      </c>
      <c r="H170">
        <v>0.2</v>
      </c>
      <c r="I170">
        <v>0.2576</v>
      </c>
      <c r="J170">
        <v>1</v>
      </c>
      <c r="K170">
        <v>0</v>
      </c>
      <c r="L170">
        <v>0</v>
      </c>
      <c r="M170">
        <v>4</v>
      </c>
      <c r="N170">
        <v>4</v>
      </c>
      <c r="O170" t="s">
        <v>20</v>
      </c>
      <c r="P170" t="s">
        <v>21</v>
      </c>
      <c r="Q170" t="s">
        <v>43</v>
      </c>
      <c r="R170" t="s">
        <v>33</v>
      </c>
      <c r="S170" t="s">
        <v>24</v>
      </c>
      <c r="T170" t="s">
        <v>37</v>
      </c>
      <c r="U170" t="s">
        <v>32</v>
      </c>
      <c r="V170" t="s">
        <v>27</v>
      </c>
      <c r="W170" t="s">
        <v>28</v>
      </c>
      <c r="X170">
        <v>0</v>
      </c>
      <c r="Y170">
        <v>100</v>
      </c>
      <c r="Z170" t="s">
        <v>29</v>
      </c>
      <c r="AA170" t="s">
        <v>30</v>
      </c>
      <c r="AB170" t="s">
        <v>31</v>
      </c>
      <c r="AC170">
        <v>5.7599999999999978E-2</v>
      </c>
    </row>
    <row r="171" spans="1:29" x14ac:dyDescent="0.3">
      <c r="A171">
        <v>789</v>
      </c>
      <c r="B171" s="6">
        <v>40579</v>
      </c>
      <c r="C171">
        <v>1</v>
      </c>
      <c r="D171">
        <v>7</v>
      </c>
      <c r="E171" t="b">
        <v>0</v>
      </c>
      <c r="F171">
        <v>6</v>
      </c>
      <c r="G171">
        <v>3</v>
      </c>
      <c r="H171">
        <v>0.22</v>
      </c>
      <c r="I171">
        <v>0.2576</v>
      </c>
      <c r="J171">
        <v>0.93</v>
      </c>
      <c r="K171">
        <v>8.9599999999999999E-2</v>
      </c>
      <c r="L171">
        <v>0</v>
      </c>
      <c r="M171">
        <v>4</v>
      </c>
      <c r="N171">
        <v>4</v>
      </c>
      <c r="O171" t="s">
        <v>20</v>
      </c>
      <c r="P171" t="s">
        <v>21</v>
      </c>
      <c r="Q171" t="s">
        <v>43</v>
      </c>
      <c r="R171" t="s">
        <v>33</v>
      </c>
      <c r="S171" t="s">
        <v>24</v>
      </c>
      <c r="T171" t="s">
        <v>37</v>
      </c>
      <c r="U171" t="s">
        <v>32</v>
      </c>
      <c r="V171" t="s">
        <v>27</v>
      </c>
      <c r="W171" t="s">
        <v>28</v>
      </c>
      <c r="X171">
        <v>0</v>
      </c>
      <c r="Y171">
        <v>100</v>
      </c>
      <c r="Z171" t="s">
        <v>31</v>
      </c>
      <c r="AA171" t="s">
        <v>30</v>
      </c>
      <c r="AB171" t="s">
        <v>31</v>
      </c>
      <c r="AC171">
        <v>3.7599999999999988E-2</v>
      </c>
    </row>
    <row r="172" spans="1:29" x14ac:dyDescent="0.3">
      <c r="A172">
        <v>790</v>
      </c>
      <c r="B172" s="6">
        <v>40579</v>
      </c>
      <c r="C172">
        <v>1</v>
      </c>
      <c r="D172">
        <v>8</v>
      </c>
      <c r="E172" t="b">
        <v>0</v>
      </c>
      <c r="F172">
        <v>6</v>
      </c>
      <c r="G172">
        <v>3</v>
      </c>
      <c r="H172">
        <v>0.2</v>
      </c>
      <c r="I172">
        <v>0.2273</v>
      </c>
      <c r="J172">
        <v>1</v>
      </c>
      <c r="K172">
        <v>8.9599999999999999E-2</v>
      </c>
      <c r="L172">
        <v>0</v>
      </c>
      <c r="M172">
        <v>10</v>
      </c>
      <c r="N172">
        <v>10</v>
      </c>
      <c r="O172" t="s">
        <v>20</v>
      </c>
      <c r="P172" t="s">
        <v>21</v>
      </c>
      <c r="Q172" t="s">
        <v>43</v>
      </c>
      <c r="R172" t="s">
        <v>33</v>
      </c>
      <c r="S172" t="s">
        <v>24</v>
      </c>
      <c r="T172" t="s">
        <v>37</v>
      </c>
      <c r="U172" t="s">
        <v>32</v>
      </c>
      <c r="V172" t="s">
        <v>27</v>
      </c>
      <c r="W172" t="s">
        <v>28</v>
      </c>
      <c r="X172">
        <v>0</v>
      </c>
      <c r="Y172">
        <v>100</v>
      </c>
      <c r="Z172" t="s">
        <v>31</v>
      </c>
      <c r="AA172" t="s">
        <v>30</v>
      </c>
      <c r="AB172" t="s">
        <v>31</v>
      </c>
      <c r="AC172">
        <v>2.7299999999999991E-2</v>
      </c>
    </row>
    <row r="173" spans="1:29" x14ac:dyDescent="0.3">
      <c r="A173">
        <v>791</v>
      </c>
      <c r="B173" s="6">
        <v>40579</v>
      </c>
      <c r="C173">
        <v>1</v>
      </c>
      <c r="D173">
        <v>9</v>
      </c>
      <c r="E173" t="b">
        <v>0</v>
      </c>
      <c r="F173">
        <v>6</v>
      </c>
      <c r="G173">
        <v>3</v>
      </c>
      <c r="H173">
        <v>0.2</v>
      </c>
      <c r="I173">
        <v>0.2273</v>
      </c>
      <c r="J173">
        <v>1</v>
      </c>
      <c r="K173">
        <v>8.9599999999999999E-2</v>
      </c>
      <c r="L173">
        <v>3</v>
      </c>
      <c r="M173">
        <v>17</v>
      </c>
      <c r="N173">
        <v>20</v>
      </c>
      <c r="O173" t="s">
        <v>20</v>
      </c>
      <c r="P173" t="s">
        <v>21</v>
      </c>
      <c r="Q173" t="s">
        <v>43</v>
      </c>
      <c r="R173" t="s">
        <v>33</v>
      </c>
      <c r="S173" t="s">
        <v>24</v>
      </c>
      <c r="T173" t="s">
        <v>37</v>
      </c>
      <c r="U173" t="s">
        <v>32</v>
      </c>
      <c r="V173" t="s">
        <v>27</v>
      </c>
      <c r="W173" t="s">
        <v>28</v>
      </c>
      <c r="X173">
        <v>15</v>
      </c>
      <c r="Y173">
        <v>85</v>
      </c>
      <c r="Z173" t="s">
        <v>31</v>
      </c>
      <c r="AA173" t="s">
        <v>30</v>
      </c>
      <c r="AB173" t="s">
        <v>31</v>
      </c>
      <c r="AC173">
        <v>2.7299999999999991E-2</v>
      </c>
    </row>
    <row r="174" spans="1:29" x14ac:dyDescent="0.3">
      <c r="A174">
        <v>792</v>
      </c>
      <c r="B174" s="6">
        <v>40579</v>
      </c>
      <c r="C174">
        <v>1</v>
      </c>
      <c r="D174">
        <v>10</v>
      </c>
      <c r="E174" t="b">
        <v>0</v>
      </c>
      <c r="F174">
        <v>6</v>
      </c>
      <c r="G174">
        <v>3</v>
      </c>
      <c r="H174">
        <v>0.2</v>
      </c>
      <c r="I174">
        <v>0.21210000000000001</v>
      </c>
      <c r="J174">
        <v>1</v>
      </c>
      <c r="K174">
        <v>0.1343</v>
      </c>
      <c r="L174">
        <v>3</v>
      </c>
      <c r="M174">
        <v>31</v>
      </c>
      <c r="N174">
        <v>34</v>
      </c>
      <c r="O174" t="s">
        <v>20</v>
      </c>
      <c r="P174" t="s">
        <v>21</v>
      </c>
      <c r="Q174" t="s">
        <v>43</v>
      </c>
      <c r="R174" t="s">
        <v>33</v>
      </c>
      <c r="S174" t="s">
        <v>24</v>
      </c>
      <c r="T174" t="s">
        <v>37</v>
      </c>
      <c r="U174" t="s">
        <v>32</v>
      </c>
      <c r="V174" t="s">
        <v>27</v>
      </c>
      <c r="W174" t="s">
        <v>28</v>
      </c>
      <c r="X174">
        <v>8.8235294117647065</v>
      </c>
      <c r="Y174">
        <v>91.17647058823529</v>
      </c>
      <c r="Z174" t="s">
        <v>29</v>
      </c>
      <c r="AA174" t="s">
        <v>30</v>
      </c>
      <c r="AB174" t="s">
        <v>31</v>
      </c>
      <c r="AC174">
        <v>1.21E-2</v>
      </c>
    </row>
    <row r="175" spans="1:29" x14ac:dyDescent="0.3">
      <c r="A175">
        <v>793</v>
      </c>
      <c r="B175" s="6">
        <v>40579</v>
      </c>
      <c r="C175">
        <v>1</v>
      </c>
      <c r="D175">
        <v>11</v>
      </c>
      <c r="E175" t="b">
        <v>0</v>
      </c>
      <c r="F175">
        <v>6</v>
      </c>
      <c r="G175">
        <v>3</v>
      </c>
      <c r="H175">
        <v>0.22</v>
      </c>
      <c r="I175">
        <v>0.2273</v>
      </c>
      <c r="J175">
        <v>1</v>
      </c>
      <c r="K175">
        <v>0.1343</v>
      </c>
      <c r="L175">
        <v>1</v>
      </c>
      <c r="M175">
        <v>46</v>
      </c>
      <c r="N175">
        <v>47</v>
      </c>
      <c r="O175" t="s">
        <v>20</v>
      </c>
      <c r="P175" t="s">
        <v>21</v>
      </c>
      <c r="Q175" t="s">
        <v>43</v>
      </c>
      <c r="R175" t="s">
        <v>33</v>
      </c>
      <c r="S175" t="s">
        <v>24</v>
      </c>
      <c r="T175" t="s">
        <v>37</v>
      </c>
      <c r="U175" t="s">
        <v>32</v>
      </c>
      <c r="V175" t="s">
        <v>27</v>
      </c>
      <c r="W175" t="s">
        <v>28</v>
      </c>
      <c r="X175">
        <v>2.1276595744680851</v>
      </c>
      <c r="Y175">
        <v>97.872340425531917</v>
      </c>
      <c r="Z175" t="s">
        <v>29</v>
      </c>
      <c r="AA175" t="s">
        <v>30</v>
      </c>
      <c r="AB175" t="s">
        <v>31</v>
      </c>
      <c r="AC175">
        <v>7.3000000000000009E-3</v>
      </c>
    </row>
    <row r="176" spans="1:29" x14ac:dyDescent="0.3">
      <c r="A176">
        <v>794</v>
      </c>
      <c r="B176" s="6">
        <v>40579</v>
      </c>
      <c r="C176">
        <v>1</v>
      </c>
      <c r="D176">
        <v>12</v>
      </c>
      <c r="E176" t="b">
        <v>0</v>
      </c>
      <c r="F176">
        <v>6</v>
      </c>
      <c r="G176">
        <v>3</v>
      </c>
      <c r="H176">
        <v>0.22</v>
      </c>
      <c r="I176">
        <v>0.2273</v>
      </c>
      <c r="J176">
        <v>1</v>
      </c>
      <c r="K176">
        <v>0.16420000000000001</v>
      </c>
      <c r="L176">
        <v>10</v>
      </c>
      <c r="M176">
        <v>42</v>
      </c>
      <c r="N176">
        <v>52</v>
      </c>
      <c r="O176" t="s">
        <v>20</v>
      </c>
      <c r="P176" t="s">
        <v>21</v>
      </c>
      <c r="Q176" t="s">
        <v>43</v>
      </c>
      <c r="R176" t="s">
        <v>35</v>
      </c>
      <c r="S176" t="s">
        <v>24</v>
      </c>
      <c r="T176" t="s">
        <v>37</v>
      </c>
      <c r="U176" t="s">
        <v>26</v>
      </c>
      <c r="V176" t="s">
        <v>27</v>
      </c>
      <c r="W176" t="s">
        <v>28</v>
      </c>
      <c r="X176">
        <v>19.23076923076923</v>
      </c>
      <c r="Y176">
        <v>80.769230769230774</v>
      </c>
      <c r="Z176" t="s">
        <v>29</v>
      </c>
      <c r="AA176" t="s">
        <v>30</v>
      </c>
      <c r="AB176" t="s">
        <v>31</v>
      </c>
      <c r="AC176">
        <v>7.3000000000000009E-3</v>
      </c>
    </row>
    <row r="177" spans="1:29" x14ac:dyDescent="0.3">
      <c r="A177">
        <v>795</v>
      </c>
      <c r="B177" s="6">
        <v>40579</v>
      </c>
      <c r="C177">
        <v>1</v>
      </c>
      <c r="D177">
        <v>13</v>
      </c>
      <c r="E177" t="b">
        <v>0</v>
      </c>
      <c r="F177">
        <v>6</v>
      </c>
      <c r="G177">
        <v>3</v>
      </c>
      <c r="H177">
        <v>0.22</v>
      </c>
      <c r="I177">
        <v>0.2273</v>
      </c>
      <c r="J177">
        <v>1</v>
      </c>
      <c r="K177">
        <v>0.16420000000000001</v>
      </c>
      <c r="L177">
        <v>10</v>
      </c>
      <c r="M177">
        <v>62</v>
      </c>
      <c r="N177">
        <v>72</v>
      </c>
      <c r="O177" t="s">
        <v>20</v>
      </c>
      <c r="P177" t="s">
        <v>21</v>
      </c>
      <c r="Q177" t="s">
        <v>43</v>
      </c>
      <c r="R177" t="s">
        <v>35</v>
      </c>
      <c r="S177" t="s">
        <v>24</v>
      </c>
      <c r="T177" t="s">
        <v>37</v>
      </c>
      <c r="U177" t="s">
        <v>26</v>
      </c>
      <c r="V177" t="s">
        <v>27</v>
      </c>
      <c r="W177" t="s">
        <v>28</v>
      </c>
      <c r="X177">
        <v>13.888888888888889</v>
      </c>
      <c r="Y177">
        <v>86.111111111111114</v>
      </c>
      <c r="Z177" t="s">
        <v>29</v>
      </c>
      <c r="AA177" t="s">
        <v>30</v>
      </c>
      <c r="AB177" t="s">
        <v>31</v>
      </c>
      <c r="AC177">
        <v>7.3000000000000009E-3</v>
      </c>
    </row>
    <row r="178" spans="1:29" x14ac:dyDescent="0.3">
      <c r="A178">
        <v>796</v>
      </c>
      <c r="B178" s="6">
        <v>40579</v>
      </c>
      <c r="C178">
        <v>1</v>
      </c>
      <c r="D178">
        <v>14</v>
      </c>
      <c r="E178" t="b">
        <v>0</v>
      </c>
      <c r="F178">
        <v>6</v>
      </c>
      <c r="G178">
        <v>3</v>
      </c>
      <c r="H178">
        <v>0.22</v>
      </c>
      <c r="I178">
        <v>0.2727</v>
      </c>
      <c r="J178">
        <v>1</v>
      </c>
      <c r="K178">
        <v>0</v>
      </c>
      <c r="L178">
        <v>5</v>
      </c>
      <c r="M178">
        <v>50</v>
      </c>
      <c r="N178">
        <v>55</v>
      </c>
      <c r="O178" t="s">
        <v>20</v>
      </c>
      <c r="P178" t="s">
        <v>21</v>
      </c>
      <c r="Q178" t="s">
        <v>43</v>
      </c>
      <c r="R178" t="s">
        <v>35</v>
      </c>
      <c r="S178" t="s">
        <v>24</v>
      </c>
      <c r="T178" t="s">
        <v>37</v>
      </c>
      <c r="U178" t="s">
        <v>32</v>
      </c>
      <c r="V178" t="s">
        <v>27</v>
      </c>
      <c r="W178" t="s">
        <v>28</v>
      </c>
      <c r="X178">
        <v>9.0909090909090917</v>
      </c>
      <c r="Y178">
        <v>90.909090909090907</v>
      </c>
      <c r="Z178" t="s">
        <v>29</v>
      </c>
      <c r="AA178" t="s">
        <v>30</v>
      </c>
      <c r="AB178" t="s">
        <v>31</v>
      </c>
      <c r="AC178">
        <v>5.2699999999999997E-2</v>
      </c>
    </row>
    <row r="179" spans="1:29" x14ac:dyDescent="0.3">
      <c r="A179">
        <v>797</v>
      </c>
      <c r="B179" s="6">
        <v>40579</v>
      </c>
      <c r="C179">
        <v>1</v>
      </c>
      <c r="D179">
        <v>15</v>
      </c>
      <c r="E179" t="b">
        <v>0</v>
      </c>
      <c r="F179">
        <v>6</v>
      </c>
      <c r="G179">
        <v>3</v>
      </c>
      <c r="H179">
        <v>0.22</v>
      </c>
      <c r="I179">
        <v>0.2727</v>
      </c>
      <c r="J179">
        <v>1</v>
      </c>
      <c r="K179">
        <v>0</v>
      </c>
      <c r="L179">
        <v>11</v>
      </c>
      <c r="M179">
        <v>49</v>
      </c>
      <c r="N179">
        <v>60</v>
      </c>
      <c r="O179" t="s">
        <v>20</v>
      </c>
      <c r="P179" t="s">
        <v>21</v>
      </c>
      <c r="Q179" t="s">
        <v>43</v>
      </c>
      <c r="R179" t="s">
        <v>35</v>
      </c>
      <c r="S179" t="s">
        <v>24</v>
      </c>
      <c r="T179" t="s">
        <v>37</v>
      </c>
      <c r="U179" t="s">
        <v>32</v>
      </c>
      <c r="V179" t="s">
        <v>27</v>
      </c>
      <c r="W179" t="s">
        <v>28</v>
      </c>
      <c r="X179">
        <v>18.333333333333329</v>
      </c>
      <c r="Y179">
        <v>81.666666666666671</v>
      </c>
      <c r="Z179" t="s">
        <v>29</v>
      </c>
      <c r="AA179" t="s">
        <v>30</v>
      </c>
      <c r="AB179" t="s">
        <v>31</v>
      </c>
      <c r="AC179">
        <v>5.2699999999999997E-2</v>
      </c>
    </row>
    <row r="180" spans="1:29" x14ac:dyDescent="0.3">
      <c r="A180">
        <v>798</v>
      </c>
      <c r="B180" s="6">
        <v>40579</v>
      </c>
      <c r="C180">
        <v>1</v>
      </c>
      <c r="D180">
        <v>16</v>
      </c>
      <c r="E180" t="b">
        <v>0</v>
      </c>
      <c r="F180">
        <v>6</v>
      </c>
      <c r="G180">
        <v>3</v>
      </c>
      <c r="H180">
        <v>0.22</v>
      </c>
      <c r="I180">
        <v>0.2273</v>
      </c>
      <c r="J180">
        <v>1</v>
      </c>
      <c r="K180">
        <v>0.1343</v>
      </c>
      <c r="L180">
        <v>8</v>
      </c>
      <c r="M180">
        <v>63</v>
      </c>
      <c r="N180">
        <v>71</v>
      </c>
      <c r="O180" t="s">
        <v>20</v>
      </c>
      <c r="P180" t="s">
        <v>21</v>
      </c>
      <c r="Q180" t="s">
        <v>43</v>
      </c>
      <c r="R180" t="s">
        <v>35</v>
      </c>
      <c r="S180" t="s">
        <v>24</v>
      </c>
      <c r="T180" t="s">
        <v>37</v>
      </c>
      <c r="U180" t="s">
        <v>32</v>
      </c>
      <c r="V180" t="s">
        <v>27</v>
      </c>
      <c r="W180" t="s">
        <v>28</v>
      </c>
      <c r="X180">
        <v>11.26760563380282</v>
      </c>
      <c r="Y180">
        <v>88.732394366197184</v>
      </c>
      <c r="Z180" t="s">
        <v>29</v>
      </c>
      <c r="AA180" t="s">
        <v>30</v>
      </c>
      <c r="AB180" t="s">
        <v>31</v>
      </c>
      <c r="AC180">
        <v>7.3000000000000009E-3</v>
      </c>
    </row>
    <row r="181" spans="1:29" x14ac:dyDescent="0.3">
      <c r="A181">
        <v>799</v>
      </c>
      <c r="B181" s="6">
        <v>40579</v>
      </c>
      <c r="C181">
        <v>1</v>
      </c>
      <c r="D181">
        <v>17</v>
      </c>
      <c r="E181" t="b">
        <v>0</v>
      </c>
      <c r="F181">
        <v>6</v>
      </c>
      <c r="G181">
        <v>2</v>
      </c>
      <c r="H181">
        <v>0.24</v>
      </c>
      <c r="I181">
        <v>0.21210000000000001</v>
      </c>
      <c r="J181">
        <v>1</v>
      </c>
      <c r="K181">
        <v>0.28360000000000002</v>
      </c>
      <c r="L181">
        <v>14</v>
      </c>
      <c r="M181">
        <v>64</v>
      </c>
      <c r="N181">
        <v>78</v>
      </c>
      <c r="O181" t="s">
        <v>20</v>
      </c>
      <c r="P181" t="s">
        <v>21</v>
      </c>
      <c r="Q181" t="s">
        <v>34</v>
      </c>
      <c r="R181" t="s">
        <v>36</v>
      </c>
      <c r="S181" t="s">
        <v>24</v>
      </c>
      <c r="T181" t="s">
        <v>37</v>
      </c>
      <c r="U181" t="s">
        <v>26</v>
      </c>
      <c r="V181" t="s">
        <v>27</v>
      </c>
      <c r="W181" t="s">
        <v>28</v>
      </c>
      <c r="X181">
        <v>17.948717948717949</v>
      </c>
      <c r="Y181">
        <v>82.051282051282044</v>
      </c>
      <c r="Z181" t="s">
        <v>31</v>
      </c>
      <c r="AA181" t="s">
        <v>30</v>
      </c>
      <c r="AB181" t="s">
        <v>31</v>
      </c>
      <c r="AC181">
        <v>-2.789999999999998E-2</v>
      </c>
    </row>
    <row r="182" spans="1:29" x14ac:dyDescent="0.3">
      <c r="A182">
        <v>800</v>
      </c>
      <c r="B182" s="6">
        <v>40579</v>
      </c>
      <c r="C182">
        <v>1</v>
      </c>
      <c r="D182">
        <v>18</v>
      </c>
      <c r="E182" t="b">
        <v>0</v>
      </c>
      <c r="F182">
        <v>6</v>
      </c>
      <c r="G182">
        <v>2</v>
      </c>
      <c r="H182">
        <v>0.28000000000000003</v>
      </c>
      <c r="I182">
        <v>0.2424</v>
      </c>
      <c r="J182">
        <v>0.93</v>
      </c>
      <c r="K182">
        <v>0.44779999999999998</v>
      </c>
      <c r="L182">
        <v>2</v>
      </c>
      <c r="M182">
        <v>81</v>
      </c>
      <c r="N182">
        <v>83</v>
      </c>
      <c r="O182" t="s">
        <v>20</v>
      </c>
      <c r="P182" t="s">
        <v>21</v>
      </c>
      <c r="Q182" t="s">
        <v>34</v>
      </c>
      <c r="R182" t="s">
        <v>36</v>
      </c>
      <c r="S182" t="s">
        <v>40</v>
      </c>
      <c r="T182" t="s">
        <v>37</v>
      </c>
      <c r="U182" t="s">
        <v>42</v>
      </c>
      <c r="V182" t="s">
        <v>27</v>
      </c>
      <c r="W182" t="s">
        <v>28</v>
      </c>
      <c r="X182">
        <v>2.4096385542168681</v>
      </c>
      <c r="Y182">
        <v>97.590361445783131</v>
      </c>
      <c r="Z182" t="s">
        <v>31</v>
      </c>
      <c r="AA182" t="s">
        <v>30</v>
      </c>
      <c r="AB182" t="s">
        <v>31</v>
      </c>
      <c r="AC182">
        <v>-3.7600000000000022E-2</v>
      </c>
    </row>
    <row r="183" spans="1:29" x14ac:dyDescent="0.3">
      <c r="A183">
        <v>801</v>
      </c>
      <c r="B183" s="6">
        <v>40579</v>
      </c>
      <c r="C183">
        <v>1</v>
      </c>
      <c r="D183">
        <v>19</v>
      </c>
      <c r="E183" t="b">
        <v>0</v>
      </c>
      <c r="F183">
        <v>6</v>
      </c>
      <c r="G183">
        <v>2</v>
      </c>
      <c r="H183">
        <v>0.28000000000000003</v>
      </c>
      <c r="I183">
        <v>0.2424</v>
      </c>
      <c r="J183">
        <v>0.93</v>
      </c>
      <c r="K183">
        <v>0.44779999999999998</v>
      </c>
      <c r="L183">
        <v>6</v>
      </c>
      <c r="M183">
        <v>78</v>
      </c>
      <c r="N183">
        <v>84</v>
      </c>
      <c r="O183" t="s">
        <v>20</v>
      </c>
      <c r="P183" t="s">
        <v>21</v>
      </c>
      <c r="Q183" t="s">
        <v>34</v>
      </c>
      <c r="R183" t="s">
        <v>36</v>
      </c>
      <c r="S183" t="s">
        <v>40</v>
      </c>
      <c r="T183" t="s">
        <v>37</v>
      </c>
      <c r="U183" t="s">
        <v>42</v>
      </c>
      <c r="V183" t="s">
        <v>27</v>
      </c>
      <c r="W183" t="s">
        <v>28</v>
      </c>
      <c r="X183">
        <v>7.1428571428571423</v>
      </c>
      <c r="Y183">
        <v>92.857142857142861</v>
      </c>
      <c r="Z183" t="s">
        <v>31</v>
      </c>
      <c r="AA183" t="s">
        <v>30</v>
      </c>
      <c r="AB183" t="s">
        <v>31</v>
      </c>
      <c r="AC183">
        <v>-3.7600000000000022E-2</v>
      </c>
    </row>
    <row r="184" spans="1:29" x14ac:dyDescent="0.3">
      <c r="A184">
        <v>802</v>
      </c>
      <c r="B184" s="6">
        <v>40579</v>
      </c>
      <c r="C184">
        <v>1</v>
      </c>
      <c r="D184">
        <v>20</v>
      </c>
      <c r="E184" t="b">
        <v>0</v>
      </c>
      <c r="F184">
        <v>6</v>
      </c>
      <c r="G184">
        <v>1</v>
      </c>
      <c r="H184">
        <v>0.3</v>
      </c>
      <c r="I184">
        <v>0.28789999999999999</v>
      </c>
      <c r="J184">
        <v>0.87</v>
      </c>
      <c r="K184">
        <v>0.25369999999999998</v>
      </c>
      <c r="L184">
        <v>5</v>
      </c>
      <c r="M184">
        <v>64</v>
      </c>
      <c r="N184">
        <v>69</v>
      </c>
      <c r="O184" t="s">
        <v>20</v>
      </c>
      <c r="P184" t="s">
        <v>21</v>
      </c>
      <c r="Q184" t="s">
        <v>22</v>
      </c>
      <c r="R184" t="s">
        <v>36</v>
      </c>
      <c r="S184" t="s">
        <v>40</v>
      </c>
      <c r="T184" t="s">
        <v>37</v>
      </c>
      <c r="U184" t="s">
        <v>26</v>
      </c>
      <c r="V184" t="s">
        <v>27</v>
      </c>
      <c r="W184" t="s">
        <v>28</v>
      </c>
      <c r="X184">
        <v>7.2463768115942031</v>
      </c>
      <c r="Y184">
        <v>92.753623188405797</v>
      </c>
      <c r="Z184" t="s">
        <v>29</v>
      </c>
      <c r="AA184" t="s">
        <v>30</v>
      </c>
      <c r="AB184" t="s">
        <v>31</v>
      </c>
      <c r="AC184">
        <v>-1.21E-2</v>
      </c>
    </row>
    <row r="185" spans="1:29" x14ac:dyDescent="0.3">
      <c r="A185">
        <v>803</v>
      </c>
      <c r="B185" s="6">
        <v>40579</v>
      </c>
      <c r="C185">
        <v>1</v>
      </c>
      <c r="D185">
        <v>21</v>
      </c>
      <c r="E185" t="b">
        <v>0</v>
      </c>
      <c r="F185">
        <v>6</v>
      </c>
      <c r="G185">
        <v>1</v>
      </c>
      <c r="H185">
        <v>0.26</v>
      </c>
      <c r="I185">
        <v>0.2576</v>
      </c>
      <c r="J185">
        <v>1</v>
      </c>
      <c r="K185">
        <v>0.19400000000000001</v>
      </c>
      <c r="L185">
        <v>3</v>
      </c>
      <c r="M185">
        <v>53</v>
      </c>
      <c r="N185">
        <v>56</v>
      </c>
      <c r="O185" t="s">
        <v>20</v>
      </c>
      <c r="P185" t="s">
        <v>21</v>
      </c>
      <c r="Q185" t="s">
        <v>22</v>
      </c>
      <c r="R185" t="s">
        <v>23</v>
      </c>
      <c r="S185" t="s">
        <v>40</v>
      </c>
      <c r="T185" t="s">
        <v>37</v>
      </c>
      <c r="U185" t="s">
        <v>26</v>
      </c>
      <c r="V185" t="s">
        <v>27</v>
      </c>
      <c r="W185" t="s">
        <v>28</v>
      </c>
      <c r="X185">
        <v>5.3571428571428568</v>
      </c>
      <c r="Y185">
        <v>94.642857142857139</v>
      </c>
      <c r="Z185" t="s">
        <v>29</v>
      </c>
      <c r="AA185" t="s">
        <v>30</v>
      </c>
      <c r="AB185" t="s">
        <v>31</v>
      </c>
      <c r="AC185">
        <v>-2.4000000000000128E-3</v>
      </c>
    </row>
    <row r="186" spans="1:29" x14ac:dyDescent="0.3">
      <c r="A186">
        <v>804</v>
      </c>
      <c r="B186" s="6">
        <v>40579</v>
      </c>
      <c r="C186">
        <v>1</v>
      </c>
      <c r="D186">
        <v>22</v>
      </c>
      <c r="E186" t="b">
        <v>0</v>
      </c>
      <c r="F186">
        <v>6</v>
      </c>
      <c r="G186">
        <v>1</v>
      </c>
      <c r="H186">
        <v>0.26</v>
      </c>
      <c r="I186">
        <v>0.2727</v>
      </c>
      <c r="J186">
        <v>0.93</v>
      </c>
      <c r="K186">
        <v>0.1343</v>
      </c>
      <c r="L186">
        <v>2</v>
      </c>
      <c r="M186">
        <v>43</v>
      </c>
      <c r="N186">
        <v>45</v>
      </c>
      <c r="O186" t="s">
        <v>20</v>
      </c>
      <c r="P186" t="s">
        <v>21</v>
      </c>
      <c r="Q186" t="s">
        <v>22</v>
      </c>
      <c r="R186" t="s">
        <v>23</v>
      </c>
      <c r="S186" t="s">
        <v>40</v>
      </c>
      <c r="T186" t="s">
        <v>37</v>
      </c>
      <c r="U186" t="s">
        <v>32</v>
      </c>
      <c r="V186" t="s">
        <v>27</v>
      </c>
      <c r="W186" t="s">
        <v>28</v>
      </c>
      <c r="X186">
        <v>4.4444444444444446</v>
      </c>
      <c r="Y186">
        <v>95.555555555555557</v>
      </c>
      <c r="Z186" t="s">
        <v>29</v>
      </c>
      <c r="AA186" t="s">
        <v>30</v>
      </c>
      <c r="AB186" t="s">
        <v>31</v>
      </c>
      <c r="AC186">
        <v>1.2699999999999991E-2</v>
      </c>
    </row>
    <row r="187" spans="1:29" x14ac:dyDescent="0.3">
      <c r="A187">
        <v>805</v>
      </c>
      <c r="B187" s="6">
        <v>40579</v>
      </c>
      <c r="C187">
        <v>1</v>
      </c>
      <c r="D187">
        <v>23</v>
      </c>
      <c r="E187" t="b">
        <v>0</v>
      </c>
      <c r="F187">
        <v>6</v>
      </c>
      <c r="G187">
        <v>1</v>
      </c>
      <c r="H187">
        <v>0.26</v>
      </c>
      <c r="I187">
        <v>0.2576</v>
      </c>
      <c r="J187">
        <v>0.93</v>
      </c>
      <c r="K187">
        <v>0.22389999999999999</v>
      </c>
      <c r="L187">
        <v>7</v>
      </c>
      <c r="M187">
        <v>52</v>
      </c>
      <c r="N187">
        <v>59</v>
      </c>
      <c r="O187" t="s">
        <v>20</v>
      </c>
      <c r="P187" t="s">
        <v>21</v>
      </c>
      <c r="Q187" t="s">
        <v>22</v>
      </c>
      <c r="R187" t="s">
        <v>23</v>
      </c>
      <c r="S187" t="s">
        <v>40</v>
      </c>
      <c r="T187" t="s">
        <v>37</v>
      </c>
      <c r="U187" t="s">
        <v>26</v>
      </c>
      <c r="V187" t="s">
        <v>27</v>
      </c>
      <c r="W187" t="s">
        <v>28</v>
      </c>
      <c r="X187">
        <v>11.864406779661021</v>
      </c>
      <c r="Y187">
        <v>88.135593220338976</v>
      </c>
      <c r="Z187" t="s">
        <v>29</v>
      </c>
      <c r="AA187" t="s">
        <v>30</v>
      </c>
      <c r="AB187" t="s">
        <v>31</v>
      </c>
      <c r="AC187">
        <v>-2.4000000000000128E-3</v>
      </c>
    </row>
    <row r="188" spans="1:29" x14ac:dyDescent="0.3">
      <c r="A188">
        <v>806</v>
      </c>
      <c r="B188" s="6">
        <v>40580</v>
      </c>
      <c r="C188">
        <v>1</v>
      </c>
      <c r="D188">
        <v>0</v>
      </c>
      <c r="E188" t="b">
        <v>0</v>
      </c>
      <c r="F188">
        <v>0</v>
      </c>
      <c r="G188">
        <v>1</v>
      </c>
      <c r="H188">
        <v>0.26</v>
      </c>
      <c r="I188">
        <v>0.2576</v>
      </c>
      <c r="J188">
        <v>0.7</v>
      </c>
      <c r="K188">
        <v>0.19400000000000001</v>
      </c>
      <c r="L188">
        <v>2</v>
      </c>
      <c r="M188">
        <v>37</v>
      </c>
      <c r="N188">
        <v>39</v>
      </c>
      <c r="O188" t="s">
        <v>20</v>
      </c>
      <c r="P188" t="s">
        <v>38</v>
      </c>
      <c r="Q188" t="s">
        <v>22</v>
      </c>
      <c r="R188" t="s">
        <v>23</v>
      </c>
      <c r="S188" t="s">
        <v>40</v>
      </c>
      <c r="T188" t="s">
        <v>37</v>
      </c>
      <c r="U188" t="s">
        <v>26</v>
      </c>
      <c r="V188" t="s">
        <v>27</v>
      </c>
      <c r="W188" t="s">
        <v>28</v>
      </c>
      <c r="X188">
        <v>5.1282051282051277</v>
      </c>
      <c r="Y188">
        <v>94.871794871794862</v>
      </c>
      <c r="Z188" t="s">
        <v>29</v>
      </c>
      <c r="AA188" t="s">
        <v>30</v>
      </c>
      <c r="AB188" t="s">
        <v>31</v>
      </c>
      <c r="AC188">
        <v>-2.4000000000000128E-3</v>
      </c>
    </row>
    <row r="189" spans="1:29" x14ac:dyDescent="0.3">
      <c r="A189">
        <v>807</v>
      </c>
      <c r="B189" s="6">
        <v>40580</v>
      </c>
      <c r="C189">
        <v>1</v>
      </c>
      <c r="D189">
        <v>1</v>
      </c>
      <c r="E189" t="b">
        <v>0</v>
      </c>
      <c r="F189">
        <v>0</v>
      </c>
      <c r="G189">
        <v>1</v>
      </c>
      <c r="H189">
        <v>0.26</v>
      </c>
      <c r="I189">
        <v>0.2273</v>
      </c>
      <c r="J189">
        <v>0.65</v>
      </c>
      <c r="K189">
        <v>0.41789999999999999</v>
      </c>
      <c r="L189">
        <v>4</v>
      </c>
      <c r="M189">
        <v>40</v>
      </c>
      <c r="N189">
        <v>44</v>
      </c>
      <c r="O189" t="s">
        <v>20</v>
      </c>
      <c r="P189" t="s">
        <v>38</v>
      </c>
      <c r="Q189" t="s">
        <v>22</v>
      </c>
      <c r="R189" t="s">
        <v>23</v>
      </c>
      <c r="S189" t="s">
        <v>40</v>
      </c>
      <c r="T189" t="s">
        <v>25</v>
      </c>
      <c r="U189" t="s">
        <v>42</v>
      </c>
      <c r="V189" t="s">
        <v>27</v>
      </c>
      <c r="W189" t="s">
        <v>28</v>
      </c>
      <c r="X189">
        <v>9.0909090909090917</v>
      </c>
      <c r="Y189">
        <v>90.909090909090907</v>
      </c>
      <c r="Z189" t="s">
        <v>29</v>
      </c>
      <c r="AA189" t="s">
        <v>30</v>
      </c>
      <c r="AB189" t="s">
        <v>31</v>
      </c>
      <c r="AC189">
        <v>-3.2700000000000007E-2</v>
      </c>
    </row>
    <row r="190" spans="1:29" x14ac:dyDescent="0.3">
      <c r="A190">
        <v>808</v>
      </c>
      <c r="B190" s="6">
        <v>40580</v>
      </c>
      <c r="C190">
        <v>1</v>
      </c>
      <c r="D190">
        <v>2</v>
      </c>
      <c r="E190" t="b">
        <v>0</v>
      </c>
      <c r="F190">
        <v>0</v>
      </c>
      <c r="G190">
        <v>1</v>
      </c>
      <c r="H190">
        <v>0.26</v>
      </c>
      <c r="I190">
        <v>0.2273</v>
      </c>
      <c r="J190">
        <v>0.6</v>
      </c>
      <c r="K190">
        <v>0.32840000000000003</v>
      </c>
      <c r="L190">
        <v>0</v>
      </c>
      <c r="M190">
        <v>20</v>
      </c>
      <c r="N190">
        <v>20</v>
      </c>
      <c r="O190" t="s">
        <v>20</v>
      </c>
      <c r="P190" t="s">
        <v>38</v>
      </c>
      <c r="Q190" t="s">
        <v>22</v>
      </c>
      <c r="R190" t="s">
        <v>23</v>
      </c>
      <c r="S190" t="s">
        <v>40</v>
      </c>
      <c r="T190" t="s">
        <v>25</v>
      </c>
      <c r="U190" t="s">
        <v>42</v>
      </c>
      <c r="V190" t="s">
        <v>27</v>
      </c>
      <c r="W190" t="s">
        <v>28</v>
      </c>
      <c r="X190">
        <v>0</v>
      </c>
      <c r="Y190">
        <v>100</v>
      </c>
      <c r="Z190" t="s">
        <v>29</v>
      </c>
      <c r="AA190" t="s">
        <v>30</v>
      </c>
      <c r="AB190" t="s">
        <v>31</v>
      </c>
      <c r="AC190">
        <v>-3.2700000000000007E-2</v>
      </c>
    </row>
    <row r="191" spans="1:29" x14ac:dyDescent="0.3">
      <c r="A191">
        <v>809</v>
      </c>
      <c r="B191" s="6">
        <v>40580</v>
      </c>
      <c r="C191">
        <v>1</v>
      </c>
      <c r="D191">
        <v>3</v>
      </c>
      <c r="E191" t="b">
        <v>0</v>
      </c>
      <c r="F191">
        <v>0</v>
      </c>
      <c r="G191">
        <v>1</v>
      </c>
      <c r="H191">
        <v>0.26</v>
      </c>
      <c r="I191">
        <v>0.28789999999999999</v>
      </c>
      <c r="J191">
        <v>0.6</v>
      </c>
      <c r="K191">
        <v>8.9599999999999999E-2</v>
      </c>
      <c r="L191">
        <v>3</v>
      </c>
      <c r="M191">
        <v>10</v>
      </c>
      <c r="N191">
        <v>13</v>
      </c>
      <c r="O191" t="s">
        <v>20</v>
      </c>
      <c r="P191" t="s">
        <v>38</v>
      </c>
      <c r="Q191" t="s">
        <v>22</v>
      </c>
      <c r="R191" t="s">
        <v>23</v>
      </c>
      <c r="S191" t="s">
        <v>40</v>
      </c>
      <c r="T191" t="s">
        <v>25</v>
      </c>
      <c r="U191" t="s">
        <v>32</v>
      </c>
      <c r="V191" t="s">
        <v>27</v>
      </c>
      <c r="W191" t="s">
        <v>28</v>
      </c>
      <c r="X191">
        <v>23.07692307692308</v>
      </c>
      <c r="Y191">
        <v>76.923076923076934</v>
      </c>
      <c r="Z191" t="s">
        <v>29</v>
      </c>
      <c r="AA191" t="s">
        <v>30</v>
      </c>
      <c r="AB191" t="s">
        <v>31</v>
      </c>
      <c r="AC191">
        <v>2.789999999999998E-2</v>
      </c>
    </row>
    <row r="192" spans="1:29" x14ac:dyDescent="0.3">
      <c r="A192">
        <v>810</v>
      </c>
      <c r="B192" s="6">
        <v>40580</v>
      </c>
      <c r="C192">
        <v>1</v>
      </c>
      <c r="D192">
        <v>4</v>
      </c>
      <c r="E192" t="b">
        <v>0</v>
      </c>
      <c r="F192">
        <v>0</v>
      </c>
      <c r="G192">
        <v>1</v>
      </c>
      <c r="H192">
        <v>0.26</v>
      </c>
      <c r="I192">
        <v>0.2273</v>
      </c>
      <c r="J192">
        <v>0.6</v>
      </c>
      <c r="K192">
        <v>0.35820000000000002</v>
      </c>
      <c r="L192">
        <v>0</v>
      </c>
      <c r="M192">
        <v>2</v>
      </c>
      <c r="N192">
        <v>2</v>
      </c>
      <c r="O192" t="s">
        <v>20</v>
      </c>
      <c r="P192" t="s">
        <v>38</v>
      </c>
      <c r="Q192" t="s">
        <v>22</v>
      </c>
      <c r="R192" t="s">
        <v>23</v>
      </c>
      <c r="S192" t="s">
        <v>40</v>
      </c>
      <c r="T192" t="s">
        <v>25</v>
      </c>
      <c r="U192" t="s">
        <v>42</v>
      </c>
      <c r="V192" t="s">
        <v>27</v>
      </c>
      <c r="W192" t="s">
        <v>28</v>
      </c>
      <c r="X192">
        <v>0</v>
      </c>
      <c r="Y192">
        <v>100</v>
      </c>
      <c r="Z192" t="s">
        <v>29</v>
      </c>
      <c r="AA192" t="s">
        <v>30</v>
      </c>
      <c r="AB192" t="s">
        <v>31</v>
      </c>
      <c r="AC192">
        <v>-3.2700000000000007E-2</v>
      </c>
    </row>
    <row r="193" spans="1:29" x14ac:dyDescent="0.3">
      <c r="A193">
        <v>811</v>
      </c>
      <c r="B193" s="6">
        <v>40580</v>
      </c>
      <c r="C193">
        <v>1</v>
      </c>
      <c r="D193">
        <v>5</v>
      </c>
      <c r="E193" t="b">
        <v>0</v>
      </c>
      <c r="F193">
        <v>0</v>
      </c>
      <c r="G193">
        <v>1</v>
      </c>
      <c r="H193">
        <v>0.26</v>
      </c>
      <c r="I193">
        <v>0.2576</v>
      </c>
      <c r="J193">
        <v>0.6</v>
      </c>
      <c r="K193">
        <v>0.22389999999999999</v>
      </c>
      <c r="L193">
        <v>0</v>
      </c>
      <c r="M193">
        <v>1</v>
      </c>
      <c r="N193">
        <v>1</v>
      </c>
      <c r="O193" t="s">
        <v>20</v>
      </c>
      <c r="P193" t="s">
        <v>38</v>
      </c>
      <c r="Q193" t="s">
        <v>22</v>
      </c>
      <c r="R193" t="s">
        <v>23</v>
      </c>
      <c r="S193" t="s">
        <v>40</v>
      </c>
      <c r="T193" t="s">
        <v>25</v>
      </c>
      <c r="U193" t="s">
        <v>26</v>
      </c>
      <c r="V193" t="s">
        <v>27</v>
      </c>
      <c r="W193" t="s">
        <v>28</v>
      </c>
      <c r="X193">
        <v>0</v>
      </c>
      <c r="Y193">
        <v>100</v>
      </c>
      <c r="Z193" t="s">
        <v>29</v>
      </c>
      <c r="AA193" t="s">
        <v>30</v>
      </c>
      <c r="AB193" t="s">
        <v>31</v>
      </c>
      <c r="AC193">
        <v>-2.4000000000000128E-3</v>
      </c>
    </row>
    <row r="194" spans="1:29" x14ac:dyDescent="0.3">
      <c r="A194">
        <v>812</v>
      </c>
      <c r="B194" s="6">
        <v>40580</v>
      </c>
      <c r="C194">
        <v>1</v>
      </c>
      <c r="D194">
        <v>6</v>
      </c>
      <c r="E194" t="b">
        <v>0</v>
      </c>
      <c r="F194">
        <v>0</v>
      </c>
      <c r="G194">
        <v>1</v>
      </c>
      <c r="H194">
        <v>0.26</v>
      </c>
      <c r="I194">
        <v>0.2576</v>
      </c>
      <c r="J194">
        <v>0.6</v>
      </c>
      <c r="K194">
        <v>0.22389999999999999</v>
      </c>
      <c r="L194">
        <v>0</v>
      </c>
      <c r="M194">
        <v>1</v>
      </c>
      <c r="N194">
        <v>1</v>
      </c>
      <c r="O194" t="s">
        <v>20</v>
      </c>
      <c r="P194" t="s">
        <v>38</v>
      </c>
      <c r="Q194" t="s">
        <v>22</v>
      </c>
      <c r="R194" t="s">
        <v>33</v>
      </c>
      <c r="S194" t="s">
        <v>40</v>
      </c>
      <c r="T194" t="s">
        <v>25</v>
      </c>
      <c r="U194" t="s">
        <v>26</v>
      </c>
      <c r="V194" t="s">
        <v>27</v>
      </c>
      <c r="W194" t="s">
        <v>28</v>
      </c>
      <c r="X194">
        <v>0</v>
      </c>
      <c r="Y194">
        <v>100</v>
      </c>
      <c r="Z194" t="s">
        <v>29</v>
      </c>
      <c r="AA194" t="s">
        <v>30</v>
      </c>
      <c r="AB194" t="s">
        <v>31</v>
      </c>
      <c r="AC194">
        <v>-2.4000000000000128E-3</v>
      </c>
    </row>
    <row r="195" spans="1:29" x14ac:dyDescent="0.3">
      <c r="A195">
        <v>813</v>
      </c>
      <c r="B195" s="6">
        <v>40580</v>
      </c>
      <c r="C195">
        <v>1</v>
      </c>
      <c r="D195">
        <v>7</v>
      </c>
      <c r="E195" t="b">
        <v>0</v>
      </c>
      <c r="F195">
        <v>0</v>
      </c>
      <c r="G195">
        <v>1</v>
      </c>
      <c r="H195">
        <v>0.24</v>
      </c>
      <c r="I195">
        <v>0.2424</v>
      </c>
      <c r="J195">
        <v>0.65</v>
      </c>
      <c r="K195">
        <v>0.16420000000000001</v>
      </c>
      <c r="L195">
        <v>0</v>
      </c>
      <c r="M195">
        <v>8</v>
      </c>
      <c r="N195">
        <v>8</v>
      </c>
      <c r="O195" t="s">
        <v>20</v>
      </c>
      <c r="P195" t="s">
        <v>38</v>
      </c>
      <c r="Q195" t="s">
        <v>22</v>
      </c>
      <c r="R195" t="s">
        <v>33</v>
      </c>
      <c r="S195" t="s">
        <v>24</v>
      </c>
      <c r="T195" t="s">
        <v>25</v>
      </c>
      <c r="U195" t="s">
        <v>26</v>
      </c>
      <c r="V195" t="s">
        <v>27</v>
      </c>
      <c r="W195" t="s">
        <v>28</v>
      </c>
      <c r="X195">
        <v>0</v>
      </c>
      <c r="Y195">
        <v>100</v>
      </c>
      <c r="Z195" t="s">
        <v>31</v>
      </c>
      <c r="AA195" t="s">
        <v>30</v>
      </c>
      <c r="AB195" t="s">
        <v>31</v>
      </c>
      <c r="AC195">
        <v>2.4000000000000128E-3</v>
      </c>
    </row>
    <row r="196" spans="1:29" x14ac:dyDescent="0.3">
      <c r="A196">
        <v>814</v>
      </c>
      <c r="B196" s="6">
        <v>40580</v>
      </c>
      <c r="C196">
        <v>1</v>
      </c>
      <c r="D196">
        <v>8</v>
      </c>
      <c r="E196" t="b">
        <v>0</v>
      </c>
      <c r="F196">
        <v>0</v>
      </c>
      <c r="G196">
        <v>1</v>
      </c>
      <c r="H196">
        <v>0.24</v>
      </c>
      <c r="I196">
        <v>0.2576</v>
      </c>
      <c r="J196">
        <v>0.65</v>
      </c>
      <c r="K196">
        <v>0.1045</v>
      </c>
      <c r="L196">
        <v>2</v>
      </c>
      <c r="M196">
        <v>21</v>
      </c>
      <c r="N196">
        <v>23</v>
      </c>
      <c r="O196" t="s">
        <v>20</v>
      </c>
      <c r="P196" t="s">
        <v>38</v>
      </c>
      <c r="Q196" t="s">
        <v>22</v>
      </c>
      <c r="R196" t="s">
        <v>33</v>
      </c>
      <c r="S196" t="s">
        <v>24</v>
      </c>
      <c r="T196" t="s">
        <v>25</v>
      </c>
      <c r="U196" t="s">
        <v>32</v>
      </c>
      <c r="V196" t="s">
        <v>27</v>
      </c>
      <c r="W196" t="s">
        <v>28</v>
      </c>
      <c r="X196">
        <v>8.695652173913043</v>
      </c>
      <c r="Y196">
        <v>91.304347826086953</v>
      </c>
      <c r="Z196" t="s">
        <v>31</v>
      </c>
      <c r="AA196" t="s">
        <v>30</v>
      </c>
      <c r="AB196" t="s">
        <v>31</v>
      </c>
      <c r="AC196">
        <v>1.7600000000000001E-2</v>
      </c>
    </row>
    <row r="197" spans="1:29" x14ac:dyDescent="0.3">
      <c r="A197">
        <v>815</v>
      </c>
      <c r="B197" s="6">
        <v>40580</v>
      </c>
      <c r="C197">
        <v>1</v>
      </c>
      <c r="D197">
        <v>9</v>
      </c>
      <c r="E197" t="b">
        <v>0</v>
      </c>
      <c r="F197">
        <v>0</v>
      </c>
      <c r="G197">
        <v>1</v>
      </c>
      <c r="H197">
        <v>0.28000000000000003</v>
      </c>
      <c r="I197">
        <v>0.28789999999999999</v>
      </c>
      <c r="J197">
        <v>0.56000000000000005</v>
      </c>
      <c r="K197">
        <v>0.1045</v>
      </c>
      <c r="L197">
        <v>7</v>
      </c>
      <c r="M197">
        <v>38</v>
      </c>
      <c r="N197">
        <v>45</v>
      </c>
      <c r="O197" t="s">
        <v>20</v>
      </c>
      <c r="P197" t="s">
        <v>38</v>
      </c>
      <c r="Q197" t="s">
        <v>22</v>
      </c>
      <c r="R197" t="s">
        <v>33</v>
      </c>
      <c r="S197" t="s">
        <v>40</v>
      </c>
      <c r="T197" t="s">
        <v>25</v>
      </c>
      <c r="U197" t="s">
        <v>32</v>
      </c>
      <c r="V197" t="s">
        <v>27</v>
      </c>
      <c r="W197" t="s">
        <v>28</v>
      </c>
      <c r="X197">
        <v>15.555555555555561</v>
      </c>
      <c r="Y197">
        <v>84.444444444444443</v>
      </c>
      <c r="Z197" t="s">
        <v>31</v>
      </c>
      <c r="AA197" t="s">
        <v>30</v>
      </c>
      <c r="AB197" t="s">
        <v>31</v>
      </c>
      <c r="AC197">
        <v>7.8999999999999626E-3</v>
      </c>
    </row>
    <row r="198" spans="1:29" x14ac:dyDescent="0.3">
      <c r="A198">
        <v>816</v>
      </c>
      <c r="B198" s="6">
        <v>40580</v>
      </c>
      <c r="C198">
        <v>1</v>
      </c>
      <c r="D198">
        <v>10</v>
      </c>
      <c r="E198" t="b">
        <v>0</v>
      </c>
      <c r="F198">
        <v>0</v>
      </c>
      <c r="G198">
        <v>1</v>
      </c>
      <c r="H198">
        <v>0.3</v>
      </c>
      <c r="I198">
        <v>0.28789999999999999</v>
      </c>
      <c r="J198">
        <v>0.52</v>
      </c>
      <c r="K198">
        <v>0.25369999999999998</v>
      </c>
      <c r="L198">
        <v>15</v>
      </c>
      <c r="M198">
        <v>74</v>
      </c>
      <c r="N198">
        <v>89</v>
      </c>
      <c r="O198" t="s">
        <v>20</v>
      </c>
      <c r="P198" t="s">
        <v>38</v>
      </c>
      <c r="Q198" t="s">
        <v>22</v>
      </c>
      <c r="R198" t="s">
        <v>33</v>
      </c>
      <c r="S198" t="s">
        <v>40</v>
      </c>
      <c r="T198" t="s">
        <v>25</v>
      </c>
      <c r="U198" t="s">
        <v>26</v>
      </c>
      <c r="V198" t="s">
        <v>27</v>
      </c>
      <c r="W198" t="s">
        <v>28</v>
      </c>
      <c r="X198">
        <v>16.853932584269661</v>
      </c>
      <c r="Y198">
        <v>83.146067415730343</v>
      </c>
      <c r="Z198" t="s">
        <v>29</v>
      </c>
      <c r="AA198" t="s">
        <v>30</v>
      </c>
      <c r="AB198" t="s">
        <v>31</v>
      </c>
      <c r="AC198">
        <v>-1.21E-2</v>
      </c>
    </row>
    <row r="199" spans="1:29" x14ac:dyDescent="0.3">
      <c r="A199">
        <v>817</v>
      </c>
      <c r="B199" s="6">
        <v>40580</v>
      </c>
      <c r="C199">
        <v>1</v>
      </c>
      <c r="D199">
        <v>11</v>
      </c>
      <c r="E199" t="b">
        <v>0</v>
      </c>
      <c r="F199">
        <v>0</v>
      </c>
      <c r="G199">
        <v>1</v>
      </c>
      <c r="H199">
        <v>0.32</v>
      </c>
      <c r="I199">
        <v>0.30299999999999999</v>
      </c>
      <c r="J199">
        <v>0.49</v>
      </c>
      <c r="K199">
        <v>0.25369999999999998</v>
      </c>
      <c r="L199">
        <v>28</v>
      </c>
      <c r="M199">
        <v>89</v>
      </c>
      <c r="N199">
        <v>117</v>
      </c>
      <c r="O199" t="s">
        <v>20</v>
      </c>
      <c r="P199" t="s">
        <v>38</v>
      </c>
      <c r="Q199" t="s">
        <v>22</v>
      </c>
      <c r="R199" t="s">
        <v>33</v>
      </c>
      <c r="S199" t="s">
        <v>40</v>
      </c>
      <c r="T199" t="s">
        <v>25</v>
      </c>
      <c r="U199" t="s">
        <v>26</v>
      </c>
      <c r="V199" t="s">
        <v>27</v>
      </c>
      <c r="W199" t="s">
        <v>28</v>
      </c>
      <c r="X199">
        <v>23.931623931623928</v>
      </c>
      <c r="Y199">
        <v>76.068376068376068</v>
      </c>
      <c r="Z199" t="s">
        <v>29</v>
      </c>
      <c r="AA199" t="s">
        <v>25</v>
      </c>
      <c r="AB199" t="s">
        <v>31</v>
      </c>
      <c r="AC199">
        <v>-1.7000000000000019E-2</v>
      </c>
    </row>
    <row r="200" spans="1:29" x14ac:dyDescent="0.3">
      <c r="A200">
        <v>818</v>
      </c>
      <c r="B200" s="6">
        <v>40580</v>
      </c>
      <c r="C200">
        <v>1</v>
      </c>
      <c r="D200">
        <v>12</v>
      </c>
      <c r="E200" t="b">
        <v>0</v>
      </c>
      <c r="F200">
        <v>0</v>
      </c>
      <c r="G200">
        <v>1</v>
      </c>
      <c r="H200">
        <v>0.34</v>
      </c>
      <c r="I200">
        <v>0.33329999999999999</v>
      </c>
      <c r="J200">
        <v>0.46</v>
      </c>
      <c r="K200">
        <v>0</v>
      </c>
      <c r="L200">
        <v>48</v>
      </c>
      <c r="M200">
        <v>126</v>
      </c>
      <c r="N200">
        <v>174</v>
      </c>
      <c r="O200" t="s">
        <v>20</v>
      </c>
      <c r="P200" t="s">
        <v>38</v>
      </c>
      <c r="Q200" t="s">
        <v>22</v>
      </c>
      <c r="R200" t="s">
        <v>35</v>
      </c>
      <c r="S200" t="s">
        <v>40</v>
      </c>
      <c r="T200" t="s">
        <v>25</v>
      </c>
      <c r="U200" t="s">
        <v>32</v>
      </c>
      <c r="V200" t="s">
        <v>27</v>
      </c>
      <c r="W200" t="s">
        <v>28</v>
      </c>
      <c r="X200">
        <v>27.586206896551719</v>
      </c>
      <c r="Y200">
        <v>72.41379310344827</v>
      </c>
      <c r="Z200" t="s">
        <v>29</v>
      </c>
      <c r="AA200" t="s">
        <v>25</v>
      </c>
      <c r="AB200" t="s">
        <v>31</v>
      </c>
      <c r="AC200">
        <v>-6.7000000000000393E-3</v>
      </c>
    </row>
    <row r="201" spans="1:29" x14ac:dyDescent="0.3">
      <c r="A201">
        <v>819</v>
      </c>
      <c r="B201" s="6">
        <v>40580</v>
      </c>
      <c r="C201">
        <v>1</v>
      </c>
      <c r="D201">
        <v>13</v>
      </c>
      <c r="E201" t="b">
        <v>0</v>
      </c>
      <c r="F201">
        <v>0</v>
      </c>
      <c r="G201">
        <v>1</v>
      </c>
      <c r="H201">
        <v>0.34</v>
      </c>
      <c r="I201">
        <v>0.36359999999999998</v>
      </c>
      <c r="J201">
        <v>0.46</v>
      </c>
      <c r="K201">
        <v>0</v>
      </c>
      <c r="L201">
        <v>47</v>
      </c>
      <c r="M201">
        <v>135</v>
      </c>
      <c r="N201">
        <v>182</v>
      </c>
      <c r="O201" t="s">
        <v>20</v>
      </c>
      <c r="P201" t="s">
        <v>38</v>
      </c>
      <c r="Q201" t="s">
        <v>22</v>
      </c>
      <c r="R201" t="s">
        <v>35</v>
      </c>
      <c r="S201" t="s">
        <v>40</v>
      </c>
      <c r="T201" t="s">
        <v>25</v>
      </c>
      <c r="U201" t="s">
        <v>32</v>
      </c>
      <c r="V201" t="s">
        <v>27</v>
      </c>
      <c r="W201" t="s">
        <v>28</v>
      </c>
      <c r="X201">
        <v>25.824175824175828</v>
      </c>
      <c r="Y201">
        <v>74.175824175824175</v>
      </c>
      <c r="Z201" t="s">
        <v>29</v>
      </c>
      <c r="AA201" t="s">
        <v>25</v>
      </c>
      <c r="AB201" t="s">
        <v>31</v>
      </c>
      <c r="AC201">
        <v>2.3599999999999951E-2</v>
      </c>
    </row>
    <row r="202" spans="1:29" x14ac:dyDescent="0.3">
      <c r="A202">
        <v>820</v>
      </c>
      <c r="B202" s="6">
        <v>40580</v>
      </c>
      <c r="C202">
        <v>1</v>
      </c>
      <c r="D202">
        <v>14</v>
      </c>
      <c r="E202" t="b">
        <v>0</v>
      </c>
      <c r="F202">
        <v>0</v>
      </c>
      <c r="G202">
        <v>1</v>
      </c>
      <c r="H202">
        <v>0.34</v>
      </c>
      <c r="I202">
        <v>0.34849999999999998</v>
      </c>
      <c r="J202">
        <v>0.46</v>
      </c>
      <c r="K202">
        <v>8.9599999999999999E-2</v>
      </c>
      <c r="L202">
        <v>47</v>
      </c>
      <c r="M202">
        <v>114</v>
      </c>
      <c r="N202">
        <v>161</v>
      </c>
      <c r="O202" t="s">
        <v>20</v>
      </c>
      <c r="P202" t="s">
        <v>38</v>
      </c>
      <c r="Q202" t="s">
        <v>22</v>
      </c>
      <c r="R202" t="s">
        <v>35</v>
      </c>
      <c r="S202" t="s">
        <v>40</v>
      </c>
      <c r="T202" t="s">
        <v>25</v>
      </c>
      <c r="U202" t="s">
        <v>32</v>
      </c>
      <c r="V202" t="s">
        <v>27</v>
      </c>
      <c r="W202" t="s">
        <v>28</v>
      </c>
      <c r="X202">
        <v>29.19254658385093</v>
      </c>
      <c r="Y202">
        <v>70.807453416149073</v>
      </c>
      <c r="Z202" t="s">
        <v>29</v>
      </c>
      <c r="AA202" t="s">
        <v>25</v>
      </c>
      <c r="AB202" t="s">
        <v>31</v>
      </c>
      <c r="AC202">
        <v>8.499999999999952E-3</v>
      </c>
    </row>
    <row r="203" spans="1:29" x14ac:dyDescent="0.3">
      <c r="A203">
        <v>821</v>
      </c>
      <c r="B203" s="6">
        <v>40580</v>
      </c>
      <c r="C203">
        <v>1</v>
      </c>
      <c r="D203">
        <v>15</v>
      </c>
      <c r="E203" t="b">
        <v>0</v>
      </c>
      <c r="F203">
        <v>0</v>
      </c>
      <c r="G203">
        <v>1</v>
      </c>
      <c r="H203">
        <v>0.34</v>
      </c>
      <c r="I203">
        <v>0.34849999999999998</v>
      </c>
      <c r="J203">
        <v>0.46</v>
      </c>
      <c r="K203">
        <v>8.9599999999999999E-2</v>
      </c>
      <c r="L203">
        <v>52</v>
      </c>
      <c r="M203">
        <v>130</v>
      </c>
      <c r="N203">
        <v>182</v>
      </c>
      <c r="O203" t="s">
        <v>20</v>
      </c>
      <c r="P203" t="s">
        <v>38</v>
      </c>
      <c r="Q203" t="s">
        <v>22</v>
      </c>
      <c r="R203" t="s">
        <v>35</v>
      </c>
      <c r="S203" t="s">
        <v>40</v>
      </c>
      <c r="T203" t="s">
        <v>25</v>
      </c>
      <c r="U203" t="s">
        <v>32</v>
      </c>
      <c r="V203" t="s">
        <v>27</v>
      </c>
      <c r="W203" t="s">
        <v>28</v>
      </c>
      <c r="X203">
        <v>28.571428571428569</v>
      </c>
      <c r="Y203">
        <v>71.428571428571431</v>
      </c>
      <c r="Z203" t="s">
        <v>29</v>
      </c>
      <c r="AA203" t="s">
        <v>25</v>
      </c>
      <c r="AB203" t="s">
        <v>31</v>
      </c>
      <c r="AC203">
        <v>8.499999999999952E-3</v>
      </c>
    </row>
    <row r="204" spans="1:29" x14ac:dyDescent="0.3">
      <c r="A204">
        <v>822</v>
      </c>
      <c r="B204" s="6">
        <v>40580</v>
      </c>
      <c r="C204">
        <v>1</v>
      </c>
      <c r="D204">
        <v>16</v>
      </c>
      <c r="E204" t="b">
        <v>0</v>
      </c>
      <c r="F204">
        <v>0</v>
      </c>
      <c r="G204">
        <v>1</v>
      </c>
      <c r="H204">
        <v>0.34</v>
      </c>
      <c r="I204">
        <v>0.34849999999999998</v>
      </c>
      <c r="J204">
        <v>0.49</v>
      </c>
      <c r="K204">
        <v>0.1045</v>
      </c>
      <c r="L204">
        <v>42</v>
      </c>
      <c r="M204">
        <v>115</v>
      </c>
      <c r="N204">
        <v>157</v>
      </c>
      <c r="O204" t="s">
        <v>20</v>
      </c>
      <c r="P204" t="s">
        <v>38</v>
      </c>
      <c r="Q204" t="s">
        <v>22</v>
      </c>
      <c r="R204" t="s">
        <v>35</v>
      </c>
      <c r="S204" t="s">
        <v>40</v>
      </c>
      <c r="T204" t="s">
        <v>25</v>
      </c>
      <c r="U204" t="s">
        <v>32</v>
      </c>
      <c r="V204" t="s">
        <v>27</v>
      </c>
      <c r="W204" t="s">
        <v>28</v>
      </c>
      <c r="X204">
        <v>26.751592356687901</v>
      </c>
      <c r="Y204">
        <v>73.248407643312092</v>
      </c>
      <c r="Z204" t="s">
        <v>29</v>
      </c>
      <c r="AA204" t="s">
        <v>25</v>
      </c>
      <c r="AB204" t="s">
        <v>31</v>
      </c>
      <c r="AC204">
        <v>8.499999999999952E-3</v>
      </c>
    </row>
    <row r="205" spans="1:29" x14ac:dyDescent="0.3">
      <c r="A205">
        <v>823</v>
      </c>
      <c r="B205" s="6">
        <v>40580</v>
      </c>
      <c r="C205">
        <v>1</v>
      </c>
      <c r="D205">
        <v>17</v>
      </c>
      <c r="E205" t="b">
        <v>0</v>
      </c>
      <c r="F205">
        <v>0</v>
      </c>
      <c r="G205">
        <v>1</v>
      </c>
      <c r="H205">
        <v>0.34</v>
      </c>
      <c r="I205">
        <v>0.36359999999999998</v>
      </c>
      <c r="J205">
        <v>0.46</v>
      </c>
      <c r="K205">
        <v>0</v>
      </c>
      <c r="L205">
        <v>24</v>
      </c>
      <c r="M205">
        <v>97</v>
      </c>
      <c r="N205">
        <v>121</v>
      </c>
      <c r="O205" t="s">
        <v>20</v>
      </c>
      <c r="P205" t="s">
        <v>38</v>
      </c>
      <c r="Q205" t="s">
        <v>22</v>
      </c>
      <c r="R205" t="s">
        <v>36</v>
      </c>
      <c r="S205" t="s">
        <v>40</v>
      </c>
      <c r="T205" t="s">
        <v>25</v>
      </c>
      <c r="U205" t="s">
        <v>32</v>
      </c>
      <c r="V205" t="s">
        <v>27</v>
      </c>
      <c r="W205" t="s">
        <v>28</v>
      </c>
      <c r="X205">
        <v>19.834710743801651</v>
      </c>
      <c r="Y205">
        <v>80.165289256198349</v>
      </c>
      <c r="Z205" t="s">
        <v>31</v>
      </c>
      <c r="AA205" t="s">
        <v>25</v>
      </c>
      <c r="AB205" t="s">
        <v>31</v>
      </c>
      <c r="AC205">
        <v>2.3599999999999951E-2</v>
      </c>
    </row>
    <row r="206" spans="1:29" x14ac:dyDescent="0.3">
      <c r="A206">
        <v>824</v>
      </c>
      <c r="B206" s="6">
        <v>40580</v>
      </c>
      <c r="C206">
        <v>1</v>
      </c>
      <c r="D206">
        <v>18</v>
      </c>
      <c r="E206" t="b">
        <v>0</v>
      </c>
      <c r="F206">
        <v>0</v>
      </c>
      <c r="G206">
        <v>1</v>
      </c>
      <c r="H206">
        <v>0.3</v>
      </c>
      <c r="I206">
        <v>0.30299999999999999</v>
      </c>
      <c r="J206">
        <v>0.56000000000000005</v>
      </c>
      <c r="K206">
        <v>0.16420000000000001</v>
      </c>
      <c r="L206">
        <v>13</v>
      </c>
      <c r="M206">
        <v>65</v>
      </c>
      <c r="N206">
        <v>78</v>
      </c>
      <c r="O206" t="s">
        <v>20</v>
      </c>
      <c r="P206" t="s">
        <v>38</v>
      </c>
      <c r="Q206" t="s">
        <v>22</v>
      </c>
      <c r="R206" t="s">
        <v>36</v>
      </c>
      <c r="S206" t="s">
        <v>40</v>
      </c>
      <c r="T206" t="s">
        <v>25</v>
      </c>
      <c r="U206" t="s">
        <v>26</v>
      </c>
      <c r="V206" t="s">
        <v>27</v>
      </c>
      <c r="W206" t="s">
        <v>28</v>
      </c>
      <c r="X206">
        <v>16.666666666666661</v>
      </c>
      <c r="Y206">
        <v>83.333333333333343</v>
      </c>
      <c r="Z206" t="s">
        <v>31</v>
      </c>
      <c r="AA206" t="s">
        <v>30</v>
      </c>
      <c r="AB206" t="s">
        <v>31</v>
      </c>
      <c r="AC206">
        <v>3.0000000000000031E-3</v>
      </c>
    </row>
    <row r="207" spans="1:29" x14ac:dyDescent="0.3">
      <c r="A207">
        <v>825</v>
      </c>
      <c r="B207" s="6">
        <v>40580</v>
      </c>
      <c r="C207">
        <v>1</v>
      </c>
      <c r="D207">
        <v>19</v>
      </c>
      <c r="E207" t="b">
        <v>0</v>
      </c>
      <c r="F207">
        <v>0</v>
      </c>
      <c r="G207">
        <v>1</v>
      </c>
      <c r="H207">
        <v>0.28000000000000003</v>
      </c>
      <c r="I207">
        <v>0.28789999999999999</v>
      </c>
      <c r="J207">
        <v>0.61</v>
      </c>
      <c r="K207">
        <v>0.1343</v>
      </c>
      <c r="L207">
        <v>1</v>
      </c>
      <c r="M207">
        <v>20</v>
      </c>
      <c r="N207">
        <v>21</v>
      </c>
      <c r="O207" t="s">
        <v>20</v>
      </c>
      <c r="P207" t="s">
        <v>38</v>
      </c>
      <c r="Q207" t="s">
        <v>22</v>
      </c>
      <c r="R207" t="s">
        <v>36</v>
      </c>
      <c r="S207" t="s">
        <v>40</v>
      </c>
      <c r="T207" t="s">
        <v>25</v>
      </c>
      <c r="U207" t="s">
        <v>32</v>
      </c>
      <c r="V207" t="s">
        <v>27</v>
      </c>
      <c r="W207" t="s">
        <v>28</v>
      </c>
      <c r="X207">
        <v>4.7619047619047619</v>
      </c>
      <c r="Y207">
        <v>95.238095238095227</v>
      </c>
      <c r="Z207" t="s">
        <v>31</v>
      </c>
      <c r="AA207" t="s">
        <v>30</v>
      </c>
      <c r="AB207" t="s">
        <v>31</v>
      </c>
      <c r="AC207">
        <v>7.8999999999999626E-3</v>
      </c>
    </row>
    <row r="208" spans="1:29" x14ac:dyDescent="0.3">
      <c r="A208">
        <v>826</v>
      </c>
      <c r="B208" s="6">
        <v>40580</v>
      </c>
      <c r="C208">
        <v>1</v>
      </c>
      <c r="D208">
        <v>20</v>
      </c>
      <c r="E208" t="b">
        <v>0</v>
      </c>
      <c r="F208">
        <v>0</v>
      </c>
      <c r="G208">
        <v>1</v>
      </c>
      <c r="H208">
        <v>0.28000000000000003</v>
      </c>
      <c r="I208">
        <v>0.28789999999999999</v>
      </c>
      <c r="J208">
        <v>0.61</v>
      </c>
      <c r="K208">
        <v>0.1045</v>
      </c>
      <c r="L208">
        <v>5</v>
      </c>
      <c r="M208">
        <v>21</v>
      </c>
      <c r="N208">
        <v>26</v>
      </c>
      <c r="O208" t="s">
        <v>20</v>
      </c>
      <c r="P208" t="s">
        <v>38</v>
      </c>
      <c r="Q208" t="s">
        <v>22</v>
      </c>
      <c r="R208" t="s">
        <v>36</v>
      </c>
      <c r="S208" t="s">
        <v>40</v>
      </c>
      <c r="T208" t="s">
        <v>25</v>
      </c>
      <c r="U208" t="s">
        <v>32</v>
      </c>
      <c r="V208" t="s">
        <v>27</v>
      </c>
      <c r="W208" t="s">
        <v>28</v>
      </c>
      <c r="X208">
        <v>19.23076923076923</v>
      </c>
      <c r="Y208">
        <v>80.769230769230774</v>
      </c>
      <c r="Z208" t="s">
        <v>29</v>
      </c>
      <c r="AA208" t="s">
        <v>30</v>
      </c>
      <c r="AB208" t="s">
        <v>31</v>
      </c>
      <c r="AC208">
        <v>7.8999999999999626E-3</v>
      </c>
    </row>
    <row r="209" spans="1:29" x14ac:dyDescent="0.3">
      <c r="A209">
        <v>827</v>
      </c>
      <c r="B209" s="6">
        <v>40580</v>
      </c>
      <c r="C209">
        <v>1</v>
      </c>
      <c r="D209">
        <v>21</v>
      </c>
      <c r="E209" t="b">
        <v>0</v>
      </c>
      <c r="F209">
        <v>0</v>
      </c>
      <c r="G209">
        <v>1</v>
      </c>
      <c r="H209">
        <v>0.26</v>
      </c>
      <c r="I209">
        <v>0.30299999999999999</v>
      </c>
      <c r="J209">
        <v>0.6</v>
      </c>
      <c r="K209">
        <v>0</v>
      </c>
      <c r="L209">
        <v>5</v>
      </c>
      <c r="M209">
        <v>22</v>
      </c>
      <c r="N209">
        <v>27</v>
      </c>
      <c r="O209" t="s">
        <v>20</v>
      </c>
      <c r="P209" t="s">
        <v>38</v>
      </c>
      <c r="Q209" t="s">
        <v>22</v>
      </c>
      <c r="R209" t="s">
        <v>23</v>
      </c>
      <c r="S209" t="s">
        <v>40</v>
      </c>
      <c r="T209" t="s">
        <v>25</v>
      </c>
      <c r="U209" t="s">
        <v>32</v>
      </c>
      <c r="V209" t="s">
        <v>27</v>
      </c>
      <c r="W209" t="s">
        <v>28</v>
      </c>
      <c r="X209">
        <v>18.518518518518519</v>
      </c>
      <c r="Y209">
        <v>81.481481481481481</v>
      </c>
      <c r="Z209" t="s">
        <v>29</v>
      </c>
      <c r="AA209" t="s">
        <v>30</v>
      </c>
      <c r="AB209" t="s">
        <v>31</v>
      </c>
      <c r="AC209">
        <v>4.2999999999999983E-2</v>
      </c>
    </row>
    <row r="210" spans="1:29" x14ac:dyDescent="0.3">
      <c r="A210">
        <v>828</v>
      </c>
      <c r="B210" s="6">
        <v>40580</v>
      </c>
      <c r="C210">
        <v>1</v>
      </c>
      <c r="D210">
        <v>22</v>
      </c>
      <c r="E210" t="b">
        <v>0</v>
      </c>
      <c r="F210">
        <v>0</v>
      </c>
      <c r="G210">
        <v>1</v>
      </c>
      <c r="H210">
        <v>0.26</v>
      </c>
      <c r="I210">
        <v>0.30299999999999999</v>
      </c>
      <c r="J210">
        <v>0.6</v>
      </c>
      <c r="K210">
        <v>0</v>
      </c>
      <c r="L210">
        <v>5</v>
      </c>
      <c r="M210">
        <v>57</v>
      </c>
      <c r="N210">
        <v>62</v>
      </c>
      <c r="O210" t="s">
        <v>20</v>
      </c>
      <c r="P210" t="s">
        <v>38</v>
      </c>
      <c r="Q210" t="s">
        <v>22</v>
      </c>
      <c r="R210" t="s">
        <v>23</v>
      </c>
      <c r="S210" t="s">
        <v>40</v>
      </c>
      <c r="T210" t="s">
        <v>25</v>
      </c>
      <c r="U210" t="s">
        <v>32</v>
      </c>
      <c r="V210" t="s">
        <v>27</v>
      </c>
      <c r="W210" t="s">
        <v>28</v>
      </c>
      <c r="X210">
        <v>8.064516129032258</v>
      </c>
      <c r="Y210">
        <v>91.935483870967744</v>
      </c>
      <c r="Z210" t="s">
        <v>29</v>
      </c>
      <c r="AA210" t="s">
        <v>30</v>
      </c>
      <c r="AB210" t="s">
        <v>31</v>
      </c>
      <c r="AC210">
        <v>4.2999999999999983E-2</v>
      </c>
    </row>
    <row r="211" spans="1:29" x14ac:dyDescent="0.3">
      <c r="A211">
        <v>829</v>
      </c>
      <c r="B211" s="6">
        <v>40580</v>
      </c>
      <c r="C211">
        <v>1</v>
      </c>
      <c r="D211">
        <v>23</v>
      </c>
      <c r="E211" t="b">
        <v>0</v>
      </c>
      <c r="F211">
        <v>0</v>
      </c>
      <c r="G211">
        <v>1</v>
      </c>
      <c r="H211">
        <v>0.24</v>
      </c>
      <c r="I211">
        <v>0.28789999999999999</v>
      </c>
      <c r="J211">
        <v>0.65</v>
      </c>
      <c r="K211">
        <v>0</v>
      </c>
      <c r="L211">
        <v>4</v>
      </c>
      <c r="M211">
        <v>26</v>
      </c>
      <c r="N211">
        <v>30</v>
      </c>
      <c r="O211" t="s">
        <v>20</v>
      </c>
      <c r="P211" t="s">
        <v>38</v>
      </c>
      <c r="Q211" t="s">
        <v>22</v>
      </c>
      <c r="R211" t="s">
        <v>23</v>
      </c>
      <c r="S211" t="s">
        <v>24</v>
      </c>
      <c r="T211" t="s">
        <v>25</v>
      </c>
      <c r="U211" t="s">
        <v>32</v>
      </c>
      <c r="V211" t="s">
        <v>27</v>
      </c>
      <c r="W211" t="s">
        <v>28</v>
      </c>
      <c r="X211">
        <v>13.33333333333333</v>
      </c>
      <c r="Y211">
        <v>86.666666666666671</v>
      </c>
      <c r="Z211" t="s">
        <v>29</v>
      </c>
      <c r="AA211" t="s">
        <v>30</v>
      </c>
      <c r="AB211" t="s">
        <v>31</v>
      </c>
      <c r="AC211">
        <v>4.7899999999999998E-2</v>
      </c>
    </row>
    <row r="212" spans="1:29" x14ac:dyDescent="0.3">
      <c r="A212">
        <v>830</v>
      </c>
      <c r="B212" s="6">
        <v>40581</v>
      </c>
      <c r="C212">
        <v>1</v>
      </c>
      <c r="D212">
        <v>0</v>
      </c>
      <c r="E212" t="b">
        <v>0</v>
      </c>
      <c r="F212">
        <v>1</v>
      </c>
      <c r="G212">
        <v>1</v>
      </c>
      <c r="H212">
        <v>0.24</v>
      </c>
      <c r="I212">
        <v>0.28789999999999999</v>
      </c>
      <c r="J212">
        <v>0.65</v>
      </c>
      <c r="K212">
        <v>0</v>
      </c>
      <c r="L212">
        <v>1</v>
      </c>
      <c r="M212">
        <v>14</v>
      </c>
      <c r="N212">
        <v>15</v>
      </c>
      <c r="O212" t="s">
        <v>20</v>
      </c>
      <c r="P212" t="s">
        <v>41</v>
      </c>
      <c r="Q212" t="s">
        <v>22</v>
      </c>
      <c r="R212" t="s">
        <v>23</v>
      </c>
      <c r="S212" t="s">
        <v>24</v>
      </c>
      <c r="T212" t="s">
        <v>25</v>
      </c>
      <c r="U212" t="s">
        <v>32</v>
      </c>
      <c r="V212" t="s">
        <v>27</v>
      </c>
      <c r="W212" t="s">
        <v>28</v>
      </c>
      <c r="X212">
        <v>6.666666666666667</v>
      </c>
      <c r="Y212">
        <v>93.333333333333329</v>
      </c>
      <c r="Z212" t="s">
        <v>29</v>
      </c>
      <c r="AA212" t="s">
        <v>30</v>
      </c>
      <c r="AB212" t="s">
        <v>29</v>
      </c>
      <c r="AC212">
        <v>4.7899999999999998E-2</v>
      </c>
    </row>
    <row r="213" spans="1:29" x14ac:dyDescent="0.3">
      <c r="A213">
        <v>831</v>
      </c>
      <c r="B213" s="6">
        <v>40581</v>
      </c>
      <c r="C213">
        <v>1</v>
      </c>
      <c r="D213">
        <v>1</v>
      </c>
      <c r="E213" t="b">
        <v>0</v>
      </c>
      <c r="F213">
        <v>1</v>
      </c>
      <c r="G213">
        <v>1</v>
      </c>
      <c r="H213">
        <v>0.22</v>
      </c>
      <c r="I213">
        <v>0.2727</v>
      </c>
      <c r="J213">
        <v>0.75</v>
      </c>
      <c r="K213">
        <v>0</v>
      </c>
      <c r="L213">
        <v>1</v>
      </c>
      <c r="M213">
        <v>4</v>
      </c>
      <c r="N213">
        <v>5</v>
      </c>
      <c r="O213" t="s">
        <v>20</v>
      </c>
      <c r="P213" t="s">
        <v>41</v>
      </c>
      <c r="Q213" t="s">
        <v>22</v>
      </c>
      <c r="R213" t="s">
        <v>23</v>
      </c>
      <c r="S213" t="s">
        <v>24</v>
      </c>
      <c r="T213" t="s">
        <v>37</v>
      </c>
      <c r="U213" t="s">
        <v>32</v>
      </c>
      <c r="V213" t="s">
        <v>27</v>
      </c>
      <c r="W213" t="s">
        <v>28</v>
      </c>
      <c r="X213">
        <v>20</v>
      </c>
      <c r="Y213">
        <v>80</v>
      </c>
      <c r="Z213" t="s">
        <v>29</v>
      </c>
      <c r="AA213" t="s">
        <v>30</v>
      </c>
      <c r="AB213" t="s">
        <v>29</v>
      </c>
      <c r="AC213">
        <v>5.2699999999999997E-2</v>
      </c>
    </row>
    <row r="214" spans="1:29" x14ac:dyDescent="0.3">
      <c r="A214">
        <v>832</v>
      </c>
      <c r="B214" s="6">
        <v>40581</v>
      </c>
      <c r="C214">
        <v>1</v>
      </c>
      <c r="D214">
        <v>2</v>
      </c>
      <c r="E214" t="b">
        <v>0</v>
      </c>
      <c r="F214">
        <v>1</v>
      </c>
      <c r="G214">
        <v>1</v>
      </c>
      <c r="H214">
        <v>0.2</v>
      </c>
      <c r="I214">
        <v>0.2576</v>
      </c>
      <c r="J214">
        <v>0.8</v>
      </c>
      <c r="K214">
        <v>0</v>
      </c>
      <c r="L214">
        <v>0</v>
      </c>
      <c r="M214">
        <v>3</v>
      </c>
      <c r="N214">
        <v>3</v>
      </c>
      <c r="O214" t="s">
        <v>20</v>
      </c>
      <c r="P214" t="s">
        <v>41</v>
      </c>
      <c r="Q214" t="s">
        <v>22</v>
      </c>
      <c r="R214" t="s">
        <v>23</v>
      </c>
      <c r="S214" t="s">
        <v>24</v>
      </c>
      <c r="T214" t="s">
        <v>37</v>
      </c>
      <c r="U214" t="s">
        <v>32</v>
      </c>
      <c r="V214" t="s">
        <v>27</v>
      </c>
      <c r="W214" t="s">
        <v>28</v>
      </c>
      <c r="X214">
        <v>0</v>
      </c>
      <c r="Y214">
        <v>100</v>
      </c>
      <c r="Z214" t="s">
        <v>29</v>
      </c>
      <c r="AA214" t="s">
        <v>30</v>
      </c>
      <c r="AB214" t="s">
        <v>29</v>
      </c>
      <c r="AC214">
        <v>5.7599999999999978E-2</v>
      </c>
    </row>
    <row r="215" spans="1:29" x14ac:dyDescent="0.3">
      <c r="A215">
        <v>833</v>
      </c>
      <c r="B215" s="6">
        <v>40581</v>
      </c>
      <c r="C215">
        <v>1</v>
      </c>
      <c r="D215">
        <v>3</v>
      </c>
      <c r="E215" t="b">
        <v>0</v>
      </c>
      <c r="F215">
        <v>1</v>
      </c>
      <c r="G215">
        <v>1</v>
      </c>
      <c r="H215">
        <v>0.2</v>
      </c>
      <c r="I215">
        <v>0.2576</v>
      </c>
      <c r="J215">
        <v>0.86</v>
      </c>
      <c r="K215">
        <v>0</v>
      </c>
      <c r="L215">
        <v>0</v>
      </c>
      <c r="M215">
        <v>1</v>
      </c>
      <c r="N215">
        <v>1</v>
      </c>
      <c r="O215" t="s">
        <v>20</v>
      </c>
      <c r="P215" t="s">
        <v>41</v>
      </c>
      <c r="Q215" t="s">
        <v>22</v>
      </c>
      <c r="R215" t="s">
        <v>23</v>
      </c>
      <c r="S215" t="s">
        <v>24</v>
      </c>
      <c r="T215" t="s">
        <v>37</v>
      </c>
      <c r="U215" t="s">
        <v>32</v>
      </c>
      <c r="V215" t="s">
        <v>27</v>
      </c>
      <c r="W215" t="s">
        <v>28</v>
      </c>
      <c r="X215">
        <v>0</v>
      </c>
      <c r="Y215">
        <v>100</v>
      </c>
      <c r="Z215" t="s">
        <v>29</v>
      </c>
      <c r="AA215" t="s">
        <v>30</v>
      </c>
      <c r="AB215" t="s">
        <v>29</v>
      </c>
      <c r="AC215">
        <v>5.7599999999999978E-2</v>
      </c>
    </row>
    <row r="216" spans="1:29" x14ac:dyDescent="0.3">
      <c r="A216">
        <v>834</v>
      </c>
      <c r="B216" s="6">
        <v>40581</v>
      </c>
      <c r="C216">
        <v>1</v>
      </c>
      <c r="D216">
        <v>4</v>
      </c>
      <c r="E216" t="b">
        <v>0</v>
      </c>
      <c r="F216">
        <v>1</v>
      </c>
      <c r="G216">
        <v>1</v>
      </c>
      <c r="H216">
        <v>0.2</v>
      </c>
      <c r="I216">
        <v>0.2576</v>
      </c>
      <c r="J216">
        <v>0.86</v>
      </c>
      <c r="K216">
        <v>0</v>
      </c>
      <c r="L216">
        <v>1</v>
      </c>
      <c r="M216">
        <v>1</v>
      </c>
      <c r="N216">
        <v>2</v>
      </c>
      <c r="O216" t="s">
        <v>20</v>
      </c>
      <c r="P216" t="s">
        <v>41</v>
      </c>
      <c r="Q216" t="s">
        <v>22</v>
      </c>
      <c r="R216" t="s">
        <v>23</v>
      </c>
      <c r="S216" t="s">
        <v>24</v>
      </c>
      <c r="T216" t="s">
        <v>37</v>
      </c>
      <c r="U216" t="s">
        <v>32</v>
      </c>
      <c r="V216" t="s">
        <v>27</v>
      </c>
      <c r="W216" t="s">
        <v>28</v>
      </c>
      <c r="X216">
        <v>50</v>
      </c>
      <c r="Y216">
        <v>50</v>
      </c>
      <c r="Z216" t="s">
        <v>29</v>
      </c>
      <c r="AA216" t="s">
        <v>30</v>
      </c>
      <c r="AB216" t="s">
        <v>29</v>
      </c>
      <c r="AC216">
        <v>5.7599999999999978E-2</v>
      </c>
    </row>
    <row r="217" spans="1:29" x14ac:dyDescent="0.3">
      <c r="A217">
        <v>835</v>
      </c>
      <c r="B217" s="6">
        <v>40581</v>
      </c>
      <c r="C217">
        <v>1</v>
      </c>
      <c r="D217">
        <v>5</v>
      </c>
      <c r="E217" t="b">
        <v>0</v>
      </c>
      <c r="F217">
        <v>1</v>
      </c>
      <c r="G217">
        <v>1</v>
      </c>
      <c r="H217">
        <v>0.2</v>
      </c>
      <c r="I217">
        <v>0.2576</v>
      </c>
      <c r="J217">
        <v>0.86</v>
      </c>
      <c r="K217">
        <v>0</v>
      </c>
      <c r="L217">
        <v>1</v>
      </c>
      <c r="M217">
        <v>9</v>
      </c>
      <c r="N217">
        <v>10</v>
      </c>
      <c r="O217" t="s">
        <v>20</v>
      </c>
      <c r="P217" t="s">
        <v>41</v>
      </c>
      <c r="Q217" t="s">
        <v>22</v>
      </c>
      <c r="R217" t="s">
        <v>23</v>
      </c>
      <c r="S217" t="s">
        <v>24</v>
      </c>
      <c r="T217" t="s">
        <v>37</v>
      </c>
      <c r="U217" t="s">
        <v>32</v>
      </c>
      <c r="V217" t="s">
        <v>27</v>
      </c>
      <c r="W217" t="s">
        <v>28</v>
      </c>
      <c r="X217">
        <v>10</v>
      </c>
      <c r="Y217">
        <v>90</v>
      </c>
      <c r="Z217" t="s">
        <v>29</v>
      </c>
      <c r="AA217" t="s">
        <v>30</v>
      </c>
      <c r="AB217" t="s">
        <v>29</v>
      </c>
      <c r="AC217">
        <v>5.7599999999999978E-2</v>
      </c>
    </row>
    <row r="218" spans="1:29" x14ac:dyDescent="0.3">
      <c r="A218">
        <v>836</v>
      </c>
      <c r="B218" s="6">
        <v>40581</v>
      </c>
      <c r="C218">
        <v>1</v>
      </c>
      <c r="D218">
        <v>6</v>
      </c>
      <c r="E218" t="b">
        <v>0</v>
      </c>
      <c r="F218">
        <v>1</v>
      </c>
      <c r="G218">
        <v>1</v>
      </c>
      <c r="H218">
        <v>0.18</v>
      </c>
      <c r="I218">
        <v>0.2424</v>
      </c>
      <c r="J218">
        <v>0.93</v>
      </c>
      <c r="K218">
        <v>0</v>
      </c>
      <c r="L218">
        <v>1</v>
      </c>
      <c r="M218">
        <v>29</v>
      </c>
      <c r="N218">
        <v>30</v>
      </c>
      <c r="O218" t="s">
        <v>20</v>
      </c>
      <c r="P218" t="s">
        <v>41</v>
      </c>
      <c r="Q218" t="s">
        <v>22</v>
      </c>
      <c r="R218" t="s">
        <v>33</v>
      </c>
      <c r="S218" t="s">
        <v>24</v>
      </c>
      <c r="T218" t="s">
        <v>37</v>
      </c>
      <c r="U218" t="s">
        <v>32</v>
      </c>
      <c r="V218" t="s">
        <v>27</v>
      </c>
      <c r="W218" t="s">
        <v>28</v>
      </c>
      <c r="X218">
        <v>3.333333333333333</v>
      </c>
      <c r="Y218">
        <v>96.666666666666671</v>
      </c>
      <c r="Z218" t="s">
        <v>29</v>
      </c>
      <c r="AA218" t="s">
        <v>30</v>
      </c>
      <c r="AB218" t="s">
        <v>29</v>
      </c>
      <c r="AC218">
        <v>6.2400000000000011E-2</v>
      </c>
    </row>
    <row r="219" spans="1:29" x14ac:dyDescent="0.3">
      <c r="A219">
        <v>837</v>
      </c>
      <c r="B219" s="6">
        <v>40581</v>
      </c>
      <c r="C219">
        <v>1</v>
      </c>
      <c r="D219">
        <v>7</v>
      </c>
      <c r="E219" t="b">
        <v>0</v>
      </c>
      <c r="F219">
        <v>1</v>
      </c>
      <c r="G219">
        <v>1</v>
      </c>
      <c r="H219">
        <v>0.18</v>
      </c>
      <c r="I219">
        <v>0.2424</v>
      </c>
      <c r="J219">
        <v>0.86</v>
      </c>
      <c r="K219">
        <v>0</v>
      </c>
      <c r="L219">
        <v>6</v>
      </c>
      <c r="M219">
        <v>89</v>
      </c>
      <c r="N219">
        <v>95</v>
      </c>
      <c r="O219" t="s">
        <v>20</v>
      </c>
      <c r="P219" t="s">
        <v>41</v>
      </c>
      <c r="Q219" t="s">
        <v>22</v>
      </c>
      <c r="R219" t="s">
        <v>33</v>
      </c>
      <c r="S219" t="s">
        <v>24</v>
      </c>
      <c r="T219" t="s">
        <v>37</v>
      </c>
      <c r="U219" t="s">
        <v>32</v>
      </c>
      <c r="V219" t="s">
        <v>27</v>
      </c>
      <c r="W219" t="s">
        <v>28</v>
      </c>
      <c r="X219">
        <v>6.3157894736842106</v>
      </c>
      <c r="Y219">
        <v>93.684210526315795</v>
      </c>
      <c r="Z219" t="s">
        <v>31</v>
      </c>
      <c r="AA219" t="s">
        <v>30</v>
      </c>
      <c r="AB219" t="s">
        <v>29</v>
      </c>
      <c r="AC219">
        <v>6.2400000000000011E-2</v>
      </c>
    </row>
    <row r="220" spans="1:29" x14ac:dyDescent="0.3">
      <c r="A220">
        <v>838</v>
      </c>
      <c r="B220" s="6">
        <v>40581</v>
      </c>
      <c r="C220">
        <v>1</v>
      </c>
      <c r="D220">
        <v>8</v>
      </c>
      <c r="E220" t="b">
        <v>0</v>
      </c>
      <c r="F220">
        <v>1</v>
      </c>
      <c r="G220">
        <v>2</v>
      </c>
      <c r="H220">
        <v>0.16</v>
      </c>
      <c r="I220">
        <v>0.2273</v>
      </c>
      <c r="J220">
        <v>1</v>
      </c>
      <c r="K220">
        <v>0</v>
      </c>
      <c r="L220">
        <v>7</v>
      </c>
      <c r="M220">
        <v>223</v>
      </c>
      <c r="N220">
        <v>230</v>
      </c>
      <c r="O220" t="s">
        <v>20</v>
      </c>
      <c r="P220" t="s">
        <v>41</v>
      </c>
      <c r="Q220" t="s">
        <v>34</v>
      </c>
      <c r="R220" t="s">
        <v>33</v>
      </c>
      <c r="S220" t="s">
        <v>24</v>
      </c>
      <c r="T220" t="s">
        <v>37</v>
      </c>
      <c r="U220" t="s">
        <v>32</v>
      </c>
      <c r="V220" t="s">
        <v>27</v>
      </c>
      <c r="W220" t="s">
        <v>28</v>
      </c>
      <c r="X220">
        <v>3.043478260869565</v>
      </c>
      <c r="Y220">
        <v>96.956521739130437</v>
      </c>
      <c r="Z220" t="s">
        <v>31</v>
      </c>
      <c r="AA220" t="s">
        <v>25</v>
      </c>
      <c r="AB220" t="s">
        <v>29</v>
      </c>
      <c r="AC220">
        <v>6.7299999999999999E-2</v>
      </c>
    </row>
    <row r="221" spans="1:29" x14ac:dyDescent="0.3">
      <c r="A221">
        <v>839</v>
      </c>
      <c r="B221" s="6">
        <v>40581</v>
      </c>
      <c r="C221">
        <v>1</v>
      </c>
      <c r="D221">
        <v>9</v>
      </c>
      <c r="E221" t="b">
        <v>0</v>
      </c>
      <c r="F221">
        <v>1</v>
      </c>
      <c r="G221">
        <v>1</v>
      </c>
      <c r="H221">
        <v>0.22</v>
      </c>
      <c r="I221">
        <v>0.2727</v>
      </c>
      <c r="J221">
        <v>0.8</v>
      </c>
      <c r="K221">
        <v>0</v>
      </c>
      <c r="L221">
        <v>3</v>
      </c>
      <c r="M221">
        <v>115</v>
      </c>
      <c r="N221">
        <v>118</v>
      </c>
      <c r="O221" t="s">
        <v>20</v>
      </c>
      <c r="P221" t="s">
        <v>41</v>
      </c>
      <c r="Q221" t="s">
        <v>22</v>
      </c>
      <c r="R221" t="s">
        <v>33</v>
      </c>
      <c r="S221" t="s">
        <v>24</v>
      </c>
      <c r="T221" t="s">
        <v>37</v>
      </c>
      <c r="U221" t="s">
        <v>32</v>
      </c>
      <c r="V221" t="s">
        <v>27</v>
      </c>
      <c r="W221" t="s">
        <v>28</v>
      </c>
      <c r="X221">
        <v>2.542372881355933</v>
      </c>
      <c r="Y221">
        <v>97.457627118644069</v>
      </c>
      <c r="Z221" t="s">
        <v>31</v>
      </c>
      <c r="AA221" t="s">
        <v>25</v>
      </c>
      <c r="AB221" t="s">
        <v>29</v>
      </c>
      <c r="AC221">
        <v>5.2699999999999997E-2</v>
      </c>
    </row>
    <row r="222" spans="1:29" x14ac:dyDescent="0.3">
      <c r="A222">
        <v>840</v>
      </c>
      <c r="B222" s="6">
        <v>40581</v>
      </c>
      <c r="C222">
        <v>1</v>
      </c>
      <c r="D222">
        <v>10</v>
      </c>
      <c r="E222" t="b">
        <v>0</v>
      </c>
      <c r="F222">
        <v>1</v>
      </c>
      <c r="G222">
        <v>1</v>
      </c>
      <c r="H222">
        <v>0.24</v>
      </c>
      <c r="I222">
        <v>0.2576</v>
      </c>
      <c r="J222">
        <v>0.75</v>
      </c>
      <c r="K222">
        <v>0.1045</v>
      </c>
      <c r="L222">
        <v>6</v>
      </c>
      <c r="M222">
        <v>49</v>
      </c>
      <c r="N222">
        <v>55</v>
      </c>
      <c r="O222" t="s">
        <v>20</v>
      </c>
      <c r="P222" t="s">
        <v>41</v>
      </c>
      <c r="Q222" t="s">
        <v>22</v>
      </c>
      <c r="R222" t="s">
        <v>33</v>
      </c>
      <c r="S222" t="s">
        <v>24</v>
      </c>
      <c r="T222" t="s">
        <v>37</v>
      </c>
      <c r="U222" t="s">
        <v>32</v>
      </c>
      <c r="V222" t="s">
        <v>27</v>
      </c>
      <c r="W222" t="s">
        <v>28</v>
      </c>
      <c r="X222">
        <v>10.90909090909091</v>
      </c>
      <c r="Y222">
        <v>89.090909090909093</v>
      </c>
      <c r="Z222" t="s">
        <v>29</v>
      </c>
      <c r="AA222" t="s">
        <v>30</v>
      </c>
      <c r="AB222" t="s">
        <v>29</v>
      </c>
      <c r="AC222">
        <v>1.7600000000000001E-2</v>
      </c>
    </row>
    <row r="223" spans="1:29" x14ac:dyDescent="0.3">
      <c r="A223">
        <v>841</v>
      </c>
      <c r="B223" s="6">
        <v>40581</v>
      </c>
      <c r="C223">
        <v>1</v>
      </c>
      <c r="D223">
        <v>11</v>
      </c>
      <c r="E223" t="b">
        <v>0</v>
      </c>
      <c r="F223">
        <v>1</v>
      </c>
      <c r="G223">
        <v>1</v>
      </c>
      <c r="H223">
        <v>0.3</v>
      </c>
      <c r="I223">
        <v>0.31819999999999998</v>
      </c>
      <c r="J223">
        <v>0.65</v>
      </c>
      <c r="K223">
        <v>8.9599999999999999E-2</v>
      </c>
      <c r="L223">
        <v>11</v>
      </c>
      <c r="M223">
        <v>36</v>
      </c>
      <c r="N223">
        <v>47</v>
      </c>
      <c r="O223" t="s">
        <v>20</v>
      </c>
      <c r="P223" t="s">
        <v>41</v>
      </c>
      <c r="Q223" t="s">
        <v>22</v>
      </c>
      <c r="R223" t="s">
        <v>33</v>
      </c>
      <c r="S223" t="s">
        <v>40</v>
      </c>
      <c r="T223" t="s">
        <v>25</v>
      </c>
      <c r="U223" t="s">
        <v>32</v>
      </c>
      <c r="V223" t="s">
        <v>27</v>
      </c>
      <c r="W223" t="s">
        <v>28</v>
      </c>
      <c r="X223">
        <v>23.404255319148941</v>
      </c>
      <c r="Y223">
        <v>76.59574468085107</v>
      </c>
      <c r="Z223" t="s">
        <v>29</v>
      </c>
      <c r="AA223" t="s">
        <v>30</v>
      </c>
      <c r="AB223" t="s">
        <v>29</v>
      </c>
      <c r="AC223">
        <v>1.819999999999999E-2</v>
      </c>
    </row>
    <row r="224" spans="1:29" x14ac:dyDescent="0.3">
      <c r="A224">
        <v>842</v>
      </c>
      <c r="B224" s="6">
        <v>40581</v>
      </c>
      <c r="C224">
        <v>1</v>
      </c>
      <c r="D224">
        <v>12</v>
      </c>
      <c r="E224" t="b">
        <v>0</v>
      </c>
      <c r="F224">
        <v>1</v>
      </c>
      <c r="G224">
        <v>2</v>
      </c>
      <c r="H224">
        <v>0.32</v>
      </c>
      <c r="I224">
        <v>0.34849999999999998</v>
      </c>
      <c r="J224">
        <v>0.62</v>
      </c>
      <c r="K224">
        <v>0</v>
      </c>
      <c r="L224">
        <v>7</v>
      </c>
      <c r="M224">
        <v>59</v>
      </c>
      <c r="N224">
        <v>66</v>
      </c>
      <c r="O224" t="s">
        <v>20</v>
      </c>
      <c r="P224" t="s">
        <v>41</v>
      </c>
      <c r="Q224" t="s">
        <v>34</v>
      </c>
      <c r="R224" t="s">
        <v>35</v>
      </c>
      <c r="S224" t="s">
        <v>40</v>
      </c>
      <c r="T224" t="s">
        <v>25</v>
      </c>
      <c r="U224" t="s">
        <v>32</v>
      </c>
      <c r="V224" t="s">
        <v>27</v>
      </c>
      <c r="W224" t="s">
        <v>28</v>
      </c>
      <c r="X224">
        <v>10.606060606060611</v>
      </c>
      <c r="Y224">
        <v>89.393939393939391</v>
      </c>
      <c r="Z224" t="s">
        <v>29</v>
      </c>
      <c r="AA224" t="s">
        <v>30</v>
      </c>
      <c r="AB224" t="s">
        <v>29</v>
      </c>
      <c r="AC224">
        <v>2.849999999999997E-2</v>
      </c>
    </row>
    <row r="225" spans="1:29" x14ac:dyDescent="0.3">
      <c r="A225">
        <v>843</v>
      </c>
      <c r="B225" s="6">
        <v>40581</v>
      </c>
      <c r="C225">
        <v>1</v>
      </c>
      <c r="D225">
        <v>13</v>
      </c>
      <c r="E225" t="b">
        <v>0</v>
      </c>
      <c r="F225">
        <v>1</v>
      </c>
      <c r="G225">
        <v>2</v>
      </c>
      <c r="H225">
        <v>0.36</v>
      </c>
      <c r="I225">
        <v>0.36359999999999998</v>
      </c>
      <c r="J225">
        <v>0.56999999999999995</v>
      </c>
      <c r="K225">
        <v>8.9599999999999999E-2</v>
      </c>
      <c r="L225">
        <v>10</v>
      </c>
      <c r="M225">
        <v>54</v>
      </c>
      <c r="N225">
        <v>64</v>
      </c>
      <c r="O225" t="s">
        <v>20</v>
      </c>
      <c r="P225" t="s">
        <v>41</v>
      </c>
      <c r="Q225" t="s">
        <v>34</v>
      </c>
      <c r="R225" t="s">
        <v>35</v>
      </c>
      <c r="S225" t="s">
        <v>47</v>
      </c>
      <c r="T225" t="s">
        <v>25</v>
      </c>
      <c r="U225" t="s">
        <v>32</v>
      </c>
      <c r="V225" t="s">
        <v>27</v>
      </c>
      <c r="W225" t="s">
        <v>28</v>
      </c>
      <c r="X225">
        <v>15.625</v>
      </c>
      <c r="Y225">
        <v>84.375</v>
      </c>
      <c r="Z225" t="s">
        <v>29</v>
      </c>
      <c r="AA225" t="s">
        <v>30</v>
      </c>
      <c r="AB225" t="s">
        <v>29</v>
      </c>
      <c r="AC225">
        <v>3.5999999999999921E-3</v>
      </c>
    </row>
    <row r="226" spans="1:29" x14ac:dyDescent="0.3">
      <c r="A226">
        <v>844</v>
      </c>
      <c r="B226" s="6">
        <v>40581</v>
      </c>
      <c r="C226">
        <v>1</v>
      </c>
      <c r="D226">
        <v>14</v>
      </c>
      <c r="E226" t="b">
        <v>0</v>
      </c>
      <c r="F226">
        <v>1</v>
      </c>
      <c r="G226">
        <v>2</v>
      </c>
      <c r="H226">
        <v>0.36</v>
      </c>
      <c r="I226">
        <v>0.36359999999999998</v>
      </c>
      <c r="J226">
        <v>0.56999999999999995</v>
      </c>
      <c r="K226">
        <v>8.9599999999999999E-2</v>
      </c>
      <c r="L226">
        <v>8</v>
      </c>
      <c r="M226">
        <v>52</v>
      </c>
      <c r="N226">
        <v>60</v>
      </c>
      <c r="O226" t="s">
        <v>20</v>
      </c>
      <c r="P226" t="s">
        <v>41</v>
      </c>
      <c r="Q226" t="s">
        <v>34</v>
      </c>
      <c r="R226" t="s">
        <v>35</v>
      </c>
      <c r="S226" t="s">
        <v>47</v>
      </c>
      <c r="T226" t="s">
        <v>25</v>
      </c>
      <c r="U226" t="s">
        <v>32</v>
      </c>
      <c r="V226" t="s">
        <v>27</v>
      </c>
      <c r="W226" t="s">
        <v>28</v>
      </c>
      <c r="X226">
        <v>13.33333333333333</v>
      </c>
      <c r="Y226">
        <v>86.666666666666671</v>
      </c>
      <c r="Z226" t="s">
        <v>29</v>
      </c>
      <c r="AA226" t="s">
        <v>30</v>
      </c>
      <c r="AB226" t="s">
        <v>29</v>
      </c>
      <c r="AC226">
        <v>3.5999999999999921E-3</v>
      </c>
    </row>
    <row r="227" spans="1:29" x14ac:dyDescent="0.3">
      <c r="A227">
        <v>845</v>
      </c>
      <c r="B227" s="6">
        <v>40581</v>
      </c>
      <c r="C227">
        <v>1</v>
      </c>
      <c r="D227">
        <v>15</v>
      </c>
      <c r="E227" t="b">
        <v>0</v>
      </c>
      <c r="F227">
        <v>1</v>
      </c>
      <c r="G227">
        <v>2</v>
      </c>
      <c r="H227">
        <v>0.38</v>
      </c>
      <c r="I227">
        <v>0.39389999999999997</v>
      </c>
      <c r="J227">
        <v>0.54</v>
      </c>
      <c r="K227">
        <v>8.9599999999999999E-2</v>
      </c>
      <c r="L227">
        <v>4</v>
      </c>
      <c r="M227">
        <v>46</v>
      </c>
      <c r="N227">
        <v>50</v>
      </c>
      <c r="O227" t="s">
        <v>20</v>
      </c>
      <c r="P227" t="s">
        <v>41</v>
      </c>
      <c r="Q227" t="s">
        <v>34</v>
      </c>
      <c r="R227" t="s">
        <v>35</v>
      </c>
      <c r="S227" t="s">
        <v>47</v>
      </c>
      <c r="T227" t="s">
        <v>25</v>
      </c>
      <c r="U227" t="s">
        <v>32</v>
      </c>
      <c r="V227" t="s">
        <v>27</v>
      </c>
      <c r="W227" t="s">
        <v>28</v>
      </c>
      <c r="X227">
        <v>8</v>
      </c>
      <c r="Y227">
        <v>92</v>
      </c>
      <c r="Z227" t="s">
        <v>29</v>
      </c>
      <c r="AA227" t="s">
        <v>30</v>
      </c>
      <c r="AB227" t="s">
        <v>29</v>
      </c>
      <c r="AC227">
        <v>1.389999999999997E-2</v>
      </c>
    </row>
    <row r="228" spans="1:29" x14ac:dyDescent="0.3">
      <c r="A228">
        <v>846</v>
      </c>
      <c r="B228" s="6">
        <v>40581</v>
      </c>
      <c r="C228">
        <v>1</v>
      </c>
      <c r="D228">
        <v>16</v>
      </c>
      <c r="E228" t="b">
        <v>0</v>
      </c>
      <c r="F228">
        <v>1</v>
      </c>
      <c r="G228">
        <v>2</v>
      </c>
      <c r="H228">
        <v>0.36</v>
      </c>
      <c r="I228">
        <v>0.34849999999999998</v>
      </c>
      <c r="J228">
        <v>0.56999999999999995</v>
      </c>
      <c r="K228">
        <v>0.1343</v>
      </c>
      <c r="L228">
        <v>16</v>
      </c>
      <c r="M228">
        <v>98</v>
      </c>
      <c r="N228">
        <v>114</v>
      </c>
      <c r="O228" t="s">
        <v>20</v>
      </c>
      <c r="P228" t="s">
        <v>41</v>
      </c>
      <c r="Q228" t="s">
        <v>34</v>
      </c>
      <c r="R228" t="s">
        <v>35</v>
      </c>
      <c r="S228" t="s">
        <v>47</v>
      </c>
      <c r="T228" t="s">
        <v>25</v>
      </c>
      <c r="U228" t="s">
        <v>32</v>
      </c>
      <c r="V228" t="s">
        <v>27</v>
      </c>
      <c r="W228" t="s">
        <v>28</v>
      </c>
      <c r="X228">
        <v>14.03508771929824</v>
      </c>
      <c r="Y228">
        <v>85.964912280701753</v>
      </c>
      <c r="Z228" t="s">
        <v>29</v>
      </c>
      <c r="AA228" t="s">
        <v>25</v>
      </c>
      <c r="AB228" t="s">
        <v>29</v>
      </c>
      <c r="AC228">
        <v>-1.150000000000001E-2</v>
      </c>
    </row>
    <row r="229" spans="1:29" x14ac:dyDescent="0.3">
      <c r="A229">
        <v>847</v>
      </c>
      <c r="B229" s="6">
        <v>40581</v>
      </c>
      <c r="C229">
        <v>1</v>
      </c>
      <c r="D229">
        <v>17</v>
      </c>
      <c r="E229" t="b">
        <v>0</v>
      </c>
      <c r="F229">
        <v>1</v>
      </c>
      <c r="G229">
        <v>2</v>
      </c>
      <c r="H229">
        <v>0.32</v>
      </c>
      <c r="I229">
        <v>0.31819999999999998</v>
      </c>
      <c r="J229">
        <v>0.7</v>
      </c>
      <c r="K229">
        <v>0.16420000000000001</v>
      </c>
      <c r="L229">
        <v>9</v>
      </c>
      <c r="M229">
        <v>207</v>
      </c>
      <c r="N229">
        <v>216</v>
      </c>
      <c r="O229" t="s">
        <v>20</v>
      </c>
      <c r="P229" t="s">
        <v>41</v>
      </c>
      <c r="Q229" t="s">
        <v>34</v>
      </c>
      <c r="R229" t="s">
        <v>36</v>
      </c>
      <c r="S229" t="s">
        <v>40</v>
      </c>
      <c r="T229" t="s">
        <v>37</v>
      </c>
      <c r="U229" t="s">
        <v>26</v>
      </c>
      <c r="V229" t="s">
        <v>27</v>
      </c>
      <c r="W229" t="s">
        <v>28</v>
      </c>
      <c r="X229">
        <v>4.1666666666666661</v>
      </c>
      <c r="Y229">
        <v>95.833333333333343</v>
      </c>
      <c r="Z229" t="s">
        <v>31</v>
      </c>
      <c r="AA229" t="s">
        <v>25</v>
      </c>
      <c r="AB229" t="s">
        <v>29</v>
      </c>
      <c r="AC229">
        <v>-1.800000000000024E-3</v>
      </c>
    </row>
    <row r="230" spans="1:29" x14ac:dyDescent="0.3">
      <c r="A230">
        <v>848</v>
      </c>
      <c r="B230" s="6">
        <v>40581</v>
      </c>
      <c r="C230">
        <v>1</v>
      </c>
      <c r="D230">
        <v>18</v>
      </c>
      <c r="E230" t="b">
        <v>0</v>
      </c>
      <c r="F230">
        <v>1</v>
      </c>
      <c r="G230">
        <v>2</v>
      </c>
      <c r="H230">
        <v>0.34</v>
      </c>
      <c r="I230">
        <v>0.33329999999999999</v>
      </c>
      <c r="J230">
        <v>0.66</v>
      </c>
      <c r="K230">
        <v>0.1343</v>
      </c>
      <c r="L230">
        <v>5</v>
      </c>
      <c r="M230">
        <v>170</v>
      </c>
      <c r="N230">
        <v>175</v>
      </c>
      <c r="O230" t="s">
        <v>20</v>
      </c>
      <c r="P230" t="s">
        <v>41</v>
      </c>
      <c r="Q230" t="s">
        <v>34</v>
      </c>
      <c r="R230" t="s">
        <v>36</v>
      </c>
      <c r="S230" t="s">
        <v>40</v>
      </c>
      <c r="T230" t="s">
        <v>25</v>
      </c>
      <c r="U230" t="s">
        <v>32</v>
      </c>
      <c r="V230" t="s">
        <v>27</v>
      </c>
      <c r="W230" t="s">
        <v>28</v>
      </c>
      <c r="X230">
        <v>2.8571428571428572</v>
      </c>
      <c r="Y230">
        <v>97.142857142857139</v>
      </c>
      <c r="Z230" t="s">
        <v>31</v>
      </c>
      <c r="AA230" t="s">
        <v>25</v>
      </c>
      <c r="AB230" t="s">
        <v>29</v>
      </c>
      <c r="AC230">
        <v>-6.7000000000000393E-3</v>
      </c>
    </row>
    <row r="231" spans="1:29" x14ac:dyDescent="0.3">
      <c r="A231">
        <v>849</v>
      </c>
      <c r="B231" s="6">
        <v>40581</v>
      </c>
      <c r="C231">
        <v>1</v>
      </c>
      <c r="D231">
        <v>19</v>
      </c>
      <c r="E231" t="b">
        <v>0</v>
      </c>
      <c r="F231">
        <v>1</v>
      </c>
      <c r="G231">
        <v>2</v>
      </c>
      <c r="H231">
        <v>0.32</v>
      </c>
      <c r="I231">
        <v>0.34849999999999998</v>
      </c>
      <c r="J231">
        <v>0.7</v>
      </c>
      <c r="K231">
        <v>0</v>
      </c>
      <c r="L231">
        <v>5</v>
      </c>
      <c r="M231">
        <v>123</v>
      </c>
      <c r="N231">
        <v>128</v>
      </c>
      <c r="O231" t="s">
        <v>20</v>
      </c>
      <c r="P231" t="s">
        <v>41</v>
      </c>
      <c r="Q231" t="s">
        <v>34</v>
      </c>
      <c r="R231" t="s">
        <v>36</v>
      </c>
      <c r="S231" t="s">
        <v>40</v>
      </c>
      <c r="T231" t="s">
        <v>37</v>
      </c>
      <c r="U231" t="s">
        <v>32</v>
      </c>
      <c r="V231" t="s">
        <v>27</v>
      </c>
      <c r="W231" t="s">
        <v>28</v>
      </c>
      <c r="X231">
        <v>3.90625</v>
      </c>
      <c r="Y231">
        <v>96.09375</v>
      </c>
      <c r="Z231" t="s">
        <v>31</v>
      </c>
      <c r="AA231" t="s">
        <v>25</v>
      </c>
      <c r="AB231" t="s">
        <v>29</v>
      </c>
      <c r="AC231">
        <v>2.849999999999997E-2</v>
      </c>
    </row>
    <row r="232" spans="1:29" x14ac:dyDescent="0.3">
      <c r="A232">
        <v>850</v>
      </c>
      <c r="B232" s="6">
        <v>40581</v>
      </c>
      <c r="C232">
        <v>1</v>
      </c>
      <c r="D232">
        <v>20</v>
      </c>
      <c r="E232" t="b">
        <v>0</v>
      </c>
      <c r="F232">
        <v>1</v>
      </c>
      <c r="G232">
        <v>2</v>
      </c>
      <c r="H232">
        <v>0.32</v>
      </c>
      <c r="I232">
        <v>0.33329999999999999</v>
      </c>
      <c r="J232">
        <v>0.7</v>
      </c>
      <c r="K232">
        <v>0.1045</v>
      </c>
      <c r="L232">
        <v>6</v>
      </c>
      <c r="M232">
        <v>82</v>
      </c>
      <c r="N232">
        <v>88</v>
      </c>
      <c r="O232" t="s">
        <v>20</v>
      </c>
      <c r="P232" t="s">
        <v>41</v>
      </c>
      <c r="Q232" t="s">
        <v>34</v>
      </c>
      <c r="R232" t="s">
        <v>36</v>
      </c>
      <c r="S232" t="s">
        <v>40</v>
      </c>
      <c r="T232" t="s">
        <v>37</v>
      </c>
      <c r="U232" t="s">
        <v>32</v>
      </c>
      <c r="V232" t="s">
        <v>27</v>
      </c>
      <c r="W232" t="s">
        <v>28</v>
      </c>
      <c r="X232">
        <v>6.8181818181818166</v>
      </c>
      <c r="Y232">
        <v>93.181818181818173</v>
      </c>
      <c r="Z232" t="s">
        <v>29</v>
      </c>
      <c r="AA232" t="s">
        <v>30</v>
      </c>
      <c r="AB232" t="s">
        <v>29</v>
      </c>
      <c r="AC232">
        <v>1.329999999999998E-2</v>
      </c>
    </row>
    <row r="233" spans="1:29" x14ac:dyDescent="0.3">
      <c r="A233">
        <v>851</v>
      </c>
      <c r="B233" s="6">
        <v>40581</v>
      </c>
      <c r="C233">
        <v>1</v>
      </c>
      <c r="D233">
        <v>21</v>
      </c>
      <c r="E233" t="b">
        <v>0</v>
      </c>
      <c r="F233">
        <v>1</v>
      </c>
      <c r="G233">
        <v>1</v>
      </c>
      <c r="H233">
        <v>0.32</v>
      </c>
      <c r="I233">
        <v>0.34849999999999998</v>
      </c>
      <c r="J233">
        <v>0.7</v>
      </c>
      <c r="K233">
        <v>0</v>
      </c>
      <c r="L233">
        <v>3</v>
      </c>
      <c r="M233">
        <v>75</v>
      </c>
      <c r="N233">
        <v>78</v>
      </c>
      <c r="O233" t="s">
        <v>20</v>
      </c>
      <c r="P233" t="s">
        <v>41</v>
      </c>
      <c r="Q233" t="s">
        <v>22</v>
      </c>
      <c r="R233" t="s">
        <v>23</v>
      </c>
      <c r="S233" t="s">
        <v>40</v>
      </c>
      <c r="T233" t="s">
        <v>37</v>
      </c>
      <c r="U233" t="s">
        <v>32</v>
      </c>
      <c r="V233" t="s">
        <v>27</v>
      </c>
      <c r="W233" t="s">
        <v>28</v>
      </c>
      <c r="X233">
        <v>3.8461538461538458</v>
      </c>
      <c r="Y233">
        <v>96.15384615384616</v>
      </c>
      <c r="Z233" t="s">
        <v>29</v>
      </c>
      <c r="AA233" t="s">
        <v>30</v>
      </c>
      <c r="AB233" t="s">
        <v>29</v>
      </c>
      <c r="AC233">
        <v>2.849999999999997E-2</v>
      </c>
    </row>
    <row r="234" spans="1:29" x14ac:dyDescent="0.3">
      <c r="A234">
        <v>852</v>
      </c>
      <c r="B234" s="6">
        <v>40581</v>
      </c>
      <c r="C234">
        <v>1</v>
      </c>
      <c r="D234">
        <v>22</v>
      </c>
      <c r="E234" t="b">
        <v>0</v>
      </c>
      <c r="F234">
        <v>1</v>
      </c>
      <c r="G234">
        <v>1</v>
      </c>
      <c r="H234">
        <v>0.28000000000000003</v>
      </c>
      <c r="I234">
        <v>0.30299999999999999</v>
      </c>
      <c r="J234">
        <v>0.81</v>
      </c>
      <c r="K234">
        <v>8.9599999999999999E-2</v>
      </c>
      <c r="L234">
        <v>3</v>
      </c>
      <c r="M234">
        <v>34</v>
      </c>
      <c r="N234">
        <v>37</v>
      </c>
      <c r="O234" t="s">
        <v>20</v>
      </c>
      <c r="P234" t="s">
        <v>41</v>
      </c>
      <c r="Q234" t="s">
        <v>22</v>
      </c>
      <c r="R234" t="s">
        <v>23</v>
      </c>
      <c r="S234" t="s">
        <v>40</v>
      </c>
      <c r="T234" t="s">
        <v>37</v>
      </c>
      <c r="U234" t="s">
        <v>32</v>
      </c>
      <c r="V234" t="s">
        <v>27</v>
      </c>
      <c r="W234" t="s">
        <v>28</v>
      </c>
      <c r="X234">
        <v>8.1081081081081088</v>
      </c>
      <c r="Y234">
        <v>91.891891891891902</v>
      </c>
      <c r="Z234" t="s">
        <v>29</v>
      </c>
      <c r="AA234" t="s">
        <v>30</v>
      </c>
      <c r="AB234" t="s">
        <v>29</v>
      </c>
      <c r="AC234">
        <v>2.2999999999999961E-2</v>
      </c>
    </row>
    <row r="235" spans="1:29" x14ac:dyDescent="0.3">
      <c r="A235">
        <v>853</v>
      </c>
      <c r="B235" s="6">
        <v>40581</v>
      </c>
      <c r="C235">
        <v>1</v>
      </c>
      <c r="D235">
        <v>23</v>
      </c>
      <c r="E235" t="b">
        <v>0</v>
      </c>
      <c r="F235">
        <v>1</v>
      </c>
      <c r="G235">
        <v>2</v>
      </c>
      <c r="H235">
        <v>0.3</v>
      </c>
      <c r="I235">
        <v>0.33329999999999999</v>
      </c>
      <c r="J235">
        <v>0.81</v>
      </c>
      <c r="K235">
        <v>0</v>
      </c>
      <c r="L235">
        <v>6</v>
      </c>
      <c r="M235">
        <v>19</v>
      </c>
      <c r="N235">
        <v>25</v>
      </c>
      <c r="O235" t="s">
        <v>20</v>
      </c>
      <c r="P235" t="s">
        <v>41</v>
      </c>
      <c r="Q235" t="s">
        <v>34</v>
      </c>
      <c r="R235" t="s">
        <v>23</v>
      </c>
      <c r="S235" t="s">
        <v>40</v>
      </c>
      <c r="T235" t="s">
        <v>37</v>
      </c>
      <c r="U235" t="s">
        <v>32</v>
      </c>
      <c r="V235" t="s">
        <v>27</v>
      </c>
      <c r="W235" t="s">
        <v>28</v>
      </c>
      <c r="X235">
        <v>24</v>
      </c>
      <c r="Y235">
        <v>76</v>
      </c>
      <c r="Z235" t="s">
        <v>29</v>
      </c>
      <c r="AA235" t="s">
        <v>30</v>
      </c>
      <c r="AB235" t="s">
        <v>29</v>
      </c>
      <c r="AC235">
        <v>3.3300000000000003E-2</v>
      </c>
    </row>
    <row r="236" spans="1:29" x14ac:dyDescent="0.3">
      <c r="A236">
        <v>854</v>
      </c>
      <c r="B236" s="6">
        <v>40582</v>
      </c>
      <c r="C236">
        <v>1</v>
      </c>
      <c r="D236">
        <v>0</v>
      </c>
      <c r="E236" t="b">
        <v>0</v>
      </c>
      <c r="F236">
        <v>2</v>
      </c>
      <c r="G236">
        <v>2</v>
      </c>
      <c r="H236">
        <v>0.28000000000000003</v>
      </c>
      <c r="I236">
        <v>0.31819999999999998</v>
      </c>
      <c r="J236">
        <v>0.87</v>
      </c>
      <c r="K236">
        <v>0</v>
      </c>
      <c r="L236">
        <v>4</v>
      </c>
      <c r="M236">
        <v>6</v>
      </c>
      <c r="N236">
        <v>10</v>
      </c>
      <c r="O236" t="s">
        <v>20</v>
      </c>
      <c r="P236" t="s">
        <v>44</v>
      </c>
      <c r="Q236" t="s">
        <v>34</v>
      </c>
      <c r="R236" t="s">
        <v>23</v>
      </c>
      <c r="S236" t="s">
        <v>40</v>
      </c>
      <c r="T236" t="s">
        <v>37</v>
      </c>
      <c r="U236" t="s">
        <v>32</v>
      </c>
      <c r="V236" t="s">
        <v>27</v>
      </c>
      <c r="W236" t="s">
        <v>28</v>
      </c>
      <c r="X236">
        <v>40</v>
      </c>
      <c r="Y236">
        <v>60</v>
      </c>
      <c r="Z236" t="s">
        <v>29</v>
      </c>
      <c r="AA236" t="s">
        <v>30</v>
      </c>
      <c r="AB236" t="s">
        <v>29</v>
      </c>
      <c r="AC236">
        <v>3.8199999999999963E-2</v>
      </c>
    </row>
    <row r="237" spans="1:29" x14ac:dyDescent="0.3">
      <c r="A237">
        <v>855</v>
      </c>
      <c r="B237" s="6">
        <v>40582</v>
      </c>
      <c r="C237">
        <v>1</v>
      </c>
      <c r="D237">
        <v>1</v>
      </c>
      <c r="E237" t="b">
        <v>0</v>
      </c>
      <c r="F237">
        <v>2</v>
      </c>
      <c r="G237">
        <v>2</v>
      </c>
      <c r="H237">
        <v>0.28000000000000003</v>
      </c>
      <c r="I237">
        <v>0.31819999999999998</v>
      </c>
      <c r="J237">
        <v>0.87</v>
      </c>
      <c r="K237">
        <v>0</v>
      </c>
      <c r="L237">
        <v>0</v>
      </c>
      <c r="M237">
        <v>4</v>
      </c>
      <c r="N237">
        <v>4</v>
      </c>
      <c r="O237" t="s">
        <v>20</v>
      </c>
      <c r="P237" t="s">
        <v>44</v>
      </c>
      <c r="Q237" t="s">
        <v>34</v>
      </c>
      <c r="R237" t="s">
        <v>23</v>
      </c>
      <c r="S237" t="s">
        <v>40</v>
      </c>
      <c r="T237" t="s">
        <v>37</v>
      </c>
      <c r="U237" t="s">
        <v>32</v>
      </c>
      <c r="V237" t="s">
        <v>27</v>
      </c>
      <c r="W237" t="s">
        <v>28</v>
      </c>
      <c r="X237">
        <v>0</v>
      </c>
      <c r="Y237">
        <v>100</v>
      </c>
      <c r="Z237" t="s">
        <v>29</v>
      </c>
      <c r="AA237" t="s">
        <v>30</v>
      </c>
      <c r="AB237" t="s">
        <v>29</v>
      </c>
      <c r="AC237">
        <v>3.8199999999999963E-2</v>
      </c>
    </row>
    <row r="238" spans="1:29" x14ac:dyDescent="0.3">
      <c r="A238">
        <v>856</v>
      </c>
      <c r="B238" s="6">
        <v>40582</v>
      </c>
      <c r="C238">
        <v>1</v>
      </c>
      <c r="D238">
        <v>2</v>
      </c>
      <c r="E238" t="b">
        <v>0</v>
      </c>
      <c r="F238">
        <v>2</v>
      </c>
      <c r="G238">
        <v>2</v>
      </c>
      <c r="H238">
        <v>0.26</v>
      </c>
      <c r="I238">
        <v>0.2727</v>
      </c>
      <c r="J238">
        <v>0.93</v>
      </c>
      <c r="K238">
        <v>0.1045</v>
      </c>
      <c r="L238">
        <v>1</v>
      </c>
      <c r="M238">
        <v>1</v>
      </c>
      <c r="N238">
        <v>2</v>
      </c>
      <c r="O238" t="s">
        <v>20</v>
      </c>
      <c r="P238" t="s">
        <v>44</v>
      </c>
      <c r="Q238" t="s">
        <v>34</v>
      </c>
      <c r="R238" t="s">
        <v>23</v>
      </c>
      <c r="S238" t="s">
        <v>40</v>
      </c>
      <c r="T238" t="s">
        <v>37</v>
      </c>
      <c r="U238" t="s">
        <v>32</v>
      </c>
      <c r="V238" t="s">
        <v>27</v>
      </c>
      <c r="W238" t="s">
        <v>28</v>
      </c>
      <c r="X238">
        <v>50</v>
      </c>
      <c r="Y238">
        <v>50</v>
      </c>
      <c r="Z238" t="s">
        <v>29</v>
      </c>
      <c r="AA238" t="s">
        <v>30</v>
      </c>
      <c r="AB238" t="s">
        <v>29</v>
      </c>
      <c r="AC238">
        <v>1.2699999999999991E-2</v>
      </c>
    </row>
    <row r="239" spans="1:29" x14ac:dyDescent="0.3">
      <c r="A239">
        <v>857</v>
      </c>
      <c r="B239" s="6">
        <v>40582</v>
      </c>
      <c r="C239">
        <v>1</v>
      </c>
      <c r="D239">
        <v>3</v>
      </c>
      <c r="E239" t="b">
        <v>0</v>
      </c>
      <c r="F239">
        <v>2</v>
      </c>
      <c r="G239">
        <v>3</v>
      </c>
      <c r="H239">
        <v>0.28000000000000003</v>
      </c>
      <c r="I239">
        <v>0.2727</v>
      </c>
      <c r="J239">
        <v>0.93</v>
      </c>
      <c r="K239">
        <v>0.16420000000000001</v>
      </c>
      <c r="L239">
        <v>0</v>
      </c>
      <c r="M239">
        <v>1</v>
      </c>
      <c r="N239">
        <v>1</v>
      </c>
      <c r="O239" t="s">
        <v>20</v>
      </c>
      <c r="P239" t="s">
        <v>44</v>
      </c>
      <c r="Q239" t="s">
        <v>43</v>
      </c>
      <c r="R239" t="s">
        <v>23</v>
      </c>
      <c r="S239" t="s">
        <v>40</v>
      </c>
      <c r="T239" t="s">
        <v>37</v>
      </c>
      <c r="U239" t="s">
        <v>26</v>
      </c>
      <c r="V239" t="s">
        <v>27</v>
      </c>
      <c r="W239" t="s">
        <v>28</v>
      </c>
      <c r="X239">
        <v>0</v>
      </c>
      <c r="Y239">
        <v>100</v>
      </c>
      <c r="Z239" t="s">
        <v>29</v>
      </c>
      <c r="AA239" t="s">
        <v>30</v>
      </c>
      <c r="AB239" t="s">
        <v>29</v>
      </c>
      <c r="AC239">
        <v>-7.3000000000000287E-3</v>
      </c>
    </row>
    <row r="240" spans="1:29" x14ac:dyDescent="0.3">
      <c r="A240">
        <v>858</v>
      </c>
      <c r="B240" s="6">
        <v>40582</v>
      </c>
      <c r="C240">
        <v>1</v>
      </c>
      <c r="D240">
        <v>4</v>
      </c>
      <c r="E240" t="b">
        <v>0</v>
      </c>
      <c r="F240">
        <v>2</v>
      </c>
      <c r="G240">
        <v>1</v>
      </c>
      <c r="H240">
        <v>0.26</v>
      </c>
      <c r="I240">
        <v>0.2576</v>
      </c>
      <c r="J240">
        <v>0.93</v>
      </c>
      <c r="K240">
        <v>0.16420000000000001</v>
      </c>
      <c r="L240">
        <v>0</v>
      </c>
      <c r="M240">
        <v>3</v>
      </c>
      <c r="N240">
        <v>3</v>
      </c>
      <c r="O240" t="s">
        <v>20</v>
      </c>
      <c r="P240" t="s">
        <v>44</v>
      </c>
      <c r="Q240" t="s">
        <v>22</v>
      </c>
      <c r="R240" t="s">
        <v>23</v>
      </c>
      <c r="S240" t="s">
        <v>40</v>
      </c>
      <c r="T240" t="s">
        <v>37</v>
      </c>
      <c r="U240" t="s">
        <v>26</v>
      </c>
      <c r="V240" t="s">
        <v>27</v>
      </c>
      <c r="W240" t="s">
        <v>28</v>
      </c>
      <c r="X240">
        <v>0</v>
      </c>
      <c r="Y240">
        <v>100</v>
      </c>
      <c r="Z240" t="s">
        <v>29</v>
      </c>
      <c r="AA240" t="s">
        <v>30</v>
      </c>
      <c r="AB240" t="s">
        <v>29</v>
      </c>
      <c r="AC240">
        <v>-2.4000000000000128E-3</v>
      </c>
    </row>
    <row r="241" spans="1:29" x14ac:dyDescent="0.3">
      <c r="A241">
        <v>859</v>
      </c>
      <c r="B241" s="6">
        <v>40582</v>
      </c>
      <c r="C241">
        <v>1</v>
      </c>
      <c r="D241">
        <v>5</v>
      </c>
      <c r="E241" t="b">
        <v>0</v>
      </c>
      <c r="F241">
        <v>2</v>
      </c>
      <c r="G241">
        <v>1</v>
      </c>
      <c r="H241">
        <v>0.26</v>
      </c>
      <c r="I241">
        <v>0.2273</v>
      </c>
      <c r="J241">
        <v>0.81</v>
      </c>
      <c r="K241">
        <v>0.32840000000000003</v>
      </c>
      <c r="L241">
        <v>0</v>
      </c>
      <c r="M241">
        <v>2</v>
      </c>
      <c r="N241">
        <v>2</v>
      </c>
      <c r="O241" t="s">
        <v>20</v>
      </c>
      <c r="P241" t="s">
        <v>44</v>
      </c>
      <c r="Q241" t="s">
        <v>22</v>
      </c>
      <c r="R241" t="s">
        <v>23</v>
      </c>
      <c r="S241" t="s">
        <v>40</v>
      </c>
      <c r="T241" t="s">
        <v>37</v>
      </c>
      <c r="U241" t="s">
        <v>42</v>
      </c>
      <c r="V241" t="s">
        <v>27</v>
      </c>
      <c r="W241" t="s">
        <v>28</v>
      </c>
      <c r="X241">
        <v>0</v>
      </c>
      <c r="Y241">
        <v>100</v>
      </c>
      <c r="Z241" t="s">
        <v>29</v>
      </c>
      <c r="AA241" t="s">
        <v>30</v>
      </c>
      <c r="AB241" t="s">
        <v>29</v>
      </c>
      <c r="AC241">
        <v>-3.2700000000000007E-2</v>
      </c>
    </row>
    <row r="242" spans="1:29" x14ac:dyDescent="0.3">
      <c r="A242">
        <v>860</v>
      </c>
      <c r="B242" s="6">
        <v>40582</v>
      </c>
      <c r="C242">
        <v>1</v>
      </c>
      <c r="D242">
        <v>6</v>
      </c>
      <c r="E242" t="b">
        <v>0</v>
      </c>
      <c r="F242">
        <v>2</v>
      </c>
      <c r="G242">
        <v>1</v>
      </c>
      <c r="H242">
        <v>0.26</v>
      </c>
      <c r="I242">
        <v>0.2273</v>
      </c>
      <c r="J242">
        <v>0.7</v>
      </c>
      <c r="K242">
        <v>0.32840000000000003</v>
      </c>
      <c r="L242">
        <v>0</v>
      </c>
      <c r="M242">
        <v>39</v>
      </c>
      <c r="N242">
        <v>39</v>
      </c>
      <c r="O242" t="s">
        <v>20</v>
      </c>
      <c r="P242" t="s">
        <v>44</v>
      </c>
      <c r="Q242" t="s">
        <v>22</v>
      </c>
      <c r="R242" t="s">
        <v>33</v>
      </c>
      <c r="S242" t="s">
        <v>40</v>
      </c>
      <c r="T242" t="s">
        <v>37</v>
      </c>
      <c r="U242" t="s">
        <v>42</v>
      </c>
      <c r="V242" t="s">
        <v>27</v>
      </c>
      <c r="W242" t="s">
        <v>28</v>
      </c>
      <c r="X242">
        <v>0</v>
      </c>
      <c r="Y242">
        <v>100</v>
      </c>
      <c r="Z242" t="s">
        <v>29</v>
      </c>
      <c r="AA242" t="s">
        <v>30</v>
      </c>
      <c r="AB242" t="s">
        <v>29</v>
      </c>
      <c r="AC242">
        <v>-3.2700000000000007E-2</v>
      </c>
    </row>
    <row r="243" spans="1:29" x14ac:dyDescent="0.3">
      <c r="A243">
        <v>861</v>
      </c>
      <c r="B243" s="6">
        <v>40582</v>
      </c>
      <c r="C243">
        <v>1</v>
      </c>
      <c r="D243">
        <v>7</v>
      </c>
      <c r="E243" t="b">
        <v>0</v>
      </c>
      <c r="F243">
        <v>2</v>
      </c>
      <c r="G243">
        <v>1</v>
      </c>
      <c r="H243">
        <v>0.24</v>
      </c>
      <c r="I243">
        <v>0.19700000000000001</v>
      </c>
      <c r="J243">
        <v>0.65</v>
      </c>
      <c r="K243">
        <v>0.41789999999999999</v>
      </c>
      <c r="L243">
        <v>3</v>
      </c>
      <c r="M243">
        <v>97</v>
      </c>
      <c r="N243">
        <v>100</v>
      </c>
      <c r="O243" t="s">
        <v>20</v>
      </c>
      <c r="P243" t="s">
        <v>44</v>
      </c>
      <c r="Q243" t="s">
        <v>22</v>
      </c>
      <c r="R243" t="s">
        <v>33</v>
      </c>
      <c r="S243" t="s">
        <v>24</v>
      </c>
      <c r="T243" t="s">
        <v>25</v>
      </c>
      <c r="U243" t="s">
        <v>42</v>
      </c>
      <c r="V243" t="s">
        <v>27</v>
      </c>
      <c r="W243" t="s">
        <v>28</v>
      </c>
      <c r="X243">
        <v>3</v>
      </c>
      <c r="Y243">
        <v>97</v>
      </c>
      <c r="Z243" t="s">
        <v>31</v>
      </c>
      <c r="AA243" t="s">
        <v>25</v>
      </c>
      <c r="AB243" t="s">
        <v>29</v>
      </c>
      <c r="AC243">
        <v>-4.2999999999999983E-2</v>
      </c>
    </row>
    <row r="244" spans="1:29" x14ac:dyDescent="0.3">
      <c r="A244">
        <v>862</v>
      </c>
      <c r="B244" s="6">
        <v>40582</v>
      </c>
      <c r="C244">
        <v>1</v>
      </c>
      <c r="D244">
        <v>8</v>
      </c>
      <c r="E244" t="b">
        <v>0</v>
      </c>
      <c r="F244">
        <v>2</v>
      </c>
      <c r="G244">
        <v>1</v>
      </c>
      <c r="H244">
        <v>0.24</v>
      </c>
      <c r="I244">
        <v>0.19700000000000001</v>
      </c>
      <c r="J244">
        <v>0.56000000000000005</v>
      </c>
      <c r="K244">
        <v>0.49249999999999999</v>
      </c>
      <c r="L244">
        <v>7</v>
      </c>
      <c r="M244">
        <v>236</v>
      </c>
      <c r="N244">
        <v>243</v>
      </c>
      <c r="O244" t="s">
        <v>20</v>
      </c>
      <c r="P244" t="s">
        <v>44</v>
      </c>
      <c r="Q244" t="s">
        <v>22</v>
      </c>
      <c r="R244" t="s">
        <v>33</v>
      </c>
      <c r="S244" t="s">
        <v>24</v>
      </c>
      <c r="T244" t="s">
        <v>25</v>
      </c>
      <c r="U244" t="s">
        <v>42</v>
      </c>
      <c r="V244" t="s">
        <v>27</v>
      </c>
      <c r="W244" t="s">
        <v>28</v>
      </c>
      <c r="X244">
        <v>2.880658436213992</v>
      </c>
      <c r="Y244">
        <v>97.119341563786008</v>
      </c>
      <c r="Z244" t="s">
        <v>31</v>
      </c>
      <c r="AA244" t="s">
        <v>25</v>
      </c>
      <c r="AB244" t="s">
        <v>29</v>
      </c>
      <c r="AC244">
        <v>-4.2999999999999983E-2</v>
      </c>
    </row>
    <row r="245" spans="1:29" x14ac:dyDescent="0.3">
      <c r="A245">
        <v>863</v>
      </c>
      <c r="B245" s="6">
        <v>40582</v>
      </c>
      <c r="C245">
        <v>1</v>
      </c>
      <c r="D245">
        <v>9</v>
      </c>
      <c r="E245" t="b">
        <v>0</v>
      </c>
      <c r="F245">
        <v>2</v>
      </c>
      <c r="G245">
        <v>1</v>
      </c>
      <c r="H245">
        <v>0.24</v>
      </c>
      <c r="I245">
        <v>0.19700000000000001</v>
      </c>
      <c r="J245">
        <v>0.52</v>
      </c>
      <c r="K245">
        <v>0.49249999999999999</v>
      </c>
      <c r="L245">
        <v>7</v>
      </c>
      <c r="M245">
        <v>128</v>
      </c>
      <c r="N245">
        <v>135</v>
      </c>
      <c r="O245" t="s">
        <v>20</v>
      </c>
      <c r="P245" t="s">
        <v>44</v>
      </c>
      <c r="Q245" t="s">
        <v>22</v>
      </c>
      <c r="R245" t="s">
        <v>33</v>
      </c>
      <c r="S245" t="s">
        <v>24</v>
      </c>
      <c r="T245" t="s">
        <v>25</v>
      </c>
      <c r="U245" t="s">
        <v>42</v>
      </c>
      <c r="V245" t="s">
        <v>27</v>
      </c>
      <c r="W245" t="s">
        <v>28</v>
      </c>
      <c r="X245">
        <v>5.1851851851851851</v>
      </c>
      <c r="Y245">
        <v>94.814814814814824</v>
      </c>
      <c r="Z245" t="s">
        <v>31</v>
      </c>
      <c r="AA245" t="s">
        <v>25</v>
      </c>
      <c r="AB245" t="s">
        <v>29</v>
      </c>
      <c r="AC245">
        <v>-4.2999999999999983E-2</v>
      </c>
    </row>
    <row r="246" spans="1:29" x14ac:dyDescent="0.3">
      <c r="A246">
        <v>864</v>
      </c>
      <c r="B246" s="6">
        <v>40582</v>
      </c>
      <c r="C246">
        <v>1</v>
      </c>
      <c r="D246">
        <v>10</v>
      </c>
      <c r="E246" t="b">
        <v>0</v>
      </c>
      <c r="F246">
        <v>2</v>
      </c>
      <c r="G246">
        <v>1</v>
      </c>
      <c r="H246">
        <v>0.22</v>
      </c>
      <c r="I246">
        <v>0.18179999999999999</v>
      </c>
      <c r="J246">
        <v>0.47</v>
      </c>
      <c r="K246">
        <v>0.55220000000000002</v>
      </c>
      <c r="L246">
        <v>4</v>
      </c>
      <c r="M246">
        <v>44</v>
      </c>
      <c r="N246">
        <v>48</v>
      </c>
      <c r="O246" t="s">
        <v>20</v>
      </c>
      <c r="P246" t="s">
        <v>44</v>
      </c>
      <c r="Q246" t="s">
        <v>22</v>
      </c>
      <c r="R246" t="s">
        <v>33</v>
      </c>
      <c r="S246" t="s">
        <v>24</v>
      </c>
      <c r="T246" t="s">
        <v>25</v>
      </c>
      <c r="U246" t="s">
        <v>42</v>
      </c>
      <c r="V246" t="s">
        <v>27</v>
      </c>
      <c r="W246" t="s">
        <v>28</v>
      </c>
      <c r="X246">
        <v>8.3333333333333321</v>
      </c>
      <c r="Y246">
        <v>91.666666666666657</v>
      </c>
      <c r="Z246" t="s">
        <v>29</v>
      </c>
      <c r="AA246" t="s">
        <v>30</v>
      </c>
      <c r="AB246" t="s">
        <v>29</v>
      </c>
      <c r="AC246">
        <v>-3.8200000000000012E-2</v>
      </c>
    </row>
    <row r="247" spans="1:29" x14ac:dyDescent="0.3">
      <c r="A247">
        <v>865</v>
      </c>
      <c r="B247" s="6">
        <v>40582</v>
      </c>
      <c r="C247">
        <v>1</v>
      </c>
      <c r="D247">
        <v>11</v>
      </c>
      <c r="E247" t="b">
        <v>0</v>
      </c>
      <c r="F247">
        <v>2</v>
      </c>
      <c r="G247">
        <v>1</v>
      </c>
      <c r="H247">
        <v>0.22</v>
      </c>
      <c r="I247">
        <v>0.18179999999999999</v>
      </c>
      <c r="J247">
        <v>0.47</v>
      </c>
      <c r="K247">
        <v>0.4627</v>
      </c>
      <c r="L247">
        <v>1</v>
      </c>
      <c r="M247">
        <v>49</v>
      </c>
      <c r="N247">
        <v>50</v>
      </c>
      <c r="O247" t="s">
        <v>20</v>
      </c>
      <c r="P247" t="s">
        <v>44</v>
      </c>
      <c r="Q247" t="s">
        <v>22</v>
      </c>
      <c r="R247" t="s">
        <v>33</v>
      </c>
      <c r="S247" t="s">
        <v>24</v>
      </c>
      <c r="T247" t="s">
        <v>25</v>
      </c>
      <c r="U247" t="s">
        <v>42</v>
      </c>
      <c r="V247" t="s">
        <v>27</v>
      </c>
      <c r="W247" t="s">
        <v>28</v>
      </c>
      <c r="X247">
        <v>2</v>
      </c>
      <c r="Y247">
        <v>98</v>
      </c>
      <c r="Z247" t="s">
        <v>29</v>
      </c>
      <c r="AA247" t="s">
        <v>30</v>
      </c>
      <c r="AB247" t="s">
        <v>29</v>
      </c>
      <c r="AC247">
        <v>-3.8200000000000012E-2</v>
      </c>
    </row>
    <row r="248" spans="1:29" x14ac:dyDescent="0.3">
      <c r="A248">
        <v>866</v>
      </c>
      <c r="B248" s="6">
        <v>40582</v>
      </c>
      <c r="C248">
        <v>1</v>
      </c>
      <c r="D248">
        <v>12</v>
      </c>
      <c r="E248" t="b">
        <v>0</v>
      </c>
      <c r="F248">
        <v>2</v>
      </c>
      <c r="G248">
        <v>1</v>
      </c>
      <c r="H248">
        <v>0.24</v>
      </c>
      <c r="I248">
        <v>0.19700000000000001</v>
      </c>
      <c r="J248">
        <v>0.38</v>
      </c>
      <c r="K248">
        <v>0.49249999999999999</v>
      </c>
      <c r="L248">
        <v>2</v>
      </c>
      <c r="M248">
        <v>63</v>
      </c>
      <c r="N248">
        <v>65</v>
      </c>
      <c r="O248" t="s">
        <v>20</v>
      </c>
      <c r="P248" t="s">
        <v>44</v>
      </c>
      <c r="Q248" t="s">
        <v>22</v>
      </c>
      <c r="R248" t="s">
        <v>35</v>
      </c>
      <c r="S248" t="s">
        <v>24</v>
      </c>
      <c r="T248" t="s">
        <v>30</v>
      </c>
      <c r="U248" t="s">
        <v>42</v>
      </c>
      <c r="V248" t="s">
        <v>27</v>
      </c>
      <c r="W248" t="s">
        <v>28</v>
      </c>
      <c r="X248">
        <v>3.0769230769230771</v>
      </c>
      <c r="Y248">
        <v>96.92307692307692</v>
      </c>
      <c r="Z248" t="s">
        <v>29</v>
      </c>
      <c r="AA248" t="s">
        <v>30</v>
      </c>
      <c r="AB248" t="s">
        <v>29</v>
      </c>
      <c r="AC248">
        <v>-4.2999999999999983E-2</v>
      </c>
    </row>
    <row r="249" spans="1:29" x14ac:dyDescent="0.3">
      <c r="A249">
        <v>867</v>
      </c>
      <c r="B249" s="6">
        <v>40582</v>
      </c>
      <c r="C249">
        <v>1</v>
      </c>
      <c r="D249">
        <v>13</v>
      </c>
      <c r="E249" t="b">
        <v>0</v>
      </c>
      <c r="F249">
        <v>2</v>
      </c>
      <c r="G249">
        <v>2</v>
      </c>
      <c r="H249">
        <v>0.24</v>
      </c>
      <c r="I249">
        <v>0.19700000000000001</v>
      </c>
      <c r="J249">
        <v>0.32</v>
      </c>
      <c r="K249">
        <v>0.44779999999999998</v>
      </c>
      <c r="L249">
        <v>2</v>
      </c>
      <c r="M249">
        <v>48</v>
      </c>
      <c r="N249">
        <v>50</v>
      </c>
      <c r="O249" t="s">
        <v>20</v>
      </c>
      <c r="P249" t="s">
        <v>44</v>
      </c>
      <c r="Q249" t="s">
        <v>34</v>
      </c>
      <c r="R249" t="s">
        <v>35</v>
      </c>
      <c r="S249" t="s">
        <v>24</v>
      </c>
      <c r="T249" t="s">
        <v>30</v>
      </c>
      <c r="U249" t="s">
        <v>42</v>
      </c>
      <c r="V249" t="s">
        <v>27</v>
      </c>
      <c r="W249" t="s">
        <v>28</v>
      </c>
      <c r="X249">
        <v>4</v>
      </c>
      <c r="Y249">
        <v>96</v>
      </c>
      <c r="Z249" t="s">
        <v>29</v>
      </c>
      <c r="AA249" t="s">
        <v>30</v>
      </c>
      <c r="AB249" t="s">
        <v>29</v>
      </c>
      <c r="AC249">
        <v>-4.2999999999999983E-2</v>
      </c>
    </row>
    <row r="250" spans="1:29" x14ac:dyDescent="0.3">
      <c r="A250">
        <v>868</v>
      </c>
      <c r="B250" s="6">
        <v>40582</v>
      </c>
      <c r="C250">
        <v>1</v>
      </c>
      <c r="D250">
        <v>14</v>
      </c>
      <c r="E250" t="b">
        <v>0</v>
      </c>
      <c r="F250">
        <v>2</v>
      </c>
      <c r="G250">
        <v>1</v>
      </c>
      <c r="H250">
        <v>0.22</v>
      </c>
      <c r="I250">
        <v>0.19700000000000001</v>
      </c>
      <c r="J250">
        <v>0.37</v>
      </c>
      <c r="K250">
        <v>0.41789999999999999</v>
      </c>
      <c r="L250">
        <v>3</v>
      </c>
      <c r="M250">
        <v>61</v>
      </c>
      <c r="N250">
        <v>64</v>
      </c>
      <c r="O250" t="s">
        <v>20</v>
      </c>
      <c r="P250" t="s">
        <v>44</v>
      </c>
      <c r="Q250" t="s">
        <v>22</v>
      </c>
      <c r="R250" t="s">
        <v>35</v>
      </c>
      <c r="S250" t="s">
        <v>24</v>
      </c>
      <c r="T250" t="s">
        <v>30</v>
      </c>
      <c r="U250" t="s">
        <v>42</v>
      </c>
      <c r="V250" t="s">
        <v>27</v>
      </c>
      <c r="W250" t="s">
        <v>28</v>
      </c>
      <c r="X250">
        <v>4.6875</v>
      </c>
      <c r="Y250">
        <v>95.3125</v>
      </c>
      <c r="Z250" t="s">
        <v>29</v>
      </c>
      <c r="AA250" t="s">
        <v>30</v>
      </c>
      <c r="AB250" t="s">
        <v>29</v>
      </c>
      <c r="AC250">
        <v>-2.2999999999999989E-2</v>
      </c>
    </row>
    <row r="251" spans="1:29" x14ac:dyDescent="0.3">
      <c r="A251">
        <v>869</v>
      </c>
      <c r="B251" s="6">
        <v>40582</v>
      </c>
      <c r="C251">
        <v>1</v>
      </c>
      <c r="D251">
        <v>15</v>
      </c>
      <c r="E251" t="b">
        <v>0</v>
      </c>
      <c r="F251">
        <v>2</v>
      </c>
      <c r="G251">
        <v>1</v>
      </c>
      <c r="H251">
        <v>0.22</v>
      </c>
      <c r="I251">
        <v>0.19700000000000001</v>
      </c>
      <c r="J251">
        <v>0.35</v>
      </c>
      <c r="K251">
        <v>0.3881</v>
      </c>
      <c r="L251">
        <v>6</v>
      </c>
      <c r="M251">
        <v>45</v>
      </c>
      <c r="N251">
        <v>51</v>
      </c>
      <c r="O251" t="s">
        <v>20</v>
      </c>
      <c r="P251" t="s">
        <v>44</v>
      </c>
      <c r="Q251" t="s">
        <v>22</v>
      </c>
      <c r="R251" t="s">
        <v>35</v>
      </c>
      <c r="S251" t="s">
        <v>24</v>
      </c>
      <c r="T251" t="s">
        <v>30</v>
      </c>
      <c r="U251" t="s">
        <v>42</v>
      </c>
      <c r="V251" t="s">
        <v>27</v>
      </c>
      <c r="W251" t="s">
        <v>28</v>
      </c>
      <c r="X251">
        <v>11.76470588235294</v>
      </c>
      <c r="Y251">
        <v>88.235294117647058</v>
      </c>
      <c r="Z251" t="s">
        <v>29</v>
      </c>
      <c r="AA251" t="s">
        <v>30</v>
      </c>
      <c r="AB251" t="s">
        <v>29</v>
      </c>
      <c r="AC251">
        <v>-2.2999999999999989E-2</v>
      </c>
    </row>
    <row r="252" spans="1:29" x14ac:dyDescent="0.3">
      <c r="A252">
        <v>870</v>
      </c>
      <c r="B252" s="6">
        <v>40582</v>
      </c>
      <c r="C252">
        <v>1</v>
      </c>
      <c r="D252">
        <v>16</v>
      </c>
      <c r="E252" t="b">
        <v>0</v>
      </c>
      <c r="F252">
        <v>2</v>
      </c>
      <c r="G252">
        <v>1</v>
      </c>
      <c r="H252">
        <v>0.22</v>
      </c>
      <c r="I252">
        <v>0.18179999999999999</v>
      </c>
      <c r="J252">
        <v>0.35</v>
      </c>
      <c r="K252">
        <v>0.52239999999999998</v>
      </c>
      <c r="L252">
        <v>4</v>
      </c>
      <c r="M252">
        <v>79</v>
      </c>
      <c r="N252">
        <v>83</v>
      </c>
      <c r="O252" t="s">
        <v>20</v>
      </c>
      <c r="P252" t="s">
        <v>44</v>
      </c>
      <c r="Q252" t="s">
        <v>22</v>
      </c>
      <c r="R252" t="s">
        <v>35</v>
      </c>
      <c r="S252" t="s">
        <v>24</v>
      </c>
      <c r="T252" t="s">
        <v>30</v>
      </c>
      <c r="U252" t="s">
        <v>42</v>
      </c>
      <c r="V252" t="s">
        <v>27</v>
      </c>
      <c r="W252" t="s">
        <v>28</v>
      </c>
      <c r="X252">
        <v>4.8192771084337354</v>
      </c>
      <c r="Y252">
        <v>95.180722891566262</v>
      </c>
      <c r="Z252" t="s">
        <v>29</v>
      </c>
      <c r="AA252" t="s">
        <v>30</v>
      </c>
      <c r="AB252" t="s">
        <v>29</v>
      </c>
      <c r="AC252">
        <v>-3.8200000000000012E-2</v>
      </c>
    </row>
    <row r="253" spans="1:29" x14ac:dyDescent="0.3">
      <c r="A253">
        <v>871</v>
      </c>
      <c r="B253" s="6">
        <v>40582</v>
      </c>
      <c r="C253">
        <v>1</v>
      </c>
      <c r="D253">
        <v>17</v>
      </c>
      <c r="E253" t="b">
        <v>0</v>
      </c>
      <c r="F253">
        <v>2</v>
      </c>
      <c r="G253">
        <v>1</v>
      </c>
      <c r="H253">
        <v>0.22</v>
      </c>
      <c r="I253">
        <v>0.18179999999999999</v>
      </c>
      <c r="J253">
        <v>0.32</v>
      </c>
      <c r="K253">
        <v>0.58209999999999995</v>
      </c>
      <c r="L253">
        <v>4</v>
      </c>
      <c r="M253">
        <v>172</v>
      </c>
      <c r="N253">
        <v>176</v>
      </c>
      <c r="O253" t="s">
        <v>20</v>
      </c>
      <c r="P253" t="s">
        <v>44</v>
      </c>
      <c r="Q253" t="s">
        <v>22</v>
      </c>
      <c r="R253" t="s">
        <v>36</v>
      </c>
      <c r="S253" t="s">
        <v>24</v>
      </c>
      <c r="T253" t="s">
        <v>30</v>
      </c>
      <c r="U253" t="s">
        <v>42</v>
      </c>
      <c r="V253" t="s">
        <v>27</v>
      </c>
      <c r="W253" t="s">
        <v>28</v>
      </c>
      <c r="X253">
        <v>2.2727272727272729</v>
      </c>
      <c r="Y253">
        <v>97.727272727272734</v>
      </c>
      <c r="Z253" t="s">
        <v>31</v>
      </c>
      <c r="AA253" t="s">
        <v>25</v>
      </c>
      <c r="AB253" t="s">
        <v>29</v>
      </c>
      <c r="AC253">
        <v>-3.8200000000000012E-2</v>
      </c>
    </row>
    <row r="254" spans="1:29" x14ac:dyDescent="0.3">
      <c r="A254">
        <v>872</v>
      </c>
      <c r="B254" s="6">
        <v>40582</v>
      </c>
      <c r="C254">
        <v>1</v>
      </c>
      <c r="D254">
        <v>18</v>
      </c>
      <c r="E254" t="b">
        <v>0</v>
      </c>
      <c r="F254">
        <v>2</v>
      </c>
      <c r="G254">
        <v>1</v>
      </c>
      <c r="H254">
        <v>0.2</v>
      </c>
      <c r="I254">
        <v>0.18179999999999999</v>
      </c>
      <c r="J254">
        <v>0.32</v>
      </c>
      <c r="K254">
        <v>0.3881</v>
      </c>
      <c r="L254">
        <v>1</v>
      </c>
      <c r="M254">
        <v>151</v>
      </c>
      <c r="N254">
        <v>152</v>
      </c>
      <c r="O254" t="s">
        <v>20</v>
      </c>
      <c r="P254" t="s">
        <v>44</v>
      </c>
      <c r="Q254" t="s">
        <v>22</v>
      </c>
      <c r="R254" t="s">
        <v>36</v>
      </c>
      <c r="S254" t="s">
        <v>24</v>
      </c>
      <c r="T254" t="s">
        <v>30</v>
      </c>
      <c r="U254" t="s">
        <v>42</v>
      </c>
      <c r="V254" t="s">
        <v>27</v>
      </c>
      <c r="W254" t="s">
        <v>28</v>
      </c>
      <c r="X254">
        <v>0.6578947368421052</v>
      </c>
      <c r="Y254">
        <v>99.342105263157904</v>
      </c>
      <c r="Z254" t="s">
        <v>31</v>
      </c>
      <c r="AA254" t="s">
        <v>25</v>
      </c>
      <c r="AB254" t="s">
        <v>29</v>
      </c>
      <c r="AC254">
        <v>-1.8200000000000022E-2</v>
      </c>
    </row>
    <row r="255" spans="1:29" x14ac:dyDescent="0.3">
      <c r="A255">
        <v>873</v>
      </c>
      <c r="B255" s="6">
        <v>40582</v>
      </c>
      <c r="C255">
        <v>1</v>
      </c>
      <c r="D255">
        <v>19</v>
      </c>
      <c r="E255" t="b">
        <v>0</v>
      </c>
      <c r="F255">
        <v>2</v>
      </c>
      <c r="G255">
        <v>1</v>
      </c>
      <c r="H255">
        <v>0.16</v>
      </c>
      <c r="I255">
        <v>0.1212</v>
      </c>
      <c r="J255">
        <v>0.4</v>
      </c>
      <c r="K255">
        <v>0.4627</v>
      </c>
      <c r="L255">
        <v>1</v>
      </c>
      <c r="M255">
        <v>100</v>
      </c>
      <c r="N255">
        <v>101</v>
      </c>
      <c r="O255" t="s">
        <v>20</v>
      </c>
      <c r="P255" t="s">
        <v>44</v>
      </c>
      <c r="Q255" t="s">
        <v>22</v>
      </c>
      <c r="R255" t="s">
        <v>36</v>
      </c>
      <c r="S255" t="s">
        <v>24</v>
      </c>
      <c r="T255" t="s">
        <v>25</v>
      </c>
      <c r="U255" t="s">
        <v>42</v>
      </c>
      <c r="V255" t="s">
        <v>27</v>
      </c>
      <c r="W255" t="s">
        <v>28</v>
      </c>
      <c r="X255">
        <v>0.99009900990099009</v>
      </c>
      <c r="Y255">
        <v>99.009900990099013</v>
      </c>
      <c r="Z255" t="s">
        <v>31</v>
      </c>
      <c r="AA255" t="s">
        <v>25</v>
      </c>
      <c r="AB255" t="s">
        <v>29</v>
      </c>
      <c r="AC255">
        <v>-3.8800000000000001E-2</v>
      </c>
    </row>
    <row r="256" spans="1:29" x14ac:dyDescent="0.3">
      <c r="A256">
        <v>874</v>
      </c>
      <c r="B256" s="6">
        <v>40582</v>
      </c>
      <c r="C256">
        <v>1</v>
      </c>
      <c r="D256">
        <v>20</v>
      </c>
      <c r="E256" t="b">
        <v>0</v>
      </c>
      <c r="F256">
        <v>2</v>
      </c>
      <c r="G256">
        <v>1</v>
      </c>
      <c r="H256">
        <v>0.16</v>
      </c>
      <c r="I256">
        <v>0.13639999999999999</v>
      </c>
      <c r="J256">
        <v>0.4</v>
      </c>
      <c r="K256">
        <v>0.32840000000000003</v>
      </c>
      <c r="L256">
        <v>3</v>
      </c>
      <c r="M256">
        <v>53</v>
      </c>
      <c r="N256">
        <v>56</v>
      </c>
      <c r="O256" t="s">
        <v>20</v>
      </c>
      <c r="P256" t="s">
        <v>44</v>
      </c>
      <c r="Q256" t="s">
        <v>22</v>
      </c>
      <c r="R256" t="s">
        <v>36</v>
      </c>
      <c r="S256" t="s">
        <v>24</v>
      </c>
      <c r="T256" t="s">
        <v>25</v>
      </c>
      <c r="U256" t="s">
        <v>42</v>
      </c>
      <c r="V256" t="s">
        <v>27</v>
      </c>
      <c r="W256" t="s">
        <v>28</v>
      </c>
      <c r="X256">
        <v>5.3571428571428568</v>
      </c>
      <c r="Y256">
        <v>94.642857142857139</v>
      </c>
      <c r="Z256" t="s">
        <v>29</v>
      </c>
      <c r="AA256" t="s">
        <v>30</v>
      </c>
      <c r="AB256" t="s">
        <v>29</v>
      </c>
      <c r="AC256">
        <v>-2.360000000000001E-2</v>
      </c>
    </row>
    <row r="257" spans="1:29" x14ac:dyDescent="0.3">
      <c r="A257">
        <v>875</v>
      </c>
      <c r="B257" s="6">
        <v>40582</v>
      </c>
      <c r="C257">
        <v>1</v>
      </c>
      <c r="D257">
        <v>21</v>
      </c>
      <c r="E257" t="b">
        <v>0</v>
      </c>
      <c r="F257">
        <v>2</v>
      </c>
      <c r="G257">
        <v>1</v>
      </c>
      <c r="H257">
        <v>0.14000000000000001</v>
      </c>
      <c r="I257">
        <v>0.1061</v>
      </c>
      <c r="J257">
        <v>0.33</v>
      </c>
      <c r="K257">
        <v>0.4627</v>
      </c>
      <c r="L257">
        <v>8</v>
      </c>
      <c r="M257">
        <v>46</v>
      </c>
      <c r="N257">
        <v>54</v>
      </c>
      <c r="O257" t="s">
        <v>20</v>
      </c>
      <c r="P257" t="s">
        <v>44</v>
      </c>
      <c r="Q257" t="s">
        <v>22</v>
      </c>
      <c r="R257" t="s">
        <v>23</v>
      </c>
      <c r="S257" t="s">
        <v>39</v>
      </c>
      <c r="T257" t="s">
        <v>30</v>
      </c>
      <c r="U257" t="s">
        <v>42</v>
      </c>
      <c r="V257" t="s">
        <v>27</v>
      </c>
      <c r="W257" t="s">
        <v>28</v>
      </c>
      <c r="X257">
        <v>14.81481481481481</v>
      </c>
      <c r="Y257">
        <v>85.18518518518519</v>
      </c>
      <c r="Z257" t="s">
        <v>29</v>
      </c>
      <c r="AA257" t="s">
        <v>30</v>
      </c>
      <c r="AB257" t="s">
        <v>29</v>
      </c>
      <c r="AC257">
        <v>-3.3900000000000013E-2</v>
      </c>
    </row>
    <row r="258" spans="1:29" x14ac:dyDescent="0.3">
      <c r="A258">
        <v>876</v>
      </c>
      <c r="B258" s="6">
        <v>40582</v>
      </c>
      <c r="C258">
        <v>1</v>
      </c>
      <c r="D258">
        <v>22</v>
      </c>
      <c r="E258" t="b">
        <v>0</v>
      </c>
      <c r="F258">
        <v>2</v>
      </c>
      <c r="G258">
        <v>1</v>
      </c>
      <c r="H258">
        <v>0.12</v>
      </c>
      <c r="I258">
        <v>0.1061</v>
      </c>
      <c r="J258">
        <v>0.33</v>
      </c>
      <c r="K258">
        <v>0.35820000000000002</v>
      </c>
      <c r="L258">
        <v>0</v>
      </c>
      <c r="M258">
        <v>29</v>
      </c>
      <c r="N258">
        <v>29</v>
      </c>
      <c r="O258" t="s">
        <v>20</v>
      </c>
      <c r="P258" t="s">
        <v>44</v>
      </c>
      <c r="Q258" t="s">
        <v>22</v>
      </c>
      <c r="R258" t="s">
        <v>23</v>
      </c>
      <c r="S258" t="s">
        <v>39</v>
      </c>
      <c r="T258" t="s">
        <v>30</v>
      </c>
      <c r="U258" t="s">
        <v>42</v>
      </c>
      <c r="V258" t="s">
        <v>27</v>
      </c>
      <c r="W258" t="s">
        <v>28</v>
      </c>
      <c r="X258">
        <v>0</v>
      </c>
      <c r="Y258">
        <v>100</v>
      </c>
      <c r="Z258" t="s">
        <v>29</v>
      </c>
      <c r="AA258" t="s">
        <v>30</v>
      </c>
      <c r="AB258" t="s">
        <v>29</v>
      </c>
      <c r="AC258">
        <v>-1.3899999999999999E-2</v>
      </c>
    </row>
    <row r="259" spans="1:29" x14ac:dyDescent="0.3">
      <c r="A259">
        <v>877</v>
      </c>
      <c r="B259" s="6">
        <v>40582</v>
      </c>
      <c r="C259">
        <v>1</v>
      </c>
      <c r="D259">
        <v>23</v>
      </c>
      <c r="E259" t="b">
        <v>0</v>
      </c>
      <c r="F259">
        <v>2</v>
      </c>
      <c r="G259">
        <v>1</v>
      </c>
      <c r="H259">
        <v>0.12</v>
      </c>
      <c r="I259">
        <v>0.1061</v>
      </c>
      <c r="J259">
        <v>0.33</v>
      </c>
      <c r="K259">
        <v>0.32840000000000003</v>
      </c>
      <c r="L259">
        <v>3</v>
      </c>
      <c r="M259">
        <v>9</v>
      </c>
      <c r="N259">
        <v>12</v>
      </c>
      <c r="O259" t="s">
        <v>20</v>
      </c>
      <c r="P259" t="s">
        <v>44</v>
      </c>
      <c r="Q259" t="s">
        <v>22</v>
      </c>
      <c r="R259" t="s">
        <v>23</v>
      </c>
      <c r="S259" t="s">
        <v>39</v>
      </c>
      <c r="T259" t="s">
        <v>30</v>
      </c>
      <c r="U259" t="s">
        <v>42</v>
      </c>
      <c r="V259" t="s">
        <v>27</v>
      </c>
      <c r="W259" t="s">
        <v>28</v>
      </c>
      <c r="X259">
        <v>25</v>
      </c>
      <c r="Y259">
        <v>75</v>
      </c>
      <c r="Z259" t="s">
        <v>29</v>
      </c>
      <c r="AA259" t="s">
        <v>30</v>
      </c>
      <c r="AB259" t="s">
        <v>29</v>
      </c>
      <c r="AC259">
        <v>-1.3899999999999999E-2</v>
      </c>
    </row>
    <row r="260" spans="1:29" x14ac:dyDescent="0.3">
      <c r="A260">
        <v>878</v>
      </c>
      <c r="B260" s="6">
        <v>40583</v>
      </c>
      <c r="C260">
        <v>1</v>
      </c>
      <c r="D260">
        <v>0</v>
      </c>
      <c r="E260" t="b">
        <v>0</v>
      </c>
      <c r="F260">
        <v>3</v>
      </c>
      <c r="G260">
        <v>1</v>
      </c>
      <c r="H260">
        <v>0.1</v>
      </c>
      <c r="I260">
        <v>7.5800000000000006E-2</v>
      </c>
      <c r="J260">
        <v>0.36</v>
      </c>
      <c r="K260">
        <v>0.35820000000000002</v>
      </c>
      <c r="L260">
        <v>0</v>
      </c>
      <c r="M260">
        <v>17</v>
      </c>
      <c r="N260">
        <v>17</v>
      </c>
      <c r="O260" t="s">
        <v>20</v>
      </c>
      <c r="P260" t="s">
        <v>45</v>
      </c>
      <c r="Q260" t="s">
        <v>22</v>
      </c>
      <c r="R260" t="s">
        <v>23</v>
      </c>
      <c r="S260" t="s">
        <v>39</v>
      </c>
      <c r="T260" t="s">
        <v>30</v>
      </c>
      <c r="U260" t="s">
        <v>42</v>
      </c>
      <c r="V260" t="s">
        <v>27</v>
      </c>
      <c r="W260" t="s">
        <v>28</v>
      </c>
      <c r="X260">
        <v>0</v>
      </c>
      <c r="Y260">
        <v>100</v>
      </c>
      <c r="Z260" t="s">
        <v>29</v>
      </c>
      <c r="AA260" t="s">
        <v>30</v>
      </c>
      <c r="AB260" t="s">
        <v>29</v>
      </c>
      <c r="AC260">
        <v>-2.4199999999999999E-2</v>
      </c>
    </row>
    <row r="261" spans="1:29" x14ac:dyDescent="0.3">
      <c r="A261">
        <v>879</v>
      </c>
      <c r="B261" s="6">
        <v>40583</v>
      </c>
      <c r="C261">
        <v>1</v>
      </c>
      <c r="D261">
        <v>1</v>
      </c>
      <c r="E261" t="b">
        <v>0</v>
      </c>
      <c r="F261">
        <v>3</v>
      </c>
      <c r="G261">
        <v>1</v>
      </c>
      <c r="H261">
        <v>0.1</v>
      </c>
      <c r="I261">
        <v>0.1061</v>
      </c>
      <c r="J261">
        <v>0.36</v>
      </c>
      <c r="K261">
        <v>0.22389999999999999</v>
      </c>
      <c r="L261">
        <v>0</v>
      </c>
      <c r="M261">
        <v>7</v>
      </c>
      <c r="N261">
        <v>7</v>
      </c>
      <c r="O261" t="s">
        <v>20</v>
      </c>
      <c r="P261" t="s">
        <v>45</v>
      </c>
      <c r="Q261" t="s">
        <v>22</v>
      </c>
      <c r="R261" t="s">
        <v>23</v>
      </c>
      <c r="S261" t="s">
        <v>39</v>
      </c>
      <c r="T261" t="s">
        <v>30</v>
      </c>
      <c r="U261" t="s">
        <v>26</v>
      </c>
      <c r="V261" t="s">
        <v>27</v>
      </c>
      <c r="W261" t="s">
        <v>28</v>
      </c>
      <c r="X261">
        <v>0</v>
      </c>
      <c r="Y261">
        <v>100</v>
      </c>
      <c r="Z261" t="s">
        <v>29</v>
      </c>
      <c r="AA261" t="s">
        <v>30</v>
      </c>
      <c r="AB261" t="s">
        <v>29</v>
      </c>
      <c r="AC261">
        <v>6.0999999999999943E-3</v>
      </c>
    </row>
    <row r="262" spans="1:29" x14ac:dyDescent="0.3">
      <c r="A262">
        <v>880</v>
      </c>
      <c r="B262" s="6">
        <v>40583</v>
      </c>
      <c r="C262">
        <v>1</v>
      </c>
      <c r="D262">
        <v>2</v>
      </c>
      <c r="E262" t="b">
        <v>0</v>
      </c>
      <c r="F262">
        <v>3</v>
      </c>
      <c r="G262">
        <v>1</v>
      </c>
      <c r="H262">
        <v>0.08</v>
      </c>
      <c r="I262">
        <v>7.5800000000000006E-2</v>
      </c>
      <c r="J262">
        <v>0.38</v>
      </c>
      <c r="K262">
        <v>0.28360000000000002</v>
      </c>
      <c r="L262">
        <v>1</v>
      </c>
      <c r="M262">
        <v>2</v>
      </c>
      <c r="N262">
        <v>3</v>
      </c>
      <c r="O262" t="s">
        <v>20</v>
      </c>
      <c r="P262" t="s">
        <v>45</v>
      </c>
      <c r="Q262" t="s">
        <v>22</v>
      </c>
      <c r="R262" t="s">
        <v>23</v>
      </c>
      <c r="S262" t="s">
        <v>39</v>
      </c>
      <c r="T262" t="s">
        <v>30</v>
      </c>
      <c r="U262" t="s">
        <v>26</v>
      </c>
      <c r="V262" t="s">
        <v>27</v>
      </c>
      <c r="W262" t="s">
        <v>28</v>
      </c>
      <c r="X262">
        <v>33.333333333333329</v>
      </c>
      <c r="Y262">
        <v>66.666666666666657</v>
      </c>
      <c r="Z262" t="s">
        <v>29</v>
      </c>
      <c r="AA262" t="s">
        <v>30</v>
      </c>
      <c r="AB262" t="s">
        <v>29</v>
      </c>
      <c r="AC262">
        <v>-4.1999999999999954E-3</v>
      </c>
    </row>
    <row r="263" spans="1:29" x14ac:dyDescent="0.3">
      <c r="A263">
        <v>881</v>
      </c>
      <c r="B263" s="6">
        <v>40583</v>
      </c>
      <c r="C263">
        <v>1</v>
      </c>
      <c r="D263">
        <v>3</v>
      </c>
      <c r="E263" t="b">
        <v>0</v>
      </c>
      <c r="F263">
        <v>3</v>
      </c>
      <c r="G263">
        <v>1</v>
      </c>
      <c r="H263">
        <v>0.06</v>
      </c>
      <c r="I263">
        <v>7.5800000000000006E-2</v>
      </c>
      <c r="J263">
        <v>0.45</v>
      </c>
      <c r="K263">
        <v>0.1343</v>
      </c>
      <c r="L263">
        <v>0</v>
      </c>
      <c r="M263">
        <v>2</v>
      </c>
      <c r="N263">
        <v>2</v>
      </c>
      <c r="O263" t="s">
        <v>20</v>
      </c>
      <c r="P263" t="s">
        <v>45</v>
      </c>
      <c r="Q263" t="s">
        <v>22</v>
      </c>
      <c r="R263" t="s">
        <v>23</v>
      </c>
      <c r="S263" t="s">
        <v>39</v>
      </c>
      <c r="T263" t="s">
        <v>25</v>
      </c>
      <c r="U263" t="s">
        <v>32</v>
      </c>
      <c r="V263" t="s">
        <v>27</v>
      </c>
      <c r="W263" t="s">
        <v>28</v>
      </c>
      <c r="X263">
        <v>0</v>
      </c>
      <c r="Y263">
        <v>100</v>
      </c>
      <c r="Z263" t="s">
        <v>29</v>
      </c>
      <c r="AA263" t="s">
        <v>30</v>
      </c>
      <c r="AB263" t="s">
        <v>29</v>
      </c>
      <c r="AC263">
        <v>1.5800000000000008E-2</v>
      </c>
    </row>
    <row r="264" spans="1:29" x14ac:dyDescent="0.3">
      <c r="A264">
        <v>882</v>
      </c>
      <c r="B264" s="6">
        <v>40583</v>
      </c>
      <c r="C264">
        <v>1</v>
      </c>
      <c r="D264">
        <v>5</v>
      </c>
      <c r="E264" t="b">
        <v>0</v>
      </c>
      <c r="F264">
        <v>3</v>
      </c>
      <c r="G264">
        <v>1</v>
      </c>
      <c r="H264">
        <v>0.06</v>
      </c>
      <c r="I264">
        <v>0.1061</v>
      </c>
      <c r="J264">
        <v>0.45</v>
      </c>
      <c r="K264">
        <v>0.1045</v>
      </c>
      <c r="L264">
        <v>0</v>
      </c>
      <c r="M264">
        <v>7</v>
      </c>
      <c r="N264">
        <v>7</v>
      </c>
      <c r="O264" t="s">
        <v>20</v>
      </c>
      <c r="P264" t="s">
        <v>45</v>
      </c>
      <c r="Q264" t="s">
        <v>22</v>
      </c>
      <c r="R264" t="s">
        <v>23</v>
      </c>
      <c r="S264" t="s">
        <v>39</v>
      </c>
      <c r="T264" t="s">
        <v>25</v>
      </c>
      <c r="U264" t="s">
        <v>32</v>
      </c>
      <c r="V264" t="s">
        <v>27</v>
      </c>
      <c r="W264" t="s">
        <v>28</v>
      </c>
      <c r="X264">
        <v>0</v>
      </c>
      <c r="Y264">
        <v>100</v>
      </c>
      <c r="Z264" t="s">
        <v>29</v>
      </c>
      <c r="AA264" t="s">
        <v>30</v>
      </c>
      <c r="AB264" t="s">
        <v>29</v>
      </c>
      <c r="AC264">
        <v>4.6100000000000002E-2</v>
      </c>
    </row>
    <row r="265" spans="1:29" x14ac:dyDescent="0.3">
      <c r="A265">
        <v>883</v>
      </c>
      <c r="B265" s="6">
        <v>40583</v>
      </c>
      <c r="C265">
        <v>1</v>
      </c>
      <c r="D265">
        <v>6</v>
      </c>
      <c r="E265" t="b">
        <v>0</v>
      </c>
      <c r="F265">
        <v>3</v>
      </c>
      <c r="G265">
        <v>1</v>
      </c>
      <c r="H265">
        <v>0.06</v>
      </c>
      <c r="I265">
        <v>0.1515</v>
      </c>
      <c r="J265">
        <v>0.45</v>
      </c>
      <c r="K265">
        <v>0</v>
      </c>
      <c r="L265">
        <v>0</v>
      </c>
      <c r="M265">
        <v>43</v>
      </c>
      <c r="N265">
        <v>43</v>
      </c>
      <c r="O265" t="s">
        <v>20</v>
      </c>
      <c r="P265" t="s">
        <v>45</v>
      </c>
      <c r="Q265" t="s">
        <v>22</v>
      </c>
      <c r="R265" t="s">
        <v>33</v>
      </c>
      <c r="S265" t="s">
        <v>39</v>
      </c>
      <c r="T265" t="s">
        <v>25</v>
      </c>
      <c r="U265" t="s">
        <v>32</v>
      </c>
      <c r="V265" t="s">
        <v>27</v>
      </c>
      <c r="W265" t="s">
        <v>28</v>
      </c>
      <c r="X265">
        <v>0</v>
      </c>
      <c r="Y265">
        <v>100</v>
      </c>
      <c r="Z265" t="s">
        <v>29</v>
      </c>
      <c r="AA265" t="s">
        <v>30</v>
      </c>
      <c r="AB265" t="s">
        <v>29</v>
      </c>
      <c r="AC265">
        <v>9.1499999999999998E-2</v>
      </c>
    </row>
    <row r="266" spans="1:29" x14ac:dyDescent="0.3">
      <c r="A266">
        <v>884</v>
      </c>
      <c r="B266" s="6">
        <v>40583</v>
      </c>
      <c r="C266">
        <v>1</v>
      </c>
      <c r="D266">
        <v>7</v>
      </c>
      <c r="E266" t="b">
        <v>0</v>
      </c>
      <c r="F266">
        <v>3</v>
      </c>
      <c r="G266">
        <v>1</v>
      </c>
      <c r="H266">
        <v>0.06</v>
      </c>
      <c r="I266">
        <v>0.1061</v>
      </c>
      <c r="J266">
        <v>0.49</v>
      </c>
      <c r="K266">
        <v>0.1045</v>
      </c>
      <c r="L266">
        <v>4</v>
      </c>
      <c r="M266">
        <v>95</v>
      </c>
      <c r="N266">
        <v>99</v>
      </c>
      <c r="O266" t="s">
        <v>20</v>
      </c>
      <c r="P266" t="s">
        <v>45</v>
      </c>
      <c r="Q266" t="s">
        <v>22</v>
      </c>
      <c r="R266" t="s">
        <v>33</v>
      </c>
      <c r="S266" t="s">
        <v>39</v>
      </c>
      <c r="T266" t="s">
        <v>25</v>
      </c>
      <c r="U266" t="s">
        <v>32</v>
      </c>
      <c r="V266" t="s">
        <v>27</v>
      </c>
      <c r="W266" t="s">
        <v>28</v>
      </c>
      <c r="X266">
        <v>4.0404040404040407</v>
      </c>
      <c r="Y266">
        <v>95.959595959595958</v>
      </c>
      <c r="Z266" t="s">
        <v>31</v>
      </c>
      <c r="AA266" t="s">
        <v>30</v>
      </c>
      <c r="AB266" t="s">
        <v>29</v>
      </c>
      <c r="AC266">
        <v>4.6100000000000002E-2</v>
      </c>
    </row>
    <row r="267" spans="1:29" x14ac:dyDescent="0.3">
      <c r="A267">
        <v>885</v>
      </c>
      <c r="B267" s="6">
        <v>40583</v>
      </c>
      <c r="C267">
        <v>1</v>
      </c>
      <c r="D267">
        <v>8</v>
      </c>
      <c r="E267" t="b">
        <v>0</v>
      </c>
      <c r="F267">
        <v>3</v>
      </c>
      <c r="G267">
        <v>1</v>
      </c>
      <c r="H267">
        <v>0.1</v>
      </c>
      <c r="I267">
        <v>0.13639999999999999</v>
      </c>
      <c r="J267">
        <v>0.42</v>
      </c>
      <c r="K267">
        <v>0</v>
      </c>
      <c r="L267">
        <v>1</v>
      </c>
      <c r="M267">
        <v>198</v>
      </c>
      <c r="N267">
        <v>199</v>
      </c>
      <c r="O267" t="s">
        <v>20</v>
      </c>
      <c r="P267" t="s">
        <v>45</v>
      </c>
      <c r="Q267" t="s">
        <v>22</v>
      </c>
      <c r="R267" t="s">
        <v>33</v>
      </c>
      <c r="S267" t="s">
        <v>39</v>
      </c>
      <c r="T267" t="s">
        <v>25</v>
      </c>
      <c r="U267" t="s">
        <v>32</v>
      </c>
      <c r="V267" t="s">
        <v>27</v>
      </c>
      <c r="W267" t="s">
        <v>28</v>
      </c>
      <c r="X267">
        <v>0.50251256281407031</v>
      </c>
      <c r="Y267">
        <v>99.497487437185924</v>
      </c>
      <c r="Z267" t="s">
        <v>31</v>
      </c>
      <c r="AA267" t="s">
        <v>25</v>
      </c>
      <c r="AB267" t="s">
        <v>29</v>
      </c>
      <c r="AC267">
        <v>3.6399999999999988E-2</v>
      </c>
    </row>
    <row r="268" spans="1:29" x14ac:dyDescent="0.3">
      <c r="A268">
        <v>886</v>
      </c>
      <c r="B268" s="6">
        <v>40583</v>
      </c>
      <c r="C268">
        <v>1</v>
      </c>
      <c r="D268">
        <v>9</v>
      </c>
      <c r="E268" t="b">
        <v>0</v>
      </c>
      <c r="F268">
        <v>3</v>
      </c>
      <c r="G268">
        <v>1</v>
      </c>
      <c r="H268">
        <v>0.12</v>
      </c>
      <c r="I268">
        <v>0.13639999999999999</v>
      </c>
      <c r="J268">
        <v>0.39</v>
      </c>
      <c r="K268">
        <v>0.16420000000000001</v>
      </c>
      <c r="L268">
        <v>4</v>
      </c>
      <c r="M268">
        <v>119</v>
      </c>
      <c r="N268">
        <v>123</v>
      </c>
      <c r="O268" t="s">
        <v>20</v>
      </c>
      <c r="P268" t="s">
        <v>45</v>
      </c>
      <c r="Q268" t="s">
        <v>22</v>
      </c>
      <c r="R268" t="s">
        <v>33</v>
      </c>
      <c r="S268" t="s">
        <v>39</v>
      </c>
      <c r="T268" t="s">
        <v>30</v>
      </c>
      <c r="U268" t="s">
        <v>26</v>
      </c>
      <c r="V268" t="s">
        <v>27</v>
      </c>
      <c r="W268" t="s">
        <v>28</v>
      </c>
      <c r="X268">
        <v>3.2520325203252041</v>
      </c>
      <c r="Y268">
        <v>96.747967479674799</v>
      </c>
      <c r="Z268" t="s">
        <v>31</v>
      </c>
      <c r="AA268" t="s">
        <v>25</v>
      </c>
      <c r="AB268" t="s">
        <v>29</v>
      </c>
      <c r="AC268">
        <v>1.6400000000000001E-2</v>
      </c>
    </row>
    <row r="269" spans="1:29" x14ac:dyDescent="0.3">
      <c r="A269">
        <v>887</v>
      </c>
      <c r="B269" s="6">
        <v>40583</v>
      </c>
      <c r="C269">
        <v>1</v>
      </c>
      <c r="D269">
        <v>10</v>
      </c>
      <c r="E269" t="b">
        <v>0</v>
      </c>
      <c r="F269">
        <v>3</v>
      </c>
      <c r="G269">
        <v>1</v>
      </c>
      <c r="H269">
        <v>0.14000000000000001</v>
      </c>
      <c r="I269">
        <v>0.18179999999999999</v>
      </c>
      <c r="J269">
        <v>0.36</v>
      </c>
      <c r="K269">
        <v>0</v>
      </c>
      <c r="L269">
        <v>8</v>
      </c>
      <c r="M269">
        <v>51</v>
      </c>
      <c r="N269">
        <v>59</v>
      </c>
      <c r="O269" t="s">
        <v>20</v>
      </c>
      <c r="P269" t="s">
        <v>45</v>
      </c>
      <c r="Q269" t="s">
        <v>22</v>
      </c>
      <c r="R269" t="s">
        <v>33</v>
      </c>
      <c r="S269" t="s">
        <v>39</v>
      </c>
      <c r="T269" t="s">
        <v>30</v>
      </c>
      <c r="U269" t="s">
        <v>32</v>
      </c>
      <c r="V269" t="s">
        <v>27</v>
      </c>
      <c r="W269" t="s">
        <v>28</v>
      </c>
      <c r="X269">
        <v>13.559322033898299</v>
      </c>
      <c r="Y269">
        <v>86.440677966101703</v>
      </c>
      <c r="Z269" t="s">
        <v>29</v>
      </c>
      <c r="AA269" t="s">
        <v>30</v>
      </c>
      <c r="AB269" t="s">
        <v>29</v>
      </c>
      <c r="AC269">
        <v>4.1799999999999983E-2</v>
      </c>
    </row>
    <row r="270" spans="1:29" x14ac:dyDescent="0.3">
      <c r="A270">
        <v>888</v>
      </c>
      <c r="B270" s="6">
        <v>40583</v>
      </c>
      <c r="C270">
        <v>1</v>
      </c>
      <c r="D270">
        <v>11</v>
      </c>
      <c r="E270" t="b">
        <v>0</v>
      </c>
      <c r="F270">
        <v>3</v>
      </c>
      <c r="G270">
        <v>2</v>
      </c>
      <c r="H270">
        <v>0.14000000000000001</v>
      </c>
      <c r="I270">
        <v>0.1515</v>
      </c>
      <c r="J270">
        <v>0.43</v>
      </c>
      <c r="K270">
        <v>0.16420000000000001</v>
      </c>
      <c r="L270">
        <v>1</v>
      </c>
      <c r="M270">
        <v>40</v>
      </c>
      <c r="N270">
        <v>41</v>
      </c>
      <c r="O270" t="s">
        <v>20</v>
      </c>
      <c r="P270" t="s">
        <v>45</v>
      </c>
      <c r="Q270" t="s">
        <v>34</v>
      </c>
      <c r="R270" t="s">
        <v>33</v>
      </c>
      <c r="S270" t="s">
        <v>39</v>
      </c>
      <c r="T270" t="s">
        <v>25</v>
      </c>
      <c r="U270" t="s">
        <v>26</v>
      </c>
      <c r="V270" t="s">
        <v>27</v>
      </c>
      <c r="W270" t="s">
        <v>28</v>
      </c>
      <c r="X270">
        <v>2.4390243902439019</v>
      </c>
      <c r="Y270">
        <v>97.560975609756099</v>
      </c>
      <c r="Z270" t="s">
        <v>29</v>
      </c>
      <c r="AA270" t="s">
        <v>30</v>
      </c>
      <c r="AB270" t="s">
        <v>29</v>
      </c>
      <c r="AC270">
        <v>1.1499999999999981E-2</v>
      </c>
    </row>
    <row r="271" spans="1:29" x14ac:dyDescent="0.3">
      <c r="A271">
        <v>889</v>
      </c>
      <c r="B271" s="6">
        <v>40583</v>
      </c>
      <c r="C271">
        <v>1</v>
      </c>
      <c r="D271">
        <v>12</v>
      </c>
      <c r="E271" t="b">
        <v>0</v>
      </c>
      <c r="F271">
        <v>3</v>
      </c>
      <c r="G271">
        <v>2</v>
      </c>
      <c r="H271">
        <v>0.18</v>
      </c>
      <c r="I271">
        <v>0.18179999999999999</v>
      </c>
      <c r="J271">
        <v>0.4</v>
      </c>
      <c r="K271">
        <v>0.22389999999999999</v>
      </c>
      <c r="L271">
        <v>4</v>
      </c>
      <c r="M271">
        <v>57</v>
      </c>
      <c r="N271">
        <v>61</v>
      </c>
      <c r="O271" t="s">
        <v>20</v>
      </c>
      <c r="P271" t="s">
        <v>45</v>
      </c>
      <c r="Q271" t="s">
        <v>34</v>
      </c>
      <c r="R271" t="s">
        <v>35</v>
      </c>
      <c r="S271" t="s">
        <v>24</v>
      </c>
      <c r="T271" t="s">
        <v>25</v>
      </c>
      <c r="U271" t="s">
        <v>26</v>
      </c>
      <c r="V271" t="s">
        <v>27</v>
      </c>
      <c r="W271" t="s">
        <v>28</v>
      </c>
      <c r="X271">
        <v>6.557377049180328</v>
      </c>
      <c r="Y271">
        <v>93.442622950819683</v>
      </c>
      <c r="Z271" t="s">
        <v>29</v>
      </c>
      <c r="AA271" t="s">
        <v>30</v>
      </c>
      <c r="AB271" t="s">
        <v>29</v>
      </c>
      <c r="AC271">
        <v>1.799999999999996E-3</v>
      </c>
    </row>
    <row r="272" spans="1:29" x14ac:dyDescent="0.3">
      <c r="A272">
        <v>890</v>
      </c>
      <c r="B272" s="6">
        <v>40583</v>
      </c>
      <c r="C272">
        <v>1</v>
      </c>
      <c r="D272">
        <v>13</v>
      </c>
      <c r="E272" t="b">
        <v>0</v>
      </c>
      <c r="F272">
        <v>3</v>
      </c>
      <c r="G272">
        <v>1</v>
      </c>
      <c r="H272">
        <v>0.18</v>
      </c>
      <c r="I272">
        <v>0.16669999999999999</v>
      </c>
      <c r="J272">
        <v>0.4</v>
      </c>
      <c r="K272">
        <v>0.25369999999999998</v>
      </c>
      <c r="L272">
        <v>2</v>
      </c>
      <c r="M272">
        <v>67</v>
      </c>
      <c r="N272">
        <v>69</v>
      </c>
      <c r="O272" t="s">
        <v>20</v>
      </c>
      <c r="P272" t="s">
        <v>45</v>
      </c>
      <c r="Q272" t="s">
        <v>22</v>
      </c>
      <c r="R272" t="s">
        <v>35</v>
      </c>
      <c r="S272" t="s">
        <v>24</v>
      </c>
      <c r="T272" t="s">
        <v>25</v>
      </c>
      <c r="U272" t="s">
        <v>26</v>
      </c>
      <c r="V272" t="s">
        <v>27</v>
      </c>
      <c r="W272" t="s">
        <v>28</v>
      </c>
      <c r="X272">
        <v>2.8985507246376812</v>
      </c>
      <c r="Y272">
        <v>97.101449275362313</v>
      </c>
      <c r="Z272" t="s">
        <v>29</v>
      </c>
      <c r="AA272" t="s">
        <v>30</v>
      </c>
      <c r="AB272" t="s">
        <v>29</v>
      </c>
      <c r="AC272">
        <v>-1.330000000000001E-2</v>
      </c>
    </row>
    <row r="273" spans="1:29" x14ac:dyDescent="0.3">
      <c r="A273">
        <v>891</v>
      </c>
      <c r="B273" s="6">
        <v>40583</v>
      </c>
      <c r="C273">
        <v>1</v>
      </c>
      <c r="D273">
        <v>14</v>
      </c>
      <c r="E273" t="b">
        <v>0</v>
      </c>
      <c r="F273">
        <v>3</v>
      </c>
      <c r="G273">
        <v>1</v>
      </c>
      <c r="H273">
        <v>0.2</v>
      </c>
      <c r="I273">
        <v>0.18179999999999999</v>
      </c>
      <c r="J273">
        <v>0.34</v>
      </c>
      <c r="K273">
        <v>0.29849999999999999</v>
      </c>
      <c r="L273">
        <v>2</v>
      </c>
      <c r="M273">
        <v>56</v>
      </c>
      <c r="N273">
        <v>58</v>
      </c>
      <c r="O273" t="s">
        <v>20</v>
      </c>
      <c r="P273" t="s">
        <v>45</v>
      </c>
      <c r="Q273" t="s">
        <v>22</v>
      </c>
      <c r="R273" t="s">
        <v>35</v>
      </c>
      <c r="S273" t="s">
        <v>24</v>
      </c>
      <c r="T273" t="s">
        <v>30</v>
      </c>
      <c r="U273" t="s">
        <v>26</v>
      </c>
      <c r="V273" t="s">
        <v>27</v>
      </c>
      <c r="W273" t="s">
        <v>28</v>
      </c>
      <c r="X273">
        <v>3.4482758620689649</v>
      </c>
      <c r="Y273">
        <v>96.551724137931032</v>
      </c>
      <c r="Z273" t="s">
        <v>29</v>
      </c>
      <c r="AA273" t="s">
        <v>30</v>
      </c>
      <c r="AB273" t="s">
        <v>29</v>
      </c>
      <c r="AC273">
        <v>-1.8200000000000022E-2</v>
      </c>
    </row>
    <row r="274" spans="1:29" x14ac:dyDescent="0.3">
      <c r="A274">
        <v>892</v>
      </c>
      <c r="B274" s="6">
        <v>40583</v>
      </c>
      <c r="C274">
        <v>1</v>
      </c>
      <c r="D274">
        <v>15</v>
      </c>
      <c r="E274" t="b">
        <v>0</v>
      </c>
      <c r="F274">
        <v>3</v>
      </c>
      <c r="G274">
        <v>2</v>
      </c>
      <c r="H274">
        <v>0.2</v>
      </c>
      <c r="I274">
        <v>0.18179999999999999</v>
      </c>
      <c r="J274">
        <v>0.34</v>
      </c>
      <c r="K274">
        <v>0.28360000000000002</v>
      </c>
      <c r="L274">
        <v>3</v>
      </c>
      <c r="M274">
        <v>61</v>
      </c>
      <c r="N274">
        <v>64</v>
      </c>
      <c r="O274" t="s">
        <v>20</v>
      </c>
      <c r="P274" t="s">
        <v>45</v>
      </c>
      <c r="Q274" t="s">
        <v>34</v>
      </c>
      <c r="R274" t="s">
        <v>35</v>
      </c>
      <c r="S274" t="s">
        <v>24</v>
      </c>
      <c r="T274" t="s">
        <v>30</v>
      </c>
      <c r="U274" t="s">
        <v>26</v>
      </c>
      <c r="V274" t="s">
        <v>27</v>
      </c>
      <c r="W274" t="s">
        <v>28</v>
      </c>
      <c r="X274">
        <v>4.6875</v>
      </c>
      <c r="Y274">
        <v>95.3125</v>
      </c>
      <c r="Z274" t="s">
        <v>29</v>
      </c>
      <c r="AA274" t="s">
        <v>30</v>
      </c>
      <c r="AB274" t="s">
        <v>29</v>
      </c>
      <c r="AC274">
        <v>-1.8200000000000022E-2</v>
      </c>
    </row>
    <row r="275" spans="1:29" x14ac:dyDescent="0.3">
      <c r="A275">
        <v>893</v>
      </c>
      <c r="B275" s="6">
        <v>40583</v>
      </c>
      <c r="C275">
        <v>1</v>
      </c>
      <c r="D275">
        <v>16</v>
      </c>
      <c r="E275" t="b">
        <v>0</v>
      </c>
      <c r="F275">
        <v>3</v>
      </c>
      <c r="G275">
        <v>2</v>
      </c>
      <c r="H275">
        <v>0.2</v>
      </c>
      <c r="I275">
        <v>0.19700000000000001</v>
      </c>
      <c r="J275">
        <v>0.37</v>
      </c>
      <c r="K275">
        <v>0.25369999999999998</v>
      </c>
      <c r="L275">
        <v>7</v>
      </c>
      <c r="M275">
        <v>72</v>
      </c>
      <c r="N275">
        <v>79</v>
      </c>
      <c r="O275" t="s">
        <v>20</v>
      </c>
      <c r="P275" t="s">
        <v>45</v>
      </c>
      <c r="Q275" t="s">
        <v>34</v>
      </c>
      <c r="R275" t="s">
        <v>35</v>
      </c>
      <c r="S275" t="s">
        <v>24</v>
      </c>
      <c r="T275" t="s">
        <v>30</v>
      </c>
      <c r="U275" t="s">
        <v>26</v>
      </c>
      <c r="V275" t="s">
        <v>27</v>
      </c>
      <c r="W275" t="s">
        <v>28</v>
      </c>
      <c r="X275">
        <v>8.8607594936708853</v>
      </c>
      <c r="Y275">
        <v>91.139240506329116</v>
      </c>
      <c r="Z275" t="s">
        <v>29</v>
      </c>
      <c r="AA275" t="s">
        <v>30</v>
      </c>
      <c r="AB275" t="s">
        <v>29</v>
      </c>
      <c r="AC275">
        <v>-3.0000000000000031E-3</v>
      </c>
    </row>
    <row r="276" spans="1:29" x14ac:dyDescent="0.3">
      <c r="A276">
        <v>894</v>
      </c>
      <c r="B276" s="6">
        <v>40583</v>
      </c>
      <c r="C276">
        <v>1</v>
      </c>
      <c r="D276">
        <v>17</v>
      </c>
      <c r="E276" t="b">
        <v>0</v>
      </c>
      <c r="F276">
        <v>3</v>
      </c>
      <c r="G276">
        <v>2</v>
      </c>
      <c r="H276">
        <v>0.2</v>
      </c>
      <c r="I276">
        <v>0.19700000000000001</v>
      </c>
      <c r="J276">
        <v>0.34</v>
      </c>
      <c r="K276">
        <v>0.25369999999999998</v>
      </c>
      <c r="L276">
        <v>9</v>
      </c>
      <c r="M276">
        <v>157</v>
      </c>
      <c r="N276">
        <v>166</v>
      </c>
      <c r="O276" t="s">
        <v>20</v>
      </c>
      <c r="P276" t="s">
        <v>45</v>
      </c>
      <c r="Q276" t="s">
        <v>34</v>
      </c>
      <c r="R276" t="s">
        <v>36</v>
      </c>
      <c r="S276" t="s">
        <v>24</v>
      </c>
      <c r="T276" t="s">
        <v>30</v>
      </c>
      <c r="U276" t="s">
        <v>26</v>
      </c>
      <c r="V276" t="s">
        <v>27</v>
      </c>
      <c r="W276" t="s">
        <v>28</v>
      </c>
      <c r="X276">
        <v>5.4216867469879517</v>
      </c>
      <c r="Y276">
        <v>94.578313253012041</v>
      </c>
      <c r="Z276" t="s">
        <v>31</v>
      </c>
      <c r="AA276" t="s">
        <v>25</v>
      </c>
      <c r="AB276" t="s">
        <v>29</v>
      </c>
      <c r="AC276">
        <v>-3.0000000000000031E-3</v>
      </c>
    </row>
    <row r="277" spans="1:29" x14ac:dyDescent="0.3">
      <c r="A277">
        <v>895</v>
      </c>
      <c r="B277" s="6">
        <v>40583</v>
      </c>
      <c r="C277">
        <v>1</v>
      </c>
      <c r="D277">
        <v>18</v>
      </c>
      <c r="E277" t="b">
        <v>0</v>
      </c>
      <c r="F277">
        <v>3</v>
      </c>
      <c r="G277">
        <v>2</v>
      </c>
      <c r="H277">
        <v>0.18</v>
      </c>
      <c r="I277">
        <v>0.16669999999999999</v>
      </c>
      <c r="J277">
        <v>0.47</v>
      </c>
      <c r="K277">
        <v>0.29849999999999999</v>
      </c>
      <c r="L277">
        <v>2</v>
      </c>
      <c r="M277">
        <v>168</v>
      </c>
      <c r="N277">
        <v>170</v>
      </c>
      <c r="O277" t="s">
        <v>20</v>
      </c>
      <c r="P277" t="s">
        <v>45</v>
      </c>
      <c r="Q277" t="s">
        <v>34</v>
      </c>
      <c r="R277" t="s">
        <v>36</v>
      </c>
      <c r="S277" t="s">
        <v>24</v>
      </c>
      <c r="T277" t="s">
        <v>25</v>
      </c>
      <c r="U277" t="s">
        <v>26</v>
      </c>
      <c r="V277" t="s">
        <v>27</v>
      </c>
      <c r="W277" t="s">
        <v>28</v>
      </c>
      <c r="X277">
        <v>1.1764705882352939</v>
      </c>
      <c r="Y277">
        <v>98.82352941176471</v>
      </c>
      <c r="Z277" t="s">
        <v>31</v>
      </c>
      <c r="AA277" t="s">
        <v>25</v>
      </c>
      <c r="AB277" t="s">
        <v>29</v>
      </c>
      <c r="AC277">
        <v>-1.330000000000001E-2</v>
      </c>
    </row>
    <row r="278" spans="1:29" x14ac:dyDescent="0.3">
      <c r="A278">
        <v>896</v>
      </c>
      <c r="B278" s="6">
        <v>40583</v>
      </c>
      <c r="C278">
        <v>1</v>
      </c>
      <c r="D278">
        <v>19</v>
      </c>
      <c r="E278" t="b">
        <v>0</v>
      </c>
      <c r="F278">
        <v>3</v>
      </c>
      <c r="G278">
        <v>3</v>
      </c>
      <c r="H278">
        <v>0.14000000000000001</v>
      </c>
      <c r="I278">
        <v>0.1212</v>
      </c>
      <c r="J278">
        <v>0.86</v>
      </c>
      <c r="K278">
        <v>0.25369999999999998</v>
      </c>
      <c r="L278">
        <v>1</v>
      </c>
      <c r="M278">
        <v>87</v>
      </c>
      <c r="N278">
        <v>88</v>
      </c>
      <c r="O278" t="s">
        <v>20</v>
      </c>
      <c r="P278" t="s">
        <v>45</v>
      </c>
      <c r="Q278" t="s">
        <v>43</v>
      </c>
      <c r="R278" t="s">
        <v>36</v>
      </c>
      <c r="S278" t="s">
        <v>39</v>
      </c>
      <c r="T278" t="s">
        <v>37</v>
      </c>
      <c r="U278" t="s">
        <v>26</v>
      </c>
      <c r="V278" t="s">
        <v>27</v>
      </c>
      <c r="W278" t="s">
        <v>28</v>
      </c>
      <c r="X278">
        <v>1.136363636363636</v>
      </c>
      <c r="Y278">
        <v>98.86363636363636</v>
      </c>
      <c r="Z278" t="s">
        <v>31</v>
      </c>
      <c r="AA278" t="s">
        <v>30</v>
      </c>
      <c r="AB278" t="s">
        <v>29</v>
      </c>
      <c r="AC278">
        <v>-1.8800000000000011E-2</v>
      </c>
    </row>
    <row r="279" spans="1:29" x14ac:dyDescent="0.3">
      <c r="A279">
        <v>897</v>
      </c>
      <c r="B279" s="6">
        <v>40583</v>
      </c>
      <c r="C279">
        <v>1</v>
      </c>
      <c r="D279">
        <v>20</v>
      </c>
      <c r="E279" t="b">
        <v>0</v>
      </c>
      <c r="F279">
        <v>3</v>
      </c>
      <c r="G279">
        <v>3</v>
      </c>
      <c r="H279">
        <v>0.14000000000000001</v>
      </c>
      <c r="I279">
        <v>0.1515</v>
      </c>
      <c r="J279">
        <v>0.86</v>
      </c>
      <c r="K279">
        <v>0.16420000000000001</v>
      </c>
      <c r="L279">
        <v>0</v>
      </c>
      <c r="M279">
        <v>84</v>
      </c>
      <c r="N279">
        <v>84</v>
      </c>
      <c r="O279" t="s">
        <v>20</v>
      </c>
      <c r="P279" t="s">
        <v>45</v>
      </c>
      <c r="Q279" t="s">
        <v>43</v>
      </c>
      <c r="R279" t="s">
        <v>36</v>
      </c>
      <c r="S279" t="s">
        <v>39</v>
      </c>
      <c r="T279" t="s">
        <v>37</v>
      </c>
      <c r="U279" t="s">
        <v>26</v>
      </c>
      <c r="V279" t="s">
        <v>27</v>
      </c>
      <c r="W279" t="s">
        <v>28</v>
      </c>
      <c r="X279">
        <v>0</v>
      </c>
      <c r="Y279">
        <v>100</v>
      </c>
      <c r="Z279" t="s">
        <v>29</v>
      </c>
      <c r="AA279" t="s">
        <v>30</v>
      </c>
      <c r="AB279" t="s">
        <v>29</v>
      </c>
      <c r="AC279">
        <v>1.1499999999999981E-2</v>
      </c>
    </row>
    <row r="280" spans="1:29" x14ac:dyDescent="0.3">
      <c r="A280">
        <v>898</v>
      </c>
      <c r="B280" s="6">
        <v>40583</v>
      </c>
      <c r="C280">
        <v>1</v>
      </c>
      <c r="D280">
        <v>21</v>
      </c>
      <c r="E280" t="b">
        <v>0</v>
      </c>
      <c r="F280">
        <v>3</v>
      </c>
      <c r="G280">
        <v>2</v>
      </c>
      <c r="H280">
        <v>0.14000000000000001</v>
      </c>
      <c r="I280">
        <v>0.1515</v>
      </c>
      <c r="J280">
        <v>0.86</v>
      </c>
      <c r="K280">
        <v>0.16420000000000001</v>
      </c>
      <c r="L280">
        <v>0</v>
      </c>
      <c r="M280">
        <v>83</v>
      </c>
      <c r="N280">
        <v>83</v>
      </c>
      <c r="O280" t="s">
        <v>20</v>
      </c>
      <c r="P280" t="s">
        <v>45</v>
      </c>
      <c r="Q280" t="s">
        <v>34</v>
      </c>
      <c r="R280" t="s">
        <v>23</v>
      </c>
      <c r="S280" t="s">
        <v>39</v>
      </c>
      <c r="T280" t="s">
        <v>37</v>
      </c>
      <c r="U280" t="s">
        <v>26</v>
      </c>
      <c r="V280" t="s">
        <v>27</v>
      </c>
      <c r="W280" t="s">
        <v>28</v>
      </c>
      <c r="X280">
        <v>0</v>
      </c>
      <c r="Y280">
        <v>100</v>
      </c>
      <c r="Z280" t="s">
        <v>29</v>
      </c>
      <c r="AA280" t="s">
        <v>30</v>
      </c>
      <c r="AB280" t="s">
        <v>29</v>
      </c>
      <c r="AC280">
        <v>1.1499999999999981E-2</v>
      </c>
    </row>
    <row r="281" spans="1:29" x14ac:dyDescent="0.3">
      <c r="A281">
        <v>899</v>
      </c>
      <c r="B281" s="6">
        <v>40583</v>
      </c>
      <c r="C281">
        <v>1</v>
      </c>
      <c r="D281">
        <v>22</v>
      </c>
      <c r="E281" t="b">
        <v>0</v>
      </c>
      <c r="F281">
        <v>3</v>
      </c>
      <c r="G281">
        <v>3</v>
      </c>
      <c r="H281">
        <v>0.16</v>
      </c>
      <c r="I281">
        <v>0.16669999999999999</v>
      </c>
      <c r="J281">
        <v>0.8</v>
      </c>
      <c r="K281">
        <v>0.16420000000000001</v>
      </c>
      <c r="L281">
        <v>4</v>
      </c>
      <c r="M281">
        <v>42</v>
      </c>
      <c r="N281">
        <v>46</v>
      </c>
      <c r="O281" t="s">
        <v>20</v>
      </c>
      <c r="P281" t="s">
        <v>45</v>
      </c>
      <c r="Q281" t="s">
        <v>43</v>
      </c>
      <c r="R281" t="s">
        <v>23</v>
      </c>
      <c r="S281" t="s">
        <v>24</v>
      </c>
      <c r="T281" t="s">
        <v>37</v>
      </c>
      <c r="U281" t="s">
        <v>26</v>
      </c>
      <c r="V281" t="s">
        <v>27</v>
      </c>
      <c r="W281" t="s">
        <v>28</v>
      </c>
      <c r="X281">
        <v>8.695652173913043</v>
      </c>
      <c r="Y281">
        <v>91.304347826086953</v>
      </c>
      <c r="Z281" t="s">
        <v>29</v>
      </c>
      <c r="AA281" t="s">
        <v>30</v>
      </c>
      <c r="AB281" t="s">
        <v>29</v>
      </c>
      <c r="AC281">
        <v>6.6999999999999837E-3</v>
      </c>
    </row>
    <row r="282" spans="1:29" x14ac:dyDescent="0.3">
      <c r="A282">
        <v>900</v>
      </c>
      <c r="B282" s="6">
        <v>40583</v>
      </c>
      <c r="C282">
        <v>1</v>
      </c>
      <c r="D282">
        <v>23</v>
      </c>
      <c r="E282" t="b">
        <v>0</v>
      </c>
      <c r="F282">
        <v>3</v>
      </c>
      <c r="G282">
        <v>3</v>
      </c>
      <c r="H282">
        <v>0.16</v>
      </c>
      <c r="I282">
        <v>0.1515</v>
      </c>
      <c r="J282">
        <v>0.8</v>
      </c>
      <c r="K282">
        <v>0.19400000000000001</v>
      </c>
      <c r="L282">
        <v>0</v>
      </c>
      <c r="M282">
        <v>37</v>
      </c>
      <c r="N282">
        <v>37</v>
      </c>
      <c r="O282" t="s">
        <v>20</v>
      </c>
      <c r="P282" t="s">
        <v>45</v>
      </c>
      <c r="Q282" t="s">
        <v>43</v>
      </c>
      <c r="R282" t="s">
        <v>23</v>
      </c>
      <c r="S282" t="s">
        <v>24</v>
      </c>
      <c r="T282" t="s">
        <v>37</v>
      </c>
      <c r="U282" t="s">
        <v>26</v>
      </c>
      <c r="V282" t="s">
        <v>27</v>
      </c>
      <c r="W282" t="s">
        <v>28</v>
      </c>
      <c r="X282">
        <v>0</v>
      </c>
      <c r="Y282">
        <v>100</v>
      </c>
      <c r="Z282" t="s">
        <v>29</v>
      </c>
      <c r="AA282" t="s">
        <v>30</v>
      </c>
      <c r="AB282" t="s">
        <v>29</v>
      </c>
      <c r="AC282">
        <v>-8.5000000000000075E-3</v>
      </c>
    </row>
    <row r="283" spans="1:29" x14ac:dyDescent="0.3">
      <c r="A283">
        <v>901</v>
      </c>
      <c r="B283" s="6">
        <v>40584</v>
      </c>
      <c r="C283">
        <v>1</v>
      </c>
      <c r="D283">
        <v>0</v>
      </c>
      <c r="E283" t="b">
        <v>0</v>
      </c>
      <c r="F283">
        <v>4</v>
      </c>
      <c r="G283">
        <v>3</v>
      </c>
      <c r="H283">
        <v>0.14000000000000001</v>
      </c>
      <c r="I283">
        <v>0.13639999999999999</v>
      </c>
      <c r="J283">
        <v>0.86</v>
      </c>
      <c r="K283">
        <v>0.19400000000000001</v>
      </c>
      <c r="L283">
        <v>0</v>
      </c>
      <c r="M283">
        <v>16</v>
      </c>
      <c r="N283">
        <v>16</v>
      </c>
      <c r="O283" t="s">
        <v>20</v>
      </c>
      <c r="P283" t="s">
        <v>48</v>
      </c>
      <c r="Q283" t="s">
        <v>43</v>
      </c>
      <c r="R283" t="s">
        <v>23</v>
      </c>
      <c r="S283" t="s">
        <v>39</v>
      </c>
      <c r="T283" t="s">
        <v>37</v>
      </c>
      <c r="U283" t="s">
        <v>26</v>
      </c>
      <c r="V283" t="s">
        <v>27</v>
      </c>
      <c r="W283" t="s">
        <v>28</v>
      </c>
      <c r="X283">
        <v>0</v>
      </c>
      <c r="Y283">
        <v>100</v>
      </c>
      <c r="Z283" t="s">
        <v>29</v>
      </c>
      <c r="AA283" t="s">
        <v>30</v>
      </c>
      <c r="AB283" t="s">
        <v>29</v>
      </c>
      <c r="AC283">
        <v>-3.6000000000000199E-3</v>
      </c>
    </row>
    <row r="284" spans="1:29" x14ac:dyDescent="0.3">
      <c r="A284">
        <v>902</v>
      </c>
      <c r="B284" s="6">
        <v>40584</v>
      </c>
      <c r="C284">
        <v>1</v>
      </c>
      <c r="D284">
        <v>1</v>
      </c>
      <c r="E284" t="b">
        <v>0</v>
      </c>
      <c r="F284">
        <v>4</v>
      </c>
      <c r="G284">
        <v>3</v>
      </c>
      <c r="H284">
        <v>0.14000000000000001</v>
      </c>
      <c r="I284">
        <v>0.1515</v>
      </c>
      <c r="J284">
        <v>0.8</v>
      </c>
      <c r="K284">
        <v>0.1343</v>
      </c>
      <c r="L284">
        <v>0</v>
      </c>
      <c r="M284">
        <v>7</v>
      </c>
      <c r="N284">
        <v>7</v>
      </c>
      <c r="O284" t="s">
        <v>20</v>
      </c>
      <c r="P284" t="s">
        <v>48</v>
      </c>
      <c r="Q284" t="s">
        <v>43</v>
      </c>
      <c r="R284" t="s">
        <v>23</v>
      </c>
      <c r="S284" t="s">
        <v>39</v>
      </c>
      <c r="T284" t="s">
        <v>37</v>
      </c>
      <c r="U284" t="s">
        <v>32</v>
      </c>
      <c r="V284" t="s">
        <v>27</v>
      </c>
      <c r="W284" t="s">
        <v>28</v>
      </c>
      <c r="X284">
        <v>0</v>
      </c>
      <c r="Y284">
        <v>100</v>
      </c>
      <c r="Z284" t="s">
        <v>29</v>
      </c>
      <c r="AA284" t="s">
        <v>30</v>
      </c>
      <c r="AB284" t="s">
        <v>29</v>
      </c>
      <c r="AC284">
        <v>1.1499999999999981E-2</v>
      </c>
    </row>
    <row r="285" spans="1:29" x14ac:dyDescent="0.3">
      <c r="A285">
        <v>903</v>
      </c>
      <c r="B285" s="6">
        <v>40584</v>
      </c>
      <c r="C285">
        <v>1</v>
      </c>
      <c r="D285">
        <v>2</v>
      </c>
      <c r="E285" t="b">
        <v>0</v>
      </c>
      <c r="F285">
        <v>4</v>
      </c>
      <c r="G285">
        <v>3</v>
      </c>
      <c r="H285">
        <v>0.14000000000000001</v>
      </c>
      <c r="I285">
        <v>0.1515</v>
      </c>
      <c r="J285">
        <v>0.8</v>
      </c>
      <c r="K285">
        <v>0.1343</v>
      </c>
      <c r="L285">
        <v>0</v>
      </c>
      <c r="M285">
        <v>3</v>
      </c>
      <c r="N285">
        <v>3</v>
      </c>
      <c r="O285" t="s">
        <v>20</v>
      </c>
      <c r="P285" t="s">
        <v>48</v>
      </c>
      <c r="Q285" t="s">
        <v>43</v>
      </c>
      <c r="R285" t="s">
        <v>23</v>
      </c>
      <c r="S285" t="s">
        <v>39</v>
      </c>
      <c r="T285" t="s">
        <v>37</v>
      </c>
      <c r="U285" t="s">
        <v>32</v>
      </c>
      <c r="V285" t="s">
        <v>27</v>
      </c>
      <c r="W285" t="s">
        <v>28</v>
      </c>
      <c r="X285">
        <v>0</v>
      </c>
      <c r="Y285">
        <v>100</v>
      </c>
      <c r="Z285" t="s">
        <v>29</v>
      </c>
      <c r="AA285" t="s">
        <v>30</v>
      </c>
      <c r="AB285" t="s">
        <v>29</v>
      </c>
      <c r="AC285">
        <v>1.1499999999999981E-2</v>
      </c>
    </row>
    <row r="286" spans="1:29" x14ac:dyDescent="0.3">
      <c r="A286">
        <v>904</v>
      </c>
      <c r="B286" s="6">
        <v>40584</v>
      </c>
      <c r="C286">
        <v>1</v>
      </c>
      <c r="D286">
        <v>4</v>
      </c>
      <c r="E286" t="b">
        <v>0</v>
      </c>
      <c r="F286">
        <v>4</v>
      </c>
      <c r="G286">
        <v>2</v>
      </c>
      <c r="H286">
        <v>0.14000000000000001</v>
      </c>
      <c r="I286">
        <v>0.13639999999999999</v>
      </c>
      <c r="J286">
        <v>0.59</v>
      </c>
      <c r="K286">
        <v>0.22389999999999999</v>
      </c>
      <c r="L286">
        <v>0</v>
      </c>
      <c r="M286">
        <v>1</v>
      </c>
      <c r="N286">
        <v>1</v>
      </c>
      <c r="O286" t="s">
        <v>20</v>
      </c>
      <c r="P286" t="s">
        <v>48</v>
      </c>
      <c r="Q286" t="s">
        <v>34</v>
      </c>
      <c r="R286" t="s">
        <v>23</v>
      </c>
      <c r="S286" t="s">
        <v>39</v>
      </c>
      <c r="T286" t="s">
        <v>25</v>
      </c>
      <c r="U286" t="s">
        <v>26</v>
      </c>
      <c r="V286" t="s">
        <v>27</v>
      </c>
      <c r="W286" t="s">
        <v>28</v>
      </c>
      <c r="X286">
        <v>0</v>
      </c>
      <c r="Y286">
        <v>100</v>
      </c>
      <c r="Z286" t="s">
        <v>29</v>
      </c>
      <c r="AA286" t="s">
        <v>30</v>
      </c>
      <c r="AB286" t="s">
        <v>29</v>
      </c>
      <c r="AC286">
        <v>-3.6000000000000199E-3</v>
      </c>
    </row>
    <row r="287" spans="1:29" x14ac:dyDescent="0.3">
      <c r="A287">
        <v>905</v>
      </c>
      <c r="B287" s="6">
        <v>40584</v>
      </c>
      <c r="C287">
        <v>1</v>
      </c>
      <c r="D287">
        <v>5</v>
      </c>
      <c r="E287" t="b">
        <v>0</v>
      </c>
      <c r="F287">
        <v>4</v>
      </c>
      <c r="G287">
        <v>2</v>
      </c>
      <c r="H287">
        <v>0.12</v>
      </c>
      <c r="I287">
        <v>0.1212</v>
      </c>
      <c r="J287">
        <v>0.5</v>
      </c>
      <c r="K287">
        <v>0.22389999999999999</v>
      </c>
      <c r="L287">
        <v>0</v>
      </c>
      <c r="M287">
        <v>6</v>
      </c>
      <c r="N287">
        <v>6</v>
      </c>
      <c r="O287" t="s">
        <v>20</v>
      </c>
      <c r="P287" t="s">
        <v>48</v>
      </c>
      <c r="Q287" t="s">
        <v>34</v>
      </c>
      <c r="R287" t="s">
        <v>23</v>
      </c>
      <c r="S287" t="s">
        <v>39</v>
      </c>
      <c r="T287" t="s">
        <v>25</v>
      </c>
      <c r="U287" t="s">
        <v>26</v>
      </c>
      <c r="V287" t="s">
        <v>27</v>
      </c>
      <c r="W287" t="s">
        <v>28</v>
      </c>
      <c r="X287">
        <v>0</v>
      </c>
      <c r="Y287">
        <v>100</v>
      </c>
      <c r="Z287" t="s">
        <v>29</v>
      </c>
      <c r="AA287" t="s">
        <v>30</v>
      </c>
      <c r="AB287" t="s">
        <v>29</v>
      </c>
      <c r="AC287">
        <v>1.2000000000000071E-3</v>
      </c>
    </row>
    <row r="288" spans="1:29" x14ac:dyDescent="0.3">
      <c r="A288">
        <v>906</v>
      </c>
      <c r="B288" s="6">
        <v>40584</v>
      </c>
      <c r="C288">
        <v>1</v>
      </c>
      <c r="D288">
        <v>6</v>
      </c>
      <c r="E288" t="b">
        <v>0</v>
      </c>
      <c r="F288">
        <v>4</v>
      </c>
      <c r="G288">
        <v>2</v>
      </c>
      <c r="H288">
        <v>0.12</v>
      </c>
      <c r="I288">
        <v>0.1212</v>
      </c>
      <c r="J288">
        <v>0.54</v>
      </c>
      <c r="K288">
        <v>0.28360000000000002</v>
      </c>
      <c r="L288">
        <v>0</v>
      </c>
      <c r="M288">
        <v>26</v>
      </c>
      <c r="N288">
        <v>26</v>
      </c>
      <c r="O288" t="s">
        <v>20</v>
      </c>
      <c r="P288" t="s">
        <v>48</v>
      </c>
      <c r="Q288" t="s">
        <v>34</v>
      </c>
      <c r="R288" t="s">
        <v>33</v>
      </c>
      <c r="S288" t="s">
        <v>39</v>
      </c>
      <c r="T288" t="s">
        <v>25</v>
      </c>
      <c r="U288" t="s">
        <v>26</v>
      </c>
      <c r="V288" t="s">
        <v>27</v>
      </c>
      <c r="W288" t="s">
        <v>28</v>
      </c>
      <c r="X288">
        <v>0</v>
      </c>
      <c r="Y288">
        <v>100</v>
      </c>
      <c r="Z288" t="s">
        <v>29</v>
      </c>
      <c r="AA288" t="s">
        <v>30</v>
      </c>
      <c r="AB288" t="s">
        <v>29</v>
      </c>
      <c r="AC288">
        <v>1.2000000000000071E-3</v>
      </c>
    </row>
    <row r="289" spans="1:29" x14ac:dyDescent="0.3">
      <c r="A289">
        <v>907</v>
      </c>
      <c r="B289" s="6">
        <v>40584</v>
      </c>
      <c r="C289">
        <v>1</v>
      </c>
      <c r="D289">
        <v>7</v>
      </c>
      <c r="E289" t="b">
        <v>0</v>
      </c>
      <c r="F289">
        <v>4</v>
      </c>
      <c r="G289">
        <v>1</v>
      </c>
      <c r="H289">
        <v>0.1</v>
      </c>
      <c r="I289">
        <v>7.5800000000000006E-2</v>
      </c>
      <c r="J289">
        <v>0.5</v>
      </c>
      <c r="K289">
        <v>0.41789999999999999</v>
      </c>
      <c r="L289">
        <v>0</v>
      </c>
      <c r="M289">
        <v>99</v>
      </c>
      <c r="N289">
        <v>99</v>
      </c>
      <c r="O289" t="s">
        <v>20</v>
      </c>
      <c r="P289" t="s">
        <v>48</v>
      </c>
      <c r="Q289" t="s">
        <v>22</v>
      </c>
      <c r="R289" t="s">
        <v>33</v>
      </c>
      <c r="S289" t="s">
        <v>39</v>
      </c>
      <c r="T289" t="s">
        <v>25</v>
      </c>
      <c r="U289" t="s">
        <v>42</v>
      </c>
      <c r="V289" t="s">
        <v>27</v>
      </c>
      <c r="W289" t="s">
        <v>28</v>
      </c>
      <c r="X289">
        <v>0</v>
      </c>
      <c r="Y289">
        <v>100</v>
      </c>
      <c r="Z289" t="s">
        <v>31</v>
      </c>
      <c r="AA289" t="s">
        <v>30</v>
      </c>
      <c r="AB289" t="s">
        <v>29</v>
      </c>
      <c r="AC289">
        <v>-2.4199999999999999E-2</v>
      </c>
    </row>
    <row r="290" spans="1:29" x14ac:dyDescent="0.3">
      <c r="A290">
        <v>908</v>
      </c>
      <c r="B290" s="6">
        <v>40584</v>
      </c>
      <c r="C290">
        <v>1</v>
      </c>
      <c r="D290">
        <v>8</v>
      </c>
      <c r="E290" t="b">
        <v>0</v>
      </c>
      <c r="F290">
        <v>4</v>
      </c>
      <c r="G290">
        <v>1</v>
      </c>
      <c r="H290">
        <v>0.1</v>
      </c>
      <c r="I290">
        <v>7.5800000000000006E-2</v>
      </c>
      <c r="J290">
        <v>0.49</v>
      </c>
      <c r="K290">
        <v>0.32840000000000003</v>
      </c>
      <c r="L290">
        <v>5</v>
      </c>
      <c r="M290">
        <v>173</v>
      </c>
      <c r="N290">
        <v>178</v>
      </c>
      <c r="O290" t="s">
        <v>20</v>
      </c>
      <c r="P290" t="s">
        <v>48</v>
      </c>
      <c r="Q290" t="s">
        <v>22</v>
      </c>
      <c r="R290" t="s">
        <v>33</v>
      </c>
      <c r="S290" t="s">
        <v>39</v>
      </c>
      <c r="T290" t="s">
        <v>25</v>
      </c>
      <c r="U290" t="s">
        <v>42</v>
      </c>
      <c r="V290" t="s">
        <v>27</v>
      </c>
      <c r="W290" t="s">
        <v>28</v>
      </c>
      <c r="X290">
        <v>2.808988764044944</v>
      </c>
      <c r="Y290">
        <v>97.19101123595506</v>
      </c>
      <c r="Z290" t="s">
        <v>31</v>
      </c>
      <c r="AA290" t="s">
        <v>25</v>
      </c>
      <c r="AB290" t="s">
        <v>29</v>
      </c>
      <c r="AC290">
        <v>-2.4199999999999999E-2</v>
      </c>
    </row>
    <row r="291" spans="1:29" x14ac:dyDescent="0.3">
      <c r="A291">
        <v>909</v>
      </c>
      <c r="B291" s="6">
        <v>40584</v>
      </c>
      <c r="C291">
        <v>1</v>
      </c>
      <c r="D291">
        <v>9</v>
      </c>
      <c r="E291" t="b">
        <v>0</v>
      </c>
      <c r="F291">
        <v>4</v>
      </c>
      <c r="G291">
        <v>1</v>
      </c>
      <c r="H291">
        <v>0.12</v>
      </c>
      <c r="I291">
        <v>0.1061</v>
      </c>
      <c r="J291">
        <v>0.42</v>
      </c>
      <c r="K291">
        <v>0.35820000000000002</v>
      </c>
      <c r="L291">
        <v>1</v>
      </c>
      <c r="M291">
        <v>121</v>
      </c>
      <c r="N291">
        <v>122</v>
      </c>
      <c r="O291" t="s">
        <v>20</v>
      </c>
      <c r="P291" t="s">
        <v>48</v>
      </c>
      <c r="Q291" t="s">
        <v>22</v>
      </c>
      <c r="R291" t="s">
        <v>33</v>
      </c>
      <c r="S291" t="s">
        <v>39</v>
      </c>
      <c r="T291" t="s">
        <v>25</v>
      </c>
      <c r="U291" t="s">
        <v>42</v>
      </c>
      <c r="V291" t="s">
        <v>27</v>
      </c>
      <c r="W291" t="s">
        <v>28</v>
      </c>
      <c r="X291">
        <v>0.81967213114754101</v>
      </c>
      <c r="Y291">
        <v>99.180327868852459</v>
      </c>
      <c r="Z291" t="s">
        <v>31</v>
      </c>
      <c r="AA291" t="s">
        <v>25</v>
      </c>
      <c r="AB291" t="s">
        <v>29</v>
      </c>
      <c r="AC291">
        <v>-1.3899999999999999E-2</v>
      </c>
    </row>
    <row r="292" spans="1:29" x14ac:dyDescent="0.3">
      <c r="A292">
        <v>910</v>
      </c>
      <c r="B292" s="6">
        <v>40584</v>
      </c>
      <c r="C292">
        <v>1</v>
      </c>
      <c r="D292">
        <v>10</v>
      </c>
      <c r="E292" t="b">
        <v>0</v>
      </c>
      <c r="F292">
        <v>4</v>
      </c>
      <c r="G292">
        <v>1</v>
      </c>
      <c r="H292">
        <v>0.12</v>
      </c>
      <c r="I292">
        <v>0.1061</v>
      </c>
      <c r="J292">
        <v>0.42</v>
      </c>
      <c r="K292">
        <v>0.29849999999999999</v>
      </c>
      <c r="L292">
        <v>1</v>
      </c>
      <c r="M292">
        <v>34</v>
      </c>
      <c r="N292">
        <v>35</v>
      </c>
      <c r="O292" t="s">
        <v>20</v>
      </c>
      <c r="P292" t="s">
        <v>48</v>
      </c>
      <c r="Q292" t="s">
        <v>22</v>
      </c>
      <c r="R292" t="s">
        <v>33</v>
      </c>
      <c r="S292" t="s">
        <v>39</v>
      </c>
      <c r="T292" t="s">
        <v>25</v>
      </c>
      <c r="U292" t="s">
        <v>26</v>
      </c>
      <c r="V292" t="s">
        <v>27</v>
      </c>
      <c r="W292" t="s">
        <v>28</v>
      </c>
      <c r="X292">
        <v>2.8571428571428572</v>
      </c>
      <c r="Y292">
        <v>97.142857142857139</v>
      </c>
      <c r="Z292" t="s">
        <v>29</v>
      </c>
      <c r="AA292" t="s">
        <v>30</v>
      </c>
      <c r="AB292" t="s">
        <v>29</v>
      </c>
      <c r="AC292">
        <v>-1.3899999999999999E-2</v>
      </c>
    </row>
    <row r="293" spans="1:29" x14ac:dyDescent="0.3">
      <c r="A293">
        <v>911</v>
      </c>
      <c r="B293" s="6">
        <v>40584</v>
      </c>
      <c r="C293">
        <v>1</v>
      </c>
      <c r="D293">
        <v>11</v>
      </c>
      <c r="E293" t="b">
        <v>0</v>
      </c>
      <c r="F293">
        <v>4</v>
      </c>
      <c r="G293">
        <v>1</v>
      </c>
      <c r="H293">
        <v>0.14000000000000001</v>
      </c>
      <c r="I293">
        <v>0.1212</v>
      </c>
      <c r="J293">
        <v>0.39</v>
      </c>
      <c r="K293">
        <v>0.35820000000000002</v>
      </c>
      <c r="L293">
        <v>1</v>
      </c>
      <c r="M293">
        <v>44</v>
      </c>
      <c r="N293">
        <v>45</v>
      </c>
      <c r="O293" t="s">
        <v>20</v>
      </c>
      <c r="P293" t="s">
        <v>48</v>
      </c>
      <c r="Q293" t="s">
        <v>22</v>
      </c>
      <c r="R293" t="s">
        <v>33</v>
      </c>
      <c r="S293" t="s">
        <v>39</v>
      </c>
      <c r="T293" t="s">
        <v>30</v>
      </c>
      <c r="U293" t="s">
        <v>42</v>
      </c>
      <c r="V293" t="s">
        <v>27</v>
      </c>
      <c r="W293" t="s">
        <v>28</v>
      </c>
      <c r="X293">
        <v>2.2222222222222219</v>
      </c>
      <c r="Y293">
        <v>97.777777777777771</v>
      </c>
      <c r="Z293" t="s">
        <v>29</v>
      </c>
      <c r="AA293" t="s">
        <v>30</v>
      </c>
      <c r="AB293" t="s">
        <v>29</v>
      </c>
      <c r="AC293">
        <v>-1.8800000000000011E-2</v>
      </c>
    </row>
    <row r="294" spans="1:29" x14ac:dyDescent="0.3">
      <c r="A294">
        <v>912</v>
      </c>
      <c r="B294" s="6">
        <v>40584</v>
      </c>
      <c r="C294">
        <v>1</v>
      </c>
      <c r="D294">
        <v>12</v>
      </c>
      <c r="E294" t="b">
        <v>0</v>
      </c>
      <c r="F294">
        <v>4</v>
      </c>
      <c r="G294">
        <v>1</v>
      </c>
      <c r="H294">
        <v>0.16</v>
      </c>
      <c r="I294">
        <v>0.13639999999999999</v>
      </c>
      <c r="J294">
        <v>0.34</v>
      </c>
      <c r="K294">
        <v>0.3881</v>
      </c>
      <c r="L294">
        <v>4</v>
      </c>
      <c r="M294">
        <v>65</v>
      </c>
      <c r="N294">
        <v>69</v>
      </c>
      <c r="O294" t="s">
        <v>20</v>
      </c>
      <c r="P294" t="s">
        <v>48</v>
      </c>
      <c r="Q294" t="s">
        <v>22</v>
      </c>
      <c r="R294" t="s">
        <v>35</v>
      </c>
      <c r="S294" t="s">
        <v>24</v>
      </c>
      <c r="T294" t="s">
        <v>30</v>
      </c>
      <c r="U294" t="s">
        <v>42</v>
      </c>
      <c r="V294" t="s">
        <v>27</v>
      </c>
      <c r="W294" t="s">
        <v>28</v>
      </c>
      <c r="X294">
        <v>5.7971014492753623</v>
      </c>
      <c r="Y294">
        <v>94.20289855072464</v>
      </c>
      <c r="Z294" t="s">
        <v>29</v>
      </c>
      <c r="AA294" t="s">
        <v>30</v>
      </c>
      <c r="AB294" t="s">
        <v>29</v>
      </c>
      <c r="AC294">
        <v>-2.360000000000001E-2</v>
      </c>
    </row>
    <row r="295" spans="1:29" x14ac:dyDescent="0.3">
      <c r="A295">
        <v>913</v>
      </c>
      <c r="B295" s="6">
        <v>40584</v>
      </c>
      <c r="C295">
        <v>1</v>
      </c>
      <c r="D295">
        <v>13</v>
      </c>
      <c r="E295" t="b">
        <v>0</v>
      </c>
      <c r="F295">
        <v>4</v>
      </c>
      <c r="G295">
        <v>1</v>
      </c>
      <c r="H295">
        <v>0.18</v>
      </c>
      <c r="I295">
        <v>0.16669999999999999</v>
      </c>
      <c r="J295">
        <v>0.28999999999999998</v>
      </c>
      <c r="K295">
        <v>0.29849999999999999</v>
      </c>
      <c r="L295">
        <v>3</v>
      </c>
      <c r="M295">
        <v>59</v>
      </c>
      <c r="N295">
        <v>62</v>
      </c>
      <c r="O295" t="s">
        <v>20</v>
      </c>
      <c r="P295" t="s">
        <v>48</v>
      </c>
      <c r="Q295" t="s">
        <v>22</v>
      </c>
      <c r="R295" t="s">
        <v>35</v>
      </c>
      <c r="S295" t="s">
        <v>24</v>
      </c>
      <c r="T295" t="s">
        <v>30</v>
      </c>
      <c r="U295" t="s">
        <v>26</v>
      </c>
      <c r="V295" t="s">
        <v>27</v>
      </c>
      <c r="W295" t="s">
        <v>28</v>
      </c>
      <c r="X295">
        <v>4.838709677419355</v>
      </c>
      <c r="Y295">
        <v>95.161290322580655</v>
      </c>
      <c r="Z295" t="s">
        <v>29</v>
      </c>
      <c r="AA295" t="s">
        <v>30</v>
      </c>
      <c r="AB295" t="s">
        <v>29</v>
      </c>
      <c r="AC295">
        <v>-1.330000000000001E-2</v>
      </c>
    </row>
    <row r="296" spans="1:29" x14ac:dyDescent="0.3">
      <c r="A296">
        <v>914</v>
      </c>
      <c r="B296" s="6">
        <v>40584</v>
      </c>
      <c r="C296">
        <v>1</v>
      </c>
      <c r="D296">
        <v>14</v>
      </c>
      <c r="E296" t="b">
        <v>0</v>
      </c>
      <c r="F296">
        <v>4</v>
      </c>
      <c r="G296">
        <v>1</v>
      </c>
      <c r="H296">
        <v>0.2</v>
      </c>
      <c r="I296">
        <v>0.18179999999999999</v>
      </c>
      <c r="J296">
        <v>0.27</v>
      </c>
      <c r="K296">
        <v>0.28360000000000002</v>
      </c>
      <c r="L296">
        <v>6</v>
      </c>
      <c r="M296">
        <v>42</v>
      </c>
      <c r="N296">
        <v>48</v>
      </c>
      <c r="O296" t="s">
        <v>20</v>
      </c>
      <c r="P296" t="s">
        <v>48</v>
      </c>
      <c r="Q296" t="s">
        <v>22</v>
      </c>
      <c r="R296" t="s">
        <v>35</v>
      </c>
      <c r="S296" t="s">
        <v>24</v>
      </c>
      <c r="T296" t="s">
        <v>30</v>
      </c>
      <c r="U296" t="s">
        <v>26</v>
      </c>
      <c r="V296" t="s">
        <v>27</v>
      </c>
      <c r="W296" t="s">
        <v>28</v>
      </c>
      <c r="X296">
        <v>12.5</v>
      </c>
      <c r="Y296">
        <v>87.5</v>
      </c>
      <c r="Z296" t="s">
        <v>29</v>
      </c>
      <c r="AA296" t="s">
        <v>30</v>
      </c>
      <c r="AB296" t="s">
        <v>29</v>
      </c>
      <c r="AC296">
        <v>-1.8200000000000022E-2</v>
      </c>
    </row>
    <row r="297" spans="1:29" x14ac:dyDescent="0.3">
      <c r="A297">
        <v>915</v>
      </c>
      <c r="B297" s="6">
        <v>40584</v>
      </c>
      <c r="C297">
        <v>1</v>
      </c>
      <c r="D297">
        <v>15</v>
      </c>
      <c r="E297" t="b">
        <v>0</v>
      </c>
      <c r="F297">
        <v>4</v>
      </c>
      <c r="G297">
        <v>1</v>
      </c>
      <c r="H297">
        <v>0.2</v>
      </c>
      <c r="I297">
        <v>0.19700000000000001</v>
      </c>
      <c r="J297">
        <v>0.25</v>
      </c>
      <c r="K297">
        <v>0.25369999999999998</v>
      </c>
      <c r="L297">
        <v>0</v>
      </c>
      <c r="M297">
        <v>50</v>
      </c>
      <c r="N297">
        <v>50</v>
      </c>
      <c r="O297" t="s">
        <v>20</v>
      </c>
      <c r="P297" t="s">
        <v>48</v>
      </c>
      <c r="Q297" t="s">
        <v>22</v>
      </c>
      <c r="R297" t="s">
        <v>35</v>
      </c>
      <c r="S297" t="s">
        <v>24</v>
      </c>
      <c r="T297" t="s">
        <v>30</v>
      </c>
      <c r="U297" t="s">
        <v>26</v>
      </c>
      <c r="V297" t="s">
        <v>27</v>
      </c>
      <c r="W297" t="s">
        <v>28</v>
      </c>
      <c r="X297">
        <v>0</v>
      </c>
      <c r="Y297">
        <v>100</v>
      </c>
      <c r="Z297" t="s">
        <v>29</v>
      </c>
      <c r="AA297" t="s">
        <v>30</v>
      </c>
      <c r="AB297" t="s">
        <v>29</v>
      </c>
      <c r="AC297">
        <v>-3.0000000000000031E-3</v>
      </c>
    </row>
    <row r="298" spans="1:29" x14ac:dyDescent="0.3">
      <c r="A298">
        <v>916</v>
      </c>
      <c r="B298" s="6">
        <v>40584</v>
      </c>
      <c r="C298">
        <v>1</v>
      </c>
      <c r="D298">
        <v>16</v>
      </c>
      <c r="E298" t="b">
        <v>0</v>
      </c>
      <c r="F298">
        <v>4</v>
      </c>
      <c r="G298">
        <v>1</v>
      </c>
      <c r="H298">
        <v>0.2</v>
      </c>
      <c r="I298">
        <v>0.18179999999999999</v>
      </c>
      <c r="J298">
        <v>0.27</v>
      </c>
      <c r="K298">
        <v>0.29849999999999999</v>
      </c>
      <c r="L298">
        <v>4</v>
      </c>
      <c r="M298">
        <v>76</v>
      </c>
      <c r="N298">
        <v>80</v>
      </c>
      <c r="O298" t="s">
        <v>20</v>
      </c>
      <c r="P298" t="s">
        <v>48</v>
      </c>
      <c r="Q298" t="s">
        <v>22</v>
      </c>
      <c r="R298" t="s">
        <v>35</v>
      </c>
      <c r="S298" t="s">
        <v>24</v>
      </c>
      <c r="T298" t="s">
        <v>30</v>
      </c>
      <c r="U298" t="s">
        <v>26</v>
      </c>
      <c r="V298" t="s">
        <v>27</v>
      </c>
      <c r="W298" t="s">
        <v>28</v>
      </c>
      <c r="X298">
        <v>5</v>
      </c>
      <c r="Y298">
        <v>95</v>
      </c>
      <c r="Z298" t="s">
        <v>29</v>
      </c>
      <c r="AA298" t="s">
        <v>30</v>
      </c>
      <c r="AB298" t="s">
        <v>29</v>
      </c>
      <c r="AC298">
        <v>-1.8200000000000022E-2</v>
      </c>
    </row>
    <row r="299" spans="1:29" x14ac:dyDescent="0.3">
      <c r="A299">
        <v>917</v>
      </c>
      <c r="B299" s="6">
        <v>40584</v>
      </c>
      <c r="C299">
        <v>1</v>
      </c>
      <c r="D299">
        <v>17</v>
      </c>
      <c r="E299" t="b">
        <v>0</v>
      </c>
      <c r="F299">
        <v>4</v>
      </c>
      <c r="G299">
        <v>1</v>
      </c>
      <c r="H299">
        <v>0.18</v>
      </c>
      <c r="I299">
        <v>0.18179999999999999</v>
      </c>
      <c r="J299">
        <v>0.26</v>
      </c>
      <c r="K299">
        <v>0.19400000000000001</v>
      </c>
      <c r="L299">
        <v>6</v>
      </c>
      <c r="M299">
        <v>159</v>
      </c>
      <c r="N299">
        <v>165</v>
      </c>
      <c r="O299" t="s">
        <v>20</v>
      </c>
      <c r="P299" t="s">
        <v>48</v>
      </c>
      <c r="Q299" t="s">
        <v>22</v>
      </c>
      <c r="R299" t="s">
        <v>36</v>
      </c>
      <c r="S299" t="s">
        <v>24</v>
      </c>
      <c r="T299" t="s">
        <v>30</v>
      </c>
      <c r="U299" t="s">
        <v>26</v>
      </c>
      <c r="V299" t="s">
        <v>27</v>
      </c>
      <c r="W299" t="s">
        <v>28</v>
      </c>
      <c r="X299">
        <v>3.6363636363636358</v>
      </c>
      <c r="Y299">
        <v>96.36363636363636</v>
      </c>
      <c r="Z299" t="s">
        <v>31</v>
      </c>
      <c r="AA299" t="s">
        <v>25</v>
      </c>
      <c r="AB299" t="s">
        <v>29</v>
      </c>
      <c r="AC299">
        <v>1.799999999999996E-3</v>
      </c>
    </row>
    <row r="300" spans="1:29" x14ac:dyDescent="0.3">
      <c r="A300">
        <v>918</v>
      </c>
      <c r="B300" s="6">
        <v>40584</v>
      </c>
      <c r="C300">
        <v>1</v>
      </c>
      <c r="D300">
        <v>18</v>
      </c>
      <c r="E300" t="b">
        <v>0</v>
      </c>
      <c r="F300">
        <v>4</v>
      </c>
      <c r="G300">
        <v>1</v>
      </c>
      <c r="H300">
        <v>0.16</v>
      </c>
      <c r="I300">
        <v>0.18179999999999999</v>
      </c>
      <c r="J300">
        <v>0.28000000000000003</v>
      </c>
      <c r="K300">
        <v>0.1343</v>
      </c>
      <c r="L300">
        <v>3</v>
      </c>
      <c r="M300">
        <v>157</v>
      </c>
      <c r="N300">
        <v>160</v>
      </c>
      <c r="O300" t="s">
        <v>20</v>
      </c>
      <c r="P300" t="s">
        <v>48</v>
      </c>
      <c r="Q300" t="s">
        <v>22</v>
      </c>
      <c r="R300" t="s">
        <v>36</v>
      </c>
      <c r="S300" t="s">
        <v>24</v>
      </c>
      <c r="T300" t="s">
        <v>30</v>
      </c>
      <c r="U300" t="s">
        <v>32</v>
      </c>
      <c r="V300" t="s">
        <v>27</v>
      </c>
      <c r="W300" t="s">
        <v>28</v>
      </c>
      <c r="X300">
        <v>1.875</v>
      </c>
      <c r="Y300">
        <v>98.125</v>
      </c>
      <c r="Z300" t="s">
        <v>31</v>
      </c>
      <c r="AA300" t="s">
        <v>25</v>
      </c>
      <c r="AB300" t="s">
        <v>29</v>
      </c>
      <c r="AC300">
        <v>2.179999999999999E-2</v>
      </c>
    </row>
    <row r="301" spans="1:29" x14ac:dyDescent="0.3">
      <c r="A301">
        <v>919</v>
      </c>
      <c r="B301" s="6">
        <v>40584</v>
      </c>
      <c r="C301">
        <v>1</v>
      </c>
      <c r="D301">
        <v>19</v>
      </c>
      <c r="E301" t="b">
        <v>0</v>
      </c>
      <c r="F301">
        <v>4</v>
      </c>
      <c r="G301">
        <v>1</v>
      </c>
      <c r="H301">
        <v>0.14000000000000001</v>
      </c>
      <c r="I301">
        <v>0.16669999999999999</v>
      </c>
      <c r="J301">
        <v>0.28000000000000003</v>
      </c>
      <c r="K301">
        <v>0.1045</v>
      </c>
      <c r="L301">
        <v>2</v>
      </c>
      <c r="M301">
        <v>110</v>
      </c>
      <c r="N301">
        <v>112</v>
      </c>
      <c r="O301" t="s">
        <v>20</v>
      </c>
      <c r="P301" t="s">
        <v>48</v>
      </c>
      <c r="Q301" t="s">
        <v>22</v>
      </c>
      <c r="R301" t="s">
        <v>36</v>
      </c>
      <c r="S301" t="s">
        <v>39</v>
      </c>
      <c r="T301" t="s">
        <v>30</v>
      </c>
      <c r="U301" t="s">
        <v>32</v>
      </c>
      <c r="V301" t="s">
        <v>27</v>
      </c>
      <c r="W301" t="s">
        <v>28</v>
      </c>
      <c r="X301">
        <v>1.785714285714286</v>
      </c>
      <c r="Y301">
        <v>98.214285714285708</v>
      </c>
      <c r="Z301" t="s">
        <v>31</v>
      </c>
      <c r="AA301" t="s">
        <v>25</v>
      </c>
      <c r="AB301" t="s">
        <v>29</v>
      </c>
      <c r="AC301">
        <v>2.669999999999997E-2</v>
      </c>
    </row>
    <row r="302" spans="1:29" x14ac:dyDescent="0.3">
      <c r="A302">
        <v>920</v>
      </c>
      <c r="B302" s="6">
        <v>40584</v>
      </c>
      <c r="C302">
        <v>1</v>
      </c>
      <c r="D302">
        <v>20</v>
      </c>
      <c r="E302" t="b">
        <v>0</v>
      </c>
      <c r="F302">
        <v>4</v>
      </c>
      <c r="G302">
        <v>1</v>
      </c>
      <c r="H302">
        <v>0.14000000000000001</v>
      </c>
      <c r="I302">
        <v>0.18179999999999999</v>
      </c>
      <c r="J302">
        <v>0.31</v>
      </c>
      <c r="K302">
        <v>8.9599999999999999E-2</v>
      </c>
      <c r="L302">
        <v>4</v>
      </c>
      <c r="M302">
        <v>93</v>
      </c>
      <c r="N302">
        <v>97</v>
      </c>
      <c r="O302" t="s">
        <v>20</v>
      </c>
      <c r="P302" t="s">
        <v>48</v>
      </c>
      <c r="Q302" t="s">
        <v>22</v>
      </c>
      <c r="R302" t="s">
        <v>36</v>
      </c>
      <c r="S302" t="s">
        <v>39</v>
      </c>
      <c r="T302" t="s">
        <v>30</v>
      </c>
      <c r="U302" t="s">
        <v>32</v>
      </c>
      <c r="V302" t="s">
        <v>27</v>
      </c>
      <c r="W302" t="s">
        <v>28</v>
      </c>
      <c r="X302">
        <v>4.1237113402061851</v>
      </c>
      <c r="Y302">
        <v>95.876288659793815</v>
      </c>
      <c r="Z302" t="s">
        <v>29</v>
      </c>
      <c r="AA302" t="s">
        <v>30</v>
      </c>
      <c r="AB302" t="s">
        <v>29</v>
      </c>
      <c r="AC302">
        <v>4.1799999999999983E-2</v>
      </c>
    </row>
    <row r="303" spans="1:29" x14ac:dyDescent="0.3">
      <c r="A303">
        <v>921</v>
      </c>
      <c r="B303" s="6">
        <v>40584</v>
      </c>
      <c r="C303">
        <v>1</v>
      </c>
      <c r="D303">
        <v>21</v>
      </c>
      <c r="E303" t="b">
        <v>0</v>
      </c>
      <c r="F303">
        <v>4</v>
      </c>
      <c r="G303">
        <v>1</v>
      </c>
      <c r="H303">
        <v>0.14000000000000001</v>
      </c>
      <c r="I303">
        <v>0.21210000000000001</v>
      </c>
      <c r="J303">
        <v>0.39</v>
      </c>
      <c r="K303">
        <v>0</v>
      </c>
      <c r="L303">
        <v>2</v>
      </c>
      <c r="M303">
        <v>70</v>
      </c>
      <c r="N303">
        <v>72</v>
      </c>
      <c r="O303" t="s">
        <v>20</v>
      </c>
      <c r="P303" t="s">
        <v>48</v>
      </c>
      <c r="Q303" t="s">
        <v>22</v>
      </c>
      <c r="R303" t="s">
        <v>23</v>
      </c>
      <c r="S303" t="s">
        <v>39</v>
      </c>
      <c r="T303" t="s">
        <v>30</v>
      </c>
      <c r="U303" t="s">
        <v>32</v>
      </c>
      <c r="V303" t="s">
        <v>27</v>
      </c>
      <c r="W303" t="s">
        <v>28</v>
      </c>
      <c r="X303">
        <v>2.7777777777777781</v>
      </c>
      <c r="Y303">
        <v>97.222222222222214</v>
      </c>
      <c r="Z303" t="s">
        <v>29</v>
      </c>
      <c r="AA303" t="s">
        <v>30</v>
      </c>
      <c r="AB303" t="s">
        <v>29</v>
      </c>
      <c r="AC303">
        <v>7.2099999999999997E-2</v>
      </c>
    </row>
    <row r="304" spans="1:29" x14ac:dyDescent="0.3">
      <c r="A304">
        <v>922</v>
      </c>
      <c r="B304" s="6">
        <v>40584</v>
      </c>
      <c r="C304">
        <v>1</v>
      </c>
      <c r="D304">
        <v>22</v>
      </c>
      <c r="E304" t="b">
        <v>0</v>
      </c>
      <c r="F304">
        <v>4</v>
      </c>
      <c r="G304">
        <v>1</v>
      </c>
      <c r="H304">
        <v>0.12</v>
      </c>
      <c r="I304">
        <v>0.19700000000000001</v>
      </c>
      <c r="J304">
        <v>0.39</v>
      </c>
      <c r="K304">
        <v>0</v>
      </c>
      <c r="L304">
        <v>4</v>
      </c>
      <c r="M304">
        <v>47</v>
      </c>
      <c r="N304">
        <v>51</v>
      </c>
      <c r="O304" t="s">
        <v>20</v>
      </c>
      <c r="P304" t="s">
        <v>48</v>
      </c>
      <c r="Q304" t="s">
        <v>22</v>
      </c>
      <c r="R304" t="s">
        <v>23</v>
      </c>
      <c r="S304" t="s">
        <v>39</v>
      </c>
      <c r="T304" t="s">
        <v>30</v>
      </c>
      <c r="U304" t="s">
        <v>32</v>
      </c>
      <c r="V304" t="s">
        <v>27</v>
      </c>
      <c r="W304" t="s">
        <v>28</v>
      </c>
      <c r="X304">
        <v>7.8431372549019596</v>
      </c>
      <c r="Y304">
        <v>92.156862745098039</v>
      </c>
      <c r="Z304" t="s">
        <v>29</v>
      </c>
      <c r="AA304" t="s">
        <v>30</v>
      </c>
      <c r="AB304" t="s">
        <v>29</v>
      </c>
      <c r="AC304">
        <v>7.7000000000000013E-2</v>
      </c>
    </row>
    <row r="305" spans="1:29" x14ac:dyDescent="0.3">
      <c r="A305">
        <v>923</v>
      </c>
      <c r="B305" s="6">
        <v>40584</v>
      </c>
      <c r="C305">
        <v>1</v>
      </c>
      <c r="D305">
        <v>23</v>
      </c>
      <c r="E305" t="b">
        <v>0</v>
      </c>
      <c r="F305">
        <v>4</v>
      </c>
      <c r="G305">
        <v>1</v>
      </c>
      <c r="H305">
        <v>0.12</v>
      </c>
      <c r="I305">
        <v>0.1515</v>
      </c>
      <c r="J305">
        <v>0.42</v>
      </c>
      <c r="K305">
        <v>0.1045</v>
      </c>
      <c r="L305">
        <v>1</v>
      </c>
      <c r="M305">
        <v>33</v>
      </c>
      <c r="N305">
        <v>34</v>
      </c>
      <c r="O305" t="s">
        <v>20</v>
      </c>
      <c r="P305" t="s">
        <v>48</v>
      </c>
      <c r="Q305" t="s">
        <v>22</v>
      </c>
      <c r="R305" t="s">
        <v>23</v>
      </c>
      <c r="S305" t="s">
        <v>39</v>
      </c>
      <c r="T305" t="s">
        <v>25</v>
      </c>
      <c r="U305" t="s">
        <v>32</v>
      </c>
      <c r="V305" t="s">
        <v>27</v>
      </c>
      <c r="W305" t="s">
        <v>28</v>
      </c>
      <c r="X305">
        <v>2.9411764705882351</v>
      </c>
      <c r="Y305">
        <v>97.058823529411768</v>
      </c>
      <c r="Z305" t="s">
        <v>29</v>
      </c>
      <c r="AA305" t="s">
        <v>30</v>
      </c>
      <c r="AB305" t="s">
        <v>29</v>
      </c>
      <c r="AC305">
        <v>3.15E-2</v>
      </c>
    </row>
    <row r="306" spans="1:29" x14ac:dyDescent="0.3">
      <c r="A306">
        <v>924</v>
      </c>
      <c r="B306" s="6">
        <v>40585</v>
      </c>
      <c r="C306">
        <v>1</v>
      </c>
      <c r="D306">
        <v>0</v>
      </c>
      <c r="E306" t="b">
        <v>0</v>
      </c>
      <c r="F306">
        <v>5</v>
      </c>
      <c r="G306">
        <v>1</v>
      </c>
      <c r="H306">
        <v>0.1</v>
      </c>
      <c r="I306">
        <v>0.13639999999999999</v>
      </c>
      <c r="J306">
        <v>0.49</v>
      </c>
      <c r="K306">
        <v>0.1045</v>
      </c>
      <c r="L306">
        <v>2</v>
      </c>
      <c r="M306">
        <v>12</v>
      </c>
      <c r="N306">
        <v>14</v>
      </c>
      <c r="O306" t="s">
        <v>20</v>
      </c>
      <c r="P306" t="s">
        <v>49</v>
      </c>
      <c r="Q306" t="s">
        <v>22</v>
      </c>
      <c r="R306" t="s">
        <v>23</v>
      </c>
      <c r="S306" t="s">
        <v>39</v>
      </c>
      <c r="T306" t="s">
        <v>25</v>
      </c>
      <c r="U306" t="s">
        <v>32</v>
      </c>
      <c r="V306" t="s">
        <v>27</v>
      </c>
      <c r="W306" t="s">
        <v>28</v>
      </c>
      <c r="X306">
        <v>14.285714285714279</v>
      </c>
      <c r="Y306">
        <v>85.714285714285708</v>
      </c>
      <c r="Z306" t="s">
        <v>29</v>
      </c>
      <c r="AA306" t="s">
        <v>30</v>
      </c>
      <c r="AB306" t="s">
        <v>29</v>
      </c>
      <c r="AC306">
        <v>3.6399999999999988E-2</v>
      </c>
    </row>
    <row r="307" spans="1:29" x14ac:dyDescent="0.3">
      <c r="A307">
        <v>925</v>
      </c>
      <c r="B307" s="6">
        <v>40585</v>
      </c>
      <c r="C307">
        <v>1</v>
      </c>
      <c r="D307">
        <v>1</v>
      </c>
      <c r="E307" t="b">
        <v>0</v>
      </c>
      <c r="F307">
        <v>5</v>
      </c>
      <c r="G307">
        <v>1</v>
      </c>
      <c r="H307">
        <v>0.1</v>
      </c>
      <c r="I307">
        <v>0.13639999999999999</v>
      </c>
      <c r="J307">
        <v>0.54</v>
      </c>
      <c r="K307">
        <v>8.9599999999999999E-2</v>
      </c>
      <c r="L307">
        <v>1</v>
      </c>
      <c r="M307">
        <v>6</v>
      </c>
      <c r="N307">
        <v>7</v>
      </c>
      <c r="O307" t="s">
        <v>20</v>
      </c>
      <c r="P307" t="s">
        <v>49</v>
      </c>
      <c r="Q307" t="s">
        <v>22</v>
      </c>
      <c r="R307" t="s">
        <v>23</v>
      </c>
      <c r="S307" t="s">
        <v>39</v>
      </c>
      <c r="T307" t="s">
        <v>25</v>
      </c>
      <c r="U307" t="s">
        <v>32</v>
      </c>
      <c r="V307" t="s">
        <v>27</v>
      </c>
      <c r="W307" t="s">
        <v>28</v>
      </c>
      <c r="X307">
        <v>14.285714285714279</v>
      </c>
      <c r="Y307">
        <v>85.714285714285708</v>
      </c>
      <c r="Z307" t="s">
        <v>29</v>
      </c>
      <c r="AA307" t="s">
        <v>30</v>
      </c>
      <c r="AB307" t="s">
        <v>29</v>
      </c>
      <c r="AC307">
        <v>3.6399999999999988E-2</v>
      </c>
    </row>
    <row r="308" spans="1:29" x14ac:dyDescent="0.3">
      <c r="A308">
        <v>926</v>
      </c>
      <c r="B308" s="6">
        <v>40585</v>
      </c>
      <c r="C308">
        <v>1</v>
      </c>
      <c r="D308">
        <v>2</v>
      </c>
      <c r="E308" t="b">
        <v>0</v>
      </c>
      <c r="F308">
        <v>5</v>
      </c>
      <c r="G308">
        <v>1</v>
      </c>
      <c r="H308">
        <v>0.1</v>
      </c>
      <c r="I308">
        <v>0.13639999999999999</v>
      </c>
      <c r="J308">
        <v>0.54</v>
      </c>
      <c r="K308">
        <v>8.9599999999999999E-2</v>
      </c>
      <c r="L308">
        <v>0</v>
      </c>
      <c r="M308">
        <v>3</v>
      </c>
      <c r="N308">
        <v>3</v>
      </c>
      <c r="O308" t="s">
        <v>20</v>
      </c>
      <c r="P308" t="s">
        <v>49</v>
      </c>
      <c r="Q308" t="s">
        <v>22</v>
      </c>
      <c r="R308" t="s">
        <v>23</v>
      </c>
      <c r="S308" t="s">
        <v>39</v>
      </c>
      <c r="T308" t="s">
        <v>25</v>
      </c>
      <c r="U308" t="s">
        <v>32</v>
      </c>
      <c r="V308" t="s">
        <v>27</v>
      </c>
      <c r="W308" t="s">
        <v>28</v>
      </c>
      <c r="X308">
        <v>0</v>
      </c>
      <c r="Y308">
        <v>100</v>
      </c>
      <c r="Z308" t="s">
        <v>29</v>
      </c>
      <c r="AA308" t="s">
        <v>30</v>
      </c>
      <c r="AB308" t="s">
        <v>29</v>
      </c>
      <c r="AC308">
        <v>3.6399999999999988E-2</v>
      </c>
    </row>
    <row r="309" spans="1:29" x14ac:dyDescent="0.3">
      <c r="A309">
        <v>927</v>
      </c>
      <c r="B309" s="6">
        <v>40585</v>
      </c>
      <c r="C309">
        <v>1</v>
      </c>
      <c r="D309">
        <v>5</v>
      </c>
      <c r="E309" t="b">
        <v>0</v>
      </c>
      <c r="F309">
        <v>5</v>
      </c>
      <c r="G309">
        <v>1</v>
      </c>
      <c r="H309">
        <v>0.08</v>
      </c>
      <c r="I309">
        <v>0.1212</v>
      </c>
      <c r="J309">
        <v>0.63</v>
      </c>
      <c r="K309">
        <v>8.9599999999999999E-2</v>
      </c>
      <c r="L309">
        <v>0</v>
      </c>
      <c r="M309">
        <v>4</v>
      </c>
      <c r="N309">
        <v>4</v>
      </c>
      <c r="O309" t="s">
        <v>20</v>
      </c>
      <c r="P309" t="s">
        <v>49</v>
      </c>
      <c r="Q309" t="s">
        <v>22</v>
      </c>
      <c r="R309" t="s">
        <v>23</v>
      </c>
      <c r="S309" t="s">
        <v>39</v>
      </c>
      <c r="T309" t="s">
        <v>25</v>
      </c>
      <c r="U309" t="s">
        <v>32</v>
      </c>
      <c r="V309" t="s">
        <v>27</v>
      </c>
      <c r="W309" t="s">
        <v>28</v>
      </c>
      <c r="X309">
        <v>0</v>
      </c>
      <c r="Y309">
        <v>100</v>
      </c>
      <c r="Z309" t="s">
        <v>29</v>
      </c>
      <c r="AA309" t="s">
        <v>30</v>
      </c>
      <c r="AB309" t="s">
        <v>29</v>
      </c>
      <c r="AC309">
        <v>4.1200000000000001E-2</v>
      </c>
    </row>
    <row r="310" spans="1:29" x14ac:dyDescent="0.3">
      <c r="A310">
        <v>928</v>
      </c>
      <c r="B310" s="6">
        <v>40585</v>
      </c>
      <c r="C310">
        <v>1</v>
      </c>
      <c r="D310">
        <v>6</v>
      </c>
      <c r="E310" t="b">
        <v>0</v>
      </c>
      <c r="F310">
        <v>5</v>
      </c>
      <c r="G310">
        <v>1</v>
      </c>
      <c r="H310">
        <v>0.1</v>
      </c>
      <c r="I310">
        <v>0.18179999999999999</v>
      </c>
      <c r="J310">
        <v>0.68</v>
      </c>
      <c r="K310">
        <v>0</v>
      </c>
      <c r="L310">
        <v>1</v>
      </c>
      <c r="M310">
        <v>23</v>
      </c>
      <c r="N310">
        <v>24</v>
      </c>
      <c r="O310" t="s">
        <v>20</v>
      </c>
      <c r="P310" t="s">
        <v>49</v>
      </c>
      <c r="Q310" t="s">
        <v>22</v>
      </c>
      <c r="R310" t="s">
        <v>33</v>
      </c>
      <c r="S310" t="s">
        <v>39</v>
      </c>
      <c r="T310" t="s">
        <v>25</v>
      </c>
      <c r="U310" t="s">
        <v>32</v>
      </c>
      <c r="V310" t="s">
        <v>27</v>
      </c>
      <c r="W310" t="s">
        <v>28</v>
      </c>
      <c r="X310">
        <v>4.1666666666666661</v>
      </c>
      <c r="Y310">
        <v>95.833333333333343</v>
      </c>
      <c r="Z310" t="s">
        <v>29</v>
      </c>
      <c r="AA310" t="s">
        <v>30</v>
      </c>
      <c r="AB310" t="s">
        <v>29</v>
      </c>
      <c r="AC310">
        <v>8.1799999999999984E-2</v>
      </c>
    </row>
    <row r="311" spans="1:29" x14ac:dyDescent="0.3">
      <c r="A311">
        <v>929</v>
      </c>
      <c r="B311" s="6">
        <v>40585</v>
      </c>
      <c r="C311">
        <v>1</v>
      </c>
      <c r="D311">
        <v>7</v>
      </c>
      <c r="E311" t="b">
        <v>0</v>
      </c>
      <c r="F311">
        <v>5</v>
      </c>
      <c r="G311">
        <v>1</v>
      </c>
      <c r="H311">
        <v>0.08</v>
      </c>
      <c r="I311">
        <v>0.16669999999999999</v>
      </c>
      <c r="J311">
        <v>0.73</v>
      </c>
      <c r="K311">
        <v>0</v>
      </c>
      <c r="L311">
        <v>1</v>
      </c>
      <c r="M311">
        <v>73</v>
      </c>
      <c r="N311">
        <v>74</v>
      </c>
      <c r="O311" t="s">
        <v>20</v>
      </c>
      <c r="P311" t="s">
        <v>49</v>
      </c>
      <c r="Q311" t="s">
        <v>22</v>
      </c>
      <c r="R311" t="s">
        <v>33</v>
      </c>
      <c r="S311" t="s">
        <v>39</v>
      </c>
      <c r="T311" t="s">
        <v>37</v>
      </c>
      <c r="U311" t="s">
        <v>32</v>
      </c>
      <c r="V311" t="s">
        <v>27</v>
      </c>
      <c r="W311" t="s">
        <v>28</v>
      </c>
      <c r="X311">
        <v>1.3513513513513511</v>
      </c>
      <c r="Y311">
        <v>98.648648648648646</v>
      </c>
      <c r="Z311" t="s">
        <v>31</v>
      </c>
      <c r="AA311" t="s">
        <v>30</v>
      </c>
      <c r="AB311" t="s">
        <v>29</v>
      </c>
      <c r="AC311">
        <v>8.6699999999999985E-2</v>
      </c>
    </row>
    <row r="312" spans="1:29" x14ac:dyDescent="0.3">
      <c r="A312">
        <v>930</v>
      </c>
      <c r="B312" s="6">
        <v>40585</v>
      </c>
      <c r="C312">
        <v>1</v>
      </c>
      <c r="D312">
        <v>8</v>
      </c>
      <c r="E312" t="b">
        <v>0</v>
      </c>
      <c r="F312">
        <v>5</v>
      </c>
      <c r="G312">
        <v>1</v>
      </c>
      <c r="H312">
        <v>0.1</v>
      </c>
      <c r="I312">
        <v>0.1212</v>
      </c>
      <c r="J312">
        <v>0.74</v>
      </c>
      <c r="K312">
        <v>0.16420000000000001</v>
      </c>
      <c r="L312">
        <v>4</v>
      </c>
      <c r="M312">
        <v>212</v>
      </c>
      <c r="N312">
        <v>216</v>
      </c>
      <c r="O312" t="s">
        <v>20</v>
      </c>
      <c r="P312" t="s">
        <v>49</v>
      </c>
      <c r="Q312" t="s">
        <v>22</v>
      </c>
      <c r="R312" t="s">
        <v>33</v>
      </c>
      <c r="S312" t="s">
        <v>39</v>
      </c>
      <c r="T312" t="s">
        <v>37</v>
      </c>
      <c r="U312" t="s">
        <v>26</v>
      </c>
      <c r="V312" t="s">
        <v>27</v>
      </c>
      <c r="W312" t="s">
        <v>28</v>
      </c>
      <c r="X312">
        <v>1.8518518518518521</v>
      </c>
      <c r="Y312">
        <v>98.148148148148152</v>
      </c>
      <c r="Z312" t="s">
        <v>31</v>
      </c>
      <c r="AA312" t="s">
        <v>25</v>
      </c>
      <c r="AB312" t="s">
        <v>29</v>
      </c>
      <c r="AC312">
        <v>2.12E-2</v>
      </c>
    </row>
    <row r="313" spans="1:29" x14ac:dyDescent="0.3">
      <c r="A313">
        <v>931</v>
      </c>
      <c r="B313" s="6">
        <v>40585</v>
      </c>
      <c r="C313">
        <v>1</v>
      </c>
      <c r="D313">
        <v>9</v>
      </c>
      <c r="E313" t="b">
        <v>0</v>
      </c>
      <c r="F313">
        <v>5</v>
      </c>
      <c r="G313">
        <v>1</v>
      </c>
      <c r="H313">
        <v>0.12</v>
      </c>
      <c r="I313">
        <v>0.1212</v>
      </c>
      <c r="J313">
        <v>0.74</v>
      </c>
      <c r="K313">
        <v>0.22389999999999999</v>
      </c>
      <c r="L313">
        <v>8</v>
      </c>
      <c r="M313">
        <v>132</v>
      </c>
      <c r="N313">
        <v>140</v>
      </c>
      <c r="O313" t="s">
        <v>20</v>
      </c>
      <c r="P313" t="s">
        <v>49</v>
      </c>
      <c r="Q313" t="s">
        <v>22</v>
      </c>
      <c r="R313" t="s">
        <v>33</v>
      </c>
      <c r="S313" t="s">
        <v>39</v>
      </c>
      <c r="T313" t="s">
        <v>37</v>
      </c>
      <c r="U313" t="s">
        <v>26</v>
      </c>
      <c r="V313" t="s">
        <v>27</v>
      </c>
      <c r="W313" t="s">
        <v>28</v>
      </c>
      <c r="X313">
        <v>5.7142857142857144</v>
      </c>
      <c r="Y313">
        <v>94.285714285714278</v>
      </c>
      <c r="Z313" t="s">
        <v>31</v>
      </c>
      <c r="AA313" t="s">
        <v>25</v>
      </c>
      <c r="AB313" t="s">
        <v>29</v>
      </c>
      <c r="AC313">
        <v>1.2000000000000071E-3</v>
      </c>
    </row>
    <row r="314" spans="1:29" x14ac:dyDescent="0.3">
      <c r="A314">
        <v>932</v>
      </c>
      <c r="B314" s="6">
        <v>40585</v>
      </c>
      <c r="C314">
        <v>1</v>
      </c>
      <c r="D314">
        <v>10</v>
      </c>
      <c r="E314" t="b">
        <v>0</v>
      </c>
      <c r="F314">
        <v>5</v>
      </c>
      <c r="G314">
        <v>1</v>
      </c>
      <c r="H314">
        <v>0.14000000000000001</v>
      </c>
      <c r="I314">
        <v>0.13639999999999999</v>
      </c>
      <c r="J314">
        <v>0.69</v>
      </c>
      <c r="K314">
        <v>0.19400000000000001</v>
      </c>
      <c r="L314">
        <v>5</v>
      </c>
      <c r="M314">
        <v>39</v>
      </c>
      <c r="N314">
        <v>44</v>
      </c>
      <c r="O314" t="s">
        <v>20</v>
      </c>
      <c r="P314" t="s">
        <v>49</v>
      </c>
      <c r="Q314" t="s">
        <v>22</v>
      </c>
      <c r="R314" t="s">
        <v>33</v>
      </c>
      <c r="S314" t="s">
        <v>39</v>
      </c>
      <c r="T314" t="s">
        <v>25</v>
      </c>
      <c r="U314" t="s">
        <v>26</v>
      </c>
      <c r="V314" t="s">
        <v>27</v>
      </c>
      <c r="W314" t="s">
        <v>28</v>
      </c>
      <c r="X314">
        <v>11.36363636363636</v>
      </c>
      <c r="Y314">
        <v>88.63636363636364</v>
      </c>
      <c r="Z314" t="s">
        <v>29</v>
      </c>
      <c r="AA314" t="s">
        <v>30</v>
      </c>
      <c r="AB314" t="s">
        <v>29</v>
      </c>
      <c r="AC314">
        <v>-3.6000000000000199E-3</v>
      </c>
    </row>
    <row r="315" spans="1:29" x14ac:dyDescent="0.3">
      <c r="A315">
        <v>933</v>
      </c>
      <c r="B315" s="6">
        <v>40585</v>
      </c>
      <c r="C315">
        <v>1</v>
      </c>
      <c r="D315">
        <v>11</v>
      </c>
      <c r="E315" t="b">
        <v>0</v>
      </c>
      <c r="F315">
        <v>5</v>
      </c>
      <c r="G315">
        <v>1</v>
      </c>
      <c r="H315">
        <v>0.22</v>
      </c>
      <c r="I315">
        <v>0.2273</v>
      </c>
      <c r="J315">
        <v>0.47</v>
      </c>
      <c r="K315">
        <v>0.1343</v>
      </c>
      <c r="L315">
        <v>12</v>
      </c>
      <c r="M315">
        <v>52</v>
      </c>
      <c r="N315">
        <v>64</v>
      </c>
      <c r="O315" t="s">
        <v>20</v>
      </c>
      <c r="P315" t="s">
        <v>49</v>
      </c>
      <c r="Q315" t="s">
        <v>22</v>
      </c>
      <c r="R315" t="s">
        <v>33</v>
      </c>
      <c r="S315" t="s">
        <v>24</v>
      </c>
      <c r="T315" t="s">
        <v>25</v>
      </c>
      <c r="U315" t="s">
        <v>32</v>
      </c>
      <c r="V315" t="s">
        <v>27</v>
      </c>
      <c r="W315" t="s">
        <v>28</v>
      </c>
      <c r="X315">
        <v>18.75</v>
      </c>
      <c r="Y315">
        <v>81.25</v>
      </c>
      <c r="Z315" t="s">
        <v>29</v>
      </c>
      <c r="AA315" t="s">
        <v>30</v>
      </c>
      <c r="AB315" t="s">
        <v>29</v>
      </c>
      <c r="AC315">
        <v>7.3000000000000009E-3</v>
      </c>
    </row>
    <row r="316" spans="1:29" x14ac:dyDescent="0.3">
      <c r="A316">
        <v>934</v>
      </c>
      <c r="B316" s="6">
        <v>40585</v>
      </c>
      <c r="C316">
        <v>1</v>
      </c>
      <c r="D316">
        <v>12</v>
      </c>
      <c r="E316" t="b">
        <v>0</v>
      </c>
      <c r="F316">
        <v>5</v>
      </c>
      <c r="G316">
        <v>1</v>
      </c>
      <c r="H316">
        <v>0.22</v>
      </c>
      <c r="I316">
        <v>0.2273</v>
      </c>
      <c r="J316">
        <v>0.47</v>
      </c>
      <c r="K316">
        <v>0.1343</v>
      </c>
      <c r="L316">
        <v>7</v>
      </c>
      <c r="M316">
        <v>64</v>
      </c>
      <c r="N316">
        <v>71</v>
      </c>
      <c r="O316" t="s">
        <v>20</v>
      </c>
      <c r="P316" t="s">
        <v>49</v>
      </c>
      <c r="Q316" t="s">
        <v>22</v>
      </c>
      <c r="R316" t="s">
        <v>35</v>
      </c>
      <c r="S316" t="s">
        <v>24</v>
      </c>
      <c r="T316" t="s">
        <v>25</v>
      </c>
      <c r="U316" t="s">
        <v>32</v>
      </c>
      <c r="V316" t="s">
        <v>27</v>
      </c>
      <c r="W316" t="s">
        <v>28</v>
      </c>
      <c r="X316">
        <v>9.8591549295774641</v>
      </c>
      <c r="Y316">
        <v>90.140845070422543</v>
      </c>
      <c r="Z316" t="s">
        <v>29</v>
      </c>
      <c r="AA316" t="s">
        <v>30</v>
      </c>
      <c r="AB316" t="s">
        <v>29</v>
      </c>
      <c r="AC316">
        <v>7.3000000000000009E-3</v>
      </c>
    </row>
    <row r="317" spans="1:29" x14ac:dyDescent="0.3">
      <c r="A317">
        <v>935</v>
      </c>
      <c r="B317" s="6">
        <v>40585</v>
      </c>
      <c r="C317">
        <v>1</v>
      </c>
      <c r="D317">
        <v>13</v>
      </c>
      <c r="E317" t="b">
        <v>0</v>
      </c>
      <c r="F317">
        <v>5</v>
      </c>
      <c r="G317">
        <v>1</v>
      </c>
      <c r="H317">
        <v>0.24</v>
      </c>
      <c r="I317">
        <v>0.2273</v>
      </c>
      <c r="J317">
        <v>0.35</v>
      </c>
      <c r="K317">
        <v>0.19400000000000001</v>
      </c>
      <c r="L317">
        <v>21</v>
      </c>
      <c r="M317">
        <v>89</v>
      </c>
      <c r="N317">
        <v>110</v>
      </c>
      <c r="O317" t="s">
        <v>20</v>
      </c>
      <c r="P317" t="s">
        <v>49</v>
      </c>
      <c r="Q317" t="s">
        <v>22</v>
      </c>
      <c r="R317" t="s">
        <v>35</v>
      </c>
      <c r="S317" t="s">
        <v>24</v>
      </c>
      <c r="T317" t="s">
        <v>30</v>
      </c>
      <c r="U317" t="s">
        <v>26</v>
      </c>
      <c r="V317" t="s">
        <v>27</v>
      </c>
      <c r="W317" t="s">
        <v>28</v>
      </c>
      <c r="X317">
        <v>19.09090909090909</v>
      </c>
      <c r="Y317">
        <v>80.909090909090907</v>
      </c>
      <c r="Z317" t="s">
        <v>29</v>
      </c>
      <c r="AA317" t="s">
        <v>25</v>
      </c>
      <c r="AB317" t="s">
        <v>29</v>
      </c>
      <c r="AC317">
        <v>-1.2699999999999991E-2</v>
      </c>
    </row>
    <row r="318" spans="1:29" x14ac:dyDescent="0.3">
      <c r="A318">
        <v>936</v>
      </c>
      <c r="B318" s="6">
        <v>40585</v>
      </c>
      <c r="C318">
        <v>1</v>
      </c>
      <c r="D318">
        <v>14</v>
      </c>
      <c r="E318" t="b">
        <v>0</v>
      </c>
      <c r="F318">
        <v>5</v>
      </c>
      <c r="G318">
        <v>1</v>
      </c>
      <c r="H318">
        <v>0.3</v>
      </c>
      <c r="I318">
        <v>0.28789999999999999</v>
      </c>
      <c r="J318">
        <v>0.26</v>
      </c>
      <c r="K318">
        <v>0.25369999999999998</v>
      </c>
      <c r="L318">
        <v>17</v>
      </c>
      <c r="M318">
        <v>67</v>
      </c>
      <c r="N318">
        <v>84</v>
      </c>
      <c r="O318" t="s">
        <v>20</v>
      </c>
      <c r="P318" t="s">
        <v>49</v>
      </c>
      <c r="Q318" t="s">
        <v>22</v>
      </c>
      <c r="R318" t="s">
        <v>35</v>
      </c>
      <c r="S318" t="s">
        <v>40</v>
      </c>
      <c r="T318" t="s">
        <v>30</v>
      </c>
      <c r="U318" t="s">
        <v>26</v>
      </c>
      <c r="V318" t="s">
        <v>27</v>
      </c>
      <c r="W318" t="s">
        <v>28</v>
      </c>
      <c r="X318">
        <v>20.238095238095241</v>
      </c>
      <c r="Y318">
        <v>79.761904761904773</v>
      </c>
      <c r="Z318" t="s">
        <v>29</v>
      </c>
      <c r="AA318" t="s">
        <v>30</v>
      </c>
      <c r="AB318" t="s">
        <v>29</v>
      </c>
      <c r="AC318">
        <v>-1.21E-2</v>
      </c>
    </row>
    <row r="319" spans="1:29" x14ac:dyDescent="0.3">
      <c r="A319">
        <v>937</v>
      </c>
      <c r="B319" s="6">
        <v>40585</v>
      </c>
      <c r="C319">
        <v>1</v>
      </c>
      <c r="D319">
        <v>15</v>
      </c>
      <c r="E319" t="b">
        <v>0</v>
      </c>
      <c r="F319">
        <v>5</v>
      </c>
      <c r="G319">
        <v>1</v>
      </c>
      <c r="H319">
        <v>0.32</v>
      </c>
      <c r="I319">
        <v>0.31819999999999998</v>
      </c>
      <c r="J319">
        <v>0.21</v>
      </c>
      <c r="K319">
        <v>0.16420000000000001</v>
      </c>
      <c r="L319">
        <v>12</v>
      </c>
      <c r="M319">
        <v>62</v>
      </c>
      <c r="N319">
        <v>74</v>
      </c>
      <c r="O319" t="s">
        <v>20</v>
      </c>
      <c r="P319" t="s">
        <v>49</v>
      </c>
      <c r="Q319" t="s">
        <v>22</v>
      </c>
      <c r="R319" t="s">
        <v>35</v>
      </c>
      <c r="S319" t="s">
        <v>40</v>
      </c>
      <c r="T319" t="s">
        <v>30</v>
      </c>
      <c r="U319" t="s">
        <v>26</v>
      </c>
      <c r="V319" t="s">
        <v>27</v>
      </c>
      <c r="W319" t="s">
        <v>28</v>
      </c>
      <c r="X319">
        <v>16.216216216216221</v>
      </c>
      <c r="Y319">
        <v>83.78378378378379</v>
      </c>
      <c r="Z319" t="s">
        <v>29</v>
      </c>
      <c r="AA319" t="s">
        <v>30</v>
      </c>
      <c r="AB319" t="s">
        <v>29</v>
      </c>
      <c r="AC319">
        <v>-1.800000000000024E-3</v>
      </c>
    </row>
    <row r="320" spans="1:29" x14ac:dyDescent="0.3">
      <c r="A320">
        <v>938</v>
      </c>
      <c r="B320" s="6">
        <v>40585</v>
      </c>
      <c r="C320">
        <v>1</v>
      </c>
      <c r="D320">
        <v>16</v>
      </c>
      <c r="E320" t="b">
        <v>0</v>
      </c>
      <c r="F320">
        <v>5</v>
      </c>
      <c r="G320">
        <v>1</v>
      </c>
      <c r="H320">
        <v>0.3</v>
      </c>
      <c r="I320">
        <v>0.28789999999999999</v>
      </c>
      <c r="J320">
        <v>0.28000000000000003</v>
      </c>
      <c r="K320">
        <v>0.19400000000000001</v>
      </c>
      <c r="L320">
        <v>14</v>
      </c>
      <c r="M320">
        <v>111</v>
      </c>
      <c r="N320">
        <v>125</v>
      </c>
      <c r="O320" t="s">
        <v>20</v>
      </c>
      <c r="P320" t="s">
        <v>49</v>
      </c>
      <c r="Q320" t="s">
        <v>22</v>
      </c>
      <c r="R320" t="s">
        <v>35</v>
      </c>
      <c r="S320" t="s">
        <v>40</v>
      </c>
      <c r="T320" t="s">
        <v>30</v>
      </c>
      <c r="U320" t="s">
        <v>26</v>
      </c>
      <c r="V320" t="s">
        <v>27</v>
      </c>
      <c r="W320" t="s">
        <v>28</v>
      </c>
      <c r="X320">
        <v>11.2</v>
      </c>
      <c r="Y320">
        <v>88.8</v>
      </c>
      <c r="Z320" t="s">
        <v>29</v>
      </c>
      <c r="AA320" t="s">
        <v>25</v>
      </c>
      <c r="AB320" t="s">
        <v>29</v>
      </c>
      <c r="AC320">
        <v>-1.21E-2</v>
      </c>
    </row>
    <row r="321" spans="1:29" x14ac:dyDescent="0.3">
      <c r="A321">
        <v>939</v>
      </c>
      <c r="B321" s="6">
        <v>40585</v>
      </c>
      <c r="C321">
        <v>1</v>
      </c>
      <c r="D321">
        <v>17</v>
      </c>
      <c r="E321" t="b">
        <v>0</v>
      </c>
      <c r="F321">
        <v>5</v>
      </c>
      <c r="G321">
        <v>1</v>
      </c>
      <c r="H321">
        <v>0.3</v>
      </c>
      <c r="I321">
        <v>0.33329999999999999</v>
      </c>
      <c r="J321">
        <v>0.24</v>
      </c>
      <c r="K321">
        <v>0</v>
      </c>
      <c r="L321">
        <v>18</v>
      </c>
      <c r="M321">
        <v>193</v>
      </c>
      <c r="N321">
        <v>211</v>
      </c>
      <c r="O321" t="s">
        <v>20</v>
      </c>
      <c r="P321" t="s">
        <v>49</v>
      </c>
      <c r="Q321" t="s">
        <v>22</v>
      </c>
      <c r="R321" t="s">
        <v>36</v>
      </c>
      <c r="S321" t="s">
        <v>40</v>
      </c>
      <c r="T321" t="s">
        <v>30</v>
      </c>
      <c r="U321" t="s">
        <v>32</v>
      </c>
      <c r="V321" t="s">
        <v>27</v>
      </c>
      <c r="W321" t="s">
        <v>28</v>
      </c>
      <c r="X321">
        <v>8.5308056872037916</v>
      </c>
      <c r="Y321">
        <v>91.469194312796205</v>
      </c>
      <c r="Z321" t="s">
        <v>31</v>
      </c>
      <c r="AA321" t="s">
        <v>25</v>
      </c>
      <c r="AB321" t="s">
        <v>29</v>
      </c>
      <c r="AC321">
        <v>3.3300000000000003E-2</v>
      </c>
    </row>
    <row r="322" spans="1:29" x14ac:dyDescent="0.3">
      <c r="A322">
        <v>940</v>
      </c>
      <c r="B322" s="6">
        <v>40585</v>
      </c>
      <c r="C322">
        <v>1</v>
      </c>
      <c r="D322">
        <v>18</v>
      </c>
      <c r="E322" t="b">
        <v>0</v>
      </c>
      <c r="F322">
        <v>5</v>
      </c>
      <c r="G322">
        <v>1</v>
      </c>
      <c r="H322">
        <v>0.28000000000000003</v>
      </c>
      <c r="I322">
        <v>0.31819999999999998</v>
      </c>
      <c r="J322">
        <v>0.28000000000000003</v>
      </c>
      <c r="K322">
        <v>0</v>
      </c>
      <c r="L322">
        <v>9</v>
      </c>
      <c r="M322">
        <v>165</v>
      </c>
      <c r="N322">
        <v>174</v>
      </c>
      <c r="O322" t="s">
        <v>20</v>
      </c>
      <c r="P322" t="s">
        <v>49</v>
      </c>
      <c r="Q322" t="s">
        <v>22</v>
      </c>
      <c r="R322" t="s">
        <v>36</v>
      </c>
      <c r="S322" t="s">
        <v>40</v>
      </c>
      <c r="T322" t="s">
        <v>30</v>
      </c>
      <c r="U322" t="s">
        <v>32</v>
      </c>
      <c r="V322" t="s">
        <v>27</v>
      </c>
      <c r="W322" t="s">
        <v>28</v>
      </c>
      <c r="X322">
        <v>5.1724137931034484</v>
      </c>
      <c r="Y322">
        <v>94.827586206896555</v>
      </c>
      <c r="Z322" t="s">
        <v>31</v>
      </c>
      <c r="AA322" t="s">
        <v>25</v>
      </c>
      <c r="AB322" t="s">
        <v>29</v>
      </c>
      <c r="AC322">
        <v>3.8199999999999963E-2</v>
      </c>
    </row>
    <row r="323" spans="1:29" x14ac:dyDescent="0.3">
      <c r="A323">
        <v>941</v>
      </c>
      <c r="B323" s="6">
        <v>40585</v>
      </c>
      <c r="C323">
        <v>1</v>
      </c>
      <c r="D323">
        <v>19</v>
      </c>
      <c r="E323" t="b">
        <v>0</v>
      </c>
      <c r="F323">
        <v>5</v>
      </c>
      <c r="G323">
        <v>1</v>
      </c>
      <c r="H323">
        <v>0.26</v>
      </c>
      <c r="I323">
        <v>0.30299999999999999</v>
      </c>
      <c r="J323">
        <v>0.33</v>
      </c>
      <c r="K323">
        <v>0</v>
      </c>
      <c r="L323">
        <v>7</v>
      </c>
      <c r="M323">
        <v>94</v>
      </c>
      <c r="N323">
        <v>101</v>
      </c>
      <c r="O323" t="s">
        <v>20</v>
      </c>
      <c r="P323" t="s">
        <v>49</v>
      </c>
      <c r="Q323" t="s">
        <v>22</v>
      </c>
      <c r="R323" t="s">
        <v>36</v>
      </c>
      <c r="S323" t="s">
        <v>40</v>
      </c>
      <c r="T323" t="s">
        <v>30</v>
      </c>
      <c r="U323" t="s">
        <v>32</v>
      </c>
      <c r="V323" t="s">
        <v>27</v>
      </c>
      <c r="W323" t="s">
        <v>28</v>
      </c>
      <c r="X323">
        <v>6.9306930693069324</v>
      </c>
      <c r="Y323">
        <v>93.069306930693074</v>
      </c>
      <c r="Z323" t="s">
        <v>31</v>
      </c>
      <c r="AA323" t="s">
        <v>25</v>
      </c>
      <c r="AB323" t="s">
        <v>29</v>
      </c>
      <c r="AC323">
        <v>4.2999999999999983E-2</v>
      </c>
    </row>
    <row r="324" spans="1:29" x14ac:dyDescent="0.3">
      <c r="A324">
        <v>942</v>
      </c>
      <c r="B324" s="6">
        <v>40585</v>
      </c>
      <c r="C324">
        <v>1</v>
      </c>
      <c r="D324">
        <v>20</v>
      </c>
      <c r="E324" t="b">
        <v>0</v>
      </c>
      <c r="F324">
        <v>5</v>
      </c>
      <c r="G324">
        <v>1</v>
      </c>
      <c r="H324">
        <v>0.22</v>
      </c>
      <c r="I324">
        <v>0.2273</v>
      </c>
      <c r="J324">
        <v>0.55000000000000004</v>
      </c>
      <c r="K324">
        <v>0.1343</v>
      </c>
      <c r="L324">
        <v>2</v>
      </c>
      <c r="M324">
        <v>61</v>
      </c>
      <c r="N324">
        <v>63</v>
      </c>
      <c r="O324" t="s">
        <v>20</v>
      </c>
      <c r="P324" t="s">
        <v>49</v>
      </c>
      <c r="Q324" t="s">
        <v>22</v>
      </c>
      <c r="R324" t="s">
        <v>36</v>
      </c>
      <c r="S324" t="s">
        <v>24</v>
      </c>
      <c r="T324" t="s">
        <v>25</v>
      </c>
      <c r="U324" t="s">
        <v>32</v>
      </c>
      <c r="V324" t="s">
        <v>27</v>
      </c>
      <c r="W324" t="s">
        <v>28</v>
      </c>
      <c r="X324">
        <v>3.174603174603174</v>
      </c>
      <c r="Y324">
        <v>96.825396825396822</v>
      </c>
      <c r="Z324" t="s">
        <v>29</v>
      </c>
      <c r="AA324" t="s">
        <v>30</v>
      </c>
      <c r="AB324" t="s">
        <v>29</v>
      </c>
      <c r="AC324">
        <v>7.3000000000000009E-3</v>
      </c>
    </row>
    <row r="325" spans="1:29" x14ac:dyDescent="0.3">
      <c r="A325">
        <v>943</v>
      </c>
      <c r="B325" s="6">
        <v>40585</v>
      </c>
      <c r="C325">
        <v>1</v>
      </c>
      <c r="D325">
        <v>21</v>
      </c>
      <c r="E325" t="b">
        <v>0</v>
      </c>
      <c r="F325">
        <v>5</v>
      </c>
      <c r="G325">
        <v>1</v>
      </c>
      <c r="H325">
        <v>0.2</v>
      </c>
      <c r="I325">
        <v>0.21210000000000001</v>
      </c>
      <c r="J325">
        <v>0.59</v>
      </c>
      <c r="K325">
        <v>0.1343</v>
      </c>
      <c r="L325">
        <v>1</v>
      </c>
      <c r="M325">
        <v>46</v>
      </c>
      <c r="N325">
        <v>47</v>
      </c>
      <c r="O325" t="s">
        <v>20</v>
      </c>
      <c r="P325" t="s">
        <v>49</v>
      </c>
      <c r="Q325" t="s">
        <v>22</v>
      </c>
      <c r="R325" t="s">
        <v>23</v>
      </c>
      <c r="S325" t="s">
        <v>24</v>
      </c>
      <c r="T325" t="s">
        <v>25</v>
      </c>
      <c r="U325" t="s">
        <v>32</v>
      </c>
      <c r="V325" t="s">
        <v>27</v>
      </c>
      <c r="W325" t="s">
        <v>28</v>
      </c>
      <c r="X325">
        <v>2.1276595744680851</v>
      </c>
      <c r="Y325">
        <v>97.872340425531917</v>
      </c>
      <c r="Z325" t="s">
        <v>29</v>
      </c>
      <c r="AA325" t="s">
        <v>30</v>
      </c>
      <c r="AB325" t="s">
        <v>29</v>
      </c>
      <c r="AC325">
        <v>1.21E-2</v>
      </c>
    </row>
    <row r="326" spans="1:29" x14ac:dyDescent="0.3">
      <c r="A326">
        <v>944</v>
      </c>
      <c r="B326" s="6">
        <v>40585</v>
      </c>
      <c r="C326">
        <v>1</v>
      </c>
      <c r="D326">
        <v>22</v>
      </c>
      <c r="E326" t="b">
        <v>0</v>
      </c>
      <c r="F326">
        <v>5</v>
      </c>
      <c r="G326">
        <v>1</v>
      </c>
      <c r="H326">
        <v>0.2</v>
      </c>
      <c r="I326">
        <v>0.2273</v>
      </c>
      <c r="J326">
        <v>0.64</v>
      </c>
      <c r="K326">
        <v>8.9599999999999999E-2</v>
      </c>
      <c r="L326">
        <v>2</v>
      </c>
      <c r="M326">
        <v>41</v>
      </c>
      <c r="N326">
        <v>43</v>
      </c>
      <c r="O326" t="s">
        <v>20</v>
      </c>
      <c r="P326" t="s">
        <v>49</v>
      </c>
      <c r="Q326" t="s">
        <v>22</v>
      </c>
      <c r="R326" t="s">
        <v>23</v>
      </c>
      <c r="S326" t="s">
        <v>24</v>
      </c>
      <c r="T326" t="s">
        <v>25</v>
      </c>
      <c r="U326" t="s">
        <v>32</v>
      </c>
      <c r="V326" t="s">
        <v>27</v>
      </c>
      <c r="W326" t="s">
        <v>28</v>
      </c>
      <c r="X326">
        <v>4.6511627906976747</v>
      </c>
      <c r="Y326">
        <v>95.348837209302332</v>
      </c>
      <c r="Z326" t="s">
        <v>29</v>
      </c>
      <c r="AA326" t="s">
        <v>30</v>
      </c>
      <c r="AB326" t="s">
        <v>29</v>
      </c>
      <c r="AC326">
        <v>2.7299999999999991E-2</v>
      </c>
    </row>
    <row r="327" spans="1:29" x14ac:dyDescent="0.3">
      <c r="A327">
        <v>945</v>
      </c>
      <c r="B327" s="6">
        <v>40585</v>
      </c>
      <c r="C327">
        <v>1</v>
      </c>
      <c r="D327">
        <v>23</v>
      </c>
      <c r="E327" t="b">
        <v>0</v>
      </c>
      <c r="F327">
        <v>5</v>
      </c>
      <c r="G327">
        <v>1</v>
      </c>
      <c r="H327">
        <v>0.18</v>
      </c>
      <c r="I327">
        <v>0.2424</v>
      </c>
      <c r="J327">
        <v>0.69</v>
      </c>
      <c r="K327">
        <v>0</v>
      </c>
      <c r="L327">
        <v>5</v>
      </c>
      <c r="M327">
        <v>48</v>
      </c>
      <c r="N327">
        <v>53</v>
      </c>
      <c r="O327" t="s">
        <v>20</v>
      </c>
      <c r="P327" t="s">
        <v>49</v>
      </c>
      <c r="Q327" t="s">
        <v>22</v>
      </c>
      <c r="R327" t="s">
        <v>23</v>
      </c>
      <c r="S327" t="s">
        <v>24</v>
      </c>
      <c r="T327" t="s">
        <v>25</v>
      </c>
      <c r="U327" t="s">
        <v>32</v>
      </c>
      <c r="V327" t="s">
        <v>27</v>
      </c>
      <c r="W327" t="s">
        <v>28</v>
      </c>
      <c r="X327">
        <v>9.433962264150944</v>
      </c>
      <c r="Y327">
        <v>90.566037735849065</v>
      </c>
      <c r="Z327" t="s">
        <v>29</v>
      </c>
      <c r="AA327" t="s">
        <v>30</v>
      </c>
      <c r="AB327" t="s">
        <v>29</v>
      </c>
      <c r="AC327">
        <v>6.2400000000000011E-2</v>
      </c>
    </row>
    <row r="328" spans="1:29" x14ac:dyDescent="0.3">
      <c r="A328">
        <v>946</v>
      </c>
      <c r="B328" s="6">
        <v>40586</v>
      </c>
      <c r="C328">
        <v>1</v>
      </c>
      <c r="D328">
        <v>0</v>
      </c>
      <c r="E328" t="b">
        <v>0</v>
      </c>
      <c r="F328">
        <v>6</v>
      </c>
      <c r="G328">
        <v>1</v>
      </c>
      <c r="H328">
        <v>0.16</v>
      </c>
      <c r="I328">
        <v>0.19700000000000001</v>
      </c>
      <c r="J328">
        <v>0.69</v>
      </c>
      <c r="K328">
        <v>8.9599999999999999E-2</v>
      </c>
      <c r="L328">
        <v>3</v>
      </c>
      <c r="M328">
        <v>27</v>
      </c>
      <c r="N328">
        <v>30</v>
      </c>
      <c r="O328" t="s">
        <v>20</v>
      </c>
      <c r="P328" t="s">
        <v>21</v>
      </c>
      <c r="Q328" t="s">
        <v>22</v>
      </c>
      <c r="R328" t="s">
        <v>23</v>
      </c>
      <c r="S328" t="s">
        <v>24</v>
      </c>
      <c r="T328" t="s">
        <v>25</v>
      </c>
      <c r="U328" t="s">
        <v>32</v>
      </c>
      <c r="V328" t="s">
        <v>27</v>
      </c>
      <c r="W328" t="s">
        <v>28</v>
      </c>
      <c r="X328">
        <v>10</v>
      </c>
      <c r="Y328">
        <v>90</v>
      </c>
      <c r="Z328" t="s">
        <v>29</v>
      </c>
      <c r="AA328" t="s">
        <v>30</v>
      </c>
      <c r="AB328" t="s">
        <v>31</v>
      </c>
      <c r="AC328">
        <v>3.7000000000000012E-2</v>
      </c>
    </row>
    <row r="329" spans="1:29" x14ac:dyDescent="0.3">
      <c r="A329">
        <v>947</v>
      </c>
      <c r="B329" s="6">
        <v>40586</v>
      </c>
      <c r="C329">
        <v>1</v>
      </c>
      <c r="D329">
        <v>1</v>
      </c>
      <c r="E329" t="b">
        <v>0</v>
      </c>
      <c r="F329">
        <v>6</v>
      </c>
      <c r="G329">
        <v>1</v>
      </c>
      <c r="H329">
        <v>0.14000000000000001</v>
      </c>
      <c r="I329">
        <v>0.21210000000000001</v>
      </c>
      <c r="J329">
        <v>0.86</v>
      </c>
      <c r="K329">
        <v>0</v>
      </c>
      <c r="L329">
        <v>2</v>
      </c>
      <c r="M329">
        <v>22</v>
      </c>
      <c r="N329">
        <v>24</v>
      </c>
      <c r="O329" t="s">
        <v>20</v>
      </c>
      <c r="P329" t="s">
        <v>21</v>
      </c>
      <c r="Q329" t="s">
        <v>22</v>
      </c>
      <c r="R329" t="s">
        <v>23</v>
      </c>
      <c r="S329" t="s">
        <v>39</v>
      </c>
      <c r="T329" t="s">
        <v>37</v>
      </c>
      <c r="U329" t="s">
        <v>32</v>
      </c>
      <c r="V329" t="s">
        <v>27</v>
      </c>
      <c r="W329" t="s">
        <v>28</v>
      </c>
      <c r="X329">
        <v>8.3333333333333321</v>
      </c>
      <c r="Y329">
        <v>91.666666666666657</v>
      </c>
      <c r="Z329" t="s">
        <v>29</v>
      </c>
      <c r="AA329" t="s">
        <v>30</v>
      </c>
      <c r="AB329" t="s">
        <v>31</v>
      </c>
      <c r="AC329">
        <v>7.2099999999999997E-2</v>
      </c>
    </row>
    <row r="330" spans="1:29" x14ac:dyDescent="0.3">
      <c r="A330">
        <v>948</v>
      </c>
      <c r="B330" s="6">
        <v>40586</v>
      </c>
      <c r="C330">
        <v>1</v>
      </c>
      <c r="D330">
        <v>2</v>
      </c>
      <c r="E330" t="b">
        <v>0</v>
      </c>
      <c r="F330">
        <v>6</v>
      </c>
      <c r="G330">
        <v>1</v>
      </c>
      <c r="H330">
        <v>0.14000000000000001</v>
      </c>
      <c r="I330">
        <v>0.21210000000000001</v>
      </c>
      <c r="J330">
        <v>0.8</v>
      </c>
      <c r="K330">
        <v>0</v>
      </c>
      <c r="L330">
        <v>2</v>
      </c>
      <c r="M330">
        <v>13</v>
      </c>
      <c r="N330">
        <v>15</v>
      </c>
      <c r="O330" t="s">
        <v>20</v>
      </c>
      <c r="P330" t="s">
        <v>21</v>
      </c>
      <c r="Q330" t="s">
        <v>22</v>
      </c>
      <c r="R330" t="s">
        <v>23</v>
      </c>
      <c r="S330" t="s">
        <v>39</v>
      </c>
      <c r="T330" t="s">
        <v>37</v>
      </c>
      <c r="U330" t="s">
        <v>32</v>
      </c>
      <c r="V330" t="s">
        <v>27</v>
      </c>
      <c r="W330" t="s">
        <v>28</v>
      </c>
      <c r="X330">
        <v>13.33333333333333</v>
      </c>
      <c r="Y330">
        <v>86.666666666666671</v>
      </c>
      <c r="Z330" t="s">
        <v>29</v>
      </c>
      <c r="AA330" t="s">
        <v>30</v>
      </c>
      <c r="AB330" t="s">
        <v>31</v>
      </c>
      <c r="AC330">
        <v>7.2099999999999997E-2</v>
      </c>
    </row>
    <row r="331" spans="1:29" x14ac:dyDescent="0.3">
      <c r="A331">
        <v>949</v>
      </c>
      <c r="B331" s="6">
        <v>40586</v>
      </c>
      <c r="C331">
        <v>1</v>
      </c>
      <c r="D331">
        <v>3</v>
      </c>
      <c r="E331" t="b">
        <v>0</v>
      </c>
      <c r="F331">
        <v>6</v>
      </c>
      <c r="G331">
        <v>1</v>
      </c>
      <c r="H331">
        <v>0.12</v>
      </c>
      <c r="I331">
        <v>0.19700000000000001</v>
      </c>
      <c r="J331">
        <v>0.8</v>
      </c>
      <c r="K331">
        <v>0</v>
      </c>
      <c r="L331">
        <v>3</v>
      </c>
      <c r="M331">
        <v>7</v>
      </c>
      <c r="N331">
        <v>10</v>
      </c>
      <c r="O331" t="s">
        <v>20</v>
      </c>
      <c r="P331" t="s">
        <v>21</v>
      </c>
      <c r="Q331" t="s">
        <v>22</v>
      </c>
      <c r="R331" t="s">
        <v>23</v>
      </c>
      <c r="S331" t="s">
        <v>39</v>
      </c>
      <c r="T331" t="s">
        <v>37</v>
      </c>
      <c r="U331" t="s">
        <v>32</v>
      </c>
      <c r="V331" t="s">
        <v>27</v>
      </c>
      <c r="W331" t="s">
        <v>28</v>
      </c>
      <c r="X331">
        <v>30</v>
      </c>
      <c r="Y331">
        <v>70</v>
      </c>
      <c r="Z331" t="s">
        <v>29</v>
      </c>
      <c r="AA331" t="s">
        <v>30</v>
      </c>
      <c r="AB331" t="s">
        <v>31</v>
      </c>
      <c r="AC331">
        <v>7.7000000000000013E-2</v>
      </c>
    </row>
    <row r="332" spans="1:29" x14ac:dyDescent="0.3">
      <c r="A332">
        <v>950</v>
      </c>
      <c r="B332" s="6">
        <v>40586</v>
      </c>
      <c r="C332">
        <v>1</v>
      </c>
      <c r="D332">
        <v>4</v>
      </c>
      <c r="E332" t="b">
        <v>0</v>
      </c>
      <c r="F332">
        <v>6</v>
      </c>
      <c r="G332">
        <v>1</v>
      </c>
      <c r="H332">
        <v>0.12</v>
      </c>
      <c r="I332">
        <v>0.16669999999999999</v>
      </c>
      <c r="J332">
        <v>0.74</v>
      </c>
      <c r="K332">
        <v>8.9599999999999999E-2</v>
      </c>
      <c r="L332">
        <v>0</v>
      </c>
      <c r="M332">
        <v>4</v>
      </c>
      <c r="N332">
        <v>4</v>
      </c>
      <c r="O332" t="s">
        <v>20</v>
      </c>
      <c r="P332" t="s">
        <v>21</v>
      </c>
      <c r="Q332" t="s">
        <v>22</v>
      </c>
      <c r="R332" t="s">
        <v>23</v>
      </c>
      <c r="S332" t="s">
        <v>39</v>
      </c>
      <c r="T332" t="s">
        <v>37</v>
      </c>
      <c r="U332" t="s">
        <v>32</v>
      </c>
      <c r="V332" t="s">
        <v>27</v>
      </c>
      <c r="W332" t="s">
        <v>28</v>
      </c>
      <c r="X332">
        <v>0</v>
      </c>
      <c r="Y332">
        <v>100</v>
      </c>
      <c r="Z332" t="s">
        <v>29</v>
      </c>
      <c r="AA332" t="s">
        <v>30</v>
      </c>
      <c r="AB332" t="s">
        <v>31</v>
      </c>
      <c r="AC332">
        <v>4.6699999999999992E-2</v>
      </c>
    </row>
    <row r="333" spans="1:29" x14ac:dyDescent="0.3">
      <c r="A333">
        <v>951</v>
      </c>
      <c r="B333" s="6">
        <v>40586</v>
      </c>
      <c r="C333">
        <v>1</v>
      </c>
      <c r="D333">
        <v>5</v>
      </c>
      <c r="E333" t="b">
        <v>0</v>
      </c>
      <c r="F333">
        <v>6</v>
      </c>
      <c r="G333">
        <v>1</v>
      </c>
      <c r="H333">
        <v>0.12</v>
      </c>
      <c r="I333">
        <v>0.16669999999999999</v>
      </c>
      <c r="J333">
        <v>0.74</v>
      </c>
      <c r="K333">
        <v>8.9599999999999999E-2</v>
      </c>
      <c r="L333">
        <v>0</v>
      </c>
      <c r="M333">
        <v>1</v>
      </c>
      <c r="N333">
        <v>1</v>
      </c>
      <c r="O333" t="s">
        <v>20</v>
      </c>
      <c r="P333" t="s">
        <v>21</v>
      </c>
      <c r="Q333" t="s">
        <v>22</v>
      </c>
      <c r="R333" t="s">
        <v>23</v>
      </c>
      <c r="S333" t="s">
        <v>39</v>
      </c>
      <c r="T333" t="s">
        <v>37</v>
      </c>
      <c r="U333" t="s">
        <v>32</v>
      </c>
      <c r="V333" t="s">
        <v>27</v>
      </c>
      <c r="W333" t="s">
        <v>28</v>
      </c>
      <c r="X333">
        <v>0</v>
      </c>
      <c r="Y333">
        <v>100</v>
      </c>
      <c r="Z333" t="s">
        <v>29</v>
      </c>
      <c r="AA333" t="s">
        <v>30</v>
      </c>
      <c r="AB333" t="s">
        <v>31</v>
      </c>
      <c r="AC333">
        <v>4.6699999999999992E-2</v>
      </c>
    </row>
    <row r="334" spans="1:29" x14ac:dyDescent="0.3">
      <c r="A334">
        <v>952</v>
      </c>
      <c r="B334" s="6">
        <v>40586</v>
      </c>
      <c r="C334">
        <v>1</v>
      </c>
      <c r="D334">
        <v>6</v>
      </c>
      <c r="E334" t="b">
        <v>0</v>
      </c>
      <c r="F334">
        <v>6</v>
      </c>
      <c r="G334">
        <v>1</v>
      </c>
      <c r="H334">
        <v>0.12</v>
      </c>
      <c r="I334">
        <v>0.13639999999999999</v>
      </c>
      <c r="J334">
        <v>0.93</v>
      </c>
      <c r="K334">
        <v>0.19400000000000001</v>
      </c>
      <c r="L334">
        <v>1</v>
      </c>
      <c r="M334">
        <v>1</v>
      </c>
      <c r="N334">
        <v>2</v>
      </c>
      <c r="O334" t="s">
        <v>20</v>
      </c>
      <c r="P334" t="s">
        <v>21</v>
      </c>
      <c r="Q334" t="s">
        <v>22</v>
      </c>
      <c r="R334" t="s">
        <v>33</v>
      </c>
      <c r="S334" t="s">
        <v>39</v>
      </c>
      <c r="T334" t="s">
        <v>37</v>
      </c>
      <c r="U334" t="s">
        <v>26</v>
      </c>
      <c r="V334" t="s">
        <v>27</v>
      </c>
      <c r="W334" t="s">
        <v>28</v>
      </c>
      <c r="X334">
        <v>50</v>
      </c>
      <c r="Y334">
        <v>50</v>
      </c>
      <c r="Z334" t="s">
        <v>29</v>
      </c>
      <c r="AA334" t="s">
        <v>30</v>
      </c>
      <c r="AB334" t="s">
        <v>31</v>
      </c>
      <c r="AC334">
        <v>1.6400000000000001E-2</v>
      </c>
    </row>
    <row r="335" spans="1:29" x14ac:dyDescent="0.3">
      <c r="A335">
        <v>953</v>
      </c>
      <c r="B335" s="6">
        <v>40586</v>
      </c>
      <c r="C335">
        <v>1</v>
      </c>
      <c r="D335">
        <v>7</v>
      </c>
      <c r="E335" t="b">
        <v>0</v>
      </c>
      <c r="F335">
        <v>6</v>
      </c>
      <c r="G335">
        <v>1</v>
      </c>
      <c r="H335">
        <v>0.12</v>
      </c>
      <c r="I335">
        <v>0.1515</v>
      </c>
      <c r="J335">
        <v>0.8</v>
      </c>
      <c r="K335">
        <v>0.1045</v>
      </c>
      <c r="L335">
        <v>2</v>
      </c>
      <c r="M335">
        <v>9</v>
      </c>
      <c r="N335">
        <v>11</v>
      </c>
      <c r="O335" t="s">
        <v>20</v>
      </c>
      <c r="P335" t="s">
        <v>21</v>
      </c>
      <c r="Q335" t="s">
        <v>22</v>
      </c>
      <c r="R335" t="s">
        <v>33</v>
      </c>
      <c r="S335" t="s">
        <v>39</v>
      </c>
      <c r="T335" t="s">
        <v>37</v>
      </c>
      <c r="U335" t="s">
        <v>32</v>
      </c>
      <c r="V335" t="s">
        <v>27</v>
      </c>
      <c r="W335" t="s">
        <v>28</v>
      </c>
      <c r="X335">
        <v>18.18181818181818</v>
      </c>
      <c r="Y335">
        <v>81.818181818181827</v>
      </c>
      <c r="Z335" t="s">
        <v>31</v>
      </c>
      <c r="AA335" t="s">
        <v>30</v>
      </c>
      <c r="AB335" t="s">
        <v>31</v>
      </c>
      <c r="AC335">
        <v>3.15E-2</v>
      </c>
    </row>
    <row r="336" spans="1:29" x14ac:dyDescent="0.3">
      <c r="A336">
        <v>954</v>
      </c>
      <c r="B336" s="6">
        <v>40586</v>
      </c>
      <c r="C336">
        <v>1</v>
      </c>
      <c r="D336">
        <v>8</v>
      </c>
      <c r="E336" t="b">
        <v>0</v>
      </c>
      <c r="F336">
        <v>6</v>
      </c>
      <c r="G336">
        <v>1</v>
      </c>
      <c r="H336">
        <v>0.14000000000000001</v>
      </c>
      <c r="I336">
        <v>0.1515</v>
      </c>
      <c r="J336">
        <v>0.86</v>
      </c>
      <c r="K336">
        <v>0.1343</v>
      </c>
      <c r="L336">
        <v>2</v>
      </c>
      <c r="M336">
        <v>28</v>
      </c>
      <c r="N336">
        <v>30</v>
      </c>
      <c r="O336" t="s">
        <v>20</v>
      </c>
      <c r="P336" t="s">
        <v>21</v>
      </c>
      <c r="Q336" t="s">
        <v>22</v>
      </c>
      <c r="R336" t="s">
        <v>33</v>
      </c>
      <c r="S336" t="s">
        <v>39</v>
      </c>
      <c r="T336" t="s">
        <v>37</v>
      </c>
      <c r="U336" t="s">
        <v>32</v>
      </c>
      <c r="V336" t="s">
        <v>27</v>
      </c>
      <c r="W336" t="s">
        <v>28</v>
      </c>
      <c r="X336">
        <v>6.666666666666667</v>
      </c>
      <c r="Y336">
        <v>93.333333333333329</v>
      </c>
      <c r="Z336" t="s">
        <v>31</v>
      </c>
      <c r="AA336" t="s">
        <v>30</v>
      </c>
      <c r="AB336" t="s">
        <v>31</v>
      </c>
      <c r="AC336">
        <v>1.1499999999999981E-2</v>
      </c>
    </row>
    <row r="337" spans="1:29" x14ac:dyDescent="0.3">
      <c r="A337">
        <v>955</v>
      </c>
      <c r="B337" s="6">
        <v>40586</v>
      </c>
      <c r="C337">
        <v>1</v>
      </c>
      <c r="D337">
        <v>9</v>
      </c>
      <c r="E337" t="b">
        <v>0</v>
      </c>
      <c r="F337">
        <v>6</v>
      </c>
      <c r="G337">
        <v>1</v>
      </c>
      <c r="H337">
        <v>0.16</v>
      </c>
      <c r="I337">
        <v>0.18179999999999999</v>
      </c>
      <c r="J337">
        <v>0.64</v>
      </c>
      <c r="K337">
        <v>0.1343</v>
      </c>
      <c r="L337">
        <v>5</v>
      </c>
      <c r="M337">
        <v>38</v>
      </c>
      <c r="N337">
        <v>43</v>
      </c>
      <c r="O337" t="s">
        <v>20</v>
      </c>
      <c r="P337" t="s">
        <v>21</v>
      </c>
      <c r="Q337" t="s">
        <v>22</v>
      </c>
      <c r="R337" t="s">
        <v>33</v>
      </c>
      <c r="S337" t="s">
        <v>24</v>
      </c>
      <c r="T337" t="s">
        <v>25</v>
      </c>
      <c r="U337" t="s">
        <v>32</v>
      </c>
      <c r="V337" t="s">
        <v>27</v>
      </c>
      <c r="W337" t="s">
        <v>28</v>
      </c>
      <c r="X337">
        <v>11.627906976744191</v>
      </c>
      <c r="Y337">
        <v>88.372093023255815</v>
      </c>
      <c r="Z337" t="s">
        <v>31</v>
      </c>
      <c r="AA337" t="s">
        <v>30</v>
      </c>
      <c r="AB337" t="s">
        <v>31</v>
      </c>
      <c r="AC337">
        <v>2.179999999999999E-2</v>
      </c>
    </row>
    <row r="338" spans="1:29" x14ac:dyDescent="0.3">
      <c r="A338">
        <v>956</v>
      </c>
      <c r="B338" s="6">
        <v>40586</v>
      </c>
      <c r="C338">
        <v>1</v>
      </c>
      <c r="D338">
        <v>10</v>
      </c>
      <c r="E338" t="b">
        <v>0</v>
      </c>
      <c r="F338">
        <v>6</v>
      </c>
      <c r="G338">
        <v>1</v>
      </c>
      <c r="H338">
        <v>0.22</v>
      </c>
      <c r="I338">
        <v>0.21210000000000001</v>
      </c>
      <c r="J338">
        <v>0.41</v>
      </c>
      <c r="K338">
        <v>0.25369999999999998</v>
      </c>
      <c r="L338">
        <v>13</v>
      </c>
      <c r="M338">
        <v>71</v>
      </c>
      <c r="N338">
        <v>84</v>
      </c>
      <c r="O338" t="s">
        <v>20</v>
      </c>
      <c r="P338" t="s">
        <v>21</v>
      </c>
      <c r="Q338" t="s">
        <v>22</v>
      </c>
      <c r="R338" t="s">
        <v>33</v>
      </c>
      <c r="S338" t="s">
        <v>24</v>
      </c>
      <c r="T338" t="s">
        <v>25</v>
      </c>
      <c r="U338" t="s">
        <v>26</v>
      </c>
      <c r="V338" t="s">
        <v>27</v>
      </c>
      <c r="W338" t="s">
        <v>28</v>
      </c>
      <c r="X338">
        <v>15.47619047619048</v>
      </c>
      <c r="Y338">
        <v>84.523809523809518</v>
      </c>
      <c r="Z338" t="s">
        <v>29</v>
      </c>
      <c r="AA338" t="s">
        <v>30</v>
      </c>
      <c r="AB338" t="s">
        <v>31</v>
      </c>
      <c r="AC338">
        <v>-7.8999999999999904E-3</v>
      </c>
    </row>
    <row r="339" spans="1:29" x14ac:dyDescent="0.3">
      <c r="A339">
        <v>957</v>
      </c>
      <c r="B339" s="6">
        <v>40586</v>
      </c>
      <c r="C339">
        <v>1</v>
      </c>
      <c r="D339">
        <v>11</v>
      </c>
      <c r="E339" t="b">
        <v>0</v>
      </c>
      <c r="F339">
        <v>6</v>
      </c>
      <c r="G339">
        <v>1</v>
      </c>
      <c r="H339">
        <v>0.3</v>
      </c>
      <c r="I339">
        <v>0.2727</v>
      </c>
      <c r="J339">
        <v>0.28000000000000003</v>
      </c>
      <c r="K339">
        <v>0.32840000000000003</v>
      </c>
      <c r="L339">
        <v>30</v>
      </c>
      <c r="M339">
        <v>84</v>
      </c>
      <c r="N339">
        <v>114</v>
      </c>
      <c r="O339" t="s">
        <v>20</v>
      </c>
      <c r="P339" t="s">
        <v>21</v>
      </c>
      <c r="Q339" t="s">
        <v>22</v>
      </c>
      <c r="R339" t="s">
        <v>33</v>
      </c>
      <c r="S339" t="s">
        <v>40</v>
      </c>
      <c r="T339" t="s">
        <v>30</v>
      </c>
      <c r="U339" t="s">
        <v>42</v>
      </c>
      <c r="V339" t="s">
        <v>27</v>
      </c>
      <c r="W339" t="s">
        <v>28</v>
      </c>
      <c r="X339">
        <v>26.315789473684209</v>
      </c>
      <c r="Y339">
        <v>73.68421052631578</v>
      </c>
      <c r="Z339" t="s">
        <v>29</v>
      </c>
      <c r="AA339" t="s">
        <v>25</v>
      </c>
      <c r="AB339" t="s">
        <v>31</v>
      </c>
      <c r="AC339">
        <v>-2.7299999999999991E-2</v>
      </c>
    </row>
    <row r="340" spans="1:29" x14ac:dyDescent="0.3">
      <c r="A340">
        <v>958</v>
      </c>
      <c r="B340" s="6">
        <v>40586</v>
      </c>
      <c r="C340">
        <v>1</v>
      </c>
      <c r="D340">
        <v>12</v>
      </c>
      <c r="E340" t="b">
        <v>0</v>
      </c>
      <c r="F340">
        <v>6</v>
      </c>
      <c r="G340">
        <v>1</v>
      </c>
      <c r="H340">
        <v>0.3</v>
      </c>
      <c r="I340">
        <v>0.2727</v>
      </c>
      <c r="J340">
        <v>0.39</v>
      </c>
      <c r="K340">
        <v>0.4627</v>
      </c>
      <c r="L340">
        <v>27</v>
      </c>
      <c r="M340">
        <v>93</v>
      </c>
      <c r="N340">
        <v>120</v>
      </c>
      <c r="O340" t="s">
        <v>20</v>
      </c>
      <c r="P340" t="s">
        <v>21</v>
      </c>
      <c r="Q340" t="s">
        <v>22</v>
      </c>
      <c r="R340" t="s">
        <v>35</v>
      </c>
      <c r="S340" t="s">
        <v>40</v>
      </c>
      <c r="T340" t="s">
        <v>30</v>
      </c>
      <c r="U340" t="s">
        <v>42</v>
      </c>
      <c r="V340" t="s">
        <v>27</v>
      </c>
      <c r="W340" t="s">
        <v>28</v>
      </c>
      <c r="X340">
        <v>22.5</v>
      </c>
      <c r="Y340">
        <v>77.5</v>
      </c>
      <c r="Z340" t="s">
        <v>29</v>
      </c>
      <c r="AA340" t="s">
        <v>25</v>
      </c>
      <c r="AB340" t="s">
        <v>31</v>
      </c>
      <c r="AC340">
        <v>-2.7299999999999991E-2</v>
      </c>
    </row>
    <row r="341" spans="1:29" x14ac:dyDescent="0.3">
      <c r="A341">
        <v>959</v>
      </c>
      <c r="B341" s="6">
        <v>40586</v>
      </c>
      <c r="C341">
        <v>1</v>
      </c>
      <c r="D341">
        <v>13</v>
      </c>
      <c r="E341" t="b">
        <v>0</v>
      </c>
      <c r="F341">
        <v>6</v>
      </c>
      <c r="G341">
        <v>1</v>
      </c>
      <c r="H341">
        <v>0.3</v>
      </c>
      <c r="I341">
        <v>0.2727</v>
      </c>
      <c r="J341">
        <v>0.39</v>
      </c>
      <c r="K341">
        <v>0.41789999999999999</v>
      </c>
      <c r="L341">
        <v>32</v>
      </c>
      <c r="M341">
        <v>103</v>
      </c>
      <c r="N341">
        <v>135</v>
      </c>
      <c r="O341" t="s">
        <v>20</v>
      </c>
      <c r="P341" t="s">
        <v>21</v>
      </c>
      <c r="Q341" t="s">
        <v>22</v>
      </c>
      <c r="R341" t="s">
        <v>35</v>
      </c>
      <c r="S341" t="s">
        <v>40</v>
      </c>
      <c r="T341" t="s">
        <v>30</v>
      </c>
      <c r="U341" t="s">
        <v>42</v>
      </c>
      <c r="V341" t="s">
        <v>27</v>
      </c>
      <c r="W341" t="s">
        <v>28</v>
      </c>
      <c r="X341">
        <v>23.703703703703709</v>
      </c>
      <c r="Y341">
        <v>76.296296296296291</v>
      </c>
      <c r="Z341" t="s">
        <v>29</v>
      </c>
      <c r="AA341" t="s">
        <v>25</v>
      </c>
      <c r="AB341" t="s">
        <v>31</v>
      </c>
      <c r="AC341">
        <v>-2.7299999999999991E-2</v>
      </c>
    </row>
    <row r="342" spans="1:29" x14ac:dyDescent="0.3">
      <c r="A342">
        <v>960</v>
      </c>
      <c r="B342" s="6">
        <v>40586</v>
      </c>
      <c r="C342">
        <v>1</v>
      </c>
      <c r="D342">
        <v>14</v>
      </c>
      <c r="E342" t="b">
        <v>0</v>
      </c>
      <c r="F342">
        <v>6</v>
      </c>
      <c r="G342">
        <v>1</v>
      </c>
      <c r="H342">
        <v>0.34</v>
      </c>
      <c r="I342">
        <v>0.31819999999999998</v>
      </c>
      <c r="J342">
        <v>0.31</v>
      </c>
      <c r="K342">
        <v>0.28360000000000002</v>
      </c>
      <c r="L342">
        <v>30</v>
      </c>
      <c r="M342">
        <v>90</v>
      </c>
      <c r="N342">
        <v>120</v>
      </c>
      <c r="O342" t="s">
        <v>20</v>
      </c>
      <c r="P342" t="s">
        <v>21</v>
      </c>
      <c r="Q342" t="s">
        <v>22</v>
      </c>
      <c r="R342" t="s">
        <v>35</v>
      </c>
      <c r="S342" t="s">
        <v>40</v>
      </c>
      <c r="T342" t="s">
        <v>30</v>
      </c>
      <c r="U342" t="s">
        <v>26</v>
      </c>
      <c r="V342" t="s">
        <v>27</v>
      </c>
      <c r="W342" t="s">
        <v>28</v>
      </c>
      <c r="X342">
        <v>25</v>
      </c>
      <c r="Y342">
        <v>75</v>
      </c>
      <c r="Z342" t="s">
        <v>29</v>
      </c>
      <c r="AA342" t="s">
        <v>25</v>
      </c>
      <c r="AB342" t="s">
        <v>31</v>
      </c>
      <c r="AC342">
        <v>-2.1800000000000042E-2</v>
      </c>
    </row>
    <row r="343" spans="1:29" x14ac:dyDescent="0.3">
      <c r="A343">
        <v>961</v>
      </c>
      <c r="B343" s="6">
        <v>40586</v>
      </c>
      <c r="C343">
        <v>1</v>
      </c>
      <c r="D343">
        <v>15</v>
      </c>
      <c r="E343" t="b">
        <v>0</v>
      </c>
      <c r="F343">
        <v>6</v>
      </c>
      <c r="G343">
        <v>1</v>
      </c>
      <c r="H343">
        <v>0.34</v>
      </c>
      <c r="I343">
        <v>0.30299999999999999</v>
      </c>
      <c r="J343">
        <v>0.28999999999999998</v>
      </c>
      <c r="K343">
        <v>0.41789999999999999</v>
      </c>
      <c r="L343">
        <v>47</v>
      </c>
      <c r="M343">
        <v>127</v>
      </c>
      <c r="N343">
        <v>174</v>
      </c>
      <c r="O343" t="s">
        <v>20</v>
      </c>
      <c r="P343" t="s">
        <v>21</v>
      </c>
      <c r="Q343" t="s">
        <v>22</v>
      </c>
      <c r="R343" t="s">
        <v>35</v>
      </c>
      <c r="S343" t="s">
        <v>40</v>
      </c>
      <c r="T343" t="s">
        <v>30</v>
      </c>
      <c r="U343" t="s">
        <v>42</v>
      </c>
      <c r="V343" t="s">
        <v>27</v>
      </c>
      <c r="W343" t="s">
        <v>28</v>
      </c>
      <c r="X343">
        <v>27.011494252873561</v>
      </c>
      <c r="Y343">
        <v>72.988505747126439</v>
      </c>
      <c r="Z343" t="s">
        <v>29</v>
      </c>
      <c r="AA343" t="s">
        <v>25</v>
      </c>
      <c r="AB343" t="s">
        <v>31</v>
      </c>
      <c r="AC343">
        <v>-3.7000000000000033E-2</v>
      </c>
    </row>
    <row r="344" spans="1:29" x14ac:dyDescent="0.3">
      <c r="A344">
        <v>962</v>
      </c>
      <c r="B344" s="6">
        <v>40586</v>
      </c>
      <c r="C344">
        <v>1</v>
      </c>
      <c r="D344">
        <v>16</v>
      </c>
      <c r="E344" t="b">
        <v>0</v>
      </c>
      <c r="F344">
        <v>6</v>
      </c>
      <c r="G344">
        <v>1</v>
      </c>
      <c r="H344">
        <v>0.34</v>
      </c>
      <c r="I344">
        <v>0.30299999999999999</v>
      </c>
      <c r="J344">
        <v>0.28999999999999998</v>
      </c>
      <c r="K344">
        <v>0.41789999999999999</v>
      </c>
      <c r="L344">
        <v>42</v>
      </c>
      <c r="M344">
        <v>103</v>
      </c>
      <c r="N344">
        <v>145</v>
      </c>
      <c r="O344" t="s">
        <v>20</v>
      </c>
      <c r="P344" t="s">
        <v>21</v>
      </c>
      <c r="Q344" t="s">
        <v>22</v>
      </c>
      <c r="R344" t="s">
        <v>35</v>
      </c>
      <c r="S344" t="s">
        <v>40</v>
      </c>
      <c r="T344" t="s">
        <v>30</v>
      </c>
      <c r="U344" t="s">
        <v>42</v>
      </c>
      <c r="V344" t="s">
        <v>27</v>
      </c>
      <c r="W344" t="s">
        <v>28</v>
      </c>
      <c r="X344">
        <v>28.96551724137931</v>
      </c>
      <c r="Y344">
        <v>71.034482758620683</v>
      </c>
      <c r="Z344" t="s">
        <v>29</v>
      </c>
      <c r="AA344" t="s">
        <v>25</v>
      </c>
      <c r="AB344" t="s">
        <v>31</v>
      </c>
      <c r="AC344">
        <v>-3.7000000000000033E-2</v>
      </c>
    </row>
    <row r="345" spans="1:29" x14ac:dyDescent="0.3">
      <c r="A345">
        <v>963</v>
      </c>
      <c r="B345" s="6">
        <v>40586</v>
      </c>
      <c r="C345">
        <v>1</v>
      </c>
      <c r="D345">
        <v>17</v>
      </c>
      <c r="E345" t="b">
        <v>0</v>
      </c>
      <c r="F345">
        <v>6</v>
      </c>
      <c r="G345">
        <v>1</v>
      </c>
      <c r="H345">
        <v>0.32</v>
      </c>
      <c r="I345">
        <v>0.28789999999999999</v>
      </c>
      <c r="J345">
        <v>0.31</v>
      </c>
      <c r="K345">
        <v>0.52239999999999998</v>
      </c>
      <c r="L345">
        <v>24</v>
      </c>
      <c r="M345">
        <v>113</v>
      </c>
      <c r="N345">
        <v>137</v>
      </c>
      <c r="O345" t="s">
        <v>20</v>
      </c>
      <c r="P345" t="s">
        <v>21</v>
      </c>
      <c r="Q345" t="s">
        <v>22</v>
      </c>
      <c r="R345" t="s">
        <v>36</v>
      </c>
      <c r="S345" t="s">
        <v>40</v>
      </c>
      <c r="T345" t="s">
        <v>30</v>
      </c>
      <c r="U345" t="s">
        <v>42</v>
      </c>
      <c r="V345" t="s">
        <v>27</v>
      </c>
      <c r="W345" t="s">
        <v>28</v>
      </c>
      <c r="X345">
        <v>17.518248175182482</v>
      </c>
      <c r="Y345">
        <v>82.481751824817522</v>
      </c>
      <c r="Z345" t="s">
        <v>31</v>
      </c>
      <c r="AA345" t="s">
        <v>25</v>
      </c>
      <c r="AB345" t="s">
        <v>31</v>
      </c>
      <c r="AC345">
        <v>-3.2100000000000017E-2</v>
      </c>
    </row>
    <row r="346" spans="1:29" x14ac:dyDescent="0.3">
      <c r="A346">
        <v>964</v>
      </c>
      <c r="B346" s="6">
        <v>40586</v>
      </c>
      <c r="C346">
        <v>1</v>
      </c>
      <c r="D346">
        <v>18</v>
      </c>
      <c r="E346" t="b">
        <v>0</v>
      </c>
      <c r="F346">
        <v>6</v>
      </c>
      <c r="G346">
        <v>1</v>
      </c>
      <c r="H346">
        <v>0.28000000000000003</v>
      </c>
      <c r="I346">
        <v>0.2576</v>
      </c>
      <c r="J346">
        <v>0.38</v>
      </c>
      <c r="K346">
        <v>0.32840000000000003</v>
      </c>
      <c r="L346">
        <v>4</v>
      </c>
      <c r="M346">
        <v>60</v>
      </c>
      <c r="N346">
        <v>64</v>
      </c>
      <c r="O346" t="s">
        <v>20</v>
      </c>
      <c r="P346" t="s">
        <v>21</v>
      </c>
      <c r="Q346" t="s">
        <v>22</v>
      </c>
      <c r="R346" t="s">
        <v>36</v>
      </c>
      <c r="S346" t="s">
        <v>40</v>
      </c>
      <c r="T346" t="s">
        <v>30</v>
      </c>
      <c r="U346" t="s">
        <v>42</v>
      </c>
      <c r="V346" t="s">
        <v>27</v>
      </c>
      <c r="W346" t="s">
        <v>28</v>
      </c>
      <c r="X346">
        <v>6.25</v>
      </c>
      <c r="Y346">
        <v>93.75</v>
      </c>
      <c r="Z346" t="s">
        <v>31</v>
      </c>
      <c r="AA346" t="s">
        <v>30</v>
      </c>
      <c r="AB346" t="s">
        <v>31</v>
      </c>
      <c r="AC346">
        <v>-2.2400000000000031E-2</v>
      </c>
    </row>
    <row r="347" spans="1:29" x14ac:dyDescent="0.3">
      <c r="A347">
        <v>965</v>
      </c>
      <c r="B347" s="6">
        <v>40586</v>
      </c>
      <c r="C347">
        <v>1</v>
      </c>
      <c r="D347">
        <v>19</v>
      </c>
      <c r="E347" t="b">
        <v>0</v>
      </c>
      <c r="F347">
        <v>6</v>
      </c>
      <c r="G347">
        <v>1</v>
      </c>
      <c r="H347">
        <v>0.28000000000000003</v>
      </c>
      <c r="I347">
        <v>0.2727</v>
      </c>
      <c r="J347">
        <v>0.38</v>
      </c>
      <c r="K347">
        <v>0.16420000000000001</v>
      </c>
      <c r="L347">
        <v>2</v>
      </c>
      <c r="M347">
        <v>39</v>
      </c>
      <c r="N347">
        <v>41</v>
      </c>
      <c r="O347" t="s">
        <v>20</v>
      </c>
      <c r="P347" t="s">
        <v>21</v>
      </c>
      <c r="Q347" t="s">
        <v>22</v>
      </c>
      <c r="R347" t="s">
        <v>36</v>
      </c>
      <c r="S347" t="s">
        <v>40</v>
      </c>
      <c r="T347" t="s">
        <v>30</v>
      </c>
      <c r="U347" t="s">
        <v>26</v>
      </c>
      <c r="V347" t="s">
        <v>27</v>
      </c>
      <c r="W347" t="s">
        <v>28</v>
      </c>
      <c r="X347">
        <v>4.8780487804878048</v>
      </c>
      <c r="Y347">
        <v>95.121951219512198</v>
      </c>
      <c r="Z347" t="s">
        <v>31</v>
      </c>
      <c r="AA347" t="s">
        <v>30</v>
      </c>
      <c r="AB347" t="s">
        <v>31</v>
      </c>
      <c r="AC347">
        <v>-7.3000000000000287E-3</v>
      </c>
    </row>
    <row r="348" spans="1:29" x14ac:dyDescent="0.3">
      <c r="A348">
        <v>966</v>
      </c>
      <c r="B348" s="6">
        <v>40586</v>
      </c>
      <c r="C348">
        <v>1</v>
      </c>
      <c r="D348">
        <v>20</v>
      </c>
      <c r="E348" t="b">
        <v>0</v>
      </c>
      <c r="F348">
        <v>6</v>
      </c>
      <c r="G348">
        <v>1</v>
      </c>
      <c r="H348">
        <v>0.26</v>
      </c>
      <c r="I348">
        <v>0.2576</v>
      </c>
      <c r="J348">
        <v>0.41</v>
      </c>
      <c r="K348">
        <v>0.22389999999999999</v>
      </c>
      <c r="L348">
        <v>1</v>
      </c>
      <c r="M348">
        <v>39</v>
      </c>
      <c r="N348">
        <v>40</v>
      </c>
      <c r="O348" t="s">
        <v>20</v>
      </c>
      <c r="P348" t="s">
        <v>21</v>
      </c>
      <c r="Q348" t="s">
        <v>22</v>
      </c>
      <c r="R348" t="s">
        <v>36</v>
      </c>
      <c r="S348" t="s">
        <v>40</v>
      </c>
      <c r="T348" t="s">
        <v>25</v>
      </c>
      <c r="U348" t="s">
        <v>26</v>
      </c>
      <c r="V348" t="s">
        <v>27</v>
      </c>
      <c r="W348" t="s">
        <v>28</v>
      </c>
      <c r="X348">
        <v>2.5</v>
      </c>
      <c r="Y348">
        <v>97.5</v>
      </c>
      <c r="Z348" t="s">
        <v>29</v>
      </c>
      <c r="AA348" t="s">
        <v>30</v>
      </c>
      <c r="AB348" t="s">
        <v>31</v>
      </c>
      <c r="AC348">
        <v>-2.4000000000000128E-3</v>
      </c>
    </row>
    <row r="349" spans="1:29" x14ac:dyDescent="0.3">
      <c r="A349">
        <v>967</v>
      </c>
      <c r="B349" s="6">
        <v>40586</v>
      </c>
      <c r="C349">
        <v>1</v>
      </c>
      <c r="D349">
        <v>21</v>
      </c>
      <c r="E349" t="b">
        <v>0</v>
      </c>
      <c r="F349">
        <v>6</v>
      </c>
      <c r="G349">
        <v>1</v>
      </c>
      <c r="H349">
        <v>0.26</v>
      </c>
      <c r="I349">
        <v>0.30299999999999999</v>
      </c>
      <c r="J349">
        <v>0.41</v>
      </c>
      <c r="K349">
        <v>0</v>
      </c>
      <c r="L349">
        <v>9</v>
      </c>
      <c r="M349">
        <v>42</v>
      </c>
      <c r="N349">
        <v>51</v>
      </c>
      <c r="O349" t="s">
        <v>20</v>
      </c>
      <c r="P349" t="s">
        <v>21</v>
      </c>
      <c r="Q349" t="s">
        <v>22</v>
      </c>
      <c r="R349" t="s">
        <v>23</v>
      </c>
      <c r="S349" t="s">
        <v>40</v>
      </c>
      <c r="T349" t="s">
        <v>25</v>
      </c>
      <c r="U349" t="s">
        <v>32</v>
      </c>
      <c r="V349" t="s">
        <v>27</v>
      </c>
      <c r="W349" t="s">
        <v>28</v>
      </c>
      <c r="X349">
        <v>17.647058823529409</v>
      </c>
      <c r="Y349">
        <v>82.35294117647058</v>
      </c>
      <c r="Z349" t="s">
        <v>29</v>
      </c>
      <c r="AA349" t="s">
        <v>30</v>
      </c>
      <c r="AB349" t="s">
        <v>31</v>
      </c>
      <c r="AC349">
        <v>4.2999999999999983E-2</v>
      </c>
    </row>
    <row r="350" spans="1:29" x14ac:dyDescent="0.3">
      <c r="A350">
        <v>968</v>
      </c>
      <c r="B350" s="6">
        <v>40586</v>
      </c>
      <c r="C350">
        <v>1</v>
      </c>
      <c r="D350">
        <v>22</v>
      </c>
      <c r="E350" t="b">
        <v>0</v>
      </c>
      <c r="F350">
        <v>6</v>
      </c>
      <c r="G350">
        <v>1</v>
      </c>
      <c r="H350">
        <v>0.24</v>
      </c>
      <c r="I350">
        <v>0.2576</v>
      </c>
      <c r="J350">
        <v>0.44</v>
      </c>
      <c r="K350">
        <v>8.9599999999999999E-2</v>
      </c>
      <c r="L350">
        <v>6</v>
      </c>
      <c r="M350">
        <v>39</v>
      </c>
      <c r="N350">
        <v>45</v>
      </c>
      <c r="O350" t="s">
        <v>20</v>
      </c>
      <c r="P350" t="s">
        <v>21</v>
      </c>
      <c r="Q350" t="s">
        <v>22</v>
      </c>
      <c r="R350" t="s">
        <v>23</v>
      </c>
      <c r="S350" t="s">
        <v>24</v>
      </c>
      <c r="T350" t="s">
        <v>25</v>
      </c>
      <c r="U350" t="s">
        <v>32</v>
      </c>
      <c r="V350" t="s">
        <v>27</v>
      </c>
      <c r="W350" t="s">
        <v>28</v>
      </c>
      <c r="X350">
        <v>13.33333333333333</v>
      </c>
      <c r="Y350">
        <v>86.666666666666671</v>
      </c>
      <c r="Z350" t="s">
        <v>29</v>
      </c>
      <c r="AA350" t="s">
        <v>30</v>
      </c>
      <c r="AB350" t="s">
        <v>31</v>
      </c>
      <c r="AC350">
        <v>1.7600000000000001E-2</v>
      </c>
    </row>
    <row r="351" spans="1:29" x14ac:dyDescent="0.3">
      <c r="A351">
        <v>969</v>
      </c>
      <c r="B351" s="6">
        <v>40586</v>
      </c>
      <c r="C351">
        <v>1</v>
      </c>
      <c r="D351">
        <v>23</v>
      </c>
      <c r="E351" t="b">
        <v>0</v>
      </c>
      <c r="F351">
        <v>6</v>
      </c>
      <c r="G351">
        <v>1</v>
      </c>
      <c r="H351">
        <v>0.22</v>
      </c>
      <c r="I351">
        <v>0.2273</v>
      </c>
      <c r="J351">
        <v>0.51</v>
      </c>
      <c r="K351">
        <v>0.1343</v>
      </c>
      <c r="L351">
        <v>1</v>
      </c>
      <c r="M351">
        <v>31</v>
      </c>
      <c r="N351">
        <v>32</v>
      </c>
      <c r="O351" t="s">
        <v>20</v>
      </c>
      <c r="P351" t="s">
        <v>21</v>
      </c>
      <c r="Q351" t="s">
        <v>22</v>
      </c>
      <c r="R351" t="s">
        <v>23</v>
      </c>
      <c r="S351" t="s">
        <v>24</v>
      </c>
      <c r="T351" t="s">
        <v>25</v>
      </c>
      <c r="U351" t="s">
        <v>32</v>
      </c>
      <c r="V351" t="s">
        <v>27</v>
      </c>
      <c r="W351" t="s">
        <v>28</v>
      </c>
      <c r="X351">
        <v>3.125</v>
      </c>
      <c r="Y351">
        <v>96.875</v>
      </c>
      <c r="Z351" t="s">
        <v>29</v>
      </c>
      <c r="AA351" t="s">
        <v>30</v>
      </c>
      <c r="AB351" t="s">
        <v>31</v>
      </c>
      <c r="AC351">
        <v>7.3000000000000009E-3</v>
      </c>
    </row>
    <row r="352" spans="1:29" x14ac:dyDescent="0.3">
      <c r="A352">
        <v>970</v>
      </c>
      <c r="B352" s="6">
        <v>40587</v>
      </c>
      <c r="C352">
        <v>1</v>
      </c>
      <c r="D352">
        <v>0</v>
      </c>
      <c r="E352" t="b">
        <v>0</v>
      </c>
      <c r="F352">
        <v>0</v>
      </c>
      <c r="G352">
        <v>1</v>
      </c>
      <c r="H352">
        <v>0.2</v>
      </c>
      <c r="I352">
        <v>0.2273</v>
      </c>
      <c r="J352">
        <v>0.64</v>
      </c>
      <c r="K352">
        <v>0.1045</v>
      </c>
      <c r="L352">
        <v>5</v>
      </c>
      <c r="M352">
        <v>34</v>
      </c>
      <c r="N352">
        <v>39</v>
      </c>
      <c r="O352" t="s">
        <v>20</v>
      </c>
      <c r="P352" t="s">
        <v>38</v>
      </c>
      <c r="Q352" t="s">
        <v>22</v>
      </c>
      <c r="R352" t="s">
        <v>23</v>
      </c>
      <c r="S352" t="s">
        <v>24</v>
      </c>
      <c r="T352" t="s">
        <v>25</v>
      </c>
      <c r="U352" t="s">
        <v>32</v>
      </c>
      <c r="V352" t="s">
        <v>27</v>
      </c>
      <c r="W352" t="s">
        <v>28</v>
      </c>
      <c r="X352">
        <v>12.820512820512819</v>
      </c>
      <c r="Y352">
        <v>87.179487179487182</v>
      </c>
      <c r="Z352" t="s">
        <v>29</v>
      </c>
      <c r="AA352" t="s">
        <v>30</v>
      </c>
      <c r="AB352" t="s">
        <v>31</v>
      </c>
      <c r="AC352">
        <v>2.7299999999999991E-2</v>
      </c>
    </row>
    <row r="353" spans="1:29" x14ac:dyDescent="0.3">
      <c r="A353">
        <v>971</v>
      </c>
      <c r="B353" s="6">
        <v>40587</v>
      </c>
      <c r="C353">
        <v>1</v>
      </c>
      <c r="D353">
        <v>1</v>
      </c>
      <c r="E353" t="b">
        <v>0</v>
      </c>
      <c r="F353">
        <v>0</v>
      </c>
      <c r="G353">
        <v>1</v>
      </c>
      <c r="H353">
        <v>0.2</v>
      </c>
      <c r="I353">
        <v>0.2273</v>
      </c>
      <c r="J353">
        <v>0.59</v>
      </c>
      <c r="K353">
        <v>8.9599999999999999E-2</v>
      </c>
      <c r="L353">
        <v>1</v>
      </c>
      <c r="M353">
        <v>23</v>
      </c>
      <c r="N353">
        <v>24</v>
      </c>
      <c r="O353" t="s">
        <v>20</v>
      </c>
      <c r="P353" t="s">
        <v>38</v>
      </c>
      <c r="Q353" t="s">
        <v>22</v>
      </c>
      <c r="R353" t="s">
        <v>23</v>
      </c>
      <c r="S353" t="s">
        <v>24</v>
      </c>
      <c r="T353" t="s">
        <v>25</v>
      </c>
      <c r="U353" t="s">
        <v>32</v>
      </c>
      <c r="V353" t="s">
        <v>27</v>
      </c>
      <c r="W353" t="s">
        <v>28</v>
      </c>
      <c r="X353">
        <v>4.1666666666666661</v>
      </c>
      <c r="Y353">
        <v>95.833333333333343</v>
      </c>
      <c r="Z353" t="s">
        <v>29</v>
      </c>
      <c r="AA353" t="s">
        <v>30</v>
      </c>
      <c r="AB353" t="s">
        <v>31</v>
      </c>
      <c r="AC353">
        <v>2.7299999999999991E-2</v>
      </c>
    </row>
    <row r="354" spans="1:29" x14ac:dyDescent="0.3">
      <c r="A354">
        <v>972</v>
      </c>
      <c r="B354" s="6">
        <v>40587</v>
      </c>
      <c r="C354">
        <v>1</v>
      </c>
      <c r="D354">
        <v>2</v>
      </c>
      <c r="E354" t="b">
        <v>0</v>
      </c>
      <c r="F354">
        <v>0</v>
      </c>
      <c r="G354">
        <v>2</v>
      </c>
      <c r="H354">
        <v>0.2</v>
      </c>
      <c r="I354">
        <v>0.2273</v>
      </c>
      <c r="J354">
        <v>0.75</v>
      </c>
      <c r="K354">
        <v>8.9599999999999999E-2</v>
      </c>
      <c r="L354">
        <v>1</v>
      </c>
      <c r="M354">
        <v>19</v>
      </c>
      <c r="N354">
        <v>20</v>
      </c>
      <c r="O354" t="s">
        <v>20</v>
      </c>
      <c r="P354" t="s">
        <v>38</v>
      </c>
      <c r="Q354" t="s">
        <v>34</v>
      </c>
      <c r="R354" t="s">
        <v>23</v>
      </c>
      <c r="S354" t="s">
        <v>24</v>
      </c>
      <c r="T354" t="s">
        <v>37</v>
      </c>
      <c r="U354" t="s">
        <v>32</v>
      </c>
      <c r="V354" t="s">
        <v>27</v>
      </c>
      <c r="W354" t="s">
        <v>28</v>
      </c>
      <c r="X354">
        <v>5</v>
      </c>
      <c r="Y354">
        <v>95</v>
      </c>
      <c r="Z354" t="s">
        <v>29</v>
      </c>
      <c r="AA354" t="s">
        <v>30</v>
      </c>
      <c r="AB354" t="s">
        <v>31</v>
      </c>
      <c r="AC354">
        <v>2.7299999999999991E-2</v>
      </c>
    </row>
    <row r="355" spans="1:29" x14ac:dyDescent="0.3">
      <c r="A355">
        <v>973</v>
      </c>
      <c r="B355" s="6">
        <v>40587</v>
      </c>
      <c r="C355">
        <v>1</v>
      </c>
      <c r="D355">
        <v>3</v>
      </c>
      <c r="E355" t="b">
        <v>0</v>
      </c>
      <c r="F355">
        <v>0</v>
      </c>
      <c r="G355">
        <v>2</v>
      </c>
      <c r="H355">
        <v>0.2</v>
      </c>
      <c r="I355">
        <v>0.2273</v>
      </c>
      <c r="J355">
        <v>0.69</v>
      </c>
      <c r="K355">
        <v>0.1045</v>
      </c>
      <c r="L355">
        <v>4</v>
      </c>
      <c r="M355">
        <v>8</v>
      </c>
      <c r="N355">
        <v>12</v>
      </c>
      <c r="O355" t="s">
        <v>20</v>
      </c>
      <c r="P355" t="s">
        <v>38</v>
      </c>
      <c r="Q355" t="s">
        <v>34</v>
      </c>
      <c r="R355" t="s">
        <v>23</v>
      </c>
      <c r="S355" t="s">
        <v>24</v>
      </c>
      <c r="T355" t="s">
        <v>25</v>
      </c>
      <c r="U355" t="s">
        <v>32</v>
      </c>
      <c r="V355" t="s">
        <v>27</v>
      </c>
      <c r="W355" t="s">
        <v>28</v>
      </c>
      <c r="X355">
        <v>33.333333333333329</v>
      </c>
      <c r="Y355">
        <v>66.666666666666657</v>
      </c>
      <c r="Z355" t="s">
        <v>29</v>
      </c>
      <c r="AA355" t="s">
        <v>30</v>
      </c>
      <c r="AB355" t="s">
        <v>31</v>
      </c>
      <c r="AC355">
        <v>2.7299999999999991E-2</v>
      </c>
    </row>
    <row r="356" spans="1:29" x14ac:dyDescent="0.3">
      <c r="A356">
        <v>974</v>
      </c>
      <c r="B356" s="6">
        <v>40587</v>
      </c>
      <c r="C356">
        <v>1</v>
      </c>
      <c r="D356">
        <v>4</v>
      </c>
      <c r="E356" t="b">
        <v>0</v>
      </c>
      <c r="F356">
        <v>0</v>
      </c>
      <c r="G356">
        <v>2</v>
      </c>
      <c r="H356">
        <v>0.2</v>
      </c>
      <c r="I356">
        <v>0.21210000000000001</v>
      </c>
      <c r="J356">
        <v>0.69</v>
      </c>
      <c r="K356">
        <v>0.16420000000000001</v>
      </c>
      <c r="L356">
        <v>0</v>
      </c>
      <c r="M356">
        <v>2</v>
      </c>
      <c r="N356">
        <v>2</v>
      </c>
      <c r="O356" t="s">
        <v>20</v>
      </c>
      <c r="P356" t="s">
        <v>38</v>
      </c>
      <c r="Q356" t="s">
        <v>34</v>
      </c>
      <c r="R356" t="s">
        <v>23</v>
      </c>
      <c r="S356" t="s">
        <v>24</v>
      </c>
      <c r="T356" t="s">
        <v>25</v>
      </c>
      <c r="U356" t="s">
        <v>26</v>
      </c>
      <c r="V356" t="s">
        <v>27</v>
      </c>
      <c r="W356" t="s">
        <v>28</v>
      </c>
      <c r="X356">
        <v>0</v>
      </c>
      <c r="Y356">
        <v>100</v>
      </c>
      <c r="Z356" t="s">
        <v>29</v>
      </c>
      <c r="AA356" t="s">
        <v>30</v>
      </c>
      <c r="AB356" t="s">
        <v>31</v>
      </c>
      <c r="AC356">
        <v>1.21E-2</v>
      </c>
    </row>
    <row r="357" spans="1:29" x14ac:dyDescent="0.3">
      <c r="A357">
        <v>975</v>
      </c>
      <c r="B357" s="6">
        <v>40587</v>
      </c>
      <c r="C357">
        <v>1</v>
      </c>
      <c r="D357">
        <v>6</v>
      </c>
      <c r="E357" t="b">
        <v>0</v>
      </c>
      <c r="F357">
        <v>0</v>
      </c>
      <c r="G357">
        <v>2</v>
      </c>
      <c r="H357">
        <v>0.2</v>
      </c>
      <c r="I357">
        <v>0.21210000000000001</v>
      </c>
      <c r="J357">
        <v>0.69</v>
      </c>
      <c r="K357">
        <v>0.1343</v>
      </c>
      <c r="L357">
        <v>2</v>
      </c>
      <c r="M357">
        <v>3</v>
      </c>
      <c r="N357">
        <v>5</v>
      </c>
      <c r="O357" t="s">
        <v>20</v>
      </c>
      <c r="P357" t="s">
        <v>38</v>
      </c>
      <c r="Q357" t="s">
        <v>34</v>
      </c>
      <c r="R357" t="s">
        <v>33</v>
      </c>
      <c r="S357" t="s">
        <v>24</v>
      </c>
      <c r="T357" t="s">
        <v>25</v>
      </c>
      <c r="U357" t="s">
        <v>32</v>
      </c>
      <c r="V357" t="s">
        <v>27</v>
      </c>
      <c r="W357" t="s">
        <v>28</v>
      </c>
      <c r="X357">
        <v>40</v>
      </c>
      <c r="Y357">
        <v>60</v>
      </c>
      <c r="Z357" t="s">
        <v>29</v>
      </c>
      <c r="AA357" t="s">
        <v>30</v>
      </c>
      <c r="AB357" t="s">
        <v>31</v>
      </c>
      <c r="AC357">
        <v>1.21E-2</v>
      </c>
    </row>
    <row r="358" spans="1:29" x14ac:dyDescent="0.3">
      <c r="A358">
        <v>976</v>
      </c>
      <c r="B358" s="6">
        <v>40587</v>
      </c>
      <c r="C358">
        <v>1</v>
      </c>
      <c r="D358">
        <v>7</v>
      </c>
      <c r="E358" t="b">
        <v>0</v>
      </c>
      <c r="F358">
        <v>0</v>
      </c>
      <c r="G358">
        <v>2</v>
      </c>
      <c r="H358">
        <v>0.22</v>
      </c>
      <c r="I358">
        <v>0.2727</v>
      </c>
      <c r="J358">
        <v>0.55000000000000004</v>
      </c>
      <c r="K358">
        <v>0</v>
      </c>
      <c r="L358">
        <v>0</v>
      </c>
      <c r="M358">
        <v>3</v>
      </c>
      <c r="N358">
        <v>3</v>
      </c>
      <c r="O358" t="s">
        <v>20</v>
      </c>
      <c r="P358" t="s">
        <v>38</v>
      </c>
      <c r="Q358" t="s">
        <v>34</v>
      </c>
      <c r="R358" t="s">
        <v>33</v>
      </c>
      <c r="S358" t="s">
        <v>24</v>
      </c>
      <c r="T358" t="s">
        <v>25</v>
      </c>
      <c r="U358" t="s">
        <v>32</v>
      </c>
      <c r="V358" t="s">
        <v>27</v>
      </c>
      <c r="W358" t="s">
        <v>28</v>
      </c>
      <c r="X358">
        <v>0</v>
      </c>
      <c r="Y358">
        <v>100</v>
      </c>
      <c r="Z358" t="s">
        <v>31</v>
      </c>
      <c r="AA358" t="s">
        <v>30</v>
      </c>
      <c r="AB358" t="s">
        <v>31</v>
      </c>
      <c r="AC358">
        <v>5.2699999999999997E-2</v>
      </c>
    </row>
    <row r="359" spans="1:29" x14ac:dyDescent="0.3">
      <c r="A359">
        <v>977</v>
      </c>
      <c r="B359" s="6">
        <v>40587</v>
      </c>
      <c r="C359">
        <v>1</v>
      </c>
      <c r="D359">
        <v>8</v>
      </c>
      <c r="E359" t="b">
        <v>0</v>
      </c>
      <c r="F359">
        <v>0</v>
      </c>
      <c r="G359">
        <v>2</v>
      </c>
      <c r="H359">
        <v>0.22</v>
      </c>
      <c r="I359">
        <v>0.2273</v>
      </c>
      <c r="J359">
        <v>0.64</v>
      </c>
      <c r="K359">
        <v>0.19400000000000001</v>
      </c>
      <c r="L359">
        <v>1</v>
      </c>
      <c r="M359">
        <v>11</v>
      </c>
      <c r="N359">
        <v>12</v>
      </c>
      <c r="O359" t="s">
        <v>20</v>
      </c>
      <c r="P359" t="s">
        <v>38</v>
      </c>
      <c r="Q359" t="s">
        <v>34</v>
      </c>
      <c r="R359" t="s">
        <v>33</v>
      </c>
      <c r="S359" t="s">
        <v>24</v>
      </c>
      <c r="T359" t="s">
        <v>25</v>
      </c>
      <c r="U359" t="s">
        <v>26</v>
      </c>
      <c r="V359" t="s">
        <v>27</v>
      </c>
      <c r="W359" t="s">
        <v>28</v>
      </c>
      <c r="X359">
        <v>8.3333333333333321</v>
      </c>
      <c r="Y359">
        <v>91.666666666666657</v>
      </c>
      <c r="Z359" t="s">
        <v>31</v>
      </c>
      <c r="AA359" t="s">
        <v>30</v>
      </c>
      <c r="AB359" t="s">
        <v>31</v>
      </c>
      <c r="AC359">
        <v>7.3000000000000009E-3</v>
      </c>
    </row>
    <row r="360" spans="1:29" x14ac:dyDescent="0.3">
      <c r="A360">
        <v>978</v>
      </c>
      <c r="B360" s="6">
        <v>40587</v>
      </c>
      <c r="C360">
        <v>1</v>
      </c>
      <c r="D360">
        <v>9</v>
      </c>
      <c r="E360" t="b">
        <v>0</v>
      </c>
      <c r="F360">
        <v>0</v>
      </c>
      <c r="G360">
        <v>2</v>
      </c>
      <c r="H360">
        <v>0.24</v>
      </c>
      <c r="I360">
        <v>0.2273</v>
      </c>
      <c r="J360">
        <v>0.6</v>
      </c>
      <c r="K360">
        <v>0.22389999999999999</v>
      </c>
      <c r="L360">
        <v>12</v>
      </c>
      <c r="M360">
        <v>35</v>
      </c>
      <c r="N360">
        <v>47</v>
      </c>
      <c r="O360" t="s">
        <v>20</v>
      </c>
      <c r="P360" t="s">
        <v>38</v>
      </c>
      <c r="Q360" t="s">
        <v>34</v>
      </c>
      <c r="R360" t="s">
        <v>33</v>
      </c>
      <c r="S360" t="s">
        <v>24</v>
      </c>
      <c r="T360" t="s">
        <v>25</v>
      </c>
      <c r="U360" t="s">
        <v>26</v>
      </c>
      <c r="V360" t="s">
        <v>27</v>
      </c>
      <c r="W360" t="s">
        <v>28</v>
      </c>
      <c r="X360">
        <v>25.531914893617021</v>
      </c>
      <c r="Y360">
        <v>74.468085106382972</v>
      </c>
      <c r="Z360" t="s">
        <v>31</v>
      </c>
      <c r="AA360" t="s">
        <v>30</v>
      </c>
      <c r="AB360" t="s">
        <v>31</v>
      </c>
      <c r="AC360">
        <v>-1.2699999999999991E-2</v>
      </c>
    </row>
    <row r="361" spans="1:29" x14ac:dyDescent="0.3">
      <c r="A361">
        <v>979</v>
      </c>
      <c r="B361" s="6">
        <v>40587</v>
      </c>
      <c r="C361">
        <v>1</v>
      </c>
      <c r="D361">
        <v>10</v>
      </c>
      <c r="E361" t="b">
        <v>0</v>
      </c>
      <c r="F361">
        <v>0</v>
      </c>
      <c r="G361">
        <v>1</v>
      </c>
      <c r="H361">
        <v>0.3</v>
      </c>
      <c r="I361">
        <v>0.2727</v>
      </c>
      <c r="J361">
        <v>0.45</v>
      </c>
      <c r="K361">
        <v>0.32840000000000003</v>
      </c>
      <c r="L361">
        <v>19</v>
      </c>
      <c r="M361">
        <v>86</v>
      </c>
      <c r="N361">
        <v>105</v>
      </c>
      <c r="O361" t="s">
        <v>20</v>
      </c>
      <c r="P361" t="s">
        <v>38</v>
      </c>
      <c r="Q361" t="s">
        <v>22</v>
      </c>
      <c r="R361" t="s">
        <v>33</v>
      </c>
      <c r="S361" t="s">
        <v>40</v>
      </c>
      <c r="T361" t="s">
        <v>25</v>
      </c>
      <c r="U361" t="s">
        <v>42</v>
      </c>
      <c r="V361" t="s">
        <v>27</v>
      </c>
      <c r="W361" t="s">
        <v>28</v>
      </c>
      <c r="X361">
        <v>18.095238095238091</v>
      </c>
      <c r="Y361">
        <v>81.904761904761898</v>
      </c>
      <c r="Z361" t="s">
        <v>29</v>
      </c>
      <c r="AA361" t="s">
        <v>25</v>
      </c>
      <c r="AB361" t="s">
        <v>31</v>
      </c>
      <c r="AC361">
        <v>-2.7299999999999991E-2</v>
      </c>
    </row>
    <row r="362" spans="1:29" x14ac:dyDescent="0.3">
      <c r="A362">
        <v>980</v>
      </c>
      <c r="B362" s="6">
        <v>40587</v>
      </c>
      <c r="C362">
        <v>1</v>
      </c>
      <c r="D362">
        <v>11</v>
      </c>
      <c r="E362" t="b">
        <v>0</v>
      </c>
      <c r="F362">
        <v>0</v>
      </c>
      <c r="G362">
        <v>1</v>
      </c>
      <c r="H362">
        <v>0.32</v>
      </c>
      <c r="I362">
        <v>0.28789999999999999</v>
      </c>
      <c r="J362">
        <v>0.39</v>
      </c>
      <c r="K362">
        <v>0.44779999999999998</v>
      </c>
      <c r="L362">
        <v>26</v>
      </c>
      <c r="M362">
        <v>86</v>
      </c>
      <c r="N362">
        <v>112</v>
      </c>
      <c r="O362" t="s">
        <v>20</v>
      </c>
      <c r="P362" t="s">
        <v>38</v>
      </c>
      <c r="Q362" t="s">
        <v>22</v>
      </c>
      <c r="R362" t="s">
        <v>33</v>
      </c>
      <c r="S362" t="s">
        <v>40</v>
      </c>
      <c r="T362" t="s">
        <v>30</v>
      </c>
      <c r="U362" t="s">
        <v>42</v>
      </c>
      <c r="V362" t="s">
        <v>27</v>
      </c>
      <c r="W362" t="s">
        <v>28</v>
      </c>
      <c r="X362">
        <v>23.214285714285719</v>
      </c>
      <c r="Y362">
        <v>76.785714285714292</v>
      </c>
      <c r="Z362" t="s">
        <v>29</v>
      </c>
      <c r="AA362" t="s">
        <v>25</v>
      </c>
      <c r="AB362" t="s">
        <v>31</v>
      </c>
      <c r="AC362">
        <v>-3.2100000000000017E-2</v>
      </c>
    </row>
    <row r="363" spans="1:29" x14ac:dyDescent="0.3">
      <c r="A363">
        <v>981</v>
      </c>
      <c r="B363" s="6">
        <v>40587</v>
      </c>
      <c r="C363">
        <v>1</v>
      </c>
      <c r="D363">
        <v>12</v>
      </c>
      <c r="E363" t="b">
        <v>0</v>
      </c>
      <c r="F363">
        <v>0</v>
      </c>
      <c r="G363">
        <v>1</v>
      </c>
      <c r="H363">
        <v>0.36</v>
      </c>
      <c r="I363">
        <v>0.31819999999999998</v>
      </c>
      <c r="J363">
        <v>0.32</v>
      </c>
      <c r="K363">
        <v>0.4627</v>
      </c>
      <c r="L363">
        <v>58</v>
      </c>
      <c r="M363">
        <v>94</v>
      </c>
      <c r="N363">
        <v>152</v>
      </c>
      <c r="O363" t="s">
        <v>20</v>
      </c>
      <c r="P363" t="s">
        <v>38</v>
      </c>
      <c r="Q363" t="s">
        <v>22</v>
      </c>
      <c r="R363" t="s">
        <v>35</v>
      </c>
      <c r="S363" t="s">
        <v>47</v>
      </c>
      <c r="T363" t="s">
        <v>30</v>
      </c>
      <c r="U363" t="s">
        <v>42</v>
      </c>
      <c r="V363" t="s">
        <v>27</v>
      </c>
      <c r="W363" t="s">
        <v>28</v>
      </c>
      <c r="X363">
        <v>38.15789473684211</v>
      </c>
      <c r="Y363">
        <v>61.842105263157897</v>
      </c>
      <c r="Z363" t="s">
        <v>29</v>
      </c>
      <c r="AA363" t="s">
        <v>25</v>
      </c>
      <c r="AB363" t="s">
        <v>31</v>
      </c>
      <c r="AC363">
        <v>-4.1799999999999997E-2</v>
      </c>
    </row>
    <row r="364" spans="1:29" x14ac:dyDescent="0.3">
      <c r="A364">
        <v>982</v>
      </c>
      <c r="B364" s="6">
        <v>40587</v>
      </c>
      <c r="C364">
        <v>1</v>
      </c>
      <c r="D364">
        <v>13</v>
      </c>
      <c r="E364" t="b">
        <v>0</v>
      </c>
      <c r="F364">
        <v>0</v>
      </c>
      <c r="G364">
        <v>1</v>
      </c>
      <c r="H364">
        <v>0.38</v>
      </c>
      <c r="I364">
        <v>0.39389999999999997</v>
      </c>
      <c r="J364">
        <v>0.28999999999999998</v>
      </c>
      <c r="K364">
        <v>0.35820000000000002</v>
      </c>
      <c r="L364">
        <v>62</v>
      </c>
      <c r="M364">
        <v>92</v>
      </c>
      <c r="N364">
        <v>154</v>
      </c>
      <c r="O364" t="s">
        <v>20</v>
      </c>
      <c r="P364" t="s">
        <v>38</v>
      </c>
      <c r="Q364" t="s">
        <v>22</v>
      </c>
      <c r="R364" t="s">
        <v>35</v>
      </c>
      <c r="S364" t="s">
        <v>47</v>
      </c>
      <c r="T364" t="s">
        <v>30</v>
      </c>
      <c r="U364" t="s">
        <v>42</v>
      </c>
      <c r="V364" t="s">
        <v>27</v>
      </c>
      <c r="W364" t="s">
        <v>28</v>
      </c>
      <c r="X364">
        <v>40.259740259740262</v>
      </c>
      <c r="Y364">
        <v>59.740259740259738</v>
      </c>
      <c r="Z364" t="s">
        <v>29</v>
      </c>
      <c r="AA364" t="s">
        <v>25</v>
      </c>
      <c r="AB364" t="s">
        <v>31</v>
      </c>
      <c r="AC364">
        <v>1.389999999999997E-2</v>
      </c>
    </row>
    <row r="365" spans="1:29" x14ac:dyDescent="0.3">
      <c r="A365">
        <v>983</v>
      </c>
      <c r="B365" s="6">
        <v>40587</v>
      </c>
      <c r="C365">
        <v>1</v>
      </c>
      <c r="D365">
        <v>14</v>
      </c>
      <c r="E365" t="b">
        <v>0</v>
      </c>
      <c r="F365">
        <v>0</v>
      </c>
      <c r="G365">
        <v>2</v>
      </c>
      <c r="H365">
        <v>0.4</v>
      </c>
      <c r="I365">
        <v>0.40910000000000002</v>
      </c>
      <c r="J365">
        <v>0.3</v>
      </c>
      <c r="K365">
        <v>0.41789999999999999</v>
      </c>
      <c r="L365">
        <v>51</v>
      </c>
      <c r="M365">
        <v>110</v>
      </c>
      <c r="N365">
        <v>161</v>
      </c>
      <c r="O365" t="s">
        <v>20</v>
      </c>
      <c r="P365" t="s">
        <v>38</v>
      </c>
      <c r="Q365" t="s">
        <v>34</v>
      </c>
      <c r="R365" t="s">
        <v>35</v>
      </c>
      <c r="S365" t="s">
        <v>47</v>
      </c>
      <c r="T365" t="s">
        <v>30</v>
      </c>
      <c r="U365" t="s">
        <v>42</v>
      </c>
      <c r="V365" t="s">
        <v>27</v>
      </c>
      <c r="W365" t="s">
        <v>28</v>
      </c>
      <c r="X365">
        <v>31.677018633540371</v>
      </c>
      <c r="Y365">
        <v>68.322981366459629</v>
      </c>
      <c r="Z365" t="s">
        <v>29</v>
      </c>
      <c r="AA365" t="s">
        <v>25</v>
      </c>
      <c r="AB365" t="s">
        <v>31</v>
      </c>
      <c r="AC365">
        <v>9.099999999999997E-3</v>
      </c>
    </row>
    <row r="366" spans="1:29" x14ac:dyDescent="0.3">
      <c r="A366">
        <v>984</v>
      </c>
      <c r="B366" s="6">
        <v>40587</v>
      </c>
      <c r="C366">
        <v>1</v>
      </c>
      <c r="D366">
        <v>15</v>
      </c>
      <c r="E366" t="b">
        <v>0</v>
      </c>
      <c r="F366">
        <v>0</v>
      </c>
      <c r="G366">
        <v>2</v>
      </c>
      <c r="H366">
        <v>0.4</v>
      </c>
      <c r="I366">
        <v>0.40910000000000002</v>
      </c>
      <c r="J366">
        <v>0.3</v>
      </c>
      <c r="K366">
        <v>0.29849999999999999</v>
      </c>
      <c r="L366">
        <v>40</v>
      </c>
      <c r="M366">
        <v>122</v>
      </c>
      <c r="N366">
        <v>162</v>
      </c>
      <c r="O366" t="s">
        <v>20</v>
      </c>
      <c r="P366" t="s">
        <v>38</v>
      </c>
      <c r="Q366" t="s">
        <v>34</v>
      </c>
      <c r="R366" t="s">
        <v>35</v>
      </c>
      <c r="S366" t="s">
        <v>47</v>
      </c>
      <c r="T366" t="s">
        <v>30</v>
      </c>
      <c r="U366" t="s">
        <v>26</v>
      </c>
      <c r="V366" t="s">
        <v>27</v>
      </c>
      <c r="W366" t="s">
        <v>28</v>
      </c>
      <c r="X366">
        <v>24.691358024691361</v>
      </c>
      <c r="Y366">
        <v>75.308641975308646</v>
      </c>
      <c r="Z366" t="s">
        <v>29</v>
      </c>
      <c r="AA366" t="s">
        <v>25</v>
      </c>
      <c r="AB366" t="s">
        <v>31</v>
      </c>
      <c r="AC366">
        <v>9.099999999999997E-3</v>
      </c>
    </row>
    <row r="367" spans="1:29" x14ac:dyDescent="0.3">
      <c r="A367">
        <v>985</v>
      </c>
      <c r="B367" s="6">
        <v>40587</v>
      </c>
      <c r="C367">
        <v>1</v>
      </c>
      <c r="D367">
        <v>16</v>
      </c>
      <c r="E367" t="b">
        <v>0</v>
      </c>
      <c r="F367">
        <v>0</v>
      </c>
      <c r="G367">
        <v>2</v>
      </c>
      <c r="H367">
        <v>0.42</v>
      </c>
      <c r="I367">
        <v>0.42420000000000002</v>
      </c>
      <c r="J367">
        <v>0.28000000000000003</v>
      </c>
      <c r="K367">
        <v>0.32840000000000003</v>
      </c>
      <c r="L367">
        <v>28</v>
      </c>
      <c r="M367">
        <v>106</v>
      </c>
      <c r="N367">
        <v>134</v>
      </c>
      <c r="O367" t="s">
        <v>20</v>
      </c>
      <c r="P367" t="s">
        <v>38</v>
      </c>
      <c r="Q367" t="s">
        <v>34</v>
      </c>
      <c r="R367" t="s">
        <v>35</v>
      </c>
      <c r="S367" t="s">
        <v>47</v>
      </c>
      <c r="T367" t="s">
        <v>30</v>
      </c>
      <c r="U367" t="s">
        <v>42</v>
      </c>
      <c r="V367" t="s">
        <v>27</v>
      </c>
      <c r="W367" t="s">
        <v>28</v>
      </c>
      <c r="X367">
        <v>20.8955223880597</v>
      </c>
      <c r="Y367">
        <v>79.104477611940297</v>
      </c>
      <c r="Z367" t="s">
        <v>29</v>
      </c>
      <c r="AA367" t="s">
        <v>25</v>
      </c>
      <c r="AB367" t="s">
        <v>31</v>
      </c>
      <c r="AC367">
        <v>4.200000000000037E-3</v>
      </c>
    </row>
    <row r="368" spans="1:29" x14ac:dyDescent="0.3">
      <c r="A368">
        <v>986</v>
      </c>
      <c r="B368" s="6">
        <v>40587</v>
      </c>
      <c r="C368">
        <v>1</v>
      </c>
      <c r="D368">
        <v>17</v>
      </c>
      <c r="E368" t="b">
        <v>0</v>
      </c>
      <c r="F368">
        <v>0</v>
      </c>
      <c r="G368">
        <v>1</v>
      </c>
      <c r="H368">
        <v>0.42</v>
      </c>
      <c r="I368">
        <v>0.42420000000000002</v>
      </c>
      <c r="J368">
        <v>0.28000000000000003</v>
      </c>
      <c r="K368">
        <v>0.32840000000000003</v>
      </c>
      <c r="L368">
        <v>30</v>
      </c>
      <c r="M368">
        <v>95</v>
      </c>
      <c r="N368">
        <v>125</v>
      </c>
      <c r="O368" t="s">
        <v>20</v>
      </c>
      <c r="P368" t="s">
        <v>38</v>
      </c>
      <c r="Q368" t="s">
        <v>22</v>
      </c>
      <c r="R368" t="s">
        <v>36</v>
      </c>
      <c r="S368" t="s">
        <v>47</v>
      </c>
      <c r="T368" t="s">
        <v>30</v>
      </c>
      <c r="U368" t="s">
        <v>42</v>
      </c>
      <c r="V368" t="s">
        <v>27</v>
      </c>
      <c r="W368" t="s">
        <v>28</v>
      </c>
      <c r="X368">
        <v>24</v>
      </c>
      <c r="Y368">
        <v>76</v>
      </c>
      <c r="Z368" t="s">
        <v>31</v>
      </c>
      <c r="AA368" t="s">
        <v>25</v>
      </c>
      <c r="AB368" t="s">
        <v>31</v>
      </c>
      <c r="AC368">
        <v>4.200000000000037E-3</v>
      </c>
    </row>
    <row r="369" spans="1:29" x14ac:dyDescent="0.3">
      <c r="A369">
        <v>987</v>
      </c>
      <c r="B369" s="6">
        <v>40587</v>
      </c>
      <c r="C369">
        <v>1</v>
      </c>
      <c r="D369">
        <v>18</v>
      </c>
      <c r="E369" t="b">
        <v>0</v>
      </c>
      <c r="F369">
        <v>0</v>
      </c>
      <c r="G369">
        <v>1</v>
      </c>
      <c r="H369">
        <v>0.4</v>
      </c>
      <c r="I369">
        <v>0.40910000000000002</v>
      </c>
      <c r="J369">
        <v>0.32</v>
      </c>
      <c r="K369">
        <v>0.29849999999999999</v>
      </c>
      <c r="L369">
        <v>17</v>
      </c>
      <c r="M369">
        <v>78</v>
      </c>
      <c r="N369">
        <v>95</v>
      </c>
      <c r="O369" t="s">
        <v>20</v>
      </c>
      <c r="P369" t="s">
        <v>38</v>
      </c>
      <c r="Q369" t="s">
        <v>22</v>
      </c>
      <c r="R369" t="s">
        <v>36</v>
      </c>
      <c r="S369" t="s">
        <v>47</v>
      </c>
      <c r="T369" t="s">
        <v>30</v>
      </c>
      <c r="U369" t="s">
        <v>26</v>
      </c>
      <c r="V369" t="s">
        <v>27</v>
      </c>
      <c r="W369" t="s">
        <v>28</v>
      </c>
      <c r="X369">
        <v>17.89473684210526</v>
      </c>
      <c r="Y369">
        <v>82.10526315789474</v>
      </c>
      <c r="Z369" t="s">
        <v>31</v>
      </c>
      <c r="AA369" t="s">
        <v>30</v>
      </c>
      <c r="AB369" t="s">
        <v>31</v>
      </c>
      <c r="AC369">
        <v>9.099999999999997E-3</v>
      </c>
    </row>
    <row r="370" spans="1:29" x14ac:dyDescent="0.3">
      <c r="A370">
        <v>988</v>
      </c>
      <c r="B370" s="6">
        <v>40587</v>
      </c>
      <c r="C370">
        <v>1</v>
      </c>
      <c r="D370">
        <v>19</v>
      </c>
      <c r="E370" t="b">
        <v>0</v>
      </c>
      <c r="F370">
        <v>0</v>
      </c>
      <c r="G370">
        <v>1</v>
      </c>
      <c r="H370">
        <v>0.4</v>
      </c>
      <c r="I370">
        <v>0.40910000000000002</v>
      </c>
      <c r="J370">
        <v>0.35</v>
      </c>
      <c r="K370">
        <v>0.28360000000000002</v>
      </c>
      <c r="L370">
        <v>11</v>
      </c>
      <c r="M370">
        <v>50</v>
      </c>
      <c r="N370">
        <v>61</v>
      </c>
      <c r="O370" t="s">
        <v>20</v>
      </c>
      <c r="P370" t="s">
        <v>38</v>
      </c>
      <c r="Q370" t="s">
        <v>22</v>
      </c>
      <c r="R370" t="s">
        <v>36</v>
      </c>
      <c r="S370" t="s">
        <v>47</v>
      </c>
      <c r="T370" t="s">
        <v>30</v>
      </c>
      <c r="U370" t="s">
        <v>26</v>
      </c>
      <c r="V370" t="s">
        <v>27</v>
      </c>
      <c r="W370" t="s">
        <v>28</v>
      </c>
      <c r="X370">
        <v>18.032786885245901</v>
      </c>
      <c r="Y370">
        <v>81.967213114754102</v>
      </c>
      <c r="Z370" t="s">
        <v>31</v>
      </c>
      <c r="AA370" t="s">
        <v>30</v>
      </c>
      <c r="AB370" t="s">
        <v>31</v>
      </c>
      <c r="AC370">
        <v>9.099999999999997E-3</v>
      </c>
    </row>
    <row r="371" spans="1:29" x14ac:dyDescent="0.3">
      <c r="A371">
        <v>989</v>
      </c>
      <c r="B371" s="6">
        <v>40587</v>
      </c>
      <c r="C371">
        <v>1</v>
      </c>
      <c r="D371">
        <v>20</v>
      </c>
      <c r="E371" t="b">
        <v>0</v>
      </c>
      <c r="F371">
        <v>0</v>
      </c>
      <c r="G371">
        <v>1</v>
      </c>
      <c r="H371">
        <v>0.4</v>
      </c>
      <c r="I371">
        <v>0.40910000000000002</v>
      </c>
      <c r="J371">
        <v>0.35</v>
      </c>
      <c r="K371">
        <v>0.32840000000000003</v>
      </c>
      <c r="L371">
        <v>15</v>
      </c>
      <c r="M371">
        <v>32</v>
      </c>
      <c r="N371">
        <v>47</v>
      </c>
      <c r="O371" t="s">
        <v>20</v>
      </c>
      <c r="P371" t="s">
        <v>38</v>
      </c>
      <c r="Q371" t="s">
        <v>22</v>
      </c>
      <c r="R371" t="s">
        <v>36</v>
      </c>
      <c r="S371" t="s">
        <v>47</v>
      </c>
      <c r="T371" t="s">
        <v>30</v>
      </c>
      <c r="U371" t="s">
        <v>42</v>
      </c>
      <c r="V371" t="s">
        <v>27</v>
      </c>
      <c r="W371" t="s">
        <v>28</v>
      </c>
      <c r="X371">
        <v>31.914893617021281</v>
      </c>
      <c r="Y371">
        <v>68.085106382978722</v>
      </c>
      <c r="Z371" t="s">
        <v>29</v>
      </c>
      <c r="AA371" t="s">
        <v>30</v>
      </c>
      <c r="AB371" t="s">
        <v>31</v>
      </c>
      <c r="AC371">
        <v>9.099999999999997E-3</v>
      </c>
    </row>
    <row r="372" spans="1:29" x14ac:dyDescent="0.3">
      <c r="A372">
        <v>990</v>
      </c>
      <c r="B372" s="6">
        <v>40587</v>
      </c>
      <c r="C372">
        <v>1</v>
      </c>
      <c r="D372">
        <v>21</v>
      </c>
      <c r="E372" t="b">
        <v>0</v>
      </c>
      <c r="F372">
        <v>0</v>
      </c>
      <c r="G372">
        <v>1</v>
      </c>
      <c r="H372">
        <v>0.4</v>
      </c>
      <c r="I372">
        <v>0.40910000000000002</v>
      </c>
      <c r="J372">
        <v>0.35</v>
      </c>
      <c r="K372">
        <v>0.35820000000000002</v>
      </c>
      <c r="L372">
        <v>6</v>
      </c>
      <c r="M372">
        <v>45</v>
      </c>
      <c r="N372">
        <v>51</v>
      </c>
      <c r="O372" t="s">
        <v>20</v>
      </c>
      <c r="P372" t="s">
        <v>38</v>
      </c>
      <c r="Q372" t="s">
        <v>22</v>
      </c>
      <c r="R372" t="s">
        <v>23</v>
      </c>
      <c r="S372" t="s">
        <v>47</v>
      </c>
      <c r="T372" t="s">
        <v>30</v>
      </c>
      <c r="U372" t="s">
        <v>42</v>
      </c>
      <c r="V372" t="s">
        <v>27</v>
      </c>
      <c r="W372" t="s">
        <v>28</v>
      </c>
      <c r="X372">
        <v>11.76470588235294</v>
      </c>
      <c r="Y372">
        <v>88.235294117647058</v>
      </c>
      <c r="Z372" t="s">
        <v>29</v>
      </c>
      <c r="AA372" t="s">
        <v>30</v>
      </c>
      <c r="AB372" t="s">
        <v>31</v>
      </c>
      <c r="AC372">
        <v>9.099999999999997E-3</v>
      </c>
    </row>
    <row r="373" spans="1:29" x14ac:dyDescent="0.3">
      <c r="A373">
        <v>991</v>
      </c>
      <c r="B373" s="6">
        <v>40587</v>
      </c>
      <c r="C373">
        <v>1</v>
      </c>
      <c r="D373">
        <v>22</v>
      </c>
      <c r="E373" t="b">
        <v>0</v>
      </c>
      <c r="F373">
        <v>0</v>
      </c>
      <c r="G373">
        <v>1</v>
      </c>
      <c r="H373">
        <v>0.4</v>
      </c>
      <c r="I373">
        <v>0.40910000000000002</v>
      </c>
      <c r="J373">
        <v>0.35</v>
      </c>
      <c r="K373">
        <v>0.29849999999999999</v>
      </c>
      <c r="L373">
        <v>5</v>
      </c>
      <c r="M373">
        <v>31</v>
      </c>
      <c r="N373">
        <v>36</v>
      </c>
      <c r="O373" t="s">
        <v>20</v>
      </c>
      <c r="P373" t="s">
        <v>38</v>
      </c>
      <c r="Q373" t="s">
        <v>22</v>
      </c>
      <c r="R373" t="s">
        <v>23</v>
      </c>
      <c r="S373" t="s">
        <v>47</v>
      </c>
      <c r="T373" t="s">
        <v>30</v>
      </c>
      <c r="U373" t="s">
        <v>26</v>
      </c>
      <c r="V373" t="s">
        <v>27</v>
      </c>
      <c r="W373" t="s">
        <v>28</v>
      </c>
      <c r="X373">
        <v>13.888888888888889</v>
      </c>
      <c r="Y373">
        <v>86.111111111111114</v>
      </c>
      <c r="Z373" t="s">
        <v>29</v>
      </c>
      <c r="AA373" t="s">
        <v>30</v>
      </c>
      <c r="AB373" t="s">
        <v>31</v>
      </c>
      <c r="AC373">
        <v>9.099999999999997E-3</v>
      </c>
    </row>
    <row r="374" spans="1:29" x14ac:dyDescent="0.3">
      <c r="A374">
        <v>992</v>
      </c>
      <c r="B374" s="6">
        <v>40587</v>
      </c>
      <c r="C374">
        <v>1</v>
      </c>
      <c r="D374">
        <v>23</v>
      </c>
      <c r="E374" t="b">
        <v>0</v>
      </c>
      <c r="F374">
        <v>0</v>
      </c>
      <c r="G374">
        <v>1</v>
      </c>
      <c r="H374">
        <v>0.4</v>
      </c>
      <c r="I374">
        <v>0.40910000000000002</v>
      </c>
      <c r="J374">
        <v>0.35</v>
      </c>
      <c r="K374">
        <v>0.35820000000000002</v>
      </c>
      <c r="L374">
        <v>3</v>
      </c>
      <c r="M374">
        <v>27</v>
      </c>
      <c r="N374">
        <v>30</v>
      </c>
      <c r="O374" t="s">
        <v>20</v>
      </c>
      <c r="P374" t="s">
        <v>38</v>
      </c>
      <c r="Q374" t="s">
        <v>22</v>
      </c>
      <c r="R374" t="s">
        <v>23</v>
      </c>
      <c r="S374" t="s">
        <v>47</v>
      </c>
      <c r="T374" t="s">
        <v>30</v>
      </c>
      <c r="U374" t="s">
        <v>42</v>
      </c>
      <c r="V374" t="s">
        <v>27</v>
      </c>
      <c r="W374" t="s">
        <v>28</v>
      </c>
      <c r="X374">
        <v>10</v>
      </c>
      <c r="Y374">
        <v>90</v>
      </c>
      <c r="Z374" t="s">
        <v>29</v>
      </c>
      <c r="AA374" t="s">
        <v>30</v>
      </c>
      <c r="AB374" t="s">
        <v>31</v>
      </c>
      <c r="AC374">
        <v>9.099999999999997E-3</v>
      </c>
    </row>
    <row r="375" spans="1:29" x14ac:dyDescent="0.3">
      <c r="A375">
        <v>993</v>
      </c>
      <c r="B375" s="6">
        <v>40588</v>
      </c>
      <c r="C375">
        <v>1</v>
      </c>
      <c r="D375">
        <v>0</v>
      </c>
      <c r="E375" t="b">
        <v>0</v>
      </c>
      <c r="F375">
        <v>1</v>
      </c>
      <c r="G375">
        <v>1</v>
      </c>
      <c r="H375">
        <v>0.38</v>
      </c>
      <c r="I375">
        <v>0.39389999999999997</v>
      </c>
      <c r="J375">
        <v>0.37</v>
      </c>
      <c r="K375">
        <v>0.35820000000000002</v>
      </c>
      <c r="L375">
        <v>3</v>
      </c>
      <c r="M375">
        <v>8</v>
      </c>
      <c r="N375">
        <v>11</v>
      </c>
      <c r="O375" t="s">
        <v>20</v>
      </c>
      <c r="P375" t="s">
        <v>41</v>
      </c>
      <c r="Q375" t="s">
        <v>22</v>
      </c>
      <c r="R375" t="s">
        <v>23</v>
      </c>
      <c r="S375" t="s">
        <v>47</v>
      </c>
      <c r="T375" t="s">
        <v>30</v>
      </c>
      <c r="U375" t="s">
        <v>42</v>
      </c>
      <c r="V375" t="s">
        <v>27</v>
      </c>
      <c r="W375" t="s">
        <v>28</v>
      </c>
      <c r="X375">
        <v>27.27272727272727</v>
      </c>
      <c r="Y375">
        <v>72.727272727272734</v>
      </c>
      <c r="Z375" t="s">
        <v>29</v>
      </c>
      <c r="AA375" t="s">
        <v>30</v>
      </c>
      <c r="AB375" t="s">
        <v>29</v>
      </c>
      <c r="AC375">
        <v>1.389999999999997E-2</v>
      </c>
    </row>
    <row r="376" spans="1:29" x14ac:dyDescent="0.3">
      <c r="A376">
        <v>994</v>
      </c>
      <c r="B376" s="6">
        <v>40588</v>
      </c>
      <c r="C376">
        <v>1</v>
      </c>
      <c r="D376">
        <v>1</v>
      </c>
      <c r="E376" t="b">
        <v>0</v>
      </c>
      <c r="F376">
        <v>1</v>
      </c>
      <c r="G376">
        <v>1</v>
      </c>
      <c r="H376">
        <v>0.38</v>
      </c>
      <c r="I376">
        <v>0.39389999999999997</v>
      </c>
      <c r="J376">
        <v>0.37</v>
      </c>
      <c r="K376">
        <v>0.35820000000000002</v>
      </c>
      <c r="L376">
        <v>1</v>
      </c>
      <c r="M376">
        <v>6</v>
      </c>
      <c r="N376">
        <v>7</v>
      </c>
      <c r="O376" t="s">
        <v>20</v>
      </c>
      <c r="P376" t="s">
        <v>41</v>
      </c>
      <c r="Q376" t="s">
        <v>22</v>
      </c>
      <c r="R376" t="s">
        <v>23</v>
      </c>
      <c r="S376" t="s">
        <v>47</v>
      </c>
      <c r="T376" t="s">
        <v>30</v>
      </c>
      <c r="U376" t="s">
        <v>42</v>
      </c>
      <c r="V376" t="s">
        <v>27</v>
      </c>
      <c r="W376" t="s">
        <v>28</v>
      </c>
      <c r="X376">
        <v>14.285714285714279</v>
      </c>
      <c r="Y376">
        <v>85.714285714285708</v>
      </c>
      <c r="Z376" t="s">
        <v>29</v>
      </c>
      <c r="AA376" t="s">
        <v>30</v>
      </c>
      <c r="AB376" t="s">
        <v>29</v>
      </c>
      <c r="AC376">
        <v>1.389999999999997E-2</v>
      </c>
    </row>
    <row r="377" spans="1:29" x14ac:dyDescent="0.3">
      <c r="A377">
        <v>995</v>
      </c>
      <c r="B377" s="6">
        <v>40588</v>
      </c>
      <c r="C377">
        <v>1</v>
      </c>
      <c r="D377">
        <v>2</v>
      </c>
      <c r="E377" t="b">
        <v>0</v>
      </c>
      <c r="F377">
        <v>1</v>
      </c>
      <c r="G377">
        <v>1</v>
      </c>
      <c r="H377">
        <v>0.36</v>
      </c>
      <c r="I377">
        <v>0.33329999999999999</v>
      </c>
      <c r="J377">
        <v>0.4</v>
      </c>
      <c r="K377">
        <v>0.29849999999999999</v>
      </c>
      <c r="L377">
        <v>0</v>
      </c>
      <c r="M377">
        <v>2</v>
      </c>
      <c r="N377">
        <v>2</v>
      </c>
      <c r="O377" t="s">
        <v>20</v>
      </c>
      <c r="P377" t="s">
        <v>41</v>
      </c>
      <c r="Q377" t="s">
        <v>22</v>
      </c>
      <c r="R377" t="s">
        <v>23</v>
      </c>
      <c r="S377" t="s">
        <v>47</v>
      </c>
      <c r="T377" t="s">
        <v>25</v>
      </c>
      <c r="U377" t="s">
        <v>26</v>
      </c>
      <c r="V377" t="s">
        <v>27</v>
      </c>
      <c r="W377" t="s">
        <v>28</v>
      </c>
      <c r="X377">
        <v>0</v>
      </c>
      <c r="Y377">
        <v>100</v>
      </c>
      <c r="Z377" t="s">
        <v>29</v>
      </c>
      <c r="AA377" t="s">
        <v>30</v>
      </c>
      <c r="AB377" t="s">
        <v>29</v>
      </c>
      <c r="AC377">
        <v>-2.6700000000000002E-2</v>
      </c>
    </row>
    <row r="378" spans="1:29" x14ac:dyDescent="0.3">
      <c r="A378">
        <v>996</v>
      </c>
      <c r="B378" s="6">
        <v>40588</v>
      </c>
      <c r="C378">
        <v>1</v>
      </c>
      <c r="D378">
        <v>3</v>
      </c>
      <c r="E378" t="b">
        <v>0</v>
      </c>
      <c r="F378">
        <v>1</v>
      </c>
      <c r="G378">
        <v>1</v>
      </c>
      <c r="H378">
        <v>0.34</v>
      </c>
      <c r="I378">
        <v>0.31819999999999998</v>
      </c>
      <c r="J378">
        <v>0.46</v>
      </c>
      <c r="K378">
        <v>0.22389999999999999</v>
      </c>
      <c r="L378">
        <v>1</v>
      </c>
      <c r="M378">
        <v>1</v>
      </c>
      <c r="N378">
        <v>2</v>
      </c>
      <c r="O378" t="s">
        <v>20</v>
      </c>
      <c r="P378" t="s">
        <v>41</v>
      </c>
      <c r="Q378" t="s">
        <v>22</v>
      </c>
      <c r="R378" t="s">
        <v>23</v>
      </c>
      <c r="S378" t="s">
        <v>40</v>
      </c>
      <c r="T378" t="s">
        <v>25</v>
      </c>
      <c r="U378" t="s">
        <v>26</v>
      </c>
      <c r="V378" t="s">
        <v>27</v>
      </c>
      <c r="W378" t="s">
        <v>28</v>
      </c>
      <c r="X378">
        <v>50</v>
      </c>
      <c r="Y378">
        <v>50</v>
      </c>
      <c r="Z378" t="s">
        <v>29</v>
      </c>
      <c r="AA378" t="s">
        <v>30</v>
      </c>
      <c r="AB378" t="s">
        <v>29</v>
      </c>
      <c r="AC378">
        <v>-2.1800000000000042E-2</v>
      </c>
    </row>
    <row r="379" spans="1:29" x14ac:dyDescent="0.3">
      <c r="A379">
        <v>997</v>
      </c>
      <c r="B379" s="6">
        <v>40588</v>
      </c>
      <c r="C379">
        <v>1</v>
      </c>
      <c r="D379">
        <v>4</v>
      </c>
      <c r="E379" t="b">
        <v>0</v>
      </c>
      <c r="F379">
        <v>1</v>
      </c>
      <c r="G379">
        <v>1</v>
      </c>
      <c r="H379">
        <v>0.32</v>
      </c>
      <c r="I379">
        <v>0.30299999999999999</v>
      </c>
      <c r="J379">
        <v>0.53</v>
      </c>
      <c r="K379">
        <v>0.28360000000000002</v>
      </c>
      <c r="L379">
        <v>0</v>
      </c>
      <c r="M379">
        <v>2</v>
      </c>
      <c r="N379">
        <v>2</v>
      </c>
      <c r="O379" t="s">
        <v>20</v>
      </c>
      <c r="P379" t="s">
        <v>41</v>
      </c>
      <c r="Q379" t="s">
        <v>22</v>
      </c>
      <c r="R379" t="s">
        <v>23</v>
      </c>
      <c r="S379" t="s">
        <v>40</v>
      </c>
      <c r="T379" t="s">
        <v>25</v>
      </c>
      <c r="U379" t="s">
        <v>26</v>
      </c>
      <c r="V379" t="s">
        <v>27</v>
      </c>
      <c r="W379" t="s">
        <v>28</v>
      </c>
      <c r="X379">
        <v>0</v>
      </c>
      <c r="Y379">
        <v>100</v>
      </c>
      <c r="Z379" t="s">
        <v>29</v>
      </c>
      <c r="AA379" t="s">
        <v>30</v>
      </c>
      <c r="AB379" t="s">
        <v>29</v>
      </c>
      <c r="AC379">
        <v>-1.7000000000000019E-2</v>
      </c>
    </row>
    <row r="380" spans="1:29" x14ac:dyDescent="0.3">
      <c r="A380">
        <v>998</v>
      </c>
      <c r="B380" s="6">
        <v>40588</v>
      </c>
      <c r="C380">
        <v>1</v>
      </c>
      <c r="D380">
        <v>5</v>
      </c>
      <c r="E380" t="b">
        <v>0</v>
      </c>
      <c r="F380">
        <v>1</v>
      </c>
      <c r="G380">
        <v>1</v>
      </c>
      <c r="H380">
        <v>0.32</v>
      </c>
      <c r="I380">
        <v>0.30299999999999999</v>
      </c>
      <c r="J380">
        <v>0.53</v>
      </c>
      <c r="K380">
        <v>0.28360000000000002</v>
      </c>
      <c r="L380">
        <v>0</v>
      </c>
      <c r="M380">
        <v>3</v>
      </c>
      <c r="N380">
        <v>3</v>
      </c>
      <c r="O380" t="s">
        <v>20</v>
      </c>
      <c r="P380" t="s">
        <v>41</v>
      </c>
      <c r="Q380" t="s">
        <v>22</v>
      </c>
      <c r="R380" t="s">
        <v>23</v>
      </c>
      <c r="S380" t="s">
        <v>40</v>
      </c>
      <c r="T380" t="s">
        <v>25</v>
      </c>
      <c r="U380" t="s">
        <v>26</v>
      </c>
      <c r="V380" t="s">
        <v>27</v>
      </c>
      <c r="W380" t="s">
        <v>28</v>
      </c>
      <c r="X380">
        <v>0</v>
      </c>
      <c r="Y380">
        <v>100</v>
      </c>
      <c r="Z380" t="s">
        <v>29</v>
      </c>
      <c r="AA380" t="s">
        <v>30</v>
      </c>
      <c r="AB380" t="s">
        <v>29</v>
      </c>
      <c r="AC380">
        <v>-1.7000000000000019E-2</v>
      </c>
    </row>
    <row r="381" spans="1:29" x14ac:dyDescent="0.3">
      <c r="A381">
        <v>999</v>
      </c>
      <c r="B381" s="6">
        <v>40588</v>
      </c>
      <c r="C381">
        <v>1</v>
      </c>
      <c r="D381">
        <v>6</v>
      </c>
      <c r="E381" t="b">
        <v>0</v>
      </c>
      <c r="F381">
        <v>1</v>
      </c>
      <c r="G381">
        <v>1</v>
      </c>
      <c r="H381">
        <v>0.34</v>
      </c>
      <c r="I381">
        <v>0.30299999999999999</v>
      </c>
      <c r="J381">
        <v>0.46</v>
      </c>
      <c r="K381">
        <v>0.29849999999999999</v>
      </c>
      <c r="L381">
        <v>1</v>
      </c>
      <c r="M381">
        <v>25</v>
      </c>
      <c r="N381">
        <v>26</v>
      </c>
      <c r="O381" t="s">
        <v>20</v>
      </c>
      <c r="P381" t="s">
        <v>41</v>
      </c>
      <c r="Q381" t="s">
        <v>22</v>
      </c>
      <c r="R381" t="s">
        <v>33</v>
      </c>
      <c r="S381" t="s">
        <v>40</v>
      </c>
      <c r="T381" t="s">
        <v>25</v>
      </c>
      <c r="U381" t="s">
        <v>26</v>
      </c>
      <c r="V381" t="s">
        <v>27</v>
      </c>
      <c r="W381" t="s">
        <v>28</v>
      </c>
      <c r="X381">
        <v>3.8461538461538458</v>
      </c>
      <c r="Y381">
        <v>96.15384615384616</v>
      </c>
      <c r="Z381" t="s">
        <v>29</v>
      </c>
      <c r="AA381" t="s">
        <v>30</v>
      </c>
      <c r="AB381" t="s">
        <v>29</v>
      </c>
      <c r="AC381">
        <v>-3.7000000000000033E-2</v>
      </c>
    </row>
    <row r="382" spans="1:29" x14ac:dyDescent="0.3">
      <c r="A382">
        <v>1000</v>
      </c>
      <c r="B382" s="6">
        <v>40588</v>
      </c>
      <c r="C382">
        <v>1</v>
      </c>
      <c r="D382">
        <v>7</v>
      </c>
      <c r="E382" t="b">
        <v>0</v>
      </c>
      <c r="F382">
        <v>1</v>
      </c>
      <c r="G382">
        <v>1</v>
      </c>
      <c r="H382">
        <v>0.34</v>
      </c>
      <c r="I382">
        <v>0.30299999999999999</v>
      </c>
      <c r="J382">
        <v>0.46</v>
      </c>
      <c r="K382">
        <v>0.29849999999999999</v>
      </c>
      <c r="L382">
        <v>2</v>
      </c>
      <c r="M382">
        <v>96</v>
      </c>
      <c r="N382">
        <v>98</v>
      </c>
      <c r="O382" t="s">
        <v>20</v>
      </c>
      <c r="P382" t="s">
        <v>41</v>
      </c>
      <c r="Q382" t="s">
        <v>22</v>
      </c>
      <c r="R382" t="s">
        <v>33</v>
      </c>
      <c r="S382" t="s">
        <v>40</v>
      </c>
      <c r="T382" t="s">
        <v>25</v>
      </c>
      <c r="U382" t="s">
        <v>26</v>
      </c>
      <c r="V382" t="s">
        <v>27</v>
      </c>
      <c r="W382" t="s">
        <v>28</v>
      </c>
      <c r="X382">
        <v>2.0408163265306118</v>
      </c>
      <c r="Y382">
        <v>97.959183673469383</v>
      </c>
      <c r="Z382" t="s">
        <v>31</v>
      </c>
      <c r="AA382" t="s">
        <v>30</v>
      </c>
      <c r="AB382" t="s">
        <v>29</v>
      </c>
      <c r="AC382">
        <v>-3.7000000000000033E-2</v>
      </c>
    </row>
    <row r="383" spans="1:29" x14ac:dyDescent="0.3">
      <c r="A383">
        <v>611</v>
      </c>
      <c r="B383" s="6">
        <v>40571</v>
      </c>
      <c r="C383">
        <v>1</v>
      </c>
      <c r="D383">
        <v>16</v>
      </c>
      <c r="E383" t="b">
        <v>0</v>
      </c>
      <c r="F383">
        <v>5</v>
      </c>
      <c r="G383">
        <v>1</v>
      </c>
      <c r="H383">
        <v>0.22</v>
      </c>
      <c r="I383">
        <v>0.2727</v>
      </c>
      <c r="J383">
        <v>0.8</v>
      </c>
      <c r="K383">
        <v>0</v>
      </c>
      <c r="L383">
        <v>10</v>
      </c>
      <c r="M383">
        <v>70</v>
      </c>
      <c r="N383">
        <v>80</v>
      </c>
      <c r="O383" t="s">
        <v>20</v>
      </c>
      <c r="P383" t="s">
        <v>49</v>
      </c>
      <c r="Q383" t="s">
        <v>22</v>
      </c>
      <c r="R383" t="s">
        <v>35</v>
      </c>
      <c r="S383" t="s">
        <v>24</v>
      </c>
      <c r="T383" t="s">
        <v>37</v>
      </c>
      <c r="U383" t="s">
        <v>32</v>
      </c>
      <c r="V383" t="s">
        <v>27</v>
      </c>
      <c r="W383" t="s">
        <v>28</v>
      </c>
      <c r="X383">
        <v>12.5</v>
      </c>
      <c r="Y383">
        <v>87.5</v>
      </c>
      <c r="Z383" t="s">
        <v>29</v>
      </c>
      <c r="AA383" t="s">
        <v>30</v>
      </c>
      <c r="AB383" t="s">
        <v>29</v>
      </c>
      <c r="AC383">
        <v>5.2699999999999997E-2</v>
      </c>
    </row>
    <row r="384" spans="1:29" x14ac:dyDescent="0.3">
      <c r="A384">
        <v>612</v>
      </c>
      <c r="B384" s="6">
        <v>40571</v>
      </c>
      <c r="C384">
        <v>1</v>
      </c>
      <c r="D384">
        <v>17</v>
      </c>
      <c r="E384" t="b">
        <v>0</v>
      </c>
      <c r="F384">
        <v>5</v>
      </c>
      <c r="G384">
        <v>1</v>
      </c>
      <c r="H384">
        <v>0.24</v>
      </c>
      <c r="I384">
        <v>0.2424</v>
      </c>
      <c r="J384">
        <v>0.75</v>
      </c>
      <c r="K384">
        <v>0.1343</v>
      </c>
      <c r="L384">
        <v>2</v>
      </c>
      <c r="M384">
        <v>147</v>
      </c>
      <c r="N384">
        <v>149</v>
      </c>
      <c r="O384" t="s">
        <v>20</v>
      </c>
      <c r="P384" t="s">
        <v>49</v>
      </c>
      <c r="Q384" t="s">
        <v>22</v>
      </c>
      <c r="R384" t="s">
        <v>36</v>
      </c>
      <c r="S384" t="s">
        <v>24</v>
      </c>
      <c r="T384" t="s">
        <v>37</v>
      </c>
      <c r="U384" t="s">
        <v>32</v>
      </c>
      <c r="V384" t="s">
        <v>27</v>
      </c>
      <c r="W384" t="s">
        <v>28</v>
      </c>
      <c r="X384">
        <v>1.3422818791946309</v>
      </c>
      <c r="Y384">
        <v>98.65771812080537</v>
      </c>
      <c r="Z384" t="s">
        <v>31</v>
      </c>
      <c r="AA384" t="s">
        <v>25</v>
      </c>
      <c r="AB384" t="s">
        <v>29</v>
      </c>
      <c r="AC384">
        <v>2.4000000000000128E-3</v>
      </c>
    </row>
    <row r="385" spans="1:29" x14ac:dyDescent="0.3">
      <c r="A385">
        <v>613</v>
      </c>
      <c r="B385" s="6">
        <v>40571</v>
      </c>
      <c r="C385">
        <v>1</v>
      </c>
      <c r="D385">
        <v>18</v>
      </c>
      <c r="E385" t="b">
        <v>0</v>
      </c>
      <c r="F385">
        <v>5</v>
      </c>
      <c r="G385">
        <v>1</v>
      </c>
      <c r="H385">
        <v>0.24</v>
      </c>
      <c r="I385">
        <v>0.2273</v>
      </c>
      <c r="J385">
        <v>0.75</v>
      </c>
      <c r="K385">
        <v>0.19400000000000001</v>
      </c>
      <c r="L385">
        <v>2</v>
      </c>
      <c r="M385">
        <v>107</v>
      </c>
      <c r="N385">
        <v>109</v>
      </c>
      <c r="O385" t="s">
        <v>20</v>
      </c>
      <c r="P385" t="s">
        <v>49</v>
      </c>
      <c r="Q385" t="s">
        <v>22</v>
      </c>
      <c r="R385" t="s">
        <v>36</v>
      </c>
      <c r="S385" t="s">
        <v>24</v>
      </c>
      <c r="T385" t="s">
        <v>37</v>
      </c>
      <c r="U385" t="s">
        <v>26</v>
      </c>
      <c r="V385" t="s">
        <v>27</v>
      </c>
      <c r="W385" t="s">
        <v>28</v>
      </c>
      <c r="X385">
        <v>1.834862385321101</v>
      </c>
      <c r="Y385">
        <v>98.165137614678898</v>
      </c>
      <c r="Z385" t="s">
        <v>31</v>
      </c>
      <c r="AA385" t="s">
        <v>25</v>
      </c>
      <c r="AB385" t="s">
        <v>29</v>
      </c>
      <c r="AC385">
        <v>-1.2699999999999991E-2</v>
      </c>
    </row>
    <row r="386" spans="1:29" x14ac:dyDescent="0.3">
      <c r="A386">
        <v>614</v>
      </c>
      <c r="B386" s="6">
        <v>40571</v>
      </c>
      <c r="C386">
        <v>1</v>
      </c>
      <c r="D386">
        <v>19</v>
      </c>
      <c r="E386" t="b">
        <v>0</v>
      </c>
      <c r="F386">
        <v>5</v>
      </c>
      <c r="G386">
        <v>2</v>
      </c>
      <c r="H386">
        <v>0.24</v>
      </c>
      <c r="I386">
        <v>0.2424</v>
      </c>
      <c r="J386">
        <v>0.75</v>
      </c>
      <c r="K386">
        <v>0.1343</v>
      </c>
      <c r="L386">
        <v>5</v>
      </c>
      <c r="M386">
        <v>84</v>
      </c>
      <c r="N386">
        <v>89</v>
      </c>
      <c r="O386" t="s">
        <v>20</v>
      </c>
      <c r="P386" t="s">
        <v>49</v>
      </c>
      <c r="Q386" t="s">
        <v>34</v>
      </c>
      <c r="R386" t="s">
        <v>36</v>
      </c>
      <c r="S386" t="s">
        <v>24</v>
      </c>
      <c r="T386" t="s">
        <v>37</v>
      </c>
      <c r="U386" t="s">
        <v>32</v>
      </c>
      <c r="V386" t="s">
        <v>27</v>
      </c>
      <c r="W386" t="s">
        <v>28</v>
      </c>
      <c r="X386">
        <v>5.6179775280898872</v>
      </c>
      <c r="Y386">
        <v>94.382022471910105</v>
      </c>
      <c r="Z386" t="s">
        <v>31</v>
      </c>
      <c r="AA386" t="s">
        <v>30</v>
      </c>
      <c r="AB386" t="s">
        <v>29</v>
      </c>
      <c r="AC386">
        <v>2.4000000000000128E-3</v>
      </c>
    </row>
    <row r="387" spans="1:29" x14ac:dyDescent="0.3">
      <c r="A387">
        <v>615</v>
      </c>
      <c r="B387" s="6">
        <v>40571</v>
      </c>
      <c r="C387">
        <v>1</v>
      </c>
      <c r="D387">
        <v>20</v>
      </c>
      <c r="E387" t="b">
        <v>0</v>
      </c>
      <c r="F387">
        <v>5</v>
      </c>
      <c r="G387">
        <v>2</v>
      </c>
      <c r="H387">
        <v>0.24</v>
      </c>
      <c r="I387">
        <v>0.2273</v>
      </c>
      <c r="J387">
        <v>0.7</v>
      </c>
      <c r="K387">
        <v>0.19400000000000001</v>
      </c>
      <c r="L387">
        <v>1</v>
      </c>
      <c r="M387">
        <v>61</v>
      </c>
      <c r="N387">
        <v>62</v>
      </c>
      <c r="O387" t="s">
        <v>20</v>
      </c>
      <c r="P387" t="s">
        <v>49</v>
      </c>
      <c r="Q387" t="s">
        <v>34</v>
      </c>
      <c r="R387" t="s">
        <v>36</v>
      </c>
      <c r="S387" t="s">
        <v>24</v>
      </c>
      <c r="T387" t="s">
        <v>37</v>
      </c>
      <c r="U387" t="s">
        <v>26</v>
      </c>
      <c r="V387" t="s">
        <v>27</v>
      </c>
      <c r="W387" t="s">
        <v>28</v>
      </c>
      <c r="X387">
        <v>1.612903225806452</v>
      </c>
      <c r="Y387">
        <v>98.387096774193552</v>
      </c>
      <c r="Z387" t="s">
        <v>29</v>
      </c>
      <c r="AA387" t="s">
        <v>30</v>
      </c>
      <c r="AB387" t="s">
        <v>29</v>
      </c>
      <c r="AC387">
        <v>-1.2699999999999991E-2</v>
      </c>
    </row>
    <row r="388" spans="1:29" x14ac:dyDescent="0.3">
      <c r="A388">
        <v>616</v>
      </c>
      <c r="B388" s="6">
        <v>40571</v>
      </c>
      <c r="C388">
        <v>1</v>
      </c>
      <c r="D388">
        <v>21</v>
      </c>
      <c r="E388" t="b">
        <v>0</v>
      </c>
      <c r="F388">
        <v>5</v>
      </c>
      <c r="G388">
        <v>2</v>
      </c>
      <c r="H388">
        <v>0.22</v>
      </c>
      <c r="I388">
        <v>0.2273</v>
      </c>
      <c r="J388">
        <v>0.75</v>
      </c>
      <c r="K388">
        <v>0.1343</v>
      </c>
      <c r="L388">
        <v>1</v>
      </c>
      <c r="M388">
        <v>57</v>
      </c>
      <c r="N388">
        <v>58</v>
      </c>
      <c r="O388" t="s">
        <v>20</v>
      </c>
      <c r="P388" t="s">
        <v>49</v>
      </c>
      <c r="Q388" t="s">
        <v>34</v>
      </c>
      <c r="R388" t="s">
        <v>23</v>
      </c>
      <c r="S388" t="s">
        <v>24</v>
      </c>
      <c r="T388" t="s">
        <v>37</v>
      </c>
      <c r="U388" t="s">
        <v>32</v>
      </c>
      <c r="V388" t="s">
        <v>27</v>
      </c>
      <c r="W388" t="s">
        <v>28</v>
      </c>
      <c r="X388">
        <v>1.7241379310344831</v>
      </c>
      <c r="Y388">
        <v>98.275862068965509</v>
      </c>
      <c r="Z388" t="s">
        <v>29</v>
      </c>
      <c r="AA388" t="s">
        <v>30</v>
      </c>
      <c r="AB388" t="s">
        <v>29</v>
      </c>
      <c r="AC388">
        <v>7.3000000000000009E-3</v>
      </c>
    </row>
    <row r="389" spans="1:29" x14ac:dyDescent="0.3">
      <c r="A389">
        <v>617</v>
      </c>
      <c r="B389" s="6">
        <v>40571</v>
      </c>
      <c r="C389">
        <v>1</v>
      </c>
      <c r="D389">
        <v>22</v>
      </c>
      <c r="E389" t="b">
        <v>0</v>
      </c>
      <c r="F389">
        <v>5</v>
      </c>
      <c r="G389">
        <v>1</v>
      </c>
      <c r="H389">
        <v>0.24</v>
      </c>
      <c r="I389">
        <v>0.21210000000000001</v>
      </c>
      <c r="J389">
        <v>0.65</v>
      </c>
      <c r="K389">
        <v>0.35820000000000002</v>
      </c>
      <c r="L389">
        <v>0</v>
      </c>
      <c r="M389">
        <v>26</v>
      </c>
      <c r="N389">
        <v>26</v>
      </c>
      <c r="O389" t="s">
        <v>20</v>
      </c>
      <c r="P389" t="s">
        <v>49</v>
      </c>
      <c r="Q389" t="s">
        <v>22</v>
      </c>
      <c r="R389" t="s">
        <v>23</v>
      </c>
      <c r="S389" t="s">
        <v>24</v>
      </c>
      <c r="T389" t="s">
        <v>25</v>
      </c>
      <c r="U389" t="s">
        <v>42</v>
      </c>
      <c r="V389" t="s">
        <v>27</v>
      </c>
      <c r="W389" t="s">
        <v>28</v>
      </c>
      <c r="X389">
        <v>0</v>
      </c>
      <c r="Y389">
        <v>100</v>
      </c>
      <c r="Z389" t="s">
        <v>29</v>
      </c>
      <c r="AA389" t="s">
        <v>30</v>
      </c>
      <c r="AB389" t="s">
        <v>29</v>
      </c>
      <c r="AC389">
        <v>-2.789999999999998E-2</v>
      </c>
    </row>
    <row r="390" spans="1:29" x14ac:dyDescent="0.3">
      <c r="A390">
        <v>618</v>
      </c>
      <c r="B390" s="6">
        <v>40571</v>
      </c>
      <c r="C390">
        <v>1</v>
      </c>
      <c r="D390">
        <v>23</v>
      </c>
      <c r="E390" t="b">
        <v>0</v>
      </c>
      <c r="F390">
        <v>5</v>
      </c>
      <c r="G390">
        <v>1</v>
      </c>
      <c r="H390">
        <v>0.24</v>
      </c>
      <c r="I390">
        <v>0.2273</v>
      </c>
      <c r="J390">
        <v>0.6</v>
      </c>
      <c r="K390">
        <v>0.22389999999999999</v>
      </c>
      <c r="L390">
        <v>1</v>
      </c>
      <c r="M390">
        <v>22</v>
      </c>
      <c r="N390">
        <v>23</v>
      </c>
      <c r="O390" t="s">
        <v>20</v>
      </c>
      <c r="P390" t="s">
        <v>49</v>
      </c>
      <c r="Q390" t="s">
        <v>22</v>
      </c>
      <c r="R390" t="s">
        <v>23</v>
      </c>
      <c r="S390" t="s">
        <v>24</v>
      </c>
      <c r="T390" t="s">
        <v>25</v>
      </c>
      <c r="U390" t="s">
        <v>26</v>
      </c>
      <c r="V390" t="s">
        <v>27</v>
      </c>
      <c r="W390" t="s">
        <v>28</v>
      </c>
      <c r="X390">
        <v>4.3478260869565224</v>
      </c>
      <c r="Y390">
        <v>95.652173913043484</v>
      </c>
      <c r="Z390" t="s">
        <v>29</v>
      </c>
      <c r="AA390" t="s">
        <v>30</v>
      </c>
      <c r="AB390" t="s">
        <v>29</v>
      </c>
      <c r="AC390">
        <v>-1.2699999999999991E-2</v>
      </c>
    </row>
    <row r="391" spans="1:29" x14ac:dyDescent="0.3">
      <c r="A391">
        <v>619</v>
      </c>
      <c r="B391" s="6">
        <v>40572</v>
      </c>
      <c r="C391">
        <v>1</v>
      </c>
      <c r="D391">
        <v>0</v>
      </c>
      <c r="E391" t="b">
        <v>0</v>
      </c>
      <c r="F391">
        <v>6</v>
      </c>
      <c r="G391">
        <v>1</v>
      </c>
      <c r="H391">
        <v>0.22</v>
      </c>
      <c r="I391">
        <v>0.19700000000000001</v>
      </c>
      <c r="J391">
        <v>0.64</v>
      </c>
      <c r="K391">
        <v>0.35820000000000002</v>
      </c>
      <c r="L391">
        <v>2</v>
      </c>
      <c r="M391">
        <v>26</v>
      </c>
      <c r="N391">
        <v>28</v>
      </c>
      <c r="O391" t="s">
        <v>20</v>
      </c>
      <c r="P391" t="s">
        <v>21</v>
      </c>
      <c r="Q391" t="s">
        <v>22</v>
      </c>
      <c r="R391" t="s">
        <v>23</v>
      </c>
      <c r="S391" t="s">
        <v>24</v>
      </c>
      <c r="T391" t="s">
        <v>25</v>
      </c>
      <c r="U391" t="s">
        <v>42</v>
      </c>
      <c r="V391" t="s">
        <v>27</v>
      </c>
      <c r="W391" t="s">
        <v>28</v>
      </c>
      <c r="X391">
        <v>7.1428571428571423</v>
      </c>
      <c r="Y391">
        <v>92.857142857142861</v>
      </c>
      <c r="Z391" t="s">
        <v>29</v>
      </c>
      <c r="AA391" t="s">
        <v>30</v>
      </c>
      <c r="AB391" t="s">
        <v>31</v>
      </c>
      <c r="AC391">
        <v>-2.2999999999999989E-2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4C1D1-FD0E-469E-A8E2-5381B5229BD7}">
  <dimension ref="A45:J77"/>
  <sheetViews>
    <sheetView tabSelected="1" zoomScale="86" zoomScaleNormal="130" workbookViewId="0">
      <selection activeCell="G41" sqref="G41"/>
    </sheetView>
  </sheetViews>
  <sheetFormatPr defaultRowHeight="14.4" x14ac:dyDescent="0.3"/>
  <cols>
    <col min="1" max="1" width="20.77734375" bestFit="1" customWidth="1"/>
    <col min="2" max="2" width="18.6640625" bestFit="1" customWidth="1"/>
    <col min="3" max="3" width="25" bestFit="1" customWidth="1"/>
    <col min="4" max="4" width="11.33203125" bestFit="1" customWidth="1"/>
    <col min="5" max="5" width="21.44140625" bestFit="1" customWidth="1"/>
    <col min="6" max="6" width="26.33203125" bestFit="1" customWidth="1"/>
    <col min="7" max="7" width="11.5546875" bestFit="1" customWidth="1"/>
    <col min="8" max="8" width="22.6640625" bestFit="1" customWidth="1"/>
    <col min="9" max="9" width="26.33203125" bestFit="1" customWidth="1"/>
    <col min="10" max="10" width="21.44140625" bestFit="1" customWidth="1"/>
    <col min="11" max="38" width="15.77734375" bestFit="1" customWidth="1"/>
    <col min="39" max="39" width="6.88671875" bestFit="1" customWidth="1"/>
    <col min="40" max="87" width="4.33203125" bestFit="1" customWidth="1"/>
    <col min="88" max="88" width="6.88671875" bestFit="1" customWidth="1"/>
    <col min="89" max="126" width="4.33203125" bestFit="1" customWidth="1"/>
    <col min="127" max="127" width="6.88671875" bestFit="1" customWidth="1"/>
    <col min="128" max="160" width="4.33203125" bestFit="1" customWidth="1"/>
    <col min="161" max="161" width="6.88671875" bestFit="1" customWidth="1"/>
    <col min="162" max="188" width="4.33203125" bestFit="1" customWidth="1"/>
    <col min="189" max="189" width="6.88671875" bestFit="1" customWidth="1"/>
    <col min="190" max="211" width="4.33203125" bestFit="1" customWidth="1"/>
    <col min="212" max="212" width="6.88671875" bestFit="1" customWidth="1"/>
    <col min="213" max="226" width="4.33203125" bestFit="1" customWidth="1"/>
    <col min="227" max="227" width="6.88671875" bestFit="1" customWidth="1"/>
    <col min="228" max="241" width="4.33203125" bestFit="1" customWidth="1"/>
    <col min="242" max="242" width="6.88671875" bestFit="1" customWidth="1"/>
    <col min="243" max="251" width="4.33203125" bestFit="1" customWidth="1"/>
    <col min="252" max="252" width="6.88671875" bestFit="1" customWidth="1"/>
    <col min="253" max="264" width="4.33203125" bestFit="1" customWidth="1"/>
    <col min="265" max="265" width="6.88671875" bestFit="1" customWidth="1"/>
    <col min="266" max="273" width="5.109375" bestFit="1" customWidth="1"/>
    <col min="274" max="274" width="8" bestFit="1" customWidth="1"/>
    <col min="275" max="277" width="5.109375" bestFit="1" customWidth="1"/>
    <col min="278" max="278" width="8" bestFit="1" customWidth="1"/>
    <col min="279" max="282" width="5.109375" bestFit="1" customWidth="1"/>
    <col min="283" max="283" width="8" bestFit="1" customWidth="1"/>
    <col min="284" max="285" width="5.109375" bestFit="1" customWidth="1"/>
    <col min="286" max="286" width="8" bestFit="1" customWidth="1"/>
    <col min="287" max="289" width="5.109375" bestFit="1" customWidth="1"/>
    <col min="290" max="290" width="8" bestFit="1" customWidth="1"/>
    <col min="291" max="293" width="5.109375" bestFit="1" customWidth="1"/>
    <col min="294" max="294" width="8" bestFit="1" customWidth="1"/>
    <col min="295" max="295" width="5.109375" bestFit="1" customWidth="1"/>
    <col min="296" max="296" width="8" bestFit="1" customWidth="1"/>
    <col min="297" max="298" width="5.109375" bestFit="1" customWidth="1"/>
    <col min="299" max="299" width="8" bestFit="1" customWidth="1"/>
    <col min="300" max="301" width="5.109375" bestFit="1" customWidth="1"/>
    <col min="302" max="302" width="8" bestFit="1" customWidth="1"/>
    <col min="303" max="305" width="5.109375" bestFit="1" customWidth="1"/>
    <col min="306" max="306" width="8" bestFit="1" customWidth="1"/>
    <col min="307" max="307" width="5.109375" bestFit="1" customWidth="1"/>
    <col min="308" max="308" width="8" bestFit="1" customWidth="1"/>
    <col min="309" max="309" width="5.109375" bestFit="1" customWidth="1"/>
    <col min="310" max="310" width="8" bestFit="1" customWidth="1"/>
    <col min="311" max="312" width="5.109375" bestFit="1" customWidth="1"/>
    <col min="313" max="313" width="8" bestFit="1" customWidth="1"/>
    <col min="314" max="314" width="5.109375" bestFit="1" customWidth="1"/>
    <col min="315" max="315" width="8" bestFit="1" customWidth="1"/>
    <col min="316" max="316" width="5.109375" bestFit="1" customWidth="1"/>
    <col min="317" max="317" width="8" bestFit="1" customWidth="1"/>
    <col min="318" max="319" width="5.109375" bestFit="1" customWidth="1"/>
    <col min="320" max="320" width="8" bestFit="1" customWidth="1"/>
    <col min="321" max="323" width="5.109375" bestFit="1" customWidth="1"/>
    <col min="324" max="324" width="8" bestFit="1" customWidth="1"/>
    <col min="325" max="325" width="5.109375" bestFit="1" customWidth="1"/>
    <col min="326" max="326" width="8" bestFit="1" customWidth="1"/>
    <col min="327" max="327" width="5.109375" bestFit="1" customWidth="1"/>
    <col min="328" max="328" width="8" bestFit="1" customWidth="1"/>
    <col min="329" max="330" width="5.109375" bestFit="1" customWidth="1"/>
    <col min="331" max="331" width="8" bestFit="1" customWidth="1"/>
    <col min="332" max="334" width="5.109375" bestFit="1" customWidth="1"/>
    <col min="335" max="335" width="8" bestFit="1" customWidth="1"/>
    <col min="336" max="336" width="5.109375" bestFit="1" customWidth="1"/>
    <col min="337" max="337" width="8" bestFit="1" customWidth="1"/>
    <col min="338" max="338" width="5.109375" bestFit="1" customWidth="1"/>
    <col min="339" max="339" width="8" bestFit="1" customWidth="1"/>
    <col min="340" max="340" width="5.109375" bestFit="1" customWidth="1"/>
    <col min="341" max="341" width="8" bestFit="1" customWidth="1"/>
    <col min="342" max="342" width="5.109375" bestFit="1" customWidth="1"/>
    <col min="343" max="343" width="8" bestFit="1" customWidth="1"/>
    <col min="344" max="344" width="5.109375" bestFit="1" customWidth="1"/>
    <col min="345" max="345" width="8" bestFit="1" customWidth="1"/>
    <col min="346" max="346" width="11" bestFit="1" customWidth="1"/>
    <col min="347" max="347" width="9" bestFit="1" customWidth="1"/>
    <col min="348" max="349" width="6.21875" bestFit="1" customWidth="1"/>
    <col min="350" max="350" width="9" bestFit="1" customWidth="1"/>
    <col min="351" max="352" width="6.21875" bestFit="1" customWidth="1"/>
    <col min="353" max="353" width="9" bestFit="1" customWidth="1"/>
    <col min="354" max="354" width="6.21875" bestFit="1" customWidth="1"/>
    <col min="355" max="355" width="9" bestFit="1" customWidth="1"/>
    <col min="356" max="356" width="6.21875" bestFit="1" customWidth="1"/>
    <col min="357" max="357" width="9" bestFit="1" customWidth="1"/>
    <col min="358" max="358" width="6.21875" bestFit="1" customWidth="1"/>
    <col min="359" max="359" width="9" bestFit="1" customWidth="1"/>
    <col min="360" max="361" width="6.21875" bestFit="1" customWidth="1"/>
    <col min="362" max="362" width="9" bestFit="1" customWidth="1"/>
    <col min="363" max="364" width="6.21875" bestFit="1" customWidth="1"/>
    <col min="365" max="365" width="9" bestFit="1" customWidth="1"/>
    <col min="366" max="366" width="6.21875" bestFit="1" customWidth="1"/>
    <col min="367" max="367" width="9" bestFit="1" customWidth="1"/>
    <col min="368" max="368" width="6.21875" bestFit="1" customWidth="1"/>
    <col min="369" max="369" width="9" bestFit="1" customWidth="1"/>
    <col min="370" max="370" width="6.21875" bestFit="1" customWidth="1"/>
    <col min="371" max="371" width="9" bestFit="1" customWidth="1"/>
    <col min="372" max="373" width="6.21875" bestFit="1" customWidth="1"/>
    <col min="374" max="374" width="9" bestFit="1" customWidth="1"/>
    <col min="375" max="376" width="6.21875" bestFit="1" customWidth="1"/>
    <col min="377" max="377" width="9" bestFit="1" customWidth="1"/>
    <col min="378" max="378" width="6.21875" bestFit="1" customWidth="1"/>
    <col min="379" max="379" width="9" bestFit="1" customWidth="1"/>
    <col min="380" max="380" width="6.21875" bestFit="1" customWidth="1"/>
    <col min="381" max="381" width="9" bestFit="1" customWidth="1"/>
    <col min="382" max="382" width="6.21875" bestFit="1" customWidth="1"/>
    <col min="383" max="383" width="9" bestFit="1" customWidth="1"/>
    <col min="384" max="384" width="6.21875" bestFit="1" customWidth="1"/>
    <col min="385" max="385" width="9" bestFit="1" customWidth="1"/>
    <col min="386" max="386" width="6.21875" bestFit="1" customWidth="1"/>
    <col min="387" max="387" width="9" bestFit="1" customWidth="1"/>
    <col min="388" max="388" width="6.21875" bestFit="1" customWidth="1"/>
    <col min="389" max="389" width="9" bestFit="1" customWidth="1"/>
    <col min="390" max="391" width="6.21875" bestFit="1" customWidth="1"/>
    <col min="392" max="392" width="9" bestFit="1" customWidth="1"/>
    <col min="393" max="393" width="6.21875" bestFit="1" customWidth="1"/>
    <col min="394" max="394" width="9" bestFit="1" customWidth="1"/>
    <col min="395" max="395" width="6.21875" bestFit="1" customWidth="1"/>
    <col min="396" max="396" width="9" bestFit="1" customWidth="1"/>
    <col min="397" max="398" width="6.21875" bestFit="1" customWidth="1"/>
    <col min="399" max="399" width="9" bestFit="1" customWidth="1"/>
    <col min="400" max="400" width="6.21875" bestFit="1" customWidth="1"/>
    <col min="401" max="401" width="9" bestFit="1" customWidth="1"/>
    <col min="402" max="402" width="6.21875" bestFit="1" customWidth="1"/>
    <col min="403" max="403" width="9" bestFit="1" customWidth="1"/>
    <col min="404" max="404" width="6.21875" bestFit="1" customWidth="1"/>
    <col min="405" max="405" width="9" bestFit="1" customWidth="1"/>
    <col min="406" max="406" width="6.21875" bestFit="1" customWidth="1"/>
    <col min="407" max="407" width="9" bestFit="1" customWidth="1"/>
    <col min="408" max="408" width="6.21875" bestFit="1" customWidth="1"/>
    <col min="409" max="409" width="9" bestFit="1" customWidth="1"/>
    <col min="410" max="410" width="6.21875" bestFit="1" customWidth="1"/>
    <col min="411" max="411" width="9" bestFit="1" customWidth="1"/>
    <col min="412" max="412" width="6.21875" bestFit="1" customWidth="1"/>
    <col min="413" max="413" width="9" bestFit="1" customWidth="1"/>
    <col min="414" max="414" width="6.21875" bestFit="1" customWidth="1"/>
    <col min="415" max="415" width="9" bestFit="1" customWidth="1"/>
    <col min="416" max="417" width="6.21875" bestFit="1" customWidth="1"/>
    <col min="418" max="418" width="9" bestFit="1" customWidth="1"/>
    <col min="419" max="419" width="6.21875" bestFit="1" customWidth="1"/>
    <col min="420" max="420" width="9" bestFit="1" customWidth="1"/>
    <col min="421" max="422" width="6.21875" bestFit="1" customWidth="1"/>
    <col min="423" max="423" width="9" bestFit="1" customWidth="1"/>
    <col min="424" max="424" width="6.21875" bestFit="1" customWidth="1"/>
    <col min="425" max="425" width="9" bestFit="1" customWidth="1"/>
    <col min="426" max="426" width="6.21875" bestFit="1" customWidth="1"/>
    <col min="427" max="427" width="9" bestFit="1" customWidth="1"/>
    <col min="428" max="428" width="6.21875" bestFit="1" customWidth="1"/>
    <col min="429" max="429" width="9" bestFit="1" customWidth="1"/>
    <col min="430" max="430" width="6.21875" bestFit="1" customWidth="1"/>
    <col min="431" max="431" width="9" bestFit="1" customWidth="1"/>
    <col min="432" max="432" width="6.21875" bestFit="1" customWidth="1"/>
    <col min="433" max="433" width="9" bestFit="1" customWidth="1"/>
    <col min="434" max="434" width="6.21875" bestFit="1" customWidth="1"/>
    <col min="435" max="435" width="9" bestFit="1" customWidth="1"/>
    <col min="436" max="436" width="6.21875" bestFit="1" customWidth="1"/>
    <col min="437" max="437" width="9" bestFit="1" customWidth="1"/>
    <col min="438" max="438" width="6.21875" bestFit="1" customWidth="1"/>
    <col min="439" max="439" width="9" bestFit="1" customWidth="1"/>
    <col min="440" max="440" width="6.21875" bestFit="1" customWidth="1"/>
    <col min="441" max="441" width="9" bestFit="1" customWidth="1"/>
    <col min="442" max="442" width="6.21875" bestFit="1" customWidth="1"/>
    <col min="443" max="443" width="9" bestFit="1" customWidth="1"/>
    <col min="444" max="444" width="6.21875" bestFit="1" customWidth="1"/>
    <col min="445" max="445" width="9" bestFit="1" customWidth="1"/>
    <col min="446" max="446" width="6.21875" bestFit="1" customWidth="1"/>
    <col min="447" max="447" width="9" bestFit="1" customWidth="1"/>
    <col min="448" max="448" width="6.21875" bestFit="1" customWidth="1"/>
    <col min="449" max="449" width="9" bestFit="1" customWidth="1"/>
    <col min="450" max="450" width="6.21875" bestFit="1" customWidth="1"/>
    <col min="451" max="451" width="9" bestFit="1" customWidth="1"/>
    <col min="452" max="452" width="6.21875" bestFit="1" customWidth="1"/>
    <col min="453" max="453" width="9" bestFit="1" customWidth="1"/>
    <col min="454" max="454" width="6.21875" bestFit="1" customWidth="1"/>
    <col min="455" max="455" width="9" bestFit="1" customWidth="1"/>
    <col min="456" max="456" width="11" bestFit="1" customWidth="1"/>
  </cols>
  <sheetData>
    <row r="45" spans="1:10" x14ac:dyDescent="0.3">
      <c r="A45" s="3" t="s">
        <v>62</v>
      </c>
      <c r="B45" t="s">
        <v>64</v>
      </c>
      <c r="D45" s="3" t="s">
        <v>63</v>
      </c>
      <c r="E45" t="s">
        <v>60</v>
      </c>
      <c r="F45" t="s">
        <v>61</v>
      </c>
      <c r="G45" s="3" t="s">
        <v>65</v>
      </c>
      <c r="H45" t="s">
        <v>60</v>
      </c>
      <c r="I45" t="s">
        <v>61</v>
      </c>
      <c r="J45" t="s">
        <v>64</v>
      </c>
    </row>
    <row r="46" spans="1:10" x14ac:dyDescent="0.3">
      <c r="A46" s="4">
        <v>7.5800000000000006E-2</v>
      </c>
      <c r="B46" s="8">
        <v>299</v>
      </c>
      <c r="D46" s="4" t="s">
        <v>35</v>
      </c>
      <c r="E46" s="8">
        <v>1148</v>
      </c>
      <c r="F46" s="8">
        <v>6079</v>
      </c>
      <c r="G46" s="4" t="s">
        <v>37</v>
      </c>
      <c r="H46" s="8">
        <v>356</v>
      </c>
      <c r="I46" s="8">
        <v>6383</v>
      </c>
      <c r="J46" s="8">
        <v>6739</v>
      </c>
    </row>
    <row r="47" spans="1:10" x14ac:dyDescent="0.3">
      <c r="A47" s="4">
        <v>0.1061</v>
      </c>
      <c r="B47" s="8">
        <v>365</v>
      </c>
      <c r="D47" s="4" t="s">
        <v>36</v>
      </c>
      <c r="E47" s="8">
        <v>408</v>
      </c>
      <c r="F47" s="8">
        <v>6975</v>
      </c>
      <c r="G47" s="4" t="s">
        <v>30</v>
      </c>
      <c r="H47" s="8">
        <v>811</v>
      </c>
      <c r="I47" s="8">
        <v>4964</v>
      </c>
      <c r="J47" s="8">
        <v>5775</v>
      </c>
    </row>
    <row r="48" spans="1:10" x14ac:dyDescent="0.3">
      <c r="A48" s="4">
        <v>0.1212</v>
      </c>
      <c r="B48" s="8">
        <v>901</v>
      </c>
      <c r="D48" s="4" t="s">
        <v>33</v>
      </c>
      <c r="E48" s="8">
        <v>387</v>
      </c>
      <c r="F48" s="8">
        <v>6442</v>
      </c>
      <c r="G48" s="4" t="s">
        <v>25</v>
      </c>
      <c r="H48" s="8">
        <v>1008</v>
      </c>
      <c r="I48" s="8">
        <v>10884</v>
      </c>
      <c r="J48" s="8">
        <v>11892</v>
      </c>
    </row>
    <row r="49" spans="1:10" x14ac:dyDescent="0.3">
      <c r="A49" s="4">
        <v>0.13639999999999999</v>
      </c>
      <c r="B49" s="8">
        <v>1178</v>
      </c>
      <c r="D49" s="4" t="s">
        <v>23</v>
      </c>
      <c r="E49" s="8">
        <v>232</v>
      </c>
      <c r="F49" s="8">
        <v>2735</v>
      </c>
      <c r="G49" s="4" t="s">
        <v>59</v>
      </c>
      <c r="H49" s="8">
        <v>2175</v>
      </c>
      <c r="I49" s="8">
        <v>22231</v>
      </c>
      <c r="J49" s="8">
        <v>24406</v>
      </c>
    </row>
    <row r="50" spans="1:10" x14ac:dyDescent="0.3">
      <c r="A50" s="4">
        <v>0.1515</v>
      </c>
      <c r="B50" s="8">
        <v>1091</v>
      </c>
      <c r="D50" s="4" t="s">
        <v>59</v>
      </c>
      <c r="E50" s="8">
        <v>2175</v>
      </c>
      <c r="F50" s="8">
        <v>22231</v>
      </c>
    </row>
    <row r="51" spans="1:10" x14ac:dyDescent="0.3">
      <c r="A51" s="4">
        <v>0.16669999999999999</v>
      </c>
      <c r="B51" s="8">
        <v>724</v>
      </c>
    </row>
    <row r="52" spans="1:10" x14ac:dyDescent="0.3">
      <c r="A52" s="4">
        <v>0.18179999999999999</v>
      </c>
      <c r="B52" s="8">
        <v>1782</v>
      </c>
      <c r="D52" s="3" t="s">
        <v>66</v>
      </c>
      <c r="E52" t="s">
        <v>64</v>
      </c>
    </row>
    <row r="53" spans="1:10" x14ac:dyDescent="0.3">
      <c r="A53" s="4">
        <v>0.19700000000000001</v>
      </c>
      <c r="B53" s="8">
        <v>1960</v>
      </c>
      <c r="D53" s="4">
        <v>0</v>
      </c>
      <c r="E53" s="8">
        <v>333</v>
      </c>
      <c r="F53" s="5" t="s">
        <v>67</v>
      </c>
      <c r="G53">
        <f>SUM(Modified_Dataset_3!L:L)</f>
        <v>2175</v>
      </c>
    </row>
    <row r="54" spans="1:10" x14ac:dyDescent="0.3">
      <c r="A54" s="4">
        <v>0.21210000000000001</v>
      </c>
      <c r="B54" s="8">
        <v>1621</v>
      </c>
      <c r="D54" s="4">
        <v>1</v>
      </c>
      <c r="E54" s="8">
        <v>221</v>
      </c>
      <c r="F54" s="5" t="s">
        <v>68</v>
      </c>
      <c r="G54">
        <f>SUM(Modified_Dataset_3!M:M)</f>
        <v>22231</v>
      </c>
    </row>
    <row r="55" spans="1:10" x14ac:dyDescent="0.3">
      <c r="A55" s="4">
        <v>0.2273</v>
      </c>
      <c r="B55" s="8">
        <v>2678</v>
      </c>
      <c r="D55" s="4">
        <v>2</v>
      </c>
      <c r="E55" s="8">
        <v>124</v>
      </c>
    </row>
    <row r="56" spans="1:10" x14ac:dyDescent="0.3">
      <c r="A56" s="4">
        <v>0.2424</v>
      </c>
      <c r="B56" s="8">
        <v>1592</v>
      </c>
      <c r="D56" s="4">
        <v>3</v>
      </c>
      <c r="E56" s="8">
        <v>75</v>
      </c>
    </row>
    <row r="57" spans="1:10" x14ac:dyDescent="0.3">
      <c r="A57" s="4">
        <v>0.2576</v>
      </c>
      <c r="B57" s="8">
        <v>1364</v>
      </c>
      <c r="D57" s="4">
        <v>4</v>
      </c>
      <c r="E57" s="8">
        <v>31</v>
      </c>
    </row>
    <row r="58" spans="1:10" x14ac:dyDescent="0.3">
      <c r="A58" s="4">
        <v>0.2727</v>
      </c>
      <c r="B58" s="8">
        <v>1423</v>
      </c>
      <c r="D58" s="4">
        <v>5</v>
      </c>
      <c r="E58" s="8">
        <v>69</v>
      </c>
    </row>
    <row r="59" spans="1:10" x14ac:dyDescent="0.3">
      <c r="A59" s="4">
        <v>0.28789999999999999</v>
      </c>
      <c r="B59" s="8">
        <v>1527</v>
      </c>
      <c r="D59" s="4">
        <v>6</v>
      </c>
      <c r="E59" s="8">
        <v>346</v>
      </c>
    </row>
    <row r="60" spans="1:10" x14ac:dyDescent="0.3">
      <c r="A60" s="4">
        <v>0.30299999999999999</v>
      </c>
      <c r="B60" s="8">
        <v>1043</v>
      </c>
      <c r="D60" s="4">
        <v>7</v>
      </c>
      <c r="E60" s="8">
        <v>946</v>
      </c>
    </row>
    <row r="61" spans="1:10" x14ac:dyDescent="0.3">
      <c r="A61" s="4">
        <v>0.31819999999999998</v>
      </c>
      <c r="B61" s="8">
        <v>1197</v>
      </c>
      <c r="D61" s="4">
        <v>8</v>
      </c>
      <c r="E61" s="8">
        <v>2070</v>
      </c>
    </row>
    <row r="62" spans="1:10" x14ac:dyDescent="0.3">
      <c r="A62" s="4">
        <v>0.33329999999999999</v>
      </c>
      <c r="B62" s="8">
        <v>1085</v>
      </c>
      <c r="D62" s="4">
        <v>9</v>
      </c>
      <c r="E62" s="8">
        <v>1476</v>
      </c>
    </row>
    <row r="63" spans="1:10" x14ac:dyDescent="0.3">
      <c r="A63" s="4">
        <v>0.34849999999999998</v>
      </c>
      <c r="B63" s="8">
        <v>886</v>
      </c>
      <c r="D63" s="4">
        <v>10</v>
      </c>
      <c r="E63" s="8">
        <v>952</v>
      </c>
    </row>
    <row r="64" spans="1:10" x14ac:dyDescent="0.3">
      <c r="A64" s="4">
        <v>0.36359999999999998</v>
      </c>
      <c r="B64" s="8">
        <v>427</v>
      </c>
      <c r="D64" s="4">
        <v>11</v>
      </c>
      <c r="E64" s="8">
        <v>1039</v>
      </c>
    </row>
    <row r="65" spans="1:5" x14ac:dyDescent="0.3">
      <c r="A65" s="4">
        <v>0.39389999999999997</v>
      </c>
      <c r="B65" s="8">
        <v>361</v>
      </c>
      <c r="D65" s="4">
        <v>12</v>
      </c>
      <c r="E65" s="8">
        <v>1347</v>
      </c>
    </row>
    <row r="66" spans="1:5" x14ac:dyDescent="0.3">
      <c r="A66" s="4">
        <v>0.40910000000000002</v>
      </c>
      <c r="B66" s="8">
        <v>643</v>
      </c>
      <c r="D66" s="4">
        <v>13</v>
      </c>
      <c r="E66" s="8">
        <v>1361</v>
      </c>
    </row>
    <row r="67" spans="1:5" x14ac:dyDescent="0.3">
      <c r="A67" s="4">
        <v>0.42420000000000002</v>
      </c>
      <c r="B67" s="8">
        <v>259</v>
      </c>
      <c r="D67" s="4">
        <v>14</v>
      </c>
      <c r="E67" s="8">
        <v>1373</v>
      </c>
    </row>
    <row r="68" spans="1:5" x14ac:dyDescent="0.3">
      <c r="A68" s="4" t="s">
        <v>59</v>
      </c>
      <c r="B68" s="8">
        <v>24406</v>
      </c>
      <c r="D68" s="4">
        <v>15</v>
      </c>
      <c r="E68" s="8">
        <v>1418</v>
      </c>
    </row>
    <row r="69" spans="1:5" x14ac:dyDescent="0.3">
      <c r="D69" s="4">
        <v>16</v>
      </c>
      <c r="E69" s="8">
        <v>1728</v>
      </c>
    </row>
    <row r="70" spans="1:5" x14ac:dyDescent="0.3">
      <c r="D70" s="4">
        <v>17</v>
      </c>
      <c r="E70" s="8">
        <v>2619</v>
      </c>
    </row>
    <row r="71" spans="1:5" x14ac:dyDescent="0.3">
      <c r="D71" s="4">
        <v>18</v>
      </c>
      <c r="E71" s="8">
        <v>2201</v>
      </c>
    </row>
    <row r="72" spans="1:5" x14ac:dyDescent="0.3">
      <c r="D72" s="4">
        <v>19</v>
      </c>
      <c r="E72" s="8">
        <v>1448</v>
      </c>
    </row>
    <row r="73" spans="1:5" x14ac:dyDescent="0.3">
      <c r="D73" s="4">
        <v>20</v>
      </c>
      <c r="E73" s="8">
        <v>1115</v>
      </c>
    </row>
    <row r="74" spans="1:5" x14ac:dyDescent="0.3">
      <c r="D74" s="4">
        <v>21</v>
      </c>
      <c r="E74" s="8">
        <v>921</v>
      </c>
    </row>
    <row r="75" spans="1:5" x14ac:dyDescent="0.3">
      <c r="D75" s="4">
        <v>22</v>
      </c>
      <c r="E75" s="8">
        <v>670</v>
      </c>
    </row>
    <row r="76" spans="1:5" x14ac:dyDescent="0.3">
      <c r="D76" s="4">
        <v>23</v>
      </c>
      <c r="E76" s="8">
        <v>523</v>
      </c>
    </row>
    <row r="77" spans="1:5" x14ac:dyDescent="0.3">
      <c r="D77" s="4" t="s">
        <v>59</v>
      </c>
      <c r="E77" s="8">
        <v>24406</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8C559-1D6B-42E0-941E-5B7CB0E53129}">
  <dimension ref="A22:E45"/>
  <sheetViews>
    <sheetView workbookViewId="0">
      <selection activeCell="M23" sqref="M23"/>
    </sheetView>
  </sheetViews>
  <sheetFormatPr defaultRowHeight="14.4" x14ac:dyDescent="0.3"/>
  <cols>
    <col min="1" max="1" width="10.33203125" bestFit="1" customWidth="1"/>
    <col min="2" max="2" width="15.6640625" customWidth="1"/>
    <col min="3" max="3" width="24" customWidth="1"/>
    <col min="4" max="4" width="38.109375" customWidth="1"/>
    <col min="5" max="5" width="38.21875" customWidth="1"/>
  </cols>
  <sheetData>
    <row r="22" spans="1:5" x14ac:dyDescent="0.3">
      <c r="A22" t="s">
        <v>50</v>
      </c>
      <c r="B22" s="7" t="s">
        <v>58</v>
      </c>
      <c r="C22" s="7" t="s">
        <v>69</v>
      </c>
      <c r="D22" s="7" t="s">
        <v>70</v>
      </c>
      <c r="E22" s="7" t="s">
        <v>71</v>
      </c>
    </row>
    <row r="23" spans="1:5" x14ac:dyDescent="0.3">
      <c r="A23" s="6">
        <v>40571</v>
      </c>
      <c r="B23" s="7">
        <v>74.5</v>
      </c>
      <c r="C23" s="7"/>
      <c r="D23" s="7"/>
      <c r="E23" s="7"/>
    </row>
    <row r="24" spans="1:5" x14ac:dyDescent="0.3">
      <c r="A24" s="6">
        <v>40572</v>
      </c>
      <c r="B24" s="7">
        <v>47.739130434782609</v>
      </c>
      <c r="C24" s="7"/>
      <c r="D24" s="7"/>
      <c r="E24" s="7"/>
    </row>
    <row r="25" spans="1:5" x14ac:dyDescent="0.3">
      <c r="A25" s="6">
        <v>40573</v>
      </c>
      <c r="B25" s="7">
        <v>47.652173913043477</v>
      </c>
      <c r="C25" s="7"/>
      <c r="D25" s="7"/>
      <c r="E25" s="7"/>
    </row>
    <row r="26" spans="1:5" x14ac:dyDescent="0.3">
      <c r="A26" s="6">
        <v>40574</v>
      </c>
      <c r="B26" s="7">
        <v>62.541666666666664</v>
      </c>
      <c r="C26" s="7"/>
      <c r="D26" s="7"/>
      <c r="E26" s="7"/>
    </row>
    <row r="27" spans="1:5" x14ac:dyDescent="0.3">
      <c r="A27" s="6">
        <v>40575</v>
      </c>
      <c r="B27" s="7">
        <v>59.130434782608695</v>
      </c>
      <c r="C27" s="7"/>
      <c r="D27" s="7"/>
      <c r="E27" s="7"/>
    </row>
    <row r="28" spans="1:5" x14ac:dyDescent="0.3">
      <c r="A28" s="6">
        <v>40576</v>
      </c>
      <c r="B28" s="7">
        <v>63.583333333333336</v>
      </c>
      <c r="C28" s="7"/>
      <c r="D28" s="7"/>
      <c r="E28" s="7"/>
    </row>
    <row r="29" spans="1:5" x14ac:dyDescent="0.3">
      <c r="A29" s="6">
        <v>40577</v>
      </c>
      <c r="B29" s="7">
        <v>67.391304347826093</v>
      </c>
      <c r="C29" s="7"/>
      <c r="D29" s="7"/>
      <c r="E29" s="7"/>
    </row>
    <row r="30" spans="1:5" x14ac:dyDescent="0.3">
      <c r="A30" s="6">
        <v>40578</v>
      </c>
      <c r="B30" s="7">
        <v>74.260869565217391</v>
      </c>
      <c r="C30" s="7"/>
      <c r="D30" s="7"/>
      <c r="E30" s="7"/>
    </row>
    <row r="31" spans="1:5" x14ac:dyDescent="0.3">
      <c r="A31" s="6">
        <v>40579</v>
      </c>
      <c r="B31" s="7">
        <v>41.875</v>
      </c>
      <c r="C31" s="7"/>
      <c r="D31" s="7"/>
      <c r="E31" s="7"/>
    </row>
    <row r="32" spans="1:5" x14ac:dyDescent="0.3">
      <c r="A32" s="6">
        <v>40580</v>
      </c>
      <c r="B32" s="7">
        <v>67.625</v>
      </c>
      <c r="C32" s="7"/>
      <c r="D32" s="7"/>
      <c r="E32" s="7"/>
    </row>
    <row r="33" spans="1:5" x14ac:dyDescent="0.3">
      <c r="A33" s="6">
        <v>40581</v>
      </c>
      <c r="B33" s="7">
        <v>71.333333333333329</v>
      </c>
      <c r="C33" s="7"/>
      <c r="D33" s="7"/>
      <c r="E33" s="7"/>
    </row>
    <row r="34" spans="1:5" x14ac:dyDescent="0.3">
      <c r="A34" s="6">
        <v>40582</v>
      </c>
      <c r="B34" s="7">
        <v>63.75</v>
      </c>
      <c r="C34" s="7"/>
      <c r="D34" s="7"/>
      <c r="E34" s="7"/>
    </row>
    <row r="35" spans="1:5" x14ac:dyDescent="0.3">
      <c r="A35" s="6">
        <v>40583</v>
      </c>
      <c r="B35" s="7">
        <v>69.782608695652172</v>
      </c>
      <c r="C35" s="7"/>
      <c r="D35" s="7"/>
      <c r="E35" s="7"/>
    </row>
    <row r="36" spans="1:5" x14ac:dyDescent="0.3">
      <c r="A36" s="6">
        <v>40584</v>
      </c>
      <c r="B36" s="7">
        <v>66.869565217391298</v>
      </c>
      <c r="C36" s="7"/>
      <c r="D36" s="7"/>
      <c r="E36" s="7"/>
    </row>
    <row r="37" spans="1:5" x14ac:dyDescent="0.3">
      <c r="A37" s="6">
        <v>40585</v>
      </c>
      <c r="B37" s="7">
        <v>79.36363636363636</v>
      </c>
      <c r="C37" s="7"/>
      <c r="D37" s="7"/>
      <c r="E37" s="7"/>
    </row>
    <row r="38" spans="1:5" x14ac:dyDescent="0.3">
      <c r="A38" s="6">
        <v>40586</v>
      </c>
      <c r="B38" s="7">
        <v>61.333333333333336</v>
      </c>
      <c r="C38" s="7"/>
      <c r="D38" s="7"/>
      <c r="E38" s="7"/>
    </row>
    <row r="39" spans="1:5" x14ac:dyDescent="0.3">
      <c r="A39" s="6">
        <v>40587</v>
      </c>
      <c r="B39" s="7">
        <v>69.086956521739125</v>
      </c>
      <c r="C39" s="7"/>
      <c r="D39" s="7"/>
      <c r="E39" s="7"/>
    </row>
    <row r="40" spans="1:5" x14ac:dyDescent="0.3">
      <c r="A40" s="6">
        <v>40588</v>
      </c>
      <c r="B40" s="7">
        <v>18.875</v>
      </c>
      <c r="C40" s="7">
        <v>18.875</v>
      </c>
      <c r="D40" s="7">
        <v>18.875</v>
      </c>
      <c r="E40" s="7">
        <v>18.875</v>
      </c>
    </row>
    <row r="41" spans="1:5" x14ac:dyDescent="0.3">
      <c r="A41" s="6">
        <v>40589</v>
      </c>
      <c r="B41" s="7"/>
      <c r="C41" s="7">
        <f>_xlfn.FORECAST.ETS(A41,$B$23:$B$40,$A$23:$A$40,1,1)</f>
        <v>54.766772110384849</v>
      </c>
      <c r="D41" s="7">
        <f>C41-_xlfn.FORECAST.ETS.CONFINT(A41,$B$23:$B$40,$A$23:$A$40,0.95,1,1)</f>
        <v>23.32616147101772</v>
      </c>
      <c r="E41" s="7">
        <f>C41+_xlfn.FORECAST.ETS.CONFINT(A41,$B$23:$B$40,$A$23:$A$40,0.95,1,1)</f>
        <v>86.207382749751986</v>
      </c>
    </row>
    <row r="42" spans="1:5" x14ac:dyDescent="0.3">
      <c r="A42" s="6">
        <v>40590</v>
      </c>
      <c r="B42" s="7"/>
      <c r="C42" s="7">
        <f>_xlfn.FORECAST.ETS(A42,$B$23:$B$40,$A$23:$A$40,1,1)</f>
        <v>54.546012267964457</v>
      </c>
      <c r="D42" s="7">
        <f>C42-_xlfn.FORECAST.ETS.CONFINT(A42,$B$23:$B$40,$A$23:$A$40,0.95,1,1)</f>
        <v>22.13013279936159</v>
      </c>
      <c r="E42" s="7">
        <f>C42+_xlfn.FORECAST.ETS.CONFINT(A42,$B$23:$B$40,$A$23:$A$40,0.95,1,1)</f>
        <v>86.961891736567324</v>
      </c>
    </row>
    <row r="43" spans="1:5" x14ac:dyDescent="0.3">
      <c r="A43" s="6">
        <v>40591</v>
      </c>
      <c r="B43" s="7"/>
      <c r="C43" s="7">
        <f>_xlfn.FORECAST.ETS(A43,$B$23:$B$40,$A$23:$A$40,1,1)</f>
        <v>54.325252425544093</v>
      </c>
      <c r="D43" s="7">
        <f>C43-_xlfn.FORECAST.ETS.CONFINT(A43,$B$23:$B$40,$A$23:$A$40,0.95,1,1)</f>
        <v>20.955150423836443</v>
      </c>
      <c r="E43" s="7">
        <f>C43+_xlfn.FORECAST.ETS.CONFINT(A43,$B$23:$B$40,$A$23:$A$40,0.95,1,1)</f>
        <v>87.695354427251743</v>
      </c>
    </row>
    <row r="44" spans="1:5" x14ac:dyDescent="0.3">
      <c r="A44" s="6">
        <v>40592</v>
      </c>
      <c r="B44" s="7"/>
      <c r="C44" s="7">
        <f>_xlfn.FORECAST.ETS(A44,$B$23:$B$40,$A$23:$A$40,1,1)</f>
        <v>54.104492583123694</v>
      </c>
      <c r="D44" s="7">
        <f>C44-_xlfn.FORECAST.ETS.CONFINT(A44,$B$23:$B$40,$A$23:$A$40,0.95,1,1)</f>
        <v>19.799429224423541</v>
      </c>
      <c r="E44" s="7">
        <f>C44+_xlfn.FORECAST.ETS.CONFINT(A44,$B$23:$B$40,$A$23:$A$40,0.95,1,1)</f>
        <v>88.409555941823839</v>
      </c>
    </row>
    <row r="45" spans="1:5" x14ac:dyDescent="0.3">
      <c r="A45" s="6">
        <v>40593</v>
      </c>
      <c r="B45" s="7"/>
      <c r="C45" s="7">
        <f>_xlfn.FORECAST.ETS(A45,$B$23:$B$40,$A$23:$A$40,1,1)</f>
        <v>53.88373274070333</v>
      </c>
      <c r="D45" s="7">
        <f>C45-_xlfn.FORECAST.ETS.CONFINT(A45,$B$23:$B$40,$A$23:$A$40,0.95,1,1)</f>
        <v>18.661407262859591</v>
      </c>
      <c r="E45" s="7">
        <f>C45+_xlfn.FORECAST.ETS.CONFINT(A45,$B$23:$B$40,$A$23:$A$40,0.95,1,1)</f>
        <v>89.106058218547076</v>
      </c>
    </row>
  </sheetData>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Dataset_3</vt:lpstr>
      <vt:lpstr>Modified_Dataset_3</vt:lpstr>
      <vt:lpstr>Statistics</vt:lpstr>
      <vt:lpstr>Forecast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GAMERZONE</dc:creator>
  <cp:lastModifiedBy>Rajwin George</cp:lastModifiedBy>
  <dcterms:created xsi:type="dcterms:W3CDTF">2015-06-05T18:17:20Z</dcterms:created>
  <dcterms:modified xsi:type="dcterms:W3CDTF">2026-07-23T06:41:26Z</dcterms:modified>
</cp:coreProperties>
</file>