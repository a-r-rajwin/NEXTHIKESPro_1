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Desktop\Final\"/>
    </mc:Choice>
  </mc:AlternateContent>
  <xr:revisionPtr revIDLastSave="0" documentId="13_ncr:1_{AEFCD288-15D6-4EEF-B42B-D8859829FD49}" xr6:coauthVersionLast="47" xr6:coauthVersionMax="47" xr10:uidLastSave="{00000000-0000-0000-0000-000000000000}"/>
  <bookViews>
    <workbookView xWindow="-108" yWindow="-108" windowWidth="23256" windowHeight="12456" xr2:uid="{00000000-000D-0000-FFFF-FFFF00000000}"/>
  </bookViews>
  <sheets>
    <sheet name="Dataset_5" sheetId="2" r:id="rId1"/>
    <sheet name="Modified_Dataset_5" sheetId="1" r:id="rId2"/>
    <sheet name="Stastistics" sheetId="3" r:id="rId3"/>
    <sheet name="Forecast" sheetId="4" r:id="rId4"/>
  </sheets>
  <definedNames>
    <definedName name="ExternalData_2" localSheetId="0" hidden="1">Dataset_5!$A$1:$N$1001</definedName>
    <definedName name="ExternalData_2" localSheetId="1" hidden="1">Modified_Dataset_5!$A$1:$N$1001</definedName>
    <definedName name="Slicer_d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4" l="1"/>
  <c r="C78" i="4"/>
  <c r="C71" i="4"/>
  <c r="C79" i="4"/>
  <c r="C77" i="4"/>
  <c r="C72" i="4"/>
  <c r="C73" i="4"/>
  <c r="C69" i="4"/>
  <c r="C74" i="4"/>
  <c r="C75" i="4"/>
  <c r="C68" i="4"/>
  <c r="C76" i="4"/>
  <c r="D76" i="4" l="1"/>
  <c r="E69" i="4"/>
  <c r="E79" i="4"/>
  <c r="D69" i="4"/>
  <c r="D79" i="4"/>
  <c r="E76" i="4"/>
  <c r="D68" i="4"/>
  <c r="E73" i="4"/>
  <c r="E71" i="4"/>
  <c r="E72" i="4"/>
  <c r="E75" i="4"/>
  <c r="D78" i="4"/>
  <c r="E77" i="4"/>
  <c r="E74" i="4"/>
  <c r="D70" i="4"/>
  <c r="E68" i="4"/>
  <c r="D73" i="4"/>
  <c r="D71" i="4"/>
  <c r="D75" i="4"/>
  <c r="E78" i="4"/>
  <c r="D72" i="4"/>
  <c r="D74" i="4"/>
  <c r="E70" i="4"/>
  <c r="D7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7EC6A5-3E33-455A-AD07-97A08A54DA49}"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9EC3AF2-70B3-424A-907E-9DF00F429915}" keepAlive="1" name="Query - dataset_3" description="Connection to the 'dataset_3' query in the workbook." type="5" refreshedVersion="0" background="1">
    <dbPr connection="Provider=Microsoft.Mashup.OleDb.1;Data Source=$Workbook$;Location=dataset_3;Extended Properties=&quot;&quot;" command="SELECT * FROM [dataset_3]"/>
  </connection>
  <connection id="3" xr16:uid="{70E56921-A162-49D6-A467-A18C70631772}" keepAlive="1" name="Query - Merge1" description="Connection to the 'Merge1' query in the workbook." type="5" refreshedVersion="0" background="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<sst xmlns="http://schemas.openxmlformats.org/spreadsheetml/2006/main" count="12182" uniqueCount="90">
  <si>
    <t>instant</t>
  </si>
  <si>
    <t>date</t>
  </si>
  <si>
    <t>season</t>
  </si>
  <si>
    <t>hour</t>
  </si>
  <si>
    <t>holiday</t>
  </si>
  <si>
    <t>weekday</t>
  </si>
  <si>
    <t>weather_situation</t>
  </si>
  <si>
    <t>temperature</t>
  </si>
  <si>
    <t>assumed_temperature</t>
  </si>
  <si>
    <t>humidity</t>
  </si>
  <si>
    <t>windspeed</t>
  </si>
  <si>
    <t>casual_customer</t>
  </si>
  <si>
    <t>registered_customer</t>
  </si>
  <si>
    <t>total_customer</t>
  </si>
  <si>
    <t>Season_Name</t>
  </si>
  <si>
    <t>Weekday_Name</t>
  </si>
  <si>
    <t>Weather_Description</t>
  </si>
  <si>
    <t>Time_of_Day</t>
  </si>
  <si>
    <t>Temperature_Level</t>
  </si>
  <si>
    <t>Humidity_Level</t>
  </si>
  <si>
    <t>Wind_Level</t>
  </si>
  <si>
    <t>Day_Type</t>
  </si>
  <si>
    <t>Customer_Type</t>
  </si>
  <si>
    <t>Casual_Percentage</t>
  </si>
  <si>
    <t>Registered_Percentage</t>
  </si>
  <si>
    <t>Rush_Hour</t>
  </si>
  <si>
    <t>Demand_Level</t>
  </si>
  <si>
    <t>Weekend</t>
  </si>
  <si>
    <t>Feels_Like_Difference</t>
  </si>
  <si>
    <t>Spring</t>
  </si>
  <si>
    <t>Saturday</t>
  </si>
  <si>
    <t>Clear</t>
  </si>
  <si>
    <t>Night</t>
  </si>
  <si>
    <t>Cold</t>
  </si>
  <si>
    <t>High</t>
  </si>
  <si>
    <t>Calm</t>
  </si>
  <si>
    <t>Working Day</t>
  </si>
  <si>
    <t>Mostly Registered</t>
  </si>
  <si>
    <t>No</t>
  </si>
  <si>
    <t>Low</t>
  </si>
  <si>
    <t>Yes</t>
  </si>
  <si>
    <t>Mist/Cloudy</t>
  </si>
  <si>
    <t>Morning</t>
  </si>
  <si>
    <t>Mostly Casual</t>
  </si>
  <si>
    <t>Mild</t>
  </si>
  <si>
    <t>Warm</t>
  </si>
  <si>
    <t>Moderate</t>
  </si>
  <si>
    <t>Afternoon</t>
  </si>
  <si>
    <t>Hot</t>
  </si>
  <si>
    <t>Medium</t>
  </si>
  <si>
    <t>Evening</t>
  </si>
  <si>
    <t>Light Rain/Snow</t>
  </si>
  <si>
    <t>Sunday</t>
  </si>
  <si>
    <t>Windy</t>
  </si>
  <si>
    <t>Monday</t>
  </si>
  <si>
    <t>Very Cold</t>
  </si>
  <si>
    <t>Tuesday</t>
  </si>
  <si>
    <t>Wednesday</t>
  </si>
  <si>
    <t>Thursday</t>
  </si>
  <si>
    <t>Friday</t>
  </si>
  <si>
    <t>Holiday</t>
  </si>
  <si>
    <t>Heavy Rain/Storm</t>
  </si>
  <si>
    <t>Grand Total</t>
  </si>
  <si>
    <t>Average of humidity</t>
  </si>
  <si>
    <t>Average of windspeed</t>
  </si>
  <si>
    <t>Average of temperature</t>
  </si>
  <si>
    <t>Average of assumed_temperature</t>
  </si>
  <si>
    <t>Sum of casual_customer</t>
  </si>
  <si>
    <t>Sum of registered_customer</t>
  </si>
  <si>
    <t>Sum of total_customer</t>
  </si>
  <si>
    <t>Forecast(total_customer)</t>
  </si>
  <si>
    <t>Lower Confidence Bound(total_customer)</t>
  </si>
  <si>
    <t>Upper Confidence Bound(total_customer)</t>
  </si>
  <si>
    <t>Date</t>
  </si>
  <si>
    <t>Day Type</t>
  </si>
  <si>
    <t>Temperature</t>
  </si>
  <si>
    <t>Humidity</t>
  </si>
  <si>
    <t>Mean</t>
  </si>
  <si>
    <t>Standard Error</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</si>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</sst>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3" x14ac:knownFonts="1">
    <font>
      <sz val="11"/>
      <color theme="1"/>
      <name val="Calibri"/>
      <family val="2"/>
      <scheme val="minor"/>
    </font>
    <font>
      <b/>
      <sz val="11"/>
      <color theme="0"/>
      <name val="Calibri"/>
      <family val="2"/>
      <scheme val="minor"/>
    </font>
    <font>
      <i/>
      <sz val="11"/>
      <color theme="0"/>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2" tint="-0.749992370372631"/>
        <bgColor indexed="64"/>
      </patternFill>
    </fill>
    <fill>
      <patternFill patternType="solid">
        <fgColor theme="4" tint="-0.249977111117893"/>
        <bgColor indexed="64"/>
      </patternFill>
    </fill>
    <fill>
      <patternFill patternType="solid">
        <fgColor theme="0"/>
        <bgColor indexed="64"/>
      </patternFill>
    </fill>
  </fills>
  <borders count="12">
    <border>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ABABAB"/>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14" fontId="0" fillId="0" borderId="0" xfId="0" applyNumberFormat="1"/>
    <xf numFmtId="1" fontId="0" fillId="0" borderId="0" xfId="0" applyNumberFormat="1"/>
    <xf numFmtId="0" fontId="0" fillId="2" borderId="0" xfId="0" applyFill="1"/>
    <xf numFmtId="0" fontId="2" fillId="3" borderId="1" xfId="0" applyFont="1" applyFill="1" applyBorder="1" applyAlignment="1">
      <alignment horizontal="center"/>
    </xf>
    <xf numFmtId="0" fontId="2" fillId="3" borderId="2" xfId="0" applyFont="1" applyFill="1" applyBorder="1" applyAlignment="1">
      <alignment horizontal="center"/>
    </xf>
    <xf numFmtId="0" fontId="0" fillId="0" borderId="4" xfId="0" applyBorder="1"/>
    <xf numFmtId="0" fontId="0" fillId="0" borderId="6" xfId="0" applyBorder="1"/>
    <xf numFmtId="0" fontId="1" fillId="4" borderId="3" xfId="0" applyFont="1" applyFill="1" applyBorder="1"/>
    <xf numFmtId="0" fontId="1" fillId="4" borderId="5" xfId="0" applyFont="1" applyFill="1" applyBorder="1"/>
    <xf numFmtId="0" fontId="0" fillId="5" borderId="0" xfId="0" applyFill="1"/>
    <xf numFmtId="14" fontId="0" fillId="5" borderId="0" xfId="0" applyNumberFormat="1" applyFill="1" applyAlignment="1">
      <alignment horizontal="left"/>
    </xf>
    <xf numFmtId="0" fontId="0" fillId="5" borderId="0" xfId="0" applyFill="1" applyAlignment="1">
      <alignment horizontal="left"/>
    </xf>
    <xf numFmtId="14" fontId="0" fillId="0" borderId="7" xfId="0" applyNumberFormat="1" applyBorder="1" applyAlignment="1">
      <alignment horizontal="left"/>
    </xf>
    <xf numFmtId="0" fontId="0" fillId="0" borderId="8" xfId="0" applyBorder="1"/>
    <xf numFmtId="14" fontId="0" fillId="5" borderId="8" xfId="0" applyNumberFormat="1" applyFill="1" applyBorder="1" applyAlignment="1">
      <alignment horizontal="left"/>
    </xf>
    <xf numFmtId="0" fontId="0" fillId="5" borderId="8" xfId="0" applyFill="1" applyBorder="1"/>
    <xf numFmtId="2" fontId="0" fillId="5" borderId="8" xfId="0" applyNumberFormat="1" applyFill="1" applyBorder="1"/>
    <xf numFmtId="0" fontId="0" fillId="0" borderId="10" xfId="0" applyBorder="1"/>
    <xf numFmtId="14" fontId="0" fillId="0" borderId="9" xfId="0" applyNumberFormat="1" applyBorder="1" applyAlignment="1">
      <alignment horizontal="left"/>
    </xf>
    <xf numFmtId="0" fontId="0" fillId="0" borderId="11" xfId="0" pivotButton="1" applyBorder="1"/>
    <xf numFmtId="0" fontId="0" fillId="5" borderId="10" xfId="0" applyFill="1" applyBorder="1"/>
    <xf numFmtId="2" fontId="0" fillId="5" borderId="10" xfId="0" applyNumberFormat="1" applyFill="1" applyBorder="1"/>
    <xf numFmtId="2" fontId="0" fillId="0" borderId="0" xfId="0" applyNumberFormat="1"/>
    <xf numFmtId="164" fontId="0" fillId="0" borderId="0" xfId="0" applyNumberFormat="1"/>
    <xf numFmtId="165" fontId="0" fillId="0" borderId="0" xfId="0" applyNumberFormat="1"/>
  </cellXfs>
  <cellStyles count="1">
    <cellStyle name="Normal" xfId="0" builtinId="0"/>
  </cellStyles>
  <dxfs count="106">
    <dxf>
      <numFmt numFmtId="1" formatCode="0"/>
    </dxf>
    <dxf>
      <numFmt numFmtId="1" formatCode="0"/>
    </dxf>
    <dxf>
      <numFmt numFmtId="1" formatCode="0"/>
    </dxf>
    <dxf>
      <numFmt numFmtId="1" formatCode="0"/>
    </dxf>
    <dxf>
      <numFmt numFmtId="19" formatCode="dd/mm/yyyy"/>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numFmt numFmtId="164" formatCode="0.000"/>
    </dxf>
    <dxf>
      <numFmt numFmtId="164" formatCode="0.000"/>
    </dxf>
    <dxf>
      <numFmt numFmtId="164" formatCode="0.000"/>
    </dxf>
    <dxf>
      <numFmt numFmtId="1" formatCode="0"/>
    </dxf>
    <dxf>
      <numFmt numFmtId="1" formatCode="0"/>
    </dxf>
    <dxf>
      <numFmt numFmtId="1" formatCode="0"/>
    </dxf>
    <dxf>
      <numFmt numFmtId="165" formatCode="0.0000"/>
    </dxf>
    <dxf>
      <numFmt numFmtId="2" formatCode="0.00"/>
    </dxf>
    <dxf>
      <numFmt numFmtId="165" formatCode="0.0000"/>
    </dxf>
    <dxf>
      <numFmt numFmtId="2" formatCode="0.00"/>
    </dxf>
    <dxf>
      <numFmt numFmtId="1" formatCode="0"/>
    </dxf>
    <dxf>
      <numFmt numFmtId="1" formatCode="0"/>
    </dxf>
    <dxf>
      <numFmt numFmtId="1" formatCode="0"/>
    </dxf>
    <dxf>
      <numFmt numFmtId="1" formatCode="0"/>
    </dxf>
    <dxf>
      <numFmt numFmtId="19" formatCode="dd/mm/yyyy"/>
    </dxf>
    <dxf>
      <numFmt numFmtId="1" formatCode="0"/>
    </dxf>
    <dxf>
      <numFmt numFmtId="1" formatCode="0"/>
    </dxf>
    <dxf>
      <numFmt numFmtId="1" formatCode="0"/>
    </dxf>
    <dxf>
      <numFmt numFmtId="1" formatCode="0"/>
    </dxf>
    <dxf>
      <numFmt numFmtId="165" formatCode="0.0000"/>
    </dxf>
    <dxf>
      <numFmt numFmtId="2" formatCode="0.00"/>
    </dxf>
    <dxf>
      <numFmt numFmtId="165" formatCode="0.0000"/>
    </dxf>
    <dxf>
      <numFmt numFmtId="2" formatCode="0.00"/>
    </dxf>
    <dxf>
      <numFmt numFmtId="1" formatCode="0"/>
    </dxf>
    <dxf>
      <numFmt numFmtId="1" formatCode="0"/>
    </dxf>
    <dxf>
      <numFmt numFmtId="1" formatCode="0"/>
    </dxf>
    <dxf>
      <numFmt numFmtId="1" formatCode="0"/>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[Bike_Complete_Dataset.xlsx]Stastistics!PivotTable1</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Stastistics!$B$70</c:f>
              <c:strCache>
                <c:ptCount val="1"/>
                <c:pt idx="0">
                  <c:v>Average of humidity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Stastistics!$A$71:$A$116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Stastistics!$B$71:$B$116</c:f>
              <c:numCache>
                <c:formatCode>0.00</c:formatCode>
                <c:ptCount val="45"/>
                <c:pt idx="0">
                  <c:v>0.80583333333333351</c:v>
                </c:pt>
                <c:pt idx="1">
                  <c:v>0.69608695652173924</c:v>
                </c:pt>
                <c:pt idx="2">
                  <c:v>0.43727272727272726</c:v>
                </c:pt>
                <c:pt idx="3">
                  <c:v>0.59043478260869575</c:v>
                </c:pt>
                <c:pt idx="4">
                  <c:v>0.43695652173913052</c:v>
                </c:pt>
                <c:pt idx="5">
                  <c:v>0.51826086956521744</c:v>
                </c:pt>
                <c:pt idx="6">
                  <c:v>0.4986956521739131</c:v>
                </c:pt>
                <c:pt idx="7">
                  <c:v>0.53583333333333327</c:v>
                </c:pt>
                <c:pt idx="8">
                  <c:v>0.43416666666666681</c:v>
                </c:pt>
                <c:pt idx="9">
                  <c:v>0.48291666666666672</c:v>
                </c:pt>
                <c:pt idx="10">
                  <c:v>0.68636363636363618</c:v>
                </c:pt>
                <c:pt idx="11">
                  <c:v>0.59954545454545471</c:v>
                </c:pt>
                <c:pt idx="12">
                  <c:v>0.47041666666666687</c:v>
                </c:pt>
                <c:pt idx="13">
                  <c:v>0.53782608695652179</c:v>
                </c:pt>
                <c:pt idx="14">
                  <c:v>0.49874999999999997</c:v>
                </c:pt>
                <c:pt idx="15">
                  <c:v>0.48375000000000012</c:v>
                </c:pt>
                <c:pt idx="16">
                  <c:v>0.53749999999999998</c:v>
                </c:pt>
                <c:pt idx="17">
                  <c:v>0.86166666666666669</c:v>
                </c:pt>
                <c:pt idx="18">
                  <c:v>0.74173913043478235</c:v>
                </c:pt>
                <c:pt idx="19">
                  <c:v>0.53833333333333344</c:v>
                </c:pt>
                <c:pt idx="20">
                  <c:v>0.45708333333333345</c:v>
                </c:pt>
                <c:pt idx="21">
                  <c:v>0.39999999999999997</c:v>
                </c:pt>
                <c:pt idx="22">
                  <c:v>0.43652173913043485</c:v>
                </c:pt>
                <c:pt idx="23">
                  <c:v>0.49173913043478273</c:v>
                </c:pt>
                <c:pt idx="24">
                  <c:v>0.61695652173913051</c:v>
                </c:pt>
                <c:pt idx="25">
                  <c:v>0.86249999999999982</c:v>
                </c:pt>
                <c:pt idx="26">
                  <c:v>0.6875</c:v>
                </c:pt>
                <c:pt idx="27">
                  <c:v>0.79304347826086963</c:v>
                </c:pt>
                <c:pt idx="28">
                  <c:v>0.65173913043478249</c:v>
                </c:pt>
                <c:pt idx="29">
                  <c:v>0.72217391304347822</c:v>
                </c:pt>
                <c:pt idx="30">
                  <c:v>0.60375000000000001</c:v>
                </c:pt>
                <c:pt idx="31">
                  <c:v>0.8295652173913044</c:v>
                </c:pt>
                <c:pt idx="32">
                  <c:v>0.77541666666666664</c:v>
                </c:pt>
                <c:pt idx="33">
                  <c:v>0.43782608695652192</c:v>
                </c:pt>
                <c:pt idx="34">
                  <c:v>0.5852173913043478</c:v>
                </c:pt>
                <c:pt idx="35">
                  <c:v>0.9291666666666667</c:v>
                </c:pt>
                <c:pt idx="36">
                  <c:v>0.56833333333333347</c:v>
                </c:pt>
                <c:pt idx="37">
                  <c:v>0.73833333333333317</c:v>
                </c:pt>
                <c:pt idx="38">
                  <c:v>0.53791666666666671</c:v>
                </c:pt>
                <c:pt idx="39">
                  <c:v>0.49478260869565222</c:v>
                </c:pt>
                <c:pt idx="40">
                  <c:v>0.43739130434782603</c:v>
                </c:pt>
                <c:pt idx="41">
                  <c:v>0.50636363636363635</c:v>
                </c:pt>
                <c:pt idx="42">
                  <c:v>0.54416666666666669</c:v>
                </c:pt>
                <c:pt idx="43">
                  <c:v>0.45739130434782593</c:v>
                </c:pt>
                <c:pt idx="44">
                  <c:v>0.44750000000000001</c:v>
                </c:pt>
              </c:numCache>
            </c:numRef>
          </c:val>
          <c:extLst>
            <c:ext xmlns:c16="http://schemas.microsoft.com/office/drawing/2014/chart" uri="{C3380CC4-5D6E-409C-BE32-E72D297353CC}">
              <c16:uniqueId val="{00000000-6960-4A03-AB82-FAD63F95ECDD}"/>
            </c:ext>
          </c:extLst>
        </c:ser>
        <c:ser>
          <c:idx val="1"/>
          <c:order val="1"/>
          <c:tx>
            <c:strRef>
              <c:f>Stastistics!$C$70</c:f>
              <c:strCache>
                <c:ptCount val="1"/>
                <c:pt idx="0">
                  <c:v>Average of windspeed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Stastistics!$A$71:$A$116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Stastistics!$C$71:$C$116</c:f>
              <c:numCache>
                <c:formatCode>0.00</c:formatCode>
                <c:ptCount val="45"/>
                <c:pt idx="0">
                  <c:v>0.16044583333333329</c:v>
                </c:pt>
                <c:pt idx="1">
                  <c:v>0.24853913043478262</c:v>
                </c:pt>
                <c:pt idx="2">
                  <c:v>0.24830909090909081</c:v>
                </c:pt>
                <c:pt idx="3">
                  <c:v>0.16029565217391301</c:v>
                </c:pt>
                <c:pt idx="4">
                  <c:v>0.18690000000000001</c:v>
                </c:pt>
                <c:pt idx="5">
                  <c:v>8.9565217391304353E-2</c:v>
                </c:pt>
                <c:pt idx="6">
                  <c:v>0.16872608695652172</c:v>
                </c:pt>
                <c:pt idx="7">
                  <c:v>0.26680416666666668</c:v>
                </c:pt>
                <c:pt idx="8">
                  <c:v>0.36195000000000005</c:v>
                </c:pt>
                <c:pt idx="9">
                  <c:v>0.22326666666666661</c:v>
                </c:pt>
                <c:pt idx="10">
                  <c:v>0.12213181818181815</c:v>
                </c:pt>
                <c:pt idx="11">
                  <c:v>0.3046272727272728</c:v>
                </c:pt>
                <c:pt idx="12">
                  <c:v>0.30099999999999999</c:v>
                </c:pt>
                <c:pt idx="13">
                  <c:v>0.12654782608695653</c:v>
                </c:pt>
                <c:pt idx="14">
                  <c:v>0.15796249999999995</c:v>
                </c:pt>
                <c:pt idx="15">
                  <c:v>0.18843333333333331</c:v>
                </c:pt>
                <c:pt idx="16">
                  <c:v>0.19401666666666664</c:v>
                </c:pt>
                <c:pt idx="17">
                  <c:v>0.14677500000000002</c:v>
                </c:pt>
                <c:pt idx="18">
                  <c:v>0.20831739130434784</c:v>
                </c:pt>
                <c:pt idx="19">
                  <c:v>0.19590416666666666</c:v>
                </c:pt>
                <c:pt idx="20">
                  <c:v>0.35324166666666668</c:v>
                </c:pt>
                <c:pt idx="21">
                  <c:v>0.17196956521739129</c:v>
                </c:pt>
                <c:pt idx="22">
                  <c:v>0.24660000000000004</c:v>
                </c:pt>
                <c:pt idx="23">
                  <c:v>0.15833043478260866</c:v>
                </c:pt>
                <c:pt idx="24">
                  <c:v>0.12979565217391303</c:v>
                </c:pt>
                <c:pt idx="25">
                  <c:v>0.29385000000000006</c:v>
                </c:pt>
                <c:pt idx="26">
                  <c:v>0.11383750000000001</c:v>
                </c:pt>
                <c:pt idx="27">
                  <c:v>0.12330000000000002</c:v>
                </c:pt>
                <c:pt idx="28">
                  <c:v>0.14536521739130431</c:v>
                </c:pt>
                <c:pt idx="29">
                  <c:v>7.398260869565218E-2</c:v>
                </c:pt>
                <c:pt idx="30">
                  <c:v>0.18719166666666665</c:v>
                </c:pt>
                <c:pt idx="31">
                  <c:v>5.3213043478260856E-2</c:v>
                </c:pt>
                <c:pt idx="32">
                  <c:v>0.26430833333333331</c:v>
                </c:pt>
                <c:pt idx="33">
                  <c:v>0.27775217391304347</c:v>
                </c:pt>
                <c:pt idx="34">
                  <c:v>0.12783913043478262</c:v>
                </c:pt>
                <c:pt idx="35">
                  <c:v>0.16107916666666666</c:v>
                </c:pt>
                <c:pt idx="36">
                  <c:v>0.14179999999999995</c:v>
                </c:pt>
                <c:pt idx="37">
                  <c:v>4.5408333333333328E-2</c:v>
                </c:pt>
                <c:pt idx="38">
                  <c:v>0.36194999999999999</c:v>
                </c:pt>
                <c:pt idx="39">
                  <c:v>0.18883913043478256</c:v>
                </c:pt>
                <c:pt idx="40">
                  <c:v>0.22193478260869562</c:v>
                </c:pt>
                <c:pt idx="41">
                  <c:v>0.10855000000000001</c:v>
                </c:pt>
                <c:pt idx="42">
                  <c:v>0.20336666666666667</c:v>
                </c:pt>
                <c:pt idx="43">
                  <c:v>0.26088260869565216</c:v>
                </c:pt>
                <c:pt idx="44">
                  <c:v>0.30037499999999995</c:v>
                </c:pt>
              </c:numCache>
            </c:numRef>
          </c:val>
          <c:extLst>
            <c:ext xmlns:c16="http://schemas.microsoft.com/office/drawing/2014/chart" uri="{C3380CC4-5D6E-409C-BE32-E72D297353CC}">
              <c16:uniqueId val="{00000001-6960-4A03-AB82-FAD63F95ECDD}"/>
            </c:ext>
          </c:extLst>
        </c:ser>
        <c:ser>
          <c:idx val="2"/>
          <c:order val="2"/>
          <c:tx>
            <c:strRef>
              <c:f>Stastistics!$D$70</c:f>
              <c:strCache>
                <c:ptCount val="1"/>
                <c:pt idx="0">
                  <c:v>Average of temperature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Stastistics!$A$71:$A$116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Stastistics!$D$71:$D$116</c:f>
              <c:numCache>
                <c:formatCode>0.00</c:formatCode>
                <c:ptCount val="45"/>
                <c:pt idx="0">
                  <c:v>0.34416666666666673</c:v>
                </c:pt>
                <c:pt idx="1">
                  <c:v>0.36347826086956525</c:v>
                </c:pt>
                <c:pt idx="2">
                  <c:v>0.19636363636363632</c:v>
                </c:pt>
                <c:pt idx="3">
                  <c:v>0.19999999999999998</c:v>
                </c:pt>
                <c:pt idx="4">
                  <c:v>0.22695652173913042</c:v>
                </c:pt>
                <c:pt idx="5">
                  <c:v>0.20434782608695654</c:v>
                </c:pt>
                <c:pt idx="6">
                  <c:v>0.19652173913043483</c:v>
                </c:pt>
                <c:pt idx="7">
                  <c:v>0.16500000000000006</c:v>
                </c:pt>
                <c:pt idx="8">
                  <c:v>0.13833333333333339</c:v>
                </c:pt>
                <c:pt idx="9">
                  <c:v>0.1508333333333334</c:v>
                </c:pt>
                <c:pt idx="10">
                  <c:v>0.16909090909090915</c:v>
                </c:pt>
                <c:pt idx="11">
                  <c:v>0.17272727272727278</c:v>
                </c:pt>
                <c:pt idx="12">
                  <c:v>0.16500000000000006</c:v>
                </c:pt>
                <c:pt idx="13">
                  <c:v>0.16086956521739135</c:v>
                </c:pt>
                <c:pt idx="14">
                  <c:v>0.23333333333333331</c:v>
                </c:pt>
                <c:pt idx="15">
                  <c:v>0.23166666666666669</c:v>
                </c:pt>
                <c:pt idx="16">
                  <c:v>0.1758333333333334</c:v>
                </c:pt>
                <c:pt idx="17">
                  <c:v>0.2166666666666667</c:v>
                </c:pt>
                <c:pt idx="18">
                  <c:v>0.29217391304347828</c:v>
                </c:pt>
                <c:pt idx="19">
                  <c:v>0.26166666666666666</c:v>
                </c:pt>
                <c:pt idx="20">
                  <c:v>0.17750000000000002</c:v>
                </c:pt>
                <c:pt idx="21">
                  <c:v>5.9130434782608703E-2</c:v>
                </c:pt>
                <c:pt idx="22">
                  <c:v>9.6521739130434797E-2</c:v>
                </c:pt>
                <c:pt idx="23">
                  <c:v>9.7391304347826113E-2</c:v>
                </c:pt>
                <c:pt idx="24">
                  <c:v>0.22347826086956515</c:v>
                </c:pt>
                <c:pt idx="25">
                  <c:v>0.21750000000000005</c:v>
                </c:pt>
                <c:pt idx="26">
                  <c:v>0.19499999999999998</c:v>
                </c:pt>
                <c:pt idx="27">
                  <c:v>0.20347826086956528</c:v>
                </c:pt>
                <c:pt idx="28">
                  <c:v>0.1965217391304348</c:v>
                </c:pt>
                <c:pt idx="29">
                  <c:v>0.21652173913043476</c:v>
                </c:pt>
                <c:pt idx="30">
                  <c:v>0.18083333333333337</c:v>
                </c:pt>
                <c:pt idx="31">
                  <c:v>0.19217391304347831</c:v>
                </c:pt>
                <c:pt idx="32">
                  <c:v>0.26</c:v>
                </c:pt>
                <c:pt idx="33">
                  <c:v>0.18695652173913049</c:v>
                </c:pt>
                <c:pt idx="34">
                  <c:v>0.21130434782608701</c:v>
                </c:pt>
                <c:pt idx="35">
                  <c:v>0.23333333333333336</c:v>
                </c:pt>
                <c:pt idx="36">
                  <c:v>0.28583333333333333</c:v>
                </c:pt>
                <c:pt idx="37">
                  <c:v>0.27166666666666667</c:v>
                </c:pt>
                <c:pt idx="38">
                  <c:v>0.22083333333333341</c:v>
                </c:pt>
                <c:pt idx="39">
                  <c:v>0.1347826086956522</c:v>
                </c:pt>
                <c:pt idx="40">
                  <c:v>0.14434782608695657</c:v>
                </c:pt>
                <c:pt idx="41">
                  <c:v>0.18909090909090909</c:v>
                </c:pt>
                <c:pt idx="42">
                  <c:v>0.22249999999999995</c:v>
                </c:pt>
                <c:pt idx="43">
                  <c:v>0.31652173913043485</c:v>
                </c:pt>
                <c:pt idx="44">
                  <c:v>0.34749999999999998</c:v>
                </c:pt>
              </c:numCache>
            </c:numRef>
          </c:val>
          <c:extLst>
            <c:ext xmlns:c16="http://schemas.microsoft.com/office/drawing/2014/chart" uri="{C3380CC4-5D6E-409C-BE32-E72D297353CC}">
              <c16:uniqueId val="{00000002-6960-4A03-AB82-FAD63F95ECDD}"/>
            </c:ext>
          </c:extLst>
        </c:ser>
        <c:ser>
          <c:idx val="3"/>
          <c:order val="3"/>
          <c:tx>
            <c:strRef>
              <c:f>Stastistics!$E$70</c:f>
              <c:strCache>
                <c:ptCount val="1"/>
                <c:pt idx="0">
                  <c:v>Average of assumed_temperature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Stastistics!$A$71:$A$116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Stastistics!$E$71:$E$116</c:f>
              <c:numCache>
                <c:formatCode>0.00</c:formatCode>
                <c:ptCount val="45"/>
                <c:pt idx="0">
                  <c:v>0.35983750000000003</c:v>
                </c:pt>
                <c:pt idx="1">
                  <c:v>0.35506086956521743</c:v>
                </c:pt>
                <c:pt idx="2">
                  <c:v>0.19215909090909095</c:v>
                </c:pt>
                <c:pt idx="3">
                  <c:v>0.2134391304347826</c:v>
                </c:pt>
                <c:pt idx="4">
                  <c:v>0.22926956521739131</c:v>
                </c:pt>
                <c:pt idx="5">
                  <c:v>0.23320869565217398</c:v>
                </c:pt>
                <c:pt idx="6">
                  <c:v>0.20883913043478261</c:v>
                </c:pt>
                <c:pt idx="7">
                  <c:v>0.16225416666666667</c:v>
                </c:pt>
                <c:pt idx="8">
                  <c:v>0.11617500000000003</c:v>
                </c:pt>
                <c:pt idx="9">
                  <c:v>0.15088750000000001</c:v>
                </c:pt>
                <c:pt idx="10">
                  <c:v>0.19146363636363636</c:v>
                </c:pt>
                <c:pt idx="11">
                  <c:v>0.16047272727272729</c:v>
                </c:pt>
                <c:pt idx="12">
                  <c:v>0.15088333333333334</c:v>
                </c:pt>
                <c:pt idx="13">
                  <c:v>0.18841304347826088</c:v>
                </c:pt>
                <c:pt idx="14">
                  <c:v>0.24811249999999999</c:v>
                </c:pt>
                <c:pt idx="15">
                  <c:v>0.23421666666666671</c:v>
                </c:pt>
                <c:pt idx="16">
                  <c:v>0.17677083333333335</c:v>
                </c:pt>
                <c:pt idx="17">
                  <c:v>0.23233333333333336</c:v>
                </c:pt>
                <c:pt idx="18">
                  <c:v>0.29842173913043479</c:v>
                </c:pt>
                <c:pt idx="19">
                  <c:v>0.25505</c:v>
                </c:pt>
                <c:pt idx="20">
                  <c:v>0.15783333333333335</c:v>
                </c:pt>
                <c:pt idx="21">
                  <c:v>7.9069565217391308E-2</c:v>
                </c:pt>
                <c:pt idx="22">
                  <c:v>9.8839130434782624E-2</c:v>
                </c:pt>
                <c:pt idx="23">
                  <c:v>0.11793043478260871</c:v>
                </c:pt>
                <c:pt idx="24">
                  <c:v>0.23452608695652166</c:v>
                </c:pt>
                <c:pt idx="25">
                  <c:v>0.2036</c:v>
                </c:pt>
                <c:pt idx="26">
                  <c:v>0.21970000000000001</c:v>
                </c:pt>
                <c:pt idx="27">
                  <c:v>0.2233173913043478</c:v>
                </c:pt>
                <c:pt idx="28">
                  <c:v>0.2121260869565218</c:v>
                </c:pt>
                <c:pt idx="29">
                  <c:v>0.25032173913043476</c:v>
                </c:pt>
                <c:pt idx="30">
                  <c:v>0.18625000000000003</c:v>
                </c:pt>
                <c:pt idx="31">
                  <c:v>0.23453043478260868</c:v>
                </c:pt>
                <c:pt idx="32">
                  <c:v>0.25441666666666668</c:v>
                </c:pt>
                <c:pt idx="33">
                  <c:v>0.17787826086956521</c:v>
                </c:pt>
                <c:pt idx="34">
                  <c:v>0.2285869565217391</c:v>
                </c:pt>
                <c:pt idx="35">
                  <c:v>0.24305833333333335</c:v>
                </c:pt>
                <c:pt idx="36">
                  <c:v>0.29167083333333321</c:v>
                </c:pt>
                <c:pt idx="37">
                  <c:v>0.30365833333333336</c:v>
                </c:pt>
                <c:pt idx="38">
                  <c:v>0.19824583333333332</c:v>
                </c:pt>
                <c:pt idx="39">
                  <c:v>0.14428260869565218</c:v>
                </c:pt>
                <c:pt idx="40">
                  <c:v>0.14954782608695652</c:v>
                </c:pt>
                <c:pt idx="41">
                  <c:v>0.2135090909090909</c:v>
                </c:pt>
                <c:pt idx="42">
                  <c:v>0.23295416666666666</c:v>
                </c:pt>
                <c:pt idx="43">
                  <c:v>0.32411304347826098</c:v>
                </c:pt>
                <c:pt idx="44">
                  <c:v>0.3314125</c:v>
                </c:pt>
              </c:numCache>
            </c:numRef>
          </c:val>
          <c:extLst>
            <c:ext xmlns:c16="http://schemas.microsoft.com/office/drawing/2014/chart" uri="{C3380CC4-5D6E-409C-BE32-E72D297353CC}">
              <c16:uniqueId val="{00000003-6960-4A03-AB82-FAD63F95ECDD}"/>
            </c:ext>
          </c:extLst>
        </c:ser>
        <c:dLbls>
          <c:showLegendKey val="0"/>
          <c:showVal val="0"/>
          <c:showCatName val="0"/>
          <c:showSerName val="0"/>
          <c:showPercent val="0"/>
          <c:showBubbleSize val="0"/>
        </c:dLbls>
        <c:gapWidth val="100"/>
        <c:overlap val="-24"/>
        <c:axId val="1911077407"/>
        <c:axId val="1911077887"/>
      </c:barChart>
      <c:catAx>
        <c:axId val="1911077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077887"/>
        <c:crosses val="autoZero"/>
        <c:auto val="1"/>
        <c:lblAlgn val="ctr"/>
        <c:lblOffset val="100"/>
        <c:noMultiLvlLbl val="0"/>
      </c:catAx>
      <c:valAx>
        <c:axId val="19110778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07740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[Bike_Complete_Dataset.xlsx]Stastistics!PivotTable2</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Stastistics!$H$70</c:f>
              <c:strCache>
                <c:ptCount val="1"/>
                <c:pt idx="0">
                  <c:v>Sum of casual_customer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Stastistics!$G$71:$G$116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Stastistics!$H$71:$H$116</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extLst>
            <c:ext xmlns:c16="http://schemas.microsoft.com/office/drawing/2014/chart" uri="{C3380CC4-5D6E-409C-BE32-E72D297353CC}">
              <c16:uniqueId val="{00000000-CBCD-4686-A784-D48899B80406}"/>
            </c:ext>
          </c:extLst>
        </c:ser>
        <c:ser>
          <c:idx val="1"/>
          <c:order val="1"/>
          <c:tx>
            <c:strRef>
              <c:f>Stastistics!$I$70</c:f>
              <c:strCache>
                <c:ptCount val="1"/>
                <c:pt idx="0">
                  <c:v>Sum of registered_customer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Stastistics!$G$71:$G$116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Stastistics!$I$71:$I$116</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1-CBCD-4686-A784-D48899B80406}"/>
            </c:ext>
          </c:extLst>
        </c:ser>
        <c:ser>
          <c:idx val="2"/>
          <c:order val="2"/>
          <c:tx>
            <c:strRef>
              <c:f>Stastistics!$J$70</c:f>
              <c:strCache>
                <c:ptCount val="1"/>
                <c:pt idx="0">
                  <c:v>Sum of total_customer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Stastistics!$G$71:$G$116</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Stastistics!$J$71:$J$116</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2-CBCD-4686-A784-D48899B80406}"/>
            </c:ext>
          </c:extLst>
        </c:ser>
        <c:dLbls>
          <c:showLegendKey val="0"/>
          <c:showVal val="0"/>
          <c:showCatName val="0"/>
          <c:showSerName val="0"/>
          <c:showPercent val="0"/>
          <c:showBubbleSize val="0"/>
        </c:dLbls>
        <c:gapWidth val="100"/>
        <c:overlap val="-24"/>
        <c:axId val="19881343"/>
        <c:axId val="19887583"/>
      </c:barChart>
      <c:catAx>
        <c:axId val="19881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7583"/>
        <c:crosses val="autoZero"/>
        <c:auto val="1"/>
        <c:lblAlgn val="ctr"/>
        <c:lblOffset val="100"/>
        <c:noMultiLvlLbl val="0"/>
      </c:catAx>
      <c:valAx>
        <c:axId val="19887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134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[Bike_Complete_Dataset.xlsx]Stastistics!PivotTable3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Customers on Working Day Vs Holiday</a:t>
            </a:r>
          </a:p>
        </c:rich>
      </c:tx>
      <c:layout>
        <c:manualLayout>
          <c:xMode val="edge"/>
          <c:yMode val="edge"/>
          <c:x val="0.15456002968719987"/>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18903507453752E-3"/>
              <c:y val="2.1218890680033321E-1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Stastistics!$B$119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FED-4B87-BB03-DFE125A59E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19-42AB-86B7-B6FA8A794872}"/>
              </c:ext>
            </c:extLst>
          </c:dPt>
          <c:dLbls>
            <c:dLbl>
              <c:idx val="0"/>
              <c:layout>
                <c:manualLayout>
                  <c:x val="3.318903507453752E-3"/>
                  <c:y val="2.1218890680033321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FED-4B87-BB03-DFE125A59EF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Stastistics!$A$120:$A$122</c:f>
              <c:strCache>
                <c:ptCount val="2"/>
                <c:pt idx="0">
                  <c:v>Holiday</c:v>
                </c:pt>
                <c:pt idx="1">
                  <c:v>Working Day</c:v>
                </c:pt>
              </c:strCache>
            </c:strRef>
          </c:cat>
          <c:val>
            <c:numRef>
              <c:f>Stastistics!$B$120:$B$122</c:f>
              <c:numCache>
                <c:formatCode>General</c:formatCode>
                <c:ptCount val="2"/>
                <c:pt idx="0">
                  <c:v>1000</c:v>
                </c:pt>
                <c:pt idx="1">
                  <c:v>57304</c:v>
                </c:pt>
              </c:numCache>
            </c:numRef>
          </c:val>
          <c:extLst>
            <c:ext xmlns:c16="http://schemas.microsoft.com/office/drawing/2014/chart" uri="{C3380CC4-5D6E-409C-BE32-E72D297353CC}">
              <c16:uniqueId val="{00000000-CFED-4B87-BB03-DFE125A59EF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[Bike_Complete_Dataset.xlsx]Stastistics!PivotTable4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Customer Vs Wind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Stastistics!$E$119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AF-4721-92DE-51341D424B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AF-4721-92DE-51341D424B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AF-4721-92DE-51341D424B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Stastistics!$D$120:$D$123</c:f>
              <c:strCache>
                <c:ptCount val="3"/>
                <c:pt idx="0">
                  <c:v>Calm</c:v>
                </c:pt>
                <c:pt idx="1">
                  <c:v>Moderate</c:v>
                </c:pt>
                <c:pt idx="2">
                  <c:v>Windy</c:v>
                </c:pt>
              </c:strCache>
            </c:strRef>
          </c:cat>
          <c:val>
            <c:numRef>
              <c:f>Stastistics!$E$120:$E$123</c:f>
              <c:numCache>
                <c:formatCode>General</c:formatCode>
                <c:ptCount val="3"/>
                <c:pt idx="0">
                  <c:v>21605</c:v>
                </c:pt>
                <c:pt idx="1">
                  <c:v>24285</c:v>
                </c:pt>
                <c:pt idx="2">
                  <c:v>12414</c:v>
                </c:pt>
              </c:numCache>
            </c:numRef>
          </c:val>
          <c:extLst>
            <c:ext xmlns:c16="http://schemas.microsoft.com/office/drawing/2014/chart" uri="{C3380CC4-5D6E-409C-BE32-E72D297353CC}">
              <c16:uniqueId val="{00000000-E21C-4589-AFDB-72778B675A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[Bike_Complete_Dataset.xlsx]Stastistics!PivotTable5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Temperature</a:t>
            </a:r>
            <a:r>
              <a:rPr lang="en-IN" baseline="0"/>
              <a:t> vs Customer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Stastistics!$H$119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DA7-4891-98D7-98A17B14A4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DA7-4891-98D7-98A17B14A4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DA7-4891-98D7-98A17B14A4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DA7-4891-98D7-98A17B14A4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DA7-4891-98D7-98A17B14A43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Stastistics!$G$120:$G$125</c:f>
              <c:strCache>
                <c:ptCount val="5"/>
                <c:pt idx="0">
                  <c:v>Cold</c:v>
                </c:pt>
                <c:pt idx="1">
                  <c:v>Hot</c:v>
                </c:pt>
                <c:pt idx="2">
                  <c:v>Mild</c:v>
                </c:pt>
                <c:pt idx="3">
                  <c:v>Very Cold</c:v>
                </c:pt>
                <c:pt idx="4">
                  <c:v>Warm</c:v>
                </c:pt>
              </c:strCache>
            </c:strRef>
          </c:cat>
          <c:val>
            <c:numRef>
              <c:f>Stastistics!$H$120:$H$125</c:f>
              <c:numCache>
                <c:formatCode>General</c:formatCode>
                <c:ptCount val="5"/>
                <c:pt idx="0">
                  <c:v>32151</c:v>
                </c:pt>
                <c:pt idx="1">
                  <c:v>265</c:v>
                </c:pt>
                <c:pt idx="2">
                  <c:v>13110</c:v>
                </c:pt>
                <c:pt idx="3">
                  <c:v>9218</c:v>
                </c:pt>
                <c:pt idx="4">
                  <c:v>3560</c:v>
                </c:pt>
              </c:numCache>
            </c:numRef>
          </c:val>
          <c:extLst>
            <c:ext xmlns:c16="http://schemas.microsoft.com/office/drawing/2014/chart" uri="{C3380CC4-5D6E-409C-BE32-E72D297353CC}">
              <c16:uniqueId val="{00000000-F763-45FB-9516-76D3EE6DE4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[Bike_Complete_Dataset.xlsx]Stastistics!PivotTable6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Humidity</a:t>
            </a:r>
            <a:r>
              <a:rPr lang="en-IN" baseline="0"/>
              <a:t> vs Customer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Stastistics!$K$119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4A-4C56-9869-08E15B16E7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4A-4C56-9869-08E15B16E7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4A-4C56-9869-08E15B16E7B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Stastistics!$J$120:$J$123</c:f>
              <c:strCache>
                <c:ptCount val="3"/>
                <c:pt idx="0">
                  <c:v>High</c:v>
                </c:pt>
                <c:pt idx="1">
                  <c:v>Low</c:v>
                </c:pt>
                <c:pt idx="2">
                  <c:v>Medium</c:v>
                </c:pt>
              </c:strCache>
            </c:strRef>
          </c:cat>
          <c:val>
            <c:numRef>
              <c:f>Stastistics!$K$120:$K$123</c:f>
              <c:numCache>
                <c:formatCode>General</c:formatCode>
                <c:ptCount val="3"/>
                <c:pt idx="0">
                  <c:v>11986</c:v>
                </c:pt>
                <c:pt idx="1">
                  <c:v>13194</c:v>
                </c:pt>
                <c:pt idx="2">
                  <c:v>33124</c:v>
                </c:pt>
              </c:numCache>
            </c:numRef>
          </c:val>
          <c:extLst>
            <c:ext xmlns:c16="http://schemas.microsoft.com/office/drawing/2014/chart" uri="{C3380CC4-5D6E-409C-BE32-E72D297353CC}">
              <c16:uniqueId val="{00000000-9690-4289-A1B8-CC5CA52229C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Forecast!$B$22</c:f>
              <c:strCache>
                <c:ptCount val="1"/>
                <c:pt idx="0">
                  <c:v>total_customer</c:v>
                </c:pt>
              </c:strCache>
            </c:strRef>
          </c:tx>
          <c:spPr>
            <a:ln w="28575" cap="rnd">
              <a:solidFill>
                <a:schemeClr val="accent1"/>
              </a:solidFill>
              <a:round/>
            </a:ln>
            <a:effectLst/>
          </c:spPr>
          <c:marker>
            <c:symbol val="none"/>
          </c:marker>
          <c:val>
            <c:numRef>
              <c:f>Forecast!$B$23:$B$79</c:f>
              <c:numCache>
                <c:formatCode>0</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0FE5-47AA-8DDD-04698C85F427}"/>
            </c:ext>
          </c:extLst>
        </c:ser>
        <c:ser>
          <c:idx val="1"/>
          <c:order val="1"/>
          <c:tx>
            <c:strRef>
              <c:f>Forecast!$C$22</c:f>
              <c:strCache>
                <c:ptCount val="1"/>
                <c:pt idx="0">
                  <c:v>Forecast(total_customer)</c:v>
                </c:pt>
              </c:strCache>
            </c:strRef>
          </c:tx>
          <c:spPr>
            <a:ln w="25400" cap="rnd">
              <a:solidFill>
                <a:schemeClr val="accent2"/>
              </a:solidFill>
              <a:round/>
            </a:ln>
            <a:effectLst/>
          </c:spPr>
          <c:marker>
            <c:symbol val="none"/>
          </c:marker>
          <c:cat>
            <c:numRef>
              <c:f>Forecast!$A$23:$A$79</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Forecast!$C$23:$C$79</c:f>
              <c:numCache>
                <c:formatCode>0</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0FE5-47AA-8DDD-04698C85F427}"/>
            </c:ext>
          </c:extLst>
        </c:ser>
        <c:ser>
          <c:idx val="2"/>
          <c:order val="2"/>
          <c:tx>
            <c:strRef>
              <c:f>Forecast!$D$22</c:f>
              <c:strCache>
                <c:ptCount val="1"/>
                <c:pt idx="0">
                  <c:v>Lower Confidence Bound(total_customer)</c:v>
                </c:pt>
              </c:strCache>
            </c:strRef>
          </c:tx>
          <c:spPr>
            <a:ln w="12700" cap="rnd">
              <a:solidFill>
                <a:srgbClr val="ED7D31"/>
              </a:solidFill>
              <a:prstDash val="solid"/>
              <a:round/>
            </a:ln>
            <a:effectLst/>
          </c:spPr>
          <c:marker>
            <c:symbol val="none"/>
          </c:marker>
          <c:cat>
            <c:numRef>
              <c:f>Forecast!$A$23:$A$79</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Forecast!$D$23:$D$79</c:f>
              <c:numCache>
                <c:formatCode>0</c:formatCode>
                <c:ptCount val="57"/>
                <c:pt idx="44">
                  <c:v>18.875</c:v>
                </c:pt>
                <c:pt idx="45">
                  <c:v>31.858655883675784</c:v>
                </c:pt>
                <c:pt idx="46">
                  <c:v>31.878109408718345</c:v>
                </c:pt>
                <c:pt idx="47">
                  <c:v>31.895739851191895</c:v>
                </c:pt>
                <c:pt idx="48">
                  <c:v>31.911561716718598</c:v>
                </c:pt>
                <c:pt idx="49">
                  <c:v>31.925589377473688</c:v>
                </c:pt>
                <c:pt idx="50">
                  <c:v>31.937837068955986</c:v>
                </c:pt>
                <c:pt idx="51">
                  <c:v>31.948318887095059</c:v>
                </c:pt>
                <c:pt idx="52">
                  <c:v>31.95704878567814</c:v>
                </c:pt>
                <c:pt idx="53">
                  <c:v>31.964040574080091</c:v>
                </c:pt>
                <c:pt idx="54">
                  <c:v>31.969307915280588</c:v>
                </c:pt>
                <c:pt idx="55">
                  <c:v>31.972864324152855</c:v>
                </c:pt>
                <c:pt idx="56">
                  <c:v>31.974723166009028</c:v>
                </c:pt>
              </c:numCache>
            </c:numRef>
          </c:val>
          <c:smooth val="0"/>
          <c:extLst>
            <c:ext xmlns:c16="http://schemas.microsoft.com/office/drawing/2014/chart" uri="{C3380CC4-5D6E-409C-BE32-E72D297353CC}">
              <c16:uniqueId val="{00000002-0FE5-47AA-8DDD-04698C85F427}"/>
            </c:ext>
          </c:extLst>
        </c:ser>
        <c:ser>
          <c:idx val="3"/>
          <c:order val="3"/>
          <c:tx>
            <c:strRef>
              <c:f>Forecast!$E$22</c:f>
              <c:strCache>
                <c:ptCount val="1"/>
                <c:pt idx="0">
                  <c:v>Upper Confidence Bound(total_customer)</c:v>
                </c:pt>
              </c:strCache>
            </c:strRef>
          </c:tx>
          <c:spPr>
            <a:ln w="12700" cap="rnd">
              <a:solidFill>
                <a:srgbClr val="ED7D31"/>
              </a:solidFill>
              <a:prstDash val="solid"/>
              <a:round/>
            </a:ln>
            <a:effectLst/>
          </c:spPr>
          <c:marker>
            <c:symbol val="none"/>
          </c:marker>
          <c:cat>
            <c:numRef>
              <c:f>Forecast!$A$23:$A$79</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Forecast!$E$23:$E$79</c:f>
              <c:numCache>
                <c:formatCode>0</c:formatCode>
                <c:ptCount val="57"/>
                <c:pt idx="44">
                  <c:v>18.875</c:v>
                </c:pt>
                <c:pt idx="45">
                  <c:v>90.681612402372778</c:v>
                </c:pt>
                <c:pt idx="46">
                  <c:v>91.173546122732688</c:v>
                </c:pt>
                <c:pt idx="47">
                  <c:v>91.667302925661602</c:v>
                </c:pt>
                <c:pt idx="48">
                  <c:v>92.162868305537373</c:v>
                </c:pt>
                <c:pt idx="49">
                  <c:v>92.660227890184757</c:v>
                </c:pt>
                <c:pt idx="50">
                  <c:v>93.15936744410493</c:v>
                </c:pt>
                <c:pt idx="51">
                  <c:v>93.660272871368321</c:v>
                </c:pt>
                <c:pt idx="52">
                  <c:v>94.162930218187711</c:v>
                </c:pt>
                <c:pt idx="53">
                  <c:v>94.667325675188238</c:v>
                </c:pt>
                <c:pt idx="54">
                  <c:v>95.173445579390204</c:v>
                </c:pt>
                <c:pt idx="55">
                  <c:v>95.681276415920422</c:v>
                </c:pt>
                <c:pt idx="56">
                  <c:v>96.190804819466706</c:v>
                </c:pt>
              </c:numCache>
            </c:numRef>
          </c:val>
          <c:smooth val="0"/>
          <c:extLst>
            <c:ext xmlns:c16="http://schemas.microsoft.com/office/drawing/2014/chart" uri="{C3380CC4-5D6E-409C-BE32-E72D297353CC}">
              <c16:uniqueId val="{00000003-0FE5-47AA-8DDD-04698C85F427}"/>
            </c:ext>
          </c:extLst>
        </c:ser>
        <c:dLbls>
          <c:showLegendKey val="0"/>
          <c:showVal val="0"/>
          <c:showCatName val="0"/>
          <c:showSerName val="0"/>
          <c:showPercent val="0"/>
          <c:showBubbleSize val="0"/>
        </c:dLbls>
        <c:smooth val="0"/>
        <c:axId val="278426079"/>
        <c:axId val="278427999"/>
      </c:lineChart>
      <c:catAx>
        <c:axId val="27842607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27999"/>
        <c:crosses val="autoZero"/>
        <c:auto val="1"/>
        <c:lblAlgn val="ctr"/>
        <c:lblOffset val="100"/>
        <c:noMultiLvlLbl val="0"/>
      </c:catAx>
      <c:valAx>
        <c:axId val="278427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26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41412</xdr:rowOff>
    </xdr:from>
    <xdr:to>
      <xdr:col>14</xdr:col>
      <xdr:colOff>66675</xdr:colOff>
      <xdr:row>31</xdr:row>
      <xdr:rowOff>140804</xdr:rowOff>
    </xdr:to>
    <xdr:graphicFrame macro="">
      <xdr:nvGraphicFramePr>
        <xdr:cNvPr id="2" name="Chart 1">
          <a:extLst>
            <a:ext uri="{FF2B5EF4-FFF2-40B4-BE49-F238E27FC236}">
              <a16:creationId xmlns:a16="http://schemas.microsoft.com/office/drawing/2014/main" id="{3FBD08CC-BF07-3322-6CEB-F32794324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12</xdr:col>
      <xdr:colOff>438150</xdr:colOff>
      <xdr:row>15</xdr:row>
      <xdr:rowOff>9939</xdr:rowOff>
    </xdr:to>
    <xdr:graphicFrame macro="">
      <xdr:nvGraphicFramePr>
        <xdr:cNvPr id="3" name="Chart 2">
          <a:extLst>
            <a:ext uri="{FF2B5EF4-FFF2-40B4-BE49-F238E27FC236}">
              <a16:creationId xmlns:a16="http://schemas.microsoft.com/office/drawing/2014/main" id="{AE5CD716-FAEF-7FD3-8BE0-C6EB5E9EB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3313</xdr:rowOff>
    </xdr:from>
    <xdr:to>
      <xdr:col>3</xdr:col>
      <xdr:colOff>770283</xdr:colOff>
      <xdr:row>47</xdr:row>
      <xdr:rowOff>13253</xdr:rowOff>
    </xdr:to>
    <xdr:graphicFrame macro="">
      <xdr:nvGraphicFramePr>
        <xdr:cNvPr id="4" name="Chart 3">
          <a:extLst>
            <a:ext uri="{FF2B5EF4-FFF2-40B4-BE49-F238E27FC236}">
              <a16:creationId xmlns:a16="http://schemas.microsoft.com/office/drawing/2014/main" id="{9FC66A00-B146-DD44-3199-278587348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803413</xdr:colOff>
      <xdr:row>32</xdr:row>
      <xdr:rowOff>11592</xdr:rowOff>
    </xdr:from>
    <xdr:to>
      <xdr:col>7</xdr:col>
      <xdr:colOff>157369</xdr:colOff>
      <xdr:row>47</xdr:row>
      <xdr:rowOff>21532</xdr:rowOff>
    </xdr:to>
    <xdr:graphicFrame macro="">
      <xdr:nvGraphicFramePr>
        <xdr:cNvPr id="5" name="Chart 4">
          <a:extLst>
            <a:ext uri="{FF2B5EF4-FFF2-40B4-BE49-F238E27FC236}">
              <a16:creationId xmlns:a16="http://schemas.microsoft.com/office/drawing/2014/main" id="{D0C814F4-11AD-239B-2194-15DBB2BBC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198783</xdr:colOff>
      <xdr:row>32</xdr:row>
      <xdr:rowOff>11596</xdr:rowOff>
    </xdr:from>
    <xdr:to>
      <xdr:col>9</xdr:col>
      <xdr:colOff>969065</xdr:colOff>
      <xdr:row>47</xdr:row>
      <xdr:rowOff>21536</xdr:rowOff>
    </xdr:to>
    <xdr:graphicFrame macro="">
      <xdr:nvGraphicFramePr>
        <xdr:cNvPr id="6" name="Chart 5">
          <a:extLst>
            <a:ext uri="{FF2B5EF4-FFF2-40B4-BE49-F238E27FC236}">
              <a16:creationId xmlns:a16="http://schemas.microsoft.com/office/drawing/2014/main" id="{BFDB25AD-5891-78DC-AAF1-FDD9D1290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1032012</xdr:colOff>
      <xdr:row>32</xdr:row>
      <xdr:rowOff>21121</xdr:rowOff>
    </xdr:from>
    <xdr:to>
      <xdr:col>14</xdr:col>
      <xdr:colOff>91937</xdr:colOff>
      <xdr:row>47</xdr:row>
      <xdr:rowOff>31061</xdr:rowOff>
    </xdr:to>
    <xdr:graphicFrame macro="">
      <xdr:nvGraphicFramePr>
        <xdr:cNvPr id="7" name="Chart 6">
          <a:extLst>
            <a:ext uri="{FF2B5EF4-FFF2-40B4-BE49-F238E27FC236}">
              <a16:creationId xmlns:a16="http://schemas.microsoft.com/office/drawing/2014/main" id="{A3EF31E8-3B31-6FBA-AC94-DC77C6FDC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525531</xdr:colOff>
      <xdr:row>0</xdr:row>
      <xdr:rowOff>0</xdr:rowOff>
    </xdr:from>
    <xdr:to>
      <xdr:col>14</xdr:col>
      <xdr:colOff>60877</xdr:colOff>
      <xdr:row>14</xdr:row>
      <xdr:rowOff>171450</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E683FA9C-5912-F342-481D-3B72439CCDC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626910" y="0"/>
              <a:ext cx="1611139" cy="274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525780</xdr:colOff>
      <xdr:row>20</xdr:row>
      <xdr:rowOff>9525</xdr:rowOff>
    </xdr:to>
    <xdr:graphicFrame macro="">
      <xdr:nvGraphicFramePr>
        <xdr:cNvPr id="2" name="Chart 1">
          <a:extLst>
            <a:ext uri="{FF2B5EF4-FFF2-40B4-BE49-F238E27FC236}">
              <a16:creationId xmlns:a16="http://schemas.microsoft.com/office/drawing/2014/main" id="{73AFD0B4-99D4-C198-6F21-03890A687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513011226853" createdVersion="8" refreshedVersion="8" minRefreshableVersion="3" recordCount="1000" xr:uid="{1070F490-E450-4107-A2F8-888E569413B5}">
  <cacheSource type="worksheet">
    <worksheetSource name="Table1"/>
  </cacheSource>
  <cacheFields count="31">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30"/>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_situation" numFmtId="0">
      <sharedItems containsSemiMixedTypes="0" containsString="0" containsNumber="1" containsInteger="1" minValue="1" maxValue="4"/>
    </cacheField>
    <cacheField name="temperature" numFmtId="0">
      <sharedItems containsSemiMixedTypes="0" containsString="0" containsNumber="1" minValue="0.02" maxValue="0.46"/>
    </cacheField>
    <cacheField name="assumed_temperature"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_customer" numFmtId="0">
      <sharedItems containsSemiMixedTypes="0" containsString="0" containsNumber="1" containsInteger="1" minValue="0" maxValue="62"/>
    </cacheField>
    <cacheField name="registered_customer" numFmtId="0">
      <sharedItems containsSemiMixedTypes="0" containsString="0" containsNumber="1" containsInteger="1" minValue="0" maxValue="247"/>
    </cacheField>
    <cacheField name="total_customer" numFmtId="0">
      <sharedItems containsSemiMixedTypes="0" containsString="0" containsNumber="1" containsInteger="1" minValue="1" maxValue="249"/>
    </cacheField>
    <cacheField name="Season_Name" numFmtId="0">
      <sharedItems/>
    </cacheField>
    <cacheField name="Weekday_Name" numFmtId="0">
      <sharedItems/>
    </cacheField>
    <cacheField name="Weather_Description" numFmtId="0">
      <sharedItems/>
    </cacheField>
    <cacheField name="Time_of_Day" numFmtId="0">
      <sharedItems/>
    </cacheField>
    <cacheField name="Temperature_Level" numFmtId="0">
      <sharedItems count="5">
        <s v="Cold"/>
        <s v="Mild"/>
        <s v="Warm"/>
        <s v="Hot"/>
        <s v="Very Cold"/>
      </sharedItems>
    </cacheField>
    <cacheField name="Humidity_Level" numFmtId="0">
      <sharedItems count="3">
        <s v="High"/>
        <s v="Medium"/>
        <s v="Low"/>
      </sharedItems>
    </cacheField>
    <cacheField name="Wind_Level" numFmtId="0">
      <sharedItems count="3">
        <s v="Calm"/>
        <s v="Moderate"/>
        <s v="Windy"/>
      </sharedItems>
    </cacheField>
    <cacheField name="Day_Type" numFmtId="0">
      <sharedItems count="2">
        <s v="Working Day"/>
        <s v="Holiday"/>
      </sharedItems>
    </cacheField>
    <cacheField name="Customer_Type" numFmtId="0">
      <sharedItems/>
    </cacheField>
    <cacheField name="Casual_Percentage" numFmtId="0">
      <sharedItems containsSemiMixedTypes="0" containsString="0" containsNumber="1" minValue="0" maxValue="100"/>
    </cacheField>
    <cacheField name="Registered_Percentage" numFmtId="0">
      <sharedItems containsSemiMixedTypes="0" containsString="0" containsNumber="1" minValue="0" maxValue="100"/>
    </cacheField>
    <cacheField name="Rush_Hour" numFmtId="0">
      <sharedItems count="2">
        <s v="No"/>
        <s v="Yes"/>
      </sharedItems>
    </cacheField>
    <cacheField name="Demand_Level" numFmtId="0">
      <sharedItems count="2">
        <s v="Low"/>
        <s v="Medium"/>
      </sharedItems>
    </cacheField>
    <cacheField name="Weekend" numFmtId="0">
      <sharedItems/>
    </cacheField>
    <cacheField name="Feels_Like_Difference" numFmtId="0">
      <sharedItems containsSemiMixedTypes="0" containsString="0" containsNumber="1" minValue="-5.2100000000000042E-2" maxValue="0.1012"/>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506123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b v="0"/>
    <n v="6"/>
    <n v="1"/>
    <n v="0.24"/>
    <n v="0.28789999999999999"/>
    <n v="0.81"/>
    <n v="0"/>
    <n v="3"/>
    <n v="13"/>
    <n v="16"/>
    <s v="Spring"/>
    <s v="Saturday"/>
    <s v="Clear"/>
    <s v="Night"/>
    <x v="0"/>
    <x v="0"/>
    <x v="0"/>
    <x v="0"/>
    <s v="Mostly Registered"/>
    <n v="18.75"/>
    <n v="81.25"/>
    <x v="0"/>
    <x v="0"/>
    <s v="Yes"/>
    <n v="4.7899999999999998E-2"/>
  </r>
  <r>
    <n v="2"/>
    <x v="0"/>
    <n v="1"/>
    <n v="1"/>
    <b v="0"/>
    <n v="6"/>
    <n v="1"/>
    <n v="0.22"/>
    <n v="0.2727"/>
    <n v="0.8"/>
    <n v="0"/>
    <n v="8"/>
    <n v="32"/>
    <n v="40"/>
    <s v="Spring"/>
    <s v="Saturday"/>
    <s v="Clear"/>
    <s v="Night"/>
    <x v="0"/>
    <x v="0"/>
    <x v="0"/>
    <x v="0"/>
    <s v="Mostly Registered"/>
    <n v="20"/>
    <n v="80"/>
    <x v="0"/>
    <x v="0"/>
    <s v="Yes"/>
    <n v="5.2699999999999997E-2"/>
  </r>
  <r>
    <n v="3"/>
    <x v="0"/>
    <n v="1"/>
    <n v="2"/>
    <b v="0"/>
    <n v="6"/>
    <n v="1"/>
    <n v="0.22"/>
    <n v="0.2727"/>
    <n v="0.8"/>
    <n v="0"/>
    <n v="5"/>
    <n v="27"/>
    <n v="32"/>
    <s v="Spring"/>
    <s v="Saturday"/>
    <s v="Clear"/>
    <s v="Night"/>
    <x v="0"/>
    <x v="0"/>
    <x v="0"/>
    <x v="0"/>
    <s v="Mostly Registered"/>
    <n v="15.625"/>
    <n v="84.375"/>
    <x v="0"/>
    <x v="0"/>
    <s v="Yes"/>
    <n v="5.2699999999999997E-2"/>
  </r>
  <r>
    <n v="4"/>
    <x v="0"/>
    <n v="1"/>
    <n v="3"/>
    <b v="0"/>
    <n v="6"/>
    <n v="1"/>
    <n v="0.24"/>
    <n v="0.28789999999999999"/>
    <n v="0.75"/>
    <n v="0"/>
    <n v="3"/>
    <n v="10"/>
    <n v="13"/>
    <s v="Spring"/>
    <s v="Saturday"/>
    <s v="Clear"/>
    <s v="Night"/>
    <x v="0"/>
    <x v="0"/>
    <x v="0"/>
    <x v="0"/>
    <s v="Mostly Registered"/>
    <n v="23.07692307692308"/>
    <n v="76.923076923076934"/>
    <x v="0"/>
    <x v="0"/>
    <s v="Yes"/>
    <n v="4.7899999999999998E-2"/>
  </r>
  <r>
    <n v="5"/>
    <x v="0"/>
    <n v="1"/>
    <n v="4"/>
    <b v="0"/>
    <n v="6"/>
    <n v="1"/>
    <n v="0.24"/>
    <n v="0.28789999999999999"/>
    <n v="0.75"/>
    <n v="0"/>
    <n v="0"/>
    <n v="1"/>
    <n v="1"/>
    <s v="Spring"/>
    <s v="Saturday"/>
    <s v="Clear"/>
    <s v="Night"/>
    <x v="0"/>
    <x v="0"/>
    <x v="0"/>
    <x v="0"/>
    <s v="Mostly Registered"/>
    <n v="0"/>
    <n v="100"/>
    <x v="0"/>
    <x v="0"/>
    <s v="Yes"/>
    <n v="4.7899999999999998E-2"/>
  </r>
  <r>
    <n v="6"/>
    <x v="0"/>
    <n v="1"/>
    <n v="5"/>
    <b v="0"/>
    <n v="6"/>
    <n v="2"/>
    <n v="0.24"/>
    <n v="0.2576"/>
    <n v="0.75"/>
    <n v="8.9599999999999999E-2"/>
    <n v="0"/>
    <n v="1"/>
    <n v="1"/>
    <s v="Spring"/>
    <s v="Saturday"/>
    <s v="Mist/Cloudy"/>
    <s v="Night"/>
    <x v="0"/>
    <x v="0"/>
    <x v="0"/>
    <x v="0"/>
    <s v="Mostly Registered"/>
    <n v="0"/>
    <n v="100"/>
    <x v="0"/>
    <x v="0"/>
    <s v="Yes"/>
    <n v="1.7600000000000001E-2"/>
  </r>
  <r>
    <n v="7"/>
    <x v="0"/>
    <n v="1"/>
    <n v="6"/>
    <b v="0"/>
    <n v="6"/>
    <n v="1"/>
    <n v="0.22"/>
    <n v="0.2727"/>
    <n v="0.8"/>
    <n v="0"/>
    <n v="2"/>
    <n v="0"/>
    <n v="2"/>
    <s v="Spring"/>
    <s v="Saturday"/>
    <s v="Clear"/>
    <s v="Morning"/>
    <x v="0"/>
    <x v="0"/>
    <x v="0"/>
    <x v="0"/>
    <s v="Mostly Casual"/>
    <n v="100"/>
    <n v="0"/>
    <x v="0"/>
    <x v="0"/>
    <s v="Yes"/>
    <n v="5.2699999999999997E-2"/>
  </r>
  <r>
    <n v="8"/>
    <x v="0"/>
    <n v="1"/>
    <n v="7"/>
    <b v="0"/>
    <n v="6"/>
    <n v="1"/>
    <n v="0.2"/>
    <n v="0.2576"/>
    <n v="0.86"/>
    <n v="0"/>
    <n v="1"/>
    <n v="2"/>
    <n v="3"/>
    <s v="Spring"/>
    <s v="Saturday"/>
    <s v="Clear"/>
    <s v="Morning"/>
    <x v="0"/>
    <x v="0"/>
    <x v="0"/>
    <x v="0"/>
    <s v="Mostly Registered"/>
    <n v="33.333333333333329"/>
    <n v="66.666666666666657"/>
    <x v="1"/>
    <x v="0"/>
    <s v="Yes"/>
    <n v="5.7599999999999978E-2"/>
  </r>
  <r>
    <n v="9"/>
    <x v="0"/>
    <n v="1"/>
    <n v="8"/>
    <b v="0"/>
    <n v="6"/>
    <n v="1"/>
    <n v="0.24"/>
    <n v="0.2576"/>
    <n v="0.75"/>
    <n v="0"/>
    <n v="1"/>
    <n v="7"/>
    <n v="8"/>
    <s v="Spring"/>
    <s v="Saturday"/>
    <s v="Clear"/>
    <s v="Morning"/>
    <x v="0"/>
    <x v="0"/>
    <x v="0"/>
    <x v="0"/>
    <s v="Mostly Registered"/>
    <n v="12.5"/>
    <n v="87.5"/>
    <x v="1"/>
    <x v="0"/>
    <s v="Yes"/>
    <n v="1.7600000000000001E-2"/>
  </r>
  <r>
    <n v="10"/>
    <x v="0"/>
    <n v="1"/>
    <n v="9"/>
    <b v="0"/>
    <n v="6"/>
    <n v="1"/>
    <n v="0.32"/>
    <n v="0.34849999999999998"/>
    <n v="0.76"/>
    <n v="0"/>
    <n v="8"/>
    <n v="6"/>
    <n v="14"/>
    <s v="Spring"/>
    <s v="Saturday"/>
    <s v="Clear"/>
    <s v="Morning"/>
    <x v="1"/>
    <x v="0"/>
    <x v="0"/>
    <x v="0"/>
    <s v="Mostly Casual"/>
    <n v="57.142857142857139"/>
    <n v="42.857142857142847"/>
    <x v="1"/>
    <x v="0"/>
    <s v="Yes"/>
    <n v="2.849999999999997E-2"/>
  </r>
  <r>
    <n v="11"/>
    <x v="0"/>
    <n v="1"/>
    <n v="10"/>
    <b v="0"/>
    <n v="6"/>
    <n v="1"/>
    <n v="0.38"/>
    <n v="0.39389999999999997"/>
    <n v="0.76"/>
    <n v="0.25369999999999998"/>
    <n v="12"/>
    <n v="24"/>
    <n v="36"/>
    <s v="Spring"/>
    <s v="Saturday"/>
    <s v="Clear"/>
    <s v="Morning"/>
    <x v="2"/>
    <x v="0"/>
    <x v="1"/>
    <x v="0"/>
    <s v="Mostly Registered"/>
    <n v="33.333333333333329"/>
    <n v="66.666666666666657"/>
    <x v="0"/>
    <x v="0"/>
    <s v="Yes"/>
    <n v="1.389999999999997E-2"/>
  </r>
  <r>
    <n v="12"/>
    <x v="0"/>
    <n v="1"/>
    <n v="11"/>
    <b v="0"/>
    <n v="6"/>
    <n v="1"/>
    <n v="0.36"/>
    <n v="0.33329999999999999"/>
    <n v="0.81"/>
    <n v="0.28360000000000002"/>
    <n v="26"/>
    <n v="30"/>
    <n v="56"/>
    <s v="Spring"/>
    <s v="Saturday"/>
    <s v="Clear"/>
    <s v="Morning"/>
    <x v="2"/>
    <x v="0"/>
    <x v="1"/>
    <x v="0"/>
    <s v="Mostly Registered"/>
    <n v="46.428571428571431"/>
    <n v="53.571428571428569"/>
    <x v="0"/>
    <x v="0"/>
    <s v="Yes"/>
    <n v="-2.6700000000000002E-2"/>
  </r>
  <r>
    <n v="13"/>
    <x v="0"/>
    <n v="1"/>
    <n v="12"/>
    <b v="0"/>
    <n v="6"/>
    <n v="1"/>
    <n v="0.42"/>
    <n v="0.42420000000000002"/>
    <n v="0.77"/>
    <n v="0.28360000000000002"/>
    <n v="29"/>
    <n v="55"/>
    <n v="84"/>
    <s v="Spring"/>
    <s v="Saturday"/>
    <s v="Clear"/>
    <s v="Afternoon"/>
    <x v="2"/>
    <x v="0"/>
    <x v="1"/>
    <x v="0"/>
    <s v="Mostly Registered"/>
    <n v="34.523809523809533"/>
    <n v="65.476190476190482"/>
    <x v="0"/>
    <x v="0"/>
    <s v="Yes"/>
    <n v="4.200000000000037E-3"/>
  </r>
  <r>
    <n v="14"/>
    <x v="0"/>
    <n v="1"/>
    <n v="13"/>
    <b v="0"/>
    <n v="6"/>
    <n v="2"/>
    <n v="0.46"/>
    <n v="0.45450000000000002"/>
    <n v="0.72"/>
    <n v="0.29849999999999999"/>
    <n v="47"/>
    <n v="47"/>
    <n v="94"/>
    <s v="Spring"/>
    <s v="Saturday"/>
    <s v="Mist/Cloudy"/>
    <s v="Afternoon"/>
    <x v="3"/>
    <x v="0"/>
    <x v="1"/>
    <x v="0"/>
    <s v="Mostly Registered"/>
    <n v="50"/>
    <n v="50"/>
    <x v="0"/>
    <x v="0"/>
    <s v="Yes"/>
    <n v="-5.5000000000000049E-3"/>
  </r>
  <r>
    <n v="15"/>
    <x v="0"/>
    <n v="1"/>
    <n v="14"/>
    <b v="0"/>
    <n v="6"/>
    <n v="2"/>
    <n v="0.46"/>
    <n v="0.45450000000000002"/>
    <n v="0.72"/>
    <n v="0.28360000000000002"/>
    <n v="35"/>
    <n v="71"/>
    <n v="106"/>
    <s v="Spring"/>
    <s v="Saturday"/>
    <s v="Mist/Cloudy"/>
    <s v="Afternoon"/>
    <x v="3"/>
    <x v="0"/>
    <x v="1"/>
    <x v="0"/>
    <s v="Mostly Registered"/>
    <n v="33.018867924528301"/>
    <n v="66.981132075471692"/>
    <x v="0"/>
    <x v="1"/>
    <s v="Yes"/>
    <n v="-5.5000000000000049E-3"/>
  </r>
  <r>
    <n v="16"/>
    <x v="0"/>
    <n v="1"/>
    <n v="15"/>
    <b v="0"/>
    <n v="6"/>
    <n v="2"/>
    <n v="0.44"/>
    <n v="0.43940000000000001"/>
    <n v="0.77"/>
    <n v="0.29849999999999999"/>
    <n v="40"/>
    <n v="70"/>
    <n v="110"/>
    <s v="Spring"/>
    <s v="Saturday"/>
    <s v="Mist/Cloudy"/>
    <s v="Afternoon"/>
    <x v="2"/>
    <x v="0"/>
    <x v="1"/>
    <x v="0"/>
    <s v="Mostly Registered"/>
    <n v="36.363636363636367"/>
    <n v="63.636363636363633"/>
    <x v="0"/>
    <x v="1"/>
    <s v="Yes"/>
    <n v="-5.9999999999998943E-4"/>
  </r>
  <r>
    <n v="17"/>
    <x v="0"/>
    <n v="1"/>
    <n v="16"/>
    <b v="0"/>
    <n v="6"/>
    <n v="2"/>
    <n v="0.42"/>
    <n v="0.42420000000000002"/>
    <n v="0.82"/>
    <n v="0.29849999999999999"/>
    <n v="41"/>
    <n v="52"/>
    <n v="93"/>
    <s v="Spring"/>
    <s v="Saturday"/>
    <s v="Mist/Cloudy"/>
    <s v="Afternoon"/>
    <x v="2"/>
    <x v="0"/>
    <x v="1"/>
    <x v="0"/>
    <s v="Mostly Registered"/>
    <n v="44.086021505376337"/>
    <n v="55.913978494623649"/>
    <x v="0"/>
    <x v="0"/>
    <s v="Yes"/>
    <n v="4.200000000000037E-3"/>
  </r>
  <r>
    <n v="18"/>
    <x v="0"/>
    <n v="1"/>
    <n v="17"/>
    <b v="0"/>
    <n v="6"/>
    <n v="2"/>
    <n v="0.44"/>
    <n v="0.42420000000000002"/>
    <n v="0.82"/>
    <n v="0.28360000000000002"/>
    <n v="15"/>
    <n v="52"/>
    <n v="67"/>
    <s v="Spring"/>
    <s v="Saturday"/>
    <s v="Mist/Cloudy"/>
    <s v="Evening"/>
    <x v="2"/>
    <x v="0"/>
    <x v="1"/>
    <x v="0"/>
    <s v="Mostly Registered"/>
    <n v="22.388059701492541"/>
    <n v="77.611940298507463"/>
    <x v="1"/>
    <x v="0"/>
    <s v="Yes"/>
    <n v="-1.5799999999999981E-2"/>
  </r>
  <r>
    <n v="19"/>
    <x v="0"/>
    <n v="1"/>
    <n v="18"/>
    <b v="0"/>
    <n v="6"/>
    <n v="3"/>
    <n v="0.42"/>
    <n v="0.42420000000000002"/>
    <n v="0.88"/>
    <n v="0.25369999999999998"/>
    <n v="9"/>
    <n v="26"/>
    <n v="35"/>
    <s v="Spring"/>
    <s v="Saturday"/>
    <s v="Light Rain/Snow"/>
    <s v="Evening"/>
    <x v="2"/>
    <x v="0"/>
    <x v="1"/>
    <x v="0"/>
    <s v="Mostly Registered"/>
    <n v="25.714285714285712"/>
    <n v="74.285714285714292"/>
    <x v="1"/>
    <x v="0"/>
    <s v="Yes"/>
    <n v="4.200000000000037E-3"/>
  </r>
  <r>
    <n v="20"/>
    <x v="0"/>
    <n v="1"/>
    <n v="19"/>
    <b v="0"/>
    <n v="6"/>
    <n v="3"/>
    <n v="0.42"/>
    <n v="0.42420000000000002"/>
    <n v="0.88"/>
    <n v="0.25369999999999998"/>
    <n v="6"/>
    <n v="31"/>
    <n v="37"/>
    <s v="Spring"/>
    <s v="Saturday"/>
    <s v="Light Rain/Snow"/>
    <s v="Evening"/>
    <x v="2"/>
    <x v="0"/>
    <x v="1"/>
    <x v="0"/>
    <s v="Mostly Registered"/>
    <n v="16.216216216216221"/>
    <n v="83.78378378378379"/>
    <x v="1"/>
    <x v="0"/>
    <s v="Yes"/>
    <n v="4.200000000000037E-3"/>
  </r>
  <r>
    <n v="21"/>
    <x v="0"/>
    <n v="1"/>
    <n v="20"/>
    <b v="0"/>
    <n v="6"/>
    <n v="2"/>
    <n v="0.4"/>
    <n v="0.40910000000000002"/>
    <n v="0.87"/>
    <n v="0.25369999999999998"/>
    <n v="11"/>
    <n v="25"/>
    <n v="36"/>
    <s v="Spring"/>
    <s v="Saturday"/>
    <s v="Mist/Cloudy"/>
    <s v="Evening"/>
    <x v="2"/>
    <x v="0"/>
    <x v="1"/>
    <x v="0"/>
    <s v="Mostly Registered"/>
    <n v="30.555555555555561"/>
    <n v="69.444444444444443"/>
    <x v="0"/>
    <x v="0"/>
    <s v="Yes"/>
    <n v="9.099999999999997E-3"/>
  </r>
  <r>
    <n v="22"/>
    <x v="0"/>
    <n v="1"/>
    <n v="21"/>
    <b v="0"/>
    <n v="6"/>
    <n v="2"/>
    <n v="0.4"/>
    <n v="0.40910000000000002"/>
    <n v="0.87"/>
    <n v="0.19400000000000001"/>
    <n v="3"/>
    <n v="31"/>
    <n v="34"/>
    <s v="Spring"/>
    <s v="Saturday"/>
    <s v="Mist/Cloudy"/>
    <s v="Night"/>
    <x v="2"/>
    <x v="0"/>
    <x v="1"/>
    <x v="0"/>
    <s v="Mostly Registered"/>
    <n v="8.8235294117647065"/>
    <n v="91.17647058823529"/>
    <x v="0"/>
    <x v="0"/>
    <s v="Yes"/>
    <n v="9.099999999999997E-3"/>
  </r>
  <r>
    <n v="23"/>
    <x v="0"/>
    <n v="1"/>
    <n v="22"/>
    <b v="0"/>
    <n v="6"/>
    <n v="2"/>
    <n v="0.4"/>
    <n v="0.40910000000000002"/>
    <n v="0.94"/>
    <n v="0.22389999999999999"/>
    <n v="11"/>
    <n v="17"/>
    <n v="28"/>
    <s v="Spring"/>
    <s v="Saturday"/>
    <s v="Mist/Cloudy"/>
    <s v="Night"/>
    <x v="2"/>
    <x v="0"/>
    <x v="1"/>
    <x v="0"/>
    <s v="Mostly Registered"/>
    <n v="39.285714285714278"/>
    <n v="60.714285714285708"/>
    <x v="0"/>
    <x v="0"/>
    <s v="Yes"/>
    <n v="9.099999999999997E-3"/>
  </r>
  <r>
    <n v="24"/>
    <x v="0"/>
    <n v="1"/>
    <n v="23"/>
    <b v="0"/>
    <n v="6"/>
    <n v="2"/>
    <n v="0.46"/>
    <n v="0.40910000000000002"/>
    <n v="0.88"/>
    <n v="0.29849999999999999"/>
    <n v="15"/>
    <n v="24"/>
    <n v="39"/>
    <s v="Spring"/>
    <s v="Saturday"/>
    <s v="Mist/Cloudy"/>
    <s v="Night"/>
    <x v="3"/>
    <x v="0"/>
    <x v="1"/>
    <x v="0"/>
    <s v="Mostly Registered"/>
    <n v="38.461538461538467"/>
    <n v="61.53846153846154"/>
    <x v="0"/>
    <x v="0"/>
    <s v="Yes"/>
    <n v="-5.0900000000000001E-2"/>
  </r>
  <r>
    <n v="25"/>
    <x v="1"/>
    <n v="1"/>
    <n v="0"/>
    <b v="0"/>
    <n v="0"/>
    <n v="2"/>
    <n v="0.46"/>
    <n v="0.45450000000000002"/>
    <n v="0.88"/>
    <n v="0.29849999999999999"/>
    <n v="4"/>
    <n v="13"/>
    <n v="17"/>
    <s v="Spring"/>
    <s v="Sunday"/>
    <s v="Mist/Cloudy"/>
    <s v="Night"/>
    <x v="3"/>
    <x v="0"/>
    <x v="1"/>
    <x v="0"/>
    <s v="Mostly Registered"/>
    <n v="23.52941176470588"/>
    <n v="76.470588235294116"/>
    <x v="0"/>
    <x v="0"/>
    <s v="Yes"/>
    <n v="-5.5000000000000049E-3"/>
  </r>
  <r>
    <n v="26"/>
    <x v="1"/>
    <n v="1"/>
    <n v="1"/>
    <b v="0"/>
    <n v="0"/>
    <n v="2"/>
    <n v="0.44"/>
    <n v="0.43940000000000001"/>
    <n v="0.94"/>
    <n v="0.25369999999999998"/>
    <n v="1"/>
    <n v="16"/>
    <n v="17"/>
    <s v="Spring"/>
    <s v="Sunday"/>
    <s v="Mist/Cloudy"/>
    <s v="Night"/>
    <x v="2"/>
    <x v="0"/>
    <x v="1"/>
    <x v="0"/>
    <s v="Mostly Registered"/>
    <n v="5.8823529411764701"/>
    <n v="94.117647058823522"/>
    <x v="0"/>
    <x v="0"/>
    <s v="Yes"/>
    <n v="-5.9999999999998943E-4"/>
  </r>
  <r>
    <n v="27"/>
    <x v="1"/>
    <n v="1"/>
    <n v="2"/>
    <b v="0"/>
    <n v="0"/>
    <n v="2"/>
    <n v="0.42"/>
    <n v="0.42420000000000002"/>
    <n v="1"/>
    <n v="0.28360000000000002"/>
    <n v="1"/>
    <n v="8"/>
    <n v="9"/>
    <s v="Spring"/>
    <s v="Sunday"/>
    <s v="Mist/Cloudy"/>
    <s v="Night"/>
    <x v="2"/>
    <x v="0"/>
    <x v="1"/>
    <x v="0"/>
    <s v="Mostly Registered"/>
    <n v="11.111111111111111"/>
    <n v="88.888888888888886"/>
    <x v="0"/>
    <x v="0"/>
    <s v="Yes"/>
    <n v="4.200000000000037E-3"/>
  </r>
  <r>
    <n v="28"/>
    <x v="1"/>
    <n v="1"/>
    <n v="3"/>
    <b v="0"/>
    <n v="0"/>
    <n v="2"/>
    <n v="0.46"/>
    <n v="0.45450000000000002"/>
    <n v="0.94"/>
    <n v="0.19400000000000001"/>
    <n v="2"/>
    <n v="4"/>
    <n v="6"/>
    <s v="Spring"/>
    <s v="Sunday"/>
    <s v="Mist/Cloudy"/>
    <s v="Night"/>
    <x v="3"/>
    <x v="0"/>
    <x v="1"/>
    <x v="0"/>
    <s v="Mostly Registered"/>
    <n v="33.333333333333329"/>
    <n v="66.666666666666657"/>
    <x v="0"/>
    <x v="0"/>
    <s v="Yes"/>
    <n v="-5.5000000000000049E-3"/>
  </r>
  <r>
    <n v="29"/>
    <x v="1"/>
    <n v="1"/>
    <n v="4"/>
    <b v="0"/>
    <n v="0"/>
    <n v="2"/>
    <n v="0.46"/>
    <n v="0.45450000000000002"/>
    <n v="0.94"/>
    <n v="0.19400000000000001"/>
    <n v="2"/>
    <n v="1"/>
    <n v="3"/>
    <s v="Spring"/>
    <s v="Sunday"/>
    <s v="Mist/Cloudy"/>
    <s v="Night"/>
    <x v="3"/>
    <x v="0"/>
    <x v="1"/>
    <x v="0"/>
    <s v="Mostly Casual"/>
    <n v="66.666666666666657"/>
    <n v="33.333333333333329"/>
    <x v="0"/>
    <x v="0"/>
    <s v="Yes"/>
    <n v="-5.5000000000000049E-3"/>
  </r>
  <r>
    <n v="30"/>
    <x v="1"/>
    <n v="1"/>
    <n v="6"/>
    <b v="0"/>
    <n v="0"/>
    <n v="3"/>
    <n v="0.42"/>
    <n v="0.42420000000000002"/>
    <n v="0.77"/>
    <n v="0.29849999999999999"/>
    <n v="0"/>
    <n v="2"/>
    <n v="2"/>
    <s v="Spring"/>
    <s v="Sunday"/>
    <s v="Light Rain/Snow"/>
    <s v="Morning"/>
    <x v="2"/>
    <x v="0"/>
    <x v="1"/>
    <x v="0"/>
    <s v="Mostly Registered"/>
    <n v="0"/>
    <n v="100"/>
    <x v="0"/>
    <x v="0"/>
    <s v="Yes"/>
    <n v="4.200000000000037E-3"/>
  </r>
  <r>
    <n v="31"/>
    <x v="1"/>
    <n v="1"/>
    <n v="7"/>
    <b v="0"/>
    <n v="0"/>
    <n v="2"/>
    <n v="0.4"/>
    <n v="0.40910000000000002"/>
    <n v="0.76"/>
    <n v="0.19400000000000001"/>
    <n v="0"/>
    <n v="1"/>
    <n v="1"/>
    <s v="Spring"/>
    <s v="Sunday"/>
    <s v="Mist/Cloudy"/>
    <s v="Morning"/>
    <x v="2"/>
    <x v="0"/>
    <x v="1"/>
    <x v="0"/>
    <s v="Mostly Registered"/>
    <n v="0"/>
    <n v="100"/>
    <x v="1"/>
    <x v="0"/>
    <s v="Yes"/>
    <n v="9.099999999999997E-3"/>
  </r>
  <r>
    <n v="32"/>
    <x v="1"/>
    <n v="1"/>
    <n v="8"/>
    <b v="0"/>
    <n v="0"/>
    <n v="3"/>
    <n v="0.4"/>
    <n v="0.40910000000000002"/>
    <n v="0.71"/>
    <n v="0.22389999999999999"/>
    <n v="0"/>
    <n v="8"/>
    <n v="8"/>
    <s v="Spring"/>
    <s v="Sunday"/>
    <s v="Light Rain/Snow"/>
    <s v="Morning"/>
    <x v="2"/>
    <x v="0"/>
    <x v="1"/>
    <x v="0"/>
    <s v="Mostly Registered"/>
    <n v="0"/>
    <n v="100"/>
    <x v="1"/>
    <x v="0"/>
    <s v="Yes"/>
    <n v="9.099999999999997E-3"/>
  </r>
  <r>
    <n v="33"/>
    <x v="1"/>
    <n v="1"/>
    <n v="9"/>
    <b v="0"/>
    <n v="0"/>
    <n v="2"/>
    <n v="0.38"/>
    <n v="0.40910000000000002"/>
    <n v="0.76"/>
    <n v="0.22389999999999999"/>
    <n v="1"/>
    <n v="19"/>
    <n v="20"/>
    <s v="Spring"/>
    <s v="Sunday"/>
    <s v="Mist/Cloudy"/>
    <s v="Morning"/>
    <x v="2"/>
    <x v="0"/>
    <x v="1"/>
    <x v="0"/>
    <s v="Mostly Registered"/>
    <n v="5"/>
    <n v="95"/>
    <x v="1"/>
    <x v="0"/>
    <s v="Yes"/>
    <n v="2.9100000000000011E-2"/>
  </r>
  <r>
    <n v="34"/>
    <x v="1"/>
    <n v="1"/>
    <n v="10"/>
    <b v="0"/>
    <n v="0"/>
    <n v="2"/>
    <n v="0.36"/>
    <n v="0.34849999999999998"/>
    <n v="0.81"/>
    <n v="0.22389999999999999"/>
    <n v="7"/>
    <n v="46"/>
    <n v="53"/>
    <s v="Spring"/>
    <s v="Sunday"/>
    <s v="Mist/Cloudy"/>
    <s v="Morning"/>
    <x v="2"/>
    <x v="0"/>
    <x v="1"/>
    <x v="0"/>
    <s v="Mostly Registered"/>
    <n v="13.20754716981132"/>
    <n v="86.79245283018868"/>
    <x v="0"/>
    <x v="0"/>
    <s v="Yes"/>
    <n v="-1.150000000000001E-2"/>
  </r>
  <r>
    <n v="35"/>
    <x v="1"/>
    <n v="1"/>
    <n v="11"/>
    <b v="0"/>
    <n v="0"/>
    <n v="2"/>
    <n v="0.36"/>
    <n v="0.33329999999999999"/>
    <n v="0.71"/>
    <n v="0.25369999999999998"/>
    <n v="16"/>
    <n v="54"/>
    <n v="70"/>
    <s v="Spring"/>
    <s v="Sunday"/>
    <s v="Mist/Cloudy"/>
    <s v="Morning"/>
    <x v="2"/>
    <x v="0"/>
    <x v="1"/>
    <x v="0"/>
    <s v="Mostly Registered"/>
    <n v="22.857142857142861"/>
    <n v="77.142857142857153"/>
    <x v="0"/>
    <x v="0"/>
    <s v="Yes"/>
    <n v="-2.6700000000000002E-2"/>
  </r>
  <r>
    <n v="36"/>
    <x v="1"/>
    <n v="1"/>
    <n v="12"/>
    <b v="0"/>
    <n v="0"/>
    <n v="2"/>
    <n v="0.36"/>
    <n v="0.33329999999999999"/>
    <n v="0.66"/>
    <n v="0.29849999999999999"/>
    <n v="20"/>
    <n v="73"/>
    <n v="93"/>
    <s v="Spring"/>
    <s v="Sunday"/>
    <s v="Mist/Cloudy"/>
    <s v="Afternoon"/>
    <x v="2"/>
    <x v="1"/>
    <x v="1"/>
    <x v="0"/>
    <s v="Mostly Registered"/>
    <n v="21.50537634408602"/>
    <n v="78.494623655913969"/>
    <x v="0"/>
    <x v="0"/>
    <s v="Yes"/>
    <n v="-2.6700000000000002E-2"/>
  </r>
  <r>
    <n v="37"/>
    <x v="1"/>
    <n v="1"/>
    <n v="13"/>
    <b v="0"/>
    <n v="0"/>
    <n v="2"/>
    <n v="0.36"/>
    <n v="0.34849999999999998"/>
    <n v="0.66"/>
    <n v="0.1343"/>
    <n v="11"/>
    <n v="64"/>
    <n v="75"/>
    <s v="Spring"/>
    <s v="Sunday"/>
    <s v="Mist/Cloudy"/>
    <s v="Afternoon"/>
    <x v="2"/>
    <x v="1"/>
    <x v="0"/>
    <x v="0"/>
    <s v="Mostly Registered"/>
    <n v="14.66666666666667"/>
    <n v="85.333333333333343"/>
    <x v="0"/>
    <x v="0"/>
    <s v="Yes"/>
    <n v="-1.150000000000001E-2"/>
  </r>
  <r>
    <n v="38"/>
    <x v="1"/>
    <n v="1"/>
    <n v="14"/>
    <b v="0"/>
    <n v="0"/>
    <n v="3"/>
    <n v="0.36"/>
    <n v="0.34849999999999998"/>
    <n v="0.76"/>
    <n v="0.19400000000000001"/>
    <n v="4"/>
    <n v="55"/>
    <n v="59"/>
    <s v="Spring"/>
    <s v="Sunday"/>
    <s v="Light Rain/Snow"/>
    <s v="Afternoon"/>
    <x v="2"/>
    <x v="0"/>
    <x v="1"/>
    <x v="0"/>
    <s v="Mostly Registered"/>
    <n v="6.7796610169491522"/>
    <n v="93.220338983050837"/>
    <x v="0"/>
    <x v="0"/>
    <s v="Yes"/>
    <n v="-1.150000000000001E-2"/>
  </r>
  <r>
    <n v="39"/>
    <x v="1"/>
    <n v="1"/>
    <n v="15"/>
    <b v="0"/>
    <n v="0"/>
    <n v="3"/>
    <n v="0.34"/>
    <n v="0.33329999999999999"/>
    <n v="0.81"/>
    <n v="0.16420000000000001"/>
    <n v="19"/>
    <n v="55"/>
    <n v="74"/>
    <s v="Spring"/>
    <s v="Sunday"/>
    <s v="Light Rain/Snow"/>
    <s v="Afternoon"/>
    <x v="1"/>
    <x v="0"/>
    <x v="1"/>
    <x v="0"/>
    <s v="Mostly Registered"/>
    <n v="25.67567567567567"/>
    <n v="74.324324324324323"/>
    <x v="0"/>
    <x v="0"/>
    <s v="Yes"/>
    <n v="-6.7000000000000393E-3"/>
  </r>
  <r>
    <n v="40"/>
    <x v="1"/>
    <n v="1"/>
    <n v="16"/>
    <b v="0"/>
    <n v="0"/>
    <n v="3"/>
    <n v="0.34"/>
    <n v="0.33329999999999999"/>
    <n v="0.71"/>
    <n v="0.16420000000000001"/>
    <n v="9"/>
    <n v="67"/>
    <n v="76"/>
    <s v="Spring"/>
    <s v="Sunday"/>
    <s v="Light Rain/Snow"/>
    <s v="Afternoon"/>
    <x v="1"/>
    <x v="0"/>
    <x v="1"/>
    <x v="0"/>
    <s v="Mostly Registered"/>
    <n v="11.84210526315789"/>
    <n v="88.157894736842096"/>
    <x v="0"/>
    <x v="0"/>
    <s v="Yes"/>
    <n v="-6.7000000000000393E-3"/>
  </r>
  <r>
    <n v="41"/>
    <x v="1"/>
    <n v="1"/>
    <n v="17"/>
    <b v="0"/>
    <n v="0"/>
    <n v="1"/>
    <n v="0.34"/>
    <n v="0.33329999999999999"/>
    <n v="0.56999999999999995"/>
    <n v="0.19400000000000001"/>
    <n v="7"/>
    <n v="58"/>
    <n v="65"/>
    <s v="Spring"/>
    <s v="Sunday"/>
    <s v="Clear"/>
    <s v="Evening"/>
    <x v="1"/>
    <x v="1"/>
    <x v="1"/>
    <x v="0"/>
    <s v="Mostly Registered"/>
    <n v="10.76923076923077"/>
    <n v="89.230769230769241"/>
    <x v="1"/>
    <x v="0"/>
    <s v="Yes"/>
    <n v="-6.7000000000000393E-3"/>
  </r>
  <r>
    <n v="42"/>
    <x v="1"/>
    <n v="1"/>
    <n v="18"/>
    <b v="0"/>
    <n v="0"/>
    <n v="2"/>
    <n v="0.36"/>
    <n v="0.33329999999999999"/>
    <n v="0.46"/>
    <n v="0.32840000000000003"/>
    <n v="10"/>
    <n v="43"/>
    <n v="53"/>
    <s v="Spring"/>
    <s v="Sunday"/>
    <s v="Mist/Cloudy"/>
    <s v="Evening"/>
    <x v="2"/>
    <x v="1"/>
    <x v="2"/>
    <x v="0"/>
    <s v="Mostly Registered"/>
    <n v="18.867924528301891"/>
    <n v="81.132075471698116"/>
    <x v="1"/>
    <x v="0"/>
    <s v="Yes"/>
    <n v="-2.6700000000000002E-2"/>
  </r>
  <r>
    <n v="43"/>
    <x v="1"/>
    <n v="1"/>
    <n v="19"/>
    <b v="0"/>
    <n v="0"/>
    <n v="1"/>
    <n v="0.32"/>
    <n v="0.28789999999999999"/>
    <n v="0.42"/>
    <n v="0.44779999999999998"/>
    <n v="1"/>
    <n v="29"/>
    <n v="30"/>
    <s v="Spring"/>
    <s v="Sunday"/>
    <s v="Clear"/>
    <s v="Evening"/>
    <x v="1"/>
    <x v="1"/>
    <x v="2"/>
    <x v="0"/>
    <s v="Mostly Registered"/>
    <n v="3.333333333333333"/>
    <n v="96.666666666666671"/>
    <x v="1"/>
    <x v="0"/>
    <s v="Yes"/>
    <n v="-3.2100000000000017E-2"/>
  </r>
  <r>
    <n v="44"/>
    <x v="1"/>
    <n v="1"/>
    <n v="20"/>
    <b v="0"/>
    <n v="0"/>
    <n v="1"/>
    <n v="0.3"/>
    <n v="0.28789999999999999"/>
    <n v="0.39"/>
    <n v="0.35820000000000002"/>
    <n v="5"/>
    <n v="17"/>
    <n v="22"/>
    <s v="Spring"/>
    <s v="Sunday"/>
    <s v="Clear"/>
    <s v="Evening"/>
    <x v="1"/>
    <x v="2"/>
    <x v="2"/>
    <x v="0"/>
    <s v="Mostly Registered"/>
    <n v="22.72727272727273"/>
    <n v="77.272727272727266"/>
    <x v="0"/>
    <x v="0"/>
    <s v="Yes"/>
    <n v="-1.21E-2"/>
  </r>
  <r>
    <n v="45"/>
    <x v="1"/>
    <n v="1"/>
    <n v="21"/>
    <b v="0"/>
    <n v="0"/>
    <n v="1"/>
    <n v="0.26"/>
    <n v="0.2273"/>
    <n v="0.44"/>
    <n v="0.32840000000000003"/>
    <n v="11"/>
    <n v="20"/>
    <n v="31"/>
    <s v="Spring"/>
    <s v="Sunday"/>
    <s v="Clear"/>
    <s v="Night"/>
    <x v="1"/>
    <x v="1"/>
    <x v="2"/>
    <x v="0"/>
    <s v="Mostly Registered"/>
    <n v="35.483870967741943"/>
    <n v="64.516129032258064"/>
    <x v="0"/>
    <x v="0"/>
    <s v="Yes"/>
    <n v="-3.2700000000000007E-2"/>
  </r>
  <r>
    <n v="46"/>
    <x v="1"/>
    <n v="1"/>
    <n v="22"/>
    <b v="0"/>
    <n v="0"/>
    <n v="1"/>
    <n v="0.24"/>
    <n v="0.21210000000000001"/>
    <n v="0.44"/>
    <n v="0.29849999999999999"/>
    <n v="0"/>
    <n v="9"/>
    <n v="9"/>
    <s v="Spring"/>
    <s v="Sunday"/>
    <s v="Clear"/>
    <s v="Night"/>
    <x v="0"/>
    <x v="1"/>
    <x v="1"/>
    <x v="0"/>
    <s v="Mostly Registered"/>
    <n v="0"/>
    <n v="100"/>
    <x v="0"/>
    <x v="0"/>
    <s v="Yes"/>
    <n v="-2.789999999999998E-2"/>
  </r>
  <r>
    <n v="47"/>
    <x v="1"/>
    <n v="1"/>
    <n v="23"/>
    <b v="0"/>
    <n v="0"/>
    <n v="1"/>
    <n v="0.22"/>
    <n v="0.2273"/>
    <n v="0.47"/>
    <n v="0.16420000000000001"/>
    <n v="0"/>
    <n v="8"/>
    <n v="8"/>
    <s v="Spring"/>
    <s v="Sunday"/>
    <s v="Clear"/>
    <s v="Night"/>
    <x v="0"/>
    <x v="1"/>
    <x v="1"/>
    <x v="0"/>
    <s v="Mostly Registered"/>
    <n v="0"/>
    <n v="100"/>
    <x v="0"/>
    <x v="0"/>
    <s v="Yes"/>
    <n v="7.3000000000000009E-3"/>
  </r>
  <r>
    <n v="48"/>
    <x v="2"/>
    <n v="1"/>
    <n v="0"/>
    <b v="0"/>
    <n v="1"/>
    <n v="1"/>
    <n v="0.22"/>
    <n v="0.19700000000000001"/>
    <n v="0.44"/>
    <n v="0.35820000000000002"/>
    <n v="0"/>
    <n v="5"/>
    <n v="5"/>
    <s v="Spring"/>
    <s v="Monday"/>
    <s v="Clear"/>
    <s v="Night"/>
    <x v="0"/>
    <x v="1"/>
    <x v="2"/>
    <x v="0"/>
    <s v="Mostly Registered"/>
    <n v="0"/>
    <n v="100"/>
    <x v="0"/>
    <x v="0"/>
    <s v="No"/>
    <n v="-2.2999999999999989E-2"/>
  </r>
  <r>
    <n v="49"/>
    <x v="2"/>
    <n v="1"/>
    <n v="1"/>
    <b v="0"/>
    <n v="1"/>
    <n v="1"/>
    <n v="0.2"/>
    <n v="0.19700000000000001"/>
    <n v="0.44"/>
    <n v="0.41789999999999999"/>
    <n v="0"/>
    <n v="2"/>
    <n v="2"/>
    <s v="Spring"/>
    <s v="Monday"/>
    <s v="Clear"/>
    <s v="Night"/>
    <x v="0"/>
    <x v="1"/>
    <x v="2"/>
    <x v="0"/>
    <s v="Mostly Registered"/>
    <n v="0"/>
    <n v="100"/>
    <x v="0"/>
    <x v="0"/>
    <s v="No"/>
    <n v="-3.0000000000000031E-3"/>
  </r>
  <r>
    <n v="50"/>
    <x v="2"/>
    <n v="1"/>
    <n v="4"/>
    <b v="0"/>
    <n v="1"/>
    <n v="1"/>
    <n v="0.16"/>
    <n v="0.13639999999999999"/>
    <n v="0.47"/>
    <n v="0.3881"/>
    <n v="0"/>
    <n v="1"/>
    <n v="1"/>
    <s v="Spring"/>
    <s v="Monday"/>
    <s v="Clear"/>
    <s v="Night"/>
    <x v="0"/>
    <x v="1"/>
    <x v="2"/>
    <x v="0"/>
    <s v="Mostly Registered"/>
    <n v="0"/>
    <n v="100"/>
    <x v="0"/>
    <x v="0"/>
    <s v="No"/>
    <n v="-2.360000000000001E-2"/>
  </r>
  <r>
    <n v="51"/>
    <x v="2"/>
    <n v="1"/>
    <n v="5"/>
    <b v="0"/>
    <n v="1"/>
    <n v="1"/>
    <n v="0.16"/>
    <n v="0.13639999999999999"/>
    <n v="0.47"/>
    <n v="0.28360000000000002"/>
    <n v="0"/>
    <n v="3"/>
    <n v="3"/>
    <s v="Spring"/>
    <s v="Monday"/>
    <s v="Clear"/>
    <s v="Night"/>
    <x v="0"/>
    <x v="1"/>
    <x v="1"/>
    <x v="0"/>
    <s v="Mostly Registered"/>
    <n v="0"/>
    <n v="100"/>
    <x v="0"/>
    <x v="0"/>
    <s v="No"/>
    <n v="-2.360000000000001E-2"/>
  </r>
  <r>
    <n v="52"/>
    <x v="2"/>
    <n v="1"/>
    <n v="6"/>
    <b v="0"/>
    <n v="1"/>
    <n v="1"/>
    <n v="0.14000000000000001"/>
    <n v="0.1061"/>
    <n v="0.5"/>
    <n v="0.3881"/>
    <n v="0"/>
    <n v="30"/>
    <n v="30"/>
    <s v="Spring"/>
    <s v="Monday"/>
    <s v="Clear"/>
    <s v="Morning"/>
    <x v="4"/>
    <x v="1"/>
    <x v="2"/>
    <x v="0"/>
    <s v="Mostly Registered"/>
    <n v="0"/>
    <n v="100"/>
    <x v="0"/>
    <x v="0"/>
    <s v="No"/>
    <n v="-3.3900000000000013E-2"/>
  </r>
  <r>
    <n v="53"/>
    <x v="2"/>
    <n v="1"/>
    <n v="7"/>
    <b v="0"/>
    <n v="1"/>
    <n v="1"/>
    <n v="0.14000000000000001"/>
    <n v="0.13639999999999999"/>
    <n v="0.5"/>
    <n v="0.19400000000000001"/>
    <n v="1"/>
    <n v="63"/>
    <n v="64"/>
    <s v="Spring"/>
    <s v="Monday"/>
    <s v="Clear"/>
    <s v="Morning"/>
    <x v="4"/>
    <x v="1"/>
    <x v="1"/>
    <x v="0"/>
    <s v="Mostly Registered"/>
    <n v="1.5625"/>
    <n v="98.4375"/>
    <x v="1"/>
    <x v="0"/>
    <s v="No"/>
    <n v="-3.6000000000000199E-3"/>
  </r>
  <r>
    <n v="54"/>
    <x v="2"/>
    <n v="1"/>
    <n v="8"/>
    <b v="0"/>
    <n v="1"/>
    <n v="1"/>
    <n v="0.14000000000000001"/>
    <n v="0.1212"/>
    <n v="0.5"/>
    <n v="0.28360000000000002"/>
    <n v="1"/>
    <n v="153"/>
    <n v="154"/>
    <s v="Spring"/>
    <s v="Monday"/>
    <s v="Clear"/>
    <s v="Morning"/>
    <x v="4"/>
    <x v="1"/>
    <x v="1"/>
    <x v="0"/>
    <s v="Mostly Registered"/>
    <n v="0.64935064935064934"/>
    <n v="99.350649350649363"/>
    <x v="1"/>
    <x v="1"/>
    <s v="No"/>
    <n v="-1.8800000000000011E-2"/>
  </r>
  <r>
    <n v="55"/>
    <x v="2"/>
    <n v="1"/>
    <n v="9"/>
    <b v="0"/>
    <n v="1"/>
    <n v="1"/>
    <n v="0.16"/>
    <n v="0.13639999999999999"/>
    <n v="0.43"/>
    <n v="0.3881"/>
    <n v="7"/>
    <n v="81"/>
    <n v="88"/>
    <s v="Spring"/>
    <s v="Monday"/>
    <s v="Clear"/>
    <s v="Morning"/>
    <x v="0"/>
    <x v="1"/>
    <x v="2"/>
    <x v="0"/>
    <s v="Mostly Registered"/>
    <n v="7.9545454545454541"/>
    <n v="92.045454545454547"/>
    <x v="1"/>
    <x v="0"/>
    <s v="No"/>
    <n v="-2.360000000000001E-2"/>
  </r>
  <r>
    <n v="56"/>
    <x v="2"/>
    <n v="1"/>
    <n v="10"/>
    <b v="0"/>
    <n v="1"/>
    <n v="1"/>
    <n v="0.18"/>
    <n v="0.16669999999999999"/>
    <n v="0.43"/>
    <n v="0.25369999999999998"/>
    <n v="11"/>
    <n v="33"/>
    <n v="44"/>
    <s v="Spring"/>
    <s v="Monday"/>
    <s v="Clear"/>
    <s v="Morning"/>
    <x v="0"/>
    <x v="1"/>
    <x v="1"/>
    <x v="0"/>
    <s v="Mostly Registered"/>
    <n v="25"/>
    <n v="75"/>
    <x v="0"/>
    <x v="0"/>
    <s v="No"/>
    <n v="-1.330000000000001E-2"/>
  </r>
  <r>
    <n v="57"/>
    <x v="2"/>
    <n v="1"/>
    <n v="11"/>
    <b v="0"/>
    <n v="1"/>
    <n v="1"/>
    <n v="0.2"/>
    <n v="0.18179999999999999"/>
    <n v="0.4"/>
    <n v="0.32840000000000003"/>
    <n v="10"/>
    <n v="41"/>
    <n v="51"/>
    <s v="Spring"/>
    <s v="Monday"/>
    <s v="Clear"/>
    <s v="Morning"/>
    <x v="0"/>
    <x v="1"/>
    <x v="2"/>
    <x v="0"/>
    <s v="Mostly Registered"/>
    <n v="19.6078431372549"/>
    <n v="80.392156862745097"/>
    <x v="0"/>
    <x v="0"/>
    <s v="No"/>
    <n v="-1.8200000000000022E-2"/>
  </r>
  <r>
    <n v="58"/>
    <x v="2"/>
    <n v="1"/>
    <n v="12"/>
    <b v="0"/>
    <n v="1"/>
    <n v="1"/>
    <n v="0.22"/>
    <n v="0.21210000000000001"/>
    <n v="0.35"/>
    <n v="0.29849999999999999"/>
    <n v="13"/>
    <n v="48"/>
    <n v="61"/>
    <s v="Spring"/>
    <s v="Monday"/>
    <s v="Clear"/>
    <s v="Afternoon"/>
    <x v="0"/>
    <x v="2"/>
    <x v="1"/>
    <x v="0"/>
    <s v="Mostly Registered"/>
    <n v="21.31147540983606"/>
    <n v="78.688524590163937"/>
    <x v="0"/>
    <x v="0"/>
    <s v="No"/>
    <n v="-7.8999999999999904E-3"/>
  </r>
  <r>
    <n v="59"/>
    <x v="2"/>
    <n v="1"/>
    <n v="13"/>
    <b v="0"/>
    <n v="1"/>
    <n v="1"/>
    <n v="0.24"/>
    <n v="0.21210000000000001"/>
    <n v="0.35"/>
    <n v="0.28360000000000002"/>
    <n v="8"/>
    <n v="53"/>
    <n v="61"/>
    <s v="Spring"/>
    <s v="Monday"/>
    <s v="Clear"/>
    <s v="Afternoon"/>
    <x v="0"/>
    <x v="2"/>
    <x v="1"/>
    <x v="0"/>
    <s v="Mostly Registered"/>
    <n v="13.11475409836066"/>
    <n v="86.885245901639337"/>
    <x v="0"/>
    <x v="0"/>
    <s v="No"/>
    <n v="-2.789999999999998E-2"/>
  </r>
  <r>
    <n v="60"/>
    <x v="2"/>
    <n v="1"/>
    <n v="14"/>
    <b v="0"/>
    <n v="1"/>
    <n v="1"/>
    <n v="0.26"/>
    <n v="0.2424"/>
    <n v="0.3"/>
    <n v="0.28360000000000002"/>
    <n v="11"/>
    <n v="66"/>
    <n v="77"/>
    <s v="Spring"/>
    <s v="Monday"/>
    <s v="Clear"/>
    <s v="Afternoon"/>
    <x v="1"/>
    <x v="2"/>
    <x v="1"/>
    <x v="0"/>
    <s v="Mostly Registered"/>
    <n v="14.285714285714279"/>
    <n v="85.714285714285708"/>
    <x v="0"/>
    <x v="0"/>
    <s v="No"/>
    <n v="-1.7600000000000001E-2"/>
  </r>
  <r>
    <n v="61"/>
    <x v="2"/>
    <n v="1"/>
    <n v="15"/>
    <b v="0"/>
    <n v="1"/>
    <n v="1"/>
    <n v="0.26"/>
    <n v="0.2424"/>
    <n v="0.3"/>
    <n v="0.25369999999999998"/>
    <n v="14"/>
    <n v="58"/>
    <n v="72"/>
    <s v="Spring"/>
    <s v="Monday"/>
    <s v="Clear"/>
    <s v="Afternoon"/>
    <x v="1"/>
    <x v="2"/>
    <x v="1"/>
    <x v="0"/>
    <s v="Mostly Registered"/>
    <n v="19.44444444444445"/>
    <n v="80.555555555555557"/>
    <x v="0"/>
    <x v="0"/>
    <s v="No"/>
    <n v="-1.7600000000000001E-2"/>
  </r>
  <r>
    <n v="62"/>
    <x v="2"/>
    <n v="1"/>
    <n v="16"/>
    <b v="0"/>
    <n v="1"/>
    <n v="1"/>
    <n v="0.26"/>
    <n v="0.2424"/>
    <n v="0.3"/>
    <n v="0.25369999999999998"/>
    <n v="9"/>
    <n v="67"/>
    <n v="76"/>
    <s v="Spring"/>
    <s v="Monday"/>
    <s v="Clear"/>
    <s v="Afternoon"/>
    <x v="1"/>
    <x v="2"/>
    <x v="1"/>
    <x v="0"/>
    <s v="Mostly Registered"/>
    <n v="11.84210526315789"/>
    <n v="88.157894736842096"/>
    <x v="0"/>
    <x v="0"/>
    <s v="No"/>
    <n v="-1.7600000000000001E-2"/>
  </r>
  <r>
    <n v="63"/>
    <x v="2"/>
    <n v="1"/>
    <n v="17"/>
    <b v="0"/>
    <n v="1"/>
    <n v="1"/>
    <n v="0.24"/>
    <n v="0.2273"/>
    <n v="0.3"/>
    <n v="0.22389999999999999"/>
    <n v="11"/>
    <n v="146"/>
    <n v="157"/>
    <s v="Spring"/>
    <s v="Monday"/>
    <s v="Clear"/>
    <s v="Evening"/>
    <x v="0"/>
    <x v="2"/>
    <x v="1"/>
    <x v="0"/>
    <s v="Mostly Registered"/>
    <n v="7.0063694267515926"/>
    <n v="92.99363057324841"/>
    <x v="1"/>
    <x v="1"/>
    <s v="No"/>
    <n v="-1.2699999999999991E-2"/>
  </r>
  <r>
    <n v="64"/>
    <x v="2"/>
    <n v="1"/>
    <n v="18"/>
    <b v="0"/>
    <n v="1"/>
    <n v="1"/>
    <n v="0.24"/>
    <n v="0.2576"/>
    <n v="0.32"/>
    <n v="0.1045"/>
    <n v="9"/>
    <n v="148"/>
    <n v="157"/>
    <s v="Spring"/>
    <s v="Monday"/>
    <s v="Clear"/>
    <s v="Evening"/>
    <x v="0"/>
    <x v="2"/>
    <x v="0"/>
    <x v="0"/>
    <s v="Mostly Registered"/>
    <n v="5.7324840764331224"/>
    <n v="94.267515923566876"/>
    <x v="1"/>
    <x v="1"/>
    <s v="No"/>
    <n v="1.7600000000000001E-2"/>
  </r>
  <r>
    <n v="65"/>
    <x v="2"/>
    <n v="1"/>
    <n v="19"/>
    <b v="0"/>
    <n v="1"/>
    <n v="1"/>
    <n v="0.2"/>
    <n v="0.2576"/>
    <n v="0.47"/>
    <n v="0"/>
    <n v="8"/>
    <n v="102"/>
    <n v="110"/>
    <s v="Spring"/>
    <s v="Monday"/>
    <s v="Clear"/>
    <s v="Evening"/>
    <x v="0"/>
    <x v="1"/>
    <x v="0"/>
    <x v="0"/>
    <s v="Mostly Registered"/>
    <n v="7.2727272727272716"/>
    <n v="92.72727272727272"/>
    <x v="1"/>
    <x v="1"/>
    <s v="No"/>
    <n v="5.7599999999999978E-2"/>
  </r>
  <r>
    <n v="66"/>
    <x v="2"/>
    <n v="1"/>
    <n v="20"/>
    <b v="0"/>
    <n v="1"/>
    <n v="1"/>
    <n v="0.2"/>
    <n v="0.2576"/>
    <n v="0.47"/>
    <n v="0.1045"/>
    <n v="3"/>
    <n v="49"/>
    <n v="52"/>
    <s v="Spring"/>
    <s v="Monday"/>
    <s v="Clear"/>
    <s v="Evening"/>
    <x v="0"/>
    <x v="1"/>
    <x v="0"/>
    <x v="0"/>
    <s v="Mostly Registered"/>
    <n v="5.7692307692307692"/>
    <n v="94.230769230769226"/>
    <x v="0"/>
    <x v="0"/>
    <s v="No"/>
    <n v="5.7599999999999978E-2"/>
  </r>
  <r>
    <n v="67"/>
    <x v="2"/>
    <n v="1"/>
    <n v="21"/>
    <b v="0"/>
    <n v="1"/>
    <n v="1"/>
    <n v="0.18"/>
    <n v="0.19700000000000001"/>
    <n v="0.64"/>
    <n v="0.1343"/>
    <n v="3"/>
    <n v="49"/>
    <n v="52"/>
    <s v="Spring"/>
    <s v="Monday"/>
    <s v="Clear"/>
    <s v="Night"/>
    <x v="0"/>
    <x v="1"/>
    <x v="0"/>
    <x v="0"/>
    <s v="Mostly Registered"/>
    <n v="5.7692307692307692"/>
    <n v="94.230769230769226"/>
    <x v="0"/>
    <x v="0"/>
    <s v="No"/>
    <n v="1.7000000000000019E-2"/>
  </r>
  <r>
    <n v="68"/>
    <x v="2"/>
    <n v="1"/>
    <n v="22"/>
    <b v="0"/>
    <n v="1"/>
    <n v="1"/>
    <n v="0.14000000000000001"/>
    <n v="0.1515"/>
    <n v="0.69"/>
    <n v="0.1343"/>
    <n v="0"/>
    <n v="20"/>
    <n v="20"/>
    <s v="Spring"/>
    <s v="Monday"/>
    <s v="Clear"/>
    <s v="Night"/>
    <x v="4"/>
    <x v="1"/>
    <x v="0"/>
    <x v="0"/>
    <s v="Mostly Registered"/>
    <n v="0"/>
    <n v="100"/>
    <x v="0"/>
    <x v="0"/>
    <s v="No"/>
    <n v="1.1499999999999981E-2"/>
  </r>
  <r>
    <n v="69"/>
    <x v="2"/>
    <n v="1"/>
    <n v="23"/>
    <b v="0"/>
    <n v="1"/>
    <n v="1"/>
    <n v="0.18"/>
    <n v="0.21210000000000001"/>
    <n v="0.55000000000000004"/>
    <n v="0.1045"/>
    <n v="1"/>
    <n v="11"/>
    <n v="12"/>
    <s v="Spring"/>
    <s v="Monday"/>
    <s v="Clear"/>
    <s v="Night"/>
    <x v="0"/>
    <x v="1"/>
    <x v="0"/>
    <x v="0"/>
    <s v="Mostly Registered"/>
    <n v="8.3333333333333321"/>
    <n v="91.666666666666657"/>
    <x v="0"/>
    <x v="0"/>
    <s v="No"/>
    <n v="3.2100000000000017E-2"/>
  </r>
  <r>
    <n v="70"/>
    <x v="3"/>
    <n v="1"/>
    <n v="0"/>
    <b v="0"/>
    <n v="2"/>
    <n v="1"/>
    <n v="0.16"/>
    <n v="0.21210000000000001"/>
    <n v="0.55000000000000004"/>
    <n v="0.1045"/>
    <n v="0"/>
    <n v="5"/>
    <n v="5"/>
    <s v="Spring"/>
    <s v="Tuesday"/>
    <s v="Clear"/>
    <s v="Night"/>
    <x v="0"/>
    <x v="1"/>
    <x v="0"/>
    <x v="0"/>
    <s v="Mostly Registered"/>
    <n v="0"/>
    <n v="100"/>
    <x v="0"/>
    <x v="0"/>
    <s v="No"/>
    <n v="5.2100000000000007E-2"/>
  </r>
  <r>
    <n v="71"/>
    <x v="3"/>
    <n v="1"/>
    <n v="1"/>
    <b v="0"/>
    <n v="2"/>
    <n v="1"/>
    <n v="0.16"/>
    <n v="0.18179999999999999"/>
    <n v="0.59"/>
    <n v="0.1045"/>
    <n v="0"/>
    <n v="2"/>
    <n v="2"/>
    <s v="Spring"/>
    <s v="Tuesday"/>
    <s v="Clear"/>
    <s v="Night"/>
    <x v="0"/>
    <x v="1"/>
    <x v="0"/>
    <x v="0"/>
    <s v="Mostly Registered"/>
    <n v="0"/>
    <n v="100"/>
    <x v="0"/>
    <x v="0"/>
    <s v="No"/>
    <n v="2.179999999999999E-2"/>
  </r>
  <r>
    <n v="72"/>
    <x v="3"/>
    <n v="1"/>
    <n v="2"/>
    <b v="0"/>
    <n v="2"/>
    <n v="1"/>
    <n v="0.14000000000000001"/>
    <n v="0.1515"/>
    <n v="0.63"/>
    <n v="0.1343"/>
    <n v="0"/>
    <n v="1"/>
    <n v="1"/>
    <s v="Spring"/>
    <s v="Tuesday"/>
    <s v="Clear"/>
    <s v="Night"/>
    <x v="4"/>
    <x v="1"/>
    <x v="0"/>
    <x v="0"/>
    <s v="Mostly Registered"/>
    <n v="0"/>
    <n v="100"/>
    <x v="0"/>
    <x v="0"/>
    <s v="No"/>
    <n v="1.1499999999999981E-2"/>
  </r>
  <r>
    <n v="73"/>
    <x v="3"/>
    <n v="1"/>
    <n v="4"/>
    <b v="0"/>
    <n v="2"/>
    <n v="1"/>
    <n v="0.14000000000000001"/>
    <n v="0.18179999999999999"/>
    <n v="0.63"/>
    <n v="8.9599999999999999E-2"/>
    <n v="0"/>
    <n v="2"/>
    <n v="2"/>
    <s v="Spring"/>
    <s v="Tuesday"/>
    <s v="Clear"/>
    <s v="Night"/>
    <x v="4"/>
    <x v="1"/>
    <x v="0"/>
    <x v="0"/>
    <s v="Mostly Registered"/>
    <n v="0"/>
    <n v="100"/>
    <x v="0"/>
    <x v="0"/>
    <s v="No"/>
    <n v="4.1799999999999983E-2"/>
  </r>
  <r>
    <n v="74"/>
    <x v="3"/>
    <n v="1"/>
    <n v="5"/>
    <b v="0"/>
    <n v="2"/>
    <n v="1"/>
    <n v="0.12"/>
    <n v="0.1515"/>
    <n v="0.68"/>
    <n v="0.1045"/>
    <n v="0"/>
    <n v="4"/>
    <n v="4"/>
    <s v="Spring"/>
    <s v="Tuesday"/>
    <s v="Clear"/>
    <s v="Night"/>
    <x v="4"/>
    <x v="1"/>
    <x v="0"/>
    <x v="0"/>
    <s v="Mostly Registered"/>
    <n v="0"/>
    <n v="100"/>
    <x v="0"/>
    <x v="0"/>
    <s v="No"/>
    <n v="3.15E-2"/>
  </r>
  <r>
    <n v="75"/>
    <x v="3"/>
    <n v="1"/>
    <n v="6"/>
    <b v="0"/>
    <n v="2"/>
    <n v="1"/>
    <n v="0.12"/>
    <n v="0.1515"/>
    <n v="0.74"/>
    <n v="0.1045"/>
    <n v="0"/>
    <n v="36"/>
    <n v="36"/>
    <s v="Spring"/>
    <s v="Tuesday"/>
    <s v="Clear"/>
    <s v="Morning"/>
    <x v="4"/>
    <x v="0"/>
    <x v="0"/>
    <x v="0"/>
    <s v="Mostly Registered"/>
    <n v="0"/>
    <n v="100"/>
    <x v="0"/>
    <x v="0"/>
    <s v="No"/>
    <n v="3.15E-2"/>
  </r>
  <r>
    <n v="76"/>
    <x v="3"/>
    <n v="1"/>
    <n v="7"/>
    <b v="0"/>
    <n v="2"/>
    <n v="1"/>
    <n v="0.12"/>
    <n v="0.1515"/>
    <n v="0.74"/>
    <n v="0.1343"/>
    <n v="2"/>
    <n v="92"/>
    <n v="94"/>
    <s v="Spring"/>
    <s v="Tuesday"/>
    <s v="Clear"/>
    <s v="Morning"/>
    <x v="4"/>
    <x v="0"/>
    <x v="0"/>
    <x v="0"/>
    <s v="Mostly Registered"/>
    <n v="2.1276595744680851"/>
    <n v="97.872340425531917"/>
    <x v="1"/>
    <x v="0"/>
    <s v="No"/>
    <n v="3.15E-2"/>
  </r>
  <r>
    <n v="77"/>
    <x v="3"/>
    <n v="1"/>
    <n v="8"/>
    <b v="0"/>
    <n v="2"/>
    <n v="1"/>
    <n v="0.14000000000000001"/>
    <n v="0.1515"/>
    <n v="0.69"/>
    <n v="0.16420000000000001"/>
    <n v="2"/>
    <n v="177"/>
    <n v="179"/>
    <s v="Spring"/>
    <s v="Tuesday"/>
    <s v="Clear"/>
    <s v="Morning"/>
    <x v="4"/>
    <x v="1"/>
    <x v="1"/>
    <x v="0"/>
    <s v="Mostly Registered"/>
    <n v="1.1173184357541901"/>
    <n v="98.882681564245814"/>
    <x v="1"/>
    <x v="1"/>
    <s v="No"/>
    <n v="1.1499999999999981E-2"/>
  </r>
  <r>
    <n v="78"/>
    <x v="3"/>
    <n v="1"/>
    <n v="9"/>
    <b v="0"/>
    <n v="2"/>
    <n v="1"/>
    <n v="0.16"/>
    <n v="0.1515"/>
    <n v="0.64"/>
    <n v="0.22389999999999999"/>
    <n v="2"/>
    <n v="98"/>
    <n v="100"/>
    <s v="Spring"/>
    <s v="Tuesday"/>
    <s v="Clear"/>
    <s v="Morning"/>
    <x v="0"/>
    <x v="1"/>
    <x v="1"/>
    <x v="0"/>
    <s v="Mostly Registered"/>
    <n v="2"/>
    <n v="98"/>
    <x v="1"/>
    <x v="1"/>
    <s v="No"/>
    <n v="-8.5000000000000075E-3"/>
  </r>
  <r>
    <n v="79"/>
    <x v="3"/>
    <n v="1"/>
    <n v="10"/>
    <b v="0"/>
    <n v="2"/>
    <n v="2"/>
    <n v="0.16"/>
    <n v="0.13639999999999999"/>
    <n v="0.69"/>
    <n v="0.32840000000000003"/>
    <n v="5"/>
    <n v="37"/>
    <n v="42"/>
    <s v="Spring"/>
    <s v="Tuesday"/>
    <s v="Mist/Cloudy"/>
    <s v="Morning"/>
    <x v="0"/>
    <x v="1"/>
    <x v="2"/>
    <x v="0"/>
    <s v="Mostly Registered"/>
    <n v="11.9047619047619"/>
    <n v="88.095238095238088"/>
    <x v="0"/>
    <x v="0"/>
    <s v="No"/>
    <n v="-2.360000000000001E-2"/>
  </r>
  <r>
    <n v="80"/>
    <x v="3"/>
    <n v="1"/>
    <n v="11"/>
    <b v="0"/>
    <n v="2"/>
    <n v="1"/>
    <n v="0.22"/>
    <n v="0.21210000000000001"/>
    <n v="0.51"/>
    <n v="0.29849999999999999"/>
    <n v="7"/>
    <n v="50"/>
    <n v="57"/>
    <s v="Spring"/>
    <s v="Tuesday"/>
    <s v="Clear"/>
    <s v="Morning"/>
    <x v="0"/>
    <x v="1"/>
    <x v="1"/>
    <x v="0"/>
    <s v="Mostly Registered"/>
    <n v="12.28070175438596"/>
    <n v="87.719298245614027"/>
    <x v="0"/>
    <x v="0"/>
    <s v="No"/>
    <n v="-7.8999999999999904E-3"/>
  </r>
  <r>
    <n v="81"/>
    <x v="3"/>
    <n v="1"/>
    <n v="12"/>
    <b v="0"/>
    <n v="2"/>
    <n v="1"/>
    <n v="0.22"/>
    <n v="0.2273"/>
    <n v="0.51"/>
    <n v="0.16420000000000001"/>
    <n v="12"/>
    <n v="66"/>
    <n v="78"/>
    <s v="Spring"/>
    <s v="Tuesday"/>
    <s v="Clear"/>
    <s v="Afternoon"/>
    <x v="0"/>
    <x v="1"/>
    <x v="1"/>
    <x v="0"/>
    <s v="Mostly Registered"/>
    <n v="15.38461538461539"/>
    <n v="84.615384615384613"/>
    <x v="0"/>
    <x v="0"/>
    <s v="No"/>
    <n v="7.3000000000000009E-3"/>
  </r>
  <r>
    <n v="82"/>
    <x v="3"/>
    <n v="1"/>
    <n v="13"/>
    <b v="0"/>
    <n v="2"/>
    <n v="1"/>
    <n v="0.24"/>
    <n v="0.2273"/>
    <n v="0.56000000000000005"/>
    <n v="0.19400000000000001"/>
    <n v="18"/>
    <n v="79"/>
    <n v="97"/>
    <s v="Spring"/>
    <s v="Tuesday"/>
    <s v="Clear"/>
    <s v="Afternoon"/>
    <x v="0"/>
    <x v="1"/>
    <x v="1"/>
    <x v="0"/>
    <s v="Mostly Registered"/>
    <n v="18.55670103092784"/>
    <n v="81.44329896907216"/>
    <x v="0"/>
    <x v="0"/>
    <s v="No"/>
    <n v="-1.2699999999999991E-2"/>
  </r>
  <r>
    <n v="83"/>
    <x v="3"/>
    <n v="1"/>
    <n v="14"/>
    <b v="0"/>
    <n v="2"/>
    <n v="1"/>
    <n v="0.26"/>
    <n v="0.2576"/>
    <n v="0.52"/>
    <n v="0.22389999999999999"/>
    <n v="9"/>
    <n v="54"/>
    <n v="63"/>
    <s v="Spring"/>
    <s v="Tuesday"/>
    <s v="Clear"/>
    <s v="Afternoon"/>
    <x v="1"/>
    <x v="1"/>
    <x v="1"/>
    <x v="0"/>
    <s v="Mostly Registered"/>
    <n v="14.285714285714279"/>
    <n v="85.714285714285708"/>
    <x v="0"/>
    <x v="0"/>
    <s v="No"/>
    <n v="-2.4000000000000128E-3"/>
  </r>
  <r>
    <n v="84"/>
    <x v="3"/>
    <n v="1"/>
    <n v="15"/>
    <b v="0"/>
    <n v="2"/>
    <n v="1"/>
    <n v="0.28000000000000003"/>
    <n v="0.2727"/>
    <n v="0.52"/>
    <n v="0.25369999999999998"/>
    <n v="17"/>
    <n v="48"/>
    <n v="65"/>
    <s v="Spring"/>
    <s v="Tuesday"/>
    <s v="Clear"/>
    <s v="Afternoon"/>
    <x v="1"/>
    <x v="1"/>
    <x v="1"/>
    <x v="0"/>
    <s v="Mostly Registered"/>
    <n v="26.15384615384616"/>
    <n v="73.846153846153854"/>
    <x v="0"/>
    <x v="0"/>
    <s v="No"/>
    <n v="-7.3000000000000287E-3"/>
  </r>
  <r>
    <n v="85"/>
    <x v="3"/>
    <n v="1"/>
    <n v="16"/>
    <b v="0"/>
    <n v="2"/>
    <n v="1"/>
    <n v="0.3"/>
    <n v="0.28789999999999999"/>
    <n v="0.49"/>
    <n v="0.25369999999999998"/>
    <n v="15"/>
    <n v="68"/>
    <n v="83"/>
    <s v="Spring"/>
    <s v="Tuesday"/>
    <s v="Clear"/>
    <s v="Afternoon"/>
    <x v="1"/>
    <x v="1"/>
    <x v="1"/>
    <x v="0"/>
    <s v="Mostly Registered"/>
    <n v="18.07228915662651"/>
    <n v="81.92771084337349"/>
    <x v="0"/>
    <x v="0"/>
    <s v="No"/>
    <n v="-1.21E-2"/>
  </r>
  <r>
    <n v="86"/>
    <x v="3"/>
    <n v="1"/>
    <n v="17"/>
    <b v="0"/>
    <n v="2"/>
    <n v="1"/>
    <n v="0.28000000000000003"/>
    <n v="0.2727"/>
    <n v="0.48"/>
    <n v="0.22389999999999999"/>
    <n v="10"/>
    <n v="202"/>
    <n v="212"/>
    <s v="Spring"/>
    <s v="Tuesday"/>
    <s v="Clear"/>
    <s v="Evening"/>
    <x v="1"/>
    <x v="1"/>
    <x v="1"/>
    <x v="0"/>
    <s v="Mostly Registered"/>
    <n v="4.716981132075472"/>
    <n v="95.283018867924525"/>
    <x v="1"/>
    <x v="1"/>
    <s v="No"/>
    <n v="-7.3000000000000287E-3"/>
  </r>
  <r>
    <n v="87"/>
    <x v="3"/>
    <n v="1"/>
    <n v="18"/>
    <b v="0"/>
    <n v="2"/>
    <n v="1"/>
    <n v="0.26"/>
    <n v="0.2576"/>
    <n v="0.48"/>
    <n v="0.19400000000000001"/>
    <n v="3"/>
    <n v="179"/>
    <n v="182"/>
    <s v="Spring"/>
    <s v="Tuesday"/>
    <s v="Clear"/>
    <s v="Evening"/>
    <x v="1"/>
    <x v="1"/>
    <x v="1"/>
    <x v="0"/>
    <s v="Mostly Registered"/>
    <n v="1.648351648351648"/>
    <n v="98.35164835164835"/>
    <x v="1"/>
    <x v="1"/>
    <s v="No"/>
    <n v="-2.4000000000000128E-3"/>
  </r>
  <r>
    <n v="88"/>
    <x v="3"/>
    <n v="1"/>
    <n v="19"/>
    <b v="0"/>
    <n v="2"/>
    <n v="1"/>
    <n v="0.24"/>
    <n v="0.2576"/>
    <n v="0.48"/>
    <n v="0.1045"/>
    <n v="2"/>
    <n v="110"/>
    <n v="112"/>
    <s v="Spring"/>
    <s v="Tuesday"/>
    <s v="Clear"/>
    <s v="Evening"/>
    <x v="0"/>
    <x v="1"/>
    <x v="0"/>
    <x v="0"/>
    <s v="Mostly Registered"/>
    <n v="1.785714285714286"/>
    <n v="98.214285714285708"/>
    <x v="1"/>
    <x v="1"/>
    <s v="No"/>
    <n v="1.7600000000000001E-2"/>
  </r>
  <r>
    <n v="89"/>
    <x v="3"/>
    <n v="1"/>
    <n v="20"/>
    <b v="0"/>
    <n v="2"/>
    <n v="1"/>
    <n v="0.24"/>
    <n v="0.2576"/>
    <n v="0.48"/>
    <n v="0.1045"/>
    <n v="1"/>
    <n v="53"/>
    <n v="54"/>
    <s v="Spring"/>
    <s v="Tuesday"/>
    <s v="Clear"/>
    <s v="Evening"/>
    <x v="0"/>
    <x v="1"/>
    <x v="0"/>
    <x v="0"/>
    <s v="Mostly Registered"/>
    <n v="1.8518518518518521"/>
    <n v="98.148148148148152"/>
    <x v="0"/>
    <x v="0"/>
    <s v="No"/>
    <n v="1.7600000000000001E-2"/>
  </r>
  <r>
    <n v="90"/>
    <x v="3"/>
    <n v="1"/>
    <n v="21"/>
    <b v="0"/>
    <n v="2"/>
    <n v="1"/>
    <n v="0.22"/>
    <n v="0.2727"/>
    <n v="0.64"/>
    <n v="0"/>
    <n v="0"/>
    <n v="48"/>
    <n v="48"/>
    <s v="Spring"/>
    <s v="Tuesday"/>
    <s v="Clear"/>
    <s v="Night"/>
    <x v="0"/>
    <x v="1"/>
    <x v="0"/>
    <x v="0"/>
    <s v="Mostly Registered"/>
    <n v="0"/>
    <n v="100"/>
    <x v="0"/>
    <x v="0"/>
    <s v="No"/>
    <n v="5.2699999999999997E-2"/>
  </r>
  <r>
    <n v="91"/>
    <x v="3"/>
    <n v="1"/>
    <n v="22"/>
    <b v="0"/>
    <n v="2"/>
    <n v="1"/>
    <n v="0.22"/>
    <n v="0.2576"/>
    <n v="0.64"/>
    <n v="8.9599999999999999E-2"/>
    <n v="1"/>
    <n v="34"/>
    <n v="35"/>
    <s v="Spring"/>
    <s v="Tuesday"/>
    <s v="Clear"/>
    <s v="Night"/>
    <x v="0"/>
    <x v="1"/>
    <x v="0"/>
    <x v="0"/>
    <s v="Mostly Registered"/>
    <n v="2.8571428571428572"/>
    <n v="97.142857142857139"/>
    <x v="0"/>
    <x v="0"/>
    <s v="No"/>
    <n v="3.7599999999999988E-2"/>
  </r>
  <r>
    <n v="92"/>
    <x v="3"/>
    <n v="1"/>
    <n v="23"/>
    <b v="0"/>
    <n v="2"/>
    <n v="1"/>
    <n v="0.2"/>
    <n v="0.2273"/>
    <n v="0.69"/>
    <n v="8.9599999999999999E-2"/>
    <n v="2"/>
    <n v="9"/>
    <n v="11"/>
    <s v="Spring"/>
    <s v="Tuesday"/>
    <s v="Clear"/>
    <s v="Night"/>
    <x v="0"/>
    <x v="1"/>
    <x v="0"/>
    <x v="0"/>
    <s v="Mostly Registered"/>
    <n v="18.18181818181818"/>
    <n v="81.818181818181827"/>
    <x v="0"/>
    <x v="0"/>
    <s v="No"/>
    <n v="2.7299999999999991E-2"/>
  </r>
  <r>
    <n v="93"/>
    <x v="4"/>
    <n v="1"/>
    <n v="0"/>
    <b v="0"/>
    <n v="3"/>
    <n v="1"/>
    <n v="0.2"/>
    <n v="0.2576"/>
    <n v="0.64"/>
    <n v="0"/>
    <n v="0"/>
    <n v="6"/>
    <n v="6"/>
    <s v="Spring"/>
    <s v="Wednesday"/>
    <s v="Clear"/>
    <s v="Night"/>
    <x v="0"/>
    <x v="1"/>
    <x v="0"/>
    <x v="0"/>
    <s v="Mostly Registered"/>
    <n v="0"/>
    <n v="100"/>
    <x v="0"/>
    <x v="0"/>
    <s v="No"/>
    <n v="5.7599999999999978E-2"/>
  </r>
  <r>
    <n v="94"/>
    <x v="4"/>
    <n v="1"/>
    <n v="1"/>
    <b v="0"/>
    <n v="3"/>
    <n v="1"/>
    <n v="0.16"/>
    <n v="0.19700000000000001"/>
    <n v="0.74"/>
    <n v="8.9599999999999999E-2"/>
    <n v="0"/>
    <n v="6"/>
    <n v="6"/>
    <s v="Spring"/>
    <s v="Wednesday"/>
    <s v="Clear"/>
    <s v="Night"/>
    <x v="0"/>
    <x v="0"/>
    <x v="0"/>
    <x v="0"/>
    <s v="Mostly Registered"/>
    <n v="0"/>
    <n v="100"/>
    <x v="0"/>
    <x v="0"/>
    <s v="No"/>
    <n v="3.7000000000000012E-2"/>
  </r>
  <r>
    <n v="95"/>
    <x v="4"/>
    <n v="1"/>
    <n v="2"/>
    <b v="0"/>
    <n v="3"/>
    <n v="1"/>
    <n v="0.16"/>
    <n v="0.19700000000000001"/>
    <n v="0.74"/>
    <n v="8.9599999999999999E-2"/>
    <n v="0"/>
    <n v="2"/>
    <n v="2"/>
    <s v="Spring"/>
    <s v="Wednesday"/>
    <s v="Clear"/>
    <s v="Night"/>
    <x v="0"/>
    <x v="0"/>
    <x v="0"/>
    <x v="0"/>
    <s v="Mostly Registered"/>
    <n v="0"/>
    <n v="100"/>
    <x v="0"/>
    <x v="0"/>
    <s v="No"/>
    <n v="3.7000000000000012E-2"/>
  </r>
  <r>
    <n v="96"/>
    <x v="4"/>
    <n v="1"/>
    <n v="4"/>
    <b v="0"/>
    <n v="3"/>
    <n v="1"/>
    <n v="0.24"/>
    <n v="0.2273"/>
    <n v="0.48"/>
    <n v="0.22389999999999999"/>
    <n v="0"/>
    <n v="2"/>
    <n v="2"/>
    <s v="Spring"/>
    <s v="Wednesday"/>
    <s v="Clear"/>
    <s v="Night"/>
    <x v="0"/>
    <x v="1"/>
    <x v="1"/>
    <x v="0"/>
    <s v="Mostly Registered"/>
    <n v="0"/>
    <n v="100"/>
    <x v="0"/>
    <x v="0"/>
    <s v="No"/>
    <n v="-1.2699999999999991E-2"/>
  </r>
  <r>
    <n v="97"/>
    <x v="4"/>
    <n v="1"/>
    <n v="5"/>
    <b v="0"/>
    <n v="3"/>
    <n v="1"/>
    <n v="0.22"/>
    <n v="0.2273"/>
    <n v="0.47"/>
    <n v="0.16420000000000001"/>
    <n v="0"/>
    <n v="3"/>
    <n v="3"/>
    <s v="Spring"/>
    <s v="Wednesday"/>
    <s v="Clear"/>
    <s v="Night"/>
    <x v="0"/>
    <x v="1"/>
    <x v="1"/>
    <x v="0"/>
    <s v="Mostly Registered"/>
    <n v="0"/>
    <n v="100"/>
    <x v="0"/>
    <x v="0"/>
    <s v="No"/>
    <n v="7.3000000000000009E-3"/>
  </r>
  <r>
    <n v="98"/>
    <x v="4"/>
    <n v="1"/>
    <n v="6"/>
    <b v="0"/>
    <n v="3"/>
    <n v="1"/>
    <n v="0.2"/>
    <n v="0.19700000000000001"/>
    <n v="0.47"/>
    <n v="0.22389999999999999"/>
    <n v="0"/>
    <n v="33"/>
    <n v="33"/>
    <s v="Spring"/>
    <s v="Wednesday"/>
    <s v="Clear"/>
    <s v="Morning"/>
    <x v="0"/>
    <x v="1"/>
    <x v="1"/>
    <x v="0"/>
    <s v="Mostly Registered"/>
    <n v="0"/>
    <n v="100"/>
    <x v="0"/>
    <x v="0"/>
    <s v="No"/>
    <n v="-3.0000000000000031E-3"/>
  </r>
  <r>
    <n v="99"/>
    <x v="4"/>
    <n v="1"/>
    <n v="7"/>
    <b v="0"/>
    <n v="3"/>
    <n v="1"/>
    <n v="0.18"/>
    <n v="0.18179999999999999"/>
    <n v="0.43"/>
    <n v="0.19400000000000001"/>
    <n v="1"/>
    <n v="87"/>
    <n v="88"/>
    <s v="Spring"/>
    <s v="Wednesday"/>
    <s v="Clear"/>
    <s v="Morning"/>
    <x v="0"/>
    <x v="1"/>
    <x v="1"/>
    <x v="0"/>
    <s v="Mostly Registered"/>
    <n v="1.136363636363636"/>
    <n v="98.86363636363636"/>
    <x v="1"/>
    <x v="0"/>
    <s v="No"/>
    <n v="1.799999999999996E-3"/>
  </r>
  <r>
    <n v="100"/>
    <x v="4"/>
    <n v="1"/>
    <n v="8"/>
    <b v="0"/>
    <n v="3"/>
    <n v="1"/>
    <n v="0.2"/>
    <n v="0.18179999999999999"/>
    <n v="0.4"/>
    <n v="0.29849999999999999"/>
    <n v="3"/>
    <n v="192"/>
    <n v="195"/>
    <s v="Spring"/>
    <s v="Wednesday"/>
    <s v="Clear"/>
    <s v="Morning"/>
    <x v="0"/>
    <x v="1"/>
    <x v="1"/>
    <x v="0"/>
    <s v="Mostly Registered"/>
    <n v="1.538461538461539"/>
    <n v="98.461538461538467"/>
    <x v="1"/>
    <x v="1"/>
    <s v="No"/>
    <n v="-1.8200000000000022E-2"/>
  </r>
  <r>
    <n v="101"/>
    <x v="4"/>
    <n v="1"/>
    <n v="9"/>
    <b v="0"/>
    <n v="3"/>
    <n v="1"/>
    <n v="0.22"/>
    <n v="0.19700000000000001"/>
    <n v="0.37"/>
    <n v="0.32840000000000003"/>
    <n v="6"/>
    <n v="109"/>
    <n v="115"/>
    <s v="Spring"/>
    <s v="Wednesday"/>
    <s v="Clear"/>
    <s v="Morning"/>
    <x v="0"/>
    <x v="2"/>
    <x v="2"/>
    <x v="0"/>
    <s v="Mostly Registered"/>
    <n v="5.2173913043478262"/>
    <n v="94.782608695652172"/>
    <x v="1"/>
    <x v="1"/>
    <s v="No"/>
    <n v="-2.2999999999999989E-2"/>
  </r>
  <r>
    <n v="102"/>
    <x v="4"/>
    <n v="1"/>
    <n v="10"/>
    <b v="0"/>
    <n v="3"/>
    <n v="1"/>
    <n v="0.22"/>
    <n v="0.19700000000000001"/>
    <n v="0.37"/>
    <n v="0.32840000000000003"/>
    <n v="4"/>
    <n v="53"/>
    <n v="57"/>
    <s v="Spring"/>
    <s v="Wednesday"/>
    <s v="Clear"/>
    <s v="Morning"/>
    <x v="0"/>
    <x v="2"/>
    <x v="2"/>
    <x v="0"/>
    <s v="Mostly Registered"/>
    <n v="7.0175438596491224"/>
    <n v="92.982456140350877"/>
    <x v="0"/>
    <x v="0"/>
    <s v="No"/>
    <n v="-2.2999999999999989E-2"/>
  </r>
  <r>
    <n v="103"/>
    <x v="4"/>
    <n v="1"/>
    <n v="11"/>
    <b v="0"/>
    <n v="3"/>
    <n v="1"/>
    <n v="0.26"/>
    <n v="0.2273"/>
    <n v="0.33"/>
    <n v="0.32840000000000003"/>
    <n v="12"/>
    <n v="34"/>
    <n v="46"/>
    <s v="Spring"/>
    <s v="Wednesday"/>
    <s v="Clear"/>
    <s v="Morning"/>
    <x v="1"/>
    <x v="2"/>
    <x v="2"/>
    <x v="0"/>
    <s v="Mostly Registered"/>
    <n v="26.086956521739129"/>
    <n v="73.91304347826086"/>
    <x v="0"/>
    <x v="0"/>
    <s v="No"/>
    <n v="-3.2700000000000007E-2"/>
  </r>
  <r>
    <n v="104"/>
    <x v="4"/>
    <n v="1"/>
    <n v="12"/>
    <b v="0"/>
    <n v="3"/>
    <n v="1"/>
    <n v="0.26"/>
    <n v="0.2273"/>
    <n v="0.33"/>
    <n v="0.32840000000000003"/>
    <n v="5"/>
    <n v="74"/>
    <n v="79"/>
    <s v="Spring"/>
    <s v="Wednesday"/>
    <s v="Clear"/>
    <s v="Afternoon"/>
    <x v="1"/>
    <x v="2"/>
    <x v="2"/>
    <x v="0"/>
    <s v="Mostly Registered"/>
    <n v="6.3291139240506329"/>
    <n v="93.670886075949369"/>
    <x v="0"/>
    <x v="0"/>
    <s v="No"/>
    <n v="-3.2700000000000007E-2"/>
  </r>
  <r>
    <n v="105"/>
    <x v="4"/>
    <n v="1"/>
    <n v="13"/>
    <b v="0"/>
    <n v="3"/>
    <n v="1"/>
    <n v="0.28000000000000003"/>
    <n v="0.2576"/>
    <n v="0.3"/>
    <n v="0.29849999999999999"/>
    <n v="6"/>
    <n v="65"/>
    <n v="71"/>
    <s v="Spring"/>
    <s v="Wednesday"/>
    <s v="Clear"/>
    <s v="Afternoon"/>
    <x v="1"/>
    <x v="2"/>
    <x v="1"/>
    <x v="0"/>
    <s v="Mostly Registered"/>
    <n v="8.4507042253521121"/>
    <n v="91.549295774647888"/>
    <x v="0"/>
    <x v="0"/>
    <s v="No"/>
    <n v="-2.2400000000000031E-2"/>
  </r>
  <r>
    <n v="106"/>
    <x v="4"/>
    <n v="1"/>
    <n v="14"/>
    <b v="0"/>
    <n v="3"/>
    <n v="1"/>
    <n v="0.3"/>
    <n v="0.28789999999999999"/>
    <n v="0.28000000000000003"/>
    <n v="0.19400000000000001"/>
    <n v="10"/>
    <n v="52"/>
    <n v="62"/>
    <s v="Spring"/>
    <s v="Wednesday"/>
    <s v="Clear"/>
    <s v="Afternoon"/>
    <x v="1"/>
    <x v="2"/>
    <x v="1"/>
    <x v="0"/>
    <s v="Mostly Registered"/>
    <n v="16.12903225806452"/>
    <n v="83.870967741935488"/>
    <x v="0"/>
    <x v="0"/>
    <s v="No"/>
    <n v="-1.21E-2"/>
  </r>
  <r>
    <n v="107"/>
    <x v="4"/>
    <n v="1"/>
    <n v="15"/>
    <b v="0"/>
    <n v="3"/>
    <n v="1"/>
    <n v="0.3"/>
    <n v="0.28789999999999999"/>
    <n v="0.28000000000000003"/>
    <n v="0.19400000000000001"/>
    <n v="7"/>
    <n v="55"/>
    <n v="62"/>
    <s v="Spring"/>
    <s v="Wednesday"/>
    <s v="Clear"/>
    <s v="Afternoon"/>
    <x v="1"/>
    <x v="2"/>
    <x v="1"/>
    <x v="0"/>
    <s v="Mostly Registered"/>
    <n v="11.29032258064516"/>
    <n v="88.709677419354833"/>
    <x v="0"/>
    <x v="0"/>
    <s v="No"/>
    <n v="-1.21E-2"/>
  </r>
  <r>
    <n v="108"/>
    <x v="4"/>
    <n v="1"/>
    <n v="16"/>
    <b v="0"/>
    <n v="3"/>
    <n v="1"/>
    <n v="0.3"/>
    <n v="0.31819999999999998"/>
    <n v="0.28000000000000003"/>
    <n v="8.9599999999999999E-2"/>
    <n v="4"/>
    <n v="85"/>
    <n v="89"/>
    <s v="Spring"/>
    <s v="Wednesday"/>
    <s v="Clear"/>
    <s v="Afternoon"/>
    <x v="1"/>
    <x v="2"/>
    <x v="0"/>
    <x v="0"/>
    <s v="Mostly Registered"/>
    <n v="4.4943820224719104"/>
    <n v="95.50561797752809"/>
    <x v="0"/>
    <x v="0"/>
    <s v="No"/>
    <n v="1.819999999999999E-2"/>
  </r>
  <r>
    <n v="109"/>
    <x v="4"/>
    <n v="1"/>
    <n v="17"/>
    <b v="0"/>
    <n v="3"/>
    <n v="1"/>
    <n v="0.24"/>
    <n v="0.2273"/>
    <n v="0.38"/>
    <n v="0.19400000000000001"/>
    <n v="4"/>
    <n v="186"/>
    <n v="190"/>
    <s v="Spring"/>
    <s v="Wednesday"/>
    <s v="Clear"/>
    <s v="Evening"/>
    <x v="0"/>
    <x v="2"/>
    <x v="1"/>
    <x v="0"/>
    <s v="Mostly Registered"/>
    <n v="2.1052631578947372"/>
    <n v="97.894736842105274"/>
    <x v="1"/>
    <x v="1"/>
    <s v="No"/>
    <n v="-1.2699999999999991E-2"/>
  </r>
  <r>
    <n v="110"/>
    <x v="4"/>
    <n v="1"/>
    <n v="18"/>
    <b v="0"/>
    <n v="3"/>
    <n v="1"/>
    <n v="0.24"/>
    <n v="0.2424"/>
    <n v="0.38"/>
    <n v="0.1343"/>
    <n v="3"/>
    <n v="166"/>
    <n v="169"/>
    <s v="Spring"/>
    <s v="Wednesday"/>
    <s v="Clear"/>
    <s v="Evening"/>
    <x v="0"/>
    <x v="2"/>
    <x v="0"/>
    <x v="0"/>
    <s v="Mostly Registered"/>
    <n v="1.775147928994083"/>
    <n v="98.224852071005913"/>
    <x v="1"/>
    <x v="1"/>
    <s v="No"/>
    <n v="2.4000000000000128E-3"/>
  </r>
  <r>
    <n v="111"/>
    <x v="4"/>
    <n v="1"/>
    <n v="19"/>
    <b v="0"/>
    <n v="3"/>
    <n v="1"/>
    <n v="0.24"/>
    <n v="0.2576"/>
    <n v="0.38"/>
    <n v="0.1045"/>
    <n v="5"/>
    <n v="127"/>
    <n v="132"/>
    <s v="Spring"/>
    <s v="Wednesday"/>
    <s v="Clear"/>
    <s v="Evening"/>
    <x v="0"/>
    <x v="2"/>
    <x v="0"/>
    <x v="0"/>
    <s v="Mostly Registered"/>
    <n v="3.7878787878787881"/>
    <n v="96.212121212121218"/>
    <x v="1"/>
    <x v="1"/>
    <s v="No"/>
    <n v="1.7600000000000001E-2"/>
  </r>
  <r>
    <n v="112"/>
    <x v="4"/>
    <n v="1"/>
    <n v="20"/>
    <b v="0"/>
    <n v="3"/>
    <n v="1"/>
    <n v="0.22"/>
    <n v="0.2273"/>
    <n v="0.47"/>
    <n v="0.16420000000000001"/>
    <n v="7"/>
    <n v="82"/>
    <n v="89"/>
    <s v="Spring"/>
    <s v="Wednesday"/>
    <s v="Clear"/>
    <s v="Evening"/>
    <x v="0"/>
    <x v="1"/>
    <x v="1"/>
    <x v="0"/>
    <s v="Mostly Registered"/>
    <n v="7.8651685393258424"/>
    <n v="92.134831460674164"/>
    <x v="0"/>
    <x v="0"/>
    <s v="No"/>
    <n v="7.3000000000000009E-3"/>
  </r>
  <r>
    <n v="113"/>
    <x v="4"/>
    <n v="1"/>
    <n v="21"/>
    <b v="0"/>
    <n v="3"/>
    <n v="1"/>
    <n v="0.2"/>
    <n v="0.19700000000000001"/>
    <n v="0.51"/>
    <n v="0.19400000000000001"/>
    <n v="3"/>
    <n v="40"/>
    <n v="43"/>
    <s v="Spring"/>
    <s v="Wednesday"/>
    <s v="Clear"/>
    <s v="Night"/>
    <x v="0"/>
    <x v="1"/>
    <x v="1"/>
    <x v="0"/>
    <s v="Mostly Registered"/>
    <n v="6.9767441860465116"/>
    <n v="93.023255813953483"/>
    <x v="0"/>
    <x v="0"/>
    <s v="No"/>
    <n v="-3.0000000000000031E-3"/>
  </r>
  <r>
    <n v="114"/>
    <x v="4"/>
    <n v="1"/>
    <n v="22"/>
    <b v="0"/>
    <n v="3"/>
    <n v="1"/>
    <n v="0.18"/>
    <n v="0.19700000000000001"/>
    <n v="0.55000000000000004"/>
    <n v="0.1343"/>
    <n v="1"/>
    <n v="41"/>
    <n v="42"/>
    <s v="Spring"/>
    <s v="Wednesday"/>
    <s v="Clear"/>
    <s v="Night"/>
    <x v="0"/>
    <x v="1"/>
    <x v="0"/>
    <x v="0"/>
    <s v="Mostly Registered"/>
    <n v="2.3809523809523809"/>
    <n v="97.61904761904762"/>
    <x v="0"/>
    <x v="0"/>
    <s v="No"/>
    <n v="1.7000000000000019E-2"/>
  </r>
  <r>
    <n v="115"/>
    <x v="4"/>
    <n v="1"/>
    <n v="23"/>
    <b v="0"/>
    <n v="3"/>
    <n v="1"/>
    <n v="0.2"/>
    <n v="0.2576"/>
    <n v="0.47"/>
    <n v="0"/>
    <n v="1"/>
    <n v="18"/>
    <n v="19"/>
    <s v="Spring"/>
    <s v="Wednesday"/>
    <s v="Clear"/>
    <s v="Night"/>
    <x v="0"/>
    <x v="1"/>
    <x v="0"/>
    <x v="0"/>
    <s v="Mostly Registered"/>
    <n v="5.2631578947368416"/>
    <n v="94.73684210526315"/>
    <x v="0"/>
    <x v="0"/>
    <s v="No"/>
    <n v="5.7599999999999978E-2"/>
  </r>
  <r>
    <n v="116"/>
    <x v="5"/>
    <n v="1"/>
    <n v="0"/>
    <b v="0"/>
    <n v="4"/>
    <n v="1"/>
    <n v="0.18"/>
    <n v="0.2424"/>
    <n v="0.55000000000000004"/>
    <n v="0"/>
    <n v="0"/>
    <n v="11"/>
    <n v="11"/>
    <s v="Spring"/>
    <s v="Thursday"/>
    <s v="Clear"/>
    <s v="Night"/>
    <x v="0"/>
    <x v="1"/>
    <x v="0"/>
    <x v="0"/>
    <s v="Mostly Registered"/>
    <n v="0"/>
    <n v="100"/>
    <x v="0"/>
    <x v="0"/>
    <s v="No"/>
    <n v="6.2400000000000011E-2"/>
  </r>
  <r>
    <n v="117"/>
    <x v="5"/>
    <n v="1"/>
    <n v="1"/>
    <b v="0"/>
    <n v="4"/>
    <n v="1"/>
    <n v="0.16"/>
    <n v="0.2273"/>
    <n v="0.64"/>
    <n v="0"/>
    <n v="0"/>
    <n v="4"/>
    <n v="4"/>
    <s v="Spring"/>
    <s v="Thursday"/>
    <s v="Clear"/>
    <s v="Night"/>
    <x v="0"/>
    <x v="1"/>
    <x v="0"/>
    <x v="0"/>
    <s v="Mostly Registered"/>
    <n v="0"/>
    <n v="100"/>
    <x v="0"/>
    <x v="0"/>
    <s v="No"/>
    <n v="6.7299999999999999E-2"/>
  </r>
  <r>
    <n v="118"/>
    <x v="5"/>
    <n v="1"/>
    <n v="2"/>
    <b v="0"/>
    <n v="4"/>
    <n v="1"/>
    <n v="0.16"/>
    <n v="0.2273"/>
    <n v="0.64"/>
    <n v="0"/>
    <n v="0"/>
    <n v="2"/>
    <n v="2"/>
    <s v="Spring"/>
    <s v="Thursday"/>
    <s v="Clear"/>
    <s v="Night"/>
    <x v="0"/>
    <x v="1"/>
    <x v="0"/>
    <x v="0"/>
    <s v="Mostly Registered"/>
    <n v="0"/>
    <n v="100"/>
    <x v="0"/>
    <x v="0"/>
    <s v="No"/>
    <n v="6.7299999999999999E-2"/>
  </r>
  <r>
    <n v="119"/>
    <x v="5"/>
    <n v="1"/>
    <n v="4"/>
    <b v="0"/>
    <n v="4"/>
    <n v="2"/>
    <n v="0.16"/>
    <n v="0.19700000000000001"/>
    <n v="0.64"/>
    <n v="8.9599999999999999E-2"/>
    <n v="0"/>
    <n v="1"/>
    <n v="1"/>
    <s v="Spring"/>
    <s v="Thursday"/>
    <s v="Mist/Cloudy"/>
    <s v="Night"/>
    <x v="0"/>
    <x v="1"/>
    <x v="0"/>
    <x v="0"/>
    <s v="Mostly Registered"/>
    <n v="0"/>
    <n v="100"/>
    <x v="0"/>
    <x v="0"/>
    <s v="No"/>
    <n v="3.7000000000000012E-2"/>
  </r>
  <r>
    <n v="120"/>
    <x v="5"/>
    <n v="1"/>
    <n v="5"/>
    <b v="0"/>
    <n v="4"/>
    <n v="2"/>
    <n v="0.14000000000000001"/>
    <n v="0.18179999999999999"/>
    <n v="0.69"/>
    <n v="8.9599999999999999E-2"/>
    <n v="0"/>
    <n v="4"/>
    <n v="4"/>
    <s v="Spring"/>
    <s v="Thursday"/>
    <s v="Mist/Cloudy"/>
    <s v="Night"/>
    <x v="4"/>
    <x v="1"/>
    <x v="0"/>
    <x v="0"/>
    <s v="Mostly Registered"/>
    <n v="0"/>
    <n v="100"/>
    <x v="0"/>
    <x v="0"/>
    <s v="No"/>
    <n v="4.1799999999999983E-2"/>
  </r>
  <r>
    <n v="121"/>
    <x v="5"/>
    <n v="1"/>
    <n v="6"/>
    <b v="0"/>
    <n v="4"/>
    <n v="2"/>
    <n v="0.14000000000000001"/>
    <n v="0.16669999999999999"/>
    <n v="0.63"/>
    <n v="0.1045"/>
    <n v="0"/>
    <n v="36"/>
    <n v="36"/>
    <s v="Spring"/>
    <s v="Thursday"/>
    <s v="Mist/Cloudy"/>
    <s v="Morning"/>
    <x v="4"/>
    <x v="1"/>
    <x v="0"/>
    <x v="0"/>
    <s v="Mostly Registered"/>
    <n v="0"/>
    <n v="100"/>
    <x v="0"/>
    <x v="0"/>
    <s v="No"/>
    <n v="2.669999999999997E-2"/>
  </r>
  <r>
    <n v="122"/>
    <x v="5"/>
    <n v="1"/>
    <n v="7"/>
    <b v="0"/>
    <n v="4"/>
    <n v="2"/>
    <n v="0.16"/>
    <n v="0.2273"/>
    <n v="0.59"/>
    <n v="0"/>
    <n v="0"/>
    <n v="95"/>
    <n v="95"/>
    <s v="Spring"/>
    <s v="Thursday"/>
    <s v="Mist/Cloudy"/>
    <s v="Morning"/>
    <x v="0"/>
    <x v="1"/>
    <x v="0"/>
    <x v="0"/>
    <s v="Mostly Registered"/>
    <n v="0"/>
    <n v="100"/>
    <x v="1"/>
    <x v="0"/>
    <s v="No"/>
    <n v="6.7299999999999999E-2"/>
  </r>
  <r>
    <n v="123"/>
    <x v="5"/>
    <n v="1"/>
    <n v="8"/>
    <b v="0"/>
    <n v="4"/>
    <n v="1"/>
    <n v="0.16"/>
    <n v="0.2273"/>
    <n v="0.59"/>
    <n v="0"/>
    <n v="3"/>
    <n v="216"/>
    <n v="219"/>
    <s v="Spring"/>
    <s v="Thursday"/>
    <s v="Clear"/>
    <s v="Morning"/>
    <x v="0"/>
    <x v="1"/>
    <x v="0"/>
    <x v="0"/>
    <s v="Mostly Registered"/>
    <n v="1.3698630136986301"/>
    <n v="98.630136986301366"/>
    <x v="1"/>
    <x v="1"/>
    <s v="No"/>
    <n v="6.7299999999999999E-2"/>
  </r>
  <r>
    <n v="124"/>
    <x v="5"/>
    <n v="1"/>
    <n v="9"/>
    <b v="0"/>
    <n v="4"/>
    <n v="2"/>
    <n v="0.18"/>
    <n v="0.2424"/>
    <n v="0.51"/>
    <n v="0"/>
    <n v="6"/>
    <n v="116"/>
    <n v="122"/>
    <s v="Spring"/>
    <s v="Thursday"/>
    <s v="Mist/Cloudy"/>
    <s v="Morning"/>
    <x v="0"/>
    <x v="1"/>
    <x v="0"/>
    <x v="0"/>
    <s v="Mostly Registered"/>
    <n v="4.918032786885246"/>
    <n v="95.081967213114751"/>
    <x v="1"/>
    <x v="1"/>
    <s v="No"/>
    <n v="6.2400000000000011E-2"/>
  </r>
  <r>
    <n v="125"/>
    <x v="5"/>
    <n v="1"/>
    <n v="10"/>
    <b v="0"/>
    <n v="4"/>
    <n v="1"/>
    <n v="0.2"/>
    <n v="0.2576"/>
    <n v="0.47"/>
    <n v="0"/>
    <n v="3"/>
    <n v="42"/>
    <n v="45"/>
    <s v="Spring"/>
    <s v="Thursday"/>
    <s v="Clear"/>
    <s v="Morning"/>
    <x v="0"/>
    <x v="1"/>
    <x v="0"/>
    <x v="0"/>
    <s v="Mostly Registered"/>
    <n v="6.666666666666667"/>
    <n v="93.333333333333329"/>
    <x v="0"/>
    <x v="0"/>
    <s v="No"/>
    <n v="5.7599999999999978E-2"/>
  </r>
  <r>
    <n v="126"/>
    <x v="5"/>
    <n v="1"/>
    <n v="11"/>
    <b v="0"/>
    <n v="4"/>
    <n v="1"/>
    <n v="0.22"/>
    <n v="0.2576"/>
    <n v="0.44"/>
    <n v="8.9599999999999999E-2"/>
    <n v="2"/>
    <n v="57"/>
    <n v="59"/>
    <s v="Spring"/>
    <s v="Thursday"/>
    <s v="Clear"/>
    <s v="Morning"/>
    <x v="0"/>
    <x v="1"/>
    <x v="0"/>
    <x v="0"/>
    <s v="Mostly Registered"/>
    <n v="3.3898305084745761"/>
    <n v="96.610169491525426"/>
    <x v="0"/>
    <x v="0"/>
    <s v="No"/>
    <n v="3.7599999999999988E-2"/>
  </r>
  <r>
    <n v="127"/>
    <x v="5"/>
    <n v="1"/>
    <n v="12"/>
    <b v="0"/>
    <n v="4"/>
    <n v="1"/>
    <n v="0.26"/>
    <n v="0.28789999999999999"/>
    <n v="0.35"/>
    <n v="0"/>
    <n v="6"/>
    <n v="78"/>
    <n v="84"/>
    <s v="Spring"/>
    <s v="Thursday"/>
    <s v="Clear"/>
    <s v="Afternoon"/>
    <x v="1"/>
    <x v="2"/>
    <x v="0"/>
    <x v="0"/>
    <s v="Mostly Registered"/>
    <n v="7.1428571428571423"/>
    <n v="92.857142857142861"/>
    <x v="0"/>
    <x v="0"/>
    <s v="No"/>
    <n v="2.789999999999998E-2"/>
  </r>
  <r>
    <n v="128"/>
    <x v="5"/>
    <n v="1"/>
    <n v="13"/>
    <b v="0"/>
    <n v="4"/>
    <n v="1"/>
    <n v="0.26"/>
    <n v="0.2727"/>
    <n v="0.35"/>
    <n v="0.1045"/>
    <n v="12"/>
    <n v="55"/>
    <n v="67"/>
    <s v="Spring"/>
    <s v="Thursday"/>
    <s v="Clear"/>
    <s v="Afternoon"/>
    <x v="1"/>
    <x v="2"/>
    <x v="0"/>
    <x v="0"/>
    <s v="Mostly Registered"/>
    <n v="17.910447761194028"/>
    <n v="82.089552238805979"/>
    <x v="0"/>
    <x v="0"/>
    <s v="No"/>
    <n v="1.2699999999999991E-2"/>
  </r>
  <r>
    <n v="129"/>
    <x v="5"/>
    <n v="1"/>
    <n v="14"/>
    <b v="0"/>
    <n v="4"/>
    <n v="1"/>
    <n v="0.28000000000000003"/>
    <n v="0.2727"/>
    <n v="0.36"/>
    <n v="0.16420000000000001"/>
    <n v="11"/>
    <n v="59"/>
    <n v="70"/>
    <s v="Spring"/>
    <s v="Thursday"/>
    <s v="Clear"/>
    <s v="Afternoon"/>
    <x v="1"/>
    <x v="2"/>
    <x v="1"/>
    <x v="0"/>
    <s v="Mostly Registered"/>
    <n v="15.71428571428571"/>
    <n v="84.285714285714292"/>
    <x v="0"/>
    <x v="0"/>
    <s v="No"/>
    <n v="-7.3000000000000287E-3"/>
  </r>
  <r>
    <n v="130"/>
    <x v="5"/>
    <n v="1"/>
    <n v="15"/>
    <b v="0"/>
    <n v="4"/>
    <n v="1"/>
    <n v="0.28000000000000003"/>
    <n v="0.2727"/>
    <n v="0.36"/>
    <n v="0"/>
    <n v="8"/>
    <n v="54"/>
    <n v="62"/>
    <s v="Spring"/>
    <s v="Thursday"/>
    <s v="Clear"/>
    <s v="Afternoon"/>
    <x v="1"/>
    <x v="2"/>
    <x v="0"/>
    <x v="0"/>
    <s v="Mostly Registered"/>
    <n v="12.90322580645161"/>
    <n v="87.096774193548384"/>
    <x v="0"/>
    <x v="0"/>
    <s v="No"/>
    <n v="-7.3000000000000287E-3"/>
  </r>
  <r>
    <n v="131"/>
    <x v="5"/>
    <n v="1"/>
    <n v="16"/>
    <b v="0"/>
    <n v="4"/>
    <n v="1"/>
    <n v="0.26"/>
    <n v="0.2576"/>
    <n v="0.38"/>
    <n v="0.16420000000000001"/>
    <n v="12"/>
    <n v="74"/>
    <n v="86"/>
    <s v="Spring"/>
    <s v="Thursday"/>
    <s v="Clear"/>
    <s v="Afternoon"/>
    <x v="1"/>
    <x v="2"/>
    <x v="1"/>
    <x v="0"/>
    <s v="Mostly Registered"/>
    <n v="13.95348837209302"/>
    <n v="86.04651162790698"/>
    <x v="0"/>
    <x v="0"/>
    <s v="No"/>
    <n v="-2.4000000000000128E-3"/>
  </r>
  <r>
    <n v="132"/>
    <x v="5"/>
    <n v="1"/>
    <n v="17"/>
    <b v="0"/>
    <n v="4"/>
    <n v="1"/>
    <n v="0.22"/>
    <n v="0.2273"/>
    <n v="0.51"/>
    <n v="0.16420000000000001"/>
    <n v="9"/>
    <n v="163"/>
    <n v="172"/>
    <s v="Spring"/>
    <s v="Thursday"/>
    <s v="Clear"/>
    <s v="Evening"/>
    <x v="0"/>
    <x v="1"/>
    <x v="1"/>
    <x v="0"/>
    <s v="Mostly Registered"/>
    <n v="5.2325581395348841"/>
    <n v="94.767441860465112"/>
    <x v="1"/>
    <x v="1"/>
    <s v="No"/>
    <n v="7.3000000000000009E-3"/>
  </r>
  <r>
    <n v="133"/>
    <x v="5"/>
    <n v="1"/>
    <n v="18"/>
    <b v="0"/>
    <n v="4"/>
    <n v="1"/>
    <n v="0.22"/>
    <n v="0.2273"/>
    <n v="0.51"/>
    <n v="0.1343"/>
    <n v="5"/>
    <n v="158"/>
    <n v="163"/>
    <s v="Spring"/>
    <s v="Thursday"/>
    <s v="Clear"/>
    <s v="Evening"/>
    <x v="0"/>
    <x v="1"/>
    <x v="0"/>
    <x v="0"/>
    <s v="Mostly Registered"/>
    <n v="3.0674846625766872"/>
    <n v="96.932515337423311"/>
    <x v="1"/>
    <x v="1"/>
    <s v="No"/>
    <n v="7.3000000000000009E-3"/>
  </r>
  <r>
    <n v="134"/>
    <x v="5"/>
    <n v="1"/>
    <n v="19"/>
    <b v="0"/>
    <n v="4"/>
    <n v="1"/>
    <n v="0.22"/>
    <n v="0.2576"/>
    <n v="0.55000000000000004"/>
    <n v="8.9599999999999999E-2"/>
    <n v="3"/>
    <n v="109"/>
    <n v="112"/>
    <s v="Spring"/>
    <s v="Thursday"/>
    <s v="Clear"/>
    <s v="Evening"/>
    <x v="0"/>
    <x v="1"/>
    <x v="0"/>
    <x v="0"/>
    <s v="Mostly Registered"/>
    <n v="2.6785714285714279"/>
    <n v="97.321428571428569"/>
    <x v="1"/>
    <x v="1"/>
    <s v="No"/>
    <n v="3.7599999999999988E-2"/>
  </r>
  <r>
    <n v="135"/>
    <x v="5"/>
    <n v="1"/>
    <n v="20"/>
    <b v="0"/>
    <n v="4"/>
    <n v="1"/>
    <n v="0.2"/>
    <n v="0.21210000000000001"/>
    <n v="0.51"/>
    <n v="0.16420000000000001"/>
    <n v="3"/>
    <n v="66"/>
    <n v="69"/>
    <s v="Spring"/>
    <s v="Thursday"/>
    <s v="Clear"/>
    <s v="Evening"/>
    <x v="0"/>
    <x v="1"/>
    <x v="1"/>
    <x v="0"/>
    <s v="Mostly Registered"/>
    <n v="4.3478260869565224"/>
    <n v="95.652173913043484"/>
    <x v="0"/>
    <x v="0"/>
    <s v="No"/>
    <n v="1.21E-2"/>
  </r>
  <r>
    <n v="136"/>
    <x v="5"/>
    <n v="1"/>
    <n v="21"/>
    <b v="0"/>
    <n v="4"/>
    <n v="2"/>
    <n v="0.22"/>
    <n v="0.21210000000000001"/>
    <n v="0.55000000000000004"/>
    <n v="0.22389999999999999"/>
    <n v="0"/>
    <n v="48"/>
    <n v="48"/>
    <s v="Spring"/>
    <s v="Thursday"/>
    <s v="Mist/Cloudy"/>
    <s v="Night"/>
    <x v="0"/>
    <x v="1"/>
    <x v="1"/>
    <x v="0"/>
    <s v="Mostly Registered"/>
    <n v="0"/>
    <n v="100"/>
    <x v="0"/>
    <x v="0"/>
    <s v="No"/>
    <n v="-7.8999999999999904E-3"/>
  </r>
  <r>
    <n v="137"/>
    <x v="5"/>
    <n v="1"/>
    <n v="22"/>
    <b v="0"/>
    <n v="4"/>
    <n v="2"/>
    <n v="0.22"/>
    <n v="0.21210000000000001"/>
    <n v="0.51"/>
    <n v="0.28360000000000002"/>
    <n v="1"/>
    <n v="51"/>
    <n v="52"/>
    <s v="Spring"/>
    <s v="Thursday"/>
    <s v="Mist/Cloudy"/>
    <s v="Night"/>
    <x v="0"/>
    <x v="1"/>
    <x v="1"/>
    <x v="0"/>
    <s v="Mostly Registered"/>
    <n v="1.9230769230769229"/>
    <n v="98.076923076923066"/>
    <x v="0"/>
    <x v="0"/>
    <s v="No"/>
    <n v="-7.8999999999999904E-3"/>
  </r>
  <r>
    <n v="138"/>
    <x v="5"/>
    <n v="1"/>
    <n v="23"/>
    <b v="0"/>
    <n v="4"/>
    <n v="2"/>
    <n v="0.2"/>
    <n v="0.19700000000000001"/>
    <n v="0.59"/>
    <n v="0.19400000000000001"/>
    <n v="4"/>
    <n v="19"/>
    <n v="23"/>
    <s v="Spring"/>
    <s v="Thursday"/>
    <s v="Mist/Cloudy"/>
    <s v="Night"/>
    <x v="0"/>
    <x v="1"/>
    <x v="1"/>
    <x v="0"/>
    <s v="Mostly Registered"/>
    <n v="17.39130434782609"/>
    <n v="82.608695652173907"/>
    <x v="0"/>
    <x v="0"/>
    <s v="No"/>
    <n v="-3.0000000000000031E-3"/>
  </r>
  <r>
    <n v="139"/>
    <x v="6"/>
    <n v="1"/>
    <n v="0"/>
    <b v="0"/>
    <n v="5"/>
    <n v="2"/>
    <n v="0.2"/>
    <n v="0.19700000000000001"/>
    <n v="0.64"/>
    <n v="0.19400000000000001"/>
    <n v="4"/>
    <n v="13"/>
    <n v="17"/>
    <s v="Spring"/>
    <s v="Friday"/>
    <s v="Mist/Cloudy"/>
    <s v="Night"/>
    <x v="0"/>
    <x v="1"/>
    <x v="1"/>
    <x v="0"/>
    <s v="Mostly Registered"/>
    <n v="23.52941176470588"/>
    <n v="76.470588235294116"/>
    <x v="0"/>
    <x v="0"/>
    <s v="No"/>
    <n v="-3.0000000000000031E-3"/>
  </r>
  <r>
    <n v="140"/>
    <x v="6"/>
    <n v="1"/>
    <n v="1"/>
    <b v="0"/>
    <n v="5"/>
    <n v="2"/>
    <n v="0.2"/>
    <n v="0.19700000000000001"/>
    <n v="0.69"/>
    <n v="0.22389999999999999"/>
    <n v="2"/>
    <n v="5"/>
    <n v="7"/>
    <s v="Spring"/>
    <s v="Friday"/>
    <s v="Mist/Cloudy"/>
    <s v="Night"/>
    <x v="0"/>
    <x v="1"/>
    <x v="1"/>
    <x v="0"/>
    <s v="Mostly Registered"/>
    <n v="28.571428571428569"/>
    <n v="71.428571428571431"/>
    <x v="0"/>
    <x v="0"/>
    <s v="No"/>
    <n v="-3.0000000000000031E-3"/>
  </r>
  <r>
    <n v="141"/>
    <x v="6"/>
    <n v="1"/>
    <n v="2"/>
    <b v="0"/>
    <n v="5"/>
    <n v="2"/>
    <n v="0.2"/>
    <n v="0.19700000000000001"/>
    <n v="0.69"/>
    <n v="0.22389999999999999"/>
    <n v="0"/>
    <n v="1"/>
    <n v="1"/>
    <s v="Spring"/>
    <s v="Friday"/>
    <s v="Mist/Cloudy"/>
    <s v="Night"/>
    <x v="0"/>
    <x v="1"/>
    <x v="1"/>
    <x v="0"/>
    <s v="Mostly Registered"/>
    <n v="0"/>
    <n v="100"/>
    <x v="0"/>
    <x v="0"/>
    <s v="No"/>
    <n v="-3.0000000000000031E-3"/>
  </r>
  <r>
    <n v="142"/>
    <x v="6"/>
    <n v="1"/>
    <n v="4"/>
    <b v="0"/>
    <n v="5"/>
    <n v="2"/>
    <n v="0.2"/>
    <n v="0.21210000000000001"/>
    <n v="0.69"/>
    <n v="0.1343"/>
    <n v="0"/>
    <n v="1"/>
    <n v="1"/>
    <s v="Spring"/>
    <s v="Friday"/>
    <s v="Mist/Cloudy"/>
    <s v="Night"/>
    <x v="0"/>
    <x v="1"/>
    <x v="0"/>
    <x v="0"/>
    <s v="Mostly Registered"/>
    <n v="0"/>
    <n v="100"/>
    <x v="0"/>
    <x v="0"/>
    <s v="No"/>
    <n v="1.21E-2"/>
  </r>
  <r>
    <n v="143"/>
    <x v="6"/>
    <n v="1"/>
    <n v="5"/>
    <b v="0"/>
    <n v="5"/>
    <n v="3"/>
    <n v="0.22"/>
    <n v="0.2727"/>
    <n v="0.55000000000000004"/>
    <n v="0"/>
    <n v="0"/>
    <n v="5"/>
    <n v="5"/>
    <s v="Spring"/>
    <s v="Friday"/>
    <s v="Light Rain/Snow"/>
    <s v="Night"/>
    <x v="0"/>
    <x v="1"/>
    <x v="0"/>
    <x v="0"/>
    <s v="Mostly Registered"/>
    <n v="0"/>
    <n v="100"/>
    <x v="0"/>
    <x v="0"/>
    <s v="No"/>
    <n v="5.2699999999999997E-2"/>
  </r>
  <r>
    <n v="144"/>
    <x v="6"/>
    <n v="1"/>
    <n v="6"/>
    <b v="0"/>
    <n v="5"/>
    <n v="2"/>
    <n v="0.2"/>
    <n v="0.2576"/>
    <n v="0.69"/>
    <n v="0"/>
    <n v="8"/>
    <n v="26"/>
    <n v="34"/>
    <s v="Spring"/>
    <s v="Friday"/>
    <s v="Mist/Cloudy"/>
    <s v="Morning"/>
    <x v="0"/>
    <x v="1"/>
    <x v="0"/>
    <x v="0"/>
    <s v="Mostly Registered"/>
    <n v="23.52941176470588"/>
    <n v="76.470588235294116"/>
    <x v="0"/>
    <x v="0"/>
    <s v="No"/>
    <n v="5.7599999999999978E-2"/>
  </r>
  <r>
    <n v="145"/>
    <x v="6"/>
    <n v="1"/>
    <n v="7"/>
    <b v="0"/>
    <n v="5"/>
    <n v="1"/>
    <n v="0.2"/>
    <n v="0.21210000000000001"/>
    <n v="0.69"/>
    <n v="0.1343"/>
    <n v="8"/>
    <n v="76"/>
    <n v="84"/>
    <s v="Spring"/>
    <s v="Friday"/>
    <s v="Clear"/>
    <s v="Morning"/>
    <x v="0"/>
    <x v="1"/>
    <x v="0"/>
    <x v="0"/>
    <s v="Mostly Registered"/>
    <n v="9.5238095238095237"/>
    <n v="90.476190476190482"/>
    <x v="1"/>
    <x v="0"/>
    <s v="No"/>
    <n v="1.21E-2"/>
  </r>
  <r>
    <n v="146"/>
    <x v="6"/>
    <n v="1"/>
    <n v="8"/>
    <b v="0"/>
    <n v="5"/>
    <n v="1"/>
    <n v="0.2"/>
    <n v="0.19700000000000001"/>
    <n v="0.51"/>
    <n v="0.25369999999999998"/>
    <n v="20"/>
    <n v="190"/>
    <n v="210"/>
    <s v="Spring"/>
    <s v="Friday"/>
    <s v="Clear"/>
    <s v="Morning"/>
    <x v="0"/>
    <x v="1"/>
    <x v="1"/>
    <x v="0"/>
    <s v="Mostly Registered"/>
    <n v="9.5238095238095237"/>
    <n v="90.476190476190482"/>
    <x v="1"/>
    <x v="1"/>
    <s v="No"/>
    <n v="-3.0000000000000031E-3"/>
  </r>
  <r>
    <n v="147"/>
    <x v="6"/>
    <n v="1"/>
    <n v="9"/>
    <b v="0"/>
    <n v="5"/>
    <n v="1"/>
    <n v="0.2"/>
    <n v="0.18179999999999999"/>
    <n v="0.47"/>
    <n v="0.29849999999999999"/>
    <n v="9"/>
    <n v="125"/>
    <n v="134"/>
    <s v="Spring"/>
    <s v="Friday"/>
    <s v="Clear"/>
    <s v="Morning"/>
    <x v="0"/>
    <x v="1"/>
    <x v="1"/>
    <x v="0"/>
    <s v="Mostly Registered"/>
    <n v="6.7164179104477606"/>
    <n v="93.28358208955224"/>
    <x v="1"/>
    <x v="1"/>
    <s v="No"/>
    <n v="-1.8200000000000022E-2"/>
  </r>
  <r>
    <n v="148"/>
    <x v="6"/>
    <n v="1"/>
    <n v="10"/>
    <b v="0"/>
    <n v="5"/>
    <n v="1"/>
    <n v="0.22"/>
    <n v="0.19700000000000001"/>
    <n v="0.37"/>
    <n v="0.32840000000000003"/>
    <n v="16"/>
    <n v="47"/>
    <n v="63"/>
    <s v="Spring"/>
    <s v="Friday"/>
    <s v="Clear"/>
    <s v="Morning"/>
    <x v="0"/>
    <x v="2"/>
    <x v="2"/>
    <x v="0"/>
    <s v="Mostly Registered"/>
    <n v="25.396825396825399"/>
    <n v="74.603174603174608"/>
    <x v="0"/>
    <x v="0"/>
    <s v="No"/>
    <n v="-2.2999999999999989E-2"/>
  </r>
  <r>
    <n v="149"/>
    <x v="6"/>
    <n v="1"/>
    <n v="11"/>
    <b v="0"/>
    <n v="5"/>
    <n v="2"/>
    <n v="0.2"/>
    <n v="0.19700000000000001"/>
    <n v="0.4"/>
    <n v="0.22389999999999999"/>
    <n v="19"/>
    <n v="48"/>
    <n v="67"/>
    <s v="Spring"/>
    <s v="Friday"/>
    <s v="Mist/Cloudy"/>
    <s v="Morning"/>
    <x v="0"/>
    <x v="1"/>
    <x v="1"/>
    <x v="0"/>
    <s v="Mostly Registered"/>
    <n v="28.35820895522388"/>
    <n v="71.641791044776113"/>
    <x v="0"/>
    <x v="0"/>
    <s v="No"/>
    <n v="-3.0000000000000031E-3"/>
  </r>
  <r>
    <n v="150"/>
    <x v="6"/>
    <n v="1"/>
    <n v="12"/>
    <b v="0"/>
    <n v="5"/>
    <n v="2"/>
    <n v="0.2"/>
    <n v="0.19700000000000001"/>
    <n v="0.37"/>
    <n v="0.25369999999999998"/>
    <n v="9"/>
    <n v="50"/>
    <n v="59"/>
    <s v="Spring"/>
    <s v="Friday"/>
    <s v="Mist/Cloudy"/>
    <s v="Afternoon"/>
    <x v="0"/>
    <x v="2"/>
    <x v="1"/>
    <x v="0"/>
    <s v="Mostly Registered"/>
    <n v="15.25423728813559"/>
    <n v="84.745762711864401"/>
    <x v="0"/>
    <x v="0"/>
    <s v="No"/>
    <n v="-3.0000000000000031E-3"/>
  </r>
  <r>
    <n v="151"/>
    <x v="6"/>
    <n v="1"/>
    <n v="13"/>
    <b v="0"/>
    <n v="5"/>
    <n v="2"/>
    <n v="0.2"/>
    <n v="0.18179999999999999"/>
    <n v="0.37"/>
    <n v="0.28360000000000002"/>
    <n v="9"/>
    <n v="64"/>
    <n v="73"/>
    <s v="Spring"/>
    <s v="Friday"/>
    <s v="Mist/Cloudy"/>
    <s v="Afternoon"/>
    <x v="0"/>
    <x v="2"/>
    <x v="1"/>
    <x v="0"/>
    <s v="Mostly Registered"/>
    <n v="12.328767123287671"/>
    <n v="87.671232876712324"/>
    <x v="0"/>
    <x v="0"/>
    <s v="No"/>
    <n v="-1.8200000000000022E-2"/>
  </r>
  <r>
    <n v="152"/>
    <x v="6"/>
    <n v="1"/>
    <n v="14"/>
    <b v="0"/>
    <n v="5"/>
    <n v="2"/>
    <n v="0.2"/>
    <n v="0.19700000000000001"/>
    <n v="0.4"/>
    <n v="0.25369999999999998"/>
    <n v="7"/>
    <n v="43"/>
    <n v="50"/>
    <s v="Spring"/>
    <s v="Friday"/>
    <s v="Mist/Cloudy"/>
    <s v="Afternoon"/>
    <x v="0"/>
    <x v="1"/>
    <x v="1"/>
    <x v="0"/>
    <s v="Mostly Registered"/>
    <n v="14"/>
    <n v="86"/>
    <x v="0"/>
    <x v="0"/>
    <s v="No"/>
    <n v="-3.0000000000000031E-3"/>
  </r>
  <r>
    <n v="153"/>
    <x v="6"/>
    <n v="1"/>
    <n v="15"/>
    <b v="0"/>
    <n v="5"/>
    <n v="2"/>
    <n v="0.2"/>
    <n v="0.21210000000000001"/>
    <n v="0.37"/>
    <n v="0.16420000000000001"/>
    <n v="9"/>
    <n v="63"/>
    <n v="72"/>
    <s v="Spring"/>
    <s v="Friday"/>
    <s v="Mist/Cloudy"/>
    <s v="Afternoon"/>
    <x v="0"/>
    <x v="2"/>
    <x v="1"/>
    <x v="0"/>
    <s v="Mostly Registered"/>
    <n v="12.5"/>
    <n v="87.5"/>
    <x v="0"/>
    <x v="0"/>
    <s v="No"/>
    <n v="1.21E-2"/>
  </r>
  <r>
    <n v="154"/>
    <x v="6"/>
    <n v="1"/>
    <n v="16"/>
    <b v="0"/>
    <n v="5"/>
    <n v="2"/>
    <n v="0.2"/>
    <n v="0.21210000000000001"/>
    <n v="0.37"/>
    <n v="0.16420000000000001"/>
    <n v="5"/>
    <n v="82"/>
    <n v="87"/>
    <s v="Spring"/>
    <s v="Friday"/>
    <s v="Mist/Cloudy"/>
    <s v="Afternoon"/>
    <x v="0"/>
    <x v="2"/>
    <x v="1"/>
    <x v="0"/>
    <s v="Mostly Registered"/>
    <n v="5.7471264367816088"/>
    <n v="94.252873563218387"/>
    <x v="0"/>
    <x v="0"/>
    <s v="No"/>
    <n v="1.21E-2"/>
  </r>
  <r>
    <n v="155"/>
    <x v="6"/>
    <n v="1"/>
    <n v="17"/>
    <b v="0"/>
    <n v="5"/>
    <n v="2"/>
    <n v="0.2"/>
    <n v="0.2576"/>
    <n v="0.37"/>
    <n v="0"/>
    <n v="9"/>
    <n v="178"/>
    <n v="187"/>
    <s v="Spring"/>
    <s v="Friday"/>
    <s v="Mist/Cloudy"/>
    <s v="Evening"/>
    <x v="0"/>
    <x v="2"/>
    <x v="0"/>
    <x v="0"/>
    <s v="Mostly Registered"/>
    <n v="4.8128342245989302"/>
    <n v="95.18716577540107"/>
    <x v="1"/>
    <x v="1"/>
    <s v="No"/>
    <n v="5.7599999999999978E-2"/>
  </r>
  <r>
    <n v="156"/>
    <x v="6"/>
    <n v="1"/>
    <n v="18"/>
    <b v="0"/>
    <n v="5"/>
    <n v="1"/>
    <n v="0.2"/>
    <n v="0.2273"/>
    <n v="0.4"/>
    <n v="8.9599999999999999E-2"/>
    <n v="7"/>
    <n v="116"/>
    <n v="123"/>
    <s v="Spring"/>
    <s v="Friday"/>
    <s v="Clear"/>
    <s v="Evening"/>
    <x v="0"/>
    <x v="1"/>
    <x v="0"/>
    <x v="0"/>
    <s v="Mostly Registered"/>
    <n v="5.6910569105691051"/>
    <n v="94.308943089430898"/>
    <x v="1"/>
    <x v="1"/>
    <s v="No"/>
    <n v="2.7299999999999991E-2"/>
  </r>
  <r>
    <n v="157"/>
    <x v="6"/>
    <n v="1"/>
    <n v="19"/>
    <b v="0"/>
    <n v="5"/>
    <n v="1"/>
    <n v="0.16"/>
    <n v="0.19700000000000001"/>
    <n v="0.55000000000000004"/>
    <n v="8.9599999999999999E-2"/>
    <n v="3"/>
    <n v="92"/>
    <n v="95"/>
    <s v="Spring"/>
    <s v="Friday"/>
    <s v="Clear"/>
    <s v="Evening"/>
    <x v="0"/>
    <x v="1"/>
    <x v="0"/>
    <x v="0"/>
    <s v="Mostly Registered"/>
    <n v="3.1578947368421049"/>
    <n v="96.84210526315789"/>
    <x v="1"/>
    <x v="0"/>
    <s v="No"/>
    <n v="3.7000000000000012E-2"/>
  </r>
  <r>
    <n v="158"/>
    <x v="6"/>
    <n v="1"/>
    <n v="20"/>
    <b v="0"/>
    <n v="5"/>
    <n v="1"/>
    <n v="0.18"/>
    <n v="0.21210000000000001"/>
    <n v="0.47"/>
    <n v="0.1045"/>
    <n v="1"/>
    <n v="50"/>
    <n v="51"/>
    <s v="Spring"/>
    <s v="Friday"/>
    <s v="Clear"/>
    <s v="Evening"/>
    <x v="0"/>
    <x v="1"/>
    <x v="0"/>
    <x v="0"/>
    <s v="Mostly Registered"/>
    <n v="1.9607843137254899"/>
    <n v="98.039215686274503"/>
    <x v="0"/>
    <x v="0"/>
    <s v="No"/>
    <n v="3.2100000000000017E-2"/>
  </r>
  <r>
    <n v="159"/>
    <x v="6"/>
    <n v="1"/>
    <n v="21"/>
    <b v="0"/>
    <n v="5"/>
    <n v="1"/>
    <n v="0.18"/>
    <n v="0.19700000000000001"/>
    <n v="0.47"/>
    <n v="0.1343"/>
    <n v="0"/>
    <n v="39"/>
    <n v="39"/>
    <s v="Spring"/>
    <s v="Friday"/>
    <s v="Clear"/>
    <s v="Night"/>
    <x v="0"/>
    <x v="1"/>
    <x v="0"/>
    <x v="0"/>
    <s v="Mostly Registered"/>
    <n v="0"/>
    <n v="100"/>
    <x v="0"/>
    <x v="0"/>
    <s v="No"/>
    <n v="1.7000000000000019E-2"/>
  </r>
  <r>
    <n v="160"/>
    <x v="6"/>
    <n v="1"/>
    <n v="22"/>
    <b v="0"/>
    <n v="5"/>
    <n v="2"/>
    <n v="0.18"/>
    <n v="0.19700000000000001"/>
    <n v="0.43"/>
    <n v="0.16420000000000001"/>
    <n v="2"/>
    <n v="34"/>
    <n v="36"/>
    <s v="Spring"/>
    <s v="Friday"/>
    <s v="Mist/Cloudy"/>
    <s v="Night"/>
    <x v="0"/>
    <x v="1"/>
    <x v="1"/>
    <x v="0"/>
    <s v="Mostly Registered"/>
    <n v="5.5555555555555554"/>
    <n v="94.444444444444443"/>
    <x v="0"/>
    <x v="0"/>
    <s v="No"/>
    <n v="1.7000000000000019E-2"/>
  </r>
  <r>
    <n v="161"/>
    <x v="6"/>
    <n v="1"/>
    <n v="23"/>
    <b v="0"/>
    <n v="5"/>
    <n v="2"/>
    <n v="0.18"/>
    <n v="0.19700000000000001"/>
    <n v="0.51"/>
    <n v="0.16420000000000001"/>
    <n v="1"/>
    <n v="14"/>
    <n v="15"/>
    <s v="Spring"/>
    <s v="Friday"/>
    <s v="Mist/Cloudy"/>
    <s v="Night"/>
    <x v="0"/>
    <x v="1"/>
    <x v="1"/>
    <x v="0"/>
    <s v="Mostly Registered"/>
    <n v="6.666666666666667"/>
    <n v="93.333333333333329"/>
    <x v="0"/>
    <x v="0"/>
    <s v="No"/>
    <n v="1.7000000000000019E-2"/>
  </r>
  <r>
    <n v="162"/>
    <x v="7"/>
    <n v="1"/>
    <n v="0"/>
    <b v="0"/>
    <n v="6"/>
    <n v="2"/>
    <n v="0.18"/>
    <n v="0.19700000000000001"/>
    <n v="0.51"/>
    <n v="0.16420000000000001"/>
    <n v="1"/>
    <n v="24"/>
    <n v="25"/>
    <s v="Spring"/>
    <s v="Saturday"/>
    <s v="Mist/Cloudy"/>
    <s v="Night"/>
    <x v="0"/>
    <x v="1"/>
    <x v="1"/>
    <x v="0"/>
    <s v="Mostly Registered"/>
    <n v="4"/>
    <n v="96"/>
    <x v="0"/>
    <x v="0"/>
    <s v="Yes"/>
    <n v="1.7000000000000019E-2"/>
  </r>
  <r>
    <n v="163"/>
    <x v="7"/>
    <n v="1"/>
    <n v="1"/>
    <b v="0"/>
    <n v="6"/>
    <n v="2"/>
    <n v="0.18"/>
    <n v="0.21210000000000001"/>
    <n v="0.55000000000000004"/>
    <n v="8.9599999999999999E-2"/>
    <n v="1"/>
    <n v="15"/>
    <n v="16"/>
    <s v="Spring"/>
    <s v="Saturday"/>
    <s v="Mist/Cloudy"/>
    <s v="Night"/>
    <x v="0"/>
    <x v="1"/>
    <x v="0"/>
    <x v="0"/>
    <s v="Mostly Registered"/>
    <n v="6.25"/>
    <n v="93.75"/>
    <x v="0"/>
    <x v="0"/>
    <s v="Yes"/>
    <n v="3.2100000000000017E-2"/>
  </r>
  <r>
    <n v="164"/>
    <x v="7"/>
    <n v="1"/>
    <n v="2"/>
    <b v="0"/>
    <n v="6"/>
    <n v="2"/>
    <n v="0.18"/>
    <n v="0.2424"/>
    <n v="0.55000000000000004"/>
    <n v="0"/>
    <n v="3"/>
    <n v="13"/>
    <n v="16"/>
    <s v="Spring"/>
    <s v="Saturday"/>
    <s v="Mist/Cloudy"/>
    <s v="Night"/>
    <x v="0"/>
    <x v="1"/>
    <x v="0"/>
    <x v="0"/>
    <s v="Mostly Registered"/>
    <n v="18.75"/>
    <n v="81.25"/>
    <x v="0"/>
    <x v="0"/>
    <s v="Yes"/>
    <n v="6.2400000000000011E-2"/>
  </r>
  <r>
    <n v="165"/>
    <x v="7"/>
    <n v="1"/>
    <n v="3"/>
    <b v="0"/>
    <n v="6"/>
    <n v="3"/>
    <n v="0.18"/>
    <n v="0.19700000000000001"/>
    <n v="0.55000000000000004"/>
    <n v="0.16420000000000001"/>
    <n v="0"/>
    <n v="7"/>
    <n v="7"/>
    <s v="Spring"/>
    <s v="Saturday"/>
    <s v="Light Rain/Snow"/>
    <s v="Night"/>
    <x v="0"/>
    <x v="1"/>
    <x v="1"/>
    <x v="0"/>
    <s v="Mostly Registered"/>
    <n v="0"/>
    <n v="100"/>
    <x v="0"/>
    <x v="0"/>
    <s v="Yes"/>
    <n v="1.7000000000000019E-2"/>
  </r>
  <r>
    <n v="166"/>
    <x v="7"/>
    <n v="1"/>
    <n v="4"/>
    <b v="0"/>
    <n v="6"/>
    <n v="3"/>
    <n v="0.18"/>
    <n v="0.19700000000000001"/>
    <n v="0.55000000000000004"/>
    <n v="0.16420000000000001"/>
    <n v="0"/>
    <n v="1"/>
    <n v="1"/>
    <s v="Spring"/>
    <s v="Saturday"/>
    <s v="Light Rain/Snow"/>
    <s v="Night"/>
    <x v="0"/>
    <x v="1"/>
    <x v="1"/>
    <x v="0"/>
    <s v="Mostly Registered"/>
    <n v="0"/>
    <n v="100"/>
    <x v="0"/>
    <x v="0"/>
    <s v="Yes"/>
    <n v="1.7000000000000019E-2"/>
  </r>
  <r>
    <n v="167"/>
    <x v="7"/>
    <n v="1"/>
    <n v="5"/>
    <b v="0"/>
    <n v="6"/>
    <n v="2"/>
    <n v="0.16"/>
    <n v="0.16669999999999999"/>
    <n v="0.74"/>
    <n v="0.16420000000000001"/>
    <n v="0"/>
    <n v="5"/>
    <n v="5"/>
    <s v="Spring"/>
    <s v="Saturday"/>
    <s v="Mist/Cloudy"/>
    <s v="Night"/>
    <x v="0"/>
    <x v="0"/>
    <x v="1"/>
    <x v="0"/>
    <s v="Mostly Registered"/>
    <n v="0"/>
    <n v="100"/>
    <x v="0"/>
    <x v="0"/>
    <s v="Yes"/>
    <n v="6.6999999999999837E-3"/>
  </r>
  <r>
    <n v="168"/>
    <x v="7"/>
    <n v="1"/>
    <n v="6"/>
    <b v="0"/>
    <n v="6"/>
    <n v="2"/>
    <n v="0.16"/>
    <n v="0.16669999999999999"/>
    <n v="0.74"/>
    <n v="0.16420000000000001"/>
    <n v="0"/>
    <n v="2"/>
    <n v="2"/>
    <s v="Spring"/>
    <s v="Saturday"/>
    <s v="Mist/Cloudy"/>
    <s v="Morning"/>
    <x v="0"/>
    <x v="0"/>
    <x v="1"/>
    <x v="0"/>
    <s v="Mostly Registered"/>
    <n v="0"/>
    <n v="100"/>
    <x v="0"/>
    <x v="0"/>
    <s v="Yes"/>
    <n v="6.6999999999999837E-3"/>
  </r>
  <r>
    <n v="169"/>
    <x v="7"/>
    <n v="1"/>
    <n v="7"/>
    <b v="0"/>
    <n v="6"/>
    <n v="2"/>
    <n v="0.16"/>
    <n v="0.18179999999999999"/>
    <n v="0.74"/>
    <n v="0.1045"/>
    <n v="1"/>
    <n v="8"/>
    <n v="9"/>
    <s v="Spring"/>
    <s v="Saturday"/>
    <s v="Mist/Cloudy"/>
    <s v="Morning"/>
    <x v="0"/>
    <x v="0"/>
    <x v="0"/>
    <x v="0"/>
    <s v="Mostly Registered"/>
    <n v="11.111111111111111"/>
    <n v="88.888888888888886"/>
    <x v="1"/>
    <x v="0"/>
    <s v="Yes"/>
    <n v="2.179999999999999E-2"/>
  </r>
  <r>
    <n v="170"/>
    <x v="7"/>
    <n v="1"/>
    <n v="8"/>
    <b v="0"/>
    <n v="6"/>
    <n v="3"/>
    <n v="0.16"/>
    <n v="0.18179999999999999"/>
    <n v="0.93"/>
    <n v="0.1045"/>
    <n v="0"/>
    <n v="15"/>
    <n v="15"/>
    <s v="Spring"/>
    <s v="Saturday"/>
    <s v="Light Rain/Snow"/>
    <s v="Morning"/>
    <x v="0"/>
    <x v="0"/>
    <x v="0"/>
    <x v="0"/>
    <s v="Mostly Registered"/>
    <n v="0"/>
    <n v="100"/>
    <x v="1"/>
    <x v="0"/>
    <s v="Yes"/>
    <n v="2.179999999999999E-2"/>
  </r>
  <r>
    <n v="171"/>
    <x v="7"/>
    <n v="1"/>
    <n v="9"/>
    <b v="0"/>
    <n v="6"/>
    <n v="3"/>
    <n v="0.16"/>
    <n v="0.18179999999999999"/>
    <n v="0.93"/>
    <n v="0.1045"/>
    <n v="0"/>
    <n v="20"/>
    <n v="20"/>
    <s v="Spring"/>
    <s v="Saturday"/>
    <s v="Light Rain/Snow"/>
    <s v="Morning"/>
    <x v="0"/>
    <x v="0"/>
    <x v="0"/>
    <x v="0"/>
    <s v="Mostly Registered"/>
    <n v="0"/>
    <n v="100"/>
    <x v="1"/>
    <x v="0"/>
    <s v="Yes"/>
    <n v="2.179999999999999E-2"/>
  </r>
  <r>
    <n v="172"/>
    <x v="7"/>
    <n v="1"/>
    <n v="10"/>
    <b v="0"/>
    <n v="6"/>
    <n v="2"/>
    <n v="0.18"/>
    <n v="0.19700000000000001"/>
    <n v="0.8"/>
    <n v="0.16420000000000001"/>
    <n v="5"/>
    <n v="56"/>
    <n v="61"/>
    <s v="Spring"/>
    <s v="Saturday"/>
    <s v="Mist/Cloudy"/>
    <s v="Morning"/>
    <x v="0"/>
    <x v="0"/>
    <x v="1"/>
    <x v="0"/>
    <s v="Mostly Registered"/>
    <n v="8.1967213114754092"/>
    <n v="91.803278688524586"/>
    <x v="0"/>
    <x v="0"/>
    <s v="Yes"/>
    <n v="1.7000000000000019E-2"/>
  </r>
  <r>
    <n v="173"/>
    <x v="7"/>
    <n v="1"/>
    <n v="11"/>
    <b v="0"/>
    <n v="6"/>
    <n v="2"/>
    <n v="0.2"/>
    <n v="0.18179999999999999"/>
    <n v="0.69"/>
    <n v="0.3881"/>
    <n v="2"/>
    <n v="60"/>
    <n v="62"/>
    <s v="Spring"/>
    <s v="Saturday"/>
    <s v="Mist/Cloudy"/>
    <s v="Morning"/>
    <x v="0"/>
    <x v="1"/>
    <x v="2"/>
    <x v="0"/>
    <s v="Mostly Registered"/>
    <n v="3.225806451612903"/>
    <n v="96.774193548387103"/>
    <x v="0"/>
    <x v="0"/>
    <s v="Yes"/>
    <n v="-1.8200000000000022E-2"/>
  </r>
  <r>
    <n v="174"/>
    <x v="7"/>
    <n v="1"/>
    <n v="12"/>
    <b v="0"/>
    <n v="6"/>
    <n v="2"/>
    <n v="0.2"/>
    <n v="0.18179999999999999"/>
    <n v="0.59"/>
    <n v="0.35820000000000002"/>
    <n v="8"/>
    <n v="90"/>
    <n v="98"/>
    <s v="Spring"/>
    <s v="Saturday"/>
    <s v="Mist/Cloudy"/>
    <s v="Afternoon"/>
    <x v="0"/>
    <x v="1"/>
    <x v="2"/>
    <x v="0"/>
    <s v="Mostly Registered"/>
    <n v="8.1632653061224492"/>
    <n v="91.83673469387756"/>
    <x v="0"/>
    <x v="0"/>
    <s v="Yes"/>
    <n v="-1.8200000000000022E-2"/>
  </r>
  <r>
    <n v="175"/>
    <x v="7"/>
    <n v="1"/>
    <n v="13"/>
    <b v="0"/>
    <n v="6"/>
    <n v="1"/>
    <n v="0.2"/>
    <n v="0.18179999999999999"/>
    <n v="0.44"/>
    <n v="0.32840000000000003"/>
    <n v="7"/>
    <n v="95"/>
    <n v="102"/>
    <s v="Spring"/>
    <s v="Saturday"/>
    <s v="Clear"/>
    <s v="Afternoon"/>
    <x v="0"/>
    <x v="1"/>
    <x v="2"/>
    <x v="0"/>
    <s v="Mostly Registered"/>
    <n v="6.8627450980392162"/>
    <n v="93.137254901960787"/>
    <x v="0"/>
    <x v="1"/>
    <s v="Yes"/>
    <n v="-1.8200000000000022E-2"/>
  </r>
  <r>
    <n v="176"/>
    <x v="7"/>
    <n v="1"/>
    <n v="14"/>
    <b v="0"/>
    <n v="6"/>
    <n v="1"/>
    <n v="0.2"/>
    <n v="0.16669999999999999"/>
    <n v="0.32"/>
    <n v="0.49249999999999999"/>
    <n v="12"/>
    <n v="83"/>
    <n v="95"/>
    <s v="Spring"/>
    <s v="Saturday"/>
    <s v="Clear"/>
    <s v="Afternoon"/>
    <x v="0"/>
    <x v="2"/>
    <x v="2"/>
    <x v="0"/>
    <s v="Mostly Registered"/>
    <n v="12.631578947368419"/>
    <n v="87.368421052631589"/>
    <x v="0"/>
    <x v="0"/>
    <s v="Yes"/>
    <n v="-3.3300000000000017E-2"/>
  </r>
  <r>
    <n v="177"/>
    <x v="7"/>
    <n v="1"/>
    <n v="15"/>
    <b v="0"/>
    <n v="6"/>
    <n v="1"/>
    <n v="0.2"/>
    <n v="0.16669999999999999"/>
    <n v="0.32"/>
    <n v="0.44779999999999998"/>
    <n v="5"/>
    <n v="69"/>
    <n v="74"/>
    <s v="Spring"/>
    <s v="Saturday"/>
    <s v="Clear"/>
    <s v="Afternoon"/>
    <x v="0"/>
    <x v="2"/>
    <x v="2"/>
    <x v="0"/>
    <s v="Mostly Registered"/>
    <n v="6.756756756756757"/>
    <n v="93.243243243243242"/>
    <x v="0"/>
    <x v="0"/>
    <s v="Yes"/>
    <n v="-3.3300000000000017E-2"/>
  </r>
  <r>
    <n v="178"/>
    <x v="7"/>
    <n v="1"/>
    <n v="16"/>
    <b v="0"/>
    <n v="6"/>
    <n v="1"/>
    <n v="0.18"/>
    <n v="0.13639999999999999"/>
    <n v="0.28999999999999998"/>
    <n v="0.44779999999999998"/>
    <n v="8"/>
    <n v="68"/>
    <n v="76"/>
    <s v="Spring"/>
    <s v="Saturday"/>
    <s v="Clear"/>
    <s v="Afternoon"/>
    <x v="0"/>
    <x v="2"/>
    <x v="2"/>
    <x v="0"/>
    <s v="Mostly Registered"/>
    <n v="10.52631578947368"/>
    <n v="89.473684210526315"/>
    <x v="0"/>
    <x v="0"/>
    <s v="Yes"/>
    <n v="-4.36E-2"/>
  </r>
  <r>
    <n v="179"/>
    <x v="7"/>
    <n v="1"/>
    <n v="17"/>
    <b v="0"/>
    <n v="6"/>
    <n v="1"/>
    <n v="0.16"/>
    <n v="0.1212"/>
    <n v="0.37"/>
    <n v="0.55220000000000002"/>
    <n v="5"/>
    <n v="64"/>
    <n v="69"/>
    <s v="Spring"/>
    <s v="Saturday"/>
    <s v="Clear"/>
    <s v="Evening"/>
    <x v="0"/>
    <x v="2"/>
    <x v="2"/>
    <x v="0"/>
    <s v="Mostly Registered"/>
    <n v="7.2463768115942031"/>
    <n v="92.753623188405797"/>
    <x v="1"/>
    <x v="0"/>
    <s v="Yes"/>
    <n v="-3.8800000000000001E-2"/>
  </r>
  <r>
    <n v="180"/>
    <x v="7"/>
    <n v="1"/>
    <n v="18"/>
    <b v="0"/>
    <n v="6"/>
    <n v="1"/>
    <n v="0.14000000000000001"/>
    <n v="0.1212"/>
    <n v="0.39"/>
    <n v="0.29849999999999999"/>
    <n v="3"/>
    <n v="52"/>
    <n v="55"/>
    <s v="Spring"/>
    <s v="Saturday"/>
    <s v="Clear"/>
    <s v="Evening"/>
    <x v="4"/>
    <x v="2"/>
    <x v="1"/>
    <x v="0"/>
    <s v="Mostly Registered"/>
    <n v="5.4545454545454541"/>
    <n v="94.545454545454547"/>
    <x v="1"/>
    <x v="0"/>
    <s v="Yes"/>
    <n v="-1.8800000000000011E-2"/>
  </r>
  <r>
    <n v="181"/>
    <x v="7"/>
    <n v="1"/>
    <n v="19"/>
    <b v="0"/>
    <n v="6"/>
    <n v="1"/>
    <n v="0.14000000000000001"/>
    <n v="0.1212"/>
    <n v="0.36"/>
    <n v="0.25369999999999998"/>
    <n v="4"/>
    <n v="26"/>
    <n v="30"/>
    <s v="Spring"/>
    <s v="Saturday"/>
    <s v="Clear"/>
    <s v="Evening"/>
    <x v="4"/>
    <x v="2"/>
    <x v="1"/>
    <x v="0"/>
    <s v="Mostly Registered"/>
    <n v="13.33333333333333"/>
    <n v="86.666666666666671"/>
    <x v="1"/>
    <x v="0"/>
    <s v="Yes"/>
    <n v="-1.8800000000000011E-2"/>
  </r>
  <r>
    <n v="182"/>
    <x v="7"/>
    <n v="1"/>
    <n v="20"/>
    <b v="0"/>
    <n v="6"/>
    <n v="1"/>
    <n v="0.12"/>
    <n v="0.1212"/>
    <n v="0.36"/>
    <n v="0.25369999999999998"/>
    <n v="0"/>
    <n v="28"/>
    <n v="28"/>
    <s v="Spring"/>
    <s v="Saturday"/>
    <s v="Clear"/>
    <s v="Evening"/>
    <x v="4"/>
    <x v="2"/>
    <x v="1"/>
    <x v="0"/>
    <s v="Mostly Registered"/>
    <n v="0"/>
    <n v="100"/>
    <x v="0"/>
    <x v="0"/>
    <s v="Yes"/>
    <n v="1.2000000000000071E-3"/>
  </r>
  <r>
    <n v="183"/>
    <x v="7"/>
    <n v="1"/>
    <n v="21"/>
    <b v="0"/>
    <n v="6"/>
    <n v="1"/>
    <n v="0.12"/>
    <n v="0.1061"/>
    <n v="0.39"/>
    <n v="0.35820000000000002"/>
    <n v="2"/>
    <n v="35"/>
    <n v="37"/>
    <s v="Spring"/>
    <s v="Saturday"/>
    <s v="Clear"/>
    <s v="Night"/>
    <x v="4"/>
    <x v="2"/>
    <x v="2"/>
    <x v="0"/>
    <s v="Mostly Registered"/>
    <n v="5.4054054054054053"/>
    <n v="94.594594594594597"/>
    <x v="0"/>
    <x v="0"/>
    <s v="Yes"/>
    <n v="-1.3899999999999999E-2"/>
  </r>
  <r>
    <n v="184"/>
    <x v="7"/>
    <n v="1"/>
    <n v="22"/>
    <b v="0"/>
    <n v="6"/>
    <n v="1"/>
    <n v="0.12"/>
    <n v="0.1061"/>
    <n v="0.36"/>
    <n v="0.3881"/>
    <n v="1"/>
    <n v="33"/>
    <n v="34"/>
    <s v="Spring"/>
    <s v="Saturday"/>
    <s v="Clear"/>
    <s v="Night"/>
    <x v="4"/>
    <x v="2"/>
    <x v="2"/>
    <x v="0"/>
    <s v="Mostly Registered"/>
    <n v="2.9411764705882351"/>
    <n v="97.058823529411768"/>
    <x v="0"/>
    <x v="0"/>
    <s v="Yes"/>
    <n v="-1.3899999999999999E-2"/>
  </r>
  <r>
    <n v="185"/>
    <x v="7"/>
    <n v="1"/>
    <n v="23"/>
    <b v="0"/>
    <n v="6"/>
    <n v="1"/>
    <n v="0.1"/>
    <n v="6.0600000000000001E-2"/>
    <n v="0.39"/>
    <n v="0.44779999999999998"/>
    <n v="0"/>
    <n v="22"/>
    <n v="22"/>
    <s v="Spring"/>
    <s v="Saturday"/>
    <s v="Clear"/>
    <s v="Night"/>
    <x v="4"/>
    <x v="2"/>
    <x v="2"/>
    <x v="0"/>
    <s v="Mostly Registered"/>
    <n v="0"/>
    <n v="100"/>
    <x v="0"/>
    <x v="0"/>
    <s v="Yes"/>
    <n v="-3.9399999999999998E-2"/>
  </r>
  <r>
    <n v="186"/>
    <x v="8"/>
    <n v="1"/>
    <n v="0"/>
    <b v="0"/>
    <n v="0"/>
    <n v="1"/>
    <n v="0.1"/>
    <n v="7.5800000000000006E-2"/>
    <n v="0.42"/>
    <n v="0.3881"/>
    <n v="1"/>
    <n v="24"/>
    <n v="25"/>
    <s v="Spring"/>
    <s v="Sunday"/>
    <s v="Clear"/>
    <s v="Night"/>
    <x v="4"/>
    <x v="1"/>
    <x v="2"/>
    <x v="0"/>
    <s v="Mostly Registered"/>
    <n v="4"/>
    <n v="96"/>
    <x v="0"/>
    <x v="0"/>
    <s v="Yes"/>
    <n v="-2.4199999999999999E-2"/>
  </r>
  <r>
    <n v="187"/>
    <x v="8"/>
    <n v="1"/>
    <n v="1"/>
    <b v="0"/>
    <n v="0"/>
    <n v="1"/>
    <n v="0.1"/>
    <n v="6.0600000000000001E-2"/>
    <n v="0.42"/>
    <n v="0.4627"/>
    <n v="0"/>
    <n v="12"/>
    <n v="12"/>
    <s v="Spring"/>
    <s v="Sunday"/>
    <s v="Clear"/>
    <s v="Night"/>
    <x v="4"/>
    <x v="1"/>
    <x v="2"/>
    <x v="0"/>
    <s v="Mostly Registered"/>
    <n v="0"/>
    <n v="100"/>
    <x v="0"/>
    <x v="0"/>
    <s v="Yes"/>
    <n v="-3.9399999999999998E-2"/>
  </r>
  <r>
    <n v="188"/>
    <x v="8"/>
    <n v="1"/>
    <n v="2"/>
    <b v="0"/>
    <n v="0"/>
    <n v="1"/>
    <n v="0.1"/>
    <n v="6.0600000000000001E-2"/>
    <n v="0.46"/>
    <n v="0.4627"/>
    <n v="0"/>
    <n v="11"/>
    <n v="11"/>
    <s v="Spring"/>
    <s v="Sunday"/>
    <s v="Clear"/>
    <s v="Night"/>
    <x v="4"/>
    <x v="1"/>
    <x v="2"/>
    <x v="0"/>
    <s v="Mostly Registered"/>
    <n v="0"/>
    <n v="100"/>
    <x v="0"/>
    <x v="0"/>
    <s v="Yes"/>
    <n v="-3.9399999999999998E-2"/>
  </r>
  <r>
    <n v="189"/>
    <x v="8"/>
    <n v="1"/>
    <n v="3"/>
    <b v="0"/>
    <n v="0"/>
    <n v="1"/>
    <n v="0.1"/>
    <n v="7.5800000000000006E-2"/>
    <n v="0.46"/>
    <n v="0.41789999999999999"/>
    <n v="0"/>
    <n v="4"/>
    <n v="4"/>
    <s v="Spring"/>
    <s v="Sunday"/>
    <s v="Clear"/>
    <s v="Night"/>
    <x v="4"/>
    <x v="1"/>
    <x v="2"/>
    <x v="0"/>
    <s v="Mostly Registered"/>
    <n v="0"/>
    <n v="100"/>
    <x v="0"/>
    <x v="0"/>
    <s v="Yes"/>
    <n v="-2.4199999999999999E-2"/>
  </r>
  <r>
    <n v="190"/>
    <x v="8"/>
    <n v="1"/>
    <n v="4"/>
    <b v="0"/>
    <n v="0"/>
    <n v="1"/>
    <n v="0.08"/>
    <n v="9.0899999999999995E-2"/>
    <n v="0.53"/>
    <n v="0.19400000000000001"/>
    <n v="0"/>
    <n v="1"/>
    <n v="1"/>
    <s v="Spring"/>
    <s v="Sunday"/>
    <s v="Clear"/>
    <s v="Night"/>
    <x v="4"/>
    <x v="1"/>
    <x v="1"/>
    <x v="0"/>
    <s v="Mostly Registered"/>
    <n v="0"/>
    <n v="100"/>
    <x v="0"/>
    <x v="0"/>
    <s v="Yes"/>
    <n v="1.089999999999999E-2"/>
  </r>
  <r>
    <n v="191"/>
    <x v="8"/>
    <n v="1"/>
    <n v="5"/>
    <b v="0"/>
    <n v="0"/>
    <n v="1"/>
    <n v="0.08"/>
    <n v="9.0899999999999995E-2"/>
    <n v="0.53"/>
    <n v="0.19400000000000001"/>
    <n v="0"/>
    <n v="1"/>
    <n v="1"/>
    <s v="Spring"/>
    <s v="Sunday"/>
    <s v="Clear"/>
    <s v="Night"/>
    <x v="4"/>
    <x v="1"/>
    <x v="1"/>
    <x v="0"/>
    <s v="Mostly Registered"/>
    <n v="0"/>
    <n v="100"/>
    <x v="0"/>
    <x v="0"/>
    <s v="Yes"/>
    <n v="1.089999999999999E-2"/>
  </r>
  <r>
    <n v="192"/>
    <x v="8"/>
    <n v="1"/>
    <n v="6"/>
    <b v="0"/>
    <n v="0"/>
    <n v="1"/>
    <n v="0.1"/>
    <n v="9.0899999999999995E-2"/>
    <n v="0.49"/>
    <n v="0.28360000000000002"/>
    <n v="0"/>
    <n v="1"/>
    <n v="1"/>
    <s v="Spring"/>
    <s v="Sunday"/>
    <s v="Clear"/>
    <s v="Morning"/>
    <x v="4"/>
    <x v="1"/>
    <x v="1"/>
    <x v="0"/>
    <s v="Mostly Registered"/>
    <n v="0"/>
    <n v="100"/>
    <x v="0"/>
    <x v="0"/>
    <s v="Yes"/>
    <n v="-9.1000000000000109E-3"/>
  </r>
  <r>
    <n v="193"/>
    <x v="8"/>
    <n v="1"/>
    <n v="7"/>
    <b v="0"/>
    <n v="0"/>
    <n v="1"/>
    <n v="0.08"/>
    <n v="9.0899999999999995E-2"/>
    <n v="0.53"/>
    <n v="0.19400000000000001"/>
    <n v="1"/>
    <n v="5"/>
    <n v="6"/>
    <s v="Spring"/>
    <s v="Sunday"/>
    <s v="Clear"/>
    <s v="Morning"/>
    <x v="4"/>
    <x v="1"/>
    <x v="1"/>
    <x v="0"/>
    <s v="Mostly Registered"/>
    <n v="16.666666666666661"/>
    <n v="83.333333333333343"/>
    <x v="1"/>
    <x v="0"/>
    <s v="Yes"/>
    <n v="1.089999999999999E-2"/>
  </r>
  <r>
    <n v="194"/>
    <x v="8"/>
    <n v="1"/>
    <n v="8"/>
    <b v="0"/>
    <n v="0"/>
    <n v="1"/>
    <n v="0.1"/>
    <n v="9.0899999999999995E-2"/>
    <n v="0.49"/>
    <n v="0.28360000000000002"/>
    <n v="0"/>
    <n v="10"/>
    <n v="10"/>
    <s v="Spring"/>
    <s v="Sunday"/>
    <s v="Clear"/>
    <s v="Morning"/>
    <x v="4"/>
    <x v="1"/>
    <x v="1"/>
    <x v="0"/>
    <s v="Mostly Registered"/>
    <n v="0"/>
    <n v="100"/>
    <x v="1"/>
    <x v="0"/>
    <s v="Yes"/>
    <n v="-9.1000000000000109E-3"/>
  </r>
  <r>
    <n v="195"/>
    <x v="8"/>
    <n v="1"/>
    <n v="9"/>
    <b v="0"/>
    <n v="0"/>
    <n v="1"/>
    <n v="0.12"/>
    <n v="7.5800000000000006E-2"/>
    <n v="0.46"/>
    <n v="0.52239999999999998"/>
    <n v="0"/>
    <n v="19"/>
    <n v="19"/>
    <s v="Spring"/>
    <s v="Sunday"/>
    <s v="Clear"/>
    <s v="Morning"/>
    <x v="4"/>
    <x v="1"/>
    <x v="2"/>
    <x v="0"/>
    <s v="Mostly Registered"/>
    <n v="0"/>
    <n v="100"/>
    <x v="1"/>
    <x v="0"/>
    <s v="Yes"/>
    <n v="-4.4199999999999989E-2"/>
  </r>
  <r>
    <n v="196"/>
    <x v="8"/>
    <n v="1"/>
    <n v="10"/>
    <b v="0"/>
    <n v="0"/>
    <n v="1"/>
    <n v="0.14000000000000001"/>
    <n v="0.1061"/>
    <n v="0.43"/>
    <n v="0.3881"/>
    <n v="0"/>
    <n v="49"/>
    <n v="49"/>
    <s v="Spring"/>
    <s v="Sunday"/>
    <s v="Clear"/>
    <s v="Morning"/>
    <x v="4"/>
    <x v="1"/>
    <x v="2"/>
    <x v="0"/>
    <s v="Mostly Registered"/>
    <n v="0"/>
    <n v="100"/>
    <x v="0"/>
    <x v="0"/>
    <s v="Yes"/>
    <n v="-3.3900000000000013E-2"/>
  </r>
  <r>
    <n v="197"/>
    <x v="8"/>
    <n v="1"/>
    <n v="11"/>
    <b v="0"/>
    <n v="0"/>
    <n v="1"/>
    <n v="0.16"/>
    <n v="0.1212"/>
    <n v="0.4"/>
    <n v="0.52239999999999998"/>
    <n v="2"/>
    <n v="47"/>
    <n v="49"/>
    <s v="Spring"/>
    <s v="Sunday"/>
    <s v="Clear"/>
    <s v="Morning"/>
    <x v="0"/>
    <x v="1"/>
    <x v="2"/>
    <x v="0"/>
    <s v="Mostly Registered"/>
    <n v="4.0816326530612246"/>
    <n v="95.918367346938766"/>
    <x v="0"/>
    <x v="0"/>
    <s v="Yes"/>
    <n v="-3.8800000000000001E-2"/>
  </r>
  <r>
    <n v="198"/>
    <x v="8"/>
    <n v="1"/>
    <n v="12"/>
    <b v="0"/>
    <n v="0"/>
    <n v="1"/>
    <n v="0.18"/>
    <n v="0.13639999999999999"/>
    <n v="0.37"/>
    <n v="0.44779999999999998"/>
    <n v="4"/>
    <n v="79"/>
    <n v="83"/>
    <s v="Spring"/>
    <s v="Sunday"/>
    <s v="Clear"/>
    <s v="Afternoon"/>
    <x v="0"/>
    <x v="2"/>
    <x v="2"/>
    <x v="0"/>
    <s v="Mostly Registered"/>
    <n v="4.8192771084337354"/>
    <n v="95.180722891566262"/>
    <x v="0"/>
    <x v="0"/>
    <s v="Yes"/>
    <n v="-4.36E-2"/>
  </r>
  <r>
    <n v="199"/>
    <x v="8"/>
    <n v="1"/>
    <n v="13"/>
    <b v="0"/>
    <n v="0"/>
    <n v="1"/>
    <n v="0.2"/>
    <n v="0.16669999999999999"/>
    <n v="0.34"/>
    <n v="0.44779999999999998"/>
    <n v="6"/>
    <n v="69"/>
    <n v="75"/>
    <s v="Spring"/>
    <s v="Sunday"/>
    <s v="Clear"/>
    <s v="Afternoon"/>
    <x v="0"/>
    <x v="2"/>
    <x v="2"/>
    <x v="0"/>
    <s v="Mostly Registered"/>
    <n v="8"/>
    <n v="92"/>
    <x v="0"/>
    <x v="0"/>
    <s v="Yes"/>
    <n v="-3.3300000000000017E-2"/>
  </r>
  <r>
    <n v="200"/>
    <x v="8"/>
    <n v="1"/>
    <n v="14"/>
    <b v="0"/>
    <n v="0"/>
    <n v="1"/>
    <n v="0.22"/>
    <n v="0.18179999999999999"/>
    <n v="0.32"/>
    <n v="0.4627"/>
    <n v="8"/>
    <n v="64"/>
    <n v="72"/>
    <s v="Spring"/>
    <s v="Sunday"/>
    <s v="Clear"/>
    <s v="Afternoon"/>
    <x v="0"/>
    <x v="2"/>
    <x v="2"/>
    <x v="0"/>
    <s v="Mostly Registered"/>
    <n v="11.111111111111111"/>
    <n v="88.888888888888886"/>
    <x v="0"/>
    <x v="0"/>
    <s v="Yes"/>
    <n v="-3.8200000000000012E-2"/>
  </r>
  <r>
    <n v="201"/>
    <x v="8"/>
    <n v="1"/>
    <n v="15"/>
    <b v="0"/>
    <n v="0"/>
    <n v="1"/>
    <n v="0.22"/>
    <n v="0.19700000000000001"/>
    <n v="0.35"/>
    <n v="0.35820000000000002"/>
    <n v="5"/>
    <n v="77"/>
    <n v="82"/>
    <s v="Spring"/>
    <s v="Sunday"/>
    <s v="Clear"/>
    <s v="Afternoon"/>
    <x v="0"/>
    <x v="2"/>
    <x v="2"/>
    <x v="0"/>
    <s v="Mostly Registered"/>
    <n v="6.0975609756097562"/>
    <n v="93.902439024390233"/>
    <x v="0"/>
    <x v="0"/>
    <s v="Yes"/>
    <n v="-2.2999999999999989E-2"/>
  </r>
  <r>
    <n v="202"/>
    <x v="8"/>
    <n v="1"/>
    <n v="16"/>
    <b v="0"/>
    <n v="0"/>
    <n v="1"/>
    <n v="0.2"/>
    <n v="0.16669999999999999"/>
    <n v="0.34"/>
    <n v="0.44779999999999998"/>
    <n v="13"/>
    <n v="79"/>
    <n v="92"/>
    <s v="Spring"/>
    <s v="Sunday"/>
    <s v="Clear"/>
    <s v="Afternoon"/>
    <x v="0"/>
    <x v="2"/>
    <x v="2"/>
    <x v="0"/>
    <s v="Mostly Registered"/>
    <n v="14.130434782608701"/>
    <n v="85.869565217391312"/>
    <x v="0"/>
    <x v="0"/>
    <s v="Yes"/>
    <n v="-3.3300000000000017E-2"/>
  </r>
  <r>
    <n v="203"/>
    <x v="8"/>
    <n v="1"/>
    <n v="17"/>
    <b v="0"/>
    <n v="0"/>
    <n v="1"/>
    <n v="0.18"/>
    <n v="0.1515"/>
    <n v="0.37"/>
    <n v="0.3881"/>
    <n v="3"/>
    <n v="59"/>
    <n v="62"/>
    <s v="Spring"/>
    <s v="Sunday"/>
    <s v="Clear"/>
    <s v="Evening"/>
    <x v="0"/>
    <x v="2"/>
    <x v="2"/>
    <x v="0"/>
    <s v="Mostly Registered"/>
    <n v="4.838709677419355"/>
    <n v="95.161290322580655"/>
    <x v="1"/>
    <x v="0"/>
    <s v="Yes"/>
    <n v="-2.8500000000000001E-2"/>
  </r>
  <r>
    <n v="204"/>
    <x v="8"/>
    <n v="1"/>
    <n v="18"/>
    <b v="0"/>
    <n v="0"/>
    <n v="1"/>
    <n v="0.16"/>
    <n v="0.13639999999999999"/>
    <n v="0.4"/>
    <n v="0.32840000000000003"/>
    <n v="4"/>
    <n v="44"/>
    <n v="48"/>
    <s v="Spring"/>
    <s v="Sunday"/>
    <s v="Clear"/>
    <s v="Evening"/>
    <x v="0"/>
    <x v="1"/>
    <x v="2"/>
    <x v="0"/>
    <s v="Mostly Registered"/>
    <n v="8.3333333333333321"/>
    <n v="91.666666666666657"/>
    <x v="1"/>
    <x v="0"/>
    <s v="Yes"/>
    <n v="-2.360000000000001E-2"/>
  </r>
  <r>
    <n v="205"/>
    <x v="8"/>
    <n v="1"/>
    <n v="19"/>
    <b v="0"/>
    <n v="0"/>
    <n v="1"/>
    <n v="0.16"/>
    <n v="0.13639999999999999"/>
    <n v="0.43"/>
    <n v="0.32840000000000003"/>
    <n v="1"/>
    <n v="40"/>
    <n v="41"/>
    <s v="Spring"/>
    <s v="Sunday"/>
    <s v="Clear"/>
    <s v="Evening"/>
    <x v="0"/>
    <x v="1"/>
    <x v="2"/>
    <x v="0"/>
    <s v="Mostly Registered"/>
    <n v="2.4390243902439019"/>
    <n v="97.560975609756099"/>
    <x v="1"/>
    <x v="0"/>
    <s v="Yes"/>
    <n v="-2.360000000000001E-2"/>
  </r>
  <r>
    <n v="206"/>
    <x v="8"/>
    <n v="1"/>
    <n v="20"/>
    <b v="0"/>
    <n v="0"/>
    <n v="1"/>
    <n v="0.14000000000000001"/>
    <n v="0.1212"/>
    <n v="0.46"/>
    <n v="0.25369999999999998"/>
    <n v="0"/>
    <n v="38"/>
    <n v="38"/>
    <s v="Spring"/>
    <s v="Sunday"/>
    <s v="Clear"/>
    <s v="Evening"/>
    <x v="4"/>
    <x v="1"/>
    <x v="1"/>
    <x v="0"/>
    <s v="Mostly Registered"/>
    <n v="0"/>
    <n v="100"/>
    <x v="0"/>
    <x v="0"/>
    <s v="Yes"/>
    <n v="-1.8800000000000011E-2"/>
  </r>
  <r>
    <n v="207"/>
    <x v="8"/>
    <n v="1"/>
    <n v="21"/>
    <b v="0"/>
    <n v="0"/>
    <n v="1"/>
    <n v="0.14000000000000001"/>
    <n v="0.1061"/>
    <n v="0.46"/>
    <n v="0.41789999999999999"/>
    <n v="1"/>
    <n v="19"/>
    <n v="20"/>
    <s v="Spring"/>
    <s v="Sunday"/>
    <s v="Clear"/>
    <s v="Night"/>
    <x v="4"/>
    <x v="1"/>
    <x v="2"/>
    <x v="0"/>
    <s v="Mostly Registered"/>
    <n v="5"/>
    <n v="95"/>
    <x v="0"/>
    <x v="0"/>
    <s v="Yes"/>
    <n v="-3.3900000000000013E-2"/>
  </r>
  <r>
    <n v="208"/>
    <x v="8"/>
    <n v="1"/>
    <n v="22"/>
    <b v="0"/>
    <n v="0"/>
    <n v="1"/>
    <n v="0.14000000000000001"/>
    <n v="0.1212"/>
    <n v="0.46"/>
    <n v="0.29849999999999999"/>
    <n v="5"/>
    <n v="10"/>
    <n v="15"/>
    <s v="Spring"/>
    <s v="Sunday"/>
    <s v="Clear"/>
    <s v="Night"/>
    <x v="4"/>
    <x v="1"/>
    <x v="1"/>
    <x v="0"/>
    <s v="Mostly Registered"/>
    <n v="33.333333333333329"/>
    <n v="66.666666666666657"/>
    <x v="0"/>
    <x v="0"/>
    <s v="Yes"/>
    <n v="-1.8800000000000011E-2"/>
  </r>
  <r>
    <n v="209"/>
    <x v="8"/>
    <n v="1"/>
    <n v="23"/>
    <b v="0"/>
    <n v="0"/>
    <n v="1"/>
    <n v="0.12"/>
    <n v="0.13639999999999999"/>
    <n v="0.5"/>
    <n v="0.19400000000000001"/>
    <n v="0"/>
    <n v="6"/>
    <n v="6"/>
    <s v="Spring"/>
    <s v="Sunday"/>
    <s v="Clear"/>
    <s v="Night"/>
    <x v="4"/>
    <x v="1"/>
    <x v="1"/>
    <x v="0"/>
    <s v="Mostly Registered"/>
    <n v="0"/>
    <n v="100"/>
    <x v="0"/>
    <x v="0"/>
    <s v="Yes"/>
    <n v="1.6400000000000001E-2"/>
  </r>
  <r>
    <n v="210"/>
    <x v="9"/>
    <n v="1"/>
    <n v="0"/>
    <b v="0"/>
    <n v="1"/>
    <n v="1"/>
    <n v="0.12"/>
    <n v="0.1212"/>
    <n v="0.5"/>
    <n v="0.28360000000000002"/>
    <n v="2"/>
    <n v="3"/>
    <n v="5"/>
    <s v="Spring"/>
    <s v="Monday"/>
    <s v="Clear"/>
    <s v="Night"/>
    <x v="4"/>
    <x v="1"/>
    <x v="1"/>
    <x v="0"/>
    <s v="Mostly Registered"/>
    <n v="40"/>
    <n v="60"/>
    <x v="0"/>
    <x v="0"/>
    <s v="No"/>
    <n v="1.2000000000000071E-3"/>
  </r>
  <r>
    <n v="211"/>
    <x v="9"/>
    <n v="1"/>
    <n v="1"/>
    <b v="0"/>
    <n v="1"/>
    <n v="1"/>
    <n v="0.12"/>
    <n v="0.1212"/>
    <n v="0.5"/>
    <n v="0.28360000000000002"/>
    <n v="1"/>
    <n v="0"/>
    <n v="1"/>
    <s v="Spring"/>
    <s v="Monday"/>
    <s v="Clear"/>
    <s v="Night"/>
    <x v="4"/>
    <x v="1"/>
    <x v="1"/>
    <x v="0"/>
    <s v="Mostly Casual"/>
    <n v="100"/>
    <n v="0"/>
    <x v="0"/>
    <x v="0"/>
    <s v="No"/>
    <n v="1.2000000000000071E-3"/>
  </r>
  <r>
    <n v="212"/>
    <x v="9"/>
    <n v="1"/>
    <n v="2"/>
    <b v="0"/>
    <n v="1"/>
    <n v="1"/>
    <n v="0.12"/>
    <n v="0.1212"/>
    <n v="0.5"/>
    <n v="0.22389999999999999"/>
    <n v="0"/>
    <n v="3"/>
    <n v="3"/>
    <s v="Spring"/>
    <s v="Monday"/>
    <s v="Clear"/>
    <s v="Night"/>
    <x v="4"/>
    <x v="1"/>
    <x v="1"/>
    <x v="0"/>
    <s v="Mostly Registered"/>
    <n v="0"/>
    <n v="100"/>
    <x v="0"/>
    <x v="0"/>
    <s v="No"/>
    <n v="1.2000000000000071E-3"/>
  </r>
  <r>
    <n v="213"/>
    <x v="9"/>
    <n v="1"/>
    <n v="3"/>
    <b v="0"/>
    <n v="1"/>
    <n v="1"/>
    <n v="0.12"/>
    <n v="0.1212"/>
    <n v="0.5"/>
    <n v="0.22389999999999999"/>
    <n v="0"/>
    <n v="1"/>
    <n v="1"/>
    <s v="Spring"/>
    <s v="Monday"/>
    <s v="Clear"/>
    <s v="Night"/>
    <x v="4"/>
    <x v="1"/>
    <x v="1"/>
    <x v="0"/>
    <s v="Mostly Registered"/>
    <n v="0"/>
    <n v="100"/>
    <x v="0"/>
    <x v="0"/>
    <s v="No"/>
    <n v="1.2000000000000071E-3"/>
  </r>
  <r>
    <n v="214"/>
    <x v="9"/>
    <n v="1"/>
    <n v="4"/>
    <b v="0"/>
    <n v="1"/>
    <n v="1"/>
    <n v="0.1"/>
    <n v="0.1212"/>
    <n v="0.54"/>
    <n v="0.1343"/>
    <n v="1"/>
    <n v="2"/>
    <n v="3"/>
    <s v="Spring"/>
    <s v="Monday"/>
    <s v="Clear"/>
    <s v="Night"/>
    <x v="4"/>
    <x v="1"/>
    <x v="0"/>
    <x v="0"/>
    <s v="Mostly Registered"/>
    <n v="33.333333333333329"/>
    <n v="66.666666666666657"/>
    <x v="0"/>
    <x v="0"/>
    <s v="No"/>
    <n v="2.12E-2"/>
  </r>
  <r>
    <n v="215"/>
    <x v="9"/>
    <n v="1"/>
    <n v="5"/>
    <b v="0"/>
    <n v="1"/>
    <n v="1"/>
    <n v="0.1"/>
    <n v="0.1061"/>
    <n v="0.54"/>
    <n v="0.25369999999999998"/>
    <n v="0"/>
    <n v="3"/>
    <n v="3"/>
    <s v="Spring"/>
    <s v="Monday"/>
    <s v="Clear"/>
    <s v="Night"/>
    <x v="4"/>
    <x v="1"/>
    <x v="1"/>
    <x v="0"/>
    <s v="Mostly Registered"/>
    <n v="0"/>
    <n v="100"/>
    <x v="0"/>
    <x v="0"/>
    <s v="No"/>
    <n v="6.0999999999999943E-3"/>
  </r>
  <r>
    <n v="216"/>
    <x v="9"/>
    <n v="1"/>
    <n v="6"/>
    <b v="0"/>
    <n v="1"/>
    <n v="1"/>
    <n v="0.12"/>
    <n v="0.1212"/>
    <n v="0.5"/>
    <n v="0.28360000000000002"/>
    <n v="0"/>
    <n v="31"/>
    <n v="31"/>
    <s v="Spring"/>
    <s v="Monday"/>
    <s v="Clear"/>
    <s v="Morning"/>
    <x v="4"/>
    <x v="1"/>
    <x v="1"/>
    <x v="0"/>
    <s v="Mostly Registered"/>
    <n v="0"/>
    <n v="100"/>
    <x v="0"/>
    <x v="0"/>
    <s v="No"/>
    <n v="1.2000000000000071E-3"/>
  </r>
  <r>
    <n v="217"/>
    <x v="9"/>
    <n v="1"/>
    <n v="7"/>
    <b v="0"/>
    <n v="1"/>
    <n v="1"/>
    <n v="0.12"/>
    <n v="0.1212"/>
    <n v="0.5"/>
    <n v="0.22389999999999999"/>
    <n v="2"/>
    <n v="75"/>
    <n v="77"/>
    <s v="Spring"/>
    <s v="Monday"/>
    <s v="Clear"/>
    <s v="Morning"/>
    <x v="4"/>
    <x v="1"/>
    <x v="1"/>
    <x v="0"/>
    <s v="Mostly Registered"/>
    <n v="2.5974025974025969"/>
    <n v="97.402597402597408"/>
    <x v="1"/>
    <x v="0"/>
    <s v="No"/>
    <n v="1.2000000000000071E-3"/>
  </r>
  <r>
    <n v="218"/>
    <x v="9"/>
    <n v="1"/>
    <n v="8"/>
    <b v="0"/>
    <n v="1"/>
    <n v="2"/>
    <n v="0.12"/>
    <n v="0.1212"/>
    <n v="0.5"/>
    <n v="0.28360000000000002"/>
    <n v="4"/>
    <n v="184"/>
    <n v="188"/>
    <s v="Spring"/>
    <s v="Monday"/>
    <s v="Mist/Cloudy"/>
    <s v="Morning"/>
    <x v="4"/>
    <x v="1"/>
    <x v="1"/>
    <x v="0"/>
    <s v="Mostly Registered"/>
    <n v="2.1276595744680851"/>
    <n v="97.872340425531917"/>
    <x v="1"/>
    <x v="1"/>
    <s v="No"/>
    <n v="1.2000000000000071E-3"/>
  </r>
  <r>
    <n v="219"/>
    <x v="9"/>
    <n v="1"/>
    <n v="9"/>
    <b v="0"/>
    <n v="1"/>
    <n v="2"/>
    <n v="0.14000000000000001"/>
    <n v="0.1212"/>
    <n v="0.5"/>
    <n v="0.25369999999999998"/>
    <n v="2"/>
    <n v="92"/>
    <n v="94"/>
    <s v="Spring"/>
    <s v="Monday"/>
    <s v="Mist/Cloudy"/>
    <s v="Morning"/>
    <x v="4"/>
    <x v="1"/>
    <x v="1"/>
    <x v="0"/>
    <s v="Mostly Registered"/>
    <n v="2.1276595744680851"/>
    <n v="97.872340425531917"/>
    <x v="1"/>
    <x v="0"/>
    <s v="No"/>
    <n v="-1.8800000000000011E-2"/>
  </r>
  <r>
    <n v="220"/>
    <x v="9"/>
    <n v="1"/>
    <n v="10"/>
    <b v="0"/>
    <n v="1"/>
    <n v="2"/>
    <n v="0.14000000000000001"/>
    <n v="0.1212"/>
    <n v="0.5"/>
    <n v="0.29849999999999999"/>
    <n v="0"/>
    <n v="31"/>
    <n v="31"/>
    <s v="Spring"/>
    <s v="Monday"/>
    <s v="Mist/Cloudy"/>
    <s v="Morning"/>
    <x v="4"/>
    <x v="1"/>
    <x v="1"/>
    <x v="0"/>
    <s v="Mostly Registered"/>
    <n v="0"/>
    <n v="100"/>
    <x v="0"/>
    <x v="0"/>
    <s v="No"/>
    <n v="-1.8800000000000011E-2"/>
  </r>
  <r>
    <n v="221"/>
    <x v="9"/>
    <n v="1"/>
    <n v="11"/>
    <b v="0"/>
    <n v="1"/>
    <n v="2"/>
    <n v="0.16"/>
    <n v="0.13639999999999999"/>
    <n v="0.47"/>
    <n v="0.28360000000000002"/>
    <n v="2"/>
    <n v="28"/>
    <n v="30"/>
    <s v="Spring"/>
    <s v="Monday"/>
    <s v="Mist/Cloudy"/>
    <s v="Morning"/>
    <x v="0"/>
    <x v="1"/>
    <x v="1"/>
    <x v="0"/>
    <s v="Mostly Registered"/>
    <n v="6.666666666666667"/>
    <n v="93.333333333333329"/>
    <x v="0"/>
    <x v="0"/>
    <s v="No"/>
    <n v="-2.360000000000001E-2"/>
  </r>
  <r>
    <n v="222"/>
    <x v="9"/>
    <n v="1"/>
    <n v="12"/>
    <b v="0"/>
    <n v="1"/>
    <n v="2"/>
    <n v="0.2"/>
    <n v="0.18179999999999999"/>
    <n v="0.4"/>
    <n v="0.28360000000000002"/>
    <n v="5"/>
    <n v="47"/>
    <n v="52"/>
    <s v="Spring"/>
    <s v="Monday"/>
    <s v="Mist/Cloudy"/>
    <s v="Afternoon"/>
    <x v="0"/>
    <x v="1"/>
    <x v="1"/>
    <x v="0"/>
    <s v="Mostly Registered"/>
    <n v="9.6153846153846168"/>
    <n v="90.384615384615387"/>
    <x v="0"/>
    <x v="0"/>
    <s v="No"/>
    <n v="-1.8200000000000022E-2"/>
  </r>
  <r>
    <n v="223"/>
    <x v="9"/>
    <n v="1"/>
    <n v="13"/>
    <b v="0"/>
    <n v="1"/>
    <n v="2"/>
    <n v="0.2"/>
    <n v="0.18179999999999999"/>
    <n v="0.4"/>
    <n v="0.28360000000000002"/>
    <n v="4"/>
    <n v="50"/>
    <n v="54"/>
    <s v="Spring"/>
    <s v="Monday"/>
    <s v="Mist/Cloudy"/>
    <s v="Afternoon"/>
    <x v="0"/>
    <x v="1"/>
    <x v="1"/>
    <x v="0"/>
    <s v="Mostly Registered"/>
    <n v="7.4074074074074074"/>
    <n v="92.592592592592595"/>
    <x v="0"/>
    <x v="0"/>
    <s v="No"/>
    <n v="-1.8200000000000022E-2"/>
  </r>
  <r>
    <n v="224"/>
    <x v="9"/>
    <n v="1"/>
    <n v="14"/>
    <b v="0"/>
    <n v="1"/>
    <n v="2"/>
    <n v="0.2"/>
    <n v="0.19700000000000001"/>
    <n v="0.4"/>
    <n v="0.22389999999999999"/>
    <n v="0"/>
    <n v="47"/>
    <n v="47"/>
    <s v="Spring"/>
    <s v="Monday"/>
    <s v="Mist/Cloudy"/>
    <s v="Afternoon"/>
    <x v="0"/>
    <x v="1"/>
    <x v="1"/>
    <x v="0"/>
    <s v="Mostly Registered"/>
    <n v="0"/>
    <n v="100"/>
    <x v="0"/>
    <x v="0"/>
    <s v="No"/>
    <n v="-3.0000000000000031E-3"/>
  </r>
  <r>
    <n v="225"/>
    <x v="9"/>
    <n v="1"/>
    <n v="15"/>
    <b v="0"/>
    <n v="1"/>
    <n v="2"/>
    <n v="0.2"/>
    <n v="0.19700000000000001"/>
    <n v="0.4"/>
    <n v="0.22389999999999999"/>
    <n v="2"/>
    <n v="43"/>
    <n v="45"/>
    <s v="Spring"/>
    <s v="Monday"/>
    <s v="Mist/Cloudy"/>
    <s v="Afternoon"/>
    <x v="0"/>
    <x v="1"/>
    <x v="1"/>
    <x v="0"/>
    <s v="Mostly Registered"/>
    <n v="4.4444444444444446"/>
    <n v="95.555555555555557"/>
    <x v="0"/>
    <x v="0"/>
    <s v="No"/>
    <n v="-3.0000000000000031E-3"/>
  </r>
  <r>
    <n v="226"/>
    <x v="9"/>
    <n v="1"/>
    <n v="16"/>
    <b v="0"/>
    <n v="1"/>
    <n v="1"/>
    <n v="0.2"/>
    <n v="0.21210000000000001"/>
    <n v="0.4"/>
    <n v="0.1343"/>
    <n v="4"/>
    <n v="70"/>
    <n v="74"/>
    <s v="Spring"/>
    <s v="Monday"/>
    <s v="Clear"/>
    <s v="Afternoon"/>
    <x v="0"/>
    <x v="1"/>
    <x v="0"/>
    <x v="0"/>
    <s v="Mostly Registered"/>
    <n v="5.4054054054054053"/>
    <n v="94.594594594594597"/>
    <x v="0"/>
    <x v="0"/>
    <s v="No"/>
    <n v="1.21E-2"/>
  </r>
  <r>
    <n v="227"/>
    <x v="9"/>
    <n v="1"/>
    <n v="17"/>
    <b v="0"/>
    <n v="1"/>
    <n v="1"/>
    <n v="0.2"/>
    <n v="0.2273"/>
    <n v="0.4"/>
    <n v="0.1045"/>
    <n v="4"/>
    <n v="174"/>
    <n v="178"/>
    <s v="Spring"/>
    <s v="Monday"/>
    <s v="Clear"/>
    <s v="Evening"/>
    <x v="0"/>
    <x v="1"/>
    <x v="0"/>
    <x v="0"/>
    <s v="Mostly Registered"/>
    <n v="2.2471910112359552"/>
    <n v="97.752808988764045"/>
    <x v="1"/>
    <x v="1"/>
    <s v="No"/>
    <n v="2.7299999999999991E-2"/>
  </r>
  <r>
    <n v="228"/>
    <x v="9"/>
    <n v="1"/>
    <n v="18"/>
    <b v="0"/>
    <n v="1"/>
    <n v="1"/>
    <n v="0.2"/>
    <n v="0.19700000000000001"/>
    <n v="0.4"/>
    <n v="0.22389999999999999"/>
    <n v="1"/>
    <n v="154"/>
    <n v="155"/>
    <s v="Spring"/>
    <s v="Monday"/>
    <s v="Clear"/>
    <s v="Evening"/>
    <x v="0"/>
    <x v="1"/>
    <x v="1"/>
    <x v="0"/>
    <s v="Mostly Registered"/>
    <n v="0.64516129032258063"/>
    <n v="99.354838709677423"/>
    <x v="1"/>
    <x v="1"/>
    <s v="No"/>
    <n v="-3.0000000000000031E-3"/>
  </r>
  <r>
    <n v="229"/>
    <x v="9"/>
    <n v="1"/>
    <n v="19"/>
    <b v="0"/>
    <n v="1"/>
    <n v="1"/>
    <n v="0.16"/>
    <n v="0.16669999999999999"/>
    <n v="0.47"/>
    <n v="0.16420000000000001"/>
    <n v="3"/>
    <n v="92"/>
    <n v="95"/>
    <s v="Spring"/>
    <s v="Monday"/>
    <s v="Clear"/>
    <s v="Evening"/>
    <x v="0"/>
    <x v="1"/>
    <x v="1"/>
    <x v="0"/>
    <s v="Mostly Registered"/>
    <n v="3.1578947368421049"/>
    <n v="96.84210526315789"/>
    <x v="1"/>
    <x v="0"/>
    <s v="No"/>
    <n v="6.6999999999999837E-3"/>
  </r>
  <r>
    <n v="230"/>
    <x v="9"/>
    <n v="1"/>
    <n v="20"/>
    <b v="0"/>
    <n v="1"/>
    <n v="1"/>
    <n v="0.16"/>
    <n v="0.16669999999999999"/>
    <n v="0.5"/>
    <n v="0.16420000000000001"/>
    <n v="1"/>
    <n v="73"/>
    <n v="74"/>
    <s v="Spring"/>
    <s v="Monday"/>
    <s v="Clear"/>
    <s v="Evening"/>
    <x v="0"/>
    <x v="1"/>
    <x v="1"/>
    <x v="0"/>
    <s v="Mostly Registered"/>
    <n v="1.3513513513513511"/>
    <n v="98.648648648648646"/>
    <x v="0"/>
    <x v="0"/>
    <s v="No"/>
    <n v="6.6999999999999837E-3"/>
  </r>
  <r>
    <n v="231"/>
    <x v="9"/>
    <n v="1"/>
    <n v="21"/>
    <b v="0"/>
    <n v="1"/>
    <n v="1"/>
    <n v="0.14000000000000001"/>
    <n v="0.13639999999999999"/>
    <n v="0.59"/>
    <n v="0.19400000000000001"/>
    <n v="1"/>
    <n v="37"/>
    <n v="38"/>
    <s v="Spring"/>
    <s v="Monday"/>
    <s v="Clear"/>
    <s v="Night"/>
    <x v="4"/>
    <x v="1"/>
    <x v="1"/>
    <x v="0"/>
    <s v="Mostly Registered"/>
    <n v="2.6315789473684208"/>
    <n v="97.368421052631575"/>
    <x v="0"/>
    <x v="0"/>
    <s v="No"/>
    <n v="-3.6000000000000199E-3"/>
  </r>
  <r>
    <n v="232"/>
    <x v="9"/>
    <n v="1"/>
    <n v="22"/>
    <b v="0"/>
    <n v="1"/>
    <n v="1"/>
    <n v="0.14000000000000001"/>
    <n v="0.1515"/>
    <n v="0.59"/>
    <n v="0.16420000000000001"/>
    <n v="2"/>
    <n v="22"/>
    <n v="24"/>
    <s v="Spring"/>
    <s v="Monday"/>
    <s v="Clear"/>
    <s v="Night"/>
    <x v="4"/>
    <x v="1"/>
    <x v="1"/>
    <x v="0"/>
    <s v="Mostly Registered"/>
    <n v="8.3333333333333321"/>
    <n v="91.666666666666657"/>
    <x v="0"/>
    <x v="0"/>
    <s v="No"/>
    <n v="1.1499999999999981E-2"/>
  </r>
  <r>
    <n v="233"/>
    <x v="9"/>
    <n v="1"/>
    <n v="23"/>
    <b v="0"/>
    <n v="1"/>
    <n v="1"/>
    <n v="0.14000000000000001"/>
    <n v="0.1515"/>
    <n v="0.59"/>
    <n v="0.16420000000000001"/>
    <n v="0"/>
    <n v="18"/>
    <n v="18"/>
    <s v="Spring"/>
    <s v="Monday"/>
    <s v="Clear"/>
    <s v="Night"/>
    <x v="4"/>
    <x v="1"/>
    <x v="1"/>
    <x v="0"/>
    <s v="Mostly Registered"/>
    <n v="0"/>
    <n v="100"/>
    <x v="0"/>
    <x v="0"/>
    <s v="No"/>
    <n v="1.1499999999999981E-2"/>
  </r>
  <r>
    <n v="234"/>
    <x v="10"/>
    <n v="1"/>
    <n v="0"/>
    <b v="0"/>
    <n v="2"/>
    <n v="1"/>
    <n v="0.14000000000000001"/>
    <n v="0.16669999999999999"/>
    <n v="0.59"/>
    <n v="0.1045"/>
    <n v="2"/>
    <n v="10"/>
    <n v="12"/>
    <s v="Spring"/>
    <s v="Tuesday"/>
    <s v="Clear"/>
    <s v="Night"/>
    <x v="4"/>
    <x v="1"/>
    <x v="0"/>
    <x v="0"/>
    <s v="Mostly Registered"/>
    <n v="16.666666666666661"/>
    <n v="83.333333333333343"/>
    <x v="0"/>
    <x v="0"/>
    <s v="No"/>
    <n v="2.669999999999997E-2"/>
  </r>
  <r>
    <n v="235"/>
    <x v="10"/>
    <n v="1"/>
    <n v="1"/>
    <b v="0"/>
    <n v="2"/>
    <n v="1"/>
    <n v="0.14000000000000001"/>
    <n v="0.1515"/>
    <n v="0.59"/>
    <n v="0.16420000000000001"/>
    <n v="0"/>
    <n v="3"/>
    <n v="3"/>
    <s v="Spring"/>
    <s v="Tuesday"/>
    <s v="Clear"/>
    <s v="Night"/>
    <x v="4"/>
    <x v="1"/>
    <x v="1"/>
    <x v="0"/>
    <s v="Mostly Registered"/>
    <n v="0"/>
    <n v="100"/>
    <x v="0"/>
    <x v="0"/>
    <s v="No"/>
    <n v="1.1499999999999981E-2"/>
  </r>
  <r>
    <n v="236"/>
    <x v="10"/>
    <n v="1"/>
    <n v="2"/>
    <b v="0"/>
    <n v="2"/>
    <n v="2"/>
    <n v="0.16"/>
    <n v="0.1515"/>
    <n v="0.55000000000000004"/>
    <n v="0.19400000000000001"/>
    <n v="0"/>
    <n v="3"/>
    <n v="3"/>
    <s v="Spring"/>
    <s v="Tuesday"/>
    <s v="Mist/Cloudy"/>
    <s v="Night"/>
    <x v="0"/>
    <x v="1"/>
    <x v="1"/>
    <x v="0"/>
    <s v="Mostly Registered"/>
    <n v="0"/>
    <n v="100"/>
    <x v="0"/>
    <x v="0"/>
    <s v="No"/>
    <n v="-8.5000000000000075E-3"/>
  </r>
  <r>
    <n v="237"/>
    <x v="10"/>
    <n v="1"/>
    <n v="5"/>
    <b v="0"/>
    <n v="2"/>
    <n v="2"/>
    <n v="0.16"/>
    <n v="0.18179999999999999"/>
    <n v="0.55000000000000004"/>
    <n v="0.1343"/>
    <n v="0"/>
    <n v="6"/>
    <n v="6"/>
    <s v="Spring"/>
    <s v="Tuesday"/>
    <s v="Mist/Cloudy"/>
    <s v="Night"/>
    <x v="0"/>
    <x v="1"/>
    <x v="0"/>
    <x v="0"/>
    <s v="Mostly Registered"/>
    <n v="0"/>
    <n v="100"/>
    <x v="0"/>
    <x v="0"/>
    <s v="No"/>
    <n v="2.179999999999999E-2"/>
  </r>
  <r>
    <n v="238"/>
    <x v="10"/>
    <n v="1"/>
    <n v="6"/>
    <b v="0"/>
    <n v="2"/>
    <n v="2"/>
    <n v="0.16"/>
    <n v="0.18179999999999999"/>
    <n v="0.55000000000000004"/>
    <n v="0.1343"/>
    <n v="0"/>
    <n v="27"/>
    <n v="27"/>
    <s v="Spring"/>
    <s v="Tuesday"/>
    <s v="Mist/Cloudy"/>
    <s v="Morning"/>
    <x v="0"/>
    <x v="1"/>
    <x v="0"/>
    <x v="0"/>
    <s v="Mostly Registered"/>
    <n v="0"/>
    <n v="100"/>
    <x v="0"/>
    <x v="0"/>
    <s v="No"/>
    <n v="2.179999999999999E-2"/>
  </r>
  <r>
    <n v="239"/>
    <x v="10"/>
    <n v="1"/>
    <n v="7"/>
    <b v="0"/>
    <n v="2"/>
    <n v="2"/>
    <n v="0.16"/>
    <n v="0.2273"/>
    <n v="0.55000000000000004"/>
    <n v="0"/>
    <n v="2"/>
    <n v="97"/>
    <n v="99"/>
    <s v="Spring"/>
    <s v="Tuesday"/>
    <s v="Mist/Cloudy"/>
    <s v="Morning"/>
    <x v="0"/>
    <x v="1"/>
    <x v="0"/>
    <x v="0"/>
    <s v="Mostly Registered"/>
    <n v="2.0202020202020199"/>
    <n v="97.979797979797979"/>
    <x v="1"/>
    <x v="0"/>
    <s v="No"/>
    <n v="6.7299999999999999E-2"/>
  </r>
  <r>
    <n v="240"/>
    <x v="10"/>
    <n v="1"/>
    <n v="8"/>
    <b v="0"/>
    <n v="2"/>
    <n v="2"/>
    <n v="0.18"/>
    <n v="0.21210000000000001"/>
    <n v="0.51"/>
    <n v="8.9599999999999999E-2"/>
    <n v="3"/>
    <n v="214"/>
    <n v="217"/>
    <s v="Spring"/>
    <s v="Tuesday"/>
    <s v="Mist/Cloudy"/>
    <s v="Morning"/>
    <x v="0"/>
    <x v="1"/>
    <x v="0"/>
    <x v="0"/>
    <s v="Mostly Registered"/>
    <n v="1.382488479262673"/>
    <n v="98.617511520737324"/>
    <x v="1"/>
    <x v="1"/>
    <s v="No"/>
    <n v="3.2100000000000017E-2"/>
  </r>
  <r>
    <n v="241"/>
    <x v="10"/>
    <n v="1"/>
    <n v="9"/>
    <b v="0"/>
    <n v="2"/>
    <n v="2"/>
    <n v="0.18"/>
    <n v="0.19700000000000001"/>
    <n v="0.51"/>
    <n v="0.16420000000000001"/>
    <n v="3"/>
    <n v="127"/>
    <n v="130"/>
    <s v="Spring"/>
    <s v="Tuesday"/>
    <s v="Mist/Cloudy"/>
    <s v="Morning"/>
    <x v="0"/>
    <x v="1"/>
    <x v="1"/>
    <x v="0"/>
    <s v="Mostly Registered"/>
    <n v="2.3076923076923079"/>
    <n v="97.692307692307693"/>
    <x v="1"/>
    <x v="1"/>
    <s v="No"/>
    <n v="1.7000000000000019E-2"/>
  </r>
  <r>
    <n v="242"/>
    <x v="10"/>
    <n v="1"/>
    <n v="10"/>
    <b v="0"/>
    <n v="2"/>
    <n v="2"/>
    <n v="0.2"/>
    <n v="0.21210000000000001"/>
    <n v="0.51"/>
    <n v="0.16420000000000001"/>
    <n v="3"/>
    <n v="51"/>
    <n v="54"/>
    <s v="Spring"/>
    <s v="Tuesday"/>
    <s v="Mist/Cloudy"/>
    <s v="Morning"/>
    <x v="0"/>
    <x v="1"/>
    <x v="1"/>
    <x v="0"/>
    <s v="Mostly Registered"/>
    <n v="5.5555555555555554"/>
    <n v="94.444444444444443"/>
    <x v="0"/>
    <x v="0"/>
    <s v="No"/>
    <n v="1.21E-2"/>
  </r>
  <r>
    <n v="243"/>
    <x v="10"/>
    <n v="1"/>
    <n v="11"/>
    <b v="0"/>
    <n v="2"/>
    <n v="2"/>
    <n v="0.2"/>
    <n v="0.21210000000000001"/>
    <n v="0.47"/>
    <n v="0.1343"/>
    <n v="4"/>
    <n v="31"/>
    <n v="35"/>
    <s v="Spring"/>
    <s v="Tuesday"/>
    <s v="Mist/Cloudy"/>
    <s v="Morning"/>
    <x v="0"/>
    <x v="1"/>
    <x v="0"/>
    <x v="0"/>
    <s v="Mostly Registered"/>
    <n v="11.428571428571431"/>
    <n v="88.571428571428569"/>
    <x v="0"/>
    <x v="0"/>
    <s v="No"/>
    <n v="1.21E-2"/>
  </r>
  <r>
    <n v="244"/>
    <x v="10"/>
    <n v="1"/>
    <n v="12"/>
    <b v="0"/>
    <n v="2"/>
    <n v="2"/>
    <n v="0.2"/>
    <n v="0.2273"/>
    <n v="0.51"/>
    <n v="0.1045"/>
    <n v="2"/>
    <n v="55"/>
    <n v="57"/>
    <s v="Spring"/>
    <s v="Tuesday"/>
    <s v="Mist/Cloudy"/>
    <s v="Afternoon"/>
    <x v="0"/>
    <x v="1"/>
    <x v="0"/>
    <x v="0"/>
    <s v="Mostly Registered"/>
    <n v="3.5087719298245612"/>
    <n v="96.491228070175438"/>
    <x v="0"/>
    <x v="0"/>
    <s v="No"/>
    <n v="2.7299999999999991E-2"/>
  </r>
  <r>
    <n v="245"/>
    <x v="10"/>
    <n v="1"/>
    <n v="13"/>
    <b v="0"/>
    <n v="2"/>
    <n v="2"/>
    <n v="0.2"/>
    <n v="0.2273"/>
    <n v="0.59"/>
    <n v="8.9599999999999999E-2"/>
    <n v="6"/>
    <n v="46"/>
    <n v="52"/>
    <s v="Spring"/>
    <s v="Tuesday"/>
    <s v="Mist/Cloudy"/>
    <s v="Afternoon"/>
    <x v="0"/>
    <x v="1"/>
    <x v="0"/>
    <x v="0"/>
    <s v="Mostly Registered"/>
    <n v="11.53846153846154"/>
    <n v="88.461538461538453"/>
    <x v="0"/>
    <x v="0"/>
    <s v="No"/>
    <n v="2.7299999999999991E-2"/>
  </r>
  <r>
    <n v="246"/>
    <x v="10"/>
    <n v="1"/>
    <n v="14"/>
    <b v="0"/>
    <n v="2"/>
    <n v="2"/>
    <n v="0.2"/>
    <n v="0.2273"/>
    <n v="0.59"/>
    <n v="8.9599999999999999E-2"/>
    <n v="3"/>
    <n v="60"/>
    <n v="63"/>
    <s v="Spring"/>
    <s v="Tuesday"/>
    <s v="Mist/Cloudy"/>
    <s v="Afternoon"/>
    <x v="0"/>
    <x v="1"/>
    <x v="0"/>
    <x v="0"/>
    <s v="Mostly Registered"/>
    <n v="4.7619047619047619"/>
    <n v="95.238095238095227"/>
    <x v="0"/>
    <x v="0"/>
    <s v="No"/>
    <n v="2.7299999999999991E-2"/>
  </r>
  <r>
    <n v="247"/>
    <x v="10"/>
    <n v="1"/>
    <n v="15"/>
    <b v="0"/>
    <n v="2"/>
    <n v="2"/>
    <n v="0.16"/>
    <n v="0.19700000000000001"/>
    <n v="0.8"/>
    <n v="8.9599999999999999E-2"/>
    <n v="2"/>
    <n v="45"/>
    <n v="47"/>
    <s v="Spring"/>
    <s v="Tuesday"/>
    <s v="Mist/Cloudy"/>
    <s v="Afternoon"/>
    <x v="0"/>
    <x v="0"/>
    <x v="0"/>
    <x v="0"/>
    <s v="Mostly Registered"/>
    <n v="4.2553191489361701"/>
    <n v="95.744680851063833"/>
    <x v="0"/>
    <x v="0"/>
    <s v="No"/>
    <n v="3.7000000000000012E-2"/>
  </r>
  <r>
    <n v="248"/>
    <x v="10"/>
    <n v="1"/>
    <n v="16"/>
    <b v="0"/>
    <n v="2"/>
    <n v="2"/>
    <n v="0.16"/>
    <n v="0.1515"/>
    <n v="0.86"/>
    <n v="0.22389999999999999"/>
    <n v="4"/>
    <n v="72"/>
    <n v="76"/>
    <s v="Spring"/>
    <s v="Tuesday"/>
    <s v="Mist/Cloudy"/>
    <s v="Afternoon"/>
    <x v="0"/>
    <x v="0"/>
    <x v="1"/>
    <x v="0"/>
    <s v="Mostly Registered"/>
    <n v="5.2631578947368416"/>
    <n v="94.73684210526315"/>
    <x v="0"/>
    <x v="0"/>
    <s v="No"/>
    <n v="-8.5000000000000075E-3"/>
  </r>
  <r>
    <n v="249"/>
    <x v="10"/>
    <n v="1"/>
    <n v="17"/>
    <b v="0"/>
    <n v="2"/>
    <n v="2"/>
    <n v="0.16"/>
    <n v="0.1515"/>
    <n v="0.86"/>
    <n v="0.22389999999999999"/>
    <n v="6"/>
    <n v="130"/>
    <n v="136"/>
    <s v="Spring"/>
    <s v="Tuesday"/>
    <s v="Mist/Cloudy"/>
    <s v="Evening"/>
    <x v="0"/>
    <x v="0"/>
    <x v="1"/>
    <x v="0"/>
    <s v="Mostly Registered"/>
    <n v="4.4117647058823533"/>
    <n v="95.588235294117652"/>
    <x v="1"/>
    <x v="1"/>
    <s v="No"/>
    <n v="-8.5000000000000075E-3"/>
  </r>
  <r>
    <n v="250"/>
    <x v="10"/>
    <n v="1"/>
    <n v="18"/>
    <b v="0"/>
    <n v="2"/>
    <n v="3"/>
    <n v="0.16"/>
    <n v="0.18179999999999999"/>
    <n v="0.93"/>
    <n v="0.1045"/>
    <n v="1"/>
    <n v="94"/>
    <n v="95"/>
    <s v="Spring"/>
    <s v="Tuesday"/>
    <s v="Light Rain/Snow"/>
    <s v="Evening"/>
    <x v="0"/>
    <x v="0"/>
    <x v="0"/>
    <x v="0"/>
    <s v="Mostly Registered"/>
    <n v="1.0526315789473679"/>
    <n v="98.94736842105263"/>
    <x v="1"/>
    <x v="0"/>
    <s v="No"/>
    <n v="2.179999999999999E-2"/>
  </r>
  <r>
    <n v="251"/>
    <x v="10"/>
    <n v="1"/>
    <n v="19"/>
    <b v="0"/>
    <n v="2"/>
    <n v="3"/>
    <n v="0.16"/>
    <n v="0.2273"/>
    <n v="0.93"/>
    <n v="0"/>
    <n v="0"/>
    <n v="51"/>
    <n v="51"/>
    <s v="Spring"/>
    <s v="Tuesday"/>
    <s v="Light Rain/Snow"/>
    <s v="Evening"/>
    <x v="0"/>
    <x v="0"/>
    <x v="0"/>
    <x v="0"/>
    <s v="Mostly Registered"/>
    <n v="0"/>
    <n v="100"/>
    <x v="1"/>
    <x v="0"/>
    <s v="No"/>
    <n v="6.7299999999999999E-2"/>
  </r>
  <r>
    <n v="252"/>
    <x v="10"/>
    <n v="1"/>
    <n v="20"/>
    <b v="0"/>
    <n v="2"/>
    <n v="3"/>
    <n v="0.16"/>
    <n v="0.1515"/>
    <n v="0.93"/>
    <n v="0.19400000000000001"/>
    <n v="0"/>
    <n v="32"/>
    <n v="32"/>
    <s v="Spring"/>
    <s v="Tuesday"/>
    <s v="Light Rain/Snow"/>
    <s v="Evening"/>
    <x v="0"/>
    <x v="0"/>
    <x v="1"/>
    <x v="0"/>
    <s v="Mostly Registered"/>
    <n v="0"/>
    <n v="100"/>
    <x v="0"/>
    <x v="0"/>
    <s v="No"/>
    <n v="-8.5000000000000075E-3"/>
  </r>
  <r>
    <n v="253"/>
    <x v="10"/>
    <n v="1"/>
    <n v="21"/>
    <b v="0"/>
    <n v="2"/>
    <n v="3"/>
    <n v="0.16"/>
    <n v="0.19700000000000001"/>
    <n v="0.86"/>
    <n v="8.9599999999999999E-2"/>
    <n v="0"/>
    <n v="20"/>
    <n v="20"/>
    <s v="Spring"/>
    <s v="Tuesday"/>
    <s v="Light Rain/Snow"/>
    <s v="Night"/>
    <x v="0"/>
    <x v="0"/>
    <x v="0"/>
    <x v="0"/>
    <s v="Mostly Registered"/>
    <n v="0"/>
    <n v="100"/>
    <x v="0"/>
    <x v="0"/>
    <s v="No"/>
    <n v="3.7000000000000012E-2"/>
  </r>
  <r>
    <n v="254"/>
    <x v="10"/>
    <n v="1"/>
    <n v="22"/>
    <b v="0"/>
    <n v="2"/>
    <n v="3"/>
    <n v="0.16"/>
    <n v="0.18179999999999999"/>
    <n v="0.93"/>
    <n v="0.1045"/>
    <n v="1"/>
    <n v="28"/>
    <n v="29"/>
    <s v="Spring"/>
    <s v="Tuesday"/>
    <s v="Light Rain/Snow"/>
    <s v="Night"/>
    <x v="0"/>
    <x v="0"/>
    <x v="0"/>
    <x v="0"/>
    <s v="Mostly Registered"/>
    <n v="3.4482758620689649"/>
    <n v="96.551724137931032"/>
    <x v="0"/>
    <x v="0"/>
    <s v="No"/>
    <n v="2.179999999999999E-2"/>
  </r>
  <r>
    <n v="255"/>
    <x v="10"/>
    <n v="1"/>
    <n v="23"/>
    <b v="0"/>
    <n v="2"/>
    <n v="3"/>
    <n v="0.16"/>
    <n v="0.19700000000000001"/>
    <n v="0.93"/>
    <n v="8.9599999999999999E-2"/>
    <n v="1"/>
    <n v="18"/>
    <n v="19"/>
    <s v="Spring"/>
    <s v="Tuesday"/>
    <s v="Light Rain/Snow"/>
    <s v="Night"/>
    <x v="0"/>
    <x v="0"/>
    <x v="0"/>
    <x v="0"/>
    <s v="Mostly Registered"/>
    <n v="5.2631578947368416"/>
    <n v="94.73684210526315"/>
    <x v="0"/>
    <x v="0"/>
    <s v="No"/>
    <n v="3.7000000000000012E-2"/>
  </r>
  <r>
    <n v="256"/>
    <x v="11"/>
    <n v="1"/>
    <n v="0"/>
    <b v="0"/>
    <n v="3"/>
    <n v="2"/>
    <n v="0.16"/>
    <n v="0.19700000000000001"/>
    <n v="0.86"/>
    <n v="8.9599999999999999E-2"/>
    <n v="0"/>
    <n v="7"/>
    <n v="7"/>
    <s v="Spring"/>
    <s v="Wednesday"/>
    <s v="Mist/Cloudy"/>
    <s v="Night"/>
    <x v="0"/>
    <x v="0"/>
    <x v="0"/>
    <x v="0"/>
    <s v="Mostly Registered"/>
    <n v="0"/>
    <n v="100"/>
    <x v="0"/>
    <x v="0"/>
    <s v="No"/>
    <n v="3.7000000000000012E-2"/>
  </r>
  <r>
    <n v="257"/>
    <x v="11"/>
    <n v="1"/>
    <n v="1"/>
    <b v="0"/>
    <n v="3"/>
    <n v="2"/>
    <n v="0.16"/>
    <n v="0.18179999999999999"/>
    <n v="0.86"/>
    <n v="0.1045"/>
    <n v="0"/>
    <n v="6"/>
    <n v="6"/>
    <s v="Spring"/>
    <s v="Wednesday"/>
    <s v="Mist/Cloudy"/>
    <s v="Night"/>
    <x v="0"/>
    <x v="0"/>
    <x v="0"/>
    <x v="0"/>
    <s v="Mostly Registered"/>
    <n v="0"/>
    <n v="100"/>
    <x v="0"/>
    <x v="0"/>
    <s v="No"/>
    <n v="2.179999999999999E-2"/>
  </r>
  <r>
    <n v="258"/>
    <x v="11"/>
    <n v="1"/>
    <n v="2"/>
    <b v="0"/>
    <n v="3"/>
    <n v="1"/>
    <n v="0.14000000000000001"/>
    <n v="0.1515"/>
    <n v="0.86"/>
    <n v="0.1343"/>
    <n v="0"/>
    <n v="1"/>
    <n v="1"/>
    <s v="Spring"/>
    <s v="Wednesday"/>
    <s v="Clear"/>
    <s v="Night"/>
    <x v="4"/>
    <x v="0"/>
    <x v="0"/>
    <x v="0"/>
    <s v="Mostly Registered"/>
    <n v="0"/>
    <n v="100"/>
    <x v="0"/>
    <x v="0"/>
    <s v="No"/>
    <n v="1.1499999999999981E-2"/>
  </r>
  <r>
    <n v="259"/>
    <x v="11"/>
    <n v="1"/>
    <n v="5"/>
    <b v="0"/>
    <n v="3"/>
    <n v="1"/>
    <n v="0.14000000000000001"/>
    <n v="0.1515"/>
    <n v="0.86"/>
    <n v="0.16420000000000001"/>
    <n v="0"/>
    <n v="5"/>
    <n v="5"/>
    <s v="Spring"/>
    <s v="Wednesday"/>
    <s v="Clear"/>
    <s v="Night"/>
    <x v="4"/>
    <x v="0"/>
    <x v="1"/>
    <x v="0"/>
    <s v="Mostly Registered"/>
    <n v="0"/>
    <n v="100"/>
    <x v="0"/>
    <x v="0"/>
    <s v="No"/>
    <n v="1.1499999999999981E-2"/>
  </r>
  <r>
    <n v="260"/>
    <x v="11"/>
    <n v="1"/>
    <n v="6"/>
    <b v="0"/>
    <n v="3"/>
    <n v="1"/>
    <n v="0.12"/>
    <n v="0.1515"/>
    <n v="0.93"/>
    <n v="0.1343"/>
    <n v="0"/>
    <n v="16"/>
    <n v="16"/>
    <s v="Spring"/>
    <s v="Wednesday"/>
    <s v="Clear"/>
    <s v="Morning"/>
    <x v="4"/>
    <x v="0"/>
    <x v="0"/>
    <x v="0"/>
    <s v="Mostly Registered"/>
    <n v="0"/>
    <n v="100"/>
    <x v="0"/>
    <x v="0"/>
    <s v="No"/>
    <n v="3.15E-2"/>
  </r>
  <r>
    <n v="261"/>
    <x v="11"/>
    <n v="1"/>
    <n v="7"/>
    <b v="0"/>
    <n v="3"/>
    <n v="1"/>
    <n v="0.14000000000000001"/>
    <n v="0.1515"/>
    <n v="0.69"/>
    <n v="0.1343"/>
    <n v="0"/>
    <n v="54"/>
    <n v="54"/>
    <s v="Spring"/>
    <s v="Wednesday"/>
    <s v="Clear"/>
    <s v="Morning"/>
    <x v="4"/>
    <x v="1"/>
    <x v="0"/>
    <x v="0"/>
    <s v="Mostly Registered"/>
    <n v="0"/>
    <n v="100"/>
    <x v="1"/>
    <x v="0"/>
    <s v="No"/>
    <n v="1.1499999999999981E-2"/>
  </r>
  <r>
    <n v="262"/>
    <x v="11"/>
    <n v="1"/>
    <n v="8"/>
    <b v="0"/>
    <n v="3"/>
    <n v="1"/>
    <n v="0.16"/>
    <n v="0.16669999999999999"/>
    <n v="0.59"/>
    <n v="0.16420000000000001"/>
    <n v="3"/>
    <n v="125"/>
    <n v="128"/>
    <s v="Spring"/>
    <s v="Wednesday"/>
    <s v="Clear"/>
    <s v="Morning"/>
    <x v="0"/>
    <x v="1"/>
    <x v="1"/>
    <x v="0"/>
    <s v="Mostly Registered"/>
    <n v="2.34375"/>
    <n v="97.65625"/>
    <x v="1"/>
    <x v="1"/>
    <s v="No"/>
    <n v="6.6999999999999837E-3"/>
  </r>
  <r>
    <n v="263"/>
    <x v="11"/>
    <n v="1"/>
    <n v="9"/>
    <b v="0"/>
    <n v="3"/>
    <n v="1"/>
    <n v="0.16"/>
    <n v="0.13639999999999999"/>
    <n v="0.59"/>
    <n v="0.32840000000000003"/>
    <n v="3"/>
    <n v="78"/>
    <n v="81"/>
    <s v="Spring"/>
    <s v="Wednesday"/>
    <s v="Clear"/>
    <s v="Morning"/>
    <x v="0"/>
    <x v="1"/>
    <x v="2"/>
    <x v="0"/>
    <s v="Mostly Registered"/>
    <n v="3.7037037037037028"/>
    <n v="96.296296296296291"/>
    <x v="1"/>
    <x v="0"/>
    <s v="No"/>
    <n v="-2.360000000000001E-2"/>
  </r>
  <r>
    <n v="264"/>
    <x v="11"/>
    <n v="1"/>
    <n v="10"/>
    <b v="0"/>
    <n v="3"/>
    <n v="1"/>
    <n v="0.18"/>
    <n v="0.18179999999999999"/>
    <n v="0.55000000000000004"/>
    <n v="0.22389999999999999"/>
    <n v="0"/>
    <n v="39"/>
    <n v="39"/>
    <s v="Spring"/>
    <s v="Wednesday"/>
    <s v="Clear"/>
    <s v="Morning"/>
    <x v="0"/>
    <x v="1"/>
    <x v="1"/>
    <x v="0"/>
    <s v="Mostly Registered"/>
    <n v="0"/>
    <n v="100"/>
    <x v="0"/>
    <x v="0"/>
    <s v="No"/>
    <n v="1.799999999999996E-3"/>
  </r>
  <r>
    <n v="265"/>
    <x v="11"/>
    <n v="1"/>
    <n v="11"/>
    <b v="0"/>
    <n v="3"/>
    <n v="1"/>
    <n v="0.2"/>
    <n v="0.18179999999999999"/>
    <n v="0.51"/>
    <n v="0.3881"/>
    <n v="3"/>
    <n v="32"/>
    <n v="35"/>
    <s v="Spring"/>
    <s v="Wednesday"/>
    <s v="Clear"/>
    <s v="Morning"/>
    <x v="0"/>
    <x v="1"/>
    <x v="2"/>
    <x v="0"/>
    <s v="Mostly Registered"/>
    <n v="8.5714285714285712"/>
    <n v="91.428571428571431"/>
    <x v="0"/>
    <x v="0"/>
    <s v="No"/>
    <n v="-1.8200000000000022E-2"/>
  </r>
  <r>
    <n v="266"/>
    <x v="11"/>
    <n v="1"/>
    <n v="12"/>
    <b v="0"/>
    <n v="3"/>
    <n v="1"/>
    <n v="0.2"/>
    <n v="0.1515"/>
    <n v="0.47"/>
    <n v="0.58209999999999995"/>
    <n v="3"/>
    <n v="52"/>
    <n v="55"/>
    <s v="Spring"/>
    <s v="Wednesday"/>
    <s v="Clear"/>
    <s v="Afternoon"/>
    <x v="0"/>
    <x v="1"/>
    <x v="2"/>
    <x v="0"/>
    <s v="Mostly Registered"/>
    <n v="5.4545454545454541"/>
    <n v="94.545454545454547"/>
    <x v="0"/>
    <x v="0"/>
    <s v="No"/>
    <n v="-4.8500000000000022E-2"/>
  </r>
  <r>
    <n v="267"/>
    <x v="11"/>
    <n v="1"/>
    <n v="13"/>
    <b v="0"/>
    <n v="3"/>
    <n v="1"/>
    <n v="0.22"/>
    <n v="0.19700000000000001"/>
    <n v="0.44"/>
    <n v="0.35820000000000002"/>
    <n v="0"/>
    <n v="49"/>
    <n v="49"/>
    <s v="Spring"/>
    <s v="Wednesday"/>
    <s v="Clear"/>
    <s v="Afternoon"/>
    <x v="0"/>
    <x v="1"/>
    <x v="2"/>
    <x v="0"/>
    <s v="Mostly Registered"/>
    <n v="0"/>
    <n v="100"/>
    <x v="0"/>
    <x v="0"/>
    <s v="No"/>
    <n v="-2.2999999999999989E-2"/>
  </r>
  <r>
    <n v="268"/>
    <x v="11"/>
    <n v="1"/>
    <n v="14"/>
    <b v="0"/>
    <n v="3"/>
    <n v="1"/>
    <n v="0.2"/>
    <n v="0.18179999999999999"/>
    <n v="0.47"/>
    <n v="0.32840000000000003"/>
    <n v="0"/>
    <n v="44"/>
    <n v="44"/>
    <s v="Spring"/>
    <s v="Wednesday"/>
    <s v="Clear"/>
    <s v="Afternoon"/>
    <x v="0"/>
    <x v="1"/>
    <x v="2"/>
    <x v="0"/>
    <s v="Mostly Registered"/>
    <n v="0"/>
    <n v="100"/>
    <x v="0"/>
    <x v="0"/>
    <s v="No"/>
    <n v="-1.8200000000000022E-2"/>
  </r>
  <r>
    <n v="269"/>
    <x v="11"/>
    <n v="1"/>
    <n v="15"/>
    <b v="0"/>
    <n v="3"/>
    <n v="1"/>
    <n v="0.2"/>
    <n v="0.16669999999999999"/>
    <n v="0.47"/>
    <n v="0.41789999999999999"/>
    <n v="1"/>
    <n v="48"/>
    <n v="49"/>
    <s v="Spring"/>
    <s v="Wednesday"/>
    <s v="Clear"/>
    <s v="Afternoon"/>
    <x v="0"/>
    <x v="1"/>
    <x v="2"/>
    <x v="0"/>
    <s v="Mostly Registered"/>
    <n v="2.0408163265306118"/>
    <n v="97.959183673469383"/>
    <x v="0"/>
    <x v="0"/>
    <s v="No"/>
    <n v="-3.3300000000000017E-2"/>
  </r>
  <r>
    <n v="270"/>
    <x v="11"/>
    <n v="1"/>
    <n v="16"/>
    <b v="0"/>
    <n v="3"/>
    <n v="1"/>
    <n v="0.22"/>
    <n v="0.19700000000000001"/>
    <n v="0.44"/>
    <n v="0.32840000000000003"/>
    <n v="5"/>
    <n v="63"/>
    <n v="68"/>
    <s v="Spring"/>
    <s v="Wednesday"/>
    <s v="Clear"/>
    <s v="Afternoon"/>
    <x v="0"/>
    <x v="1"/>
    <x v="2"/>
    <x v="0"/>
    <s v="Mostly Registered"/>
    <n v="7.3529411764705888"/>
    <n v="92.64705882352942"/>
    <x v="0"/>
    <x v="0"/>
    <s v="No"/>
    <n v="-2.2999999999999989E-2"/>
  </r>
  <r>
    <n v="271"/>
    <x v="11"/>
    <n v="1"/>
    <n v="17"/>
    <b v="0"/>
    <n v="3"/>
    <n v="1"/>
    <n v="0.2"/>
    <n v="0.18179999999999999"/>
    <n v="0.47"/>
    <n v="0.35820000000000002"/>
    <n v="0"/>
    <n v="139"/>
    <n v="139"/>
    <s v="Spring"/>
    <s v="Wednesday"/>
    <s v="Clear"/>
    <s v="Evening"/>
    <x v="0"/>
    <x v="1"/>
    <x v="2"/>
    <x v="0"/>
    <s v="Mostly Registered"/>
    <n v="0"/>
    <n v="100"/>
    <x v="1"/>
    <x v="1"/>
    <s v="No"/>
    <n v="-1.8200000000000022E-2"/>
  </r>
  <r>
    <n v="272"/>
    <x v="11"/>
    <n v="1"/>
    <n v="18"/>
    <b v="0"/>
    <n v="3"/>
    <n v="1"/>
    <n v="0.2"/>
    <n v="0.1515"/>
    <n v="0.47"/>
    <n v="0.52239999999999998"/>
    <n v="2"/>
    <n v="135"/>
    <n v="137"/>
    <s v="Spring"/>
    <s v="Wednesday"/>
    <s v="Clear"/>
    <s v="Evening"/>
    <x v="0"/>
    <x v="1"/>
    <x v="2"/>
    <x v="0"/>
    <s v="Mostly Registered"/>
    <n v="1.4598540145985399"/>
    <n v="98.540145985401466"/>
    <x v="1"/>
    <x v="1"/>
    <s v="No"/>
    <n v="-4.8500000000000022E-2"/>
  </r>
  <r>
    <n v="273"/>
    <x v="11"/>
    <n v="1"/>
    <n v="19"/>
    <b v="0"/>
    <n v="3"/>
    <n v="1"/>
    <n v="0.18"/>
    <n v="0.1515"/>
    <n v="0.47"/>
    <n v="0.41789999999999999"/>
    <n v="1"/>
    <n v="82"/>
    <n v="83"/>
    <s v="Spring"/>
    <s v="Wednesday"/>
    <s v="Clear"/>
    <s v="Evening"/>
    <x v="0"/>
    <x v="1"/>
    <x v="2"/>
    <x v="0"/>
    <s v="Mostly Registered"/>
    <n v="1.2048192771084341"/>
    <n v="98.795180722891558"/>
    <x v="1"/>
    <x v="0"/>
    <s v="No"/>
    <n v="-2.8500000000000001E-2"/>
  </r>
  <r>
    <n v="274"/>
    <x v="11"/>
    <n v="1"/>
    <n v="20"/>
    <b v="0"/>
    <n v="3"/>
    <n v="1"/>
    <n v="0.16"/>
    <n v="0.13639999999999999"/>
    <n v="0.5"/>
    <n v="0.32840000000000003"/>
    <n v="2"/>
    <n v="54"/>
    <n v="56"/>
    <s v="Spring"/>
    <s v="Wednesday"/>
    <s v="Clear"/>
    <s v="Evening"/>
    <x v="0"/>
    <x v="1"/>
    <x v="2"/>
    <x v="0"/>
    <s v="Mostly Registered"/>
    <n v="3.5714285714285712"/>
    <n v="96.428571428571431"/>
    <x v="0"/>
    <x v="0"/>
    <s v="No"/>
    <n v="-2.360000000000001E-2"/>
  </r>
  <r>
    <n v="275"/>
    <x v="11"/>
    <n v="1"/>
    <n v="21"/>
    <b v="0"/>
    <n v="3"/>
    <n v="1"/>
    <n v="0.16"/>
    <n v="0.13639999999999999"/>
    <n v="0.55000000000000004"/>
    <n v="0.32840000000000003"/>
    <n v="0"/>
    <n v="57"/>
    <n v="57"/>
    <s v="Spring"/>
    <s v="Wednesday"/>
    <s v="Clear"/>
    <s v="Night"/>
    <x v="0"/>
    <x v="1"/>
    <x v="2"/>
    <x v="0"/>
    <s v="Mostly Registered"/>
    <n v="0"/>
    <n v="100"/>
    <x v="0"/>
    <x v="0"/>
    <s v="No"/>
    <n v="-2.360000000000001E-2"/>
  </r>
  <r>
    <n v="276"/>
    <x v="11"/>
    <n v="1"/>
    <n v="22"/>
    <b v="0"/>
    <n v="3"/>
    <n v="1"/>
    <n v="0.16"/>
    <n v="0.1212"/>
    <n v="0.55000000000000004"/>
    <n v="0.44779999999999998"/>
    <n v="1"/>
    <n v="32"/>
    <n v="33"/>
    <s v="Spring"/>
    <s v="Wednesday"/>
    <s v="Clear"/>
    <s v="Night"/>
    <x v="0"/>
    <x v="1"/>
    <x v="2"/>
    <x v="0"/>
    <s v="Mostly Registered"/>
    <n v="3.0303030303030298"/>
    <n v="96.969696969696969"/>
    <x v="0"/>
    <x v="0"/>
    <s v="No"/>
    <n v="-3.8800000000000001E-2"/>
  </r>
  <r>
    <n v="277"/>
    <x v="11"/>
    <n v="1"/>
    <n v="23"/>
    <b v="0"/>
    <n v="3"/>
    <n v="1"/>
    <n v="0.14000000000000001"/>
    <n v="0.1061"/>
    <n v="0.59"/>
    <n v="0.41789999999999999"/>
    <n v="1"/>
    <n v="19"/>
    <n v="20"/>
    <s v="Spring"/>
    <s v="Wednesday"/>
    <s v="Clear"/>
    <s v="Night"/>
    <x v="4"/>
    <x v="1"/>
    <x v="2"/>
    <x v="0"/>
    <s v="Mostly Registered"/>
    <n v="5"/>
    <n v="95"/>
    <x v="0"/>
    <x v="0"/>
    <s v="No"/>
    <n v="-3.3900000000000013E-2"/>
  </r>
  <r>
    <n v="278"/>
    <x v="12"/>
    <n v="1"/>
    <n v="0"/>
    <b v="0"/>
    <n v="4"/>
    <n v="1"/>
    <n v="0.14000000000000001"/>
    <n v="0.1212"/>
    <n v="0.59"/>
    <n v="0.28360000000000002"/>
    <n v="1"/>
    <n v="6"/>
    <n v="7"/>
    <s v="Spring"/>
    <s v="Thursday"/>
    <s v="Clear"/>
    <s v="Night"/>
    <x v="4"/>
    <x v="1"/>
    <x v="1"/>
    <x v="0"/>
    <s v="Mostly Registered"/>
    <n v="14.285714285714279"/>
    <n v="85.714285714285708"/>
    <x v="0"/>
    <x v="0"/>
    <s v="No"/>
    <n v="-1.8800000000000011E-2"/>
  </r>
  <r>
    <n v="279"/>
    <x v="12"/>
    <n v="1"/>
    <n v="1"/>
    <b v="0"/>
    <n v="4"/>
    <n v="1"/>
    <n v="0.14000000000000001"/>
    <n v="0.1212"/>
    <n v="0.5"/>
    <n v="0.28360000000000002"/>
    <n v="0"/>
    <n v="2"/>
    <n v="2"/>
    <s v="Spring"/>
    <s v="Thursday"/>
    <s v="Clear"/>
    <s v="Night"/>
    <x v="4"/>
    <x v="1"/>
    <x v="1"/>
    <x v="0"/>
    <s v="Mostly Registered"/>
    <n v="0"/>
    <n v="100"/>
    <x v="0"/>
    <x v="0"/>
    <s v="No"/>
    <n v="-1.8800000000000011E-2"/>
  </r>
  <r>
    <n v="280"/>
    <x v="12"/>
    <n v="1"/>
    <n v="2"/>
    <b v="0"/>
    <n v="4"/>
    <n v="1"/>
    <n v="0.14000000000000001"/>
    <n v="0.1212"/>
    <n v="0.5"/>
    <n v="0.35820000000000002"/>
    <n v="0"/>
    <n v="2"/>
    <n v="2"/>
    <s v="Spring"/>
    <s v="Thursday"/>
    <s v="Clear"/>
    <s v="Night"/>
    <x v="4"/>
    <x v="1"/>
    <x v="2"/>
    <x v="0"/>
    <s v="Mostly Registered"/>
    <n v="0"/>
    <n v="100"/>
    <x v="0"/>
    <x v="0"/>
    <s v="No"/>
    <n v="-1.8800000000000011E-2"/>
  </r>
  <r>
    <n v="281"/>
    <x v="12"/>
    <n v="1"/>
    <n v="3"/>
    <b v="0"/>
    <n v="4"/>
    <n v="1"/>
    <n v="0.14000000000000001"/>
    <n v="0.1212"/>
    <n v="0.5"/>
    <n v="0.32840000000000003"/>
    <n v="0"/>
    <n v="3"/>
    <n v="3"/>
    <s v="Spring"/>
    <s v="Thursday"/>
    <s v="Clear"/>
    <s v="Night"/>
    <x v="4"/>
    <x v="1"/>
    <x v="2"/>
    <x v="0"/>
    <s v="Mostly Registered"/>
    <n v="0"/>
    <n v="100"/>
    <x v="0"/>
    <x v="0"/>
    <s v="No"/>
    <n v="-1.8800000000000011E-2"/>
  </r>
  <r>
    <n v="282"/>
    <x v="12"/>
    <n v="1"/>
    <n v="4"/>
    <b v="0"/>
    <n v="4"/>
    <n v="1"/>
    <n v="0.14000000000000001"/>
    <n v="0.1212"/>
    <n v="0.5"/>
    <n v="0.25369999999999998"/>
    <n v="0"/>
    <n v="4"/>
    <n v="4"/>
    <s v="Spring"/>
    <s v="Thursday"/>
    <s v="Clear"/>
    <s v="Night"/>
    <x v="4"/>
    <x v="1"/>
    <x v="1"/>
    <x v="0"/>
    <s v="Mostly Registered"/>
    <n v="0"/>
    <n v="100"/>
    <x v="0"/>
    <x v="0"/>
    <s v="No"/>
    <n v="-1.8800000000000011E-2"/>
  </r>
  <r>
    <n v="283"/>
    <x v="12"/>
    <n v="1"/>
    <n v="5"/>
    <b v="0"/>
    <n v="4"/>
    <n v="1"/>
    <n v="0.14000000000000001"/>
    <n v="0.1212"/>
    <n v="0.5"/>
    <n v="0.29849999999999999"/>
    <n v="0"/>
    <n v="3"/>
    <n v="3"/>
    <s v="Spring"/>
    <s v="Thursday"/>
    <s v="Clear"/>
    <s v="Night"/>
    <x v="4"/>
    <x v="1"/>
    <x v="1"/>
    <x v="0"/>
    <s v="Mostly Registered"/>
    <n v="0"/>
    <n v="100"/>
    <x v="0"/>
    <x v="0"/>
    <s v="No"/>
    <n v="-1.8800000000000011E-2"/>
  </r>
  <r>
    <n v="284"/>
    <x v="12"/>
    <n v="1"/>
    <n v="6"/>
    <b v="0"/>
    <n v="4"/>
    <n v="1"/>
    <n v="0.12"/>
    <n v="0.1515"/>
    <n v="0.54"/>
    <n v="0.1343"/>
    <n v="0"/>
    <n v="28"/>
    <n v="28"/>
    <s v="Spring"/>
    <s v="Thursday"/>
    <s v="Clear"/>
    <s v="Morning"/>
    <x v="4"/>
    <x v="1"/>
    <x v="0"/>
    <x v="0"/>
    <s v="Mostly Registered"/>
    <n v="0"/>
    <n v="100"/>
    <x v="0"/>
    <x v="0"/>
    <s v="No"/>
    <n v="3.15E-2"/>
  </r>
  <r>
    <n v="285"/>
    <x v="12"/>
    <n v="1"/>
    <n v="7"/>
    <b v="0"/>
    <n v="4"/>
    <n v="1"/>
    <n v="0.12"/>
    <n v="0.1515"/>
    <n v="0.54"/>
    <n v="0.1343"/>
    <n v="0"/>
    <n v="72"/>
    <n v="72"/>
    <s v="Spring"/>
    <s v="Thursday"/>
    <s v="Clear"/>
    <s v="Morning"/>
    <x v="4"/>
    <x v="1"/>
    <x v="0"/>
    <x v="0"/>
    <s v="Mostly Registered"/>
    <n v="0"/>
    <n v="100"/>
    <x v="1"/>
    <x v="0"/>
    <s v="No"/>
    <n v="3.15E-2"/>
  </r>
  <r>
    <n v="286"/>
    <x v="12"/>
    <n v="1"/>
    <n v="8"/>
    <b v="0"/>
    <n v="4"/>
    <n v="1"/>
    <n v="0.14000000000000001"/>
    <n v="0.13639999999999999"/>
    <n v="0.5"/>
    <n v="0.19400000000000001"/>
    <n v="5"/>
    <n v="197"/>
    <n v="202"/>
    <s v="Spring"/>
    <s v="Thursday"/>
    <s v="Clear"/>
    <s v="Morning"/>
    <x v="4"/>
    <x v="1"/>
    <x v="1"/>
    <x v="0"/>
    <s v="Mostly Registered"/>
    <n v="2.4752475247524748"/>
    <n v="97.524752475247524"/>
    <x v="1"/>
    <x v="1"/>
    <s v="No"/>
    <n v="-3.6000000000000199E-3"/>
  </r>
  <r>
    <n v="287"/>
    <x v="12"/>
    <n v="1"/>
    <n v="9"/>
    <b v="0"/>
    <n v="4"/>
    <n v="1"/>
    <n v="0.14000000000000001"/>
    <n v="0.1212"/>
    <n v="0.5"/>
    <n v="0.32840000000000003"/>
    <n v="2"/>
    <n v="137"/>
    <n v="139"/>
    <s v="Spring"/>
    <s v="Thursday"/>
    <s v="Clear"/>
    <s v="Morning"/>
    <x v="4"/>
    <x v="1"/>
    <x v="2"/>
    <x v="0"/>
    <s v="Mostly Registered"/>
    <n v="1.43884892086331"/>
    <n v="98.561151079136692"/>
    <x v="1"/>
    <x v="1"/>
    <s v="No"/>
    <n v="-1.8800000000000011E-2"/>
  </r>
  <r>
    <n v="288"/>
    <x v="12"/>
    <n v="1"/>
    <n v="10"/>
    <b v="0"/>
    <n v="4"/>
    <n v="2"/>
    <n v="0.16"/>
    <n v="0.13639999999999999"/>
    <n v="0.5"/>
    <n v="0.35820000000000002"/>
    <n v="2"/>
    <n v="36"/>
    <n v="38"/>
    <s v="Spring"/>
    <s v="Thursday"/>
    <s v="Mist/Cloudy"/>
    <s v="Morning"/>
    <x v="0"/>
    <x v="1"/>
    <x v="2"/>
    <x v="0"/>
    <s v="Mostly Registered"/>
    <n v="5.2631578947368416"/>
    <n v="94.73684210526315"/>
    <x v="0"/>
    <x v="0"/>
    <s v="No"/>
    <n v="-2.360000000000001E-2"/>
  </r>
  <r>
    <n v="289"/>
    <x v="12"/>
    <n v="1"/>
    <n v="11"/>
    <b v="0"/>
    <n v="4"/>
    <n v="2"/>
    <n v="0.2"/>
    <n v="0.16669999999999999"/>
    <n v="0.44"/>
    <n v="0.44779999999999998"/>
    <n v="4"/>
    <n v="33"/>
    <n v="37"/>
    <s v="Spring"/>
    <s v="Thursday"/>
    <s v="Mist/Cloudy"/>
    <s v="Morning"/>
    <x v="0"/>
    <x v="1"/>
    <x v="2"/>
    <x v="0"/>
    <s v="Mostly Registered"/>
    <n v="10.810810810810811"/>
    <n v="89.189189189189193"/>
    <x v="0"/>
    <x v="0"/>
    <s v="No"/>
    <n v="-3.3300000000000017E-2"/>
  </r>
  <r>
    <n v="290"/>
    <x v="12"/>
    <n v="1"/>
    <n v="12"/>
    <b v="0"/>
    <n v="4"/>
    <n v="1"/>
    <n v="0.2"/>
    <n v="0.16669999999999999"/>
    <n v="0.44"/>
    <n v="0.41789999999999999"/>
    <n v="3"/>
    <n v="49"/>
    <n v="52"/>
    <s v="Spring"/>
    <s v="Thursday"/>
    <s v="Clear"/>
    <s v="Afternoon"/>
    <x v="0"/>
    <x v="1"/>
    <x v="2"/>
    <x v="0"/>
    <s v="Mostly Registered"/>
    <n v="5.7692307692307692"/>
    <n v="94.230769230769226"/>
    <x v="0"/>
    <x v="0"/>
    <s v="No"/>
    <n v="-3.3300000000000017E-2"/>
  </r>
  <r>
    <n v="291"/>
    <x v="12"/>
    <n v="1"/>
    <n v="13"/>
    <b v="0"/>
    <n v="4"/>
    <n v="1"/>
    <n v="0.22"/>
    <n v="0.19700000000000001"/>
    <n v="0.41"/>
    <n v="0.44779999999999998"/>
    <n v="2"/>
    <n v="81"/>
    <n v="83"/>
    <s v="Spring"/>
    <s v="Thursday"/>
    <s v="Clear"/>
    <s v="Afternoon"/>
    <x v="0"/>
    <x v="1"/>
    <x v="2"/>
    <x v="0"/>
    <s v="Mostly Registered"/>
    <n v="2.4096385542168681"/>
    <n v="97.590361445783131"/>
    <x v="0"/>
    <x v="0"/>
    <s v="No"/>
    <n v="-2.2999999999999989E-2"/>
  </r>
  <r>
    <n v="292"/>
    <x v="12"/>
    <n v="1"/>
    <n v="14"/>
    <b v="0"/>
    <n v="4"/>
    <n v="1"/>
    <n v="0.22"/>
    <n v="0.19700000000000001"/>
    <n v="0.41"/>
    <n v="0.3881"/>
    <n v="3"/>
    <n v="39"/>
    <n v="42"/>
    <s v="Spring"/>
    <s v="Thursday"/>
    <s v="Clear"/>
    <s v="Afternoon"/>
    <x v="0"/>
    <x v="1"/>
    <x v="2"/>
    <x v="0"/>
    <s v="Mostly Registered"/>
    <n v="7.1428571428571423"/>
    <n v="92.857142857142861"/>
    <x v="0"/>
    <x v="0"/>
    <s v="No"/>
    <n v="-2.2999999999999989E-2"/>
  </r>
  <r>
    <n v="293"/>
    <x v="12"/>
    <n v="1"/>
    <n v="15"/>
    <b v="0"/>
    <n v="4"/>
    <n v="1"/>
    <n v="0.24"/>
    <n v="0.21210000000000001"/>
    <n v="0.38"/>
    <n v="0.29849999999999999"/>
    <n v="5"/>
    <n v="55"/>
    <n v="60"/>
    <s v="Spring"/>
    <s v="Thursday"/>
    <s v="Clear"/>
    <s v="Afternoon"/>
    <x v="0"/>
    <x v="2"/>
    <x v="1"/>
    <x v="0"/>
    <s v="Mostly Registered"/>
    <n v="8.3333333333333321"/>
    <n v="91.666666666666657"/>
    <x v="0"/>
    <x v="0"/>
    <s v="No"/>
    <n v="-2.789999999999998E-2"/>
  </r>
  <r>
    <n v="294"/>
    <x v="12"/>
    <n v="1"/>
    <n v="16"/>
    <b v="0"/>
    <n v="4"/>
    <n v="1"/>
    <n v="0.24"/>
    <n v="0.21210000000000001"/>
    <n v="0.38"/>
    <n v="0.35820000000000002"/>
    <n v="2"/>
    <n v="76"/>
    <n v="78"/>
    <s v="Spring"/>
    <s v="Thursday"/>
    <s v="Clear"/>
    <s v="Afternoon"/>
    <x v="0"/>
    <x v="2"/>
    <x v="2"/>
    <x v="0"/>
    <s v="Mostly Registered"/>
    <n v="2.5641025641025639"/>
    <n v="97.435897435897431"/>
    <x v="0"/>
    <x v="0"/>
    <s v="No"/>
    <n v="-2.789999999999998E-2"/>
  </r>
  <r>
    <n v="295"/>
    <x v="12"/>
    <n v="1"/>
    <n v="17"/>
    <b v="0"/>
    <n v="4"/>
    <n v="1"/>
    <n v="0.2"/>
    <n v="0.18179999999999999"/>
    <n v="0.4"/>
    <n v="0.28360000000000002"/>
    <n v="4"/>
    <n v="158"/>
    <n v="162"/>
    <s v="Spring"/>
    <s v="Thursday"/>
    <s v="Clear"/>
    <s v="Evening"/>
    <x v="0"/>
    <x v="1"/>
    <x v="1"/>
    <x v="0"/>
    <s v="Mostly Registered"/>
    <n v="2.4691358024691361"/>
    <n v="97.53086419753086"/>
    <x v="1"/>
    <x v="1"/>
    <s v="No"/>
    <n v="-1.8200000000000022E-2"/>
  </r>
  <r>
    <n v="296"/>
    <x v="12"/>
    <n v="1"/>
    <n v="18"/>
    <b v="0"/>
    <n v="4"/>
    <n v="1"/>
    <n v="0.2"/>
    <n v="0.18179999999999999"/>
    <n v="0.4"/>
    <n v="0.32840000000000003"/>
    <n v="3"/>
    <n v="141"/>
    <n v="144"/>
    <s v="Spring"/>
    <s v="Thursday"/>
    <s v="Clear"/>
    <s v="Evening"/>
    <x v="0"/>
    <x v="1"/>
    <x v="2"/>
    <x v="0"/>
    <s v="Mostly Registered"/>
    <n v="2.083333333333333"/>
    <n v="97.916666666666657"/>
    <x v="1"/>
    <x v="1"/>
    <s v="No"/>
    <n v="-1.8200000000000022E-2"/>
  </r>
  <r>
    <n v="297"/>
    <x v="12"/>
    <n v="1"/>
    <n v="19"/>
    <b v="0"/>
    <n v="4"/>
    <n v="1"/>
    <n v="0.16"/>
    <n v="0.1515"/>
    <n v="0.47"/>
    <n v="0.25369999999999998"/>
    <n v="1"/>
    <n v="98"/>
    <n v="99"/>
    <s v="Spring"/>
    <s v="Thursday"/>
    <s v="Clear"/>
    <s v="Evening"/>
    <x v="0"/>
    <x v="1"/>
    <x v="1"/>
    <x v="0"/>
    <s v="Mostly Registered"/>
    <n v="1.0101010101010099"/>
    <n v="98.98989898989899"/>
    <x v="1"/>
    <x v="0"/>
    <s v="No"/>
    <n v="-8.5000000000000075E-3"/>
  </r>
  <r>
    <n v="298"/>
    <x v="12"/>
    <n v="1"/>
    <n v="20"/>
    <b v="0"/>
    <n v="4"/>
    <n v="1"/>
    <n v="0.16"/>
    <n v="0.1515"/>
    <n v="0.47"/>
    <n v="0.22389999999999999"/>
    <n v="0"/>
    <n v="64"/>
    <n v="64"/>
    <s v="Spring"/>
    <s v="Thursday"/>
    <s v="Clear"/>
    <s v="Evening"/>
    <x v="0"/>
    <x v="1"/>
    <x v="1"/>
    <x v="0"/>
    <s v="Mostly Registered"/>
    <n v="0"/>
    <n v="100"/>
    <x v="0"/>
    <x v="0"/>
    <s v="No"/>
    <n v="-8.5000000000000075E-3"/>
  </r>
  <r>
    <n v="299"/>
    <x v="12"/>
    <n v="1"/>
    <n v="21"/>
    <b v="0"/>
    <n v="4"/>
    <n v="1"/>
    <n v="0.14000000000000001"/>
    <n v="0.1212"/>
    <n v="0.46"/>
    <n v="0.29849999999999999"/>
    <n v="0"/>
    <n v="40"/>
    <n v="40"/>
    <s v="Spring"/>
    <s v="Thursday"/>
    <s v="Clear"/>
    <s v="Night"/>
    <x v="4"/>
    <x v="1"/>
    <x v="1"/>
    <x v="0"/>
    <s v="Mostly Registered"/>
    <n v="0"/>
    <n v="100"/>
    <x v="0"/>
    <x v="0"/>
    <s v="No"/>
    <n v="-1.8800000000000011E-2"/>
  </r>
  <r>
    <n v="300"/>
    <x v="12"/>
    <n v="1"/>
    <n v="22"/>
    <b v="0"/>
    <n v="4"/>
    <n v="1"/>
    <n v="0.14000000000000001"/>
    <n v="0.1212"/>
    <n v="0.46"/>
    <n v="0.32840000000000003"/>
    <n v="0"/>
    <n v="30"/>
    <n v="30"/>
    <s v="Spring"/>
    <s v="Thursday"/>
    <s v="Clear"/>
    <s v="Night"/>
    <x v="4"/>
    <x v="1"/>
    <x v="2"/>
    <x v="0"/>
    <s v="Mostly Registered"/>
    <n v="0"/>
    <n v="100"/>
    <x v="0"/>
    <x v="0"/>
    <s v="No"/>
    <n v="-1.8800000000000011E-2"/>
  </r>
  <r>
    <n v="301"/>
    <x v="12"/>
    <n v="1"/>
    <n v="23"/>
    <b v="0"/>
    <n v="4"/>
    <n v="1"/>
    <n v="0.12"/>
    <n v="0.13639999999999999"/>
    <n v="0.5"/>
    <n v="0.19400000000000001"/>
    <n v="1"/>
    <n v="14"/>
    <n v="15"/>
    <s v="Spring"/>
    <s v="Thursday"/>
    <s v="Clear"/>
    <s v="Night"/>
    <x v="4"/>
    <x v="1"/>
    <x v="1"/>
    <x v="0"/>
    <s v="Mostly Registered"/>
    <n v="6.666666666666667"/>
    <n v="93.333333333333329"/>
    <x v="0"/>
    <x v="0"/>
    <s v="No"/>
    <n v="1.6400000000000001E-2"/>
  </r>
  <r>
    <n v="302"/>
    <x v="13"/>
    <n v="1"/>
    <n v="0"/>
    <b v="0"/>
    <n v="5"/>
    <n v="1"/>
    <n v="0.12"/>
    <n v="0.13639999999999999"/>
    <n v="0.5"/>
    <n v="0.19400000000000001"/>
    <n v="0"/>
    <n v="14"/>
    <n v="14"/>
    <s v="Spring"/>
    <s v="Friday"/>
    <s v="Clear"/>
    <s v="Night"/>
    <x v="4"/>
    <x v="1"/>
    <x v="1"/>
    <x v="0"/>
    <s v="Mostly Registered"/>
    <n v="0"/>
    <n v="100"/>
    <x v="0"/>
    <x v="0"/>
    <s v="No"/>
    <n v="1.6400000000000001E-2"/>
  </r>
  <r>
    <n v="303"/>
    <x v="13"/>
    <n v="1"/>
    <n v="1"/>
    <b v="0"/>
    <n v="5"/>
    <n v="1"/>
    <n v="0.1"/>
    <n v="0.1212"/>
    <n v="0.54"/>
    <n v="0.16420000000000001"/>
    <n v="0"/>
    <n v="5"/>
    <n v="5"/>
    <s v="Spring"/>
    <s v="Friday"/>
    <s v="Clear"/>
    <s v="Night"/>
    <x v="4"/>
    <x v="1"/>
    <x v="1"/>
    <x v="0"/>
    <s v="Mostly Registered"/>
    <n v="0"/>
    <n v="100"/>
    <x v="0"/>
    <x v="0"/>
    <s v="No"/>
    <n v="2.12E-2"/>
  </r>
  <r>
    <n v="304"/>
    <x v="13"/>
    <n v="1"/>
    <n v="2"/>
    <b v="0"/>
    <n v="5"/>
    <n v="1"/>
    <n v="0.1"/>
    <n v="0.1212"/>
    <n v="0.54"/>
    <n v="0.1343"/>
    <n v="0"/>
    <n v="1"/>
    <n v="1"/>
    <s v="Spring"/>
    <s v="Friday"/>
    <s v="Clear"/>
    <s v="Night"/>
    <x v="4"/>
    <x v="1"/>
    <x v="0"/>
    <x v="0"/>
    <s v="Mostly Registered"/>
    <n v="0"/>
    <n v="100"/>
    <x v="0"/>
    <x v="0"/>
    <s v="No"/>
    <n v="2.12E-2"/>
  </r>
  <r>
    <n v="305"/>
    <x v="13"/>
    <n v="1"/>
    <n v="3"/>
    <b v="0"/>
    <n v="5"/>
    <n v="1"/>
    <n v="0.1"/>
    <n v="0.13639999999999999"/>
    <n v="0.54"/>
    <n v="0.1045"/>
    <n v="0"/>
    <n v="1"/>
    <n v="1"/>
    <s v="Spring"/>
    <s v="Friday"/>
    <s v="Clear"/>
    <s v="Night"/>
    <x v="4"/>
    <x v="1"/>
    <x v="0"/>
    <x v="0"/>
    <s v="Mostly Registered"/>
    <n v="0"/>
    <n v="100"/>
    <x v="0"/>
    <x v="0"/>
    <s v="No"/>
    <n v="3.6399999999999988E-2"/>
  </r>
  <r>
    <n v="306"/>
    <x v="13"/>
    <n v="1"/>
    <n v="5"/>
    <b v="0"/>
    <n v="5"/>
    <n v="1"/>
    <n v="0.1"/>
    <n v="0.13639999999999999"/>
    <n v="0.54"/>
    <n v="8.9599999999999999E-2"/>
    <n v="0"/>
    <n v="8"/>
    <n v="8"/>
    <s v="Spring"/>
    <s v="Friday"/>
    <s v="Clear"/>
    <s v="Night"/>
    <x v="4"/>
    <x v="1"/>
    <x v="0"/>
    <x v="0"/>
    <s v="Mostly Registered"/>
    <n v="0"/>
    <n v="100"/>
    <x v="0"/>
    <x v="0"/>
    <s v="No"/>
    <n v="3.6399999999999988E-2"/>
  </r>
  <r>
    <n v="307"/>
    <x v="13"/>
    <n v="1"/>
    <n v="6"/>
    <b v="0"/>
    <n v="5"/>
    <n v="1"/>
    <n v="0.1"/>
    <n v="0.18179999999999999"/>
    <n v="0.54"/>
    <n v="0"/>
    <n v="0"/>
    <n v="17"/>
    <n v="17"/>
    <s v="Spring"/>
    <s v="Friday"/>
    <s v="Clear"/>
    <s v="Morning"/>
    <x v="4"/>
    <x v="1"/>
    <x v="0"/>
    <x v="0"/>
    <s v="Mostly Registered"/>
    <n v="0"/>
    <n v="100"/>
    <x v="0"/>
    <x v="0"/>
    <s v="No"/>
    <n v="8.1799999999999984E-2"/>
  </r>
  <r>
    <n v="308"/>
    <x v="13"/>
    <n v="1"/>
    <n v="7"/>
    <b v="0"/>
    <n v="5"/>
    <n v="1"/>
    <n v="0.1"/>
    <n v="0.1212"/>
    <n v="0.74"/>
    <n v="0.16420000000000001"/>
    <n v="0"/>
    <n v="70"/>
    <n v="70"/>
    <s v="Spring"/>
    <s v="Friday"/>
    <s v="Clear"/>
    <s v="Morning"/>
    <x v="4"/>
    <x v="0"/>
    <x v="1"/>
    <x v="0"/>
    <s v="Mostly Registered"/>
    <n v="0"/>
    <n v="100"/>
    <x v="1"/>
    <x v="0"/>
    <s v="No"/>
    <n v="2.12E-2"/>
  </r>
  <r>
    <n v="309"/>
    <x v="13"/>
    <n v="1"/>
    <n v="8"/>
    <b v="0"/>
    <n v="5"/>
    <n v="1"/>
    <n v="0.12"/>
    <n v="0.16669999999999999"/>
    <n v="0.68"/>
    <n v="0"/>
    <n v="2"/>
    <n v="156"/>
    <n v="158"/>
    <s v="Spring"/>
    <s v="Friday"/>
    <s v="Clear"/>
    <s v="Morning"/>
    <x v="4"/>
    <x v="1"/>
    <x v="0"/>
    <x v="0"/>
    <s v="Mostly Registered"/>
    <n v="1.2658227848101271"/>
    <n v="98.734177215189874"/>
    <x v="1"/>
    <x v="1"/>
    <s v="No"/>
    <n v="4.6699999999999992E-2"/>
  </r>
  <r>
    <n v="310"/>
    <x v="13"/>
    <n v="1"/>
    <n v="9"/>
    <b v="0"/>
    <n v="5"/>
    <n v="1"/>
    <n v="0.14000000000000001"/>
    <n v="0.1515"/>
    <n v="0.69"/>
    <n v="0.1343"/>
    <n v="0"/>
    <n v="117"/>
    <n v="117"/>
    <s v="Spring"/>
    <s v="Friday"/>
    <s v="Clear"/>
    <s v="Morning"/>
    <x v="4"/>
    <x v="1"/>
    <x v="0"/>
    <x v="0"/>
    <s v="Mostly Registered"/>
    <n v="0"/>
    <n v="100"/>
    <x v="1"/>
    <x v="1"/>
    <s v="No"/>
    <n v="1.1499999999999981E-2"/>
  </r>
  <r>
    <n v="311"/>
    <x v="13"/>
    <n v="1"/>
    <n v="10"/>
    <b v="0"/>
    <n v="5"/>
    <n v="1"/>
    <n v="0.18"/>
    <n v="0.18179999999999999"/>
    <n v="0.55000000000000004"/>
    <n v="0.19400000000000001"/>
    <n v="4"/>
    <n v="40"/>
    <n v="44"/>
    <s v="Spring"/>
    <s v="Friday"/>
    <s v="Clear"/>
    <s v="Morning"/>
    <x v="0"/>
    <x v="1"/>
    <x v="1"/>
    <x v="0"/>
    <s v="Mostly Registered"/>
    <n v="9.0909090909090917"/>
    <n v="90.909090909090907"/>
    <x v="0"/>
    <x v="0"/>
    <s v="No"/>
    <n v="1.799999999999996E-3"/>
  </r>
  <r>
    <n v="312"/>
    <x v="13"/>
    <n v="1"/>
    <n v="11"/>
    <b v="0"/>
    <n v="5"/>
    <n v="1"/>
    <n v="0.18"/>
    <n v="0.16669999999999999"/>
    <n v="0.51"/>
    <n v="0.28360000000000002"/>
    <n v="6"/>
    <n v="47"/>
    <n v="53"/>
    <s v="Spring"/>
    <s v="Friday"/>
    <s v="Clear"/>
    <s v="Morning"/>
    <x v="0"/>
    <x v="1"/>
    <x v="1"/>
    <x v="0"/>
    <s v="Mostly Registered"/>
    <n v="11.32075471698113"/>
    <n v="88.679245283018872"/>
    <x v="0"/>
    <x v="0"/>
    <s v="No"/>
    <n v="-1.330000000000001E-2"/>
  </r>
  <r>
    <n v="313"/>
    <x v="13"/>
    <n v="1"/>
    <n v="12"/>
    <b v="0"/>
    <n v="5"/>
    <n v="1"/>
    <n v="0.2"/>
    <n v="0.19700000000000001"/>
    <n v="0.44"/>
    <n v="0.25369999999999998"/>
    <n v="2"/>
    <n v="59"/>
    <n v="61"/>
    <s v="Spring"/>
    <s v="Friday"/>
    <s v="Clear"/>
    <s v="Afternoon"/>
    <x v="0"/>
    <x v="1"/>
    <x v="1"/>
    <x v="0"/>
    <s v="Mostly Registered"/>
    <n v="3.278688524590164"/>
    <n v="96.721311475409834"/>
    <x v="0"/>
    <x v="0"/>
    <s v="No"/>
    <n v="-3.0000000000000031E-3"/>
  </r>
  <r>
    <n v="314"/>
    <x v="13"/>
    <n v="1"/>
    <n v="13"/>
    <b v="0"/>
    <n v="5"/>
    <n v="1"/>
    <n v="0.22"/>
    <n v="0.19700000000000001"/>
    <n v="0.37"/>
    <n v="0.3881"/>
    <n v="4"/>
    <n v="73"/>
    <n v="77"/>
    <s v="Spring"/>
    <s v="Friday"/>
    <s v="Clear"/>
    <s v="Afternoon"/>
    <x v="0"/>
    <x v="2"/>
    <x v="2"/>
    <x v="0"/>
    <s v="Mostly Registered"/>
    <n v="5.1948051948051948"/>
    <n v="94.805194805194802"/>
    <x v="0"/>
    <x v="0"/>
    <s v="No"/>
    <n v="-2.2999999999999989E-2"/>
  </r>
  <r>
    <n v="315"/>
    <x v="13"/>
    <n v="1"/>
    <n v="14"/>
    <b v="0"/>
    <n v="5"/>
    <n v="1"/>
    <n v="0.22"/>
    <n v="0.21210000000000001"/>
    <n v="0.41"/>
    <n v="0.28360000000000002"/>
    <n v="5"/>
    <n v="59"/>
    <n v="64"/>
    <s v="Spring"/>
    <s v="Friday"/>
    <s v="Clear"/>
    <s v="Afternoon"/>
    <x v="0"/>
    <x v="1"/>
    <x v="1"/>
    <x v="0"/>
    <s v="Mostly Registered"/>
    <n v="7.8125"/>
    <n v="92.1875"/>
    <x v="0"/>
    <x v="0"/>
    <s v="No"/>
    <n v="-7.8999999999999904E-3"/>
  </r>
  <r>
    <n v="316"/>
    <x v="13"/>
    <n v="1"/>
    <n v="15"/>
    <b v="0"/>
    <n v="5"/>
    <n v="1"/>
    <n v="0.24"/>
    <n v="0.2424"/>
    <n v="0.38"/>
    <n v="0.16420000000000001"/>
    <n v="9"/>
    <n v="59"/>
    <n v="68"/>
    <s v="Spring"/>
    <s v="Friday"/>
    <s v="Clear"/>
    <s v="Afternoon"/>
    <x v="0"/>
    <x v="2"/>
    <x v="1"/>
    <x v="0"/>
    <s v="Mostly Registered"/>
    <n v="13.23529411764706"/>
    <n v="86.764705882352942"/>
    <x v="0"/>
    <x v="0"/>
    <s v="No"/>
    <n v="2.4000000000000128E-3"/>
  </r>
  <r>
    <n v="317"/>
    <x v="13"/>
    <n v="1"/>
    <n v="16"/>
    <b v="0"/>
    <n v="5"/>
    <n v="1"/>
    <n v="0.22"/>
    <n v="0.2424"/>
    <n v="0.41"/>
    <n v="0.1045"/>
    <n v="3"/>
    <n v="87"/>
    <n v="90"/>
    <s v="Spring"/>
    <s v="Friday"/>
    <s v="Clear"/>
    <s v="Afternoon"/>
    <x v="0"/>
    <x v="1"/>
    <x v="0"/>
    <x v="0"/>
    <s v="Mostly Registered"/>
    <n v="3.333333333333333"/>
    <n v="96.666666666666671"/>
    <x v="0"/>
    <x v="0"/>
    <s v="No"/>
    <n v="2.24E-2"/>
  </r>
  <r>
    <n v="318"/>
    <x v="13"/>
    <n v="1"/>
    <n v="17"/>
    <b v="0"/>
    <n v="5"/>
    <n v="1"/>
    <n v="0.22"/>
    <n v="0.2273"/>
    <n v="0.41"/>
    <n v="0.16420000000000001"/>
    <n v="4"/>
    <n v="155"/>
    <n v="159"/>
    <s v="Spring"/>
    <s v="Friday"/>
    <s v="Clear"/>
    <s v="Evening"/>
    <x v="0"/>
    <x v="1"/>
    <x v="1"/>
    <x v="0"/>
    <s v="Mostly Registered"/>
    <n v="2.5157232704402519"/>
    <n v="97.484276729559753"/>
    <x v="1"/>
    <x v="1"/>
    <s v="No"/>
    <n v="7.3000000000000009E-3"/>
  </r>
  <r>
    <n v="319"/>
    <x v="13"/>
    <n v="1"/>
    <n v="18"/>
    <b v="0"/>
    <n v="5"/>
    <n v="1"/>
    <n v="0.2"/>
    <n v="0.2576"/>
    <n v="0.47"/>
    <n v="0"/>
    <n v="5"/>
    <n v="134"/>
    <n v="139"/>
    <s v="Spring"/>
    <s v="Friday"/>
    <s v="Clear"/>
    <s v="Evening"/>
    <x v="0"/>
    <x v="1"/>
    <x v="0"/>
    <x v="0"/>
    <s v="Mostly Registered"/>
    <n v="3.5971223021582732"/>
    <n v="96.402877697841731"/>
    <x v="1"/>
    <x v="1"/>
    <s v="No"/>
    <n v="5.7599999999999978E-2"/>
  </r>
  <r>
    <n v="320"/>
    <x v="13"/>
    <n v="1"/>
    <n v="19"/>
    <b v="0"/>
    <n v="5"/>
    <n v="1"/>
    <n v="0.16"/>
    <n v="0.19700000000000001"/>
    <n v="0.59"/>
    <n v="8.9599999999999999E-2"/>
    <n v="3"/>
    <n v="89"/>
    <n v="92"/>
    <s v="Spring"/>
    <s v="Friday"/>
    <s v="Clear"/>
    <s v="Evening"/>
    <x v="0"/>
    <x v="1"/>
    <x v="0"/>
    <x v="0"/>
    <s v="Mostly Registered"/>
    <n v="3.2608695652173911"/>
    <n v="96.739130434782609"/>
    <x v="1"/>
    <x v="0"/>
    <s v="No"/>
    <n v="3.7000000000000012E-2"/>
  </r>
  <r>
    <n v="321"/>
    <x v="13"/>
    <n v="1"/>
    <n v="20"/>
    <b v="0"/>
    <n v="5"/>
    <n v="1"/>
    <n v="0.18"/>
    <n v="0.2424"/>
    <n v="0.59"/>
    <n v="0"/>
    <n v="0"/>
    <n v="68"/>
    <n v="68"/>
    <s v="Spring"/>
    <s v="Friday"/>
    <s v="Clear"/>
    <s v="Evening"/>
    <x v="0"/>
    <x v="1"/>
    <x v="0"/>
    <x v="0"/>
    <s v="Mostly Registered"/>
    <n v="0"/>
    <n v="100"/>
    <x v="0"/>
    <x v="0"/>
    <s v="No"/>
    <n v="6.2400000000000011E-2"/>
  </r>
  <r>
    <n v="322"/>
    <x v="13"/>
    <n v="1"/>
    <n v="21"/>
    <b v="0"/>
    <n v="5"/>
    <n v="1"/>
    <n v="0.16"/>
    <n v="0.2273"/>
    <n v="0.69"/>
    <n v="0"/>
    <n v="4"/>
    <n v="48"/>
    <n v="52"/>
    <s v="Spring"/>
    <s v="Friday"/>
    <s v="Clear"/>
    <s v="Night"/>
    <x v="0"/>
    <x v="1"/>
    <x v="0"/>
    <x v="0"/>
    <s v="Mostly Registered"/>
    <n v="7.6923076923076934"/>
    <n v="92.307692307692307"/>
    <x v="0"/>
    <x v="0"/>
    <s v="No"/>
    <n v="6.7299999999999999E-2"/>
  </r>
  <r>
    <n v="323"/>
    <x v="13"/>
    <n v="1"/>
    <n v="22"/>
    <b v="0"/>
    <n v="5"/>
    <n v="2"/>
    <n v="0.16"/>
    <n v="0.2273"/>
    <n v="0.69"/>
    <n v="0"/>
    <n v="2"/>
    <n v="34"/>
    <n v="36"/>
    <s v="Spring"/>
    <s v="Friday"/>
    <s v="Mist/Cloudy"/>
    <s v="Night"/>
    <x v="0"/>
    <x v="1"/>
    <x v="0"/>
    <x v="0"/>
    <s v="Mostly Registered"/>
    <n v="5.5555555555555554"/>
    <n v="94.444444444444443"/>
    <x v="0"/>
    <x v="0"/>
    <s v="No"/>
    <n v="6.7299999999999999E-2"/>
  </r>
  <r>
    <n v="324"/>
    <x v="13"/>
    <n v="1"/>
    <n v="23"/>
    <b v="0"/>
    <n v="5"/>
    <n v="2"/>
    <n v="0.18"/>
    <n v="0.2424"/>
    <n v="0.55000000000000004"/>
    <n v="0"/>
    <n v="1"/>
    <n v="26"/>
    <n v="27"/>
    <s v="Spring"/>
    <s v="Friday"/>
    <s v="Mist/Cloudy"/>
    <s v="Night"/>
    <x v="0"/>
    <x v="1"/>
    <x v="0"/>
    <x v="0"/>
    <s v="Mostly Registered"/>
    <n v="3.7037037037037028"/>
    <n v="96.296296296296291"/>
    <x v="0"/>
    <x v="0"/>
    <s v="No"/>
    <n v="6.2400000000000011E-2"/>
  </r>
  <r>
    <n v="325"/>
    <x v="14"/>
    <n v="1"/>
    <n v="0"/>
    <b v="0"/>
    <n v="6"/>
    <n v="1"/>
    <n v="0.18"/>
    <n v="0.2424"/>
    <n v="0.55000000000000004"/>
    <n v="0"/>
    <n v="3"/>
    <n v="25"/>
    <n v="28"/>
    <s v="Spring"/>
    <s v="Saturday"/>
    <s v="Clear"/>
    <s v="Night"/>
    <x v="0"/>
    <x v="1"/>
    <x v="0"/>
    <x v="0"/>
    <s v="Mostly Registered"/>
    <n v="10.71428571428571"/>
    <n v="89.285714285714292"/>
    <x v="0"/>
    <x v="0"/>
    <s v="Yes"/>
    <n v="6.2400000000000011E-2"/>
  </r>
  <r>
    <n v="326"/>
    <x v="14"/>
    <n v="1"/>
    <n v="1"/>
    <b v="0"/>
    <n v="6"/>
    <n v="2"/>
    <n v="0.16"/>
    <n v="0.19700000000000001"/>
    <n v="0.59"/>
    <n v="8.9599999999999999E-2"/>
    <n v="2"/>
    <n v="18"/>
    <n v="20"/>
    <s v="Spring"/>
    <s v="Saturday"/>
    <s v="Mist/Cloudy"/>
    <s v="Night"/>
    <x v="0"/>
    <x v="1"/>
    <x v="0"/>
    <x v="0"/>
    <s v="Mostly Registered"/>
    <n v="10"/>
    <n v="90"/>
    <x v="0"/>
    <x v="0"/>
    <s v="Yes"/>
    <n v="3.7000000000000012E-2"/>
  </r>
  <r>
    <n v="327"/>
    <x v="14"/>
    <n v="1"/>
    <n v="2"/>
    <b v="0"/>
    <n v="6"/>
    <n v="2"/>
    <n v="0.16"/>
    <n v="0.19700000000000001"/>
    <n v="0.59"/>
    <n v="8.9599999999999999E-2"/>
    <n v="0"/>
    <n v="12"/>
    <n v="12"/>
    <s v="Spring"/>
    <s v="Saturday"/>
    <s v="Mist/Cloudy"/>
    <s v="Night"/>
    <x v="0"/>
    <x v="1"/>
    <x v="0"/>
    <x v="0"/>
    <s v="Mostly Registered"/>
    <n v="0"/>
    <n v="100"/>
    <x v="0"/>
    <x v="0"/>
    <s v="Yes"/>
    <n v="3.7000000000000012E-2"/>
  </r>
  <r>
    <n v="328"/>
    <x v="14"/>
    <n v="1"/>
    <n v="3"/>
    <b v="0"/>
    <n v="6"/>
    <n v="2"/>
    <n v="0.16"/>
    <n v="0.2273"/>
    <n v="0.59"/>
    <n v="0"/>
    <n v="1"/>
    <n v="7"/>
    <n v="8"/>
    <s v="Spring"/>
    <s v="Saturday"/>
    <s v="Mist/Cloudy"/>
    <s v="Night"/>
    <x v="0"/>
    <x v="1"/>
    <x v="0"/>
    <x v="0"/>
    <s v="Mostly Registered"/>
    <n v="12.5"/>
    <n v="87.5"/>
    <x v="0"/>
    <x v="0"/>
    <s v="Yes"/>
    <n v="6.7299999999999999E-2"/>
  </r>
  <r>
    <n v="329"/>
    <x v="14"/>
    <n v="1"/>
    <n v="4"/>
    <b v="0"/>
    <n v="6"/>
    <n v="2"/>
    <n v="0.16"/>
    <n v="0.2273"/>
    <n v="0.59"/>
    <n v="0"/>
    <n v="0"/>
    <n v="5"/>
    <n v="5"/>
    <s v="Spring"/>
    <s v="Saturday"/>
    <s v="Mist/Cloudy"/>
    <s v="Night"/>
    <x v="0"/>
    <x v="1"/>
    <x v="0"/>
    <x v="0"/>
    <s v="Mostly Registered"/>
    <n v="0"/>
    <n v="100"/>
    <x v="0"/>
    <x v="0"/>
    <s v="Yes"/>
    <n v="6.7299999999999999E-2"/>
  </r>
  <r>
    <n v="330"/>
    <x v="14"/>
    <n v="1"/>
    <n v="5"/>
    <b v="0"/>
    <n v="6"/>
    <n v="1"/>
    <n v="0.16"/>
    <n v="0.2273"/>
    <n v="0.59"/>
    <n v="0"/>
    <n v="0"/>
    <n v="1"/>
    <n v="1"/>
    <s v="Spring"/>
    <s v="Saturday"/>
    <s v="Clear"/>
    <s v="Night"/>
    <x v="0"/>
    <x v="1"/>
    <x v="0"/>
    <x v="0"/>
    <s v="Mostly Registered"/>
    <n v="0"/>
    <n v="100"/>
    <x v="0"/>
    <x v="0"/>
    <s v="Yes"/>
    <n v="6.7299999999999999E-2"/>
  </r>
  <r>
    <n v="331"/>
    <x v="14"/>
    <n v="1"/>
    <n v="6"/>
    <b v="0"/>
    <n v="6"/>
    <n v="1"/>
    <n v="0.14000000000000001"/>
    <n v="0.16669999999999999"/>
    <n v="0.63"/>
    <n v="0.1045"/>
    <n v="1"/>
    <n v="2"/>
    <n v="3"/>
    <s v="Spring"/>
    <s v="Saturday"/>
    <s v="Clear"/>
    <s v="Morning"/>
    <x v="4"/>
    <x v="1"/>
    <x v="0"/>
    <x v="0"/>
    <s v="Mostly Registered"/>
    <n v="33.333333333333329"/>
    <n v="66.666666666666657"/>
    <x v="0"/>
    <x v="0"/>
    <s v="Yes"/>
    <n v="2.669999999999997E-2"/>
  </r>
  <r>
    <n v="332"/>
    <x v="14"/>
    <n v="1"/>
    <n v="7"/>
    <b v="0"/>
    <n v="6"/>
    <n v="1"/>
    <n v="0.14000000000000001"/>
    <n v="0.21210000000000001"/>
    <n v="0.63"/>
    <n v="0"/>
    <n v="1"/>
    <n v="9"/>
    <n v="10"/>
    <s v="Spring"/>
    <s v="Saturday"/>
    <s v="Clear"/>
    <s v="Morning"/>
    <x v="4"/>
    <x v="1"/>
    <x v="0"/>
    <x v="0"/>
    <s v="Mostly Registered"/>
    <n v="10"/>
    <n v="90"/>
    <x v="1"/>
    <x v="0"/>
    <s v="Yes"/>
    <n v="7.2099999999999997E-2"/>
  </r>
  <r>
    <n v="333"/>
    <x v="14"/>
    <n v="1"/>
    <n v="8"/>
    <b v="0"/>
    <n v="6"/>
    <n v="1"/>
    <n v="0.14000000000000001"/>
    <n v="0.1515"/>
    <n v="0.63"/>
    <n v="0.1343"/>
    <n v="1"/>
    <n v="22"/>
    <n v="23"/>
    <s v="Spring"/>
    <s v="Saturday"/>
    <s v="Clear"/>
    <s v="Morning"/>
    <x v="4"/>
    <x v="1"/>
    <x v="0"/>
    <x v="0"/>
    <s v="Mostly Registered"/>
    <n v="4.3478260869565224"/>
    <n v="95.652173913043484"/>
    <x v="1"/>
    <x v="0"/>
    <s v="Yes"/>
    <n v="1.1499999999999981E-2"/>
  </r>
  <r>
    <n v="334"/>
    <x v="14"/>
    <n v="1"/>
    <n v="9"/>
    <b v="0"/>
    <n v="6"/>
    <n v="1"/>
    <n v="0.16"/>
    <n v="0.18179999999999999"/>
    <n v="0.64"/>
    <n v="0.1343"/>
    <n v="2"/>
    <n v="31"/>
    <n v="33"/>
    <s v="Spring"/>
    <s v="Saturday"/>
    <s v="Clear"/>
    <s v="Morning"/>
    <x v="0"/>
    <x v="1"/>
    <x v="0"/>
    <x v="0"/>
    <s v="Mostly Registered"/>
    <n v="6.0606060606060614"/>
    <n v="93.939393939393938"/>
    <x v="1"/>
    <x v="0"/>
    <s v="Yes"/>
    <n v="2.179999999999999E-2"/>
  </r>
  <r>
    <n v="335"/>
    <x v="14"/>
    <n v="1"/>
    <n v="10"/>
    <b v="0"/>
    <n v="6"/>
    <n v="1"/>
    <n v="0.18"/>
    <n v="0.19700000000000001"/>
    <n v="0.59"/>
    <n v="0.16420000000000001"/>
    <n v="2"/>
    <n v="57"/>
    <n v="59"/>
    <s v="Spring"/>
    <s v="Saturday"/>
    <s v="Clear"/>
    <s v="Morning"/>
    <x v="0"/>
    <x v="1"/>
    <x v="1"/>
    <x v="0"/>
    <s v="Mostly Registered"/>
    <n v="3.3898305084745761"/>
    <n v="96.610169491525426"/>
    <x v="0"/>
    <x v="0"/>
    <s v="Yes"/>
    <n v="1.7000000000000019E-2"/>
  </r>
  <r>
    <n v="336"/>
    <x v="14"/>
    <n v="1"/>
    <n v="11"/>
    <b v="0"/>
    <n v="6"/>
    <n v="1"/>
    <n v="0.2"/>
    <n v="0.19700000000000001"/>
    <n v="0.55000000000000004"/>
    <n v="0.22389999999999999"/>
    <n v="18"/>
    <n v="54"/>
    <n v="72"/>
    <s v="Spring"/>
    <s v="Saturday"/>
    <s v="Clear"/>
    <s v="Morning"/>
    <x v="0"/>
    <x v="1"/>
    <x v="1"/>
    <x v="0"/>
    <s v="Mostly Registered"/>
    <n v="25"/>
    <n v="75"/>
    <x v="0"/>
    <x v="0"/>
    <s v="Yes"/>
    <n v="-3.0000000000000031E-3"/>
  </r>
  <r>
    <n v="337"/>
    <x v="14"/>
    <n v="1"/>
    <n v="12"/>
    <b v="0"/>
    <n v="6"/>
    <n v="1"/>
    <n v="0.24"/>
    <n v="0.2273"/>
    <n v="0.48"/>
    <n v="0.22389999999999999"/>
    <n v="15"/>
    <n v="74"/>
    <n v="89"/>
    <s v="Spring"/>
    <s v="Saturday"/>
    <s v="Clear"/>
    <s v="Afternoon"/>
    <x v="0"/>
    <x v="1"/>
    <x v="1"/>
    <x v="0"/>
    <s v="Mostly Registered"/>
    <n v="16.853932584269661"/>
    <n v="83.146067415730343"/>
    <x v="0"/>
    <x v="0"/>
    <s v="Yes"/>
    <n v="-1.2699999999999991E-2"/>
  </r>
  <r>
    <n v="338"/>
    <x v="14"/>
    <n v="1"/>
    <n v="13"/>
    <b v="0"/>
    <n v="6"/>
    <n v="1"/>
    <n v="0.28000000000000003"/>
    <n v="0.2576"/>
    <n v="0.38"/>
    <n v="0.29849999999999999"/>
    <n v="21"/>
    <n v="80"/>
    <n v="101"/>
    <s v="Spring"/>
    <s v="Saturday"/>
    <s v="Clear"/>
    <s v="Afternoon"/>
    <x v="1"/>
    <x v="2"/>
    <x v="1"/>
    <x v="0"/>
    <s v="Mostly Registered"/>
    <n v="20.792079207920789"/>
    <n v="79.207920792079207"/>
    <x v="0"/>
    <x v="1"/>
    <s v="Yes"/>
    <n v="-2.2400000000000031E-2"/>
  </r>
  <r>
    <n v="339"/>
    <x v="14"/>
    <n v="1"/>
    <n v="14"/>
    <b v="0"/>
    <n v="6"/>
    <n v="1"/>
    <n v="0.3"/>
    <n v="0.28789999999999999"/>
    <n v="0.39"/>
    <n v="0.28360000000000002"/>
    <n v="26"/>
    <n v="92"/>
    <n v="118"/>
    <s v="Spring"/>
    <s v="Saturday"/>
    <s v="Clear"/>
    <s v="Afternoon"/>
    <x v="1"/>
    <x v="2"/>
    <x v="1"/>
    <x v="0"/>
    <s v="Mostly Registered"/>
    <n v="22.03389830508474"/>
    <n v="77.966101694915253"/>
    <x v="0"/>
    <x v="1"/>
    <s v="Yes"/>
    <n v="-1.21E-2"/>
  </r>
  <r>
    <n v="340"/>
    <x v="14"/>
    <n v="1"/>
    <n v="15"/>
    <b v="0"/>
    <n v="6"/>
    <n v="2"/>
    <n v="0.32"/>
    <n v="0.31819999999999998"/>
    <n v="0.36"/>
    <n v="0.19400000000000001"/>
    <n v="21"/>
    <n v="108"/>
    <n v="129"/>
    <s v="Spring"/>
    <s v="Saturday"/>
    <s v="Mist/Cloudy"/>
    <s v="Afternoon"/>
    <x v="1"/>
    <x v="2"/>
    <x v="1"/>
    <x v="0"/>
    <s v="Mostly Registered"/>
    <n v="16.279069767441861"/>
    <n v="83.720930232558146"/>
    <x v="0"/>
    <x v="1"/>
    <s v="Yes"/>
    <n v="-1.800000000000024E-3"/>
  </r>
  <r>
    <n v="341"/>
    <x v="14"/>
    <n v="1"/>
    <n v="16"/>
    <b v="0"/>
    <n v="6"/>
    <n v="2"/>
    <n v="0.34"/>
    <n v="0.33329999999999999"/>
    <n v="0.34"/>
    <n v="0.19400000000000001"/>
    <n v="33"/>
    <n v="95"/>
    <n v="128"/>
    <s v="Spring"/>
    <s v="Saturday"/>
    <s v="Mist/Cloudy"/>
    <s v="Afternoon"/>
    <x v="1"/>
    <x v="2"/>
    <x v="1"/>
    <x v="0"/>
    <s v="Mostly Registered"/>
    <n v="25.78125"/>
    <n v="74.21875"/>
    <x v="0"/>
    <x v="1"/>
    <s v="Yes"/>
    <n v="-6.7000000000000393E-3"/>
  </r>
  <r>
    <n v="342"/>
    <x v="14"/>
    <n v="1"/>
    <n v="17"/>
    <b v="0"/>
    <n v="6"/>
    <n v="2"/>
    <n v="0.32"/>
    <n v="0.30299999999999999"/>
    <n v="0.36"/>
    <n v="0.28360000000000002"/>
    <n v="29"/>
    <n v="54"/>
    <n v="83"/>
    <s v="Spring"/>
    <s v="Saturday"/>
    <s v="Mist/Cloudy"/>
    <s v="Evening"/>
    <x v="1"/>
    <x v="2"/>
    <x v="1"/>
    <x v="0"/>
    <s v="Mostly Registered"/>
    <n v="34.939759036144579"/>
    <n v="65.060240963855421"/>
    <x v="1"/>
    <x v="0"/>
    <s v="Yes"/>
    <n v="-1.7000000000000019E-2"/>
  </r>
  <r>
    <n v="343"/>
    <x v="14"/>
    <n v="1"/>
    <n v="18"/>
    <b v="0"/>
    <n v="6"/>
    <n v="2"/>
    <n v="0.3"/>
    <n v="0.28789999999999999"/>
    <n v="0.45"/>
    <n v="0.25369999999999998"/>
    <n v="15"/>
    <n v="69"/>
    <n v="84"/>
    <s v="Spring"/>
    <s v="Saturday"/>
    <s v="Mist/Cloudy"/>
    <s v="Evening"/>
    <x v="1"/>
    <x v="1"/>
    <x v="1"/>
    <x v="0"/>
    <s v="Mostly Registered"/>
    <n v="17.857142857142861"/>
    <n v="82.142857142857139"/>
    <x v="1"/>
    <x v="0"/>
    <s v="Yes"/>
    <n v="-1.21E-2"/>
  </r>
  <r>
    <n v="344"/>
    <x v="14"/>
    <n v="1"/>
    <n v="19"/>
    <b v="0"/>
    <n v="6"/>
    <n v="2"/>
    <n v="0.32"/>
    <n v="0.30299999999999999"/>
    <n v="0.39"/>
    <n v="0.25369999999999998"/>
    <n v="14"/>
    <n v="60"/>
    <n v="74"/>
    <s v="Spring"/>
    <s v="Saturday"/>
    <s v="Mist/Cloudy"/>
    <s v="Evening"/>
    <x v="1"/>
    <x v="2"/>
    <x v="1"/>
    <x v="0"/>
    <s v="Mostly Registered"/>
    <n v="18.918918918918919"/>
    <n v="81.081081081081081"/>
    <x v="1"/>
    <x v="0"/>
    <s v="Yes"/>
    <n v="-1.7000000000000019E-2"/>
  </r>
  <r>
    <n v="345"/>
    <x v="14"/>
    <n v="1"/>
    <n v="20"/>
    <b v="0"/>
    <n v="6"/>
    <n v="2"/>
    <n v="0.32"/>
    <n v="0.30299999999999999"/>
    <n v="0.39"/>
    <n v="0.25369999999999998"/>
    <n v="6"/>
    <n v="35"/>
    <n v="41"/>
    <s v="Spring"/>
    <s v="Saturday"/>
    <s v="Mist/Cloudy"/>
    <s v="Evening"/>
    <x v="1"/>
    <x v="2"/>
    <x v="1"/>
    <x v="0"/>
    <s v="Mostly Registered"/>
    <n v="14.63414634146341"/>
    <n v="85.365853658536579"/>
    <x v="0"/>
    <x v="0"/>
    <s v="Yes"/>
    <n v="-1.7000000000000019E-2"/>
  </r>
  <r>
    <n v="346"/>
    <x v="14"/>
    <n v="1"/>
    <n v="21"/>
    <b v="0"/>
    <n v="6"/>
    <n v="2"/>
    <n v="0.32"/>
    <n v="0.30299999999999999"/>
    <n v="0.39"/>
    <n v="0.22389999999999999"/>
    <n v="6"/>
    <n v="51"/>
    <n v="57"/>
    <s v="Spring"/>
    <s v="Saturday"/>
    <s v="Mist/Cloudy"/>
    <s v="Night"/>
    <x v="1"/>
    <x v="2"/>
    <x v="1"/>
    <x v="0"/>
    <s v="Mostly Registered"/>
    <n v="10.52631578947368"/>
    <n v="89.473684210526315"/>
    <x v="0"/>
    <x v="0"/>
    <s v="Yes"/>
    <n v="-1.7000000000000019E-2"/>
  </r>
  <r>
    <n v="347"/>
    <x v="14"/>
    <n v="1"/>
    <n v="22"/>
    <b v="0"/>
    <n v="6"/>
    <n v="2"/>
    <n v="0.3"/>
    <n v="0.31819999999999998"/>
    <n v="0.42"/>
    <n v="0.1045"/>
    <n v="0"/>
    <n v="26"/>
    <n v="26"/>
    <s v="Spring"/>
    <s v="Saturday"/>
    <s v="Mist/Cloudy"/>
    <s v="Night"/>
    <x v="1"/>
    <x v="1"/>
    <x v="0"/>
    <x v="0"/>
    <s v="Mostly Registered"/>
    <n v="0"/>
    <n v="100"/>
    <x v="0"/>
    <x v="0"/>
    <s v="Yes"/>
    <n v="1.819999999999999E-2"/>
  </r>
  <r>
    <n v="348"/>
    <x v="14"/>
    <n v="1"/>
    <n v="23"/>
    <b v="0"/>
    <n v="6"/>
    <n v="1"/>
    <n v="0.3"/>
    <n v="0.28789999999999999"/>
    <n v="0.45"/>
    <n v="0.28360000000000002"/>
    <n v="5"/>
    <n v="39"/>
    <n v="44"/>
    <s v="Spring"/>
    <s v="Saturday"/>
    <s v="Clear"/>
    <s v="Night"/>
    <x v="1"/>
    <x v="1"/>
    <x v="1"/>
    <x v="0"/>
    <s v="Mostly Registered"/>
    <n v="11.36363636363636"/>
    <n v="88.63636363636364"/>
    <x v="0"/>
    <x v="0"/>
    <s v="Yes"/>
    <n v="-1.21E-2"/>
  </r>
  <r>
    <n v="349"/>
    <x v="15"/>
    <n v="1"/>
    <n v="0"/>
    <b v="0"/>
    <n v="0"/>
    <n v="1"/>
    <n v="0.26"/>
    <n v="0.30299999999999999"/>
    <n v="0.56000000000000005"/>
    <n v="0"/>
    <n v="6"/>
    <n v="33"/>
    <n v="39"/>
    <s v="Spring"/>
    <s v="Sunday"/>
    <s v="Clear"/>
    <s v="Night"/>
    <x v="1"/>
    <x v="1"/>
    <x v="0"/>
    <x v="0"/>
    <s v="Mostly Registered"/>
    <n v="15.38461538461539"/>
    <n v="84.615384615384613"/>
    <x v="0"/>
    <x v="0"/>
    <s v="Yes"/>
    <n v="4.2999999999999983E-2"/>
  </r>
  <r>
    <n v="350"/>
    <x v="15"/>
    <n v="1"/>
    <n v="1"/>
    <b v="0"/>
    <n v="0"/>
    <n v="1"/>
    <n v="0.26"/>
    <n v="0.2727"/>
    <n v="0.56000000000000005"/>
    <n v="0.1343"/>
    <n v="4"/>
    <n v="19"/>
    <n v="23"/>
    <s v="Spring"/>
    <s v="Sunday"/>
    <s v="Clear"/>
    <s v="Night"/>
    <x v="1"/>
    <x v="1"/>
    <x v="0"/>
    <x v="0"/>
    <s v="Mostly Registered"/>
    <n v="17.39130434782609"/>
    <n v="82.608695652173907"/>
    <x v="0"/>
    <x v="0"/>
    <s v="Yes"/>
    <n v="1.2699999999999991E-2"/>
  </r>
  <r>
    <n v="351"/>
    <x v="15"/>
    <n v="1"/>
    <n v="2"/>
    <b v="0"/>
    <n v="0"/>
    <n v="1"/>
    <n v="0.26"/>
    <n v="0.28789999999999999"/>
    <n v="0.56000000000000005"/>
    <n v="8.9599999999999999E-2"/>
    <n v="3"/>
    <n v="13"/>
    <n v="16"/>
    <s v="Spring"/>
    <s v="Sunday"/>
    <s v="Clear"/>
    <s v="Night"/>
    <x v="1"/>
    <x v="1"/>
    <x v="0"/>
    <x v="0"/>
    <s v="Mostly Registered"/>
    <n v="18.75"/>
    <n v="81.25"/>
    <x v="0"/>
    <x v="0"/>
    <s v="Yes"/>
    <n v="2.789999999999998E-2"/>
  </r>
  <r>
    <n v="352"/>
    <x v="15"/>
    <n v="1"/>
    <n v="3"/>
    <b v="0"/>
    <n v="0"/>
    <n v="1"/>
    <n v="0.22"/>
    <n v="0.2727"/>
    <n v="0.69"/>
    <n v="0"/>
    <n v="9"/>
    <n v="6"/>
    <n v="15"/>
    <s v="Spring"/>
    <s v="Sunday"/>
    <s v="Clear"/>
    <s v="Night"/>
    <x v="0"/>
    <x v="1"/>
    <x v="0"/>
    <x v="0"/>
    <s v="Mostly Casual"/>
    <n v="60"/>
    <n v="40"/>
    <x v="0"/>
    <x v="0"/>
    <s v="Yes"/>
    <n v="5.2699999999999997E-2"/>
  </r>
  <r>
    <n v="353"/>
    <x v="15"/>
    <n v="1"/>
    <n v="4"/>
    <b v="0"/>
    <n v="0"/>
    <n v="1"/>
    <n v="0.26"/>
    <n v="0.2576"/>
    <n v="0.56000000000000005"/>
    <n v="0.16420000000000001"/>
    <n v="0"/>
    <n v="1"/>
    <n v="1"/>
    <s v="Spring"/>
    <s v="Sunday"/>
    <s v="Clear"/>
    <s v="Night"/>
    <x v="1"/>
    <x v="1"/>
    <x v="1"/>
    <x v="0"/>
    <s v="Mostly Registered"/>
    <n v="0"/>
    <n v="100"/>
    <x v="0"/>
    <x v="0"/>
    <s v="Yes"/>
    <n v="-2.4000000000000128E-3"/>
  </r>
  <r>
    <n v="354"/>
    <x v="15"/>
    <n v="1"/>
    <n v="5"/>
    <b v="0"/>
    <n v="0"/>
    <n v="2"/>
    <n v="0.26"/>
    <n v="0.2576"/>
    <n v="0.56000000000000005"/>
    <n v="0.16420000000000001"/>
    <n v="1"/>
    <n v="1"/>
    <n v="2"/>
    <s v="Spring"/>
    <s v="Sunday"/>
    <s v="Mist/Cloudy"/>
    <s v="Night"/>
    <x v="1"/>
    <x v="1"/>
    <x v="1"/>
    <x v="0"/>
    <s v="Mostly Registered"/>
    <n v="50"/>
    <n v="50"/>
    <x v="0"/>
    <x v="0"/>
    <s v="Yes"/>
    <n v="-2.4000000000000128E-3"/>
  </r>
  <r>
    <n v="355"/>
    <x v="15"/>
    <n v="1"/>
    <n v="6"/>
    <b v="0"/>
    <n v="0"/>
    <n v="2"/>
    <n v="0.26"/>
    <n v="0.2576"/>
    <n v="0.56000000000000005"/>
    <n v="0.16420000000000001"/>
    <n v="0"/>
    <n v="1"/>
    <n v="1"/>
    <s v="Spring"/>
    <s v="Sunday"/>
    <s v="Mist/Cloudy"/>
    <s v="Morning"/>
    <x v="1"/>
    <x v="1"/>
    <x v="1"/>
    <x v="0"/>
    <s v="Mostly Registered"/>
    <n v="0"/>
    <n v="100"/>
    <x v="0"/>
    <x v="0"/>
    <s v="Yes"/>
    <n v="-2.4000000000000128E-3"/>
  </r>
  <r>
    <n v="356"/>
    <x v="15"/>
    <n v="1"/>
    <n v="7"/>
    <b v="0"/>
    <n v="0"/>
    <n v="2"/>
    <n v="0.24"/>
    <n v="0.21210000000000001"/>
    <n v="0.56000000000000005"/>
    <n v="0.29849999999999999"/>
    <n v="0"/>
    <n v="3"/>
    <n v="3"/>
    <s v="Spring"/>
    <s v="Sunday"/>
    <s v="Mist/Cloudy"/>
    <s v="Morning"/>
    <x v="0"/>
    <x v="1"/>
    <x v="1"/>
    <x v="0"/>
    <s v="Mostly Registered"/>
    <n v="0"/>
    <n v="100"/>
    <x v="1"/>
    <x v="0"/>
    <s v="Yes"/>
    <n v="-2.789999999999998E-2"/>
  </r>
  <r>
    <n v="357"/>
    <x v="15"/>
    <n v="1"/>
    <n v="8"/>
    <b v="0"/>
    <n v="0"/>
    <n v="1"/>
    <n v="0.22"/>
    <n v="0.21210000000000001"/>
    <n v="0.55000000000000004"/>
    <n v="0.28360000000000002"/>
    <n v="0"/>
    <n v="18"/>
    <n v="18"/>
    <s v="Spring"/>
    <s v="Sunday"/>
    <s v="Clear"/>
    <s v="Morning"/>
    <x v="0"/>
    <x v="1"/>
    <x v="1"/>
    <x v="0"/>
    <s v="Mostly Registered"/>
    <n v="0"/>
    <n v="100"/>
    <x v="1"/>
    <x v="0"/>
    <s v="Yes"/>
    <n v="-7.8999999999999904E-3"/>
  </r>
  <r>
    <n v="358"/>
    <x v="15"/>
    <n v="1"/>
    <n v="9"/>
    <b v="0"/>
    <n v="0"/>
    <n v="1"/>
    <n v="0.22"/>
    <n v="0.21210000000000001"/>
    <n v="0.51"/>
    <n v="0.25369999999999998"/>
    <n v="3"/>
    <n v="29"/>
    <n v="32"/>
    <s v="Spring"/>
    <s v="Sunday"/>
    <s v="Clear"/>
    <s v="Morning"/>
    <x v="0"/>
    <x v="1"/>
    <x v="1"/>
    <x v="0"/>
    <s v="Mostly Registered"/>
    <n v="9.375"/>
    <n v="90.625"/>
    <x v="1"/>
    <x v="0"/>
    <s v="Yes"/>
    <n v="-7.8999999999999904E-3"/>
  </r>
  <r>
    <n v="359"/>
    <x v="15"/>
    <n v="1"/>
    <n v="10"/>
    <b v="0"/>
    <n v="0"/>
    <n v="1"/>
    <n v="0.22"/>
    <n v="0.21210000000000001"/>
    <n v="0.51"/>
    <n v="0.28360000000000002"/>
    <n v="8"/>
    <n v="71"/>
    <n v="79"/>
    <s v="Spring"/>
    <s v="Sunday"/>
    <s v="Clear"/>
    <s v="Morning"/>
    <x v="0"/>
    <x v="1"/>
    <x v="1"/>
    <x v="0"/>
    <s v="Mostly Registered"/>
    <n v="10.12658227848101"/>
    <n v="89.87341772151899"/>
    <x v="0"/>
    <x v="0"/>
    <s v="Yes"/>
    <n v="-7.8999999999999904E-3"/>
  </r>
  <r>
    <n v="360"/>
    <x v="15"/>
    <n v="1"/>
    <n v="11"/>
    <b v="0"/>
    <n v="0"/>
    <n v="1"/>
    <n v="0.24"/>
    <n v="0.2273"/>
    <n v="0.44"/>
    <n v="0.25369999999999998"/>
    <n v="23"/>
    <n v="70"/>
    <n v="93"/>
    <s v="Spring"/>
    <s v="Sunday"/>
    <s v="Clear"/>
    <s v="Morning"/>
    <x v="0"/>
    <x v="1"/>
    <x v="1"/>
    <x v="0"/>
    <s v="Mostly Registered"/>
    <n v="24.731182795698921"/>
    <n v="75.268817204301072"/>
    <x v="0"/>
    <x v="0"/>
    <s v="Yes"/>
    <n v="-1.2699999999999991E-2"/>
  </r>
  <r>
    <n v="361"/>
    <x v="15"/>
    <n v="1"/>
    <n v="12"/>
    <b v="0"/>
    <n v="0"/>
    <n v="1"/>
    <n v="0.24"/>
    <n v="0.21210000000000001"/>
    <n v="0.41"/>
    <n v="0.28360000000000002"/>
    <n v="29"/>
    <n v="75"/>
    <n v="104"/>
    <s v="Spring"/>
    <s v="Sunday"/>
    <s v="Clear"/>
    <s v="Afternoon"/>
    <x v="0"/>
    <x v="1"/>
    <x v="1"/>
    <x v="0"/>
    <s v="Mostly Registered"/>
    <n v="27.88461538461539"/>
    <n v="72.115384615384613"/>
    <x v="0"/>
    <x v="1"/>
    <s v="Yes"/>
    <n v="-2.789999999999998E-2"/>
  </r>
  <r>
    <n v="362"/>
    <x v="15"/>
    <n v="1"/>
    <n v="13"/>
    <b v="0"/>
    <n v="0"/>
    <n v="1"/>
    <n v="0.26"/>
    <n v="0.2273"/>
    <n v="0.35"/>
    <n v="0.29849999999999999"/>
    <n v="23"/>
    <n v="95"/>
    <n v="118"/>
    <s v="Spring"/>
    <s v="Sunday"/>
    <s v="Clear"/>
    <s v="Afternoon"/>
    <x v="1"/>
    <x v="2"/>
    <x v="1"/>
    <x v="0"/>
    <s v="Mostly Registered"/>
    <n v="19.49152542372881"/>
    <n v="80.508474576271183"/>
    <x v="0"/>
    <x v="1"/>
    <s v="Yes"/>
    <n v="-3.2700000000000007E-2"/>
  </r>
  <r>
    <n v="363"/>
    <x v="15"/>
    <n v="1"/>
    <n v="14"/>
    <b v="0"/>
    <n v="0"/>
    <n v="1"/>
    <n v="0.28000000000000003"/>
    <n v="0.2727"/>
    <n v="0.36"/>
    <n v="0.25369999999999998"/>
    <n v="22"/>
    <n v="69"/>
    <n v="91"/>
    <s v="Spring"/>
    <s v="Sunday"/>
    <s v="Clear"/>
    <s v="Afternoon"/>
    <x v="1"/>
    <x v="2"/>
    <x v="1"/>
    <x v="0"/>
    <s v="Mostly Registered"/>
    <n v="24.175824175824179"/>
    <n v="75.824175824175825"/>
    <x v="0"/>
    <x v="0"/>
    <s v="Yes"/>
    <n v="-7.3000000000000287E-3"/>
  </r>
  <r>
    <n v="364"/>
    <x v="15"/>
    <n v="1"/>
    <n v="15"/>
    <b v="0"/>
    <n v="0"/>
    <n v="1"/>
    <n v="0.26"/>
    <n v="0.2424"/>
    <n v="0.38"/>
    <n v="0.25369999999999998"/>
    <n v="35"/>
    <n v="78"/>
    <n v="113"/>
    <s v="Spring"/>
    <s v="Sunday"/>
    <s v="Clear"/>
    <s v="Afternoon"/>
    <x v="1"/>
    <x v="2"/>
    <x v="1"/>
    <x v="0"/>
    <s v="Mostly Registered"/>
    <n v="30.973451327433629"/>
    <n v="69.026548672566364"/>
    <x v="0"/>
    <x v="1"/>
    <s v="Yes"/>
    <n v="-1.7600000000000001E-2"/>
  </r>
  <r>
    <n v="365"/>
    <x v="15"/>
    <n v="1"/>
    <n v="16"/>
    <b v="0"/>
    <n v="0"/>
    <n v="1"/>
    <n v="0.24"/>
    <n v="0.2273"/>
    <n v="0.38"/>
    <n v="0.22389999999999999"/>
    <n v="22"/>
    <n v="77"/>
    <n v="99"/>
    <s v="Spring"/>
    <s v="Sunday"/>
    <s v="Clear"/>
    <s v="Afternoon"/>
    <x v="0"/>
    <x v="2"/>
    <x v="1"/>
    <x v="0"/>
    <s v="Mostly Registered"/>
    <n v="22.222222222222221"/>
    <n v="77.777777777777786"/>
    <x v="0"/>
    <x v="0"/>
    <s v="Yes"/>
    <n v="-1.2699999999999991E-2"/>
  </r>
  <r>
    <n v="366"/>
    <x v="15"/>
    <n v="1"/>
    <n v="17"/>
    <b v="0"/>
    <n v="0"/>
    <n v="1"/>
    <n v="0.22"/>
    <n v="0.21210000000000001"/>
    <n v="0.37"/>
    <n v="0.25369999999999998"/>
    <n v="23"/>
    <n v="82"/>
    <n v="105"/>
    <s v="Spring"/>
    <s v="Sunday"/>
    <s v="Clear"/>
    <s v="Evening"/>
    <x v="0"/>
    <x v="2"/>
    <x v="1"/>
    <x v="0"/>
    <s v="Mostly Registered"/>
    <n v="21.904761904761909"/>
    <n v="78.095238095238102"/>
    <x v="1"/>
    <x v="1"/>
    <s v="Yes"/>
    <n v="-7.8999999999999904E-3"/>
  </r>
  <r>
    <n v="367"/>
    <x v="15"/>
    <n v="1"/>
    <n v="18"/>
    <b v="0"/>
    <n v="0"/>
    <n v="1"/>
    <n v="0.2"/>
    <n v="0.21210000000000001"/>
    <n v="0.4"/>
    <n v="0.16420000000000001"/>
    <n v="11"/>
    <n v="56"/>
    <n v="67"/>
    <s v="Spring"/>
    <s v="Sunday"/>
    <s v="Clear"/>
    <s v="Evening"/>
    <x v="0"/>
    <x v="1"/>
    <x v="1"/>
    <x v="0"/>
    <s v="Mostly Registered"/>
    <n v="16.417910447761191"/>
    <n v="83.582089552238799"/>
    <x v="1"/>
    <x v="0"/>
    <s v="Yes"/>
    <n v="1.21E-2"/>
  </r>
  <r>
    <n v="368"/>
    <x v="15"/>
    <n v="1"/>
    <n v="19"/>
    <b v="0"/>
    <n v="0"/>
    <n v="1"/>
    <n v="0.18"/>
    <n v="0.19700000000000001"/>
    <n v="0.47"/>
    <n v="0.1343"/>
    <n v="14"/>
    <n v="47"/>
    <n v="61"/>
    <s v="Spring"/>
    <s v="Sunday"/>
    <s v="Clear"/>
    <s v="Evening"/>
    <x v="0"/>
    <x v="1"/>
    <x v="0"/>
    <x v="0"/>
    <s v="Mostly Registered"/>
    <n v="22.95081967213115"/>
    <n v="77.049180327868854"/>
    <x v="1"/>
    <x v="0"/>
    <s v="Yes"/>
    <n v="1.7000000000000019E-2"/>
  </r>
  <r>
    <n v="369"/>
    <x v="15"/>
    <n v="1"/>
    <n v="20"/>
    <b v="0"/>
    <n v="0"/>
    <n v="1"/>
    <n v="0.18"/>
    <n v="0.19700000000000001"/>
    <n v="0.47"/>
    <n v="0.16420000000000001"/>
    <n v="7"/>
    <n v="50"/>
    <n v="57"/>
    <s v="Spring"/>
    <s v="Sunday"/>
    <s v="Clear"/>
    <s v="Evening"/>
    <x v="0"/>
    <x v="1"/>
    <x v="1"/>
    <x v="0"/>
    <s v="Mostly Registered"/>
    <n v="12.28070175438596"/>
    <n v="87.719298245614027"/>
    <x v="0"/>
    <x v="0"/>
    <s v="Yes"/>
    <n v="1.7000000000000019E-2"/>
  </r>
  <r>
    <n v="370"/>
    <x v="15"/>
    <n v="1"/>
    <n v="21"/>
    <b v="0"/>
    <n v="0"/>
    <n v="1"/>
    <n v="0.18"/>
    <n v="0.19700000000000001"/>
    <n v="0.51"/>
    <n v="0.16420000000000001"/>
    <n v="6"/>
    <n v="22"/>
    <n v="28"/>
    <s v="Spring"/>
    <s v="Sunday"/>
    <s v="Clear"/>
    <s v="Night"/>
    <x v="0"/>
    <x v="1"/>
    <x v="1"/>
    <x v="0"/>
    <s v="Mostly Registered"/>
    <n v="21.428571428571431"/>
    <n v="78.571428571428569"/>
    <x v="0"/>
    <x v="0"/>
    <s v="Yes"/>
    <n v="1.7000000000000019E-2"/>
  </r>
  <r>
    <n v="371"/>
    <x v="15"/>
    <n v="1"/>
    <n v="22"/>
    <b v="0"/>
    <n v="0"/>
    <n v="2"/>
    <n v="0.2"/>
    <n v="0.21210000000000001"/>
    <n v="0.49"/>
    <n v="0.1343"/>
    <n v="2"/>
    <n v="19"/>
    <n v="21"/>
    <s v="Spring"/>
    <s v="Sunday"/>
    <s v="Mist/Cloudy"/>
    <s v="Night"/>
    <x v="0"/>
    <x v="1"/>
    <x v="0"/>
    <x v="0"/>
    <s v="Mostly Registered"/>
    <n v="9.5238095238095237"/>
    <n v="90.476190476190482"/>
    <x v="0"/>
    <x v="0"/>
    <s v="Yes"/>
    <n v="1.21E-2"/>
  </r>
  <r>
    <n v="372"/>
    <x v="15"/>
    <n v="1"/>
    <n v="23"/>
    <b v="0"/>
    <n v="0"/>
    <n v="2"/>
    <n v="0.2"/>
    <n v="0.2273"/>
    <n v="0.4"/>
    <n v="0.1045"/>
    <n v="0"/>
    <n v="18"/>
    <n v="18"/>
    <s v="Spring"/>
    <s v="Sunday"/>
    <s v="Mist/Cloudy"/>
    <s v="Night"/>
    <x v="0"/>
    <x v="1"/>
    <x v="0"/>
    <x v="0"/>
    <s v="Mostly Registered"/>
    <n v="0"/>
    <n v="100"/>
    <x v="0"/>
    <x v="0"/>
    <s v="Yes"/>
    <n v="2.7299999999999991E-2"/>
  </r>
  <r>
    <n v="373"/>
    <x v="16"/>
    <n v="1"/>
    <n v="0"/>
    <b v="1"/>
    <n v="1"/>
    <n v="2"/>
    <n v="0.2"/>
    <n v="0.19700000000000001"/>
    <n v="0.47"/>
    <n v="0.22389999999999999"/>
    <n v="1"/>
    <n v="16"/>
    <n v="17"/>
    <s v="Spring"/>
    <s v="Monday"/>
    <s v="Mist/Cloudy"/>
    <s v="Night"/>
    <x v="0"/>
    <x v="1"/>
    <x v="1"/>
    <x v="1"/>
    <s v="Mostly Registered"/>
    <n v="5.8823529411764701"/>
    <n v="94.117647058823522"/>
    <x v="0"/>
    <x v="0"/>
    <s v="No"/>
    <n v="-3.0000000000000031E-3"/>
  </r>
  <r>
    <n v="374"/>
    <x v="16"/>
    <n v="1"/>
    <n v="1"/>
    <b v="1"/>
    <n v="1"/>
    <n v="2"/>
    <n v="0.2"/>
    <n v="0.19700000000000001"/>
    <n v="0.44"/>
    <n v="0.19400000000000001"/>
    <n v="1"/>
    <n v="15"/>
    <n v="16"/>
    <s v="Spring"/>
    <s v="Monday"/>
    <s v="Mist/Cloudy"/>
    <s v="Night"/>
    <x v="0"/>
    <x v="1"/>
    <x v="1"/>
    <x v="1"/>
    <s v="Mostly Registered"/>
    <n v="6.25"/>
    <n v="93.75"/>
    <x v="0"/>
    <x v="0"/>
    <s v="No"/>
    <n v="-3.0000000000000031E-3"/>
  </r>
  <r>
    <n v="375"/>
    <x v="16"/>
    <n v="1"/>
    <n v="2"/>
    <b v="1"/>
    <n v="1"/>
    <n v="2"/>
    <n v="0.18"/>
    <n v="0.16669999999999999"/>
    <n v="0.43"/>
    <n v="0.25369999999999998"/>
    <n v="0"/>
    <n v="8"/>
    <n v="8"/>
    <s v="Spring"/>
    <s v="Monday"/>
    <s v="Mist/Cloudy"/>
    <s v="Night"/>
    <x v="0"/>
    <x v="1"/>
    <x v="1"/>
    <x v="1"/>
    <s v="Mostly Registered"/>
    <n v="0"/>
    <n v="100"/>
    <x v="0"/>
    <x v="0"/>
    <s v="No"/>
    <n v="-1.330000000000001E-2"/>
  </r>
  <r>
    <n v="376"/>
    <x v="16"/>
    <n v="1"/>
    <n v="3"/>
    <b v="1"/>
    <n v="1"/>
    <n v="2"/>
    <n v="0.18"/>
    <n v="0.18179999999999999"/>
    <n v="0.43"/>
    <n v="0.19400000000000001"/>
    <n v="0"/>
    <n v="2"/>
    <n v="2"/>
    <s v="Spring"/>
    <s v="Monday"/>
    <s v="Mist/Cloudy"/>
    <s v="Night"/>
    <x v="0"/>
    <x v="1"/>
    <x v="1"/>
    <x v="1"/>
    <s v="Mostly Registered"/>
    <n v="0"/>
    <n v="100"/>
    <x v="0"/>
    <x v="0"/>
    <s v="No"/>
    <n v="1.799999999999996E-3"/>
  </r>
  <r>
    <n v="377"/>
    <x v="16"/>
    <n v="1"/>
    <n v="4"/>
    <b v="1"/>
    <n v="1"/>
    <n v="2"/>
    <n v="0.18"/>
    <n v="0.19700000000000001"/>
    <n v="0.43"/>
    <n v="0.1343"/>
    <n v="1"/>
    <n v="2"/>
    <n v="3"/>
    <s v="Spring"/>
    <s v="Monday"/>
    <s v="Mist/Cloudy"/>
    <s v="Night"/>
    <x v="0"/>
    <x v="1"/>
    <x v="0"/>
    <x v="1"/>
    <s v="Mostly Registered"/>
    <n v="33.333333333333329"/>
    <n v="66.666666666666657"/>
    <x v="0"/>
    <x v="0"/>
    <s v="No"/>
    <n v="1.7000000000000019E-2"/>
  </r>
  <r>
    <n v="378"/>
    <x v="16"/>
    <n v="1"/>
    <n v="5"/>
    <b v="1"/>
    <n v="1"/>
    <n v="2"/>
    <n v="0.18"/>
    <n v="0.19700000000000001"/>
    <n v="0.43"/>
    <n v="0.16420000000000001"/>
    <n v="0"/>
    <n v="1"/>
    <n v="1"/>
    <s v="Spring"/>
    <s v="Monday"/>
    <s v="Mist/Cloudy"/>
    <s v="Night"/>
    <x v="0"/>
    <x v="1"/>
    <x v="1"/>
    <x v="1"/>
    <s v="Mostly Registered"/>
    <n v="0"/>
    <n v="100"/>
    <x v="0"/>
    <x v="0"/>
    <s v="No"/>
    <n v="1.7000000000000019E-2"/>
  </r>
  <r>
    <n v="379"/>
    <x v="16"/>
    <n v="1"/>
    <n v="6"/>
    <b v="1"/>
    <n v="1"/>
    <n v="2"/>
    <n v="0.18"/>
    <n v="0.18179999999999999"/>
    <n v="0.43"/>
    <n v="0.19400000000000001"/>
    <n v="0"/>
    <n v="5"/>
    <n v="5"/>
    <s v="Spring"/>
    <s v="Monday"/>
    <s v="Mist/Cloudy"/>
    <s v="Morning"/>
    <x v="0"/>
    <x v="1"/>
    <x v="1"/>
    <x v="1"/>
    <s v="Mostly Registered"/>
    <n v="0"/>
    <n v="100"/>
    <x v="0"/>
    <x v="0"/>
    <s v="No"/>
    <n v="1.799999999999996E-3"/>
  </r>
  <r>
    <n v="380"/>
    <x v="16"/>
    <n v="1"/>
    <n v="7"/>
    <b v="1"/>
    <n v="1"/>
    <n v="2"/>
    <n v="0.16"/>
    <n v="0.18179999999999999"/>
    <n v="0.5"/>
    <n v="0.1343"/>
    <n v="4"/>
    <n v="9"/>
    <n v="13"/>
    <s v="Spring"/>
    <s v="Monday"/>
    <s v="Mist/Cloudy"/>
    <s v="Morning"/>
    <x v="0"/>
    <x v="1"/>
    <x v="0"/>
    <x v="1"/>
    <s v="Mostly Registered"/>
    <n v="30.76923076923077"/>
    <n v="69.230769230769226"/>
    <x v="1"/>
    <x v="0"/>
    <s v="No"/>
    <n v="2.179999999999999E-2"/>
  </r>
  <r>
    <n v="381"/>
    <x v="16"/>
    <n v="1"/>
    <n v="8"/>
    <b v="1"/>
    <n v="1"/>
    <n v="2"/>
    <n v="0.16"/>
    <n v="0.1515"/>
    <n v="0.47"/>
    <n v="0.22389999999999999"/>
    <n v="3"/>
    <n v="30"/>
    <n v="33"/>
    <s v="Spring"/>
    <s v="Monday"/>
    <s v="Mist/Cloudy"/>
    <s v="Morning"/>
    <x v="0"/>
    <x v="1"/>
    <x v="1"/>
    <x v="1"/>
    <s v="Mostly Registered"/>
    <n v="9.0909090909090917"/>
    <n v="90.909090909090907"/>
    <x v="1"/>
    <x v="0"/>
    <s v="No"/>
    <n v="-8.5000000000000075E-3"/>
  </r>
  <r>
    <n v="382"/>
    <x v="16"/>
    <n v="1"/>
    <n v="9"/>
    <b v="1"/>
    <n v="1"/>
    <n v="2"/>
    <n v="0.16"/>
    <n v="0.1515"/>
    <n v="0.47"/>
    <n v="0.22389999999999999"/>
    <n v="8"/>
    <n v="39"/>
    <n v="47"/>
    <s v="Spring"/>
    <s v="Monday"/>
    <s v="Mist/Cloudy"/>
    <s v="Morning"/>
    <x v="0"/>
    <x v="1"/>
    <x v="1"/>
    <x v="1"/>
    <s v="Mostly Registered"/>
    <n v="17.021276595744681"/>
    <n v="82.978723404255319"/>
    <x v="1"/>
    <x v="0"/>
    <s v="No"/>
    <n v="-8.5000000000000075E-3"/>
  </r>
  <r>
    <n v="383"/>
    <x v="16"/>
    <n v="1"/>
    <n v="10"/>
    <b v="1"/>
    <n v="1"/>
    <n v="2"/>
    <n v="0.16"/>
    <n v="0.1515"/>
    <n v="0.5"/>
    <n v="0.25369999999999998"/>
    <n v="7"/>
    <n v="50"/>
    <n v="57"/>
    <s v="Spring"/>
    <s v="Monday"/>
    <s v="Mist/Cloudy"/>
    <s v="Morning"/>
    <x v="0"/>
    <x v="1"/>
    <x v="1"/>
    <x v="1"/>
    <s v="Mostly Registered"/>
    <n v="12.28070175438596"/>
    <n v="87.719298245614027"/>
    <x v="0"/>
    <x v="0"/>
    <s v="No"/>
    <n v="-8.5000000000000075E-3"/>
  </r>
  <r>
    <n v="384"/>
    <x v="16"/>
    <n v="1"/>
    <n v="11"/>
    <b v="1"/>
    <n v="1"/>
    <n v="2"/>
    <n v="0.16"/>
    <n v="0.1515"/>
    <n v="0.55000000000000004"/>
    <n v="0.19400000000000001"/>
    <n v="9"/>
    <n v="55"/>
    <n v="64"/>
    <s v="Spring"/>
    <s v="Monday"/>
    <s v="Mist/Cloudy"/>
    <s v="Morning"/>
    <x v="0"/>
    <x v="1"/>
    <x v="1"/>
    <x v="1"/>
    <s v="Mostly Registered"/>
    <n v="14.0625"/>
    <n v="85.9375"/>
    <x v="0"/>
    <x v="0"/>
    <s v="No"/>
    <n v="-8.5000000000000075E-3"/>
  </r>
  <r>
    <n v="385"/>
    <x v="16"/>
    <n v="1"/>
    <n v="12"/>
    <b v="1"/>
    <n v="1"/>
    <n v="2"/>
    <n v="0.18"/>
    <n v="0.19700000000000001"/>
    <n v="0.47"/>
    <n v="0.1343"/>
    <n v="10"/>
    <n v="70"/>
    <n v="80"/>
    <s v="Spring"/>
    <s v="Monday"/>
    <s v="Mist/Cloudy"/>
    <s v="Afternoon"/>
    <x v="0"/>
    <x v="1"/>
    <x v="0"/>
    <x v="1"/>
    <s v="Mostly Registered"/>
    <n v="12.5"/>
    <n v="87.5"/>
    <x v="0"/>
    <x v="0"/>
    <s v="No"/>
    <n v="1.7000000000000019E-2"/>
  </r>
  <r>
    <n v="386"/>
    <x v="16"/>
    <n v="1"/>
    <n v="13"/>
    <b v="1"/>
    <n v="1"/>
    <n v="2"/>
    <n v="0.18"/>
    <n v="0.19700000000000001"/>
    <n v="0.47"/>
    <n v="0.1343"/>
    <n v="13"/>
    <n v="80"/>
    <n v="93"/>
    <s v="Spring"/>
    <s v="Monday"/>
    <s v="Mist/Cloudy"/>
    <s v="Afternoon"/>
    <x v="0"/>
    <x v="1"/>
    <x v="0"/>
    <x v="1"/>
    <s v="Mostly Registered"/>
    <n v="13.97849462365591"/>
    <n v="86.021505376344081"/>
    <x v="0"/>
    <x v="0"/>
    <s v="No"/>
    <n v="1.7000000000000019E-2"/>
  </r>
  <r>
    <n v="387"/>
    <x v="16"/>
    <n v="1"/>
    <n v="14"/>
    <b v="1"/>
    <n v="1"/>
    <n v="2"/>
    <n v="0.18"/>
    <n v="0.21210000000000001"/>
    <n v="0.43"/>
    <n v="0.1045"/>
    <n v="12"/>
    <n v="74"/>
    <n v="86"/>
    <s v="Spring"/>
    <s v="Monday"/>
    <s v="Mist/Cloudy"/>
    <s v="Afternoon"/>
    <x v="0"/>
    <x v="1"/>
    <x v="0"/>
    <x v="1"/>
    <s v="Mostly Registered"/>
    <n v="13.95348837209302"/>
    <n v="86.04651162790698"/>
    <x v="0"/>
    <x v="0"/>
    <s v="No"/>
    <n v="3.2100000000000017E-2"/>
  </r>
  <r>
    <n v="388"/>
    <x v="16"/>
    <n v="1"/>
    <n v="15"/>
    <b v="1"/>
    <n v="1"/>
    <n v="2"/>
    <n v="0.2"/>
    <n v="0.21210000000000001"/>
    <n v="0.47"/>
    <n v="0.16420000000000001"/>
    <n v="21"/>
    <n v="72"/>
    <n v="93"/>
    <s v="Spring"/>
    <s v="Monday"/>
    <s v="Mist/Cloudy"/>
    <s v="Afternoon"/>
    <x v="0"/>
    <x v="1"/>
    <x v="1"/>
    <x v="1"/>
    <s v="Mostly Registered"/>
    <n v="22.58064516129032"/>
    <n v="77.41935483870968"/>
    <x v="0"/>
    <x v="0"/>
    <s v="No"/>
    <n v="1.21E-2"/>
  </r>
  <r>
    <n v="389"/>
    <x v="16"/>
    <n v="1"/>
    <n v="16"/>
    <b v="1"/>
    <n v="1"/>
    <n v="2"/>
    <n v="0.2"/>
    <n v="0.21210000000000001"/>
    <n v="0.47"/>
    <n v="0.16420000000000001"/>
    <n v="6"/>
    <n v="76"/>
    <n v="82"/>
    <s v="Spring"/>
    <s v="Monday"/>
    <s v="Mist/Cloudy"/>
    <s v="Afternoon"/>
    <x v="0"/>
    <x v="1"/>
    <x v="1"/>
    <x v="1"/>
    <s v="Mostly Registered"/>
    <n v="7.3170731707317067"/>
    <n v="92.682926829268297"/>
    <x v="0"/>
    <x v="0"/>
    <s v="No"/>
    <n v="1.21E-2"/>
  </r>
  <r>
    <n v="390"/>
    <x v="16"/>
    <n v="1"/>
    <n v="17"/>
    <b v="1"/>
    <n v="1"/>
    <n v="1"/>
    <n v="0.2"/>
    <n v="0.19700000000000001"/>
    <n v="0.51"/>
    <n v="0.19400000000000001"/>
    <n v="4"/>
    <n v="67"/>
    <n v="71"/>
    <s v="Spring"/>
    <s v="Monday"/>
    <s v="Clear"/>
    <s v="Evening"/>
    <x v="0"/>
    <x v="1"/>
    <x v="1"/>
    <x v="1"/>
    <s v="Mostly Registered"/>
    <n v="5.6338028169014089"/>
    <n v="94.366197183098592"/>
    <x v="1"/>
    <x v="0"/>
    <s v="No"/>
    <n v="-3.0000000000000031E-3"/>
  </r>
  <r>
    <n v="391"/>
    <x v="16"/>
    <n v="1"/>
    <n v="18"/>
    <b v="1"/>
    <n v="1"/>
    <n v="2"/>
    <n v="0.18"/>
    <n v="0.16669999999999999"/>
    <n v="0.55000000000000004"/>
    <n v="0.25369999999999998"/>
    <n v="7"/>
    <n v="85"/>
    <n v="92"/>
    <s v="Spring"/>
    <s v="Monday"/>
    <s v="Mist/Cloudy"/>
    <s v="Evening"/>
    <x v="0"/>
    <x v="1"/>
    <x v="1"/>
    <x v="1"/>
    <s v="Mostly Registered"/>
    <n v="7.608695652173914"/>
    <n v="92.391304347826093"/>
    <x v="1"/>
    <x v="0"/>
    <s v="No"/>
    <n v="-1.330000000000001E-2"/>
  </r>
  <r>
    <n v="392"/>
    <x v="16"/>
    <n v="1"/>
    <n v="19"/>
    <b v="1"/>
    <n v="1"/>
    <n v="3"/>
    <n v="0.18"/>
    <n v="0.18179999999999999"/>
    <n v="0.59"/>
    <n v="0.19400000000000001"/>
    <n v="2"/>
    <n v="58"/>
    <n v="60"/>
    <s v="Spring"/>
    <s v="Monday"/>
    <s v="Light Rain/Snow"/>
    <s v="Evening"/>
    <x v="0"/>
    <x v="1"/>
    <x v="1"/>
    <x v="1"/>
    <s v="Mostly Registered"/>
    <n v="3.333333333333333"/>
    <n v="96.666666666666671"/>
    <x v="1"/>
    <x v="0"/>
    <s v="No"/>
    <n v="1.799999999999996E-3"/>
  </r>
  <r>
    <n v="393"/>
    <x v="16"/>
    <n v="1"/>
    <n v="20"/>
    <b v="1"/>
    <n v="1"/>
    <n v="3"/>
    <n v="0.16"/>
    <n v="0.1515"/>
    <n v="0.8"/>
    <n v="0.19400000000000001"/>
    <n v="4"/>
    <n v="29"/>
    <n v="33"/>
    <s v="Spring"/>
    <s v="Monday"/>
    <s v="Light Rain/Snow"/>
    <s v="Evening"/>
    <x v="0"/>
    <x v="0"/>
    <x v="1"/>
    <x v="1"/>
    <s v="Mostly Registered"/>
    <n v="12.121212121212119"/>
    <n v="87.878787878787875"/>
    <x v="0"/>
    <x v="0"/>
    <s v="No"/>
    <n v="-8.5000000000000075E-3"/>
  </r>
  <r>
    <n v="394"/>
    <x v="16"/>
    <n v="1"/>
    <n v="21"/>
    <b v="1"/>
    <n v="1"/>
    <n v="3"/>
    <n v="0.16"/>
    <n v="0.1515"/>
    <n v="0.8"/>
    <n v="0.19400000000000001"/>
    <n v="3"/>
    <n v="24"/>
    <n v="27"/>
    <s v="Spring"/>
    <s v="Monday"/>
    <s v="Light Rain/Snow"/>
    <s v="Night"/>
    <x v="0"/>
    <x v="0"/>
    <x v="1"/>
    <x v="1"/>
    <s v="Mostly Registered"/>
    <n v="11.111111111111111"/>
    <n v="88.888888888888886"/>
    <x v="0"/>
    <x v="0"/>
    <s v="No"/>
    <n v="-8.5000000000000075E-3"/>
  </r>
  <r>
    <n v="395"/>
    <x v="16"/>
    <n v="1"/>
    <n v="22"/>
    <b v="1"/>
    <n v="1"/>
    <n v="3"/>
    <n v="0.14000000000000001"/>
    <n v="0.1212"/>
    <n v="0.93"/>
    <n v="0.25369999999999998"/>
    <n v="0"/>
    <n v="13"/>
    <n v="13"/>
    <s v="Spring"/>
    <s v="Monday"/>
    <s v="Light Rain/Snow"/>
    <s v="Night"/>
    <x v="4"/>
    <x v="0"/>
    <x v="1"/>
    <x v="1"/>
    <s v="Mostly Registered"/>
    <n v="0"/>
    <n v="100"/>
    <x v="0"/>
    <x v="0"/>
    <s v="No"/>
    <n v="-1.8800000000000011E-2"/>
  </r>
  <r>
    <n v="396"/>
    <x v="16"/>
    <n v="1"/>
    <n v="23"/>
    <b v="1"/>
    <n v="1"/>
    <n v="3"/>
    <n v="0.16"/>
    <n v="0.13639999999999999"/>
    <n v="0.86"/>
    <n v="0.28360000000000002"/>
    <n v="1"/>
    <n v="3"/>
    <n v="4"/>
    <s v="Spring"/>
    <s v="Monday"/>
    <s v="Light Rain/Snow"/>
    <s v="Night"/>
    <x v="0"/>
    <x v="0"/>
    <x v="1"/>
    <x v="1"/>
    <s v="Mostly Registered"/>
    <n v="25"/>
    <n v="75"/>
    <x v="0"/>
    <x v="0"/>
    <s v="No"/>
    <n v="-2.360000000000001E-2"/>
  </r>
  <r>
    <n v="397"/>
    <x v="17"/>
    <n v="1"/>
    <n v="12"/>
    <b v="0"/>
    <n v="2"/>
    <n v="2"/>
    <n v="0.2"/>
    <n v="0.18179999999999999"/>
    <n v="0.86"/>
    <n v="0.32840000000000003"/>
    <n v="0"/>
    <n v="3"/>
    <n v="3"/>
    <s v="Spring"/>
    <s v="Tuesday"/>
    <s v="Mist/Cloudy"/>
    <s v="Afternoon"/>
    <x v="0"/>
    <x v="0"/>
    <x v="2"/>
    <x v="0"/>
    <s v="Mostly Registered"/>
    <n v="0"/>
    <n v="100"/>
    <x v="0"/>
    <x v="0"/>
    <s v="No"/>
    <n v="-1.8200000000000022E-2"/>
  </r>
  <r>
    <n v="398"/>
    <x v="17"/>
    <n v="1"/>
    <n v="13"/>
    <b v="0"/>
    <n v="2"/>
    <n v="2"/>
    <n v="0.2"/>
    <n v="0.19700000000000001"/>
    <n v="0.86"/>
    <n v="0.22389999999999999"/>
    <n v="0"/>
    <n v="22"/>
    <n v="22"/>
    <s v="Spring"/>
    <s v="Tuesday"/>
    <s v="Mist/Cloudy"/>
    <s v="Afternoon"/>
    <x v="0"/>
    <x v="0"/>
    <x v="1"/>
    <x v="0"/>
    <s v="Mostly Registered"/>
    <n v="0"/>
    <n v="100"/>
    <x v="0"/>
    <x v="0"/>
    <s v="No"/>
    <n v="-3.0000000000000031E-3"/>
  </r>
  <r>
    <n v="399"/>
    <x v="17"/>
    <n v="1"/>
    <n v="14"/>
    <b v="0"/>
    <n v="2"/>
    <n v="2"/>
    <n v="0.22"/>
    <n v="0.2273"/>
    <n v="0.8"/>
    <n v="0.16420000000000001"/>
    <n v="2"/>
    <n v="26"/>
    <n v="28"/>
    <s v="Spring"/>
    <s v="Tuesday"/>
    <s v="Mist/Cloudy"/>
    <s v="Afternoon"/>
    <x v="0"/>
    <x v="0"/>
    <x v="1"/>
    <x v="0"/>
    <s v="Mostly Registered"/>
    <n v="7.1428571428571423"/>
    <n v="92.857142857142861"/>
    <x v="0"/>
    <x v="0"/>
    <s v="No"/>
    <n v="7.3000000000000009E-3"/>
  </r>
  <r>
    <n v="400"/>
    <x v="17"/>
    <n v="1"/>
    <n v="15"/>
    <b v="0"/>
    <n v="2"/>
    <n v="2"/>
    <n v="0.22"/>
    <n v="0.2273"/>
    <n v="0.87"/>
    <n v="0.16420000000000001"/>
    <n v="3"/>
    <n v="32"/>
    <n v="35"/>
    <s v="Spring"/>
    <s v="Tuesday"/>
    <s v="Mist/Cloudy"/>
    <s v="Afternoon"/>
    <x v="0"/>
    <x v="0"/>
    <x v="1"/>
    <x v="0"/>
    <s v="Mostly Registered"/>
    <n v="8.5714285714285712"/>
    <n v="91.428571428571431"/>
    <x v="0"/>
    <x v="0"/>
    <s v="No"/>
    <n v="7.3000000000000009E-3"/>
  </r>
  <r>
    <n v="401"/>
    <x v="17"/>
    <n v="1"/>
    <n v="16"/>
    <b v="0"/>
    <n v="2"/>
    <n v="2"/>
    <n v="0.22"/>
    <n v="0.2273"/>
    <n v="0.87"/>
    <n v="0.19400000000000001"/>
    <n v="0"/>
    <n v="61"/>
    <n v="61"/>
    <s v="Spring"/>
    <s v="Tuesday"/>
    <s v="Mist/Cloudy"/>
    <s v="Afternoon"/>
    <x v="0"/>
    <x v="0"/>
    <x v="1"/>
    <x v="0"/>
    <s v="Mostly Registered"/>
    <n v="0"/>
    <n v="100"/>
    <x v="0"/>
    <x v="0"/>
    <s v="No"/>
    <n v="7.3000000000000009E-3"/>
  </r>
  <r>
    <n v="402"/>
    <x v="17"/>
    <n v="1"/>
    <n v="17"/>
    <b v="0"/>
    <n v="2"/>
    <n v="2"/>
    <n v="0.22"/>
    <n v="0.2273"/>
    <n v="0.82"/>
    <n v="0.19400000000000001"/>
    <n v="1"/>
    <n v="124"/>
    <n v="125"/>
    <s v="Spring"/>
    <s v="Tuesday"/>
    <s v="Mist/Cloudy"/>
    <s v="Evening"/>
    <x v="0"/>
    <x v="0"/>
    <x v="1"/>
    <x v="0"/>
    <s v="Mostly Registered"/>
    <n v="0.8"/>
    <n v="99.2"/>
    <x v="1"/>
    <x v="1"/>
    <s v="No"/>
    <n v="7.3000000000000009E-3"/>
  </r>
  <r>
    <n v="403"/>
    <x v="17"/>
    <n v="1"/>
    <n v="18"/>
    <b v="0"/>
    <n v="2"/>
    <n v="2"/>
    <n v="0.22"/>
    <n v="0.2273"/>
    <n v="0.8"/>
    <n v="0.16420000000000001"/>
    <n v="1"/>
    <n v="132"/>
    <n v="133"/>
    <s v="Spring"/>
    <s v="Tuesday"/>
    <s v="Mist/Cloudy"/>
    <s v="Evening"/>
    <x v="0"/>
    <x v="0"/>
    <x v="1"/>
    <x v="0"/>
    <s v="Mostly Registered"/>
    <n v="0.75187969924812026"/>
    <n v="99.248120300751879"/>
    <x v="1"/>
    <x v="1"/>
    <s v="No"/>
    <n v="7.3000000000000009E-3"/>
  </r>
  <r>
    <n v="404"/>
    <x v="17"/>
    <n v="1"/>
    <n v="19"/>
    <b v="0"/>
    <n v="2"/>
    <n v="2"/>
    <n v="0.22"/>
    <n v="0.2273"/>
    <n v="0.8"/>
    <n v="0.1343"/>
    <n v="1"/>
    <n v="98"/>
    <n v="99"/>
    <s v="Spring"/>
    <s v="Tuesday"/>
    <s v="Mist/Cloudy"/>
    <s v="Evening"/>
    <x v="0"/>
    <x v="0"/>
    <x v="0"/>
    <x v="0"/>
    <s v="Mostly Registered"/>
    <n v="1.0101010101010099"/>
    <n v="98.98989898989899"/>
    <x v="1"/>
    <x v="0"/>
    <s v="No"/>
    <n v="7.3000000000000009E-3"/>
  </r>
  <r>
    <n v="405"/>
    <x v="17"/>
    <n v="1"/>
    <n v="20"/>
    <b v="0"/>
    <n v="2"/>
    <n v="2"/>
    <n v="0.22"/>
    <n v="0.2727"/>
    <n v="0.87"/>
    <n v="0"/>
    <n v="0"/>
    <n v="83"/>
    <n v="83"/>
    <s v="Spring"/>
    <s v="Tuesday"/>
    <s v="Mist/Cloudy"/>
    <s v="Evening"/>
    <x v="0"/>
    <x v="0"/>
    <x v="0"/>
    <x v="0"/>
    <s v="Mostly Registered"/>
    <n v="0"/>
    <n v="100"/>
    <x v="0"/>
    <x v="0"/>
    <s v="No"/>
    <n v="5.2699999999999997E-2"/>
  </r>
  <r>
    <n v="406"/>
    <x v="17"/>
    <n v="1"/>
    <n v="21"/>
    <b v="0"/>
    <n v="2"/>
    <n v="2"/>
    <n v="0.22"/>
    <n v="0.2424"/>
    <n v="0.93"/>
    <n v="0.1045"/>
    <n v="0"/>
    <n v="41"/>
    <n v="41"/>
    <s v="Spring"/>
    <s v="Tuesday"/>
    <s v="Mist/Cloudy"/>
    <s v="Night"/>
    <x v="0"/>
    <x v="0"/>
    <x v="0"/>
    <x v="0"/>
    <s v="Mostly Registered"/>
    <n v="0"/>
    <n v="100"/>
    <x v="0"/>
    <x v="0"/>
    <s v="No"/>
    <n v="2.24E-2"/>
  </r>
  <r>
    <n v="407"/>
    <x v="17"/>
    <n v="1"/>
    <n v="22"/>
    <b v="0"/>
    <n v="2"/>
    <n v="2"/>
    <n v="0.22"/>
    <n v="0.2576"/>
    <n v="0.93"/>
    <n v="8.9599999999999999E-2"/>
    <n v="0"/>
    <n v="33"/>
    <n v="33"/>
    <s v="Spring"/>
    <s v="Tuesday"/>
    <s v="Mist/Cloudy"/>
    <s v="Night"/>
    <x v="0"/>
    <x v="0"/>
    <x v="0"/>
    <x v="0"/>
    <s v="Mostly Registered"/>
    <n v="0"/>
    <n v="100"/>
    <x v="0"/>
    <x v="0"/>
    <s v="No"/>
    <n v="3.7599999999999988E-2"/>
  </r>
  <r>
    <n v="408"/>
    <x v="17"/>
    <n v="1"/>
    <n v="23"/>
    <b v="0"/>
    <n v="2"/>
    <n v="2"/>
    <n v="0.22"/>
    <n v="0.2727"/>
    <n v="0.93"/>
    <n v="0"/>
    <n v="1"/>
    <n v="19"/>
    <n v="20"/>
    <s v="Spring"/>
    <s v="Tuesday"/>
    <s v="Mist/Cloudy"/>
    <s v="Night"/>
    <x v="0"/>
    <x v="0"/>
    <x v="0"/>
    <x v="0"/>
    <s v="Mostly Registered"/>
    <n v="5"/>
    <n v="95"/>
    <x v="0"/>
    <x v="0"/>
    <s v="No"/>
    <n v="5.2699999999999997E-2"/>
  </r>
  <r>
    <n v="409"/>
    <x v="18"/>
    <n v="1"/>
    <n v="0"/>
    <b v="0"/>
    <n v="3"/>
    <n v="2"/>
    <n v="0.22"/>
    <n v="0.2727"/>
    <n v="0.93"/>
    <n v="0"/>
    <n v="0"/>
    <n v="3"/>
    <n v="3"/>
    <s v="Spring"/>
    <s v="Wednesday"/>
    <s v="Mist/Cloudy"/>
    <s v="Night"/>
    <x v="0"/>
    <x v="0"/>
    <x v="0"/>
    <x v="0"/>
    <s v="Mostly Registered"/>
    <n v="0"/>
    <n v="100"/>
    <x v="0"/>
    <x v="0"/>
    <s v="No"/>
    <n v="5.2699999999999997E-2"/>
  </r>
  <r>
    <n v="410"/>
    <x v="18"/>
    <n v="1"/>
    <n v="1"/>
    <b v="0"/>
    <n v="3"/>
    <n v="3"/>
    <n v="0.22"/>
    <n v="0.2273"/>
    <n v="0.93"/>
    <n v="0.1343"/>
    <n v="1"/>
    <n v="6"/>
    <n v="7"/>
    <s v="Spring"/>
    <s v="Wednesday"/>
    <s v="Light Rain/Snow"/>
    <s v="Night"/>
    <x v="0"/>
    <x v="0"/>
    <x v="0"/>
    <x v="0"/>
    <s v="Mostly Registered"/>
    <n v="14.285714285714279"/>
    <n v="85.714285714285708"/>
    <x v="0"/>
    <x v="0"/>
    <s v="No"/>
    <n v="7.3000000000000009E-3"/>
  </r>
  <r>
    <n v="411"/>
    <x v="18"/>
    <n v="1"/>
    <n v="2"/>
    <b v="0"/>
    <n v="3"/>
    <n v="3"/>
    <n v="0.22"/>
    <n v="0.2273"/>
    <n v="0.93"/>
    <n v="0.1343"/>
    <n v="0"/>
    <n v="3"/>
    <n v="3"/>
    <s v="Spring"/>
    <s v="Wednesday"/>
    <s v="Light Rain/Snow"/>
    <s v="Night"/>
    <x v="0"/>
    <x v="0"/>
    <x v="0"/>
    <x v="0"/>
    <s v="Mostly Registered"/>
    <n v="0"/>
    <n v="100"/>
    <x v="0"/>
    <x v="0"/>
    <s v="No"/>
    <n v="7.3000000000000009E-3"/>
  </r>
  <r>
    <n v="412"/>
    <x v="18"/>
    <n v="1"/>
    <n v="4"/>
    <b v="0"/>
    <n v="3"/>
    <n v="3"/>
    <n v="0.22"/>
    <n v="0.2273"/>
    <n v="0.93"/>
    <n v="0.1343"/>
    <n v="1"/>
    <n v="1"/>
    <n v="2"/>
    <s v="Spring"/>
    <s v="Wednesday"/>
    <s v="Light Rain/Snow"/>
    <s v="Night"/>
    <x v="0"/>
    <x v="0"/>
    <x v="0"/>
    <x v="0"/>
    <s v="Mostly Registered"/>
    <n v="50"/>
    <n v="50"/>
    <x v="0"/>
    <x v="0"/>
    <s v="No"/>
    <n v="7.3000000000000009E-3"/>
  </r>
  <r>
    <n v="413"/>
    <x v="18"/>
    <n v="1"/>
    <n v="5"/>
    <b v="0"/>
    <n v="3"/>
    <n v="2"/>
    <n v="0.22"/>
    <n v="0.2576"/>
    <n v="0.93"/>
    <n v="8.9599999999999999E-2"/>
    <n v="0"/>
    <n v="7"/>
    <n v="7"/>
    <s v="Spring"/>
    <s v="Wednesday"/>
    <s v="Mist/Cloudy"/>
    <s v="Night"/>
    <x v="0"/>
    <x v="0"/>
    <x v="0"/>
    <x v="0"/>
    <s v="Mostly Registered"/>
    <n v="0"/>
    <n v="100"/>
    <x v="0"/>
    <x v="0"/>
    <s v="No"/>
    <n v="3.7599999999999988E-2"/>
  </r>
  <r>
    <n v="414"/>
    <x v="18"/>
    <n v="1"/>
    <n v="6"/>
    <b v="0"/>
    <n v="3"/>
    <n v="2"/>
    <n v="0.22"/>
    <n v="0.2576"/>
    <n v="0.93"/>
    <n v="8.9599999999999999E-2"/>
    <n v="0"/>
    <n v="32"/>
    <n v="32"/>
    <s v="Spring"/>
    <s v="Wednesday"/>
    <s v="Mist/Cloudy"/>
    <s v="Morning"/>
    <x v="0"/>
    <x v="0"/>
    <x v="0"/>
    <x v="0"/>
    <s v="Mostly Registered"/>
    <n v="0"/>
    <n v="100"/>
    <x v="0"/>
    <x v="0"/>
    <s v="No"/>
    <n v="3.7599999999999988E-2"/>
  </r>
  <r>
    <n v="415"/>
    <x v="18"/>
    <n v="1"/>
    <n v="7"/>
    <b v="0"/>
    <n v="3"/>
    <n v="2"/>
    <n v="0.24"/>
    <n v="0.2576"/>
    <n v="0.92"/>
    <n v="0.1045"/>
    <n v="1"/>
    <n v="89"/>
    <n v="90"/>
    <s v="Spring"/>
    <s v="Wednesday"/>
    <s v="Mist/Cloudy"/>
    <s v="Morning"/>
    <x v="0"/>
    <x v="0"/>
    <x v="0"/>
    <x v="0"/>
    <s v="Mostly Registered"/>
    <n v="1.1111111111111109"/>
    <n v="98.888888888888886"/>
    <x v="1"/>
    <x v="0"/>
    <s v="No"/>
    <n v="1.7600000000000001E-2"/>
  </r>
  <r>
    <n v="416"/>
    <x v="18"/>
    <n v="1"/>
    <n v="8"/>
    <b v="0"/>
    <n v="3"/>
    <n v="2"/>
    <n v="0.24"/>
    <n v="0.2576"/>
    <n v="0.93"/>
    <n v="0.1045"/>
    <n v="1"/>
    <n v="196"/>
    <n v="197"/>
    <s v="Spring"/>
    <s v="Wednesday"/>
    <s v="Mist/Cloudy"/>
    <s v="Morning"/>
    <x v="0"/>
    <x v="0"/>
    <x v="0"/>
    <x v="0"/>
    <s v="Mostly Registered"/>
    <n v="0.50761421319796951"/>
    <n v="99.492385786802032"/>
    <x v="1"/>
    <x v="1"/>
    <s v="No"/>
    <n v="1.7600000000000001E-2"/>
  </r>
  <r>
    <n v="417"/>
    <x v="18"/>
    <n v="1"/>
    <n v="9"/>
    <b v="0"/>
    <n v="3"/>
    <n v="2"/>
    <n v="0.24"/>
    <n v="0.2576"/>
    <n v="0.93"/>
    <n v="0.1045"/>
    <n v="2"/>
    <n v="107"/>
    <n v="109"/>
    <s v="Spring"/>
    <s v="Wednesday"/>
    <s v="Mist/Cloudy"/>
    <s v="Morning"/>
    <x v="0"/>
    <x v="0"/>
    <x v="0"/>
    <x v="0"/>
    <s v="Mostly Registered"/>
    <n v="1.834862385321101"/>
    <n v="98.165137614678898"/>
    <x v="1"/>
    <x v="1"/>
    <s v="No"/>
    <n v="1.7600000000000001E-2"/>
  </r>
  <r>
    <n v="418"/>
    <x v="18"/>
    <n v="1"/>
    <n v="10"/>
    <b v="0"/>
    <n v="3"/>
    <n v="2"/>
    <n v="0.26"/>
    <n v="0.2727"/>
    <n v="0.93"/>
    <n v="0.1343"/>
    <n v="1"/>
    <n v="46"/>
    <n v="47"/>
    <s v="Spring"/>
    <s v="Wednesday"/>
    <s v="Mist/Cloudy"/>
    <s v="Morning"/>
    <x v="1"/>
    <x v="0"/>
    <x v="0"/>
    <x v="0"/>
    <s v="Mostly Registered"/>
    <n v="2.1276595744680851"/>
    <n v="97.872340425531917"/>
    <x v="0"/>
    <x v="0"/>
    <s v="No"/>
    <n v="1.2699999999999991E-2"/>
  </r>
  <r>
    <n v="419"/>
    <x v="18"/>
    <n v="1"/>
    <n v="11"/>
    <b v="0"/>
    <n v="3"/>
    <n v="2"/>
    <n v="0.28000000000000003"/>
    <n v="0.30299999999999999"/>
    <n v="0.87"/>
    <n v="8.9599999999999999E-2"/>
    <n v="5"/>
    <n v="47"/>
    <n v="52"/>
    <s v="Spring"/>
    <s v="Wednesday"/>
    <s v="Mist/Cloudy"/>
    <s v="Morning"/>
    <x v="1"/>
    <x v="0"/>
    <x v="0"/>
    <x v="0"/>
    <s v="Mostly Registered"/>
    <n v="9.6153846153846168"/>
    <n v="90.384615384615387"/>
    <x v="0"/>
    <x v="0"/>
    <s v="No"/>
    <n v="2.2999999999999961E-2"/>
  </r>
  <r>
    <n v="420"/>
    <x v="18"/>
    <n v="1"/>
    <n v="12"/>
    <b v="0"/>
    <n v="3"/>
    <n v="2"/>
    <n v="0.3"/>
    <n v="0.31819999999999998"/>
    <n v="0.81"/>
    <n v="8.9599999999999999E-2"/>
    <n v="5"/>
    <n v="65"/>
    <n v="70"/>
    <s v="Spring"/>
    <s v="Wednesday"/>
    <s v="Mist/Cloudy"/>
    <s v="Afternoon"/>
    <x v="1"/>
    <x v="0"/>
    <x v="0"/>
    <x v="0"/>
    <s v="Mostly Registered"/>
    <n v="7.1428571428571423"/>
    <n v="92.857142857142861"/>
    <x v="0"/>
    <x v="0"/>
    <s v="No"/>
    <n v="1.819999999999999E-2"/>
  </r>
  <r>
    <n v="421"/>
    <x v="18"/>
    <n v="1"/>
    <n v="13"/>
    <b v="0"/>
    <n v="3"/>
    <n v="1"/>
    <n v="0.4"/>
    <n v="0.40910000000000002"/>
    <n v="0.62"/>
    <n v="0.28360000000000002"/>
    <n v="11"/>
    <n v="67"/>
    <n v="78"/>
    <s v="Spring"/>
    <s v="Wednesday"/>
    <s v="Clear"/>
    <s v="Afternoon"/>
    <x v="2"/>
    <x v="1"/>
    <x v="1"/>
    <x v="0"/>
    <s v="Mostly Registered"/>
    <n v="14.1025641025641"/>
    <n v="85.897435897435898"/>
    <x v="0"/>
    <x v="0"/>
    <s v="No"/>
    <n v="9.099999999999997E-3"/>
  </r>
  <r>
    <n v="422"/>
    <x v="18"/>
    <n v="1"/>
    <n v="14"/>
    <b v="0"/>
    <n v="3"/>
    <n v="1"/>
    <n v="0.4"/>
    <n v="0.40910000000000002"/>
    <n v="0.57999999999999996"/>
    <n v="0.25369999999999998"/>
    <n v="7"/>
    <n v="68"/>
    <n v="75"/>
    <s v="Spring"/>
    <s v="Wednesday"/>
    <s v="Clear"/>
    <s v="Afternoon"/>
    <x v="2"/>
    <x v="1"/>
    <x v="1"/>
    <x v="0"/>
    <s v="Mostly Registered"/>
    <n v="9.3333333333333339"/>
    <n v="90.666666666666657"/>
    <x v="0"/>
    <x v="0"/>
    <s v="No"/>
    <n v="9.099999999999997E-3"/>
  </r>
  <r>
    <n v="423"/>
    <x v="18"/>
    <n v="1"/>
    <n v="15"/>
    <b v="0"/>
    <n v="3"/>
    <n v="1"/>
    <n v="0.4"/>
    <n v="0.40910000000000002"/>
    <n v="0.54"/>
    <n v="0.28360000000000002"/>
    <n v="4"/>
    <n v="78"/>
    <n v="82"/>
    <s v="Spring"/>
    <s v="Wednesday"/>
    <s v="Clear"/>
    <s v="Afternoon"/>
    <x v="2"/>
    <x v="1"/>
    <x v="1"/>
    <x v="0"/>
    <s v="Mostly Registered"/>
    <n v="4.8780487804878048"/>
    <n v="95.121951219512198"/>
    <x v="0"/>
    <x v="0"/>
    <s v="No"/>
    <n v="9.099999999999997E-3"/>
  </r>
  <r>
    <n v="424"/>
    <x v="18"/>
    <n v="1"/>
    <n v="16"/>
    <b v="0"/>
    <n v="3"/>
    <n v="1"/>
    <n v="0.38"/>
    <n v="0.39389999999999997"/>
    <n v="0.57999999999999996"/>
    <n v="0.3881"/>
    <n v="10"/>
    <n v="94"/>
    <n v="104"/>
    <s v="Spring"/>
    <s v="Wednesday"/>
    <s v="Clear"/>
    <s v="Afternoon"/>
    <x v="2"/>
    <x v="1"/>
    <x v="2"/>
    <x v="0"/>
    <s v="Mostly Registered"/>
    <n v="9.6153846153846168"/>
    <n v="90.384615384615387"/>
    <x v="0"/>
    <x v="1"/>
    <s v="No"/>
    <n v="1.389999999999997E-2"/>
  </r>
  <r>
    <n v="425"/>
    <x v="18"/>
    <n v="1"/>
    <n v="17"/>
    <b v="0"/>
    <n v="3"/>
    <n v="1"/>
    <n v="0.36"/>
    <n v="0.33329999999999999"/>
    <n v="0.56999999999999995"/>
    <n v="0.32840000000000003"/>
    <n v="7"/>
    <n v="190"/>
    <n v="197"/>
    <s v="Spring"/>
    <s v="Wednesday"/>
    <s v="Clear"/>
    <s v="Evening"/>
    <x v="2"/>
    <x v="1"/>
    <x v="2"/>
    <x v="0"/>
    <s v="Mostly Registered"/>
    <n v="3.5532994923857868"/>
    <n v="96.44670050761421"/>
    <x v="1"/>
    <x v="1"/>
    <s v="No"/>
    <n v="-2.6700000000000002E-2"/>
  </r>
  <r>
    <n v="426"/>
    <x v="18"/>
    <n v="1"/>
    <n v="18"/>
    <b v="0"/>
    <n v="3"/>
    <n v="1"/>
    <n v="0.34"/>
    <n v="0.31819999999999998"/>
    <n v="0.61"/>
    <n v="0.28360000000000002"/>
    <n v="5"/>
    <n v="156"/>
    <n v="161"/>
    <s v="Spring"/>
    <s v="Wednesday"/>
    <s v="Clear"/>
    <s v="Evening"/>
    <x v="1"/>
    <x v="1"/>
    <x v="1"/>
    <x v="0"/>
    <s v="Mostly Registered"/>
    <n v="3.1055900621118009"/>
    <n v="96.894409937888199"/>
    <x v="1"/>
    <x v="1"/>
    <s v="No"/>
    <n v="-2.1800000000000042E-2"/>
  </r>
  <r>
    <n v="427"/>
    <x v="18"/>
    <n v="1"/>
    <n v="19"/>
    <b v="0"/>
    <n v="3"/>
    <n v="1"/>
    <n v="0.32"/>
    <n v="0.28789999999999999"/>
    <n v="0.56999999999999995"/>
    <n v="0.41789999999999999"/>
    <n v="4"/>
    <n v="108"/>
    <n v="112"/>
    <s v="Spring"/>
    <s v="Wednesday"/>
    <s v="Clear"/>
    <s v="Evening"/>
    <x v="1"/>
    <x v="1"/>
    <x v="2"/>
    <x v="0"/>
    <s v="Mostly Registered"/>
    <n v="3.5714285714285712"/>
    <n v="96.428571428571431"/>
    <x v="1"/>
    <x v="1"/>
    <s v="No"/>
    <n v="-3.2100000000000017E-2"/>
  </r>
  <r>
    <n v="428"/>
    <x v="18"/>
    <n v="1"/>
    <n v="20"/>
    <b v="0"/>
    <n v="3"/>
    <n v="1"/>
    <n v="0.32"/>
    <n v="0.30299999999999999"/>
    <n v="0.49"/>
    <n v="0.29849999999999999"/>
    <n v="2"/>
    <n v="74"/>
    <n v="76"/>
    <s v="Spring"/>
    <s v="Wednesday"/>
    <s v="Clear"/>
    <s v="Evening"/>
    <x v="1"/>
    <x v="1"/>
    <x v="1"/>
    <x v="0"/>
    <s v="Mostly Registered"/>
    <n v="2.6315789473684208"/>
    <n v="97.368421052631575"/>
    <x v="0"/>
    <x v="0"/>
    <s v="No"/>
    <n v="-1.7000000000000019E-2"/>
  </r>
  <r>
    <n v="429"/>
    <x v="18"/>
    <n v="1"/>
    <n v="21"/>
    <b v="0"/>
    <n v="3"/>
    <n v="1"/>
    <n v="0.32"/>
    <n v="0.28789999999999999"/>
    <n v="0.49"/>
    <n v="0.41789999999999999"/>
    <n v="4"/>
    <n v="55"/>
    <n v="59"/>
    <s v="Spring"/>
    <s v="Wednesday"/>
    <s v="Clear"/>
    <s v="Night"/>
    <x v="1"/>
    <x v="1"/>
    <x v="2"/>
    <x v="0"/>
    <s v="Mostly Registered"/>
    <n v="6.7796610169491522"/>
    <n v="93.220338983050837"/>
    <x v="0"/>
    <x v="0"/>
    <s v="No"/>
    <n v="-3.2100000000000017E-2"/>
  </r>
  <r>
    <n v="430"/>
    <x v="18"/>
    <n v="1"/>
    <n v="22"/>
    <b v="0"/>
    <n v="3"/>
    <n v="1"/>
    <n v="0.3"/>
    <n v="0.30299999999999999"/>
    <n v="0.52"/>
    <n v="0.16420000000000001"/>
    <n v="6"/>
    <n v="53"/>
    <n v="59"/>
    <s v="Spring"/>
    <s v="Wednesday"/>
    <s v="Clear"/>
    <s v="Night"/>
    <x v="1"/>
    <x v="1"/>
    <x v="1"/>
    <x v="0"/>
    <s v="Mostly Registered"/>
    <n v="10.16949152542373"/>
    <n v="89.830508474576277"/>
    <x v="0"/>
    <x v="0"/>
    <s v="No"/>
    <n v="3.0000000000000031E-3"/>
  </r>
  <r>
    <n v="431"/>
    <x v="18"/>
    <n v="1"/>
    <n v="23"/>
    <b v="0"/>
    <n v="3"/>
    <n v="1"/>
    <n v="0.3"/>
    <n v="0.2727"/>
    <n v="0.52"/>
    <n v="0.4627"/>
    <n v="1"/>
    <n v="27"/>
    <n v="28"/>
    <s v="Spring"/>
    <s v="Wednesday"/>
    <s v="Clear"/>
    <s v="Night"/>
    <x v="1"/>
    <x v="1"/>
    <x v="2"/>
    <x v="0"/>
    <s v="Mostly Registered"/>
    <n v="3.5714285714285712"/>
    <n v="96.428571428571431"/>
    <x v="0"/>
    <x v="0"/>
    <s v="No"/>
    <n v="-2.7299999999999991E-2"/>
  </r>
  <r>
    <n v="432"/>
    <x v="19"/>
    <n v="1"/>
    <n v="0"/>
    <b v="0"/>
    <n v="4"/>
    <n v="1"/>
    <n v="0.26"/>
    <n v="0.2273"/>
    <n v="0.56000000000000005"/>
    <n v="0.3881"/>
    <n v="5"/>
    <n v="8"/>
    <n v="13"/>
    <s v="Spring"/>
    <s v="Thursday"/>
    <s v="Clear"/>
    <s v="Night"/>
    <x v="1"/>
    <x v="1"/>
    <x v="2"/>
    <x v="0"/>
    <s v="Mostly Registered"/>
    <n v="38.461538461538467"/>
    <n v="61.53846153846154"/>
    <x v="0"/>
    <x v="0"/>
    <s v="No"/>
    <n v="-3.2700000000000007E-2"/>
  </r>
  <r>
    <n v="433"/>
    <x v="19"/>
    <n v="1"/>
    <n v="1"/>
    <b v="0"/>
    <n v="4"/>
    <n v="1"/>
    <n v="0.26"/>
    <n v="0.2727"/>
    <n v="0.56000000000000005"/>
    <n v="0"/>
    <n v="2"/>
    <n v="3"/>
    <n v="5"/>
    <s v="Spring"/>
    <s v="Thursday"/>
    <s v="Clear"/>
    <s v="Night"/>
    <x v="1"/>
    <x v="1"/>
    <x v="0"/>
    <x v="0"/>
    <s v="Mostly Registered"/>
    <n v="40"/>
    <n v="60"/>
    <x v="0"/>
    <x v="0"/>
    <s v="No"/>
    <n v="1.2699999999999991E-2"/>
  </r>
  <r>
    <n v="434"/>
    <x v="19"/>
    <n v="1"/>
    <n v="2"/>
    <b v="0"/>
    <n v="4"/>
    <n v="1"/>
    <n v="0.26"/>
    <n v="0.2727"/>
    <n v="0.56000000000000005"/>
    <n v="0"/>
    <n v="0"/>
    <n v="2"/>
    <n v="2"/>
    <s v="Spring"/>
    <s v="Thursday"/>
    <s v="Clear"/>
    <s v="Night"/>
    <x v="1"/>
    <x v="1"/>
    <x v="0"/>
    <x v="0"/>
    <s v="Mostly Registered"/>
    <n v="0"/>
    <n v="100"/>
    <x v="0"/>
    <x v="0"/>
    <s v="No"/>
    <n v="1.2699999999999991E-2"/>
  </r>
  <r>
    <n v="435"/>
    <x v="19"/>
    <n v="1"/>
    <n v="3"/>
    <b v="0"/>
    <n v="4"/>
    <n v="1"/>
    <n v="0.26"/>
    <n v="0.2576"/>
    <n v="0.56000000000000005"/>
    <n v="0.16420000000000001"/>
    <n v="0"/>
    <n v="1"/>
    <n v="1"/>
    <s v="Spring"/>
    <s v="Thursday"/>
    <s v="Clear"/>
    <s v="Night"/>
    <x v="1"/>
    <x v="1"/>
    <x v="1"/>
    <x v="0"/>
    <s v="Mostly Registered"/>
    <n v="0"/>
    <n v="100"/>
    <x v="0"/>
    <x v="0"/>
    <s v="No"/>
    <n v="-2.4000000000000128E-3"/>
  </r>
  <r>
    <n v="436"/>
    <x v="19"/>
    <n v="1"/>
    <n v="4"/>
    <b v="0"/>
    <n v="4"/>
    <n v="1"/>
    <n v="0.26"/>
    <n v="0.2576"/>
    <n v="0.56000000000000005"/>
    <n v="0.16420000000000001"/>
    <n v="0"/>
    <n v="1"/>
    <n v="1"/>
    <s v="Spring"/>
    <s v="Thursday"/>
    <s v="Clear"/>
    <s v="Night"/>
    <x v="1"/>
    <x v="1"/>
    <x v="1"/>
    <x v="0"/>
    <s v="Mostly Registered"/>
    <n v="0"/>
    <n v="100"/>
    <x v="0"/>
    <x v="0"/>
    <s v="No"/>
    <n v="-2.4000000000000128E-3"/>
  </r>
  <r>
    <n v="437"/>
    <x v="19"/>
    <n v="1"/>
    <n v="5"/>
    <b v="0"/>
    <n v="4"/>
    <n v="1"/>
    <n v="0.24"/>
    <n v="0.2273"/>
    <n v="0.6"/>
    <n v="0.22389999999999999"/>
    <n v="0"/>
    <n v="6"/>
    <n v="6"/>
    <s v="Spring"/>
    <s v="Thursday"/>
    <s v="Clear"/>
    <s v="Night"/>
    <x v="0"/>
    <x v="1"/>
    <x v="1"/>
    <x v="0"/>
    <s v="Mostly Registered"/>
    <n v="0"/>
    <n v="100"/>
    <x v="0"/>
    <x v="0"/>
    <s v="No"/>
    <n v="-1.2699999999999991E-2"/>
  </r>
  <r>
    <n v="438"/>
    <x v="19"/>
    <n v="1"/>
    <n v="6"/>
    <b v="0"/>
    <n v="4"/>
    <n v="1"/>
    <n v="0.22"/>
    <n v="0.21210000000000001"/>
    <n v="0.6"/>
    <n v="0.22389999999999999"/>
    <n v="0"/>
    <n v="35"/>
    <n v="35"/>
    <s v="Spring"/>
    <s v="Thursday"/>
    <s v="Clear"/>
    <s v="Morning"/>
    <x v="0"/>
    <x v="1"/>
    <x v="1"/>
    <x v="0"/>
    <s v="Mostly Registered"/>
    <n v="0"/>
    <n v="100"/>
    <x v="0"/>
    <x v="0"/>
    <s v="No"/>
    <n v="-7.8999999999999904E-3"/>
  </r>
  <r>
    <n v="439"/>
    <x v="19"/>
    <n v="1"/>
    <n v="7"/>
    <b v="0"/>
    <n v="4"/>
    <n v="1"/>
    <n v="0.22"/>
    <n v="0.21210000000000001"/>
    <n v="0.55000000000000004"/>
    <n v="0.22389999999999999"/>
    <n v="1"/>
    <n v="100"/>
    <n v="101"/>
    <s v="Spring"/>
    <s v="Thursday"/>
    <s v="Clear"/>
    <s v="Morning"/>
    <x v="0"/>
    <x v="1"/>
    <x v="1"/>
    <x v="0"/>
    <s v="Mostly Registered"/>
    <n v="0.99009900990099009"/>
    <n v="99.009900990099013"/>
    <x v="1"/>
    <x v="1"/>
    <s v="No"/>
    <n v="-7.8999999999999904E-3"/>
  </r>
  <r>
    <n v="440"/>
    <x v="19"/>
    <n v="1"/>
    <n v="8"/>
    <b v="0"/>
    <n v="4"/>
    <n v="1"/>
    <n v="0.22"/>
    <n v="0.21210000000000001"/>
    <n v="0.55000000000000004"/>
    <n v="0.28360000000000002"/>
    <n v="2"/>
    <n v="247"/>
    <n v="249"/>
    <s v="Spring"/>
    <s v="Thursday"/>
    <s v="Clear"/>
    <s v="Morning"/>
    <x v="0"/>
    <x v="1"/>
    <x v="1"/>
    <x v="0"/>
    <s v="Mostly Registered"/>
    <n v="0.80321285140562237"/>
    <n v="99.196787148594382"/>
    <x v="1"/>
    <x v="1"/>
    <s v="No"/>
    <n v="-7.8999999999999904E-3"/>
  </r>
  <r>
    <n v="441"/>
    <x v="19"/>
    <n v="1"/>
    <n v="9"/>
    <b v="0"/>
    <n v="4"/>
    <n v="2"/>
    <n v="0.24"/>
    <n v="0.2273"/>
    <n v="0.52"/>
    <n v="0.22389999999999999"/>
    <n v="3"/>
    <n v="140"/>
    <n v="143"/>
    <s v="Spring"/>
    <s v="Thursday"/>
    <s v="Mist/Cloudy"/>
    <s v="Morning"/>
    <x v="0"/>
    <x v="1"/>
    <x v="1"/>
    <x v="0"/>
    <s v="Mostly Registered"/>
    <n v="2.0979020979020979"/>
    <n v="97.902097902097907"/>
    <x v="1"/>
    <x v="1"/>
    <s v="No"/>
    <n v="-1.2699999999999991E-2"/>
  </r>
  <r>
    <n v="442"/>
    <x v="19"/>
    <n v="1"/>
    <n v="10"/>
    <b v="0"/>
    <n v="4"/>
    <n v="1"/>
    <n v="0.26"/>
    <n v="0.2273"/>
    <n v="0.48"/>
    <n v="0.29849999999999999"/>
    <n v="1"/>
    <n v="56"/>
    <n v="57"/>
    <s v="Spring"/>
    <s v="Thursday"/>
    <s v="Clear"/>
    <s v="Morning"/>
    <x v="1"/>
    <x v="1"/>
    <x v="1"/>
    <x v="0"/>
    <s v="Mostly Registered"/>
    <n v="1.754385964912281"/>
    <n v="98.245614035087712"/>
    <x v="0"/>
    <x v="0"/>
    <s v="No"/>
    <n v="-3.2700000000000007E-2"/>
  </r>
  <r>
    <n v="443"/>
    <x v="19"/>
    <n v="1"/>
    <n v="11"/>
    <b v="0"/>
    <n v="4"/>
    <n v="2"/>
    <n v="0.28000000000000003"/>
    <n v="0.2727"/>
    <n v="0.45"/>
    <n v="0.16420000000000001"/>
    <n v="5"/>
    <n v="63"/>
    <n v="68"/>
    <s v="Spring"/>
    <s v="Thursday"/>
    <s v="Mist/Cloudy"/>
    <s v="Morning"/>
    <x v="1"/>
    <x v="1"/>
    <x v="1"/>
    <x v="0"/>
    <s v="Mostly Registered"/>
    <n v="7.3529411764705888"/>
    <n v="92.64705882352942"/>
    <x v="0"/>
    <x v="0"/>
    <s v="No"/>
    <n v="-7.3000000000000287E-3"/>
  </r>
  <r>
    <n v="444"/>
    <x v="19"/>
    <n v="1"/>
    <n v="12"/>
    <b v="0"/>
    <n v="4"/>
    <n v="2"/>
    <n v="0.3"/>
    <n v="0.33329999999999999"/>
    <n v="0.42"/>
    <n v="0"/>
    <n v="7"/>
    <n v="77"/>
    <n v="84"/>
    <s v="Spring"/>
    <s v="Thursday"/>
    <s v="Mist/Cloudy"/>
    <s v="Afternoon"/>
    <x v="1"/>
    <x v="1"/>
    <x v="0"/>
    <x v="0"/>
    <s v="Mostly Registered"/>
    <n v="8.3333333333333321"/>
    <n v="91.666666666666657"/>
    <x v="0"/>
    <x v="0"/>
    <s v="No"/>
    <n v="3.3300000000000003E-2"/>
  </r>
  <r>
    <n v="445"/>
    <x v="19"/>
    <n v="1"/>
    <n v="13"/>
    <b v="0"/>
    <n v="4"/>
    <n v="2"/>
    <n v="0.28000000000000003"/>
    <n v="0.28789999999999999"/>
    <n v="0.45"/>
    <n v="0.1045"/>
    <n v="12"/>
    <n v="86"/>
    <n v="98"/>
    <s v="Spring"/>
    <s v="Thursday"/>
    <s v="Mist/Cloudy"/>
    <s v="Afternoon"/>
    <x v="1"/>
    <x v="1"/>
    <x v="0"/>
    <x v="0"/>
    <s v="Mostly Registered"/>
    <n v="12.244897959183669"/>
    <n v="87.755102040816325"/>
    <x v="0"/>
    <x v="0"/>
    <s v="No"/>
    <n v="7.8999999999999626E-3"/>
  </r>
  <r>
    <n v="446"/>
    <x v="19"/>
    <n v="1"/>
    <n v="14"/>
    <b v="0"/>
    <n v="4"/>
    <n v="2"/>
    <n v="0.3"/>
    <n v="0.30299999999999999"/>
    <n v="0.45"/>
    <n v="0.1343"/>
    <n v="6"/>
    <n v="75"/>
    <n v="81"/>
    <s v="Spring"/>
    <s v="Thursday"/>
    <s v="Mist/Cloudy"/>
    <s v="Afternoon"/>
    <x v="1"/>
    <x v="1"/>
    <x v="0"/>
    <x v="0"/>
    <s v="Mostly Registered"/>
    <n v="7.4074074074074074"/>
    <n v="92.592592592592595"/>
    <x v="0"/>
    <x v="0"/>
    <s v="No"/>
    <n v="3.0000000000000031E-3"/>
  </r>
  <r>
    <n v="447"/>
    <x v="19"/>
    <n v="1"/>
    <n v="15"/>
    <b v="0"/>
    <n v="4"/>
    <n v="2"/>
    <n v="0.32"/>
    <n v="0.31819999999999998"/>
    <n v="0.45"/>
    <n v="0.19400000000000001"/>
    <n v="8"/>
    <n v="62"/>
    <n v="70"/>
    <s v="Spring"/>
    <s v="Thursday"/>
    <s v="Mist/Cloudy"/>
    <s v="Afternoon"/>
    <x v="1"/>
    <x v="1"/>
    <x v="1"/>
    <x v="0"/>
    <s v="Mostly Registered"/>
    <n v="11.428571428571431"/>
    <n v="88.571428571428569"/>
    <x v="0"/>
    <x v="0"/>
    <s v="No"/>
    <n v="-1.800000000000024E-3"/>
  </r>
  <r>
    <n v="448"/>
    <x v="19"/>
    <n v="1"/>
    <n v="16"/>
    <b v="0"/>
    <n v="4"/>
    <n v="2"/>
    <n v="0.3"/>
    <n v="0.30299999999999999"/>
    <n v="0.49"/>
    <n v="0.1343"/>
    <n v="8"/>
    <n v="83"/>
    <n v="91"/>
    <s v="Spring"/>
    <s v="Thursday"/>
    <s v="Mist/Cloudy"/>
    <s v="Afternoon"/>
    <x v="1"/>
    <x v="1"/>
    <x v="0"/>
    <x v="0"/>
    <s v="Mostly Registered"/>
    <n v="8.791208791208792"/>
    <n v="91.208791208791212"/>
    <x v="0"/>
    <x v="0"/>
    <s v="No"/>
    <n v="3.0000000000000031E-3"/>
  </r>
  <r>
    <n v="449"/>
    <x v="19"/>
    <n v="1"/>
    <n v="17"/>
    <b v="0"/>
    <n v="4"/>
    <n v="2"/>
    <n v="0.3"/>
    <n v="0.31819999999999998"/>
    <n v="0.49"/>
    <n v="0.1045"/>
    <n v="8"/>
    <n v="207"/>
    <n v="215"/>
    <s v="Spring"/>
    <s v="Thursday"/>
    <s v="Mist/Cloudy"/>
    <s v="Evening"/>
    <x v="1"/>
    <x v="1"/>
    <x v="0"/>
    <x v="0"/>
    <s v="Mostly Registered"/>
    <n v="3.720930232558139"/>
    <n v="96.279069767441854"/>
    <x v="1"/>
    <x v="1"/>
    <s v="No"/>
    <n v="1.819999999999999E-2"/>
  </r>
  <r>
    <n v="450"/>
    <x v="19"/>
    <n v="1"/>
    <n v="18"/>
    <b v="0"/>
    <n v="4"/>
    <n v="2"/>
    <n v="0.26"/>
    <n v="0.2576"/>
    <n v="0.56000000000000005"/>
    <n v="0.19400000000000001"/>
    <n v="1"/>
    <n v="184"/>
    <n v="185"/>
    <s v="Spring"/>
    <s v="Thursday"/>
    <s v="Mist/Cloudy"/>
    <s v="Evening"/>
    <x v="1"/>
    <x v="1"/>
    <x v="1"/>
    <x v="0"/>
    <s v="Mostly Registered"/>
    <n v="0.54054054054054057"/>
    <n v="99.459459459459467"/>
    <x v="1"/>
    <x v="1"/>
    <s v="No"/>
    <n v="-2.4000000000000128E-3"/>
  </r>
  <r>
    <n v="451"/>
    <x v="19"/>
    <n v="1"/>
    <n v="19"/>
    <b v="0"/>
    <n v="4"/>
    <n v="1"/>
    <n v="0.26"/>
    <n v="0.2273"/>
    <n v="0.56000000000000005"/>
    <n v="0.32840000000000003"/>
    <n v="6"/>
    <n v="146"/>
    <n v="152"/>
    <s v="Spring"/>
    <s v="Thursday"/>
    <s v="Clear"/>
    <s v="Evening"/>
    <x v="1"/>
    <x v="1"/>
    <x v="2"/>
    <x v="0"/>
    <s v="Mostly Registered"/>
    <n v="3.947368421052631"/>
    <n v="96.05263157894737"/>
    <x v="1"/>
    <x v="1"/>
    <s v="No"/>
    <n v="-3.2700000000000007E-2"/>
  </r>
  <r>
    <n v="452"/>
    <x v="19"/>
    <n v="1"/>
    <n v="20"/>
    <b v="0"/>
    <n v="4"/>
    <n v="2"/>
    <n v="0.26"/>
    <n v="0.2424"/>
    <n v="0.6"/>
    <n v="0.28360000000000002"/>
    <n v="2"/>
    <n v="124"/>
    <n v="126"/>
    <s v="Spring"/>
    <s v="Thursday"/>
    <s v="Mist/Cloudy"/>
    <s v="Evening"/>
    <x v="1"/>
    <x v="1"/>
    <x v="1"/>
    <x v="0"/>
    <s v="Mostly Registered"/>
    <n v="1.587301587301587"/>
    <n v="98.412698412698404"/>
    <x v="0"/>
    <x v="1"/>
    <s v="No"/>
    <n v="-1.7600000000000001E-2"/>
  </r>
  <r>
    <n v="453"/>
    <x v="19"/>
    <n v="1"/>
    <n v="21"/>
    <b v="0"/>
    <n v="4"/>
    <n v="2"/>
    <n v="0.24"/>
    <n v="0.2273"/>
    <n v="0.6"/>
    <n v="0.25369999999999998"/>
    <n v="3"/>
    <n v="54"/>
    <n v="57"/>
    <s v="Spring"/>
    <s v="Thursday"/>
    <s v="Mist/Cloudy"/>
    <s v="Night"/>
    <x v="0"/>
    <x v="1"/>
    <x v="1"/>
    <x v="0"/>
    <s v="Mostly Registered"/>
    <n v="5.2631578947368416"/>
    <n v="94.73684210526315"/>
    <x v="0"/>
    <x v="0"/>
    <s v="No"/>
    <n v="-1.2699999999999991E-2"/>
  </r>
  <r>
    <n v="454"/>
    <x v="19"/>
    <n v="1"/>
    <n v="22"/>
    <b v="0"/>
    <n v="4"/>
    <n v="2"/>
    <n v="0.24"/>
    <n v="0.21210000000000001"/>
    <n v="0.65"/>
    <n v="0.28360000000000002"/>
    <n v="0"/>
    <n v="56"/>
    <n v="56"/>
    <s v="Spring"/>
    <s v="Thursday"/>
    <s v="Mist/Cloudy"/>
    <s v="Night"/>
    <x v="0"/>
    <x v="1"/>
    <x v="1"/>
    <x v="0"/>
    <s v="Mostly Registered"/>
    <n v="0"/>
    <n v="100"/>
    <x v="0"/>
    <x v="0"/>
    <s v="No"/>
    <n v="-2.789999999999998E-2"/>
  </r>
  <r>
    <n v="455"/>
    <x v="19"/>
    <n v="1"/>
    <n v="23"/>
    <b v="0"/>
    <n v="4"/>
    <n v="2"/>
    <n v="0.24"/>
    <n v="0.21210000000000001"/>
    <n v="0.65"/>
    <n v="0.32840000000000003"/>
    <n v="3"/>
    <n v="28"/>
    <n v="31"/>
    <s v="Spring"/>
    <s v="Thursday"/>
    <s v="Mist/Cloudy"/>
    <s v="Night"/>
    <x v="0"/>
    <x v="1"/>
    <x v="2"/>
    <x v="0"/>
    <s v="Mostly Registered"/>
    <n v="9.67741935483871"/>
    <n v="90.322580645161281"/>
    <x v="0"/>
    <x v="0"/>
    <s v="No"/>
    <n v="-2.789999999999998E-2"/>
  </r>
  <r>
    <n v="456"/>
    <x v="20"/>
    <n v="1"/>
    <n v="0"/>
    <b v="0"/>
    <n v="5"/>
    <n v="2"/>
    <n v="0.24"/>
    <n v="0.2273"/>
    <n v="0.7"/>
    <n v="0.25369999999999998"/>
    <n v="1"/>
    <n v="20"/>
    <n v="21"/>
    <s v="Spring"/>
    <s v="Friday"/>
    <s v="Mist/Cloudy"/>
    <s v="Night"/>
    <x v="0"/>
    <x v="0"/>
    <x v="1"/>
    <x v="0"/>
    <s v="Mostly Registered"/>
    <n v="4.7619047619047619"/>
    <n v="95.238095238095227"/>
    <x v="0"/>
    <x v="0"/>
    <s v="No"/>
    <n v="-1.2699999999999991E-2"/>
  </r>
  <r>
    <n v="457"/>
    <x v="20"/>
    <n v="1"/>
    <n v="1"/>
    <b v="0"/>
    <n v="5"/>
    <n v="2"/>
    <n v="0.24"/>
    <n v="0.2273"/>
    <n v="0.7"/>
    <n v="0.25369999999999998"/>
    <n v="0"/>
    <n v="6"/>
    <n v="6"/>
    <s v="Spring"/>
    <s v="Friday"/>
    <s v="Mist/Cloudy"/>
    <s v="Night"/>
    <x v="0"/>
    <x v="0"/>
    <x v="1"/>
    <x v="0"/>
    <s v="Mostly Registered"/>
    <n v="0"/>
    <n v="100"/>
    <x v="0"/>
    <x v="0"/>
    <s v="No"/>
    <n v="-1.2699999999999991E-2"/>
  </r>
  <r>
    <n v="458"/>
    <x v="20"/>
    <n v="1"/>
    <n v="2"/>
    <b v="0"/>
    <n v="5"/>
    <n v="3"/>
    <n v="0.24"/>
    <n v="0.2424"/>
    <n v="0.75"/>
    <n v="0.16420000000000001"/>
    <n v="0"/>
    <n v="2"/>
    <n v="2"/>
    <s v="Spring"/>
    <s v="Friday"/>
    <s v="Light Rain/Snow"/>
    <s v="Night"/>
    <x v="0"/>
    <x v="0"/>
    <x v="1"/>
    <x v="0"/>
    <s v="Mostly Registered"/>
    <n v="0"/>
    <n v="100"/>
    <x v="0"/>
    <x v="0"/>
    <s v="No"/>
    <n v="2.4000000000000128E-3"/>
  </r>
  <r>
    <n v="459"/>
    <x v="20"/>
    <n v="1"/>
    <n v="3"/>
    <b v="0"/>
    <n v="5"/>
    <n v="3"/>
    <n v="0.22"/>
    <n v="0.21210000000000001"/>
    <n v="0.8"/>
    <n v="0.29849999999999999"/>
    <n v="0"/>
    <n v="1"/>
    <n v="1"/>
    <s v="Spring"/>
    <s v="Friday"/>
    <s v="Light Rain/Snow"/>
    <s v="Night"/>
    <x v="0"/>
    <x v="0"/>
    <x v="1"/>
    <x v="0"/>
    <s v="Mostly Registered"/>
    <n v="0"/>
    <n v="100"/>
    <x v="0"/>
    <x v="0"/>
    <s v="No"/>
    <n v="-7.8999999999999904E-3"/>
  </r>
  <r>
    <n v="460"/>
    <x v="20"/>
    <n v="1"/>
    <n v="4"/>
    <b v="0"/>
    <n v="5"/>
    <n v="2"/>
    <n v="0.22"/>
    <n v="0.2576"/>
    <n v="0.87"/>
    <n v="8.9599999999999999E-2"/>
    <n v="0"/>
    <n v="1"/>
    <n v="1"/>
    <s v="Spring"/>
    <s v="Friday"/>
    <s v="Mist/Cloudy"/>
    <s v="Night"/>
    <x v="0"/>
    <x v="0"/>
    <x v="0"/>
    <x v="0"/>
    <s v="Mostly Registered"/>
    <n v="0"/>
    <n v="100"/>
    <x v="0"/>
    <x v="0"/>
    <s v="No"/>
    <n v="3.7599999999999988E-2"/>
  </r>
  <r>
    <n v="461"/>
    <x v="20"/>
    <n v="1"/>
    <n v="5"/>
    <b v="0"/>
    <n v="5"/>
    <n v="1"/>
    <n v="0.24"/>
    <n v="0.19700000000000001"/>
    <n v="0.6"/>
    <n v="0.41789999999999999"/>
    <n v="1"/>
    <n v="4"/>
    <n v="5"/>
    <s v="Spring"/>
    <s v="Friday"/>
    <s v="Clear"/>
    <s v="Night"/>
    <x v="0"/>
    <x v="1"/>
    <x v="2"/>
    <x v="0"/>
    <s v="Mostly Registered"/>
    <n v="20"/>
    <n v="80"/>
    <x v="0"/>
    <x v="0"/>
    <s v="No"/>
    <n v="-4.2999999999999983E-2"/>
  </r>
  <r>
    <n v="462"/>
    <x v="20"/>
    <n v="1"/>
    <n v="6"/>
    <b v="0"/>
    <n v="5"/>
    <n v="1"/>
    <n v="0.22"/>
    <n v="0.21210000000000001"/>
    <n v="0.55000000000000004"/>
    <n v="0.25369999999999998"/>
    <n v="0"/>
    <n v="27"/>
    <n v="27"/>
    <s v="Spring"/>
    <s v="Friday"/>
    <s v="Clear"/>
    <s v="Morning"/>
    <x v="0"/>
    <x v="1"/>
    <x v="1"/>
    <x v="0"/>
    <s v="Mostly Registered"/>
    <n v="0"/>
    <n v="100"/>
    <x v="0"/>
    <x v="0"/>
    <s v="No"/>
    <n v="-7.8999999999999904E-3"/>
  </r>
  <r>
    <n v="463"/>
    <x v="20"/>
    <n v="1"/>
    <n v="7"/>
    <b v="0"/>
    <n v="5"/>
    <n v="1"/>
    <n v="0.2"/>
    <n v="0.18179999999999999"/>
    <n v="0.51"/>
    <n v="0.28360000000000002"/>
    <n v="2"/>
    <n v="66"/>
    <n v="68"/>
    <s v="Spring"/>
    <s v="Friday"/>
    <s v="Clear"/>
    <s v="Morning"/>
    <x v="0"/>
    <x v="1"/>
    <x v="1"/>
    <x v="0"/>
    <s v="Mostly Registered"/>
    <n v="2.9411764705882351"/>
    <n v="97.058823529411768"/>
    <x v="1"/>
    <x v="0"/>
    <s v="No"/>
    <n v="-1.8200000000000022E-2"/>
  </r>
  <r>
    <n v="464"/>
    <x v="20"/>
    <n v="1"/>
    <n v="8"/>
    <b v="0"/>
    <n v="5"/>
    <n v="1"/>
    <n v="0.2"/>
    <n v="0.18179999999999999"/>
    <n v="0.47"/>
    <n v="0.32840000000000003"/>
    <n v="7"/>
    <n v="210"/>
    <n v="217"/>
    <s v="Spring"/>
    <s v="Friday"/>
    <s v="Clear"/>
    <s v="Morning"/>
    <x v="0"/>
    <x v="1"/>
    <x v="2"/>
    <x v="0"/>
    <s v="Mostly Registered"/>
    <n v="3.225806451612903"/>
    <n v="96.774193548387103"/>
    <x v="1"/>
    <x v="1"/>
    <s v="No"/>
    <n v="-1.8200000000000022E-2"/>
  </r>
  <r>
    <n v="465"/>
    <x v="20"/>
    <n v="1"/>
    <n v="9"/>
    <b v="0"/>
    <n v="5"/>
    <n v="1"/>
    <n v="0.2"/>
    <n v="0.18179999999999999"/>
    <n v="0.51"/>
    <n v="0.35820000000000002"/>
    <n v="7"/>
    <n v="159"/>
    <n v="166"/>
    <s v="Spring"/>
    <s v="Friday"/>
    <s v="Clear"/>
    <s v="Morning"/>
    <x v="0"/>
    <x v="1"/>
    <x v="2"/>
    <x v="0"/>
    <s v="Mostly Registered"/>
    <n v="4.2168674698795181"/>
    <n v="95.783132530120483"/>
    <x v="1"/>
    <x v="1"/>
    <s v="No"/>
    <n v="-1.8200000000000022E-2"/>
  </r>
  <r>
    <n v="466"/>
    <x v="20"/>
    <n v="1"/>
    <n v="10"/>
    <b v="0"/>
    <n v="5"/>
    <n v="1"/>
    <n v="0.2"/>
    <n v="0.16669999999999999"/>
    <n v="0.47"/>
    <n v="0.4627"/>
    <n v="6"/>
    <n v="57"/>
    <n v="63"/>
    <s v="Spring"/>
    <s v="Friday"/>
    <s v="Clear"/>
    <s v="Morning"/>
    <x v="0"/>
    <x v="1"/>
    <x v="2"/>
    <x v="0"/>
    <s v="Mostly Registered"/>
    <n v="9.5238095238095237"/>
    <n v="90.476190476190482"/>
    <x v="0"/>
    <x v="0"/>
    <s v="No"/>
    <n v="-3.3300000000000017E-2"/>
  </r>
  <r>
    <n v="467"/>
    <x v="20"/>
    <n v="1"/>
    <n v="11"/>
    <b v="0"/>
    <n v="5"/>
    <n v="1"/>
    <n v="0.22"/>
    <n v="0.18179999999999999"/>
    <n v="0.41"/>
    <n v="0.4627"/>
    <n v="6"/>
    <n v="53"/>
    <n v="59"/>
    <s v="Spring"/>
    <s v="Friday"/>
    <s v="Clear"/>
    <s v="Morning"/>
    <x v="0"/>
    <x v="1"/>
    <x v="2"/>
    <x v="0"/>
    <s v="Mostly Registered"/>
    <n v="10.16949152542373"/>
    <n v="89.830508474576277"/>
    <x v="0"/>
    <x v="0"/>
    <s v="No"/>
    <n v="-3.8200000000000012E-2"/>
  </r>
  <r>
    <n v="468"/>
    <x v="20"/>
    <n v="1"/>
    <n v="12"/>
    <b v="0"/>
    <n v="5"/>
    <n v="1"/>
    <n v="0.22"/>
    <n v="0.18179999999999999"/>
    <n v="0.27"/>
    <n v="0.58209999999999995"/>
    <n v="11"/>
    <n v="67"/>
    <n v="78"/>
    <s v="Spring"/>
    <s v="Friday"/>
    <s v="Clear"/>
    <s v="Afternoon"/>
    <x v="0"/>
    <x v="2"/>
    <x v="2"/>
    <x v="0"/>
    <s v="Mostly Registered"/>
    <n v="14.1025641025641"/>
    <n v="85.897435897435898"/>
    <x v="0"/>
    <x v="0"/>
    <s v="No"/>
    <n v="-3.8200000000000012E-2"/>
  </r>
  <r>
    <n v="469"/>
    <x v="20"/>
    <n v="1"/>
    <n v="13"/>
    <b v="0"/>
    <n v="5"/>
    <n v="1"/>
    <n v="0.2"/>
    <n v="0.1515"/>
    <n v="0.21"/>
    <n v="0.58209999999999995"/>
    <n v="8"/>
    <n v="65"/>
    <n v="73"/>
    <s v="Spring"/>
    <s v="Friday"/>
    <s v="Clear"/>
    <s v="Afternoon"/>
    <x v="0"/>
    <x v="2"/>
    <x v="2"/>
    <x v="0"/>
    <s v="Mostly Registered"/>
    <n v="10.95890410958904"/>
    <n v="89.041095890410958"/>
    <x v="0"/>
    <x v="0"/>
    <s v="No"/>
    <n v="-4.8500000000000022E-2"/>
  </r>
  <r>
    <n v="470"/>
    <x v="20"/>
    <n v="1"/>
    <n v="14"/>
    <b v="0"/>
    <n v="5"/>
    <n v="1"/>
    <n v="0.2"/>
    <n v="0.1515"/>
    <n v="0.25"/>
    <n v="0.52239999999999998"/>
    <n v="6"/>
    <n v="56"/>
    <n v="62"/>
    <s v="Spring"/>
    <s v="Friday"/>
    <s v="Clear"/>
    <s v="Afternoon"/>
    <x v="0"/>
    <x v="2"/>
    <x v="2"/>
    <x v="0"/>
    <s v="Mostly Registered"/>
    <n v="9.67741935483871"/>
    <n v="90.322580645161281"/>
    <x v="0"/>
    <x v="0"/>
    <s v="No"/>
    <n v="-4.8500000000000022E-2"/>
  </r>
  <r>
    <n v="471"/>
    <x v="20"/>
    <n v="1"/>
    <n v="15"/>
    <b v="0"/>
    <n v="5"/>
    <n v="1"/>
    <n v="0.16"/>
    <n v="0.1212"/>
    <n v="0.26"/>
    <n v="0.44779999999999998"/>
    <n v="4"/>
    <n v="61"/>
    <n v="65"/>
    <s v="Spring"/>
    <s v="Friday"/>
    <s v="Clear"/>
    <s v="Afternoon"/>
    <x v="0"/>
    <x v="2"/>
    <x v="2"/>
    <x v="0"/>
    <s v="Mostly Registered"/>
    <n v="6.1538461538461542"/>
    <n v="93.84615384615384"/>
    <x v="0"/>
    <x v="0"/>
    <s v="No"/>
    <n v="-3.8800000000000001E-2"/>
  </r>
  <r>
    <n v="472"/>
    <x v="20"/>
    <n v="1"/>
    <n v="16"/>
    <b v="0"/>
    <n v="5"/>
    <n v="1"/>
    <n v="0.16"/>
    <n v="0.13639999999999999"/>
    <n v="0.26"/>
    <n v="0.35820000000000002"/>
    <n v="0"/>
    <n v="97"/>
    <n v="97"/>
    <s v="Spring"/>
    <s v="Friday"/>
    <s v="Clear"/>
    <s v="Afternoon"/>
    <x v="0"/>
    <x v="2"/>
    <x v="2"/>
    <x v="0"/>
    <s v="Mostly Registered"/>
    <n v="0"/>
    <n v="100"/>
    <x v="0"/>
    <x v="0"/>
    <s v="No"/>
    <n v="-2.360000000000001E-2"/>
  </r>
  <r>
    <n v="473"/>
    <x v="20"/>
    <n v="1"/>
    <n v="17"/>
    <b v="0"/>
    <n v="5"/>
    <n v="1"/>
    <n v="0.14000000000000001"/>
    <n v="0.1212"/>
    <n v="0.28000000000000003"/>
    <n v="0.35820000000000002"/>
    <n v="10"/>
    <n v="151"/>
    <n v="161"/>
    <s v="Spring"/>
    <s v="Friday"/>
    <s v="Clear"/>
    <s v="Evening"/>
    <x v="4"/>
    <x v="2"/>
    <x v="2"/>
    <x v="0"/>
    <s v="Mostly Registered"/>
    <n v="6.2111801242236027"/>
    <n v="93.788819875776397"/>
    <x v="1"/>
    <x v="1"/>
    <s v="No"/>
    <n v="-1.8800000000000011E-2"/>
  </r>
  <r>
    <n v="474"/>
    <x v="20"/>
    <n v="1"/>
    <n v="18"/>
    <b v="0"/>
    <n v="5"/>
    <n v="1"/>
    <n v="0.12"/>
    <n v="0.1212"/>
    <n v="0.3"/>
    <n v="0.25369999999999998"/>
    <n v="1"/>
    <n v="119"/>
    <n v="120"/>
    <s v="Spring"/>
    <s v="Friday"/>
    <s v="Clear"/>
    <s v="Evening"/>
    <x v="4"/>
    <x v="2"/>
    <x v="1"/>
    <x v="0"/>
    <s v="Mostly Registered"/>
    <n v="0.83333333333333337"/>
    <n v="99.166666666666671"/>
    <x v="1"/>
    <x v="1"/>
    <s v="No"/>
    <n v="1.2000000000000071E-3"/>
  </r>
  <r>
    <n v="475"/>
    <x v="20"/>
    <n v="1"/>
    <n v="19"/>
    <b v="0"/>
    <n v="5"/>
    <n v="1"/>
    <n v="0.12"/>
    <n v="0.1061"/>
    <n v="0.3"/>
    <n v="0.32840000000000003"/>
    <n v="3"/>
    <n v="93"/>
    <n v="96"/>
    <s v="Spring"/>
    <s v="Friday"/>
    <s v="Clear"/>
    <s v="Evening"/>
    <x v="4"/>
    <x v="2"/>
    <x v="2"/>
    <x v="0"/>
    <s v="Mostly Registered"/>
    <n v="3.125"/>
    <n v="96.875"/>
    <x v="1"/>
    <x v="0"/>
    <s v="No"/>
    <n v="-1.3899999999999999E-2"/>
  </r>
  <r>
    <n v="476"/>
    <x v="20"/>
    <n v="1"/>
    <n v="20"/>
    <b v="0"/>
    <n v="5"/>
    <n v="1"/>
    <n v="0.1"/>
    <n v="7.5800000000000006E-2"/>
    <n v="0.33"/>
    <n v="0.41789999999999999"/>
    <n v="1"/>
    <n v="52"/>
    <n v="53"/>
    <s v="Spring"/>
    <s v="Friday"/>
    <s v="Clear"/>
    <s v="Evening"/>
    <x v="4"/>
    <x v="2"/>
    <x v="2"/>
    <x v="0"/>
    <s v="Mostly Registered"/>
    <n v="1.8867924528301889"/>
    <n v="98.113207547169807"/>
    <x v="0"/>
    <x v="0"/>
    <s v="No"/>
    <n v="-2.4199999999999999E-2"/>
  </r>
  <r>
    <n v="477"/>
    <x v="20"/>
    <n v="1"/>
    <n v="21"/>
    <b v="0"/>
    <n v="5"/>
    <n v="1"/>
    <n v="0.08"/>
    <n v="7.5800000000000006E-2"/>
    <n v="0.38"/>
    <n v="0.28360000000000002"/>
    <n v="0"/>
    <n v="41"/>
    <n v="41"/>
    <s v="Spring"/>
    <s v="Friday"/>
    <s v="Clear"/>
    <s v="Night"/>
    <x v="4"/>
    <x v="2"/>
    <x v="1"/>
    <x v="0"/>
    <s v="Mostly Registered"/>
    <n v="0"/>
    <n v="100"/>
    <x v="0"/>
    <x v="0"/>
    <s v="No"/>
    <n v="-4.1999999999999954E-3"/>
  </r>
  <r>
    <n v="478"/>
    <x v="20"/>
    <n v="1"/>
    <n v="22"/>
    <b v="0"/>
    <n v="5"/>
    <n v="1"/>
    <n v="0.06"/>
    <n v="3.0300000000000001E-2"/>
    <n v="0.41"/>
    <n v="0.3881"/>
    <n v="1"/>
    <n v="33"/>
    <n v="34"/>
    <s v="Spring"/>
    <s v="Friday"/>
    <s v="Clear"/>
    <s v="Night"/>
    <x v="4"/>
    <x v="1"/>
    <x v="2"/>
    <x v="0"/>
    <s v="Mostly Registered"/>
    <n v="2.9411764705882351"/>
    <n v="97.058823529411768"/>
    <x v="0"/>
    <x v="0"/>
    <s v="No"/>
    <n v="-2.9700000000000001E-2"/>
  </r>
  <r>
    <n v="479"/>
    <x v="20"/>
    <n v="1"/>
    <n v="23"/>
    <b v="0"/>
    <n v="5"/>
    <n v="1"/>
    <n v="0.06"/>
    <n v="4.5499999999999999E-2"/>
    <n v="0.38"/>
    <n v="0.32840000000000003"/>
    <n v="0"/>
    <n v="27"/>
    <n v="27"/>
    <s v="Spring"/>
    <s v="Friday"/>
    <s v="Clear"/>
    <s v="Night"/>
    <x v="4"/>
    <x v="2"/>
    <x v="2"/>
    <x v="0"/>
    <s v="Mostly Registered"/>
    <n v="0"/>
    <n v="100"/>
    <x v="0"/>
    <x v="0"/>
    <s v="No"/>
    <n v="-1.4500000000000001E-2"/>
  </r>
  <r>
    <n v="480"/>
    <x v="21"/>
    <n v="1"/>
    <n v="0"/>
    <b v="0"/>
    <n v="6"/>
    <n v="1"/>
    <n v="0.04"/>
    <n v="3.0300000000000001E-2"/>
    <n v="0.45"/>
    <n v="0.25369999999999998"/>
    <n v="0"/>
    <n v="13"/>
    <n v="13"/>
    <s v="Spring"/>
    <s v="Saturday"/>
    <s v="Clear"/>
    <s v="Night"/>
    <x v="4"/>
    <x v="1"/>
    <x v="1"/>
    <x v="0"/>
    <s v="Mostly Registered"/>
    <n v="0"/>
    <n v="100"/>
    <x v="0"/>
    <x v="0"/>
    <s v="Yes"/>
    <n v="-9.7000000000000003E-3"/>
  </r>
  <r>
    <n v="481"/>
    <x v="21"/>
    <n v="1"/>
    <n v="1"/>
    <b v="0"/>
    <n v="6"/>
    <n v="2"/>
    <n v="0.04"/>
    <n v="0"/>
    <n v="0.41"/>
    <n v="0.3881"/>
    <n v="3"/>
    <n v="9"/>
    <n v="12"/>
    <s v="Spring"/>
    <s v="Saturday"/>
    <s v="Mist/Cloudy"/>
    <s v="Night"/>
    <x v="4"/>
    <x v="1"/>
    <x v="2"/>
    <x v="0"/>
    <s v="Mostly Registered"/>
    <n v="25"/>
    <n v="75"/>
    <x v="0"/>
    <x v="0"/>
    <s v="Yes"/>
    <n v="-0.04"/>
  </r>
  <r>
    <n v="482"/>
    <x v="21"/>
    <n v="1"/>
    <n v="2"/>
    <b v="0"/>
    <n v="6"/>
    <n v="2"/>
    <n v="0.04"/>
    <n v="3.0300000000000001E-2"/>
    <n v="0.41"/>
    <n v="0.25369999999999998"/>
    <n v="0"/>
    <n v="11"/>
    <n v="11"/>
    <s v="Spring"/>
    <s v="Saturday"/>
    <s v="Mist/Cloudy"/>
    <s v="Night"/>
    <x v="4"/>
    <x v="1"/>
    <x v="1"/>
    <x v="0"/>
    <s v="Mostly Registered"/>
    <n v="0"/>
    <n v="100"/>
    <x v="0"/>
    <x v="0"/>
    <s v="Yes"/>
    <n v="-9.7000000000000003E-3"/>
  </r>
  <r>
    <n v="483"/>
    <x v="21"/>
    <n v="1"/>
    <n v="3"/>
    <b v="0"/>
    <n v="6"/>
    <n v="2"/>
    <n v="0.04"/>
    <n v="3.0300000000000001E-2"/>
    <n v="0.41"/>
    <n v="0.28360000000000002"/>
    <n v="1"/>
    <n v="6"/>
    <n v="7"/>
    <s v="Spring"/>
    <s v="Saturday"/>
    <s v="Mist/Cloudy"/>
    <s v="Night"/>
    <x v="4"/>
    <x v="1"/>
    <x v="1"/>
    <x v="0"/>
    <s v="Mostly Registered"/>
    <n v="14.285714285714279"/>
    <n v="85.714285714285708"/>
    <x v="0"/>
    <x v="0"/>
    <s v="Yes"/>
    <n v="-9.7000000000000003E-3"/>
  </r>
  <r>
    <n v="484"/>
    <x v="21"/>
    <n v="1"/>
    <n v="4"/>
    <b v="0"/>
    <n v="6"/>
    <n v="2"/>
    <n v="0.02"/>
    <n v="1.52E-2"/>
    <n v="0.48"/>
    <n v="0.29849999999999999"/>
    <n v="0"/>
    <n v="3"/>
    <n v="3"/>
    <s v="Spring"/>
    <s v="Saturday"/>
    <s v="Mist/Cloudy"/>
    <s v="Night"/>
    <x v="4"/>
    <x v="1"/>
    <x v="1"/>
    <x v="0"/>
    <s v="Mostly Registered"/>
    <n v="0"/>
    <n v="100"/>
    <x v="0"/>
    <x v="0"/>
    <s v="Yes"/>
    <n v="-4.7999999999999996E-3"/>
  </r>
  <r>
    <n v="485"/>
    <x v="21"/>
    <n v="1"/>
    <n v="6"/>
    <b v="0"/>
    <n v="6"/>
    <n v="2"/>
    <n v="0.02"/>
    <n v="3.0300000000000001E-2"/>
    <n v="0.44"/>
    <n v="0.22389999999999999"/>
    <n v="0"/>
    <n v="2"/>
    <n v="2"/>
    <s v="Spring"/>
    <s v="Saturday"/>
    <s v="Mist/Cloudy"/>
    <s v="Morning"/>
    <x v="4"/>
    <x v="1"/>
    <x v="1"/>
    <x v="0"/>
    <s v="Mostly Registered"/>
    <n v="0"/>
    <n v="100"/>
    <x v="0"/>
    <x v="0"/>
    <s v="Yes"/>
    <n v="1.03E-2"/>
  </r>
  <r>
    <n v="486"/>
    <x v="21"/>
    <n v="1"/>
    <n v="7"/>
    <b v="0"/>
    <n v="6"/>
    <n v="1"/>
    <n v="0.02"/>
    <n v="1.52E-2"/>
    <n v="0.44"/>
    <n v="0.28360000000000002"/>
    <n v="0"/>
    <n v="8"/>
    <n v="8"/>
    <s v="Spring"/>
    <s v="Saturday"/>
    <s v="Clear"/>
    <s v="Morning"/>
    <x v="4"/>
    <x v="1"/>
    <x v="1"/>
    <x v="0"/>
    <s v="Mostly Registered"/>
    <n v="0"/>
    <n v="100"/>
    <x v="1"/>
    <x v="0"/>
    <s v="Yes"/>
    <n v="-4.7999999999999996E-3"/>
  </r>
  <r>
    <n v="487"/>
    <x v="21"/>
    <n v="1"/>
    <n v="8"/>
    <b v="0"/>
    <n v="6"/>
    <n v="1"/>
    <n v="0.02"/>
    <n v="0"/>
    <n v="0.44"/>
    <n v="0.32840000000000003"/>
    <n v="1"/>
    <n v="26"/>
    <n v="27"/>
    <s v="Spring"/>
    <s v="Saturday"/>
    <s v="Clear"/>
    <s v="Morning"/>
    <x v="4"/>
    <x v="1"/>
    <x v="2"/>
    <x v="0"/>
    <s v="Mostly Registered"/>
    <n v="3.7037037037037028"/>
    <n v="96.296296296296291"/>
    <x v="1"/>
    <x v="0"/>
    <s v="Yes"/>
    <n v="-0.02"/>
  </r>
  <r>
    <n v="488"/>
    <x v="21"/>
    <n v="1"/>
    <n v="9"/>
    <b v="0"/>
    <n v="6"/>
    <n v="1"/>
    <n v="0.04"/>
    <n v="3.0300000000000001E-2"/>
    <n v="0.41"/>
    <n v="0.25369999999999998"/>
    <n v="3"/>
    <n v="37"/>
    <n v="40"/>
    <s v="Spring"/>
    <s v="Saturday"/>
    <s v="Clear"/>
    <s v="Morning"/>
    <x v="4"/>
    <x v="1"/>
    <x v="1"/>
    <x v="0"/>
    <s v="Mostly Registered"/>
    <n v="7.5"/>
    <n v="92.5"/>
    <x v="1"/>
    <x v="0"/>
    <s v="Yes"/>
    <n v="-9.7000000000000003E-3"/>
  </r>
  <r>
    <n v="489"/>
    <x v="21"/>
    <n v="1"/>
    <n v="10"/>
    <b v="0"/>
    <n v="6"/>
    <n v="2"/>
    <n v="0.04"/>
    <n v="6.0600000000000001E-2"/>
    <n v="0.41"/>
    <n v="0.16420000000000001"/>
    <n v="3"/>
    <n v="50"/>
    <n v="53"/>
    <s v="Spring"/>
    <s v="Saturday"/>
    <s v="Mist/Cloudy"/>
    <s v="Morning"/>
    <x v="4"/>
    <x v="1"/>
    <x v="1"/>
    <x v="0"/>
    <s v="Mostly Registered"/>
    <n v="5.6603773584905666"/>
    <n v="94.339622641509436"/>
    <x v="0"/>
    <x v="0"/>
    <s v="Yes"/>
    <n v="2.06E-2"/>
  </r>
  <r>
    <n v="490"/>
    <x v="21"/>
    <n v="1"/>
    <n v="11"/>
    <b v="0"/>
    <n v="6"/>
    <n v="2"/>
    <n v="0.06"/>
    <n v="7.5800000000000006E-2"/>
    <n v="0.38"/>
    <n v="0.1343"/>
    <n v="4"/>
    <n v="59"/>
    <n v="63"/>
    <s v="Spring"/>
    <s v="Saturday"/>
    <s v="Mist/Cloudy"/>
    <s v="Morning"/>
    <x v="4"/>
    <x v="2"/>
    <x v="0"/>
    <x v="0"/>
    <s v="Mostly Registered"/>
    <n v="6.3492063492063489"/>
    <n v="93.650793650793645"/>
    <x v="0"/>
    <x v="0"/>
    <s v="Yes"/>
    <n v="1.5800000000000008E-2"/>
  </r>
  <r>
    <n v="491"/>
    <x v="21"/>
    <n v="1"/>
    <n v="12"/>
    <b v="0"/>
    <n v="6"/>
    <n v="2"/>
    <n v="0.06"/>
    <n v="0.1061"/>
    <n v="0.38"/>
    <n v="0.1045"/>
    <n v="10"/>
    <n v="60"/>
    <n v="70"/>
    <s v="Spring"/>
    <s v="Saturday"/>
    <s v="Mist/Cloudy"/>
    <s v="Afternoon"/>
    <x v="4"/>
    <x v="2"/>
    <x v="0"/>
    <x v="0"/>
    <s v="Mostly Registered"/>
    <n v="14.285714285714279"/>
    <n v="85.714285714285708"/>
    <x v="0"/>
    <x v="0"/>
    <s v="Yes"/>
    <n v="4.6100000000000002E-2"/>
  </r>
  <r>
    <n v="492"/>
    <x v="21"/>
    <n v="1"/>
    <n v="13"/>
    <b v="0"/>
    <n v="6"/>
    <n v="1"/>
    <n v="0.08"/>
    <n v="0.16669999999999999"/>
    <n v="0.35"/>
    <n v="0"/>
    <n v="12"/>
    <n v="72"/>
    <n v="84"/>
    <s v="Spring"/>
    <s v="Saturday"/>
    <s v="Clear"/>
    <s v="Afternoon"/>
    <x v="4"/>
    <x v="2"/>
    <x v="0"/>
    <x v="0"/>
    <s v="Mostly Registered"/>
    <n v="14.285714285714279"/>
    <n v="85.714285714285708"/>
    <x v="0"/>
    <x v="0"/>
    <s v="Yes"/>
    <n v="8.6699999999999985E-2"/>
  </r>
  <r>
    <n v="493"/>
    <x v="21"/>
    <n v="1"/>
    <n v="14"/>
    <b v="0"/>
    <n v="6"/>
    <n v="1"/>
    <n v="0.1"/>
    <n v="0.13639999999999999"/>
    <n v="0.33"/>
    <n v="0.1045"/>
    <n v="11"/>
    <n v="64"/>
    <n v="75"/>
    <s v="Spring"/>
    <s v="Saturday"/>
    <s v="Clear"/>
    <s v="Afternoon"/>
    <x v="4"/>
    <x v="2"/>
    <x v="0"/>
    <x v="0"/>
    <s v="Mostly Registered"/>
    <n v="14.66666666666667"/>
    <n v="85.333333333333343"/>
    <x v="0"/>
    <x v="0"/>
    <s v="Yes"/>
    <n v="3.6399999999999988E-2"/>
  </r>
  <r>
    <n v="494"/>
    <x v="21"/>
    <n v="1"/>
    <n v="15"/>
    <b v="0"/>
    <n v="6"/>
    <n v="1"/>
    <n v="0.12"/>
    <n v="0.1515"/>
    <n v="0.28000000000000003"/>
    <n v="0"/>
    <n v="10"/>
    <n v="93"/>
    <n v="103"/>
    <s v="Spring"/>
    <s v="Saturday"/>
    <s v="Clear"/>
    <s v="Afternoon"/>
    <x v="4"/>
    <x v="2"/>
    <x v="0"/>
    <x v="0"/>
    <s v="Mostly Registered"/>
    <n v="9.7087378640776691"/>
    <n v="90.291262135922338"/>
    <x v="0"/>
    <x v="1"/>
    <s v="Yes"/>
    <n v="3.15E-2"/>
  </r>
  <r>
    <n v="495"/>
    <x v="21"/>
    <n v="1"/>
    <n v="16"/>
    <b v="0"/>
    <n v="6"/>
    <n v="1"/>
    <n v="0.12"/>
    <n v="0.13639999999999999"/>
    <n v="0.28000000000000003"/>
    <n v="0.19400000000000001"/>
    <n v="11"/>
    <n v="72"/>
    <n v="83"/>
    <s v="Spring"/>
    <s v="Saturday"/>
    <s v="Clear"/>
    <s v="Afternoon"/>
    <x v="4"/>
    <x v="2"/>
    <x v="1"/>
    <x v="0"/>
    <s v="Mostly Registered"/>
    <n v="13.253012048192771"/>
    <n v="86.746987951807228"/>
    <x v="0"/>
    <x v="0"/>
    <s v="Yes"/>
    <n v="1.6400000000000001E-2"/>
  </r>
  <r>
    <n v="496"/>
    <x v="21"/>
    <n v="1"/>
    <n v="17"/>
    <b v="0"/>
    <n v="6"/>
    <n v="1"/>
    <n v="0.12"/>
    <n v="0.19700000000000001"/>
    <n v="0.28000000000000003"/>
    <n v="0"/>
    <n v="8"/>
    <n v="59"/>
    <n v="67"/>
    <s v="Spring"/>
    <s v="Saturday"/>
    <s v="Clear"/>
    <s v="Evening"/>
    <x v="4"/>
    <x v="2"/>
    <x v="0"/>
    <x v="0"/>
    <s v="Mostly Registered"/>
    <n v="11.940298507462691"/>
    <n v="88.059701492537314"/>
    <x v="1"/>
    <x v="0"/>
    <s v="Yes"/>
    <n v="7.7000000000000013E-2"/>
  </r>
  <r>
    <n v="497"/>
    <x v="21"/>
    <n v="1"/>
    <n v="18"/>
    <b v="0"/>
    <n v="6"/>
    <n v="1"/>
    <n v="0.08"/>
    <n v="9.0899999999999995E-2"/>
    <n v="0.35"/>
    <n v="0.19400000000000001"/>
    <n v="0"/>
    <n v="54"/>
    <n v="54"/>
    <s v="Spring"/>
    <s v="Saturday"/>
    <s v="Clear"/>
    <s v="Evening"/>
    <x v="4"/>
    <x v="2"/>
    <x v="1"/>
    <x v="0"/>
    <s v="Mostly Registered"/>
    <n v="0"/>
    <n v="100"/>
    <x v="1"/>
    <x v="0"/>
    <s v="Yes"/>
    <n v="1.089999999999999E-2"/>
  </r>
  <r>
    <n v="498"/>
    <x v="21"/>
    <n v="1"/>
    <n v="19"/>
    <b v="0"/>
    <n v="6"/>
    <n v="1"/>
    <n v="0.08"/>
    <n v="0.1061"/>
    <n v="0.35"/>
    <n v="0.1343"/>
    <n v="6"/>
    <n v="53"/>
    <n v="59"/>
    <s v="Spring"/>
    <s v="Saturday"/>
    <s v="Clear"/>
    <s v="Evening"/>
    <x v="4"/>
    <x v="2"/>
    <x v="0"/>
    <x v="0"/>
    <s v="Mostly Registered"/>
    <n v="10.16949152542373"/>
    <n v="89.830508474576277"/>
    <x v="1"/>
    <x v="0"/>
    <s v="Yes"/>
    <n v="2.6100000000000002E-2"/>
  </r>
  <r>
    <n v="499"/>
    <x v="21"/>
    <n v="1"/>
    <n v="20"/>
    <b v="0"/>
    <n v="6"/>
    <n v="1"/>
    <n v="0.06"/>
    <n v="7.5800000000000006E-2"/>
    <n v="0.45"/>
    <n v="0.16420000000000001"/>
    <n v="1"/>
    <n v="44"/>
    <n v="45"/>
    <s v="Spring"/>
    <s v="Saturday"/>
    <s v="Clear"/>
    <s v="Evening"/>
    <x v="4"/>
    <x v="1"/>
    <x v="1"/>
    <x v="0"/>
    <s v="Mostly Registered"/>
    <n v="2.2222222222222219"/>
    <n v="97.777777777777771"/>
    <x v="0"/>
    <x v="0"/>
    <s v="Yes"/>
    <n v="1.5800000000000008E-2"/>
  </r>
  <r>
    <n v="500"/>
    <x v="21"/>
    <n v="1"/>
    <n v="21"/>
    <b v="0"/>
    <n v="6"/>
    <n v="1"/>
    <n v="0.06"/>
    <n v="0.1061"/>
    <n v="0.41"/>
    <n v="8.9599999999999999E-2"/>
    <n v="0"/>
    <n v="39"/>
    <n v="39"/>
    <s v="Spring"/>
    <s v="Saturday"/>
    <s v="Clear"/>
    <s v="Night"/>
    <x v="4"/>
    <x v="1"/>
    <x v="0"/>
    <x v="0"/>
    <s v="Mostly Registered"/>
    <n v="0"/>
    <n v="100"/>
    <x v="0"/>
    <x v="0"/>
    <s v="Yes"/>
    <n v="4.6100000000000002E-2"/>
  </r>
  <r>
    <n v="501"/>
    <x v="21"/>
    <n v="1"/>
    <n v="22"/>
    <b v="0"/>
    <n v="6"/>
    <n v="1"/>
    <n v="0.06"/>
    <n v="0.1515"/>
    <n v="0.49"/>
    <n v="0"/>
    <n v="7"/>
    <n v="23"/>
    <n v="30"/>
    <s v="Spring"/>
    <s v="Saturday"/>
    <s v="Clear"/>
    <s v="Night"/>
    <x v="4"/>
    <x v="1"/>
    <x v="0"/>
    <x v="0"/>
    <s v="Mostly Registered"/>
    <n v="23.333333333333329"/>
    <n v="76.666666666666671"/>
    <x v="0"/>
    <x v="0"/>
    <s v="Yes"/>
    <n v="9.1499999999999998E-2"/>
  </r>
  <r>
    <n v="502"/>
    <x v="21"/>
    <n v="1"/>
    <n v="23"/>
    <b v="0"/>
    <n v="6"/>
    <n v="1"/>
    <n v="0.04"/>
    <n v="7.5800000000000006E-2"/>
    <n v="0.56999999999999995"/>
    <n v="0.1045"/>
    <n v="2"/>
    <n v="31"/>
    <n v="33"/>
    <s v="Spring"/>
    <s v="Saturday"/>
    <s v="Clear"/>
    <s v="Night"/>
    <x v="4"/>
    <x v="1"/>
    <x v="0"/>
    <x v="0"/>
    <s v="Mostly Registered"/>
    <n v="6.0606060606060614"/>
    <n v="93.939393939393938"/>
    <x v="0"/>
    <x v="0"/>
    <s v="Yes"/>
    <n v="3.5800000000000012E-2"/>
  </r>
  <r>
    <n v="503"/>
    <x v="22"/>
    <n v="1"/>
    <n v="0"/>
    <b v="0"/>
    <n v="0"/>
    <n v="1"/>
    <n v="0.04"/>
    <n v="7.5800000000000006E-2"/>
    <n v="0.56999999999999995"/>
    <n v="0.1045"/>
    <n v="2"/>
    <n v="20"/>
    <n v="22"/>
    <s v="Spring"/>
    <s v="Sunday"/>
    <s v="Clear"/>
    <s v="Night"/>
    <x v="4"/>
    <x v="1"/>
    <x v="0"/>
    <x v="0"/>
    <s v="Mostly Registered"/>
    <n v="9.0909090909090917"/>
    <n v="90.909090909090907"/>
    <x v="0"/>
    <x v="0"/>
    <s v="Yes"/>
    <n v="3.5800000000000012E-2"/>
  </r>
  <r>
    <n v="504"/>
    <x v="22"/>
    <n v="1"/>
    <n v="1"/>
    <b v="0"/>
    <n v="0"/>
    <n v="1"/>
    <n v="0.04"/>
    <n v="7.5800000000000006E-2"/>
    <n v="0.56999999999999995"/>
    <n v="0.1045"/>
    <n v="1"/>
    <n v="12"/>
    <n v="13"/>
    <s v="Spring"/>
    <s v="Sunday"/>
    <s v="Clear"/>
    <s v="Night"/>
    <x v="4"/>
    <x v="1"/>
    <x v="0"/>
    <x v="0"/>
    <s v="Mostly Registered"/>
    <n v="7.6923076923076934"/>
    <n v="92.307692307692307"/>
    <x v="0"/>
    <x v="0"/>
    <s v="Yes"/>
    <n v="3.5800000000000012E-2"/>
  </r>
  <r>
    <n v="505"/>
    <x v="22"/>
    <n v="1"/>
    <n v="2"/>
    <b v="0"/>
    <n v="0"/>
    <n v="1"/>
    <n v="0.02"/>
    <n v="6.0600000000000001E-2"/>
    <n v="0.62"/>
    <n v="0.1343"/>
    <n v="3"/>
    <n v="15"/>
    <n v="18"/>
    <s v="Spring"/>
    <s v="Sunday"/>
    <s v="Clear"/>
    <s v="Night"/>
    <x v="4"/>
    <x v="1"/>
    <x v="0"/>
    <x v="0"/>
    <s v="Mostly Registered"/>
    <n v="16.666666666666661"/>
    <n v="83.333333333333343"/>
    <x v="0"/>
    <x v="0"/>
    <s v="Yes"/>
    <n v="4.0599999999999997E-2"/>
  </r>
  <r>
    <n v="506"/>
    <x v="22"/>
    <n v="1"/>
    <n v="3"/>
    <b v="0"/>
    <n v="0"/>
    <n v="1"/>
    <n v="0.02"/>
    <n v="6.0600000000000001E-2"/>
    <n v="0.62"/>
    <n v="0.1343"/>
    <n v="1"/>
    <n v="4"/>
    <n v="5"/>
    <s v="Spring"/>
    <s v="Sunday"/>
    <s v="Clear"/>
    <s v="Night"/>
    <x v="4"/>
    <x v="1"/>
    <x v="0"/>
    <x v="0"/>
    <s v="Mostly Registered"/>
    <n v="20"/>
    <n v="80"/>
    <x v="0"/>
    <x v="0"/>
    <s v="Yes"/>
    <n v="4.0599999999999997E-2"/>
  </r>
  <r>
    <n v="507"/>
    <x v="22"/>
    <n v="1"/>
    <n v="5"/>
    <b v="0"/>
    <n v="0"/>
    <n v="2"/>
    <n v="0.04"/>
    <n v="7.5800000000000006E-2"/>
    <n v="0.56999999999999995"/>
    <n v="0.1045"/>
    <n v="0"/>
    <n v="3"/>
    <n v="3"/>
    <s v="Spring"/>
    <s v="Sunday"/>
    <s v="Mist/Cloudy"/>
    <s v="Night"/>
    <x v="4"/>
    <x v="1"/>
    <x v="0"/>
    <x v="0"/>
    <s v="Mostly Registered"/>
    <n v="0"/>
    <n v="100"/>
    <x v="0"/>
    <x v="0"/>
    <s v="Yes"/>
    <n v="3.5800000000000012E-2"/>
  </r>
  <r>
    <n v="508"/>
    <x v="22"/>
    <n v="1"/>
    <n v="6"/>
    <b v="0"/>
    <n v="0"/>
    <n v="2"/>
    <n v="0.04"/>
    <n v="7.5800000000000006E-2"/>
    <n v="0.56999999999999995"/>
    <n v="0.1045"/>
    <n v="0"/>
    <n v="1"/>
    <n v="1"/>
    <s v="Spring"/>
    <s v="Sunday"/>
    <s v="Mist/Cloudy"/>
    <s v="Morning"/>
    <x v="4"/>
    <x v="1"/>
    <x v="0"/>
    <x v="0"/>
    <s v="Mostly Registered"/>
    <n v="0"/>
    <n v="100"/>
    <x v="0"/>
    <x v="0"/>
    <s v="Yes"/>
    <n v="3.5800000000000012E-2"/>
  </r>
  <r>
    <n v="509"/>
    <x v="22"/>
    <n v="1"/>
    <n v="7"/>
    <b v="0"/>
    <n v="0"/>
    <n v="1"/>
    <n v="0.08"/>
    <n v="0.1061"/>
    <n v="0.57999999999999996"/>
    <n v="0.16420000000000001"/>
    <n v="1"/>
    <n v="1"/>
    <n v="2"/>
    <s v="Spring"/>
    <s v="Sunday"/>
    <s v="Clear"/>
    <s v="Morning"/>
    <x v="4"/>
    <x v="1"/>
    <x v="1"/>
    <x v="0"/>
    <s v="Mostly Registered"/>
    <n v="50"/>
    <n v="50"/>
    <x v="1"/>
    <x v="0"/>
    <s v="Yes"/>
    <n v="2.6100000000000002E-2"/>
  </r>
  <r>
    <n v="510"/>
    <x v="22"/>
    <n v="1"/>
    <n v="8"/>
    <b v="0"/>
    <n v="0"/>
    <n v="1"/>
    <n v="0.06"/>
    <n v="7.5800000000000006E-2"/>
    <n v="0.62"/>
    <n v="0.16420000000000001"/>
    <n v="2"/>
    <n v="17"/>
    <n v="19"/>
    <s v="Spring"/>
    <s v="Sunday"/>
    <s v="Clear"/>
    <s v="Morning"/>
    <x v="4"/>
    <x v="1"/>
    <x v="1"/>
    <x v="0"/>
    <s v="Mostly Registered"/>
    <n v="10.52631578947368"/>
    <n v="89.473684210526315"/>
    <x v="1"/>
    <x v="0"/>
    <s v="Yes"/>
    <n v="1.5800000000000008E-2"/>
  </r>
  <r>
    <n v="511"/>
    <x v="22"/>
    <n v="1"/>
    <n v="9"/>
    <b v="0"/>
    <n v="0"/>
    <n v="1"/>
    <n v="0.1"/>
    <n v="7.5800000000000006E-2"/>
    <n v="0.54"/>
    <n v="0.35820000000000002"/>
    <n v="3"/>
    <n v="25"/>
    <n v="28"/>
    <s v="Spring"/>
    <s v="Sunday"/>
    <s v="Clear"/>
    <s v="Morning"/>
    <x v="4"/>
    <x v="1"/>
    <x v="2"/>
    <x v="0"/>
    <s v="Mostly Registered"/>
    <n v="10.71428571428571"/>
    <n v="89.285714285714292"/>
    <x v="1"/>
    <x v="0"/>
    <s v="Yes"/>
    <n v="-2.4199999999999999E-2"/>
  </r>
  <r>
    <n v="512"/>
    <x v="22"/>
    <n v="1"/>
    <n v="10"/>
    <b v="0"/>
    <n v="0"/>
    <n v="1"/>
    <n v="0.14000000000000001"/>
    <n v="0.1061"/>
    <n v="0.46"/>
    <n v="0.3881"/>
    <n v="7"/>
    <n v="51"/>
    <n v="58"/>
    <s v="Spring"/>
    <s v="Sunday"/>
    <s v="Clear"/>
    <s v="Morning"/>
    <x v="4"/>
    <x v="1"/>
    <x v="2"/>
    <x v="0"/>
    <s v="Mostly Registered"/>
    <n v="12.068965517241381"/>
    <n v="87.931034482758619"/>
    <x v="0"/>
    <x v="0"/>
    <s v="Yes"/>
    <n v="-3.3900000000000013E-2"/>
  </r>
  <r>
    <n v="513"/>
    <x v="22"/>
    <n v="1"/>
    <n v="11"/>
    <b v="0"/>
    <n v="0"/>
    <n v="1"/>
    <n v="0.14000000000000001"/>
    <n v="0.13639999999999999"/>
    <n v="0.43"/>
    <n v="0.22389999999999999"/>
    <n v="22"/>
    <n v="77"/>
    <n v="99"/>
    <s v="Spring"/>
    <s v="Sunday"/>
    <s v="Clear"/>
    <s v="Morning"/>
    <x v="4"/>
    <x v="1"/>
    <x v="1"/>
    <x v="0"/>
    <s v="Mostly Registered"/>
    <n v="22.222222222222221"/>
    <n v="77.777777777777786"/>
    <x v="0"/>
    <x v="0"/>
    <s v="Yes"/>
    <n v="-3.6000000000000199E-3"/>
  </r>
  <r>
    <n v="514"/>
    <x v="22"/>
    <n v="1"/>
    <n v="12"/>
    <b v="0"/>
    <n v="0"/>
    <n v="1"/>
    <n v="0.16"/>
    <n v="0.1212"/>
    <n v="0.37"/>
    <n v="0.4627"/>
    <n v="24"/>
    <n v="92"/>
    <n v="116"/>
    <s v="Spring"/>
    <s v="Sunday"/>
    <s v="Clear"/>
    <s v="Afternoon"/>
    <x v="0"/>
    <x v="2"/>
    <x v="2"/>
    <x v="0"/>
    <s v="Mostly Registered"/>
    <n v="20.68965517241379"/>
    <n v="79.310344827586206"/>
    <x v="0"/>
    <x v="1"/>
    <s v="Yes"/>
    <n v="-3.8800000000000001E-2"/>
  </r>
  <r>
    <n v="515"/>
    <x v="22"/>
    <n v="1"/>
    <n v="13"/>
    <b v="0"/>
    <n v="0"/>
    <n v="1"/>
    <n v="0.14000000000000001"/>
    <n v="0.1061"/>
    <n v="0.33"/>
    <n v="0.3881"/>
    <n v="12"/>
    <n v="75"/>
    <n v="87"/>
    <s v="Spring"/>
    <s v="Sunday"/>
    <s v="Clear"/>
    <s v="Afternoon"/>
    <x v="4"/>
    <x v="2"/>
    <x v="2"/>
    <x v="0"/>
    <s v="Mostly Registered"/>
    <n v="13.793103448275859"/>
    <n v="86.206896551724128"/>
    <x v="0"/>
    <x v="0"/>
    <s v="Yes"/>
    <n v="-3.3900000000000013E-2"/>
  </r>
  <r>
    <n v="516"/>
    <x v="22"/>
    <n v="1"/>
    <n v="14"/>
    <b v="0"/>
    <n v="0"/>
    <n v="1"/>
    <n v="0.16"/>
    <n v="0.13639999999999999"/>
    <n v="0.28000000000000003"/>
    <n v="0.35820000000000002"/>
    <n v="17"/>
    <n v="93"/>
    <n v="110"/>
    <s v="Spring"/>
    <s v="Sunday"/>
    <s v="Clear"/>
    <s v="Afternoon"/>
    <x v="0"/>
    <x v="2"/>
    <x v="2"/>
    <x v="0"/>
    <s v="Mostly Registered"/>
    <n v="15.45454545454545"/>
    <n v="84.545454545454547"/>
    <x v="0"/>
    <x v="1"/>
    <s v="Yes"/>
    <n v="-2.360000000000001E-2"/>
  </r>
  <r>
    <n v="517"/>
    <x v="22"/>
    <n v="1"/>
    <n v="15"/>
    <b v="0"/>
    <n v="0"/>
    <n v="1"/>
    <n v="0.16"/>
    <n v="0.13639999999999999"/>
    <n v="0.28000000000000003"/>
    <n v="0.35820000000000002"/>
    <n v="13"/>
    <n v="64"/>
    <n v="77"/>
    <s v="Spring"/>
    <s v="Sunday"/>
    <s v="Clear"/>
    <s v="Afternoon"/>
    <x v="0"/>
    <x v="2"/>
    <x v="2"/>
    <x v="0"/>
    <s v="Mostly Registered"/>
    <n v="16.88311688311688"/>
    <n v="83.116883116883116"/>
    <x v="0"/>
    <x v="0"/>
    <s v="Yes"/>
    <n v="-2.360000000000001E-2"/>
  </r>
  <r>
    <n v="518"/>
    <x v="22"/>
    <n v="1"/>
    <n v="16"/>
    <b v="0"/>
    <n v="0"/>
    <n v="1"/>
    <n v="0.16"/>
    <n v="0.13639999999999999"/>
    <n v="0.26"/>
    <n v="0.32840000000000003"/>
    <n v="9"/>
    <n v="56"/>
    <n v="65"/>
    <s v="Spring"/>
    <s v="Sunday"/>
    <s v="Clear"/>
    <s v="Afternoon"/>
    <x v="0"/>
    <x v="2"/>
    <x v="2"/>
    <x v="0"/>
    <s v="Mostly Registered"/>
    <n v="13.84615384615385"/>
    <n v="86.15384615384616"/>
    <x v="0"/>
    <x v="0"/>
    <s v="Yes"/>
    <n v="-2.360000000000001E-2"/>
  </r>
  <r>
    <n v="519"/>
    <x v="22"/>
    <n v="1"/>
    <n v="17"/>
    <b v="0"/>
    <n v="0"/>
    <n v="1"/>
    <n v="0.14000000000000001"/>
    <n v="0.1061"/>
    <n v="0.26"/>
    <n v="0.3881"/>
    <n v="5"/>
    <n v="50"/>
    <n v="55"/>
    <s v="Spring"/>
    <s v="Sunday"/>
    <s v="Clear"/>
    <s v="Evening"/>
    <x v="4"/>
    <x v="2"/>
    <x v="2"/>
    <x v="0"/>
    <s v="Mostly Registered"/>
    <n v="9.0909090909090917"/>
    <n v="90.909090909090907"/>
    <x v="1"/>
    <x v="0"/>
    <s v="Yes"/>
    <n v="-3.3900000000000013E-2"/>
  </r>
  <r>
    <n v="520"/>
    <x v="22"/>
    <n v="1"/>
    <n v="18"/>
    <b v="0"/>
    <n v="0"/>
    <n v="1"/>
    <n v="0.12"/>
    <n v="0.1212"/>
    <n v="0.3"/>
    <n v="0.25369999999999998"/>
    <n v="5"/>
    <n v="44"/>
    <n v="49"/>
    <s v="Spring"/>
    <s v="Sunday"/>
    <s v="Clear"/>
    <s v="Evening"/>
    <x v="4"/>
    <x v="2"/>
    <x v="1"/>
    <x v="0"/>
    <s v="Mostly Registered"/>
    <n v="10.204081632653059"/>
    <n v="89.795918367346943"/>
    <x v="1"/>
    <x v="0"/>
    <s v="Yes"/>
    <n v="1.2000000000000071E-3"/>
  </r>
  <r>
    <n v="521"/>
    <x v="22"/>
    <n v="1"/>
    <n v="19"/>
    <b v="0"/>
    <n v="0"/>
    <n v="1"/>
    <n v="0.12"/>
    <n v="0.1212"/>
    <n v="0.3"/>
    <n v="0.28360000000000002"/>
    <n v="5"/>
    <n v="45"/>
    <n v="50"/>
    <s v="Spring"/>
    <s v="Sunday"/>
    <s v="Clear"/>
    <s v="Evening"/>
    <x v="4"/>
    <x v="2"/>
    <x v="1"/>
    <x v="0"/>
    <s v="Mostly Registered"/>
    <n v="10"/>
    <n v="90"/>
    <x v="1"/>
    <x v="0"/>
    <s v="Yes"/>
    <n v="1.2000000000000071E-3"/>
  </r>
  <r>
    <n v="522"/>
    <x v="22"/>
    <n v="1"/>
    <n v="20"/>
    <b v="0"/>
    <n v="0"/>
    <n v="1"/>
    <n v="0.1"/>
    <n v="0.1061"/>
    <n v="0.36"/>
    <n v="0.25369999999999998"/>
    <n v="4"/>
    <n v="31"/>
    <n v="35"/>
    <s v="Spring"/>
    <s v="Sunday"/>
    <s v="Clear"/>
    <s v="Evening"/>
    <x v="4"/>
    <x v="2"/>
    <x v="1"/>
    <x v="0"/>
    <s v="Mostly Registered"/>
    <n v="11.428571428571431"/>
    <n v="88.571428571428569"/>
    <x v="0"/>
    <x v="0"/>
    <s v="Yes"/>
    <n v="6.0999999999999943E-3"/>
  </r>
  <r>
    <n v="523"/>
    <x v="22"/>
    <n v="1"/>
    <n v="21"/>
    <b v="0"/>
    <n v="0"/>
    <n v="1"/>
    <n v="0.1"/>
    <n v="0.1061"/>
    <n v="0.36"/>
    <n v="0.19400000000000001"/>
    <n v="5"/>
    <n v="20"/>
    <n v="25"/>
    <s v="Spring"/>
    <s v="Sunday"/>
    <s v="Clear"/>
    <s v="Night"/>
    <x v="4"/>
    <x v="2"/>
    <x v="1"/>
    <x v="0"/>
    <s v="Mostly Registered"/>
    <n v="20"/>
    <n v="80"/>
    <x v="0"/>
    <x v="0"/>
    <s v="Yes"/>
    <n v="6.0999999999999943E-3"/>
  </r>
  <r>
    <n v="524"/>
    <x v="22"/>
    <n v="1"/>
    <n v="22"/>
    <b v="0"/>
    <n v="0"/>
    <n v="1"/>
    <n v="0.08"/>
    <n v="9.0899999999999995E-2"/>
    <n v="0.38"/>
    <n v="0.19400000000000001"/>
    <n v="5"/>
    <n v="23"/>
    <n v="28"/>
    <s v="Spring"/>
    <s v="Sunday"/>
    <s v="Clear"/>
    <s v="Night"/>
    <x v="4"/>
    <x v="2"/>
    <x v="1"/>
    <x v="0"/>
    <s v="Mostly Registered"/>
    <n v="17.857142857142861"/>
    <n v="82.142857142857139"/>
    <x v="0"/>
    <x v="0"/>
    <s v="Yes"/>
    <n v="1.089999999999999E-2"/>
  </r>
  <r>
    <n v="525"/>
    <x v="22"/>
    <n v="1"/>
    <n v="23"/>
    <b v="0"/>
    <n v="0"/>
    <n v="1"/>
    <n v="0.06"/>
    <n v="6.0600000000000001E-2"/>
    <n v="0.41"/>
    <n v="0.22389999999999999"/>
    <n v="4"/>
    <n v="17"/>
    <n v="21"/>
    <s v="Spring"/>
    <s v="Sunday"/>
    <s v="Clear"/>
    <s v="Night"/>
    <x v="4"/>
    <x v="1"/>
    <x v="1"/>
    <x v="0"/>
    <s v="Mostly Registered"/>
    <n v="19.047619047619051"/>
    <n v="80.952380952380949"/>
    <x v="0"/>
    <x v="0"/>
    <s v="Yes"/>
    <n v="6.0000000000000331E-4"/>
  </r>
  <r>
    <n v="526"/>
    <x v="23"/>
    <n v="1"/>
    <n v="0"/>
    <b v="0"/>
    <n v="1"/>
    <n v="1"/>
    <n v="0.06"/>
    <n v="6.0600000000000001E-2"/>
    <n v="0.41"/>
    <n v="0.19400000000000001"/>
    <n v="0"/>
    <n v="7"/>
    <n v="7"/>
    <s v="Spring"/>
    <s v="Monday"/>
    <s v="Clear"/>
    <s v="Night"/>
    <x v="4"/>
    <x v="1"/>
    <x v="1"/>
    <x v="0"/>
    <s v="Mostly Registered"/>
    <n v="0"/>
    <n v="100"/>
    <x v="0"/>
    <x v="0"/>
    <s v="No"/>
    <n v="6.0000000000000331E-4"/>
  </r>
  <r>
    <n v="527"/>
    <x v="23"/>
    <n v="1"/>
    <n v="1"/>
    <b v="0"/>
    <n v="1"/>
    <n v="1"/>
    <n v="0.04"/>
    <n v="4.5499999999999999E-2"/>
    <n v="0.45"/>
    <n v="0.19400000000000001"/>
    <n v="0"/>
    <n v="1"/>
    <n v="1"/>
    <s v="Spring"/>
    <s v="Monday"/>
    <s v="Clear"/>
    <s v="Night"/>
    <x v="4"/>
    <x v="1"/>
    <x v="1"/>
    <x v="0"/>
    <s v="Mostly Registered"/>
    <n v="0"/>
    <n v="100"/>
    <x v="0"/>
    <x v="0"/>
    <s v="No"/>
    <n v="5.4999999999999979E-3"/>
  </r>
  <r>
    <n v="528"/>
    <x v="23"/>
    <n v="1"/>
    <n v="3"/>
    <b v="0"/>
    <n v="1"/>
    <n v="1"/>
    <n v="0.04"/>
    <n v="3.0300000000000001E-2"/>
    <n v="0.45"/>
    <n v="0.25369999999999998"/>
    <n v="0"/>
    <n v="1"/>
    <n v="1"/>
    <s v="Spring"/>
    <s v="Monday"/>
    <s v="Clear"/>
    <s v="Night"/>
    <x v="4"/>
    <x v="1"/>
    <x v="1"/>
    <x v="0"/>
    <s v="Mostly Registered"/>
    <n v="0"/>
    <n v="100"/>
    <x v="0"/>
    <x v="0"/>
    <s v="No"/>
    <n v="-9.7000000000000003E-3"/>
  </r>
  <r>
    <n v="529"/>
    <x v="23"/>
    <n v="1"/>
    <n v="4"/>
    <b v="0"/>
    <n v="1"/>
    <n v="1"/>
    <n v="0.02"/>
    <n v="6.0600000000000001E-2"/>
    <n v="0.48"/>
    <n v="0.1343"/>
    <n v="0"/>
    <n v="1"/>
    <n v="1"/>
    <s v="Spring"/>
    <s v="Monday"/>
    <s v="Clear"/>
    <s v="Night"/>
    <x v="4"/>
    <x v="1"/>
    <x v="0"/>
    <x v="0"/>
    <s v="Mostly Registered"/>
    <n v="0"/>
    <n v="100"/>
    <x v="0"/>
    <x v="0"/>
    <s v="No"/>
    <n v="4.0599999999999997E-2"/>
  </r>
  <r>
    <n v="530"/>
    <x v="23"/>
    <n v="1"/>
    <n v="5"/>
    <b v="0"/>
    <n v="1"/>
    <n v="1"/>
    <n v="0.02"/>
    <n v="6.0600000000000001E-2"/>
    <n v="0.48"/>
    <n v="0.1343"/>
    <n v="0"/>
    <n v="5"/>
    <n v="5"/>
    <s v="Spring"/>
    <s v="Monday"/>
    <s v="Clear"/>
    <s v="Night"/>
    <x v="4"/>
    <x v="1"/>
    <x v="0"/>
    <x v="0"/>
    <s v="Mostly Registered"/>
    <n v="0"/>
    <n v="100"/>
    <x v="0"/>
    <x v="0"/>
    <s v="No"/>
    <n v="4.0599999999999997E-2"/>
  </r>
  <r>
    <n v="531"/>
    <x v="23"/>
    <n v="1"/>
    <n v="6"/>
    <b v="0"/>
    <n v="1"/>
    <n v="1"/>
    <n v="0.02"/>
    <n v="7.5800000000000006E-2"/>
    <n v="0.48"/>
    <n v="8.9599999999999999E-2"/>
    <n v="0"/>
    <n v="15"/>
    <n v="15"/>
    <s v="Spring"/>
    <s v="Monday"/>
    <s v="Clear"/>
    <s v="Morning"/>
    <x v="4"/>
    <x v="1"/>
    <x v="0"/>
    <x v="0"/>
    <s v="Mostly Registered"/>
    <n v="0"/>
    <n v="100"/>
    <x v="0"/>
    <x v="0"/>
    <s v="No"/>
    <n v="5.5800000000000002E-2"/>
  </r>
  <r>
    <n v="532"/>
    <x v="23"/>
    <n v="1"/>
    <n v="7"/>
    <b v="0"/>
    <n v="1"/>
    <n v="1"/>
    <n v="0.02"/>
    <n v="0.1212"/>
    <n v="0.48"/>
    <n v="0"/>
    <n v="5"/>
    <n v="79"/>
    <n v="84"/>
    <s v="Spring"/>
    <s v="Monday"/>
    <s v="Clear"/>
    <s v="Morning"/>
    <x v="4"/>
    <x v="1"/>
    <x v="0"/>
    <x v="0"/>
    <s v="Mostly Registered"/>
    <n v="5.9523809523809517"/>
    <n v="94.047619047619051"/>
    <x v="1"/>
    <x v="0"/>
    <s v="No"/>
    <n v="0.1012"/>
  </r>
  <r>
    <n v="533"/>
    <x v="23"/>
    <n v="1"/>
    <n v="8"/>
    <b v="0"/>
    <n v="1"/>
    <n v="1"/>
    <n v="0.04"/>
    <n v="0.13639999999999999"/>
    <n v="0.49"/>
    <n v="0"/>
    <n v="6"/>
    <n v="171"/>
    <n v="177"/>
    <s v="Spring"/>
    <s v="Monday"/>
    <s v="Clear"/>
    <s v="Morning"/>
    <x v="4"/>
    <x v="1"/>
    <x v="0"/>
    <x v="0"/>
    <s v="Mostly Registered"/>
    <n v="3.3898305084745761"/>
    <n v="96.610169491525426"/>
    <x v="1"/>
    <x v="1"/>
    <s v="No"/>
    <n v="9.6399999999999986E-2"/>
  </r>
  <r>
    <n v="534"/>
    <x v="23"/>
    <n v="1"/>
    <n v="9"/>
    <b v="0"/>
    <n v="1"/>
    <n v="1"/>
    <n v="0.06"/>
    <n v="0.1515"/>
    <n v="0.41"/>
    <n v="0"/>
    <n v="4"/>
    <n v="98"/>
    <n v="102"/>
    <s v="Spring"/>
    <s v="Monday"/>
    <s v="Clear"/>
    <s v="Morning"/>
    <x v="4"/>
    <x v="1"/>
    <x v="0"/>
    <x v="0"/>
    <s v="Mostly Registered"/>
    <n v="3.9215686274509798"/>
    <n v="96.078431372549019"/>
    <x v="1"/>
    <x v="1"/>
    <s v="No"/>
    <n v="9.1499999999999998E-2"/>
  </r>
  <r>
    <n v="535"/>
    <x v="23"/>
    <n v="1"/>
    <n v="10"/>
    <b v="0"/>
    <n v="1"/>
    <n v="1"/>
    <n v="0.1"/>
    <n v="0.13639999999999999"/>
    <n v="0.42"/>
    <n v="0"/>
    <n v="6"/>
    <n v="34"/>
    <n v="40"/>
    <s v="Spring"/>
    <s v="Monday"/>
    <s v="Clear"/>
    <s v="Morning"/>
    <x v="4"/>
    <x v="1"/>
    <x v="0"/>
    <x v="0"/>
    <s v="Mostly Registered"/>
    <n v="15"/>
    <n v="85"/>
    <x v="0"/>
    <x v="0"/>
    <s v="No"/>
    <n v="3.6399999999999988E-2"/>
  </r>
  <r>
    <n v="536"/>
    <x v="23"/>
    <n v="1"/>
    <n v="11"/>
    <b v="0"/>
    <n v="1"/>
    <n v="1"/>
    <n v="0.1"/>
    <n v="0.1212"/>
    <n v="0.46"/>
    <n v="0.1343"/>
    <n v="3"/>
    <n v="43"/>
    <n v="46"/>
    <s v="Spring"/>
    <s v="Monday"/>
    <s v="Clear"/>
    <s v="Morning"/>
    <x v="4"/>
    <x v="1"/>
    <x v="0"/>
    <x v="0"/>
    <s v="Mostly Registered"/>
    <n v="6.5217391304347823"/>
    <n v="93.478260869565219"/>
    <x v="0"/>
    <x v="0"/>
    <s v="No"/>
    <n v="2.12E-2"/>
  </r>
  <r>
    <n v="537"/>
    <x v="23"/>
    <n v="1"/>
    <n v="12"/>
    <b v="0"/>
    <n v="1"/>
    <n v="2"/>
    <n v="0.12"/>
    <n v="0.13639999999999999"/>
    <n v="0.42"/>
    <n v="0.19400000000000001"/>
    <n v="11"/>
    <n v="52"/>
    <n v="63"/>
    <s v="Spring"/>
    <s v="Monday"/>
    <s v="Mist/Cloudy"/>
    <s v="Afternoon"/>
    <x v="4"/>
    <x v="1"/>
    <x v="1"/>
    <x v="0"/>
    <s v="Mostly Registered"/>
    <n v="17.460317460317459"/>
    <n v="82.539682539682531"/>
    <x v="0"/>
    <x v="0"/>
    <s v="No"/>
    <n v="1.6400000000000001E-2"/>
  </r>
  <r>
    <n v="538"/>
    <x v="23"/>
    <n v="1"/>
    <n v="13"/>
    <b v="0"/>
    <n v="1"/>
    <n v="2"/>
    <n v="0.14000000000000001"/>
    <n v="0.13639999999999999"/>
    <n v="0.43"/>
    <n v="0.22389999999999999"/>
    <n v="6"/>
    <n v="54"/>
    <n v="60"/>
    <s v="Spring"/>
    <s v="Monday"/>
    <s v="Mist/Cloudy"/>
    <s v="Afternoon"/>
    <x v="4"/>
    <x v="1"/>
    <x v="1"/>
    <x v="0"/>
    <s v="Mostly Registered"/>
    <n v="10"/>
    <n v="90"/>
    <x v="0"/>
    <x v="0"/>
    <s v="No"/>
    <n v="-3.6000000000000199E-3"/>
  </r>
  <r>
    <n v="539"/>
    <x v="23"/>
    <n v="1"/>
    <n v="14"/>
    <b v="0"/>
    <n v="1"/>
    <n v="2"/>
    <n v="0.14000000000000001"/>
    <n v="0.13639999999999999"/>
    <n v="0.46"/>
    <n v="0.22389999999999999"/>
    <n v="2"/>
    <n v="43"/>
    <n v="45"/>
    <s v="Spring"/>
    <s v="Monday"/>
    <s v="Mist/Cloudy"/>
    <s v="Afternoon"/>
    <x v="4"/>
    <x v="1"/>
    <x v="1"/>
    <x v="0"/>
    <s v="Mostly Registered"/>
    <n v="4.4444444444444446"/>
    <n v="95.555555555555557"/>
    <x v="0"/>
    <x v="0"/>
    <s v="No"/>
    <n v="-3.6000000000000199E-3"/>
  </r>
  <r>
    <n v="540"/>
    <x v="23"/>
    <n v="1"/>
    <n v="15"/>
    <b v="0"/>
    <n v="1"/>
    <n v="1"/>
    <n v="0.16"/>
    <n v="0.16669999999999999"/>
    <n v="0.4"/>
    <n v="0.16420000000000001"/>
    <n v="7"/>
    <n v="50"/>
    <n v="57"/>
    <s v="Spring"/>
    <s v="Monday"/>
    <s v="Clear"/>
    <s v="Afternoon"/>
    <x v="0"/>
    <x v="1"/>
    <x v="1"/>
    <x v="0"/>
    <s v="Mostly Registered"/>
    <n v="12.28070175438596"/>
    <n v="87.719298245614027"/>
    <x v="0"/>
    <x v="0"/>
    <s v="No"/>
    <n v="6.6999999999999837E-3"/>
  </r>
  <r>
    <n v="541"/>
    <x v="23"/>
    <n v="1"/>
    <n v="16"/>
    <b v="0"/>
    <n v="1"/>
    <n v="1"/>
    <n v="0.16"/>
    <n v="0.1515"/>
    <n v="0.47"/>
    <n v="0.25369999999999998"/>
    <n v="4"/>
    <n v="66"/>
    <n v="70"/>
    <s v="Spring"/>
    <s v="Monday"/>
    <s v="Clear"/>
    <s v="Afternoon"/>
    <x v="0"/>
    <x v="1"/>
    <x v="1"/>
    <x v="0"/>
    <s v="Mostly Registered"/>
    <n v="5.7142857142857144"/>
    <n v="94.285714285714278"/>
    <x v="0"/>
    <x v="0"/>
    <s v="No"/>
    <n v="-8.5000000000000075E-3"/>
  </r>
  <r>
    <n v="542"/>
    <x v="23"/>
    <n v="1"/>
    <n v="17"/>
    <b v="0"/>
    <n v="1"/>
    <n v="1"/>
    <n v="0.14000000000000001"/>
    <n v="0.1212"/>
    <n v="0.5"/>
    <n v="0.25369999999999998"/>
    <n v="6"/>
    <n v="178"/>
    <n v="184"/>
    <s v="Spring"/>
    <s v="Monday"/>
    <s v="Clear"/>
    <s v="Evening"/>
    <x v="4"/>
    <x v="1"/>
    <x v="1"/>
    <x v="0"/>
    <s v="Mostly Registered"/>
    <n v="3.2608695652173911"/>
    <n v="96.739130434782609"/>
    <x v="1"/>
    <x v="1"/>
    <s v="No"/>
    <n v="-1.8800000000000011E-2"/>
  </r>
  <r>
    <n v="543"/>
    <x v="23"/>
    <n v="1"/>
    <n v="18"/>
    <b v="0"/>
    <n v="1"/>
    <n v="1"/>
    <n v="0.14000000000000001"/>
    <n v="0.13639999999999999"/>
    <n v="0.59"/>
    <n v="0.19400000000000001"/>
    <n v="8"/>
    <n v="145"/>
    <n v="153"/>
    <s v="Spring"/>
    <s v="Monday"/>
    <s v="Clear"/>
    <s v="Evening"/>
    <x v="4"/>
    <x v="1"/>
    <x v="1"/>
    <x v="0"/>
    <s v="Mostly Registered"/>
    <n v="5.2287581699346406"/>
    <n v="94.77124183006535"/>
    <x v="1"/>
    <x v="1"/>
    <s v="No"/>
    <n v="-3.6000000000000199E-3"/>
  </r>
  <r>
    <n v="544"/>
    <x v="23"/>
    <n v="1"/>
    <n v="19"/>
    <b v="0"/>
    <n v="1"/>
    <n v="1"/>
    <n v="0.14000000000000001"/>
    <n v="0.1515"/>
    <n v="0.54"/>
    <n v="0.16420000000000001"/>
    <n v="5"/>
    <n v="101"/>
    <n v="106"/>
    <s v="Spring"/>
    <s v="Monday"/>
    <s v="Clear"/>
    <s v="Evening"/>
    <x v="4"/>
    <x v="1"/>
    <x v="1"/>
    <x v="0"/>
    <s v="Mostly Registered"/>
    <n v="4.716981132075472"/>
    <n v="95.283018867924525"/>
    <x v="1"/>
    <x v="1"/>
    <s v="No"/>
    <n v="1.1499999999999981E-2"/>
  </r>
  <r>
    <n v="545"/>
    <x v="23"/>
    <n v="1"/>
    <n v="20"/>
    <b v="0"/>
    <n v="1"/>
    <n v="1"/>
    <n v="0.14000000000000001"/>
    <n v="0.13639999999999999"/>
    <n v="0.59"/>
    <n v="0.19400000000000001"/>
    <n v="1"/>
    <n v="80"/>
    <n v="81"/>
    <s v="Spring"/>
    <s v="Monday"/>
    <s v="Clear"/>
    <s v="Evening"/>
    <x v="4"/>
    <x v="1"/>
    <x v="1"/>
    <x v="0"/>
    <s v="Mostly Registered"/>
    <n v="1.2345679012345681"/>
    <n v="98.76543209876543"/>
    <x v="0"/>
    <x v="0"/>
    <s v="No"/>
    <n v="-3.6000000000000199E-3"/>
  </r>
  <r>
    <n v="546"/>
    <x v="23"/>
    <n v="1"/>
    <n v="21"/>
    <b v="0"/>
    <n v="1"/>
    <n v="1"/>
    <n v="0.14000000000000001"/>
    <n v="0.1515"/>
    <n v="0.63"/>
    <n v="0.16420000000000001"/>
    <n v="6"/>
    <n v="53"/>
    <n v="59"/>
    <s v="Spring"/>
    <s v="Monday"/>
    <s v="Clear"/>
    <s v="Night"/>
    <x v="4"/>
    <x v="1"/>
    <x v="1"/>
    <x v="0"/>
    <s v="Mostly Registered"/>
    <n v="10.16949152542373"/>
    <n v="89.830508474576277"/>
    <x v="0"/>
    <x v="0"/>
    <s v="No"/>
    <n v="1.1499999999999981E-2"/>
  </r>
  <r>
    <n v="547"/>
    <x v="23"/>
    <n v="1"/>
    <n v="22"/>
    <b v="0"/>
    <n v="1"/>
    <n v="2"/>
    <n v="0.14000000000000001"/>
    <n v="0.13639999999999999"/>
    <n v="0.63"/>
    <n v="0.22389999999999999"/>
    <n v="3"/>
    <n v="32"/>
    <n v="35"/>
    <s v="Spring"/>
    <s v="Monday"/>
    <s v="Mist/Cloudy"/>
    <s v="Night"/>
    <x v="4"/>
    <x v="1"/>
    <x v="1"/>
    <x v="0"/>
    <s v="Mostly Registered"/>
    <n v="8.5714285714285712"/>
    <n v="91.428571428571431"/>
    <x v="0"/>
    <x v="0"/>
    <s v="No"/>
    <n v="-3.6000000000000199E-3"/>
  </r>
  <r>
    <n v="548"/>
    <x v="23"/>
    <n v="1"/>
    <n v="23"/>
    <b v="0"/>
    <n v="1"/>
    <n v="2"/>
    <n v="0.16"/>
    <n v="0.1515"/>
    <n v="0.64"/>
    <n v="0.25369999999999998"/>
    <n v="3"/>
    <n v="21"/>
    <n v="24"/>
    <s v="Spring"/>
    <s v="Monday"/>
    <s v="Mist/Cloudy"/>
    <s v="Night"/>
    <x v="0"/>
    <x v="1"/>
    <x v="1"/>
    <x v="0"/>
    <s v="Mostly Registered"/>
    <n v="12.5"/>
    <n v="87.5"/>
    <x v="0"/>
    <x v="0"/>
    <s v="No"/>
    <n v="-8.5000000000000075E-3"/>
  </r>
  <r>
    <n v="549"/>
    <x v="24"/>
    <n v="1"/>
    <n v="0"/>
    <b v="0"/>
    <n v="2"/>
    <n v="2"/>
    <n v="0.16"/>
    <n v="0.13639999999999999"/>
    <n v="0.69"/>
    <n v="0.28360000000000002"/>
    <n v="3"/>
    <n v="6"/>
    <n v="9"/>
    <s v="Spring"/>
    <s v="Tuesday"/>
    <s v="Mist/Cloudy"/>
    <s v="Night"/>
    <x v="0"/>
    <x v="1"/>
    <x v="1"/>
    <x v="0"/>
    <s v="Mostly Registered"/>
    <n v="33.333333333333329"/>
    <n v="66.666666666666657"/>
    <x v="0"/>
    <x v="0"/>
    <s v="No"/>
    <n v="-2.360000000000001E-2"/>
  </r>
  <r>
    <n v="550"/>
    <x v="24"/>
    <n v="1"/>
    <n v="1"/>
    <b v="0"/>
    <n v="2"/>
    <n v="2"/>
    <n v="0.16"/>
    <n v="0.16669999999999999"/>
    <n v="0.69"/>
    <n v="0.16420000000000001"/>
    <n v="0"/>
    <n v="5"/>
    <n v="5"/>
    <s v="Spring"/>
    <s v="Tuesday"/>
    <s v="Mist/Cloudy"/>
    <s v="Night"/>
    <x v="0"/>
    <x v="1"/>
    <x v="1"/>
    <x v="0"/>
    <s v="Mostly Registered"/>
    <n v="0"/>
    <n v="100"/>
    <x v="0"/>
    <x v="0"/>
    <s v="No"/>
    <n v="6.6999999999999837E-3"/>
  </r>
  <r>
    <n v="551"/>
    <x v="24"/>
    <n v="1"/>
    <n v="2"/>
    <b v="0"/>
    <n v="2"/>
    <n v="1"/>
    <n v="0.16"/>
    <n v="0.1515"/>
    <n v="0.69"/>
    <n v="0.22389999999999999"/>
    <n v="0"/>
    <n v="2"/>
    <n v="2"/>
    <s v="Spring"/>
    <s v="Tuesday"/>
    <s v="Clear"/>
    <s v="Night"/>
    <x v="0"/>
    <x v="1"/>
    <x v="1"/>
    <x v="0"/>
    <s v="Mostly Registered"/>
    <n v="0"/>
    <n v="100"/>
    <x v="0"/>
    <x v="0"/>
    <s v="No"/>
    <n v="-8.5000000000000075E-3"/>
  </r>
  <r>
    <n v="552"/>
    <x v="24"/>
    <n v="1"/>
    <n v="4"/>
    <b v="0"/>
    <n v="2"/>
    <n v="1"/>
    <n v="0.14000000000000001"/>
    <n v="0.16669999999999999"/>
    <n v="0.74"/>
    <n v="0.1045"/>
    <n v="0"/>
    <n v="1"/>
    <n v="1"/>
    <s v="Spring"/>
    <s v="Tuesday"/>
    <s v="Clear"/>
    <s v="Night"/>
    <x v="4"/>
    <x v="0"/>
    <x v="0"/>
    <x v="0"/>
    <s v="Mostly Registered"/>
    <n v="0"/>
    <n v="100"/>
    <x v="0"/>
    <x v="0"/>
    <s v="No"/>
    <n v="2.669999999999997E-2"/>
  </r>
  <r>
    <n v="553"/>
    <x v="24"/>
    <n v="1"/>
    <n v="5"/>
    <b v="0"/>
    <n v="2"/>
    <n v="1"/>
    <n v="0.14000000000000001"/>
    <n v="0.13639999999999999"/>
    <n v="0.74"/>
    <n v="0.22389999999999999"/>
    <n v="0"/>
    <n v="9"/>
    <n v="9"/>
    <s v="Spring"/>
    <s v="Tuesday"/>
    <s v="Clear"/>
    <s v="Night"/>
    <x v="4"/>
    <x v="0"/>
    <x v="1"/>
    <x v="0"/>
    <s v="Mostly Registered"/>
    <n v="0"/>
    <n v="100"/>
    <x v="0"/>
    <x v="0"/>
    <s v="No"/>
    <n v="-3.6000000000000199E-3"/>
  </r>
  <r>
    <n v="554"/>
    <x v="24"/>
    <n v="1"/>
    <n v="6"/>
    <b v="0"/>
    <n v="2"/>
    <n v="1"/>
    <n v="0.16"/>
    <n v="0.18179999999999999"/>
    <n v="0.74"/>
    <n v="0.1045"/>
    <n v="1"/>
    <n v="35"/>
    <n v="36"/>
    <s v="Spring"/>
    <s v="Tuesday"/>
    <s v="Clear"/>
    <s v="Morning"/>
    <x v="0"/>
    <x v="0"/>
    <x v="0"/>
    <x v="0"/>
    <s v="Mostly Registered"/>
    <n v="2.7777777777777781"/>
    <n v="97.222222222222214"/>
    <x v="0"/>
    <x v="0"/>
    <s v="No"/>
    <n v="2.179999999999999E-2"/>
  </r>
  <r>
    <n v="555"/>
    <x v="24"/>
    <n v="1"/>
    <n v="7"/>
    <b v="0"/>
    <n v="2"/>
    <n v="1"/>
    <n v="0.16"/>
    <n v="0.1515"/>
    <n v="0.74"/>
    <n v="0.22389999999999999"/>
    <n v="5"/>
    <n v="103"/>
    <n v="108"/>
    <s v="Spring"/>
    <s v="Tuesday"/>
    <s v="Clear"/>
    <s v="Morning"/>
    <x v="0"/>
    <x v="0"/>
    <x v="1"/>
    <x v="0"/>
    <s v="Mostly Registered"/>
    <n v="4.6296296296296298"/>
    <n v="95.370370370370367"/>
    <x v="1"/>
    <x v="1"/>
    <s v="No"/>
    <n v="-8.5000000000000075E-3"/>
  </r>
  <r>
    <n v="556"/>
    <x v="24"/>
    <n v="1"/>
    <n v="8"/>
    <b v="0"/>
    <n v="2"/>
    <n v="2"/>
    <n v="0.16"/>
    <n v="0.18179999999999999"/>
    <n v="0.74"/>
    <n v="0.1343"/>
    <n v="5"/>
    <n v="233"/>
    <n v="238"/>
    <s v="Spring"/>
    <s v="Tuesday"/>
    <s v="Mist/Cloudy"/>
    <s v="Morning"/>
    <x v="0"/>
    <x v="0"/>
    <x v="0"/>
    <x v="0"/>
    <s v="Mostly Registered"/>
    <n v="2.1008403361344539"/>
    <n v="97.899159663865547"/>
    <x v="1"/>
    <x v="1"/>
    <s v="No"/>
    <n v="2.179999999999999E-2"/>
  </r>
  <r>
    <n v="557"/>
    <x v="24"/>
    <n v="1"/>
    <n v="9"/>
    <b v="0"/>
    <n v="2"/>
    <n v="2"/>
    <n v="0.2"/>
    <n v="0.2273"/>
    <n v="0.64"/>
    <n v="8.9599999999999999E-2"/>
    <n v="10"/>
    <n v="134"/>
    <n v="144"/>
    <s v="Spring"/>
    <s v="Tuesday"/>
    <s v="Mist/Cloudy"/>
    <s v="Morning"/>
    <x v="0"/>
    <x v="1"/>
    <x v="0"/>
    <x v="0"/>
    <s v="Mostly Registered"/>
    <n v="6.9444444444444446"/>
    <n v="93.055555555555557"/>
    <x v="1"/>
    <x v="1"/>
    <s v="No"/>
    <n v="2.7299999999999991E-2"/>
  </r>
  <r>
    <n v="558"/>
    <x v="24"/>
    <n v="1"/>
    <n v="10"/>
    <b v="0"/>
    <n v="2"/>
    <n v="2"/>
    <n v="0.22"/>
    <n v="0.2424"/>
    <n v="0.6"/>
    <n v="0.1045"/>
    <n v="6"/>
    <n v="49"/>
    <n v="55"/>
    <s v="Spring"/>
    <s v="Tuesday"/>
    <s v="Mist/Cloudy"/>
    <s v="Morning"/>
    <x v="0"/>
    <x v="1"/>
    <x v="0"/>
    <x v="0"/>
    <s v="Mostly Registered"/>
    <n v="10.90909090909091"/>
    <n v="89.090909090909093"/>
    <x v="0"/>
    <x v="0"/>
    <s v="No"/>
    <n v="2.24E-2"/>
  </r>
  <r>
    <n v="559"/>
    <x v="24"/>
    <n v="1"/>
    <n v="11"/>
    <b v="0"/>
    <n v="2"/>
    <n v="2"/>
    <n v="0.24"/>
    <n v="0.2424"/>
    <n v="0.6"/>
    <n v="0.1343"/>
    <n v="6"/>
    <n v="55"/>
    <n v="61"/>
    <s v="Spring"/>
    <s v="Tuesday"/>
    <s v="Mist/Cloudy"/>
    <s v="Morning"/>
    <x v="0"/>
    <x v="1"/>
    <x v="0"/>
    <x v="0"/>
    <s v="Mostly Registered"/>
    <n v="9.8360655737704921"/>
    <n v="90.163934426229503"/>
    <x v="0"/>
    <x v="0"/>
    <s v="No"/>
    <n v="2.4000000000000128E-3"/>
  </r>
  <r>
    <n v="560"/>
    <x v="24"/>
    <n v="1"/>
    <n v="12"/>
    <b v="0"/>
    <n v="2"/>
    <n v="2"/>
    <n v="0.26"/>
    <n v="0.28789999999999999"/>
    <n v="0.56000000000000005"/>
    <n v="8.9599999999999999E-2"/>
    <n v="21"/>
    <n v="85"/>
    <n v="106"/>
    <s v="Spring"/>
    <s v="Tuesday"/>
    <s v="Mist/Cloudy"/>
    <s v="Afternoon"/>
    <x v="1"/>
    <x v="1"/>
    <x v="0"/>
    <x v="0"/>
    <s v="Mostly Registered"/>
    <n v="19.811320754716981"/>
    <n v="80.188679245283026"/>
    <x v="0"/>
    <x v="1"/>
    <s v="No"/>
    <n v="2.789999999999998E-2"/>
  </r>
  <r>
    <n v="561"/>
    <x v="24"/>
    <n v="1"/>
    <n v="13"/>
    <b v="0"/>
    <n v="2"/>
    <n v="2"/>
    <n v="0.26"/>
    <n v="0.2727"/>
    <n v="0.56000000000000005"/>
    <n v="0.1343"/>
    <n v="21"/>
    <n v="72"/>
    <n v="93"/>
    <s v="Spring"/>
    <s v="Tuesday"/>
    <s v="Mist/Cloudy"/>
    <s v="Afternoon"/>
    <x v="1"/>
    <x v="1"/>
    <x v="0"/>
    <x v="0"/>
    <s v="Mostly Registered"/>
    <n v="22.58064516129032"/>
    <n v="77.41935483870968"/>
    <x v="0"/>
    <x v="0"/>
    <s v="No"/>
    <n v="1.2699999999999991E-2"/>
  </r>
  <r>
    <n v="562"/>
    <x v="24"/>
    <n v="1"/>
    <n v="14"/>
    <b v="0"/>
    <n v="2"/>
    <n v="2"/>
    <n v="0.3"/>
    <n v="0.33329999999999999"/>
    <n v="0.45"/>
    <n v="0"/>
    <n v="11"/>
    <n v="57"/>
    <n v="68"/>
    <s v="Spring"/>
    <s v="Tuesday"/>
    <s v="Mist/Cloudy"/>
    <s v="Afternoon"/>
    <x v="1"/>
    <x v="1"/>
    <x v="0"/>
    <x v="0"/>
    <s v="Mostly Registered"/>
    <n v="16.17647058823529"/>
    <n v="83.82352941176471"/>
    <x v="0"/>
    <x v="0"/>
    <s v="No"/>
    <n v="3.3300000000000003E-2"/>
  </r>
  <r>
    <n v="563"/>
    <x v="24"/>
    <n v="1"/>
    <n v="15"/>
    <b v="0"/>
    <n v="2"/>
    <n v="2"/>
    <n v="0.32"/>
    <n v="0.34849999999999998"/>
    <n v="0.42"/>
    <n v="0"/>
    <n v="21"/>
    <n v="63"/>
    <n v="84"/>
    <s v="Spring"/>
    <s v="Tuesday"/>
    <s v="Mist/Cloudy"/>
    <s v="Afternoon"/>
    <x v="1"/>
    <x v="1"/>
    <x v="0"/>
    <x v="0"/>
    <s v="Mostly Registered"/>
    <n v="25"/>
    <n v="75"/>
    <x v="0"/>
    <x v="0"/>
    <s v="No"/>
    <n v="2.849999999999997E-2"/>
  </r>
  <r>
    <n v="564"/>
    <x v="24"/>
    <n v="1"/>
    <n v="16"/>
    <b v="0"/>
    <n v="2"/>
    <n v="2"/>
    <n v="0.32"/>
    <n v="0.34849999999999998"/>
    <n v="0.42"/>
    <n v="0"/>
    <n v="14"/>
    <n v="102"/>
    <n v="116"/>
    <s v="Spring"/>
    <s v="Tuesday"/>
    <s v="Mist/Cloudy"/>
    <s v="Afternoon"/>
    <x v="1"/>
    <x v="1"/>
    <x v="0"/>
    <x v="0"/>
    <s v="Mostly Registered"/>
    <n v="12.068965517241381"/>
    <n v="87.931034482758619"/>
    <x v="0"/>
    <x v="1"/>
    <s v="No"/>
    <n v="2.849999999999997E-2"/>
  </r>
  <r>
    <n v="565"/>
    <x v="24"/>
    <n v="1"/>
    <n v="17"/>
    <b v="0"/>
    <n v="2"/>
    <n v="1"/>
    <n v="0.3"/>
    <n v="0.33329999999999999"/>
    <n v="0.45"/>
    <n v="0"/>
    <n v="14"/>
    <n v="208"/>
    <n v="222"/>
    <s v="Spring"/>
    <s v="Tuesday"/>
    <s v="Clear"/>
    <s v="Evening"/>
    <x v="1"/>
    <x v="1"/>
    <x v="0"/>
    <x v="0"/>
    <s v="Mostly Registered"/>
    <n v="6.3063063063063058"/>
    <n v="93.693693693693689"/>
    <x v="1"/>
    <x v="1"/>
    <s v="No"/>
    <n v="3.3300000000000003E-2"/>
  </r>
  <r>
    <n v="566"/>
    <x v="24"/>
    <n v="1"/>
    <n v="18"/>
    <b v="0"/>
    <n v="2"/>
    <n v="2"/>
    <n v="0.3"/>
    <n v="0.31819999999999998"/>
    <n v="0.49"/>
    <n v="8.9599999999999999E-2"/>
    <n v="7"/>
    <n v="218"/>
    <n v="225"/>
    <s v="Spring"/>
    <s v="Tuesday"/>
    <s v="Mist/Cloudy"/>
    <s v="Evening"/>
    <x v="1"/>
    <x v="1"/>
    <x v="0"/>
    <x v="0"/>
    <s v="Mostly Registered"/>
    <n v="3.1111111111111112"/>
    <n v="96.888888888888886"/>
    <x v="1"/>
    <x v="1"/>
    <s v="No"/>
    <n v="1.819999999999999E-2"/>
  </r>
  <r>
    <n v="567"/>
    <x v="24"/>
    <n v="1"/>
    <n v="19"/>
    <b v="0"/>
    <n v="2"/>
    <n v="2"/>
    <n v="0.26"/>
    <n v="0.2576"/>
    <n v="0.65"/>
    <n v="0.16420000000000001"/>
    <n v="13"/>
    <n v="133"/>
    <n v="146"/>
    <s v="Spring"/>
    <s v="Tuesday"/>
    <s v="Mist/Cloudy"/>
    <s v="Evening"/>
    <x v="1"/>
    <x v="1"/>
    <x v="1"/>
    <x v="0"/>
    <s v="Mostly Registered"/>
    <n v="8.9041095890410951"/>
    <n v="91.095890410958901"/>
    <x v="1"/>
    <x v="1"/>
    <s v="No"/>
    <n v="-2.4000000000000128E-3"/>
  </r>
  <r>
    <n v="568"/>
    <x v="24"/>
    <n v="1"/>
    <n v="20"/>
    <b v="0"/>
    <n v="2"/>
    <n v="1"/>
    <n v="0.24"/>
    <n v="0.2273"/>
    <n v="0.65"/>
    <n v="0.19400000000000001"/>
    <n v="16"/>
    <n v="103"/>
    <n v="119"/>
    <s v="Spring"/>
    <s v="Tuesday"/>
    <s v="Clear"/>
    <s v="Evening"/>
    <x v="0"/>
    <x v="1"/>
    <x v="1"/>
    <x v="0"/>
    <s v="Mostly Registered"/>
    <n v="13.445378151260501"/>
    <n v="86.554621848739501"/>
    <x v="0"/>
    <x v="1"/>
    <s v="No"/>
    <n v="-1.2699999999999991E-2"/>
  </r>
  <r>
    <n v="569"/>
    <x v="24"/>
    <n v="1"/>
    <n v="21"/>
    <b v="0"/>
    <n v="2"/>
    <n v="1"/>
    <n v="0.24"/>
    <n v="0.2273"/>
    <n v="0.65"/>
    <n v="0.19400000000000001"/>
    <n v="5"/>
    <n v="40"/>
    <n v="45"/>
    <s v="Spring"/>
    <s v="Tuesday"/>
    <s v="Clear"/>
    <s v="Night"/>
    <x v="0"/>
    <x v="1"/>
    <x v="1"/>
    <x v="0"/>
    <s v="Mostly Registered"/>
    <n v="11.111111111111111"/>
    <n v="88.888888888888886"/>
    <x v="0"/>
    <x v="0"/>
    <s v="No"/>
    <n v="-1.2699999999999991E-2"/>
  </r>
  <r>
    <n v="570"/>
    <x v="24"/>
    <n v="1"/>
    <n v="22"/>
    <b v="0"/>
    <n v="2"/>
    <n v="1"/>
    <n v="0.22"/>
    <n v="0.2273"/>
    <n v="0.64"/>
    <n v="0.16420000000000001"/>
    <n v="4"/>
    <n v="49"/>
    <n v="53"/>
    <s v="Spring"/>
    <s v="Tuesday"/>
    <s v="Clear"/>
    <s v="Night"/>
    <x v="0"/>
    <x v="1"/>
    <x v="1"/>
    <x v="0"/>
    <s v="Mostly Registered"/>
    <n v="7.5471698113207548"/>
    <n v="92.452830188679243"/>
    <x v="0"/>
    <x v="0"/>
    <s v="No"/>
    <n v="7.3000000000000009E-3"/>
  </r>
  <r>
    <n v="571"/>
    <x v="24"/>
    <n v="1"/>
    <n v="23"/>
    <b v="0"/>
    <n v="2"/>
    <n v="2"/>
    <n v="0.22"/>
    <n v="0.2273"/>
    <n v="0.64"/>
    <n v="0.16420000000000001"/>
    <n v="3"/>
    <n v="37"/>
    <n v="40"/>
    <s v="Spring"/>
    <s v="Tuesday"/>
    <s v="Mist/Cloudy"/>
    <s v="Night"/>
    <x v="0"/>
    <x v="1"/>
    <x v="1"/>
    <x v="0"/>
    <s v="Mostly Registered"/>
    <n v="7.5"/>
    <n v="92.5"/>
    <x v="0"/>
    <x v="0"/>
    <s v="No"/>
    <n v="7.3000000000000009E-3"/>
  </r>
  <r>
    <n v="572"/>
    <x v="25"/>
    <n v="1"/>
    <n v="0"/>
    <b v="0"/>
    <n v="3"/>
    <n v="2"/>
    <n v="0.22"/>
    <n v="0.2273"/>
    <n v="0.69"/>
    <n v="0.1343"/>
    <n v="3"/>
    <n v="14"/>
    <n v="17"/>
    <s v="Spring"/>
    <s v="Wednesday"/>
    <s v="Mist/Cloudy"/>
    <s v="Night"/>
    <x v="0"/>
    <x v="1"/>
    <x v="0"/>
    <x v="0"/>
    <s v="Mostly Registered"/>
    <n v="17.647058823529409"/>
    <n v="82.35294117647058"/>
    <x v="0"/>
    <x v="0"/>
    <s v="No"/>
    <n v="7.3000000000000009E-3"/>
  </r>
  <r>
    <n v="573"/>
    <x v="25"/>
    <n v="1"/>
    <n v="1"/>
    <b v="0"/>
    <n v="3"/>
    <n v="2"/>
    <n v="0.24"/>
    <n v="0.2424"/>
    <n v="0.65"/>
    <n v="0.1343"/>
    <n v="0"/>
    <n v="5"/>
    <n v="5"/>
    <s v="Spring"/>
    <s v="Wednesday"/>
    <s v="Mist/Cloudy"/>
    <s v="Night"/>
    <x v="0"/>
    <x v="1"/>
    <x v="0"/>
    <x v="0"/>
    <s v="Mostly Registered"/>
    <n v="0"/>
    <n v="100"/>
    <x v="0"/>
    <x v="0"/>
    <s v="No"/>
    <n v="2.4000000000000128E-3"/>
  </r>
  <r>
    <n v="574"/>
    <x v="25"/>
    <n v="1"/>
    <n v="2"/>
    <b v="0"/>
    <n v="3"/>
    <n v="3"/>
    <n v="0.22"/>
    <n v="0.2273"/>
    <n v="0.69"/>
    <n v="0.19400000000000001"/>
    <n v="3"/>
    <n v="7"/>
    <n v="10"/>
    <s v="Spring"/>
    <s v="Wednesday"/>
    <s v="Light Rain/Snow"/>
    <s v="Night"/>
    <x v="0"/>
    <x v="1"/>
    <x v="1"/>
    <x v="0"/>
    <s v="Mostly Registered"/>
    <n v="30"/>
    <n v="70"/>
    <x v="0"/>
    <x v="0"/>
    <s v="No"/>
    <n v="7.3000000000000009E-3"/>
  </r>
  <r>
    <n v="575"/>
    <x v="25"/>
    <n v="1"/>
    <n v="5"/>
    <b v="0"/>
    <n v="3"/>
    <n v="3"/>
    <n v="0.2"/>
    <n v="0.18179999999999999"/>
    <n v="0.86"/>
    <n v="0.28360000000000002"/>
    <n v="0"/>
    <n v="1"/>
    <n v="1"/>
    <s v="Spring"/>
    <s v="Wednesday"/>
    <s v="Light Rain/Snow"/>
    <s v="Night"/>
    <x v="0"/>
    <x v="0"/>
    <x v="1"/>
    <x v="0"/>
    <s v="Mostly Registered"/>
    <n v="0"/>
    <n v="100"/>
    <x v="0"/>
    <x v="0"/>
    <s v="No"/>
    <n v="-1.8200000000000022E-2"/>
  </r>
  <r>
    <n v="576"/>
    <x v="25"/>
    <n v="1"/>
    <n v="6"/>
    <b v="0"/>
    <n v="3"/>
    <n v="3"/>
    <n v="0.2"/>
    <n v="0.18179999999999999"/>
    <n v="0.86"/>
    <n v="0.28360000000000002"/>
    <n v="0"/>
    <n v="8"/>
    <n v="8"/>
    <s v="Spring"/>
    <s v="Wednesday"/>
    <s v="Light Rain/Snow"/>
    <s v="Morning"/>
    <x v="0"/>
    <x v="0"/>
    <x v="1"/>
    <x v="0"/>
    <s v="Mostly Registered"/>
    <n v="0"/>
    <n v="100"/>
    <x v="0"/>
    <x v="0"/>
    <s v="No"/>
    <n v="-1.8200000000000022E-2"/>
  </r>
  <r>
    <n v="577"/>
    <x v="25"/>
    <n v="1"/>
    <n v="7"/>
    <b v="0"/>
    <n v="3"/>
    <n v="3"/>
    <n v="0.22"/>
    <n v="0.21210000000000001"/>
    <n v="0.87"/>
    <n v="0.29849999999999999"/>
    <n v="1"/>
    <n v="29"/>
    <n v="30"/>
    <s v="Spring"/>
    <s v="Wednesday"/>
    <s v="Light Rain/Snow"/>
    <s v="Morning"/>
    <x v="0"/>
    <x v="0"/>
    <x v="1"/>
    <x v="0"/>
    <s v="Mostly Registered"/>
    <n v="3.333333333333333"/>
    <n v="96.666666666666671"/>
    <x v="1"/>
    <x v="0"/>
    <s v="No"/>
    <n v="-7.8999999999999904E-3"/>
  </r>
  <r>
    <n v="578"/>
    <x v="25"/>
    <n v="1"/>
    <n v="8"/>
    <b v="0"/>
    <n v="3"/>
    <n v="3"/>
    <n v="0.22"/>
    <n v="0.21210000000000001"/>
    <n v="0.87"/>
    <n v="0.29849999999999999"/>
    <n v="3"/>
    <n v="69"/>
    <n v="72"/>
    <s v="Spring"/>
    <s v="Wednesday"/>
    <s v="Light Rain/Snow"/>
    <s v="Morning"/>
    <x v="0"/>
    <x v="0"/>
    <x v="1"/>
    <x v="0"/>
    <s v="Mostly Registered"/>
    <n v="4.1666666666666661"/>
    <n v="95.833333333333343"/>
    <x v="1"/>
    <x v="0"/>
    <s v="No"/>
    <n v="-7.8999999999999904E-3"/>
  </r>
  <r>
    <n v="579"/>
    <x v="25"/>
    <n v="1"/>
    <n v="9"/>
    <b v="0"/>
    <n v="3"/>
    <n v="3"/>
    <n v="0.22"/>
    <n v="0.21210000000000001"/>
    <n v="0.87"/>
    <n v="0.29849999999999999"/>
    <n v="3"/>
    <n v="55"/>
    <n v="58"/>
    <s v="Spring"/>
    <s v="Wednesday"/>
    <s v="Light Rain/Snow"/>
    <s v="Morning"/>
    <x v="0"/>
    <x v="0"/>
    <x v="1"/>
    <x v="0"/>
    <s v="Mostly Registered"/>
    <n v="5.1724137931034484"/>
    <n v="94.827586206896555"/>
    <x v="1"/>
    <x v="0"/>
    <s v="No"/>
    <n v="-7.8999999999999904E-3"/>
  </r>
  <r>
    <n v="580"/>
    <x v="25"/>
    <n v="1"/>
    <n v="10"/>
    <b v="0"/>
    <n v="3"/>
    <n v="3"/>
    <n v="0.22"/>
    <n v="0.21210000000000001"/>
    <n v="0.93"/>
    <n v="0.28360000000000002"/>
    <n v="2"/>
    <n v="26"/>
    <n v="28"/>
    <s v="Spring"/>
    <s v="Wednesday"/>
    <s v="Light Rain/Snow"/>
    <s v="Morning"/>
    <x v="0"/>
    <x v="0"/>
    <x v="1"/>
    <x v="0"/>
    <s v="Mostly Registered"/>
    <n v="7.1428571428571423"/>
    <n v="92.857142857142861"/>
    <x v="0"/>
    <x v="0"/>
    <s v="No"/>
    <n v="-7.8999999999999904E-3"/>
  </r>
  <r>
    <n v="581"/>
    <x v="25"/>
    <n v="1"/>
    <n v="11"/>
    <b v="0"/>
    <n v="3"/>
    <n v="3"/>
    <n v="0.22"/>
    <n v="0.19700000000000001"/>
    <n v="0.93"/>
    <n v="0.32840000000000003"/>
    <n v="6"/>
    <n v="35"/>
    <n v="41"/>
    <s v="Spring"/>
    <s v="Wednesday"/>
    <s v="Light Rain/Snow"/>
    <s v="Morning"/>
    <x v="0"/>
    <x v="0"/>
    <x v="2"/>
    <x v="0"/>
    <s v="Mostly Registered"/>
    <n v="14.63414634146341"/>
    <n v="85.365853658536579"/>
    <x v="0"/>
    <x v="0"/>
    <s v="No"/>
    <n v="-2.2999999999999989E-2"/>
  </r>
  <r>
    <n v="582"/>
    <x v="25"/>
    <n v="1"/>
    <n v="12"/>
    <b v="0"/>
    <n v="3"/>
    <n v="3"/>
    <n v="0.22"/>
    <n v="0.19700000000000001"/>
    <n v="0.93"/>
    <n v="0.32840000000000003"/>
    <n v="7"/>
    <n v="41"/>
    <n v="48"/>
    <s v="Spring"/>
    <s v="Wednesday"/>
    <s v="Light Rain/Snow"/>
    <s v="Afternoon"/>
    <x v="0"/>
    <x v="0"/>
    <x v="2"/>
    <x v="0"/>
    <s v="Mostly Registered"/>
    <n v="14.58333333333333"/>
    <n v="85.416666666666657"/>
    <x v="0"/>
    <x v="0"/>
    <s v="No"/>
    <n v="-2.2999999999999989E-2"/>
  </r>
  <r>
    <n v="583"/>
    <x v="25"/>
    <n v="1"/>
    <n v="13"/>
    <b v="0"/>
    <n v="3"/>
    <n v="3"/>
    <n v="0.22"/>
    <n v="0.19700000000000001"/>
    <n v="0.93"/>
    <n v="0.32840000000000003"/>
    <n v="4"/>
    <n v="43"/>
    <n v="47"/>
    <s v="Spring"/>
    <s v="Wednesday"/>
    <s v="Light Rain/Snow"/>
    <s v="Afternoon"/>
    <x v="0"/>
    <x v="0"/>
    <x v="2"/>
    <x v="0"/>
    <s v="Mostly Registered"/>
    <n v="8.5106382978723403"/>
    <n v="91.489361702127653"/>
    <x v="0"/>
    <x v="0"/>
    <s v="No"/>
    <n v="-2.2999999999999989E-2"/>
  </r>
  <r>
    <n v="584"/>
    <x v="25"/>
    <n v="1"/>
    <n v="14"/>
    <b v="0"/>
    <n v="3"/>
    <n v="3"/>
    <n v="0.22"/>
    <n v="0.19700000000000001"/>
    <n v="0.93"/>
    <n v="0.35820000000000002"/>
    <n v="0"/>
    <n v="36"/>
    <n v="36"/>
    <s v="Spring"/>
    <s v="Wednesday"/>
    <s v="Light Rain/Snow"/>
    <s v="Afternoon"/>
    <x v="0"/>
    <x v="0"/>
    <x v="2"/>
    <x v="0"/>
    <s v="Mostly Registered"/>
    <n v="0"/>
    <n v="100"/>
    <x v="0"/>
    <x v="0"/>
    <s v="No"/>
    <n v="-2.2999999999999989E-2"/>
  </r>
  <r>
    <n v="585"/>
    <x v="25"/>
    <n v="1"/>
    <n v="15"/>
    <b v="0"/>
    <n v="3"/>
    <n v="3"/>
    <n v="0.22"/>
    <n v="0.18179999999999999"/>
    <n v="0.93"/>
    <n v="0.4627"/>
    <n v="1"/>
    <n v="42"/>
    <n v="43"/>
    <s v="Spring"/>
    <s v="Wednesday"/>
    <s v="Light Rain/Snow"/>
    <s v="Afternoon"/>
    <x v="0"/>
    <x v="0"/>
    <x v="2"/>
    <x v="0"/>
    <s v="Mostly Registered"/>
    <n v="2.3255813953488369"/>
    <n v="97.674418604651152"/>
    <x v="0"/>
    <x v="0"/>
    <s v="No"/>
    <n v="-3.8200000000000012E-2"/>
  </r>
  <r>
    <n v="586"/>
    <x v="25"/>
    <n v="1"/>
    <n v="16"/>
    <b v="0"/>
    <n v="3"/>
    <n v="4"/>
    <n v="0.22"/>
    <n v="0.19700000000000001"/>
    <n v="0.93"/>
    <n v="0.32840000000000003"/>
    <n v="1"/>
    <n v="35"/>
    <n v="36"/>
    <s v="Spring"/>
    <s v="Wednesday"/>
    <s v="Heavy Rain/Storm"/>
    <s v="Afternoon"/>
    <x v="0"/>
    <x v="0"/>
    <x v="2"/>
    <x v="0"/>
    <s v="Mostly Registered"/>
    <n v="2.7777777777777781"/>
    <n v="97.222222222222214"/>
    <x v="0"/>
    <x v="0"/>
    <s v="No"/>
    <n v="-2.2999999999999989E-2"/>
  </r>
  <r>
    <n v="587"/>
    <x v="25"/>
    <n v="1"/>
    <n v="17"/>
    <b v="0"/>
    <n v="3"/>
    <n v="3"/>
    <n v="0.2"/>
    <n v="0.18179999999999999"/>
    <n v="0.93"/>
    <n v="0.35820000000000002"/>
    <n v="0"/>
    <n v="26"/>
    <n v="26"/>
    <s v="Spring"/>
    <s v="Wednesday"/>
    <s v="Light Rain/Snow"/>
    <s v="Evening"/>
    <x v="0"/>
    <x v="0"/>
    <x v="2"/>
    <x v="0"/>
    <s v="Mostly Registered"/>
    <n v="0"/>
    <n v="100"/>
    <x v="1"/>
    <x v="0"/>
    <s v="No"/>
    <n v="-1.8200000000000022E-2"/>
  </r>
  <r>
    <n v="588"/>
    <x v="26"/>
    <n v="1"/>
    <n v="16"/>
    <b v="0"/>
    <n v="4"/>
    <n v="1"/>
    <n v="0.22"/>
    <n v="0.2273"/>
    <n v="0.55000000000000004"/>
    <n v="0.19400000000000001"/>
    <n v="1"/>
    <n v="23"/>
    <n v="24"/>
    <s v="Spring"/>
    <s v="Thursday"/>
    <s v="Clear"/>
    <s v="Afternoon"/>
    <x v="0"/>
    <x v="1"/>
    <x v="1"/>
    <x v="0"/>
    <s v="Mostly Registered"/>
    <n v="4.1666666666666661"/>
    <n v="95.833333333333343"/>
    <x v="0"/>
    <x v="0"/>
    <s v="No"/>
    <n v="7.3000000000000009E-3"/>
  </r>
  <r>
    <n v="589"/>
    <x v="26"/>
    <n v="1"/>
    <n v="17"/>
    <b v="0"/>
    <n v="4"/>
    <n v="1"/>
    <n v="0.22"/>
    <n v="0.2424"/>
    <n v="0.55000000000000004"/>
    <n v="0.1045"/>
    <n v="2"/>
    <n v="82"/>
    <n v="84"/>
    <s v="Spring"/>
    <s v="Thursday"/>
    <s v="Clear"/>
    <s v="Evening"/>
    <x v="0"/>
    <x v="1"/>
    <x v="0"/>
    <x v="0"/>
    <s v="Mostly Registered"/>
    <n v="2.3809523809523809"/>
    <n v="97.61904761904762"/>
    <x v="1"/>
    <x v="0"/>
    <s v="No"/>
    <n v="2.24E-2"/>
  </r>
  <r>
    <n v="590"/>
    <x v="26"/>
    <n v="1"/>
    <n v="18"/>
    <b v="0"/>
    <n v="4"/>
    <n v="1"/>
    <n v="0.2"/>
    <n v="0.2273"/>
    <n v="0.69"/>
    <n v="8.9599999999999999E-2"/>
    <n v="3"/>
    <n v="101"/>
    <n v="104"/>
    <s v="Spring"/>
    <s v="Thursday"/>
    <s v="Clear"/>
    <s v="Evening"/>
    <x v="0"/>
    <x v="1"/>
    <x v="0"/>
    <x v="0"/>
    <s v="Mostly Registered"/>
    <n v="2.884615384615385"/>
    <n v="97.115384615384613"/>
    <x v="1"/>
    <x v="1"/>
    <s v="No"/>
    <n v="2.7299999999999991E-2"/>
  </r>
  <r>
    <n v="591"/>
    <x v="26"/>
    <n v="1"/>
    <n v="19"/>
    <b v="0"/>
    <n v="4"/>
    <n v="1"/>
    <n v="0.2"/>
    <n v="0.2273"/>
    <n v="0.69"/>
    <n v="8.9599999999999999E-2"/>
    <n v="3"/>
    <n v="76"/>
    <n v="79"/>
    <s v="Spring"/>
    <s v="Thursday"/>
    <s v="Clear"/>
    <s v="Evening"/>
    <x v="0"/>
    <x v="1"/>
    <x v="0"/>
    <x v="0"/>
    <s v="Mostly Registered"/>
    <n v="3.79746835443038"/>
    <n v="96.202531645569621"/>
    <x v="1"/>
    <x v="0"/>
    <s v="No"/>
    <n v="2.7299999999999991E-2"/>
  </r>
  <r>
    <n v="592"/>
    <x v="26"/>
    <n v="1"/>
    <n v="20"/>
    <b v="0"/>
    <n v="4"/>
    <n v="1"/>
    <n v="0.18"/>
    <n v="0.21210000000000001"/>
    <n v="0.74"/>
    <n v="8.9599999999999999E-2"/>
    <n v="4"/>
    <n v="55"/>
    <n v="59"/>
    <s v="Spring"/>
    <s v="Thursday"/>
    <s v="Clear"/>
    <s v="Evening"/>
    <x v="0"/>
    <x v="0"/>
    <x v="0"/>
    <x v="0"/>
    <s v="Mostly Registered"/>
    <n v="6.7796610169491522"/>
    <n v="93.220338983050837"/>
    <x v="0"/>
    <x v="0"/>
    <s v="No"/>
    <n v="3.2100000000000017E-2"/>
  </r>
  <r>
    <n v="593"/>
    <x v="26"/>
    <n v="1"/>
    <n v="21"/>
    <b v="0"/>
    <n v="4"/>
    <n v="1"/>
    <n v="0.18"/>
    <n v="0.21210000000000001"/>
    <n v="0.74"/>
    <n v="8.9599999999999999E-2"/>
    <n v="2"/>
    <n v="36"/>
    <n v="38"/>
    <s v="Spring"/>
    <s v="Thursday"/>
    <s v="Clear"/>
    <s v="Night"/>
    <x v="0"/>
    <x v="0"/>
    <x v="0"/>
    <x v="0"/>
    <s v="Mostly Registered"/>
    <n v="5.2631578947368416"/>
    <n v="94.73684210526315"/>
    <x v="0"/>
    <x v="0"/>
    <s v="No"/>
    <n v="3.2100000000000017E-2"/>
  </r>
  <r>
    <n v="594"/>
    <x v="26"/>
    <n v="1"/>
    <n v="22"/>
    <b v="0"/>
    <n v="4"/>
    <n v="1"/>
    <n v="0.18"/>
    <n v="0.21210000000000001"/>
    <n v="0.74"/>
    <n v="8.9599999999999999E-2"/>
    <n v="0"/>
    <n v="27"/>
    <n v="27"/>
    <s v="Spring"/>
    <s v="Thursday"/>
    <s v="Clear"/>
    <s v="Night"/>
    <x v="0"/>
    <x v="0"/>
    <x v="0"/>
    <x v="0"/>
    <s v="Mostly Registered"/>
    <n v="0"/>
    <n v="100"/>
    <x v="0"/>
    <x v="0"/>
    <s v="No"/>
    <n v="3.2100000000000017E-2"/>
  </r>
  <r>
    <n v="595"/>
    <x v="26"/>
    <n v="1"/>
    <n v="23"/>
    <b v="0"/>
    <n v="4"/>
    <n v="1"/>
    <n v="0.18"/>
    <n v="0.19700000000000001"/>
    <n v="0.8"/>
    <n v="0.16420000000000001"/>
    <n v="0"/>
    <n v="16"/>
    <n v="16"/>
    <s v="Spring"/>
    <s v="Thursday"/>
    <s v="Clear"/>
    <s v="Night"/>
    <x v="0"/>
    <x v="0"/>
    <x v="1"/>
    <x v="0"/>
    <s v="Mostly Registered"/>
    <n v="0"/>
    <n v="100"/>
    <x v="0"/>
    <x v="0"/>
    <s v="No"/>
    <n v="1.7000000000000019E-2"/>
  </r>
  <r>
    <n v="596"/>
    <x v="27"/>
    <n v="1"/>
    <n v="0"/>
    <b v="0"/>
    <n v="5"/>
    <n v="2"/>
    <n v="0.2"/>
    <n v="0.21210000000000001"/>
    <n v="0.75"/>
    <n v="0.1343"/>
    <n v="0"/>
    <n v="9"/>
    <n v="9"/>
    <s v="Spring"/>
    <s v="Friday"/>
    <s v="Mist/Cloudy"/>
    <s v="Night"/>
    <x v="0"/>
    <x v="0"/>
    <x v="0"/>
    <x v="0"/>
    <s v="Mostly Registered"/>
    <n v="0"/>
    <n v="100"/>
    <x v="0"/>
    <x v="0"/>
    <s v="No"/>
    <n v="1.21E-2"/>
  </r>
  <r>
    <n v="597"/>
    <x v="27"/>
    <n v="1"/>
    <n v="1"/>
    <b v="0"/>
    <n v="5"/>
    <n v="2"/>
    <n v="0.2"/>
    <n v="0.21210000000000001"/>
    <n v="0.75"/>
    <n v="0.1343"/>
    <n v="1"/>
    <n v="2"/>
    <n v="3"/>
    <s v="Spring"/>
    <s v="Friday"/>
    <s v="Mist/Cloudy"/>
    <s v="Night"/>
    <x v="0"/>
    <x v="0"/>
    <x v="0"/>
    <x v="0"/>
    <s v="Mostly Registered"/>
    <n v="33.333333333333329"/>
    <n v="66.666666666666657"/>
    <x v="0"/>
    <x v="0"/>
    <s v="No"/>
    <n v="1.21E-2"/>
  </r>
  <r>
    <n v="598"/>
    <x v="27"/>
    <n v="1"/>
    <n v="2"/>
    <b v="0"/>
    <n v="5"/>
    <n v="2"/>
    <n v="0.2"/>
    <n v="0.21210000000000001"/>
    <n v="0.75"/>
    <n v="0.16420000000000001"/>
    <n v="0"/>
    <n v="2"/>
    <n v="2"/>
    <s v="Spring"/>
    <s v="Friday"/>
    <s v="Mist/Cloudy"/>
    <s v="Night"/>
    <x v="0"/>
    <x v="0"/>
    <x v="1"/>
    <x v="0"/>
    <s v="Mostly Registered"/>
    <n v="0"/>
    <n v="100"/>
    <x v="0"/>
    <x v="0"/>
    <s v="No"/>
    <n v="1.21E-2"/>
  </r>
  <r>
    <n v="599"/>
    <x v="27"/>
    <n v="1"/>
    <n v="3"/>
    <b v="0"/>
    <n v="5"/>
    <n v="2"/>
    <n v="0.2"/>
    <n v="0.2273"/>
    <n v="0.75"/>
    <n v="0.1045"/>
    <n v="1"/>
    <n v="0"/>
    <n v="1"/>
    <s v="Spring"/>
    <s v="Friday"/>
    <s v="Mist/Cloudy"/>
    <s v="Night"/>
    <x v="0"/>
    <x v="0"/>
    <x v="0"/>
    <x v="0"/>
    <s v="Mostly Casual"/>
    <n v="100"/>
    <n v="0"/>
    <x v="0"/>
    <x v="0"/>
    <s v="No"/>
    <n v="2.7299999999999991E-2"/>
  </r>
  <r>
    <n v="600"/>
    <x v="27"/>
    <n v="1"/>
    <n v="5"/>
    <b v="0"/>
    <n v="5"/>
    <n v="2"/>
    <n v="0.18"/>
    <n v="0.21210000000000001"/>
    <n v="0.8"/>
    <n v="0.1045"/>
    <n v="0"/>
    <n v="4"/>
    <n v="4"/>
    <s v="Spring"/>
    <s v="Friday"/>
    <s v="Mist/Cloudy"/>
    <s v="Night"/>
    <x v="0"/>
    <x v="0"/>
    <x v="0"/>
    <x v="0"/>
    <s v="Mostly Registered"/>
    <n v="0"/>
    <n v="100"/>
    <x v="0"/>
    <x v="0"/>
    <s v="No"/>
    <n v="3.2100000000000017E-2"/>
  </r>
  <r>
    <n v="601"/>
    <x v="27"/>
    <n v="1"/>
    <n v="6"/>
    <b v="0"/>
    <n v="5"/>
    <n v="2"/>
    <n v="0.18"/>
    <n v="0.19700000000000001"/>
    <n v="0.8"/>
    <n v="0.1343"/>
    <n v="0"/>
    <n v="16"/>
    <n v="16"/>
    <s v="Spring"/>
    <s v="Friday"/>
    <s v="Mist/Cloudy"/>
    <s v="Morning"/>
    <x v="0"/>
    <x v="0"/>
    <x v="0"/>
    <x v="0"/>
    <s v="Mostly Registered"/>
    <n v="0"/>
    <n v="100"/>
    <x v="0"/>
    <x v="0"/>
    <s v="No"/>
    <n v="1.7000000000000019E-2"/>
  </r>
  <r>
    <n v="602"/>
    <x v="27"/>
    <n v="1"/>
    <n v="7"/>
    <b v="0"/>
    <n v="5"/>
    <n v="2"/>
    <n v="0.16"/>
    <n v="0.19700000000000001"/>
    <n v="0.86"/>
    <n v="8.9599999999999999E-2"/>
    <n v="2"/>
    <n v="58"/>
    <n v="60"/>
    <s v="Spring"/>
    <s v="Friday"/>
    <s v="Mist/Cloudy"/>
    <s v="Morning"/>
    <x v="0"/>
    <x v="0"/>
    <x v="0"/>
    <x v="0"/>
    <s v="Mostly Registered"/>
    <n v="3.333333333333333"/>
    <n v="96.666666666666671"/>
    <x v="1"/>
    <x v="0"/>
    <s v="No"/>
    <n v="3.7000000000000012E-2"/>
  </r>
  <r>
    <n v="603"/>
    <x v="27"/>
    <n v="1"/>
    <n v="8"/>
    <b v="0"/>
    <n v="5"/>
    <n v="2"/>
    <n v="0.16"/>
    <n v="0.19700000000000001"/>
    <n v="0.86"/>
    <n v="8.9599999999999999E-2"/>
    <n v="2"/>
    <n v="155"/>
    <n v="157"/>
    <s v="Spring"/>
    <s v="Friday"/>
    <s v="Mist/Cloudy"/>
    <s v="Morning"/>
    <x v="0"/>
    <x v="0"/>
    <x v="0"/>
    <x v="0"/>
    <s v="Mostly Registered"/>
    <n v="1.2738853503184711"/>
    <n v="98.726114649681534"/>
    <x v="1"/>
    <x v="1"/>
    <s v="No"/>
    <n v="3.7000000000000012E-2"/>
  </r>
  <r>
    <n v="604"/>
    <x v="27"/>
    <n v="1"/>
    <n v="9"/>
    <b v="0"/>
    <n v="5"/>
    <n v="3"/>
    <n v="0.18"/>
    <n v="0.21210000000000001"/>
    <n v="0.86"/>
    <n v="8.9599999999999999E-2"/>
    <n v="6"/>
    <n v="95"/>
    <n v="101"/>
    <s v="Spring"/>
    <s v="Friday"/>
    <s v="Light Rain/Snow"/>
    <s v="Morning"/>
    <x v="0"/>
    <x v="0"/>
    <x v="0"/>
    <x v="0"/>
    <s v="Mostly Registered"/>
    <n v="5.9405940594059414"/>
    <n v="94.059405940594047"/>
    <x v="1"/>
    <x v="1"/>
    <s v="No"/>
    <n v="3.2100000000000017E-2"/>
  </r>
  <r>
    <n v="605"/>
    <x v="27"/>
    <n v="1"/>
    <n v="10"/>
    <b v="0"/>
    <n v="5"/>
    <n v="3"/>
    <n v="0.18"/>
    <n v="0.21210000000000001"/>
    <n v="0.86"/>
    <n v="0.1045"/>
    <n v="0"/>
    <n v="49"/>
    <n v="49"/>
    <s v="Spring"/>
    <s v="Friday"/>
    <s v="Light Rain/Snow"/>
    <s v="Morning"/>
    <x v="0"/>
    <x v="0"/>
    <x v="0"/>
    <x v="0"/>
    <s v="Mostly Registered"/>
    <n v="0"/>
    <n v="100"/>
    <x v="0"/>
    <x v="0"/>
    <s v="No"/>
    <n v="3.2100000000000017E-2"/>
  </r>
  <r>
    <n v="606"/>
    <x v="27"/>
    <n v="1"/>
    <n v="11"/>
    <b v="0"/>
    <n v="5"/>
    <n v="3"/>
    <n v="0.18"/>
    <n v="0.21210000000000001"/>
    <n v="0.93"/>
    <n v="0.1045"/>
    <n v="0"/>
    <n v="30"/>
    <n v="30"/>
    <s v="Spring"/>
    <s v="Friday"/>
    <s v="Light Rain/Snow"/>
    <s v="Morning"/>
    <x v="0"/>
    <x v="0"/>
    <x v="0"/>
    <x v="0"/>
    <s v="Mostly Registered"/>
    <n v="0"/>
    <n v="100"/>
    <x v="0"/>
    <x v="0"/>
    <s v="No"/>
    <n v="3.2100000000000017E-2"/>
  </r>
  <r>
    <n v="607"/>
    <x v="27"/>
    <n v="1"/>
    <n v="12"/>
    <b v="0"/>
    <n v="5"/>
    <n v="3"/>
    <n v="0.18"/>
    <n v="0.21210000000000001"/>
    <n v="0.93"/>
    <n v="0.1045"/>
    <n v="1"/>
    <n v="28"/>
    <n v="29"/>
    <s v="Spring"/>
    <s v="Friday"/>
    <s v="Light Rain/Snow"/>
    <s v="Afternoon"/>
    <x v="0"/>
    <x v="0"/>
    <x v="0"/>
    <x v="0"/>
    <s v="Mostly Registered"/>
    <n v="3.4482758620689649"/>
    <n v="96.551724137931032"/>
    <x v="0"/>
    <x v="0"/>
    <s v="No"/>
    <n v="3.2100000000000017E-2"/>
  </r>
  <r>
    <n v="608"/>
    <x v="27"/>
    <n v="1"/>
    <n v="13"/>
    <b v="0"/>
    <n v="5"/>
    <n v="3"/>
    <n v="0.18"/>
    <n v="0.21210000000000001"/>
    <n v="0.93"/>
    <n v="0.1045"/>
    <n v="0"/>
    <n v="31"/>
    <n v="31"/>
    <s v="Spring"/>
    <s v="Friday"/>
    <s v="Light Rain/Snow"/>
    <s v="Afternoon"/>
    <x v="0"/>
    <x v="0"/>
    <x v="0"/>
    <x v="0"/>
    <s v="Mostly Registered"/>
    <n v="0"/>
    <n v="100"/>
    <x v="0"/>
    <x v="0"/>
    <s v="No"/>
    <n v="3.2100000000000017E-2"/>
  </r>
  <r>
    <n v="609"/>
    <x v="27"/>
    <n v="1"/>
    <n v="14"/>
    <b v="0"/>
    <n v="5"/>
    <n v="3"/>
    <n v="0.22"/>
    <n v="0.2727"/>
    <n v="0.8"/>
    <n v="0"/>
    <n v="2"/>
    <n v="36"/>
    <n v="38"/>
    <s v="Spring"/>
    <s v="Friday"/>
    <s v="Light Rain/Snow"/>
    <s v="Afternoon"/>
    <x v="0"/>
    <x v="0"/>
    <x v="0"/>
    <x v="0"/>
    <s v="Mostly Registered"/>
    <n v="5.2631578947368416"/>
    <n v="94.73684210526315"/>
    <x v="0"/>
    <x v="0"/>
    <s v="No"/>
    <n v="5.2699999999999997E-2"/>
  </r>
  <r>
    <n v="610"/>
    <x v="27"/>
    <n v="1"/>
    <n v="15"/>
    <b v="0"/>
    <n v="5"/>
    <n v="2"/>
    <n v="0.2"/>
    <n v="0.2576"/>
    <n v="0.86"/>
    <n v="0"/>
    <n v="1"/>
    <n v="40"/>
    <n v="41"/>
    <s v="Spring"/>
    <s v="Friday"/>
    <s v="Mist/Cloudy"/>
    <s v="Afternoon"/>
    <x v="0"/>
    <x v="0"/>
    <x v="0"/>
    <x v="0"/>
    <s v="Mostly Registered"/>
    <n v="2.4390243902439019"/>
    <n v="97.560975609756099"/>
    <x v="0"/>
    <x v="0"/>
    <s v="No"/>
    <n v="5.7599999999999978E-2"/>
  </r>
  <r>
    <n v="611"/>
    <x v="27"/>
    <n v="1"/>
    <n v="16"/>
    <b v="0"/>
    <n v="5"/>
    <n v="1"/>
    <n v="0.22"/>
    <n v="0.2727"/>
    <n v="0.8"/>
    <n v="0"/>
    <n v="10"/>
    <n v="70"/>
    <n v="80"/>
    <s v="Spring"/>
    <s v="Friday"/>
    <s v="Clear"/>
    <s v="Afternoon"/>
    <x v="0"/>
    <x v="0"/>
    <x v="0"/>
    <x v="0"/>
    <s v="Mostly Registered"/>
    <n v="12.5"/>
    <n v="87.5"/>
    <x v="0"/>
    <x v="0"/>
    <s v="No"/>
    <n v="5.2699999999999997E-2"/>
  </r>
  <r>
    <n v="612"/>
    <x v="27"/>
    <n v="1"/>
    <n v="17"/>
    <b v="0"/>
    <n v="5"/>
    <n v="1"/>
    <n v="0.24"/>
    <n v="0.2424"/>
    <n v="0.75"/>
    <n v="0.1343"/>
    <n v="2"/>
    <n v="147"/>
    <n v="149"/>
    <s v="Spring"/>
    <s v="Friday"/>
    <s v="Clear"/>
    <s v="Evening"/>
    <x v="0"/>
    <x v="0"/>
    <x v="0"/>
    <x v="0"/>
    <s v="Mostly Registered"/>
    <n v="1.3422818791946309"/>
    <n v="98.65771812080537"/>
    <x v="1"/>
    <x v="1"/>
    <s v="No"/>
    <n v="2.4000000000000128E-3"/>
  </r>
  <r>
    <n v="613"/>
    <x v="27"/>
    <n v="1"/>
    <n v="18"/>
    <b v="0"/>
    <n v="5"/>
    <n v="1"/>
    <n v="0.24"/>
    <n v="0.2273"/>
    <n v="0.75"/>
    <n v="0.19400000000000001"/>
    <n v="2"/>
    <n v="107"/>
    <n v="109"/>
    <s v="Spring"/>
    <s v="Friday"/>
    <s v="Clear"/>
    <s v="Evening"/>
    <x v="0"/>
    <x v="0"/>
    <x v="1"/>
    <x v="0"/>
    <s v="Mostly Registered"/>
    <n v="1.834862385321101"/>
    <n v="98.165137614678898"/>
    <x v="1"/>
    <x v="1"/>
    <s v="No"/>
    <n v="-1.2699999999999991E-2"/>
  </r>
  <r>
    <n v="614"/>
    <x v="27"/>
    <n v="1"/>
    <n v="19"/>
    <b v="0"/>
    <n v="5"/>
    <n v="2"/>
    <n v="0.24"/>
    <n v="0.2424"/>
    <n v="0.75"/>
    <n v="0.1343"/>
    <n v="5"/>
    <n v="84"/>
    <n v="89"/>
    <s v="Spring"/>
    <s v="Friday"/>
    <s v="Mist/Cloudy"/>
    <s v="Evening"/>
    <x v="0"/>
    <x v="0"/>
    <x v="0"/>
    <x v="0"/>
    <s v="Mostly Registered"/>
    <n v="5.6179775280898872"/>
    <n v="94.382022471910105"/>
    <x v="1"/>
    <x v="0"/>
    <s v="No"/>
    <n v="2.4000000000000128E-3"/>
  </r>
  <r>
    <n v="615"/>
    <x v="27"/>
    <n v="1"/>
    <n v="20"/>
    <b v="0"/>
    <n v="5"/>
    <n v="2"/>
    <n v="0.24"/>
    <n v="0.2273"/>
    <n v="0.7"/>
    <n v="0.19400000000000001"/>
    <n v="1"/>
    <n v="61"/>
    <n v="62"/>
    <s v="Spring"/>
    <s v="Friday"/>
    <s v="Mist/Cloudy"/>
    <s v="Evening"/>
    <x v="0"/>
    <x v="0"/>
    <x v="1"/>
    <x v="0"/>
    <s v="Mostly Registered"/>
    <n v="1.612903225806452"/>
    <n v="98.387096774193552"/>
    <x v="0"/>
    <x v="0"/>
    <s v="No"/>
    <n v="-1.2699999999999991E-2"/>
  </r>
  <r>
    <n v="616"/>
    <x v="27"/>
    <n v="1"/>
    <n v="21"/>
    <b v="0"/>
    <n v="5"/>
    <n v="2"/>
    <n v="0.22"/>
    <n v="0.2273"/>
    <n v="0.75"/>
    <n v="0.1343"/>
    <n v="1"/>
    <n v="57"/>
    <n v="58"/>
    <s v="Spring"/>
    <s v="Friday"/>
    <s v="Mist/Cloudy"/>
    <s v="Night"/>
    <x v="0"/>
    <x v="0"/>
    <x v="0"/>
    <x v="0"/>
    <s v="Mostly Registered"/>
    <n v="1.7241379310344831"/>
    <n v="98.275862068965509"/>
    <x v="0"/>
    <x v="0"/>
    <s v="No"/>
    <n v="7.3000000000000009E-3"/>
  </r>
  <r>
    <n v="617"/>
    <x v="27"/>
    <n v="1"/>
    <n v="22"/>
    <b v="0"/>
    <n v="5"/>
    <n v="1"/>
    <n v="0.24"/>
    <n v="0.21210000000000001"/>
    <n v="0.65"/>
    <n v="0.35820000000000002"/>
    <n v="0"/>
    <n v="26"/>
    <n v="26"/>
    <s v="Spring"/>
    <s v="Friday"/>
    <s v="Clear"/>
    <s v="Night"/>
    <x v="0"/>
    <x v="1"/>
    <x v="2"/>
    <x v="0"/>
    <s v="Mostly Registered"/>
    <n v="0"/>
    <n v="100"/>
    <x v="0"/>
    <x v="0"/>
    <s v="No"/>
    <n v="-2.789999999999998E-2"/>
  </r>
  <r>
    <n v="618"/>
    <x v="27"/>
    <n v="1"/>
    <n v="23"/>
    <b v="0"/>
    <n v="5"/>
    <n v="1"/>
    <n v="0.24"/>
    <n v="0.2273"/>
    <n v="0.6"/>
    <n v="0.22389999999999999"/>
    <n v="1"/>
    <n v="22"/>
    <n v="23"/>
    <s v="Spring"/>
    <s v="Friday"/>
    <s v="Clear"/>
    <s v="Night"/>
    <x v="0"/>
    <x v="1"/>
    <x v="1"/>
    <x v="0"/>
    <s v="Mostly Registered"/>
    <n v="4.3478260869565224"/>
    <n v="95.652173913043484"/>
    <x v="0"/>
    <x v="0"/>
    <s v="No"/>
    <n v="-1.2699999999999991E-2"/>
  </r>
  <r>
    <n v="619"/>
    <x v="28"/>
    <n v="1"/>
    <n v="0"/>
    <b v="0"/>
    <n v="6"/>
    <n v="1"/>
    <n v="0.22"/>
    <n v="0.19700000000000001"/>
    <n v="0.64"/>
    <n v="0.35820000000000002"/>
    <n v="2"/>
    <n v="26"/>
    <n v="28"/>
    <s v="Spring"/>
    <s v="Saturday"/>
    <s v="Clear"/>
    <s v="Night"/>
    <x v="0"/>
    <x v="1"/>
    <x v="2"/>
    <x v="0"/>
    <s v="Mostly Registered"/>
    <n v="7.1428571428571423"/>
    <n v="92.857142857142861"/>
    <x v="0"/>
    <x v="0"/>
    <s v="Yes"/>
    <n v="-2.2999999999999989E-2"/>
  </r>
  <r>
    <n v="620"/>
    <x v="28"/>
    <n v="1"/>
    <n v="1"/>
    <b v="0"/>
    <n v="6"/>
    <n v="1"/>
    <n v="0.22"/>
    <n v="0.2273"/>
    <n v="0.64"/>
    <n v="0.19400000000000001"/>
    <n v="0"/>
    <n v="20"/>
    <n v="20"/>
    <s v="Spring"/>
    <s v="Saturday"/>
    <s v="Clear"/>
    <s v="Night"/>
    <x v="0"/>
    <x v="1"/>
    <x v="1"/>
    <x v="0"/>
    <s v="Mostly Registered"/>
    <n v="0"/>
    <n v="100"/>
    <x v="0"/>
    <x v="0"/>
    <s v="Yes"/>
    <n v="7.3000000000000009E-3"/>
  </r>
  <r>
    <n v="621"/>
    <x v="28"/>
    <n v="1"/>
    <n v="2"/>
    <b v="0"/>
    <n v="6"/>
    <n v="1"/>
    <n v="0.22"/>
    <n v="0.2273"/>
    <n v="0.64"/>
    <n v="0.16420000000000001"/>
    <n v="0"/>
    <n v="15"/>
    <n v="15"/>
    <s v="Spring"/>
    <s v="Saturday"/>
    <s v="Clear"/>
    <s v="Night"/>
    <x v="0"/>
    <x v="1"/>
    <x v="1"/>
    <x v="0"/>
    <s v="Mostly Registered"/>
    <n v="0"/>
    <n v="100"/>
    <x v="0"/>
    <x v="0"/>
    <s v="Yes"/>
    <n v="7.3000000000000009E-3"/>
  </r>
  <r>
    <n v="622"/>
    <x v="28"/>
    <n v="1"/>
    <n v="3"/>
    <b v="0"/>
    <n v="6"/>
    <n v="1"/>
    <n v="0.2"/>
    <n v="0.21210000000000001"/>
    <n v="0.64"/>
    <n v="0.1343"/>
    <n v="3"/>
    <n v="5"/>
    <n v="8"/>
    <s v="Spring"/>
    <s v="Saturday"/>
    <s v="Clear"/>
    <s v="Night"/>
    <x v="0"/>
    <x v="1"/>
    <x v="0"/>
    <x v="0"/>
    <s v="Mostly Registered"/>
    <n v="37.5"/>
    <n v="62.5"/>
    <x v="0"/>
    <x v="0"/>
    <s v="Yes"/>
    <n v="1.21E-2"/>
  </r>
  <r>
    <n v="623"/>
    <x v="28"/>
    <n v="1"/>
    <n v="4"/>
    <b v="0"/>
    <n v="6"/>
    <n v="1"/>
    <n v="0.16"/>
    <n v="0.18179999999999999"/>
    <n v="0.69"/>
    <n v="0.1045"/>
    <n v="1"/>
    <n v="2"/>
    <n v="3"/>
    <s v="Spring"/>
    <s v="Saturday"/>
    <s v="Clear"/>
    <s v="Night"/>
    <x v="0"/>
    <x v="1"/>
    <x v="0"/>
    <x v="0"/>
    <s v="Mostly Registered"/>
    <n v="33.333333333333329"/>
    <n v="66.666666666666657"/>
    <x v="0"/>
    <x v="0"/>
    <s v="Yes"/>
    <n v="2.179999999999999E-2"/>
  </r>
  <r>
    <n v="624"/>
    <x v="28"/>
    <n v="1"/>
    <n v="6"/>
    <b v="0"/>
    <n v="6"/>
    <n v="1"/>
    <n v="0.16"/>
    <n v="0.18179999999999999"/>
    <n v="0.64"/>
    <n v="0.1343"/>
    <n v="0"/>
    <n v="2"/>
    <n v="2"/>
    <s v="Spring"/>
    <s v="Saturday"/>
    <s v="Clear"/>
    <s v="Morning"/>
    <x v="0"/>
    <x v="1"/>
    <x v="0"/>
    <x v="0"/>
    <s v="Mostly Registered"/>
    <n v="0"/>
    <n v="100"/>
    <x v="0"/>
    <x v="0"/>
    <s v="Yes"/>
    <n v="2.179999999999999E-2"/>
  </r>
  <r>
    <n v="625"/>
    <x v="28"/>
    <n v="1"/>
    <n v="7"/>
    <b v="0"/>
    <n v="6"/>
    <n v="1"/>
    <n v="0.16"/>
    <n v="0.18179999999999999"/>
    <n v="0.59"/>
    <n v="0.1045"/>
    <n v="1"/>
    <n v="4"/>
    <n v="5"/>
    <s v="Spring"/>
    <s v="Saturday"/>
    <s v="Clear"/>
    <s v="Morning"/>
    <x v="0"/>
    <x v="1"/>
    <x v="0"/>
    <x v="0"/>
    <s v="Mostly Registered"/>
    <n v="20"/>
    <n v="80"/>
    <x v="1"/>
    <x v="0"/>
    <s v="Yes"/>
    <n v="2.179999999999999E-2"/>
  </r>
  <r>
    <n v="626"/>
    <x v="28"/>
    <n v="1"/>
    <n v="8"/>
    <b v="0"/>
    <n v="6"/>
    <n v="1"/>
    <n v="0.18"/>
    <n v="0.19700000000000001"/>
    <n v="0.55000000000000004"/>
    <n v="0.16420000000000001"/>
    <n v="3"/>
    <n v="31"/>
    <n v="34"/>
    <s v="Spring"/>
    <s v="Saturday"/>
    <s v="Clear"/>
    <s v="Morning"/>
    <x v="0"/>
    <x v="1"/>
    <x v="1"/>
    <x v="0"/>
    <s v="Mostly Registered"/>
    <n v="8.8235294117647065"/>
    <n v="91.17647058823529"/>
    <x v="1"/>
    <x v="0"/>
    <s v="Yes"/>
    <n v="1.7000000000000019E-2"/>
  </r>
  <r>
    <n v="627"/>
    <x v="28"/>
    <n v="1"/>
    <n v="9"/>
    <b v="0"/>
    <n v="6"/>
    <n v="1"/>
    <n v="0.18"/>
    <n v="0.21210000000000001"/>
    <n v="0.59"/>
    <n v="8.9599999999999999E-2"/>
    <n v="0"/>
    <n v="34"/>
    <n v="34"/>
    <s v="Spring"/>
    <s v="Saturday"/>
    <s v="Clear"/>
    <s v="Morning"/>
    <x v="0"/>
    <x v="1"/>
    <x v="0"/>
    <x v="0"/>
    <s v="Mostly Registered"/>
    <n v="0"/>
    <n v="100"/>
    <x v="1"/>
    <x v="0"/>
    <s v="Yes"/>
    <n v="3.2100000000000017E-2"/>
  </r>
  <r>
    <n v="628"/>
    <x v="28"/>
    <n v="1"/>
    <n v="10"/>
    <b v="0"/>
    <n v="6"/>
    <n v="2"/>
    <n v="0.18"/>
    <n v="0.21210000000000001"/>
    <n v="0.64"/>
    <n v="0.1045"/>
    <n v="4"/>
    <n v="51"/>
    <n v="55"/>
    <s v="Spring"/>
    <s v="Saturday"/>
    <s v="Mist/Cloudy"/>
    <s v="Morning"/>
    <x v="0"/>
    <x v="1"/>
    <x v="0"/>
    <x v="0"/>
    <s v="Mostly Registered"/>
    <n v="7.2727272727272716"/>
    <n v="92.72727272727272"/>
    <x v="0"/>
    <x v="0"/>
    <s v="Yes"/>
    <n v="3.2100000000000017E-2"/>
  </r>
  <r>
    <n v="629"/>
    <x v="28"/>
    <n v="1"/>
    <n v="11"/>
    <b v="0"/>
    <n v="6"/>
    <n v="2"/>
    <n v="0.18"/>
    <n v="0.19700000000000001"/>
    <n v="0.64"/>
    <n v="0.1343"/>
    <n v="4"/>
    <n v="60"/>
    <n v="64"/>
    <s v="Spring"/>
    <s v="Saturday"/>
    <s v="Mist/Cloudy"/>
    <s v="Morning"/>
    <x v="0"/>
    <x v="1"/>
    <x v="0"/>
    <x v="0"/>
    <s v="Mostly Registered"/>
    <n v="6.25"/>
    <n v="93.75"/>
    <x v="0"/>
    <x v="0"/>
    <s v="Yes"/>
    <n v="1.7000000000000019E-2"/>
  </r>
  <r>
    <n v="630"/>
    <x v="28"/>
    <n v="1"/>
    <n v="12"/>
    <b v="0"/>
    <n v="6"/>
    <n v="2"/>
    <n v="0.2"/>
    <n v="0.19700000000000001"/>
    <n v="0.59"/>
    <n v="0.19400000000000001"/>
    <n v="12"/>
    <n v="66"/>
    <n v="78"/>
    <s v="Spring"/>
    <s v="Saturday"/>
    <s v="Mist/Cloudy"/>
    <s v="Afternoon"/>
    <x v="0"/>
    <x v="1"/>
    <x v="1"/>
    <x v="0"/>
    <s v="Mostly Registered"/>
    <n v="15.38461538461539"/>
    <n v="84.615384615384613"/>
    <x v="0"/>
    <x v="0"/>
    <s v="Yes"/>
    <n v="-3.0000000000000031E-3"/>
  </r>
  <r>
    <n v="631"/>
    <x v="28"/>
    <n v="1"/>
    <n v="13"/>
    <b v="0"/>
    <n v="6"/>
    <n v="2"/>
    <n v="0.22"/>
    <n v="0.2273"/>
    <n v="0.55000000000000004"/>
    <n v="0.16420000000000001"/>
    <n v="9"/>
    <n v="56"/>
    <n v="65"/>
    <s v="Spring"/>
    <s v="Saturday"/>
    <s v="Mist/Cloudy"/>
    <s v="Afternoon"/>
    <x v="0"/>
    <x v="1"/>
    <x v="1"/>
    <x v="0"/>
    <s v="Mostly Registered"/>
    <n v="13.84615384615385"/>
    <n v="86.15384615384616"/>
    <x v="0"/>
    <x v="0"/>
    <s v="Yes"/>
    <n v="7.3000000000000009E-3"/>
  </r>
  <r>
    <n v="632"/>
    <x v="28"/>
    <n v="1"/>
    <n v="14"/>
    <b v="0"/>
    <n v="6"/>
    <n v="2"/>
    <n v="0.22"/>
    <n v="0.2273"/>
    <n v="0.6"/>
    <n v="0.1343"/>
    <n v="10"/>
    <n v="89"/>
    <n v="99"/>
    <s v="Spring"/>
    <s v="Saturday"/>
    <s v="Mist/Cloudy"/>
    <s v="Afternoon"/>
    <x v="0"/>
    <x v="1"/>
    <x v="0"/>
    <x v="0"/>
    <s v="Mostly Registered"/>
    <n v="10.1010101010101"/>
    <n v="89.898989898989896"/>
    <x v="0"/>
    <x v="0"/>
    <s v="Yes"/>
    <n v="7.3000000000000009E-3"/>
  </r>
  <r>
    <n v="633"/>
    <x v="28"/>
    <n v="1"/>
    <n v="15"/>
    <b v="0"/>
    <n v="6"/>
    <n v="1"/>
    <n v="0.22"/>
    <n v="0.21210000000000001"/>
    <n v="0.69"/>
    <n v="0.25369999999999998"/>
    <n v="22"/>
    <n v="98"/>
    <n v="120"/>
    <s v="Spring"/>
    <s v="Saturday"/>
    <s v="Clear"/>
    <s v="Afternoon"/>
    <x v="0"/>
    <x v="1"/>
    <x v="1"/>
    <x v="0"/>
    <s v="Mostly Registered"/>
    <n v="18.333333333333329"/>
    <n v="81.666666666666671"/>
    <x v="0"/>
    <x v="1"/>
    <s v="Yes"/>
    <n v="-7.8999999999999904E-3"/>
  </r>
  <r>
    <n v="634"/>
    <x v="28"/>
    <n v="1"/>
    <n v="16"/>
    <b v="0"/>
    <n v="6"/>
    <n v="1"/>
    <n v="0.24"/>
    <n v="0.2424"/>
    <n v="0.6"/>
    <n v="0.16420000000000001"/>
    <n v="19"/>
    <n v="88"/>
    <n v="107"/>
    <s v="Spring"/>
    <s v="Saturday"/>
    <s v="Clear"/>
    <s v="Afternoon"/>
    <x v="0"/>
    <x v="1"/>
    <x v="1"/>
    <x v="0"/>
    <s v="Mostly Registered"/>
    <n v="17.75700934579439"/>
    <n v="82.242990654205599"/>
    <x v="0"/>
    <x v="1"/>
    <s v="Yes"/>
    <n v="2.4000000000000128E-3"/>
  </r>
  <r>
    <n v="635"/>
    <x v="28"/>
    <n v="1"/>
    <n v="17"/>
    <b v="0"/>
    <n v="6"/>
    <n v="1"/>
    <n v="0.24"/>
    <n v="0.28789999999999999"/>
    <n v="0.6"/>
    <n v="0"/>
    <n v="9"/>
    <n v="82"/>
    <n v="91"/>
    <s v="Spring"/>
    <s v="Saturday"/>
    <s v="Clear"/>
    <s v="Evening"/>
    <x v="0"/>
    <x v="1"/>
    <x v="0"/>
    <x v="0"/>
    <s v="Mostly Registered"/>
    <n v="9.8901098901098905"/>
    <n v="90.109890109890117"/>
    <x v="1"/>
    <x v="0"/>
    <s v="Yes"/>
    <n v="4.7899999999999998E-2"/>
  </r>
  <r>
    <n v="636"/>
    <x v="28"/>
    <n v="1"/>
    <n v="18"/>
    <b v="0"/>
    <n v="6"/>
    <n v="1"/>
    <n v="0.22"/>
    <n v="0.2273"/>
    <n v="0.69"/>
    <n v="0.1343"/>
    <n v="9"/>
    <n v="59"/>
    <n v="68"/>
    <s v="Spring"/>
    <s v="Saturday"/>
    <s v="Clear"/>
    <s v="Evening"/>
    <x v="0"/>
    <x v="1"/>
    <x v="0"/>
    <x v="0"/>
    <s v="Mostly Registered"/>
    <n v="13.23529411764706"/>
    <n v="86.764705882352942"/>
    <x v="1"/>
    <x v="0"/>
    <s v="Yes"/>
    <n v="7.3000000000000009E-3"/>
  </r>
  <r>
    <n v="637"/>
    <x v="28"/>
    <n v="1"/>
    <n v="19"/>
    <b v="0"/>
    <n v="6"/>
    <n v="2"/>
    <n v="0.22"/>
    <n v="0.21210000000000001"/>
    <n v="0.69"/>
    <n v="0.25369999999999998"/>
    <n v="6"/>
    <n v="52"/>
    <n v="58"/>
    <s v="Spring"/>
    <s v="Saturday"/>
    <s v="Mist/Cloudy"/>
    <s v="Evening"/>
    <x v="0"/>
    <x v="1"/>
    <x v="1"/>
    <x v="0"/>
    <s v="Mostly Registered"/>
    <n v="10.3448275862069"/>
    <n v="89.65517241379311"/>
    <x v="1"/>
    <x v="0"/>
    <s v="Yes"/>
    <n v="-7.8999999999999904E-3"/>
  </r>
  <r>
    <n v="638"/>
    <x v="28"/>
    <n v="1"/>
    <n v="20"/>
    <b v="0"/>
    <n v="6"/>
    <n v="1"/>
    <n v="0.18"/>
    <n v="0.21210000000000001"/>
    <n v="0.74"/>
    <n v="8.9599999999999999E-2"/>
    <n v="1"/>
    <n v="42"/>
    <n v="43"/>
    <s v="Spring"/>
    <s v="Saturday"/>
    <s v="Clear"/>
    <s v="Evening"/>
    <x v="0"/>
    <x v="0"/>
    <x v="0"/>
    <x v="0"/>
    <s v="Mostly Registered"/>
    <n v="2.3255813953488369"/>
    <n v="97.674418604651152"/>
    <x v="0"/>
    <x v="0"/>
    <s v="Yes"/>
    <n v="3.2100000000000017E-2"/>
  </r>
  <r>
    <n v="639"/>
    <x v="28"/>
    <n v="1"/>
    <n v="21"/>
    <b v="0"/>
    <n v="6"/>
    <n v="1"/>
    <n v="0.18"/>
    <n v="0.21210000000000001"/>
    <n v="0.74"/>
    <n v="8.9599999999999999E-2"/>
    <n v="1"/>
    <n v="35"/>
    <n v="36"/>
    <s v="Spring"/>
    <s v="Saturday"/>
    <s v="Clear"/>
    <s v="Night"/>
    <x v="0"/>
    <x v="0"/>
    <x v="0"/>
    <x v="0"/>
    <s v="Mostly Registered"/>
    <n v="2.7777777777777781"/>
    <n v="97.222222222222214"/>
    <x v="0"/>
    <x v="0"/>
    <s v="Yes"/>
    <n v="3.2100000000000017E-2"/>
  </r>
  <r>
    <n v="640"/>
    <x v="28"/>
    <n v="1"/>
    <n v="22"/>
    <b v="0"/>
    <n v="6"/>
    <n v="1"/>
    <n v="0.16"/>
    <n v="0.19700000000000001"/>
    <n v="0.8"/>
    <n v="8.9599999999999999E-2"/>
    <n v="4"/>
    <n v="28"/>
    <n v="32"/>
    <s v="Spring"/>
    <s v="Saturday"/>
    <s v="Clear"/>
    <s v="Night"/>
    <x v="0"/>
    <x v="0"/>
    <x v="0"/>
    <x v="0"/>
    <s v="Mostly Registered"/>
    <n v="12.5"/>
    <n v="87.5"/>
    <x v="0"/>
    <x v="0"/>
    <s v="Yes"/>
    <n v="3.7000000000000012E-2"/>
  </r>
  <r>
    <n v="641"/>
    <x v="28"/>
    <n v="1"/>
    <n v="23"/>
    <b v="0"/>
    <n v="6"/>
    <n v="1"/>
    <n v="0.16"/>
    <n v="0.19700000000000001"/>
    <n v="0.8"/>
    <n v="8.9599999999999999E-2"/>
    <n v="3"/>
    <n v="30"/>
    <n v="33"/>
    <s v="Spring"/>
    <s v="Saturday"/>
    <s v="Clear"/>
    <s v="Night"/>
    <x v="0"/>
    <x v="0"/>
    <x v="0"/>
    <x v="0"/>
    <s v="Mostly Registered"/>
    <n v="9.0909090909090917"/>
    <n v="90.909090909090907"/>
    <x v="0"/>
    <x v="0"/>
    <s v="Yes"/>
    <n v="3.7000000000000012E-2"/>
  </r>
  <r>
    <n v="642"/>
    <x v="29"/>
    <n v="1"/>
    <n v="0"/>
    <b v="0"/>
    <n v="0"/>
    <n v="1"/>
    <n v="0.16"/>
    <n v="0.18179999999999999"/>
    <n v="0.8"/>
    <n v="0.1045"/>
    <n v="0"/>
    <n v="33"/>
    <n v="33"/>
    <s v="Spring"/>
    <s v="Sunday"/>
    <s v="Clear"/>
    <s v="Night"/>
    <x v="0"/>
    <x v="0"/>
    <x v="0"/>
    <x v="0"/>
    <s v="Mostly Registered"/>
    <n v="0"/>
    <n v="100"/>
    <x v="0"/>
    <x v="0"/>
    <s v="Yes"/>
    <n v="2.179999999999999E-2"/>
  </r>
  <r>
    <n v="643"/>
    <x v="29"/>
    <n v="1"/>
    <n v="1"/>
    <b v="0"/>
    <n v="0"/>
    <n v="1"/>
    <n v="0.14000000000000001"/>
    <n v="0.21210000000000001"/>
    <n v="0.8"/>
    <n v="0"/>
    <n v="7"/>
    <n v="22"/>
    <n v="29"/>
    <s v="Spring"/>
    <s v="Sunday"/>
    <s v="Clear"/>
    <s v="Night"/>
    <x v="4"/>
    <x v="0"/>
    <x v="0"/>
    <x v="0"/>
    <s v="Mostly Registered"/>
    <n v="24.137931034482762"/>
    <n v="75.862068965517238"/>
    <x v="0"/>
    <x v="0"/>
    <s v="Yes"/>
    <n v="7.2099999999999997E-2"/>
  </r>
  <r>
    <n v="644"/>
    <x v="29"/>
    <n v="1"/>
    <n v="2"/>
    <b v="0"/>
    <n v="0"/>
    <n v="1"/>
    <n v="0.16"/>
    <n v="0.2273"/>
    <n v="0.8"/>
    <n v="0"/>
    <n v="1"/>
    <n v="10"/>
    <n v="11"/>
    <s v="Spring"/>
    <s v="Sunday"/>
    <s v="Clear"/>
    <s v="Night"/>
    <x v="0"/>
    <x v="0"/>
    <x v="0"/>
    <x v="0"/>
    <s v="Mostly Registered"/>
    <n v="9.0909090909090917"/>
    <n v="90.909090909090907"/>
    <x v="0"/>
    <x v="0"/>
    <s v="Yes"/>
    <n v="6.7299999999999999E-2"/>
  </r>
  <r>
    <n v="645"/>
    <x v="29"/>
    <n v="1"/>
    <n v="3"/>
    <b v="0"/>
    <n v="0"/>
    <n v="1"/>
    <n v="0.14000000000000001"/>
    <n v="0.21210000000000001"/>
    <n v="0.93"/>
    <n v="0"/>
    <n v="1"/>
    <n v="7"/>
    <n v="8"/>
    <s v="Spring"/>
    <s v="Sunday"/>
    <s v="Clear"/>
    <s v="Night"/>
    <x v="4"/>
    <x v="0"/>
    <x v="0"/>
    <x v="0"/>
    <s v="Mostly Registered"/>
    <n v="12.5"/>
    <n v="87.5"/>
    <x v="0"/>
    <x v="0"/>
    <s v="Yes"/>
    <n v="7.2099999999999997E-2"/>
  </r>
  <r>
    <n v="646"/>
    <x v="29"/>
    <n v="1"/>
    <n v="4"/>
    <b v="0"/>
    <n v="0"/>
    <n v="1"/>
    <n v="0.14000000000000001"/>
    <n v="0.21210000000000001"/>
    <n v="0.93"/>
    <n v="0"/>
    <n v="0"/>
    <n v="1"/>
    <n v="1"/>
    <s v="Spring"/>
    <s v="Sunday"/>
    <s v="Clear"/>
    <s v="Night"/>
    <x v="4"/>
    <x v="0"/>
    <x v="0"/>
    <x v="0"/>
    <s v="Mostly Registered"/>
    <n v="0"/>
    <n v="100"/>
    <x v="0"/>
    <x v="0"/>
    <s v="Yes"/>
    <n v="7.2099999999999997E-2"/>
  </r>
  <r>
    <n v="647"/>
    <x v="29"/>
    <n v="1"/>
    <n v="5"/>
    <b v="0"/>
    <n v="0"/>
    <n v="1"/>
    <n v="0.14000000000000001"/>
    <n v="0.21210000000000001"/>
    <n v="0.86"/>
    <n v="0"/>
    <n v="0"/>
    <n v="3"/>
    <n v="3"/>
    <s v="Spring"/>
    <s v="Sunday"/>
    <s v="Clear"/>
    <s v="Night"/>
    <x v="4"/>
    <x v="0"/>
    <x v="0"/>
    <x v="0"/>
    <s v="Mostly Registered"/>
    <n v="0"/>
    <n v="100"/>
    <x v="0"/>
    <x v="0"/>
    <s v="Yes"/>
    <n v="7.2099999999999997E-2"/>
  </r>
  <r>
    <n v="648"/>
    <x v="29"/>
    <n v="1"/>
    <n v="7"/>
    <b v="0"/>
    <n v="0"/>
    <n v="1"/>
    <n v="0.14000000000000001"/>
    <n v="0.21210000000000001"/>
    <n v="0.86"/>
    <n v="0"/>
    <n v="0"/>
    <n v="3"/>
    <n v="3"/>
    <s v="Spring"/>
    <s v="Sunday"/>
    <s v="Clear"/>
    <s v="Morning"/>
    <x v="4"/>
    <x v="0"/>
    <x v="0"/>
    <x v="0"/>
    <s v="Mostly Registered"/>
    <n v="0"/>
    <n v="100"/>
    <x v="1"/>
    <x v="0"/>
    <s v="Yes"/>
    <n v="7.2099999999999997E-2"/>
  </r>
  <r>
    <n v="649"/>
    <x v="29"/>
    <n v="1"/>
    <n v="8"/>
    <b v="0"/>
    <n v="0"/>
    <n v="2"/>
    <n v="0.14000000000000001"/>
    <n v="0.21210000000000001"/>
    <n v="0.86"/>
    <n v="0"/>
    <n v="1"/>
    <n v="11"/>
    <n v="12"/>
    <s v="Spring"/>
    <s v="Sunday"/>
    <s v="Mist/Cloudy"/>
    <s v="Morning"/>
    <x v="4"/>
    <x v="0"/>
    <x v="0"/>
    <x v="0"/>
    <s v="Mostly Registered"/>
    <n v="8.3333333333333321"/>
    <n v="91.666666666666657"/>
    <x v="1"/>
    <x v="0"/>
    <s v="Yes"/>
    <n v="7.2099999999999997E-2"/>
  </r>
  <r>
    <n v="650"/>
    <x v="29"/>
    <n v="1"/>
    <n v="9"/>
    <b v="0"/>
    <n v="0"/>
    <n v="2"/>
    <n v="0.16"/>
    <n v="0.2273"/>
    <n v="0.8"/>
    <n v="0"/>
    <n v="4"/>
    <n v="34"/>
    <n v="38"/>
    <s v="Spring"/>
    <s v="Sunday"/>
    <s v="Mist/Cloudy"/>
    <s v="Morning"/>
    <x v="0"/>
    <x v="0"/>
    <x v="0"/>
    <x v="0"/>
    <s v="Mostly Registered"/>
    <n v="10.52631578947368"/>
    <n v="89.473684210526315"/>
    <x v="1"/>
    <x v="0"/>
    <s v="Yes"/>
    <n v="6.7299999999999999E-2"/>
  </r>
  <r>
    <n v="651"/>
    <x v="29"/>
    <n v="1"/>
    <n v="10"/>
    <b v="0"/>
    <n v="0"/>
    <n v="2"/>
    <n v="0.18"/>
    <n v="0.2424"/>
    <n v="0.8"/>
    <n v="0"/>
    <n v="7"/>
    <n v="57"/>
    <n v="64"/>
    <s v="Spring"/>
    <s v="Sunday"/>
    <s v="Mist/Cloudy"/>
    <s v="Morning"/>
    <x v="0"/>
    <x v="0"/>
    <x v="0"/>
    <x v="0"/>
    <s v="Mostly Registered"/>
    <n v="10.9375"/>
    <n v="89.0625"/>
    <x v="0"/>
    <x v="0"/>
    <s v="Yes"/>
    <n v="6.2400000000000011E-2"/>
  </r>
  <r>
    <n v="652"/>
    <x v="29"/>
    <n v="1"/>
    <n v="11"/>
    <b v="0"/>
    <n v="0"/>
    <n v="1"/>
    <n v="0.22"/>
    <n v="0.2727"/>
    <n v="0.75"/>
    <n v="0"/>
    <n v="9"/>
    <n v="50"/>
    <n v="59"/>
    <s v="Spring"/>
    <s v="Sunday"/>
    <s v="Clear"/>
    <s v="Morning"/>
    <x v="0"/>
    <x v="0"/>
    <x v="0"/>
    <x v="0"/>
    <s v="Mostly Registered"/>
    <n v="15.25423728813559"/>
    <n v="84.745762711864401"/>
    <x v="0"/>
    <x v="0"/>
    <s v="Yes"/>
    <n v="5.2699999999999997E-2"/>
  </r>
  <r>
    <n v="653"/>
    <x v="29"/>
    <n v="1"/>
    <n v="12"/>
    <b v="0"/>
    <n v="0"/>
    <n v="1"/>
    <n v="0.3"/>
    <n v="0.31819999999999998"/>
    <n v="0.52"/>
    <n v="0.1045"/>
    <n v="10"/>
    <n v="87"/>
    <n v="97"/>
    <s v="Spring"/>
    <s v="Sunday"/>
    <s v="Clear"/>
    <s v="Afternoon"/>
    <x v="1"/>
    <x v="1"/>
    <x v="0"/>
    <x v="0"/>
    <s v="Mostly Registered"/>
    <n v="10.309278350515459"/>
    <n v="89.690721649484544"/>
    <x v="0"/>
    <x v="0"/>
    <s v="Yes"/>
    <n v="1.819999999999999E-2"/>
  </r>
  <r>
    <n v="654"/>
    <x v="29"/>
    <n v="1"/>
    <n v="13"/>
    <b v="0"/>
    <n v="0"/>
    <n v="1"/>
    <n v="0.28000000000000003"/>
    <n v="0.28789999999999999"/>
    <n v="0.61"/>
    <n v="0.1045"/>
    <n v="13"/>
    <n v="71"/>
    <n v="84"/>
    <s v="Spring"/>
    <s v="Sunday"/>
    <s v="Clear"/>
    <s v="Afternoon"/>
    <x v="1"/>
    <x v="1"/>
    <x v="0"/>
    <x v="0"/>
    <s v="Mostly Registered"/>
    <n v="15.47619047619048"/>
    <n v="84.523809523809518"/>
    <x v="0"/>
    <x v="0"/>
    <s v="Yes"/>
    <n v="7.8999999999999626E-3"/>
  </r>
  <r>
    <n v="655"/>
    <x v="29"/>
    <n v="1"/>
    <n v="14"/>
    <b v="0"/>
    <n v="0"/>
    <n v="1"/>
    <n v="0.28000000000000003"/>
    <n v="0.30299999999999999"/>
    <n v="0.61"/>
    <n v="8.9599999999999999E-2"/>
    <n v="18"/>
    <n v="104"/>
    <n v="122"/>
    <s v="Spring"/>
    <s v="Sunday"/>
    <s v="Clear"/>
    <s v="Afternoon"/>
    <x v="1"/>
    <x v="1"/>
    <x v="0"/>
    <x v="0"/>
    <s v="Mostly Registered"/>
    <n v="14.754098360655741"/>
    <n v="85.245901639344254"/>
    <x v="0"/>
    <x v="1"/>
    <s v="Yes"/>
    <n v="2.2999999999999961E-2"/>
  </r>
  <r>
    <n v="656"/>
    <x v="29"/>
    <n v="1"/>
    <n v="15"/>
    <b v="0"/>
    <n v="0"/>
    <n v="1"/>
    <n v="0.3"/>
    <n v="0.33329999999999999"/>
    <n v="0.56000000000000005"/>
    <n v="0"/>
    <n v="14"/>
    <n v="95"/>
    <n v="109"/>
    <s v="Spring"/>
    <s v="Sunday"/>
    <s v="Clear"/>
    <s v="Afternoon"/>
    <x v="1"/>
    <x v="1"/>
    <x v="0"/>
    <x v="0"/>
    <s v="Mostly Registered"/>
    <n v="12.844036697247709"/>
    <n v="87.155963302752298"/>
    <x v="0"/>
    <x v="1"/>
    <s v="Yes"/>
    <n v="3.3300000000000003E-2"/>
  </r>
  <r>
    <n v="657"/>
    <x v="29"/>
    <n v="1"/>
    <n v="16"/>
    <b v="0"/>
    <n v="0"/>
    <n v="1"/>
    <n v="0.3"/>
    <n v="0.33329999999999999"/>
    <n v="0.56000000000000005"/>
    <n v="0"/>
    <n v="19"/>
    <n v="104"/>
    <n v="123"/>
    <s v="Spring"/>
    <s v="Sunday"/>
    <s v="Clear"/>
    <s v="Afternoon"/>
    <x v="1"/>
    <x v="1"/>
    <x v="0"/>
    <x v="0"/>
    <s v="Mostly Registered"/>
    <n v="15.447154471544721"/>
    <n v="84.552845528455293"/>
    <x v="0"/>
    <x v="1"/>
    <s v="Yes"/>
    <n v="3.3300000000000003E-2"/>
  </r>
  <r>
    <n v="658"/>
    <x v="29"/>
    <n v="1"/>
    <n v="17"/>
    <b v="0"/>
    <n v="0"/>
    <n v="1"/>
    <n v="0.3"/>
    <n v="0.28789999999999999"/>
    <n v="0.56000000000000005"/>
    <n v="0.19400000000000001"/>
    <n v="6"/>
    <n v="71"/>
    <n v="77"/>
    <s v="Spring"/>
    <s v="Sunday"/>
    <s v="Clear"/>
    <s v="Evening"/>
    <x v="1"/>
    <x v="1"/>
    <x v="1"/>
    <x v="0"/>
    <s v="Mostly Registered"/>
    <n v="7.7922077922077921"/>
    <n v="92.20779220779221"/>
    <x v="1"/>
    <x v="0"/>
    <s v="Yes"/>
    <n v="-1.21E-2"/>
  </r>
  <r>
    <n v="659"/>
    <x v="29"/>
    <n v="1"/>
    <n v="18"/>
    <b v="0"/>
    <n v="0"/>
    <n v="1"/>
    <n v="0.26"/>
    <n v="0.2576"/>
    <n v="0.65"/>
    <n v="0.16420000000000001"/>
    <n v="8"/>
    <n v="57"/>
    <n v="65"/>
    <s v="Spring"/>
    <s v="Sunday"/>
    <s v="Clear"/>
    <s v="Evening"/>
    <x v="1"/>
    <x v="1"/>
    <x v="1"/>
    <x v="0"/>
    <s v="Mostly Registered"/>
    <n v="12.30769230769231"/>
    <n v="87.692307692307693"/>
    <x v="1"/>
    <x v="0"/>
    <s v="Yes"/>
    <n v="-2.4000000000000128E-3"/>
  </r>
  <r>
    <n v="660"/>
    <x v="29"/>
    <n v="1"/>
    <n v="19"/>
    <b v="0"/>
    <n v="0"/>
    <n v="1"/>
    <n v="0.26"/>
    <n v="0.2576"/>
    <n v="0.65"/>
    <n v="0.19400000000000001"/>
    <n v="9"/>
    <n v="46"/>
    <n v="55"/>
    <s v="Spring"/>
    <s v="Sunday"/>
    <s v="Clear"/>
    <s v="Evening"/>
    <x v="1"/>
    <x v="1"/>
    <x v="1"/>
    <x v="0"/>
    <s v="Mostly Registered"/>
    <n v="16.36363636363636"/>
    <n v="83.636363636363626"/>
    <x v="1"/>
    <x v="0"/>
    <s v="Yes"/>
    <n v="-2.4000000000000128E-3"/>
  </r>
  <r>
    <n v="661"/>
    <x v="29"/>
    <n v="1"/>
    <n v="20"/>
    <b v="0"/>
    <n v="0"/>
    <n v="2"/>
    <n v="0.26"/>
    <n v="0.2727"/>
    <n v="0.65"/>
    <n v="0.1045"/>
    <n v="3"/>
    <n v="30"/>
    <n v="33"/>
    <s v="Spring"/>
    <s v="Sunday"/>
    <s v="Mist/Cloudy"/>
    <s v="Evening"/>
    <x v="1"/>
    <x v="1"/>
    <x v="0"/>
    <x v="0"/>
    <s v="Mostly Registered"/>
    <n v="9.0909090909090917"/>
    <n v="90.909090909090907"/>
    <x v="0"/>
    <x v="0"/>
    <s v="Yes"/>
    <n v="1.2699999999999991E-2"/>
  </r>
  <r>
    <n v="662"/>
    <x v="29"/>
    <n v="1"/>
    <n v="21"/>
    <b v="0"/>
    <n v="0"/>
    <n v="2"/>
    <n v="0.24"/>
    <n v="0.2424"/>
    <n v="0.7"/>
    <n v="0.16420000000000001"/>
    <n v="3"/>
    <n v="25"/>
    <n v="28"/>
    <s v="Spring"/>
    <s v="Sunday"/>
    <s v="Mist/Cloudy"/>
    <s v="Night"/>
    <x v="0"/>
    <x v="0"/>
    <x v="1"/>
    <x v="0"/>
    <s v="Mostly Registered"/>
    <n v="10.71428571428571"/>
    <n v="89.285714285714292"/>
    <x v="0"/>
    <x v="0"/>
    <s v="Yes"/>
    <n v="2.4000000000000128E-3"/>
  </r>
  <r>
    <n v="663"/>
    <x v="29"/>
    <n v="1"/>
    <n v="22"/>
    <b v="0"/>
    <n v="0"/>
    <n v="2"/>
    <n v="0.24"/>
    <n v="0.2273"/>
    <n v="0.7"/>
    <n v="0.19400000000000001"/>
    <n v="2"/>
    <n v="19"/>
    <n v="21"/>
    <s v="Spring"/>
    <s v="Sunday"/>
    <s v="Mist/Cloudy"/>
    <s v="Night"/>
    <x v="0"/>
    <x v="0"/>
    <x v="1"/>
    <x v="0"/>
    <s v="Mostly Registered"/>
    <n v="9.5238095238095237"/>
    <n v="90.476190476190482"/>
    <x v="0"/>
    <x v="0"/>
    <s v="Yes"/>
    <n v="-1.2699999999999991E-2"/>
  </r>
  <r>
    <n v="664"/>
    <x v="29"/>
    <n v="1"/>
    <n v="23"/>
    <b v="0"/>
    <n v="0"/>
    <n v="2"/>
    <n v="0.24"/>
    <n v="0.21210000000000001"/>
    <n v="0.65"/>
    <n v="0.28360000000000002"/>
    <n v="5"/>
    <n v="16"/>
    <n v="21"/>
    <s v="Spring"/>
    <s v="Sunday"/>
    <s v="Mist/Cloudy"/>
    <s v="Night"/>
    <x v="0"/>
    <x v="1"/>
    <x v="1"/>
    <x v="0"/>
    <s v="Mostly Registered"/>
    <n v="23.80952380952381"/>
    <n v="76.19047619047619"/>
    <x v="0"/>
    <x v="0"/>
    <s v="Yes"/>
    <n v="-2.789999999999998E-2"/>
  </r>
  <r>
    <n v="665"/>
    <x v="30"/>
    <n v="1"/>
    <n v="0"/>
    <b v="0"/>
    <n v="1"/>
    <n v="2"/>
    <n v="0.24"/>
    <n v="0.2273"/>
    <n v="0.65"/>
    <n v="0.22389999999999999"/>
    <n v="1"/>
    <n v="6"/>
    <n v="7"/>
    <s v="Spring"/>
    <s v="Monday"/>
    <s v="Mist/Cloudy"/>
    <s v="Night"/>
    <x v="0"/>
    <x v="1"/>
    <x v="1"/>
    <x v="0"/>
    <s v="Mostly Registered"/>
    <n v="14.285714285714279"/>
    <n v="85.714285714285708"/>
    <x v="0"/>
    <x v="0"/>
    <s v="No"/>
    <n v="-1.2699999999999991E-2"/>
  </r>
  <r>
    <n v="666"/>
    <x v="30"/>
    <n v="1"/>
    <n v="1"/>
    <b v="0"/>
    <n v="1"/>
    <n v="1"/>
    <n v="0.22"/>
    <n v="0.21210000000000001"/>
    <n v="0.64"/>
    <n v="0.25369999999999998"/>
    <n v="2"/>
    <n v="5"/>
    <n v="7"/>
    <s v="Spring"/>
    <s v="Monday"/>
    <s v="Clear"/>
    <s v="Night"/>
    <x v="0"/>
    <x v="1"/>
    <x v="1"/>
    <x v="0"/>
    <s v="Mostly Registered"/>
    <n v="28.571428571428569"/>
    <n v="71.428571428571431"/>
    <x v="0"/>
    <x v="0"/>
    <s v="No"/>
    <n v="-7.8999999999999904E-3"/>
  </r>
  <r>
    <n v="667"/>
    <x v="30"/>
    <n v="1"/>
    <n v="2"/>
    <b v="0"/>
    <n v="1"/>
    <n v="1"/>
    <n v="0.22"/>
    <n v="0.2273"/>
    <n v="0.64"/>
    <n v="0.19400000000000001"/>
    <n v="0"/>
    <n v="1"/>
    <n v="1"/>
    <s v="Spring"/>
    <s v="Monday"/>
    <s v="Clear"/>
    <s v="Night"/>
    <x v="0"/>
    <x v="1"/>
    <x v="1"/>
    <x v="0"/>
    <s v="Mostly Registered"/>
    <n v="0"/>
    <n v="100"/>
    <x v="0"/>
    <x v="0"/>
    <s v="No"/>
    <n v="7.3000000000000009E-3"/>
  </r>
  <r>
    <n v="668"/>
    <x v="30"/>
    <n v="1"/>
    <n v="3"/>
    <b v="0"/>
    <n v="1"/>
    <n v="1"/>
    <n v="0.22"/>
    <n v="0.2273"/>
    <n v="0.64"/>
    <n v="0.19400000000000001"/>
    <n v="0"/>
    <n v="2"/>
    <n v="2"/>
    <s v="Spring"/>
    <s v="Monday"/>
    <s v="Clear"/>
    <s v="Night"/>
    <x v="0"/>
    <x v="1"/>
    <x v="1"/>
    <x v="0"/>
    <s v="Mostly Registered"/>
    <n v="0"/>
    <n v="100"/>
    <x v="0"/>
    <x v="0"/>
    <s v="No"/>
    <n v="7.3000000000000009E-3"/>
  </r>
  <r>
    <n v="669"/>
    <x v="30"/>
    <n v="1"/>
    <n v="4"/>
    <b v="0"/>
    <n v="1"/>
    <n v="1"/>
    <n v="0.2"/>
    <n v="0.19700000000000001"/>
    <n v="0.59"/>
    <n v="0.22389999999999999"/>
    <n v="0"/>
    <n v="2"/>
    <n v="2"/>
    <s v="Spring"/>
    <s v="Monday"/>
    <s v="Clear"/>
    <s v="Night"/>
    <x v="0"/>
    <x v="1"/>
    <x v="1"/>
    <x v="0"/>
    <s v="Mostly Registered"/>
    <n v="0"/>
    <n v="100"/>
    <x v="0"/>
    <x v="0"/>
    <s v="No"/>
    <n v="-3.0000000000000031E-3"/>
  </r>
  <r>
    <n v="670"/>
    <x v="30"/>
    <n v="1"/>
    <n v="5"/>
    <b v="0"/>
    <n v="1"/>
    <n v="1"/>
    <n v="0.18"/>
    <n v="0.16669999999999999"/>
    <n v="0.64"/>
    <n v="0.28360000000000002"/>
    <n v="0"/>
    <n v="8"/>
    <n v="8"/>
    <s v="Spring"/>
    <s v="Monday"/>
    <s v="Clear"/>
    <s v="Night"/>
    <x v="0"/>
    <x v="1"/>
    <x v="1"/>
    <x v="0"/>
    <s v="Mostly Registered"/>
    <n v="0"/>
    <n v="100"/>
    <x v="0"/>
    <x v="0"/>
    <s v="No"/>
    <n v="-1.330000000000001E-2"/>
  </r>
  <r>
    <n v="671"/>
    <x v="30"/>
    <n v="1"/>
    <n v="6"/>
    <b v="0"/>
    <n v="1"/>
    <n v="1"/>
    <n v="0.16"/>
    <n v="0.13639999999999999"/>
    <n v="0.69"/>
    <n v="0.32840000000000003"/>
    <n v="0"/>
    <n v="37"/>
    <n v="37"/>
    <s v="Spring"/>
    <s v="Monday"/>
    <s v="Clear"/>
    <s v="Morning"/>
    <x v="0"/>
    <x v="1"/>
    <x v="2"/>
    <x v="0"/>
    <s v="Mostly Registered"/>
    <n v="0"/>
    <n v="100"/>
    <x v="0"/>
    <x v="0"/>
    <s v="No"/>
    <n v="-2.360000000000001E-2"/>
  </r>
  <r>
    <n v="672"/>
    <x v="30"/>
    <n v="1"/>
    <n v="7"/>
    <b v="0"/>
    <n v="1"/>
    <n v="2"/>
    <n v="0.16"/>
    <n v="0.13639999999999999"/>
    <n v="0.64"/>
    <n v="0.28360000000000002"/>
    <n v="1"/>
    <n v="71"/>
    <n v="72"/>
    <s v="Spring"/>
    <s v="Monday"/>
    <s v="Mist/Cloudy"/>
    <s v="Morning"/>
    <x v="0"/>
    <x v="1"/>
    <x v="1"/>
    <x v="0"/>
    <s v="Mostly Registered"/>
    <n v="1.3888888888888891"/>
    <n v="98.611111111111114"/>
    <x v="1"/>
    <x v="0"/>
    <s v="No"/>
    <n v="-2.360000000000001E-2"/>
  </r>
  <r>
    <n v="673"/>
    <x v="30"/>
    <n v="1"/>
    <n v="8"/>
    <b v="0"/>
    <n v="1"/>
    <n v="2"/>
    <n v="0.16"/>
    <n v="0.13639999999999999"/>
    <n v="0.59"/>
    <n v="0.28360000000000002"/>
    <n v="3"/>
    <n v="182"/>
    <n v="185"/>
    <s v="Spring"/>
    <s v="Monday"/>
    <s v="Mist/Cloudy"/>
    <s v="Morning"/>
    <x v="0"/>
    <x v="1"/>
    <x v="1"/>
    <x v="0"/>
    <s v="Mostly Registered"/>
    <n v="1.6216216216216219"/>
    <n v="98.378378378378386"/>
    <x v="1"/>
    <x v="1"/>
    <s v="No"/>
    <n v="-2.360000000000001E-2"/>
  </r>
  <r>
    <n v="674"/>
    <x v="30"/>
    <n v="1"/>
    <n v="9"/>
    <b v="0"/>
    <n v="1"/>
    <n v="2"/>
    <n v="0.16"/>
    <n v="0.13639999999999999"/>
    <n v="0.59"/>
    <n v="0.29849999999999999"/>
    <n v="0"/>
    <n v="112"/>
    <n v="112"/>
    <s v="Spring"/>
    <s v="Monday"/>
    <s v="Mist/Cloudy"/>
    <s v="Morning"/>
    <x v="0"/>
    <x v="1"/>
    <x v="1"/>
    <x v="0"/>
    <s v="Mostly Registered"/>
    <n v="0"/>
    <n v="100"/>
    <x v="1"/>
    <x v="1"/>
    <s v="No"/>
    <n v="-2.360000000000001E-2"/>
  </r>
  <r>
    <n v="675"/>
    <x v="30"/>
    <n v="1"/>
    <n v="10"/>
    <b v="0"/>
    <n v="1"/>
    <n v="2"/>
    <n v="0.16"/>
    <n v="0.1515"/>
    <n v="0.59"/>
    <n v="0.19400000000000001"/>
    <n v="1"/>
    <n v="68"/>
    <n v="69"/>
    <s v="Spring"/>
    <s v="Monday"/>
    <s v="Mist/Cloudy"/>
    <s v="Morning"/>
    <x v="0"/>
    <x v="1"/>
    <x v="1"/>
    <x v="0"/>
    <s v="Mostly Registered"/>
    <n v="1.449275362318841"/>
    <n v="98.550724637681171"/>
    <x v="0"/>
    <x v="0"/>
    <s v="No"/>
    <n v="-8.5000000000000075E-3"/>
  </r>
  <r>
    <n v="676"/>
    <x v="30"/>
    <n v="1"/>
    <n v="11"/>
    <b v="0"/>
    <n v="1"/>
    <n v="2"/>
    <n v="0.16"/>
    <n v="0.1515"/>
    <n v="0.59"/>
    <n v="0.19400000000000001"/>
    <n v="2"/>
    <n v="46"/>
    <n v="48"/>
    <s v="Spring"/>
    <s v="Monday"/>
    <s v="Mist/Cloudy"/>
    <s v="Morning"/>
    <x v="0"/>
    <x v="1"/>
    <x v="1"/>
    <x v="0"/>
    <s v="Mostly Registered"/>
    <n v="4.1666666666666661"/>
    <n v="95.833333333333343"/>
    <x v="0"/>
    <x v="0"/>
    <s v="No"/>
    <n v="-8.5000000000000075E-3"/>
  </r>
  <r>
    <n v="677"/>
    <x v="30"/>
    <n v="1"/>
    <n v="12"/>
    <b v="0"/>
    <n v="1"/>
    <n v="2"/>
    <n v="0.18"/>
    <n v="0.21210000000000001"/>
    <n v="0.55000000000000004"/>
    <n v="0.1045"/>
    <n v="6"/>
    <n v="62"/>
    <n v="68"/>
    <s v="Spring"/>
    <s v="Monday"/>
    <s v="Mist/Cloudy"/>
    <s v="Afternoon"/>
    <x v="0"/>
    <x v="1"/>
    <x v="0"/>
    <x v="0"/>
    <s v="Mostly Registered"/>
    <n v="8.8235294117647065"/>
    <n v="91.17647058823529"/>
    <x v="0"/>
    <x v="0"/>
    <s v="No"/>
    <n v="3.2100000000000017E-2"/>
  </r>
  <r>
    <n v="678"/>
    <x v="30"/>
    <n v="1"/>
    <n v="13"/>
    <b v="0"/>
    <n v="1"/>
    <n v="2"/>
    <n v="0.16"/>
    <n v="0.2273"/>
    <n v="0.59"/>
    <n v="0"/>
    <n v="2"/>
    <n v="52"/>
    <n v="54"/>
    <s v="Spring"/>
    <s v="Monday"/>
    <s v="Mist/Cloudy"/>
    <s v="Afternoon"/>
    <x v="0"/>
    <x v="1"/>
    <x v="0"/>
    <x v="0"/>
    <s v="Mostly Registered"/>
    <n v="3.7037037037037028"/>
    <n v="96.296296296296291"/>
    <x v="0"/>
    <x v="0"/>
    <s v="No"/>
    <n v="6.7299999999999999E-2"/>
  </r>
  <r>
    <n v="679"/>
    <x v="30"/>
    <n v="1"/>
    <n v="14"/>
    <b v="0"/>
    <n v="1"/>
    <n v="2"/>
    <n v="0.18"/>
    <n v="0.19700000000000001"/>
    <n v="0.55000000000000004"/>
    <n v="0.1343"/>
    <n v="1"/>
    <n v="85"/>
    <n v="86"/>
    <s v="Spring"/>
    <s v="Monday"/>
    <s v="Mist/Cloudy"/>
    <s v="Afternoon"/>
    <x v="0"/>
    <x v="1"/>
    <x v="0"/>
    <x v="0"/>
    <s v="Mostly Registered"/>
    <n v="1.1627906976744189"/>
    <n v="98.837209302325576"/>
    <x v="0"/>
    <x v="0"/>
    <s v="No"/>
    <n v="1.7000000000000019E-2"/>
  </r>
  <r>
    <n v="680"/>
    <x v="30"/>
    <n v="1"/>
    <n v="15"/>
    <b v="0"/>
    <n v="1"/>
    <n v="2"/>
    <n v="0.16"/>
    <n v="0.18179999999999999"/>
    <n v="0.59"/>
    <n v="0.1343"/>
    <n v="3"/>
    <n v="41"/>
    <n v="44"/>
    <s v="Spring"/>
    <s v="Monday"/>
    <s v="Mist/Cloudy"/>
    <s v="Afternoon"/>
    <x v="0"/>
    <x v="1"/>
    <x v="0"/>
    <x v="0"/>
    <s v="Mostly Registered"/>
    <n v="6.8181818181818166"/>
    <n v="93.181818181818173"/>
    <x v="0"/>
    <x v="0"/>
    <s v="No"/>
    <n v="2.179999999999999E-2"/>
  </r>
  <r>
    <n v="681"/>
    <x v="30"/>
    <n v="1"/>
    <n v="16"/>
    <b v="0"/>
    <n v="1"/>
    <n v="2"/>
    <n v="0.16"/>
    <n v="0.18179999999999999"/>
    <n v="0.56000000000000005"/>
    <n v="0.19400000000000001"/>
    <n v="3"/>
    <n v="83"/>
    <n v="86"/>
    <s v="Spring"/>
    <s v="Monday"/>
    <s v="Mist/Cloudy"/>
    <s v="Afternoon"/>
    <x v="0"/>
    <x v="1"/>
    <x v="1"/>
    <x v="0"/>
    <s v="Mostly Registered"/>
    <n v="3.4883720930232558"/>
    <n v="96.511627906976756"/>
    <x v="0"/>
    <x v="0"/>
    <s v="No"/>
    <n v="2.179999999999999E-2"/>
  </r>
  <r>
    <n v="682"/>
    <x v="30"/>
    <n v="1"/>
    <n v="17"/>
    <b v="0"/>
    <n v="1"/>
    <n v="2"/>
    <n v="0.16"/>
    <n v="0.1515"/>
    <n v="0.59"/>
    <n v="0.19400000000000001"/>
    <n v="6"/>
    <n v="155"/>
    <n v="161"/>
    <s v="Spring"/>
    <s v="Monday"/>
    <s v="Mist/Cloudy"/>
    <s v="Evening"/>
    <x v="0"/>
    <x v="1"/>
    <x v="1"/>
    <x v="0"/>
    <s v="Mostly Registered"/>
    <n v="3.726708074534161"/>
    <n v="96.273291925465841"/>
    <x v="1"/>
    <x v="1"/>
    <s v="No"/>
    <n v="-8.5000000000000075E-3"/>
  </r>
  <r>
    <n v="683"/>
    <x v="30"/>
    <n v="1"/>
    <n v="18"/>
    <b v="0"/>
    <n v="1"/>
    <n v="2"/>
    <n v="0.16"/>
    <n v="0.1515"/>
    <n v="0.55000000000000004"/>
    <n v="0.22389999999999999"/>
    <n v="3"/>
    <n v="153"/>
    <n v="156"/>
    <s v="Spring"/>
    <s v="Monday"/>
    <s v="Mist/Cloudy"/>
    <s v="Evening"/>
    <x v="0"/>
    <x v="1"/>
    <x v="1"/>
    <x v="0"/>
    <s v="Mostly Registered"/>
    <n v="1.9230769230769229"/>
    <n v="98.076923076923066"/>
    <x v="1"/>
    <x v="1"/>
    <s v="No"/>
    <n v="-8.5000000000000075E-3"/>
  </r>
  <r>
    <n v="684"/>
    <x v="30"/>
    <n v="1"/>
    <n v="19"/>
    <b v="0"/>
    <n v="1"/>
    <n v="1"/>
    <n v="0.3"/>
    <n v="0.31819999999999998"/>
    <n v="0.61"/>
    <n v="0.1045"/>
    <n v="3"/>
    <n v="108"/>
    <n v="111"/>
    <s v="Spring"/>
    <s v="Monday"/>
    <s v="Clear"/>
    <s v="Evening"/>
    <x v="1"/>
    <x v="1"/>
    <x v="0"/>
    <x v="0"/>
    <s v="Mostly Registered"/>
    <n v="2.7027027027027031"/>
    <n v="97.297297297297305"/>
    <x v="1"/>
    <x v="1"/>
    <s v="No"/>
    <n v="1.819999999999999E-2"/>
  </r>
  <r>
    <n v="685"/>
    <x v="30"/>
    <n v="1"/>
    <n v="20"/>
    <b v="0"/>
    <n v="1"/>
    <n v="3"/>
    <n v="0.16"/>
    <n v="0.16669999999999999"/>
    <n v="0.59"/>
    <n v="0.16420000000000001"/>
    <n v="0"/>
    <n v="78"/>
    <n v="78"/>
    <s v="Spring"/>
    <s v="Monday"/>
    <s v="Light Rain/Snow"/>
    <s v="Evening"/>
    <x v="0"/>
    <x v="1"/>
    <x v="1"/>
    <x v="0"/>
    <s v="Mostly Registered"/>
    <n v="0"/>
    <n v="100"/>
    <x v="0"/>
    <x v="0"/>
    <s v="No"/>
    <n v="6.6999999999999837E-3"/>
  </r>
  <r>
    <n v="686"/>
    <x v="30"/>
    <n v="1"/>
    <n v="21"/>
    <b v="0"/>
    <n v="1"/>
    <n v="3"/>
    <n v="0.16"/>
    <n v="0.19700000000000001"/>
    <n v="0.59"/>
    <n v="8.9599999999999999E-2"/>
    <n v="3"/>
    <n v="53"/>
    <n v="56"/>
    <s v="Spring"/>
    <s v="Monday"/>
    <s v="Light Rain/Snow"/>
    <s v="Night"/>
    <x v="0"/>
    <x v="1"/>
    <x v="0"/>
    <x v="0"/>
    <s v="Mostly Registered"/>
    <n v="5.3571428571428568"/>
    <n v="94.642857142857139"/>
    <x v="0"/>
    <x v="0"/>
    <s v="No"/>
    <n v="3.7000000000000012E-2"/>
  </r>
  <r>
    <n v="687"/>
    <x v="30"/>
    <n v="1"/>
    <n v="22"/>
    <b v="0"/>
    <n v="1"/>
    <n v="2"/>
    <n v="0.16"/>
    <n v="0.18179999999999999"/>
    <n v="0.59"/>
    <n v="0.1045"/>
    <n v="0"/>
    <n v="34"/>
    <n v="34"/>
    <s v="Spring"/>
    <s v="Monday"/>
    <s v="Mist/Cloudy"/>
    <s v="Night"/>
    <x v="0"/>
    <x v="1"/>
    <x v="0"/>
    <x v="0"/>
    <s v="Mostly Registered"/>
    <n v="0"/>
    <n v="100"/>
    <x v="0"/>
    <x v="0"/>
    <s v="No"/>
    <n v="2.179999999999999E-2"/>
  </r>
  <r>
    <n v="688"/>
    <x v="30"/>
    <n v="1"/>
    <n v="23"/>
    <b v="0"/>
    <n v="1"/>
    <n v="2"/>
    <n v="0.16"/>
    <n v="0.19700000000000001"/>
    <n v="0.64"/>
    <n v="8.9599999999999999E-2"/>
    <n v="2"/>
    <n v="15"/>
    <n v="17"/>
    <s v="Spring"/>
    <s v="Monday"/>
    <s v="Mist/Cloudy"/>
    <s v="Night"/>
    <x v="0"/>
    <x v="1"/>
    <x v="0"/>
    <x v="0"/>
    <s v="Mostly Registered"/>
    <n v="11.76470588235294"/>
    <n v="88.235294117647058"/>
    <x v="0"/>
    <x v="0"/>
    <s v="No"/>
    <n v="3.7000000000000012E-2"/>
  </r>
  <r>
    <n v="689"/>
    <x v="31"/>
    <n v="1"/>
    <n v="0"/>
    <b v="0"/>
    <n v="2"/>
    <n v="2"/>
    <n v="0.16"/>
    <n v="0.18179999999999999"/>
    <n v="0.64"/>
    <n v="0.1045"/>
    <n v="2"/>
    <n v="6"/>
    <n v="8"/>
    <s v="Spring"/>
    <s v="Tuesday"/>
    <s v="Mist/Cloudy"/>
    <s v="Night"/>
    <x v="0"/>
    <x v="1"/>
    <x v="0"/>
    <x v="0"/>
    <s v="Mostly Registered"/>
    <n v="25"/>
    <n v="75"/>
    <x v="0"/>
    <x v="0"/>
    <s v="No"/>
    <n v="2.179999999999999E-2"/>
  </r>
  <r>
    <n v="690"/>
    <x v="31"/>
    <n v="1"/>
    <n v="1"/>
    <b v="0"/>
    <n v="2"/>
    <n v="2"/>
    <n v="0.16"/>
    <n v="0.18179999999999999"/>
    <n v="0.69"/>
    <n v="0.1045"/>
    <n v="0"/>
    <n v="3"/>
    <n v="3"/>
    <s v="Spring"/>
    <s v="Tuesday"/>
    <s v="Mist/Cloudy"/>
    <s v="Night"/>
    <x v="0"/>
    <x v="1"/>
    <x v="0"/>
    <x v="0"/>
    <s v="Mostly Registered"/>
    <n v="0"/>
    <n v="100"/>
    <x v="0"/>
    <x v="0"/>
    <s v="No"/>
    <n v="2.179999999999999E-2"/>
  </r>
  <r>
    <n v="691"/>
    <x v="31"/>
    <n v="1"/>
    <n v="2"/>
    <b v="0"/>
    <n v="2"/>
    <n v="2"/>
    <n v="0.16"/>
    <n v="0.2273"/>
    <n v="0.69"/>
    <n v="0"/>
    <n v="0"/>
    <n v="2"/>
    <n v="2"/>
    <s v="Spring"/>
    <s v="Tuesday"/>
    <s v="Mist/Cloudy"/>
    <s v="Night"/>
    <x v="0"/>
    <x v="1"/>
    <x v="0"/>
    <x v="0"/>
    <s v="Mostly Registered"/>
    <n v="0"/>
    <n v="100"/>
    <x v="0"/>
    <x v="0"/>
    <s v="No"/>
    <n v="6.7299999999999999E-2"/>
  </r>
  <r>
    <n v="692"/>
    <x v="31"/>
    <n v="1"/>
    <n v="3"/>
    <b v="0"/>
    <n v="2"/>
    <n v="2"/>
    <n v="0.16"/>
    <n v="0.2273"/>
    <n v="0.69"/>
    <n v="0"/>
    <n v="0"/>
    <n v="2"/>
    <n v="2"/>
    <s v="Spring"/>
    <s v="Tuesday"/>
    <s v="Mist/Cloudy"/>
    <s v="Night"/>
    <x v="0"/>
    <x v="1"/>
    <x v="0"/>
    <x v="0"/>
    <s v="Mostly Registered"/>
    <n v="0"/>
    <n v="100"/>
    <x v="0"/>
    <x v="0"/>
    <s v="No"/>
    <n v="6.7299999999999999E-2"/>
  </r>
  <r>
    <n v="693"/>
    <x v="31"/>
    <n v="1"/>
    <n v="5"/>
    <b v="0"/>
    <n v="2"/>
    <n v="3"/>
    <n v="0.14000000000000001"/>
    <n v="0.21210000000000001"/>
    <n v="0.93"/>
    <n v="0"/>
    <n v="0"/>
    <n v="3"/>
    <n v="3"/>
    <s v="Spring"/>
    <s v="Tuesday"/>
    <s v="Light Rain/Snow"/>
    <s v="Night"/>
    <x v="4"/>
    <x v="0"/>
    <x v="0"/>
    <x v="0"/>
    <s v="Mostly Registered"/>
    <n v="0"/>
    <n v="100"/>
    <x v="0"/>
    <x v="0"/>
    <s v="No"/>
    <n v="7.2099999999999997E-2"/>
  </r>
  <r>
    <n v="694"/>
    <x v="31"/>
    <n v="1"/>
    <n v="6"/>
    <b v="0"/>
    <n v="2"/>
    <n v="3"/>
    <n v="0.14000000000000001"/>
    <n v="0.21210000000000001"/>
    <n v="0.93"/>
    <n v="0"/>
    <n v="0"/>
    <n v="22"/>
    <n v="22"/>
    <s v="Spring"/>
    <s v="Tuesday"/>
    <s v="Light Rain/Snow"/>
    <s v="Morning"/>
    <x v="4"/>
    <x v="0"/>
    <x v="0"/>
    <x v="0"/>
    <s v="Mostly Registered"/>
    <n v="0"/>
    <n v="100"/>
    <x v="0"/>
    <x v="0"/>
    <s v="No"/>
    <n v="7.2099999999999997E-2"/>
  </r>
  <r>
    <n v="695"/>
    <x v="31"/>
    <n v="1"/>
    <n v="7"/>
    <b v="0"/>
    <n v="2"/>
    <n v="3"/>
    <n v="0.16"/>
    <n v="0.2273"/>
    <n v="0.93"/>
    <n v="0"/>
    <n v="0"/>
    <n v="52"/>
    <n v="52"/>
    <s v="Spring"/>
    <s v="Tuesday"/>
    <s v="Light Rain/Snow"/>
    <s v="Morning"/>
    <x v="0"/>
    <x v="0"/>
    <x v="0"/>
    <x v="0"/>
    <s v="Mostly Registered"/>
    <n v="0"/>
    <n v="100"/>
    <x v="1"/>
    <x v="0"/>
    <s v="No"/>
    <n v="6.7299999999999999E-2"/>
  </r>
  <r>
    <n v="696"/>
    <x v="31"/>
    <n v="1"/>
    <n v="8"/>
    <b v="0"/>
    <n v="2"/>
    <n v="3"/>
    <n v="0.16"/>
    <n v="0.2273"/>
    <n v="0.93"/>
    <n v="0"/>
    <n v="3"/>
    <n v="132"/>
    <n v="135"/>
    <s v="Spring"/>
    <s v="Tuesday"/>
    <s v="Light Rain/Snow"/>
    <s v="Morning"/>
    <x v="0"/>
    <x v="0"/>
    <x v="0"/>
    <x v="0"/>
    <s v="Mostly Registered"/>
    <n v="2.2222222222222219"/>
    <n v="97.777777777777771"/>
    <x v="1"/>
    <x v="1"/>
    <s v="No"/>
    <n v="6.7299999999999999E-2"/>
  </r>
  <r>
    <n v="697"/>
    <x v="31"/>
    <n v="1"/>
    <n v="9"/>
    <b v="0"/>
    <n v="2"/>
    <n v="2"/>
    <n v="0.16"/>
    <n v="0.2273"/>
    <n v="0.93"/>
    <n v="0"/>
    <n v="2"/>
    <n v="114"/>
    <n v="116"/>
    <s v="Spring"/>
    <s v="Tuesday"/>
    <s v="Mist/Cloudy"/>
    <s v="Morning"/>
    <x v="0"/>
    <x v="0"/>
    <x v="0"/>
    <x v="0"/>
    <s v="Mostly Registered"/>
    <n v="1.7241379310344831"/>
    <n v="98.275862068965509"/>
    <x v="1"/>
    <x v="1"/>
    <s v="No"/>
    <n v="6.7299999999999999E-2"/>
  </r>
  <r>
    <n v="698"/>
    <x v="31"/>
    <n v="1"/>
    <n v="10"/>
    <b v="0"/>
    <n v="2"/>
    <n v="2"/>
    <n v="0.16"/>
    <n v="0.2273"/>
    <n v="0.93"/>
    <n v="0"/>
    <n v="0"/>
    <n v="47"/>
    <n v="47"/>
    <s v="Spring"/>
    <s v="Tuesday"/>
    <s v="Mist/Cloudy"/>
    <s v="Morning"/>
    <x v="0"/>
    <x v="0"/>
    <x v="0"/>
    <x v="0"/>
    <s v="Mostly Registered"/>
    <n v="0"/>
    <n v="100"/>
    <x v="0"/>
    <x v="0"/>
    <s v="No"/>
    <n v="6.7299999999999999E-2"/>
  </r>
  <r>
    <n v="699"/>
    <x v="31"/>
    <n v="1"/>
    <n v="11"/>
    <b v="0"/>
    <n v="2"/>
    <n v="2"/>
    <n v="0.18"/>
    <n v="0.2424"/>
    <n v="0.86"/>
    <n v="0"/>
    <n v="2"/>
    <n v="49"/>
    <n v="51"/>
    <s v="Spring"/>
    <s v="Tuesday"/>
    <s v="Mist/Cloudy"/>
    <s v="Morning"/>
    <x v="0"/>
    <x v="0"/>
    <x v="0"/>
    <x v="0"/>
    <s v="Mostly Registered"/>
    <n v="3.9215686274509798"/>
    <n v="96.078431372549019"/>
    <x v="0"/>
    <x v="0"/>
    <s v="No"/>
    <n v="6.2400000000000011E-2"/>
  </r>
  <r>
    <n v="700"/>
    <x v="31"/>
    <n v="1"/>
    <n v="12"/>
    <b v="0"/>
    <n v="2"/>
    <n v="2"/>
    <n v="0.2"/>
    <n v="0.2576"/>
    <n v="0.86"/>
    <n v="0"/>
    <n v="2"/>
    <n v="53"/>
    <n v="55"/>
    <s v="Spring"/>
    <s v="Tuesday"/>
    <s v="Mist/Cloudy"/>
    <s v="Afternoon"/>
    <x v="0"/>
    <x v="0"/>
    <x v="0"/>
    <x v="0"/>
    <s v="Mostly Registered"/>
    <n v="3.6363636363636358"/>
    <n v="96.36363636363636"/>
    <x v="0"/>
    <x v="0"/>
    <s v="No"/>
    <n v="5.7599999999999978E-2"/>
  </r>
  <r>
    <n v="701"/>
    <x v="31"/>
    <n v="1"/>
    <n v="13"/>
    <b v="0"/>
    <n v="2"/>
    <n v="2"/>
    <n v="0.2"/>
    <n v="0.2576"/>
    <n v="0.86"/>
    <n v="0"/>
    <n v="3"/>
    <n v="49"/>
    <n v="52"/>
    <s v="Spring"/>
    <s v="Tuesday"/>
    <s v="Mist/Cloudy"/>
    <s v="Afternoon"/>
    <x v="0"/>
    <x v="0"/>
    <x v="0"/>
    <x v="0"/>
    <s v="Mostly Registered"/>
    <n v="5.7692307692307692"/>
    <n v="94.230769230769226"/>
    <x v="0"/>
    <x v="0"/>
    <s v="No"/>
    <n v="5.7599999999999978E-2"/>
  </r>
  <r>
    <n v="702"/>
    <x v="31"/>
    <n v="1"/>
    <n v="14"/>
    <b v="0"/>
    <n v="2"/>
    <n v="2"/>
    <n v="0.22"/>
    <n v="0.2576"/>
    <n v="0.8"/>
    <n v="8.9599999999999999E-2"/>
    <n v="5"/>
    <n v="49"/>
    <n v="54"/>
    <s v="Spring"/>
    <s v="Tuesday"/>
    <s v="Mist/Cloudy"/>
    <s v="Afternoon"/>
    <x v="0"/>
    <x v="0"/>
    <x v="0"/>
    <x v="0"/>
    <s v="Mostly Registered"/>
    <n v="9.2592592592592595"/>
    <n v="90.740740740740748"/>
    <x v="0"/>
    <x v="0"/>
    <s v="No"/>
    <n v="3.7599999999999988E-2"/>
  </r>
  <r>
    <n v="703"/>
    <x v="31"/>
    <n v="1"/>
    <n v="15"/>
    <b v="0"/>
    <n v="2"/>
    <n v="2"/>
    <n v="0.24"/>
    <n v="0.28789999999999999"/>
    <n v="0.75"/>
    <n v="0"/>
    <n v="7"/>
    <n v="45"/>
    <n v="52"/>
    <s v="Spring"/>
    <s v="Tuesday"/>
    <s v="Mist/Cloudy"/>
    <s v="Afternoon"/>
    <x v="0"/>
    <x v="0"/>
    <x v="0"/>
    <x v="0"/>
    <s v="Mostly Registered"/>
    <n v="13.46153846153846"/>
    <n v="86.538461538461547"/>
    <x v="0"/>
    <x v="0"/>
    <s v="No"/>
    <n v="4.7899999999999998E-2"/>
  </r>
  <r>
    <n v="704"/>
    <x v="31"/>
    <n v="1"/>
    <n v="16"/>
    <b v="0"/>
    <n v="2"/>
    <n v="2"/>
    <n v="0.24"/>
    <n v="0.2424"/>
    <n v="0.75"/>
    <n v="0.1343"/>
    <n v="3"/>
    <n v="61"/>
    <n v="64"/>
    <s v="Spring"/>
    <s v="Tuesday"/>
    <s v="Mist/Cloudy"/>
    <s v="Afternoon"/>
    <x v="0"/>
    <x v="0"/>
    <x v="0"/>
    <x v="0"/>
    <s v="Mostly Registered"/>
    <n v="4.6875"/>
    <n v="95.3125"/>
    <x v="0"/>
    <x v="0"/>
    <s v="No"/>
    <n v="2.4000000000000128E-3"/>
  </r>
  <r>
    <n v="705"/>
    <x v="31"/>
    <n v="1"/>
    <n v="17"/>
    <b v="0"/>
    <n v="2"/>
    <n v="2"/>
    <n v="0.24"/>
    <n v="0.28789999999999999"/>
    <n v="0.75"/>
    <n v="0"/>
    <n v="4"/>
    <n v="172"/>
    <n v="176"/>
    <s v="Spring"/>
    <s v="Tuesday"/>
    <s v="Mist/Cloudy"/>
    <s v="Evening"/>
    <x v="0"/>
    <x v="0"/>
    <x v="0"/>
    <x v="0"/>
    <s v="Mostly Registered"/>
    <n v="2.2727272727272729"/>
    <n v="97.727272727272734"/>
    <x v="1"/>
    <x v="1"/>
    <s v="No"/>
    <n v="4.7899999999999998E-2"/>
  </r>
  <r>
    <n v="706"/>
    <x v="31"/>
    <n v="1"/>
    <n v="18"/>
    <b v="0"/>
    <n v="2"/>
    <n v="2"/>
    <n v="0.24"/>
    <n v="0.2576"/>
    <n v="0.81"/>
    <n v="0.1045"/>
    <n v="3"/>
    <n v="165"/>
    <n v="168"/>
    <s v="Spring"/>
    <s v="Tuesday"/>
    <s v="Mist/Cloudy"/>
    <s v="Evening"/>
    <x v="0"/>
    <x v="0"/>
    <x v="0"/>
    <x v="0"/>
    <s v="Mostly Registered"/>
    <n v="1.785714285714286"/>
    <n v="98.214285714285708"/>
    <x v="1"/>
    <x v="1"/>
    <s v="No"/>
    <n v="1.7600000000000001E-2"/>
  </r>
  <r>
    <n v="707"/>
    <x v="31"/>
    <n v="1"/>
    <n v="19"/>
    <b v="0"/>
    <n v="2"/>
    <n v="2"/>
    <n v="0.24"/>
    <n v="0.2424"/>
    <n v="0.81"/>
    <n v="0.1343"/>
    <n v="3"/>
    <n v="105"/>
    <n v="108"/>
    <s v="Spring"/>
    <s v="Tuesday"/>
    <s v="Mist/Cloudy"/>
    <s v="Evening"/>
    <x v="0"/>
    <x v="0"/>
    <x v="0"/>
    <x v="0"/>
    <s v="Mostly Registered"/>
    <n v="2.7777777777777781"/>
    <n v="97.222222222222214"/>
    <x v="1"/>
    <x v="1"/>
    <s v="No"/>
    <n v="2.4000000000000128E-3"/>
  </r>
  <r>
    <n v="708"/>
    <x v="31"/>
    <n v="1"/>
    <n v="20"/>
    <b v="0"/>
    <n v="2"/>
    <n v="2"/>
    <n v="0.22"/>
    <n v="0.2273"/>
    <n v="0.87"/>
    <n v="0.1343"/>
    <n v="5"/>
    <n v="69"/>
    <n v="74"/>
    <s v="Spring"/>
    <s v="Tuesday"/>
    <s v="Mist/Cloudy"/>
    <s v="Evening"/>
    <x v="0"/>
    <x v="0"/>
    <x v="0"/>
    <x v="0"/>
    <s v="Mostly Registered"/>
    <n v="6.756756756756757"/>
    <n v="93.243243243243242"/>
    <x v="0"/>
    <x v="0"/>
    <s v="No"/>
    <n v="7.3000000000000009E-3"/>
  </r>
  <r>
    <n v="709"/>
    <x v="31"/>
    <n v="1"/>
    <n v="21"/>
    <b v="0"/>
    <n v="2"/>
    <n v="2"/>
    <n v="0.22"/>
    <n v="0.2273"/>
    <n v="0.87"/>
    <n v="0.1343"/>
    <n v="0"/>
    <n v="64"/>
    <n v="64"/>
    <s v="Spring"/>
    <s v="Tuesday"/>
    <s v="Mist/Cloudy"/>
    <s v="Night"/>
    <x v="0"/>
    <x v="0"/>
    <x v="0"/>
    <x v="0"/>
    <s v="Mostly Registered"/>
    <n v="0"/>
    <n v="100"/>
    <x v="0"/>
    <x v="0"/>
    <s v="No"/>
    <n v="7.3000000000000009E-3"/>
  </r>
  <r>
    <n v="710"/>
    <x v="31"/>
    <n v="1"/>
    <n v="22"/>
    <b v="0"/>
    <n v="2"/>
    <n v="2"/>
    <n v="0.22"/>
    <n v="0.2576"/>
    <n v="0.87"/>
    <n v="8.9599999999999999E-2"/>
    <n v="2"/>
    <n v="34"/>
    <n v="36"/>
    <s v="Spring"/>
    <s v="Tuesday"/>
    <s v="Mist/Cloudy"/>
    <s v="Night"/>
    <x v="0"/>
    <x v="0"/>
    <x v="0"/>
    <x v="0"/>
    <s v="Mostly Registered"/>
    <n v="5.5555555555555554"/>
    <n v="94.444444444444443"/>
    <x v="0"/>
    <x v="0"/>
    <s v="No"/>
    <n v="3.7599999999999988E-2"/>
  </r>
  <r>
    <n v="711"/>
    <x v="31"/>
    <n v="1"/>
    <n v="23"/>
    <b v="0"/>
    <n v="2"/>
    <n v="3"/>
    <n v="0.2"/>
    <n v="0.19700000000000001"/>
    <n v="0.93"/>
    <n v="0.19400000000000001"/>
    <n v="1"/>
    <n v="15"/>
    <n v="16"/>
    <s v="Spring"/>
    <s v="Tuesday"/>
    <s v="Light Rain/Snow"/>
    <s v="Night"/>
    <x v="0"/>
    <x v="0"/>
    <x v="1"/>
    <x v="0"/>
    <s v="Mostly Registered"/>
    <n v="6.25"/>
    <n v="93.75"/>
    <x v="0"/>
    <x v="0"/>
    <s v="No"/>
    <n v="-3.0000000000000031E-3"/>
  </r>
  <r>
    <n v="712"/>
    <x v="32"/>
    <n v="1"/>
    <n v="0"/>
    <b v="0"/>
    <n v="3"/>
    <n v="3"/>
    <n v="0.22"/>
    <n v="0.2424"/>
    <n v="0.93"/>
    <n v="0.1045"/>
    <n v="0"/>
    <n v="2"/>
    <n v="2"/>
    <s v="Spring"/>
    <s v="Wednesday"/>
    <s v="Light Rain/Snow"/>
    <s v="Night"/>
    <x v="0"/>
    <x v="0"/>
    <x v="0"/>
    <x v="0"/>
    <s v="Mostly Registered"/>
    <n v="0"/>
    <n v="100"/>
    <x v="0"/>
    <x v="0"/>
    <s v="No"/>
    <n v="2.24E-2"/>
  </r>
  <r>
    <n v="713"/>
    <x v="32"/>
    <n v="1"/>
    <n v="1"/>
    <b v="0"/>
    <n v="3"/>
    <n v="3"/>
    <n v="0.22"/>
    <n v="0.2273"/>
    <n v="0.93"/>
    <n v="0.19400000000000001"/>
    <n v="0"/>
    <n v="3"/>
    <n v="3"/>
    <s v="Spring"/>
    <s v="Wednesday"/>
    <s v="Light Rain/Snow"/>
    <s v="Night"/>
    <x v="0"/>
    <x v="0"/>
    <x v="1"/>
    <x v="0"/>
    <s v="Mostly Registered"/>
    <n v="0"/>
    <n v="100"/>
    <x v="0"/>
    <x v="0"/>
    <s v="No"/>
    <n v="7.3000000000000009E-3"/>
  </r>
  <r>
    <n v="714"/>
    <x v="32"/>
    <n v="1"/>
    <n v="2"/>
    <b v="0"/>
    <n v="3"/>
    <n v="3"/>
    <n v="0.22"/>
    <n v="0.2273"/>
    <n v="0.93"/>
    <n v="0.1343"/>
    <n v="4"/>
    <n v="0"/>
    <n v="4"/>
    <s v="Spring"/>
    <s v="Wednesday"/>
    <s v="Light Rain/Snow"/>
    <s v="Night"/>
    <x v="0"/>
    <x v="0"/>
    <x v="0"/>
    <x v="0"/>
    <s v="Mostly Casual"/>
    <n v="100"/>
    <n v="0"/>
    <x v="0"/>
    <x v="0"/>
    <s v="No"/>
    <n v="7.3000000000000009E-3"/>
  </r>
  <r>
    <n v="715"/>
    <x v="32"/>
    <n v="1"/>
    <n v="3"/>
    <b v="0"/>
    <n v="3"/>
    <n v="3"/>
    <n v="0.22"/>
    <n v="0.2273"/>
    <n v="0.93"/>
    <n v="0.1343"/>
    <n v="0"/>
    <n v="1"/>
    <n v="1"/>
    <s v="Spring"/>
    <s v="Wednesday"/>
    <s v="Light Rain/Snow"/>
    <s v="Night"/>
    <x v="0"/>
    <x v="0"/>
    <x v="0"/>
    <x v="0"/>
    <s v="Mostly Registered"/>
    <n v="0"/>
    <n v="100"/>
    <x v="0"/>
    <x v="0"/>
    <s v="No"/>
    <n v="7.3000000000000009E-3"/>
  </r>
  <r>
    <n v="716"/>
    <x v="32"/>
    <n v="1"/>
    <n v="4"/>
    <b v="0"/>
    <n v="3"/>
    <n v="3"/>
    <n v="0.22"/>
    <n v="0.21210000000000001"/>
    <n v="0.93"/>
    <n v="0.28360000000000002"/>
    <n v="0"/>
    <n v="1"/>
    <n v="1"/>
    <s v="Spring"/>
    <s v="Wednesday"/>
    <s v="Light Rain/Snow"/>
    <s v="Night"/>
    <x v="0"/>
    <x v="0"/>
    <x v="1"/>
    <x v="0"/>
    <s v="Mostly Registered"/>
    <n v="0"/>
    <n v="100"/>
    <x v="0"/>
    <x v="0"/>
    <s v="No"/>
    <n v="-7.8999999999999904E-3"/>
  </r>
  <r>
    <n v="717"/>
    <x v="32"/>
    <n v="1"/>
    <n v="5"/>
    <b v="0"/>
    <n v="3"/>
    <n v="3"/>
    <n v="0.22"/>
    <n v="0.2424"/>
    <n v="0.93"/>
    <n v="0.1045"/>
    <n v="0"/>
    <n v="3"/>
    <n v="3"/>
    <s v="Spring"/>
    <s v="Wednesday"/>
    <s v="Light Rain/Snow"/>
    <s v="Night"/>
    <x v="0"/>
    <x v="0"/>
    <x v="0"/>
    <x v="0"/>
    <s v="Mostly Registered"/>
    <n v="0"/>
    <n v="100"/>
    <x v="0"/>
    <x v="0"/>
    <s v="No"/>
    <n v="2.24E-2"/>
  </r>
  <r>
    <n v="718"/>
    <x v="32"/>
    <n v="1"/>
    <n v="6"/>
    <b v="0"/>
    <n v="3"/>
    <n v="3"/>
    <n v="0.22"/>
    <n v="0.2424"/>
    <n v="0.93"/>
    <n v="0.1045"/>
    <n v="1"/>
    <n v="17"/>
    <n v="18"/>
    <s v="Spring"/>
    <s v="Wednesday"/>
    <s v="Light Rain/Snow"/>
    <s v="Morning"/>
    <x v="0"/>
    <x v="0"/>
    <x v="0"/>
    <x v="0"/>
    <s v="Mostly Registered"/>
    <n v="5.5555555555555554"/>
    <n v="94.444444444444443"/>
    <x v="0"/>
    <x v="0"/>
    <s v="No"/>
    <n v="2.24E-2"/>
  </r>
  <r>
    <n v="719"/>
    <x v="32"/>
    <n v="1"/>
    <n v="7"/>
    <b v="0"/>
    <n v="3"/>
    <n v="3"/>
    <n v="0.22"/>
    <n v="0.21210000000000001"/>
    <n v="0.93"/>
    <n v="0.22389999999999999"/>
    <n v="1"/>
    <n v="48"/>
    <n v="49"/>
    <s v="Spring"/>
    <s v="Wednesday"/>
    <s v="Light Rain/Snow"/>
    <s v="Morning"/>
    <x v="0"/>
    <x v="0"/>
    <x v="1"/>
    <x v="0"/>
    <s v="Mostly Registered"/>
    <n v="2.0408163265306118"/>
    <n v="97.959183673469383"/>
    <x v="1"/>
    <x v="0"/>
    <s v="No"/>
    <n v="-7.8999999999999904E-3"/>
  </r>
  <r>
    <n v="720"/>
    <x v="32"/>
    <n v="1"/>
    <n v="8"/>
    <b v="0"/>
    <n v="3"/>
    <n v="3"/>
    <n v="0.22"/>
    <n v="0.21210000000000001"/>
    <n v="0.93"/>
    <n v="0.22389999999999999"/>
    <n v="1"/>
    <n v="154"/>
    <n v="155"/>
    <s v="Spring"/>
    <s v="Wednesday"/>
    <s v="Light Rain/Snow"/>
    <s v="Morning"/>
    <x v="0"/>
    <x v="0"/>
    <x v="1"/>
    <x v="0"/>
    <s v="Mostly Registered"/>
    <n v="0.64516129032258063"/>
    <n v="99.354838709677423"/>
    <x v="1"/>
    <x v="1"/>
    <s v="No"/>
    <n v="-7.8999999999999904E-3"/>
  </r>
  <r>
    <n v="721"/>
    <x v="32"/>
    <n v="1"/>
    <n v="9"/>
    <b v="0"/>
    <n v="3"/>
    <n v="2"/>
    <n v="0.24"/>
    <n v="0.2576"/>
    <n v="0.93"/>
    <n v="8.9599999999999999E-2"/>
    <n v="4"/>
    <n v="119"/>
    <n v="123"/>
    <s v="Spring"/>
    <s v="Wednesday"/>
    <s v="Mist/Cloudy"/>
    <s v="Morning"/>
    <x v="0"/>
    <x v="0"/>
    <x v="0"/>
    <x v="0"/>
    <s v="Mostly Registered"/>
    <n v="3.2520325203252041"/>
    <n v="96.747967479674799"/>
    <x v="1"/>
    <x v="1"/>
    <s v="No"/>
    <n v="1.7600000000000001E-2"/>
  </r>
  <r>
    <n v="722"/>
    <x v="32"/>
    <n v="1"/>
    <n v="10"/>
    <b v="0"/>
    <n v="3"/>
    <n v="2"/>
    <n v="0.22"/>
    <n v="0.2727"/>
    <n v="1"/>
    <n v="0"/>
    <n v="2"/>
    <n v="59"/>
    <n v="61"/>
    <s v="Spring"/>
    <s v="Wednesday"/>
    <s v="Mist/Cloudy"/>
    <s v="Morning"/>
    <x v="0"/>
    <x v="0"/>
    <x v="0"/>
    <x v="0"/>
    <s v="Mostly Registered"/>
    <n v="3.278688524590164"/>
    <n v="96.721311475409834"/>
    <x v="0"/>
    <x v="0"/>
    <s v="No"/>
    <n v="5.2699999999999997E-2"/>
  </r>
  <r>
    <n v="723"/>
    <x v="32"/>
    <n v="1"/>
    <n v="11"/>
    <b v="0"/>
    <n v="3"/>
    <n v="2"/>
    <n v="0.24"/>
    <n v="0.2273"/>
    <n v="0.93"/>
    <n v="0.19400000000000001"/>
    <n v="5"/>
    <n v="47"/>
    <n v="52"/>
    <s v="Spring"/>
    <s v="Wednesday"/>
    <s v="Mist/Cloudy"/>
    <s v="Morning"/>
    <x v="0"/>
    <x v="0"/>
    <x v="1"/>
    <x v="0"/>
    <s v="Mostly Registered"/>
    <n v="9.6153846153846168"/>
    <n v="90.384615384615387"/>
    <x v="0"/>
    <x v="0"/>
    <s v="No"/>
    <n v="-1.2699999999999991E-2"/>
  </r>
  <r>
    <n v="724"/>
    <x v="32"/>
    <n v="1"/>
    <n v="12"/>
    <b v="0"/>
    <n v="3"/>
    <n v="2"/>
    <n v="0.24"/>
    <n v="0.2273"/>
    <n v="0.93"/>
    <n v="0.22389999999999999"/>
    <n v="3"/>
    <n v="61"/>
    <n v="64"/>
    <s v="Spring"/>
    <s v="Wednesday"/>
    <s v="Mist/Cloudy"/>
    <s v="Afternoon"/>
    <x v="0"/>
    <x v="0"/>
    <x v="1"/>
    <x v="0"/>
    <s v="Mostly Registered"/>
    <n v="4.6875"/>
    <n v="95.3125"/>
    <x v="0"/>
    <x v="0"/>
    <s v="No"/>
    <n v="-1.2699999999999991E-2"/>
  </r>
  <r>
    <n v="725"/>
    <x v="32"/>
    <n v="1"/>
    <n v="13"/>
    <b v="0"/>
    <n v="3"/>
    <n v="1"/>
    <n v="0.34"/>
    <n v="0.33329999999999999"/>
    <n v="0.93"/>
    <n v="0.16420000000000001"/>
    <n v="1"/>
    <n v="74"/>
    <n v="75"/>
    <s v="Spring"/>
    <s v="Wednesday"/>
    <s v="Clear"/>
    <s v="Afternoon"/>
    <x v="1"/>
    <x v="0"/>
    <x v="1"/>
    <x v="0"/>
    <s v="Mostly Registered"/>
    <n v="1.333333333333333"/>
    <n v="98.666666666666671"/>
    <x v="0"/>
    <x v="0"/>
    <s v="No"/>
    <n v="-6.7000000000000393E-3"/>
  </r>
  <r>
    <n v="726"/>
    <x v="32"/>
    <n v="1"/>
    <n v="14"/>
    <b v="0"/>
    <n v="3"/>
    <n v="1"/>
    <n v="0.38"/>
    <n v="0.39389999999999997"/>
    <n v="0.82"/>
    <n v="0.3881"/>
    <n v="2"/>
    <n v="61"/>
    <n v="63"/>
    <s v="Spring"/>
    <s v="Wednesday"/>
    <s v="Clear"/>
    <s v="Afternoon"/>
    <x v="2"/>
    <x v="0"/>
    <x v="2"/>
    <x v="0"/>
    <s v="Mostly Registered"/>
    <n v="3.174603174603174"/>
    <n v="96.825396825396822"/>
    <x v="0"/>
    <x v="0"/>
    <s v="No"/>
    <n v="1.389999999999997E-2"/>
  </r>
  <r>
    <n v="727"/>
    <x v="32"/>
    <n v="1"/>
    <n v="15"/>
    <b v="0"/>
    <n v="3"/>
    <n v="1"/>
    <n v="0.38"/>
    <n v="0.39389999999999997"/>
    <n v="0.76"/>
    <n v="0.32840000000000003"/>
    <n v="10"/>
    <n v="66"/>
    <n v="76"/>
    <s v="Spring"/>
    <s v="Wednesday"/>
    <s v="Clear"/>
    <s v="Afternoon"/>
    <x v="2"/>
    <x v="0"/>
    <x v="2"/>
    <x v="0"/>
    <s v="Mostly Registered"/>
    <n v="13.157894736842101"/>
    <n v="86.842105263157904"/>
    <x v="0"/>
    <x v="0"/>
    <s v="No"/>
    <n v="1.389999999999997E-2"/>
  </r>
  <r>
    <n v="728"/>
    <x v="32"/>
    <n v="1"/>
    <n v="16"/>
    <b v="0"/>
    <n v="3"/>
    <n v="1"/>
    <n v="0.36"/>
    <n v="0.33329999999999999"/>
    <n v="0.71"/>
    <n v="0.29849999999999999"/>
    <n v="8"/>
    <n v="95"/>
    <n v="103"/>
    <s v="Spring"/>
    <s v="Wednesday"/>
    <s v="Clear"/>
    <s v="Afternoon"/>
    <x v="2"/>
    <x v="0"/>
    <x v="1"/>
    <x v="0"/>
    <s v="Mostly Registered"/>
    <n v="7.7669902912621351"/>
    <n v="92.233009708737868"/>
    <x v="0"/>
    <x v="1"/>
    <s v="No"/>
    <n v="-2.6700000000000002E-2"/>
  </r>
  <r>
    <n v="729"/>
    <x v="32"/>
    <n v="1"/>
    <n v="17"/>
    <b v="0"/>
    <n v="3"/>
    <n v="1"/>
    <n v="0.36"/>
    <n v="0.31819999999999998"/>
    <n v="0.53"/>
    <n v="0.52239999999999998"/>
    <n v="7"/>
    <n v="183"/>
    <n v="190"/>
    <s v="Spring"/>
    <s v="Wednesday"/>
    <s v="Clear"/>
    <s v="Evening"/>
    <x v="2"/>
    <x v="1"/>
    <x v="2"/>
    <x v="0"/>
    <s v="Mostly Registered"/>
    <n v="3.6842105263157889"/>
    <n v="96.315789473684205"/>
    <x v="1"/>
    <x v="1"/>
    <s v="No"/>
    <n v="-4.1799999999999997E-2"/>
  </r>
  <r>
    <n v="730"/>
    <x v="32"/>
    <n v="1"/>
    <n v="18"/>
    <b v="0"/>
    <n v="3"/>
    <n v="1"/>
    <n v="0.34"/>
    <n v="0.28789999999999999"/>
    <n v="0.42"/>
    <n v="0.55220000000000002"/>
    <n v="7"/>
    <n v="175"/>
    <n v="182"/>
    <s v="Spring"/>
    <s v="Wednesday"/>
    <s v="Clear"/>
    <s v="Evening"/>
    <x v="1"/>
    <x v="1"/>
    <x v="2"/>
    <x v="0"/>
    <s v="Mostly Registered"/>
    <n v="3.8461538461538458"/>
    <n v="96.15384615384616"/>
    <x v="1"/>
    <x v="1"/>
    <s v="No"/>
    <n v="-5.2100000000000042E-2"/>
  </r>
  <r>
    <n v="731"/>
    <x v="32"/>
    <n v="1"/>
    <n v="19"/>
    <b v="0"/>
    <n v="3"/>
    <n v="1"/>
    <n v="0.28000000000000003"/>
    <n v="0.2424"/>
    <n v="0.45"/>
    <n v="0.49249999999999999"/>
    <n v="3"/>
    <n v="88"/>
    <n v="91"/>
    <s v="Spring"/>
    <s v="Wednesday"/>
    <s v="Clear"/>
    <s v="Evening"/>
    <x v="1"/>
    <x v="1"/>
    <x v="2"/>
    <x v="0"/>
    <s v="Mostly Registered"/>
    <n v="3.296703296703297"/>
    <n v="96.703296703296701"/>
    <x v="1"/>
    <x v="0"/>
    <s v="No"/>
    <n v="-3.7600000000000022E-2"/>
  </r>
  <r>
    <n v="732"/>
    <x v="32"/>
    <n v="1"/>
    <n v="20"/>
    <b v="0"/>
    <n v="3"/>
    <n v="1"/>
    <n v="0.24"/>
    <n v="0.19700000000000001"/>
    <n v="0.48"/>
    <n v="0.55220000000000002"/>
    <n v="4"/>
    <n v="71"/>
    <n v="75"/>
    <s v="Spring"/>
    <s v="Wednesday"/>
    <s v="Clear"/>
    <s v="Evening"/>
    <x v="0"/>
    <x v="1"/>
    <x v="2"/>
    <x v="0"/>
    <s v="Mostly Registered"/>
    <n v="5.3333333333333339"/>
    <n v="94.666666666666671"/>
    <x v="0"/>
    <x v="0"/>
    <s v="No"/>
    <n v="-4.2999999999999983E-2"/>
  </r>
  <r>
    <n v="733"/>
    <x v="32"/>
    <n v="1"/>
    <n v="21"/>
    <b v="0"/>
    <n v="3"/>
    <n v="1"/>
    <n v="0.22"/>
    <n v="0.19700000000000001"/>
    <n v="0.47"/>
    <n v="0.32840000000000003"/>
    <n v="1"/>
    <n v="62"/>
    <n v="63"/>
    <s v="Spring"/>
    <s v="Wednesday"/>
    <s v="Clear"/>
    <s v="Night"/>
    <x v="0"/>
    <x v="1"/>
    <x v="2"/>
    <x v="0"/>
    <s v="Mostly Registered"/>
    <n v="1.587301587301587"/>
    <n v="98.412698412698404"/>
    <x v="0"/>
    <x v="0"/>
    <s v="No"/>
    <n v="-2.2999999999999989E-2"/>
  </r>
  <r>
    <n v="734"/>
    <x v="32"/>
    <n v="1"/>
    <n v="22"/>
    <b v="0"/>
    <n v="3"/>
    <n v="1"/>
    <n v="0.22"/>
    <n v="0.21210000000000001"/>
    <n v="0.44"/>
    <n v="0.25369999999999998"/>
    <n v="5"/>
    <n v="35"/>
    <n v="40"/>
    <s v="Spring"/>
    <s v="Wednesday"/>
    <s v="Clear"/>
    <s v="Night"/>
    <x v="0"/>
    <x v="1"/>
    <x v="1"/>
    <x v="0"/>
    <s v="Mostly Registered"/>
    <n v="12.5"/>
    <n v="87.5"/>
    <x v="0"/>
    <x v="0"/>
    <s v="No"/>
    <n v="-7.8999999999999904E-3"/>
  </r>
  <r>
    <n v="735"/>
    <x v="32"/>
    <n v="1"/>
    <n v="23"/>
    <b v="0"/>
    <n v="3"/>
    <n v="1"/>
    <n v="0.2"/>
    <n v="0.16669999999999999"/>
    <n v="0.44"/>
    <n v="0.44779999999999998"/>
    <n v="3"/>
    <n v="29"/>
    <n v="32"/>
    <s v="Spring"/>
    <s v="Wednesday"/>
    <s v="Clear"/>
    <s v="Night"/>
    <x v="0"/>
    <x v="1"/>
    <x v="2"/>
    <x v="0"/>
    <s v="Mostly Registered"/>
    <n v="9.375"/>
    <n v="90.625"/>
    <x v="0"/>
    <x v="0"/>
    <s v="No"/>
    <n v="-3.3300000000000017E-2"/>
  </r>
  <r>
    <n v="736"/>
    <x v="33"/>
    <n v="1"/>
    <n v="0"/>
    <b v="0"/>
    <n v="4"/>
    <n v="1"/>
    <n v="0.2"/>
    <n v="0.16669999999999999"/>
    <n v="0.4"/>
    <n v="0.44779999999999998"/>
    <n v="1"/>
    <n v="11"/>
    <n v="12"/>
    <s v="Spring"/>
    <s v="Thursday"/>
    <s v="Clear"/>
    <s v="Night"/>
    <x v="0"/>
    <x v="1"/>
    <x v="2"/>
    <x v="0"/>
    <s v="Mostly Registered"/>
    <n v="8.3333333333333321"/>
    <n v="91.666666666666657"/>
    <x v="0"/>
    <x v="0"/>
    <s v="No"/>
    <n v="-3.3300000000000017E-2"/>
  </r>
  <r>
    <n v="737"/>
    <x v="33"/>
    <n v="1"/>
    <n v="1"/>
    <b v="0"/>
    <n v="4"/>
    <n v="1"/>
    <n v="0.2"/>
    <n v="0.1515"/>
    <n v="0.44"/>
    <n v="0.52239999999999998"/>
    <n v="0"/>
    <n v="5"/>
    <n v="5"/>
    <s v="Spring"/>
    <s v="Thursday"/>
    <s v="Clear"/>
    <s v="Night"/>
    <x v="0"/>
    <x v="1"/>
    <x v="2"/>
    <x v="0"/>
    <s v="Mostly Registered"/>
    <n v="0"/>
    <n v="100"/>
    <x v="0"/>
    <x v="0"/>
    <s v="No"/>
    <n v="-4.8500000000000022E-2"/>
  </r>
  <r>
    <n v="738"/>
    <x v="33"/>
    <n v="1"/>
    <n v="2"/>
    <b v="0"/>
    <n v="4"/>
    <n v="1"/>
    <n v="0.18"/>
    <n v="0.16669999999999999"/>
    <n v="0.43"/>
    <n v="0.25369999999999998"/>
    <n v="0"/>
    <n v="2"/>
    <n v="2"/>
    <s v="Spring"/>
    <s v="Thursday"/>
    <s v="Clear"/>
    <s v="Night"/>
    <x v="0"/>
    <x v="1"/>
    <x v="1"/>
    <x v="0"/>
    <s v="Mostly Registered"/>
    <n v="0"/>
    <n v="100"/>
    <x v="0"/>
    <x v="0"/>
    <s v="No"/>
    <n v="-1.330000000000001E-2"/>
  </r>
  <r>
    <n v="739"/>
    <x v="33"/>
    <n v="1"/>
    <n v="3"/>
    <b v="0"/>
    <n v="4"/>
    <n v="1"/>
    <n v="0.18"/>
    <n v="0.16669999999999999"/>
    <n v="0.43"/>
    <n v="0.25369999999999998"/>
    <n v="0"/>
    <n v="1"/>
    <n v="1"/>
    <s v="Spring"/>
    <s v="Thursday"/>
    <s v="Clear"/>
    <s v="Night"/>
    <x v="0"/>
    <x v="1"/>
    <x v="1"/>
    <x v="0"/>
    <s v="Mostly Registered"/>
    <n v="0"/>
    <n v="100"/>
    <x v="0"/>
    <x v="0"/>
    <s v="No"/>
    <n v="-1.330000000000001E-2"/>
  </r>
  <r>
    <n v="740"/>
    <x v="33"/>
    <n v="1"/>
    <n v="5"/>
    <b v="0"/>
    <n v="4"/>
    <n v="1"/>
    <n v="0.16"/>
    <n v="0.13639999999999999"/>
    <n v="0.5"/>
    <n v="0.29849999999999999"/>
    <n v="0"/>
    <n v="2"/>
    <n v="2"/>
    <s v="Spring"/>
    <s v="Thursday"/>
    <s v="Clear"/>
    <s v="Night"/>
    <x v="0"/>
    <x v="1"/>
    <x v="1"/>
    <x v="0"/>
    <s v="Mostly Registered"/>
    <n v="0"/>
    <n v="100"/>
    <x v="0"/>
    <x v="0"/>
    <s v="No"/>
    <n v="-2.360000000000001E-2"/>
  </r>
  <r>
    <n v="741"/>
    <x v="33"/>
    <n v="1"/>
    <n v="6"/>
    <b v="0"/>
    <n v="4"/>
    <n v="1"/>
    <n v="0.16"/>
    <n v="0.13639999999999999"/>
    <n v="0.43"/>
    <n v="0.35820000000000002"/>
    <n v="0"/>
    <n v="39"/>
    <n v="39"/>
    <s v="Spring"/>
    <s v="Thursday"/>
    <s v="Clear"/>
    <s v="Morning"/>
    <x v="0"/>
    <x v="1"/>
    <x v="2"/>
    <x v="0"/>
    <s v="Mostly Registered"/>
    <n v="0"/>
    <n v="100"/>
    <x v="0"/>
    <x v="0"/>
    <s v="No"/>
    <n v="-2.360000000000001E-2"/>
  </r>
  <r>
    <n v="742"/>
    <x v="33"/>
    <n v="1"/>
    <n v="7"/>
    <b v="0"/>
    <n v="4"/>
    <n v="1"/>
    <n v="0.14000000000000001"/>
    <n v="0.1212"/>
    <n v="0.5"/>
    <n v="0.32840000000000003"/>
    <n v="1"/>
    <n v="86"/>
    <n v="87"/>
    <s v="Spring"/>
    <s v="Thursday"/>
    <s v="Clear"/>
    <s v="Morning"/>
    <x v="4"/>
    <x v="1"/>
    <x v="2"/>
    <x v="0"/>
    <s v="Mostly Registered"/>
    <n v="1.149425287356322"/>
    <n v="98.850574712643677"/>
    <x v="1"/>
    <x v="0"/>
    <s v="No"/>
    <n v="-1.8800000000000011E-2"/>
  </r>
  <r>
    <n v="743"/>
    <x v="33"/>
    <n v="1"/>
    <n v="8"/>
    <b v="0"/>
    <n v="4"/>
    <n v="1"/>
    <n v="0.14000000000000001"/>
    <n v="0.1212"/>
    <n v="0.5"/>
    <n v="0.35820000000000002"/>
    <n v="4"/>
    <n v="184"/>
    <n v="188"/>
    <s v="Spring"/>
    <s v="Thursday"/>
    <s v="Clear"/>
    <s v="Morning"/>
    <x v="4"/>
    <x v="1"/>
    <x v="2"/>
    <x v="0"/>
    <s v="Mostly Registered"/>
    <n v="2.1276595744680851"/>
    <n v="97.872340425531917"/>
    <x v="1"/>
    <x v="1"/>
    <s v="No"/>
    <n v="-1.8800000000000011E-2"/>
  </r>
  <r>
    <n v="744"/>
    <x v="33"/>
    <n v="1"/>
    <n v="9"/>
    <b v="0"/>
    <n v="4"/>
    <n v="1"/>
    <n v="0.16"/>
    <n v="0.13639999999999999"/>
    <n v="0.47"/>
    <n v="0.29849999999999999"/>
    <n v="6"/>
    <n v="127"/>
    <n v="133"/>
    <s v="Spring"/>
    <s v="Thursday"/>
    <s v="Clear"/>
    <s v="Morning"/>
    <x v="0"/>
    <x v="1"/>
    <x v="1"/>
    <x v="0"/>
    <s v="Mostly Registered"/>
    <n v="4.5112781954887211"/>
    <n v="95.488721804511272"/>
    <x v="1"/>
    <x v="1"/>
    <s v="No"/>
    <n v="-2.360000000000001E-2"/>
  </r>
  <r>
    <n v="745"/>
    <x v="33"/>
    <n v="1"/>
    <n v="10"/>
    <b v="0"/>
    <n v="4"/>
    <n v="1"/>
    <n v="0.18"/>
    <n v="0.1515"/>
    <n v="0.43"/>
    <n v="0.32840000000000003"/>
    <n v="2"/>
    <n v="50"/>
    <n v="52"/>
    <s v="Spring"/>
    <s v="Thursday"/>
    <s v="Clear"/>
    <s v="Morning"/>
    <x v="0"/>
    <x v="1"/>
    <x v="2"/>
    <x v="0"/>
    <s v="Mostly Registered"/>
    <n v="3.8461538461538458"/>
    <n v="96.15384615384616"/>
    <x v="0"/>
    <x v="0"/>
    <s v="No"/>
    <n v="-2.8500000000000001E-2"/>
  </r>
  <r>
    <n v="746"/>
    <x v="33"/>
    <n v="1"/>
    <n v="11"/>
    <b v="0"/>
    <n v="4"/>
    <n v="1"/>
    <n v="0.18"/>
    <n v="0.13639999999999999"/>
    <n v="0.43"/>
    <n v="0.44779999999999998"/>
    <n v="9"/>
    <n v="55"/>
    <n v="64"/>
    <s v="Spring"/>
    <s v="Thursday"/>
    <s v="Clear"/>
    <s v="Morning"/>
    <x v="0"/>
    <x v="1"/>
    <x v="2"/>
    <x v="0"/>
    <s v="Mostly Registered"/>
    <n v="14.0625"/>
    <n v="85.9375"/>
    <x v="0"/>
    <x v="0"/>
    <s v="No"/>
    <n v="-4.36E-2"/>
  </r>
  <r>
    <n v="747"/>
    <x v="33"/>
    <n v="1"/>
    <n v="12"/>
    <b v="0"/>
    <n v="4"/>
    <n v="1"/>
    <n v="0.2"/>
    <n v="0.18179999999999999"/>
    <n v="0.4"/>
    <n v="0.35820000000000002"/>
    <n v="2"/>
    <n v="67"/>
    <n v="69"/>
    <s v="Spring"/>
    <s v="Thursday"/>
    <s v="Clear"/>
    <s v="Afternoon"/>
    <x v="0"/>
    <x v="1"/>
    <x v="2"/>
    <x v="0"/>
    <s v="Mostly Registered"/>
    <n v="2.8985507246376812"/>
    <n v="97.101449275362313"/>
    <x v="0"/>
    <x v="0"/>
    <s v="No"/>
    <n v="-1.8200000000000022E-2"/>
  </r>
  <r>
    <n v="748"/>
    <x v="33"/>
    <n v="1"/>
    <n v="13"/>
    <b v="0"/>
    <n v="4"/>
    <n v="1"/>
    <n v="0.2"/>
    <n v="0.16669999999999999"/>
    <n v="0.4"/>
    <n v="0.41789999999999999"/>
    <n v="4"/>
    <n v="47"/>
    <n v="51"/>
    <s v="Spring"/>
    <s v="Thursday"/>
    <s v="Clear"/>
    <s v="Afternoon"/>
    <x v="0"/>
    <x v="1"/>
    <x v="2"/>
    <x v="0"/>
    <s v="Mostly Registered"/>
    <n v="7.8431372549019596"/>
    <n v="92.156862745098039"/>
    <x v="0"/>
    <x v="0"/>
    <s v="No"/>
    <n v="-3.3300000000000017E-2"/>
  </r>
  <r>
    <n v="749"/>
    <x v="33"/>
    <n v="1"/>
    <n v="14"/>
    <b v="0"/>
    <n v="4"/>
    <n v="1"/>
    <n v="0.22"/>
    <n v="0.19700000000000001"/>
    <n v="0.37"/>
    <n v="0.3881"/>
    <n v="4"/>
    <n v="43"/>
    <n v="47"/>
    <s v="Spring"/>
    <s v="Thursday"/>
    <s v="Clear"/>
    <s v="Afternoon"/>
    <x v="0"/>
    <x v="2"/>
    <x v="2"/>
    <x v="0"/>
    <s v="Mostly Registered"/>
    <n v="8.5106382978723403"/>
    <n v="91.489361702127653"/>
    <x v="0"/>
    <x v="0"/>
    <s v="No"/>
    <n v="-2.2999999999999989E-2"/>
  </r>
  <r>
    <n v="750"/>
    <x v="33"/>
    <n v="1"/>
    <n v="15"/>
    <b v="0"/>
    <n v="4"/>
    <n v="1"/>
    <n v="0.22"/>
    <n v="0.19700000000000001"/>
    <n v="0.37"/>
    <n v="0.32840000000000003"/>
    <n v="4"/>
    <n v="56"/>
    <n v="60"/>
    <s v="Spring"/>
    <s v="Thursday"/>
    <s v="Clear"/>
    <s v="Afternoon"/>
    <x v="0"/>
    <x v="2"/>
    <x v="2"/>
    <x v="0"/>
    <s v="Mostly Registered"/>
    <n v="6.666666666666667"/>
    <n v="93.333333333333329"/>
    <x v="0"/>
    <x v="0"/>
    <s v="No"/>
    <n v="-2.2999999999999989E-2"/>
  </r>
  <r>
    <n v="751"/>
    <x v="33"/>
    <n v="1"/>
    <n v="16"/>
    <b v="0"/>
    <n v="4"/>
    <n v="1"/>
    <n v="0.22"/>
    <n v="0.21210000000000001"/>
    <n v="0.37"/>
    <n v="0.25369999999999998"/>
    <n v="5"/>
    <n v="73"/>
    <n v="78"/>
    <s v="Spring"/>
    <s v="Thursday"/>
    <s v="Clear"/>
    <s v="Afternoon"/>
    <x v="0"/>
    <x v="2"/>
    <x v="1"/>
    <x v="0"/>
    <s v="Mostly Registered"/>
    <n v="6.4102564102564097"/>
    <n v="93.589743589743591"/>
    <x v="0"/>
    <x v="0"/>
    <s v="No"/>
    <n v="-7.8999999999999904E-3"/>
  </r>
  <r>
    <n v="752"/>
    <x v="33"/>
    <n v="1"/>
    <n v="17"/>
    <b v="0"/>
    <n v="4"/>
    <n v="1"/>
    <n v="0.2"/>
    <n v="0.19700000000000001"/>
    <n v="0.4"/>
    <n v="0.19400000000000001"/>
    <n v="5"/>
    <n v="170"/>
    <n v="175"/>
    <s v="Spring"/>
    <s v="Thursday"/>
    <s v="Clear"/>
    <s v="Evening"/>
    <x v="0"/>
    <x v="1"/>
    <x v="1"/>
    <x v="0"/>
    <s v="Mostly Registered"/>
    <n v="2.8571428571428572"/>
    <n v="97.142857142857139"/>
    <x v="1"/>
    <x v="1"/>
    <s v="No"/>
    <n v="-3.0000000000000031E-3"/>
  </r>
  <r>
    <n v="753"/>
    <x v="33"/>
    <n v="1"/>
    <n v="18"/>
    <b v="0"/>
    <n v="4"/>
    <n v="1"/>
    <n v="0.2"/>
    <n v="0.21210000000000001"/>
    <n v="0.4"/>
    <n v="0.16420000000000001"/>
    <n v="2"/>
    <n v="145"/>
    <n v="147"/>
    <s v="Spring"/>
    <s v="Thursday"/>
    <s v="Clear"/>
    <s v="Evening"/>
    <x v="0"/>
    <x v="1"/>
    <x v="1"/>
    <x v="0"/>
    <s v="Mostly Registered"/>
    <n v="1.360544217687075"/>
    <n v="98.639455782312922"/>
    <x v="1"/>
    <x v="1"/>
    <s v="No"/>
    <n v="1.21E-2"/>
  </r>
  <r>
    <n v="754"/>
    <x v="33"/>
    <n v="1"/>
    <n v="19"/>
    <b v="0"/>
    <n v="4"/>
    <n v="1"/>
    <n v="0.2"/>
    <n v="0.2576"/>
    <n v="0.4"/>
    <n v="0"/>
    <n v="4"/>
    <n v="92"/>
    <n v="96"/>
    <s v="Spring"/>
    <s v="Thursday"/>
    <s v="Clear"/>
    <s v="Evening"/>
    <x v="0"/>
    <x v="1"/>
    <x v="0"/>
    <x v="0"/>
    <s v="Mostly Registered"/>
    <n v="4.1666666666666661"/>
    <n v="95.833333333333343"/>
    <x v="1"/>
    <x v="0"/>
    <s v="No"/>
    <n v="5.7599999999999978E-2"/>
  </r>
  <r>
    <n v="755"/>
    <x v="33"/>
    <n v="1"/>
    <n v="20"/>
    <b v="0"/>
    <n v="4"/>
    <n v="1"/>
    <n v="0.2"/>
    <n v="0.2273"/>
    <n v="0.47"/>
    <n v="8.9599999999999999E-2"/>
    <n v="1"/>
    <n v="108"/>
    <n v="109"/>
    <s v="Spring"/>
    <s v="Thursday"/>
    <s v="Clear"/>
    <s v="Evening"/>
    <x v="0"/>
    <x v="1"/>
    <x v="0"/>
    <x v="0"/>
    <s v="Mostly Registered"/>
    <n v="0.91743119266055051"/>
    <n v="99.082568807339456"/>
    <x v="0"/>
    <x v="1"/>
    <s v="No"/>
    <n v="2.7299999999999991E-2"/>
  </r>
  <r>
    <n v="756"/>
    <x v="33"/>
    <n v="1"/>
    <n v="21"/>
    <b v="0"/>
    <n v="4"/>
    <n v="1"/>
    <n v="0.18"/>
    <n v="0.21210000000000001"/>
    <n v="0.55000000000000004"/>
    <n v="0.1045"/>
    <n v="1"/>
    <n v="53"/>
    <n v="54"/>
    <s v="Spring"/>
    <s v="Thursday"/>
    <s v="Clear"/>
    <s v="Night"/>
    <x v="0"/>
    <x v="1"/>
    <x v="0"/>
    <x v="0"/>
    <s v="Mostly Registered"/>
    <n v="1.8518518518518521"/>
    <n v="98.148148148148152"/>
    <x v="0"/>
    <x v="0"/>
    <s v="No"/>
    <n v="3.2100000000000017E-2"/>
  </r>
  <r>
    <n v="757"/>
    <x v="33"/>
    <n v="1"/>
    <n v="22"/>
    <b v="0"/>
    <n v="4"/>
    <n v="1"/>
    <n v="0.18"/>
    <n v="0.21210000000000001"/>
    <n v="0.51"/>
    <n v="8.9599999999999999E-2"/>
    <n v="2"/>
    <n v="39"/>
    <n v="41"/>
    <s v="Spring"/>
    <s v="Thursday"/>
    <s v="Clear"/>
    <s v="Night"/>
    <x v="0"/>
    <x v="1"/>
    <x v="0"/>
    <x v="0"/>
    <s v="Mostly Registered"/>
    <n v="4.8780487804878048"/>
    <n v="95.121951219512198"/>
    <x v="0"/>
    <x v="0"/>
    <s v="No"/>
    <n v="3.2100000000000017E-2"/>
  </r>
  <r>
    <n v="758"/>
    <x v="33"/>
    <n v="1"/>
    <n v="23"/>
    <b v="0"/>
    <n v="4"/>
    <n v="1"/>
    <n v="0.2"/>
    <n v="0.2273"/>
    <n v="0.47"/>
    <n v="0.1045"/>
    <n v="4"/>
    <n v="34"/>
    <n v="38"/>
    <s v="Spring"/>
    <s v="Thursday"/>
    <s v="Clear"/>
    <s v="Night"/>
    <x v="0"/>
    <x v="1"/>
    <x v="0"/>
    <x v="0"/>
    <s v="Mostly Registered"/>
    <n v="10.52631578947368"/>
    <n v="89.473684210526315"/>
    <x v="0"/>
    <x v="0"/>
    <s v="No"/>
    <n v="2.7299999999999991E-2"/>
  </r>
  <r>
    <n v="759"/>
    <x v="34"/>
    <n v="1"/>
    <n v="0"/>
    <b v="0"/>
    <n v="5"/>
    <n v="2"/>
    <n v="0.2"/>
    <n v="0.2576"/>
    <n v="0.44"/>
    <n v="0"/>
    <n v="3"/>
    <n v="10"/>
    <n v="13"/>
    <s v="Spring"/>
    <s v="Friday"/>
    <s v="Mist/Cloudy"/>
    <s v="Night"/>
    <x v="0"/>
    <x v="1"/>
    <x v="0"/>
    <x v="0"/>
    <s v="Mostly Registered"/>
    <n v="23.07692307692308"/>
    <n v="76.923076923076934"/>
    <x v="0"/>
    <x v="0"/>
    <s v="No"/>
    <n v="5.7599999999999978E-2"/>
  </r>
  <r>
    <n v="760"/>
    <x v="34"/>
    <n v="1"/>
    <n v="1"/>
    <b v="0"/>
    <n v="5"/>
    <n v="2"/>
    <n v="0.16"/>
    <n v="0.2273"/>
    <n v="0.59"/>
    <n v="0"/>
    <n v="0"/>
    <n v="7"/>
    <n v="7"/>
    <s v="Spring"/>
    <s v="Friday"/>
    <s v="Mist/Cloudy"/>
    <s v="Night"/>
    <x v="0"/>
    <x v="1"/>
    <x v="0"/>
    <x v="0"/>
    <s v="Mostly Registered"/>
    <n v="0"/>
    <n v="100"/>
    <x v="0"/>
    <x v="0"/>
    <s v="No"/>
    <n v="6.7299999999999999E-2"/>
  </r>
  <r>
    <n v="761"/>
    <x v="34"/>
    <n v="1"/>
    <n v="2"/>
    <b v="0"/>
    <n v="5"/>
    <n v="2"/>
    <n v="0.14000000000000001"/>
    <n v="0.16669999999999999"/>
    <n v="0.63"/>
    <n v="0.1045"/>
    <n v="0"/>
    <n v="1"/>
    <n v="1"/>
    <s v="Spring"/>
    <s v="Friday"/>
    <s v="Mist/Cloudy"/>
    <s v="Night"/>
    <x v="4"/>
    <x v="1"/>
    <x v="0"/>
    <x v="0"/>
    <s v="Mostly Registered"/>
    <n v="0"/>
    <n v="100"/>
    <x v="0"/>
    <x v="0"/>
    <s v="No"/>
    <n v="2.669999999999997E-2"/>
  </r>
  <r>
    <n v="762"/>
    <x v="34"/>
    <n v="1"/>
    <n v="3"/>
    <b v="0"/>
    <n v="5"/>
    <n v="2"/>
    <n v="0.14000000000000001"/>
    <n v="0.16669999999999999"/>
    <n v="0.63"/>
    <n v="0.1045"/>
    <n v="0"/>
    <n v="1"/>
    <n v="1"/>
    <s v="Spring"/>
    <s v="Friday"/>
    <s v="Mist/Cloudy"/>
    <s v="Night"/>
    <x v="4"/>
    <x v="1"/>
    <x v="0"/>
    <x v="0"/>
    <s v="Mostly Registered"/>
    <n v="0"/>
    <n v="100"/>
    <x v="0"/>
    <x v="0"/>
    <s v="No"/>
    <n v="2.669999999999997E-2"/>
  </r>
  <r>
    <n v="763"/>
    <x v="34"/>
    <n v="1"/>
    <n v="5"/>
    <b v="0"/>
    <n v="5"/>
    <n v="2"/>
    <n v="0.14000000000000001"/>
    <n v="0.1515"/>
    <n v="0.63"/>
    <n v="0.1343"/>
    <n v="0"/>
    <n v="7"/>
    <n v="7"/>
    <s v="Spring"/>
    <s v="Friday"/>
    <s v="Mist/Cloudy"/>
    <s v="Night"/>
    <x v="4"/>
    <x v="1"/>
    <x v="0"/>
    <x v="0"/>
    <s v="Mostly Registered"/>
    <n v="0"/>
    <n v="100"/>
    <x v="0"/>
    <x v="0"/>
    <s v="No"/>
    <n v="1.1499999999999981E-2"/>
  </r>
  <r>
    <n v="764"/>
    <x v="34"/>
    <n v="1"/>
    <n v="6"/>
    <b v="0"/>
    <n v="5"/>
    <n v="2"/>
    <n v="0.16"/>
    <n v="0.2273"/>
    <n v="0.55000000000000004"/>
    <n v="0"/>
    <n v="2"/>
    <n v="26"/>
    <n v="28"/>
    <s v="Spring"/>
    <s v="Friday"/>
    <s v="Mist/Cloudy"/>
    <s v="Morning"/>
    <x v="0"/>
    <x v="1"/>
    <x v="0"/>
    <x v="0"/>
    <s v="Mostly Registered"/>
    <n v="7.1428571428571423"/>
    <n v="92.857142857142861"/>
    <x v="0"/>
    <x v="0"/>
    <s v="No"/>
    <n v="6.7299999999999999E-2"/>
  </r>
  <r>
    <n v="765"/>
    <x v="34"/>
    <n v="1"/>
    <n v="7"/>
    <b v="0"/>
    <n v="5"/>
    <n v="1"/>
    <n v="0.14000000000000001"/>
    <n v="0.21210000000000001"/>
    <n v="0.59"/>
    <n v="0"/>
    <n v="0"/>
    <n v="87"/>
    <n v="87"/>
    <s v="Spring"/>
    <s v="Friday"/>
    <s v="Clear"/>
    <s v="Morning"/>
    <x v="4"/>
    <x v="1"/>
    <x v="0"/>
    <x v="0"/>
    <s v="Mostly Registered"/>
    <n v="0"/>
    <n v="100"/>
    <x v="1"/>
    <x v="0"/>
    <s v="No"/>
    <n v="7.2099999999999997E-2"/>
  </r>
  <r>
    <n v="766"/>
    <x v="34"/>
    <n v="1"/>
    <n v="8"/>
    <b v="0"/>
    <n v="5"/>
    <n v="1"/>
    <n v="0.14000000000000001"/>
    <n v="0.1515"/>
    <n v="0.74"/>
    <n v="0.1343"/>
    <n v="3"/>
    <n v="217"/>
    <n v="220"/>
    <s v="Spring"/>
    <s v="Friday"/>
    <s v="Clear"/>
    <s v="Morning"/>
    <x v="4"/>
    <x v="0"/>
    <x v="0"/>
    <x v="0"/>
    <s v="Mostly Registered"/>
    <n v="1.363636363636364"/>
    <n v="98.636363636363626"/>
    <x v="1"/>
    <x v="1"/>
    <s v="No"/>
    <n v="1.1499999999999981E-2"/>
  </r>
  <r>
    <n v="767"/>
    <x v="34"/>
    <n v="1"/>
    <n v="9"/>
    <b v="0"/>
    <n v="5"/>
    <n v="2"/>
    <n v="0.16"/>
    <n v="0.18179999999999999"/>
    <n v="0.8"/>
    <n v="0.1343"/>
    <n v="3"/>
    <n v="124"/>
    <n v="127"/>
    <s v="Spring"/>
    <s v="Friday"/>
    <s v="Mist/Cloudy"/>
    <s v="Morning"/>
    <x v="0"/>
    <x v="0"/>
    <x v="0"/>
    <x v="0"/>
    <s v="Mostly Registered"/>
    <n v="2.3622047244094491"/>
    <n v="97.637795275590548"/>
    <x v="1"/>
    <x v="1"/>
    <s v="No"/>
    <n v="2.179999999999999E-2"/>
  </r>
  <r>
    <n v="768"/>
    <x v="34"/>
    <n v="1"/>
    <n v="10"/>
    <b v="0"/>
    <n v="5"/>
    <n v="2"/>
    <n v="0.2"/>
    <n v="0.21210000000000001"/>
    <n v="0.51"/>
    <n v="0.1343"/>
    <n v="5"/>
    <n v="46"/>
    <n v="51"/>
    <s v="Spring"/>
    <s v="Friday"/>
    <s v="Mist/Cloudy"/>
    <s v="Morning"/>
    <x v="0"/>
    <x v="1"/>
    <x v="0"/>
    <x v="0"/>
    <s v="Mostly Registered"/>
    <n v="9.8039215686274517"/>
    <n v="90.196078431372555"/>
    <x v="0"/>
    <x v="0"/>
    <s v="No"/>
    <n v="1.21E-2"/>
  </r>
  <r>
    <n v="769"/>
    <x v="34"/>
    <n v="1"/>
    <n v="11"/>
    <b v="0"/>
    <n v="5"/>
    <n v="1"/>
    <n v="0.22"/>
    <n v="0.2273"/>
    <n v="0.51"/>
    <n v="0.16420000000000001"/>
    <n v="3"/>
    <n v="61"/>
    <n v="64"/>
    <s v="Spring"/>
    <s v="Friday"/>
    <s v="Clear"/>
    <s v="Morning"/>
    <x v="0"/>
    <x v="1"/>
    <x v="1"/>
    <x v="0"/>
    <s v="Mostly Registered"/>
    <n v="4.6875"/>
    <n v="95.3125"/>
    <x v="0"/>
    <x v="0"/>
    <s v="No"/>
    <n v="7.3000000000000009E-3"/>
  </r>
  <r>
    <n v="770"/>
    <x v="34"/>
    <n v="1"/>
    <n v="12"/>
    <b v="0"/>
    <n v="5"/>
    <n v="2"/>
    <n v="0.24"/>
    <n v="0.2424"/>
    <n v="0.48"/>
    <n v="0.16420000000000001"/>
    <n v="8"/>
    <n v="78"/>
    <n v="86"/>
    <s v="Spring"/>
    <s v="Friday"/>
    <s v="Mist/Cloudy"/>
    <s v="Afternoon"/>
    <x v="0"/>
    <x v="1"/>
    <x v="1"/>
    <x v="0"/>
    <s v="Mostly Registered"/>
    <n v="9.3023255813953494"/>
    <n v="90.697674418604649"/>
    <x v="0"/>
    <x v="0"/>
    <s v="No"/>
    <n v="2.4000000000000128E-3"/>
  </r>
  <r>
    <n v="771"/>
    <x v="34"/>
    <n v="1"/>
    <n v="13"/>
    <b v="0"/>
    <n v="5"/>
    <n v="2"/>
    <n v="0.26"/>
    <n v="0.2576"/>
    <n v="0.5"/>
    <n v="0.22389999999999999"/>
    <n v="9"/>
    <n v="73"/>
    <n v="82"/>
    <s v="Spring"/>
    <s v="Friday"/>
    <s v="Mist/Cloudy"/>
    <s v="Afternoon"/>
    <x v="1"/>
    <x v="1"/>
    <x v="1"/>
    <x v="0"/>
    <s v="Mostly Registered"/>
    <n v="10.97560975609756"/>
    <n v="89.024390243902445"/>
    <x v="0"/>
    <x v="0"/>
    <s v="No"/>
    <n v="-2.4000000000000128E-3"/>
  </r>
  <r>
    <n v="772"/>
    <x v="34"/>
    <n v="1"/>
    <n v="14"/>
    <b v="0"/>
    <n v="5"/>
    <n v="2"/>
    <n v="0.28000000000000003"/>
    <n v="0.2727"/>
    <n v="0.45"/>
    <n v="0.16420000000000001"/>
    <n v="15"/>
    <n v="76"/>
    <n v="91"/>
    <s v="Spring"/>
    <s v="Friday"/>
    <s v="Mist/Cloudy"/>
    <s v="Afternoon"/>
    <x v="1"/>
    <x v="1"/>
    <x v="1"/>
    <x v="0"/>
    <s v="Mostly Registered"/>
    <n v="16.483516483516478"/>
    <n v="83.516483516483518"/>
    <x v="0"/>
    <x v="0"/>
    <s v="No"/>
    <n v="-7.3000000000000287E-3"/>
  </r>
  <r>
    <n v="773"/>
    <x v="34"/>
    <n v="1"/>
    <n v="15"/>
    <b v="0"/>
    <n v="5"/>
    <n v="2"/>
    <n v="0.28000000000000003"/>
    <n v="0.2727"/>
    <n v="0.48"/>
    <n v="0.25369999999999998"/>
    <n v="9"/>
    <n v="81"/>
    <n v="90"/>
    <s v="Spring"/>
    <s v="Friday"/>
    <s v="Mist/Cloudy"/>
    <s v="Afternoon"/>
    <x v="1"/>
    <x v="1"/>
    <x v="1"/>
    <x v="0"/>
    <s v="Mostly Registered"/>
    <n v="10"/>
    <n v="90"/>
    <x v="0"/>
    <x v="0"/>
    <s v="No"/>
    <n v="-7.3000000000000287E-3"/>
  </r>
  <r>
    <n v="774"/>
    <x v="34"/>
    <n v="1"/>
    <n v="16"/>
    <b v="0"/>
    <n v="5"/>
    <n v="2"/>
    <n v="0.3"/>
    <n v="0.28789999999999999"/>
    <n v="0.42"/>
    <n v="0.22389999999999999"/>
    <n v="8"/>
    <n v="91"/>
    <n v="99"/>
    <s v="Spring"/>
    <s v="Friday"/>
    <s v="Mist/Cloudy"/>
    <s v="Afternoon"/>
    <x v="1"/>
    <x v="1"/>
    <x v="1"/>
    <x v="0"/>
    <s v="Mostly Registered"/>
    <n v="8.0808080808080813"/>
    <n v="91.919191919191917"/>
    <x v="0"/>
    <x v="0"/>
    <s v="No"/>
    <n v="-1.21E-2"/>
  </r>
  <r>
    <n v="775"/>
    <x v="34"/>
    <n v="1"/>
    <n v="17"/>
    <b v="0"/>
    <n v="5"/>
    <n v="2"/>
    <n v="0.26"/>
    <n v="0.2727"/>
    <n v="0.56000000000000005"/>
    <n v="0.1343"/>
    <n v="10"/>
    <n v="195"/>
    <n v="205"/>
    <s v="Spring"/>
    <s v="Friday"/>
    <s v="Mist/Cloudy"/>
    <s v="Evening"/>
    <x v="1"/>
    <x v="1"/>
    <x v="0"/>
    <x v="0"/>
    <s v="Mostly Registered"/>
    <n v="4.8780487804878048"/>
    <n v="95.121951219512198"/>
    <x v="1"/>
    <x v="1"/>
    <s v="No"/>
    <n v="1.2699999999999991E-2"/>
  </r>
  <r>
    <n v="776"/>
    <x v="34"/>
    <n v="1"/>
    <n v="18"/>
    <b v="0"/>
    <n v="5"/>
    <n v="2"/>
    <n v="0.24"/>
    <n v="0.2576"/>
    <n v="0.6"/>
    <n v="0.1045"/>
    <n v="3"/>
    <n v="152"/>
    <n v="155"/>
    <s v="Spring"/>
    <s v="Friday"/>
    <s v="Mist/Cloudy"/>
    <s v="Evening"/>
    <x v="0"/>
    <x v="1"/>
    <x v="0"/>
    <x v="0"/>
    <s v="Mostly Registered"/>
    <n v="1.935483870967742"/>
    <n v="98.064516129032256"/>
    <x v="1"/>
    <x v="1"/>
    <s v="No"/>
    <n v="1.7600000000000001E-2"/>
  </r>
  <r>
    <n v="777"/>
    <x v="34"/>
    <n v="1"/>
    <n v="19"/>
    <b v="0"/>
    <n v="5"/>
    <n v="2"/>
    <n v="0.24"/>
    <n v="0.2424"/>
    <n v="0.65"/>
    <n v="0.1343"/>
    <n v="1"/>
    <n v="102"/>
    <n v="103"/>
    <s v="Spring"/>
    <s v="Friday"/>
    <s v="Mist/Cloudy"/>
    <s v="Evening"/>
    <x v="0"/>
    <x v="1"/>
    <x v="0"/>
    <x v="0"/>
    <s v="Mostly Registered"/>
    <n v="0.97087378640776689"/>
    <n v="99.029126213592235"/>
    <x v="1"/>
    <x v="1"/>
    <s v="No"/>
    <n v="2.4000000000000128E-3"/>
  </r>
  <r>
    <n v="778"/>
    <x v="34"/>
    <n v="1"/>
    <n v="20"/>
    <b v="0"/>
    <n v="5"/>
    <n v="2"/>
    <n v="0.24"/>
    <n v="0.2424"/>
    <n v="0.65"/>
    <n v="0.16420000000000001"/>
    <n v="2"/>
    <n v="69"/>
    <n v="71"/>
    <s v="Spring"/>
    <s v="Friday"/>
    <s v="Mist/Cloudy"/>
    <s v="Evening"/>
    <x v="0"/>
    <x v="1"/>
    <x v="1"/>
    <x v="0"/>
    <s v="Mostly Registered"/>
    <n v="2.816901408450704"/>
    <n v="97.183098591549296"/>
    <x v="0"/>
    <x v="0"/>
    <s v="No"/>
    <n v="2.4000000000000128E-3"/>
  </r>
  <r>
    <n v="779"/>
    <x v="34"/>
    <n v="1"/>
    <n v="21"/>
    <b v="0"/>
    <n v="5"/>
    <n v="2"/>
    <n v="0.24"/>
    <n v="0.2424"/>
    <n v="0.7"/>
    <n v="0.16420000000000001"/>
    <n v="2"/>
    <n v="41"/>
    <n v="43"/>
    <s v="Spring"/>
    <s v="Friday"/>
    <s v="Mist/Cloudy"/>
    <s v="Night"/>
    <x v="0"/>
    <x v="0"/>
    <x v="1"/>
    <x v="0"/>
    <s v="Mostly Registered"/>
    <n v="4.6511627906976747"/>
    <n v="95.348837209302332"/>
    <x v="0"/>
    <x v="0"/>
    <s v="No"/>
    <n v="2.4000000000000128E-3"/>
  </r>
  <r>
    <n v="780"/>
    <x v="34"/>
    <n v="1"/>
    <n v="22"/>
    <b v="0"/>
    <n v="5"/>
    <n v="2"/>
    <n v="0.24"/>
    <n v="0.2424"/>
    <n v="0.65"/>
    <n v="0.16420000000000001"/>
    <n v="1"/>
    <n v="45"/>
    <n v="46"/>
    <s v="Spring"/>
    <s v="Friday"/>
    <s v="Mist/Cloudy"/>
    <s v="Night"/>
    <x v="0"/>
    <x v="1"/>
    <x v="1"/>
    <x v="0"/>
    <s v="Mostly Registered"/>
    <n v="2.1739130434782612"/>
    <n v="97.826086956521735"/>
    <x v="0"/>
    <x v="0"/>
    <s v="No"/>
    <n v="2.4000000000000128E-3"/>
  </r>
  <r>
    <n v="781"/>
    <x v="34"/>
    <n v="1"/>
    <n v="23"/>
    <b v="0"/>
    <n v="5"/>
    <n v="2"/>
    <n v="0.24"/>
    <n v="0.2424"/>
    <n v="0.7"/>
    <n v="0.1343"/>
    <n v="1"/>
    <n v="30"/>
    <n v="31"/>
    <s v="Spring"/>
    <s v="Friday"/>
    <s v="Mist/Cloudy"/>
    <s v="Night"/>
    <x v="0"/>
    <x v="0"/>
    <x v="0"/>
    <x v="0"/>
    <s v="Mostly Registered"/>
    <n v="3.225806451612903"/>
    <n v="96.774193548387103"/>
    <x v="0"/>
    <x v="0"/>
    <s v="No"/>
    <n v="2.4000000000000128E-3"/>
  </r>
  <r>
    <n v="782"/>
    <x v="35"/>
    <n v="1"/>
    <n v="0"/>
    <b v="0"/>
    <n v="6"/>
    <n v="2"/>
    <n v="0.24"/>
    <n v="0.2424"/>
    <n v="0.7"/>
    <n v="0.16420000000000001"/>
    <n v="3"/>
    <n v="36"/>
    <n v="39"/>
    <s v="Spring"/>
    <s v="Saturday"/>
    <s v="Mist/Cloudy"/>
    <s v="Night"/>
    <x v="0"/>
    <x v="0"/>
    <x v="1"/>
    <x v="0"/>
    <s v="Mostly Registered"/>
    <n v="7.6923076923076934"/>
    <n v="92.307692307692307"/>
    <x v="0"/>
    <x v="0"/>
    <s v="Yes"/>
    <n v="2.4000000000000128E-3"/>
  </r>
  <r>
    <n v="783"/>
    <x v="35"/>
    <n v="1"/>
    <n v="1"/>
    <b v="0"/>
    <n v="6"/>
    <n v="2"/>
    <n v="0.24"/>
    <n v="0.2424"/>
    <n v="0.65"/>
    <n v="0.16420000000000001"/>
    <n v="1"/>
    <n v="17"/>
    <n v="18"/>
    <s v="Spring"/>
    <s v="Saturday"/>
    <s v="Mist/Cloudy"/>
    <s v="Night"/>
    <x v="0"/>
    <x v="1"/>
    <x v="1"/>
    <x v="0"/>
    <s v="Mostly Registered"/>
    <n v="5.5555555555555554"/>
    <n v="94.444444444444443"/>
    <x v="0"/>
    <x v="0"/>
    <s v="Yes"/>
    <n v="2.4000000000000128E-3"/>
  </r>
  <r>
    <n v="784"/>
    <x v="35"/>
    <n v="1"/>
    <n v="2"/>
    <b v="0"/>
    <n v="6"/>
    <n v="2"/>
    <n v="0.24"/>
    <n v="0.2424"/>
    <n v="0.75"/>
    <n v="0.16420000000000001"/>
    <n v="5"/>
    <n v="12"/>
    <n v="17"/>
    <s v="Spring"/>
    <s v="Saturday"/>
    <s v="Mist/Cloudy"/>
    <s v="Night"/>
    <x v="0"/>
    <x v="0"/>
    <x v="1"/>
    <x v="0"/>
    <s v="Mostly Registered"/>
    <n v="29.411764705882359"/>
    <n v="70.588235294117652"/>
    <x v="0"/>
    <x v="0"/>
    <s v="Yes"/>
    <n v="2.4000000000000128E-3"/>
  </r>
  <r>
    <n v="785"/>
    <x v="35"/>
    <n v="1"/>
    <n v="3"/>
    <b v="0"/>
    <n v="6"/>
    <n v="2"/>
    <n v="0.24"/>
    <n v="0.2424"/>
    <n v="0.75"/>
    <n v="0.16420000000000001"/>
    <n v="1"/>
    <n v="10"/>
    <n v="11"/>
    <s v="Spring"/>
    <s v="Saturday"/>
    <s v="Mist/Cloudy"/>
    <s v="Night"/>
    <x v="0"/>
    <x v="0"/>
    <x v="1"/>
    <x v="0"/>
    <s v="Mostly Registered"/>
    <n v="9.0909090909090917"/>
    <n v="90.909090909090907"/>
    <x v="0"/>
    <x v="0"/>
    <s v="Yes"/>
    <n v="2.4000000000000128E-3"/>
  </r>
  <r>
    <n v="786"/>
    <x v="35"/>
    <n v="1"/>
    <n v="4"/>
    <b v="0"/>
    <n v="6"/>
    <n v="3"/>
    <n v="0.22"/>
    <n v="0.2273"/>
    <n v="0.93"/>
    <n v="0.1343"/>
    <n v="0"/>
    <n v="8"/>
    <n v="8"/>
    <s v="Spring"/>
    <s v="Saturday"/>
    <s v="Light Rain/Snow"/>
    <s v="Night"/>
    <x v="0"/>
    <x v="0"/>
    <x v="0"/>
    <x v="0"/>
    <s v="Mostly Registered"/>
    <n v="0"/>
    <n v="100"/>
    <x v="0"/>
    <x v="0"/>
    <s v="Yes"/>
    <n v="7.3000000000000009E-3"/>
  </r>
  <r>
    <n v="787"/>
    <x v="35"/>
    <n v="1"/>
    <n v="5"/>
    <b v="0"/>
    <n v="6"/>
    <n v="3"/>
    <n v="0.2"/>
    <n v="0.2273"/>
    <n v="1"/>
    <n v="8.9599999999999999E-2"/>
    <n v="0"/>
    <n v="9"/>
    <n v="9"/>
    <s v="Spring"/>
    <s v="Saturday"/>
    <s v="Light Rain/Snow"/>
    <s v="Night"/>
    <x v="0"/>
    <x v="0"/>
    <x v="0"/>
    <x v="0"/>
    <s v="Mostly Registered"/>
    <n v="0"/>
    <n v="100"/>
    <x v="0"/>
    <x v="0"/>
    <s v="Yes"/>
    <n v="2.7299999999999991E-2"/>
  </r>
  <r>
    <n v="788"/>
    <x v="35"/>
    <n v="1"/>
    <n v="6"/>
    <b v="0"/>
    <n v="6"/>
    <n v="3"/>
    <n v="0.2"/>
    <n v="0.2576"/>
    <n v="1"/>
    <n v="0"/>
    <n v="0"/>
    <n v="4"/>
    <n v="4"/>
    <s v="Spring"/>
    <s v="Saturday"/>
    <s v="Light Rain/Snow"/>
    <s v="Morning"/>
    <x v="0"/>
    <x v="0"/>
    <x v="0"/>
    <x v="0"/>
    <s v="Mostly Registered"/>
    <n v="0"/>
    <n v="100"/>
    <x v="0"/>
    <x v="0"/>
    <s v="Yes"/>
    <n v="5.7599999999999978E-2"/>
  </r>
  <r>
    <n v="789"/>
    <x v="35"/>
    <n v="1"/>
    <n v="7"/>
    <b v="0"/>
    <n v="6"/>
    <n v="3"/>
    <n v="0.22"/>
    <n v="0.2576"/>
    <n v="0.93"/>
    <n v="8.9599999999999999E-2"/>
    <n v="0"/>
    <n v="4"/>
    <n v="4"/>
    <s v="Spring"/>
    <s v="Saturday"/>
    <s v="Light Rain/Snow"/>
    <s v="Morning"/>
    <x v="0"/>
    <x v="0"/>
    <x v="0"/>
    <x v="0"/>
    <s v="Mostly Registered"/>
    <n v="0"/>
    <n v="100"/>
    <x v="1"/>
    <x v="0"/>
    <s v="Yes"/>
    <n v="3.7599999999999988E-2"/>
  </r>
  <r>
    <n v="790"/>
    <x v="35"/>
    <n v="1"/>
    <n v="8"/>
    <b v="0"/>
    <n v="6"/>
    <n v="3"/>
    <n v="0.2"/>
    <n v="0.2273"/>
    <n v="1"/>
    <n v="8.9599999999999999E-2"/>
    <n v="0"/>
    <n v="10"/>
    <n v="10"/>
    <s v="Spring"/>
    <s v="Saturday"/>
    <s v="Light Rain/Snow"/>
    <s v="Morning"/>
    <x v="0"/>
    <x v="0"/>
    <x v="0"/>
    <x v="0"/>
    <s v="Mostly Registered"/>
    <n v="0"/>
    <n v="100"/>
    <x v="1"/>
    <x v="0"/>
    <s v="Yes"/>
    <n v="2.7299999999999991E-2"/>
  </r>
  <r>
    <n v="791"/>
    <x v="35"/>
    <n v="1"/>
    <n v="9"/>
    <b v="0"/>
    <n v="6"/>
    <n v="3"/>
    <n v="0.2"/>
    <n v="0.2273"/>
    <n v="1"/>
    <n v="8.9599999999999999E-2"/>
    <n v="3"/>
    <n v="17"/>
    <n v="20"/>
    <s v="Spring"/>
    <s v="Saturday"/>
    <s v="Light Rain/Snow"/>
    <s v="Morning"/>
    <x v="0"/>
    <x v="0"/>
    <x v="0"/>
    <x v="0"/>
    <s v="Mostly Registered"/>
    <n v="15"/>
    <n v="85"/>
    <x v="1"/>
    <x v="0"/>
    <s v="Yes"/>
    <n v="2.7299999999999991E-2"/>
  </r>
  <r>
    <n v="792"/>
    <x v="35"/>
    <n v="1"/>
    <n v="10"/>
    <b v="0"/>
    <n v="6"/>
    <n v="3"/>
    <n v="0.2"/>
    <n v="0.21210000000000001"/>
    <n v="1"/>
    <n v="0.1343"/>
    <n v="3"/>
    <n v="31"/>
    <n v="34"/>
    <s v="Spring"/>
    <s v="Saturday"/>
    <s v="Light Rain/Snow"/>
    <s v="Morning"/>
    <x v="0"/>
    <x v="0"/>
    <x v="0"/>
    <x v="0"/>
    <s v="Mostly Registered"/>
    <n v="8.8235294117647065"/>
    <n v="91.17647058823529"/>
    <x v="0"/>
    <x v="0"/>
    <s v="Yes"/>
    <n v="1.21E-2"/>
  </r>
  <r>
    <n v="793"/>
    <x v="35"/>
    <n v="1"/>
    <n v="11"/>
    <b v="0"/>
    <n v="6"/>
    <n v="3"/>
    <n v="0.22"/>
    <n v="0.2273"/>
    <n v="1"/>
    <n v="0.1343"/>
    <n v="1"/>
    <n v="46"/>
    <n v="47"/>
    <s v="Spring"/>
    <s v="Saturday"/>
    <s v="Light Rain/Snow"/>
    <s v="Morning"/>
    <x v="0"/>
    <x v="0"/>
    <x v="0"/>
    <x v="0"/>
    <s v="Mostly Registered"/>
    <n v="2.1276595744680851"/>
    <n v="97.872340425531917"/>
    <x v="0"/>
    <x v="0"/>
    <s v="Yes"/>
    <n v="7.3000000000000009E-3"/>
  </r>
  <r>
    <n v="794"/>
    <x v="35"/>
    <n v="1"/>
    <n v="12"/>
    <b v="0"/>
    <n v="6"/>
    <n v="3"/>
    <n v="0.22"/>
    <n v="0.2273"/>
    <n v="1"/>
    <n v="0.16420000000000001"/>
    <n v="10"/>
    <n v="42"/>
    <n v="52"/>
    <s v="Spring"/>
    <s v="Saturday"/>
    <s v="Light Rain/Snow"/>
    <s v="Afternoon"/>
    <x v="0"/>
    <x v="0"/>
    <x v="1"/>
    <x v="0"/>
    <s v="Mostly Registered"/>
    <n v="19.23076923076923"/>
    <n v="80.769230769230774"/>
    <x v="0"/>
    <x v="0"/>
    <s v="Yes"/>
    <n v="7.3000000000000009E-3"/>
  </r>
  <r>
    <n v="795"/>
    <x v="35"/>
    <n v="1"/>
    <n v="13"/>
    <b v="0"/>
    <n v="6"/>
    <n v="3"/>
    <n v="0.22"/>
    <n v="0.2273"/>
    <n v="1"/>
    <n v="0.16420000000000001"/>
    <n v="10"/>
    <n v="62"/>
    <n v="72"/>
    <s v="Spring"/>
    <s v="Saturday"/>
    <s v="Light Rain/Snow"/>
    <s v="Afternoon"/>
    <x v="0"/>
    <x v="0"/>
    <x v="1"/>
    <x v="0"/>
    <s v="Mostly Registered"/>
    <n v="13.888888888888889"/>
    <n v="86.111111111111114"/>
    <x v="0"/>
    <x v="0"/>
    <s v="Yes"/>
    <n v="7.3000000000000009E-3"/>
  </r>
  <r>
    <n v="796"/>
    <x v="35"/>
    <n v="1"/>
    <n v="14"/>
    <b v="0"/>
    <n v="6"/>
    <n v="3"/>
    <n v="0.22"/>
    <n v="0.2727"/>
    <n v="1"/>
    <n v="0"/>
    <n v="5"/>
    <n v="50"/>
    <n v="55"/>
    <s v="Spring"/>
    <s v="Saturday"/>
    <s v="Light Rain/Snow"/>
    <s v="Afternoon"/>
    <x v="0"/>
    <x v="0"/>
    <x v="0"/>
    <x v="0"/>
    <s v="Mostly Registered"/>
    <n v="9.0909090909090917"/>
    <n v="90.909090909090907"/>
    <x v="0"/>
    <x v="0"/>
    <s v="Yes"/>
    <n v="5.2699999999999997E-2"/>
  </r>
  <r>
    <n v="797"/>
    <x v="35"/>
    <n v="1"/>
    <n v="15"/>
    <b v="0"/>
    <n v="6"/>
    <n v="3"/>
    <n v="0.22"/>
    <n v="0.2727"/>
    <n v="1"/>
    <n v="0"/>
    <n v="11"/>
    <n v="49"/>
    <n v="60"/>
    <s v="Spring"/>
    <s v="Saturday"/>
    <s v="Light Rain/Snow"/>
    <s v="Afternoon"/>
    <x v="0"/>
    <x v="0"/>
    <x v="0"/>
    <x v="0"/>
    <s v="Mostly Registered"/>
    <n v="18.333333333333329"/>
    <n v="81.666666666666671"/>
    <x v="0"/>
    <x v="0"/>
    <s v="Yes"/>
    <n v="5.2699999999999997E-2"/>
  </r>
  <r>
    <n v="798"/>
    <x v="35"/>
    <n v="1"/>
    <n v="16"/>
    <b v="0"/>
    <n v="6"/>
    <n v="3"/>
    <n v="0.22"/>
    <n v="0.2273"/>
    <n v="1"/>
    <n v="0.1343"/>
    <n v="8"/>
    <n v="63"/>
    <n v="71"/>
    <s v="Spring"/>
    <s v="Saturday"/>
    <s v="Light Rain/Snow"/>
    <s v="Afternoon"/>
    <x v="0"/>
    <x v="0"/>
    <x v="0"/>
    <x v="0"/>
    <s v="Mostly Registered"/>
    <n v="11.26760563380282"/>
    <n v="88.732394366197184"/>
    <x v="0"/>
    <x v="0"/>
    <s v="Yes"/>
    <n v="7.3000000000000009E-3"/>
  </r>
  <r>
    <n v="799"/>
    <x v="35"/>
    <n v="1"/>
    <n v="17"/>
    <b v="0"/>
    <n v="6"/>
    <n v="2"/>
    <n v="0.24"/>
    <n v="0.21210000000000001"/>
    <n v="1"/>
    <n v="0.28360000000000002"/>
    <n v="14"/>
    <n v="64"/>
    <n v="78"/>
    <s v="Spring"/>
    <s v="Saturday"/>
    <s v="Mist/Cloudy"/>
    <s v="Evening"/>
    <x v="0"/>
    <x v="0"/>
    <x v="1"/>
    <x v="0"/>
    <s v="Mostly Registered"/>
    <n v="17.948717948717949"/>
    <n v="82.051282051282044"/>
    <x v="1"/>
    <x v="0"/>
    <s v="Yes"/>
    <n v="-2.789999999999998E-2"/>
  </r>
  <r>
    <n v="800"/>
    <x v="35"/>
    <n v="1"/>
    <n v="18"/>
    <b v="0"/>
    <n v="6"/>
    <n v="2"/>
    <n v="0.28000000000000003"/>
    <n v="0.2424"/>
    <n v="0.93"/>
    <n v="0.44779999999999998"/>
    <n v="2"/>
    <n v="81"/>
    <n v="83"/>
    <s v="Spring"/>
    <s v="Saturday"/>
    <s v="Mist/Cloudy"/>
    <s v="Evening"/>
    <x v="1"/>
    <x v="0"/>
    <x v="2"/>
    <x v="0"/>
    <s v="Mostly Registered"/>
    <n v="2.4096385542168681"/>
    <n v="97.590361445783131"/>
    <x v="1"/>
    <x v="0"/>
    <s v="Yes"/>
    <n v="-3.7600000000000022E-2"/>
  </r>
  <r>
    <n v="801"/>
    <x v="35"/>
    <n v="1"/>
    <n v="19"/>
    <b v="0"/>
    <n v="6"/>
    <n v="2"/>
    <n v="0.28000000000000003"/>
    <n v="0.2424"/>
    <n v="0.93"/>
    <n v="0.44779999999999998"/>
    <n v="6"/>
    <n v="78"/>
    <n v="84"/>
    <s v="Spring"/>
    <s v="Saturday"/>
    <s v="Mist/Cloudy"/>
    <s v="Evening"/>
    <x v="1"/>
    <x v="0"/>
    <x v="2"/>
    <x v="0"/>
    <s v="Mostly Registered"/>
    <n v="7.1428571428571423"/>
    <n v="92.857142857142861"/>
    <x v="1"/>
    <x v="0"/>
    <s v="Yes"/>
    <n v="-3.7600000000000022E-2"/>
  </r>
  <r>
    <n v="802"/>
    <x v="35"/>
    <n v="1"/>
    <n v="20"/>
    <b v="0"/>
    <n v="6"/>
    <n v="1"/>
    <n v="0.3"/>
    <n v="0.28789999999999999"/>
    <n v="0.87"/>
    <n v="0.25369999999999998"/>
    <n v="5"/>
    <n v="64"/>
    <n v="69"/>
    <s v="Spring"/>
    <s v="Saturday"/>
    <s v="Clear"/>
    <s v="Evening"/>
    <x v="1"/>
    <x v="0"/>
    <x v="1"/>
    <x v="0"/>
    <s v="Mostly Registered"/>
    <n v="7.2463768115942031"/>
    <n v="92.753623188405797"/>
    <x v="0"/>
    <x v="0"/>
    <s v="Yes"/>
    <n v="-1.21E-2"/>
  </r>
  <r>
    <n v="803"/>
    <x v="35"/>
    <n v="1"/>
    <n v="21"/>
    <b v="0"/>
    <n v="6"/>
    <n v="1"/>
    <n v="0.26"/>
    <n v="0.2576"/>
    <n v="1"/>
    <n v="0.19400000000000001"/>
    <n v="3"/>
    <n v="53"/>
    <n v="56"/>
    <s v="Spring"/>
    <s v="Saturday"/>
    <s v="Clear"/>
    <s v="Night"/>
    <x v="1"/>
    <x v="0"/>
    <x v="1"/>
    <x v="0"/>
    <s v="Mostly Registered"/>
    <n v="5.3571428571428568"/>
    <n v="94.642857142857139"/>
    <x v="0"/>
    <x v="0"/>
    <s v="Yes"/>
    <n v="-2.4000000000000128E-3"/>
  </r>
  <r>
    <n v="804"/>
    <x v="35"/>
    <n v="1"/>
    <n v="22"/>
    <b v="0"/>
    <n v="6"/>
    <n v="1"/>
    <n v="0.26"/>
    <n v="0.2727"/>
    <n v="0.93"/>
    <n v="0.1343"/>
    <n v="2"/>
    <n v="43"/>
    <n v="45"/>
    <s v="Spring"/>
    <s v="Saturday"/>
    <s v="Clear"/>
    <s v="Night"/>
    <x v="1"/>
    <x v="0"/>
    <x v="0"/>
    <x v="0"/>
    <s v="Mostly Registered"/>
    <n v="4.4444444444444446"/>
    <n v="95.555555555555557"/>
    <x v="0"/>
    <x v="0"/>
    <s v="Yes"/>
    <n v="1.2699999999999991E-2"/>
  </r>
  <r>
    <n v="805"/>
    <x v="35"/>
    <n v="1"/>
    <n v="23"/>
    <b v="0"/>
    <n v="6"/>
    <n v="1"/>
    <n v="0.26"/>
    <n v="0.2576"/>
    <n v="0.93"/>
    <n v="0.22389999999999999"/>
    <n v="7"/>
    <n v="52"/>
    <n v="59"/>
    <s v="Spring"/>
    <s v="Saturday"/>
    <s v="Clear"/>
    <s v="Night"/>
    <x v="1"/>
    <x v="0"/>
    <x v="1"/>
    <x v="0"/>
    <s v="Mostly Registered"/>
    <n v="11.864406779661021"/>
    <n v="88.135593220338976"/>
    <x v="0"/>
    <x v="0"/>
    <s v="Yes"/>
    <n v="-2.4000000000000128E-3"/>
  </r>
  <r>
    <n v="806"/>
    <x v="36"/>
    <n v="1"/>
    <n v="0"/>
    <b v="0"/>
    <n v="0"/>
    <n v="1"/>
    <n v="0.26"/>
    <n v="0.2576"/>
    <n v="0.7"/>
    <n v="0.19400000000000001"/>
    <n v="2"/>
    <n v="37"/>
    <n v="39"/>
    <s v="Spring"/>
    <s v="Sunday"/>
    <s v="Clear"/>
    <s v="Night"/>
    <x v="1"/>
    <x v="0"/>
    <x v="1"/>
    <x v="0"/>
    <s v="Mostly Registered"/>
    <n v="5.1282051282051277"/>
    <n v="94.871794871794862"/>
    <x v="0"/>
    <x v="0"/>
    <s v="Yes"/>
    <n v="-2.4000000000000128E-3"/>
  </r>
  <r>
    <n v="807"/>
    <x v="36"/>
    <n v="1"/>
    <n v="1"/>
    <b v="0"/>
    <n v="0"/>
    <n v="1"/>
    <n v="0.26"/>
    <n v="0.2273"/>
    <n v="0.65"/>
    <n v="0.41789999999999999"/>
    <n v="4"/>
    <n v="40"/>
    <n v="44"/>
    <s v="Spring"/>
    <s v="Sunday"/>
    <s v="Clear"/>
    <s v="Night"/>
    <x v="1"/>
    <x v="1"/>
    <x v="2"/>
    <x v="0"/>
    <s v="Mostly Registered"/>
    <n v="9.0909090909090917"/>
    <n v="90.909090909090907"/>
    <x v="0"/>
    <x v="0"/>
    <s v="Yes"/>
    <n v="-3.2700000000000007E-2"/>
  </r>
  <r>
    <n v="808"/>
    <x v="36"/>
    <n v="1"/>
    <n v="2"/>
    <b v="0"/>
    <n v="0"/>
    <n v="1"/>
    <n v="0.26"/>
    <n v="0.2273"/>
    <n v="0.6"/>
    <n v="0.32840000000000003"/>
    <n v="0"/>
    <n v="20"/>
    <n v="20"/>
    <s v="Spring"/>
    <s v="Sunday"/>
    <s v="Clear"/>
    <s v="Night"/>
    <x v="1"/>
    <x v="1"/>
    <x v="2"/>
    <x v="0"/>
    <s v="Mostly Registered"/>
    <n v="0"/>
    <n v="100"/>
    <x v="0"/>
    <x v="0"/>
    <s v="Yes"/>
    <n v="-3.2700000000000007E-2"/>
  </r>
  <r>
    <n v="809"/>
    <x v="36"/>
    <n v="1"/>
    <n v="3"/>
    <b v="0"/>
    <n v="0"/>
    <n v="1"/>
    <n v="0.26"/>
    <n v="0.28789999999999999"/>
    <n v="0.6"/>
    <n v="8.9599999999999999E-2"/>
    <n v="3"/>
    <n v="10"/>
    <n v="13"/>
    <s v="Spring"/>
    <s v="Sunday"/>
    <s v="Clear"/>
    <s v="Night"/>
    <x v="1"/>
    <x v="1"/>
    <x v="0"/>
    <x v="0"/>
    <s v="Mostly Registered"/>
    <n v="23.07692307692308"/>
    <n v="76.923076923076934"/>
    <x v="0"/>
    <x v="0"/>
    <s v="Yes"/>
    <n v="2.789999999999998E-2"/>
  </r>
  <r>
    <n v="810"/>
    <x v="36"/>
    <n v="1"/>
    <n v="4"/>
    <b v="0"/>
    <n v="0"/>
    <n v="1"/>
    <n v="0.26"/>
    <n v="0.2273"/>
    <n v="0.6"/>
    <n v="0.35820000000000002"/>
    <n v="0"/>
    <n v="2"/>
    <n v="2"/>
    <s v="Spring"/>
    <s v="Sunday"/>
    <s v="Clear"/>
    <s v="Night"/>
    <x v="1"/>
    <x v="1"/>
    <x v="2"/>
    <x v="0"/>
    <s v="Mostly Registered"/>
    <n v="0"/>
    <n v="100"/>
    <x v="0"/>
    <x v="0"/>
    <s v="Yes"/>
    <n v="-3.2700000000000007E-2"/>
  </r>
  <r>
    <n v="811"/>
    <x v="36"/>
    <n v="1"/>
    <n v="5"/>
    <b v="0"/>
    <n v="0"/>
    <n v="1"/>
    <n v="0.26"/>
    <n v="0.2576"/>
    <n v="0.6"/>
    <n v="0.22389999999999999"/>
    <n v="0"/>
    <n v="1"/>
    <n v="1"/>
    <s v="Spring"/>
    <s v="Sunday"/>
    <s v="Clear"/>
    <s v="Night"/>
    <x v="1"/>
    <x v="1"/>
    <x v="1"/>
    <x v="0"/>
    <s v="Mostly Registered"/>
    <n v="0"/>
    <n v="100"/>
    <x v="0"/>
    <x v="0"/>
    <s v="Yes"/>
    <n v="-2.4000000000000128E-3"/>
  </r>
  <r>
    <n v="812"/>
    <x v="36"/>
    <n v="1"/>
    <n v="6"/>
    <b v="0"/>
    <n v="0"/>
    <n v="1"/>
    <n v="0.26"/>
    <n v="0.2576"/>
    <n v="0.6"/>
    <n v="0.22389999999999999"/>
    <n v="0"/>
    <n v="1"/>
    <n v="1"/>
    <s v="Spring"/>
    <s v="Sunday"/>
    <s v="Clear"/>
    <s v="Morning"/>
    <x v="1"/>
    <x v="1"/>
    <x v="1"/>
    <x v="0"/>
    <s v="Mostly Registered"/>
    <n v="0"/>
    <n v="100"/>
    <x v="0"/>
    <x v="0"/>
    <s v="Yes"/>
    <n v="-2.4000000000000128E-3"/>
  </r>
  <r>
    <n v="813"/>
    <x v="36"/>
    <n v="1"/>
    <n v="7"/>
    <b v="0"/>
    <n v="0"/>
    <n v="1"/>
    <n v="0.24"/>
    <n v="0.2424"/>
    <n v="0.65"/>
    <n v="0.16420000000000001"/>
    <n v="0"/>
    <n v="8"/>
    <n v="8"/>
    <s v="Spring"/>
    <s v="Sunday"/>
    <s v="Clear"/>
    <s v="Morning"/>
    <x v="0"/>
    <x v="1"/>
    <x v="1"/>
    <x v="0"/>
    <s v="Mostly Registered"/>
    <n v="0"/>
    <n v="100"/>
    <x v="1"/>
    <x v="0"/>
    <s v="Yes"/>
    <n v="2.4000000000000128E-3"/>
  </r>
  <r>
    <n v="814"/>
    <x v="36"/>
    <n v="1"/>
    <n v="8"/>
    <b v="0"/>
    <n v="0"/>
    <n v="1"/>
    <n v="0.24"/>
    <n v="0.2576"/>
    <n v="0.65"/>
    <n v="0.1045"/>
    <n v="2"/>
    <n v="21"/>
    <n v="23"/>
    <s v="Spring"/>
    <s v="Sunday"/>
    <s v="Clear"/>
    <s v="Morning"/>
    <x v="0"/>
    <x v="1"/>
    <x v="0"/>
    <x v="0"/>
    <s v="Mostly Registered"/>
    <n v="8.695652173913043"/>
    <n v="91.304347826086953"/>
    <x v="1"/>
    <x v="0"/>
    <s v="Yes"/>
    <n v="1.7600000000000001E-2"/>
  </r>
  <r>
    <n v="815"/>
    <x v="36"/>
    <n v="1"/>
    <n v="9"/>
    <b v="0"/>
    <n v="0"/>
    <n v="1"/>
    <n v="0.28000000000000003"/>
    <n v="0.28789999999999999"/>
    <n v="0.56000000000000005"/>
    <n v="0.1045"/>
    <n v="7"/>
    <n v="38"/>
    <n v="45"/>
    <s v="Spring"/>
    <s v="Sunday"/>
    <s v="Clear"/>
    <s v="Morning"/>
    <x v="1"/>
    <x v="1"/>
    <x v="0"/>
    <x v="0"/>
    <s v="Mostly Registered"/>
    <n v="15.555555555555561"/>
    <n v="84.444444444444443"/>
    <x v="1"/>
    <x v="0"/>
    <s v="Yes"/>
    <n v="7.8999999999999626E-3"/>
  </r>
  <r>
    <n v="816"/>
    <x v="36"/>
    <n v="1"/>
    <n v="10"/>
    <b v="0"/>
    <n v="0"/>
    <n v="1"/>
    <n v="0.3"/>
    <n v="0.28789999999999999"/>
    <n v="0.52"/>
    <n v="0.25369999999999998"/>
    <n v="15"/>
    <n v="74"/>
    <n v="89"/>
    <s v="Spring"/>
    <s v="Sunday"/>
    <s v="Clear"/>
    <s v="Morning"/>
    <x v="1"/>
    <x v="1"/>
    <x v="1"/>
    <x v="0"/>
    <s v="Mostly Registered"/>
    <n v="16.853932584269661"/>
    <n v="83.146067415730343"/>
    <x v="0"/>
    <x v="0"/>
    <s v="Yes"/>
    <n v="-1.21E-2"/>
  </r>
  <r>
    <n v="817"/>
    <x v="36"/>
    <n v="1"/>
    <n v="11"/>
    <b v="0"/>
    <n v="0"/>
    <n v="1"/>
    <n v="0.32"/>
    <n v="0.30299999999999999"/>
    <n v="0.49"/>
    <n v="0.25369999999999998"/>
    <n v="28"/>
    <n v="89"/>
    <n v="117"/>
    <s v="Spring"/>
    <s v="Sunday"/>
    <s v="Clear"/>
    <s v="Morning"/>
    <x v="1"/>
    <x v="1"/>
    <x v="1"/>
    <x v="0"/>
    <s v="Mostly Registered"/>
    <n v="23.931623931623928"/>
    <n v="76.068376068376068"/>
    <x v="0"/>
    <x v="1"/>
    <s v="Yes"/>
    <n v="-1.7000000000000019E-2"/>
  </r>
  <r>
    <n v="818"/>
    <x v="36"/>
    <n v="1"/>
    <n v="12"/>
    <b v="0"/>
    <n v="0"/>
    <n v="1"/>
    <n v="0.34"/>
    <n v="0.33329999999999999"/>
    <n v="0.46"/>
    <n v="0"/>
    <n v="48"/>
    <n v="126"/>
    <n v="174"/>
    <s v="Spring"/>
    <s v="Sunday"/>
    <s v="Clear"/>
    <s v="Afternoon"/>
    <x v="1"/>
    <x v="1"/>
    <x v="0"/>
    <x v="0"/>
    <s v="Mostly Registered"/>
    <n v="27.586206896551719"/>
    <n v="72.41379310344827"/>
    <x v="0"/>
    <x v="1"/>
    <s v="Yes"/>
    <n v="-6.7000000000000393E-3"/>
  </r>
  <r>
    <n v="819"/>
    <x v="36"/>
    <n v="1"/>
    <n v="13"/>
    <b v="0"/>
    <n v="0"/>
    <n v="1"/>
    <n v="0.34"/>
    <n v="0.36359999999999998"/>
    <n v="0.46"/>
    <n v="0"/>
    <n v="47"/>
    <n v="135"/>
    <n v="182"/>
    <s v="Spring"/>
    <s v="Sunday"/>
    <s v="Clear"/>
    <s v="Afternoon"/>
    <x v="1"/>
    <x v="1"/>
    <x v="0"/>
    <x v="0"/>
    <s v="Mostly Registered"/>
    <n v="25.824175824175828"/>
    <n v="74.175824175824175"/>
    <x v="0"/>
    <x v="1"/>
    <s v="Yes"/>
    <n v="2.3599999999999951E-2"/>
  </r>
  <r>
    <n v="820"/>
    <x v="36"/>
    <n v="1"/>
    <n v="14"/>
    <b v="0"/>
    <n v="0"/>
    <n v="1"/>
    <n v="0.34"/>
    <n v="0.34849999999999998"/>
    <n v="0.46"/>
    <n v="8.9599999999999999E-2"/>
    <n v="47"/>
    <n v="114"/>
    <n v="161"/>
    <s v="Spring"/>
    <s v="Sunday"/>
    <s v="Clear"/>
    <s v="Afternoon"/>
    <x v="1"/>
    <x v="1"/>
    <x v="0"/>
    <x v="0"/>
    <s v="Mostly Registered"/>
    <n v="29.19254658385093"/>
    <n v="70.807453416149073"/>
    <x v="0"/>
    <x v="1"/>
    <s v="Yes"/>
    <n v="8.499999999999952E-3"/>
  </r>
  <r>
    <n v="821"/>
    <x v="36"/>
    <n v="1"/>
    <n v="15"/>
    <b v="0"/>
    <n v="0"/>
    <n v="1"/>
    <n v="0.34"/>
    <n v="0.34849999999999998"/>
    <n v="0.46"/>
    <n v="8.9599999999999999E-2"/>
    <n v="52"/>
    <n v="130"/>
    <n v="182"/>
    <s v="Spring"/>
    <s v="Sunday"/>
    <s v="Clear"/>
    <s v="Afternoon"/>
    <x v="1"/>
    <x v="1"/>
    <x v="0"/>
    <x v="0"/>
    <s v="Mostly Registered"/>
    <n v="28.571428571428569"/>
    <n v="71.428571428571431"/>
    <x v="0"/>
    <x v="1"/>
    <s v="Yes"/>
    <n v="8.499999999999952E-3"/>
  </r>
  <r>
    <n v="822"/>
    <x v="36"/>
    <n v="1"/>
    <n v="16"/>
    <b v="0"/>
    <n v="0"/>
    <n v="1"/>
    <n v="0.34"/>
    <n v="0.34849999999999998"/>
    <n v="0.49"/>
    <n v="0.1045"/>
    <n v="42"/>
    <n v="115"/>
    <n v="157"/>
    <s v="Spring"/>
    <s v="Sunday"/>
    <s v="Clear"/>
    <s v="Afternoon"/>
    <x v="1"/>
    <x v="1"/>
    <x v="0"/>
    <x v="0"/>
    <s v="Mostly Registered"/>
    <n v="26.751592356687901"/>
    <n v="73.248407643312092"/>
    <x v="0"/>
    <x v="1"/>
    <s v="Yes"/>
    <n v="8.499999999999952E-3"/>
  </r>
  <r>
    <n v="823"/>
    <x v="36"/>
    <n v="1"/>
    <n v="17"/>
    <b v="0"/>
    <n v="0"/>
    <n v="1"/>
    <n v="0.34"/>
    <n v="0.36359999999999998"/>
    <n v="0.46"/>
    <n v="0"/>
    <n v="24"/>
    <n v="97"/>
    <n v="121"/>
    <s v="Spring"/>
    <s v="Sunday"/>
    <s v="Clear"/>
    <s v="Evening"/>
    <x v="1"/>
    <x v="1"/>
    <x v="0"/>
    <x v="0"/>
    <s v="Mostly Registered"/>
    <n v="19.834710743801651"/>
    <n v="80.165289256198349"/>
    <x v="1"/>
    <x v="1"/>
    <s v="Yes"/>
    <n v="2.3599999999999951E-2"/>
  </r>
  <r>
    <n v="824"/>
    <x v="36"/>
    <n v="1"/>
    <n v="18"/>
    <b v="0"/>
    <n v="0"/>
    <n v="1"/>
    <n v="0.3"/>
    <n v="0.30299999999999999"/>
    <n v="0.56000000000000005"/>
    <n v="0.16420000000000001"/>
    <n v="13"/>
    <n v="65"/>
    <n v="78"/>
    <s v="Spring"/>
    <s v="Sunday"/>
    <s v="Clear"/>
    <s v="Evening"/>
    <x v="1"/>
    <x v="1"/>
    <x v="1"/>
    <x v="0"/>
    <s v="Mostly Registered"/>
    <n v="16.666666666666661"/>
    <n v="83.333333333333343"/>
    <x v="1"/>
    <x v="0"/>
    <s v="Yes"/>
    <n v="3.0000000000000031E-3"/>
  </r>
  <r>
    <n v="825"/>
    <x v="36"/>
    <n v="1"/>
    <n v="19"/>
    <b v="0"/>
    <n v="0"/>
    <n v="1"/>
    <n v="0.28000000000000003"/>
    <n v="0.28789999999999999"/>
    <n v="0.61"/>
    <n v="0.1343"/>
    <n v="1"/>
    <n v="20"/>
    <n v="21"/>
    <s v="Spring"/>
    <s v="Sunday"/>
    <s v="Clear"/>
    <s v="Evening"/>
    <x v="1"/>
    <x v="1"/>
    <x v="0"/>
    <x v="0"/>
    <s v="Mostly Registered"/>
    <n v="4.7619047619047619"/>
    <n v="95.238095238095227"/>
    <x v="1"/>
    <x v="0"/>
    <s v="Yes"/>
    <n v="7.8999999999999626E-3"/>
  </r>
  <r>
    <n v="826"/>
    <x v="36"/>
    <n v="1"/>
    <n v="20"/>
    <b v="0"/>
    <n v="0"/>
    <n v="1"/>
    <n v="0.28000000000000003"/>
    <n v="0.28789999999999999"/>
    <n v="0.61"/>
    <n v="0.1045"/>
    <n v="5"/>
    <n v="21"/>
    <n v="26"/>
    <s v="Spring"/>
    <s v="Sunday"/>
    <s v="Clear"/>
    <s v="Evening"/>
    <x v="1"/>
    <x v="1"/>
    <x v="0"/>
    <x v="0"/>
    <s v="Mostly Registered"/>
    <n v="19.23076923076923"/>
    <n v="80.769230769230774"/>
    <x v="0"/>
    <x v="0"/>
    <s v="Yes"/>
    <n v="7.8999999999999626E-3"/>
  </r>
  <r>
    <n v="827"/>
    <x v="36"/>
    <n v="1"/>
    <n v="21"/>
    <b v="0"/>
    <n v="0"/>
    <n v="1"/>
    <n v="0.26"/>
    <n v="0.30299999999999999"/>
    <n v="0.6"/>
    <n v="0"/>
    <n v="5"/>
    <n v="22"/>
    <n v="27"/>
    <s v="Spring"/>
    <s v="Sunday"/>
    <s v="Clear"/>
    <s v="Night"/>
    <x v="1"/>
    <x v="1"/>
    <x v="0"/>
    <x v="0"/>
    <s v="Mostly Registered"/>
    <n v="18.518518518518519"/>
    <n v="81.481481481481481"/>
    <x v="0"/>
    <x v="0"/>
    <s v="Yes"/>
    <n v="4.2999999999999983E-2"/>
  </r>
  <r>
    <n v="828"/>
    <x v="36"/>
    <n v="1"/>
    <n v="22"/>
    <b v="0"/>
    <n v="0"/>
    <n v="1"/>
    <n v="0.26"/>
    <n v="0.30299999999999999"/>
    <n v="0.6"/>
    <n v="0"/>
    <n v="5"/>
    <n v="57"/>
    <n v="62"/>
    <s v="Spring"/>
    <s v="Sunday"/>
    <s v="Clear"/>
    <s v="Night"/>
    <x v="1"/>
    <x v="1"/>
    <x v="0"/>
    <x v="0"/>
    <s v="Mostly Registered"/>
    <n v="8.064516129032258"/>
    <n v="91.935483870967744"/>
    <x v="0"/>
    <x v="0"/>
    <s v="Yes"/>
    <n v="4.2999999999999983E-2"/>
  </r>
  <r>
    <n v="829"/>
    <x v="36"/>
    <n v="1"/>
    <n v="23"/>
    <b v="0"/>
    <n v="0"/>
    <n v="1"/>
    <n v="0.24"/>
    <n v="0.28789999999999999"/>
    <n v="0.65"/>
    <n v="0"/>
    <n v="4"/>
    <n v="26"/>
    <n v="30"/>
    <s v="Spring"/>
    <s v="Sunday"/>
    <s v="Clear"/>
    <s v="Night"/>
    <x v="0"/>
    <x v="1"/>
    <x v="0"/>
    <x v="0"/>
    <s v="Mostly Registered"/>
    <n v="13.33333333333333"/>
    <n v="86.666666666666671"/>
    <x v="0"/>
    <x v="0"/>
    <s v="Yes"/>
    <n v="4.7899999999999998E-2"/>
  </r>
  <r>
    <n v="830"/>
    <x v="37"/>
    <n v="1"/>
    <n v="0"/>
    <b v="0"/>
    <n v="1"/>
    <n v="1"/>
    <n v="0.24"/>
    <n v="0.28789999999999999"/>
    <n v="0.65"/>
    <n v="0"/>
    <n v="1"/>
    <n v="14"/>
    <n v="15"/>
    <s v="Spring"/>
    <s v="Monday"/>
    <s v="Clear"/>
    <s v="Night"/>
    <x v="0"/>
    <x v="1"/>
    <x v="0"/>
    <x v="0"/>
    <s v="Mostly Registered"/>
    <n v="6.666666666666667"/>
    <n v="93.333333333333329"/>
    <x v="0"/>
    <x v="0"/>
    <s v="No"/>
    <n v="4.7899999999999998E-2"/>
  </r>
  <r>
    <n v="831"/>
    <x v="37"/>
    <n v="1"/>
    <n v="1"/>
    <b v="0"/>
    <n v="1"/>
    <n v="1"/>
    <n v="0.22"/>
    <n v="0.2727"/>
    <n v="0.75"/>
    <n v="0"/>
    <n v="1"/>
    <n v="4"/>
    <n v="5"/>
    <s v="Spring"/>
    <s v="Monday"/>
    <s v="Clear"/>
    <s v="Night"/>
    <x v="0"/>
    <x v="0"/>
    <x v="0"/>
    <x v="0"/>
    <s v="Mostly Registered"/>
    <n v="20"/>
    <n v="80"/>
    <x v="0"/>
    <x v="0"/>
    <s v="No"/>
    <n v="5.2699999999999997E-2"/>
  </r>
  <r>
    <n v="832"/>
    <x v="37"/>
    <n v="1"/>
    <n v="2"/>
    <b v="0"/>
    <n v="1"/>
    <n v="1"/>
    <n v="0.2"/>
    <n v="0.2576"/>
    <n v="0.8"/>
    <n v="0"/>
    <n v="0"/>
    <n v="3"/>
    <n v="3"/>
    <s v="Spring"/>
    <s v="Monday"/>
    <s v="Clear"/>
    <s v="Night"/>
    <x v="0"/>
    <x v="0"/>
    <x v="0"/>
    <x v="0"/>
    <s v="Mostly Registered"/>
    <n v="0"/>
    <n v="100"/>
    <x v="0"/>
    <x v="0"/>
    <s v="No"/>
    <n v="5.7599999999999978E-2"/>
  </r>
  <r>
    <n v="833"/>
    <x v="37"/>
    <n v="1"/>
    <n v="3"/>
    <b v="0"/>
    <n v="1"/>
    <n v="1"/>
    <n v="0.2"/>
    <n v="0.2576"/>
    <n v="0.86"/>
    <n v="0"/>
    <n v="0"/>
    <n v="1"/>
    <n v="1"/>
    <s v="Spring"/>
    <s v="Monday"/>
    <s v="Clear"/>
    <s v="Night"/>
    <x v="0"/>
    <x v="0"/>
    <x v="0"/>
    <x v="0"/>
    <s v="Mostly Registered"/>
    <n v="0"/>
    <n v="100"/>
    <x v="0"/>
    <x v="0"/>
    <s v="No"/>
    <n v="5.7599999999999978E-2"/>
  </r>
  <r>
    <n v="834"/>
    <x v="37"/>
    <n v="1"/>
    <n v="4"/>
    <b v="0"/>
    <n v="1"/>
    <n v="1"/>
    <n v="0.2"/>
    <n v="0.2576"/>
    <n v="0.86"/>
    <n v="0"/>
    <n v="1"/>
    <n v="1"/>
    <n v="2"/>
    <s v="Spring"/>
    <s v="Monday"/>
    <s v="Clear"/>
    <s v="Night"/>
    <x v="0"/>
    <x v="0"/>
    <x v="0"/>
    <x v="0"/>
    <s v="Mostly Registered"/>
    <n v="50"/>
    <n v="50"/>
    <x v="0"/>
    <x v="0"/>
    <s v="No"/>
    <n v="5.7599999999999978E-2"/>
  </r>
  <r>
    <n v="835"/>
    <x v="37"/>
    <n v="1"/>
    <n v="5"/>
    <b v="0"/>
    <n v="1"/>
    <n v="1"/>
    <n v="0.2"/>
    <n v="0.2576"/>
    <n v="0.86"/>
    <n v="0"/>
    <n v="1"/>
    <n v="9"/>
    <n v="10"/>
    <s v="Spring"/>
    <s v="Monday"/>
    <s v="Clear"/>
    <s v="Night"/>
    <x v="0"/>
    <x v="0"/>
    <x v="0"/>
    <x v="0"/>
    <s v="Mostly Registered"/>
    <n v="10"/>
    <n v="90"/>
    <x v="0"/>
    <x v="0"/>
    <s v="No"/>
    <n v="5.7599999999999978E-2"/>
  </r>
  <r>
    <n v="836"/>
    <x v="37"/>
    <n v="1"/>
    <n v="6"/>
    <b v="0"/>
    <n v="1"/>
    <n v="1"/>
    <n v="0.18"/>
    <n v="0.2424"/>
    <n v="0.93"/>
    <n v="0"/>
    <n v="1"/>
    <n v="29"/>
    <n v="30"/>
    <s v="Spring"/>
    <s v="Monday"/>
    <s v="Clear"/>
    <s v="Morning"/>
    <x v="0"/>
    <x v="0"/>
    <x v="0"/>
    <x v="0"/>
    <s v="Mostly Registered"/>
    <n v="3.333333333333333"/>
    <n v="96.666666666666671"/>
    <x v="0"/>
    <x v="0"/>
    <s v="No"/>
    <n v="6.2400000000000011E-2"/>
  </r>
  <r>
    <n v="837"/>
    <x v="37"/>
    <n v="1"/>
    <n v="7"/>
    <b v="0"/>
    <n v="1"/>
    <n v="1"/>
    <n v="0.18"/>
    <n v="0.2424"/>
    <n v="0.86"/>
    <n v="0"/>
    <n v="6"/>
    <n v="89"/>
    <n v="95"/>
    <s v="Spring"/>
    <s v="Monday"/>
    <s v="Clear"/>
    <s v="Morning"/>
    <x v="0"/>
    <x v="0"/>
    <x v="0"/>
    <x v="0"/>
    <s v="Mostly Registered"/>
    <n v="6.3157894736842106"/>
    <n v="93.684210526315795"/>
    <x v="1"/>
    <x v="0"/>
    <s v="No"/>
    <n v="6.2400000000000011E-2"/>
  </r>
  <r>
    <n v="838"/>
    <x v="37"/>
    <n v="1"/>
    <n v="8"/>
    <b v="0"/>
    <n v="1"/>
    <n v="2"/>
    <n v="0.16"/>
    <n v="0.2273"/>
    <n v="1"/>
    <n v="0"/>
    <n v="7"/>
    <n v="223"/>
    <n v="230"/>
    <s v="Spring"/>
    <s v="Monday"/>
    <s v="Mist/Cloudy"/>
    <s v="Morning"/>
    <x v="0"/>
    <x v="0"/>
    <x v="0"/>
    <x v="0"/>
    <s v="Mostly Registered"/>
    <n v="3.043478260869565"/>
    <n v="96.956521739130437"/>
    <x v="1"/>
    <x v="1"/>
    <s v="No"/>
    <n v="6.7299999999999999E-2"/>
  </r>
  <r>
    <n v="839"/>
    <x v="37"/>
    <n v="1"/>
    <n v="9"/>
    <b v="0"/>
    <n v="1"/>
    <n v="1"/>
    <n v="0.22"/>
    <n v="0.2727"/>
    <n v="0.8"/>
    <n v="0"/>
    <n v="3"/>
    <n v="115"/>
    <n v="118"/>
    <s v="Spring"/>
    <s v="Monday"/>
    <s v="Clear"/>
    <s v="Morning"/>
    <x v="0"/>
    <x v="0"/>
    <x v="0"/>
    <x v="0"/>
    <s v="Mostly Registered"/>
    <n v="2.542372881355933"/>
    <n v="97.457627118644069"/>
    <x v="1"/>
    <x v="1"/>
    <s v="No"/>
    <n v="5.2699999999999997E-2"/>
  </r>
  <r>
    <n v="840"/>
    <x v="37"/>
    <n v="1"/>
    <n v="10"/>
    <b v="0"/>
    <n v="1"/>
    <n v="1"/>
    <n v="0.24"/>
    <n v="0.2576"/>
    <n v="0.75"/>
    <n v="0.1045"/>
    <n v="6"/>
    <n v="49"/>
    <n v="55"/>
    <s v="Spring"/>
    <s v="Monday"/>
    <s v="Clear"/>
    <s v="Morning"/>
    <x v="0"/>
    <x v="0"/>
    <x v="0"/>
    <x v="0"/>
    <s v="Mostly Registered"/>
    <n v="10.90909090909091"/>
    <n v="89.090909090909093"/>
    <x v="0"/>
    <x v="0"/>
    <s v="No"/>
    <n v="1.7600000000000001E-2"/>
  </r>
  <r>
    <n v="841"/>
    <x v="37"/>
    <n v="1"/>
    <n v="11"/>
    <b v="0"/>
    <n v="1"/>
    <n v="1"/>
    <n v="0.3"/>
    <n v="0.31819999999999998"/>
    <n v="0.65"/>
    <n v="8.9599999999999999E-2"/>
    <n v="11"/>
    <n v="36"/>
    <n v="47"/>
    <s v="Spring"/>
    <s v="Monday"/>
    <s v="Clear"/>
    <s v="Morning"/>
    <x v="1"/>
    <x v="1"/>
    <x v="0"/>
    <x v="0"/>
    <s v="Mostly Registered"/>
    <n v="23.404255319148941"/>
    <n v="76.59574468085107"/>
    <x v="0"/>
    <x v="0"/>
    <s v="No"/>
    <n v="1.819999999999999E-2"/>
  </r>
  <r>
    <n v="842"/>
    <x v="37"/>
    <n v="1"/>
    <n v="12"/>
    <b v="0"/>
    <n v="1"/>
    <n v="2"/>
    <n v="0.32"/>
    <n v="0.34849999999999998"/>
    <n v="0.62"/>
    <n v="0"/>
    <n v="7"/>
    <n v="59"/>
    <n v="66"/>
    <s v="Spring"/>
    <s v="Monday"/>
    <s v="Mist/Cloudy"/>
    <s v="Afternoon"/>
    <x v="1"/>
    <x v="1"/>
    <x v="0"/>
    <x v="0"/>
    <s v="Mostly Registered"/>
    <n v="10.606060606060611"/>
    <n v="89.393939393939391"/>
    <x v="0"/>
    <x v="0"/>
    <s v="No"/>
    <n v="2.849999999999997E-2"/>
  </r>
  <r>
    <n v="843"/>
    <x v="37"/>
    <n v="1"/>
    <n v="13"/>
    <b v="0"/>
    <n v="1"/>
    <n v="2"/>
    <n v="0.36"/>
    <n v="0.36359999999999998"/>
    <n v="0.56999999999999995"/>
    <n v="8.9599999999999999E-2"/>
    <n v="10"/>
    <n v="54"/>
    <n v="64"/>
    <s v="Spring"/>
    <s v="Monday"/>
    <s v="Mist/Cloudy"/>
    <s v="Afternoon"/>
    <x v="2"/>
    <x v="1"/>
    <x v="0"/>
    <x v="0"/>
    <s v="Mostly Registered"/>
    <n v="15.625"/>
    <n v="84.375"/>
    <x v="0"/>
    <x v="0"/>
    <s v="No"/>
    <n v="3.5999999999999921E-3"/>
  </r>
  <r>
    <n v="844"/>
    <x v="37"/>
    <n v="1"/>
    <n v="14"/>
    <b v="0"/>
    <n v="1"/>
    <n v="2"/>
    <n v="0.36"/>
    <n v="0.36359999999999998"/>
    <n v="0.56999999999999995"/>
    <n v="8.9599999999999999E-2"/>
    <n v="8"/>
    <n v="52"/>
    <n v="60"/>
    <s v="Spring"/>
    <s v="Monday"/>
    <s v="Mist/Cloudy"/>
    <s v="Afternoon"/>
    <x v="2"/>
    <x v="1"/>
    <x v="0"/>
    <x v="0"/>
    <s v="Mostly Registered"/>
    <n v="13.33333333333333"/>
    <n v="86.666666666666671"/>
    <x v="0"/>
    <x v="0"/>
    <s v="No"/>
    <n v="3.5999999999999921E-3"/>
  </r>
  <r>
    <n v="845"/>
    <x v="37"/>
    <n v="1"/>
    <n v="15"/>
    <b v="0"/>
    <n v="1"/>
    <n v="2"/>
    <n v="0.38"/>
    <n v="0.39389999999999997"/>
    <n v="0.54"/>
    <n v="8.9599999999999999E-2"/>
    <n v="4"/>
    <n v="46"/>
    <n v="50"/>
    <s v="Spring"/>
    <s v="Monday"/>
    <s v="Mist/Cloudy"/>
    <s v="Afternoon"/>
    <x v="2"/>
    <x v="1"/>
    <x v="0"/>
    <x v="0"/>
    <s v="Mostly Registered"/>
    <n v="8"/>
    <n v="92"/>
    <x v="0"/>
    <x v="0"/>
    <s v="No"/>
    <n v="1.389999999999997E-2"/>
  </r>
  <r>
    <n v="846"/>
    <x v="37"/>
    <n v="1"/>
    <n v="16"/>
    <b v="0"/>
    <n v="1"/>
    <n v="2"/>
    <n v="0.36"/>
    <n v="0.34849999999999998"/>
    <n v="0.56999999999999995"/>
    <n v="0.1343"/>
    <n v="16"/>
    <n v="98"/>
    <n v="114"/>
    <s v="Spring"/>
    <s v="Monday"/>
    <s v="Mist/Cloudy"/>
    <s v="Afternoon"/>
    <x v="2"/>
    <x v="1"/>
    <x v="0"/>
    <x v="0"/>
    <s v="Mostly Registered"/>
    <n v="14.03508771929824"/>
    <n v="85.964912280701753"/>
    <x v="0"/>
    <x v="1"/>
    <s v="No"/>
    <n v="-1.150000000000001E-2"/>
  </r>
  <r>
    <n v="847"/>
    <x v="37"/>
    <n v="1"/>
    <n v="17"/>
    <b v="0"/>
    <n v="1"/>
    <n v="2"/>
    <n v="0.32"/>
    <n v="0.31819999999999998"/>
    <n v="0.7"/>
    <n v="0.16420000000000001"/>
    <n v="9"/>
    <n v="207"/>
    <n v="216"/>
    <s v="Spring"/>
    <s v="Monday"/>
    <s v="Mist/Cloudy"/>
    <s v="Evening"/>
    <x v="1"/>
    <x v="0"/>
    <x v="1"/>
    <x v="0"/>
    <s v="Mostly Registered"/>
    <n v="4.1666666666666661"/>
    <n v="95.833333333333343"/>
    <x v="1"/>
    <x v="1"/>
    <s v="No"/>
    <n v="-1.800000000000024E-3"/>
  </r>
  <r>
    <n v="848"/>
    <x v="37"/>
    <n v="1"/>
    <n v="18"/>
    <b v="0"/>
    <n v="1"/>
    <n v="2"/>
    <n v="0.34"/>
    <n v="0.33329999999999999"/>
    <n v="0.66"/>
    <n v="0.1343"/>
    <n v="5"/>
    <n v="170"/>
    <n v="175"/>
    <s v="Spring"/>
    <s v="Monday"/>
    <s v="Mist/Cloudy"/>
    <s v="Evening"/>
    <x v="1"/>
    <x v="1"/>
    <x v="0"/>
    <x v="0"/>
    <s v="Mostly Registered"/>
    <n v="2.8571428571428572"/>
    <n v="97.142857142857139"/>
    <x v="1"/>
    <x v="1"/>
    <s v="No"/>
    <n v="-6.7000000000000393E-3"/>
  </r>
  <r>
    <n v="849"/>
    <x v="37"/>
    <n v="1"/>
    <n v="19"/>
    <b v="0"/>
    <n v="1"/>
    <n v="2"/>
    <n v="0.32"/>
    <n v="0.34849999999999998"/>
    <n v="0.7"/>
    <n v="0"/>
    <n v="5"/>
    <n v="123"/>
    <n v="128"/>
    <s v="Spring"/>
    <s v="Monday"/>
    <s v="Mist/Cloudy"/>
    <s v="Evening"/>
    <x v="1"/>
    <x v="0"/>
    <x v="0"/>
    <x v="0"/>
    <s v="Mostly Registered"/>
    <n v="3.90625"/>
    <n v="96.09375"/>
    <x v="1"/>
    <x v="1"/>
    <s v="No"/>
    <n v="2.849999999999997E-2"/>
  </r>
  <r>
    <n v="850"/>
    <x v="37"/>
    <n v="1"/>
    <n v="20"/>
    <b v="0"/>
    <n v="1"/>
    <n v="2"/>
    <n v="0.32"/>
    <n v="0.33329999999999999"/>
    <n v="0.7"/>
    <n v="0.1045"/>
    <n v="6"/>
    <n v="82"/>
    <n v="88"/>
    <s v="Spring"/>
    <s v="Monday"/>
    <s v="Mist/Cloudy"/>
    <s v="Evening"/>
    <x v="1"/>
    <x v="0"/>
    <x v="0"/>
    <x v="0"/>
    <s v="Mostly Registered"/>
    <n v="6.8181818181818166"/>
    <n v="93.181818181818173"/>
    <x v="0"/>
    <x v="0"/>
    <s v="No"/>
    <n v="1.329999999999998E-2"/>
  </r>
  <r>
    <n v="851"/>
    <x v="37"/>
    <n v="1"/>
    <n v="21"/>
    <b v="0"/>
    <n v="1"/>
    <n v="1"/>
    <n v="0.32"/>
    <n v="0.34849999999999998"/>
    <n v="0.7"/>
    <n v="0"/>
    <n v="3"/>
    <n v="75"/>
    <n v="78"/>
    <s v="Spring"/>
    <s v="Monday"/>
    <s v="Clear"/>
    <s v="Night"/>
    <x v="1"/>
    <x v="0"/>
    <x v="0"/>
    <x v="0"/>
    <s v="Mostly Registered"/>
    <n v="3.8461538461538458"/>
    <n v="96.15384615384616"/>
    <x v="0"/>
    <x v="0"/>
    <s v="No"/>
    <n v="2.849999999999997E-2"/>
  </r>
  <r>
    <n v="852"/>
    <x v="37"/>
    <n v="1"/>
    <n v="22"/>
    <b v="0"/>
    <n v="1"/>
    <n v="1"/>
    <n v="0.28000000000000003"/>
    <n v="0.30299999999999999"/>
    <n v="0.81"/>
    <n v="8.9599999999999999E-2"/>
    <n v="3"/>
    <n v="34"/>
    <n v="37"/>
    <s v="Spring"/>
    <s v="Monday"/>
    <s v="Clear"/>
    <s v="Night"/>
    <x v="1"/>
    <x v="0"/>
    <x v="0"/>
    <x v="0"/>
    <s v="Mostly Registered"/>
    <n v="8.1081081081081088"/>
    <n v="91.891891891891902"/>
    <x v="0"/>
    <x v="0"/>
    <s v="No"/>
    <n v="2.2999999999999961E-2"/>
  </r>
  <r>
    <n v="853"/>
    <x v="37"/>
    <n v="1"/>
    <n v="23"/>
    <b v="0"/>
    <n v="1"/>
    <n v="2"/>
    <n v="0.3"/>
    <n v="0.33329999999999999"/>
    <n v="0.81"/>
    <n v="0"/>
    <n v="6"/>
    <n v="19"/>
    <n v="25"/>
    <s v="Spring"/>
    <s v="Monday"/>
    <s v="Mist/Cloudy"/>
    <s v="Night"/>
    <x v="1"/>
    <x v="0"/>
    <x v="0"/>
    <x v="0"/>
    <s v="Mostly Registered"/>
    <n v="24"/>
    <n v="76"/>
    <x v="0"/>
    <x v="0"/>
    <s v="No"/>
    <n v="3.3300000000000003E-2"/>
  </r>
  <r>
    <n v="854"/>
    <x v="38"/>
    <n v="1"/>
    <n v="0"/>
    <b v="0"/>
    <n v="2"/>
    <n v="2"/>
    <n v="0.28000000000000003"/>
    <n v="0.31819999999999998"/>
    <n v="0.87"/>
    <n v="0"/>
    <n v="4"/>
    <n v="6"/>
    <n v="10"/>
    <s v="Spring"/>
    <s v="Tuesday"/>
    <s v="Mist/Cloudy"/>
    <s v="Night"/>
    <x v="1"/>
    <x v="0"/>
    <x v="0"/>
    <x v="0"/>
    <s v="Mostly Registered"/>
    <n v="40"/>
    <n v="60"/>
    <x v="0"/>
    <x v="0"/>
    <s v="No"/>
    <n v="3.8199999999999963E-2"/>
  </r>
  <r>
    <n v="855"/>
    <x v="38"/>
    <n v="1"/>
    <n v="1"/>
    <b v="0"/>
    <n v="2"/>
    <n v="2"/>
    <n v="0.28000000000000003"/>
    <n v="0.31819999999999998"/>
    <n v="0.87"/>
    <n v="0"/>
    <n v="0"/>
    <n v="4"/>
    <n v="4"/>
    <s v="Spring"/>
    <s v="Tuesday"/>
    <s v="Mist/Cloudy"/>
    <s v="Night"/>
    <x v="1"/>
    <x v="0"/>
    <x v="0"/>
    <x v="0"/>
    <s v="Mostly Registered"/>
    <n v="0"/>
    <n v="100"/>
    <x v="0"/>
    <x v="0"/>
    <s v="No"/>
    <n v="3.8199999999999963E-2"/>
  </r>
  <r>
    <n v="856"/>
    <x v="38"/>
    <n v="1"/>
    <n v="2"/>
    <b v="0"/>
    <n v="2"/>
    <n v="2"/>
    <n v="0.26"/>
    <n v="0.2727"/>
    <n v="0.93"/>
    <n v="0.1045"/>
    <n v="1"/>
    <n v="1"/>
    <n v="2"/>
    <s v="Spring"/>
    <s v="Tuesday"/>
    <s v="Mist/Cloudy"/>
    <s v="Night"/>
    <x v="1"/>
    <x v="0"/>
    <x v="0"/>
    <x v="0"/>
    <s v="Mostly Registered"/>
    <n v="50"/>
    <n v="50"/>
    <x v="0"/>
    <x v="0"/>
    <s v="No"/>
    <n v="1.2699999999999991E-2"/>
  </r>
  <r>
    <n v="857"/>
    <x v="38"/>
    <n v="1"/>
    <n v="3"/>
    <b v="0"/>
    <n v="2"/>
    <n v="3"/>
    <n v="0.28000000000000003"/>
    <n v="0.2727"/>
    <n v="0.93"/>
    <n v="0.16420000000000001"/>
    <n v="0"/>
    <n v="1"/>
    <n v="1"/>
    <s v="Spring"/>
    <s v="Tuesday"/>
    <s v="Light Rain/Snow"/>
    <s v="Night"/>
    <x v="1"/>
    <x v="0"/>
    <x v="1"/>
    <x v="0"/>
    <s v="Mostly Registered"/>
    <n v="0"/>
    <n v="100"/>
    <x v="0"/>
    <x v="0"/>
    <s v="No"/>
    <n v="-7.3000000000000287E-3"/>
  </r>
  <r>
    <n v="858"/>
    <x v="38"/>
    <n v="1"/>
    <n v="4"/>
    <b v="0"/>
    <n v="2"/>
    <n v="1"/>
    <n v="0.26"/>
    <n v="0.2576"/>
    <n v="0.93"/>
    <n v="0.16420000000000001"/>
    <n v="0"/>
    <n v="3"/>
    <n v="3"/>
    <s v="Spring"/>
    <s v="Tuesday"/>
    <s v="Clear"/>
    <s v="Night"/>
    <x v="1"/>
    <x v="0"/>
    <x v="1"/>
    <x v="0"/>
    <s v="Mostly Registered"/>
    <n v="0"/>
    <n v="100"/>
    <x v="0"/>
    <x v="0"/>
    <s v="No"/>
    <n v="-2.4000000000000128E-3"/>
  </r>
  <r>
    <n v="859"/>
    <x v="38"/>
    <n v="1"/>
    <n v="5"/>
    <b v="0"/>
    <n v="2"/>
    <n v="1"/>
    <n v="0.26"/>
    <n v="0.2273"/>
    <n v="0.81"/>
    <n v="0.32840000000000003"/>
    <n v="0"/>
    <n v="2"/>
    <n v="2"/>
    <s v="Spring"/>
    <s v="Tuesday"/>
    <s v="Clear"/>
    <s v="Night"/>
    <x v="1"/>
    <x v="0"/>
    <x v="2"/>
    <x v="0"/>
    <s v="Mostly Registered"/>
    <n v="0"/>
    <n v="100"/>
    <x v="0"/>
    <x v="0"/>
    <s v="No"/>
    <n v="-3.2700000000000007E-2"/>
  </r>
  <r>
    <n v="860"/>
    <x v="38"/>
    <n v="1"/>
    <n v="6"/>
    <b v="0"/>
    <n v="2"/>
    <n v="1"/>
    <n v="0.26"/>
    <n v="0.2273"/>
    <n v="0.7"/>
    <n v="0.32840000000000003"/>
    <n v="0"/>
    <n v="39"/>
    <n v="39"/>
    <s v="Spring"/>
    <s v="Tuesday"/>
    <s v="Clear"/>
    <s v="Morning"/>
    <x v="1"/>
    <x v="0"/>
    <x v="2"/>
    <x v="0"/>
    <s v="Mostly Registered"/>
    <n v="0"/>
    <n v="100"/>
    <x v="0"/>
    <x v="0"/>
    <s v="No"/>
    <n v="-3.2700000000000007E-2"/>
  </r>
  <r>
    <n v="861"/>
    <x v="38"/>
    <n v="1"/>
    <n v="7"/>
    <b v="0"/>
    <n v="2"/>
    <n v="1"/>
    <n v="0.24"/>
    <n v="0.19700000000000001"/>
    <n v="0.65"/>
    <n v="0.41789999999999999"/>
    <n v="3"/>
    <n v="97"/>
    <n v="100"/>
    <s v="Spring"/>
    <s v="Tuesday"/>
    <s v="Clear"/>
    <s v="Morning"/>
    <x v="0"/>
    <x v="1"/>
    <x v="2"/>
    <x v="0"/>
    <s v="Mostly Registered"/>
    <n v="3"/>
    <n v="97"/>
    <x v="1"/>
    <x v="1"/>
    <s v="No"/>
    <n v="-4.2999999999999983E-2"/>
  </r>
  <r>
    <n v="862"/>
    <x v="38"/>
    <n v="1"/>
    <n v="8"/>
    <b v="0"/>
    <n v="2"/>
    <n v="1"/>
    <n v="0.24"/>
    <n v="0.19700000000000001"/>
    <n v="0.56000000000000005"/>
    <n v="0.49249999999999999"/>
    <n v="7"/>
    <n v="236"/>
    <n v="243"/>
    <s v="Spring"/>
    <s v="Tuesday"/>
    <s v="Clear"/>
    <s v="Morning"/>
    <x v="0"/>
    <x v="1"/>
    <x v="2"/>
    <x v="0"/>
    <s v="Mostly Registered"/>
    <n v="2.880658436213992"/>
    <n v="97.119341563786008"/>
    <x v="1"/>
    <x v="1"/>
    <s v="No"/>
    <n v="-4.2999999999999983E-2"/>
  </r>
  <r>
    <n v="863"/>
    <x v="38"/>
    <n v="1"/>
    <n v="9"/>
    <b v="0"/>
    <n v="2"/>
    <n v="1"/>
    <n v="0.24"/>
    <n v="0.19700000000000001"/>
    <n v="0.52"/>
    <n v="0.49249999999999999"/>
    <n v="7"/>
    <n v="128"/>
    <n v="135"/>
    <s v="Spring"/>
    <s v="Tuesday"/>
    <s v="Clear"/>
    <s v="Morning"/>
    <x v="0"/>
    <x v="1"/>
    <x v="2"/>
    <x v="0"/>
    <s v="Mostly Registered"/>
    <n v="5.1851851851851851"/>
    <n v="94.814814814814824"/>
    <x v="1"/>
    <x v="1"/>
    <s v="No"/>
    <n v="-4.2999999999999983E-2"/>
  </r>
  <r>
    <n v="864"/>
    <x v="38"/>
    <n v="1"/>
    <n v="10"/>
    <b v="0"/>
    <n v="2"/>
    <n v="1"/>
    <n v="0.22"/>
    <n v="0.18179999999999999"/>
    <n v="0.47"/>
    <n v="0.55220000000000002"/>
    <n v="4"/>
    <n v="44"/>
    <n v="48"/>
    <s v="Spring"/>
    <s v="Tuesday"/>
    <s v="Clear"/>
    <s v="Morning"/>
    <x v="0"/>
    <x v="1"/>
    <x v="2"/>
    <x v="0"/>
    <s v="Mostly Registered"/>
    <n v="8.3333333333333321"/>
    <n v="91.666666666666657"/>
    <x v="0"/>
    <x v="0"/>
    <s v="No"/>
    <n v="-3.8200000000000012E-2"/>
  </r>
  <r>
    <n v="865"/>
    <x v="38"/>
    <n v="1"/>
    <n v="11"/>
    <b v="0"/>
    <n v="2"/>
    <n v="1"/>
    <n v="0.22"/>
    <n v="0.18179999999999999"/>
    <n v="0.47"/>
    <n v="0.4627"/>
    <n v="1"/>
    <n v="49"/>
    <n v="50"/>
    <s v="Spring"/>
    <s v="Tuesday"/>
    <s v="Clear"/>
    <s v="Morning"/>
    <x v="0"/>
    <x v="1"/>
    <x v="2"/>
    <x v="0"/>
    <s v="Mostly Registered"/>
    <n v="2"/>
    <n v="98"/>
    <x v="0"/>
    <x v="0"/>
    <s v="No"/>
    <n v="-3.8200000000000012E-2"/>
  </r>
  <r>
    <n v="866"/>
    <x v="38"/>
    <n v="1"/>
    <n v="12"/>
    <b v="0"/>
    <n v="2"/>
    <n v="1"/>
    <n v="0.24"/>
    <n v="0.19700000000000001"/>
    <n v="0.38"/>
    <n v="0.49249999999999999"/>
    <n v="2"/>
    <n v="63"/>
    <n v="65"/>
    <s v="Spring"/>
    <s v="Tuesday"/>
    <s v="Clear"/>
    <s v="Afternoon"/>
    <x v="0"/>
    <x v="2"/>
    <x v="2"/>
    <x v="0"/>
    <s v="Mostly Registered"/>
    <n v="3.0769230769230771"/>
    <n v="96.92307692307692"/>
    <x v="0"/>
    <x v="0"/>
    <s v="No"/>
    <n v="-4.2999999999999983E-2"/>
  </r>
  <r>
    <n v="867"/>
    <x v="38"/>
    <n v="1"/>
    <n v="13"/>
    <b v="0"/>
    <n v="2"/>
    <n v="2"/>
    <n v="0.24"/>
    <n v="0.19700000000000001"/>
    <n v="0.32"/>
    <n v="0.44779999999999998"/>
    <n v="2"/>
    <n v="48"/>
    <n v="50"/>
    <s v="Spring"/>
    <s v="Tuesday"/>
    <s v="Mist/Cloudy"/>
    <s v="Afternoon"/>
    <x v="0"/>
    <x v="2"/>
    <x v="2"/>
    <x v="0"/>
    <s v="Mostly Registered"/>
    <n v="4"/>
    <n v="96"/>
    <x v="0"/>
    <x v="0"/>
    <s v="No"/>
    <n v="-4.2999999999999983E-2"/>
  </r>
  <r>
    <n v="868"/>
    <x v="38"/>
    <n v="1"/>
    <n v="14"/>
    <b v="0"/>
    <n v="2"/>
    <n v="1"/>
    <n v="0.22"/>
    <n v="0.19700000000000001"/>
    <n v="0.37"/>
    <n v="0.41789999999999999"/>
    <n v="3"/>
    <n v="61"/>
    <n v="64"/>
    <s v="Spring"/>
    <s v="Tuesday"/>
    <s v="Clear"/>
    <s v="Afternoon"/>
    <x v="0"/>
    <x v="2"/>
    <x v="2"/>
    <x v="0"/>
    <s v="Mostly Registered"/>
    <n v="4.6875"/>
    <n v="95.3125"/>
    <x v="0"/>
    <x v="0"/>
    <s v="No"/>
    <n v="-2.2999999999999989E-2"/>
  </r>
  <r>
    <n v="869"/>
    <x v="38"/>
    <n v="1"/>
    <n v="15"/>
    <b v="0"/>
    <n v="2"/>
    <n v="1"/>
    <n v="0.22"/>
    <n v="0.19700000000000001"/>
    <n v="0.35"/>
    <n v="0.3881"/>
    <n v="6"/>
    <n v="45"/>
    <n v="51"/>
    <s v="Spring"/>
    <s v="Tuesday"/>
    <s v="Clear"/>
    <s v="Afternoon"/>
    <x v="0"/>
    <x v="2"/>
    <x v="2"/>
    <x v="0"/>
    <s v="Mostly Registered"/>
    <n v="11.76470588235294"/>
    <n v="88.235294117647058"/>
    <x v="0"/>
    <x v="0"/>
    <s v="No"/>
    <n v="-2.2999999999999989E-2"/>
  </r>
  <r>
    <n v="870"/>
    <x v="38"/>
    <n v="1"/>
    <n v="16"/>
    <b v="0"/>
    <n v="2"/>
    <n v="1"/>
    <n v="0.22"/>
    <n v="0.18179999999999999"/>
    <n v="0.35"/>
    <n v="0.52239999999999998"/>
    <n v="4"/>
    <n v="79"/>
    <n v="83"/>
    <s v="Spring"/>
    <s v="Tuesday"/>
    <s v="Clear"/>
    <s v="Afternoon"/>
    <x v="0"/>
    <x v="2"/>
    <x v="2"/>
    <x v="0"/>
    <s v="Mostly Registered"/>
    <n v="4.8192771084337354"/>
    <n v="95.180722891566262"/>
    <x v="0"/>
    <x v="0"/>
    <s v="No"/>
    <n v="-3.8200000000000012E-2"/>
  </r>
  <r>
    <n v="871"/>
    <x v="38"/>
    <n v="1"/>
    <n v="17"/>
    <b v="0"/>
    <n v="2"/>
    <n v="1"/>
    <n v="0.22"/>
    <n v="0.18179999999999999"/>
    <n v="0.32"/>
    <n v="0.58209999999999995"/>
    <n v="4"/>
    <n v="172"/>
    <n v="176"/>
    <s v="Spring"/>
    <s v="Tuesday"/>
    <s v="Clear"/>
    <s v="Evening"/>
    <x v="0"/>
    <x v="2"/>
    <x v="2"/>
    <x v="0"/>
    <s v="Mostly Registered"/>
    <n v="2.2727272727272729"/>
    <n v="97.727272727272734"/>
    <x v="1"/>
    <x v="1"/>
    <s v="No"/>
    <n v="-3.8200000000000012E-2"/>
  </r>
  <r>
    <n v="872"/>
    <x v="38"/>
    <n v="1"/>
    <n v="18"/>
    <b v="0"/>
    <n v="2"/>
    <n v="1"/>
    <n v="0.2"/>
    <n v="0.18179999999999999"/>
    <n v="0.32"/>
    <n v="0.3881"/>
    <n v="1"/>
    <n v="151"/>
    <n v="152"/>
    <s v="Spring"/>
    <s v="Tuesday"/>
    <s v="Clear"/>
    <s v="Evening"/>
    <x v="0"/>
    <x v="2"/>
    <x v="2"/>
    <x v="0"/>
    <s v="Mostly Registered"/>
    <n v="0.6578947368421052"/>
    <n v="99.342105263157904"/>
    <x v="1"/>
    <x v="1"/>
    <s v="No"/>
    <n v="-1.8200000000000022E-2"/>
  </r>
  <r>
    <n v="873"/>
    <x v="38"/>
    <n v="1"/>
    <n v="19"/>
    <b v="0"/>
    <n v="2"/>
    <n v="1"/>
    <n v="0.16"/>
    <n v="0.1212"/>
    <n v="0.4"/>
    <n v="0.4627"/>
    <n v="1"/>
    <n v="100"/>
    <n v="101"/>
    <s v="Spring"/>
    <s v="Tuesday"/>
    <s v="Clear"/>
    <s v="Evening"/>
    <x v="0"/>
    <x v="1"/>
    <x v="2"/>
    <x v="0"/>
    <s v="Mostly Registered"/>
    <n v="0.99009900990099009"/>
    <n v="99.009900990099013"/>
    <x v="1"/>
    <x v="1"/>
    <s v="No"/>
    <n v="-3.8800000000000001E-2"/>
  </r>
  <r>
    <n v="874"/>
    <x v="38"/>
    <n v="1"/>
    <n v="20"/>
    <b v="0"/>
    <n v="2"/>
    <n v="1"/>
    <n v="0.16"/>
    <n v="0.13639999999999999"/>
    <n v="0.4"/>
    <n v="0.32840000000000003"/>
    <n v="3"/>
    <n v="53"/>
    <n v="56"/>
    <s v="Spring"/>
    <s v="Tuesday"/>
    <s v="Clear"/>
    <s v="Evening"/>
    <x v="0"/>
    <x v="1"/>
    <x v="2"/>
    <x v="0"/>
    <s v="Mostly Registered"/>
    <n v="5.3571428571428568"/>
    <n v="94.642857142857139"/>
    <x v="0"/>
    <x v="0"/>
    <s v="No"/>
    <n v="-2.360000000000001E-2"/>
  </r>
  <r>
    <n v="875"/>
    <x v="38"/>
    <n v="1"/>
    <n v="21"/>
    <b v="0"/>
    <n v="2"/>
    <n v="1"/>
    <n v="0.14000000000000001"/>
    <n v="0.1061"/>
    <n v="0.33"/>
    <n v="0.4627"/>
    <n v="8"/>
    <n v="46"/>
    <n v="54"/>
    <s v="Spring"/>
    <s v="Tuesday"/>
    <s v="Clear"/>
    <s v="Night"/>
    <x v="4"/>
    <x v="2"/>
    <x v="2"/>
    <x v="0"/>
    <s v="Mostly Registered"/>
    <n v="14.81481481481481"/>
    <n v="85.18518518518519"/>
    <x v="0"/>
    <x v="0"/>
    <s v="No"/>
    <n v="-3.3900000000000013E-2"/>
  </r>
  <r>
    <n v="876"/>
    <x v="38"/>
    <n v="1"/>
    <n v="22"/>
    <b v="0"/>
    <n v="2"/>
    <n v="1"/>
    <n v="0.12"/>
    <n v="0.1061"/>
    <n v="0.33"/>
    <n v="0.35820000000000002"/>
    <n v="0"/>
    <n v="29"/>
    <n v="29"/>
    <s v="Spring"/>
    <s v="Tuesday"/>
    <s v="Clear"/>
    <s v="Night"/>
    <x v="4"/>
    <x v="2"/>
    <x v="2"/>
    <x v="0"/>
    <s v="Mostly Registered"/>
    <n v="0"/>
    <n v="100"/>
    <x v="0"/>
    <x v="0"/>
    <s v="No"/>
    <n v="-1.3899999999999999E-2"/>
  </r>
  <r>
    <n v="877"/>
    <x v="38"/>
    <n v="1"/>
    <n v="23"/>
    <b v="0"/>
    <n v="2"/>
    <n v="1"/>
    <n v="0.12"/>
    <n v="0.1061"/>
    <n v="0.33"/>
    <n v="0.32840000000000003"/>
    <n v="3"/>
    <n v="9"/>
    <n v="12"/>
    <s v="Spring"/>
    <s v="Tuesday"/>
    <s v="Clear"/>
    <s v="Night"/>
    <x v="4"/>
    <x v="2"/>
    <x v="2"/>
    <x v="0"/>
    <s v="Mostly Registered"/>
    <n v="25"/>
    <n v="75"/>
    <x v="0"/>
    <x v="0"/>
    <s v="No"/>
    <n v="-1.3899999999999999E-2"/>
  </r>
  <r>
    <n v="878"/>
    <x v="39"/>
    <n v="1"/>
    <n v="0"/>
    <b v="0"/>
    <n v="3"/>
    <n v="1"/>
    <n v="0.1"/>
    <n v="7.5800000000000006E-2"/>
    <n v="0.36"/>
    <n v="0.35820000000000002"/>
    <n v="0"/>
    <n v="17"/>
    <n v="17"/>
    <s v="Spring"/>
    <s v="Wednesday"/>
    <s v="Clear"/>
    <s v="Night"/>
    <x v="4"/>
    <x v="2"/>
    <x v="2"/>
    <x v="0"/>
    <s v="Mostly Registered"/>
    <n v="0"/>
    <n v="100"/>
    <x v="0"/>
    <x v="0"/>
    <s v="No"/>
    <n v="-2.4199999999999999E-2"/>
  </r>
  <r>
    <n v="879"/>
    <x v="39"/>
    <n v="1"/>
    <n v="1"/>
    <b v="0"/>
    <n v="3"/>
    <n v="1"/>
    <n v="0.1"/>
    <n v="0.1061"/>
    <n v="0.36"/>
    <n v="0.22389999999999999"/>
    <n v="0"/>
    <n v="7"/>
    <n v="7"/>
    <s v="Spring"/>
    <s v="Wednesday"/>
    <s v="Clear"/>
    <s v="Night"/>
    <x v="4"/>
    <x v="2"/>
    <x v="1"/>
    <x v="0"/>
    <s v="Mostly Registered"/>
    <n v="0"/>
    <n v="100"/>
    <x v="0"/>
    <x v="0"/>
    <s v="No"/>
    <n v="6.0999999999999943E-3"/>
  </r>
  <r>
    <n v="880"/>
    <x v="39"/>
    <n v="1"/>
    <n v="2"/>
    <b v="0"/>
    <n v="3"/>
    <n v="1"/>
    <n v="0.08"/>
    <n v="7.5800000000000006E-2"/>
    <n v="0.38"/>
    <n v="0.28360000000000002"/>
    <n v="1"/>
    <n v="2"/>
    <n v="3"/>
    <s v="Spring"/>
    <s v="Wednesday"/>
    <s v="Clear"/>
    <s v="Night"/>
    <x v="4"/>
    <x v="2"/>
    <x v="1"/>
    <x v="0"/>
    <s v="Mostly Registered"/>
    <n v="33.333333333333329"/>
    <n v="66.666666666666657"/>
    <x v="0"/>
    <x v="0"/>
    <s v="No"/>
    <n v="-4.1999999999999954E-3"/>
  </r>
  <r>
    <n v="881"/>
    <x v="39"/>
    <n v="1"/>
    <n v="3"/>
    <b v="0"/>
    <n v="3"/>
    <n v="1"/>
    <n v="0.06"/>
    <n v="7.5800000000000006E-2"/>
    <n v="0.45"/>
    <n v="0.1343"/>
    <n v="0"/>
    <n v="2"/>
    <n v="2"/>
    <s v="Spring"/>
    <s v="Wednesday"/>
    <s v="Clear"/>
    <s v="Night"/>
    <x v="4"/>
    <x v="1"/>
    <x v="0"/>
    <x v="0"/>
    <s v="Mostly Registered"/>
    <n v="0"/>
    <n v="100"/>
    <x v="0"/>
    <x v="0"/>
    <s v="No"/>
    <n v="1.5800000000000008E-2"/>
  </r>
  <r>
    <n v="882"/>
    <x v="39"/>
    <n v="1"/>
    <n v="5"/>
    <b v="0"/>
    <n v="3"/>
    <n v="1"/>
    <n v="0.06"/>
    <n v="0.1061"/>
    <n v="0.45"/>
    <n v="0.1045"/>
    <n v="0"/>
    <n v="7"/>
    <n v="7"/>
    <s v="Spring"/>
    <s v="Wednesday"/>
    <s v="Clear"/>
    <s v="Night"/>
    <x v="4"/>
    <x v="1"/>
    <x v="0"/>
    <x v="0"/>
    <s v="Mostly Registered"/>
    <n v="0"/>
    <n v="100"/>
    <x v="0"/>
    <x v="0"/>
    <s v="No"/>
    <n v="4.6100000000000002E-2"/>
  </r>
  <r>
    <n v="883"/>
    <x v="39"/>
    <n v="1"/>
    <n v="6"/>
    <b v="0"/>
    <n v="3"/>
    <n v="1"/>
    <n v="0.06"/>
    <n v="0.1515"/>
    <n v="0.45"/>
    <n v="0"/>
    <n v="0"/>
    <n v="43"/>
    <n v="43"/>
    <s v="Spring"/>
    <s v="Wednesday"/>
    <s v="Clear"/>
    <s v="Morning"/>
    <x v="4"/>
    <x v="1"/>
    <x v="0"/>
    <x v="0"/>
    <s v="Mostly Registered"/>
    <n v="0"/>
    <n v="100"/>
    <x v="0"/>
    <x v="0"/>
    <s v="No"/>
    <n v="9.1499999999999998E-2"/>
  </r>
  <r>
    <n v="884"/>
    <x v="39"/>
    <n v="1"/>
    <n v="7"/>
    <b v="0"/>
    <n v="3"/>
    <n v="1"/>
    <n v="0.06"/>
    <n v="0.1061"/>
    <n v="0.49"/>
    <n v="0.1045"/>
    <n v="4"/>
    <n v="95"/>
    <n v="99"/>
    <s v="Spring"/>
    <s v="Wednesday"/>
    <s v="Clear"/>
    <s v="Morning"/>
    <x v="4"/>
    <x v="1"/>
    <x v="0"/>
    <x v="0"/>
    <s v="Mostly Registered"/>
    <n v="4.0404040404040407"/>
    <n v="95.959595959595958"/>
    <x v="1"/>
    <x v="0"/>
    <s v="No"/>
    <n v="4.6100000000000002E-2"/>
  </r>
  <r>
    <n v="885"/>
    <x v="39"/>
    <n v="1"/>
    <n v="8"/>
    <b v="0"/>
    <n v="3"/>
    <n v="1"/>
    <n v="0.1"/>
    <n v="0.13639999999999999"/>
    <n v="0.42"/>
    <n v="0"/>
    <n v="1"/>
    <n v="198"/>
    <n v="199"/>
    <s v="Spring"/>
    <s v="Wednesday"/>
    <s v="Clear"/>
    <s v="Morning"/>
    <x v="4"/>
    <x v="1"/>
    <x v="0"/>
    <x v="0"/>
    <s v="Mostly Registered"/>
    <n v="0.50251256281407031"/>
    <n v="99.497487437185924"/>
    <x v="1"/>
    <x v="1"/>
    <s v="No"/>
    <n v="3.6399999999999988E-2"/>
  </r>
  <r>
    <n v="886"/>
    <x v="39"/>
    <n v="1"/>
    <n v="9"/>
    <b v="0"/>
    <n v="3"/>
    <n v="1"/>
    <n v="0.12"/>
    <n v="0.13639999999999999"/>
    <n v="0.39"/>
    <n v="0.16420000000000001"/>
    <n v="4"/>
    <n v="119"/>
    <n v="123"/>
    <s v="Spring"/>
    <s v="Wednesday"/>
    <s v="Clear"/>
    <s v="Morning"/>
    <x v="4"/>
    <x v="2"/>
    <x v="1"/>
    <x v="0"/>
    <s v="Mostly Registered"/>
    <n v="3.2520325203252041"/>
    <n v="96.747967479674799"/>
    <x v="1"/>
    <x v="1"/>
    <s v="No"/>
    <n v="1.6400000000000001E-2"/>
  </r>
  <r>
    <n v="887"/>
    <x v="39"/>
    <n v="1"/>
    <n v="10"/>
    <b v="0"/>
    <n v="3"/>
    <n v="1"/>
    <n v="0.14000000000000001"/>
    <n v="0.18179999999999999"/>
    <n v="0.36"/>
    <n v="0"/>
    <n v="8"/>
    <n v="51"/>
    <n v="59"/>
    <s v="Spring"/>
    <s v="Wednesday"/>
    <s v="Clear"/>
    <s v="Morning"/>
    <x v="4"/>
    <x v="2"/>
    <x v="0"/>
    <x v="0"/>
    <s v="Mostly Registered"/>
    <n v="13.559322033898299"/>
    <n v="86.440677966101703"/>
    <x v="0"/>
    <x v="0"/>
    <s v="No"/>
    <n v="4.1799999999999983E-2"/>
  </r>
  <r>
    <n v="888"/>
    <x v="39"/>
    <n v="1"/>
    <n v="11"/>
    <b v="0"/>
    <n v="3"/>
    <n v="2"/>
    <n v="0.14000000000000001"/>
    <n v="0.1515"/>
    <n v="0.43"/>
    <n v="0.16420000000000001"/>
    <n v="1"/>
    <n v="40"/>
    <n v="41"/>
    <s v="Spring"/>
    <s v="Wednesday"/>
    <s v="Mist/Cloudy"/>
    <s v="Morning"/>
    <x v="4"/>
    <x v="1"/>
    <x v="1"/>
    <x v="0"/>
    <s v="Mostly Registered"/>
    <n v="2.4390243902439019"/>
    <n v="97.560975609756099"/>
    <x v="0"/>
    <x v="0"/>
    <s v="No"/>
    <n v="1.1499999999999981E-2"/>
  </r>
  <r>
    <n v="889"/>
    <x v="39"/>
    <n v="1"/>
    <n v="12"/>
    <b v="0"/>
    <n v="3"/>
    <n v="2"/>
    <n v="0.18"/>
    <n v="0.18179999999999999"/>
    <n v="0.4"/>
    <n v="0.22389999999999999"/>
    <n v="4"/>
    <n v="57"/>
    <n v="61"/>
    <s v="Spring"/>
    <s v="Wednesday"/>
    <s v="Mist/Cloudy"/>
    <s v="Afternoon"/>
    <x v="0"/>
    <x v="1"/>
    <x v="1"/>
    <x v="0"/>
    <s v="Mostly Registered"/>
    <n v="6.557377049180328"/>
    <n v="93.442622950819683"/>
    <x v="0"/>
    <x v="0"/>
    <s v="No"/>
    <n v="1.799999999999996E-3"/>
  </r>
  <r>
    <n v="890"/>
    <x v="39"/>
    <n v="1"/>
    <n v="13"/>
    <b v="0"/>
    <n v="3"/>
    <n v="1"/>
    <n v="0.18"/>
    <n v="0.16669999999999999"/>
    <n v="0.4"/>
    <n v="0.25369999999999998"/>
    <n v="2"/>
    <n v="67"/>
    <n v="69"/>
    <s v="Spring"/>
    <s v="Wednesday"/>
    <s v="Clear"/>
    <s v="Afternoon"/>
    <x v="0"/>
    <x v="1"/>
    <x v="1"/>
    <x v="0"/>
    <s v="Mostly Registered"/>
    <n v="2.8985507246376812"/>
    <n v="97.101449275362313"/>
    <x v="0"/>
    <x v="0"/>
    <s v="No"/>
    <n v="-1.330000000000001E-2"/>
  </r>
  <r>
    <n v="891"/>
    <x v="39"/>
    <n v="1"/>
    <n v="14"/>
    <b v="0"/>
    <n v="3"/>
    <n v="1"/>
    <n v="0.2"/>
    <n v="0.18179999999999999"/>
    <n v="0.34"/>
    <n v="0.29849999999999999"/>
    <n v="2"/>
    <n v="56"/>
    <n v="58"/>
    <s v="Spring"/>
    <s v="Wednesday"/>
    <s v="Clear"/>
    <s v="Afternoon"/>
    <x v="0"/>
    <x v="2"/>
    <x v="1"/>
    <x v="0"/>
    <s v="Mostly Registered"/>
    <n v="3.4482758620689649"/>
    <n v="96.551724137931032"/>
    <x v="0"/>
    <x v="0"/>
    <s v="No"/>
    <n v="-1.8200000000000022E-2"/>
  </r>
  <r>
    <n v="892"/>
    <x v="39"/>
    <n v="1"/>
    <n v="15"/>
    <b v="0"/>
    <n v="3"/>
    <n v="2"/>
    <n v="0.2"/>
    <n v="0.18179999999999999"/>
    <n v="0.34"/>
    <n v="0.28360000000000002"/>
    <n v="3"/>
    <n v="61"/>
    <n v="64"/>
    <s v="Spring"/>
    <s v="Wednesday"/>
    <s v="Mist/Cloudy"/>
    <s v="Afternoon"/>
    <x v="0"/>
    <x v="2"/>
    <x v="1"/>
    <x v="0"/>
    <s v="Mostly Registered"/>
    <n v="4.6875"/>
    <n v="95.3125"/>
    <x v="0"/>
    <x v="0"/>
    <s v="No"/>
    <n v="-1.8200000000000022E-2"/>
  </r>
  <r>
    <n v="893"/>
    <x v="39"/>
    <n v="1"/>
    <n v="16"/>
    <b v="0"/>
    <n v="3"/>
    <n v="2"/>
    <n v="0.2"/>
    <n v="0.19700000000000001"/>
    <n v="0.37"/>
    <n v="0.25369999999999998"/>
    <n v="7"/>
    <n v="72"/>
    <n v="79"/>
    <s v="Spring"/>
    <s v="Wednesday"/>
    <s v="Mist/Cloudy"/>
    <s v="Afternoon"/>
    <x v="0"/>
    <x v="2"/>
    <x v="1"/>
    <x v="0"/>
    <s v="Mostly Registered"/>
    <n v="8.8607594936708853"/>
    <n v="91.139240506329116"/>
    <x v="0"/>
    <x v="0"/>
    <s v="No"/>
    <n v="-3.0000000000000031E-3"/>
  </r>
  <r>
    <n v="894"/>
    <x v="39"/>
    <n v="1"/>
    <n v="17"/>
    <b v="0"/>
    <n v="3"/>
    <n v="2"/>
    <n v="0.2"/>
    <n v="0.19700000000000001"/>
    <n v="0.34"/>
    <n v="0.25369999999999998"/>
    <n v="9"/>
    <n v="157"/>
    <n v="166"/>
    <s v="Spring"/>
    <s v="Wednesday"/>
    <s v="Mist/Cloudy"/>
    <s v="Evening"/>
    <x v="0"/>
    <x v="2"/>
    <x v="1"/>
    <x v="0"/>
    <s v="Mostly Registered"/>
    <n v="5.4216867469879517"/>
    <n v="94.578313253012041"/>
    <x v="1"/>
    <x v="1"/>
    <s v="No"/>
    <n v="-3.0000000000000031E-3"/>
  </r>
  <r>
    <n v="895"/>
    <x v="39"/>
    <n v="1"/>
    <n v="18"/>
    <b v="0"/>
    <n v="3"/>
    <n v="2"/>
    <n v="0.18"/>
    <n v="0.16669999999999999"/>
    <n v="0.47"/>
    <n v="0.29849999999999999"/>
    <n v="2"/>
    <n v="168"/>
    <n v="170"/>
    <s v="Spring"/>
    <s v="Wednesday"/>
    <s v="Mist/Cloudy"/>
    <s v="Evening"/>
    <x v="0"/>
    <x v="1"/>
    <x v="1"/>
    <x v="0"/>
    <s v="Mostly Registered"/>
    <n v="1.1764705882352939"/>
    <n v="98.82352941176471"/>
    <x v="1"/>
    <x v="1"/>
    <s v="No"/>
    <n v="-1.330000000000001E-2"/>
  </r>
  <r>
    <n v="896"/>
    <x v="39"/>
    <n v="1"/>
    <n v="19"/>
    <b v="0"/>
    <n v="3"/>
    <n v="3"/>
    <n v="0.14000000000000001"/>
    <n v="0.1212"/>
    <n v="0.86"/>
    <n v="0.25369999999999998"/>
    <n v="1"/>
    <n v="87"/>
    <n v="88"/>
    <s v="Spring"/>
    <s v="Wednesday"/>
    <s v="Light Rain/Snow"/>
    <s v="Evening"/>
    <x v="4"/>
    <x v="0"/>
    <x v="1"/>
    <x v="0"/>
    <s v="Mostly Registered"/>
    <n v="1.136363636363636"/>
    <n v="98.86363636363636"/>
    <x v="1"/>
    <x v="0"/>
    <s v="No"/>
    <n v="-1.8800000000000011E-2"/>
  </r>
  <r>
    <n v="897"/>
    <x v="39"/>
    <n v="1"/>
    <n v="20"/>
    <b v="0"/>
    <n v="3"/>
    <n v="3"/>
    <n v="0.14000000000000001"/>
    <n v="0.1515"/>
    <n v="0.86"/>
    <n v="0.16420000000000001"/>
    <n v="0"/>
    <n v="84"/>
    <n v="84"/>
    <s v="Spring"/>
    <s v="Wednesday"/>
    <s v="Light Rain/Snow"/>
    <s v="Evening"/>
    <x v="4"/>
    <x v="0"/>
    <x v="1"/>
    <x v="0"/>
    <s v="Mostly Registered"/>
    <n v="0"/>
    <n v="100"/>
    <x v="0"/>
    <x v="0"/>
    <s v="No"/>
    <n v="1.1499999999999981E-2"/>
  </r>
  <r>
    <n v="898"/>
    <x v="39"/>
    <n v="1"/>
    <n v="21"/>
    <b v="0"/>
    <n v="3"/>
    <n v="2"/>
    <n v="0.14000000000000001"/>
    <n v="0.1515"/>
    <n v="0.86"/>
    <n v="0.16420000000000001"/>
    <n v="0"/>
    <n v="83"/>
    <n v="83"/>
    <s v="Spring"/>
    <s v="Wednesday"/>
    <s v="Mist/Cloudy"/>
    <s v="Night"/>
    <x v="4"/>
    <x v="0"/>
    <x v="1"/>
    <x v="0"/>
    <s v="Mostly Registered"/>
    <n v="0"/>
    <n v="100"/>
    <x v="0"/>
    <x v="0"/>
    <s v="No"/>
    <n v="1.1499999999999981E-2"/>
  </r>
  <r>
    <n v="899"/>
    <x v="39"/>
    <n v="1"/>
    <n v="22"/>
    <b v="0"/>
    <n v="3"/>
    <n v="3"/>
    <n v="0.16"/>
    <n v="0.16669999999999999"/>
    <n v="0.8"/>
    <n v="0.16420000000000001"/>
    <n v="4"/>
    <n v="42"/>
    <n v="46"/>
    <s v="Spring"/>
    <s v="Wednesday"/>
    <s v="Light Rain/Snow"/>
    <s v="Night"/>
    <x v="0"/>
    <x v="0"/>
    <x v="1"/>
    <x v="0"/>
    <s v="Mostly Registered"/>
    <n v="8.695652173913043"/>
    <n v="91.304347826086953"/>
    <x v="0"/>
    <x v="0"/>
    <s v="No"/>
    <n v="6.6999999999999837E-3"/>
  </r>
  <r>
    <n v="900"/>
    <x v="39"/>
    <n v="1"/>
    <n v="23"/>
    <b v="0"/>
    <n v="3"/>
    <n v="3"/>
    <n v="0.16"/>
    <n v="0.1515"/>
    <n v="0.8"/>
    <n v="0.19400000000000001"/>
    <n v="0"/>
    <n v="37"/>
    <n v="37"/>
    <s v="Spring"/>
    <s v="Wednesday"/>
    <s v="Light Rain/Snow"/>
    <s v="Night"/>
    <x v="0"/>
    <x v="0"/>
    <x v="1"/>
    <x v="0"/>
    <s v="Mostly Registered"/>
    <n v="0"/>
    <n v="100"/>
    <x v="0"/>
    <x v="0"/>
    <s v="No"/>
    <n v="-8.5000000000000075E-3"/>
  </r>
  <r>
    <n v="901"/>
    <x v="40"/>
    <n v="1"/>
    <n v="0"/>
    <b v="0"/>
    <n v="4"/>
    <n v="3"/>
    <n v="0.14000000000000001"/>
    <n v="0.13639999999999999"/>
    <n v="0.86"/>
    <n v="0.19400000000000001"/>
    <n v="0"/>
    <n v="16"/>
    <n v="16"/>
    <s v="Spring"/>
    <s v="Thursday"/>
    <s v="Light Rain/Snow"/>
    <s v="Night"/>
    <x v="4"/>
    <x v="0"/>
    <x v="1"/>
    <x v="0"/>
    <s v="Mostly Registered"/>
    <n v="0"/>
    <n v="100"/>
    <x v="0"/>
    <x v="0"/>
    <s v="No"/>
    <n v="-3.6000000000000199E-3"/>
  </r>
  <r>
    <n v="902"/>
    <x v="40"/>
    <n v="1"/>
    <n v="1"/>
    <b v="0"/>
    <n v="4"/>
    <n v="3"/>
    <n v="0.14000000000000001"/>
    <n v="0.1515"/>
    <n v="0.8"/>
    <n v="0.1343"/>
    <n v="0"/>
    <n v="7"/>
    <n v="7"/>
    <s v="Spring"/>
    <s v="Thursday"/>
    <s v="Light Rain/Snow"/>
    <s v="Night"/>
    <x v="4"/>
    <x v="0"/>
    <x v="0"/>
    <x v="0"/>
    <s v="Mostly Registered"/>
    <n v="0"/>
    <n v="100"/>
    <x v="0"/>
    <x v="0"/>
    <s v="No"/>
    <n v="1.1499999999999981E-2"/>
  </r>
  <r>
    <n v="903"/>
    <x v="40"/>
    <n v="1"/>
    <n v="2"/>
    <b v="0"/>
    <n v="4"/>
    <n v="3"/>
    <n v="0.14000000000000001"/>
    <n v="0.1515"/>
    <n v="0.8"/>
    <n v="0.1343"/>
    <n v="0"/>
    <n v="3"/>
    <n v="3"/>
    <s v="Spring"/>
    <s v="Thursday"/>
    <s v="Light Rain/Snow"/>
    <s v="Night"/>
    <x v="4"/>
    <x v="0"/>
    <x v="0"/>
    <x v="0"/>
    <s v="Mostly Registered"/>
    <n v="0"/>
    <n v="100"/>
    <x v="0"/>
    <x v="0"/>
    <s v="No"/>
    <n v="1.1499999999999981E-2"/>
  </r>
  <r>
    <n v="904"/>
    <x v="40"/>
    <n v="1"/>
    <n v="4"/>
    <b v="0"/>
    <n v="4"/>
    <n v="2"/>
    <n v="0.14000000000000001"/>
    <n v="0.13639999999999999"/>
    <n v="0.59"/>
    <n v="0.22389999999999999"/>
    <n v="0"/>
    <n v="1"/>
    <n v="1"/>
    <s v="Spring"/>
    <s v="Thursday"/>
    <s v="Mist/Cloudy"/>
    <s v="Night"/>
    <x v="4"/>
    <x v="1"/>
    <x v="1"/>
    <x v="0"/>
    <s v="Mostly Registered"/>
    <n v="0"/>
    <n v="100"/>
    <x v="0"/>
    <x v="0"/>
    <s v="No"/>
    <n v="-3.6000000000000199E-3"/>
  </r>
  <r>
    <n v="905"/>
    <x v="40"/>
    <n v="1"/>
    <n v="5"/>
    <b v="0"/>
    <n v="4"/>
    <n v="2"/>
    <n v="0.12"/>
    <n v="0.1212"/>
    <n v="0.5"/>
    <n v="0.22389999999999999"/>
    <n v="0"/>
    <n v="6"/>
    <n v="6"/>
    <s v="Spring"/>
    <s v="Thursday"/>
    <s v="Mist/Cloudy"/>
    <s v="Night"/>
    <x v="4"/>
    <x v="1"/>
    <x v="1"/>
    <x v="0"/>
    <s v="Mostly Registered"/>
    <n v="0"/>
    <n v="100"/>
    <x v="0"/>
    <x v="0"/>
    <s v="No"/>
    <n v="1.2000000000000071E-3"/>
  </r>
  <r>
    <n v="906"/>
    <x v="40"/>
    <n v="1"/>
    <n v="6"/>
    <b v="0"/>
    <n v="4"/>
    <n v="2"/>
    <n v="0.12"/>
    <n v="0.1212"/>
    <n v="0.54"/>
    <n v="0.28360000000000002"/>
    <n v="0"/>
    <n v="26"/>
    <n v="26"/>
    <s v="Spring"/>
    <s v="Thursday"/>
    <s v="Mist/Cloudy"/>
    <s v="Morning"/>
    <x v="4"/>
    <x v="1"/>
    <x v="1"/>
    <x v="0"/>
    <s v="Mostly Registered"/>
    <n v="0"/>
    <n v="100"/>
    <x v="0"/>
    <x v="0"/>
    <s v="No"/>
    <n v="1.2000000000000071E-3"/>
  </r>
  <r>
    <n v="907"/>
    <x v="40"/>
    <n v="1"/>
    <n v="7"/>
    <b v="0"/>
    <n v="4"/>
    <n v="1"/>
    <n v="0.1"/>
    <n v="7.5800000000000006E-2"/>
    <n v="0.5"/>
    <n v="0.41789999999999999"/>
    <n v="0"/>
    <n v="99"/>
    <n v="99"/>
    <s v="Spring"/>
    <s v="Thursday"/>
    <s v="Clear"/>
    <s v="Morning"/>
    <x v="4"/>
    <x v="1"/>
    <x v="2"/>
    <x v="0"/>
    <s v="Mostly Registered"/>
    <n v="0"/>
    <n v="100"/>
    <x v="1"/>
    <x v="0"/>
    <s v="No"/>
    <n v="-2.4199999999999999E-2"/>
  </r>
  <r>
    <n v="908"/>
    <x v="40"/>
    <n v="1"/>
    <n v="8"/>
    <b v="0"/>
    <n v="4"/>
    <n v="1"/>
    <n v="0.1"/>
    <n v="7.5800000000000006E-2"/>
    <n v="0.49"/>
    <n v="0.32840000000000003"/>
    <n v="5"/>
    <n v="173"/>
    <n v="178"/>
    <s v="Spring"/>
    <s v="Thursday"/>
    <s v="Clear"/>
    <s v="Morning"/>
    <x v="4"/>
    <x v="1"/>
    <x v="2"/>
    <x v="0"/>
    <s v="Mostly Registered"/>
    <n v="2.808988764044944"/>
    <n v="97.19101123595506"/>
    <x v="1"/>
    <x v="1"/>
    <s v="No"/>
    <n v="-2.4199999999999999E-2"/>
  </r>
  <r>
    <n v="909"/>
    <x v="40"/>
    <n v="1"/>
    <n v="9"/>
    <b v="0"/>
    <n v="4"/>
    <n v="1"/>
    <n v="0.12"/>
    <n v="0.1061"/>
    <n v="0.42"/>
    <n v="0.35820000000000002"/>
    <n v="1"/>
    <n v="121"/>
    <n v="122"/>
    <s v="Spring"/>
    <s v="Thursday"/>
    <s v="Clear"/>
    <s v="Morning"/>
    <x v="4"/>
    <x v="1"/>
    <x v="2"/>
    <x v="0"/>
    <s v="Mostly Registered"/>
    <n v="0.81967213114754101"/>
    <n v="99.180327868852459"/>
    <x v="1"/>
    <x v="1"/>
    <s v="No"/>
    <n v="-1.3899999999999999E-2"/>
  </r>
  <r>
    <n v="910"/>
    <x v="40"/>
    <n v="1"/>
    <n v="10"/>
    <b v="0"/>
    <n v="4"/>
    <n v="1"/>
    <n v="0.12"/>
    <n v="0.1061"/>
    <n v="0.42"/>
    <n v="0.29849999999999999"/>
    <n v="1"/>
    <n v="34"/>
    <n v="35"/>
    <s v="Spring"/>
    <s v="Thursday"/>
    <s v="Clear"/>
    <s v="Morning"/>
    <x v="4"/>
    <x v="1"/>
    <x v="1"/>
    <x v="0"/>
    <s v="Mostly Registered"/>
    <n v="2.8571428571428572"/>
    <n v="97.142857142857139"/>
    <x v="0"/>
    <x v="0"/>
    <s v="No"/>
    <n v="-1.3899999999999999E-2"/>
  </r>
  <r>
    <n v="911"/>
    <x v="40"/>
    <n v="1"/>
    <n v="11"/>
    <b v="0"/>
    <n v="4"/>
    <n v="1"/>
    <n v="0.14000000000000001"/>
    <n v="0.1212"/>
    <n v="0.39"/>
    <n v="0.35820000000000002"/>
    <n v="1"/>
    <n v="44"/>
    <n v="45"/>
    <s v="Spring"/>
    <s v="Thursday"/>
    <s v="Clear"/>
    <s v="Morning"/>
    <x v="4"/>
    <x v="2"/>
    <x v="2"/>
    <x v="0"/>
    <s v="Mostly Registered"/>
    <n v="2.2222222222222219"/>
    <n v="97.777777777777771"/>
    <x v="0"/>
    <x v="0"/>
    <s v="No"/>
    <n v="-1.8800000000000011E-2"/>
  </r>
  <r>
    <n v="912"/>
    <x v="40"/>
    <n v="1"/>
    <n v="12"/>
    <b v="0"/>
    <n v="4"/>
    <n v="1"/>
    <n v="0.16"/>
    <n v="0.13639999999999999"/>
    <n v="0.34"/>
    <n v="0.3881"/>
    <n v="4"/>
    <n v="65"/>
    <n v="69"/>
    <s v="Spring"/>
    <s v="Thursday"/>
    <s v="Clear"/>
    <s v="Afternoon"/>
    <x v="0"/>
    <x v="2"/>
    <x v="2"/>
    <x v="0"/>
    <s v="Mostly Registered"/>
    <n v="5.7971014492753623"/>
    <n v="94.20289855072464"/>
    <x v="0"/>
    <x v="0"/>
    <s v="No"/>
    <n v="-2.360000000000001E-2"/>
  </r>
  <r>
    <n v="913"/>
    <x v="40"/>
    <n v="1"/>
    <n v="13"/>
    <b v="0"/>
    <n v="4"/>
    <n v="1"/>
    <n v="0.18"/>
    <n v="0.16669999999999999"/>
    <n v="0.28999999999999998"/>
    <n v="0.29849999999999999"/>
    <n v="3"/>
    <n v="59"/>
    <n v="62"/>
    <s v="Spring"/>
    <s v="Thursday"/>
    <s v="Clear"/>
    <s v="Afternoon"/>
    <x v="0"/>
    <x v="2"/>
    <x v="1"/>
    <x v="0"/>
    <s v="Mostly Registered"/>
    <n v="4.838709677419355"/>
    <n v="95.161290322580655"/>
    <x v="0"/>
    <x v="0"/>
    <s v="No"/>
    <n v="-1.330000000000001E-2"/>
  </r>
  <r>
    <n v="914"/>
    <x v="40"/>
    <n v="1"/>
    <n v="14"/>
    <b v="0"/>
    <n v="4"/>
    <n v="1"/>
    <n v="0.2"/>
    <n v="0.18179999999999999"/>
    <n v="0.27"/>
    <n v="0.28360000000000002"/>
    <n v="6"/>
    <n v="42"/>
    <n v="48"/>
    <s v="Spring"/>
    <s v="Thursday"/>
    <s v="Clear"/>
    <s v="Afternoon"/>
    <x v="0"/>
    <x v="2"/>
    <x v="1"/>
    <x v="0"/>
    <s v="Mostly Registered"/>
    <n v="12.5"/>
    <n v="87.5"/>
    <x v="0"/>
    <x v="0"/>
    <s v="No"/>
    <n v="-1.8200000000000022E-2"/>
  </r>
  <r>
    <n v="915"/>
    <x v="40"/>
    <n v="1"/>
    <n v="15"/>
    <b v="0"/>
    <n v="4"/>
    <n v="1"/>
    <n v="0.2"/>
    <n v="0.19700000000000001"/>
    <n v="0.25"/>
    <n v="0.25369999999999998"/>
    <n v="0"/>
    <n v="50"/>
    <n v="50"/>
    <s v="Spring"/>
    <s v="Thursday"/>
    <s v="Clear"/>
    <s v="Afternoon"/>
    <x v="0"/>
    <x v="2"/>
    <x v="1"/>
    <x v="0"/>
    <s v="Mostly Registered"/>
    <n v="0"/>
    <n v="100"/>
    <x v="0"/>
    <x v="0"/>
    <s v="No"/>
    <n v="-3.0000000000000031E-3"/>
  </r>
  <r>
    <n v="916"/>
    <x v="40"/>
    <n v="1"/>
    <n v="16"/>
    <b v="0"/>
    <n v="4"/>
    <n v="1"/>
    <n v="0.2"/>
    <n v="0.18179999999999999"/>
    <n v="0.27"/>
    <n v="0.29849999999999999"/>
    <n v="4"/>
    <n v="76"/>
    <n v="80"/>
    <s v="Spring"/>
    <s v="Thursday"/>
    <s v="Clear"/>
    <s v="Afternoon"/>
    <x v="0"/>
    <x v="2"/>
    <x v="1"/>
    <x v="0"/>
    <s v="Mostly Registered"/>
    <n v="5"/>
    <n v="95"/>
    <x v="0"/>
    <x v="0"/>
    <s v="No"/>
    <n v="-1.8200000000000022E-2"/>
  </r>
  <r>
    <n v="917"/>
    <x v="40"/>
    <n v="1"/>
    <n v="17"/>
    <b v="0"/>
    <n v="4"/>
    <n v="1"/>
    <n v="0.18"/>
    <n v="0.18179999999999999"/>
    <n v="0.26"/>
    <n v="0.19400000000000001"/>
    <n v="6"/>
    <n v="159"/>
    <n v="165"/>
    <s v="Spring"/>
    <s v="Thursday"/>
    <s v="Clear"/>
    <s v="Evening"/>
    <x v="0"/>
    <x v="2"/>
    <x v="1"/>
    <x v="0"/>
    <s v="Mostly Registered"/>
    <n v="3.6363636363636358"/>
    <n v="96.36363636363636"/>
    <x v="1"/>
    <x v="1"/>
    <s v="No"/>
    <n v="1.799999999999996E-3"/>
  </r>
  <r>
    <n v="918"/>
    <x v="40"/>
    <n v="1"/>
    <n v="18"/>
    <b v="0"/>
    <n v="4"/>
    <n v="1"/>
    <n v="0.16"/>
    <n v="0.18179999999999999"/>
    <n v="0.28000000000000003"/>
    <n v="0.1343"/>
    <n v="3"/>
    <n v="157"/>
    <n v="160"/>
    <s v="Spring"/>
    <s v="Thursday"/>
    <s v="Clear"/>
    <s v="Evening"/>
    <x v="0"/>
    <x v="2"/>
    <x v="0"/>
    <x v="0"/>
    <s v="Mostly Registered"/>
    <n v="1.875"/>
    <n v="98.125"/>
    <x v="1"/>
    <x v="1"/>
    <s v="No"/>
    <n v="2.179999999999999E-2"/>
  </r>
  <r>
    <n v="919"/>
    <x v="40"/>
    <n v="1"/>
    <n v="19"/>
    <b v="0"/>
    <n v="4"/>
    <n v="1"/>
    <n v="0.14000000000000001"/>
    <n v="0.16669999999999999"/>
    <n v="0.28000000000000003"/>
    <n v="0.1045"/>
    <n v="2"/>
    <n v="110"/>
    <n v="112"/>
    <s v="Spring"/>
    <s v="Thursday"/>
    <s v="Clear"/>
    <s v="Evening"/>
    <x v="4"/>
    <x v="2"/>
    <x v="0"/>
    <x v="0"/>
    <s v="Mostly Registered"/>
    <n v="1.785714285714286"/>
    <n v="98.214285714285708"/>
    <x v="1"/>
    <x v="1"/>
    <s v="No"/>
    <n v="2.669999999999997E-2"/>
  </r>
  <r>
    <n v="920"/>
    <x v="40"/>
    <n v="1"/>
    <n v="20"/>
    <b v="0"/>
    <n v="4"/>
    <n v="1"/>
    <n v="0.14000000000000001"/>
    <n v="0.18179999999999999"/>
    <n v="0.31"/>
    <n v="8.9599999999999999E-2"/>
    <n v="4"/>
    <n v="93"/>
    <n v="97"/>
    <s v="Spring"/>
    <s v="Thursday"/>
    <s v="Clear"/>
    <s v="Evening"/>
    <x v="4"/>
    <x v="2"/>
    <x v="0"/>
    <x v="0"/>
    <s v="Mostly Registered"/>
    <n v="4.1237113402061851"/>
    <n v="95.876288659793815"/>
    <x v="0"/>
    <x v="0"/>
    <s v="No"/>
    <n v="4.1799999999999983E-2"/>
  </r>
  <r>
    <n v="921"/>
    <x v="40"/>
    <n v="1"/>
    <n v="21"/>
    <b v="0"/>
    <n v="4"/>
    <n v="1"/>
    <n v="0.14000000000000001"/>
    <n v="0.21210000000000001"/>
    <n v="0.39"/>
    <n v="0"/>
    <n v="2"/>
    <n v="70"/>
    <n v="72"/>
    <s v="Spring"/>
    <s v="Thursday"/>
    <s v="Clear"/>
    <s v="Night"/>
    <x v="4"/>
    <x v="2"/>
    <x v="0"/>
    <x v="0"/>
    <s v="Mostly Registered"/>
    <n v="2.7777777777777781"/>
    <n v="97.222222222222214"/>
    <x v="0"/>
    <x v="0"/>
    <s v="No"/>
    <n v="7.2099999999999997E-2"/>
  </r>
  <r>
    <n v="922"/>
    <x v="40"/>
    <n v="1"/>
    <n v="22"/>
    <b v="0"/>
    <n v="4"/>
    <n v="1"/>
    <n v="0.12"/>
    <n v="0.19700000000000001"/>
    <n v="0.39"/>
    <n v="0"/>
    <n v="4"/>
    <n v="47"/>
    <n v="51"/>
    <s v="Spring"/>
    <s v="Thursday"/>
    <s v="Clear"/>
    <s v="Night"/>
    <x v="4"/>
    <x v="2"/>
    <x v="0"/>
    <x v="0"/>
    <s v="Mostly Registered"/>
    <n v="7.8431372549019596"/>
    <n v="92.156862745098039"/>
    <x v="0"/>
    <x v="0"/>
    <s v="No"/>
    <n v="7.7000000000000013E-2"/>
  </r>
  <r>
    <n v="923"/>
    <x v="40"/>
    <n v="1"/>
    <n v="23"/>
    <b v="0"/>
    <n v="4"/>
    <n v="1"/>
    <n v="0.12"/>
    <n v="0.1515"/>
    <n v="0.42"/>
    <n v="0.1045"/>
    <n v="1"/>
    <n v="33"/>
    <n v="34"/>
    <s v="Spring"/>
    <s v="Thursday"/>
    <s v="Clear"/>
    <s v="Night"/>
    <x v="4"/>
    <x v="1"/>
    <x v="0"/>
    <x v="0"/>
    <s v="Mostly Registered"/>
    <n v="2.9411764705882351"/>
    <n v="97.058823529411768"/>
    <x v="0"/>
    <x v="0"/>
    <s v="No"/>
    <n v="3.15E-2"/>
  </r>
  <r>
    <n v="924"/>
    <x v="41"/>
    <n v="1"/>
    <n v="0"/>
    <b v="0"/>
    <n v="5"/>
    <n v="1"/>
    <n v="0.1"/>
    <n v="0.13639999999999999"/>
    <n v="0.49"/>
    <n v="0.1045"/>
    <n v="2"/>
    <n v="12"/>
    <n v="14"/>
    <s v="Spring"/>
    <s v="Friday"/>
    <s v="Clear"/>
    <s v="Night"/>
    <x v="4"/>
    <x v="1"/>
    <x v="0"/>
    <x v="0"/>
    <s v="Mostly Registered"/>
    <n v="14.285714285714279"/>
    <n v="85.714285714285708"/>
    <x v="0"/>
    <x v="0"/>
    <s v="No"/>
    <n v="3.6399999999999988E-2"/>
  </r>
  <r>
    <n v="925"/>
    <x v="41"/>
    <n v="1"/>
    <n v="1"/>
    <b v="0"/>
    <n v="5"/>
    <n v="1"/>
    <n v="0.1"/>
    <n v="0.13639999999999999"/>
    <n v="0.54"/>
    <n v="8.9599999999999999E-2"/>
    <n v="1"/>
    <n v="6"/>
    <n v="7"/>
    <s v="Spring"/>
    <s v="Friday"/>
    <s v="Clear"/>
    <s v="Night"/>
    <x v="4"/>
    <x v="1"/>
    <x v="0"/>
    <x v="0"/>
    <s v="Mostly Registered"/>
    <n v="14.285714285714279"/>
    <n v="85.714285714285708"/>
    <x v="0"/>
    <x v="0"/>
    <s v="No"/>
    <n v="3.6399999999999988E-2"/>
  </r>
  <r>
    <n v="926"/>
    <x v="41"/>
    <n v="1"/>
    <n v="2"/>
    <b v="0"/>
    <n v="5"/>
    <n v="1"/>
    <n v="0.1"/>
    <n v="0.13639999999999999"/>
    <n v="0.54"/>
    <n v="8.9599999999999999E-2"/>
    <n v="0"/>
    <n v="3"/>
    <n v="3"/>
    <s v="Spring"/>
    <s v="Friday"/>
    <s v="Clear"/>
    <s v="Night"/>
    <x v="4"/>
    <x v="1"/>
    <x v="0"/>
    <x v="0"/>
    <s v="Mostly Registered"/>
    <n v="0"/>
    <n v="100"/>
    <x v="0"/>
    <x v="0"/>
    <s v="No"/>
    <n v="3.6399999999999988E-2"/>
  </r>
  <r>
    <n v="927"/>
    <x v="41"/>
    <n v="1"/>
    <n v="5"/>
    <b v="0"/>
    <n v="5"/>
    <n v="1"/>
    <n v="0.08"/>
    <n v="0.1212"/>
    <n v="0.63"/>
    <n v="8.9599999999999999E-2"/>
    <n v="0"/>
    <n v="4"/>
    <n v="4"/>
    <s v="Spring"/>
    <s v="Friday"/>
    <s v="Clear"/>
    <s v="Night"/>
    <x v="4"/>
    <x v="1"/>
    <x v="0"/>
    <x v="0"/>
    <s v="Mostly Registered"/>
    <n v="0"/>
    <n v="100"/>
    <x v="0"/>
    <x v="0"/>
    <s v="No"/>
    <n v="4.1200000000000001E-2"/>
  </r>
  <r>
    <n v="928"/>
    <x v="41"/>
    <n v="1"/>
    <n v="6"/>
    <b v="0"/>
    <n v="5"/>
    <n v="1"/>
    <n v="0.1"/>
    <n v="0.18179999999999999"/>
    <n v="0.68"/>
    <n v="0"/>
    <n v="1"/>
    <n v="23"/>
    <n v="24"/>
    <s v="Spring"/>
    <s v="Friday"/>
    <s v="Clear"/>
    <s v="Morning"/>
    <x v="4"/>
    <x v="1"/>
    <x v="0"/>
    <x v="0"/>
    <s v="Mostly Registered"/>
    <n v="4.1666666666666661"/>
    <n v="95.833333333333343"/>
    <x v="0"/>
    <x v="0"/>
    <s v="No"/>
    <n v="8.1799999999999984E-2"/>
  </r>
  <r>
    <n v="929"/>
    <x v="41"/>
    <n v="1"/>
    <n v="7"/>
    <b v="0"/>
    <n v="5"/>
    <n v="1"/>
    <n v="0.08"/>
    <n v="0.16669999999999999"/>
    <n v="0.73"/>
    <n v="0"/>
    <n v="1"/>
    <n v="73"/>
    <n v="74"/>
    <s v="Spring"/>
    <s v="Friday"/>
    <s v="Clear"/>
    <s v="Morning"/>
    <x v="4"/>
    <x v="0"/>
    <x v="0"/>
    <x v="0"/>
    <s v="Mostly Registered"/>
    <n v="1.3513513513513511"/>
    <n v="98.648648648648646"/>
    <x v="1"/>
    <x v="0"/>
    <s v="No"/>
    <n v="8.6699999999999985E-2"/>
  </r>
  <r>
    <n v="930"/>
    <x v="41"/>
    <n v="1"/>
    <n v="8"/>
    <b v="0"/>
    <n v="5"/>
    <n v="1"/>
    <n v="0.1"/>
    <n v="0.1212"/>
    <n v="0.74"/>
    <n v="0.16420000000000001"/>
    <n v="4"/>
    <n v="212"/>
    <n v="216"/>
    <s v="Spring"/>
    <s v="Friday"/>
    <s v="Clear"/>
    <s v="Morning"/>
    <x v="4"/>
    <x v="0"/>
    <x v="1"/>
    <x v="0"/>
    <s v="Mostly Registered"/>
    <n v="1.8518518518518521"/>
    <n v="98.148148148148152"/>
    <x v="1"/>
    <x v="1"/>
    <s v="No"/>
    <n v="2.12E-2"/>
  </r>
  <r>
    <n v="931"/>
    <x v="41"/>
    <n v="1"/>
    <n v="9"/>
    <b v="0"/>
    <n v="5"/>
    <n v="1"/>
    <n v="0.12"/>
    <n v="0.1212"/>
    <n v="0.74"/>
    <n v="0.22389999999999999"/>
    <n v="8"/>
    <n v="132"/>
    <n v="140"/>
    <s v="Spring"/>
    <s v="Friday"/>
    <s v="Clear"/>
    <s v="Morning"/>
    <x v="4"/>
    <x v="0"/>
    <x v="1"/>
    <x v="0"/>
    <s v="Mostly Registered"/>
    <n v="5.7142857142857144"/>
    <n v="94.285714285714278"/>
    <x v="1"/>
    <x v="1"/>
    <s v="No"/>
    <n v="1.2000000000000071E-3"/>
  </r>
  <r>
    <n v="932"/>
    <x v="41"/>
    <n v="1"/>
    <n v="10"/>
    <b v="0"/>
    <n v="5"/>
    <n v="1"/>
    <n v="0.14000000000000001"/>
    <n v="0.13639999999999999"/>
    <n v="0.69"/>
    <n v="0.19400000000000001"/>
    <n v="5"/>
    <n v="39"/>
    <n v="44"/>
    <s v="Spring"/>
    <s v="Friday"/>
    <s v="Clear"/>
    <s v="Morning"/>
    <x v="4"/>
    <x v="1"/>
    <x v="1"/>
    <x v="0"/>
    <s v="Mostly Registered"/>
    <n v="11.36363636363636"/>
    <n v="88.63636363636364"/>
    <x v="0"/>
    <x v="0"/>
    <s v="No"/>
    <n v="-3.6000000000000199E-3"/>
  </r>
  <r>
    <n v="933"/>
    <x v="41"/>
    <n v="1"/>
    <n v="11"/>
    <b v="0"/>
    <n v="5"/>
    <n v="1"/>
    <n v="0.22"/>
    <n v="0.2273"/>
    <n v="0.47"/>
    <n v="0.1343"/>
    <n v="12"/>
    <n v="52"/>
    <n v="64"/>
    <s v="Spring"/>
    <s v="Friday"/>
    <s v="Clear"/>
    <s v="Morning"/>
    <x v="0"/>
    <x v="1"/>
    <x v="0"/>
    <x v="0"/>
    <s v="Mostly Registered"/>
    <n v="18.75"/>
    <n v="81.25"/>
    <x v="0"/>
    <x v="0"/>
    <s v="No"/>
    <n v="7.3000000000000009E-3"/>
  </r>
  <r>
    <n v="934"/>
    <x v="41"/>
    <n v="1"/>
    <n v="12"/>
    <b v="0"/>
    <n v="5"/>
    <n v="1"/>
    <n v="0.22"/>
    <n v="0.2273"/>
    <n v="0.47"/>
    <n v="0.1343"/>
    <n v="7"/>
    <n v="64"/>
    <n v="71"/>
    <s v="Spring"/>
    <s v="Friday"/>
    <s v="Clear"/>
    <s v="Afternoon"/>
    <x v="0"/>
    <x v="1"/>
    <x v="0"/>
    <x v="0"/>
    <s v="Mostly Registered"/>
    <n v="9.8591549295774641"/>
    <n v="90.140845070422543"/>
    <x v="0"/>
    <x v="0"/>
    <s v="No"/>
    <n v="7.3000000000000009E-3"/>
  </r>
  <r>
    <n v="935"/>
    <x v="41"/>
    <n v="1"/>
    <n v="13"/>
    <b v="0"/>
    <n v="5"/>
    <n v="1"/>
    <n v="0.24"/>
    <n v="0.2273"/>
    <n v="0.35"/>
    <n v="0.19400000000000001"/>
    <n v="21"/>
    <n v="89"/>
    <n v="110"/>
    <s v="Spring"/>
    <s v="Friday"/>
    <s v="Clear"/>
    <s v="Afternoon"/>
    <x v="0"/>
    <x v="2"/>
    <x v="1"/>
    <x v="0"/>
    <s v="Mostly Registered"/>
    <n v="19.09090909090909"/>
    <n v="80.909090909090907"/>
    <x v="0"/>
    <x v="1"/>
    <s v="No"/>
    <n v="-1.2699999999999991E-2"/>
  </r>
  <r>
    <n v="936"/>
    <x v="41"/>
    <n v="1"/>
    <n v="14"/>
    <b v="0"/>
    <n v="5"/>
    <n v="1"/>
    <n v="0.3"/>
    <n v="0.28789999999999999"/>
    <n v="0.26"/>
    <n v="0.25369999999999998"/>
    <n v="17"/>
    <n v="67"/>
    <n v="84"/>
    <s v="Spring"/>
    <s v="Friday"/>
    <s v="Clear"/>
    <s v="Afternoon"/>
    <x v="1"/>
    <x v="2"/>
    <x v="1"/>
    <x v="0"/>
    <s v="Mostly Registered"/>
    <n v="20.238095238095241"/>
    <n v="79.761904761904773"/>
    <x v="0"/>
    <x v="0"/>
    <s v="No"/>
    <n v="-1.21E-2"/>
  </r>
  <r>
    <n v="937"/>
    <x v="41"/>
    <n v="1"/>
    <n v="15"/>
    <b v="0"/>
    <n v="5"/>
    <n v="1"/>
    <n v="0.32"/>
    <n v="0.31819999999999998"/>
    <n v="0.21"/>
    <n v="0.16420000000000001"/>
    <n v="12"/>
    <n v="62"/>
    <n v="74"/>
    <s v="Spring"/>
    <s v="Friday"/>
    <s v="Clear"/>
    <s v="Afternoon"/>
    <x v="1"/>
    <x v="2"/>
    <x v="1"/>
    <x v="0"/>
    <s v="Mostly Registered"/>
    <n v="16.216216216216221"/>
    <n v="83.78378378378379"/>
    <x v="0"/>
    <x v="0"/>
    <s v="No"/>
    <n v="-1.800000000000024E-3"/>
  </r>
  <r>
    <n v="938"/>
    <x v="41"/>
    <n v="1"/>
    <n v="16"/>
    <b v="0"/>
    <n v="5"/>
    <n v="1"/>
    <n v="0.3"/>
    <n v="0.28789999999999999"/>
    <n v="0.28000000000000003"/>
    <n v="0.19400000000000001"/>
    <n v="14"/>
    <n v="111"/>
    <n v="125"/>
    <s v="Spring"/>
    <s v="Friday"/>
    <s v="Clear"/>
    <s v="Afternoon"/>
    <x v="1"/>
    <x v="2"/>
    <x v="1"/>
    <x v="0"/>
    <s v="Mostly Registered"/>
    <n v="11.2"/>
    <n v="88.8"/>
    <x v="0"/>
    <x v="1"/>
    <s v="No"/>
    <n v="-1.21E-2"/>
  </r>
  <r>
    <n v="939"/>
    <x v="41"/>
    <n v="1"/>
    <n v="17"/>
    <b v="0"/>
    <n v="5"/>
    <n v="1"/>
    <n v="0.3"/>
    <n v="0.33329999999999999"/>
    <n v="0.24"/>
    <n v="0"/>
    <n v="18"/>
    <n v="193"/>
    <n v="211"/>
    <s v="Spring"/>
    <s v="Friday"/>
    <s v="Clear"/>
    <s v="Evening"/>
    <x v="1"/>
    <x v="2"/>
    <x v="0"/>
    <x v="0"/>
    <s v="Mostly Registered"/>
    <n v="8.5308056872037916"/>
    <n v="91.469194312796205"/>
    <x v="1"/>
    <x v="1"/>
    <s v="No"/>
    <n v="3.3300000000000003E-2"/>
  </r>
  <r>
    <n v="940"/>
    <x v="41"/>
    <n v="1"/>
    <n v="18"/>
    <b v="0"/>
    <n v="5"/>
    <n v="1"/>
    <n v="0.28000000000000003"/>
    <n v="0.31819999999999998"/>
    <n v="0.28000000000000003"/>
    <n v="0"/>
    <n v="9"/>
    <n v="165"/>
    <n v="174"/>
    <s v="Spring"/>
    <s v="Friday"/>
    <s v="Clear"/>
    <s v="Evening"/>
    <x v="1"/>
    <x v="2"/>
    <x v="0"/>
    <x v="0"/>
    <s v="Mostly Registered"/>
    <n v="5.1724137931034484"/>
    <n v="94.827586206896555"/>
    <x v="1"/>
    <x v="1"/>
    <s v="No"/>
    <n v="3.8199999999999963E-2"/>
  </r>
  <r>
    <n v="941"/>
    <x v="41"/>
    <n v="1"/>
    <n v="19"/>
    <b v="0"/>
    <n v="5"/>
    <n v="1"/>
    <n v="0.26"/>
    <n v="0.30299999999999999"/>
    <n v="0.33"/>
    <n v="0"/>
    <n v="7"/>
    <n v="94"/>
    <n v="101"/>
    <s v="Spring"/>
    <s v="Friday"/>
    <s v="Clear"/>
    <s v="Evening"/>
    <x v="1"/>
    <x v="2"/>
    <x v="0"/>
    <x v="0"/>
    <s v="Mostly Registered"/>
    <n v="6.9306930693069324"/>
    <n v="93.069306930693074"/>
    <x v="1"/>
    <x v="1"/>
    <s v="No"/>
    <n v="4.2999999999999983E-2"/>
  </r>
  <r>
    <n v="942"/>
    <x v="41"/>
    <n v="1"/>
    <n v="20"/>
    <b v="0"/>
    <n v="5"/>
    <n v="1"/>
    <n v="0.22"/>
    <n v="0.2273"/>
    <n v="0.55000000000000004"/>
    <n v="0.1343"/>
    <n v="2"/>
    <n v="61"/>
    <n v="63"/>
    <s v="Spring"/>
    <s v="Friday"/>
    <s v="Clear"/>
    <s v="Evening"/>
    <x v="0"/>
    <x v="1"/>
    <x v="0"/>
    <x v="0"/>
    <s v="Mostly Registered"/>
    <n v="3.174603174603174"/>
    <n v="96.825396825396822"/>
    <x v="0"/>
    <x v="0"/>
    <s v="No"/>
    <n v="7.3000000000000009E-3"/>
  </r>
  <r>
    <n v="943"/>
    <x v="41"/>
    <n v="1"/>
    <n v="21"/>
    <b v="0"/>
    <n v="5"/>
    <n v="1"/>
    <n v="0.2"/>
    <n v="0.21210000000000001"/>
    <n v="0.59"/>
    <n v="0.1343"/>
    <n v="1"/>
    <n v="46"/>
    <n v="47"/>
    <s v="Spring"/>
    <s v="Friday"/>
    <s v="Clear"/>
    <s v="Night"/>
    <x v="0"/>
    <x v="1"/>
    <x v="0"/>
    <x v="0"/>
    <s v="Mostly Registered"/>
    <n v="2.1276595744680851"/>
    <n v="97.872340425531917"/>
    <x v="0"/>
    <x v="0"/>
    <s v="No"/>
    <n v="1.21E-2"/>
  </r>
  <r>
    <n v="944"/>
    <x v="41"/>
    <n v="1"/>
    <n v="22"/>
    <b v="0"/>
    <n v="5"/>
    <n v="1"/>
    <n v="0.2"/>
    <n v="0.2273"/>
    <n v="0.64"/>
    <n v="8.9599999999999999E-2"/>
    <n v="2"/>
    <n v="41"/>
    <n v="43"/>
    <s v="Spring"/>
    <s v="Friday"/>
    <s v="Clear"/>
    <s v="Night"/>
    <x v="0"/>
    <x v="1"/>
    <x v="0"/>
    <x v="0"/>
    <s v="Mostly Registered"/>
    <n v="4.6511627906976747"/>
    <n v="95.348837209302332"/>
    <x v="0"/>
    <x v="0"/>
    <s v="No"/>
    <n v="2.7299999999999991E-2"/>
  </r>
  <r>
    <n v="945"/>
    <x v="41"/>
    <n v="1"/>
    <n v="23"/>
    <b v="0"/>
    <n v="5"/>
    <n v="1"/>
    <n v="0.18"/>
    <n v="0.2424"/>
    <n v="0.69"/>
    <n v="0"/>
    <n v="5"/>
    <n v="48"/>
    <n v="53"/>
    <s v="Spring"/>
    <s v="Friday"/>
    <s v="Clear"/>
    <s v="Night"/>
    <x v="0"/>
    <x v="1"/>
    <x v="0"/>
    <x v="0"/>
    <s v="Mostly Registered"/>
    <n v="9.433962264150944"/>
    <n v="90.566037735849065"/>
    <x v="0"/>
    <x v="0"/>
    <s v="No"/>
    <n v="6.2400000000000011E-2"/>
  </r>
  <r>
    <n v="946"/>
    <x v="42"/>
    <n v="1"/>
    <n v="0"/>
    <b v="0"/>
    <n v="6"/>
    <n v="1"/>
    <n v="0.16"/>
    <n v="0.19700000000000001"/>
    <n v="0.69"/>
    <n v="8.9599999999999999E-2"/>
    <n v="3"/>
    <n v="27"/>
    <n v="30"/>
    <s v="Spring"/>
    <s v="Saturday"/>
    <s v="Clear"/>
    <s v="Night"/>
    <x v="0"/>
    <x v="1"/>
    <x v="0"/>
    <x v="0"/>
    <s v="Mostly Registered"/>
    <n v="10"/>
    <n v="90"/>
    <x v="0"/>
    <x v="0"/>
    <s v="Yes"/>
    <n v="3.7000000000000012E-2"/>
  </r>
  <r>
    <n v="947"/>
    <x v="42"/>
    <n v="1"/>
    <n v="1"/>
    <b v="0"/>
    <n v="6"/>
    <n v="1"/>
    <n v="0.14000000000000001"/>
    <n v="0.21210000000000001"/>
    <n v="0.86"/>
    <n v="0"/>
    <n v="2"/>
    <n v="22"/>
    <n v="24"/>
    <s v="Spring"/>
    <s v="Saturday"/>
    <s v="Clear"/>
    <s v="Night"/>
    <x v="4"/>
    <x v="0"/>
    <x v="0"/>
    <x v="0"/>
    <s v="Mostly Registered"/>
    <n v="8.3333333333333321"/>
    <n v="91.666666666666657"/>
    <x v="0"/>
    <x v="0"/>
    <s v="Yes"/>
    <n v="7.2099999999999997E-2"/>
  </r>
  <r>
    <n v="948"/>
    <x v="42"/>
    <n v="1"/>
    <n v="2"/>
    <b v="0"/>
    <n v="6"/>
    <n v="1"/>
    <n v="0.14000000000000001"/>
    <n v="0.21210000000000001"/>
    <n v="0.8"/>
    <n v="0"/>
    <n v="2"/>
    <n v="13"/>
    <n v="15"/>
    <s v="Spring"/>
    <s v="Saturday"/>
    <s v="Clear"/>
    <s v="Night"/>
    <x v="4"/>
    <x v="0"/>
    <x v="0"/>
    <x v="0"/>
    <s v="Mostly Registered"/>
    <n v="13.33333333333333"/>
    <n v="86.666666666666671"/>
    <x v="0"/>
    <x v="0"/>
    <s v="Yes"/>
    <n v="7.2099999999999997E-2"/>
  </r>
  <r>
    <n v="949"/>
    <x v="42"/>
    <n v="1"/>
    <n v="3"/>
    <b v="0"/>
    <n v="6"/>
    <n v="1"/>
    <n v="0.12"/>
    <n v="0.19700000000000001"/>
    <n v="0.8"/>
    <n v="0"/>
    <n v="3"/>
    <n v="7"/>
    <n v="10"/>
    <s v="Spring"/>
    <s v="Saturday"/>
    <s v="Clear"/>
    <s v="Night"/>
    <x v="4"/>
    <x v="0"/>
    <x v="0"/>
    <x v="0"/>
    <s v="Mostly Registered"/>
    <n v="30"/>
    <n v="70"/>
    <x v="0"/>
    <x v="0"/>
    <s v="Yes"/>
    <n v="7.7000000000000013E-2"/>
  </r>
  <r>
    <n v="950"/>
    <x v="42"/>
    <n v="1"/>
    <n v="4"/>
    <b v="0"/>
    <n v="6"/>
    <n v="1"/>
    <n v="0.12"/>
    <n v="0.16669999999999999"/>
    <n v="0.74"/>
    <n v="8.9599999999999999E-2"/>
    <n v="0"/>
    <n v="4"/>
    <n v="4"/>
    <s v="Spring"/>
    <s v="Saturday"/>
    <s v="Clear"/>
    <s v="Night"/>
    <x v="4"/>
    <x v="0"/>
    <x v="0"/>
    <x v="0"/>
    <s v="Mostly Registered"/>
    <n v="0"/>
    <n v="100"/>
    <x v="0"/>
    <x v="0"/>
    <s v="Yes"/>
    <n v="4.6699999999999992E-2"/>
  </r>
  <r>
    <n v="951"/>
    <x v="42"/>
    <n v="1"/>
    <n v="5"/>
    <b v="0"/>
    <n v="6"/>
    <n v="1"/>
    <n v="0.12"/>
    <n v="0.16669999999999999"/>
    <n v="0.74"/>
    <n v="8.9599999999999999E-2"/>
    <n v="0"/>
    <n v="1"/>
    <n v="1"/>
    <s v="Spring"/>
    <s v="Saturday"/>
    <s v="Clear"/>
    <s v="Night"/>
    <x v="4"/>
    <x v="0"/>
    <x v="0"/>
    <x v="0"/>
    <s v="Mostly Registered"/>
    <n v="0"/>
    <n v="100"/>
    <x v="0"/>
    <x v="0"/>
    <s v="Yes"/>
    <n v="4.6699999999999992E-2"/>
  </r>
  <r>
    <n v="952"/>
    <x v="42"/>
    <n v="1"/>
    <n v="6"/>
    <b v="0"/>
    <n v="6"/>
    <n v="1"/>
    <n v="0.12"/>
    <n v="0.13639999999999999"/>
    <n v="0.93"/>
    <n v="0.19400000000000001"/>
    <n v="1"/>
    <n v="1"/>
    <n v="2"/>
    <s v="Spring"/>
    <s v="Saturday"/>
    <s v="Clear"/>
    <s v="Morning"/>
    <x v="4"/>
    <x v="0"/>
    <x v="1"/>
    <x v="0"/>
    <s v="Mostly Registered"/>
    <n v="50"/>
    <n v="50"/>
    <x v="0"/>
    <x v="0"/>
    <s v="Yes"/>
    <n v="1.6400000000000001E-2"/>
  </r>
  <r>
    <n v="953"/>
    <x v="42"/>
    <n v="1"/>
    <n v="7"/>
    <b v="0"/>
    <n v="6"/>
    <n v="1"/>
    <n v="0.12"/>
    <n v="0.1515"/>
    <n v="0.8"/>
    <n v="0.1045"/>
    <n v="2"/>
    <n v="9"/>
    <n v="11"/>
    <s v="Spring"/>
    <s v="Saturday"/>
    <s v="Clear"/>
    <s v="Morning"/>
    <x v="4"/>
    <x v="0"/>
    <x v="0"/>
    <x v="0"/>
    <s v="Mostly Registered"/>
    <n v="18.18181818181818"/>
    <n v="81.818181818181827"/>
    <x v="1"/>
    <x v="0"/>
    <s v="Yes"/>
    <n v="3.15E-2"/>
  </r>
  <r>
    <n v="954"/>
    <x v="42"/>
    <n v="1"/>
    <n v="8"/>
    <b v="0"/>
    <n v="6"/>
    <n v="1"/>
    <n v="0.14000000000000001"/>
    <n v="0.1515"/>
    <n v="0.86"/>
    <n v="0.1343"/>
    <n v="2"/>
    <n v="28"/>
    <n v="30"/>
    <s v="Spring"/>
    <s v="Saturday"/>
    <s v="Clear"/>
    <s v="Morning"/>
    <x v="4"/>
    <x v="0"/>
    <x v="0"/>
    <x v="0"/>
    <s v="Mostly Registered"/>
    <n v="6.666666666666667"/>
    <n v="93.333333333333329"/>
    <x v="1"/>
    <x v="0"/>
    <s v="Yes"/>
    <n v="1.1499999999999981E-2"/>
  </r>
  <r>
    <n v="955"/>
    <x v="42"/>
    <n v="1"/>
    <n v="9"/>
    <b v="0"/>
    <n v="6"/>
    <n v="1"/>
    <n v="0.16"/>
    <n v="0.18179999999999999"/>
    <n v="0.64"/>
    <n v="0.1343"/>
    <n v="5"/>
    <n v="38"/>
    <n v="43"/>
    <s v="Spring"/>
    <s v="Saturday"/>
    <s v="Clear"/>
    <s v="Morning"/>
    <x v="0"/>
    <x v="1"/>
    <x v="0"/>
    <x v="0"/>
    <s v="Mostly Registered"/>
    <n v="11.627906976744191"/>
    <n v="88.372093023255815"/>
    <x v="1"/>
    <x v="0"/>
    <s v="Yes"/>
    <n v="2.179999999999999E-2"/>
  </r>
  <r>
    <n v="956"/>
    <x v="42"/>
    <n v="1"/>
    <n v="10"/>
    <b v="0"/>
    <n v="6"/>
    <n v="1"/>
    <n v="0.22"/>
    <n v="0.21210000000000001"/>
    <n v="0.41"/>
    <n v="0.25369999999999998"/>
    <n v="13"/>
    <n v="71"/>
    <n v="84"/>
    <s v="Spring"/>
    <s v="Saturday"/>
    <s v="Clear"/>
    <s v="Morning"/>
    <x v="0"/>
    <x v="1"/>
    <x v="1"/>
    <x v="0"/>
    <s v="Mostly Registered"/>
    <n v="15.47619047619048"/>
    <n v="84.523809523809518"/>
    <x v="0"/>
    <x v="0"/>
    <s v="Yes"/>
    <n v="-7.8999999999999904E-3"/>
  </r>
  <r>
    <n v="957"/>
    <x v="42"/>
    <n v="1"/>
    <n v="11"/>
    <b v="0"/>
    <n v="6"/>
    <n v="1"/>
    <n v="0.3"/>
    <n v="0.2727"/>
    <n v="0.28000000000000003"/>
    <n v="0.32840000000000003"/>
    <n v="30"/>
    <n v="84"/>
    <n v="114"/>
    <s v="Spring"/>
    <s v="Saturday"/>
    <s v="Clear"/>
    <s v="Morning"/>
    <x v="1"/>
    <x v="2"/>
    <x v="2"/>
    <x v="0"/>
    <s v="Mostly Registered"/>
    <n v="26.315789473684209"/>
    <n v="73.68421052631578"/>
    <x v="0"/>
    <x v="1"/>
    <s v="Yes"/>
    <n v="-2.7299999999999991E-2"/>
  </r>
  <r>
    <n v="958"/>
    <x v="42"/>
    <n v="1"/>
    <n v="12"/>
    <b v="0"/>
    <n v="6"/>
    <n v="1"/>
    <n v="0.3"/>
    <n v="0.2727"/>
    <n v="0.39"/>
    <n v="0.4627"/>
    <n v="27"/>
    <n v="93"/>
    <n v="120"/>
    <s v="Spring"/>
    <s v="Saturday"/>
    <s v="Clear"/>
    <s v="Afternoon"/>
    <x v="1"/>
    <x v="2"/>
    <x v="2"/>
    <x v="0"/>
    <s v="Mostly Registered"/>
    <n v="22.5"/>
    <n v="77.5"/>
    <x v="0"/>
    <x v="1"/>
    <s v="Yes"/>
    <n v="-2.7299999999999991E-2"/>
  </r>
  <r>
    <n v="959"/>
    <x v="42"/>
    <n v="1"/>
    <n v="13"/>
    <b v="0"/>
    <n v="6"/>
    <n v="1"/>
    <n v="0.3"/>
    <n v="0.2727"/>
    <n v="0.39"/>
    <n v="0.41789999999999999"/>
    <n v="32"/>
    <n v="103"/>
    <n v="135"/>
    <s v="Spring"/>
    <s v="Saturday"/>
    <s v="Clear"/>
    <s v="Afternoon"/>
    <x v="1"/>
    <x v="2"/>
    <x v="2"/>
    <x v="0"/>
    <s v="Mostly Registered"/>
    <n v="23.703703703703709"/>
    <n v="76.296296296296291"/>
    <x v="0"/>
    <x v="1"/>
    <s v="Yes"/>
    <n v="-2.7299999999999991E-2"/>
  </r>
  <r>
    <n v="960"/>
    <x v="42"/>
    <n v="1"/>
    <n v="14"/>
    <b v="0"/>
    <n v="6"/>
    <n v="1"/>
    <n v="0.34"/>
    <n v="0.31819999999999998"/>
    <n v="0.31"/>
    <n v="0.28360000000000002"/>
    <n v="30"/>
    <n v="90"/>
    <n v="120"/>
    <s v="Spring"/>
    <s v="Saturday"/>
    <s v="Clear"/>
    <s v="Afternoon"/>
    <x v="1"/>
    <x v="2"/>
    <x v="1"/>
    <x v="0"/>
    <s v="Mostly Registered"/>
    <n v="25"/>
    <n v="75"/>
    <x v="0"/>
    <x v="1"/>
    <s v="Yes"/>
    <n v="-2.1800000000000042E-2"/>
  </r>
  <r>
    <n v="961"/>
    <x v="42"/>
    <n v="1"/>
    <n v="15"/>
    <b v="0"/>
    <n v="6"/>
    <n v="1"/>
    <n v="0.34"/>
    <n v="0.30299999999999999"/>
    <n v="0.28999999999999998"/>
    <n v="0.41789999999999999"/>
    <n v="47"/>
    <n v="127"/>
    <n v="174"/>
    <s v="Spring"/>
    <s v="Saturday"/>
    <s v="Clear"/>
    <s v="Afternoon"/>
    <x v="1"/>
    <x v="2"/>
    <x v="2"/>
    <x v="0"/>
    <s v="Mostly Registered"/>
    <n v="27.011494252873561"/>
    <n v="72.988505747126439"/>
    <x v="0"/>
    <x v="1"/>
    <s v="Yes"/>
    <n v="-3.7000000000000033E-2"/>
  </r>
  <r>
    <n v="962"/>
    <x v="42"/>
    <n v="1"/>
    <n v="16"/>
    <b v="0"/>
    <n v="6"/>
    <n v="1"/>
    <n v="0.34"/>
    <n v="0.30299999999999999"/>
    <n v="0.28999999999999998"/>
    <n v="0.41789999999999999"/>
    <n v="42"/>
    <n v="103"/>
    <n v="145"/>
    <s v="Spring"/>
    <s v="Saturday"/>
    <s v="Clear"/>
    <s v="Afternoon"/>
    <x v="1"/>
    <x v="2"/>
    <x v="2"/>
    <x v="0"/>
    <s v="Mostly Registered"/>
    <n v="28.96551724137931"/>
    <n v="71.034482758620683"/>
    <x v="0"/>
    <x v="1"/>
    <s v="Yes"/>
    <n v="-3.7000000000000033E-2"/>
  </r>
  <r>
    <n v="963"/>
    <x v="42"/>
    <n v="1"/>
    <n v="17"/>
    <b v="0"/>
    <n v="6"/>
    <n v="1"/>
    <n v="0.32"/>
    <n v="0.28789999999999999"/>
    <n v="0.31"/>
    <n v="0.52239999999999998"/>
    <n v="24"/>
    <n v="113"/>
    <n v="137"/>
    <s v="Spring"/>
    <s v="Saturday"/>
    <s v="Clear"/>
    <s v="Evening"/>
    <x v="1"/>
    <x v="2"/>
    <x v="2"/>
    <x v="0"/>
    <s v="Mostly Registered"/>
    <n v="17.518248175182482"/>
    <n v="82.481751824817522"/>
    <x v="1"/>
    <x v="1"/>
    <s v="Yes"/>
    <n v="-3.2100000000000017E-2"/>
  </r>
  <r>
    <n v="964"/>
    <x v="42"/>
    <n v="1"/>
    <n v="18"/>
    <b v="0"/>
    <n v="6"/>
    <n v="1"/>
    <n v="0.28000000000000003"/>
    <n v="0.2576"/>
    <n v="0.38"/>
    <n v="0.32840000000000003"/>
    <n v="4"/>
    <n v="60"/>
    <n v="64"/>
    <s v="Spring"/>
    <s v="Saturday"/>
    <s v="Clear"/>
    <s v="Evening"/>
    <x v="1"/>
    <x v="2"/>
    <x v="2"/>
    <x v="0"/>
    <s v="Mostly Registered"/>
    <n v="6.25"/>
    <n v="93.75"/>
    <x v="1"/>
    <x v="0"/>
    <s v="Yes"/>
    <n v="-2.2400000000000031E-2"/>
  </r>
  <r>
    <n v="965"/>
    <x v="42"/>
    <n v="1"/>
    <n v="19"/>
    <b v="0"/>
    <n v="6"/>
    <n v="1"/>
    <n v="0.28000000000000003"/>
    <n v="0.2727"/>
    <n v="0.38"/>
    <n v="0.16420000000000001"/>
    <n v="2"/>
    <n v="39"/>
    <n v="41"/>
    <s v="Spring"/>
    <s v="Saturday"/>
    <s v="Clear"/>
    <s v="Evening"/>
    <x v="1"/>
    <x v="2"/>
    <x v="1"/>
    <x v="0"/>
    <s v="Mostly Registered"/>
    <n v="4.8780487804878048"/>
    <n v="95.121951219512198"/>
    <x v="1"/>
    <x v="0"/>
    <s v="Yes"/>
    <n v="-7.3000000000000287E-3"/>
  </r>
  <r>
    <n v="966"/>
    <x v="42"/>
    <n v="1"/>
    <n v="20"/>
    <b v="0"/>
    <n v="6"/>
    <n v="1"/>
    <n v="0.26"/>
    <n v="0.2576"/>
    <n v="0.41"/>
    <n v="0.22389999999999999"/>
    <n v="1"/>
    <n v="39"/>
    <n v="40"/>
    <s v="Spring"/>
    <s v="Saturday"/>
    <s v="Clear"/>
    <s v="Evening"/>
    <x v="1"/>
    <x v="1"/>
    <x v="1"/>
    <x v="0"/>
    <s v="Mostly Registered"/>
    <n v="2.5"/>
    <n v="97.5"/>
    <x v="0"/>
    <x v="0"/>
    <s v="Yes"/>
    <n v="-2.4000000000000128E-3"/>
  </r>
  <r>
    <n v="967"/>
    <x v="42"/>
    <n v="1"/>
    <n v="21"/>
    <b v="0"/>
    <n v="6"/>
    <n v="1"/>
    <n v="0.26"/>
    <n v="0.30299999999999999"/>
    <n v="0.41"/>
    <n v="0"/>
    <n v="9"/>
    <n v="42"/>
    <n v="51"/>
    <s v="Spring"/>
    <s v="Saturday"/>
    <s v="Clear"/>
    <s v="Night"/>
    <x v="1"/>
    <x v="1"/>
    <x v="0"/>
    <x v="0"/>
    <s v="Mostly Registered"/>
    <n v="17.647058823529409"/>
    <n v="82.35294117647058"/>
    <x v="0"/>
    <x v="0"/>
    <s v="Yes"/>
    <n v="4.2999999999999983E-2"/>
  </r>
  <r>
    <n v="968"/>
    <x v="42"/>
    <n v="1"/>
    <n v="22"/>
    <b v="0"/>
    <n v="6"/>
    <n v="1"/>
    <n v="0.24"/>
    <n v="0.2576"/>
    <n v="0.44"/>
    <n v="8.9599999999999999E-2"/>
    <n v="6"/>
    <n v="39"/>
    <n v="45"/>
    <s v="Spring"/>
    <s v="Saturday"/>
    <s v="Clear"/>
    <s v="Night"/>
    <x v="0"/>
    <x v="1"/>
    <x v="0"/>
    <x v="0"/>
    <s v="Mostly Registered"/>
    <n v="13.33333333333333"/>
    <n v="86.666666666666671"/>
    <x v="0"/>
    <x v="0"/>
    <s v="Yes"/>
    <n v="1.7600000000000001E-2"/>
  </r>
  <r>
    <n v="969"/>
    <x v="42"/>
    <n v="1"/>
    <n v="23"/>
    <b v="0"/>
    <n v="6"/>
    <n v="1"/>
    <n v="0.22"/>
    <n v="0.2273"/>
    <n v="0.51"/>
    <n v="0.1343"/>
    <n v="1"/>
    <n v="31"/>
    <n v="32"/>
    <s v="Spring"/>
    <s v="Saturday"/>
    <s v="Clear"/>
    <s v="Night"/>
    <x v="0"/>
    <x v="1"/>
    <x v="0"/>
    <x v="0"/>
    <s v="Mostly Registered"/>
    <n v="3.125"/>
    <n v="96.875"/>
    <x v="0"/>
    <x v="0"/>
    <s v="Yes"/>
    <n v="7.3000000000000009E-3"/>
  </r>
  <r>
    <n v="970"/>
    <x v="43"/>
    <n v="1"/>
    <n v="0"/>
    <b v="0"/>
    <n v="0"/>
    <n v="1"/>
    <n v="0.2"/>
    <n v="0.2273"/>
    <n v="0.64"/>
    <n v="0.1045"/>
    <n v="5"/>
    <n v="34"/>
    <n v="39"/>
    <s v="Spring"/>
    <s v="Sunday"/>
    <s v="Clear"/>
    <s v="Night"/>
    <x v="0"/>
    <x v="1"/>
    <x v="0"/>
    <x v="0"/>
    <s v="Mostly Registered"/>
    <n v="12.820512820512819"/>
    <n v="87.179487179487182"/>
    <x v="0"/>
    <x v="0"/>
    <s v="Yes"/>
    <n v="2.7299999999999991E-2"/>
  </r>
  <r>
    <n v="971"/>
    <x v="43"/>
    <n v="1"/>
    <n v="1"/>
    <b v="0"/>
    <n v="0"/>
    <n v="1"/>
    <n v="0.2"/>
    <n v="0.2273"/>
    <n v="0.59"/>
    <n v="8.9599999999999999E-2"/>
    <n v="1"/>
    <n v="23"/>
    <n v="24"/>
    <s v="Spring"/>
    <s v="Sunday"/>
    <s v="Clear"/>
    <s v="Night"/>
    <x v="0"/>
    <x v="1"/>
    <x v="0"/>
    <x v="0"/>
    <s v="Mostly Registered"/>
    <n v="4.1666666666666661"/>
    <n v="95.833333333333343"/>
    <x v="0"/>
    <x v="0"/>
    <s v="Yes"/>
    <n v="2.7299999999999991E-2"/>
  </r>
  <r>
    <n v="972"/>
    <x v="43"/>
    <n v="1"/>
    <n v="2"/>
    <b v="0"/>
    <n v="0"/>
    <n v="2"/>
    <n v="0.2"/>
    <n v="0.2273"/>
    <n v="0.75"/>
    <n v="8.9599999999999999E-2"/>
    <n v="1"/>
    <n v="19"/>
    <n v="20"/>
    <s v="Spring"/>
    <s v="Sunday"/>
    <s v="Mist/Cloudy"/>
    <s v="Night"/>
    <x v="0"/>
    <x v="0"/>
    <x v="0"/>
    <x v="0"/>
    <s v="Mostly Registered"/>
    <n v="5"/>
    <n v="95"/>
    <x v="0"/>
    <x v="0"/>
    <s v="Yes"/>
    <n v="2.7299999999999991E-2"/>
  </r>
  <r>
    <n v="973"/>
    <x v="43"/>
    <n v="1"/>
    <n v="3"/>
    <b v="0"/>
    <n v="0"/>
    <n v="2"/>
    <n v="0.2"/>
    <n v="0.2273"/>
    <n v="0.69"/>
    <n v="0.1045"/>
    <n v="4"/>
    <n v="8"/>
    <n v="12"/>
    <s v="Spring"/>
    <s v="Sunday"/>
    <s v="Mist/Cloudy"/>
    <s v="Night"/>
    <x v="0"/>
    <x v="1"/>
    <x v="0"/>
    <x v="0"/>
    <s v="Mostly Registered"/>
    <n v="33.333333333333329"/>
    <n v="66.666666666666657"/>
    <x v="0"/>
    <x v="0"/>
    <s v="Yes"/>
    <n v="2.7299999999999991E-2"/>
  </r>
  <r>
    <n v="974"/>
    <x v="43"/>
    <n v="1"/>
    <n v="4"/>
    <b v="0"/>
    <n v="0"/>
    <n v="2"/>
    <n v="0.2"/>
    <n v="0.21210000000000001"/>
    <n v="0.69"/>
    <n v="0.16420000000000001"/>
    <n v="0"/>
    <n v="2"/>
    <n v="2"/>
    <s v="Spring"/>
    <s v="Sunday"/>
    <s v="Mist/Cloudy"/>
    <s v="Night"/>
    <x v="0"/>
    <x v="1"/>
    <x v="1"/>
    <x v="0"/>
    <s v="Mostly Registered"/>
    <n v="0"/>
    <n v="100"/>
    <x v="0"/>
    <x v="0"/>
    <s v="Yes"/>
    <n v="1.21E-2"/>
  </r>
  <r>
    <n v="975"/>
    <x v="43"/>
    <n v="1"/>
    <n v="6"/>
    <b v="0"/>
    <n v="0"/>
    <n v="2"/>
    <n v="0.2"/>
    <n v="0.21210000000000001"/>
    <n v="0.69"/>
    <n v="0.1343"/>
    <n v="2"/>
    <n v="3"/>
    <n v="5"/>
    <s v="Spring"/>
    <s v="Sunday"/>
    <s v="Mist/Cloudy"/>
    <s v="Morning"/>
    <x v="0"/>
    <x v="1"/>
    <x v="0"/>
    <x v="0"/>
    <s v="Mostly Registered"/>
    <n v="40"/>
    <n v="60"/>
    <x v="0"/>
    <x v="0"/>
    <s v="Yes"/>
    <n v="1.21E-2"/>
  </r>
  <r>
    <n v="976"/>
    <x v="43"/>
    <n v="1"/>
    <n v="7"/>
    <b v="0"/>
    <n v="0"/>
    <n v="2"/>
    <n v="0.22"/>
    <n v="0.2727"/>
    <n v="0.55000000000000004"/>
    <n v="0"/>
    <n v="0"/>
    <n v="3"/>
    <n v="3"/>
    <s v="Spring"/>
    <s v="Sunday"/>
    <s v="Mist/Cloudy"/>
    <s v="Morning"/>
    <x v="0"/>
    <x v="1"/>
    <x v="0"/>
    <x v="0"/>
    <s v="Mostly Registered"/>
    <n v="0"/>
    <n v="100"/>
    <x v="1"/>
    <x v="0"/>
    <s v="Yes"/>
    <n v="5.2699999999999997E-2"/>
  </r>
  <r>
    <n v="977"/>
    <x v="43"/>
    <n v="1"/>
    <n v="8"/>
    <b v="0"/>
    <n v="0"/>
    <n v="2"/>
    <n v="0.22"/>
    <n v="0.2273"/>
    <n v="0.64"/>
    <n v="0.19400000000000001"/>
    <n v="1"/>
    <n v="11"/>
    <n v="12"/>
    <s v="Spring"/>
    <s v="Sunday"/>
    <s v="Mist/Cloudy"/>
    <s v="Morning"/>
    <x v="0"/>
    <x v="1"/>
    <x v="1"/>
    <x v="0"/>
    <s v="Mostly Registered"/>
    <n v="8.3333333333333321"/>
    <n v="91.666666666666657"/>
    <x v="1"/>
    <x v="0"/>
    <s v="Yes"/>
    <n v="7.3000000000000009E-3"/>
  </r>
  <r>
    <n v="978"/>
    <x v="43"/>
    <n v="1"/>
    <n v="9"/>
    <b v="0"/>
    <n v="0"/>
    <n v="2"/>
    <n v="0.24"/>
    <n v="0.2273"/>
    <n v="0.6"/>
    <n v="0.22389999999999999"/>
    <n v="12"/>
    <n v="35"/>
    <n v="47"/>
    <s v="Spring"/>
    <s v="Sunday"/>
    <s v="Mist/Cloudy"/>
    <s v="Morning"/>
    <x v="0"/>
    <x v="1"/>
    <x v="1"/>
    <x v="0"/>
    <s v="Mostly Registered"/>
    <n v="25.531914893617021"/>
    <n v="74.468085106382972"/>
    <x v="1"/>
    <x v="0"/>
    <s v="Yes"/>
    <n v="-1.2699999999999991E-2"/>
  </r>
  <r>
    <n v="979"/>
    <x v="43"/>
    <n v="1"/>
    <n v="10"/>
    <b v="0"/>
    <n v="0"/>
    <n v="1"/>
    <n v="0.3"/>
    <n v="0.2727"/>
    <n v="0.45"/>
    <n v="0.32840000000000003"/>
    <n v="19"/>
    <n v="86"/>
    <n v="105"/>
    <s v="Spring"/>
    <s v="Sunday"/>
    <s v="Clear"/>
    <s v="Morning"/>
    <x v="1"/>
    <x v="1"/>
    <x v="2"/>
    <x v="0"/>
    <s v="Mostly Registered"/>
    <n v="18.095238095238091"/>
    <n v="81.904761904761898"/>
    <x v="0"/>
    <x v="1"/>
    <s v="Yes"/>
    <n v="-2.7299999999999991E-2"/>
  </r>
  <r>
    <n v="980"/>
    <x v="43"/>
    <n v="1"/>
    <n v="11"/>
    <b v="0"/>
    <n v="0"/>
    <n v="1"/>
    <n v="0.32"/>
    <n v="0.28789999999999999"/>
    <n v="0.39"/>
    <n v="0.44779999999999998"/>
    <n v="26"/>
    <n v="86"/>
    <n v="112"/>
    <s v="Spring"/>
    <s v="Sunday"/>
    <s v="Clear"/>
    <s v="Morning"/>
    <x v="1"/>
    <x v="2"/>
    <x v="2"/>
    <x v="0"/>
    <s v="Mostly Registered"/>
    <n v="23.214285714285719"/>
    <n v="76.785714285714292"/>
    <x v="0"/>
    <x v="1"/>
    <s v="Yes"/>
    <n v="-3.2100000000000017E-2"/>
  </r>
  <r>
    <n v="981"/>
    <x v="43"/>
    <n v="1"/>
    <n v="12"/>
    <b v="0"/>
    <n v="0"/>
    <n v="1"/>
    <n v="0.36"/>
    <n v="0.31819999999999998"/>
    <n v="0.32"/>
    <n v="0.4627"/>
    <n v="58"/>
    <n v="94"/>
    <n v="152"/>
    <s v="Spring"/>
    <s v="Sunday"/>
    <s v="Clear"/>
    <s v="Afternoon"/>
    <x v="2"/>
    <x v="2"/>
    <x v="2"/>
    <x v="0"/>
    <s v="Mostly Registered"/>
    <n v="38.15789473684211"/>
    <n v="61.842105263157897"/>
    <x v="0"/>
    <x v="1"/>
    <s v="Yes"/>
    <n v="-4.1799999999999997E-2"/>
  </r>
  <r>
    <n v="982"/>
    <x v="43"/>
    <n v="1"/>
    <n v="13"/>
    <b v="0"/>
    <n v="0"/>
    <n v="1"/>
    <n v="0.38"/>
    <n v="0.39389999999999997"/>
    <n v="0.28999999999999998"/>
    <n v="0.35820000000000002"/>
    <n v="62"/>
    <n v="92"/>
    <n v="154"/>
    <s v="Spring"/>
    <s v="Sunday"/>
    <s v="Clear"/>
    <s v="Afternoon"/>
    <x v="2"/>
    <x v="2"/>
    <x v="2"/>
    <x v="0"/>
    <s v="Mostly Registered"/>
    <n v="40.259740259740262"/>
    <n v="59.740259740259738"/>
    <x v="0"/>
    <x v="1"/>
    <s v="Yes"/>
    <n v="1.389999999999997E-2"/>
  </r>
  <r>
    <n v="983"/>
    <x v="43"/>
    <n v="1"/>
    <n v="14"/>
    <b v="0"/>
    <n v="0"/>
    <n v="2"/>
    <n v="0.4"/>
    <n v="0.40910000000000002"/>
    <n v="0.3"/>
    <n v="0.41789999999999999"/>
    <n v="51"/>
    <n v="110"/>
    <n v="161"/>
    <s v="Spring"/>
    <s v="Sunday"/>
    <s v="Mist/Cloudy"/>
    <s v="Afternoon"/>
    <x v="2"/>
    <x v="2"/>
    <x v="2"/>
    <x v="0"/>
    <s v="Mostly Registered"/>
    <n v="31.677018633540371"/>
    <n v="68.322981366459629"/>
    <x v="0"/>
    <x v="1"/>
    <s v="Yes"/>
    <n v="9.099999999999997E-3"/>
  </r>
  <r>
    <n v="984"/>
    <x v="43"/>
    <n v="1"/>
    <n v="15"/>
    <b v="0"/>
    <n v="0"/>
    <n v="2"/>
    <n v="0.4"/>
    <n v="0.40910000000000002"/>
    <n v="0.3"/>
    <n v="0.29849999999999999"/>
    <n v="40"/>
    <n v="122"/>
    <n v="162"/>
    <s v="Spring"/>
    <s v="Sunday"/>
    <s v="Mist/Cloudy"/>
    <s v="Afternoon"/>
    <x v="2"/>
    <x v="2"/>
    <x v="1"/>
    <x v="0"/>
    <s v="Mostly Registered"/>
    <n v="24.691358024691361"/>
    <n v="75.308641975308646"/>
    <x v="0"/>
    <x v="1"/>
    <s v="Yes"/>
    <n v="9.099999999999997E-3"/>
  </r>
  <r>
    <n v="985"/>
    <x v="43"/>
    <n v="1"/>
    <n v="16"/>
    <b v="0"/>
    <n v="0"/>
    <n v="2"/>
    <n v="0.42"/>
    <n v="0.42420000000000002"/>
    <n v="0.28000000000000003"/>
    <n v="0.32840000000000003"/>
    <n v="28"/>
    <n v="106"/>
    <n v="134"/>
    <s v="Spring"/>
    <s v="Sunday"/>
    <s v="Mist/Cloudy"/>
    <s v="Afternoon"/>
    <x v="2"/>
    <x v="2"/>
    <x v="2"/>
    <x v="0"/>
    <s v="Mostly Registered"/>
    <n v="20.8955223880597"/>
    <n v="79.104477611940297"/>
    <x v="0"/>
    <x v="1"/>
    <s v="Yes"/>
    <n v="4.200000000000037E-3"/>
  </r>
  <r>
    <n v="986"/>
    <x v="43"/>
    <n v="1"/>
    <n v="17"/>
    <b v="0"/>
    <n v="0"/>
    <n v="1"/>
    <n v="0.42"/>
    <n v="0.42420000000000002"/>
    <n v="0.28000000000000003"/>
    <n v="0.32840000000000003"/>
    <n v="30"/>
    <n v="95"/>
    <n v="125"/>
    <s v="Spring"/>
    <s v="Sunday"/>
    <s v="Clear"/>
    <s v="Evening"/>
    <x v="2"/>
    <x v="2"/>
    <x v="2"/>
    <x v="0"/>
    <s v="Mostly Registered"/>
    <n v="24"/>
    <n v="76"/>
    <x v="1"/>
    <x v="1"/>
    <s v="Yes"/>
    <n v="4.200000000000037E-3"/>
  </r>
  <r>
    <n v="987"/>
    <x v="43"/>
    <n v="1"/>
    <n v="18"/>
    <b v="0"/>
    <n v="0"/>
    <n v="1"/>
    <n v="0.4"/>
    <n v="0.40910000000000002"/>
    <n v="0.32"/>
    <n v="0.29849999999999999"/>
    <n v="17"/>
    <n v="78"/>
    <n v="95"/>
    <s v="Spring"/>
    <s v="Sunday"/>
    <s v="Clear"/>
    <s v="Evening"/>
    <x v="2"/>
    <x v="2"/>
    <x v="1"/>
    <x v="0"/>
    <s v="Mostly Registered"/>
    <n v="17.89473684210526"/>
    <n v="82.10526315789474"/>
    <x v="1"/>
    <x v="0"/>
    <s v="Yes"/>
    <n v="9.099999999999997E-3"/>
  </r>
  <r>
    <n v="988"/>
    <x v="43"/>
    <n v="1"/>
    <n v="19"/>
    <b v="0"/>
    <n v="0"/>
    <n v="1"/>
    <n v="0.4"/>
    <n v="0.40910000000000002"/>
    <n v="0.35"/>
    <n v="0.28360000000000002"/>
    <n v="11"/>
    <n v="50"/>
    <n v="61"/>
    <s v="Spring"/>
    <s v="Sunday"/>
    <s v="Clear"/>
    <s v="Evening"/>
    <x v="2"/>
    <x v="2"/>
    <x v="1"/>
    <x v="0"/>
    <s v="Mostly Registered"/>
    <n v="18.032786885245901"/>
    <n v="81.967213114754102"/>
    <x v="1"/>
    <x v="0"/>
    <s v="Yes"/>
    <n v="9.099999999999997E-3"/>
  </r>
  <r>
    <n v="989"/>
    <x v="43"/>
    <n v="1"/>
    <n v="20"/>
    <b v="0"/>
    <n v="0"/>
    <n v="1"/>
    <n v="0.4"/>
    <n v="0.40910000000000002"/>
    <n v="0.35"/>
    <n v="0.32840000000000003"/>
    <n v="15"/>
    <n v="32"/>
    <n v="47"/>
    <s v="Spring"/>
    <s v="Sunday"/>
    <s v="Clear"/>
    <s v="Evening"/>
    <x v="2"/>
    <x v="2"/>
    <x v="2"/>
    <x v="0"/>
    <s v="Mostly Registered"/>
    <n v="31.914893617021281"/>
    <n v="68.085106382978722"/>
    <x v="0"/>
    <x v="0"/>
    <s v="Yes"/>
    <n v="9.099999999999997E-3"/>
  </r>
  <r>
    <n v="990"/>
    <x v="43"/>
    <n v="1"/>
    <n v="21"/>
    <b v="0"/>
    <n v="0"/>
    <n v="1"/>
    <n v="0.4"/>
    <n v="0.40910000000000002"/>
    <n v="0.35"/>
    <n v="0.35820000000000002"/>
    <n v="6"/>
    <n v="45"/>
    <n v="51"/>
    <s v="Spring"/>
    <s v="Sunday"/>
    <s v="Clear"/>
    <s v="Night"/>
    <x v="2"/>
    <x v="2"/>
    <x v="2"/>
    <x v="0"/>
    <s v="Mostly Registered"/>
    <n v="11.76470588235294"/>
    <n v="88.235294117647058"/>
    <x v="0"/>
    <x v="0"/>
    <s v="Yes"/>
    <n v="9.099999999999997E-3"/>
  </r>
  <r>
    <n v="991"/>
    <x v="43"/>
    <n v="1"/>
    <n v="22"/>
    <b v="0"/>
    <n v="0"/>
    <n v="1"/>
    <n v="0.4"/>
    <n v="0.40910000000000002"/>
    <n v="0.35"/>
    <n v="0.29849999999999999"/>
    <n v="5"/>
    <n v="31"/>
    <n v="36"/>
    <s v="Spring"/>
    <s v="Sunday"/>
    <s v="Clear"/>
    <s v="Night"/>
    <x v="2"/>
    <x v="2"/>
    <x v="1"/>
    <x v="0"/>
    <s v="Mostly Registered"/>
    <n v="13.888888888888889"/>
    <n v="86.111111111111114"/>
    <x v="0"/>
    <x v="0"/>
    <s v="Yes"/>
    <n v="9.099999999999997E-3"/>
  </r>
  <r>
    <n v="992"/>
    <x v="43"/>
    <n v="1"/>
    <n v="23"/>
    <b v="0"/>
    <n v="0"/>
    <n v="1"/>
    <n v="0.4"/>
    <n v="0.40910000000000002"/>
    <n v="0.35"/>
    <n v="0.35820000000000002"/>
    <n v="3"/>
    <n v="27"/>
    <n v="30"/>
    <s v="Spring"/>
    <s v="Sunday"/>
    <s v="Clear"/>
    <s v="Night"/>
    <x v="2"/>
    <x v="2"/>
    <x v="2"/>
    <x v="0"/>
    <s v="Mostly Registered"/>
    <n v="10"/>
    <n v="90"/>
    <x v="0"/>
    <x v="0"/>
    <s v="Yes"/>
    <n v="9.099999999999997E-3"/>
  </r>
  <r>
    <n v="993"/>
    <x v="44"/>
    <n v="1"/>
    <n v="0"/>
    <b v="0"/>
    <n v="1"/>
    <n v="1"/>
    <n v="0.38"/>
    <n v="0.39389999999999997"/>
    <n v="0.37"/>
    <n v="0.35820000000000002"/>
    <n v="3"/>
    <n v="8"/>
    <n v="11"/>
    <s v="Spring"/>
    <s v="Monday"/>
    <s v="Clear"/>
    <s v="Night"/>
    <x v="2"/>
    <x v="2"/>
    <x v="2"/>
    <x v="0"/>
    <s v="Mostly Registered"/>
    <n v="27.27272727272727"/>
    <n v="72.727272727272734"/>
    <x v="0"/>
    <x v="0"/>
    <s v="No"/>
    <n v="1.389999999999997E-2"/>
  </r>
  <r>
    <n v="994"/>
    <x v="44"/>
    <n v="1"/>
    <n v="1"/>
    <b v="0"/>
    <n v="1"/>
    <n v="1"/>
    <n v="0.38"/>
    <n v="0.39389999999999997"/>
    <n v="0.37"/>
    <n v="0.35820000000000002"/>
    <n v="1"/>
    <n v="6"/>
    <n v="7"/>
    <s v="Spring"/>
    <s v="Monday"/>
    <s v="Clear"/>
    <s v="Night"/>
    <x v="2"/>
    <x v="2"/>
    <x v="2"/>
    <x v="0"/>
    <s v="Mostly Registered"/>
    <n v="14.285714285714279"/>
    <n v="85.714285714285708"/>
    <x v="0"/>
    <x v="0"/>
    <s v="No"/>
    <n v="1.389999999999997E-2"/>
  </r>
  <r>
    <n v="995"/>
    <x v="44"/>
    <n v="1"/>
    <n v="2"/>
    <b v="0"/>
    <n v="1"/>
    <n v="1"/>
    <n v="0.36"/>
    <n v="0.33329999999999999"/>
    <n v="0.4"/>
    <n v="0.29849999999999999"/>
    <n v="0"/>
    <n v="2"/>
    <n v="2"/>
    <s v="Spring"/>
    <s v="Monday"/>
    <s v="Clear"/>
    <s v="Night"/>
    <x v="2"/>
    <x v="1"/>
    <x v="1"/>
    <x v="0"/>
    <s v="Mostly Registered"/>
    <n v="0"/>
    <n v="100"/>
    <x v="0"/>
    <x v="0"/>
    <s v="No"/>
    <n v="-2.6700000000000002E-2"/>
  </r>
  <r>
    <n v="996"/>
    <x v="44"/>
    <n v="1"/>
    <n v="3"/>
    <b v="0"/>
    <n v="1"/>
    <n v="1"/>
    <n v="0.34"/>
    <n v="0.31819999999999998"/>
    <n v="0.46"/>
    <n v="0.22389999999999999"/>
    <n v="1"/>
    <n v="1"/>
    <n v="2"/>
    <s v="Spring"/>
    <s v="Monday"/>
    <s v="Clear"/>
    <s v="Night"/>
    <x v="1"/>
    <x v="1"/>
    <x v="1"/>
    <x v="0"/>
    <s v="Mostly Registered"/>
    <n v="50"/>
    <n v="50"/>
    <x v="0"/>
    <x v="0"/>
    <s v="No"/>
    <n v="-2.1800000000000042E-2"/>
  </r>
  <r>
    <n v="997"/>
    <x v="44"/>
    <n v="1"/>
    <n v="4"/>
    <b v="0"/>
    <n v="1"/>
    <n v="1"/>
    <n v="0.32"/>
    <n v="0.30299999999999999"/>
    <n v="0.53"/>
    <n v="0.28360000000000002"/>
    <n v="0"/>
    <n v="2"/>
    <n v="2"/>
    <s v="Spring"/>
    <s v="Monday"/>
    <s v="Clear"/>
    <s v="Night"/>
    <x v="1"/>
    <x v="1"/>
    <x v="1"/>
    <x v="0"/>
    <s v="Mostly Registered"/>
    <n v="0"/>
    <n v="100"/>
    <x v="0"/>
    <x v="0"/>
    <s v="No"/>
    <n v="-1.7000000000000019E-2"/>
  </r>
  <r>
    <n v="998"/>
    <x v="44"/>
    <n v="1"/>
    <n v="5"/>
    <b v="0"/>
    <n v="1"/>
    <n v="1"/>
    <n v="0.32"/>
    <n v="0.30299999999999999"/>
    <n v="0.53"/>
    <n v="0.28360000000000002"/>
    <n v="0"/>
    <n v="3"/>
    <n v="3"/>
    <s v="Spring"/>
    <s v="Monday"/>
    <s v="Clear"/>
    <s v="Night"/>
    <x v="1"/>
    <x v="1"/>
    <x v="1"/>
    <x v="0"/>
    <s v="Mostly Registered"/>
    <n v="0"/>
    <n v="100"/>
    <x v="0"/>
    <x v="0"/>
    <s v="No"/>
    <n v="-1.7000000000000019E-2"/>
  </r>
  <r>
    <n v="999"/>
    <x v="44"/>
    <n v="1"/>
    <n v="6"/>
    <b v="0"/>
    <n v="1"/>
    <n v="1"/>
    <n v="0.34"/>
    <n v="0.30299999999999999"/>
    <n v="0.46"/>
    <n v="0.29849999999999999"/>
    <n v="1"/>
    <n v="25"/>
    <n v="26"/>
    <s v="Spring"/>
    <s v="Monday"/>
    <s v="Clear"/>
    <s v="Morning"/>
    <x v="1"/>
    <x v="1"/>
    <x v="1"/>
    <x v="0"/>
    <s v="Mostly Registered"/>
    <n v="3.8461538461538458"/>
    <n v="96.15384615384616"/>
    <x v="0"/>
    <x v="0"/>
    <s v="No"/>
    <n v="-3.7000000000000033E-2"/>
  </r>
  <r>
    <n v="1000"/>
    <x v="44"/>
    <n v="1"/>
    <n v="7"/>
    <b v="0"/>
    <n v="1"/>
    <n v="1"/>
    <n v="0.34"/>
    <n v="0.30299999999999999"/>
    <n v="0.46"/>
    <n v="0.29849999999999999"/>
    <n v="2"/>
    <n v="96"/>
    <n v="98"/>
    <s v="Spring"/>
    <s v="Monday"/>
    <s v="Clear"/>
    <s v="Morning"/>
    <x v="1"/>
    <x v="1"/>
    <x v="1"/>
    <x v="0"/>
    <s v="Mostly Registered"/>
    <n v="2.0408163265306118"/>
    <n v="97.959183673469383"/>
    <x v="1"/>
    <x v="0"/>
    <s v="No"/>
    <n v="-3.700000000000003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5324F-AB0B-4777-A591-11EF9288B6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A70:E116" firstHeaderRow="0" firstDataRow="1" firstDataCol="1"/>
  <pivotFields count="31">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4">
    <i>
      <x/>
    </i>
    <i i="1">
      <x v="1"/>
    </i>
    <i i="2">
      <x v="2"/>
    </i>
    <i i="3">
      <x v="3"/>
    </i>
  </colItems>
  <dataFields count="4">
    <dataField name="Average of humidity" fld="9" subtotal="average" baseField="1" baseItem="0"/>
    <dataField name="Average of windspeed" fld="10" subtotal="average" baseField="1" baseItem="0"/>
    <dataField name="Average of temperature" fld="7" subtotal="average" baseField="1" baseItem="0"/>
    <dataField name="Average of assumed_temperature" fld="8" subtotal="average" baseField="1" baseItem="0"/>
  </dataFields>
  <formats count="18">
    <format dxfId="22">
      <pivotArea collapsedLevelsAreSubtotals="1" fieldPosition="0">
        <references count="1">
          <reference field="1" count="0"/>
        </references>
      </pivotArea>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fieldPosition="0">
        <references count="1">
          <reference field="4294967294" count="4">
            <x v="0"/>
            <x v="1"/>
            <x v="2"/>
            <x v="3"/>
          </reference>
        </references>
      </pivotArea>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outline="0" fieldPosition="0">
        <references count="1">
          <reference field="4294967294" count="4">
            <x v="0"/>
            <x v="1"/>
            <x v="2"/>
            <x v="3"/>
          </reference>
        </references>
      </pivotArea>
    </format>
    <format dxfId="9">
      <pivotArea dataOnly="0" labelOnly="1" fieldPosition="0">
        <references count="1">
          <reference field="1" count="0"/>
        </references>
      </pivotArea>
    </format>
    <format dxfId="8">
      <pivotArea dataOnly="0" outline="0" fieldPosition="0">
        <references count="1">
          <reference field="4294967294" count="1">
            <x v="0"/>
          </reference>
        </references>
      </pivotArea>
    </format>
    <format dxfId="7">
      <pivotArea dataOnly="0" outline="0" fieldPosition="0">
        <references count="1">
          <reference field="4294967294" count="1">
            <x v="1"/>
          </reference>
        </references>
      </pivotArea>
    </format>
    <format dxfId="6">
      <pivotArea dataOnly="0" outline="0" fieldPosition="0">
        <references count="1">
          <reference field="4294967294" count="1">
            <x v="2"/>
          </reference>
        </references>
      </pivotArea>
    </format>
    <format dxfId="5">
      <pivotArea dataOnly="0" outline="0" fieldPosition="0">
        <references count="1">
          <reference field="4294967294" count="1">
            <x v="3"/>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ED229B-0470-4E05-AFE5-9BB90545A59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umidity">
  <location ref="J119:K123" firstHeaderRow="1" firstDataRow="1" firstDataCol="1"/>
  <pivotFields count="3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2"/>
        <item x="1"/>
        <item t="default"/>
      </items>
    </pivotField>
    <pivotField showAll="0"/>
    <pivotField showAll="0">
      <items count="3">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4">
    <i>
      <x/>
    </i>
    <i>
      <x v="1"/>
    </i>
    <i>
      <x v="2"/>
    </i>
    <i t="grand">
      <x/>
    </i>
  </rowItems>
  <colItems count="1">
    <i/>
  </colItems>
  <dataFields count="1">
    <dataField name="Sum of total_customer" fld="13" baseField="0" baseItem="0"/>
  </dataFields>
  <formats count="12">
    <format dxfId="34">
      <pivotArea type="all" dataOnly="0" outline="0" fieldPosition="0"/>
    </format>
    <format dxfId="33">
      <pivotArea outline="0" collapsedLevelsAreSubtotals="1" fieldPosition="0"/>
    </format>
    <format dxfId="32">
      <pivotArea field="19" type="button" dataOnly="0" labelOnly="1" outline="0" axis="axisRow" fieldPosition="0"/>
    </format>
    <format dxfId="31">
      <pivotArea dataOnly="0" labelOnly="1" fieldPosition="0">
        <references count="1">
          <reference field="19" count="0"/>
        </references>
      </pivotArea>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19" type="button" dataOnly="0" labelOnly="1" outline="0" axis="axisRow" fieldPosition="0"/>
    </format>
    <format dxfId="25">
      <pivotArea dataOnly="0" labelOnly="1" fieldPosition="0">
        <references count="1">
          <reference field="19" count="0"/>
        </references>
      </pivotArea>
    </format>
    <format dxfId="24">
      <pivotArea dataOnly="0" labelOnly="1" grandRow="1" outline="0" fieldPosition="0"/>
    </format>
    <format dxfId="23">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0"/>
          </reference>
        </references>
      </pivotArea>
    </chartFormat>
    <chartFormat chart="1" format="2">
      <pivotArea type="data" outline="0" fieldPosition="0">
        <references count="2">
          <reference field="4294967294" count="1" selected="0">
            <x v="0"/>
          </reference>
          <reference field="19" count="1" selected="0">
            <x v="1"/>
          </reference>
        </references>
      </pivotArea>
    </chartFormat>
    <chartFormat chart="1"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760654-C6A1-48CB-856C-2F4D49F8B3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emperature">
  <location ref="G119:H125" firstHeaderRow="1" firstDataRow="1" firstDataCol="1"/>
  <pivotFields count="3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0"/>
        <item x="3"/>
        <item x="1"/>
        <item x="4"/>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6">
    <i>
      <x/>
    </i>
    <i>
      <x v="1"/>
    </i>
    <i>
      <x v="2"/>
    </i>
    <i>
      <x v="3"/>
    </i>
    <i>
      <x v="4"/>
    </i>
    <i t="grand">
      <x/>
    </i>
  </rowItems>
  <colItems count="1">
    <i/>
  </colItems>
  <dataFields count="1">
    <dataField name="Sum of total_customer" fld="13" baseField="0" baseItem="0"/>
  </dataFields>
  <formats count="12">
    <format dxfId="46">
      <pivotArea type="all" dataOnly="0" outline="0" fieldPosition="0"/>
    </format>
    <format dxfId="45">
      <pivotArea outline="0" collapsedLevelsAreSubtotals="1" fieldPosition="0"/>
    </format>
    <format dxfId="44">
      <pivotArea field="18" type="button" dataOnly="0" labelOnly="1" outline="0" axis="axisRow" fieldPosition="0"/>
    </format>
    <format dxfId="43">
      <pivotArea dataOnly="0" labelOnly="1" fieldPosition="0">
        <references count="1">
          <reference field="18"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8" type="button" dataOnly="0" labelOnly="1" outline="0" axis="axisRow" fieldPosition="0"/>
    </format>
    <format dxfId="37">
      <pivotArea dataOnly="0" labelOnly="1" fieldPosition="0">
        <references count="1">
          <reference field="18" count="0"/>
        </references>
      </pivotArea>
    </format>
    <format dxfId="36">
      <pivotArea dataOnly="0" labelOnly="1" grandRow="1" outline="0" fieldPosition="0"/>
    </format>
    <format dxfId="35">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1" format="4">
      <pivotArea type="data" outline="0" fieldPosition="0">
        <references count="2">
          <reference field="4294967294" count="1" selected="0">
            <x v="0"/>
          </reference>
          <reference field="18" count="1" selected="0">
            <x v="3"/>
          </reference>
        </references>
      </pivotArea>
    </chartFormat>
    <chartFormat chart="1" format="5">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DEC9EA-D7A7-4AF9-B87E-68A919F75B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indy">
  <location ref="D119:E123" firstHeaderRow="1" firstDataRow="1" firstDataCol="1"/>
  <pivotFields count="3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4">
    <i>
      <x/>
    </i>
    <i>
      <x v="1"/>
    </i>
    <i>
      <x v="2"/>
    </i>
    <i t="grand">
      <x/>
    </i>
  </rowItems>
  <colItems count="1">
    <i/>
  </colItems>
  <dataFields count="1">
    <dataField name="Sum of total_customer" fld="13" baseField="0" baseItem="0"/>
  </dataFields>
  <formats count="12">
    <format dxfId="58">
      <pivotArea type="all" dataOnly="0" outline="0" fieldPosition="0"/>
    </format>
    <format dxfId="57">
      <pivotArea outline="0" collapsedLevelsAreSubtotals="1" fieldPosition="0"/>
    </format>
    <format dxfId="56">
      <pivotArea field="20" type="button" dataOnly="0" labelOnly="1" outline="0" axis="axisRow" fieldPosition="0"/>
    </format>
    <format dxfId="55">
      <pivotArea dataOnly="0" labelOnly="1" fieldPosition="0">
        <references count="1">
          <reference field="20"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20" type="button" dataOnly="0" labelOnly="1" outline="0" axis="axisRow" fieldPosition="0"/>
    </format>
    <format dxfId="49">
      <pivotArea dataOnly="0" labelOnly="1" fieldPosition="0">
        <references count="1">
          <reference field="20" count="0"/>
        </references>
      </pivotArea>
    </format>
    <format dxfId="48">
      <pivotArea dataOnly="0" labelOnly="1" grandRow="1" outline="0" fieldPosition="0"/>
    </format>
    <format dxfId="47">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0" count="1" selected="0">
            <x v="0"/>
          </reference>
        </references>
      </pivotArea>
    </chartFormat>
    <chartFormat chart="3" format="2">
      <pivotArea type="data" outline="0" fieldPosition="0">
        <references count="2">
          <reference field="4294967294" count="1" selected="0">
            <x v="0"/>
          </reference>
          <reference field="20" count="1" selected="0">
            <x v="1"/>
          </reference>
        </references>
      </pivotArea>
    </chartFormat>
    <chartFormat chart="3"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AEEE8-FB9C-4E90-A7D5-7D73D88BDF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y Type">
  <location ref="A119:B122" firstHeaderRow="1" firstDataRow="1" firstDataCol="1"/>
  <pivotFields count="31">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3">
    <i>
      <x/>
    </i>
    <i>
      <x v="1"/>
    </i>
    <i t="grand">
      <x/>
    </i>
  </rowItems>
  <colItems count="1">
    <i/>
  </colItems>
  <dataFields count="1">
    <dataField name="Sum of total_customer" fld="13" baseField="0" baseItem="0"/>
  </dataFields>
  <formats count="12">
    <format dxfId="70">
      <pivotArea type="all" dataOnly="0" outline="0" fieldPosition="0"/>
    </format>
    <format dxfId="69">
      <pivotArea outline="0" collapsedLevelsAreSubtotals="1" fieldPosition="0"/>
    </format>
    <format dxfId="68">
      <pivotArea field="21" type="button" dataOnly="0" labelOnly="1" outline="0" axis="axisRow" fieldPosition="0"/>
    </format>
    <format dxfId="67">
      <pivotArea dataOnly="0" labelOnly="1" fieldPosition="0">
        <references count="1">
          <reference field="21"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21" type="button" dataOnly="0" labelOnly="1" outline="0" axis="axisRow" fieldPosition="0"/>
    </format>
    <format dxfId="61">
      <pivotArea dataOnly="0" labelOnly="1" fieldPosition="0">
        <references count="1">
          <reference field="21" count="0"/>
        </references>
      </pivotArea>
    </format>
    <format dxfId="60">
      <pivotArea dataOnly="0" labelOnly="1" grandRow="1" outline="0" fieldPosition="0"/>
    </format>
    <format dxfId="59">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1" count="1" selected="0">
            <x v="0"/>
          </reference>
        </references>
      </pivotArea>
    </chartFormat>
    <chartFormat chart="2" format="2">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E8F45-67BA-4F01-93FB-C8D8BF93F0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G70:J116" firstHeaderRow="0" firstDataRow="1" firstDataCol="1"/>
  <pivotFields count="31">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3">
    <i>
      <x/>
    </i>
    <i i="1">
      <x v="1"/>
    </i>
    <i i="2">
      <x v="2"/>
    </i>
  </colItems>
  <dataFields count="3">
    <dataField name="Sum of casual_customer" fld="11" baseField="0" baseItem="0"/>
    <dataField name="Sum of registered_customer" fld="12" baseField="0" baseItem="0"/>
    <dataField name="Sum of total_customer" fld="13" baseField="0" baseItem="0"/>
  </dataFields>
  <formats count="6">
    <format dxfId="76">
      <pivotArea dataOnly="0" outline="0" fieldPosition="0">
        <references count="1">
          <reference field="4294967294" count="3">
            <x v="0"/>
            <x v="1"/>
            <x v="2"/>
          </reference>
        </references>
      </pivotArea>
    </format>
    <format dxfId="75">
      <pivotArea dataOnly="0" outline="0" fieldPosition="0">
        <references count="1">
          <reference field="4294967294" count="1">
            <x v="0"/>
          </reference>
        </references>
      </pivotArea>
    </format>
    <format dxfId="74">
      <pivotArea dataOnly="0" outline="0" fieldPosition="0">
        <references count="1">
          <reference field="4294967294" count="1">
            <x v="1"/>
          </reference>
        </references>
      </pivotArea>
    </format>
    <format dxfId="73">
      <pivotArea dataOnly="0" labelOnly="1" fieldPosition="0">
        <references count="1">
          <reference field="1" count="0"/>
        </references>
      </pivotArea>
    </format>
    <format dxfId="72">
      <pivotArea dataOnly="0" outline="0" fieldPosition="0">
        <references count="1">
          <reference field="4294967294" count="1">
            <x v="2"/>
          </reference>
        </references>
      </pivotArea>
    </format>
    <format dxfId="71">
      <pivotArea field="1" type="button" dataOnly="0" labelOnly="1" outline="0" axis="axisRow" fieldPosition="0"/>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998F030-7FFF-43E3-83EA-48135C1198F7}" autoFormatId="16" applyNumberFormats="0" applyBorderFormats="0" applyFontFormats="0" applyPatternFormats="0" applyAlignmentFormats="0" applyWidthHeightFormats="0">
  <queryTableRefresh nextId="36">
    <queryTableFields count="14">
      <queryTableField id="1" name="instant" tableColumnId="1"/>
      <queryTableField id="17" name="date" tableColumnId="2"/>
      <queryTableField id="3" name="season" tableColumnId="3"/>
      <queryTableField id="20" name="hour" tableColumnId="6"/>
      <queryTableField id="7" name="holiday" tableColumnId="7"/>
      <queryTableField id="8" name="weekday" tableColumnId="8"/>
      <queryTableField id="21" name="weather_situation" tableColumnId="9"/>
      <queryTableField id="22" name="temperature" tableColumnId="10"/>
      <queryTableField id="23" name="assumed_temperature" tableColumnId="11"/>
      <queryTableField id="24" name="humidity" tableColumnId="12"/>
      <queryTableField id="13" name="windspeed" tableColumnId="13"/>
      <queryTableField id="25" name="casual_customer" tableColumnId="14"/>
      <queryTableField id="26" name="registered_customer" tableColumnId="15"/>
      <queryTableField id="27" name="total_customer" tableColumnId="16"/>
    </queryTableFields>
    <queryTableDeletedFields count="2">
      <deletedField name="year"/>
      <deletedField name="month"/>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33016C8-DF09-4DE3-B385-478C053369FE}" sourceName="date">
  <pivotTables>
    <pivotTable tabId="3" name="PivotTable2"/>
    <pivotTable tabId="3" name="PivotTable1"/>
    <pivotTable tabId="3" name="PivotTable3"/>
    <pivotTable tabId="3" name="PivotTable4"/>
    <pivotTable tabId="3" name="PivotTable5"/>
    <pivotTable tabId="3" name="PivotTable6"/>
  </pivotTables>
  <data>
    <tabular pivotCacheId="506123952">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F5255E8-34DC-4B6A-8665-95E46FBB5280}" cache="Slicer_date" caption="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C62A9D-2BE1-4EDF-9914-4E6B05FAEFB7}" name="Append1_1" displayName="Append1_1" ref="A1:N1001" tableType="queryTable" totalsRowShown="0">
  <autoFilter ref="A1:N1001" xr:uid="{2BC62A9D-2BE1-4EDF-9914-4E6B05FAEFB7}"/>
  <sortState xmlns:xlrd2="http://schemas.microsoft.com/office/spreadsheetml/2017/richdata2" ref="A2:N1001">
    <sortCondition ref="A1:A1001"/>
  </sortState>
  <tableColumns count="14">
    <tableColumn id="1" xr3:uid="{AB6E1900-93E1-4C0D-BB79-6BB8EAA80205}" uniqueName="1" name="instant" queryTableFieldId="1" dataDxfId="105"/>
    <tableColumn id="2" xr3:uid="{D5DB5F21-33E9-4A07-8B03-D9ECD83770CC}" uniqueName="2" name="date" queryTableFieldId="17" dataDxfId="104"/>
    <tableColumn id="3" xr3:uid="{75D1313F-4011-45A1-8B8B-0F1A6C9BEBE6}" uniqueName="3" name="season" queryTableFieldId="3" dataDxfId="103"/>
    <tableColumn id="6" xr3:uid="{F6B4851A-3A6C-4E02-A41A-CD15DF3C15C9}" uniqueName="6" name="hour" queryTableFieldId="20" dataDxfId="102"/>
    <tableColumn id="7" xr3:uid="{66B77231-A10A-4287-B044-F07D27D29B7B}" uniqueName="7" name="holiday" queryTableFieldId="7"/>
    <tableColumn id="8" xr3:uid="{9D7DDA00-4013-4005-ADB3-0058705AAD26}" uniqueName="8" name="weekday" queryTableFieldId="8" dataDxfId="101"/>
    <tableColumn id="9" xr3:uid="{D9BE1A6E-6BCB-464B-85F4-F8A8CAB1BF53}" uniqueName="9" name="weather_situation" queryTableFieldId="21" dataDxfId="100"/>
    <tableColumn id="10" xr3:uid="{6D4F2DFD-92D1-42FA-BDA9-BE6DEEB90D70}" uniqueName="10" name="temperature" queryTableFieldId="22" dataDxfId="99"/>
    <tableColumn id="11" xr3:uid="{6D112E67-A3CD-4D4B-88DB-41569768F52E}" uniqueName="11" name="assumed_temperature" queryTableFieldId="23" dataDxfId="98"/>
    <tableColumn id="12" xr3:uid="{4C5BDC40-784C-404E-AD7F-0B725EBEA239}" uniqueName="12" name="humidity" queryTableFieldId="24" dataDxfId="97"/>
    <tableColumn id="13" xr3:uid="{A0AE2D13-56BA-47D3-9F68-54833654D808}" uniqueName="13" name="windspeed" queryTableFieldId="13" dataDxfId="96"/>
    <tableColumn id="14" xr3:uid="{B2AF8D0E-8000-40C3-A2D4-060F22F12100}" uniqueName="14" name="casual_customer" queryTableFieldId="25" dataDxfId="95"/>
    <tableColumn id="15" xr3:uid="{238404E3-1CB2-4B63-AEF0-2239637C9A3B}" uniqueName="15" name="registered_customer" queryTableFieldId="26" dataDxfId="94"/>
    <tableColumn id="16" xr3:uid="{C6788FF0-AFCB-4DFC-B8DF-13C9369E9A8B}" uniqueName="16" name="total_customer" queryTableFieldId="27" dataDxfId="9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5C71C3-D559-4E47-8D35-2C4CB9DB31CC}" name="Table1" displayName="Table1" ref="A1:AC1001" totalsRowShown="0">
  <autoFilter ref="A1:AC1001" xr:uid="{505C71C3-D559-4E47-8D35-2C4CB9DB31CC}"/>
  <sortState xmlns:xlrd2="http://schemas.microsoft.com/office/spreadsheetml/2017/richdata2" ref="A37:AC1001">
    <sortCondition ref="J1:J1001"/>
  </sortState>
  <tableColumns count="29">
    <tableColumn id="1" xr3:uid="{952D2E7A-E0DC-4751-933A-57C641FE040F}" name="instant" dataDxfId="92"/>
    <tableColumn id="2" xr3:uid="{442E477A-3D2D-4B1B-9CB0-E10047F1717C}" name="date" dataDxfId="91"/>
    <tableColumn id="3" xr3:uid="{6C10D314-5106-43FE-A155-8EEAC8152776}" name="season" dataDxfId="90"/>
    <tableColumn id="6" xr3:uid="{1D0E74A1-CAF4-4BB8-8738-531266AAFC3D}" name="hour" dataDxfId="89"/>
    <tableColumn id="7" xr3:uid="{D2B3640C-0DAF-4D78-8BF6-6E635E8F7CCD}" name="holiday"/>
    <tableColumn id="8" xr3:uid="{4DBAD5E3-7D59-465E-BB0F-D37BBC7D3577}" name="weekday" dataDxfId="88"/>
    <tableColumn id="9" xr3:uid="{D9DEAA36-A8AF-4F94-9B17-F1195AAB92B6}" name="weather_situation" dataDxfId="87"/>
    <tableColumn id="10" xr3:uid="{6DCF95BA-64BF-4FA2-91AA-918A945514F8}" name="temperature" dataDxfId="86"/>
    <tableColumn id="11" xr3:uid="{D732D649-3220-4F07-A1F5-78DAD96BC85F}" name="assumed_temperature" dataDxfId="85"/>
    <tableColumn id="12" xr3:uid="{0D210517-2763-416F-9F9D-08C10833775D}" name="humidity" dataDxfId="84"/>
    <tableColumn id="13" xr3:uid="{DBE5D4F6-63BC-4A6F-AD5C-EB9BA11C0F62}" name="windspeed" dataDxfId="83"/>
    <tableColumn id="14" xr3:uid="{7703957A-48CA-4886-A868-939DD204ECBD}" name="casual_customer" dataDxfId="82"/>
    <tableColumn id="15" xr3:uid="{EDE66928-C9E5-4A8D-8B4E-CF1468101625}" name="registered_customer" dataDxfId="81"/>
    <tableColumn id="16" xr3:uid="{084BD8A3-F6EA-4DAB-98E5-44C7E132CAE4}" name="total_customer" dataDxfId="80"/>
    <tableColumn id="17" xr3:uid="{2040E198-0AC9-4D12-BBA5-A4193BB057C2}" name="Season_Name"/>
    <tableColumn id="18" xr3:uid="{B6B61012-87D2-46E9-A647-1FCFC4965924}" name="Weekday_Name"/>
    <tableColumn id="19" xr3:uid="{1E4269B6-7C96-457C-BA76-E8E7A6C9E07F}" name="Weather_Description"/>
    <tableColumn id="20" xr3:uid="{9941C10D-06DC-4852-8BAF-FD148DFA5AD3}" name="Time_of_Day"/>
    <tableColumn id="21" xr3:uid="{34C02FB0-0A9B-429F-93AC-E54CD1A49263}" name="Temperature_Level"/>
    <tableColumn id="22" xr3:uid="{7A33ABD9-03AF-42EA-BE30-9C7040C4821C}" name="Humidity_Level"/>
    <tableColumn id="23" xr3:uid="{ECBADBC5-84DF-4EE1-B5EB-871D9AA2DB2A}" name="Wind_Level"/>
    <tableColumn id="24" xr3:uid="{46576222-9171-42F1-ADAA-74E91B160868}" name="Day_Type"/>
    <tableColumn id="25" xr3:uid="{20C9C70C-FBAF-433E-8F23-ED0A70751F23}" name="Customer_Type"/>
    <tableColumn id="26" xr3:uid="{32A63FF1-927E-4D0A-A790-988A00570AF9}" name="Casual_Percentage" dataDxfId="79"/>
    <tableColumn id="27" xr3:uid="{10BE283A-101A-469C-8B4D-D119E540C272}" name="Registered_Percentage" dataDxfId="78"/>
    <tableColumn id="28" xr3:uid="{816C11BC-FFC4-4043-AC69-AF48DC607653}" name="Rush_Hour"/>
    <tableColumn id="29" xr3:uid="{2FFF4D70-1269-4198-8F42-7132F4063E86}" name="Demand_Level"/>
    <tableColumn id="30" xr3:uid="{521A05C5-7DE7-48DF-9B4A-8C3CA7873E13}" name="Weekend"/>
    <tableColumn id="31" xr3:uid="{6AAA1AF5-6399-43FF-BF0D-DE5AAD6F8173}" name="Feels_Like_Difference" dataDxfId="7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BFBE42-FCE2-432E-A681-3C579A596E98}" name="Table3" displayName="Table3" ref="A22:E79" totalsRowShown="0">
  <autoFilter ref="A22:E79" xr:uid="{75BFBE42-FCE2-432E-A681-3C579A596E98}"/>
  <tableColumns count="5">
    <tableColumn id="1" xr3:uid="{8977CC44-711B-4D99-996B-36E552409EE1}" name="date" dataDxfId="4"/>
    <tableColumn id="2" xr3:uid="{19CB94F4-1A32-45C8-852B-12BF5F98D182}" name="total_customer" dataDxfId="3"/>
    <tableColumn id="3" xr3:uid="{F5F92849-EDBD-4A94-AB94-9BF0DE418DB3}" name="Forecast(total_customer)" dataDxfId="2">
      <calculatedColumnFormula>_xlfn.FORECAST.ETS(A23,$B$23:$B$67,$A$23:$A$67,1,1)</calculatedColumnFormula>
    </tableColumn>
    <tableColumn id="4" xr3:uid="{78563F13-68AE-4053-9984-9C8100319B45}" name="Lower Confidence Bound(total_customer)" dataDxfId="1">
      <calculatedColumnFormula>C23-_xlfn.FORECAST.ETS.CONFINT(A23,$B$23:$B$67,$A$23:$A$67,0.95,1,1)</calculatedColumnFormula>
    </tableColumn>
    <tableColumn id="5" xr3:uid="{63DB1767-ECD2-42ED-B86A-F5416F44C12A}" name="Upper Confidence Bound(total_customer)" dataDxfId="0">
      <calculatedColumnFormula>C23+_xlfn.FORECAST.ETS.CONFINT(A23,$B$23:$B$67,$A$23:$A$67,0.95,1,1)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5F92-99DD-4668-AEE3-FBD47D1CC6E3}">
  <dimension ref="A1:N1001"/>
  <sheetViews>
    <sheetView tabSelected="1" workbookViewId="0">
      <selection activeCell="A2" sqref="A2"/>
    </sheetView>
  </sheetViews>
  <sheetFormatPr defaultRowHeight="14.4" x14ac:dyDescent="0.3"/>
  <cols>
    <col min="1" max="1" width="9" style="2" bestFit="1" customWidth="1"/>
    <col min="2" max="2" width="10.33203125" style="1" bestFit="1" customWidth="1"/>
    <col min="3" max="3" width="9" style="2" bestFit="1" customWidth="1"/>
    <col min="4" max="4" width="7.21875" style="2" bestFit="1" customWidth="1"/>
    <col min="5" max="5" width="9.44140625" bestFit="1" customWidth="1"/>
    <col min="6" max="6" width="10.77734375" style="2" bestFit="1" customWidth="1"/>
    <col min="7" max="7" width="18.5546875" style="2" bestFit="1" customWidth="1"/>
    <col min="8" max="8" width="13.77734375" style="23" bestFit="1" customWidth="1"/>
    <col min="9" max="9" width="22.44140625" style="25" bestFit="1" customWidth="1"/>
    <col min="10" max="10" width="10.77734375" style="23" bestFit="1" customWidth="1"/>
    <col min="11" max="11" width="12.33203125" style="25" bestFit="1" customWidth="1"/>
    <col min="12" max="12" width="17.44140625" style="2" bestFit="1" customWidth="1"/>
    <col min="13" max="13" width="20.6640625" style="2" bestFit="1" customWidth="1"/>
    <col min="14" max="14" width="16.109375" style="2" bestFit="1" customWidth="1"/>
  </cols>
  <sheetData>
    <row r="1" spans="1:14" x14ac:dyDescent="0.3">
      <c r="A1" s="2" t="s">
        <v>0</v>
      </c>
      <c r="B1" s="1" t="s">
        <v>1</v>
      </c>
      <c r="C1" s="2" t="s">
        <v>2</v>
      </c>
      <c r="D1" s="2" t="s">
        <v>3</v>
      </c>
      <c r="E1" t="s">
        <v>4</v>
      </c>
      <c r="F1" s="2" t="s">
        <v>5</v>
      </c>
      <c r="G1" s="2" t="s">
        <v>6</v>
      </c>
      <c r="H1" s="23" t="s">
        <v>7</v>
      </c>
      <c r="I1" s="25" t="s">
        <v>8</v>
      </c>
      <c r="J1" s="23" t="s">
        <v>9</v>
      </c>
      <c r="K1" s="25" t="s">
        <v>10</v>
      </c>
      <c r="L1" s="2" t="s">
        <v>11</v>
      </c>
      <c r="M1" s="2" t="s">
        <v>12</v>
      </c>
      <c r="N1" s="2" t="s">
        <v>13</v>
      </c>
    </row>
    <row r="2" spans="1:14" x14ac:dyDescent="0.3">
      <c r="A2" s="2">
        <v>1</v>
      </c>
      <c r="B2" s="1">
        <v>40544</v>
      </c>
      <c r="C2" s="2">
        <v>1</v>
      </c>
      <c r="D2" s="2">
        <v>0</v>
      </c>
      <c r="E2" t="b">
        <v>0</v>
      </c>
      <c r="F2" s="2">
        <v>6</v>
      </c>
      <c r="G2" s="2">
        <v>1</v>
      </c>
      <c r="H2" s="23">
        <v>0.24</v>
      </c>
      <c r="I2" s="25">
        <v>0.28789999999999999</v>
      </c>
      <c r="J2" s="23">
        <v>0.81</v>
      </c>
      <c r="K2" s="25">
        <v>0</v>
      </c>
      <c r="L2" s="2">
        <v>3</v>
      </c>
      <c r="M2" s="2">
        <v>13</v>
      </c>
      <c r="N2" s="2">
        <v>16</v>
      </c>
    </row>
    <row r="3" spans="1:14" x14ac:dyDescent="0.3">
      <c r="A3" s="2">
        <v>2</v>
      </c>
      <c r="B3" s="1">
        <v>40544</v>
      </c>
      <c r="C3" s="2">
        <v>1</v>
      </c>
      <c r="D3" s="2">
        <v>1</v>
      </c>
      <c r="E3" t="b">
        <v>0</v>
      </c>
      <c r="F3" s="2">
        <v>6</v>
      </c>
      <c r="G3" s="2">
        <v>1</v>
      </c>
      <c r="H3" s="23">
        <v>0.22</v>
      </c>
      <c r="I3" s="25">
        <v>0.2727</v>
      </c>
      <c r="J3" s="23">
        <v>0.8</v>
      </c>
      <c r="K3" s="25">
        <v>0</v>
      </c>
      <c r="L3" s="2">
        <v>8</v>
      </c>
      <c r="M3" s="2">
        <v>32</v>
      </c>
      <c r="N3" s="2">
        <v>40</v>
      </c>
    </row>
    <row r="4" spans="1:14" x14ac:dyDescent="0.3">
      <c r="A4" s="2">
        <v>3</v>
      </c>
      <c r="B4" s="1">
        <v>40544</v>
      </c>
      <c r="C4" s="2">
        <v>1</v>
      </c>
      <c r="D4" s="2">
        <v>2</v>
      </c>
      <c r="E4" t="b">
        <v>0</v>
      </c>
      <c r="F4" s="2">
        <v>6</v>
      </c>
      <c r="G4" s="2">
        <v>1</v>
      </c>
      <c r="H4" s="23">
        <v>0.22</v>
      </c>
      <c r="I4" s="25">
        <v>0.2727</v>
      </c>
      <c r="J4" s="23">
        <v>0.8</v>
      </c>
      <c r="K4" s="25">
        <v>0</v>
      </c>
      <c r="L4" s="2">
        <v>5</v>
      </c>
      <c r="M4" s="2">
        <v>27</v>
      </c>
      <c r="N4" s="2">
        <v>32</v>
      </c>
    </row>
    <row r="5" spans="1:14" x14ac:dyDescent="0.3">
      <c r="A5" s="2">
        <v>4</v>
      </c>
      <c r="B5" s="1">
        <v>40544</v>
      </c>
      <c r="C5" s="2">
        <v>1</v>
      </c>
      <c r="D5" s="2">
        <v>3</v>
      </c>
      <c r="E5" t="b">
        <v>0</v>
      </c>
      <c r="F5" s="2">
        <v>6</v>
      </c>
      <c r="G5" s="2">
        <v>1</v>
      </c>
      <c r="H5" s="23">
        <v>0.24</v>
      </c>
      <c r="I5" s="25">
        <v>0.28789999999999999</v>
      </c>
      <c r="J5" s="23">
        <v>0.75</v>
      </c>
      <c r="K5" s="25">
        <v>0</v>
      </c>
      <c r="L5" s="2">
        <v>3</v>
      </c>
      <c r="M5" s="2">
        <v>10</v>
      </c>
      <c r="N5" s="2">
        <v>13</v>
      </c>
    </row>
    <row r="6" spans="1:14" x14ac:dyDescent="0.3">
      <c r="A6" s="2">
        <v>5</v>
      </c>
      <c r="B6" s="1">
        <v>40544</v>
      </c>
      <c r="C6" s="2">
        <v>1</v>
      </c>
      <c r="D6" s="2">
        <v>4</v>
      </c>
      <c r="E6" t="b">
        <v>0</v>
      </c>
      <c r="F6" s="2">
        <v>6</v>
      </c>
      <c r="G6" s="2">
        <v>1</v>
      </c>
      <c r="H6" s="23">
        <v>0.24</v>
      </c>
      <c r="I6" s="25">
        <v>0.28789999999999999</v>
      </c>
      <c r="J6" s="23">
        <v>0.75</v>
      </c>
      <c r="K6" s="25">
        <v>0</v>
      </c>
      <c r="L6" s="2">
        <v>0</v>
      </c>
      <c r="M6" s="2">
        <v>1</v>
      </c>
      <c r="N6" s="2">
        <v>1</v>
      </c>
    </row>
    <row r="7" spans="1:14" x14ac:dyDescent="0.3">
      <c r="A7" s="2">
        <v>6</v>
      </c>
      <c r="B7" s="1">
        <v>40544</v>
      </c>
      <c r="C7" s="2">
        <v>1</v>
      </c>
      <c r="D7" s="2">
        <v>5</v>
      </c>
      <c r="E7" t="b">
        <v>0</v>
      </c>
      <c r="F7" s="2">
        <v>6</v>
      </c>
      <c r="G7" s="2">
        <v>2</v>
      </c>
      <c r="H7" s="23">
        <v>0.24</v>
      </c>
      <c r="I7" s="25">
        <v>0.2576</v>
      </c>
      <c r="J7" s="23">
        <v>0.75</v>
      </c>
      <c r="K7" s="25">
        <v>8.9599999999999999E-2</v>
      </c>
      <c r="L7" s="2">
        <v>0</v>
      </c>
      <c r="M7" s="2">
        <v>1</v>
      </c>
      <c r="N7" s="2">
        <v>1</v>
      </c>
    </row>
    <row r="8" spans="1:14" x14ac:dyDescent="0.3">
      <c r="A8" s="2">
        <v>7</v>
      </c>
      <c r="B8" s="1">
        <v>40544</v>
      </c>
      <c r="C8" s="2">
        <v>1</v>
      </c>
      <c r="D8" s="2">
        <v>6</v>
      </c>
      <c r="E8" t="b">
        <v>0</v>
      </c>
      <c r="F8" s="2">
        <v>6</v>
      </c>
      <c r="G8" s="2">
        <v>1</v>
      </c>
      <c r="H8" s="23">
        <v>0.22</v>
      </c>
      <c r="I8" s="25">
        <v>0.2727</v>
      </c>
      <c r="J8" s="23">
        <v>0.8</v>
      </c>
      <c r="K8" s="25">
        <v>0</v>
      </c>
      <c r="L8" s="2">
        <v>2</v>
      </c>
      <c r="M8" s="2">
        <v>0</v>
      </c>
      <c r="N8" s="2">
        <v>2</v>
      </c>
    </row>
    <row r="9" spans="1:14" x14ac:dyDescent="0.3">
      <c r="A9" s="2">
        <v>8</v>
      </c>
      <c r="B9" s="1">
        <v>40544</v>
      </c>
      <c r="C9" s="2">
        <v>1</v>
      </c>
      <c r="D9" s="2">
        <v>7</v>
      </c>
      <c r="E9" t="b">
        <v>0</v>
      </c>
      <c r="F9" s="2">
        <v>6</v>
      </c>
      <c r="G9" s="2">
        <v>1</v>
      </c>
      <c r="H9" s="23">
        <v>0.2</v>
      </c>
      <c r="I9" s="25">
        <v>0.2576</v>
      </c>
      <c r="J9" s="23">
        <v>0.86</v>
      </c>
      <c r="K9" s="25">
        <v>0</v>
      </c>
      <c r="L9" s="2">
        <v>1</v>
      </c>
      <c r="M9" s="2">
        <v>2</v>
      </c>
      <c r="N9" s="2">
        <v>3</v>
      </c>
    </row>
    <row r="10" spans="1:14" x14ac:dyDescent="0.3">
      <c r="A10" s="2">
        <v>9</v>
      </c>
      <c r="B10" s="1">
        <v>40544</v>
      </c>
      <c r="C10" s="2">
        <v>1</v>
      </c>
      <c r="D10" s="2">
        <v>8</v>
      </c>
      <c r="E10" t="b">
        <v>0</v>
      </c>
      <c r="F10" s="2">
        <v>6</v>
      </c>
      <c r="G10" s="2">
        <v>1</v>
      </c>
      <c r="H10" s="23">
        <v>0.24</v>
      </c>
      <c r="I10" s="25">
        <v>0.2576</v>
      </c>
      <c r="J10" s="23">
        <v>0.75</v>
      </c>
      <c r="K10" s="25">
        <v>0</v>
      </c>
      <c r="L10" s="2">
        <v>1</v>
      </c>
      <c r="M10" s="2">
        <v>7</v>
      </c>
      <c r="N10" s="2">
        <v>8</v>
      </c>
    </row>
    <row r="11" spans="1:14" x14ac:dyDescent="0.3">
      <c r="A11" s="2">
        <v>10</v>
      </c>
      <c r="B11" s="1">
        <v>40544</v>
      </c>
      <c r="C11" s="2">
        <v>1</v>
      </c>
      <c r="D11" s="2">
        <v>9</v>
      </c>
      <c r="E11" t="b">
        <v>0</v>
      </c>
      <c r="F11" s="2">
        <v>6</v>
      </c>
      <c r="G11" s="2">
        <v>1</v>
      </c>
      <c r="H11" s="23">
        <v>0.32</v>
      </c>
      <c r="I11" s="25">
        <v>0.34849999999999998</v>
      </c>
      <c r="J11" s="23">
        <v>0.76</v>
      </c>
      <c r="K11" s="25">
        <v>0</v>
      </c>
      <c r="L11" s="2">
        <v>8</v>
      </c>
      <c r="M11" s="2">
        <v>6</v>
      </c>
      <c r="N11" s="2">
        <v>14</v>
      </c>
    </row>
    <row r="12" spans="1:14" x14ac:dyDescent="0.3">
      <c r="A12" s="2">
        <v>11</v>
      </c>
      <c r="B12" s="1">
        <v>40544</v>
      </c>
      <c r="C12" s="2">
        <v>1</v>
      </c>
      <c r="D12" s="2">
        <v>10</v>
      </c>
      <c r="E12" t="b">
        <v>0</v>
      </c>
      <c r="F12" s="2">
        <v>6</v>
      </c>
      <c r="G12" s="2">
        <v>1</v>
      </c>
      <c r="H12" s="23">
        <v>0.38</v>
      </c>
      <c r="I12" s="25">
        <v>0.39389999999999997</v>
      </c>
      <c r="J12" s="23">
        <v>0.76</v>
      </c>
      <c r="K12" s="25">
        <v>0.25369999999999998</v>
      </c>
      <c r="L12" s="2">
        <v>12</v>
      </c>
      <c r="M12" s="2">
        <v>24</v>
      </c>
      <c r="N12" s="2">
        <v>36</v>
      </c>
    </row>
    <row r="13" spans="1:14" x14ac:dyDescent="0.3">
      <c r="A13" s="2">
        <v>12</v>
      </c>
      <c r="B13" s="1">
        <v>40544</v>
      </c>
      <c r="C13" s="2">
        <v>1</v>
      </c>
      <c r="D13" s="2">
        <v>11</v>
      </c>
      <c r="E13" t="b">
        <v>0</v>
      </c>
      <c r="F13" s="2">
        <v>6</v>
      </c>
      <c r="G13" s="2">
        <v>1</v>
      </c>
      <c r="H13" s="23">
        <v>0.36</v>
      </c>
      <c r="I13" s="25">
        <v>0.33329999999999999</v>
      </c>
      <c r="J13" s="23">
        <v>0.81</v>
      </c>
      <c r="K13" s="25">
        <v>0.28360000000000002</v>
      </c>
      <c r="L13" s="2">
        <v>26</v>
      </c>
      <c r="M13" s="2">
        <v>30</v>
      </c>
      <c r="N13" s="2">
        <v>56</v>
      </c>
    </row>
    <row r="14" spans="1:14" x14ac:dyDescent="0.3">
      <c r="A14" s="2">
        <v>13</v>
      </c>
      <c r="B14" s="1">
        <v>40544</v>
      </c>
      <c r="C14" s="2">
        <v>1</v>
      </c>
      <c r="D14" s="2">
        <v>12</v>
      </c>
      <c r="E14" t="b">
        <v>0</v>
      </c>
      <c r="F14" s="2">
        <v>6</v>
      </c>
      <c r="G14" s="2">
        <v>1</v>
      </c>
      <c r="H14" s="23">
        <v>0.42</v>
      </c>
      <c r="I14" s="25">
        <v>0.42420000000000002</v>
      </c>
      <c r="J14" s="23">
        <v>0.77</v>
      </c>
      <c r="K14" s="25">
        <v>0.28360000000000002</v>
      </c>
      <c r="L14" s="2">
        <v>29</v>
      </c>
      <c r="M14" s="2">
        <v>55</v>
      </c>
      <c r="N14" s="2">
        <v>84</v>
      </c>
    </row>
    <row r="15" spans="1:14" x14ac:dyDescent="0.3">
      <c r="A15" s="2">
        <v>14</v>
      </c>
      <c r="B15" s="1">
        <v>40544</v>
      </c>
      <c r="C15" s="2">
        <v>1</v>
      </c>
      <c r="D15" s="2">
        <v>13</v>
      </c>
      <c r="E15" t="b">
        <v>0</v>
      </c>
      <c r="F15" s="2">
        <v>6</v>
      </c>
      <c r="G15" s="2">
        <v>2</v>
      </c>
      <c r="H15" s="23">
        <v>0.46</v>
      </c>
      <c r="I15" s="25">
        <v>0.45450000000000002</v>
      </c>
      <c r="J15" s="23">
        <v>0.72</v>
      </c>
      <c r="K15" s="25">
        <v>0.29849999999999999</v>
      </c>
      <c r="L15" s="2">
        <v>47</v>
      </c>
      <c r="M15" s="2">
        <v>47</v>
      </c>
      <c r="N15" s="2">
        <v>94</v>
      </c>
    </row>
    <row r="16" spans="1:14" x14ac:dyDescent="0.3">
      <c r="A16" s="2">
        <v>15</v>
      </c>
      <c r="B16" s="1">
        <v>40544</v>
      </c>
      <c r="C16" s="2">
        <v>1</v>
      </c>
      <c r="D16" s="2">
        <v>14</v>
      </c>
      <c r="E16" t="b">
        <v>0</v>
      </c>
      <c r="F16" s="2">
        <v>6</v>
      </c>
      <c r="G16" s="2">
        <v>2</v>
      </c>
      <c r="H16" s="23">
        <v>0.46</v>
      </c>
      <c r="I16" s="25">
        <v>0.45450000000000002</v>
      </c>
      <c r="J16" s="23">
        <v>0.72</v>
      </c>
      <c r="K16" s="25">
        <v>0.28360000000000002</v>
      </c>
      <c r="L16" s="2">
        <v>35</v>
      </c>
      <c r="M16" s="2">
        <v>71</v>
      </c>
      <c r="N16" s="2">
        <v>106</v>
      </c>
    </row>
    <row r="17" spans="1:14" x14ac:dyDescent="0.3">
      <c r="A17" s="2">
        <v>16</v>
      </c>
      <c r="B17" s="1">
        <v>40544</v>
      </c>
      <c r="C17" s="2">
        <v>1</v>
      </c>
      <c r="D17" s="2">
        <v>15</v>
      </c>
      <c r="E17" t="b">
        <v>0</v>
      </c>
      <c r="F17" s="2">
        <v>6</v>
      </c>
      <c r="G17" s="2">
        <v>2</v>
      </c>
      <c r="H17" s="23">
        <v>0.44</v>
      </c>
      <c r="I17" s="25">
        <v>0.43940000000000001</v>
      </c>
      <c r="J17" s="23">
        <v>0.77</v>
      </c>
      <c r="K17" s="25">
        <v>0.29849999999999999</v>
      </c>
      <c r="L17" s="2">
        <v>40</v>
      </c>
      <c r="M17" s="2">
        <v>70</v>
      </c>
      <c r="N17" s="2">
        <v>110</v>
      </c>
    </row>
    <row r="18" spans="1:14" x14ac:dyDescent="0.3">
      <c r="A18" s="2">
        <v>17</v>
      </c>
      <c r="B18" s="1">
        <v>40544</v>
      </c>
      <c r="C18" s="2">
        <v>1</v>
      </c>
      <c r="D18" s="2">
        <v>16</v>
      </c>
      <c r="E18" t="b">
        <v>0</v>
      </c>
      <c r="F18" s="2">
        <v>6</v>
      </c>
      <c r="G18" s="2">
        <v>2</v>
      </c>
      <c r="H18" s="23">
        <v>0.42</v>
      </c>
      <c r="I18" s="25">
        <v>0.42420000000000002</v>
      </c>
      <c r="J18" s="23">
        <v>0.82</v>
      </c>
      <c r="K18" s="25">
        <v>0.29849999999999999</v>
      </c>
      <c r="L18" s="2">
        <v>41</v>
      </c>
      <c r="M18" s="2">
        <v>52</v>
      </c>
      <c r="N18" s="2">
        <v>93</v>
      </c>
    </row>
    <row r="19" spans="1:14" x14ac:dyDescent="0.3">
      <c r="A19" s="2">
        <v>18</v>
      </c>
      <c r="B19" s="1">
        <v>40544</v>
      </c>
      <c r="C19" s="2">
        <v>1</v>
      </c>
      <c r="D19" s="2">
        <v>17</v>
      </c>
      <c r="E19" t="b">
        <v>0</v>
      </c>
      <c r="F19" s="2">
        <v>6</v>
      </c>
      <c r="G19" s="2">
        <v>2</v>
      </c>
      <c r="H19" s="23">
        <v>0.44</v>
      </c>
      <c r="I19" s="25">
        <v>0.42420000000000002</v>
      </c>
      <c r="J19" s="23">
        <v>0.82</v>
      </c>
      <c r="K19" s="25">
        <v>0.28360000000000002</v>
      </c>
      <c r="L19" s="2">
        <v>15</v>
      </c>
      <c r="M19" s="2">
        <v>52</v>
      </c>
      <c r="N19" s="2">
        <v>67</v>
      </c>
    </row>
    <row r="20" spans="1:14" x14ac:dyDescent="0.3">
      <c r="A20" s="2">
        <v>19</v>
      </c>
      <c r="B20" s="1">
        <v>40544</v>
      </c>
      <c r="C20" s="2">
        <v>1</v>
      </c>
      <c r="D20" s="2">
        <v>18</v>
      </c>
      <c r="E20" t="b">
        <v>0</v>
      </c>
      <c r="F20" s="2">
        <v>6</v>
      </c>
      <c r="G20" s="2">
        <v>3</v>
      </c>
      <c r="H20" s="23">
        <v>0.42</v>
      </c>
      <c r="I20" s="25">
        <v>0.42420000000000002</v>
      </c>
      <c r="J20" s="23">
        <v>0.88</v>
      </c>
      <c r="K20" s="25">
        <v>0.25369999999999998</v>
      </c>
      <c r="L20" s="2">
        <v>9</v>
      </c>
      <c r="M20" s="2">
        <v>26</v>
      </c>
      <c r="N20" s="2">
        <v>35</v>
      </c>
    </row>
    <row r="21" spans="1:14" x14ac:dyDescent="0.3">
      <c r="A21" s="2">
        <v>20</v>
      </c>
      <c r="B21" s="1">
        <v>40544</v>
      </c>
      <c r="C21" s="2">
        <v>1</v>
      </c>
      <c r="D21" s="2">
        <v>19</v>
      </c>
      <c r="E21" t="b">
        <v>0</v>
      </c>
      <c r="F21" s="2">
        <v>6</v>
      </c>
      <c r="G21" s="2">
        <v>3</v>
      </c>
      <c r="H21" s="23">
        <v>0.42</v>
      </c>
      <c r="I21" s="25">
        <v>0.42420000000000002</v>
      </c>
      <c r="J21" s="23">
        <v>0.88</v>
      </c>
      <c r="K21" s="25">
        <v>0.25369999999999998</v>
      </c>
      <c r="L21" s="2">
        <v>6</v>
      </c>
      <c r="M21" s="2">
        <v>31</v>
      </c>
      <c r="N21" s="2">
        <v>37</v>
      </c>
    </row>
    <row r="22" spans="1:14" x14ac:dyDescent="0.3">
      <c r="A22" s="2">
        <v>21</v>
      </c>
      <c r="B22" s="1">
        <v>40544</v>
      </c>
      <c r="C22" s="2">
        <v>1</v>
      </c>
      <c r="D22" s="2">
        <v>20</v>
      </c>
      <c r="E22" t="b">
        <v>0</v>
      </c>
      <c r="F22" s="2">
        <v>6</v>
      </c>
      <c r="G22" s="2">
        <v>2</v>
      </c>
      <c r="H22" s="23">
        <v>0.4</v>
      </c>
      <c r="I22" s="25">
        <v>0.40910000000000002</v>
      </c>
      <c r="J22" s="23">
        <v>0.87</v>
      </c>
      <c r="K22" s="25">
        <v>0.25369999999999998</v>
      </c>
      <c r="L22" s="2">
        <v>11</v>
      </c>
      <c r="M22" s="2">
        <v>25</v>
      </c>
      <c r="N22" s="2">
        <v>36</v>
      </c>
    </row>
    <row r="23" spans="1:14" x14ac:dyDescent="0.3">
      <c r="A23" s="2">
        <v>22</v>
      </c>
      <c r="B23" s="1">
        <v>40544</v>
      </c>
      <c r="C23" s="2">
        <v>1</v>
      </c>
      <c r="D23" s="2">
        <v>21</v>
      </c>
      <c r="E23" t="b">
        <v>0</v>
      </c>
      <c r="F23" s="2">
        <v>6</v>
      </c>
      <c r="G23" s="2">
        <v>2</v>
      </c>
      <c r="H23" s="23">
        <v>0.4</v>
      </c>
      <c r="I23" s="25">
        <v>0.40910000000000002</v>
      </c>
      <c r="J23" s="23">
        <v>0.87</v>
      </c>
      <c r="K23" s="25">
        <v>0.19400000000000001</v>
      </c>
      <c r="L23" s="2">
        <v>3</v>
      </c>
      <c r="M23" s="2">
        <v>31</v>
      </c>
      <c r="N23" s="2">
        <v>34</v>
      </c>
    </row>
    <row r="24" spans="1:14" x14ac:dyDescent="0.3">
      <c r="A24" s="2">
        <v>23</v>
      </c>
      <c r="B24" s="1">
        <v>40544</v>
      </c>
      <c r="C24" s="2">
        <v>1</v>
      </c>
      <c r="D24" s="2">
        <v>22</v>
      </c>
      <c r="E24" t="b">
        <v>0</v>
      </c>
      <c r="F24" s="2">
        <v>6</v>
      </c>
      <c r="G24" s="2">
        <v>2</v>
      </c>
      <c r="H24" s="23">
        <v>0.4</v>
      </c>
      <c r="I24" s="25">
        <v>0.40910000000000002</v>
      </c>
      <c r="J24" s="23">
        <v>0.94</v>
      </c>
      <c r="K24" s="25">
        <v>0.22389999999999999</v>
      </c>
      <c r="L24" s="2">
        <v>11</v>
      </c>
      <c r="M24" s="2">
        <v>17</v>
      </c>
      <c r="N24" s="2">
        <v>28</v>
      </c>
    </row>
    <row r="25" spans="1:14" x14ac:dyDescent="0.3">
      <c r="A25" s="2">
        <v>24</v>
      </c>
      <c r="B25" s="1">
        <v>40544</v>
      </c>
      <c r="C25" s="2">
        <v>1</v>
      </c>
      <c r="D25" s="2">
        <v>23</v>
      </c>
      <c r="E25" t="b">
        <v>0</v>
      </c>
      <c r="F25" s="2">
        <v>6</v>
      </c>
      <c r="G25" s="2">
        <v>2</v>
      </c>
      <c r="H25" s="23">
        <v>0.46</v>
      </c>
      <c r="I25" s="25">
        <v>0.40910000000000002</v>
      </c>
      <c r="J25" s="23">
        <v>0.88</v>
      </c>
      <c r="K25" s="25">
        <v>0.29849999999999999</v>
      </c>
      <c r="L25" s="2">
        <v>15</v>
      </c>
      <c r="M25" s="2">
        <v>24</v>
      </c>
      <c r="N25" s="2">
        <v>39</v>
      </c>
    </row>
    <row r="26" spans="1:14" x14ac:dyDescent="0.3">
      <c r="A26" s="2">
        <v>25</v>
      </c>
      <c r="B26" s="1">
        <v>40545</v>
      </c>
      <c r="C26" s="2">
        <v>1</v>
      </c>
      <c r="D26" s="2">
        <v>0</v>
      </c>
      <c r="E26" t="b">
        <v>0</v>
      </c>
      <c r="F26" s="2">
        <v>0</v>
      </c>
      <c r="G26" s="2">
        <v>2</v>
      </c>
      <c r="H26" s="23">
        <v>0.46</v>
      </c>
      <c r="I26" s="25">
        <v>0.45450000000000002</v>
      </c>
      <c r="J26" s="23">
        <v>0.88</v>
      </c>
      <c r="K26" s="25">
        <v>0.29849999999999999</v>
      </c>
      <c r="L26" s="2">
        <v>4</v>
      </c>
      <c r="M26" s="2">
        <v>13</v>
      </c>
      <c r="N26" s="2">
        <v>17</v>
      </c>
    </row>
    <row r="27" spans="1:14" x14ac:dyDescent="0.3">
      <c r="A27" s="2">
        <v>26</v>
      </c>
      <c r="B27" s="1">
        <v>40545</v>
      </c>
      <c r="C27" s="2">
        <v>1</v>
      </c>
      <c r="D27" s="2">
        <v>1</v>
      </c>
      <c r="E27" t="b">
        <v>0</v>
      </c>
      <c r="F27" s="2">
        <v>0</v>
      </c>
      <c r="G27" s="2">
        <v>2</v>
      </c>
      <c r="H27" s="23">
        <v>0.44</v>
      </c>
      <c r="I27" s="25">
        <v>0.43940000000000001</v>
      </c>
      <c r="J27" s="23">
        <v>0.94</v>
      </c>
      <c r="K27" s="25">
        <v>0.25369999999999998</v>
      </c>
      <c r="L27" s="2">
        <v>1</v>
      </c>
      <c r="M27" s="2">
        <v>16</v>
      </c>
      <c r="N27" s="2">
        <v>17</v>
      </c>
    </row>
    <row r="28" spans="1:14" x14ac:dyDescent="0.3">
      <c r="A28" s="2">
        <v>27</v>
      </c>
      <c r="B28" s="1">
        <v>40545</v>
      </c>
      <c r="C28" s="2">
        <v>1</v>
      </c>
      <c r="D28" s="2">
        <v>2</v>
      </c>
      <c r="E28" t="b">
        <v>0</v>
      </c>
      <c r="F28" s="2">
        <v>0</v>
      </c>
      <c r="G28" s="2">
        <v>2</v>
      </c>
      <c r="H28" s="23">
        <v>0.42</v>
      </c>
      <c r="I28" s="25">
        <v>0.42420000000000002</v>
      </c>
      <c r="J28" s="23">
        <v>1</v>
      </c>
      <c r="K28" s="25">
        <v>0.28360000000000002</v>
      </c>
      <c r="L28" s="2">
        <v>1</v>
      </c>
      <c r="M28" s="2">
        <v>8</v>
      </c>
      <c r="N28" s="2">
        <v>9</v>
      </c>
    </row>
    <row r="29" spans="1:14" x14ac:dyDescent="0.3">
      <c r="A29" s="2">
        <v>28</v>
      </c>
      <c r="B29" s="1">
        <v>40545</v>
      </c>
      <c r="C29" s="2">
        <v>1</v>
      </c>
      <c r="D29" s="2">
        <v>3</v>
      </c>
      <c r="E29" t="b">
        <v>0</v>
      </c>
      <c r="F29" s="2">
        <v>0</v>
      </c>
      <c r="G29" s="2">
        <v>2</v>
      </c>
      <c r="H29" s="23">
        <v>0.46</v>
      </c>
      <c r="I29" s="25">
        <v>0.45450000000000002</v>
      </c>
      <c r="J29" s="23">
        <v>0.94</v>
      </c>
      <c r="K29" s="25">
        <v>0.19400000000000001</v>
      </c>
      <c r="L29" s="2">
        <v>2</v>
      </c>
      <c r="M29" s="2">
        <v>4</v>
      </c>
      <c r="N29" s="2">
        <v>6</v>
      </c>
    </row>
    <row r="30" spans="1:14" x14ac:dyDescent="0.3">
      <c r="A30" s="2">
        <v>29</v>
      </c>
      <c r="B30" s="1">
        <v>40545</v>
      </c>
      <c r="C30" s="2">
        <v>1</v>
      </c>
      <c r="D30" s="2">
        <v>4</v>
      </c>
      <c r="E30" t="b">
        <v>0</v>
      </c>
      <c r="F30" s="2">
        <v>0</v>
      </c>
      <c r="G30" s="2">
        <v>2</v>
      </c>
      <c r="H30" s="23">
        <v>0.46</v>
      </c>
      <c r="I30" s="25">
        <v>0.45450000000000002</v>
      </c>
      <c r="J30" s="23">
        <v>0.94</v>
      </c>
      <c r="K30" s="25">
        <v>0.19400000000000001</v>
      </c>
      <c r="L30" s="2">
        <v>2</v>
      </c>
      <c r="M30" s="2">
        <v>1</v>
      </c>
      <c r="N30" s="2">
        <v>3</v>
      </c>
    </row>
    <row r="31" spans="1:14" x14ac:dyDescent="0.3">
      <c r="A31" s="2">
        <v>30</v>
      </c>
      <c r="B31" s="1">
        <v>40545</v>
      </c>
      <c r="C31" s="2">
        <v>1</v>
      </c>
      <c r="D31" s="2">
        <v>6</v>
      </c>
      <c r="E31" t="b">
        <v>0</v>
      </c>
      <c r="F31" s="2">
        <v>0</v>
      </c>
      <c r="G31" s="2">
        <v>3</v>
      </c>
      <c r="H31" s="23">
        <v>0.42</v>
      </c>
      <c r="I31" s="25">
        <v>0.42420000000000002</v>
      </c>
      <c r="J31" s="23">
        <v>0.77</v>
      </c>
      <c r="K31" s="25">
        <v>0.29849999999999999</v>
      </c>
      <c r="L31" s="2">
        <v>0</v>
      </c>
      <c r="M31" s="2">
        <v>2</v>
      </c>
      <c r="N31" s="2">
        <v>2</v>
      </c>
    </row>
    <row r="32" spans="1:14" x14ac:dyDescent="0.3">
      <c r="A32" s="2">
        <v>31</v>
      </c>
      <c r="B32" s="1">
        <v>40545</v>
      </c>
      <c r="C32" s="2">
        <v>1</v>
      </c>
      <c r="D32" s="2">
        <v>7</v>
      </c>
      <c r="E32" t="b">
        <v>0</v>
      </c>
      <c r="F32" s="2">
        <v>0</v>
      </c>
      <c r="G32" s="2">
        <v>2</v>
      </c>
      <c r="H32" s="23">
        <v>0.4</v>
      </c>
      <c r="I32" s="25">
        <v>0.40910000000000002</v>
      </c>
      <c r="J32" s="23">
        <v>0.76</v>
      </c>
      <c r="K32" s="25">
        <v>0.19400000000000001</v>
      </c>
      <c r="L32" s="2">
        <v>0</v>
      </c>
      <c r="M32" s="2">
        <v>1</v>
      </c>
      <c r="N32" s="2">
        <v>1</v>
      </c>
    </row>
    <row r="33" spans="1:14" x14ac:dyDescent="0.3">
      <c r="A33" s="2">
        <v>32</v>
      </c>
      <c r="B33" s="1">
        <v>40545</v>
      </c>
      <c r="C33" s="2">
        <v>1</v>
      </c>
      <c r="D33" s="2">
        <v>8</v>
      </c>
      <c r="E33" t="b">
        <v>0</v>
      </c>
      <c r="F33" s="2">
        <v>0</v>
      </c>
      <c r="G33" s="2">
        <v>3</v>
      </c>
      <c r="H33" s="23">
        <v>0.4</v>
      </c>
      <c r="I33" s="25">
        <v>0.40910000000000002</v>
      </c>
      <c r="J33" s="23">
        <v>0.71</v>
      </c>
      <c r="K33" s="25">
        <v>0.22389999999999999</v>
      </c>
      <c r="L33" s="2">
        <v>0</v>
      </c>
      <c r="M33" s="2">
        <v>8</v>
      </c>
      <c r="N33" s="2">
        <v>8</v>
      </c>
    </row>
    <row r="34" spans="1:14" x14ac:dyDescent="0.3">
      <c r="A34" s="2">
        <v>33</v>
      </c>
      <c r="B34" s="1">
        <v>40545</v>
      </c>
      <c r="C34" s="2">
        <v>1</v>
      </c>
      <c r="D34" s="2">
        <v>9</v>
      </c>
      <c r="E34" t="b">
        <v>0</v>
      </c>
      <c r="F34" s="2">
        <v>0</v>
      </c>
      <c r="G34" s="2">
        <v>2</v>
      </c>
      <c r="H34" s="23">
        <v>0.38</v>
      </c>
      <c r="I34" s="25">
        <v>0.40910000000000002</v>
      </c>
      <c r="J34" s="23">
        <v>0.76</v>
      </c>
      <c r="K34" s="25">
        <v>0.22389999999999999</v>
      </c>
      <c r="L34" s="2">
        <v>1</v>
      </c>
      <c r="M34" s="2">
        <v>19</v>
      </c>
      <c r="N34" s="2">
        <v>20</v>
      </c>
    </row>
    <row r="35" spans="1:14" x14ac:dyDescent="0.3">
      <c r="A35" s="2">
        <v>34</v>
      </c>
      <c r="B35" s="1">
        <v>40545</v>
      </c>
      <c r="C35" s="2">
        <v>1</v>
      </c>
      <c r="D35" s="2">
        <v>10</v>
      </c>
      <c r="E35" t="b">
        <v>0</v>
      </c>
      <c r="F35" s="2">
        <v>0</v>
      </c>
      <c r="G35" s="2">
        <v>2</v>
      </c>
      <c r="H35" s="23">
        <v>0.36</v>
      </c>
      <c r="I35" s="25">
        <v>0.34849999999999998</v>
      </c>
      <c r="J35" s="23">
        <v>0.81</v>
      </c>
      <c r="K35" s="25">
        <v>0.22389999999999999</v>
      </c>
      <c r="L35" s="2">
        <v>7</v>
      </c>
      <c r="M35" s="2">
        <v>46</v>
      </c>
      <c r="N35" s="2">
        <v>53</v>
      </c>
    </row>
    <row r="36" spans="1:14" x14ac:dyDescent="0.3">
      <c r="A36" s="2">
        <v>35</v>
      </c>
      <c r="B36" s="1">
        <v>40545</v>
      </c>
      <c r="C36" s="2">
        <v>1</v>
      </c>
      <c r="D36" s="2">
        <v>11</v>
      </c>
      <c r="E36" t="b">
        <v>0</v>
      </c>
      <c r="F36" s="2">
        <v>0</v>
      </c>
      <c r="G36" s="2">
        <v>2</v>
      </c>
      <c r="H36" s="23">
        <v>0.36</v>
      </c>
      <c r="I36" s="25">
        <v>0.33329999999999999</v>
      </c>
      <c r="J36" s="23">
        <v>0.71</v>
      </c>
      <c r="K36" s="25">
        <v>0.25369999999999998</v>
      </c>
      <c r="L36" s="2">
        <v>16</v>
      </c>
      <c r="M36" s="2">
        <v>54</v>
      </c>
      <c r="N36" s="2">
        <v>70</v>
      </c>
    </row>
    <row r="37" spans="1:14" x14ac:dyDescent="0.3">
      <c r="A37" s="2">
        <v>36</v>
      </c>
      <c r="B37" s="1">
        <v>40545</v>
      </c>
      <c r="C37" s="2">
        <v>1</v>
      </c>
      <c r="D37" s="2">
        <v>12</v>
      </c>
      <c r="E37" t="b">
        <v>0</v>
      </c>
      <c r="F37" s="2">
        <v>0</v>
      </c>
      <c r="G37" s="2">
        <v>2</v>
      </c>
      <c r="H37" s="23">
        <v>0.36</v>
      </c>
      <c r="I37" s="25">
        <v>0.33329999999999999</v>
      </c>
      <c r="J37" s="23">
        <v>0.66</v>
      </c>
      <c r="K37" s="25">
        <v>0.29849999999999999</v>
      </c>
      <c r="L37" s="2">
        <v>20</v>
      </c>
      <c r="M37" s="2">
        <v>73</v>
      </c>
      <c r="N37" s="2">
        <v>93</v>
      </c>
    </row>
    <row r="38" spans="1:14" x14ac:dyDescent="0.3">
      <c r="A38" s="2">
        <v>37</v>
      </c>
      <c r="B38" s="1">
        <v>40545</v>
      </c>
      <c r="C38" s="2">
        <v>1</v>
      </c>
      <c r="D38" s="2">
        <v>13</v>
      </c>
      <c r="E38" t="b">
        <v>0</v>
      </c>
      <c r="F38" s="2">
        <v>0</v>
      </c>
      <c r="G38" s="2">
        <v>2</v>
      </c>
      <c r="H38" s="23">
        <v>0.36</v>
      </c>
      <c r="I38" s="25">
        <v>0.34849999999999998</v>
      </c>
      <c r="J38" s="23">
        <v>0.66</v>
      </c>
      <c r="K38" s="25">
        <v>0.1343</v>
      </c>
      <c r="L38" s="2">
        <v>11</v>
      </c>
      <c r="M38" s="2">
        <v>64</v>
      </c>
      <c r="N38" s="2">
        <v>75</v>
      </c>
    </row>
    <row r="39" spans="1:14" x14ac:dyDescent="0.3">
      <c r="A39" s="2">
        <v>38</v>
      </c>
      <c r="B39" s="1">
        <v>40545</v>
      </c>
      <c r="C39" s="2">
        <v>1</v>
      </c>
      <c r="D39" s="2">
        <v>14</v>
      </c>
      <c r="E39" t="b">
        <v>0</v>
      </c>
      <c r="F39" s="2">
        <v>0</v>
      </c>
      <c r="G39" s="2">
        <v>3</v>
      </c>
      <c r="H39" s="23">
        <v>0.36</v>
      </c>
      <c r="I39" s="25">
        <v>0.34849999999999998</v>
      </c>
      <c r="J39" s="23">
        <v>0.76</v>
      </c>
      <c r="K39" s="25">
        <v>0.19400000000000001</v>
      </c>
      <c r="L39" s="2">
        <v>4</v>
      </c>
      <c r="M39" s="2">
        <v>55</v>
      </c>
      <c r="N39" s="2">
        <v>59</v>
      </c>
    </row>
    <row r="40" spans="1:14" x14ac:dyDescent="0.3">
      <c r="A40" s="2">
        <v>39</v>
      </c>
      <c r="B40" s="1">
        <v>40545</v>
      </c>
      <c r="C40" s="2">
        <v>1</v>
      </c>
      <c r="D40" s="2">
        <v>15</v>
      </c>
      <c r="E40" t="b">
        <v>0</v>
      </c>
      <c r="F40" s="2">
        <v>0</v>
      </c>
      <c r="G40" s="2">
        <v>3</v>
      </c>
      <c r="H40" s="23">
        <v>0.34</v>
      </c>
      <c r="I40" s="25">
        <v>0.33329999999999999</v>
      </c>
      <c r="J40" s="23">
        <v>0.81</v>
      </c>
      <c r="K40" s="25">
        <v>0.16420000000000001</v>
      </c>
      <c r="L40" s="2">
        <v>19</v>
      </c>
      <c r="M40" s="2">
        <v>55</v>
      </c>
      <c r="N40" s="2">
        <v>74</v>
      </c>
    </row>
    <row r="41" spans="1:14" x14ac:dyDescent="0.3">
      <c r="A41" s="2">
        <v>40</v>
      </c>
      <c r="B41" s="1">
        <v>40545</v>
      </c>
      <c r="C41" s="2">
        <v>1</v>
      </c>
      <c r="D41" s="2">
        <v>16</v>
      </c>
      <c r="E41" t="b">
        <v>0</v>
      </c>
      <c r="F41" s="2">
        <v>0</v>
      </c>
      <c r="G41" s="2">
        <v>3</v>
      </c>
      <c r="H41" s="23">
        <v>0.34</v>
      </c>
      <c r="I41" s="25">
        <v>0.33329999999999999</v>
      </c>
      <c r="J41" s="23">
        <v>0.71</v>
      </c>
      <c r="K41" s="25">
        <v>0.16420000000000001</v>
      </c>
      <c r="L41" s="2">
        <v>9</v>
      </c>
      <c r="M41" s="2">
        <v>67</v>
      </c>
      <c r="N41" s="2">
        <v>76</v>
      </c>
    </row>
    <row r="42" spans="1:14" x14ac:dyDescent="0.3">
      <c r="A42" s="2">
        <v>41</v>
      </c>
      <c r="B42" s="1">
        <v>40545</v>
      </c>
      <c r="C42" s="2">
        <v>1</v>
      </c>
      <c r="D42" s="2">
        <v>17</v>
      </c>
      <c r="E42" t="b">
        <v>0</v>
      </c>
      <c r="F42" s="2">
        <v>0</v>
      </c>
      <c r="G42" s="2">
        <v>1</v>
      </c>
      <c r="H42" s="23">
        <v>0.34</v>
      </c>
      <c r="I42" s="25">
        <v>0.33329999999999999</v>
      </c>
      <c r="J42" s="23">
        <v>0.56999999999999995</v>
      </c>
      <c r="K42" s="25">
        <v>0.19400000000000001</v>
      </c>
      <c r="L42" s="2">
        <v>7</v>
      </c>
      <c r="M42" s="2">
        <v>58</v>
      </c>
      <c r="N42" s="2">
        <v>65</v>
      </c>
    </row>
    <row r="43" spans="1:14" x14ac:dyDescent="0.3">
      <c r="A43" s="2">
        <v>42</v>
      </c>
      <c r="B43" s="1">
        <v>40545</v>
      </c>
      <c r="C43" s="2">
        <v>1</v>
      </c>
      <c r="D43" s="2">
        <v>18</v>
      </c>
      <c r="E43" t="b">
        <v>0</v>
      </c>
      <c r="F43" s="2">
        <v>0</v>
      </c>
      <c r="G43" s="2">
        <v>2</v>
      </c>
      <c r="H43" s="23">
        <v>0.36</v>
      </c>
      <c r="I43" s="25">
        <v>0.33329999999999999</v>
      </c>
      <c r="J43" s="23">
        <v>0.46</v>
      </c>
      <c r="K43" s="25">
        <v>0.32840000000000003</v>
      </c>
      <c r="L43" s="2">
        <v>10</v>
      </c>
      <c r="M43" s="2">
        <v>43</v>
      </c>
      <c r="N43" s="2">
        <v>53</v>
      </c>
    </row>
    <row r="44" spans="1:14" x14ac:dyDescent="0.3">
      <c r="A44" s="2">
        <v>43</v>
      </c>
      <c r="B44" s="1">
        <v>40545</v>
      </c>
      <c r="C44" s="2">
        <v>1</v>
      </c>
      <c r="D44" s="2">
        <v>19</v>
      </c>
      <c r="E44" t="b">
        <v>0</v>
      </c>
      <c r="F44" s="2">
        <v>0</v>
      </c>
      <c r="G44" s="2">
        <v>1</v>
      </c>
      <c r="H44" s="23">
        <v>0.32</v>
      </c>
      <c r="I44" s="25">
        <v>0.28789999999999999</v>
      </c>
      <c r="J44" s="23">
        <v>0.42</v>
      </c>
      <c r="K44" s="25">
        <v>0.44779999999999998</v>
      </c>
      <c r="L44" s="2">
        <v>1</v>
      </c>
      <c r="M44" s="2">
        <v>29</v>
      </c>
      <c r="N44" s="2">
        <v>30</v>
      </c>
    </row>
    <row r="45" spans="1:14" x14ac:dyDescent="0.3">
      <c r="A45" s="2">
        <v>44</v>
      </c>
      <c r="B45" s="1">
        <v>40545</v>
      </c>
      <c r="C45" s="2">
        <v>1</v>
      </c>
      <c r="D45" s="2">
        <v>20</v>
      </c>
      <c r="E45" t="b">
        <v>0</v>
      </c>
      <c r="F45" s="2">
        <v>0</v>
      </c>
      <c r="G45" s="2">
        <v>1</v>
      </c>
      <c r="H45" s="23">
        <v>0.3</v>
      </c>
      <c r="I45" s="25">
        <v>0.28789999999999999</v>
      </c>
      <c r="J45" s="23">
        <v>0.39</v>
      </c>
      <c r="K45" s="25">
        <v>0.35820000000000002</v>
      </c>
      <c r="L45" s="2">
        <v>5</v>
      </c>
      <c r="M45" s="2">
        <v>17</v>
      </c>
      <c r="N45" s="2">
        <v>22</v>
      </c>
    </row>
    <row r="46" spans="1:14" x14ac:dyDescent="0.3">
      <c r="A46" s="2">
        <v>45</v>
      </c>
      <c r="B46" s="1">
        <v>40545</v>
      </c>
      <c r="C46" s="2">
        <v>1</v>
      </c>
      <c r="D46" s="2">
        <v>21</v>
      </c>
      <c r="E46" t="b">
        <v>0</v>
      </c>
      <c r="F46" s="2">
        <v>0</v>
      </c>
      <c r="G46" s="2">
        <v>1</v>
      </c>
      <c r="H46" s="23">
        <v>0.26</v>
      </c>
      <c r="I46" s="25">
        <v>0.2273</v>
      </c>
      <c r="J46" s="23">
        <v>0.44</v>
      </c>
      <c r="K46" s="25">
        <v>0.32840000000000003</v>
      </c>
      <c r="L46" s="2">
        <v>11</v>
      </c>
      <c r="M46" s="2">
        <v>20</v>
      </c>
      <c r="N46" s="2">
        <v>31</v>
      </c>
    </row>
    <row r="47" spans="1:14" x14ac:dyDescent="0.3">
      <c r="A47" s="2">
        <v>46</v>
      </c>
      <c r="B47" s="1">
        <v>40545</v>
      </c>
      <c r="C47" s="2">
        <v>1</v>
      </c>
      <c r="D47" s="2">
        <v>22</v>
      </c>
      <c r="E47" t="b">
        <v>0</v>
      </c>
      <c r="F47" s="2">
        <v>0</v>
      </c>
      <c r="G47" s="2">
        <v>1</v>
      </c>
      <c r="H47" s="23">
        <v>0.24</v>
      </c>
      <c r="I47" s="25">
        <v>0.21210000000000001</v>
      </c>
      <c r="J47" s="23">
        <v>0.44</v>
      </c>
      <c r="K47" s="25">
        <v>0.29849999999999999</v>
      </c>
      <c r="L47" s="2">
        <v>0</v>
      </c>
      <c r="M47" s="2">
        <v>9</v>
      </c>
      <c r="N47" s="2">
        <v>9</v>
      </c>
    </row>
    <row r="48" spans="1:14" x14ac:dyDescent="0.3">
      <c r="A48" s="2">
        <v>47</v>
      </c>
      <c r="B48" s="1">
        <v>40545</v>
      </c>
      <c r="C48" s="2">
        <v>1</v>
      </c>
      <c r="D48" s="2">
        <v>23</v>
      </c>
      <c r="E48" t="b">
        <v>0</v>
      </c>
      <c r="F48" s="2">
        <v>0</v>
      </c>
      <c r="G48" s="2">
        <v>1</v>
      </c>
      <c r="H48" s="23">
        <v>0.22</v>
      </c>
      <c r="I48" s="25">
        <v>0.2273</v>
      </c>
      <c r="J48" s="23">
        <v>0.47</v>
      </c>
      <c r="K48" s="25">
        <v>0.16420000000000001</v>
      </c>
      <c r="L48" s="2">
        <v>0</v>
      </c>
      <c r="M48" s="2">
        <v>8</v>
      </c>
      <c r="N48" s="2">
        <v>8</v>
      </c>
    </row>
    <row r="49" spans="1:14" x14ac:dyDescent="0.3">
      <c r="A49" s="2">
        <v>48</v>
      </c>
      <c r="B49" s="1">
        <v>40546</v>
      </c>
      <c r="C49" s="2">
        <v>1</v>
      </c>
      <c r="D49" s="2">
        <v>0</v>
      </c>
      <c r="E49" t="b">
        <v>0</v>
      </c>
      <c r="F49" s="2">
        <v>1</v>
      </c>
      <c r="G49" s="2">
        <v>1</v>
      </c>
      <c r="H49" s="23">
        <v>0.22</v>
      </c>
      <c r="I49" s="25">
        <v>0.19700000000000001</v>
      </c>
      <c r="J49" s="23">
        <v>0.44</v>
      </c>
      <c r="K49" s="25">
        <v>0.35820000000000002</v>
      </c>
      <c r="L49" s="2">
        <v>0</v>
      </c>
      <c r="M49" s="2">
        <v>5</v>
      </c>
      <c r="N49" s="2">
        <v>5</v>
      </c>
    </row>
    <row r="50" spans="1:14" x14ac:dyDescent="0.3">
      <c r="A50" s="2">
        <v>49</v>
      </c>
      <c r="B50" s="1">
        <v>40546</v>
      </c>
      <c r="C50" s="2">
        <v>1</v>
      </c>
      <c r="D50" s="2">
        <v>1</v>
      </c>
      <c r="E50" t="b">
        <v>0</v>
      </c>
      <c r="F50" s="2">
        <v>1</v>
      </c>
      <c r="G50" s="2">
        <v>1</v>
      </c>
      <c r="H50" s="23">
        <v>0.2</v>
      </c>
      <c r="I50" s="25">
        <v>0.19700000000000001</v>
      </c>
      <c r="J50" s="23">
        <v>0.44</v>
      </c>
      <c r="K50" s="25">
        <v>0.41789999999999999</v>
      </c>
      <c r="L50" s="2">
        <v>0</v>
      </c>
      <c r="M50" s="2">
        <v>2</v>
      </c>
      <c r="N50" s="2">
        <v>2</v>
      </c>
    </row>
    <row r="51" spans="1:14" x14ac:dyDescent="0.3">
      <c r="A51" s="2">
        <v>50</v>
      </c>
      <c r="B51" s="1">
        <v>40546</v>
      </c>
      <c r="C51" s="2">
        <v>1</v>
      </c>
      <c r="D51" s="2">
        <v>4</v>
      </c>
      <c r="E51" t="b">
        <v>0</v>
      </c>
      <c r="F51" s="2">
        <v>1</v>
      </c>
      <c r="G51" s="2">
        <v>1</v>
      </c>
      <c r="H51" s="23">
        <v>0.16</v>
      </c>
      <c r="I51" s="25">
        <v>0.13639999999999999</v>
      </c>
      <c r="J51" s="23">
        <v>0.47</v>
      </c>
      <c r="K51" s="25">
        <v>0.3881</v>
      </c>
      <c r="L51" s="2">
        <v>0</v>
      </c>
      <c r="M51" s="2">
        <v>1</v>
      </c>
      <c r="N51" s="2">
        <v>1</v>
      </c>
    </row>
    <row r="52" spans="1:14" x14ac:dyDescent="0.3">
      <c r="A52" s="2">
        <v>51</v>
      </c>
      <c r="B52" s="1">
        <v>40546</v>
      </c>
      <c r="C52" s="2">
        <v>1</v>
      </c>
      <c r="D52" s="2">
        <v>5</v>
      </c>
      <c r="E52" t="b">
        <v>0</v>
      </c>
      <c r="F52" s="2">
        <v>1</v>
      </c>
      <c r="G52" s="2">
        <v>1</v>
      </c>
      <c r="H52" s="23">
        <v>0.16</v>
      </c>
      <c r="I52" s="25">
        <v>0.13639999999999999</v>
      </c>
      <c r="J52" s="23">
        <v>0.47</v>
      </c>
      <c r="K52" s="25">
        <v>0.28360000000000002</v>
      </c>
      <c r="L52" s="2">
        <v>0</v>
      </c>
      <c r="M52" s="2">
        <v>3</v>
      </c>
      <c r="N52" s="2">
        <v>3</v>
      </c>
    </row>
    <row r="53" spans="1:14" x14ac:dyDescent="0.3">
      <c r="A53" s="2">
        <v>52</v>
      </c>
      <c r="B53" s="1">
        <v>40546</v>
      </c>
      <c r="C53" s="2">
        <v>1</v>
      </c>
      <c r="D53" s="2">
        <v>6</v>
      </c>
      <c r="E53" t="b">
        <v>0</v>
      </c>
      <c r="F53" s="2">
        <v>1</v>
      </c>
      <c r="G53" s="2">
        <v>1</v>
      </c>
      <c r="H53" s="23">
        <v>0.14000000000000001</v>
      </c>
      <c r="I53" s="25">
        <v>0.1061</v>
      </c>
      <c r="J53" s="23">
        <v>0.5</v>
      </c>
      <c r="K53" s="25">
        <v>0.3881</v>
      </c>
      <c r="L53" s="2">
        <v>0</v>
      </c>
      <c r="M53" s="2">
        <v>30</v>
      </c>
      <c r="N53" s="2">
        <v>30</v>
      </c>
    </row>
    <row r="54" spans="1:14" x14ac:dyDescent="0.3">
      <c r="A54" s="2">
        <v>53</v>
      </c>
      <c r="B54" s="1">
        <v>40546</v>
      </c>
      <c r="C54" s="2">
        <v>1</v>
      </c>
      <c r="D54" s="2">
        <v>7</v>
      </c>
      <c r="E54" t="b">
        <v>0</v>
      </c>
      <c r="F54" s="2">
        <v>1</v>
      </c>
      <c r="G54" s="2">
        <v>1</v>
      </c>
      <c r="H54" s="23">
        <v>0.14000000000000001</v>
      </c>
      <c r="I54" s="25">
        <v>0.13639999999999999</v>
      </c>
      <c r="J54" s="23">
        <v>0.5</v>
      </c>
      <c r="K54" s="25">
        <v>0.19400000000000001</v>
      </c>
      <c r="L54" s="2">
        <v>1</v>
      </c>
      <c r="M54" s="2">
        <v>63</v>
      </c>
      <c r="N54" s="2">
        <v>64</v>
      </c>
    </row>
    <row r="55" spans="1:14" x14ac:dyDescent="0.3">
      <c r="A55" s="2">
        <v>54</v>
      </c>
      <c r="B55" s="1">
        <v>40546</v>
      </c>
      <c r="C55" s="2">
        <v>1</v>
      </c>
      <c r="D55" s="2">
        <v>8</v>
      </c>
      <c r="E55" t="b">
        <v>0</v>
      </c>
      <c r="F55" s="2">
        <v>1</v>
      </c>
      <c r="G55" s="2">
        <v>1</v>
      </c>
      <c r="H55" s="23">
        <v>0.14000000000000001</v>
      </c>
      <c r="I55" s="25">
        <v>0.1212</v>
      </c>
      <c r="J55" s="23">
        <v>0.5</v>
      </c>
      <c r="K55" s="25">
        <v>0.28360000000000002</v>
      </c>
      <c r="L55" s="2">
        <v>1</v>
      </c>
      <c r="M55" s="2">
        <v>153</v>
      </c>
      <c r="N55" s="2">
        <v>154</v>
      </c>
    </row>
    <row r="56" spans="1:14" x14ac:dyDescent="0.3">
      <c r="A56" s="2">
        <v>55</v>
      </c>
      <c r="B56" s="1">
        <v>40546</v>
      </c>
      <c r="C56" s="2">
        <v>1</v>
      </c>
      <c r="D56" s="2">
        <v>9</v>
      </c>
      <c r="E56" t="b">
        <v>0</v>
      </c>
      <c r="F56" s="2">
        <v>1</v>
      </c>
      <c r="G56" s="2">
        <v>1</v>
      </c>
      <c r="H56" s="23">
        <v>0.16</v>
      </c>
      <c r="I56" s="25">
        <v>0.13639999999999999</v>
      </c>
      <c r="J56" s="23">
        <v>0.43</v>
      </c>
      <c r="K56" s="25">
        <v>0.3881</v>
      </c>
      <c r="L56" s="2">
        <v>7</v>
      </c>
      <c r="M56" s="2">
        <v>81</v>
      </c>
      <c r="N56" s="2">
        <v>88</v>
      </c>
    </row>
    <row r="57" spans="1:14" x14ac:dyDescent="0.3">
      <c r="A57" s="2">
        <v>56</v>
      </c>
      <c r="B57" s="1">
        <v>40546</v>
      </c>
      <c r="C57" s="2">
        <v>1</v>
      </c>
      <c r="D57" s="2">
        <v>10</v>
      </c>
      <c r="E57" t="b">
        <v>0</v>
      </c>
      <c r="F57" s="2">
        <v>1</v>
      </c>
      <c r="G57" s="2">
        <v>1</v>
      </c>
      <c r="H57" s="23">
        <v>0.18</v>
      </c>
      <c r="I57" s="25">
        <v>0.16669999999999999</v>
      </c>
      <c r="J57" s="23">
        <v>0.43</v>
      </c>
      <c r="K57" s="25">
        <v>0.25369999999999998</v>
      </c>
      <c r="L57" s="2">
        <v>11</v>
      </c>
      <c r="M57" s="2">
        <v>33</v>
      </c>
      <c r="N57" s="2">
        <v>44</v>
      </c>
    </row>
    <row r="58" spans="1:14" x14ac:dyDescent="0.3">
      <c r="A58" s="2">
        <v>57</v>
      </c>
      <c r="B58" s="1">
        <v>40546</v>
      </c>
      <c r="C58" s="2">
        <v>1</v>
      </c>
      <c r="D58" s="2">
        <v>11</v>
      </c>
      <c r="E58" t="b">
        <v>0</v>
      </c>
      <c r="F58" s="2">
        <v>1</v>
      </c>
      <c r="G58" s="2">
        <v>1</v>
      </c>
      <c r="H58" s="23">
        <v>0.2</v>
      </c>
      <c r="I58" s="25">
        <v>0.18179999999999999</v>
      </c>
      <c r="J58" s="23">
        <v>0.4</v>
      </c>
      <c r="K58" s="25">
        <v>0.32840000000000003</v>
      </c>
      <c r="L58" s="2">
        <v>10</v>
      </c>
      <c r="M58" s="2">
        <v>41</v>
      </c>
      <c r="N58" s="2">
        <v>51</v>
      </c>
    </row>
    <row r="59" spans="1:14" x14ac:dyDescent="0.3">
      <c r="A59" s="2">
        <v>58</v>
      </c>
      <c r="B59" s="1">
        <v>40546</v>
      </c>
      <c r="C59" s="2">
        <v>1</v>
      </c>
      <c r="D59" s="2">
        <v>12</v>
      </c>
      <c r="E59" t="b">
        <v>0</v>
      </c>
      <c r="F59" s="2">
        <v>1</v>
      </c>
      <c r="G59" s="2">
        <v>1</v>
      </c>
      <c r="H59" s="23">
        <v>0.22</v>
      </c>
      <c r="I59" s="25">
        <v>0.21210000000000001</v>
      </c>
      <c r="J59" s="23">
        <v>0.35</v>
      </c>
      <c r="K59" s="25">
        <v>0.29849999999999999</v>
      </c>
      <c r="L59" s="2">
        <v>13</v>
      </c>
      <c r="M59" s="2">
        <v>48</v>
      </c>
      <c r="N59" s="2">
        <v>61</v>
      </c>
    </row>
    <row r="60" spans="1:14" x14ac:dyDescent="0.3">
      <c r="A60" s="2">
        <v>59</v>
      </c>
      <c r="B60" s="1">
        <v>40546</v>
      </c>
      <c r="C60" s="2">
        <v>1</v>
      </c>
      <c r="D60" s="2">
        <v>13</v>
      </c>
      <c r="E60" t="b">
        <v>0</v>
      </c>
      <c r="F60" s="2">
        <v>1</v>
      </c>
      <c r="G60" s="2">
        <v>1</v>
      </c>
      <c r="H60" s="23">
        <v>0.24</v>
      </c>
      <c r="I60" s="25">
        <v>0.21210000000000001</v>
      </c>
      <c r="J60" s="23">
        <v>0.35</v>
      </c>
      <c r="K60" s="25">
        <v>0.28360000000000002</v>
      </c>
      <c r="L60" s="2">
        <v>8</v>
      </c>
      <c r="M60" s="2">
        <v>53</v>
      </c>
      <c r="N60" s="2">
        <v>61</v>
      </c>
    </row>
    <row r="61" spans="1:14" x14ac:dyDescent="0.3">
      <c r="A61" s="2">
        <v>60</v>
      </c>
      <c r="B61" s="1">
        <v>40546</v>
      </c>
      <c r="C61" s="2">
        <v>1</v>
      </c>
      <c r="D61" s="2">
        <v>14</v>
      </c>
      <c r="E61" t="b">
        <v>0</v>
      </c>
      <c r="F61" s="2">
        <v>1</v>
      </c>
      <c r="G61" s="2">
        <v>1</v>
      </c>
      <c r="H61" s="23">
        <v>0.26</v>
      </c>
      <c r="I61" s="25">
        <v>0.2424</v>
      </c>
      <c r="J61" s="23">
        <v>0.3</v>
      </c>
      <c r="K61" s="25">
        <v>0.28360000000000002</v>
      </c>
      <c r="L61" s="2">
        <v>11</v>
      </c>
      <c r="M61" s="2">
        <v>66</v>
      </c>
      <c r="N61" s="2">
        <v>77</v>
      </c>
    </row>
    <row r="62" spans="1:14" x14ac:dyDescent="0.3">
      <c r="A62" s="2">
        <v>61</v>
      </c>
      <c r="B62" s="1">
        <v>40546</v>
      </c>
      <c r="C62" s="2">
        <v>1</v>
      </c>
      <c r="D62" s="2">
        <v>15</v>
      </c>
      <c r="E62" t="b">
        <v>0</v>
      </c>
      <c r="F62" s="2">
        <v>1</v>
      </c>
      <c r="G62" s="2">
        <v>1</v>
      </c>
      <c r="H62" s="23">
        <v>0.26</v>
      </c>
      <c r="I62" s="25">
        <v>0.2424</v>
      </c>
      <c r="J62" s="23">
        <v>0.3</v>
      </c>
      <c r="K62" s="25">
        <v>0.25369999999999998</v>
      </c>
      <c r="L62" s="2">
        <v>14</v>
      </c>
      <c r="M62" s="2">
        <v>58</v>
      </c>
      <c r="N62" s="2">
        <v>72</v>
      </c>
    </row>
    <row r="63" spans="1:14" x14ac:dyDescent="0.3">
      <c r="A63" s="2">
        <v>62</v>
      </c>
      <c r="B63" s="1">
        <v>40546</v>
      </c>
      <c r="C63" s="2">
        <v>1</v>
      </c>
      <c r="D63" s="2">
        <v>16</v>
      </c>
      <c r="E63" t="b">
        <v>0</v>
      </c>
      <c r="F63" s="2">
        <v>1</v>
      </c>
      <c r="G63" s="2">
        <v>1</v>
      </c>
      <c r="H63" s="23">
        <v>0.26</v>
      </c>
      <c r="I63" s="25">
        <v>0.2424</v>
      </c>
      <c r="J63" s="23">
        <v>0.3</v>
      </c>
      <c r="K63" s="25">
        <v>0.25369999999999998</v>
      </c>
      <c r="L63" s="2">
        <v>9</v>
      </c>
      <c r="M63" s="2">
        <v>67</v>
      </c>
      <c r="N63" s="2">
        <v>76</v>
      </c>
    </row>
    <row r="64" spans="1:14" x14ac:dyDescent="0.3">
      <c r="A64" s="2">
        <v>63</v>
      </c>
      <c r="B64" s="1">
        <v>40546</v>
      </c>
      <c r="C64" s="2">
        <v>1</v>
      </c>
      <c r="D64" s="2">
        <v>17</v>
      </c>
      <c r="E64" t="b">
        <v>0</v>
      </c>
      <c r="F64" s="2">
        <v>1</v>
      </c>
      <c r="G64" s="2">
        <v>1</v>
      </c>
      <c r="H64" s="23">
        <v>0.24</v>
      </c>
      <c r="I64" s="25">
        <v>0.2273</v>
      </c>
      <c r="J64" s="23">
        <v>0.3</v>
      </c>
      <c r="K64" s="25">
        <v>0.22389999999999999</v>
      </c>
      <c r="L64" s="2">
        <v>11</v>
      </c>
      <c r="M64" s="2">
        <v>146</v>
      </c>
      <c r="N64" s="2">
        <v>157</v>
      </c>
    </row>
    <row r="65" spans="1:14" x14ac:dyDescent="0.3">
      <c r="A65" s="2">
        <v>64</v>
      </c>
      <c r="B65" s="1">
        <v>40546</v>
      </c>
      <c r="C65" s="2">
        <v>1</v>
      </c>
      <c r="D65" s="2">
        <v>18</v>
      </c>
      <c r="E65" t="b">
        <v>0</v>
      </c>
      <c r="F65" s="2">
        <v>1</v>
      </c>
      <c r="G65" s="2">
        <v>1</v>
      </c>
      <c r="H65" s="23">
        <v>0.24</v>
      </c>
      <c r="I65" s="25">
        <v>0.2576</v>
      </c>
      <c r="J65" s="23">
        <v>0.32</v>
      </c>
      <c r="K65" s="25">
        <v>0.1045</v>
      </c>
      <c r="L65" s="2">
        <v>9</v>
      </c>
      <c r="M65" s="2">
        <v>148</v>
      </c>
      <c r="N65" s="2">
        <v>157</v>
      </c>
    </row>
    <row r="66" spans="1:14" x14ac:dyDescent="0.3">
      <c r="A66" s="2">
        <v>65</v>
      </c>
      <c r="B66" s="1">
        <v>40546</v>
      </c>
      <c r="C66" s="2">
        <v>1</v>
      </c>
      <c r="D66" s="2">
        <v>19</v>
      </c>
      <c r="E66" t="b">
        <v>0</v>
      </c>
      <c r="F66" s="2">
        <v>1</v>
      </c>
      <c r="G66" s="2">
        <v>1</v>
      </c>
      <c r="H66" s="23">
        <v>0.2</v>
      </c>
      <c r="I66" s="25">
        <v>0.2576</v>
      </c>
      <c r="J66" s="23">
        <v>0.47</v>
      </c>
      <c r="K66" s="25">
        <v>0</v>
      </c>
      <c r="L66" s="2">
        <v>8</v>
      </c>
      <c r="M66" s="2">
        <v>102</v>
      </c>
      <c r="N66" s="2">
        <v>110</v>
      </c>
    </row>
    <row r="67" spans="1:14" x14ac:dyDescent="0.3">
      <c r="A67" s="2">
        <v>66</v>
      </c>
      <c r="B67" s="1">
        <v>40546</v>
      </c>
      <c r="C67" s="2">
        <v>1</v>
      </c>
      <c r="D67" s="2">
        <v>20</v>
      </c>
      <c r="E67" t="b">
        <v>0</v>
      </c>
      <c r="F67" s="2">
        <v>1</v>
      </c>
      <c r="G67" s="2">
        <v>1</v>
      </c>
      <c r="H67" s="23">
        <v>0.2</v>
      </c>
      <c r="I67" s="25">
        <v>0.2576</v>
      </c>
      <c r="J67" s="23">
        <v>0.47</v>
      </c>
      <c r="K67" s="25">
        <v>0.1045</v>
      </c>
      <c r="L67" s="2">
        <v>3</v>
      </c>
      <c r="M67" s="2">
        <v>49</v>
      </c>
      <c r="N67" s="2">
        <v>52</v>
      </c>
    </row>
    <row r="68" spans="1:14" x14ac:dyDescent="0.3">
      <c r="A68" s="2">
        <v>67</v>
      </c>
      <c r="B68" s="1">
        <v>40546</v>
      </c>
      <c r="C68" s="2">
        <v>1</v>
      </c>
      <c r="D68" s="2">
        <v>21</v>
      </c>
      <c r="E68" t="b">
        <v>0</v>
      </c>
      <c r="F68" s="2">
        <v>1</v>
      </c>
      <c r="G68" s="2">
        <v>1</v>
      </c>
      <c r="H68" s="23">
        <v>0.18</v>
      </c>
      <c r="I68" s="25">
        <v>0.19700000000000001</v>
      </c>
      <c r="J68" s="23">
        <v>0.64</v>
      </c>
      <c r="K68" s="25">
        <v>0.1343</v>
      </c>
      <c r="L68" s="2">
        <v>3</v>
      </c>
      <c r="M68" s="2">
        <v>49</v>
      </c>
      <c r="N68" s="2">
        <v>52</v>
      </c>
    </row>
    <row r="69" spans="1:14" x14ac:dyDescent="0.3">
      <c r="A69" s="2">
        <v>68</v>
      </c>
      <c r="B69" s="1">
        <v>40546</v>
      </c>
      <c r="C69" s="2">
        <v>1</v>
      </c>
      <c r="D69" s="2">
        <v>22</v>
      </c>
      <c r="E69" t="b">
        <v>0</v>
      </c>
      <c r="F69" s="2">
        <v>1</v>
      </c>
      <c r="G69" s="2">
        <v>1</v>
      </c>
      <c r="H69" s="23">
        <v>0.14000000000000001</v>
      </c>
      <c r="I69" s="25">
        <v>0.1515</v>
      </c>
      <c r="J69" s="23">
        <v>0.69</v>
      </c>
      <c r="K69" s="25">
        <v>0.1343</v>
      </c>
      <c r="L69" s="2">
        <v>0</v>
      </c>
      <c r="M69" s="2">
        <v>20</v>
      </c>
      <c r="N69" s="2">
        <v>20</v>
      </c>
    </row>
    <row r="70" spans="1:14" x14ac:dyDescent="0.3">
      <c r="A70" s="2">
        <v>69</v>
      </c>
      <c r="B70" s="1">
        <v>40546</v>
      </c>
      <c r="C70" s="2">
        <v>1</v>
      </c>
      <c r="D70" s="2">
        <v>23</v>
      </c>
      <c r="E70" t="b">
        <v>0</v>
      </c>
      <c r="F70" s="2">
        <v>1</v>
      </c>
      <c r="G70" s="2">
        <v>1</v>
      </c>
      <c r="H70" s="23">
        <v>0.18</v>
      </c>
      <c r="I70" s="25">
        <v>0.21210000000000001</v>
      </c>
      <c r="J70" s="23">
        <v>0.55000000000000004</v>
      </c>
      <c r="K70" s="25">
        <v>0.1045</v>
      </c>
      <c r="L70" s="2">
        <v>1</v>
      </c>
      <c r="M70" s="2">
        <v>11</v>
      </c>
      <c r="N70" s="2">
        <v>12</v>
      </c>
    </row>
    <row r="71" spans="1:14" x14ac:dyDescent="0.3">
      <c r="A71" s="2">
        <v>70</v>
      </c>
      <c r="B71" s="1">
        <v>40547</v>
      </c>
      <c r="C71" s="2">
        <v>1</v>
      </c>
      <c r="D71" s="2">
        <v>0</v>
      </c>
      <c r="E71" t="b">
        <v>0</v>
      </c>
      <c r="F71" s="2">
        <v>2</v>
      </c>
      <c r="G71" s="2">
        <v>1</v>
      </c>
      <c r="H71" s="23">
        <v>0.16</v>
      </c>
      <c r="I71" s="25">
        <v>0.21210000000000001</v>
      </c>
      <c r="J71" s="23">
        <v>0.55000000000000004</v>
      </c>
      <c r="K71" s="25">
        <v>0.1045</v>
      </c>
      <c r="L71" s="2">
        <v>0</v>
      </c>
      <c r="M71" s="2">
        <v>5</v>
      </c>
      <c r="N71" s="2">
        <v>5</v>
      </c>
    </row>
    <row r="72" spans="1:14" x14ac:dyDescent="0.3">
      <c r="A72" s="2">
        <v>71</v>
      </c>
      <c r="B72" s="1">
        <v>40547</v>
      </c>
      <c r="C72" s="2">
        <v>1</v>
      </c>
      <c r="D72" s="2">
        <v>1</v>
      </c>
      <c r="E72" t="b">
        <v>0</v>
      </c>
      <c r="F72" s="2">
        <v>2</v>
      </c>
      <c r="G72" s="2">
        <v>1</v>
      </c>
      <c r="H72" s="23">
        <v>0.16</v>
      </c>
      <c r="I72" s="25">
        <v>0.18179999999999999</v>
      </c>
      <c r="J72" s="23">
        <v>0.59</v>
      </c>
      <c r="K72" s="25">
        <v>0.1045</v>
      </c>
      <c r="L72" s="2">
        <v>0</v>
      </c>
      <c r="M72" s="2">
        <v>2</v>
      </c>
      <c r="N72" s="2">
        <v>2</v>
      </c>
    </row>
    <row r="73" spans="1:14" x14ac:dyDescent="0.3">
      <c r="A73" s="2">
        <v>72</v>
      </c>
      <c r="B73" s="1">
        <v>40547</v>
      </c>
      <c r="C73" s="2">
        <v>1</v>
      </c>
      <c r="D73" s="2">
        <v>2</v>
      </c>
      <c r="E73" t="b">
        <v>0</v>
      </c>
      <c r="F73" s="2">
        <v>2</v>
      </c>
      <c r="G73" s="2">
        <v>1</v>
      </c>
      <c r="H73" s="23">
        <v>0.14000000000000001</v>
      </c>
      <c r="I73" s="25">
        <v>0.1515</v>
      </c>
      <c r="J73" s="23">
        <v>0.63</v>
      </c>
      <c r="K73" s="25">
        <v>0.1343</v>
      </c>
      <c r="L73" s="2">
        <v>0</v>
      </c>
      <c r="M73" s="2">
        <v>1</v>
      </c>
      <c r="N73" s="2">
        <v>1</v>
      </c>
    </row>
    <row r="74" spans="1:14" x14ac:dyDescent="0.3">
      <c r="A74" s="2">
        <v>73</v>
      </c>
      <c r="B74" s="1">
        <v>40547</v>
      </c>
      <c r="C74" s="2">
        <v>1</v>
      </c>
      <c r="D74" s="2">
        <v>4</v>
      </c>
      <c r="E74" t="b">
        <v>0</v>
      </c>
      <c r="F74" s="2">
        <v>2</v>
      </c>
      <c r="G74" s="2">
        <v>1</v>
      </c>
      <c r="H74" s="23">
        <v>0.14000000000000001</v>
      </c>
      <c r="I74" s="25">
        <v>0.18179999999999999</v>
      </c>
      <c r="J74" s="23">
        <v>0.63</v>
      </c>
      <c r="K74" s="25">
        <v>8.9599999999999999E-2</v>
      </c>
      <c r="L74" s="2">
        <v>0</v>
      </c>
      <c r="M74" s="2">
        <v>2</v>
      </c>
      <c r="N74" s="2">
        <v>2</v>
      </c>
    </row>
    <row r="75" spans="1:14" x14ac:dyDescent="0.3">
      <c r="A75" s="2">
        <v>74</v>
      </c>
      <c r="B75" s="1">
        <v>40547</v>
      </c>
      <c r="C75" s="2">
        <v>1</v>
      </c>
      <c r="D75" s="2">
        <v>5</v>
      </c>
      <c r="E75" t="b">
        <v>0</v>
      </c>
      <c r="F75" s="2">
        <v>2</v>
      </c>
      <c r="G75" s="2">
        <v>1</v>
      </c>
      <c r="H75" s="23">
        <v>0.12</v>
      </c>
      <c r="I75" s="25">
        <v>0.1515</v>
      </c>
      <c r="J75" s="23">
        <v>0.68</v>
      </c>
      <c r="K75" s="25">
        <v>0.1045</v>
      </c>
      <c r="L75" s="2">
        <v>0</v>
      </c>
      <c r="M75" s="2">
        <v>4</v>
      </c>
      <c r="N75" s="2">
        <v>4</v>
      </c>
    </row>
    <row r="76" spans="1:14" x14ac:dyDescent="0.3">
      <c r="A76" s="2">
        <v>75</v>
      </c>
      <c r="B76" s="1">
        <v>40547</v>
      </c>
      <c r="C76" s="2">
        <v>1</v>
      </c>
      <c r="D76" s="2">
        <v>6</v>
      </c>
      <c r="E76" t="b">
        <v>0</v>
      </c>
      <c r="F76" s="2">
        <v>2</v>
      </c>
      <c r="G76" s="2">
        <v>1</v>
      </c>
      <c r="H76" s="23">
        <v>0.12</v>
      </c>
      <c r="I76" s="25">
        <v>0.1515</v>
      </c>
      <c r="J76" s="23">
        <v>0.74</v>
      </c>
      <c r="K76" s="25">
        <v>0.1045</v>
      </c>
      <c r="L76" s="2">
        <v>0</v>
      </c>
      <c r="M76" s="2">
        <v>36</v>
      </c>
      <c r="N76" s="2">
        <v>36</v>
      </c>
    </row>
    <row r="77" spans="1:14" x14ac:dyDescent="0.3">
      <c r="A77" s="2">
        <v>76</v>
      </c>
      <c r="B77" s="1">
        <v>40547</v>
      </c>
      <c r="C77" s="2">
        <v>1</v>
      </c>
      <c r="D77" s="2">
        <v>7</v>
      </c>
      <c r="E77" t="b">
        <v>0</v>
      </c>
      <c r="F77" s="2">
        <v>2</v>
      </c>
      <c r="G77" s="2">
        <v>1</v>
      </c>
      <c r="H77" s="23">
        <v>0.12</v>
      </c>
      <c r="I77" s="25">
        <v>0.1515</v>
      </c>
      <c r="J77" s="23">
        <v>0.74</v>
      </c>
      <c r="K77" s="25">
        <v>0.1343</v>
      </c>
      <c r="L77" s="2">
        <v>2</v>
      </c>
      <c r="M77" s="2">
        <v>92</v>
      </c>
      <c r="N77" s="2">
        <v>94</v>
      </c>
    </row>
    <row r="78" spans="1:14" x14ac:dyDescent="0.3">
      <c r="A78" s="2">
        <v>77</v>
      </c>
      <c r="B78" s="1">
        <v>40547</v>
      </c>
      <c r="C78" s="2">
        <v>1</v>
      </c>
      <c r="D78" s="2">
        <v>8</v>
      </c>
      <c r="E78" t="b">
        <v>0</v>
      </c>
      <c r="F78" s="2">
        <v>2</v>
      </c>
      <c r="G78" s="2">
        <v>1</v>
      </c>
      <c r="H78" s="23">
        <v>0.14000000000000001</v>
      </c>
      <c r="I78" s="25">
        <v>0.1515</v>
      </c>
      <c r="J78" s="23">
        <v>0.69</v>
      </c>
      <c r="K78" s="25">
        <v>0.16420000000000001</v>
      </c>
      <c r="L78" s="2">
        <v>2</v>
      </c>
      <c r="M78" s="2">
        <v>177</v>
      </c>
      <c r="N78" s="2">
        <v>179</v>
      </c>
    </row>
    <row r="79" spans="1:14" x14ac:dyDescent="0.3">
      <c r="A79" s="2">
        <v>78</v>
      </c>
      <c r="B79" s="1">
        <v>40547</v>
      </c>
      <c r="C79" s="2">
        <v>1</v>
      </c>
      <c r="D79" s="2">
        <v>9</v>
      </c>
      <c r="E79" t="b">
        <v>0</v>
      </c>
      <c r="F79" s="2">
        <v>2</v>
      </c>
      <c r="G79" s="2">
        <v>1</v>
      </c>
      <c r="H79" s="23">
        <v>0.16</v>
      </c>
      <c r="I79" s="25">
        <v>0.1515</v>
      </c>
      <c r="J79" s="23">
        <v>0.64</v>
      </c>
      <c r="K79" s="25">
        <v>0.22389999999999999</v>
      </c>
      <c r="L79" s="2">
        <v>2</v>
      </c>
      <c r="M79" s="2">
        <v>98</v>
      </c>
      <c r="N79" s="2">
        <v>100</v>
      </c>
    </row>
    <row r="80" spans="1:14" x14ac:dyDescent="0.3">
      <c r="A80" s="2">
        <v>79</v>
      </c>
      <c r="B80" s="1">
        <v>40547</v>
      </c>
      <c r="C80" s="2">
        <v>1</v>
      </c>
      <c r="D80" s="2">
        <v>10</v>
      </c>
      <c r="E80" t="b">
        <v>0</v>
      </c>
      <c r="F80" s="2">
        <v>2</v>
      </c>
      <c r="G80" s="2">
        <v>2</v>
      </c>
      <c r="H80" s="23">
        <v>0.16</v>
      </c>
      <c r="I80" s="25">
        <v>0.13639999999999999</v>
      </c>
      <c r="J80" s="23">
        <v>0.69</v>
      </c>
      <c r="K80" s="25">
        <v>0.32840000000000003</v>
      </c>
      <c r="L80" s="2">
        <v>5</v>
      </c>
      <c r="M80" s="2">
        <v>37</v>
      </c>
      <c r="N80" s="2">
        <v>42</v>
      </c>
    </row>
    <row r="81" spans="1:14" x14ac:dyDescent="0.3">
      <c r="A81" s="2">
        <v>80</v>
      </c>
      <c r="B81" s="1">
        <v>40547</v>
      </c>
      <c r="C81" s="2">
        <v>1</v>
      </c>
      <c r="D81" s="2">
        <v>11</v>
      </c>
      <c r="E81" t="b">
        <v>0</v>
      </c>
      <c r="F81" s="2">
        <v>2</v>
      </c>
      <c r="G81" s="2">
        <v>1</v>
      </c>
      <c r="H81" s="23">
        <v>0.22</v>
      </c>
      <c r="I81" s="25">
        <v>0.21210000000000001</v>
      </c>
      <c r="J81" s="23">
        <v>0.51</v>
      </c>
      <c r="K81" s="25">
        <v>0.29849999999999999</v>
      </c>
      <c r="L81" s="2">
        <v>7</v>
      </c>
      <c r="M81" s="2">
        <v>50</v>
      </c>
      <c r="N81" s="2">
        <v>57</v>
      </c>
    </row>
    <row r="82" spans="1:14" x14ac:dyDescent="0.3">
      <c r="A82" s="2">
        <v>81</v>
      </c>
      <c r="B82" s="1">
        <v>40547</v>
      </c>
      <c r="C82" s="2">
        <v>1</v>
      </c>
      <c r="D82" s="2">
        <v>12</v>
      </c>
      <c r="E82" t="b">
        <v>0</v>
      </c>
      <c r="F82" s="2">
        <v>2</v>
      </c>
      <c r="G82" s="2">
        <v>1</v>
      </c>
      <c r="H82" s="23">
        <v>0.22</v>
      </c>
      <c r="I82" s="25">
        <v>0.2273</v>
      </c>
      <c r="J82" s="23">
        <v>0.51</v>
      </c>
      <c r="K82" s="25">
        <v>0.16420000000000001</v>
      </c>
      <c r="L82" s="2">
        <v>12</v>
      </c>
      <c r="M82" s="2">
        <v>66</v>
      </c>
      <c r="N82" s="2">
        <v>78</v>
      </c>
    </row>
    <row r="83" spans="1:14" x14ac:dyDescent="0.3">
      <c r="A83" s="2">
        <v>82</v>
      </c>
      <c r="B83" s="1">
        <v>40547</v>
      </c>
      <c r="C83" s="2">
        <v>1</v>
      </c>
      <c r="D83" s="2">
        <v>13</v>
      </c>
      <c r="E83" t="b">
        <v>0</v>
      </c>
      <c r="F83" s="2">
        <v>2</v>
      </c>
      <c r="G83" s="2">
        <v>1</v>
      </c>
      <c r="H83" s="23">
        <v>0.24</v>
      </c>
      <c r="I83" s="25">
        <v>0.2273</v>
      </c>
      <c r="J83" s="23">
        <v>0.56000000000000005</v>
      </c>
      <c r="K83" s="25">
        <v>0.19400000000000001</v>
      </c>
      <c r="L83" s="2">
        <v>18</v>
      </c>
      <c r="M83" s="2">
        <v>79</v>
      </c>
      <c r="N83" s="2">
        <v>97</v>
      </c>
    </row>
    <row r="84" spans="1:14" x14ac:dyDescent="0.3">
      <c r="A84" s="2">
        <v>83</v>
      </c>
      <c r="B84" s="1">
        <v>40547</v>
      </c>
      <c r="C84" s="2">
        <v>1</v>
      </c>
      <c r="D84" s="2">
        <v>14</v>
      </c>
      <c r="E84" t="b">
        <v>0</v>
      </c>
      <c r="F84" s="2">
        <v>2</v>
      </c>
      <c r="G84" s="2">
        <v>1</v>
      </c>
      <c r="H84" s="23">
        <v>0.26</v>
      </c>
      <c r="I84" s="25">
        <v>0.2576</v>
      </c>
      <c r="J84" s="23">
        <v>0.52</v>
      </c>
      <c r="K84" s="25">
        <v>0.22389999999999999</v>
      </c>
      <c r="L84" s="2">
        <v>9</v>
      </c>
      <c r="M84" s="2">
        <v>54</v>
      </c>
      <c r="N84" s="2">
        <v>63</v>
      </c>
    </row>
    <row r="85" spans="1:14" x14ac:dyDescent="0.3">
      <c r="A85" s="2">
        <v>84</v>
      </c>
      <c r="B85" s="1">
        <v>40547</v>
      </c>
      <c r="C85" s="2">
        <v>1</v>
      </c>
      <c r="D85" s="2">
        <v>15</v>
      </c>
      <c r="E85" t="b">
        <v>0</v>
      </c>
      <c r="F85" s="2">
        <v>2</v>
      </c>
      <c r="G85" s="2">
        <v>1</v>
      </c>
      <c r="H85" s="23">
        <v>0.28000000000000003</v>
      </c>
      <c r="I85" s="25">
        <v>0.2727</v>
      </c>
      <c r="J85" s="23">
        <v>0.52</v>
      </c>
      <c r="K85" s="25">
        <v>0.25369999999999998</v>
      </c>
      <c r="L85" s="2">
        <v>17</v>
      </c>
      <c r="M85" s="2">
        <v>48</v>
      </c>
      <c r="N85" s="2">
        <v>65</v>
      </c>
    </row>
    <row r="86" spans="1:14" x14ac:dyDescent="0.3">
      <c r="A86" s="2">
        <v>85</v>
      </c>
      <c r="B86" s="1">
        <v>40547</v>
      </c>
      <c r="C86" s="2">
        <v>1</v>
      </c>
      <c r="D86" s="2">
        <v>16</v>
      </c>
      <c r="E86" t="b">
        <v>0</v>
      </c>
      <c r="F86" s="2">
        <v>2</v>
      </c>
      <c r="G86" s="2">
        <v>1</v>
      </c>
      <c r="H86" s="23">
        <v>0.3</v>
      </c>
      <c r="I86" s="25">
        <v>0.28789999999999999</v>
      </c>
      <c r="J86" s="23">
        <v>0.49</v>
      </c>
      <c r="K86" s="25">
        <v>0.25369999999999998</v>
      </c>
      <c r="L86" s="2">
        <v>15</v>
      </c>
      <c r="M86" s="2">
        <v>68</v>
      </c>
      <c r="N86" s="2">
        <v>83</v>
      </c>
    </row>
    <row r="87" spans="1:14" x14ac:dyDescent="0.3">
      <c r="A87" s="2">
        <v>86</v>
      </c>
      <c r="B87" s="1">
        <v>40547</v>
      </c>
      <c r="C87" s="2">
        <v>1</v>
      </c>
      <c r="D87" s="2">
        <v>17</v>
      </c>
      <c r="E87" t="b">
        <v>0</v>
      </c>
      <c r="F87" s="2">
        <v>2</v>
      </c>
      <c r="G87" s="2">
        <v>1</v>
      </c>
      <c r="H87" s="23">
        <v>0.28000000000000003</v>
      </c>
      <c r="I87" s="25">
        <v>0.2727</v>
      </c>
      <c r="J87" s="23">
        <v>0.48</v>
      </c>
      <c r="K87" s="25">
        <v>0.22389999999999999</v>
      </c>
      <c r="L87" s="2">
        <v>10</v>
      </c>
      <c r="M87" s="2">
        <v>202</v>
      </c>
      <c r="N87" s="2">
        <v>212</v>
      </c>
    </row>
    <row r="88" spans="1:14" x14ac:dyDescent="0.3">
      <c r="A88" s="2">
        <v>87</v>
      </c>
      <c r="B88" s="1">
        <v>40547</v>
      </c>
      <c r="C88" s="2">
        <v>1</v>
      </c>
      <c r="D88" s="2">
        <v>18</v>
      </c>
      <c r="E88" t="b">
        <v>0</v>
      </c>
      <c r="F88" s="2">
        <v>2</v>
      </c>
      <c r="G88" s="2">
        <v>1</v>
      </c>
      <c r="H88" s="23">
        <v>0.26</v>
      </c>
      <c r="I88" s="25">
        <v>0.2576</v>
      </c>
      <c r="J88" s="23">
        <v>0.48</v>
      </c>
      <c r="K88" s="25">
        <v>0.19400000000000001</v>
      </c>
      <c r="L88" s="2">
        <v>3</v>
      </c>
      <c r="M88" s="2">
        <v>179</v>
      </c>
      <c r="N88" s="2">
        <v>182</v>
      </c>
    </row>
    <row r="89" spans="1:14" x14ac:dyDescent="0.3">
      <c r="A89" s="2">
        <v>88</v>
      </c>
      <c r="B89" s="1">
        <v>40547</v>
      </c>
      <c r="C89" s="2">
        <v>1</v>
      </c>
      <c r="D89" s="2">
        <v>19</v>
      </c>
      <c r="E89" t="b">
        <v>0</v>
      </c>
      <c r="F89" s="2">
        <v>2</v>
      </c>
      <c r="G89" s="2">
        <v>1</v>
      </c>
      <c r="H89" s="23">
        <v>0.24</v>
      </c>
      <c r="I89" s="25">
        <v>0.2576</v>
      </c>
      <c r="J89" s="23">
        <v>0.48</v>
      </c>
      <c r="K89" s="25">
        <v>0.1045</v>
      </c>
      <c r="L89" s="2">
        <v>2</v>
      </c>
      <c r="M89" s="2">
        <v>110</v>
      </c>
      <c r="N89" s="2">
        <v>112</v>
      </c>
    </row>
    <row r="90" spans="1:14" x14ac:dyDescent="0.3">
      <c r="A90" s="2">
        <v>89</v>
      </c>
      <c r="B90" s="1">
        <v>40547</v>
      </c>
      <c r="C90" s="2">
        <v>1</v>
      </c>
      <c r="D90" s="2">
        <v>20</v>
      </c>
      <c r="E90" t="b">
        <v>0</v>
      </c>
      <c r="F90" s="2">
        <v>2</v>
      </c>
      <c r="G90" s="2">
        <v>1</v>
      </c>
      <c r="H90" s="23">
        <v>0.24</v>
      </c>
      <c r="I90" s="25">
        <v>0.2576</v>
      </c>
      <c r="J90" s="23">
        <v>0.48</v>
      </c>
      <c r="K90" s="25">
        <v>0.1045</v>
      </c>
      <c r="L90" s="2">
        <v>1</v>
      </c>
      <c r="M90" s="2">
        <v>53</v>
      </c>
      <c r="N90" s="2">
        <v>54</v>
      </c>
    </row>
    <row r="91" spans="1:14" x14ac:dyDescent="0.3">
      <c r="A91" s="2">
        <v>90</v>
      </c>
      <c r="B91" s="1">
        <v>40547</v>
      </c>
      <c r="C91" s="2">
        <v>1</v>
      </c>
      <c r="D91" s="2">
        <v>21</v>
      </c>
      <c r="E91" t="b">
        <v>0</v>
      </c>
      <c r="F91" s="2">
        <v>2</v>
      </c>
      <c r="G91" s="2">
        <v>1</v>
      </c>
      <c r="H91" s="23">
        <v>0.22</v>
      </c>
      <c r="I91" s="25">
        <v>0.2727</v>
      </c>
      <c r="J91" s="23">
        <v>0.64</v>
      </c>
      <c r="K91" s="25">
        <v>0</v>
      </c>
      <c r="L91" s="2">
        <v>0</v>
      </c>
      <c r="M91" s="2">
        <v>48</v>
      </c>
      <c r="N91" s="2">
        <v>48</v>
      </c>
    </row>
    <row r="92" spans="1:14" x14ac:dyDescent="0.3">
      <c r="A92" s="2">
        <v>91</v>
      </c>
      <c r="B92" s="1">
        <v>40547</v>
      </c>
      <c r="C92" s="2">
        <v>1</v>
      </c>
      <c r="D92" s="2">
        <v>22</v>
      </c>
      <c r="E92" t="b">
        <v>0</v>
      </c>
      <c r="F92" s="2">
        <v>2</v>
      </c>
      <c r="G92" s="2">
        <v>1</v>
      </c>
      <c r="H92" s="23">
        <v>0.22</v>
      </c>
      <c r="I92" s="25">
        <v>0.2576</v>
      </c>
      <c r="J92" s="23">
        <v>0.64</v>
      </c>
      <c r="K92" s="25">
        <v>8.9599999999999999E-2</v>
      </c>
      <c r="L92" s="2">
        <v>1</v>
      </c>
      <c r="M92" s="2">
        <v>34</v>
      </c>
      <c r="N92" s="2">
        <v>35</v>
      </c>
    </row>
    <row r="93" spans="1:14" x14ac:dyDescent="0.3">
      <c r="A93" s="2">
        <v>92</v>
      </c>
      <c r="B93" s="1">
        <v>40547</v>
      </c>
      <c r="C93" s="2">
        <v>1</v>
      </c>
      <c r="D93" s="2">
        <v>23</v>
      </c>
      <c r="E93" t="b">
        <v>0</v>
      </c>
      <c r="F93" s="2">
        <v>2</v>
      </c>
      <c r="G93" s="2">
        <v>1</v>
      </c>
      <c r="H93" s="23">
        <v>0.2</v>
      </c>
      <c r="I93" s="25">
        <v>0.2273</v>
      </c>
      <c r="J93" s="23">
        <v>0.69</v>
      </c>
      <c r="K93" s="25">
        <v>8.9599999999999999E-2</v>
      </c>
      <c r="L93" s="2">
        <v>2</v>
      </c>
      <c r="M93" s="2">
        <v>9</v>
      </c>
      <c r="N93" s="2">
        <v>11</v>
      </c>
    </row>
    <row r="94" spans="1:14" x14ac:dyDescent="0.3">
      <c r="A94" s="2">
        <v>93</v>
      </c>
      <c r="B94" s="1">
        <v>40548</v>
      </c>
      <c r="C94" s="2">
        <v>1</v>
      </c>
      <c r="D94" s="2">
        <v>0</v>
      </c>
      <c r="E94" t="b">
        <v>0</v>
      </c>
      <c r="F94" s="2">
        <v>3</v>
      </c>
      <c r="G94" s="2">
        <v>1</v>
      </c>
      <c r="H94" s="23">
        <v>0.2</v>
      </c>
      <c r="I94" s="25">
        <v>0.2576</v>
      </c>
      <c r="J94" s="23">
        <v>0.64</v>
      </c>
      <c r="K94" s="25">
        <v>0</v>
      </c>
      <c r="L94" s="2">
        <v>0</v>
      </c>
      <c r="M94" s="2">
        <v>6</v>
      </c>
      <c r="N94" s="2">
        <v>6</v>
      </c>
    </row>
    <row r="95" spans="1:14" x14ac:dyDescent="0.3">
      <c r="A95" s="2">
        <v>94</v>
      </c>
      <c r="B95" s="1">
        <v>40548</v>
      </c>
      <c r="C95" s="2">
        <v>1</v>
      </c>
      <c r="D95" s="2">
        <v>1</v>
      </c>
      <c r="E95" t="b">
        <v>0</v>
      </c>
      <c r="F95" s="2">
        <v>3</v>
      </c>
      <c r="G95" s="2">
        <v>1</v>
      </c>
      <c r="H95" s="23">
        <v>0.16</v>
      </c>
      <c r="I95" s="25">
        <v>0.19700000000000001</v>
      </c>
      <c r="J95" s="23">
        <v>0.74</v>
      </c>
      <c r="K95" s="25">
        <v>8.9599999999999999E-2</v>
      </c>
      <c r="L95" s="2">
        <v>0</v>
      </c>
      <c r="M95" s="2">
        <v>6</v>
      </c>
      <c r="N95" s="2">
        <v>6</v>
      </c>
    </row>
    <row r="96" spans="1:14" x14ac:dyDescent="0.3">
      <c r="A96" s="2">
        <v>95</v>
      </c>
      <c r="B96" s="1">
        <v>40548</v>
      </c>
      <c r="C96" s="2">
        <v>1</v>
      </c>
      <c r="D96" s="2">
        <v>2</v>
      </c>
      <c r="E96" t="b">
        <v>0</v>
      </c>
      <c r="F96" s="2">
        <v>3</v>
      </c>
      <c r="G96" s="2">
        <v>1</v>
      </c>
      <c r="H96" s="23">
        <v>0.16</v>
      </c>
      <c r="I96" s="25">
        <v>0.19700000000000001</v>
      </c>
      <c r="J96" s="23">
        <v>0.74</v>
      </c>
      <c r="K96" s="25">
        <v>8.9599999999999999E-2</v>
      </c>
      <c r="L96" s="2">
        <v>0</v>
      </c>
      <c r="M96" s="2">
        <v>2</v>
      </c>
      <c r="N96" s="2">
        <v>2</v>
      </c>
    </row>
    <row r="97" spans="1:14" x14ac:dyDescent="0.3">
      <c r="A97" s="2">
        <v>96</v>
      </c>
      <c r="B97" s="1">
        <v>40548</v>
      </c>
      <c r="C97" s="2">
        <v>1</v>
      </c>
      <c r="D97" s="2">
        <v>4</v>
      </c>
      <c r="E97" t="b">
        <v>0</v>
      </c>
      <c r="F97" s="2">
        <v>3</v>
      </c>
      <c r="G97" s="2">
        <v>1</v>
      </c>
      <c r="H97" s="23">
        <v>0.24</v>
      </c>
      <c r="I97" s="25">
        <v>0.2273</v>
      </c>
      <c r="J97" s="23">
        <v>0.48</v>
      </c>
      <c r="K97" s="25">
        <v>0.22389999999999999</v>
      </c>
      <c r="L97" s="2">
        <v>0</v>
      </c>
      <c r="M97" s="2">
        <v>2</v>
      </c>
      <c r="N97" s="2">
        <v>2</v>
      </c>
    </row>
    <row r="98" spans="1:14" x14ac:dyDescent="0.3">
      <c r="A98" s="2">
        <v>97</v>
      </c>
      <c r="B98" s="1">
        <v>40548</v>
      </c>
      <c r="C98" s="2">
        <v>1</v>
      </c>
      <c r="D98" s="2">
        <v>5</v>
      </c>
      <c r="E98" t="b">
        <v>0</v>
      </c>
      <c r="F98" s="2">
        <v>3</v>
      </c>
      <c r="G98" s="2">
        <v>1</v>
      </c>
      <c r="H98" s="23">
        <v>0.22</v>
      </c>
      <c r="I98" s="25">
        <v>0.2273</v>
      </c>
      <c r="J98" s="23">
        <v>0.47</v>
      </c>
      <c r="K98" s="25">
        <v>0.16420000000000001</v>
      </c>
      <c r="L98" s="2">
        <v>0</v>
      </c>
      <c r="M98" s="2">
        <v>3</v>
      </c>
      <c r="N98" s="2">
        <v>3</v>
      </c>
    </row>
    <row r="99" spans="1:14" x14ac:dyDescent="0.3">
      <c r="A99" s="2">
        <v>98</v>
      </c>
      <c r="B99" s="1">
        <v>40548</v>
      </c>
      <c r="C99" s="2">
        <v>1</v>
      </c>
      <c r="D99" s="2">
        <v>6</v>
      </c>
      <c r="E99" t="b">
        <v>0</v>
      </c>
      <c r="F99" s="2">
        <v>3</v>
      </c>
      <c r="G99" s="2">
        <v>1</v>
      </c>
      <c r="H99" s="23">
        <v>0.2</v>
      </c>
      <c r="I99" s="25">
        <v>0.19700000000000001</v>
      </c>
      <c r="J99" s="23">
        <v>0.47</v>
      </c>
      <c r="K99" s="25">
        <v>0.22389999999999999</v>
      </c>
      <c r="L99" s="2">
        <v>0</v>
      </c>
      <c r="M99" s="2">
        <v>33</v>
      </c>
      <c r="N99" s="2">
        <v>33</v>
      </c>
    </row>
    <row r="100" spans="1:14" x14ac:dyDescent="0.3">
      <c r="A100" s="2">
        <v>99</v>
      </c>
      <c r="B100" s="1">
        <v>40548</v>
      </c>
      <c r="C100" s="2">
        <v>1</v>
      </c>
      <c r="D100" s="2">
        <v>7</v>
      </c>
      <c r="E100" t="b">
        <v>0</v>
      </c>
      <c r="F100" s="2">
        <v>3</v>
      </c>
      <c r="G100" s="2">
        <v>1</v>
      </c>
      <c r="H100" s="23">
        <v>0.18</v>
      </c>
      <c r="I100" s="25">
        <v>0.18179999999999999</v>
      </c>
      <c r="J100" s="23">
        <v>0.43</v>
      </c>
      <c r="K100" s="25">
        <v>0.19400000000000001</v>
      </c>
      <c r="L100" s="2">
        <v>1</v>
      </c>
      <c r="M100" s="2">
        <v>87</v>
      </c>
      <c r="N100" s="2">
        <v>88</v>
      </c>
    </row>
    <row r="101" spans="1:14" x14ac:dyDescent="0.3">
      <c r="A101" s="2">
        <v>100</v>
      </c>
      <c r="B101" s="1">
        <v>40548</v>
      </c>
      <c r="C101" s="2">
        <v>1</v>
      </c>
      <c r="D101" s="2">
        <v>8</v>
      </c>
      <c r="E101" t="b">
        <v>0</v>
      </c>
      <c r="F101" s="2">
        <v>3</v>
      </c>
      <c r="G101" s="2">
        <v>1</v>
      </c>
      <c r="H101" s="23">
        <v>0.2</v>
      </c>
      <c r="I101" s="25">
        <v>0.18179999999999999</v>
      </c>
      <c r="J101" s="23">
        <v>0.4</v>
      </c>
      <c r="K101" s="25">
        <v>0.29849999999999999</v>
      </c>
      <c r="L101" s="2">
        <v>3</v>
      </c>
      <c r="M101" s="2">
        <v>192</v>
      </c>
      <c r="N101" s="2">
        <v>195</v>
      </c>
    </row>
    <row r="102" spans="1:14" x14ac:dyDescent="0.3">
      <c r="A102" s="2">
        <v>101</v>
      </c>
      <c r="B102" s="1">
        <v>40548</v>
      </c>
      <c r="C102" s="2">
        <v>1</v>
      </c>
      <c r="D102" s="2">
        <v>9</v>
      </c>
      <c r="E102" t="b">
        <v>0</v>
      </c>
      <c r="F102" s="2">
        <v>3</v>
      </c>
      <c r="G102" s="2">
        <v>1</v>
      </c>
      <c r="H102" s="23">
        <v>0.22</v>
      </c>
      <c r="I102" s="25">
        <v>0.19700000000000001</v>
      </c>
      <c r="J102" s="23">
        <v>0.37</v>
      </c>
      <c r="K102" s="25">
        <v>0.32840000000000003</v>
      </c>
      <c r="L102" s="2">
        <v>6</v>
      </c>
      <c r="M102" s="2">
        <v>109</v>
      </c>
      <c r="N102" s="2">
        <v>115</v>
      </c>
    </row>
    <row r="103" spans="1:14" x14ac:dyDescent="0.3">
      <c r="A103" s="2">
        <v>102</v>
      </c>
      <c r="B103" s="1">
        <v>40548</v>
      </c>
      <c r="C103" s="2">
        <v>1</v>
      </c>
      <c r="D103" s="2">
        <v>10</v>
      </c>
      <c r="E103" t="b">
        <v>0</v>
      </c>
      <c r="F103" s="2">
        <v>3</v>
      </c>
      <c r="G103" s="2">
        <v>1</v>
      </c>
      <c r="H103" s="23">
        <v>0.22</v>
      </c>
      <c r="I103" s="25">
        <v>0.19700000000000001</v>
      </c>
      <c r="J103" s="23">
        <v>0.37</v>
      </c>
      <c r="K103" s="25">
        <v>0.32840000000000003</v>
      </c>
      <c r="L103" s="2">
        <v>4</v>
      </c>
      <c r="M103" s="2">
        <v>53</v>
      </c>
      <c r="N103" s="2">
        <v>57</v>
      </c>
    </row>
    <row r="104" spans="1:14" x14ac:dyDescent="0.3">
      <c r="A104" s="2">
        <v>103</v>
      </c>
      <c r="B104" s="1">
        <v>40548</v>
      </c>
      <c r="C104" s="2">
        <v>1</v>
      </c>
      <c r="D104" s="2">
        <v>11</v>
      </c>
      <c r="E104" t="b">
        <v>0</v>
      </c>
      <c r="F104" s="2">
        <v>3</v>
      </c>
      <c r="G104" s="2">
        <v>1</v>
      </c>
      <c r="H104" s="23">
        <v>0.26</v>
      </c>
      <c r="I104" s="25">
        <v>0.2273</v>
      </c>
      <c r="J104" s="23">
        <v>0.33</v>
      </c>
      <c r="K104" s="25">
        <v>0.32840000000000003</v>
      </c>
      <c r="L104" s="2">
        <v>12</v>
      </c>
      <c r="M104" s="2">
        <v>34</v>
      </c>
      <c r="N104" s="2">
        <v>46</v>
      </c>
    </row>
    <row r="105" spans="1:14" x14ac:dyDescent="0.3">
      <c r="A105" s="2">
        <v>104</v>
      </c>
      <c r="B105" s="1">
        <v>40548</v>
      </c>
      <c r="C105" s="2">
        <v>1</v>
      </c>
      <c r="D105" s="2">
        <v>12</v>
      </c>
      <c r="E105" t="b">
        <v>0</v>
      </c>
      <c r="F105" s="2">
        <v>3</v>
      </c>
      <c r="G105" s="2">
        <v>1</v>
      </c>
      <c r="H105" s="23">
        <v>0.26</v>
      </c>
      <c r="I105" s="25">
        <v>0.2273</v>
      </c>
      <c r="J105" s="23">
        <v>0.33</v>
      </c>
      <c r="K105" s="25">
        <v>0.32840000000000003</v>
      </c>
      <c r="L105" s="2">
        <v>5</v>
      </c>
      <c r="M105" s="2">
        <v>74</v>
      </c>
      <c r="N105" s="2">
        <v>79</v>
      </c>
    </row>
    <row r="106" spans="1:14" x14ac:dyDescent="0.3">
      <c r="A106" s="2">
        <v>105</v>
      </c>
      <c r="B106" s="1">
        <v>40548</v>
      </c>
      <c r="C106" s="2">
        <v>1</v>
      </c>
      <c r="D106" s="2">
        <v>13</v>
      </c>
      <c r="E106" t="b">
        <v>0</v>
      </c>
      <c r="F106" s="2">
        <v>3</v>
      </c>
      <c r="G106" s="2">
        <v>1</v>
      </c>
      <c r="H106" s="23">
        <v>0.28000000000000003</v>
      </c>
      <c r="I106" s="25">
        <v>0.2576</v>
      </c>
      <c r="J106" s="23">
        <v>0.3</v>
      </c>
      <c r="K106" s="25">
        <v>0.29849999999999999</v>
      </c>
      <c r="L106" s="2">
        <v>6</v>
      </c>
      <c r="M106" s="2">
        <v>65</v>
      </c>
      <c r="N106" s="2">
        <v>71</v>
      </c>
    </row>
    <row r="107" spans="1:14" x14ac:dyDescent="0.3">
      <c r="A107" s="2">
        <v>106</v>
      </c>
      <c r="B107" s="1">
        <v>40548</v>
      </c>
      <c r="C107" s="2">
        <v>1</v>
      </c>
      <c r="D107" s="2">
        <v>14</v>
      </c>
      <c r="E107" t="b">
        <v>0</v>
      </c>
      <c r="F107" s="2">
        <v>3</v>
      </c>
      <c r="G107" s="2">
        <v>1</v>
      </c>
      <c r="H107" s="23">
        <v>0.3</v>
      </c>
      <c r="I107" s="25">
        <v>0.28789999999999999</v>
      </c>
      <c r="J107" s="23">
        <v>0.28000000000000003</v>
      </c>
      <c r="K107" s="25">
        <v>0.19400000000000001</v>
      </c>
      <c r="L107" s="2">
        <v>10</v>
      </c>
      <c r="M107" s="2">
        <v>52</v>
      </c>
      <c r="N107" s="2">
        <v>62</v>
      </c>
    </row>
    <row r="108" spans="1:14" x14ac:dyDescent="0.3">
      <c r="A108" s="2">
        <v>107</v>
      </c>
      <c r="B108" s="1">
        <v>40548</v>
      </c>
      <c r="C108" s="2">
        <v>1</v>
      </c>
      <c r="D108" s="2">
        <v>15</v>
      </c>
      <c r="E108" t="b">
        <v>0</v>
      </c>
      <c r="F108" s="2">
        <v>3</v>
      </c>
      <c r="G108" s="2">
        <v>1</v>
      </c>
      <c r="H108" s="23">
        <v>0.3</v>
      </c>
      <c r="I108" s="25">
        <v>0.28789999999999999</v>
      </c>
      <c r="J108" s="23">
        <v>0.28000000000000003</v>
      </c>
      <c r="K108" s="25">
        <v>0.19400000000000001</v>
      </c>
      <c r="L108" s="2">
        <v>7</v>
      </c>
      <c r="M108" s="2">
        <v>55</v>
      </c>
      <c r="N108" s="2">
        <v>62</v>
      </c>
    </row>
    <row r="109" spans="1:14" x14ac:dyDescent="0.3">
      <c r="A109" s="2">
        <v>108</v>
      </c>
      <c r="B109" s="1">
        <v>40548</v>
      </c>
      <c r="C109" s="2">
        <v>1</v>
      </c>
      <c r="D109" s="2">
        <v>16</v>
      </c>
      <c r="E109" t="b">
        <v>0</v>
      </c>
      <c r="F109" s="2">
        <v>3</v>
      </c>
      <c r="G109" s="2">
        <v>1</v>
      </c>
      <c r="H109" s="23">
        <v>0.3</v>
      </c>
      <c r="I109" s="25">
        <v>0.31819999999999998</v>
      </c>
      <c r="J109" s="23">
        <v>0.28000000000000003</v>
      </c>
      <c r="K109" s="25">
        <v>8.9599999999999999E-2</v>
      </c>
      <c r="L109" s="2">
        <v>4</v>
      </c>
      <c r="M109" s="2">
        <v>85</v>
      </c>
      <c r="N109" s="2">
        <v>89</v>
      </c>
    </row>
    <row r="110" spans="1:14" x14ac:dyDescent="0.3">
      <c r="A110" s="2">
        <v>109</v>
      </c>
      <c r="B110" s="1">
        <v>40548</v>
      </c>
      <c r="C110" s="2">
        <v>1</v>
      </c>
      <c r="D110" s="2">
        <v>17</v>
      </c>
      <c r="E110" t="b">
        <v>0</v>
      </c>
      <c r="F110" s="2">
        <v>3</v>
      </c>
      <c r="G110" s="2">
        <v>1</v>
      </c>
      <c r="H110" s="23">
        <v>0.24</v>
      </c>
      <c r="I110" s="25">
        <v>0.2273</v>
      </c>
      <c r="J110" s="23">
        <v>0.38</v>
      </c>
      <c r="K110" s="25">
        <v>0.19400000000000001</v>
      </c>
      <c r="L110" s="2">
        <v>4</v>
      </c>
      <c r="M110" s="2">
        <v>186</v>
      </c>
      <c r="N110" s="2">
        <v>190</v>
      </c>
    </row>
    <row r="111" spans="1:14" x14ac:dyDescent="0.3">
      <c r="A111" s="2">
        <v>110</v>
      </c>
      <c r="B111" s="1">
        <v>40548</v>
      </c>
      <c r="C111" s="2">
        <v>1</v>
      </c>
      <c r="D111" s="2">
        <v>18</v>
      </c>
      <c r="E111" t="b">
        <v>0</v>
      </c>
      <c r="F111" s="2">
        <v>3</v>
      </c>
      <c r="G111" s="2">
        <v>1</v>
      </c>
      <c r="H111" s="23">
        <v>0.24</v>
      </c>
      <c r="I111" s="25">
        <v>0.2424</v>
      </c>
      <c r="J111" s="23">
        <v>0.38</v>
      </c>
      <c r="K111" s="25">
        <v>0.1343</v>
      </c>
      <c r="L111" s="2">
        <v>3</v>
      </c>
      <c r="M111" s="2">
        <v>166</v>
      </c>
      <c r="N111" s="2">
        <v>169</v>
      </c>
    </row>
    <row r="112" spans="1:14" x14ac:dyDescent="0.3">
      <c r="A112" s="2">
        <v>111</v>
      </c>
      <c r="B112" s="1">
        <v>40548</v>
      </c>
      <c r="C112" s="2">
        <v>1</v>
      </c>
      <c r="D112" s="2">
        <v>19</v>
      </c>
      <c r="E112" t="b">
        <v>0</v>
      </c>
      <c r="F112" s="2">
        <v>3</v>
      </c>
      <c r="G112" s="2">
        <v>1</v>
      </c>
      <c r="H112" s="23">
        <v>0.24</v>
      </c>
      <c r="I112" s="25">
        <v>0.2576</v>
      </c>
      <c r="J112" s="23">
        <v>0.38</v>
      </c>
      <c r="K112" s="25">
        <v>0.1045</v>
      </c>
      <c r="L112" s="2">
        <v>5</v>
      </c>
      <c r="M112" s="2">
        <v>127</v>
      </c>
      <c r="N112" s="2">
        <v>132</v>
      </c>
    </row>
    <row r="113" spans="1:14" x14ac:dyDescent="0.3">
      <c r="A113" s="2">
        <v>112</v>
      </c>
      <c r="B113" s="1">
        <v>40548</v>
      </c>
      <c r="C113" s="2">
        <v>1</v>
      </c>
      <c r="D113" s="2">
        <v>20</v>
      </c>
      <c r="E113" t="b">
        <v>0</v>
      </c>
      <c r="F113" s="2">
        <v>3</v>
      </c>
      <c r="G113" s="2">
        <v>1</v>
      </c>
      <c r="H113" s="23">
        <v>0.22</v>
      </c>
      <c r="I113" s="25">
        <v>0.2273</v>
      </c>
      <c r="J113" s="23">
        <v>0.47</v>
      </c>
      <c r="K113" s="25">
        <v>0.16420000000000001</v>
      </c>
      <c r="L113" s="2">
        <v>7</v>
      </c>
      <c r="M113" s="2">
        <v>82</v>
      </c>
      <c r="N113" s="2">
        <v>89</v>
      </c>
    </row>
    <row r="114" spans="1:14" x14ac:dyDescent="0.3">
      <c r="A114" s="2">
        <v>113</v>
      </c>
      <c r="B114" s="1">
        <v>40548</v>
      </c>
      <c r="C114" s="2">
        <v>1</v>
      </c>
      <c r="D114" s="2">
        <v>21</v>
      </c>
      <c r="E114" t="b">
        <v>0</v>
      </c>
      <c r="F114" s="2">
        <v>3</v>
      </c>
      <c r="G114" s="2">
        <v>1</v>
      </c>
      <c r="H114" s="23">
        <v>0.2</v>
      </c>
      <c r="I114" s="25">
        <v>0.19700000000000001</v>
      </c>
      <c r="J114" s="23">
        <v>0.51</v>
      </c>
      <c r="K114" s="25">
        <v>0.19400000000000001</v>
      </c>
      <c r="L114" s="2">
        <v>3</v>
      </c>
      <c r="M114" s="2">
        <v>40</v>
      </c>
      <c r="N114" s="2">
        <v>43</v>
      </c>
    </row>
    <row r="115" spans="1:14" x14ac:dyDescent="0.3">
      <c r="A115" s="2">
        <v>114</v>
      </c>
      <c r="B115" s="1">
        <v>40548</v>
      </c>
      <c r="C115" s="2">
        <v>1</v>
      </c>
      <c r="D115" s="2">
        <v>22</v>
      </c>
      <c r="E115" t="b">
        <v>0</v>
      </c>
      <c r="F115" s="2">
        <v>3</v>
      </c>
      <c r="G115" s="2">
        <v>1</v>
      </c>
      <c r="H115" s="23">
        <v>0.18</v>
      </c>
      <c r="I115" s="25">
        <v>0.19700000000000001</v>
      </c>
      <c r="J115" s="23">
        <v>0.55000000000000004</v>
      </c>
      <c r="K115" s="25">
        <v>0.1343</v>
      </c>
      <c r="L115" s="2">
        <v>1</v>
      </c>
      <c r="M115" s="2">
        <v>41</v>
      </c>
      <c r="N115" s="2">
        <v>42</v>
      </c>
    </row>
    <row r="116" spans="1:14" x14ac:dyDescent="0.3">
      <c r="A116" s="2">
        <v>115</v>
      </c>
      <c r="B116" s="1">
        <v>40548</v>
      </c>
      <c r="C116" s="2">
        <v>1</v>
      </c>
      <c r="D116" s="2">
        <v>23</v>
      </c>
      <c r="E116" t="b">
        <v>0</v>
      </c>
      <c r="F116" s="2">
        <v>3</v>
      </c>
      <c r="G116" s="2">
        <v>1</v>
      </c>
      <c r="H116" s="23">
        <v>0.2</v>
      </c>
      <c r="I116" s="25">
        <v>0.2576</v>
      </c>
      <c r="J116" s="23">
        <v>0.47</v>
      </c>
      <c r="K116" s="25">
        <v>0</v>
      </c>
      <c r="L116" s="2">
        <v>1</v>
      </c>
      <c r="M116" s="2">
        <v>18</v>
      </c>
      <c r="N116" s="2">
        <v>19</v>
      </c>
    </row>
    <row r="117" spans="1:14" x14ac:dyDescent="0.3">
      <c r="A117" s="2">
        <v>116</v>
      </c>
      <c r="B117" s="1">
        <v>40549</v>
      </c>
      <c r="C117" s="2">
        <v>1</v>
      </c>
      <c r="D117" s="2">
        <v>0</v>
      </c>
      <c r="E117" t="b">
        <v>0</v>
      </c>
      <c r="F117" s="2">
        <v>4</v>
      </c>
      <c r="G117" s="2">
        <v>1</v>
      </c>
      <c r="H117" s="23">
        <v>0.18</v>
      </c>
      <c r="I117" s="25">
        <v>0.2424</v>
      </c>
      <c r="J117" s="23">
        <v>0.55000000000000004</v>
      </c>
      <c r="K117" s="25">
        <v>0</v>
      </c>
      <c r="L117" s="2">
        <v>0</v>
      </c>
      <c r="M117" s="2">
        <v>11</v>
      </c>
      <c r="N117" s="2">
        <v>11</v>
      </c>
    </row>
    <row r="118" spans="1:14" x14ac:dyDescent="0.3">
      <c r="A118" s="2">
        <v>117</v>
      </c>
      <c r="B118" s="1">
        <v>40549</v>
      </c>
      <c r="C118" s="2">
        <v>1</v>
      </c>
      <c r="D118" s="2">
        <v>1</v>
      </c>
      <c r="E118" t="b">
        <v>0</v>
      </c>
      <c r="F118" s="2">
        <v>4</v>
      </c>
      <c r="G118" s="2">
        <v>1</v>
      </c>
      <c r="H118" s="23">
        <v>0.16</v>
      </c>
      <c r="I118" s="25">
        <v>0.2273</v>
      </c>
      <c r="J118" s="23">
        <v>0.64</v>
      </c>
      <c r="K118" s="25">
        <v>0</v>
      </c>
      <c r="L118" s="2">
        <v>0</v>
      </c>
      <c r="M118" s="2">
        <v>4</v>
      </c>
      <c r="N118" s="2">
        <v>4</v>
      </c>
    </row>
    <row r="119" spans="1:14" x14ac:dyDescent="0.3">
      <c r="A119" s="2">
        <v>118</v>
      </c>
      <c r="B119" s="1">
        <v>40549</v>
      </c>
      <c r="C119" s="2">
        <v>1</v>
      </c>
      <c r="D119" s="2">
        <v>2</v>
      </c>
      <c r="E119" t="b">
        <v>0</v>
      </c>
      <c r="F119" s="2">
        <v>4</v>
      </c>
      <c r="G119" s="2">
        <v>1</v>
      </c>
      <c r="H119" s="23">
        <v>0.16</v>
      </c>
      <c r="I119" s="25">
        <v>0.2273</v>
      </c>
      <c r="J119" s="23">
        <v>0.64</v>
      </c>
      <c r="K119" s="25">
        <v>0</v>
      </c>
      <c r="L119" s="2">
        <v>0</v>
      </c>
      <c r="M119" s="2">
        <v>2</v>
      </c>
      <c r="N119" s="2">
        <v>2</v>
      </c>
    </row>
    <row r="120" spans="1:14" x14ac:dyDescent="0.3">
      <c r="A120" s="2">
        <v>119</v>
      </c>
      <c r="B120" s="1">
        <v>40549</v>
      </c>
      <c r="C120" s="2">
        <v>1</v>
      </c>
      <c r="D120" s="2">
        <v>4</v>
      </c>
      <c r="E120" t="b">
        <v>0</v>
      </c>
      <c r="F120" s="2">
        <v>4</v>
      </c>
      <c r="G120" s="2">
        <v>2</v>
      </c>
      <c r="H120" s="23">
        <v>0.16</v>
      </c>
      <c r="I120" s="25">
        <v>0.19700000000000001</v>
      </c>
      <c r="J120" s="23">
        <v>0.64</v>
      </c>
      <c r="K120" s="25">
        <v>8.9599999999999999E-2</v>
      </c>
      <c r="L120" s="2">
        <v>0</v>
      </c>
      <c r="M120" s="2">
        <v>1</v>
      </c>
      <c r="N120" s="2">
        <v>1</v>
      </c>
    </row>
    <row r="121" spans="1:14" x14ac:dyDescent="0.3">
      <c r="A121" s="2">
        <v>120</v>
      </c>
      <c r="B121" s="1">
        <v>40549</v>
      </c>
      <c r="C121" s="2">
        <v>1</v>
      </c>
      <c r="D121" s="2">
        <v>5</v>
      </c>
      <c r="E121" t="b">
        <v>0</v>
      </c>
      <c r="F121" s="2">
        <v>4</v>
      </c>
      <c r="G121" s="2">
        <v>2</v>
      </c>
      <c r="H121" s="23">
        <v>0.14000000000000001</v>
      </c>
      <c r="I121" s="25">
        <v>0.18179999999999999</v>
      </c>
      <c r="J121" s="23">
        <v>0.69</v>
      </c>
      <c r="K121" s="25">
        <v>8.9599999999999999E-2</v>
      </c>
      <c r="L121" s="2">
        <v>0</v>
      </c>
      <c r="M121" s="2">
        <v>4</v>
      </c>
      <c r="N121" s="2">
        <v>4</v>
      </c>
    </row>
    <row r="122" spans="1:14" x14ac:dyDescent="0.3">
      <c r="A122" s="2">
        <v>121</v>
      </c>
      <c r="B122" s="1">
        <v>40549</v>
      </c>
      <c r="C122" s="2">
        <v>1</v>
      </c>
      <c r="D122" s="2">
        <v>6</v>
      </c>
      <c r="E122" t="b">
        <v>0</v>
      </c>
      <c r="F122" s="2">
        <v>4</v>
      </c>
      <c r="G122" s="2">
        <v>2</v>
      </c>
      <c r="H122" s="23">
        <v>0.14000000000000001</v>
      </c>
      <c r="I122" s="25">
        <v>0.16669999999999999</v>
      </c>
      <c r="J122" s="23">
        <v>0.63</v>
      </c>
      <c r="K122" s="25">
        <v>0.1045</v>
      </c>
      <c r="L122" s="2">
        <v>0</v>
      </c>
      <c r="M122" s="2">
        <v>36</v>
      </c>
      <c r="N122" s="2">
        <v>36</v>
      </c>
    </row>
    <row r="123" spans="1:14" x14ac:dyDescent="0.3">
      <c r="A123" s="2">
        <v>122</v>
      </c>
      <c r="B123" s="1">
        <v>40549</v>
      </c>
      <c r="C123" s="2">
        <v>1</v>
      </c>
      <c r="D123" s="2">
        <v>7</v>
      </c>
      <c r="E123" t="b">
        <v>0</v>
      </c>
      <c r="F123" s="2">
        <v>4</v>
      </c>
      <c r="G123" s="2">
        <v>2</v>
      </c>
      <c r="H123" s="23">
        <v>0.16</v>
      </c>
      <c r="I123" s="25">
        <v>0.2273</v>
      </c>
      <c r="J123" s="23">
        <v>0.59</v>
      </c>
      <c r="K123" s="25">
        <v>0</v>
      </c>
      <c r="L123" s="2">
        <v>0</v>
      </c>
      <c r="M123" s="2">
        <v>95</v>
      </c>
      <c r="N123" s="2">
        <v>95</v>
      </c>
    </row>
    <row r="124" spans="1:14" x14ac:dyDescent="0.3">
      <c r="A124" s="2">
        <v>123</v>
      </c>
      <c r="B124" s="1">
        <v>40549</v>
      </c>
      <c r="C124" s="2">
        <v>1</v>
      </c>
      <c r="D124" s="2">
        <v>8</v>
      </c>
      <c r="E124" t="b">
        <v>0</v>
      </c>
      <c r="F124" s="2">
        <v>4</v>
      </c>
      <c r="G124" s="2">
        <v>1</v>
      </c>
      <c r="H124" s="23">
        <v>0.16</v>
      </c>
      <c r="I124" s="25">
        <v>0.2273</v>
      </c>
      <c r="J124" s="23">
        <v>0.59</v>
      </c>
      <c r="K124" s="25">
        <v>0</v>
      </c>
      <c r="L124" s="2">
        <v>3</v>
      </c>
      <c r="M124" s="2">
        <v>216</v>
      </c>
      <c r="N124" s="2">
        <v>219</v>
      </c>
    </row>
    <row r="125" spans="1:14" x14ac:dyDescent="0.3">
      <c r="A125" s="2">
        <v>124</v>
      </c>
      <c r="B125" s="1">
        <v>40549</v>
      </c>
      <c r="C125" s="2">
        <v>1</v>
      </c>
      <c r="D125" s="2">
        <v>9</v>
      </c>
      <c r="E125" t="b">
        <v>0</v>
      </c>
      <c r="F125" s="2">
        <v>4</v>
      </c>
      <c r="G125" s="2">
        <v>2</v>
      </c>
      <c r="H125" s="23">
        <v>0.18</v>
      </c>
      <c r="I125" s="25">
        <v>0.2424</v>
      </c>
      <c r="J125" s="23">
        <v>0.51</v>
      </c>
      <c r="K125" s="25">
        <v>0</v>
      </c>
      <c r="L125" s="2">
        <v>6</v>
      </c>
      <c r="M125" s="2">
        <v>116</v>
      </c>
      <c r="N125" s="2">
        <v>122</v>
      </c>
    </row>
    <row r="126" spans="1:14" x14ac:dyDescent="0.3">
      <c r="A126" s="2">
        <v>125</v>
      </c>
      <c r="B126" s="1">
        <v>40549</v>
      </c>
      <c r="C126" s="2">
        <v>1</v>
      </c>
      <c r="D126" s="2">
        <v>10</v>
      </c>
      <c r="E126" t="b">
        <v>0</v>
      </c>
      <c r="F126" s="2">
        <v>4</v>
      </c>
      <c r="G126" s="2">
        <v>1</v>
      </c>
      <c r="H126" s="23">
        <v>0.2</v>
      </c>
      <c r="I126" s="25">
        <v>0.2576</v>
      </c>
      <c r="J126" s="23">
        <v>0.47</v>
      </c>
      <c r="K126" s="25">
        <v>0</v>
      </c>
      <c r="L126" s="2">
        <v>3</v>
      </c>
      <c r="M126" s="2">
        <v>42</v>
      </c>
      <c r="N126" s="2">
        <v>45</v>
      </c>
    </row>
    <row r="127" spans="1:14" x14ac:dyDescent="0.3">
      <c r="A127" s="2">
        <v>126</v>
      </c>
      <c r="B127" s="1">
        <v>40549</v>
      </c>
      <c r="C127" s="2">
        <v>1</v>
      </c>
      <c r="D127" s="2">
        <v>11</v>
      </c>
      <c r="E127" t="b">
        <v>0</v>
      </c>
      <c r="F127" s="2">
        <v>4</v>
      </c>
      <c r="G127" s="2">
        <v>1</v>
      </c>
      <c r="H127" s="23">
        <v>0.22</v>
      </c>
      <c r="I127" s="25">
        <v>0.2576</v>
      </c>
      <c r="J127" s="23">
        <v>0.44</v>
      </c>
      <c r="K127" s="25">
        <v>8.9599999999999999E-2</v>
      </c>
      <c r="L127" s="2">
        <v>2</v>
      </c>
      <c r="M127" s="2">
        <v>57</v>
      </c>
      <c r="N127" s="2">
        <v>59</v>
      </c>
    </row>
    <row r="128" spans="1:14" x14ac:dyDescent="0.3">
      <c r="A128" s="2">
        <v>127</v>
      </c>
      <c r="B128" s="1">
        <v>40549</v>
      </c>
      <c r="C128" s="2">
        <v>1</v>
      </c>
      <c r="D128" s="2">
        <v>12</v>
      </c>
      <c r="E128" t="b">
        <v>0</v>
      </c>
      <c r="F128" s="2">
        <v>4</v>
      </c>
      <c r="G128" s="2">
        <v>1</v>
      </c>
      <c r="H128" s="23">
        <v>0.26</v>
      </c>
      <c r="I128" s="25">
        <v>0.28789999999999999</v>
      </c>
      <c r="J128" s="23">
        <v>0.35</v>
      </c>
      <c r="K128" s="25">
        <v>0</v>
      </c>
      <c r="L128" s="2">
        <v>6</v>
      </c>
      <c r="M128" s="2">
        <v>78</v>
      </c>
      <c r="N128" s="2">
        <v>84</v>
      </c>
    </row>
    <row r="129" spans="1:14" x14ac:dyDescent="0.3">
      <c r="A129" s="2">
        <v>128</v>
      </c>
      <c r="B129" s="1">
        <v>40549</v>
      </c>
      <c r="C129" s="2">
        <v>1</v>
      </c>
      <c r="D129" s="2">
        <v>13</v>
      </c>
      <c r="E129" t="b">
        <v>0</v>
      </c>
      <c r="F129" s="2">
        <v>4</v>
      </c>
      <c r="G129" s="2">
        <v>1</v>
      </c>
      <c r="H129" s="23">
        <v>0.26</v>
      </c>
      <c r="I129" s="25">
        <v>0.2727</v>
      </c>
      <c r="J129" s="23">
        <v>0.35</v>
      </c>
      <c r="K129" s="25">
        <v>0.1045</v>
      </c>
      <c r="L129" s="2">
        <v>12</v>
      </c>
      <c r="M129" s="2">
        <v>55</v>
      </c>
      <c r="N129" s="2">
        <v>67</v>
      </c>
    </row>
    <row r="130" spans="1:14" x14ac:dyDescent="0.3">
      <c r="A130" s="2">
        <v>129</v>
      </c>
      <c r="B130" s="1">
        <v>40549</v>
      </c>
      <c r="C130" s="2">
        <v>1</v>
      </c>
      <c r="D130" s="2">
        <v>14</v>
      </c>
      <c r="E130" t="b">
        <v>0</v>
      </c>
      <c r="F130" s="2">
        <v>4</v>
      </c>
      <c r="G130" s="2">
        <v>1</v>
      </c>
      <c r="H130" s="23">
        <v>0.28000000000000003</v>
      </c>
      <c r="I130" s="25">
        <v>0.2727</v>
      </c>
      <c r="J130" s="23">
        <v>0.36</v>
      </c>
      <c r="K130" s="25">
        <v>0.16420000000000001</v>
      </c>
      <c r="L130" s="2">
        <v>11</v>
      </c>
      <c r="M130" s="2">
        <v>59</v>
      </c>
      <c r="N130" s="2">
        <v>70</v>
      </c>
    </row>
    <row r="131" spans="1:14" x14ac:dyDescent="0.3">
      <c r="A131" s="2">
        <v>130</v>
      </c>
      <c r="B131" s="1">
        <v>40549</v>
      </c>
      <c r="C131" s="2">
        <v>1</v>
      </c>
      <c r="D131" s="2">
        <v>15</v>
      </c>
      <c r="E131" t="b">
        <v>0</v>
      </c>
      <c r="F131" s="2">
        <v>4</v>
      </c>
      <c r="G131" s="2">
        <v>1</v>
      </c>
      <c r="H131" s="23">
        <v>0.28000000000000003</v>
      </c>
      <c r="I131" s="25">
        <v>0.2727</v>
      </c>
      <c r="J131" s="23">
        <v>0.36</v>
      </c>
      <c r="K131" s="25">
        <v>0</v>
      </c>
      <c r="L131" s="2">
        <v>8</v>
      </c>
      <c r="M131" s="2">
        <v>54</v>
      </c>
      <c r="N131" s="2">
        <v>62</v>
      </c>
    </row>
    <row r="132" spans="1:14" x14ac:dyDescent="0.3">
      <c r="A132" s="2">
        <v>131</v>
      </c>
      <c r="B132" s="1">
        <v>40549</v>
      </c>
      <c r="C132" s="2">
        <v>1</v>
      </c>
      <c r="D132" s="2">
        <v>16</v>
      </c>
      <c r="E132" t="b">
        <v>0</v>
      </c>
      <c r="F132" s="2">
        <v>4</v>
      </c>
      <c r="G132" s="2">
        <v>1</v>
      </c>
      <c r="H132" s="23">
        <v>0.26</v>
      </c>
      <c r="I132" s="25">
        <v>0.2576</v>
      </c>
      <c r="J132" s="23">
        <v>0.38</v>
      </c>
      <c r="K132" s="25">
        <v>0.16420000000000001</v>
      </c>
      <c r="L132" s="2">
        <v>12</v>
      </c>
      <c r="M132" s="2">
        <v>74</v>
      </c>
      <c r="N132" s="2">
        <v>86</v>
      </c>
    </row>
    <row r="133" spans="1:14" x14ac:dyDescent="0.3">
      <c r="A133" s="2">
        <v>132</v>
      </c>
      <c r="B133" s="1">
        <v>40549</v>
      </c>
      <c r="C133" s="2">
        <v>1</v>
      </c>
      <c r="D133" s="2">
        <v>17</v>
      </c>
      <c r="E133" t="b">
        <v>0</v>
      </c>
      <c r="F133" s="2">
        <v>4</v>
      </c>
      <c r="G133" s="2">
        <v>1</v>
      </c>
      <c r="H133" s="23">
        <v>0.22</v>
      </c>
      <c r="I133" s="25">
        <v>0.2273</v>
      </c>
      <c r="J133" s="23">
        <v>0.51</v>
      </c>
      <c r="K133" s="25">
        <v>0.16420000000000001</v>
      </c>
      <c r="L133" s="2">
        <v>9</v>
      </c>
      <c r="M133" s="2">
        <v>163</v>
      </c>
      <c r="N133" s="2">
        <v>172</v>
      </c>
    </row>
    <row r="134" spans="1:14" x14ac:dyDescent="0.3">
      <c r="A134" s="2">
        <v>133</v>
      </c>
      <c r="B134" s="1">
        <v>40549</v>
      </c>
      <c r="C134" s="2">
        <v>1</v>
      </c>
      <c r="D134" s="2">
        <v>18</v>
      </c>
      <c r="E134" t="b">
        <v>0</v>
      </c>
      <c r="F134" s="2">
        <v>4</v>
      </c>
      <c r="G134" s="2">
        <v>1</v>
      </c>
      <c r="H134" s="23">
        <v>0.22</v>
      </c>
      <c r="I134" s="25">
        <v>0.2273</v>
      </c>
      <c r="J134" s="23">
        <v>0.51</v>
      </c>
      <c r="K134" s="25">
        <v>0.1343</v>
      </c>
      <c r="L134" s="2">
        <v>5</v>
      </c>
      <c r="M134" s="2">
        <v>158</v>
      </c>
      <c r="N134" s="2">
        <v>163</v>
      </c>
    </row>
    <row r="135" spans="1:14" x14ac:dyDescent="0.3">
      <c r="A135" s="2">
        <v>134</v>
      </c>
      <c r="B135" s="1">
        <v>40549</v>
      </c>
      <c r="C135" s="2">
        <v>1</v>
      </c>
      <c r="D135" s="2">
        <v>19</v>
      </c>
      <c r="E135" t="b">
        <v>0</v>
      </c>
      <c r="F135" s="2">
        <v>4</v>
      </c>
      <c r="G135" s="2">
        <v>1</v>
      </c>
      <c r="H135" s="23">
        <v>0.22</v>
      </c>
      <c r="I135" s="25">
        <v>0.2576</v>
      </c>
      <c r="J135" s="23">
        <v>0.55000000000000004</v>
      </c>
      <c r="K135" s="25">
        <v>8.9599999999999999E-2</v>
      </c>
      <c r="L135" s="2">
        <v>3</v>
      </c>
      <c r="M135" s="2">
        <v>109</v>
      </c>
      <c r="N135" s="2">
        <v>112</v>
      </c>
    </row>
    <row r="136" spans="1:14" x14ac:dyDescent="0.3">
      <c r="A136" s="2">
        <v>135</v>
      </c>
      <c r="B136" s="1">
        <v>40549</v>
      </c>
      <c r="C136" s="2">
        <v>1</v>
      </c>
      <c r="D136" s="2">
        <v>20</v>
      </c>
      <c r="E136" t="b">
        <v>0</v>
      </c>
      <c r="F136" s="2">
        <v>4</v>
      </c>
      <c r="G136" s="2">
        <v>1</v>
      </c>
      <c r="H136" s="23">
        <v>0.2</v>
      </c>
      <c r="I136" s="25">
        <v>0.21210000000000001</v>
      </c>
      <c r="J136" s="23">
        <v>0.51</v>
      </c>
      <c r="K136" s="25">
        <v>0.16420000000000001</v>
      </c>
      <c r="L136" s="2">
        <v>3</v>
      </c>
      <c r="M136" s="2">
        <v>66</v>
      </c>
      <c r="N136" s="2">
        <v>69</v>
      </c>
    </row>
    <row r="137" spans="1:14" x14ac:dyDescent="0.3">
      <c r="A137" s="2">
        <v>136</v>
      </c>
      <c r="B137" s="1">
        <v>40549</v>
      </c>
      <c r="C137" s="2">
        <v>1</v>
      </c>
      <c r="D137" s="2">
        <v>21</v>
      </c>
      <c r="E137" t="b">
        <v>0</v>
      </c>
      <c r="F137" s="2">
        <v>4</v>
      </c>
      <c r="G137" s="2">
        <v>2</v>
      </c>
      <c r="H137" s="23">
        <v>0.22</v>
      </c>
      <c r="I137" s="25">
        <v>0.21210000000000001</v>
      </c>
      <c r="J137" s="23">
        <v>0.55000000000000004</v>
      </c>
      <c r="K137" s="25">
        <v>0.22389999999999999</v>
      </c>
      <c r="L137" s="2">
        <v>0</v>
      </c>
      <c r="M137" s="2">
        <v>48</v>
      </c>
      <c r="N137" s="2">
        <v>48</v>
      </c>
    </row>
    <row r="138" spans="1:14" x14ac:dyDescent="0.3">
      <c r="A138" s="2">
        <v>137</v>
      </c>
      <c r="B138" s="1">
        <v>40549</v>
      </c>
      <c r="C138" s="2">
        <v>1</v>
      </c>
      <c r="D138" s="2">
        <v>22</v>
      </c>
      <c r="E138" t="b">
        <v>0</v>
      </c>
      <c r="F138" s="2">
        <v>4</v>
      </c>
      <c r="G138" s="2">
        <v>2</v>
      </c>
      <c r="H138" s="23">
        <v>0.22</v>
      </c>
      <c r="I138" s="25">
        <v>0.21210000000000001</v>
      </c>
      <c r="J138" s="23">
        <v>0.51</v>
      </c>
      <c r="K138" s="25">
        <v>0.28360000000000002</v>
      </c>
      <c r="L138" s="2">
        <v>1</v>
      </c>
      <c r="M138" s="2">
        <v>51</v>
      </c>
      <c r="N138" s="2">
        <v>52</v>
      </c>
    </row>
    <row r="139" spans="1:14" x14ac:dyDescent="0.3">
      <c r="A139" s="2">
        <v>138</v>
      </c>
      <c r="B139" s="1">
        <v>40549</v>
      </c>
      <c r="C139" s="2">
        <v>1</v>
      </c>
      <c r="D139" s="2">
        <v>23</v>
      </c>
      <c r="E139" t="b">
        <v>0</v>
      </c>
      <c r="F139" s="2">
        <v>4</v>
      </c>
      <c r="G139" s="2">
        <v>2</v>
      </c>
      <c r="H139" s="23">
        <v>0.2</v>
      </c>
      <c r="I139" s="25">
        <v>0.19700000000000001</v>
      </c>
      <c r="J139" s="23">
        <v>0.59</v>
      </c>
      <c r="K139" s="25">
        <v>0.19400000000000001</v>
      </c>
      <c r="L139" s="2">
        <v>4</v>
      </c>
      <c r="M139" s="2">
        <v>19</v>
      </c>
      <c r="N139" s="2">
        <v>23</v>
      </c>
    </row>
    <row r="140" spans="1:14" x14ac:dyDescent="0.3">
      <c r="A140" s="2">
        <v>139</v>
      </c>
      <c r="B140" s="1">
        <v>40550</v>
      </c>
      <c r="C140" s="2">
        <v>1</v>
      </c>
      <c r="D140" s="2">
        <v>0</v>
      </c>
      <c r="E140" t="b">
        <v>0</v>
      </c>
      <c r="F140" s="2">
        <v>5</v>
      </c>
      <c r="G140" s="2">
        <v>2</v>
      </c>
      <c r="H140" s="23">
        <v>0.2</v>
      </c>
      <c r="I140" s="25">
        <v>0.19700000000000001</v>
      </c>
      <c r="J140" s="23">
        <v>0.64</v>
      </c>
      <c r="K140" s="25">
        <v>0.19400000000000001</v>
      </c>
      <c r="L140" s="2">
        <v>4</v>
      </c>
      <c r="M140" s="2">
        <v>13</v>
      </c>
      <c r="N140" s="2">
        <v>17</v>
      </c>
    </row>
    <row r="141" spans="1:14" x14ac:dyDescent="0.3">
      <c r="A141" s="2">
        <v>140</v>
      </c>
      <c r="B141" s="1">
        <v>40550</v>
      </c>
      <c r="C141" s="2">
        <v>1</v>
      </c>
      <c r="D141" s="2">
        <v>1</v>
      </c>
      <c r="E141" t="b">
        <v>0</v>
      </c>
      <c r="F141" s="2">
        <v>5</v>
      </c>
      <c r="G141" s="2">
        <v>2</v>
      </c>
      <c r="H141" s="23">
        <v>0.2</v>
      </c>
      <c r="I141" s="25">
        <v>0.19700000000000001</v>
      </c>
      <c r="J141" s="23">
        <v>0.69</v>
      </c>
      <c r="K141" s="25">
        <v>0.22389999999999999</v>
      </c>
      <c r="L141" s="2">
        <v>2</v>
      </c>
      <c r="M141" s="2">
        <v>5</v>
      </c>
      <c r="N141" s="2">
        <v>7</v>
      </c>
    </row>
    <row r="142" spans="1:14" x14ac:dyDescent="0.3">
      <c r="A142" s="2">
        <v>141</v>
      </c>
      <c r="B142" s="1">
        <v>40550</v>
      </c>
      <c r="C142" s="2">
        <v>1</v>
      </c>
      <c r="D142" s="2">
        <v>2</v>
      </c>
      <c r="E142" t="b">
        <v>0</v>
      </c>
      <c r="F142" s="2">
        <v>5</v>
      </c>
      <c r="G142" s="2">
        <v>2</v>
      </c>
      <c r="H142" s="23">
        <v>0.2</v>
      </c>
      <c r="I142" s="25">
        <v>0.19700000000000001</v>
      </c>
      <c r="J142" s="23">
        <v>0.69</v>
      </c>
      <c r="K142" s="25">
        <v>0.22389999999999999</v>
      </c>
      <c r="L142" s="2">
        <v>0</v>
      </c>
      <c r="M142" s="2">
        <v>1</v>
      </c>
      <c r="N142" s="2">
        <v>1</v>
      </c>
    </row>
    <row r="143" spans="1:14" x14ac:dyDescent="0.3">
      <c r="A143" s="2">
        <v>142</v>
      </c>
      <c r="B143" s="1">
        <v>40550</v>
      </c>
      <c r="C143" s="2">
        <v>1</v>
      </c>
      <c r="D143" s="2">
        <v>4</v>
      </c>
      <c r="E143" t="b">
        <v>0</v>
      </c>
      <c r="F143" s="2">
        <v>5</v>
      </c>
      <c r="G143" s="2">
        <v>2</v>
      </c>
      <c r="H143" s="23">
        <v>0.2</v>
      </c>
      <c r="I143" s="25">
        <v>0.21210000000000001</v>
      </c>
      <c r="J143" s="23">
        <v>0.69</v>
      </c>
      <c r="K143" s="25">
        <v>0.1343</v>
      </c>
      <c r="L143" s="2">
        <v>0</v>
      </c>
      <c r="M143" s="2">
        <v>1</v>
      </c>
      <c r="N143" s="2">
        <v>1</v>
      </c>
    </row>
    <row r="144" spans="1:14" x14ac:dyDescent="0.3">
      <c r="A144" s="2">
        <v>143</v>
      </c>
      <c r="B144" s="1">
        <v>40550</v>
      </c>
      <c r="C144" s="2">
        <v>1</v>
      </c>
      <c r="D144" s="2">
        <v>5</v>
      </c>
      <c r="E144" t="b">
        <v>0</v>
      </c>
      <c r="F144" s="2">
        <v>5</v>
      </c>
      <c r="G144" s="2">
        <v>3</v>
      </c>
      <c r="H144" s="23">
        <v>0.22</v>
      </c>
      <c r="I144" s="25">
        <v>0.2727</v>
      </c>
      <c r="J144" s="23">
        <v>0.55000000000000004</v>
      </c>
      <c r="K144" s="25">
        <v>0</v>
      </c>
      <c r="L144" s="2">
        <v>0</v>
      </c>
      <c r="M144" s="2">
        <v>5</v>
      </c>
      <c r="N144" s="2">
        <v>5</v>
      </c>
    </row>
    <row r="145" spans="1:14" x14ac:dyDescent="0.3">
      <c r="A145" s="2">
        <v>144</v>
      </c>
      <c r="B145" s="1">
        <v>40550</v>
      </c>
      <c r="C145" s="2">
        <v>1</v>
      </c>
      <c r="D145" s="2">
        <v>6</v>
      </c>
      <c r="E145" t="b">
        <v>0</v>
      </c>
      <c r="F145" s="2">
        <v>5</v>
      </c>
      <c r="G145" s="2">
        <v>2</v>
      </c>
      <c r="H145" s="23">
        <v>0.2</v>
      </c>
      <c r="I145" s="25">
        <v>0.2576</v>
      </c>
      <c r="J145" s="23">
        <v>0.69</v>
      </c>
      <c r="K145" s="25">
        <v>0</v>
      </c>
      <c r="L145" s="2">
        <v>8</v>
      </c>
      <c r="M145" s="2">
        <v>26</v>
      </c>
      <c r="N145" s="2">
        <v>34</v>
      </c>
    </row>
    <row r="146" spans="1:14" x14ac:dyDescent="0.3">
      <c r="A146" s="2">
        <v>145</v>
      </c>
      <c r="B146" s="1">
        <v>40550</v>
      </c>
      <c r="C146" s="2">
        <v>1</v>
      </c>
      <c r="D146" s="2">
        <v>7</v>
      </c>
      <c r="E146" t="b">
        <v>0</v>
      </c>
      <c r="F146" s="2">
        <v>5</v>
      </c>
      <c r="G146" s="2">
        <v>1</v>
      </c>
      <c r="H146" s="23">
        <v>0.2</v>
      </c>
      <c r="I146" s="25">
        <v>0.21210000000000001</v>
      </c>
      <c r="J146" s="23">
        <v>0.69</v>
      </c>
      <c r="K146" s="25">
        <v>0.1343</v>
      </c>
      <c r="L146" s="2">
        <v>8</v>
      </c>
      <c r="M146" s="2">
        <v>76</v>
      </c>
      <c r="N146" s="2">
        <v>84</v>
      </c>
    </row>
    <row r="147" spans="1:14" x14ac:dyDescent="0.3">
      <c r="A147" s="2">
        <v>146</v>
      </c>
      <c r="B147" s="1">
        <v>40550</v>
      </c>
      <c r="C147" s="2">
        <v>1</v>
      </c>
      <c r="D147" s="2">
        <v>8</v>
      </c>
      <c r="E147" t="b">
        <v>0</v>
      </c>
      <c r="F147" s="2">
        <v>5</v>
      </c>
      <c r="G147" s="2">
        <v>1</v>
      </c>
      <c r="H147" s="23">
        <v>0.2</v>
      </c>
      <c r="I147" s="25">
        <v>0.19700000000000001</v>
      </c>
      <c r="J147" s="23">
        <v>0.51</v>
      </c>
      <c r="K147" s="25">
        <v>0.25369999999999998</v>
      </c>
      <c r="L147" s="2">
        <v>20</v>
      </c>
      <c r="M147" s="2">
        <v>190</v>
      </c>
      <c r="N147" s="2">
        <v>210</v>
      </c>
    </row>
    <row r="148" spans="1:14" x14ac:dyDescent="0.3">
      <c r="A148" s="2">
        <v>147</v>
      </c>
      <c r="B148" s="1">
        <v>40550</v>
      </c>
      <c r="C148" s="2">
        <v>1</v>
      </c>
      <c r="D148" s="2">
        <v>9</v>
      </c>
      <c r="E148" t="b">
        <v>0</v>
      </c>
      <c r="F148" s="2">
        <v>5</v>
      </c>
      <c r="G148" s="2">
        <v>1</v>
      </c>
      <c r="H148" s="23">
        <v>0.2</v>
      </c>
      <c r="I148" s="25">
        <v>0.18179999999999999</v>
      </c>
      <c r="J148" s="23">
        <v>0.47</v>
      </c>
      <c r="K148" s="25">
        <v>0.29849999999999999</v>
      </c>
      <c r="L148" s="2">
        <v>9</v>
      </c>
      <c r="M148" s="2">
        <v>125</v>
      </c>
      <c r="N148" s="2">
        <v>134</v>
      </c>
    </row>
    <row r="149" spans="1:14" x14ac:dyDescent="0.3">
      <c r="A149" s="2">
        <v>148</v>
      </c>
      <c r="B149" s="1">
        <v>40550</v>
      </c>
      <c r="C149" s="2">
        <v>1</v>
      </c>
      <c r="D149" s="2">
        <v>10</v>
      </c>
      <c r="E149" t="b">
        <v>0</v>
      </c>
      <c r="F149" s="2">
        <v>5</v>
      </c>
      <c r="G149" s="2">
        <v>1</v>
      </c>
      <c r="H149" s="23">
        <v>0.22</v>
      </c>
      <c r="I149" s="25">
        <v>0.19700000000000001</v>
      </c>
      <c r="J149" s="23">
        <v>0.37</v>
      </c>
      <c r="K149" s="25">
        <v>0.32840000000000003</v>
      </c>
      <c r="L149" s="2">
        <v>16</v>
      </c>
      <c r="M149" s="2">
        <v>47</v>
      </c>
      <c r="N149" s="2">
        <v>63</v>
      </c>
    </row>
    <row r="150" spans="1:14" x14ac:dyDescent="0.3">
      <c r="A150" s="2">
        <v>149</v>
      </c>
      <c r="B150" s="1">
        <v>40550</v>
      </c>
      <c r="C150" s="2">
        <v>1</v>
      </c>
      <c r="D150" s="2">
        <v>11</v>
      </c>
      <c r="E150" t="b">
        <v>0</v>
      </c>
      <c r="F150" s="2">
        <v>5</v>
      </c>
      <c r="G150" s="2">
        <v>2</v>
      </c>
      <c r="H150" s="23">
        <v>0.2</v>
      </c>
      <c r="I150" s="25">
        <v>0.19700000000000001</v>
      </c>
      <c r="J150" s="23">
        <v>0.4</v>
      </c>
      <c r="K150" s="25">
        <v>0.22389999999999999</v>
      </c>
      <c r="L150" s="2">
        <v>19</v>
      </c>
      <c r="M150" s="2">
        <v>48</v>
      </c>
      <c r="N150" s="2">
        <v>67</v>
      </c>
    </row>
    <row r="151" spans="1:14" x14ac:dyDescent="0.3">
      <c r="A151" s="2">
        <v>150</v>
      </c>
      <c r="B151" s="1">
        <v>40550</v>
      </c>
      <c r="C151" s="2">
        <v>1</v>
      </c>
      <c r="D151" s="2">
        <v>12</v>
      </c>
      <c r="E151" t="b">
        <v>0</v>
      </c>
      <c r="F151" s="2">
        <v>5</v>
      </c>
      <c r="G151" s="2">
        <v>2</v>
      </c>
      <c r="H151" s="23">
        <v>0.2</v>
      </c>
      <c r="I151" s="25">
        <v>0.19700000000000001</v>
      </c>
      <c r="J151" s="23">
        <v>0.37</v>
      </c>
      <c r="K151" s="25">
        <v>0.25369999999999998</v>
      </c>
      <c r="L151" s="2">
        <v>9</v>
      </c>
      <c r="M151" s="2">
        <v>50</v>
      </c>
      <c r="N151" s="2">
        <v>59</v>
      </c>
    </row>
    <row r="152" spans="1:14" x14ac:dyDescent="0.3">
      <c r="A152" s="2">
        <v>151</v>
      </c>
      <c r="B152" s="1">
        <v>40550</v>
      </c>
      <c r="C152" s="2">
        <v>1</v>
      </c>
      <c r="D152" s="2">
        <v>13</v>
      </c>
      <c r="E152" t="b">
        <v>0</v>
      </c>
      <c r="F152" s="2">
        <v>5</v>
      </c>
      <c r="G152" s="2">
        <v>2</v>
      </c>
      <c r="H152" s="23">
        <v>0.2</v>
      </c>
      <c r="I152" s="25">
        <v>0.18179999999999999</v>
      </c>
      <c r="J152" s="23">
        <v>0.37</v>
      </c>
      <c r="K152" s="25">
        <v>0.28360000000000002</v>
      </c>
      <c r="L152" s="2">
        <v>9</v>
      </c>
      <c r="M152" s="2">
        <v>64</v>
      </c>
      <c r="N152" s="2">
        <v>73</v>
      </c>
    </row>
    <row r="153" spans="1:14" x14ac:dyDescent="0.3">
      <c r="A153" s="2">
        <v>152</v>
      </c>
      <c r="B153" s="1">
        <v>40550</v>
      </c>
      <c r="C153" s="2">
        <v>1</v>
      </c>
      <c r="D153" s="2">
        <v>14</v>
      </c>
      <c r="E153" t="b">
        <v>0</v>
      </c>
      <c r="F153" s="2">
        <v>5</v>
      </c>
      <c r="G153" s="2">
        <v>2</v>
      </c>
      <c r="H153" s="23">
        <v>0.2</v>
      </c>
      <c r="I153" s="25">
        <v>0.19700000000000001</v>
      </c>
      <c r="J153" s="23">
        <v>0.4</v>
      </c>
      <c r="K153" s="25">
        <v>0.25369999999999998</v>
      </c>
      <c r="L153" s="2">
        <v>7</v>
      </c>
      <c r="M153" s="2">
        <v>43</v>
      </c>
      <c r="N153" s="2">
        <v>50</v>
      </c>
    </row>
    <row r="154" spans="1:14" x14ac:dyDescent="0.3">
      <c r="A154" s="2">
        <v>153</v>
      </c>
      <c r="B154" s="1">
        <v>40550</v>
      </c>
      <c r="C154" s="2">
        <v>1</v>
      </c>
      <c r="D154" s="2">
        <v>15</v>
      </c>
      <c r="E154" t="b">
        <v>0</v>
      </c>
      <c r="F154" s="2">
        <v>5</v>
      </c>
      <c r="G154" s="2">
        <v>2</v>
      </c>
      <c r="H154" s="23">
        <v>0.2</v>
      </c>
      <c r="I154" s="25">
        <v>0.21210000000000001</v>
      </c>
      <c r="J154" s="23">
        <v>0.37</v>
      </c>
      <c r="K154" s="25">
        <v>0.16420000000000001</v>
      </c>
      <c r="L154" s="2">
        <v>9</v>
      </c>
      <c r="M154" s="2">
        <v>63</v>
      </c>
      <c r="N154" s="2">
        <v>72</v>
      </c>
    </row>
    <row r="155" spans="1:14" x14ac:dyDescent="0.3">
      <c r="A155" s="2">
        <v>154</v>
      </c>
      <c r="B155" s="1">
        <v>40550</v>
      </c>
      <c r="C155" s="2">
        <v>1</v>
      </c>
      <c r="D155" s="2">
        <v>16</v>
      </c>
      <c r="E155" t="b">
        <v>0</v>
      </c>
      <c r="F155" s="2">
        <v>5</v>
      </c>
      <c r="G155" s="2">
        <v>2</v>
      </c>
      <c r="H155" s="23">
        <v>0.2</v>
      </c>
      <c r="I155" s="25">
        <v>0.21210000000000001</v>
      </c>
      <c r="J155" s="23">
        <v>0.37</v>
      </c>
      <c r="K155" s="25">
        <v>0.16420000000000001</v>
      </c>
      <c r="L155" s="2">
        <v>5</v>
      </c>
      <c r="M155" s="2">
        <v>82</v>
      </c>
      <c r="N155" s="2">
        <v>87</v>
      </c>
    </row>
    <row r="156" spans="1:14" x14ac:dyDescent="0.3">
      <c r="A156" s="2">
        <v>155</v>
      </c>
      <c r="B156" s="1">
        <v>40550</v>
      </c>
      <c r="C156" s="2">
        <v>1</v>
      </c>
      <c r="D156" s="2">
        <v>17</v>
      </c>
      <c r="E156" t="b">
        <v>0</v>
      </c>
      <c r="F156" s="2">
        <v>5</v>
      </c>
      <c r="G156" s="2">
        <v>2</v>
      </c>
      <c r="H156" s="23">
        <v>0.2</v>
      </c>
      <c r="I156" s="25">
        <v>0.2576</v>
      </c>
      <c r="J156" s="23">
        <v>0.37</v>
      </c>
      <c r="K156" s="25">
        <v>0</v>
      </c>
      <c r="L156" s="2">
        <v>9</v>
      </c>
      <c r="M156" s="2">
        <v>178</v>
      </c>
      <c r="N156" s="2">
        <v>187</v>
      </c>
    </row>
    <row r="157" spans="1:14" x14ac:dyDescent="0.3">
      <c r="A157" s="2">
        <v>156</v>
      </c>
      <c r="B157" s="1">
        <v>40550</v>
      </c>
      <c r="C157" s="2">
        <v>1</v>
      </c>
      <c r="D157" s="2">
        <v>18</v>
      </c>
      <c r="E157" t="b">
        <v>0</v>
      </c>
      <c r="F157" s="2">
        <v>5</v>
      </c>
      <c r="G157" s="2">
        <v>1</v>
      </c>
      <c r="H157" s="23">
        <v>0.2</v>
      </c>
      <c r="I157" s="25">
        <v>0.2273</v>
      </c>
      <c r="J157" s="23">
        <v>0.4</v>
      </c>
      <c r="K157" s="25">
        <v>8.9599999999999999E-2</v>
      </c>
      <c r="L157" s="2">
        <v>7</v>
      </c>
      <c r="M157" s="2">
        <v>116</v>
      </c>
      <c r="N157" s="2">
        <v>123</v>
      </c>
    </row>
    <row r="158" spans="1:14" x14ac:dyDescent="0.3">
      <c r="A158" s="2">
        <v>157</v>
      </c>
      <c r="B158" s="1">
        <v>40550</v>
      </c>
      <c r="C158" s="2">
        <v>1</v>
      </c>
      <c r="D158" s="2">
        <v>19</v>
      </c>
      <c r="E158" t="b">
        <v>0</v>
      </c>
      <c r="F158" s="2">
        <v>5</v>
      </c>
      <c r="G158" s="2">
        <v>1</v>
      </c>
      <c r="H158" s="23">
        <v>0.16</v>
      </c>
      <c r="I158" s="25">
        <v>0.19700000000000001</v>
      </c>
      <c r="J158" s="23">
        <v>0.55000000000000004</v>
      </c>
      <c r="K158" s="25">
        <v>8.9599999999999999E-2</v>
      </c>
      <c r="L158" s="2">
        <v>3</v>
      </c>
      <c r="M158" s="2">
        <v>92</v>
      </c>
      <c r="N158" s="2">
        <v>95</v>
      </c>
    </row>
    <row r="159" spans="1:14" x14ac:dyDescent="0.3">
      <c r="A159" s="2">
        <v>158</v>
      </c>
      <c r="B159" s="1">
        <v>40550</v>
      </c>
      <c r="C159" s="2">
        <v>1</v>
      </c>
      <c r="D159" s="2">
        <v>20</v>
      </c>
      <c r="E159" t="b">
        <v>0</v>
      </c>
      <c r="F159" s="2">
        <v>5</v>
      </c>
      <c r="G159" s="2">
        <v>1</v>
      </c>
      <c r="H159" s="23">
        <v>0.18</v>
      </c>
      <c r="I159" s="25">
        <v>0.21210000000000001</v>
      </c>
      <c r="J159" s="23">
        <v>0.47</v>
      </c>
      <c r="K159" s="25">
        <v>0.1045</v>
      </c>
      <c r="L159" s="2">
        <v>1</v>
      </c>
      <c r="M159" s="2">
        <v>50</v>
      </c>
      <c r="N159" s="2">
        <v>51</v>
      </c>
    </row>
    <row r="160" spans="1:14" x14ac:dyDescent="0.3">
      <c r="A160" s="2">
        <v>159</v>
      </c>
      <c r="B160" s="1">
        <v>40550</v>
      </c>
      <c r="C160" s="2">
        <v>1</v>
      </c>
      <c r="D160" s="2">
        <v>21</v>
      </c>
      <c r="E160" t="b">
        <v>0</v>
      </c>
      <c r="F160" s="2">
        <v>5</v>
      </c>
      <c r="G160" s="2">
        <v>1</v>
      </c>
      <c r="H160" s="23">
        <v>0.18</v>
      </c>
      <c r="I160" s="25">
        <v>0.19700000000000001</v>
      </c>
      <c r="J160" s="23">
        <v>0.47</v>
      </c>
      <c r="K160" s="25">
        <v>0.1343</v>
      </c>
      <c r="L160" s="2">
        <v>0</v>
      </c>
      <c r="M160" s="2">
        <v>39</v>
      </c>
      <c r="N160" s="2">
        <v>39</v>
      </c>
    </row>
    <row r="161" spans="1:14" x14ac:dyDescent="0.3">
      <c r="A161" s="2">
        <v>160</v>
      </c>
      <c r="B161" s="1">
        <v>40550</v>
      </c>
      <c r="C161" s="2">
        <v>1</v>
      </c>
      <c r="D161" s="2">
        <v>22</v>
      </c>
      <c r="E161" t="b">
        <v>0</v>
      </c>
      <c r="F161" s="2">
        <v>5</v>
      </c>
      <c r="G161" s="2">
        <v>2</v>
      </c>
      <c r="H161" s="23">
        <v>0.18</v>
      </c>
      <c r="I161" s="25">
        <v>0.19700000000000001</v>
      </c>
      <c r="J161" s="23">
        <v>0.43</v>
      </c>
      <c r="K161" s="25">
        <v>0.16420000000000001</v>
      </c>
      <c r="L161" s="2">
        <v>2</v>
      </c>
      <c r="M161" s="2">
        <v>34</v>
      </c>
      <c r="N161" s="2">
        <v>36</v>
      </c>
    </row>
    <row r="162" spans="1:14" x14ac:dyDescent="0.3">
      <c r="A162" s="2">
        <v>161</v>
      </c>
      <c r="B162" s="1">
        <v>40550</v>
      </c>
      <c r="C162" s="2">
        <v>1</v>
      </c>
      <c r="D162" s="2">
        <v>23</v>
      </c>
      <c r="E162" t="b">
        <v>0</v>
      </c>
      <c r="F162" s="2">
        <v>5</v>
      </c>
      <c r="G162" s="2">
        <v>2</v>
      </c>
      <c r="H162" s="23">
        <v>0.18</v>
      </c>
      <c r="I162" s="25">
        <v>0.19700000000000001</v>
      </c>
      <c r="J162" s="23">
        <v>0.51</v>
      </c>
      <c r="K162" s="25">
        <v>0.16420000000000001</v>
      </c>
      <c r="L162" s="2">
        <v>1</v>
      </c>
      <c r="M162" s="2">
        <v>14</v>
      </c>
      <c r="N162" s="2">
        <v>15</v>
      </c>
    </row>
    <row r="163" spans="1:14" x14ac:dyDescent="0.3">
      <c r="A163" s="2">
        <v>162</v>
      </c>
      <c r="B163" s="1">
        <v>40551</v>
      </c>
      <c r="C163" s="2">
        <v>1</v>
      </c>
      <c r="D163" s="2">
        <v>0</v>
      </c>
      <c r="E163" t="b">
        <v>0</v>
      </c>
      <c r="F163" s="2">
        <v>6</v>
      </c>
      <c r="G163" s="2">
        <v>2</v>
      </c>
      <c r="H163" s="23">
        <v>0.18</v>
      </c>
      <c r="I163" s="25">
        <v>0.19700000000000001</v>
      </c>
      <c r="J163" s="23">
        <v>0.51</v>
      </c>
      <c r="K163" s="25">
        <v>0.16420000000000001</v>
      </c>
      <c r="L163" s="2">
        <v>1</v>
      </c>
      <c r="M163" s="2">
        <v>24</v>
      </c>
      <c r="N163" s="2">
        <v>25</v>
      </c>
    </row>
    <row r="164" spans="1:14" x14ac:dyDescent="0.3">
      <c r="A164" s="2">
        <v>163</v>
      </c>
      <c r="B164" s="1">
        <v>40551</v>
      </c>
      <c r="C164" s="2">
        <v>1</v>
      </c>
      <c r="D164" s="2">
        <v>1</v>
      </c>
      <c r="E164" t="b">
        <v>0</v>
      </c>
      <c r="F164" s="2">
        <v>6</v>
      </c>
      <c r="G164" s="2">
        <v>2</v>
      </c>
      <c r="H164" s="23">
        <v>0.18</v>
      </c>
      <c r="I164" s="25">
        <v>0.21210000000000001</v>
      </c>
      <c r="J164" s="23">
        <v>0.55000000000000004</v>
      </c>
      <c r="K164" s="25">
        <v>8.9599999999999999E-2</v>
      </c>
      <c r="L164" s="2">
        <v>1</v>
      </c>
      <c r="M164" s="2">
        <v>15</v>
      </c>
      <c r="N164" s="2">
        <v>16</v>
      </c>
    </row>
    <row r="165" spans="1:14" x14ac:dyDescent="0.3">
      <c r="A165" s="2">
        <v>164</v>
      </c>
      <c r="B165" s="1">
        <v>40551</v>
      </c>
      <c r="C165" s="2">
        <v>1</v>
      </c>
      <c r="D165" s="2">
        <v>2</v>
      </c>
      <c r="E165" t="b">
        <v>0</v>
      </c>
      <c r="F165" s="2">
        <v>6</v>
      </c>
      <c r="G165" s="2">
        <v>2</v>
      </c>
      <c r="H165" s="23">
        <v>0.18</v>
      </c>
      <c r="I165" s="25">
        <v>0.2424</v>
      </c>
      <c r="J165" s="23">
        <v>0.55000000000000004</v>
      </c>
      <c r="K165" s="25">
        <v>0</v>
      </c>
      <c r="L165" s="2">
        <v>3</v>
      </c>
      <c r="M165" s="2">
        <v>13</v>
      </c>
      <c r="N165" s="2">
        <v>16</v>
      </c>
    </row>
    <row r="166" spans="1:14" x14ac:dyDescent="0.3">
      <c r="A166" s="2">
        <v>165</v>
      </c>
      <c r="B166" s="1">
        <v>40551</v>
      </c>
      <c r="C166" s="2">
        <v>1</v>
      </c>
      <c r="D166" s="2">
        <v>3</v>
      </c>
      <c r="E166" t="b">
        <v>0</v>
      </c>
      <c r="F166" s="2">
        <v>6</v>
      </c>
      <c r="G166" s="2">
        <v>3</v>
      </c>
      <c r="H166" s="23">
        <v>0.18</v>
      </c>
      <c r="I166" s="25">
        <v>0.19700000000000001</v>
      </c>
      <c r="J166" s="23">
        <v>0.55000000000000004</v>
      </c>
      <c r="K166" s="25">
        <v>0.16420000000000001</v>
      </c>
      <c r="L166" s="2">
        <v>0</v>
      </c>
      <c r="M166" s="2">
        <v>7</v>
      </c>
      <c r="N166" s="2">
        <v>7</v>
      </c>
    </row>
    <row r="167" spans="1:14" x14ac:dyDescent="0.3">
      <c r="A167" s="2">
        <v>166</v>
      </c>
      <c r="B167" s="1">
        <v>40551</v>
      </c>
      <c r="C167" s="2">
        <v>1</v>
      </c>
      <c r="D167" s="2">
        <v>4</v>
      </c>
      <c r="E167" t="b">
        <v>0</v>
      </c>
      <c r="F167" s="2">
        <v>6</v>
      </c>
      <c r="G167" s="2">
        <v>3</v>
      </c>
      <c r="H167" s="23">
        <v>0.18</v>
      </c>
      <c r="I167" s="25">
        <v>0.19700000000000001</v>
      </c>
      <c r="J167" s="23">
        <v>0.55000000000000004</v>
      </c>
      <c r="K167" s="25">
        <v>0.16420000000000001</v>
      </c>
      <c r="L167" s="2">
        <v>0</v>
      </c>
      <c r="M167" s="2">
        <v>1</v>
      </c>
      <c r="N167" s="2">
        <v>1</v>
      </c>
    </row>
    <row r="168" spans="1:14" x14ac:dyDescent="0.3">
      <c r="A168" s="2">
        <v>167</v>
      </c>
      <c r="B168" s="1">
        <v>40551</v>
      </c>
      <c r="C168" s="2">
        <v>1</v>
      </c>
      <c r="D168" s="2">
        <v>5</v>
      </c>
      <c r="E168" t="b">
        <v>0</v>
      </c>
      <c r="F168" s="2">
        <v>6</v>
      </c>
      <c r="G168" s="2">
        <v>2</v>
      </c>
      <c r="H168" s="23">
        <v>0.16</v>
      </c>
      <c r="I168" s="25">
        <v>0.16669999999999999</v>
      </c>
      <c r="J168" s="23">
        <v>0.74</v>
      </c>
      <c r="K168" s="25">
        <v>0.16420000000000001</v>
      </c>
      <c r="L168" s="2">
        <v>0</v>
      </c>
      <c r="M168" s="2">
        <v>5</v>
      </c>
      <c r="N168" s="2">
        <v>5</v>
      </c>
    </row>
    <row r="169" spans="1:14" x14ac:dyDescent="0.3">
      <c r="A169" s="2">
        <v>168</v>
      </c>
      <c r="B169" s="1">
        <v>40551</v>
      </c>
      <c r="C169" s="2">
        <v>1</v>
      </c>
      <c r="D169" s="2">
        <v>6</v>
      </c>
      <c r="E169" t="b">
        <v>0</v>
      </c>
      <c r="F169" s="2">
        <v>6</v>
      </c>
      <c r="G169" s="2">
        <v>2</v>
      </c>
      <c r="H169" s="23">
        <v>0.16</v>
      </c>
      <c r="I169" s="25">
        <v>0.16669999999999999</v>
      </c>
      <c r="J169" s="23">
        <v>0.74</v>
      </c>
      <c r="K169" s="25">
        <v>0.16420000000000001</v>
      </c>
      <c r="L169" s="2">
        <v>0</v>
      </c>
      <c r="M169" s="2">
        <v>2</v>
      </c>
      <c r="N169" s="2">
        <v>2</v>
      </c>
    </row>
    <row r="170" spans="1:14" x14ac:dyDescent="0.3">
      <c r="A170" s="2">
        <v>169</v>
      </c>
      <c r="B170" s="1">
        <v>40551</v>
      </c>
      <c r="C170" s="2">
        <v>1</v>
      </c>
      <c r="D170" s="2">
        <v>7</v>
      </c>
      <c r="E170" t="b">
        <v>0</v>
      </c>
      <c r="F170" s="2">
        <v>6</v>
      </c>
      <c r="G170" s="2">
        <v>2</v>
      </c>
      <c r="H170" s="23">
        <v>0.16</v>
      </c>
      <c r="I170" s="25">
        <v>0.18179999999999999</v>
      </c>
      <c r="J170" s="23">
        <v>0.74</v>
      </c>
      <c r="K170" s="25">
        <v>0.1045</v>
      </c>
      <c r="L170" s="2">
        <v>1</v>
      </c>
      <c r="M170" s="2">
        <v>8</v>
      </c>
      <c r="N170" s="2">
        <v>9</v>
      </c>
    </row>
    <row r="171" spans="1:14" x14ac:dyDescent="0.3">
      <c r="A171" s="2">
        <v>170</v>
      </c>
      <c r="B171" s="1">
        <v>40551</v>
      </c>
      <c r="C171" s="2">
        <v>1</v>
      </c>
      <c r="D171" s="2">
        <v>8</v>
      </c>
      <c r="E171" t="b">
        <v>0</v>
      </c>
      <c r="F171" s="2">
        <v>6</v>
      </c>
      <c r="G171" s="2">
        <v>3</v>
      </c>
      <c r="H171" s="23">
        <v>0.16</v>
      </c>
      <c r="I171" s="25">
        <v>0.18179999999999999</v>
      </c>
      <c r="J171" s="23">
        <v>0.93</v>
      </c>
      <c r="K171" s="25">
        <v>0.1045</v>
      </c>
      <c r="L171" s="2">
        <v>0</v>
      </c>
      <c r="M171" s="2">
        <v>15</v>
      </c>
      <c r="N171" s="2">
        <v>15</v>
      </c>
    </row>
    <row r="172" spans="1:14" x14ac:dyDescent="0.3">
      <c r="A172" s="2">
        <v>171</v>
      </c>
      <c r="B172" s="1">
        <v>40551</v>
      </c>
      <c r="C172" s="2">
        <v>1</v>
      </c>
      <c r="D172" s="2">
        <v>9</v>
      </c>
      <c r="E172" t="b">
        <v>0</v>
      </c>
      <c r="F172" s="2">
        <v>6</v>
      </c>
      <c r="G172" s="2">
        <v>3</v>
      </c>
      <c r="H172" s="23">
        <v>0.16</v>
      </c>
      <c r="I172" s="25">
        <v>0.18179999999999999</v>
      </c>
      <c r="J172" s="23">
        <v>0.93</v>
      </c>
      <c r="K172" s="25">
        <v>0.1045</v>
      </c>
      <c r="L172" s="2">
        <v>0</v>
      </c>
      <c r="M172" s="2">
        <v>20</v>
      </c>
      <c r="N172" s="2">
        <v>20</v>
      </c>
    </row>
    <row r="173" spans="1:14" x14ac:dyDescent="0.3">
      <c r="A173" s="2">
        <v>172</v>
      </c>
      <c r="B173" s="1">
        <v>40551</v>
      </c>
      <c r="C173" s="2">
        <v>1</v>
      </c>
      <c r="D173" s="2">
        <v>10</v>
      </c>
      <c r="E173" t="b">
        <v>0</v>
      </c>
      <c r="F173" s="2">
        <v>6</v>
      </c>
      <c r="G173" s="2">
        <v>2</v>
      </c>
      <c r="H173" s="23">
        <v>0.18</v>
      </c>
      <c r="I173" s="25">
        <v>0.19700000000000001</v>
      </c>
      <c r="J173" s="23">
        <v>0.8</v>
      </c>
      <c r="K173" s="25">
        <v>0.16420000000000001</v>
      </c>
      <c r="L173" s="2">
        <v>5</v>
      </c>
      <c r="M173" s="2">
        <v>56</v>
      </c>
      <c r="N173" s="2">
        <v>61</v>
      </c>
    </row>
    <row r="174" spans="1:14" x14ac:dyDescent="0.3">
      <c r="A174" s="2">
        <v>173</v>
      </c>
      <c r="B174" s="1">
        <v>40551</v>
      </c>
      <c r="C174" s="2">
        <v>1</v>
      </c>
      <c r="D174" s="2">
        <v>11</v>
      </c>
      <c r="E174" t="b">
        <v>0</v>
      </c>
      <c r="F174" s="2">
        <v>6</v>
      </c>
      <c r="G174" s="2">
        <v>2</v>
      </c>
      <c r="H174" s="23">
        <v>0.2</v>
      </c>
      <c r="I174" s="25">
        <v>0.18179999999999999</v>
      </c>
      <c r="J174" s="23">
        <v>0.69</v>
      </c>
      <c r="K174" s="25">
        <v>0.3881</v>
      </c>
      <c r="L174" s="2">
        <v>2</v>
      </c>
      <c r="M174" s="2">
        <v>60</v>
      </c>
      <c r="N174" s="2">
        <v>62</v>
      </c>
    </row>
    <row r="175" spans="1:14" x14ac:dyDescent="0.3">
      <c r="A175" s="2">
        <v>174</v>
      </c>
      <c r="B175" s="1">
        <v>40551</v>
      </c>
      <c r="C175" s="2">
        <v>1</v>
      </c>
      <c r="D175" s="2">
        <v>12</v>
      </c>
      <c r="E175" t="b">
        <v>0</v>
      </c>
      <c r="F175" s="2">
        <v>6</v>
      </c>
      <c r="G175" s="2">
        <v>2</v>
      </c>
      <c r="H175" s="23">
        <v>0.2</v>
      </c>
      <c r="I175" s="25">
        <v>0.18179999999999999</v>
      </c>
      <c r="J175" s="23">
        <v>0.59</v>
      </c>
      <c r="K175" s="25">
        <v>0.35820000000000002</v>
      </c>
      <c r="L175" s="2">
        <v>8</v>
      </c>
      <c r="M175" s="2">
        <v>90</v>
      </c>
      <c r="N175" s="2">
        <v>98</v>
      </c>
    </row>
    <row r="176" spans="1:14" x14ac:dyDescent="0.3">
      <c r="A176" s="2">
        <v>175</v>
      </c>
      <c r="B176" s="1">
        <v>40551</v>
      </c>
      <c r="C176" s="2">
        <v>1</v>
      </c>
      <c r="D176" s="2">
        <v>13</v>
      </c>
      <c r="E176" t="b">
        <v>0</v>
      </c>
      <c r="F176" s="2">
        <v>6</v>
      </c>
      <c r="G176" s="2">
        <v>1</v>
      </c>
      <c r="H176" s="23">
        <v>0.2</v>
      </c>
      <c r="I176" s="25">
        <v>0.18179999999999999</v>
      </c>
      <c r="J176" s="23">
        <v>0.44</v>
      </c>
      <c r="K176" s="25">
        <v>0.32840000000000003</v>
      </c>
      <c r="L176" s="2">
        <v>7</v>
      </c>
      <c r="M176" s="2">
        <v>95</v>
      </c>
      <c r="N176" s="2">
        <v>102</v>
      </c>
    </row>
    <row r="177" spans="1:14" x14ac:dyDescent="0.3">
      <c r="A177" s="2">
        <v>176</v>
      </c>
      <c r="B177" s="1">
        <v>40551</v>
      </c>
      <c r="C177" s="2">
        <v>1</v>
      </c>
      <c r="D177" s="2">
        <v>14</v>
      </c>
      <c r="E177" t="b">
        <v>0</v>
      </c>
      <c r="F177" s="2">
        <v>6</v>
      </c>
      <c r="G177" s="2">
        <v>1</v>
      </c>
      <c r="H177" s="23">
        <v>0.2</v>
      </c>
      <c r="I177" s="25">
        <v>0.16669999999999999</v>
      </c>
      <c r="J177" s="23">
        <v>0.32</v>
      </c>
      <c r="K177" s="25">
        <v>0.49249999999999999</v>
      </c>
      <c r="L177" s="2">
        <v>12</v>
      </c>
      <c r="M177" s="2">
        <v>83</v>
      </c>
      <c r="N177" s="2">
        <v>95</v>
      </c>
    </row>
    <row r="178" spans="1:14" x14ac:dyDescent="0.3">
      <c r="A178" s="2">
        <v>177</v>
      </c>
      <c r="B178" s="1">
        <v>40551</v>
      </c>
      <c r="C178" s="2">
        <v>1</v>
      </c>
      <c r="D178" s="2">
        <v>15</v>
      </c>
      <c r="E178" t="b">
        <v>0</v>
      </c>
      <c r="F178" s="2">
        <v>6</v>
      </c>
      <c r="G178" s="2">
        <v>1</v>
      </c>
      <c r="H178" s="23">
        <v>0.2</v>
      </c>
      <c r="I178" s="25">
        <v>0.16669999999999999</v>
      </c>
      <c r="J178" s="23">
        <v>0.32</v>
      </c>
      <c r="K178" s="25">
        <v>0.44779999999999998</v>
      </c>
      <c r="L178" s="2">
        <v>5</v>
      </c>
      <c r="M178" s="2">
        <v>69</v>
      </c>
      <c r="N178" s="2">
        <v>74</v>
      </c>
    </row>
    <row r="179" spans="1:14" x14ac:dyDescent="0.3">
      <c r="A179" s="2">
        <v>178</v>
      </c>
      <c r="B179" s="1">
        <v>40551</v>
      </c>
      <c r="C179" s="2">
        <v>1</v>
      </c>
      <c r="D179" s="2">
        <v>16</v>
      </c>
      <c r="E179" t="b">
        <v>0</v>
      </c>
      <c r="F179" s="2">
        <v>6</v>
      </c>
      <c r="G179" s="2">
        <v>1</v>
      </c>
      <c r="H179" s="23">
        <v>0.18</v>
      </c>
      <c r="I179" s="25">
        <v>0.13639999999999999</v>
      </c>
      <c r="J179" s="23">
        <v>0.28999999999999998</v>
      </c>
      <c r="K179" s="25">
        <v>0.44779999999999998</v>
      </c>
      <c r="L179" s="2">
        <v>8</v>
      </c>
      <c r="M179" s="2">
        <v>68</v>
      </c>
      <c r="N179" s="2">
        <v>76</v>
      </c>
    </row>
    <row r="180" spans="1:14" x14ac:dyDescent="0.3">
      <c r="A180" s="2">
        <v>179</v>
      </c>
      <c r="B180" s="1">
        <v>40551</v>
      </c>
      <c r="C180" s="2">
        <v>1</v>
      </c>
      <c r="D180" s="2">
        <v>17</v>
      </c>
      <c r="E180" t="b">
        <v>0</v>
      </c>
      <c r="F180" s="2">
        <v>6</v>
      </c>
      <c r="G180" s="2">
        <v>1</v>
      </c>
      <c r="H180" s="23">
        <v>0.16</v>
      </c>
      <c r="I180" s="25">
        <v>0.1212</v>
      </c>
      <c r="J180" s="23">
        <v>0.37</v>
      </c>
      <c r="K180" s="25">
        <v>0.55220000000000002</v>
      </c>
      <c r="L180" s="2">
        <v>5</v>
      </c>
      <c r="M180" s="2">
        <v>64</v>
      </c>
      <c r="N180" s="2">
        <v>69</v>
      </c>
    </row>
    <row r="181" spans="1:14" x14ac:dyDescent="0.3">
      <c r="A181" s="2">
        <v>180</v>
      </c>
      <c r="B181" s="1">
        <v>40551</v>
      </c>
      <c r="C181" s="2">
        <v>1</v>
      </c>
      <c r="D181" s="2">
        <v>18</v>
      </c>
      <c r="E181" t="b">
        <v>0</v>
      </c>
      <c r="F181" s="2">
        <v>6</v>
      </c>
      <c r="G181" s="2">
        <v>1</v>
      </c>
      <c r="H181" s="23">
        <v>0.14000000000000001</v>
      </c>
      <c r="I181" s="25">
        <v>0.1212</v>
      </c>
      <c r="J181" s="23">
        <v>0.39</v>
      </c>
      <c r="K181" s="25">
        <v>0.29849999999999999</v>
      </c>
      <c r="L181" s="2">
        <v>3</v>
      </c>
      <c r="M181" s="2">
        <v>52</v>
      </c>
      <c r="N181" s="2">
        <v>55</v>
      </c>
    </row>
    <row r="182" spans="1:14" x14ac:dyDescent="0.3">
      <c r="A182" s="2">
        <v>181</v>
      </c>
      <c r="B182" s="1">
        <v>40551</v>
      </c>
      <c r="C182" s="2">
        <v>1</v>
      </c>
      <c r="D182" s="2">
        <v>19</v>
      </c>
      <c r="E182" t="b">
        <v>0</v>
      </c>
      <c r="F182" s="2">
        <v>6</v>
      </c>
      <c r="G182" s="2">
        <v>1</v>
      </c>
      <c r="H182" s="23">
        <v>0.14000000000000001</v>
      </c>
      <c r="I182" s="25">
        <v>0.1212</v>
      </c>
      <c r="J182" s="23">
        <v>0.36</v>
      </c>
      <c r="K182" s="25">
        <v>0.25369999999999998</v>
      </c>
      <c r="L182" s="2">
        <v>4</v>
      </c>
      <c r="M182" s="2">
        <v>26</v>
      </c>
      <c r="N182" s="2">
        <v>30</v>
      </c>
    </row>
    <row r="183" spans="1:14" x14ac:dyDescent="0.3">
      <c r="A183" s="2">
        <v>182</v>
      </c>
      <c r="B183" s="1">
        <v>40551</v>
      </c>
      <c r="C183" s="2">
        <v>1</v>
      </c>
      <c r="D183" s="2">
        <v>20</v>
      </c>
      <c r="E183" t="b">
        <v>0</v>
      </c>
      <c r="F183" s="2">
        <v>6</v>
      </c>
      <c r="G183" s="2">
        <v>1</v>
      </c>
      <c r="H183" s="23">
        <v>0.12</v>
      </c>
      <c r="I183" s="25">
        <v>0.1212</v>
      </c>
      <c r="J183" s="23">
        <v>0.36</v>
      </c>
      <c r="K183" s="25">
        <v>0.25369999999999998</v>
      </c>
      <c r="L183" s="2">
        <v>0</v>
      </c>
      <c r="M183" s="2">
        <v>28</v>
      </c>
      <c r="N183" s="2">
        <v>28</v>
      </c>
    </row>
    <row r="184" spans="1:14" x14ac:dyDescent="0.3">
      <c r="A184" s="2">
        <v>183</v>
      </c>
      <c r="B184" s="1">
        <v>40551</v>
      </c>
      <c r="C184" s="2">
        <v>1</v>
      </c>
      <c r="D184" s="2">
        <v>21</v>
      </c>
      <c r="E184" t="b">
        <v>0</v>
      </c>
      <c r="F184" s="2">
        <v>6</v>
      </c>
      <c r="G184" s="2">
        <v>1</v>
      </c>
      <c r="H184" s="23">
        <v>0.12</v>
      </c>
      <c r="I184" s="25">
        <v>0.1061</v>
      </c>
      <c r="J184" s="23">
        <v>0.39</v>
      </c>
      <c r="K184" s="25">
        <v>0.35820000000000002</v>
      </c>
      <c r="L184" s="2">
        <v>2</v>
      </c>
      <c r="M184" s="2">
        <v>35</v>
      </c>
      <c r="N184" s="2">
        <v>37</v>
      </c>
    </row>
    <row r="185" spans="1:14" x14ac:dyDescent="0.3">
      <c r="A185" s="2">
        <v>184</v>
      </c>
      <c r="B185" s="1">
        <v>40551</v>
      </c>
      <c r="C185" s="2">
        <v>1</v>
      </c>
      <c r="D185" s="2">
        <v>22</v>
      </c>
      <c r="E185" t="b">
        <v>0</v>
      </c>
      <c r="F185" s="2">
        <v>6</v>
      </c>
      <c r="G185" s="2">
        <v>1</v>
      </c>
      <c r="H185" s="23">
        <v>0.12</v>
      </c>
      <c r="I185" s="25">
        <v>0.1061</v>
      </c>
      <c r="J185" s="23">
        <v>0.36</v>
      </c>
      <c r="K185" s="25">
        <v>0.3881</v>
      </c>
      <c r="L185" s="2">
        <v>1</v>
      </c>
      <c r="M185" s="2">
        <v>33</v>
      </c>
      <c r="N185" s="2">
        <v>34</v>
      </c>
    </row>
    <row r="186" spans="1:14" x14ac:dyDescent="0.3">
      <c r="A186" s="2">
        <v>185</v>
      </c>
      <c r="B186" s="1">
        <v>40551</v>
      </c>
      <c r="C186" s="2">
        <v>1</v>
      </c>
      <c r="D186" s="2">
        <v>23</v>
      </c>
      <c r="E186" t="b">
        <v>0</v>
      </c>
      <c r="F186" s="2">
        <v>6</v>
      </c>
      <c r="G186" s="2">
        <v>1</v>
      </c>
      <c r="H186" s="23">
        <v>0.1</v>
      </c>
      <c r="I186" s="25">
        <v>6.0600000000000001E-2</v>
      </c>
      <c r="J186" s="23">
        <v>0.39</v>
      </c>
      <c r="K186" s="25">
        <v>0.44779999999999998</v>
      </c>
      <c r="L186" s="2">
        <v>0</v>
      </c>
      <c r="M186" s="2">
        <v>22</v>
      </c>
      <c r="N186" s="2">
        <v>22</v>
      </c>
    </row>
    <row r="187" spans="1:14" x14ac:dyDescent="0.3">
      <c r="A187" s="2">
        <v>186</v>
      </c>
      <c r="B187" s="1">
        <v>40552</v>
      </c>
      <c r="C187" s="2">
        <v>1</v>
      </c>
      <c r="D187" s="2">
        <v>0</v>
      </c>
      <c r="E187" t="b">
        <v>0</v>
      </c>
      <c r="F187" s="2">
        <v>0</v>
      </c>
      <c r="G187" s="2">
        <v>1</v>
      </c>
      <c r="H187" s="23">
        <v>0.1</v>
      </c>
      <c r="I187" s="25">
        <v>7.5800000000000006E-2</v>
      </c>
      <c r="J187" s="23">
        <v>0.42</v>
      </c>
      <c r="K187" s="25">
        <v>0.3881</v>
      </c>
      <c r="L187" s="2">
        <v>1</v>
      </c>
      <c r="M187" s="2">
        <v>24</v>
      </c>
      <c r="N187" s="2">
        <v>25</v>
      </c>
    </row>
    <row r="188" spans="1:14" x14ac:dyDescent="0.3">
      <c r="A188" s="2">
        <v>187</v>
      </c>
      <c r="B188" s="1">
        <v>40552</v>
      </c>
      <c r="C188" s="2">
        <v>1</v>
      </c>
      <c r="D188" s="2">
        <v>1</v>
      </c>
      <c r="E188" t="b">
        <v>0</v>
      </c>
      <c r="F188" s="2">
        <v>0</v>
      </c>
      <c r="G188" s="2">
        <v>1</v>
      </c>
      <c r="H188" s="23">
        <v>0.1</v>
      </c>
      <c r="I188" s="25">
        <v>6.0600000000000001E-2</v>
      </c>
      <c r="J188" s="23">
        <v>0.42</v>
      </c>
      <c r="K188" s="25">
        <v>0.4627</v>
      </c>
      <c r="L188" s="2">
        <v>0</v>
      </c>
      <c r="M188" s="2">
        <v>12</v>
      </c>
      <c r="N188" s="2">
        <v>12</v>
      </c>
    </row>
    <row r="189" spans="1:14" x14ac:dyDescent="0.3">
      <c r="A189" s="2">
        <v>188</v>
      </c>
      <c r="B189" s="1">
        <v>40552</v>
      </c>
      <c r="C189" s="2">
        <v>1</v>
      </c>
      <c r="D189" s="2">
        <v>2</v>
      </c>
      <c r="E189" t="b">
        <v>0</v>
      </c>
      <c r="F189" s="2">
        <v>0</v>
      </c>
      <c r="G189" s="2">
        <v>1</v>
      </c>
      <c r="H189" s="23">
        <v>0.1</v>
      </c>
      <c r="I189" s="25">
        <v>6.0600000000000001E-2</v>
      </c>
      <c r="J189" s="23">
        <v>0.46</v>
      </c>
      <c r="K189" s="25">
        <v>0.4627</v>
      </c>
      <c r="L189" s="2">
        <v>0</v>
      </c>
      <c r="M189" s="2">
        <v>11</v>
      </c>
      <c r="N189" s="2">
        <v>11</v>
      </c>
    </row>
    <row r="190" spans="1:14" x14ac:dyDescent="0.3">
      <c r="A190" s="2">
        <v>189</v>
      </c>
      <c r="B190" s="1">
        <v>40552</v>
      </c>
      <c r="C190" s="2">
        <v>1</v>
      </c>
      <c r="D190" s="2">
        <v>3</v>
      </c>
      <c r="E190" t="b">
        <v>0</v>
      </c>
      <c r="F190" s="2">
        <v>0</v>
      </c>
      <c r="G190" s="2">
        <v>1</v>
      </c>
      <c r="H190" s="23">
        <v>0.1</v>
      </c>
      <c r="I190" s="25">
        <v>7.5800000000000006E-2</v>
      </c>
      <c r="J190" s="23">
        <v>0.46</v>
      </c>
      <c r="K190" s="25">
        <v>0.41789999999999999</v>
      </c>
      <c r="L190" s="2">
        <v>0</v>
      </c>
      <c r="M190" s="2">
        <v>4</v>
      </c>
      <c r="N190" s="2">
        <v>4</v>
      </c>
    </row>
    <row r="191" spans="1:14" x14ac:dyDescent="0.3">
      <c r="A191" s="2">
        <v>190</v>
      </c>
      <c r="B191" s="1">
        <v>40552</v>
      </c>
      <c r="C191" s="2">
        <v>1</v>
      </c>
      <c r="D191" s="2">
        <v>4</v>
      </c>
      <c r="E191" t="b">
        <v>0</v>
      </c>
      <c r="F191" s="2">
        <v>0</v>
      </c>
      <c r="G191" s="2">
        <v>1</v>
      </c>
      <c r="H191" s="23">
        <v>0.08</v>
      </c>
      <c r="I191" s="25">
        <v>9.0899999999999995E-2</v>
      </c>
      <c r="J191" s="23">
        <v>0.53</v>
      </c>
      <c r="K191" s="25">
        <v>0.19400000000000001</v>
      </c>
      <c r="L191" s="2">
        <v>0</v>
      </c>
      <c r="M191" s="2">
        <v>1</v>
      </c>
      <c r="N191" s="2">
        <v>1</v>
      </c>
    </row>
    <row r="192" spans="1:14" x14ac:dyDescent="0.3">
      <c r="A192" s="2">
        <v>191</v>
      </c>
      <c r="B192" s="1">
        <v>40552</v>
      </c>
      <c r="C192" s="2">
        <v>1</v>
      </c>
      <c r="D192" s="2">
        <v>5</v>
      </c>
      <c r="E192" t="b">
        <v>0</v>
      </c>
      <c r="F192" s="2">
        <v>0</v>
      </c>
      <c r="G192" s="2">
        <v>1</v>
      </c>
      <c r="H192" s="23">
        <v>0.08</v>
      </c>
      <c r="I192" s="25">
        <v>9.0899999999999995E-2</v>
      </c>
      <c r="J192" s="23">
        <v>0.53</v>
      </c>
      <c r="K192" s="25">
        <v>0.19400000000000001</v>
      </c>
      <c r="L192" s="2">
        <v>0</v>
      </c>
      <c r="M192" s="2">
        <v>1</v>
      </c>
      <c r="N192" s="2">
        <v>1</v>
      </c>
    </row>
    <row r="193" spans="1:14" x14ac:dyDescent="0.3">
      <c r="A193" s="2">
        <v>192</v>
      </c>
      <c r="B193" s="1">
        <v>40552</v>
      </c>
      <c r="C193" s="2">
        <v>1</v>
      </c>
      <c r="D193" s="2">
        <v>6</v>
      </c>
      <c r="E193" t="b">
        <v>0</v>
      </c>
      <c r="F193" s="2">
        <v>0</v>
      </c>
      <c r="G193" s="2">
        <v>1</v>
      </c>
      <c r="H193" s="23">
        <v>0.1</v>
      </c>
      <c r="I193" s="25">
        <v>9.0899999999999995E-2</v>
      </c>
      <c r="J193" s="23">
        <v>0.49</v>
      </c>
      <c r="K193" s="25">
        <v>0.28360000000000002</v>
      </c>
      <c r="L193" s="2">
        <v>0</v>
      </c>
      <c r="M193" s="2">
        <v>1</v>
      </c>
      <c r="N193" s="2">
        <v>1</v>
      </c>
    </row>
    <row r="194" spans="1:14" x14ac:dyDescent="0.3">
      <c r="A194" s="2">
        <v>193</v>
      </c>
      <c r="B194" s="1">
        <v>40552</v>
      </c>
      <c r="C194" s="2">
        <v>1</v>
      </c>
      <c r="D194" s="2">
        <v>7</v>
      </c>
      <c r="E194" t="b">
        <v>0</v>
      </c>
      <c r="F194" s="2">
        <v>0</v>
      </c>
      <c r="G194" s="2">
        <v>1</v>
      </c>
      <c r="H194" s="23">
        <v>0.08</v>
      </c>
      <c r="I194" s="25">
        <v>9.0899999999999995E-2</v>
      </c>
      <c r="J194" s="23">
        <v>0.53</v>
      </c>
      <c r="K194" s="25">
        <v>0.19400000000000001</v>
      </c>
      <c r="L194" s="2">
        <v>1</v>
      </c>
      <c r="M194" s="2">
        <v>5</v>
      </c>
      <c r="N194" s="2">
        <v>6</v>
      </c>
    </row>
    <row r="195" spans="1:14" x14ac:dyDescent="0.3">
      <c r="A195" s="2">
        <v>194</v>
      </c>
      <c r="B195" s="1">
        <v>40552</v>
      </c>
      <c r="C195" s="2">
        <v>1</v>
      </c>
      <c r="D195" s="2">
        <v>8</v>
      </c>
      <c r="E195" t="b">
        <v>0</v>
      </c>
      <c r="F195" s="2">
        <v>0</v>
      </c>
      <c r="G195" s="2">
        <v>1</v>
      </c>
      <c r="H195" s="23">
        <v>0.1</v>
      </c>
      <c r="I195" s="25">
        <v>9.0899999999999995E-2</v>
      </c>
      <c r="J195" s="23">
        <v>0.49</v>
      </c>
      <c r="K195" s="25">
        <v>0.28360000000000002</v>
      </c>
      <c r="L195" s="2">
        <v>0</v>
      </c>
      <c r="M195" s="2">
        <v>10</v>
      </c>
      <c r="N195" s="2">
        <v>10</v>
      </c>
    </row>
    <row r="196" spans="1:14" x14ac:dyDescent="0.3">
      <c r="A196" s="2">
        <v>195</v>
      </c>
      <c r="B196" s="1">
        <v>40552</v>
      </c>
      <c r="C196" s="2">
        <v>1</v>
      </c>
      <c r="D196" s="2">
        <v>9</v>
      </c>
      <c r="E196" t="b">
        <v>0</v>
      </c>
      <c r="F196" s="2">
        <v>0</v>
      </c>
      <c r="G196" s="2">
        <v>1</v>
      </c>
      <c r="H196" s="23">
        <v>0.12</v>
      </c>
      <c r="I196" s="25">
        <v>7.5800000000000006E-2</v>
      </c>
      <c r="J196" s="23">
        <v>0.46</v>
      </c>
      <c r="K196" s="25">
        <v>0.52239999999999998</v>
      </c>
      <c r="L196" s="2">
        <v>0</v>
      </c>
      <c r="M196" s="2">
        <v>19</v>
      </c>
      <c r="N196" s="2">
        <v>19</v>
      </c>
    </row>
    <row r="197" spans="1:14" x14ac:dyDescent="0.3">
      <c r="A197" s="2">
        <v>196</v>
      </c>
      <c r="B197" s="1">
        <v>40552</v>
      </c>
      <c r="C197" s="2">
        <v>1</v>
      </c>
      <c r="D197" s="2">
        <v>10</v>
      </c>
      <c r="E197" t="b">
        <v>0</v>
      </c>
      <c r="F197" s="2">
        <v>0</v>
      </c>
      <c r="G197" s="2">
        <v>1</v>
      </c>
      <c r="H197" s="23">
        <v>0.14000000000000001</v>
      </c>
      <c r="I197" s="25">
        <v>0.1061</v>
      </c>
      <c r="J197" s="23">
        <v>0.43</v>
      </c>
      <c r="K197" s="25">
        <v>0.3881</v>
      </c>
      <c r="L197" s="2">
        <v>0</v>
      </c>
      <c r="M197" s="2">
        <v>49</v>
      </c>
      <c r="N197" s="2">
        <v>49</v>
      </c>
    </row>
    <row r="198" spans="1:14" x14ac:dyDescent="0.3">
      <c r="A198" s="2">
        <v>197</v>
      </c>
      <c r="B198" s="1">
        <v>40552</v>
      </c>
      <c r="C198" s="2">
        <v>1</v>
      </c>
      <c r="D198" s="2">
        <v>11</v>
      </c>
      <c r="E198" t="b">
        <v>0</v>
      </c>
      <c r="F198" s="2">
        <v>0</v>
      </c>
      <c r="G198" s="2">
        <v>1</v>
      </c>
      <c r="H198" s="23">
        <v>0.16</v>
      </c>
      <c r="I198" s="25">
        <v>0.1212</v>
      </c>
      <c r="J198" s="23">
        <v>0.4</v>
      </c>
      <c r="K198" s="25">
        <v>0.52239999999999998</v>
      </c>
      <c r="L198" s="2">
        <v>2</v>
      </c>
      <c r="M198" s="2">
        <v>47</v>
      </c>
      <c r="N198" s="2">
        <v>49</v>
      </c>
    </row>
    <row r="199" spans="1:14" x14ac:dyDescent="0.3">
      <c r="A199" s="2">
        <v>198</v>
      </c>
      <c r="B199" s="1">
        <v>40552</v>
      </c>
      <c r="C199" s="2">
        <v>1</v>
      </c>
      <c r="D199" s="2">
        <v>12</v>
      </c>
      <c r="E199" t="b">
        <v>0</v>
      </c>
      <c r="F199" s="2">
        <v>0</v>
      </c>
      <c r="G199" s="2">
        <v>1</v>
      </c>
      <c r="H199" s="23">
        <v>0.18</v>
      </c>
      <c r="I199" s="25">
        <v>0.13639999999999999</v>
      </c>
      <c r="J199" s="23">
        <v>0.37</v>
      </c>
      <c r="K199" s="25">
        <v>0.44779999999999998</v>
      </c>
      <c r="L199" s="2">
        <v>4</v>
      </c>
      <c r="M199" s="2">
        <v>79</v>
      </c>
      <c r="N199" s="2">
        <v>83</v>
      </c>
    </row>
    <row r="200" spans="1:14" x14ac:dyDescent="0.3">
      <c r="A200" s="2">
        <v>199</v>
      </c>
      <c r="B200" s="1">
        <v>40552</v>
      </c>
      <c r="C200" s="2">
        <v>1</v>
      </c>
      <c r="D200" s="2">
        <v>13</v>
      </c>
      <c r="E200" t="b">
        <v>0</v>
      </c>
      <c r="F200" s="2">
        <v>0</v>
      </c>
      <c r="G200" s="2">
        <v>1</v>
      </c>
      <c r="H200" s="23">
        <v>0.2</v>
      </c>
      <c r="I200" s="25">
        <v>0.16669999999999999</v>
      </c>
      <c r="J200" s="23">
        <v>0.34</v>
      </c>
      <c r="K200" s="25">
        <v>0.44779999999999998</v>
      </c>
      <c r="L200" s="2">
        <v>6</v>
      </c>
      <c r="M200" s="2">
        <v>69</v>
      </c>
      <c r="N200" s="2">
        <v>75</v>
      </c>
    </row>
    <row r="201" spans="1:14" x14ac:dyDescent="0.3">
      <c r="A201" s="2">
        <v>200</v>
      </c>
      <c r="B201" s="1">
        <v>40552</v>
      </c>
      <c r="C201" s="2">
        <v>1</v>
      </c>
      <c r="D201" s="2">
        <v>14</v>
      </c>
      <c r="E201" t="b">
        <v>0</v>
      </c>
      <c r="F201" s="2">
        <v>0</v>
      </c>
      <c r="G201" s="2">
        <v>1</v>
      </c>
      <c r="H201" s="23">
        <v>0.22</v>
      </c>
      <c r="I201" s="25">
        <v>0.18179999999999999</v>
      </c>
      <c r="J201" s="23">
        <v>0.32</v>
      </c>
      <c r="K201" s="25">
        <v>0.4627</v>
      </c>
      <c r="L201" s="2">
        <v>8</v>
      </c>
      <c r="M201" s="2">
        <v>64</v>
      </c>
      <c r="N201" s="2">
        <v>72</v>
      </c>
    </row>
    <row r="202" spans="1:14" x14ac:dyDescent="0.3">
      <c r="A202" s="2">
        <v>201</v>
      </c>
      <c r="B202" s="1">
        <v>40552</v>
      </c>
      <c r="C202" s="2">
        <v>1</v>
      </c>
      <c r="D202" s="2">
        <v>15</v>
      </c>
      <c r="E202" t="b">
        <v>0</v>
      </c>
      <c r="F202" s="2">
        <v>0</v>
      </c>
      <c r="G202" s="2">
        <v>1</v>
      </c>
      <c r="H202" s="23">
        <v>0.22</v>
      </c>
      <c r="I202" s="25">
        <v>0.19700000000000001</v>
      </c>
      <c r="J202" s="23">
        <v>0.35</v>
      </c>
      <c r="K202" s="25">
        <v>0.35820000000000002</v>
      </c>
      <c r="L202" s="2">
        <v>5</v>
      </c>
      <c r="M202" s="2">
        <v>77</v>
      </c>
      <c r="N202" s="2">
        <v>82</v>
      </c>
    </row>
    <row r="203" spans="1:14" x14ac:dyDescent="0.3">
      <c r="A203" s="2">
        <v>202</v>
      </c>
      <c r="B203" s="1">
        <v>40552</v>
      </c>
      <c r="C203" s="2">
        <v>1</v>
      </c>
      <c r="D203" s="2">
        <v>16</v>
      </c>
      <c r="E203" t="b">
        <v>0</v>
      </c>
      <c r="F203" s="2">
        <v>0</v>
      </c>
      <c r="G203" s="2">
        <v>1</v>
      </c>
      <c r="H203" s="23">
        <v>0.2</v>
      </c>
      <c r="I203" s="25">
        <v>0.16669999999999999</v>
      </c>
      <c r="J203" s="23">
        <v>0.34</v>
      </c>
      <c r="K203" s="25">
        <v>0.44779999999999998</v>
      </c>
      <c r="L203" s="2">
        <v>13</v>
      </c>
      <c r="M203" s="2">
        <v>79</v>
      </c>
      <c r="N203" s="2">
        <v>92</v>
      </c>
    </row>
    <row r="204" spans="1:14" x14ac:dyDescent="0.3">
      <c r="A204" s="2">
        <v>203</v>
      </c>
      <c r="B204" s="1">
        <v>40552</v>
      </c>
      <c r="C204" s="2">
        <v>1</v>
      </c>
      <c r="D204" s="2">
        <v>17</v>
      </c>
      <c r="E204" t="b">
        <v>0</v>
      </c>
      <c r="F204" s="2">
        <v>0</v>
      </c>
      <c r="G204" s="2">
        <v>1</v>
      </c>
      <c r="H204" s="23">
        <v>0.18</v>
      </c>
      <c r="I204" s="25">
        <v>0.1515</v>
      </c>
      <c r="J204" s="23">
        <v>0.37</v>
      </c>
      <c r="K204" s="25">
        <v>0.3881</v>
      </c>
      <c r="L204" s="2">
        <v>3</v>
      </c>
      <c r="M204" s="2">
        <v>59</v>
      </c>
      <c r="N204" s="2">
        <v>62</v>
      </c>
    </row>
    <row r="205" spans="1:14" x14ac:dyDescent="0.3">
      <c r="A205" s="2">
        <v>204</v>
      </c>
      <c r="B205" s="1">
        <v>40552</v>
      </c>
      <c r="C205" s="2">
        <v>1</v>
      </c>
      <c r="D205" s="2">
        <v>18</v>
      </c>
      <c r="E205" t="b">
        <v>0</v>
      </c>
      <c r="F205" s="2">
        <v>0</v>
      </c>
      <c r="G205" s="2">
        <v>1</v>
      </c>
      <c r="H205" s="23">
        <v>0.16</v>
      </c>
      <c r="I205" s="25">
        <v>0.13639999999999999</v>
      </c>
      <c r="J205" s="23">
        <v>0.4</v>
      </c>
      <c r="K205" s="25">
        <v>0.32840000000000003</v>
      </c>
      <c r="L205" s="2">
        <v>4</v>
      </c>
      <c r="M205" s="2">
        <v>44</v>
      </c>
      <c r="N205" s="2">
        <v>48</v>
      </c>
    </row>
    <row r="206" spans="1:14" x14ac:dyDescent="0.3">
      <c r="A206" s="2">
        <v>205</v>
      </c>
      <c r="B206" s="1">
        <v>40552</v>
      </c>
      <c r="C206" s="2">
        <v>1</v>
      </c>
      <c r="D206" s="2">
        <v>19</v>
      </c>
      <c r="E206" t="b">
        <v>0</v>
      </c>
      <c r="F206" s="2">
        <v>0</v>
      </c>
      <c r="G206" s="2">
        <v>1</v>
      </c>
      <c r="H206" s="23">
        <v>0.16</v>
      </c>
      <c r="I206" s="25">
        <v>0.13639999999999999</v>
      </c>
      <c r="J206" s="23">
        <v>0.43</v>
      </c>
      <c r="K206" s="25">
        <v>0.32840000000000003</v>
      </c>
      <c r="L206" s="2">
        <v>1</v>
      </c>
      <c r="M206" s="2">
        <v>40</v>
      </c>
      <c r="N206" s="2">
        <v>41</v>
      </c>
    </row>
    <row r="207" spans="1:14" x14ac:dyDescent="0.3">
      <c r="A207" s="2">
        <v>206</v>
      </c>
      <c r="B207" s="1">
        <v>40552</v>
      </c>
      <c r="C207" s="2">
        <v>1</v>
      </c>
      <c r="D207" s="2">
        <v>20</v>
      </c>
      <c r="E207" t="b">
        <v>0</v>
      </c>
      <c r="F207" s="2">
        <v>0</v>
      </c>
      <c r="G207" s="2">
        <v>1</v>
      </c>
      <c r="H207" s="23">
        <v>0.14000000000000001</v>
      </c>
      <c r="I207" s="25">
        <v>0.1212</v>
      </c>
      <c r="J207" s="23">
        <v>0.46</v>
      </c>
      <c r="K207" s="25">
        <v>0.25369999999999998</v>
      </c>
      <c r="L207" s="2">
        <v>0</v>
      </c>
      <c r="M207" s="2">
        <v>38</v>
      </c>
      <c r="N207" s="2">
        <v>38</v>
      </c>
    </row>
    <row r="208" spans="1:14" x14ac:dyDescent="0.3">
      <c r="A208" s="2">
        <v>207</v>
      </c>
      <c r="B208" s="1">
        <v>40552</v>
      </c>
      <c r="C208" s="2">
        <v>1</v>
      </c>
      <c r="D208" s="2">
        <v>21</v>
      </c>
      <c r="E208" t="b">
        <v>0</v>
      </c>
      <c r="F208" s="2">
        <v>0</v>
      </c>
      <c r="G208" s="2">
        <v>1</v>
      </c>
      <c r="H208" s="23">
        <v>0.14000000000000001</v>
      </c>
      <c r="I208" s="25">
        <v>0.1061</v>
      </c>
      <c r="J208" s="23">
        <v>0.46</v>
      </c>
      <c r="K208" s="25">
        <v>0.41789999999999999</v>
      </c>
      <c r="L208" s="2">
        <v>1</v>
      </c>
      <c r="M208" s="2">
        <v>19</v>
      </c>
      <c r="N208" s="2">
        <v>20</v>
      </c>
    </row>
    <row r="209" spans="1:14" x14ac:dyDescent="0.3">
      <c r="A209" s="2">
        <v>208</v>
      </c>
      <c r="B209" s="1">
        <v>40552</v>
      </c>
      <c r="C209" s="2">
        <v>1</v>
      </c>
      <c r="D209" s="2">
        <v>22</v>
      </c>
      <c r="E209" t="b">
        <v>0</v>
      </c>
      <c r="F209" s="2">
        <v>0</v>
      </c>
      <c r="G209" s="2">
        <v>1</v>
      </c>
      <c r="H209" s="23">
        <v>0.14000000000000001</v>
      </c>
      <c r="I209" s="25">
        <v>0.1212</v>
      </c>
      <c r="J209" s="23">
        <v>0.46</v>
      </c>
      <c r="K209" s="25">
        <v>0.29849999999999999</v>
      </c>
      <c r="L209" s="2">
        <v>5</v>
      </c>
      <c r="M209" s="2">
        <v>10</v>
      </c>
      <c r="N209" s="2">
        <v>15</v>
      </c>
    </row>
    <row r="210" spans="1:14" x14ac:dyDescent="0.3">
      <c r="A210" s="2">
        <v>209</v>
      </c>
      <c r="B210" s="1">
        <v>40552</v>
      </c>
      <c r="C210" s="2">
        <v>1</v>
      </c>
      <c r="D210" s="2">
        <v>23</v>
      </c>
      <c r="E210" t="b">
        <v>0</v>
      </c>
      <c r="F210" s="2">
        <v>0</v>
      </c>
      <c r="G210" s="2">
        <v>1</v>
      </c>
      <c r="H210" s="23">
        <v>0.12</v>
      </c>
      <c r="I210" s="25">
        <v>0.13639999999999999</v>
      </c>
      <c r="J210" s="23">
        <v>0.5</v>
      </c>
      <c r="K210" s="25">
        <v>0.19400000000000001</v>
      </c>
      <c r="L210" s="2">
        <v>0</v>
      </c>
      <c r="M210" s="2">
        <v>6</v>
      </c>
      <c r="N210" s="2">
        <v>6</v>
      </c>
    </row>
    <row r="211" spans="1:14" x14ac:dyDescent="0.3">
      <c r="A211" s="2">
        <v>210</v>
      </c>
      <c r="B211" s="1">
        <v>40553</v>
      </c>
      <c r="C211" s="2">
        <v>1</v>
      </c>
      <c r="D211" s="2">
        <v>0</v>
      </c>
      <c r="E211" t="b">
        <v>0</v>
      </c>
      <c r="F211" s="2">
        <v>1</v>
      </c>
      <c r="G211" s="2">
        <v>1</v>
      </c>
      <c r="H211" s="23">
        <v>0.12</v>
      </c>
      <c r="I211" s="25">
        <v>0.1212</v>
      </c>
      <c r="J211" s="23">
        <v>0.5</v>
      </c>
      <c r="K211" s="25">
        <v>0.28360000000000002</v>
      </c>
      <c r="L211" s="2">
        <v>2</v>
      </c>
      <c r="M211" s="2">
        <v>3</v>
      </c>
      <c r="N211" s="2">
        <v>5</v>
      </c>
    </row>
    <row r="212" spans="1:14" x14ac:dyDescent="0.3">
      <c r="A212" s="2">
        <v>211</v>
      </c>
      <c r="B212" s="1">
        <v>40553</v>
      </c>
      <c r="C212" s="2">
        <v>1</v>
      </c>
      <c r="D212" s="2">
        <v>1</v>
      </c>
      <c r="E212" t="b">
        <v>0</v>
      </c>
      <c r="F212" s="2">
        <v>1</v>
      </c>
      <c r="G212" s="2">
        <v>1</v>
      </c>
      <c r="H212" s="23">
        <v>0.12</v>
      </c>
      <c r="I212" s="25">
        <v>0.1212</v>
      </c>
      <c r="J212" s="23">
        <v>0.5</v>
      </c>
      <c r="K212" s="25">
        <v>0.28360000000000002</v>
      </c>
      <c r="L212" s="2">
        <v>1</v>
      </c>
      <c r="M212" s="2">
        <v>0</v>
      </c>
      <c r="N212" s="2">
        <v>1</v>
      </c>
    </row>
    <row r="213" spans="1:14" x14ac:dyDescent="0.3">
      <c r="A213" s="2">
        <v>212</v>
      </c>
      <c r="B213" s="1">
        <v>40553</v>
      </c>
      <c r="C213" s="2">
        <v>1</v>
      </c>
      <c r="D213" s="2">
        <v>2</v>
      </c>
      <c r="E213" t="b">
        <v>0</v>
      </c>
      <c r="F213" s="2">
        <v>1</v>
      </c>
      <c r="G213" s="2">
        <v>1</v>
      </c>
      <c r="H213" s="23">
        <v>0.12</v>
      </c>
      <c r="I213" s="25">
        <v>0.1212</v>
      </c>
      <c r="J213" s="23">
        <v>0.5</v>
      </c>
      <c r="K213" s="25">
        <v>0.22389999999999999</v>
      </c>
      <c r="L213" s="2">
        <v>0</v>
      </c>
      <c r="M213" s="2">
        <v>3</v>
      </c>
      <c r="N213" s="2">
        <v>3</v>
      </c>
    </row>
    <row r="214" spans="1:14" x14ac:dyDescent="0.3">
      <c r="A214" s="2">
        <v>213</v>
      </c>
      <c r="B214" s="1">
        <v>40553</v>
      </c>
      <c r="C214" s="2">
        <v>1</v>
      </c>
      <c r="D214" s="2">
        <v>3</v>
      </c>
      <c r="E214" t="b">
        <v>0</v>
      </c>
      <c r="F214" s="2">
        <v>1</v>
      </c>
      <c r="G214" s="2">
        <v>1</v>
      </c>
      <c r="H214" s="23">
        <v>0.12</v>
      </c>
      <c r="I214" s="25">
        <v>0.1212</v>
      </c>
      <c r="J214" s="23">
        <v>0.5</v>
      </c>
      <c r="K214" s="25">
        <v>0.22389999999999999</v>
      </c>
      <c r="L214" s="2">
        <v>0</v>
      </c>
      <c r="M214" s="2">
        <v>1</v>
      </c>
      <c r="N214" s="2">
        <v>1</v>
      </c>
    </row>
    <row r="215" spans="1:14" x14ac:dyDescent="0.3">
      <c r="A215" s="2">
        <v>214</v>
      </c>
      <c r="B215" s="1">
        <v>40553</v>
      </c>
      <c r="C215" s="2">
        <v>1</v>
      </c>
      <c r="D215" s="2">
        <v>4</v>
      </c>
      <c r="E215" t="b">
        <v>0</v>
      </c>
      <c r="F215" s="2">
        <v>1</v>
      </c>
      <c r="G215" s="2">
        <v>1</v>
      </c>
      <c r="H215" s="23">
        <v>0.1</v>
      </c>
      <c r="I215" s="25">
        <v>0.1212</v>
      </c>
      <c r="J215" s="23">
        <v>0.54</v>
      </c>
      <c r="K215" s="25">
        <v>0.1343</v>
      </c>
      <c r="L215" s="2">
        <v>1</v>
      </c>
      <c r="M215" s="2">
        <v>2</v>
      </c>
      <c r="N215" s="2">
        <v>3</v>
      </c>
    </row>
    <row r="216" spans="1:14" x14ac:dyDescent="0.3">
      <c r="A216" s="2">
        <v>215</v>
      </c>
      <c r="B216" s="1">
        <v>40553</v>
      </c>
      <c r="C216" s="2">
        <v>1</v>
      </c>
      <c r="D216" s="2">
        <v>5</v>
      </c>
      <c r="E216" t="b">
        <v>0</v>
      </c>
      <c r="F216" s="2">
        <v>1</v>
      </c>
      <c r="G216" s="2">
        <v>1</v>
      </c>
      <c r="H216" s="23">
        <v>0.1</v>
      </c>
      <c r="I216" s="25">
        <v>0.1061</v>
      </c>
      <c r="J216" s="23">
        <v>0.54</v>
      </c>
      <c r="K216" s="25">
        <v>0.25369999999999998</v>
      </c>
      <c r="L216" s="2">
        <v>0</v>
      </c>
      <c r="M216" s="2">
        <v>3</v>
      </c>
      <c r="N216" s="2">
        <v>3</v>
      </c>
    </row>
    <row r="217" spans="1:14" x14ac:dyDescent="0.3">
      <c r="A217" s="2">
        <v>216</v>
      </c>
      <c r="B217" s="1">
        <v>40553</v>
      </c>
      <c r="C217" s="2">
        <v>1</v>
      </c>
      <c r="D217" s="2">
        <v>6</v>
      </c>
      <c r="E217" t="b">
        <v>0</v>
      </c>
      <c r="F217" s="2">
        <v>1</v>
      </c>
      <c r="G217" s="2">
        <v>1</v>
      </c>
      <c r="H217" s="23">
        <v>0.12</v>
      </c>
      <c r="I217" s="25">
        <v>0.1212</v>
      </c>
      <c r="J217" s="23">
        <v>0.5</v>
      </c>
      <c r="K217" s="25">
        <v>0.28360000000000002</v>
      </c>
      <c r="L217" s="2">
        <v>0</v>
      </c>
      <c r="M217" s="2">
        <v>31</v>
      </c>
      <c r="N217" s="2">
        <v>31</v>
      </c>
    </row>
    <row r="218" spans="1:14" x14ac:dyDescent="0.3">
      <c r="A218" s="2">
        <v>217</v>
      </c>
      <c r="B218" s="1">
        <v>40553</v>
      </c>
      <c r="C218" s="2">
        <v>1</v>
      </c>
      <c r="D218" s="2">
        <v>7</v>
      </c>
      <c r="E218" t="b">
        <v>0</v>
      </c>
      <c r="F218" s="2">
        <v>1</v>
      </c>
      <c r="G218" s="2">
        <v>1</v>
      </c>
      <c r="H218" s="23">
        <v>0.12</v>
      </c>
      <c r="I218" s="25">
        <v>0.1212</v>
      </c>
      <c r="J218" s="23">
        <v>0.5</v>
      </c>
      <c r="K218" s="25">
        <v>0.22389999999999999</v>
      </c>
      <c r="L218" s="2">
        <v>2</v>
      </c>
      <c r="M218" s="2">
        <v>75</v>
      </c>
      <c r="N218" s="2">
        <v>77</v>
      </c>
    </row>
    <row r="219" spans="1:14" x14ac:dyDescent="0.3">
      <c r="A219" s="2">
        <v>218</v>
      </c>
      <c r="B219" s="1">
        <v>40553</v>
      </c>
      <c r="C219" s="2">
        <v>1</v>
      </c>
      <c r="D219" s="2">
        <v>8</v>
      </c>
      <c r="E219" t="b">
        <v>0</v>
      </c>
      <c r="F219" s="2">
        <v>1</v>
      </c>
      <c r="G219" s="2">
        <v>2</v>
      </c>
      <c r="H219" s="23">
        <v>0.12</v>
      </c>
      <c r="I219" s="25">
        <v>0.1212</v>
      </c>
      <c r="J219" s="23">
        <v>0.5</v>
      </c>
      <c r="K219" s="25">
        <v>0.28360000000000002</v>
      </c>
      <c r="L219" s="2">
        <v>4</v>
      </c>
      <c r="M219" s="2">
        <v>184</v>
      </c>
      <c r="N219" s="2">
        <v>188</v>
      </c>
    </row>
    <row r="220" spans="1:14" x14ac:dyDescent="0.3">
      <c r="A220" s="2">
        <v>219</v>
      </c>
      <c r="B220" s="1">
        <v>40553</v>
      </c>
      <c r="C220" s="2">
        <v>1</v>
      </c>
      <c r="D220" s="2">
        <v>9</v>
      </c>
      <c r="E220" t="b">
        <v>0</v>
      </c>
      <c r="F220" s="2">
        <v>1</v>
      </c>
      <c r="G220" s="2">
        <v>2</v>
      </c>
      <c r="H220" s="23">
        <v>0.14000000000000001</v>
      </c>
      <c r="I220" s="25">
        <v>0.1212</v>
      </c>
      <c r="J220" s="23">
        <v>0.5</v>
      </c>
      <c r="K220" s="25">
        <v>0.25369999999999998</v>
      </c>
      <c r="L220" s="2">
        <v>2</v>
      </c>
      <c r="M220" s="2">
        <v>92</v>
      </c>
      <c r="N220" s="2">
        <v>94</v>
      </c>
    </row>
    <row r="221" spans="1:14" x14ac:dyDescent="0.3">
      <c r="A221" s="2">
        <v>220</v>
      </c>
      <c r="B221" s="1">
        <v>40553</v>
      </c>
      <c r="C221" s="2">
        <v>1</v>
      </c>
      <c r="D221" s="2">
        <v>10</v>
      </c>
      <c r="E221" t="b">
        <v>0</v>
      </c>
      <c r="F221" s="2">
        <v>1</v>
      </c>
      <c r="G221" s="2">
        <v>2</v>
      </c>
      <c r="H221" s="23">
        <v>0.14000000000000001</v>
      </c>
      <c r="I221" s="25">
        <v>0.1212</v>
      </c>
      <c r="J221" s="23">
        <v>0.5</v>
      </c>
      <c r="K221" s="25">
        <v>0.29849999999999999</v>
      </c>
      <c r="L221" s="2">
        <v>0</v>
      </c>
      <c r="M221" s="2">
        <v>31</v>
      </c>
      <c r="N221" s="2">
        <v>31</v>
      </c>
    </row>
    <row r="222" spans="1:14" x14ac:dyDescent="0.3">
      <c r="A222" s="2">
        <v>221</v>
      </c>
      <c r="B222" s="1">
        <v>40553</v>
      </c>
      <c r="C222" s="2">
        <v>1</v>
      </c>
      <c r="D222" s="2">
        <v>11</v>
      </c>
      <c r="E222" t="b">
        <v>0</v>
      </c>
      <c r="F222" s="2">
        <v>1</v>
      </c>
      <c r="G222" s="2">
        <v>2</v>
      </c>
      <c r="H222" s="23">
        <v>0.16</v>
      </c>
      <c r="I222" s="25">
        <v>0.13639999999999999</v>
      </c>
      <c r="J222" s="23">
        <v>0.47</v>
      </c>
      <c r="K222" s="25">
        <v>0.28360000000000002</v>
      </c>
      <c r="L222" s="2">
        <v>2</v>
      </c>
      <c r="M222" s="2">
        <v>28</v>
      </c>
      <c r="N222" s="2">
        <v>30</v>
      </c>
    </row>
    <row r="223" spans="1:14" x14ac:dyDescent="0.3">
      <c r="A223" s="2">
        <v>222</v>
      </c>
      <c r="B223" s="1">
        <v>40553</v>
      </c>
      <c r="C223" s="2">
        <v>1</v>
      </c>
      <c r="D223" s="2">
        <v>12</v>
      </c>
      <c r="E223" t="b">
        <v>0</v>
      </c>
      <c r="F223" s="2">
        <v>1</v>
      </c>
      <c r="G223" s="2">
        <v>2</v>
      </c>
      <c r="H223" s="23">
        <v>0.2</v>
      </c>
      <c r="I223" s="25">
        <v>0.18179999999999999</v>
      </c>
      <c r="J223" s="23">
        <v>0.4</v>
      </c>
      <c r="K223" s="25">
        <v>0.28360000000000002</v>
      </c>
      <c r="L223" s="2">
        <v>5</v>
      </c>
      <c r="M223" s="2">
        <v>47</v>
      </c>
      <c r="N223" s="2">
        <v>52</v>
      </c>
    </row>
    <row r="224" spans="1:14" x14ac:dyDescent="0.3">
      <c r="A224" s="2">
        <v>223</v>
      </c>
      <c r="B224" s="1">
        <v>40553</v>
      </c>
      <c r="C224" s="2">
        <v>1</v>
      </c>
      <c r="D224" s="2">
        <v>13</v>
      </c>
      <c r="E224" t="b">
        <v>0</v>
      </c>
      <c r="F224" s="2">
        <v>1</v>
      </c>
      <c r="G224" s="2">
        <v>2</v>
      </c>
      <c r="H224" s="23">
        <v>0.2</v>
      </c>
      <c r="I224" s="25">
        <v>0.18179999999999999</v>
      </c>
      <c r="J224" s="23">
        <v>0.4</v>
      </c>
      <c r="K224" s="25">
        <v>0.28360000000000002</v>
      </c>
      <c r="L224" s="2">
        <v>4</v>
      </c>
      <c r="M224" s="2">
        <v>50</v>
      </c>
      <c r="N224" s="2">
        <v>54</v>
      </c>
    </row>
    <row r="225" spans="1:14" x14ac:dyDescent="0.3">
      <c r="A225" s="2">
        <v>224</v>
      </c>
      <c r="B225" s="1">
        <v>40553</v>
      </c>
      <c r="C225" s="2">
        <v>1</v>
      </c>
      <c r="D225" s="2">
        <v>14</v>
      </c>
      <c r="E225" t="b">
        <v>0</v>
      </c>
      <c r="F225" s="2">
        <v>1</v>
      </c>
      <c r="G225" s="2">
        <v>2</v>
      </c>
      <c r="H225" s="23">
        <v>0.2</v>
      </c>
      <c r="I225" s="25">
        <v>0.19700000000000001</v>
      </c>
      <c r="J225" s="23">
        <v>0.4</v>
      </c>
      <c r="K225" s="25">
        <v>0.22389999999999999</v>
      </c>
      <c r="L225" s="2">
        <v>0</v>
      </c>
      <c r="M225" s="2">
        <v>47</v>
      </c>
      <c r="N225" s="2">
        <v>47</v>
      </c>
    </row>
    <row r="226" spans="1:14" x14ac:dyDescent="0.3">
      <c r="A226" s="2">
        <v>225</v>
      </c>
      <c r="B226" s="1">
        <v>40553</v>
      </c>
      <c r="C226" s="2">
        <v>1</v>
      </c>
      <c r="D226" s="2">
        <v>15</v>
      </c>
      <c r="E226" t="b">
        <v>0</v>
      </c>
      <c r="F226" s="2">
        <v>1</v>
      </c>
      <c r="G226" s="2">
        <v>2</v>
      </c>
      <c r="H226" s="23">
        <v>0.2</v>
      </c>
      <c r="I226" s="25">
        <v>0.19700000000000001</v>
      </c>
      <c r="J226" s="23">
        <v>0.4</v>
      </c>
      <c r="K226" s="25">
        <v>0.22389999999999999</v>
      </c>
      <c r="L226" s="2">
        <v>2</v>
      </c>
      <c r="M226" s="2">
        <v>43</v>
      </c>
      <c r="N226" s="2">
        <v>45</v>
      </c>
    </row>
    <row r="227" spans="1:14" x14ac:dyDescent="0.3">
      <c r="A227" s="2">
        <v>226</v>
      </c>
      <c r="B227" s="1">
        <v>40553</v>
      </c>
      <c r="C227" s="2">
        <v>1</v>
      </c>
      <c r="D227" s="2">
        <v>16</v>
      </c>
      <c r="E227" t="b">
        <v>0</v>
      </c>
      <c r="F227" s="2">
        <v>1</v>
      </c>
      <c r="G227" s="2">
        <v>1</v>
      </c>
      <c r="H227" s="23">
        <v>0.2</v>
      </c>
      <c r="I227" s="25">
        <v>0.21210000000000001</v>
      </c>
      <c r="J227" s="23">
        <v>0.4</v>
      </c>
      <c r="K227" s="25">
        <v>0.1343</v>
      </c>
      <c r="L227" s="2">
        <v>4</v>
      </c>
      <c r="M227" s="2">
        <v>70</v>
      </c>
      <c r="N227" s="2">
        <v>74</v>
      </c>
    </row>
    <row r="228" spans="1:14" x14ac:dyDescent="0.3">
      <c r="A228" s="2">
        <v>227</v>
      </c>
      <c r="B228" s="1">
        <v>40553</v>
      </c>
      <c r="C228" s="2">
        <v>1</v>
      </c>
      <c r="D228" s="2">
        <v>17</v>
      </c>
      <c r="E228" t="b">
        <v>0</v>
      </c>
      <c r="F228" s="2">
        <v>1</v>
      </c>
      <c r="G228" s="2">
        <v>1</v>
      </c>
      <c r="H228" s="23">
        <v>0.2</v>
      </c>
      <c r="I228" s="25">
        <v>0.2273</v>
      </c>
      <c r="J228" s="23">
        <v>0.4</v>
      </c>
      <c r="K228" s="25">
        <v>0.1045</v>
      </c>
      <c r="L228" s="2">
        <v>4</v>
      </c>
      <c r="M228" s="2">
        <v>174</v>
      </c>
      <c r="N228" s="2">
        <v>178</v>
      </c>
    </row>
    <row r="229" spans="1:14" x14ac:dyDescent="0.3">
      <c r="A229" s="2">
        <v>228</v>
      </c>
      <c r="B229" s="1">
        <v>40553</v>
      </c>
      <c r="C229" s="2">
        <v>1</v>
      </c>
      <c r="D229" s="2">
        <v>18</v>
      </c>
      <c r="E229" t="b">
        <v>0</v>
      </c>
      <c r="F229" s="2">
        <v>1</v>
      </c>
      <c r="G229" s="2">
        <v>1</v>
      </c>
      <c r="H229" s="23">
        <v>0.2</v>
      </c>
      <c r="I229" s="25">
        <v>0.19700000000000001</v>
      </c>
      <c r="J229" s="23">
        <v>0.4</v>
      </c>
      <c r="K229" s="25">
        <v>0.22389999999999999</v>
      </c>
      <c r="L229" s="2">
        <v>1</v>
      </c>
      <c r="M229" s="2">
        <v>154</v>
      </c>
      <c r="N229" s="2">
        <v>155</v>
      </c>
    </row>
    <row r="230" spans="1:14" x14ac:dyDescent="0.3">
      <c r="A230" s="2">
        <v>229</v>
      </c>
      <c r="B230" s="1">
        <v>40553</v>
      </c>
      <c r="C230" s="2">
        <v>1</v>
      </c>
      <c r="D230" s="2">
        <v>19</v>
      </c>
      <c r="E230" t="b">
        <v>0</v>
      </c>
      <c r="F230" s="2">
        <v>1</v>
      </c>
      <c r="G230" s="2">
        <v>1</v>
      </c>
      <c r="H230" s="23">
        <v>0.16</v>
      </c>
      <c r="I230" s="25">
        <v>0.16669999999999999</v>
      </c>
      <c r="J230" s="23">
        <v>0.47</v>
      </c>
      <c r="K230" s="25">
        <v>0.16420000000000001</v>
      </c>
      <c r="L230" s="2">
        <v>3</v>
      </c>
      <c r="M230" s="2">
        <v>92</v>
      </c>
      <c r="N230" s="2">
        <v>95</v>
      </c>
    </row>
    <row r="231" spans="1:14" x14ac:dyDescent="0.3">
      <c r="A231" s="2">
        <v>230</v>
      </c>
      <c r="B231" s="1">
        <v>40553</v>
      </c>
      <c r="C231" s="2">
        <v>1</v>
      </c>
      <c r="D231" s="2">
        <v>20</v>
      </c>
      <c r="E231" t="b">
        <v>0</v>
      </c>
      <c r="F231" s="2">
        <v>1</v>
      </c>
      <c r="G231" s="2">
        <v>1</v>
      </c>
      <c r="H231" s="23">
        <v>0.16</v>
      </c>
      <c r="I231" s="25">
        <v>0.16669999999999999</v>
      </c>
      <c r="J231" s="23">
        <v>0.5</v>
      </c>
      <c r="K231" s="25">
        <v>0.16420000000000001</v>
      </c>
      <c r="L231" s="2">
        <v>1</v>
      </c>
      <c r="M231" s="2">
        <v>73</v>
      </c>
      <c r="N231" s="2">
        <v>74</v>
      </c>
    </row>
    <row r="232" spans="1:14" x14ac:dyDescent="0.3">
      <c r="A232" s="2">
        <v>231</v>
      </c>
      <c r="B232" s="1">
        <v>40553</v>
      </c>
      <c r="C232" s="2">
        <v>1</v>
      </c>
      <c r="D232" s="2">
        <v>21</v>
      </c>
      <c r="E232" t="b">
        <v>0</v>
      </c>
      <c r="F232" s="2">
        <v>1</v>
      </c>
      <c r="G232" s="2">
        <v>1</v>
      </c>
      <c r="H232" s="23">
        <v>0.14000000000000001</v>
      </c>
      <c r="I232" s="25">
        <v>0.13639999999999999</v>
      </c>
      <c r="J232" s="23">
        <v>0.59</v>
      </c>
      <c r="K232" s="25">
        <v>0.19400000000000001</v>
      </c>
      <c r="L232" s="2">
        <v>1</v>
      </c>
      <c r="M232" s="2">
        <v>37</v>
      </c>
      <c r="N232" s="2">
        <v>38</v>
      </c>
    </row>
    <row r="233" spans="1:14" x14ac:dyDescent="0.3">
      <c r="A233" s="2">
        <v>232</v>
      </c>
      <c r="B233" s="1">
        <v>40553</v>
      </c>
      <c r="C233" s="2">
        <v>1</v>
      </c>
      <c r="D233" s="2">
        <v>22</v>
      </c>
      <c r="E233" t="b">
        <v>0</v>
      </c>
      <c r="F233" s="2">
        <v>1</v>
      </c>
      <c r="G233" s="2">
        <v>1</v>
      </c>
      <c r="H233" s="23">
        <v>0.14000000000000001</v>
      </c>
      <c r="I233" s="25">
        <v>0.1515</v>
      </c>
      <c r="J233" s="23">
        <v>0.59</v>
      </c>
      <c r="K233" s="25">
        <v>0.16420000000000001</v>
      </c>
      <c r="L233" s="2">
        <v>2</v>
      </c>
      <c r="M233" s="2">
        <v>22</v>
      </c>
      <c r="N233" s="2">
        <v>24</v>
      </c>
    </row>
    <row r="234" spans="1:14" x14ac:dyDescent="0.3">
      <c r="A234" s="2">
        <v>233</v>
      </c>
      <c r="B234" s="1">
        <v>40553</v>
      </c>
      <c r="C234" s="2">
        <v>1</v>
      </c>
      <c r="D234" s="2">
        <v>23</v>
      </c>
      <c r="E234" t="b">
        <v>0</v>
      </c>
      <c r="F234" s="2">
        <v>1</v>
      </c>
      <c r="G234" s="2">
        <v>1</v>
      </c>
      <c r="H234" s="23">
        <v>0.14000000000000001</v>
      </c>
      <c r="I234" s="25">
        <v>0.1515</v>
      </c>
      <c r="J234" s="23">
        <v>0.59</v>
      </c>
      <c r="K234" s="25">
        <v>0.16420000000000001</v>
      </c>
      <c r="L234" s="2">
        <v>0</v>
      </c>
      <c r="M234" s="2">
        <v>18</v>
      </c>
      <c r="N234" s="2">
        <v>18</v>
      </c>
    </row>
    <row r="235" spans="1:14" x14ac:dyDescent="0.3">
      <c r="A235" s="2">
        <v>234</v>
      </c>
      <c r="B235" s="1">
        <v>40554</v>
      </c>
      <c r="C235" s="2">
        <v>1</v>
      </c>
      <c r="D235" s="2">
        <v>0</v>
      </c>
      <c r="E235" t="b">
        <v>0</v>
      </c>
      <c r="F235" s="2">
        <v>2</v>
      </c>
      <c r="G235" s="2">
        <v>1</v>
      </c>
      <c r="H235" s="23">
        <v>0.14000000000000001</v>
      </c>
      <c r="I235" s="25">
        <v>0.16669999999999999</v>
      </c>
      <c r="J235" s="23">
        <v>0.59</v>
      </c>
      <c r="K235" s="25">
        <v>0.1045</v>
      </c>
      <c r="L235" s="2">
        <v>2</v>
      </c>
      <c r="M235" s="2">
        <v>10</v>
      </c>
      <c r="N235" s="2">
        <v>12</v>
      </c>
    </row>
    <row r="236" spans="1:14" x14ac:dyDescent="0.3">
      <c r="A236" s="2">
        <v>235</v>
      </c>
      <c r="B236" s="1">
        <v>40554</v>
      </c>
      <c r="C236" s="2">
        <v>1</v>
      </c>
      <c r="D236" s="2">
        <v>1</v>
      </c>
      <c r="E236" t="b">
        <v>0</v>
      </c>
      <c r="F236" s="2">
        <v>2</v>
      </c>
      <c r="G236" s="2">
        <v>1</v>
      </c>
      <c r="H236" s="23">
        <v>0.14000000000000001</v>
      </c>
      <c r="I236" s="25">
        <v>0.1515</v>
      </c>
      <c r="J236" s="23">
        <v>0.59</v>
      </c>
      <c r="K236" s="25">
        <v>0.16420000000000001</v>
      </c>
      <c r="L236" s="2">
        <v>0</v>
      </c>
      <c r="M236" s="2">
        <v>3</v>
      </c>
      <c r="N236" s="2">
        <v>3</v>
      </c>
    </row>
    <row r="237" spans="1:14" x14ac:dyDescent="0.3">
      <c r="A237" s="2">
        <v>236</v>
      </c>
      <c r="B237" s="1">
        <v>40554</v>
      </c>
      <c r="C237" s="2">
        <v>1</v>
      </c>
      <c r="D237" s="2">
        <v>2</v>
      </c>
      <c r="E237" t="b">
        <v>0</v>
      </c>
      <c r="F237" s="2">
        <v>2</v>
      </c>
      <c r="G237" s="2">
        <v>2</v>
      </c>
      <c r="H237" s="23">
        <v>0.16</v>
      </c>
      <c r="I237" s="25">
        <v>0.1515</v>
      </c>
      <c r="J237" s="23">
        <v>0.55000000000000004</v>
      </c>
      <c r="K237" s="25">
        <v>0.19400000000000001</v>
      </c>
      <c r="L237" s="2">
        <v>0</v>
      </c>
      <c r="M237" s="2">
        <v>3</v>
      </c>
      <c r="N237" s="2">
        <v>3</v>
      </c>
    </row>
    <row r="238" spans="1:14" x14ac:dyDescent="0.3">
      <c r="A238" s="2">
        <v>237</v>
      </c>
      <c r="B238" s="1">
        <v>40554</v>
      </c>
      <c r="C238" s="2">
        <v>1</v>
      </c>
      <c r="D238" s="2">
        <v>5</v>
      </c>
      <c r="E238" t="b">
        <v>0</v>
      </c>
      <c r="F238" s="2">
        <v>2</v>
      </c>
      <c r="G238" s="2">
        <v>2</v>
      </c>
      <c r="H238" s="23">
        <v>0.16</v>
      </c>
      <c r="I238" s="25">
        <v>0.18179999999999999</v>
      </c>
      <c r="J238" s="23">
        <v>0.55000000000000004</v>
      </c>
      <c r="K238" s="25">
        <v>0.1343</v>
      </c>
      <c r="L238" s="2">
        <v>0</v>
      </c>
      <c r="M238" s="2">
        <v>6</v>
      </c>
      <c r="N238" s="2">
        <v>6</v>
      </c>
    </row>
    <row r="239" spans="1:14" x14ac:dyDescent="0.3">
      <c r="A239" s="2">
        <v>238</v>
      </c>
      <c r="B239" s="1">
        <v>40554</v>
      </c>
      <c r="C239" s="2">
        <v>1</v>
      </c>
      <c r="D239" s="2">
        <v>6</v>
      </c>
      <c r="E239" t="b">
        <v>0</v>
      </c>
      <c r="F239" s="2">
        <v>2</v>
      </c>
      <c r="G239" s="2">
        <v>2</v>
      </c>
      <c r="H239" s="23">
        <v>0.16</v>
      </c>
      <c r="I239" s="25">
        <v>0.18179999999999999</v>
      </c>
      <c r="J239" s="23">
        <v>0.55000000000000004</v>
      </c>
      <c r="K239" s="25">
        <v>0.1343</v>
      </c>
      <c r="L239" s="2">
        <v>0</v>
      </c>
      <c r="M239" s="2">
        <v>27</v>
      </c>
      <c r="N239" s="2">
        <v>27</v>
      </c>
    </row>
    <row r="240" spans="1:14" x14ac:dyDescent="0.3">
      <c r="A240" s="2">
        <v>239</v>
      </c>
      <c r="B240" s="1">
        <v>40554</v>
      </c>
      <c r="C240" s="2">
        <v>1</v>
      </c>
      <c r="D240" s="2">
        <v>7</v>
      </c>
      <c r="E240" t="b">
        <v>0</v>
      </c>
      <c r="F240" s="2">
        <v>2</v>
      </c>
      <c r="G240" s="2">
        <v>2</v>
      </c>
      <c r="H240" s="23">
        <v>0.16</v>
      </c>
      <c r="I240" s="25">
        <v>0.2273</v>
      </c>
      <c r="J240" s="23">
        <v>0.55000000000000004</v>
      </c>
      <c r="K240" s="25">
        <v>0</v>
      </c>
      <c r="L240" s="2">
        <v>2</v>
      </c>
      <c r="M240" s="2">
        <v>97</v>
      </c>
      <c r="N240" s="2">
        <v>99</v>
      </c>
    </row>
    <row r="241" spans="1:14" x14ac:dyDescent="0.3">
      <c r="A241" s="2">
        <v>240</v>
      </c>
      <c r="B241" s="1">
        <v>40554</v>
      </c>
      <c r="C241" s="2">
        <v>1</v>
      </c>
      <c r="D241" s="2">
        <v>8</v>
      </c>
      <c r="E241" t="b">
        <v>0</v>
      </c>
      <c r="F241" s="2">
        <v>2</v>
      </c>
      <c r="G241" s="2">
        <v>2</v>
      </c>
      <c r="H241" s="23">
        <v>0.18</v>
      </c>
      <c r="I241" s="25">
        <v>0.21210000000000001</v>
      </c>
      <c r="J241" s="23">
        <v>0.51</v>
      </c>
      <c r="K241" s="25">
        <v>8.9599999999999999E-2</v>
      </c>
      <c r="L241" s="2">
        <v>3</v>
      </c>
      <c r="M241" s="2">
        <v>214</v>
      </c>
      <c r="N241" s="2">
        <v>217</v>
      </c>
    </row>
    <row r="242" spans="1:14" x14ac:dyDescent="0.3">
      <c r="A242" s="2">
        <v>241</v>
      </c>
      <c r="B242" s="1">
        <v>40554</v>
      </c>
      <c r="C242" s="2">
        <v>1</v>
      </c>
      <c r="D242" s="2">
        <v>9</v>
      </c>
      <c r="E242" t="b">
        <v>0</v>
      </c>
      <c r="F242" s="2">
        <v>2</v>
      </c>
      <c r="G242" s="2">
        <v>2</v>
      </c>
      <c r="H242" s="23">
        <v>0.18</v>
      </c>
      <c r="I242" s="25">
        <v>0.19700000000000001</v>
      </c>
      <c r="J242" s="23">
        <v>0.51</v>
      </c>
      <c r="K242" s="25">
        <v>0.16420000000000001</v>
      </c>
      <c r="L242" s="2">
        <v>3</v>
      </c>
      <c r="M242" s="2">
        <v>127</v>
      </c>
      <c r="N242" s="2">
        <v>130</v>
      </c>
    </row>
    <row r="243" spans="1:14" x14ac:dyDescent="0.3">
      <c r="A243" s="2">
        <v>242</v>
      </c>
      <c r="B243" s="1">
        <v>40554</v>
      </c>
      <c r="C243" s="2">
        <v>1</v>
      </c>
      <c r="D243" s="2">
        <v>10</v>
      </c>
      <c r="E243" t="b">
        <v>0</v>
      </c>
      <c r="F243" s="2">
        <v>2</v>
      </c>
      <c r="G243" s="2">
        <v>2</v>
      </c>
      <c r="H243" s="23">
        <v>0.2</v>
      </c>
      <c r="I243" s="25">
        <v>0.21210000000000001</v>
      </c>
      <c r="J243" s="23">
        <v>0.51</v>
      </c>
      <c r="K243" s="25">
        <v>0.16420000000000001</v>
      </c>
      <c r="L243" s="2">
        <v>3</v>
      </c>
      <c r="M243" s="2">
        <v>51</v>
      </c>
      <c r="N243" s="2">
        <v>54</v>
      </c>
    </row>
    <row r="244" spans="1:14" x14ac:dyDescent="0.3">
      <c r="A244" s="2">
        <v>243</v>
      </c>
      <c r="B244" s="1">
        <v>40554</v>
      </c>
      <c r="C244" s="2">
        <v>1</v>
      </c>
      <c r="D244" s="2">
        <v>11</v>
      </c>
      <c r="E244" t="b">
        <v>0</v>
      </c>
      <c r="F244" s="2">
        <v>2</v>
      </c>
      <c r="G244" s="2">
        <v>2</v>
      </c>
      <c r="H244" s="23">
        <v>0.2</v>
      </c>
      <c r="I244" s="25">
        <v>0.21210000000000001</v>
      </c>
      <c r="J244" s="23">
        <v>0.47</v>
      </c>
      <c r="K244" s="25">
        <v>0.1343</v>
      </c>
      <c r="L244" s="2">
        <v>4</v>
      </c>
      <c r="M244" s="2">
        <v>31</v>
      </c>
      <c r="N244" s="2">
        <v>35</v>
      </c>
    </row>
    <row r="245" spans="1:14" x14ac:dyDescent="0.3">
      <c r="A245" s="2">
        <v>244</v>
      </c>
      <c r="B245" s="1">
        <v>40554</v>
      </c>
      <c r="C245" s="2">
        <v>1</v>
      </c>
      <c r="D245" s="2">
        <v>12</v>
      </c>
      <c r="E245" t="b">
        <v>0</v>
      </c>
      <c r="F245" s="2">
        <v>2</v>
      </c>
      <c r="G245" s="2">
        <v>2</v>
      </c>
      <c r="H245" s="23">
        <v>0.2</v>
      </c>
      <c r="I245" s="25">
        <v>0.2273</v>
      </c>
      <c r="J245" s="23">
        <v>0.51</v>
      </c>
      <c r="K245" s="25">
        <v>0.1045</v>
      </c>
      <c r="L245" s="2">
        <v>2</v>
      </c>
      <c r="M245" s="2">
        <v>55</v>
      </c>
      <c r="N245" s="2">
        <v>57</v>
      </c>
    </row>
    <row r="246" spans="1:14" x14ac:dyDescent="0.3">
      <c r="A246" s="2">
        <v>245</v>
      </c>
      <c r="B246" s="1">
        <v>40554</v>
      </c>
      <c r="C246" s="2">
        <v>1</v>
      </c>
      <c r="D246" s="2">
        <v>13</v>
      </c>
      <c r="E246" t="b">
        <v>0</v>
      </c>
      <c r="F246" s="2">
        <v>2</v>
      </c>
      <c r="G246" s="2">
        <v>2</v>
      </c>
      <c r="H246" s="23">
        <v>0.2</v>
      </c>
      <c r="I246" s="25">
        <v>0.2273</v>
      </c>
      <c r="J246" s="23">
        <v>0.59</v>
      </c>
      <c r="K246" s="25">
        <v>8.9599999999999999E-2</v>
      </c>
      <c r="L246" s="2">
        <v>6</v>
      </c>
      <c r="M246" s="2">
        <v>46</v>
      </c>
      <c r="N246" s="2">
        <v>52</v>
      </c>
    </row>
    <row r="247" spans="1:14" x14ac:dyDescent="0.3">
      <c r="A247" s="2">
        <v>246</v>
      </c>
      <c r="B247" s="1">
        <v>40554</v>
      </c>
      <c r="C247" s="2">
        <v>1</v>
      </c>
      <c r="D247" s="2">
        <v>14</v>
      </c>
      <c r="E247" t="b">
        <v>0</v>
      </c>
      <c r="F247" s="2">
        <v>2</v>
      </c>
      <c r="G247" s="2">
        <v>2</v>
      </c>
      <c r="H247" s="23">
        <v>0.2</v>
      </c>
      <c r="I247" s="25">
        <v>0.2273</v>
      </c>
      <c r="J247" s="23">
        <v>0.59</v>
      </c>
      <c r="K247" s="25">
        <v>8.9599999999999999E-2</v>
      </c>
      <c r="L247" s="2">
        <v>3</v>
      </c>
      <c r="M247" s="2">
        <v>60</v>
      </c>
      <c r="N247" s="2">
        <v>63</v>
      </c>
    </row>
    <row r="248" spans="1:14" x14ac:dyDescent="0.3">
      <c r="A248" s="2">
        <v>247</v>
      </c>
      <c r="B248" s="1">
        <v>40554</v>
      </c>
      <c r="C248" s="2">
        <v>1</v>
      </c>
      <c r="D248" s="2">
        <v>15</v>
      </c>
      <c r="E248" t="b">
        <v>0</v>
      </c>
      <c r="F248" s="2">
        <v>2</v>
      </c>
      <c r="G248" s="2">
        <v>2</v>
      </c>
      <c r="H248" s="23">
        <v>0.16</v>
      </c>
      <c r="I248" s="25">
        <v>0.19700000000000001</v>
      </c>
      <c r="J248" s="23">
        <v>0.8</v>
      </c>
      <c r="K248" s="25">
        <v>8.9599999999999999E-2</v>
      </c>
      <c r="L248" s="2">
        <v>2</v>
      </c>
      <c r="M248" s="2">
        <v>45</v>
      </c>
      <c r="N248" s="2">
        <v>47</v>
      </c>
    </row>
    <row r="249" spans="1:14" x14ac:dyDescent="0.3">
      <c r="A249" s="2">
        <v>248</v>
      </c>
      <c r="B249" s="1">
        <v>40554</v>
      </c>
      <c r="C249" s="2">
        <v>1</v>
      </c>
      <c r="D249" s="2">
        <v>16</v>
      </c>
      <c r="E249" t="b">
        <v>0</v>
      </c>
      <c r="F249" s="2">
        <v>2</v>
      </c>
      <c r="G249" s="2">
        <v>2</v>
      </c>
      <c r="H249" s="23">
        <v>0.16</v>
      </c>
      <c r="I249" s="25">
        <v>0.1515</v>
      </c>
      <c r="J249" s="23">
        <v>0.86</v>
      </c>
      <c r="K249" s="25">
        <v>0.22389999999999999</v>
      </c>
      <c r="L249" s="2">
        <v>4</v>
      </c>
      <c r="M249" s="2">
        <v>72</v>
      </c>
      <c r="N249" s="2">
        <v>76</v>
      </c>
    </row>
    <row r="250" spans="1:14" x14ac:dyDescent="0.3">
      <c r="A250" s="2">
        <v>249</v>
      </c>
      <c r="B250" s="1">
        <v>40554</v>
      </c>
      <c r="C250" s="2">
        <v>1</v>
      </c>
      <c r="D250" s="2">
        <v>17</v>
      </c>
      <c r="E250" t="b">
        <v>0</v>
      </c>
      <c r="F250" s="2">
        <v>2</v>
      </c>
      <c r="G250" s="2">
        <v>2</v>
      </c>
      <c r="H250" s="23">
        <v>0.16</v>
      </c>
      <c r="I250" s="25">
        <v>0.1515</v>
      </c>
      <c r="J250" s="23">
        <v>0.86</v>
      </c>
      <c r="K250" s="25">
        <v>0.22389999999999999</v>
      </c>
      <c r="L250" s="2">
        <v>6</v>
      </c>
      <c r="M250" s="2">
        <v>130</v>
      </c>
      <c r="N250" s="2">
        <v>136</v>
      </c>
    </row>
    <row r="251" spans="1:14" x14ac:dyDescent="0.3">
      <c r="A251" s="2">
        <v>250</v>
      </c>
      <c r="B251" s="1">
        <v>40554</v>
      </c>
      <c r="C251" s="2">
        <v>1</v>
      </c>
      <c r="D251" s="2">
        <v>18</v>
      </c>
      <c r="E251" t="b">
        <v>0</v>
      </c>
      <c r="F251" s="2">
        <v>2</v>
      </c>
      <c r="G251" s="2">
        <v>3</v>
      </c>
      <c r="H251" s="23">
        <v>0.16</v>
      </c>
      <c r="I251" s="25">
        <v>0.18179999999999999</v>
      </c>
      <c r="J251" s="23">
        <v>0.93</v>
      </c>
      <c r="K251" s="25">
        <v>0.1045</v>
      </c>
      <c r="L251" s="2">
        <v>1</v>
      </c>
      <c r="M251" s="2">
        <v>94</v>
      </c>
      <c r="N251" s="2">
        <v>95</v>
      </c>
    </row>
    <row r="252" spans="1:14" x14ac:dyDescent="0.3">
      <c r="A252" s="2">
        <v>251</v>
      </c>
      <c r="B252" s="1">
        <v>40554</v>
      </c>
      <c r="C252" s="2">
        <v>1</v>
      </c>
      <c r="D252" s="2">
        <v>19</v>
      </c>
      <c r="E252" t="b">
        <v>0</v>
      </c>
      <c r="F252" s="2">
        <v>2</v>
      </c>
      <c r="G252" s="2">
        <v>3</v>
      </c>
      <c r="H252" s="23">
        <v>0.16</v>
      </c>
      <c r="I252" s="25">
        <v>0.2273</v>
      </c>
      <c r="J252" s="23">
        <v>0.93</v>
      </c>
      <c r="K252" s="25">
        <v>0</v>
      </c>
      <c r="L252" s="2">
        <v>0</v>
      </c>
      <c r="M252" s="2">
        <v>51</v>
      </c>
      <c r="N252" s="2">
        <v>51</v>
      </c>
    </row>
    <row r="253" spans="1:14" x14ac:dyDescent="0.3">
      <c r="A253" s="2">
        <v>252</v>
      </c>
      <c r="B253" s="1">
        <v>40554</v>
      </c>
      <c r="C253" s="2">
        <v>1</v>
      </c>
      <c r="D253" s="2">
        <v>20</v>
      </c>
      <c r="E253" t="b">
        <v>0</v>
      </c>
      <c r="F253" s="2">
        <v>2</v>
      </c>
      <c r="G253" s="2">
        <v>3</v>
      </c>
      <c r="H253" s="23">
        <v>0.16</v>
      </c>
      <c r="I253" s="25">
        <v>0.1515</v>
      </c>
      <c r="J253" s="23">
        <v>0.93</v>
      </c>
      <c r="K253" s="25">
        <v>0.19400000000000001</v>
      </c>
      <c r="L253" s="2">
        <v>0</v>
      </c>
      <c r="M253" s="2">
        <v>32</v>
      </c>
      <c r="N253" s="2">
        <v>32</v>
      </c>
    </row>
    <row r="254" spans="1:14" x14ac:dyDescent="0.3">
      <c r="A254" s="2">
        <v>253</v>
      </c>
      <c r="B254" s="1">
        <v>40554</v>
      </c>
      <c r="C254" s="2">
        <v>1</v>
      </c>
      <c r="D254" s="2">
        <v>21</v>
      </c>
      <c r="E254" t="b">
        <v>0</v>
      </c>
      <c r="F254" s="2">
        <v>2</v>
      </c>
      <c r="G254" s="2">
        <v>3</v>
      </c>
      <c r="H254" s="23">
        <v>0.16</v>
      </c>
      <c r="I254" s="25">
        <v>0.19700000000000001</v>
      </c>
      <c r="J254" s="23">
        <v>0.86</v>
      </c>
      <c r="K254" s="25">
        <v>8.9599999999999999E-2</v>
      </c>
      <c r="L254" s="2">
        <v>0</v>
      </c>
      <c r="M254" s="2">
        <v>20</v>
      </c>
      <c r="N254" s="2">
        <v>20</v>
      </c>
    </row>
    <row r="255" spans="1:14" x14ac:dyDescent="0.3">
      <c r="A255" s="2">
        <v>254</v>
      </c>
      <c r="B255" s="1">
        <v>40554</v>
      </c>
      <c r="C255" s="2">
        <v>1</v>
      </c>
      <c r="D255" s="2">
        <v>22</v>
      </c>
      <c r="E255" t="b">
        <v>0</v>
      </c>
      <c r="F255" s="2">
        <v>2</v>
      </c>
      <c r="G255" s="2">
        <v>3</v>
      </c>
      <c r="H255" s="23">
        <v>0.16</v>
      </c>
      <c r="I255" s="25">
        <v>0.18179999999999999</v>
      </c>
      <c r="J255" s="23">
        <v>0.93</v>
      </c>
      <c r="K255" s="25">
        <v>0.1045</v>
      </c>
      <c r="L255" s="2">
        <v>1</v>
      </c>
      <c r="M255" s="2">
        <v>28</v>
      </c>
      <c r="N255" s="2">
        <v>29</v>
      </c>
    </row>
    <row r="256" spans="1:14" x14ac:dyDescent="0.3">
      <c r="A256" s="2">
        <v>255</v>
      </c>
      <c r="B256" s="1">
        <v>40554</v>
      </c>
      <c r="C256" s="2">
        <v>1</v>
      </c>
      <c r="D256" s="2">
        <v>23</v>
      </c>
      <c r="E256" t="b">
        <v>0</v>
      </c>
      <c r="F256" s="2">
        <v>2</v>
      </c>
      <c r="G256" s="2">
        <v>3</v>
      </c>
      <c r="H256" s="23">
        <v>0.16</v>
      </c>
      <c r="I256" s="25">
        <v>0.19700000000000001</v>
      </c>
      <c r="J256" s="23">
        <v>0.93</v>
      </c>
      <c r="K256" s="25">
        <v>8.9599999999999999E-2</v>
      </c>
      <c r="L256" s="2">
        <v>1</v>
      </c>
      <c r="M256" s="2">
        <v>18</v>
      </c>
      <c r="N256" s="2">
        <v>19</v>
      </c>
    </row>
    <row r="257" spans="1:14" x14ac:dyDescent="0.3">
      <c r="A257" s="2">
        <v>256</v>
      </c>
      <c r="B257" s="1">
        <v>40555</v>
      </c>
      <c r="C257" s="2">
        <v>1</v>
      </c>
      <c r="D257" s="2">
        <v>0</v>
      </c>
      <c r="E257" t="b">
        <v>0</v>
      </c>
      <c r="F257" s="2">
        <v>3</v>
      </c>
      <c r="G257" s="2">
        <v>2</v>
      </c>
      <c r="H257" s="23">
        <v>0.16</v>
      </c>
      <c r="I257" s="25">
        <v>0.19700000000000001</v>
      </c>
      <c r="J257" s="23">
        <v>0.86</v>
      </c>
      <c r="K257" s="25">
        <v>8.9599999999999999E-2</v>
      </c>
      <c r="L257" s="2">
        <v>0</v>
      </c>
      <c r="M257" s="2">
        <v>7</v>
      </c>
      <c r="N257" s="2">
        <v>7</v>
      </c>
    </row>
    <row r="258" spans="1:14" x14ac:dyDescent="0.3">
      <c r="A258" s="2">
        <v>257</v>
      </c>
      <c r="B258" s="1">
        <v>40555</v>
      </c>
      <c r="C258" s="2">
        <v>1</v>
      </c>
      <c r="D258" s="2">
        <v>1</v>
      </c>
      <c r="E258" t="b">
        <v>0</v>
      </c>
      <c r="F258" s="2">
        <v>3</v>
      </c>
      <c r="G258" s="2">
        <v>2</v>
      </c>
      <c r="H258" s="23">
        <v>0.16</v>
      </c>
      <c r="I258" s="25">
        <v>0.18179999999999999</v>
      </c>
      <c r="J258" s="23">
        <v>0.86</v>
      </c>
      <c r="K258" s="25">
        <v>0.1045</v>
      </c>
      <c r="L258" s="2">
        <v>0</v>
      </c>
      <c r="M258" s="2">
        <v>6</v>
      </c>
      <c r="N258" s="2">
        <v>6</v>
      </c>
    </row>
    <row r="259" spans="1:14" x14ac:dyDescent="0.3">
      <c r="A259" s="2">
        <v>258</v>
      </c>
      <c r="B259" s="1">
        <v>40555</v>
      </c>
      <c r="C259" s="2">
        <v>1</v>
      </c>
      <c r="D259" s="2">
        <v>2</v>
      </c>
      <c r="E259" t="b">
        <v>0</v>
      </c>
      <c r="F259" s="2">
        <v>3</v>
      </c>
      <c r="G259" s="2">
        <v>1</v>
      </c>
      <c r="H259" s="23">
        <v>0.14000000000000001</v>
      </c>
      <c r="I259" s="25">
        <v>0.1515</v>
      </c>
      <c r="J259" s="23">
        <v>0.86</v>
      </c>
      <c r="K259" s="25">
        <v>0.1343</v>
      </c>
      <c r="L259" s="2">
        <v>0</v>
      </c>
      <c r="M259" s="2">
        <v>1</v>
      </c>
      <c r="N259" s="2">
        <v>1</v>
      </c>
    </row>
    <row r="260" spans="1:14" x14ac:dyDescent="0.3">
      <c r="A260" s="2">
        <v>259</v>
      </c>
      <c r="B260" s="1">
        <v>40555</v>
      </c>
      <c r="C260" s="2">
        <v>1</v>
      </c>
      <c r="D260" s="2">
        <v>5</v>
      </c>
      <c r="E260" t="b">
        <v>0</v>
      </c>
      <c r="F260" s="2">
        <v>3</v>
      </c>
      <c r="G260" s="2">
        <v>1</v>
      </c>
      <c r="H260" s="23">
        <v>0.14000000000000001</v>
      </c>
      <c r="I260" s="25">
        <v>0.1515</v>
      </c>
      <c r="J260" s="23">
        <v>0.86</v>
      </c>
      <c r="K260" s="25">
        <v>0.16420000000000001</v>
      </c>
      <c r="L260" s="2">
        <v>0</v>
      </c>
      <c r="M260" s="2">
        <v>5</v>
      </c>
      <c r="N260" s="2">
        <v>5</v>
      </c>
    </row>
    <row r="261" spans="1:14" x14ac:dyDescent="0.3">
      <c r="A261" s="2">
        <v>260</v>
      </c>
      <c r="B261" s="1">
        <v>40555</v>
      </c>
      <c r="C261" s="2">
        <v>1</v>
      </c>
      <c r="D261" s="2">
        <v>6</v>
      </c>
      <c r="E261" t="b">
        <v>0</v>
      </c>
      <c r="F261" s="2">
        <v>3</v>
      </c>
      <c r="G261" s="2">
        <v>1</v>
      </c>
      <c r="H261" s="23">
        <v>0.12</v>
      </c>
      <c r="I261" s="25">
        <v>0.1515</v>
      </c>
      <c r="J261" s="23">
        <v>0.93</v>
      </c>
      <c r="K261" s="25">
        <v>0.1343</v>
      </c>
      <c r="L261" s="2">
        <v>0</v>
      </c>
      <c r="M261" s="2">
        <v>16</v>
      </c>
      <c r="N261" s="2">
        <v>16</v>
      </c>
    </row>
    <row r="262" spans="1:14" x14ac:dyDescent="0.3">
      <c r="A262" s="2">
        <v>261</v>
      </c>
      <c r="B262" s="1">
        <v>40555</v>
      </c>
      <c r="C262" s="2">
        <v>1</v>
      </c>
      <c r="D262" s="2">
        <v>7</v>
      </c>
      <c r="E262" t="b">
        <v>0</v>
      </c>
      <c r="F262" s="2">
        <v>3</v>
      </c>
      <c r="G262" s="2">
        <v>1</v>
      </c>
      <c r="H262" s="23">
        <v>0.14000000000000001</v>
      </c>
      <c r="I262" s="25">
        <v>0.1515</v>
      </c>
      <c r="J262" s="23">
        <v>0.69</v>
      </c>
      <c r="K262" s="25">
        <v>0.1343</v>
      </c>
      <c r="L262" s="2">
        <v>0</v>
      </c>
      <c r="M262" s="2">
        <v>54</v>
      </c>
      <c r="N262" s="2">
        <v>54</v>
      </c>
    </row>
    <row r="263" spans="1:14" x14ac:dyDescent="0.3">
      <c r="A263" s="2">
        <v>262</v>
      </c>
      <c r="B263" s="1">
        <v>40555</v>
      </c>
      <c r="C263" s="2">
        <v>1</v>
      </c>
      <c r="D263" s="2">
        <v>8</v>
      </c>
      <c r="E263" t="b">
        <v>0</v>
      </c>
      <c r="F263" s="2">
        <v>3</v>
      </c>
      <c r="G263" s="2">
        <v>1</v>
      </c>
      <c r="H263" s="23">
        <v>0.16</v>
      </c>
      <c r="I263" s="25">
        <v>0.16669999999999999</v>
      </c>
      <c r="J263" s="23">
        <v>0.59</v>
      </c>
      <c r="K263" s="25">
        <v>0.16420000000000001</v>
      </c>
      <c r="L263" s="2">
        <v>3</v>
      </c>
      <c r="M263" s="2">
        <v>125</v>
      </c>
      <c r="N263" s="2">
        <v>128</v>
      </c>
    </row>
    <row r="264" spans="1:14" x14ac:dyDescent="0.3">
      <c r="A264" s="2">
        <v>263</v>
      </c>
      <c r="B264" s="1">
        <v>40555</v>
      </c>
      <c r="C264" s="2">
        <v>1</v>
      </c>
      <c r="D264" s="2">
        <v>9</v>
      </c>
      <c r="E264" t="b">
        <v>0</v>
      </c>
      <c r="F264" s="2">
        <v>3</v>
      </c>
      <c r="G264" s="2">
        <v>1</v>
      </c>
      <c r="H264" s="23">
        <v>0.16</v>
      </c>
      <c r="I264" s="25">
        <v>0.13639999999999999</v>
      </c>
      <c r="J264" s="23">
        <v>0.59</v>
      </c>
      <c r="K264" s="25">
        <v>0.32840000000000003</v>
      </c>
      <c r="L264" s="2">
        <v>3</v>
      </c>
      <c r="M264" s="2">
        <v>78</v>
      </c>
      <c r="N264" s="2">
        <v>81</v>
      </c>
    </row>
    <row r="265" spans="1:14" x14ac:dyDescent="0.3">
      <c r="A265" s="2">
        <v>264</v>
      </c>
      <c r="B265" s="1">
        <v>40555</v>
      </c>
      <c r="C265" s="2">
        <v>1</v>
      </c>
      <c r="D265" s="2">
        <v>10</v>
      </c>
      <c r="E265" t="b">
        <v>0</v>
      </c>
      <c r="F265" s="2">
        <v>3</v>
      </c>
      <c r="G265" s="2">
        <v>1</v>
      </c>
      <c r="H265" s="23">
        <v>0.18</v>
      </c>
      <c r="I265" s="25">
        <v>0.18179999999999999</v>
      </c>
      <c r="J265" s="23">
        <v>0.55000000000000004</v>
      </c>
      <c r="K265" s="25">
        <v>0.22389999999999999</v>
      </c>
      <c r="L265" s="2">
        <v>0</v>
      </c>
      <c r="M265" s="2">
        <v>39</v>
      </c>
      <c r="N265" s="2">
        <v>39</v>
      </c>
    </row>
    <row r="266" spans="1:14" x14ac:dyDescent="0.3">
      <c r="A266" s="2">
        <v>265</v>
      </c>
      <c r="B266" s="1">
        <v>40555</v>
      </c>
      <c r="C266" s="2">
        <v>1</v>
      </c>
      <c r="D266" s="2">
        <v>11</v>
      </c>
      <c r="E266" t="b">
        <v>0</v>
      </c>
      <c r="F266" s="2">
        <v>3</v>
      </c>
      <c r="G266" s="2">
        <v>1</v>
      </c>
      <c r="H266" s="23">
        <v>0.2</v>
      </c>
      <c r="I266" s="25">
        <v>0.18179999999999999</v>
      </c>
      <c r="J266" s="23">
        <v>0.51</v>
      </c>
      <c r="K266" s="25">
        <v>0.3881</v>
      </c>
      <c r="L266" s="2">
        <v>3</v>
      </c>
      <c r="M266" s="2">
        <v>32</v>
      </c>
      <c r="N266" s="2">
        <v>35</v>
      </c>
    </row>
    <row r="267" spans="1:14" x14ac:dyDescent="0.3">
      <c r="A267" s="2">
        <v>266</v>
      </c>
      <c r="B267" s="1">
        <v>40555</v>
      </c>
      <c r="C267" s="2">
        <v>1</v>
      </c>
      <c r="D267" s="2">
        <v>12</v>
      </c>
      <c r="E267" t="b">
        <v>0</v>
      </c>
      <c r="F267" s="2">
        <v>3</v>
      </c>
      <c r="G267" s="2">
        <v>1</v>
      </c>
      <c r="H267" s="23">
        <v>0.2</v>
      </c>
      <c r="I267" s="25">
        <v>0.1515</v>
      </c>
      <c r="J267" s="23">
        <v>0.47</v>
      </c>
      <c r="K267" s="25">
        <v>0.58209999999999995</v>
      </c>
      <c r="L267" s="2">
        <v>3</v>
      </c>
      <c r="M267" s="2">
        <v>52</v>
      </c>
      <c r="N267" s="2">
        <v>55</v>
      </c>
    </row>
    <row r="268" spans="1:14" x14ac:dyDescent="0.3">
      <c r="A268" s="2">
        <v>267</v>
      </c>
      <c r="B268" s="1">
        <v>40555</v>
      </c>
      <c r="C268" s="2">
        <v>1</v>
      </c>
      <c r="D268" s="2">
        <v>13</v>
      </c>
      <c r="E268" t="b">
        <v>0</v>
      </c>
      <c r="F268" s="2">
        <v>3</v>
      </c>
      <c r="G268" s="2">
        <v>1</v>
      </c>
      <c r="H268" s="23">
        <v>0.22</v>
      </c>
      <c r="I268" s="25">
        <v>0.19700000000000001</v>
      </c>
      <c r="J268" s="23">
        <v>0.44</v>
      </c>
      <c r="K268" s="25">
        <v>0.35820000000000002</v>
      </c>
      <c r="L268" s="2">
        <v>0</v>
      </c>
      <c r="M268" s="2">
        <v>49</v>
      </c>
      <c r="N268" s="2">
        <v>49</v>
      </c>
    </row>
    <row r="269" spans="1:14" x14ac:dyDescent="0.3">
      <c r="A269" s="2">
        <v>268</v>
      </c>
      <c r="B269" s="1">
        <v>40555</v>
      </c>
      <c r="C269" s="2">
        <v>1</v>
      </c>
      <c r="D269" s="2">
        <v>14</v>
      </c>
      <c r="E269" t="b">
        <v>0</v>
      </c>
      <c r="F269" s="2">
        <v>3</v>
      </c>
      <c r="G269" s="2">
        <v>1</v>
      </c>
      <c r="H269" s="23">
        <v>0.2</v>
      </c>
      <c r="I269" s="25">
        <v>0.18179999999999999</v>
      </c>
      <c r="J269" s="23">
        <v>0.47</v>
      </c>
      <c r="K269" s="25">
        <v>0.32840000000000003</v>
      </c>
      <c r="L269" s="2">
        <v>0</v>
      </c>
      <c r="M269" s="2">
        <v>44</v>
      </c>
      <c r="N269" s="2">
        <v>44</v>
      </c>
    </row>
    <row r="270" spans="1:14" x14ac:dyDescent="0.3">
      <c r="A270" s="2">
        <v>269</v>
      </c>
      <c r="B270" s="1">
        <v>40555</v>
      </c>
      <c r="C270" s="2">
        <v>1</v>
      </c>
      <c r="D270" s="2">
        <v>15</v>
      </c>
      <c r="E270" t="b">
        <v>0</v>
      </c>
      <c r="F270" s="2">
        <v>3</v>
      </c>
      <c r="G270" s="2">
        <v>1</v>
      </c>
      <c r="H270" s="23">
        <v>0.2</v>
      </c>
      <c r="I270" s="25">
        <v>0.16669999999999999</v>
      </c>
      <c r="J270" s="23">
        <v>0.47</v>
      </c>
      <c r="K270" s="25">
        <v>0.41789999999999999</v>
      </c>
      <c r="L270" s="2">
        <v>1</v>
      </c>
      <c r="M270" s="2">
        <v>48</v>
      </c>
      <c r="N270" s="2">
        <v>49</v>
      </c>
    </row>
    <row r="271" spans="1:14" x14ac:dyDescent="0.3">
      <c r="A271" s="2">
        <v>270</v>
      </c>
      <c r="B271" s="1">
        <v>40555</v>
      </c>
      <c r="C271" s="2">
        <v>1</v>
      </c>
      <c r="D271" s="2">
        <v>16</v>
      </c>
      <c r="E271" t="b">
        <v>0</v>
      </c>
      <c r="F271" s="2">
        <v>3</v>
      </c>
      <c r="G271" s="2">
        <v>1</v>
      </c>
      <c r="H271" s="23">
        <v>0.22</v>
      </c>
      <c r="I271" s="25">
        <v>0.19700000000000001</v>
      </c>
      <c r="J271" s="23">
        <v>0.44</v>
      </c>
      <c r="K271" s="25">
        <v>0.32840000000000003</v>
      </c>
      <c r="L271" s="2">
        <v>5</v>
      </c>
      <c r="M271" s="2">
        <v>63</v>
      </c>
      <c r="N271" s="2">
        <v>68</v>
      </c>
    </row>
    <row r="272" spans="1:14" x14ac:dyDescent="0.3">
      <c r="A272" s="2">
        <v>271</v>
      </c>
      <c r="B272" s="1">
        <v>40555</v>
      </c>
      <c r="C272" s="2">
        <v>1</v>
      </c>
      <c r="D272" s="2">
        <v>17</v>
      </c>
      <c r="E272" t="b">
        <v>0</v>
      </c>
      <c r="F272" s="2">
        <v>3</v>
      </c>
      <c r="G272" s="2">
        <v>1</v>
      </c>
      <c r="H272" s="23">
        <v>0.2</v>
      </c>
      <c r="I272" s="25">
        <v>0.18179999999999999</v>
      </c>
      <c r="J272" s="23">
        <v>0.47</v>
      </c>
      <c r="K272" s="25">
        <v>0.35820000000000002</v>
      </c>
      <c r="L272" s="2">
        <v>0</v>
      </c>
      <c r="M272" s="2">
        <v>139</v>
      </c>
      <c r="N272" s="2">
        <v>139</v>
      </c>
    </row>
    <row r="273" spans="1:14" x14ac:dyDescent="0.3">
      <c r="A273" s="2">
        <v>272</v>
      </c>
      <c r="B273" s="1">
        <v>40555</v>
      </c>
      <c r="C273" s="2">
        <v>1</v>
      </c>
      <c r="D273" s="2">
        <v>18</v>
      </c>
      <c r="E273" t="b">
        <v>0</v>
      </c>
      <c r="F273" s="2">
        <v>3</v>
      </c>
      <c r="G273" s="2">
        <v>1</v>
      </c>
      <c r="H273" s="23">
        <v>0.2</v>
      </c>
      <c r="I273" s="25">
        <v>0.1515</v>
      </c>
      <c r="J273" s="23">
        <v>0.47</v>
      </c>
      <c r="K273" s="25">
        <v>0.52239999999999998</v>
      </c>
      <c r="L273" s="2">
        <v>2</v>
      </c>
      <c r="M273" s="2">
        <v>135</v>
      </c>
      <c r="N273" s="2">
        <v>137</v>
      </c>
    </row>
    <row r="274" spans="1:14" x14ac:dyDescent="0.3">
      <c r="A274" s="2">
        <v>273</v>
      </c>
      <c r="B274" s="1">
        <v>40555</v>
      </c>
      <c r="C274" s="2">
        <v>1</v>
      </c>
      <c r="D274" s="2">
        <v>19</v>
      </c>
      <c r="E274" t="b">
        <v>0</v>
      </c>
      <c r="F274" s="2">
        <v>3</v>
      </c>
      <c r="G274" s="2">
        <v>1</v>
      </c>
      <c r="H274" s="23">
        <v>0.18</v>
      </c>
      <c r="I274" s="25">
        <v>0.1515</v>
      </c>
      <c r="J274" s="23">
        <v>0.47</v>
      </c>
      <c r="K274" s="25">
        <v>0.41789999999999999</v>
      </c>
      <c r="L274" s="2">
        <v>1</v>
      </c>
      <c r="M274" s="2">
        <v>82</v>
      </c>
      <c r="N274" s="2">
        <v>83</v>
      </c>
    </row>
    <row r="275" spans="1:14" x14ac:dyDescent="0.3">
      <c r="A275" s="2">
        <v>274</v>
      </c>
      <c r="B275" s="1">
        <v>40555</v>
      </c>
      <c r="C275" s="2">
        <v>1</v>
      </c>
      <c r="D275" s="2">
        <v>20</v>
      </c>
      <c r="E275" t="b">
        <v>0</v>
      </c>
      <c r="F275" s="2">
        <v>3</v>
      </c>
      <c r="G275" s="2">
        <v>1</v>
      </c>
      <c r="H275" s="23">
        <v>0.16</v>
      </c>
      <c r="I275" s="25">
        <v>0.13639999999999999</v>
      </c>
      <c r="J275" s="23">
        <v>0.5</v>
      </c>
      <c r="K275" s="25">
        <v>0.32840000000000003</v>
      </c>
      <c r="L275" s="2">
        <v>2</v>
      </c>
      <c r="M275" s="2">
        <v>54</v>
      </c>
      <c r="N275" s="2">
        <v>56</v>
      </c>
    </row>
    <row r="276" spans="1:14" x14ac:dyDescent="0.3">
      <c r="A276" s="2">
        <v>275</v>
      </c>
      <c r="B276" s="1">
        <v>40555</v>
      </c>
      <c r="C276" s="2">
        <v>1</v>
      </c>
      <c r="D276" s="2">
        <v>21</v>
      </c>
      <c r="E276" t="b">
        <v>0</v>
      </c>
      <c r="F276" s="2">
        <v>3</v>
      </c>
      <c r="G276" s="2">
        <v>1</v>
      </c>
      <c r="H276" s="23">
        <v>0.16</v>
      </c>
      <c r="I276" s="25">
        <v>0.13639999999999999</v>
      </c>
      <c r="J276" s="23">
        <v>0.55000000000000004</v>
      </c>
      <c r="K276" s="25">
        <v>0.32840000000000003</v>
      </c>
      <c r="L276" s="2">
        <v>0</v>
      </c>
      <c r="M276" s="2">
        <v>57</v>
      </c>
      <c r="N276" s="2">
        <v>57</v>
      </c>
    </row>
    <row r="277" spans="1:14" x14ac:dyDescent="0.3">
      <c r="A277" s="2">
        <v>276</v>
      </c>
      <c r="B277" s="1">
        <v>40555</v>
      </c>
      <c r="C277" s="2">
        <v>1</v>
      </c>
      <c r="D277" s="2">
        <v>22</v>
      </c>
      <c r="E277" t="b">
        <v>0</v>
      </c>
      <c r="F277" s="2">
        <v>3</v>
      </c>
      <c r="G277" s="2">
        <v>1</v>
      </c>
      <c r="H277" s="23">
        <v>0.16</v>
      </c>
      <c r="I277" s="25">
        <v>0.1212</v>
      </c>
      <c r="J277" s="23">
        <v>0.55000000000000004</v>
      </c>
      <c r="K277" s="25">
        <v>0.44779999999999998</v>
      </c>
      <c r="L277" s="2">
        <v>1</v>
      </c>
      <c r="M277" s="2">
        <v>32</v>
      </c>
      <c r="N277" s="2">
        <v>33</v>
      </c>
    </row>
    <row r="278" spans="1:14" x14ac:dyDescent="0.3">
      <c r="A278" s="2">
        <v>277</v>
      </c>
      <c r="B278" s="1">
        <v>40555</v>
      </c>
      <c r="C278" s="2">
        <v>1</v>
      </c>
      <c r="D278" s="2">
        <v>23</v>
      </c>
      <c r="E278" t="b">
        <v>0</v>
      </c>
      <c r="F278" s="2">
        <v>3</v>
      </c>
      <c r="G278" s="2">
        <v>1</v>
      </c>
      <c r="H278" s="23">
        <v>0.14000000000000001</v>
      </c>
      <c r="I278" s="25">
        <v>0.1061</v>
      </c>
      <c r="J278" s="23">
        <v>0.59</v>
      </c>
      <c r="K278" s="25">
        <v>0.41789999999999999</v>
      </c>
      <c r="L278" s="2">
        <v>1</v>
      </c>
      <c r="M278" s="2">
        <v>19</v>
      </c>
      <c r="N278" s="2">
        <v>20</v>
      </c>
    </row>
    <row r="279" spans="1:14" x14ac:dyDescent="0.3">
      <c r="A279" s="2">
        <v>278</v>
      </c>
      <c r="B279" s="1">
        <v>40556</v>
      </c>
      <c r="C279" s="2">
        <v>1</v>
      </c>
      <c r="D279" s="2">
        <v>0</v>
      </c>
      <c r="E279" t="b">
        <v>0</v>
      </c>
      <c r="F279" s="2">
        <v>4</v>
      </c>
      <c r="G279" s="2">
        <v>1</v>
      </c>
      <c r="H279" s="23">
        <v>0.14000000000000001</v>
      </c>
      <c r="I279" s="25">
        <v>0.1212</v>
      </c>
      <c r="J279" s="23">
        <v>0.59</v>
      </c>
      <c r="K279" s="25">
        <v>0.28360000000000002</v>
      </c>
      <c r="L279" s="2">
        <v>1</v>
      </c>
      <c r="M279" s="2">
        <v>6</v>
      </c>
      <c r="N279" s="2">
        <v>7</v>
      </c>
    </row>
    <row r="280" spans="1:14" x14ac:dyDescent="0.3">
      <c r="A280" s="2">
        <v>279</v>
      </c>
      <c r="B280" s="1">
        <v>40556</v>
      </c>
      <c r="C280" s="2">
        <v>1</v>
      </c>
      <c r="D280" s="2">
        <v>1</v>
      </c>
      <c r="E280" t="b">
        <v>0</v>
      </c>
      <c r="F280" s="2">
        <v>4</v>
      </c>
      <c r="G280" s="2">
        <v>1</v>
      </c>
      <c r="H280" s="23">
        <v>0.14000000000000001</v>
      </c>
      <c r="I280" s="25">
        <v>0.1212</v>
      </c>
      <c r="J280" s="23">
        <v>0.5</v>
      </c>
      <c r="K280" s="25">
        <v>0.28360000000000002</v>
      </c>
      <c r="L280" s="2">
        <v>0</v>
      </c>
      <c r="M280" s="2">
        <v>2</v>
      </c>
      <c r="N280" s="2">
        <v>2</v>
      </c>
    </row>
    <row r="281" spans="1:14" x14ac:dyDescent="0.3">
      <c r="A281" s="2">
        <v>280</v>
      </c>
      <c r="B281" s="1">
        <v>40556</v>
      </c>
      <c r="C281" s="2">
        <v>1</v>
      </c>
      <c r="D281" s="2">
        <v>2</v>
      </c>
      <c r="E281" t="b">
        <v>0</v>
      </c>
      <c r="F281" s="2">
        <v>4</v>
      </c>
      <c r="G281" s="2">
        <v>1</v>
      </c>
      <c r="H281" s="23">
        <v>0.14000000000000001</v>
      </c>
      <c r="I281" s="25">
        <v>0.1212</v>
      </c>
      <c r="J281" s="23">
        <v>0.5</v>
      </c>
      <c r="K281" s="25">
        <v>0.35820000000000002</v>
      </c>
      <c r="L281" s="2">
        <v>0</v>
      </c>
      <c r="M281" s="2">
        <v>2</v>
      </c>
      <c r="N281" s="2">
        <v>2</v>
      </c>
    </row>
    <row r="282" spans="1:14" x14ac:dyDescent="0.3">
      <c r="A282" s="2">
        <v>281</v>
      </c>
      <c r="B282" s="1">
        <v>40556</v>
      </c>
      <c r="C282" s="2">
        <v>1</v>
      </c>
      <c r="D282" s="2">
        <v>3</v>
      </c>
      <c r="E282" t="b">
        <v>0</v>
      </c>
      <c r="F282" s="2">
        <v>4</v>
      </c>
      <c r="G282" s="2">
        <v>1</v>
      </c>
      <c r="H282" s="23">
        <v>0.14000000000000001</v>
      </c>
      <c r="I282" s="25">
        <v>0.1212</v>
      </c>
      <c r="J282" s="23">
        <v>0.5</v>
      </c>
      <c r="K282" s="25">
        <v>0.32840000000000003</v>
      </c>
      <c r="L282" s="2">
        <v>0</v>
      </c>
      <c r="M282" s="2">
        <v>3</v>
      </c>
      <c r="N282" s="2">
        <v>3</v>
      </c>
    </row>
    <row r="283" spans="1:14" x14ac:dyDescent="0.3">
      <c r="A283" s="2">
        <v>282</v>
      </c>
      <c r="B283" s="1">
        <v>40556</v>
      </c>
      <c r="C283" s="2">
        <v>1</v>
      </c>
      <c r="D283" s="2">
        <v>4</v>
      </c>
      <c r="E283" t="b">
        <v>0</v>
      </c>
      <c r="F283" s="2">
        <v>4</v>
      </c>
      <c r="G283" s="2">
        <v>1</v>
      </c>
      <c r="H283" s="23">
        <v>0.14000000000000001</v>
      </c>
      <c r="I283" s="25">
        <v>0.1212</v>
      </c>
      <c r="J283" s="23">
        <v>0.5</v>
      </c>
      <c r="K283" s="25">
        <v>0.25369999999999998</v>
      </c>
      <c r="L283" s="2">
        <v>0</v>
      </c>
      <c r="M283" s="2">
        <v>4</v>
      </c>
      <c r="N283" s="2">
        <v>4</v>
      </c>
    </row>
    <row r="284" spans="1:14" x14ac:dyDescent="0.3">
      <c r="A284" s="2">
        <v>283</v>
      </c>
      <c r="B284" s="1">
        <v>40556</v>
      </c>
      <c r="C284" s="2">
        <v>1</v>
      </c>
      <c r="D284" s="2">
        <v>5</v>
      </c>
      <c r="E284" t="b">
        <v>0</v>
      </c>
      <c r="F284" s="2">
        <v>4</v>
      </c>
      <c r="G284" s="2">
        <v>1</v>
      </c>
      <c r="H284" s="23">
        <v>0.14000000000000001</v>
      </c>
      <c r="I284" s="25">
        <v>0.1212</v>
      </c>
      <c r="J284" s="23">
        <v>0.5</v>
      </c>
      <c r="K284" s="25">
        <v>0.29849999999999999</v>
      </c>
      <c r="L284" s="2">
        <v>0</v>
      </c>
      <c r="M284" s="2">
        <v>3</v>
      </c>
      <c r="N284" s="2">
        <v>3</v>
      </c>
    </row>
    <row r="285" spans="1:14" x14ac:dyDescent="0.3">
      <c r="A285" s="2">
        <v>284</v>
      </c>
      <c r="B285" s="1">
        <v>40556</v>
      </c>
      <c r="C285" s="2">
        <v>1</v>
      </c>
      <c r="D285" s="2">
        <v>6</v>
      </c>
      <c r="E285" t="b">
        <v>0</v>
      </c>
      <c r="F285" s="2">
        <v>4</v>
      </c>
      <c r="G285" s="2">
        <v>1</v>
      </c>
      <c r="H285" s="23">
        <v>0.12</v>
      </c>
      <c r="I285" s="25">
        <v>0.1515</v>
      </c>
      <c r="J285" s="23">
        <v>0.54</v>
      </c>
      <c r="K285" s="25">
        <v>0.1343</v>
      </c>
      <c r="L285" s="2">
        <v>0</v>
      </c>
      <c r="M285" s="2">
        <v>28</v>
      </c>
      <c r="N285" s="2">
        <v>28</v>
      </c>
    </row>
    <row r="286" spans="1:14" x14ac:dyDescent="0.3">
      <c r="A286" s="2">
        <v>285</v>
      </c>
      <c r="B286" s="1">
        <v>40556</v>
      </c>
      <c r="C286" s="2">
        <v>1</v>
      </c>
      <c r="D286" s="2">
        <v>7</v>
      </c>
      <c r="E286" t="b">
        <v>0</v>
      </c>
      <c r="F286" s="2">
        <v>4</v>
      </c>
      <c r="G286" s="2">
        <v>1</v>
      </c>
      <c r="H286" s="23">
        <v>0.12</v>
      </c>
      <c r="I286" s="25">
        <v>0.1515</v>
      </c>
      <c r="J286" s="23">
        <v>0.54</v>
      </c>
      <c r="K286" s="25">
        <v>0.1343</v>
      </c>
      <c r="L286" s="2">
        <v>0</v>
      </c>
      <c r="M286" s="2">
        <v>72</v>
      </c>
      <c r="N286" s="2">
        <v>72</v>
      </c>
    </row>
    <row r="287" spans="1:14" x14ac:dyDescent="0.3">
      <c r="A287" s="2">
        <v>286</v>
      </c>
      <c r="B287" s="1">
        <v>40556</v>
      </c>
      <c r="C287" s="2">
        <v>1</v>
      </c>
      <c r="D287" s="2">
        <v>8</v>
      </c>
      <c r="E287" t="b">
        <v>0</v>
      </c>
      <c r="F287" s="2">
        <v>4</v>
      </c>
      <c r="G287" s="2">
        <v>1</v>
      </c>
      <c r="H287" s="23">
        <v>0.14000000000000001</v>
      </c>
      <c r="I287" s="25">
        <v>0.13639999999999999</v>
      </c>
      <c r="J287" s="23">
        <v>0.5</v>
      </c>
      <c r="K287" s="25">
        <v>0.19400000000000001</v>
      </c>
      <c r="L287" s="2">
        <v>5</v>
      </c>
      <c r="M287" s="2">
        <v>197</v>
      </c>
      <c r="N287" s="2">
        <v>202</v>
      </c>
    </row>
    <row r="288" spans="1:14" x14ac:dyDescent="0.3">
      <c r="A288" s="2">
        <v>287</v>
      </c>
      <c r="B288" s="1">
        <v>40556</v>
      </c>
      <c r="C288" s="2">
        <v>1</v>
      </c>
      <c r="D288" s="2">
        <v>9</v>
      </c>
      <c r="E288" t="b">
        <v>0</v>
      </c>
      <c r="F288" s="2">
        <v>4</v>
      </c>
      <c r="G288" s="2">
        <v>1</v>
      </c>
      <c r="H288" s="23">
        <v>0.14000000000000001</v>
      </c>
      <c r="I288" s="25">
        <v>0.1212</v>
      </c>
      <c r="J288" s="23">
        <v>0.5</v>
      </c>
      <c r="K288" s="25">
        <v>0.32840000000000003</v>
      </c>
      <c r="L288" s="2">
        <v>2</v>
      </c>
      <c r="M288" s="2">
        <v>137</v>
      </c>
      <c r="N288" s="2">
        <v>139</v>
      </c>
    </row>
    <row r="289" spans="1:14" x14ac:dyDescent="0.3">
      <c r="A289" s="2">
        <v>288</v>
      </c>
      <c r="B289" s="1">
        <v>40556</v>
      </c>
      <c r="C289" s="2">
        <v>1</v>
      </c>
      <c r="D289" s="2">
        <v>10</v>
      </c>
      <c r="E289" t="b">
        <v>0</v>
      </c>
      <c r="F289" s="2">
        <v>4</v>
      </c>
      <c r="G289" s="2">
        <v>2</v>
      </c>
      <c r="H289" s="23">
        <v>0.16</v>
      </c>
      <c r="I289" s="25">
        <v>0.13639999999999999</v>
      </c>
      <c r="J289" s="23">
        <v>0.5</v>
      </c>
      <c r="K289" s="25">
        <v>0.35820000000000002</v>
      </c>
      <c r="L289" s="2">
        <v>2</v>
      </c>
      <c r="M289" s="2">
        <v>36</v>
      </c>
      <c r="N289" s="2">
        <v>38</v>
      </c>
    </row>
    <row r="290" spans="1:14" x14ac:dyDescent="0.3">
      <c r="A290" s="2">
        <v>289</v>
      </c>
      <c r="B290" s="1">
        <v>40556</v>
      </c>
      <c r="C290" s="2">
        <v>1</v>
      </c>
      <c r="D290" s="2">
        <v>11</v>
      </c>
      <c r="E290" t="b">
        <v>0</v>
      </c>
      <c r="F290" s="2">
        <v>4</v>
      </c>
      <c r="G290" s="2">
        <v>2</v>
      </c>
      <c r="H290" s="23">
        <v>0.2</v>
      </c>
      <c r="I290" s="25">
        <v>0.16669999999999999</v>
      </c>
      <c r="J290" s="23">
        <v>0.44</v>
      </c>
      <c r="K290" s="25">
        <v>0.44779999999999998</v>
      </c>
      <c r="L290" s="2">
        <v>4</v>
      </c>
      <c r="M290" s="2">
        <v>33</v>
      </c>
      <c r="N290" s="2">
        <v>37</v>
      </c>
    </row>
    <row r="291" spans="1:14" x14ac:dyDescent="0.3">
      <c r="A291" s="2">
        <v>290</v>
      </c>
      <c r="B291" s="1">
        <v>40556</v>
      </c>
      <c r="C291" s="2">
        <v>1</v>
      </c>
      <c r="D291" s="2">
        <v>12</v>
      </c>
      <c r="E291" t="b">
        <v>0</v>
      </c>
      <c r="F291" s="2">
        <v>4</v>
      </c>
      <c r="G291" s="2">
        <v>1</v>
      </c>
      <c r="H291" s="23">
        <v>0.2</v>
      </c>
      <c r="I291" s="25">
        <v>0.16669999999999999</v>
      </c>
      <c r="J291" s="23">
        <v>0.44</v>
      </c>
      <c r="K291" s="25">
        <v>0.41789999999999999</v>
      </c>
      <c r="L291" s="2">
        <v>3</v>
      </c>
      <c r="M291" s="2">
        <v>49</v>
      </c>
      <c r="N291" s="2">
        <v>52</v>
      </c>
    </row>
    <row r="292" spans="1:14" x14ac:dyDescent="0.3">
      <c r="A292" s="2">
        <v>291</v>
      </c>
      <c r="B292" s="1">
        <v>40556</v>
      </c>
      <c r="C292" s="2">
        <v>1</v>
      </c>
      <c r="D292" s="2">
        <v>13</v>
      </c>
      <c r="E292" t="b">
        <v>0</v>
      </c>
      <c r="F292" s="2">
        <v>4</v>
      </c>
      <c r="G292" s="2">
        <v>1</v>
      </c>
      <c r="H292" s="23">
        <v>0.22</v>
      </c>
      <c r="I292" s="25">
        <v>0.19700000000000001</v>
      </c>
      <c r="J292" s="23">
        <v>0.41</v>
      </c>
      <c r="K292" s="25">
        <v>0.44779999999999998</v>
      </c>
      <c r="L292" s="2">
        <v>2</v>
      </c>
      <c r="M292" s="2">
        <v>81</v>
      </c>
      <c r="N292" s="2">
        <v>83</v>
      </c>
    </row>
    <row r="293" spans="1:14" x14ac:dyDescent="0.3">
      <c r="A293" s="2">
        <v>292</v>
      </c>
      <c r="B293" s="1">
        <v>40556</v>
      </c>
      <c r="C293" s="2">
        <v>1</v>
      </c>
      <c r="D293" s="2">
        <v>14</v>
      </c>
      <c r="E293" t="b">
        <v>0</v>
      </c>
      <c r="F293" s="2">
        <v>4</v>
      </c>
      <c r="G293" s="2">
        <v>1</v>
      </c>
      <c r="H293" s="23">
        <v>0.22</v>
      </c>
      <c r="I293" s="25">
        <v>0.19700000000000001</v>
      </c>
      <c r="J293" s="23">
        <v>0.41</v>
      </c>
      <c r="K293" s="25">
        <v>0.3881</v>
      </c>
      <c r="L293" s="2">
        <v>3</v>
      </c>
      <c r="M293" s="2">
        <v>39</v>
      </c>
      <c r="N293" s="2">
        <v>42</v>
      </c>
    </row>
    <row r="294" spans="1:14" x14ac:dyDescent="0.3">
      <c r="A294" s="2">
        <v>293</v>
      </c>
      <c r="B294" s="1">
        <v>40556</v>
      </c>
      <c r="C294" s="2">
        <v>1</v>
      </c>
      <c r="D294" s="2">
        <v>15</v>
      </c>
      <c r="E294" t="b">
        <v>0</v>
      </c>
      <c r="F294" s="2">
        <v>4</v>
      </c>
      <c r="G294" s="2">
        <v>1</v>
      </c>
      <c r="H294" s="23">
        <v>0.24</v>
      </c>
      <c r="I294" s="25">
        <v>0.21210000000000001</v>
      </c>
      <c r="J294" s="23">
        <v>0.38</v>
      </c>
      <c r="K294" s="25">
        <v>0.29849999999999999</v>
      </c>
      <c r="L294" s="2">
        <v>5</v>
      </c>
      <c r="M294" s="2">
        <v>55</v>
      </c>
      <c r="N294" s="2">
        <v>60</v>
      </c>
    </row>
    <row r="295" spans="1:14" x14ac:dyDescent="0.3">
      <c r="A295" s="2">
        <v>294</v>
      </c>
      <c r="B295" s="1">
        <v>40556</v>
      </c>
      <c r="C295" s="2">
        <v>1</v>
      </c>
      <c r="D295" s="2">
        <v>16</v>
      </c>
      <c r="E295" t="b">
        <v>0</v>
      </c>
      <c r="F295" s="2">
        <v>4</v>
      </c>
      <c r="G295" s="2">
        <v>1</v>
      </c>
      <c r="H295" s="23">
        <v>0.24</v>
      </c>
      <c r="I295" s="25">
        <v>0.21210000000000001</v>
      </c>
      <c r="J295" s="23">
        <v>0.38</v>
      </c>
      <c r="K295" s="25">
        <v>0.35820000000000002</v>
      </c>
      <c r="L295" s="2">
        <v>2</v>
      </c>
      <c r="M295" s="2">
        <v>76</v>
      </c>
      <c r="N295" s="2">
        <v>78</v>
      </c>
    </row>
    <row r="296" spans="1:14" x14ac:dyDescent="0.3">
      <c r="A296" s="2">
        <v>295</v>
      </c>
      <c r="B296" s="1">
        <v>40556</v>
      </c>
      <c r="C296" s="2">
        <v>1</v>
      </c>
      <c r="D296" s="2">
        <v>17</v>
      </c>
      <c r="E296" t="b">
        <v>0</v>
      </c>
      <c r="F296" s="2">
        <v>4</v>
      </c>
      <c r="G296" s="2">
        <v>1</v>
      </c>
      <c r="H296" s="23">
        <v>0.2</v>
      </c>
      <c r="I296" s="25">
        <v>0.18179999999999999</v>
      </c>
      <c r="J296" s="23">
        <v>0.4</v>
      </c>
      <c r="K296" s="25">
        <v>0.28360000000000002</v>
      </c>
      <c r="L296" s="2">
        <v>4</v>
      </c>
      <c r="M296" s="2">
        <v>158</v>
      </c>
      <c r="N296" s="2">
        <v>162</v>
      </c>
    </row>
    <row r="297" spans="1:14" x14ac:dyDescent="0.3">
      <c r="A297" s="2">
        <v>296</v>
      </c>
      <c r="B297" s="1">
        <v>40556</v>
      </c>
      <c r="C297" s="2">
        <v>1</v>
      </c>
      <c r="D297" s="2">
        <v>18</v>
      </c>
      <c r="E297" t="b">
        <v>0</v>
      </c>
      <c r="F297" s="2">
        <v>4</v>
      </c>
      <c r="G297" s="2">
        <v>1</v>
      </c>
      <c r="H297" s="23">
        <v>0.2</v>
      </c>
      <c r="I297" s="25">
        <v>0.18179999999999999</v>
      </c>
      <c r="J297" s="23">
        <v>0.4</v>
      </c>
      <c r="K297" s="25">
        <v>0.32840000000000003</v>
      </c>
      <c r="L297" s="2">
        <v>3</v>
      </c>
      <c r="M297" s="2">
        <v>141</v>
      </c>
      <c r="N297" s="2">
        <v>144</v>
      </c>
    </row>
    <row r="298" spans="1:14" x14ac:dyDescent="0.3">
      <c r="A298" s="2">
        <v>297</v>
      </c>
      <c r="B298" s="1">
        <v>40556</v>
      </c>
      <c r="C298" s="2">
        <v>1</v>
      </c>
      <c r="D298" s="2">
        <v>19</v>
      </c>
      <c r="E298" t="b">
        <v>0</v>
      </c>
      <c r="F298" s="2">
        <v>4</v>
      </c>
      <c r="G298" s="2">
        <v>1</v>
      </c>
      <c r="H298" s="23">
        <v>0.16</v>
      </c>
      <c r="I298" s="25">
        <v>0.1515</v>
      </c>
      <c r="J298" s="23">
        <v>0.47</v>
      </c>
      <c r="K298" s="25">
        <v>0.25369999999999998</v>
      </c>
      <c r="L298" s="2">
        <v>1</v>
      </c>
      <c r="M298" s="2">
        <v>98</v>
      </c>
      <c r="N298" s="2">
        <v>99</v>
      </c>
    </row>
    <row r="299" spans="1:14" x14ac:dyDescent="0.3">
      <c r="A299" s="2">
        <v>298</v>
      </c>
      <c r="B299" s="1">
        <v>40556</v>
      </c>
      <c r="C299" s="2">
        <v>1</v>
      </c>
      <c r="D299" s="2">
        <v>20</v>
      </c>
      <c r="E299" t="b">
        <v>0</v>
      </c>
      <c r="F299" s="2">
        <v>4</v>
      </c>
      <c r="G299" s="2">
        <v>1</v>
      </c>
      <c r="H299" s="23">
        <v>0.16</v>
      </c>
      <c r="I299" s="25">
        <v>0.1515</v>
      </c>
      <c r="J299" s="23">
        <v>0.47</v>
      </c>
      <c r="K299" s="25">
        <v>0.22389999999999999</v>
      </c>
      <c r="L299" s="2">
        <v>0</v>
      </c>
      <c r="M299" s="2">
        <v>64</v>
      </c>
      <c r="N299" s="2">
        <v>64</v>
      </c>
    </row>
    <row r="300" spans="1:14" x14ac:dyDescent="0.3">
      <c r="A300" s="2">
        <v>299</v>
      </c>
      <c r="B300" s="1">
        <v>40556</v>
      </c>
      <c r="C300" s="2">
        <v>1</v>
      </c>
      <c r="D300" s="2">
        <v>21</v>
      </c>
      <c r="E300" t="b">
        <v>0</v>
      </c>
      <c r="F300" s="2">
        <v>4</v>
      </c>
      <c r="G300" s="2">
        <v>1</v>
      </c>
      <c r="H300" s="23">
        <v>0.14000000000000001</v>
      </c>
      <c r="I300" s="25">
        <v>0.1212</v>
      </c>
      <c r="J300" s="23">
        <v>0.46</v>
      </c>
      <c r="K300" s="25">
        <v>0.29849999999999999</v>
      </c>
      <c r="L300" s="2">
        <v>0</v>
      </c>
      <c r="M300" s="2">
        <v>40</v>
      </c>
      <c r="N300" s="2">
        <v>40</v>
      </c>
    </row>
    <row r="301" spans="1:14" x14ac:dyDescent="0.3">
      <c r="A301" s="2">
        <v>300</v>
      </c>
      <c r="B301" s="1">
        <v>40556</v>
      </c>
      <c r="C301" s="2">
        <v>1</v>
      </c>
      <c r="D301" s="2">
        <v>22</v>
      </c>
      <c r="E301" t="b">
        <v>0</v>
      </c>
      <c r="F301" s="2">
        <v>4</v>
      </c>
      <c r="G301" s="2">
        <v>1</v>
      </c>
      <c r="H301" s="23">
        <v>0.14000000000000001</v>
      </c>
      <c r="I301" s="25">
        <v>0.1212</v>
      </c>
      <c r="J301" s="23">
        <v>0.46</v>
      </c>
      <c r="K301" s="25">
        <v>0.32840000000000003</v>
      </c>
      <c r="L301" s="2">
        <v>0</v>
      </c>
      <c r="M301" s="2">
        <v>30</v>
      </c>
      <c r="N301" s="2">
        <v>30</v>
      </c>
    </row>
    <row r="302" spans="1:14" x14ac:dyDescent="0.3">
      <c r="A302" s="2">
        <v>301</v>
      </c>
      <c r="B302" s="1">
        <v>40556</v>
      </c>
      <c r="C302" s="2">
        <v>1</v>
      </c>
      <c r="D302" s="2">
        <v>23</v>
      </c>
      <c r="E302" t="b">
        <v>0</v>
      </c>
      <c r="F302" s="2">
        <v>4</v>
      </c>
      <c r="G302" s="2">
        <v>1</v>
      </c>
      <c r="H302" s="23">
        <v>0.12</v>
      </c>
      <c r="I302" s="25">
        <v>0.13639999999999999</v>
      </c>
      <c r="J302" s="23">
        <v>0.5</v>
      </c>
      <c r="K302" s="25">
        <v>0.19400000000000001</v>
      </c>
      <c r="L302" s="2">
        <v>1</v>
      </c>
      <c r="M302" s="2">
        <v>14</v>
      </c>
      <c r="N302" s="2">
        <v>15</v>
      </c>
    </row>
    <row r="303" spans="1:14" x14ac:dyDescent="0.3">
      <c r="A303" s="2">
        <v>302</v>
      </c>
      <c r="B303" s="1">
        <v>40557</v>
      </c>
      <c r="C303" s="2">
        <v>1</v>
      </c>
      <c r="D303" s="2">
        <v>0</v>
      </c>
      <c r="E303" t="b">
        <v>0</v>
      </c>
      <c r="F303" s="2">
        <v>5</v>
      </c>
      <c r="G303" s="2">
        <v>1</v>
      </c>
      <c r="H303" s="23">
        <v>0.12</v>
      </c>
      <c r="I303" s="25">
        <v>0.13639999999999999</v>
      </c>
      <c r="J303" s="23">
        <v>0.5</v>
      </c>
      <c r="K303" s="25">
        <v>0.19400000000000001</v>
      </c>
      <c r="L303" s="2">
        <v>0</v>
      </c>
      <c r="M303" s="2">
        <v>14</v>
      </c>
      <c r="N303" s="2">
        <v>14</v>
      </c>
    </row>
    <row r="304" spans="1:14" x14ac:dyDescent="0.3">
      <c r="A304" s="2">
        <v>303</v>
      </c>
      <c r="B304" s="1">
        <v>40557</v>
      </c>
      <c r="C304" s="2">
        <v>1</v>
      </c>
      <c r="D304" s="2">
        <v>1</v>
      </c>
      <c r="E304" t="b">
        <v>0</v>
      </c>
      <c r="F304" s="2">
        <v>5</v>
      </c>
      <c r="G304" s="2">
        <v>1</v>
      </c>
      <c r="H304" s="23">
        <v>0.1</v>
      </c>
      <c r="I304" s="25">
        <v>0.1212</v>
      </c>
      <c r="J304" s="23">
        <v>0.54</v>
      </c>
      <c r="K304" s="25">
        <v>0.16420000000000001</v>
      </c>
      <c r="L304" s="2">
        <v>0</v>
      </c>
      <c r="M304" s="2">
        <v>5</v>
      </c>
      <c r="N304" s="2">
        <v>5</v>
      </c>
    </row>
    <row r="305" spans="1:14" x14ac:dyDescent="0.3">
      <c r="A305" s="2">
        <v>304</v>
      </c>
      <c r="B305" s="1">
        <v>40557</v>
      </c>
      <c r="C305" s="2">
        <v>1</v>
      </c>
      <c r="D305" s="2">
        <v>2</v>
      </c>
      <c r="E305" t="b">
        <v>0</v>
      </c>
      <c r="F305" s="2">
        <v>5</v>
      </c>
      <c r="G305" s="2">
        <v>1</v>
      </c>
      <c r="H305" s="23">
        <v>0.1</v>
      </c>
      <c r="I305" s="25">
        <v>0.1212</v>
      </c>
      <c r="J305" s="23">
        <v>0.54</v>
      </c>
      <c r="K305" s="25">
        <v>0.1343</v>
      </c>
      <c r="L305" s="2">
        <v>0</v>
      </c>
      <c r="M305" s="2">
        <v>1</v>
      </c>
      <c r="N305" s="2">
        <v>1</v>
      </c>
    </row>
    <row r="306" spans="1:14" x14ac:dyDescent="0.3">
      <c r="A306" s="2">
        <v>305</v>
      </c>
      <c r="B306" s="1">
        <v>40557</v>
      </c>
      <c r="C306" s="2">
        <v>1</v>
      </c>
      <c r="D306" s="2">
        <v>3</v>
      </c>
      <c r="E306" t="b">
        <v>0</v>
      </c>
      <c r="F306" s="2">
        <v>5</v>
      </c>
      <c r="G306" s="2">
        <v>1</v>
      </c>
      <c r="H306" s="23">
        <v>0.1</v>
      </c>
      <c r="I306" s="25">
        <v>0.13639999999999999</v>
      </c>
      <c r="J306" s="23">
        <v>0.54</v>
      </c>
      <c r="K306" s="25">
        <v>0.1045</v>
      </c>
      <c r="L306" s="2">
        <v>0</v>
      </c>
      <c r="M306" s="2">
        <v>1</v>
      </c>
      <c r="N306" s="2">
        <v>1</v>
      </c>
    </row>
    <row r="307" spans="1:14" x14ac:dyDescent="0.3">
      <c r="A307" s="2">
        <v>306</v>
      </c>
      <c r="B307" s="1">
        <v>40557</v>
      </c>
      <c r="C307" s="2">
        <v>1</v>
      </c>
      <c r="D307" s="2">
        <v>5</v>
      </c>
      <c r="E307" t="b">
        <v>0</v>
      </c>
      <c r="F307" s="2">
        <v>5</v>
      </c>
      <c r="G307" s="2">
        <v>1</v>
      </c>
      <c r="H307" s="23">
        <v>0.1</v>
      </c>
      <c r="I307" s="25">
        <v>0.13639999999999999</v>
      </c>
      <c r="J307" s="23">
        <v>0.54</v>
      </c>
      <c r="K307" s="25">
        <v>8.9599999999999999E-2</v>
      </c>
      <c r="L307" s="2">
        <v>0</v>
      </c>
      <c r="M307" s="2">
        <v>8</v>
      </c>
      <c r="N307" s="2">
        <v>8</v>
      </c>
    </row>
    <row r="308" spans="1:14" x14ac:dyDescent="0.3">
      <c r="A308" s="2">
        <v>307</v>
      </c>
      <c r="B308" s="1">
        <v>40557</v>
      </c>
      <c r="C308" s="2">
        <v>1</v>
      </c>
      <c r="D308" s="2">
        <v>6</v>
      </c>
      <c r="E308" t="b">
        <v>0</v>
      </c>
      <c r="F308" s="2">
        <v>5</v>
      </c>
      <c r="G308" s="2">
        <v>1</v>
      </c>
      <c r="H308" s="23">
        <v>0.1</v>
      </c>
      <c r="I308" s="25">
        <v>0.18179999999999999</v>
      </c>
      <c r="J308" s="23">
        <v>0.54</v>
      </c>
      <c r="K308" s="25">
        <v>0</v>
      </c>
      <c r="L308" s="2">
        <v>0</v>
      </c>
      <c r="M308" s="2">
        <v>17</v>
      </c>
      <c r="N308" s="2">
        <v>17</v>
      </c>
    </row>
    <row r="309" spans="1:14" x14ac:dyDescent="0.3">
      <c r="A309" s="2">
        <v>308</v>
      </c>
      <c r="B309" s="1">
        <v>40557</v>
      </c>
      <c r="C309" s="2">
        <v>1</v>
      </c>
      <c r="D309" s="2">
        <v>7</v>
      </c>
      <c r="E309" t="b">
        <v>0</v>
      </c>
      <c r="F309" s="2">
        <v>5</v>
      </c>
      <c r="G309" s="2">
        <v>1</v>
      </c>
      <c r="H309" s="23">
        <v>0.1</v>
      </c>
      <c r="I309" s="25">
        <v>0.1212</v>
      </c>
      <c r="J309" s="23">
        <v>0.74</v>
      </c>
      <c r="K309" s="25">
        <v>0.16420000000000001</v>
      </c>
      <c r="L309" s="2">
        <v>0</v>
      </c>
      <c r="M309" s="2">
        <v>70</v>
      </c>
      <c r="N309" s="2">
        <v>70</v>
      </c>
    </row>
    <row r="310" spans="1:14" x14ac:dyDescent="0.3">
      <c r="A310" s="2">
        <v>309</v>
      </c>
      <c r="B310" s="1">
        <v>40557</v>
      </c>
      <c r="C310" s="2">
        <v>1</v>
      </c>
      <c r="D310" s="2">
        <v>8</v>
      </c>
      <c r="E310" t="b">
        <v>0</v>
      </c>
      <c r="F310" s="2">
        <v>5</v>
      </c>
      <c r="G310" s="2">
        <v>1</v>
      </c>
      <c r="H310" s="23">
        <v>0.12</v>
      </c>
      <c r="I310" s="25">
        <v>0.16669999999999999</v>
      </c>
      <c r="J310" s="23">
        <v>0.68</v>
      </c>
      <c r="K310" s="25">
        <v>0</v>
      </c>
      <c r="L310" s="2">
        <v>2</v>
      </c>
      <c r="M310" s="2">
        <v>156</v>
      </c>
      <c r="N310" s="2">
        <v>158</v>
      </c>
    </row>
    <row r="311" spans="1:14" x14ac:dyDescent="0.3">
      <c r="A311" s="2">
        <v>310</v>
      </c>
      <c r="B311" s="1">
        <v>40557</v>
      </c>
      <c r="C311" s="2">
        <v>1</v>
      </c>
      <c r="D311" s="2">
        <v>9</v>
      </c>
      <c r="E311" t="b">
        <v>0</v>
      </c>
      <c r="F311" s="2">
        <v>5</v>
      </c>
      <c r="G311" s="2">
        <v>1</v>
      </c>
      <c r="H311" s="23">
        <v>0.14000000000000001</v>
      </c>
      <c r="I311" s="25">
        <v>0.1515</v>
      </c>
      <c r="J311" s="23">
        <v>0.69</v>
      </c>
      <c r="K311" s="25">
        <v>0.1343</v>
      </c>
      <c r="L311" s="2">
        <v>0</v>
      </c>
      <c r="M311" s="2">
        <v>117</v>
      </c>
      <c r="N311" s="2">
        <v>117</v>
      </c>
    </row>
    <row r="312" spans="1:14" x14ac:dyDescent="0.3">
      <c r="A312" s="2">
        <v>311</v>
      </c>
      <c r="B312" s="1">
        <v>40557</v>
      </c>
      <c r="C312" s="2">
        <v>1</v>
      </c>
      <c r="D312" s="2">
        <v>10</v>
      </c>
      <c r="E312" t="b">
        <v>0</v>
      </c>
      <c r="F312" s="2">
        <v>5</v>
      </c>
      <c r="G312" s="2">
        <v>1</v>
      </c>
      <c r="H312" s="23">
        <v>0.18</v>
      </c>
      <c r="I312" s="25">
        <v>0.18179999999999999</v>
      </c>
      <c r="J312" s="23">
        <v>0.55000000000000004</v>
      </c>
      <c r="K312" s="25">
        <v>0.19400000000000001</v>
      </c>
      <c r="L312" s="2">
        <v>4</v>
      </c>
      <c r="M312" s="2">
        <v>40</v>
      </c>
      <c r="N312" s="2">
        <v>44</v>
      </c>
    </row>
    <row r="313" spans="1:14" x14ac:dyDescent="0.3">
      <c r="A313" s="2">
        <v>312</v>
      </c>
      <c r="B313" s="1">
        <v>40557</v>
      </c>
      <c r="C313" s="2">
        <v>1</v>
      </c>
      <c r="D313" s="2">
        <v>11</v>
      </c>
      <c r="E313" t="b">
        <v>0</v>
      </c>
      <c r="F313" s="2">
        <v>5</v>
      </c>
      <c r="G313" s="2">
        <v>1</v>
      </c>
      <c r="H313" s="23">
        <v>0.18</v>
      </c>
      <c r="I313" s="25">
        <v>0.16669999999999999</v>
      </c>
      <c r="J313" s="23">
        <v>0.51</v>
      </c>
      <c r="K313" s="25">
        <v>0.28360000000000002</v>
      </c>
      <c r="L313" s="2">
        <v>6</v>
      </c>
      <c r="M313" s="2">
        <v>47</v>
      </c>
      <c r="N313" s="2">
        <v>53</v>
      </c>
    </row>
    <row r="314" spans="1:14" x14ac:dyDescent="0.3">
      <c r="A314" s="2">
        <v>313</v>
      </c>
      <c r="B314" s="1">
        <v>40557</v>
      </c>
      <c r="C314" s="2">
        <v>1</v>
      </c>
      <c r="D314" s="2">
        <v>12</v>
      </c>
      <c r="E314" t="b">
        <v>0</v>
      </c>
      <c r="F314" s="2">
        <v>5</v>
      </c>
      <c r="G314" s="2">
        <v>1</v>
      </c>
      <c r="H314" s="23">
        <v>0.2</v>
      </c>
      <c r="I314" s="25">
        <v>0.19700000000000001</v>
      </c>
      <c r="J314" s="23">
        <v>0.44</v>
      </c>
      <c r="K314" s="25">
        <v>0.25369999999999998</v>
      </c>
      <c r="L314" s="2">
        <v>2</v>
      </c>
      <c r="M314" s="2">
        <v>59</v>
      </c>
      <c r="N314" s="2">
        <v>61</v>
      </c>
    </row>
    <row r="315" spans="1:14" x14ac:dyDescent="0.3">
      <c r="A315" s="2">
        <v>314</v>
      </c>
      <c r="B315" s="1">
        <v>40557</v>
      </c>
      <c r="C315" s="2">
        <v>1</v>
      </c>
      <c r="D315" s="2">
        <v>13</v>
      </c>
      <c r="E315" t="b">
        <v>0</v>
      </c>
      <c r="F315" s="2">
        <v>5</v>
      </c>
      <c r="G315" s="2">
        <v>1</v>
      </c>
      <c r="H315" s="23">
        <v>0.22</v>
      </c>
      <c r="I315" s="25">
        <v>0.19700000000000001</v>
      </c>
      <c r="J315" s="23">
        <v>0.37</v>
      </c>
      <c r="K315" s="25">
        <v>0.3881</v>
      </c>
      <c r="L315" s="2">
        <v>4</v>
      </c>
      <c r="M315" s="2">
        <v>73</v>
      </c>
      <c r="N315" s="2">
        <v>77</v>
      </c>
    </row>
    <row r="316" spans="1:14" x14ac:dyDescent="0.3">
      <c r="A316" s="2">
        <v>315</v>
      </c>
      <c r="B316" s="1">
        <v>40557</v>
      </c>
      <c r="C316" s="2">
        <v>1</v>
      </c>
      <c r="D316" s="2">
        <v>14</v>
      </c>
      <c r="E316" t="b">
        <v>0</v>
      </c>
      <c r="F316" s="2">
        <v>5</v>
      </c>
      <c r="G316" s="2">
        <v>1</v>
      </c>
      <c r="H316" s="23">
        <v>0.22</v>
      </c>
      <c r="I316" s="25">
        <v>0.21210000000000001</v>
      </c>
      <c r="J316" s="23">
        <v>0.41</v>
      </c>
      <c r="K316" s="25">
        <v>0.28360000000000002</v>
      </c>
      <c r="L316" s="2">
        <v>5</v>
      </c>
      <c r="M316" s="2">
        <v>59</v>
      </c>
      <c r="N316" s="2">
        <v>64</v>
      </c>
    </row>
    <row r="317" spans="1:14" x14ac:dyDescent="0.3">
      <c r="A317" s="2">
        <v>316</v>
      </c>
      <c r="B317" s="1">
        <v>40557</v>
      </c>
      <c r="C317" s="2">
        <v>1</v>
      </c>
      <c r="D317" s="2">
        <v>15</v>
      </c>
      <c r="E317" t="b">
        <v>0</v>
      </c>
      <c r="F317" s="2">
        <v>5</v>
      </c>
      <c r="G317" s="2">
        <v>1</v>
      </c>
      <c r="H317" s="23">
        <v>0.24</v>
      </c>
      <c r="I317" s="25">
        <v>0.2424</v>
      </c>
      <c r="J317" s="23">
        <v>0.38</v>
      </c>
      <c r="K317" s="25">
        <v>0.16420000000000001</v>
      </c>
      <c r="L317" s="2">
        <v>9</v>
      </c>
      <c r="M317" s="2">
        <v>59</v>
      </c>
      <c r="N317" s="2">
        <v>68</v>
      </c>
    </row>
    <row r="318" spans="1:14" x14ac:dyDescent="0.3">
      <c r="A318" s="2">
        <v>317</v>
      </c>
      <c r="B318" s="1">
        <v>40557</v>
      </c>
      <c r="C318" s="2">
        <v>1</v>
      </c>
      <c r="D318" s="2">
        <v>16</v>
      </c>
      <c r="E318" t="b">
        <v>0</v>
      </c>
      <c r="F318" s="2">
        <v>5</v>
      </c>
      <c r="G318" s="2">
        <v>1</v>
      </c>
      <c r="H318" s="23">
        <v>0.22</v>
      </c>
      <c r="I318" s="25">
        <v>0.2424</v>
      </c>
      <c r="J318" s="23">
        <v>0.41</v>
      </c>
      <c r="K318" s="25">
        <v>0.1045</v>
      </c>
      <c r="L318" s="2">
        <v>3</v>
      </c>
      <c r="M318" s="2">
        <v>87</v>
      </c>
      <c r="N318" s="2">
        <v>90</v>
      </c>
    </row>
    <row r="319" spans="1:14" x14ac:dyDescent="0.3">
      <c r="A319" s="2">
        <v>318</v>
      </c>
      <c r="B319" s="1">
        <v>40557</v>
      </c>
      <c r="C319" s="2">
        <v>1</v>
      </c>
      <c r="D319" s="2">
        <v>17</v>
      </c>
      <c r="E319" t="b">
        <v>0</v>
      </c>
      <c r="F319" s="2">
        <v>5</v>
      </c>
      <c r="G319" s="2">
        <v>1</v>
      </c>
      <c r="H319" s="23">
        <v>0.22</v>
      </c>
      <c r="I319" s="25">
        <v>0.2273</v>
      </c>
      <c r="J319" s="23">
        <v>0.41</v>
      </c>
      <c r="K319" s="25">
        <v>0.16420000000000001</v>
      </c>
      <c r="L319" s="2">
        <v>4</v>
      </c>
      <c r="M319" s="2">
        <v>155</v>
      </c>
      <c r="N319" s="2">
        <v>159</v>
      </c>
    </row>
    <row r="320" spans="1:14" x14ac:dyDescent="0.3">
      <c r="A320" s="2">
        <v>319</v>
      </c>
      <c r="B320" s="1">
        <v>40557</v>
      </c>
      <c r="C320" s="2">
        <v>1</v>
      </c>
      <c r="D320" s="2">
        <v>18</v>
      </c>
      <c r="E320" t="b">
        <v>0</v>
      </c>
      <c r="F320" s="2">
        <v>5</v>
      </c>
      <c r="G320" s="2">
        <v>1</v>
      </c>
      <c r="H320" s="23">
        <v>0.2</v>
      </c>
      <c r="I320" s="25">
        <v>0.2576</v>
      </c>
      <c r="J320" s="23">
        <v>0.47</v>
      </c>
      <c r="K320" s="25">
        <v>0</v>
      </c>
      <c r="L320" s="2">
        <v>5</v>
      </c>
      <c r="M320" s="2">
        <v>134</v>
      </c>
      <c r="N320" s="2">
        <v>139</v>
      </c>
    </row>
    <row r="321" spans="1:14" x14ac:dyDescent="0.3">
      <c r="A321" s="2">
        <v>320</v>
      </c>
      <c r="B321" s="1">
        <v>40557</v>
      </c>
      <c r="C321" s="2">
        <v>1</v>
      </c>
      <c r="D321" s="2">
        <v>19</v>
      </c>
      <c r="E321" t="b">
        <v>0</v>
      </c>
      <c r="F321" s="2">
        <v>5</v>
      </c>
      <c r="G321" s="2">
        <v>1</v>
      </c>
      <c r="H321" s="23">
        <v>0.16</v>
      </c>
      <c r="I321" s="25">
        <v>0.19700000000000001</v>
      </c>
      <c r="J321" s="23">
        <v>0.59</v>
      </c>
      <c r="K321" s="25">
        <v>8.9599999999999999E-2</v>
      </c>
      <c r="L321" s="2">
        <v>3</v>
      </c>
      <c r="M321" s="2">
        <v>89</v>
      </c>
      <c r="N321" s="2">
        <v>92</v>
      </c>
    </row>
    <row r="322" spans="1:14" x14ac:dyDescent="0.3">
      <c r="A322" s="2">
        <v>321</v>
      </c>
      <c r="B322" s="1">
        <v>40557</v>
      </c>
      <c r="C322" s="2">
        <v>1</v>
      </c>
      <c r="D322" s="2">
        <v>20</v>
      </c>
      <c r="E322" t="b">
        <v>0</v>
      </c>
      <c r="F322" s="2">
        <v>5</v>
      </c>
      <c r="G322" s="2">
        <v>1</v>
      </c>
      <c r="H322" s="23">
        <v>0.18</v>
      </c>
      <c r="I322" s="25">
        <v>0.2424</v>
      </c>
      <c r="J322" s="23">
        <v>0.59</v>
      </c>
      <c r="K322" s="25">
        <v>0</v>
      </c>
      <c r="L322" s="2">
        <v>0</v>
      </c>
      <c r="M322" s="2">
        <v>68</v>
      </c>
      <c r="N322" s="2">
        <v>68</v>
      </c>
    </row>
    <row r="323" spans="1:14" x14ac:dyDescent="0.3">
      <c r="A323" s="2">
        <v>322</v>
      </c>
      <c r="B323" s="1">
        <v>40557</v>
      </c>
      <c r="C323" s="2">
        <v>1</v>
      </c>
      <c r="D323" s="2">
        <v>21</v>
      </c>
      <c r="E323" t="b">
        <v>0</v>
      </c>
      <c r="F323" s="2">
        <v>5</v>
      </c>
      <c r="G323" s="2">
        <v>1</v>
      </c>
      <c r="H323" s="23">
        <v>0.16</v>
      </c>
      <c r="I323" s="25">
        <v>0.2273</v>
      </c>
      <c r="J323" s="23">
        <v>0.69</v>
      </c>
      <c r="K323" s="25">
        <v>0</v>
      </c>
      <c r="L323" s="2">
        <v>4</v>
      </c>
      <c r="M323" s="2">
        <v>48</v>
      </c>
      <c r="N323" s="2">
        <v>52</v>
      </c>
    </row>
    <row r="324" spans="1:14" x14ac:dyDescent="0.3">
      <c r="A324" s="2">
        <v>323</v>
      </c>
      <c r="B324" s="1">
        <v>40557</v>
      </c>
      <c r="C324" s="2">
        <v>1</v>
      </c>
      <c r="D324" s="2">
        <v>22</v>
      </c>
      <c r="E324" t="b">
        <v>0</v>
      </c>
      <c r="F324" s="2">
        <v>5</v>
      </c>
      <c r="G324" s="2">
        <v>2</v>
      </c>
      <c r="H324" s="23">
        <v>0.16</v>
      </c>
      <c r="I324" s="25">
        <v>0.2273</v>
      </c>
      <c r="J324" s="23">
        <v>0.69</v>
      </c>
      <c r="K324" s="25">
        <v>0</v>
      </c>
      <c r="L324" s="2">
        <v>2</v>
      </c>
      <c r="M324" s="2">
        <v>34</v>
      </c>
      <c r="N324" s="2">
        <v>36</v>
      </c>
    </row>
    <row r="325" spans="1:14" x14ac:dyDescent="0.3">
      <c r="A325" s="2">
        <v>324</v>
      </c>
      <c r="B325" s="1">
        <v>40557</v>
      </c>
      <c r="C325" s="2">
        <v>1</v>
      </c>
      <c r="D325" s="2">
        <v>23</v>
      </c>
      <c r="E325" t="b">
        <v>0</v>
      </c>
      <c r="F325" s="2">
        <v>5</v>
      </c>
      <c r="G325" s="2">
        <v>2</v>
      </c>
      <c r="H325" s="23">
        <v>0.18</v>
      </c>
      <c r="I325" s="25">
        <v>0.2424</v>
      </c>
      <c r="J325" s="23">
        <v>0.55000000000000004</v>
      </c>
      <c r="K325" s="25">
        <v>0</v>
      </c>
      <c r="L325" s="2">
        <v>1</v>
      </c>
      <c r="M325" s="2">
        <v>26</v>
      </c>
      <c r="N325" s="2">
        <v>27</v>
      </c>
    </row>
    <row r="326" spans="1:14" x14ac:dyDescent="0.3">
      <c r="A326" s="2">
        <v>325</v>
      </c>
      <c r="B326" s="1">
        <v>40558</v>
      </c>
      <c r="C326" s="2">
        <v>1</v>
      </c>
      <c r="D326" s="2">
        <v>0</v>
      </c>
      <c r="E326" t="b">
        <v>0</v>
      </c>
      <c r="F326" s="2">
        <v>6</v>
      </c>
      <c r="G326" s="2">
        <v>1</v>
      </c>
      <c r="H326" s="23">
        <v>0.18</v>
      </c>
      <c r="I326" s="25">
        <v>0.2424</v>
      </c>
      <c r="J326" s="23">
        <v>0.55000000000000004</v>
      </c>
      <c r="K326" s="25">
        <v>0</v>
      </c>
      <c r="L326" s="2">
        <v>3</v>
      </c>
      <c r="M326" s="2">
        <v>25</v>
      </c>
      <c r="N326" s="2">
        <v>28</v>
      </c>
    </row>
    <row r="327" spans="1:14" x14ac:dyDescent="0.3">
      <c r="A327" s="2">
        <v>326</v>
      </c>
      <c r="B327" s="1">
        <v>40558</v>
      </c>
      <c r="C327" s="2">
        <v>1</v>
      </c>
      <c r="D327" s="2">
        <v>1</v>
      </c>
      <c r="E327" t="b">
        <v>0</v>
      </c>
      <c r="F327" s="2">
        <v>6</v>
      </c>
      <c r="G327" s="2">
        <v>2</v>
      </c>
      <c r="H327" s="23">
        <v>0.16</v>
      </c>
      <c r="I327" s="25">
        <v>0.19700000000000001</v>
      </c>
      <c r="J327" s="23">
        <v>0.59</v>
      </c>
      <c r="K327" s="25">
        <v>8.9599999999999999E-2</v>
      </c>
      <c r="L327" s="2">
        <v>2</v>
      </c>
      <c r="M327" s="2">
        <v>18</v>
      </c>
      <c r="N327" s="2">
        <v>20</v>
      </c>
    </row>
    <row r="328" spans="1:14" x14ac:dyDescent="0.3">
      <c r="A328" s="2">
        <v>327</v>
      </c>
      <c r="B328" s="1">
        <v>40558</v>
      </c>
      <c r="C328" s="2">
        <v>1</v>
      </c>
      <c r="D328" s="2">
        <v>2</v>
      </c>
      <c r="E328" t="b">
        <v>0</v>
      </c>
      <c r="F328" s="2">
        <v>6</v>
      </c>
      <c r="G328" s="2">
        <v>2</v>
      </c>
      <c r="H328" s="23">
        <v>0.16</v>
      </c>
      <c r="I328" s="25">
        <v>0.19700000000000001</v>
      </c>
      <c r="J328" s="23">
        <v>0.59</v>
      </c>
      <c r="K328" s="25">
        <v>8.9599999999999999E-2</v>
      </c>
      <c r="L328" s="2">
        <v>0</v>
      </c>
      <c r="M328" s="2">
        <v>12</v>
      </c>
      <c r="N328" s="2">
        <v>12</v>
      </c>
    </row>
    <row r="329" spans="1:14" x14ac:dyDescent="0.3">
      <c r="A329" s="2">
        <v>328</v>
      </c>
      <c r="B329" s="1">
        <v>40558</v>
      </c>
      <c r="C329" s="2">
        <v>1</v>
      </c>
      <c r="D329" s="2">
        <v>3</v>
      </c>
      <c r="E329" t="b">
        <v>0</v>
      </c>
      <c r="F329" s="2">
        <v>6</v>
      </c>
      <c r="G329" s="2">
        <v>2</v>
      </c>
      <c r="H329" s="23">
        <v>0.16</v>
      </c>
      <c r="I329" s="25">
        <v>0.2273</v>
      </c>
      <c r="J329" s="23">
        <v>0.59</v>
      </c>
      <c r="K329" s="25">
        <v>0</v>
      </c>
      <c r="L329" s="2">
        <v>1</v>
      </c>
      <c r="M329" s="2">
        <v>7</v>
      </c>
      <c r="N329" s="2">
        <v>8</v>
      </c>
    </row>
    <row r="330" spans="1:14" x14ac:dyDescent="0.3">
      <c r="A330" s="2">
        <v>329</v>
      </c>
      <c r="B330" s="1">
        <v>40558</v>
      </c>
      <c r="C330" s="2">
        <v>1</v>
      </c>
      <c r="D330" s="2">
        <v>4</v>
      </c>
      <c r="E330" t="b">
        <v>0</v>
      </c>
      <c r="F330" s="2">
        <v>6</v>
      </c>
      <c r="G330" s="2">
        <v>2</v>
      </c>
      <c r="H330" s="23">
        <v>0.16</v>
      </c>
      <c r="I330" s="25">
        <v>0.2273</v>
      </c>
      <c r="J330" s="23">
        <v>0.59</v>
      </c>
      <c r="K330" s="25">
        <v>0</v>
      </c>
      <c r="L330" s="2">
        <v>0</v>
      </c>
      <c r="M330" s="2">
        <v>5</v>
      </c>
      <c r="N330" s="2">
        <v>5</v>
      </c>
    </row>
    <row r="331" spans="1:14" x14ac:dyDescent="0.3">
      <c r="A331" s="2">
        <v>330</v>
      </c>
      <c r="B331" s="1">
        <v>40558</v>
      </c>
      <c r="C331" s="2">
        <v>1</v>
      </c>
      <c r="D331" s="2">
        <v>5</v>
      </c>
      <c r="E331" t="b">
        <v>0</v>
      </c>
      <c r="F331" s="2">
        <v>6</v>
      </c>
      <c r="G331" s="2">
        <v>1</v>
      </c>
      <c r="H331" s="23">
        <v>0.16</v>
      </c>
      <c r="I331" s="25">
        <v>0.2273</v>
      </c>
      <c r="J331" s="23">
        <v>0.59</v>
      </c>
      <c r="K331" s="25">
        <v>0</v>
      </c>
      <c r="L331" s="2">
        <v>0</v>
      </c>
      <c r="M331" s="2">
        <v>1</v>
      </c>
      <c r="N331" s="2">
        <v>1</v>
      </c>
    </row>
    <row r="332" spans="1:14" x14ac:dyDescent="0.3">
      <c r="A332" s="2">
        <v>331</v>
      </c>
      <c r="B332" s="1">
        <v>40558</v>
      </c>
      <c r="C332" s="2">
        <v>1</v>
      </c>
      <c r="D332" s="2">
        <v>6</v>
      </c>
      <c r="E332" t="b">
        <v>0</v>
      </c>
      <c r="F332" s="2">
        <v>6</v>
      </c>
      <c r="G332" s="2">
        <v>1</v>
      </c>
      <c r="H332" s="23">
        <v>0.14000000000000001</v>
      </c>
      <c r="I332" s="25">
        <v>0.16669999999999999</v>
      </c>
      <c r="J332" s="23">
        <v>0.63</v>
      </c>
      <c r="K332" s="25">
        <v>0.1045</v>
      </c>
      <c r="L332" s="2">
        <v>1</v>
      </c>
      <c r="M332" s="2">
        <v>2</v>
      </c>
      <c r="N332" s="2">
        <v>3</v>
      </c>
    </row>
    <row r="333" spans="1:14" x14ac:dyDescent="0.3">
      <c r="A333" s="2">
        <v>332</v>
      </c>
      <c r="B333" s="1">
        <v>40558</v>
      </c>
      <c r="C333" s="2">
        <v>1</v>
      </c>
      <c r="D333" s="2">
        <v>7</v>
      </c>
      <c r="E333" t="b">
        <v>0</v>
      </c>
      <c r="F333" s="2">
        <v>6</v>
      </c>
      <c r="G333" s="2">
        <v>1</v>
      </c>
      <c r="H333" s="23">
        <v>0.14000000000000001</v>
      </c>
      <c r="I333" s="25">
        <v>0.21210000000000001</v>
      </c>
      <c r="J333" s="23">
        <v>0.63</v>
      </c>
      <c r="K333" s="25">
        <v>0</v>
      </c>
      <c r="L333" s="2">
        <v>1</v>
      </c>
      <c r="M333" s="2">
        <v>9</v>
      </c>
      <c r="N333" s="2">
        <v>10</v>
      </c>
    </row>
    <row r="334" spans="1:14" x14ac:dyDescent="0.3">
      <c r="A334" s="2">
        <v>333</v>
      </c>
      <c r="B334" s="1">
        <v>40558</v>
      </c>
      <c r="C334" s="2">
        <v>1</v>
      </c>
      <c r="D334" s="2">
        <v>8</v>
      </c>
      <c r="E334" t="b">
        <v>0</v>
      </c>
      <c r="F334" s="2">
        <v>6</v>
      </c>
      <c r="G334" s="2">
        <v>1</v>
      </c>
      <c r="H334" s="23">
        <v>0.14000000000000001</v>
      </c>
      <c r="I334" s="25">
        <v>0.1515</v>
      </c>
      <c r="J334" s="23">
        <v>0.63</v>
      </c>
      <c r="K334" s="25">
        <v>0.1343</v>
      </c>
      <c r="L334" s="2">
        <v>1</v>
      </c>
      <c r="M334" s="2">
        <v>22</v>
      </c>
      <c r="N334" s="2">
        <v>23</v>
      </c>
    </row>
    <row r="335" spans="1:14" x14ac:dyDescent="0.3">
      <c r="A335" s="2">
        <v>334</v>
      </c>
      <c r="B335" s="1">
        <v>40558</v>
      </c>
      <c r="C335" s="2">
        <v>1</v>
      </c>
      <c r="D335" s="2">
        <v>9</v>
      </c>
      <c r="E335" t="b">
        <v>0</v>
      </c>
      <c r="F335" s="2">
        <v>6</v>
      </c>
      <c r="G335" s="2">
        <v>1</v>
      </c>
      <c r="H335" s="23">
        <v>0.16</v>
      </c>
      <c r="I335" s="25">
        <v>0.18179999999999999</v>
      </c>
      <c r="J335" s="23">
        <v>0.64</v>
      </c>
      <c r="K335" s="25">
        <v>0.1343</v>
      </c>
      <c r="L335" s="2">
        <v>2</v>
      </c>
      <c r="M335" s="2">
        <v>31</v>
      </c>
      <c r="N335" s="2">
        <v>33</v>
      </c>
    </row>
    <row r="336" spans="1:14" x14ac:dyDescent="0.3">
      <c r="A336" s="2">
        <v>335</v>
      </c>
      <c r="B336" s="1">
        <v>40558</v>
      </c>
      <c r="C336" s="2">
        <v>1</v>
      </c>
      <c r="D336" s="2">
        <v>10</v>
      </c>
      <c r="E336" t="b">
        <v>0</v>
      </c>
      <c r="F336" s="2">
        <v>6</v>
      </c>
      <c r="G336" s="2">
        <v>1</v>
      </c>
      <c r="H336" s="23">
        <v>0.18</v>
      </c>
      <c r="I336" s="25">
        <v>0.19700000000000001</v>
      </c>
      <c r="J336" s="23">
        <v>0.59</v>
      </c>
      <c r="K336" s="25">
        <v>0.16420000000000001</v>
      </c>
      <c r="L336" s="2">
        <v>2</v>
      </c>
      <c r="M336" s="2">
        <v>57</v>
      </c>
      <c r="N336" s="2">
        <v>59</v>
      </c>
    </row>
    <row r="337" spans="1:14" x14ac:dyDescent="0.3">
      <c r="A337" s="2">
        <v>336</v>
      </c>
      <c r="B337" s="1">
        <v>40558</v>
      </c>
      <c r="C337" s="2">
        <v>1</v>
      </c>
      <c r="D337" s="2">
        <v>11</v>
      </c>
      <c r="E337" t="b">
        <v>0</v>
      </c>
      <c r="F337" s="2">
        <v>6</v>
      </c>
      <c r="G337" s="2">
        <v>1</v>
      </c>
      <c r="H337" s="23">
        <v>0.2</v>
      </c>
      <c r="I337" s="25">
        <v>0.19700000000000001</v>
      </c>
      <c r="J337" s="23">
        <v>0.55000000000000004</v>
      </c>
      <c r="K337" s="25">
        <v>0.22389999999999999</v>
      </c>
      <c r="L337" s="2">
        <v>18</v>
      </c>
      <c r="M337" s="2">
        <v>54</v>
      </c>
      <c r="N337" s="2">
        <v>72</v>
      </c>
    </row>
    <row r="338" spans="1:14" x14ac:dyDescent="0.3">
      <c r="A338" s="2">
        <v>337</v>
      </c>
      <c r="B338" s="1">
        <v>40558</v>
      </c>
      <c r="C338" s="2">
        <v>1</v>
      </c>
      <c r="D338" s="2">
        <v>12</v>
      </c>
      <c r="E338" t="b">
        <v>0</v>
      </c>
      <c r="F338" s="2">
        <v>6</v>
      </c>
      <c r="G338" s="2">
        <v>1</v>
      </c>
      <c r="H338" s="23">
        <v>0.24</v>
      </c>
      <c r="I338" s="25">
        <v>0.2273</v>
      </c>
      <c r="J338" s="23">
        <v>0.48</v>
      </c>
      <c r="K338" s="25">
        <v>0.22389999999999999</v>
      </c>
      <c r="L338" s="2">
        <v>15</v>
      </c>
      <c r="M338" s="2">
        <v>74</v>
      </c>
      <c r="N338" s="2">
        <v>89</v>
      </c>
    </row>
    <row r="339" spans="1:14" x14ac:dyDescent="0.3">
      <c r="A339" s="2">
        <v>338</v>
      </c>
      <c r="B339" s="1">
        <v>40558</v>
      </c>
      <c r="C339" s="2">
        <v>1</v>
      </c>
      <c r="D339" s="2">
        <v>13</v>
      </c>
      <c r="E339" t="b">
        <v>0</v>
      </c>
      <c r="F339" s="2">
        <v>6</v>
      </c>
      <c r="G339" s="2">
        <v>1</v>
      </c>
      <c r="H339" s="23">
        <v>0.28000000000000003</v>
      </c>
      <c r="I339" s="25">
        <v>0.2576</v>
      </c>
      <c r="J339" s="23">
        <v>0.38</v>
      </c>
      <c r="K339" s="25">
        <v>0.29849999999999999</v>
      </c>
      <c r="L339" s="2">
        <v>21</v>
      </c>
      <c r="M339" s="2">
        <v>80</v>
      </c>
      <c r="N339" s="2">
        <v>101</v>
      </c>
    </row>
    <row r="340" spans="1:14" x14ac:dyDescent="0.3">
      <c r="A340" s="2">
        <v>339</v>
      </c>
      <c r="B340" s="1">
        <v>40558</v>
      </c>
      <c r="C340" s="2">
        <v>1</v>
      </c>
      <c r="D340" s="2">
        <v>14</v>
      </c>
      <c r="E340" t="b">
        <v>0</v>
      </c>
      <c r="F340" s="2">
        <v>6</v>
      </c>
      <c r="G340" s="2">
        <v>1</v>
      </c>
      <c r="H340" s="23">
        <v>0.3</v>
      </c>
      <c r="I340" s="25">
        <v>0.28789999999999999</v>
      </c>
      <c r="J340" s="23">
        <v>0.39</v>
      </c>
      <c r="K340" s="25">
        <v>0.28360000000000002</v>
      </c>
      <c r="L340" s="2">
        <v>26</v>
      </c>
      <c r="M340" s="2">
        <v>92</v>
      </c>
      <c r="N340" s="2">
        <v>118</v>
      </c>
    </row>
    <row r="341" spans="1:14" x14ac:dyDescent="0.3">
      <c r="A341" s="2">
        <v>340</v>
      </c>
      <c r="B341" s="1">
        <v>40558</v>
      </c>
      <c r="C341" s="2">
        <v>1</v>
      </c>
      <c r="D341" s="2">
        <v>15</v>
      </c>
      <c r="E341" t="b">
        <v>0</v>
      </c>
      <c r="F341" s="2">
        <v>6</v>
      </c>
      <c r="G341" s="2">
        <v>2</v>
      </c>
      <c r="H341" s="23">
        <v>0.32</v>
      </c>
      <c r="I341" s="25">
        <v>0.31819999999999998</v>
      </c>
      <c r="J341" s="23">
        <v>0.36</v>
      </c>
      <c r="K341" s="25">
        <v>0.19400000000000001</v>
      </c>
      <c r="L341" s="2">
        <v>21</v>
      </c>
      <c r="M341" s="2">
        <v>108</v>
      </c>
      <c r="N341" s="2">
        <v>129</v>
      </c>
    </row>
    <row r="342" spans="1:14" x14ac:dyDescent="0.3">
      <c r="A342" s="2">
        <v>341</v>
      </c>
      <c r="B342" s="1">
        <v>40558</v>
      </c>
      <c r="C342" s="2">
        <v>1</v>
      </c>
      <c r="D342" s="2">
        <v>16</v>
      </c>
      <c r="E342" t="b">
        <v>0</v>
      </c>
      <c r="F342" s="2">
        <v>6</v>
      </c>
      <c r="G342" s="2">
        <v>2</v>
      </c>
      <c r="H342" s="23">
        <v>0.34</v>
      </c>
      <c r="I342" s="25">
        <v>0.33329999999999999</v>
      </c>
      <c r="J342" s="23">
        <v>0.34</v>
      </c>
      <c r="K342" s="25">
        <v>0.19400000000000001</v>
      </c>
      <c r="L342" s="2">
        <v>33</v>
      </c>
      <c r="M342" s="2">
        <v>95</v>
      </c>
      <c r="N342" s="2">
        <v>128</v>
      </c>
    </row>
    <row r="343" spans="1:14" x14ac:dyDescent="0.3">
      <c r="A343" s="2">
        <v>342</v>
      </c>
      <c r="B343" s="1">
        <v>40558</v>
      </c>
      <c r="C343" s="2">
        <v>1</v>
      </c>
      <c r="D343" s="2">
        <v>17</v>
      </c>
      <c r="E343" t="b">
        <v>0</v>
      </c>
      <c r="F343" s="2">
        <v>6</v>
      </c>
      <c r="G343" s="2">
        <v>2</v>
      </c>
      <c r="H343" s="23">
        <v>0.32</v>
      </c>
      <c r="I343" s="25">
        <v>0.30299999999999999</v>
      </c>
      <c r="J343" s="23">
        <v>0.36</v>
      </c>
      <c r="K343" s="25">
        <v>0.28360000000000002</v>
      </c>
      <c r="L343" s="2">
        <v>29</v>
      </c>
      <c r="M343" s="2">
        <v>54</v>
      </c>
      <c r="N343" s="2">
        <v>83</v>
      </c>
    </row>
    <row r="344" spans="1:14" x14ac:dyDescent="0.3">
      <c r="A344" s="2">
        <v>343</v>
      </c>
      <c r="B344" s="1">
        <v>40558</v>
      </c>
      <c r="C344" s="2">
        <v>1</v>
      </c>
      <c r="D344" s="2">
        <v>18</v>
      </c>
      <c r="E344" t="b">
        <v>0</v>
      </c>
      <c r="F344" s="2">
        <v>6</v>
      </c>
      <c r="G344" s="2">
        <v>2</v>
      </c>
      <c r="H344" s="23">
        <v>0.3</v>
      </c>
      <c r="I344" s="25">
        <v>0.28789999999999999</v>
      </c>
      <c r="J344" s="23">
        <v>0.45</v>
      </c>
      <c r="K344" s="25">
        <v>0.25369999999999998</v>
      </c>
      <c r="L344" s="2">
        <v>15</v>
      </c>
      <c r="M344" s="2">
        <v>69</v>
      </c>
      <c r="N344" s="2">
        <v>84</v>
      </c>
    </row>
    <row r="345" spans="1:14" x14ac:dyDescent="0.3">
      <c r="A345" s="2">
        <v>344</v>
      </c>
      <c r="B345" s="1">
        <v>40558</v>
      </c>
      <c r="C345" s="2">
        <v>1</v>
      </c>
      <c r="D345" s="2">
        <v>19</v>
      </c>
      <c r="E345" t="b">
        <v>0</v>
      </c>
      <c r="F345" s="2">
        <v>6</v>
      </c>
      <c r="G345" s="2">
        <v>2</v>
      </c>
      <c r="H345" s="23">
        <v>0.32</v>
      </c>
      <c r="I345" s="25">
        <v>0.30299999999999999</v>
      </c>
      <c r="J345" s="23">
        <v>0.39</v>
      </c>
      <c r="K345" s="25">
        <v>0.25369999999999998</v>
      </c>
      <c r="L345" s="2">
        <v>14</v>
      </c>
      <c r="M345" s="2">
        <v>60</v>
      </c>
      <c r="N345" s="2">
        <v>74</v>
      </c>
    </row>
    <row r="346" spans="1:14" x14ac:dyDescent="0.3">
      <c r="A346" s="2">
        <v>345</v>
      </c>
      <c r="B346" s="1">
        <v>40558</v>
      </c>
      <c r="C346" s="2">
        <v>1</v>
      </c>
      <c r="D346" s="2">
        <v>20</v>
      </c>
      <c r="E346" t="b">
        <v>0</v>
      </c>
      <c r="F346" s="2">
        <v>6</v>
      </c>
      <c r="G346" s="2">
        <v>2</v>
      </c>
      <c r="H346" s="23">
        <v>0.32</v>
      </c>
      <c r="I346" s="25">
        <v>0.30299999999999999</v>
      </c>
      <c r="J346" s="23">
        <v>0.39</v>
      </c>
      <c r="K346" s="25">
        <v>0.25369999999999998</v>
      </c>
      <c r="L346" s="2">
        <v>6</v>
      </c>
      <c r="M346" s="2">
        <v>35</v>
      </c>
      <c r="N346" s="2">
        <v>41</v>
      </c>
    </row>
    <row r="347" spans="1:14" x14ac:dyDescent="0.3">
      <c r="A347" s="2">
        <v>346</v>
      </c>
      <c r="B347" s="1">
        <v>40558</v>
      </c>
      <c r="C347" s="2">
        <v>1</v>
      </c>
      <c r="D347" s="2">
        <v>21</v>
      </c>
      <c r="E347" t="b">
        <v>0</v>
      </c>
      <c r="F347" s="2">
        <v>6</v>
      </c>
      <c r="G347" s="2">
        <v>2</v>
      </c>
      <c r="H347" s="23">
        <v>0.32</v>
      </c>
      <c r="I347" s="25">
        <v>0.30299999999999999</v>
      </c>
      <c r="J347" s="23">
        <v>0.39</v>
      </c>
      <c r="K347" s="25">
        <v>0.22389999999999999</v>
      </c>
      <c r="L347" s="2">
        <v>6</v>
      </c>
      <c r="M347" s="2">
        <v>51</v>
      </c>
      <c r="N347" s="2">
        <v>57</v>
      </c>
    </row>
    <row r="348" spans="1:14" x14ac:dyDescent="0.3">
      <c r="A348" s="2">
        <v>347</v>
      </c>
      <c r="B348" s="1">
        <v>40558</v>
      </c>
      <c r="C348" s="2">
        <v>1</v>
      </c>
      <c r="D348" s="2">
        <v>22</v>
      </c>
      <c r="E348" t="b">
        <v>0</v>
      </c>
      <c r="F348" s="2">
        <v>6</v>
      </c>
      <c r="G348" s="2">
        <v>2</v>
      </c>
      <c r="H348" s="23">
        <v>0.3</v>
      </c>
      <c r="I348" s="25">
        <v>0.31819999999999998</v>
      </c>
      <c r="J348" s="23">
        <v>0.42</v>
      </c>
      <c r="K348" s="25">
        <v>0.1045</v>
      </c>
      <c r="L348" s="2">
        <v>0</v>
      </c>
      <c r="M348" s="2">
        <v>26</v>
      </c>
      <c r="N348" s="2">
        <v>26</v>
      </c>
    </row>
    <row r="349" spans="1:14" x14ac:dyDescent="0.3">
      <c r="A349" s="2">
        <v>348</v>
      </c>
      <c r="B349" s="1">
        <v>40558</v>
      </c>
      <c r="C349" s="2">
        <v>1</v>
      </c>
      <c r="D349" s="2">
        <v>23</v>
      </c>
      <c r="E349" t="b">
        <v>0</v>
      </c>
      <c r="F349" s="2">
        <v>6</v>
      </c>
      <c r="G349" s="2">
        <v>1</v>
      </c>
      <c r="H349" s="23">
        <v>0.3</v>
      </c>
      <c r="I349" s="25">
        <v>0.28789999999999999</v>
      </c>
      <c r="J349" s="23">
        <v>0.45</v>
      </c>
      <c r="K349" s="25">
        <v>0.28360000000000002</v>
      </c>
      <c r="L349" s="2">
        <v>5</v>
      </c>
      <c r="M349" s="2">
        <v>39</v>
      </c>
      <c r="N349" s="2">
        <v>44</v>
      </c>
    </row>
    <row r="350" spans="1:14" x14ac:dyDescent="0.3">
      <c r="A350" s="2">
        <v>349</v>
      </c>
      <c r="B350" s="1">
        <v>40559</v>
      </c>
      <c r="C350" s="2">
        <v>1</v>
      </c>
      <c r="D350" s="2">
        <v>0</v>
      </c>
      <c r="E350" t="b">
        <v>0</v>
      </c>
      <c r="F350" s="2">
        <v>0</v>
      </c>
      <c r="G350" s="2">
        <v>1</v>
      </c>
      <c r="H350" s="23">
        <v>0.26</v>
      </c>
      <c r="I350" s="25">
        <v>0.30299999999999999</v>
      </c>
      <c r="J350" s="23">
        <v>0.56000000000000005</v>
      </c>
      <c r="K350" s="25">
        <v>0</v>
      </c>
      <c r="L350" s="2">
        <v>6</v>
      </c>
      <c r="M350" s="2">
        <v>33</v>
      </c>
      <c r="N350" s="2">
        <v>39</v>
      </c>
    </row>
    <row r="351" spans="1:14" x14ac:dyDescent="0.3">
      <c r="A351" s="2">
        <v>350</v>
      </c>
      <c r="B351" s="1">
        <v>40559</v>
      </c>
      <c r="C351" s="2">
        <v>1</v>
      </c>
      <c r="D351" s="2">
        <v>1</v>
      </c>
      <c r="E351" t="b">
        <v>0</v>
      </c>
      <c r="F351" s="2">
        <v>0</v>
      </c>
      <c r="G351" s="2">
        <v>1</v>
      </c>
      <c r="H351" s="23">
        <v>0.26</v>
      </c>
      <c r="I351" s="25">
        <v>0.2727</v>
      </c>
      <c r="J351" s="23">
        <v>0.56000000000000005</v>
      </c>
      <c r="K351" s="25">
        <v>0.1343</v>
      </c>
      <c r="L351" s="2">
        <v>4</v>
      </c>
      <c r="M351" s="2">
        <v>19</v>
      </c>
      <c r="N351" s="2">
        <v>23</v>
      </c>
    </row>
    <row r="352" spans="1:14" x14ac:dyDescent="0.3">
      <c r="A352" s="2">
        <v>351</v>
      </c>
      <c r="B352" s="1">
        <v>40559</v>
      </c>
      <c r="C352" s="2">
        <v>1</v>
      </c>
      <c r="D352" s="2">
        <v>2</v>
      </c>
      <c r="E352" t="b">
        <v>0</v>
      </c>
      <c r="F352" s="2">
        <v>0</v>
      </c>
      <c r="G352" s="2">
        <v>1</v>
      </c>
      <c r="H352" s="23">
        <v>0.26</v>
      </c>
      <c r="I352" s="25">
        <v>0.28789999999999999</v>
      </c>
      <c r="J352" s="23">
        <v>0.56000000000000005</v>
      </c>
      <c r="K352" s="25">
        <v>8.9599999999999999E-2</v>
      </c>
      <c r="L352" s="2">
        <v>3</v>
      </c>
      <c r="M352" s="2">
        <v>13</v>
      </c>
      <c r="N352" s="2">
        <v>16</v>
      </c>
    </row>
    <row r="353" spans="1:14" x14ac:dyDescent="0.3">
      <c r="A353" s="2">
        <v>352</v>
      </c>
      <c r="B353" s="1">
        <v>40559</v>
      </c>
      <c r="C353" s="2">
        <v>1</v>
      </c>
      <c r="D353" s="2">
        <v>3</v>
      </c>
      <c r="E353" t="b">
        <v>0</v>
      </c>
      <c r="F353" s="2">
        <v>0</v>
      </c>
      <c r="G353" s="2">
        <v>1</v>
      </c>
      <c r="H353" s="23">
        <v>0.22</v>
      </c>
      <c r="I353" s="25">
        <v>0.2727</v>
      </c>
      <c r="J353" s="23">
        <v>0.69</v>
      </c>
      <c r="K353" s="25">
        <v>0</v>
      </c>
      <c r="L353" s="2">
        <v>9</v>
      </c>
      <c r="M353" s="2">
        <v>6</v>
      </c>
      <c r="N353" s="2">
        <v>15</v>
      </c>
    </row>
    <row r="354" spans="1:14" x14ac:dyDescent="0.3">
      <c r="A354" s="2">
        <v>353</v>
      </c>
      <c r="B354" s="1">
        <v>40559</v>
      </c>
      <c r="C354" s="2">
        <v>1</v>
      </c>
      <c r="D354" s="2">
        <v>4</v>
      </c>
      <c r="E354" t="b">
        <v>0</v>
      </c>
      <c r="F354" s="2">
        <v>0</v>
      </c>
      <c r="G354" s="2">
        <v>1</v>
      </c>
      <c r="H354" s="23">
        <v>0.26</v>
      </c>
      <c r="I354" s="25">
        <v>0.2576</v>
      </c>
      <c r="J354" s="23">
        <v>0.56000000000000005</v>
      </c>
      <c r="K354" s="25">
        <v>0.16420000000000001</v>
      </c>
      <c r="L354" s="2">
        <v>0</v>
      </c>
      <c r="M354" s="2">
        <v>1</v>
      </c>
      <c r="N354" s="2">
        <v>1</v>
      </c>
    </row>
    <row r="355" spans="1:14" x14ac:dyDescent="0.3">
      <c r="A355" s="2">
        <v>354</v>
      </c>
      <c r="B355" s="1">
        <v>40559</v>
      </c>
      <c r="C355" s="2">
        <v>1</v>
      </c>
      <c r="D355" s="2">
        <v>5</v>
      </c>
      <c r="E355" t="b">
        <v>0</v>
      </c>
      <c r="F355" s="2">
        <v>0</v>
      </c>
      <c r="G355" s="2">
        <v>2</v>
      </c>
      <c r="H355" s="23">
        <v>0.26</v>
      </c>
      <c r="I355" s="25">
        <v>0.2576</v>
      </c>
      <c r="J355" s="23">
        <v>0.56000000000000005</v>
      </c>
      <c r="K355" s="25">
        <v>0.16420000000000001</v>
      </c>
      <c r="L355" s="2">
        <v>1</v>
      </c>
      <c r="M355" s="2">
        <v>1</v>
      </c>
      <c r="N355" s="2">
        <v>2</v>
      </c>
    </row>
    <row r="356" spans="1:14" x14ac:dyDescent="0.3">
      <c r="A356" s="2">
        <v>355</v>
      </c>
      <c r="B356" s="1">
        <v>40559</v>
      </c>
      <c r="C356" s="2">
        <v>1</v>
      </c>
      <c r="D356" s="2">
        <v>6</v>
      </c>
      <c r="E356" t="b">
        <v>0</v>
      </c>
      <c r="F356" s="2">
        <v>0</v>
      </c>
      <c r="G356" s="2">
        <v>2</v>
      </c>
      <c r="H356" s="23">
        <v>0.26</v>
      </c>
      <c r="I356" s="25">
        <v>0.2576</v>
      </c>
      <c r="J356" s="23">
        <v>0.56000000000000005</v>
      </c>
      <c r="K356" s="25">
        <v>0.16420000000000001</v>
      </c>
      <c r="L356" s="2">
        <v>0</v>
      </c>
      <c r="M356" s="2">
        <v>1</v>
      </c>
      <c r="N356" s="2">
        <v>1</v>
      </c>
    </row>
    <row r="357" spans="1:14" x14ac:dyDescent="0.3">
      <c r="A357" s="2">
        <v>356</v>
      </c>
      <c r="B357" s="1">
        <v>40559</v>
      </c>
      <c r="C357" s="2">
        <v>1</v>
      </c>
      <c r="D357" s="2">
        <v>7</v>
      </c>
      <c r="E357" t="b">
        <v>0</v>
      </c>
      <c r="F357" s="2">
        <v>0</v>
      </c>
      <c r="G357" s="2">
        <v>2</v>
      </c>
      <c r="H357" s="23">
        <v>0.24</v>
      </c>
      <c r="I357" s="25">
        <v>0.21210000000000001</v>
      </c>
      <c r="J357" s="23">
        <v>0.56000000000000005</v>
      </c>
      <c r="K357" s="25">
        <v>0.29849999999999999</v>
      </c>
      <c r="L357" s="2">
        <v>0</v>
      </c>
      <c r="M357" s="2">
        <v>3</v>
      </c>
      <c r="N357" s="2">
        <v>3</v>
      </c>
    </row>
    <row r="358" spans="1:14" x14ac:dyDescent="0.3">
      <c r="A358" s="2">
        <v>357</v>
      </c>
      <c r="B358" s="1">
        <v>40559</v>
      </c>
      <c r="C358" s="2">
        <v>1</v>
      </c>
      <c r="D358" s="2">
        <v>8</v>
      </c>
      <c r="E358" t="b">
        <v>0</v>
      </c>
      <c r="F358" s="2">
        <v>0</v>
      </c>
      <c r="G358" s="2">
        <v>1</v>
      </c>
      <c r="H358" s="23">
        <v>0.22</v>
      </c>
      <c r="I358" s="25">
        <v>0.21210000000000001</v>
      </c>
      <c r="J358" s="23">
        <v>0.55000000000000004</v>
      </c>
      <c r="K358" s="25">
        <v>0.28360000000000002</v>
      </c>
      <c r="L358" s="2">
        <v>0</v>
      </c>
      <c r="M358" s="2">
        <v>18</v>
      </c>
      <c r="N358" s="2">
        <v>18</v>
      </c>
    </row>
    <row r="359" spans="1:14" x14ac:dyDescent="0.3">
      <c r="A359" s="2">
        <v>358</v>
      </c>
      <c r="B359" s="1">
        <v>40559</v>
      </c>
      <c r="C359" s="2">
        <v>1</v>
      </c>
      <c r="D359" s="2">
        <v>9</v>
      </c>
      <c r="E359" t="b">
        <v>0</v>
      </c>
      <c r="F359" s="2">
        <v>0</v>
      </c>
      <c r="G359" s="2">
        <v>1</v>
      </c>
      <c r="H359" s="23">
        <v>0.22</v>
      </c>
      <c r="I359" s="25">
        <v>0.21210000000000001</v>
      </c>
      <c r="J359" s="23">
        <v>0.51</v>
      </c>
      <c r="K359" s="25">
        <v>0.25369999999999998</v>
      </c>
      <c r="L359" s="2">
        <v>3</v>
      </c>
      <c r="M359" s="2">
        <v>29</v>
      </c>
      <c r="N359" s="2">
        <v>32</v>
      </c>
    </row>
    <row r="360" spans="1:14" x14ac:dyDescent="0.3">
      <c r="A360" s="2">
        <v>359</v>
      </c>
      <c r="B360" s="1">
        <v>40559</v>
      </c>
      <c r="C360" s="2">
        <v>1</v>
      </c>
      <c r="D360" s="2">
        <v>10</v>
      </c>
      <c r="E360" t="b">
        <v>0</v>
      </c>
      <c r="F360" s="2">
        <v>0</v>
      </c>
      <c r="G360" s="2">
        <v>1</v>
      </c>
      <c r="H360" s="23">
        <v>0.22</v>
      </c>
      <c r="I360" s="25">
        <v>0.21210000000000001</v>
      </c>
      <c r="J360" s="23">
        <v>0.51</v>
      </c>
      <c r="K360" s="25">
        <v>0.28360000000000002</v>
      </c>
      <c r="L360" s="2">
        <v>8</v>
      </c>
      <c r="M360" s="2">
        <v>71</v>
      </c>
      <c r="N360" s="2">
        <v>79</v>
      </c>
    </row>
    <row r="361" spans="1:14" x14ac:dyDescent="0.3">
      <c r="A361" s="2">
        <v>360</v>
      </c>
      <c r="B361" s="1">
        <v>40559</v>
      </c>
      <c r="C361" s="2">
        <v>1</v>
      </c>
      <c r="D361" s="2">
        <v>11</v>
      </c>
      <c r="E361" t="b">
        <v>0</v>
      </c>
      <c r="F361" s="2">
        <v>0</v>
      </c>
      <c r="G361" s="2">
        <v>1</v>
      </c>
      <c r="H361" s="23">
        <v>0.24</v>
      </c>
      <c r="I361" s="25">
        <v>0.2273</v>
      </c>
      <c r="J361" s="23">
        <v>0.44</v>
      </c>
      <c r="K361" s="25">
        <v>0.25369999999999998</v>
      </c>
      <c r="L361" s="2">
        <v>23</v>
      </c>
      <c r="M361" s="2">
        <v>70</v>
      </c>
      <c r="N361" s="2">
        <v>93</v>
      </c>
    </row>
    <row r="362" spans="1:14" x14ac:dyDescent="0.3">
      <c r="A362" s="2">
        <v>361</v>
      </c>
      <c r="B362" s="1">
        <v>40559</v>
      </c>
      <c r="C362" s="2">
        <v>1</v>
      </c>
      <c r="D362" s="2">
        <v>12</v>
      </c>
      <c r="E362" t="b">
        <v>0</v>
      </c>
      <c r="F362" s="2">
        <v>0</v>
      </c>
      <c r="G362" s="2">
        <v>1</v>
      </c>
      <c r="H362" s="23">
        <v>0.24</v>
      </c>
      <c r="I362" s="25">
        <v>0.21210000000000001</v>
      </c>
      <c r="J362" s="23">
        <v>0.41</v>
      </c>
      <c r="K362" s="25">
        <v>0.28360000000000002</v>
      </c>
      <c r="L362" s="2">
        <v>29</v>
      </c>
      <c r="M362" s="2">
        <v>75</v>
      </c>
      <c r="N362" s="2">
        <v>104</v>
      </c>
    </row>
    <row r="363" spans="1:14" x14ac:dyDescent="0.3">
      <c r="A363" s="2">
        <v>362</v>
      </c>
      <c r="B363" s="1">
        <v>40559</v>
      </c>
      <c r="C363" s="2">
        <v>1</v>
      </c>
      <c r="D363" s="2">
        <v>13</v>
      </c>
      <c r="E363" t="b">
        <v>0</v>
      </c>
      <c r="F363" s="2">
        <v>0</v>
      </c>
      <c r="G363" s="2">
        <v>1</v>
      </c>
      <c r="H363" s="23">
        <v>0.26</v>
      </c>
      <c r="I363" s="25">
        <v>0.2273</v>
      </c>
      <c r="J363" s="23">
        <v>0.35</v>
      </c>
      <c r="K363" s="25">
        <v>0.29849999999999999</v>
      </c>
      <c r="L363" s="2">
        <v>23</v>
      </c>
      <c r="M363" s="2">
        <v>95</v>
      </c>
      <c r="N363" s="2">
        <v>118</v>
      </c>
    </row>
    <row r="364" spans="1:14" x14ac:dyDescent="0.3">
      <c r="A364" s="2">
        <v>363</v>
      </c>
      <c r="B364" s="1">
        <v>40559</v>
      </c>
      <c r="C364" s="2">
        <v>1</v>
      </c>
      <c r="D364" s="2">
        <v>14</v>
      </c>
      <c r="E364" t="b">
        <v>0</v>
      </c>
      <c r="F364" s="2">
        <v>0</v>
      </c>
      <c r="G364" s="2">
        <v>1</v>
      </c>
      <c r="H364" s="23">
        <v>0.28000000000000003</v>
      </c>
      <c r="I364" s="25">
        <v>0.2727</v>
      </c>
      <c r="J364" s="23">
        <v>0.36</v>
      </c>
      <c r="K364" s="25">
        <v>0.25369999999999998</v>
      </c>
      <c r="L364" s="2">
        <v>22</v>
      </c>
      <c r="M364" s="2">
        <v>69</v>
      </c>
      <c r="N364" s="2">
        <v>91</v>
      </c>
    </row>
    <row r="365" spans="1:14" x14ac:dyDescent="0.3">
      <c r="A365" s="2">
        <v>364</v>
      </c>
      <c r="B365" s="1">
        <v>40559</v>
      </c>
      <c r="C365" s="2">
        <v>1</v>
      </c>
      <c r="D365" s="2">
        <v>15</v>
      </c>
      <c r="E365" t="b">
        <v>0</v>
      </c>
      <c r="F365" s="2">
        <v>0</v>
      </c>
      <c r="G365" s="2">
        <v>1</v>
      </c>
      <c r="H365" s="23">
        <v>0.26</v>
      </c>
      <c r="I365" s="25">
        <v>0.2424</v>
      </c>
      <c r="J365" s="23">
        <v>0.38</v>
      </c>
      <c r="K365" s="25">
        <v>0.25369999999999998</v>
      </c>
      <c r="L365" s="2">
        <v>35</v>
      </c>
      <c r="M365" s="2">
        <v>78</v>
      </c>
      <c r="N365" s="2">
        <v>113</v>
      </c>
    </row>
    <row r="366" spans="1:14" x14ac:dyDescent="0.3">
      <c r="A366" s="2">
        <v>365</v>
      </c>
      <c r="B366" s="1">
        <v>40559</v>
      </c>
      <c r="C366" s="2">
        <v>1</v>
      </c>
      <c r="D366" s="2">
        <v>16</v>
      </c>
      <c r="E366" t="b">
        <v>0</v>
      </c>
      <c r="F366" s="2">
        <v>0</v>
      </c>
      <c r="G366" s="2">
        <v>1</v>
      </c>
      <c r="H366" s="23">
        <v>0.24</v>
      </c>
      <c r="I366" s="25">
        <v>0.2273</v>
      </c>
      <c r="J366" s="23">
        <v>0.38</v>
      </c>
      <c r="K366" s="25">
        <v>0.22389999999999999</v>
      </c>
      <c r="L366" s="2">
        <v>22</v>
      </c>
      <c r="M366" s="2">
        <v>77</v>
      </c>
      <c r="N366" s="2">
        <v>99</v>
      </c>
    </row>
    <row r="367" spans="1:14" x14ac:dyDescent="0.3">
      <c r="A367" s="2">
        <v>366</v>
      </c>
      <c r="B367" s="1">
        <v>40559</v>
      </c>
      <c r="C367" s="2">
        <v>1</v>
      </c>
      <c r="D367" s="2">
        <v>17</v>
      </c>
      <c r="E367" t="b">
        <v>0</v>
      </c>
      <c r="F367" s="2">
        <v>0</v>
      </c>
      <c r="G367" s="2">
        <v>1</v>
      </c>
      <c r="H367" s="23">
        <v>0.22</v>
      </c>
      <c r="I367" s="25">
        <v>0.21210000000000001</v>
      </c>
      <c r="J367" s="23">
        <v>0.37</v>
      </c>
      <c r="K367" s="25">
        <v>0.25369999999999998</v>
      </c>
      <c r="L367" s="2">
        <v>23</v>
      </c>
      <c r="M367" s="2">
        <v>82</v>
      </c>
      <c r="N367" s="2">
        <v>105</v>
      </c>
    </row>
    <row r="368" spans="1:14" x14ac:dyDescent="0.3">
      <c r="A368" s="2">
        <v>367</v>
      </c>
      <c r="B368" s="1">
        <v>40559</v>
      </c>
      <c r="C368" s="2">
        <v>1</v>
      </c>
      <c r="D368" s="2">
        <v>18</v>
      </c>
      <c r="E368" t="b">
        <v>0</v>
      </c>
      <c r="F368" s="2">
        <v>0</v>
      </c>
      <c r="G368" s="2">
        <v>1</v>
      </c>
      <c r="H368" s="23">
        <v>0.2</v>
      </c>
      <c r="I368" s="25">
        <v>0.21210000000000001</v>
      </c>
      <c r="J368" s="23">
        <v>0.4</v>
      </c>
      <c r="K368" s="25">
        <v>0.16420000000000001</v>
      </c>
      <c r="L368" s="2">
        <v>11</v>
      </c>
      <c r="M368" s="2">
        <v>56</v>
      </c>
      <c r="N368" s="2">
        <v>67</v>
      </c>
    </row>
    <row r="369" spans="1:14" x14ac:dyDescent="0.3">
      <c r="A369" s="2">
        <v>368</v>
      </c>
      <c r="B369" s="1">
        <v>40559</v>
      </c>
      <c r="C369" s="2">
        <v>1</v>
      </c>
      <c r="D369" s="2">
        <v>19</v>
      </c>
      <c r="E369" t="b">
        <v>0</v>
      </c>
      <c r="F369" s="2">
        <v>0</v>
      </c>
      <c r="G369" s="2">
        <v>1</v>
      </c>
      <c r="H369" s="23">
        <v>0.18</v>
      </c>
      <c r="I369" s="25">
        <v>0.19700000000000001</v>
      </c>
      <c r="J369" s="23">
        <v>0.47</v>
      </c>
      <c r="K369" s="25">
        <v>0.1343</v>
      </c>
      <c r="L369" s="2">
        <v>14</v>
      </c>
      <c r="M369" s="2">
        <v>47</v>
      </c>
      <c r="N369" s="2">
        <v>61</v>
      </c>
    </row>
    <row r="370" spans="1:14" x14ac:dyDescent="0.3">
      <c r="A370" s="2">
        <v>369</v>
      </c>
      <c r="B370" s="1">
        <v>40559</v>
      </c>
      <c r="C370" s="2">
        <v>1</v>
      </c>
      <c r="D370" s="2">
        <v>20</v>
      </c>
      <c r="E370" t="b">
        <v>0</v>
      </c>
      <c r="F370" s="2">
        <v>0</v>
      </c>
      <c r="G370" s="2">
        <v>1</v>
      </c>
      <c r="H370" s="23">
        <v>0.18</v>
      </c>
      <c r="I370" s="25">
        <v>0.19700000000000001</v>
      </c>
      <c r="J370" s="23">
        <v>0.47</v>
      </c>
      <c r="K370" s="25">
        <v>0.16420000000000001</v>
      </c>
      <c r="L370" s="2">
        <v>7</v>
      </c>
      <c r="M370" s="2">
        <v>50</v>
      </c>
      <c r="N370" s="2">
        <v>57</v>
      </c>
    </row>
    <row r="371" spans="1:14" x14ac:dyDescent="0.3">
      <c r="A371" s="2">
        <v>370</v>
      </c>
      <c r="B371" s="1">
        <v>40559</v>
      </c>
      <c r="C371" s="2">
        <v>1</v>
      </c>
      <c r="D371" s="2">
        <v>21</v>
      </c>
      <c r="E371" t="b">
        <v>0</v>
      </c>
      <c r="F371" s="2">
        <v>0</v>
      </c>
      <c r="G371" s="2">
        <v>1</v>
      </c>
      <c r="H371" s="23">
        <v>0.18</v>
      </c>
      <c r="I371" s="25">
        <v>0.19700000000000001</v>
      </c>
      <c r="J371" s="23">
        <v>0.51</v>
      </c>
      <c r="K371" s="25">
        <v>0.16420000000000001</v>
      </c>
      <c r="L371" s="2">
        <v>6</v>
      </c>
      <c r="M371" s="2">
        <v>22</v>
      </c>
      <c r="N371" s="2">
        <v>28</v>
      </c>
    </row>
    <row r="372" spans="1:14" x14ac:dyDescent="0.3">
      <c r="A372" s="2">
        <v>371</v>
      </c>
      <c r="B372" s="1">
        <v>40559</v>
      </c>
      <c r="C372" s="2">
        <v>1</v>
      </c>
      <c r="D372" s="2">
        <v>22</v>
      </c>
      <c r="E372" t="b">
        <v>0</v>
      </c>
      <c r="F372" s="2">
        <v>0</v>
      </c>
      <c r="G372" s="2">
        <v>2</v>
      </c>
      <c r="H372" s="23">
        <v>0.2</v>
      </c>
      <c r="I372" s="25">
        <v>0.21210000000000001</v>
      </c>
      <c r="J372" s="23">
        <v>0.49</v>
      </c>
      <c r="K372" s="25">
        <v>0.1343</v>
      </c>
      <c r="L372" s="2">
        <v>2</v>
      </c>
      <c r="M372" s="2">
        <v>19</v>
      </c>
      <c r="N372" s="2">
        <v>21</v>
      </c>
    </row>
    <row r="373" spans="1:14" x14ac:dyDescent="0.3">
      <c r="A373" s="2">
        <v>372</v>
      </c>
      <c r="B373" s="1">
        <v>40559</v>
      </c>
      <c r="C373" s="2">
        <v>1</v>
      </c>
      <c r="D373" s="2">
        <v>23</v>
      </c>
      <c r="E373" t="b">
        <v>0</v>
      </c>
      <c r="F373" s="2">
        <v>0</v>
      </c>
      <c r="G373" s="2">
        <v>2</v>
      </c>
      <c r="H373" s="23">
        <v>0.2</v>
      </c>
      <c r="I373" s="25">
        <v>0.2273</v>
      </c>
      <c r="J373" s="23">
        <v>0.4</v>
      </c>
      <c r="K373" s="25">
        <v>0.1045</v>
      </c>
      <c r="L373" s="2">
        <v>0</v>
      </c>
      <c r="M373" s="2">
        <v>18</v>
      </c>
      <c r="N373" s="2">
        <v>18</v>
      </c>
    </row>
    <row r="374" spans="1:14" x14ac:dyDescent="0.3">
      <c r="A374" s="2">
        <v>373</v>
      </c>
      <c r="B374" s="1">
        <v>40560</v>
      </c>
      <c r="C374" s="2">
        <v>1</v>
      </c>
      <c r="D374" s="2">
        <v>0</v>
      </c>
      <c r="E374" t="b">
        <v>1</v>
      </c>
      <c r="F374" s="2">
        <v>1</v>
      </c>
      <c r="G374" s="2">
        <v>2</v>
      </c>
      <c r="H374" s="23">
        <v>0.2</v>
      </c>
      <c r="I374" s="25">
        <v>0.19700000000000001</v>
      </c>
      <c r="J374" s="23">
        <v>0.47</v>
      </c>
      <c r="K374" s="25">
        <v>0.22389999999999999</v>
      </c>
      <c r="L374" s="2">
        <v>1</v>
      </c>
      <c r="M374" s="2">
        <v>16</v>
      </c>
      <c r="N374" s="2">
        <v>17</v>
      </c>
    </row>
    <row r="375" spans="1:14" x14ac:dyDescent="0.3">
      <c r="A375" s="2">
        <v>374</v>
      </c>
      <c r="B375" s="1">
        <v>40560</v>
      </c>
      <c r="C375" s="2">
        <v>1</v>
      </c>
      <c r="D375" s="2">
        <v>1</v>
      </c>
      <c r="E375" t="b">
        <v>1</v>
      </c>
      <c r="F375" s="2">
        <v>1</v>
      </c>
      <c r="G375" s="2">
        <v>2</v>
      </c>
      <c r="H375" s="23">
        <v>0.2</v>
      </c>
      <c r="I375" s="25">
        <v>0.19700000000000001</v>
      </c>
      <c r="J375" s="23">
        <v>0.44</v>
      </c>
      <c r="K375" s="25">
        <v>0.19400000000000001</v>
      </c>
      <c r="L375" s="2">
        <v>1</v>
      </c>
      <c r="M375" s="2">
        <v>15</v>
      </c>
      <c r="N375" s="2">
        <v>16</v>
      </c>
    </row>
    <row r="376" spans="1:14" x14ac:dyDescent="0.3">
      <c r="A376" s="2">
        <v>375</v>
      </c>
      <c r="B376" s="1">
        <v>40560</v>
      </c>
      <c r="C376" s="2">
        <v>1</v>
      </c>
      <c r="D376" s="2">
        <v>2</v>
      </c>
      <c r="E376" t="b">
        <v>1</v>
      </c>
      <c r="F376" s="2">
        <v>1</v>
      </c>
      <c r="G376" s="2">
        <v>2</v>
      </c>
      <c r="H376" s="23">
        <v>0.18</v>
      </c>
      <c r="I376" s="25">
        <v>0.16669999999999999</v>
      </c>
      <c r="J376" s="23">
        <v>0.43</v>
      </c>
      <c r="K376" s="25">
        <v>0.25369999999999998</v>
      </c>
      <c r="L376" s="2">
        <v>0</v>
      </c>
      <c r="M376" s="2">
        <v>8</v>
      </c>
      <c r="N376" s="2">
        <v>8</v>
      </c>
    </row>
    <row r="377" spans="1:14" x14ac:dyDescent="0.3">
      <c r="A377" s="2">
        <v>376</v>
      </c>
      <c r="B377" s="1">
        <v>40560</v>
      </c>
      <c r="C377" s="2">
        <v>1</v>
      </c>
      <c r="D377" s="2">
        <v>3</v>
      </c>
      <c r="E377" t="b">
        <v>1</v>
      </c>
      <c r="F377" s="2">
        <v>1</v>
      </c>
      <c r="G377" s="2">
        <v>2</v>
      </c>
      <c r="H377" s="23">
        <v>0.18</v>
      </c>
      <c r="I377" s="25">
        <v>0.18179999999999999</v>
      </c>
      <c r="J377" s="23">
        <v>0.43</v>
      </c>
      <c r="K377" s="25">
        <v>0.19400000000000001</v>
      </c>
      <c r="L377" s="2">
        <v>0</v>
      </c>
      <c r="M377" s="2">
        <v>2</v>
      </c>
      <c r="N377" s="2">
        <v>2</v>
      </c>
    </row>
    <row r="378" spans="1:14" x14ac:dyDescent="0.3">
      <c r="A378" s="2">
        <v>377</v>
      </c>
      <c r="B378" s="1">
        <v>40560</v>
      </c>
      <c r="C378" s="2">
        <v>1</v>
      </c>
      <c r="D378" s="2">
        <v>4</v>
      </c>
      <c r="E378" t="b">
        <v>1</v>
      </c>
      <c r="F378" s="2">
        <v>1</v>
      </c>
      <c r="G378" s="2">
        <v>2</v>
      </c>
      <c r="H378" s="23">
        <v>0.18</v>
      </c>
      <c r="I378" s="25">
        <v>0.19700000000000001</v>
      </c>
      <c r="J378" s="23">
        <v>0.43</v>
      </c>
      <c r="K378" s="25">
        <v>0.1343</v>
      </c>
      <c r="L378" s="2">
        <v>1</v>
      </c>
      <c r="M378" s="2">
        <v>2</v>
      </c>
      <c r="N378" s="2">
        <v>3</v>
      </c>
    </row>
    <row r="379" spans="1:14" x14ac:dyDescent="0.3">
      <c r="A379" s="2">
        <v>378</v>
      </c>
      <c r="B379" s="1">
        <v>40560</v>
      </c>
      <c r="C379" s="2">
        <v>1</v>
      </c>
      <c r="D379" s="2">
        <v>5</v>
      </c>
      <c r="E379" t="b">
        <v>1</v>
      </c>
      <c r="F379" s="2">
        <v>1</v>
      </c>
      <c r="G379" s="2">
        <v>2</v>
      </c>
      <c r="H379" s="23">
        <v>0.18</v>
      </c>
      <c r="I379" s="25">
        <v>0.19700000000000001</v>
      </c>
      <c r="J379" s="23">
        <v>0.43</v>
      </c>
      <c r="K379" s="25">
        <v>0.16420000000000001</v>
      </c>
      <c r="L379" s="2">
        <v>0</v>
      </c>
      <c r="M379" s="2">
        <v>1</v>
      </c>
      <c r="N379" s="2">
        <v>1</v>
      </c>
    </row>
    <row r="380" spans="1:14" x14ac:dyDescent="0.3">
      <c r="A380" s="2">
        <v>379</v>
      </c>
      <c r="B380" s="1">
        <v>40560</v>
      </c>
      <c r="C380" s="2">
        <v>1</v>
      </c>
      <c r="D380" s="2">
        <v>6</v>
      </c>
      <c r="E380" t="b">
        <v>1</v>
      </c>
      <c r="F380" s="2">
        <v>1</v>
      </c>
      <c r="G380" s="2">
        <v>2</v>
      </c>
      <c r="H380" s="23">
        <v>0.18</v>
      </c>
      <c r="I380" s="25">
        <v>0.18179999999999999</v>
      </c>
      <c r="J380" s="23">
        <v>0.43</v>
      </c>
      <c r="K380" s="25">
        <v>0.19400000000000001</v>
      </c>
      <c r="L380" s="2">
        <v>0</v>
      </c>
      <c r="M380" s="2">
        <v>5</v>
      </c>
      <c r="N380" s="2">
        <v>5</v>
      </c>
    </row>
    <row r="381" spans="1:14" x14ac:dyDescent="0.3">
      <c r="A381" s="2">
        <v>380</v>
      </c>
      <c r="B381" s="1">
        <v>40560</v>
      </c>
      <c r="C381" s="2">
        <v>1</v>
      </c>
      <c r="D381" s="2">
        <v>7</v>
      </c>
      <c r="E381" t="b">
        <v>1</v>
      </c>
      <c r="F381" s="2">
        <v>1</v>
      </c>
      <c r="G381" s="2">
        <v>2</v>
      </c>
      <c r="H381" s="23">
        <v>0.16</v>
      </c>
      <c r="I381" s="25">
        <v>0.18179999999999999</v>
      </c>
      <c r="J381" s="23">
        <v>0.5</v>
      </c>
      <c r="K381" s="25">
        <v>0.1343</v>
      </c>
      <c r="L381" s="2">
        <v>4</v>
      </c>
      <c r="M381" s="2">
        <v>9</v>
      </c>
      <c r="N381" s="2">
        <v>13</v>
      </c>
    </row>
    <row r="382" spans="1:14" x14ac:dyDescent="0.3">
      <c r="A382" s="2">
        <v>381</v>
      </c>
      <c r="B382" s="1">
        <v>40560</v>
      </c>
      <c r="C382" s="2">
        <v>1</v>
      </c>
      <c r="D382" s="2">
        <v>8</v>
      </c>
      <c r="E382" t="b">
        <v>1</v>
      </c>
      <c r="F382" s="2">
        <v>1</v>
      </c>
      <c r="G382" s="2">
        <v>2</v>
      </c>
      <c r="H382" s="23">
        <v>0.16</v>
      </c>
      <c r="I382" s="25">
        <v>0.1515</v>
      </c>
      <c r="J382" s="23">
        <v>0.47</v>
      </c>
      <c r="K382" s="25">
        <v>0.22389999999999999</v>
      </c>
      <c r="L382" s="2">
        <v>3</v>
      </c>
      <c r="M382" s="2">
        <v>30</v>
      </c>
      <c r="N382" s="2">
        <v>33</v>
      </c>
    </row>
    <row r="383" spans="1:14" x14ac:dyDescent="0.3">
      <c r="A383" s="2">
        <v>382</v>
      </c>
      <c r="B383" s="1">
        <v>40560</v>
      </c>
      <c r="C383" s="2">
        <v>1</v>
      </c>
      <c r="D383" s="2">
        <v>9</v>
      </c>
      <c r="E383" t="b">
        <v>1</v>
      </c>
      <c r="F383" s="2">
        <v>1</v>
      </c>
      <c r="G383" s="2">
        <v>2</v>
      </c>
      <c r="H383" s="23">
        <v>0.16</v>
      </c>
      <c r="I383" s="25">
        <v>0.1515</v>
      </c>
      <c r="J383" s="23">
        <v>0.47</v>
      </c>
      <c r="K383" s="25">
        <v>0.22389999999999999</v>
      </c>
      <c r="L383" s="2">
        <v>8</v>
      </c>
      <c r="M383" s="2">
        <v>39</v>
      </c>
      <c r="N383" s="2">
        <v>47</v>
      </c>
    </row>
    <row r="384" spans="1:14" x14ac:dyDescent="0.3">
      <c r="A384" s="2">
        <v>383</v>
      </c>
      <c r="B384" s="1">
        <v>40560</v>
      </c>
      <c r="C384" s="2">
        <v>1</v>
      </c>
      <c r="D384" s="2">
        <v>10</v>
      </c>
      <c r="E384" t="b">
        <v>1</v>
      </c>
      <c r="F384" s="2">
        <v>1</v>
      </c>
      <c r="G384" s="2">
        <v>2</v>
      </c>
      <c r="H384" s="23">
        <v>0.16</v>
      </c>
      <c r="I384" s="25">
        <v>0.1515</v>
      </c>
      <c r="J384" s="23">
        <v>0.5</v>
      </c>
      <c r="K384" s="25">
        <v>0.25369999999999998</v>
      </c>
      <c r="L384" s="2">
        <v>7</v>
      </c>
      <c r="M384" s="2">
        <v>50</v>
      </c>
      <c r="N384" s="2">
        <v>57</v>
      </c>
    </row>
    <row r="385" spans="1:14" x14ac:dyDescent="0.3">
      <c r="A385" s="2">
        <v>384</v>
      </c>
      <c r="B385" s="1">
        <v>40560</v>
      </c>
      <c r="C385" s="2">
        <v>1</v>
      </c>
      <c r="D385" s="2">
        <v>11</v>
      </c>
      <c r="E385" t="b">
        <v>1</v>
      </c>
      <c r="F385" s="2">
        <v>1</v>
      </c>
      <c r="G385" s="2">
        <v>2</v>
      </c>
      <c r="H385" s="23">
        <v>0.16</v>
      </c>
      <c r="I385" s="25">
        <v>0.1515</v>
      </c>
      <c r="J385" s="23">
        <v>0.55000000000000004</v>
      </c>
      <c r="K385" s="25">
        <v>0.19400000000000001</v>
      </c>
      <c r="L385" s="2">
        <v>9</v>
      </c>
      <c r="M385" s="2">
        <v>55</v>
      </c>
      <c r="N385" s="2">
        <v>64</v>
      </c>
    </row>
    <row r="386" spans="1:14" x14ac:dyDescent="0.3">
      <c r="A386" s="2">
        <v>385</v>
      </c>
      <c r="B386" s="1">
        <v>40560</v>
      </c>
      <c r="C386" s="2">
        <v>1</v>
      </c>
      <c r="D386" s="2">
        <v>12</v>
      </c>
      <c r="E386" t="b">
        <v>1</v>
      </c>
      <c r="F386" s="2">
        <v>1</v>
      </c>
      <c r="G386" s="2">
        <v>2</v>
      </c>
      <c r="H386" s="23">
        <v>0.18</v>
      </c>
      <c r="I386" s="25">
        <v>0.19700000000000001</v>
      </c>
      <c r="J386" s="23">
        <v>0.47</v>
      </c>
      <c r="K386" s="25">
        <v>0.1343</v>
      </c>
      <c r="L386" s="2">
        <v>10</v>
      </c>
      <c r="M386" s="2">
        <v>70</v>
      </c>
      <c r="N386" s="2">
        <v>80</v>
      </c>
    </row>
    <row r="387" spans="1:14" x14ac:dyDescent="0.3">
      <c r="A387" s="2">
        <v>386</v>
      </c>
      <c r="B387" s="1">
        <v>40560</v>
      </c>
      <c r="C387" s="2">
        <v>1</v>
      </c>
      <c r="D387" s="2">
        <v>13</v>
      </c>
      <c r="E387" t="b">
        <v>1</v>
      </c>
      <c r="F387" s="2">
        <v>1</v>
      </c>
      <c r="G387" s="2">
        <v>2</v>
      </c>
      <c r="H387" s="23">
        <v>0.18</v>
      </c>
      <c r="I387" s="25">
        <v>0.19700000000000001</v>
      </c>
      <c r="J387" s="23">
        <v>0.47</v>
      </c>
      <c r="K387" s="25">
        <v>0.1343</v>
      </c>
      <c r="L387" s="2">
        <v>13</v>
      </c>
      <c r="M387" s="2">
        <v>80</v>
      </c>
      <c r="N387" s="2">
        <v>93</v>
      </c>
    </row>
    <row r="388" spans="1:14" x14ac:dyDescent="0.3">
      <c r="A388" s="2">
        <v>387</v>
      </c>
      <c r="B388" s="1">
        <v>40560</v>
      </c>
      <c r="C388" s="2">
        <v>1</v>
      </c>
      <c r="D388" s="2">
        <v>14</v>
      </c>
      <c r="E388" t="b">
        <v>1</v>
      </c>
      <c r="F388" s="2">
        <v>1</v>
      </c>
      <c r="G388" s="2">
        <v>2</v>
      </c>
      <c r="H388" s="23">
        <v>0.18</v>
      </c>
      <c r="I388" s="25">
        <v>0.21210000000000001</v>
      </c>
      <c r="J388" s="23">
        <v>0.43</v>
      </c>
      <c r="K388" s="25">
        <v>0.1045</v>
      </c>
      <c r="L388" s="2">
        <v>12</v>
      </c>
      <c r="M388" s="2">
        <v>74</v>
      </c>
      <c r="N388" s="2">
        <v>86</v>
      </c>
    </row>
    <row r="389" spans="1:14" x14ac:dyDescent="0.3">
      <c r="A389" s="2">
        <v>388</v>
      </c>
      <c r="B389" s="1">
        <v>40560</v>
      </c>
      <c r="C389" s="2">
        <v>1</v>
      </c>
      <c r="D389" s="2">
        <v>15</v>
      </c>
      <c r="E389" t="b">
        <v>1</v>
      </c>
      <c r="F389" s="2">
        <v>1</v>
      </c>
      <c r="G389" s="2">
        <v>2</v>
      </c>
      <c r="H389" s="23">
        <v>0.2</v>
      </c>
      <c r="I389" s="25">
        <v>0.21210000000000001</v>
      </c>
      <c r="J389" s="23">
        <v>0.47</v>
      </c>
      <c r="K389" s="25">
        <v>0.16420000000000001</v>
      </c>
      <c r="L389" s="2">
        <v>21</v>
      </c>
      <c r="M389" s="2">
        <v>72</v>
      </c>
      <c r="N389" s="2">
        <v>93</v>
      </c>
    </row>
    <row r="390" spans="1:14" x14ac:dyDescent="0.3">
      <c r="A390" s="2">
        <v>389</v>
      </c>
      <c r="B390" s="1">
        <v>40560</v>
      </c>
      <c r="C390" s="2">
        <v>1</v>
      </c>
      <c r="D390" s="2">
        <v>16</v>
      </c>
      <c r="E390" t="b">
        <v>1</v>
      </c>
      <c r="F390" s="2">
        <v>1</v>
      </c>
      <c r="G390" s="2">
        <v>2</v>
      </c>
      <c r="H390" s="23">
        <v>0.2</v>
      </c>
      <c r="I390" s="25">
        <v>0.21210000000000001</v>
      </c>
      <c r="J390" s="23">
        <v>0.47</v>
      </c>
      <c r="K390" s="25">
        <v>0.16420000000000001</v>
      </c>
      <c r="L390" s="2">
        <v>6</v>
      </c>
      <c r="M390" s="2">
        <v>76</v>
      </c>
      <c r="N390" s="2">
        <v>82</v>
      </c>
    </row>
    <row r="391" spans="1:14" x14ac:dyDescent="0.3">
      <c r="A391" s="2">
        <v>390</v>
      </c>
      <c r="B391" s="1">
        <v>40560</v>
      </c>
      <c r="C391" s="2">
        <v>1</v>
      </c>
      <c r="D391" s="2">
        <v>17</v>
      </c>
      <c r="E391" t="b">
        <v>1</v>
      </c>
      <c r="F391" s="2">
        <v>1</v>
      </c>
      <c r="G391" s="2">
        <v>1</v>
      </c>
      <c r="H391" s="23">
        <v>0.2</v>
      </c>
      <c r="I391" s="25">
        <v>0.19700000000000001</v>
      </c>
      <c r="J391" s="23">
        <v>0.51</v>
      </c>
      <c r="K391" s="25">
        <v>0.19400000000000001</v>
      </c>
      <c r="L391" s="2">
        <v>4</v>
      </c>
      <c r="M391" s="2">
        <v>67</v>
      </c>
      <c r="N391" s="2">
        <v>71</v>
      </c>
    </row>
    <row r="392" spans="1:14" x14ac:dyDescent="0.3">
      <c r="A392" s="2">
        <v>391</v>
      </c>
      <c r="B392" s="1">
        <v>40560</v>
      </c>
      <c r="C392" s="2">
        <v>1</v>
      </c>
      <c r="D392" s="2">
        <v>18</v>
      </c>
      <c r="E392" t="b">
        <v>1</v>
      </c>
      <c r="F392" s="2">
        <v>1</v>
      </c>
      <c r="G392" s="2">
        <v>2</v>
      </c>
      <c r="H392" s="23">
        <v>0.18</v>
      </c>
      <c r="I392" s="25">
        <v>0.16669999999999999</v>
      </c>
      <c r="J392" s="23">
        <v>0.55000000000000004</v>
      </c>
      <c r="K392" s="25">
        <v>0.25369999999999998</v>
      </c>
      <c r="L392" s="2">
        <v>7</v>
      </c>
      <c r="M392" s="2">
        <v>85</v>
      </c>
      <c r="N392" s="2">
        <v>92</v>
      </c>
    </row>
    <row r="393" spans="1:14" x14ac:dyDescent="0.3">
      <c r="A393" s="2">
        <v>392</v>
      </c>
      <c r="B393" s="1">
        <v>40560</v>
      </c>
      <c r="C393" s="2">
        <v>1</v>
      </c>
      <c r="D393" s="2">
        <v>19</v>
      </c>
      <c r="E393" t="b">
        <v>1</v>
      </c>
      <c r="F393" s="2">
        <v>1</v>
      </c>
      <c r="G393" s="2">
        <v>3</v>
      </c>
      <c r="H393" s="23">
        <v>0.18</v>
      </c>
      <c r="I393" s="25">
        <v>0.18179999999999999</v>
      </c>
      <c r="J393" s="23">
        <v>0.59</v>
      </c>
      <c r="K393" s="25">
        <v>0.19400000000000001</v>
      </c>
      <c r="L393" s="2">
        <v>2</v>
      </c>
      <c r="M393" s="2">
        <v>58</v>
      </c>
      <c r="N393" s="2">
        <v>60</v>
      </c>
    </row>
    <row r="394" spans="1:14" x14ac:dyDescent="0.3">
      <c r="A394" s="2">
        <v>393</v>
      </c>
      <c r="B394" s="1">
        <v>40560</v>
      </c>
      <c r="C394" s="2">
        <v>1</v>
      </c>
      <c r="D394" s="2">
        <v>20</v>
      </c>
      <c r="E394" t="b">
        <v>1</v>
      </c>
      <c r="F394" s="2">
        <v>1</v>
      </c>
      <c r="G394" s="2">
        <v>3</v>
      </c>
      <c r="H394" s="23">
        <v>0.16</v>
      </c>
      <c r="I394" s="25">
        <v>0.1515</v>
      </c>
      <c r="J394" s="23">
        <v>0.8</v>
      </c>
      <c r="K394" s="25">
        <v>0.19400000000000001</v>
      </c>
      <c r="L394" s="2">
        <v>4</v>
      </c>
      <c r="M394" s="2">
        <v>29</v>
      </c>
      <c r="N394" s="2">
        <v>33</v>
      </c>
    </row>
    <row r="395" spans="1:14" x14ac:dyDescent="0.3">
      <c r="A395" s="2">
        <v>394</v>
      </c>
      <c r="B395" s="1">
        <v>40560</v>
      </c>
      <c r="C395" s="2">
        <v>1</v>
      </c>
      <c r="D395" s="2">
        <v>21</v>
      </c>
      <c r="E395" t="b">
        <v>1</v>
      </c>
      <c r="F395" s="2">
        <v>1</v>
      </c>
      <c r="G395" s="2">
        <v>3</v>
      </c>
      <c r="H395" s="23">
        <v>0.16</v>
      </c>
      <c r="I395" s="25">
        <v>0.1515</v>
      </c>
      <c r="J395" s="23">
        <v>0.8</v>
      </c>
      <c r="K395" s="25">
        <v>0.19400000000000001</v>
      </c>
      <c r="L395" s="2">
        <v>3</v>
      </c>
      <c r="M395" s="2">
        <v>24</v>
      </c>
      <c r="N395" s="2">
        <v>27</v>
      </c>
    </row>
    <row r="396" spans="1:14" x14ac:dyDescent="0.3">
      <c r="A396" s="2">
        <v>395</v>
      </c>
      <c r="B396" s="1">
        <v>40560</v>
      </c>
      <c r="C396" s="2">
        <v>1</v>
      </c>
      <c r="D396" s="2">
        <v>22</v>
      </c>
      <c r="E396" t="b">
        <v>1</v>
      </c>
      <c r="F396" s="2">
        <v>1</v>
      </c>
      <c r="G396" s="2">
        <v>3</v>
      </c>
      <c r="H396" s="23">
        <v>0.14000000000000001</v>
      </c>
      <c r="I396" s="25">
        <v>0.1212</v>
      </c>
      <c r="J396" s="23">
        <v>0.93</v>
      </c>
      <c r="K396" s="25">
        <v>0.25369999999999998</v>
      </c>
      <c r="L396" s="2">
        <v>0</v>
      </c>
      <c r="M396" s="2">
        <v>13</v>
      </c>
      <c r="N396" s="2">
        <v>13</v>
      </c>
    </row>
    <row r="397" spans="1:14" x14ac:dyDescent="0.3">
      <c r="A397" s="2">
        <v>396</v>
      </c>
      <c r="B397" s="1">
        <v>40560</v>
      </c>
      <c r="C397" s="2">
        <v>1</v>
      </c>
      <c r="D397" s="2">
        <v>23</v>
      </c>
      <c r="E397" t="b">
        <v>1</v>
      </c>
      <c r="F397" s="2">
        <v>1</v>
      </c>
      <c r="G397" s="2">
        <v>3</v>
      </c>
      <c r="H397" s="23">
        <v>0.16</v>
      </c>
      <c r="I397" s="25">
        <v>0.13639999999999999</v>
      </c>
      <c r="J397" s="23">
        <v>0.86</v>
      </c>
      <c r="K397" s="25">
        <v>0.28360000000000002</v>
      </c>
      <c r="L397" s="2">
        <v>1</v>
      </c>
      <c r="M397" s="2">
        <v>3</v>
      </c>
      <c r="N397" s="2">
        <v>4</v>
      </c>
    </row>
    <row r="398" spans="1:14" x14ac:dyDescent="0.3">
      <c r="A398" s="2">
        <v>397</v>
      </c>
      <c r="B398" s="1">
        <v>40561</v>
      </c>
      <c r="C398" s="2">
        <v>1</v>
      </c>
      <c r="D398" s="2">
        <v>12</v>
      </c>
      <c r="E398" t="b">
        <v>0</v>
      </c>
      <c r="F398" s="2">
        <v>2</v>
      </c>
      <c r="G398" s="2">
        <v>2</v>
      </c>
      <c r="H398" s="23">
        <v>0.2</v>
      </c>
      <c r="I398" s="25">
        <v>0.18179999999999999</v>
      </c>
      <c r="J398" s="23">
        <v>0.86</v>
      </c>
      <c r="K398" s="25">
        <v>0.32840000000000003</v>
      </c>
      <c r="L398" s="2">
        <v>0</v>
      </c>
      <c r="M398" s="2">
        <v>3</v>
      </c>
      <c r="N398" s="2">
        <v>3</v>
      </c>
    </row>
    <row r="399" spans="1:14" x14ac:dyDescent="0.3">
      <c r="A399" s="2">
        <v>398</v>
      </c>
      <c r="B399" s="1">
        <v>40561</v>
      </c>
      <c r="C399" s="2">
        <v>1</v>
      </c>
      <c r="D399" s="2">
        <v>13</v>
      </c>
      <c r="E399" t="b">
        <v>0</v>
      </c>
      <c r="F399" s="2">
        <v>2</v>
      </c>
      <c r="G399" s="2">
        <v>2</v>
      </c>
      <c r="H399" s="23">
        <v>0.2</v>
      </c>
      <c r="I399" s="25">
        <v>0.19700000000000001</v>
      </c>
      <c r="J399" s="23">
        <v>0.86</v>
      </c>
      <c r="K399" s="25">
        <v>0.22389999999999999</v>
      </c>
      <c r="L399" s="2">
        <v>0</v>
      </c>
      <c r="M399" s="2">
        <v>22</v>
      </c>
      <c r="N399" s="2">
        <v>22</v>
      </c>
    </row>
    <row r="400" spans="1:14" x14ac:dyDescent="0.3">
      <c r="A400" s="2">
        <v>399</v>
      </c>
      <c r="B400" s="1">
        <v>40561</v>
      </c>
      <c r="C400" s="2">
        <v>1</v>
      </c>
      <c r="D400" s="2">
        <v>14</v>
      </c>
      <c r="E400" t="b">
        <v>0</v>
      </c>
      <c r="F400" s="2">
        <v>2</v>
      </c>
      <c r="G400" s="2">
        <v>2</v>
      </c>
      <c r="H400" s="23">
        <v>0.22</v>
      </c>
      <c r="I400" s="25">
        <v>0.2273</v>
      </c>
      <c r="J400" s="23">
        <v>0.8</v>
      </c>
      <c r="K400" s="25">
        <v>0.16420000000000001</v>
      </c>
      <c r="L400" s="2">
        <v>2</v>
      </c>
      <c r="M400" s="2">
        <v>26</v>
      </c>
      <c r="N400" s="2">
        <v>28</v>
      </c>
    </row>
    <row r="401" spans="1:14" x14ac:dyDescent="0.3">
      <c r="A401" s="2">
        <v>400</v>
      </c>
      <c r="B401" s="1">
        <v>40561</v>
      </c>
      <c r="C401" s="2">
        <v>1</v>
      </c>
      <c r="D401" s="2">
        <v>15</v>
      </c>
      <c r="E401" t="b">
        <v>0</v>
      </c>
      <c r="F401" s="2">
        <v>2</v>
      </c>
      <c r="G401" s="2">
        <v>2</v>
      </c>
      <c r="H401" s="23">
        <v>0.22</v>
      </c>
      <c r="I401" s="25">
        <v>0.2273</v>
      </c>
      <c r="J401" s="23">
        <v>0.87</v>
      </c>
      <c r="K401" s="25">
        <v>0.16420000000000001</v>
      </c>
      <c r="L401" s="2">
        <v>3</v>
      </c>
      <c r="M401" s="2">
        <v>32</v>
      </c>
      <c r="N401" s="2">
        <v>35</v>
      </c>
    </row>
    <row r="402" spans="1:14" x14ac:dyDescent="0.3">
      <c r="A402" s="2">
        <v>401</v>
      </c>
      <c r="B402" s="1">
        <v>40561</v>
      </c>
      <c r="C402" s="2">
        <v>1</v>
      </c>
      <c r="D402" s="2">
        <v>16</v>
      </c>
      <c r="E402" t="b">
        <v>0</v>
      </c>
      <c r="F402" s="2">
        <v>2</v>
      </c>
      <c r="G402" s="2">
        <v>2</v>
      </c>
      <c r="H402" s="23">
        <v>0.22</v>
      </c>
      <c r="I402" s="25">
        <v>0.2273</v>
      </c>
      <c r="J402" s="23">
        <v>0.87</v>
      </c>
      <c r="K402" s="25">
        <v>0.19400000000000001</v>
      </c>
      <c r="L402" s="2">
        <v>0</v>
      </c>
      <c r="M402" s="2">
        <v>61</v>
      </c>
      <c r="N402" s="2">
        <v>61</v>
      </c>
    </row>
    <row r="403" spans="1:14" x14ac:dyDescent="0.3">
      <c r="A403" s="2">
        <v>402</v>
      </c>
      <c r="B403" s="1">
        <v>40561</v>
      </c>
      <c r="C403" s="2">
        <v>1</v>
      </c>
      <c r="D403" s="2">
        <v>17</v>
      </c>
      <c r="E403" t="b">
        <v>0</v>
      </c>
      <c r="F403" s="2">
        <v>2</v>
      </c>
      <c r="G403" s="2">
        <v>2</v>
      </c>
      <c r="H403" s="23">
        <v>0.22</v>
      </c>
      <c r="I403" s="25">
        <v>0.2273</v>
      </c>
      <c r="J403" s="23">
        <v>0.82</v>
      </c>
      <c r="K403" s="25">
        <v>0.19400000000000001</v>
      </c>
      <c r="L403" s="2">
        <v>1</v>
      </c>
      <c r="M403" s="2">
        <v>124</v>
      </c>
      <c r="N403" s="2">
        <v>125</v>
      </c>
    </row>
    <row r="404" spans="1:14" x14ac:dyDescent="0.3">
      <c r="A404" s="2">
        <v>403</v>
      </c>
      <c r="B404" s="1">
        <v>40561</v>
      </c>
      <c r="C404" s="2">
        <v>1</v>
      </c>
      <c r="D404" s="2">
        <v>18</v>
      </c>
      <c r="E404" t="b">
        <v>0</v>
      </c>
      <c r="F404" s="2">
        <v>2</v>
      </c>
      <c r="G404" s="2">
        <v>2</v>
      </c>
      <c r="H404" s="23">
        <v>0.22</v>
      </c>
      <c r="I404" s="25">
        <v>0.2273</v>
      </c>
      <c r="J404" s="23">
        <v>0.8</v>
      </c>
      <c r="K404" s="25">
        <v>0.16420000000000001</v>
      </c>
      <c r="L404" s="2">
        <v>1</v>
      </c>
      <c r="M404" s="2">
        <v>132</v>
      </c>
      <c r="N404" s="2">
        <v>133</v>
      </c>
    </row>
    <row r="405" spans="1:14" x14ac:dyDescent="0.3">
      <c r="A405" s="2">
        <v>404</v>
      </c>
      <c r="B405" s="1">
        <v>40561</v>
      </c>
      <c r="C405" s="2">
        <v>1</v>
      </c>
      <c r="D405" s="2">
        <v>19</v>
      </c>
      <c r="E405" t="b">
        <v>0</v>
      </c>
      <c r="F405" s="2">
        <v>2</v>
      </c>
      <c r="G405" s="2">
        <v>2</v>
      </c>
      <c r="H405" s="23">
        <v>0.22</v>
      </c>
      <c r="I405" s="25">
        <v>0.2273</v>
      </c>
      <c r="J405" s="23">
        <v>0.8</v>
      </c>
      <c r="K405" s="25">
        <v>0.1343</v>
      </c>
      <c r="L405" s="2">
        <v>1</v>
      </c>
      <c r="M405" s="2">
        <v>98</v>
      </c>
      <c r="N405" s="2">
        <v>99</v>
      </c>
    </row>
    <row r="406" spans="1:14" x14ac:dyDescent="0.3">
      <c r="A406" s="2">
        <v>405</v>
      </c>
      <c r="B406" s="1">
        <v>40561</v>
      </c>
      <c r="C406" s="2">
        <v>1</v>
      </c>
      <c r="D406" s="2">
        <v>20</v>
      </c>
      <c r="E406" t="b">
        <v>0</v>
      </c>
      <c r="F406" s="2">
        <v>2</v>
      </c>
      <c r="G406" s="2">
        <v>2</v>
      </c>
      <c r="H406" s="23">
        <v>0.22</v>
      </c>
      <c r="I406" s="25">
        <v>0.2727</v>
      </c>
      <c r="J406" s="23">
        <v>0.87</v>
      </c>
      <c r="K406" s="25">
        <v>0</v>
      </c>
      <c r="L406" s="2">
        <v>0</v>
      </c>
      <c r="M406" s="2">
        <v>83</v>
      </c>
      <c r="N406" s="2">
        <v>83</v>
      </c>
    </row>
    <row r="407" spans="1:14" x14ac:dyDescent="0.3">
      <c r="A407" s="2">
        <v>406</v>
      </c>
      <c r="B407" s="1">
        <v>40561</v>
      </c>
      <c r="C407" s="2">
        <v>1</v>
      </c>
      <c r="D407" s="2">
        <v>21</v>
      </c>
      <c r="E407" t="b">
        <v>0</v>
      </c>
      <c r="F407" s="2">
        <v>2</v>
      </c>
      <c r="G407" s="2">
        <v>2</v>
      </c>
      <c r="H407" s="23">
        <v>0.22</v>
      </c>
      <c r="I407" s="25">
        <v>0.2424</v>
      </c>
      <c r="J407" s="23">
        <v>0.93</v>
      </c>
      <c r="K407" s="25">
        <v>0.1045</v>
      </c>
      <c r="L407" s="2">
        <v>0</v>
      </c>
      <c r="M407" s="2">
        <v>41</v>
      </c>
      <c r="N407" s="2">
        <v>41</v>
      </c>
    </row>
    <row r="408" spans="1:14" x14ac:dyDescent="0.3">
      <c r="A408" s="2">
        <v>407</v>
      </c>
      <c r="B408" s="1">
        <v>40561</v>
      </c>
      <c r="C408" s="2">
        <v>1</v>
      </c>
      <c r="D408" s="2">
        <v>22</v>
      </c>
      <c r="E408" t="b">
        <v>0</v>
      </c>
      <c r="F408" s="2">
        <v>2</v>
      </c>
      <c r="G408" s="2">
        <v>2</v>
      </c>
      <c r="H408" s="23">
        <v>0.22</v>
      </c>
      <c r="I408" s="25">
        <v>0.2576</v>
      </c>
      <c r="J408" s="23">
        <v>0.93</v>
      </c>
      <c r="K408" s="25">
        <v>8.9599999999999999E-2</v>
      </c>
      <c r="L408" s="2">
        <v>0</v>
      </c>
      <c r="M408" s="2">
        <v>33</v>
      </c>
      <c r="N408" s="2">
        <v>33</v>
      </c>
    </row>
    <row r="409" spans="1:14" x14ac:dyDescent="0.3">
      <c r="A409" s="2">
        <v>408</v>
      </c>
      <c r="B409" s="1">
        <v>40561</v>
      </c>
      <c r="C409" s="2">
        <v>1</v>
      </c>
      <c r="D409" s="2">
        <v>23</v>
      </c>
      <c r="E409" t="b">
        <v>0</v>
      </c>
      <c r="F409" s="2">
        <v>2</v>
      </c>
      <c r="G409" s="2">
        <v>2</v>
      </c>
      <c r="H409" s="23">
        <v>0.22</v>
      </c>
      <c r="I409" s="25">
        <v>0.2727</v>
      </c>
      <c r="J409" s="23">
        <v>0.93</v>
      </c>
      <c r="K409" s="25">
        <v>0</v>
      </c>
      <c r="L409" s="2">
        <v>1</v>
      </c>
      <c r="M409" s="2">
        <v>19</v>
      </c>
      <c r="N409" s="2">
        <v>20</v>
      </c>
    </row>
    <row r="410" spans="1:14" x14ac:dyDescent="0.3">
      <c r="A410" s="2">
        <v>409</v>
      </c>
      <c r="B410" s="1">
        <v>40562</v>
      </c>
      <c r="C410" s="2">
        <v>1</v>
      </c>
      <c r="D410" s="2">
        <v>0</v>
      </c>
      <c r="E410" t="b">
        <v>0</v>
      </c>
      <c r="F410" s="2">
        <v>3</v>
      </c>
      <c r="G410" s="2">
        <v>2</v>
      </c>
      <c r="H410" s="23">
        <v>0.22</v>
      </c>
      <c r="I410" s="25">
        <v>0.2727</v>
      </c>
      <c r="J410" s="23">
        <v>0.93</v>
      </c>
      <c r="K410" s="25">
        <v>0</v>
      </c>
      <c r="L410" s="2">
        <v>0</v>
      </c>
      <c r="M410" s="2">
        <v>3</v>
      </c>
      <c r="N410" s="2">
        <v>3</v>
      </c>
    </row>
    <row r="411" spans="1:14" x14ac:dyDescent="0.3">
      <c r="A411" s="2">
        <v>410</v>
      </c>
      <c r="B411" s="1">
        <v>40562</v>
      </c>
      <c r="C411" s="2">
        <v>1</v>
      </c>
      <c r="D411" s="2">
        <v>1</v>
      </c>
      <c r="E411" t="b">
        <v>0</v>
      </c>
      <c r="F411" s="2">
        <v>3</v>
      </c>
      <c r="G411" s="2">
        <v>3</v>
      </c>
      <c r="H411" s="23">
        <v>0.22</v>
      </c>
      <c r="I411" s="25">
        <v>0.2273</v>
      </c>
      <c r="J411" s="23">
        <v>0.93</v>
      </c>
      <c r="K411" s="25">
        <v>0.1343</v>
      </c>
      <c r="L411" s="2">
        <v>1</v>
      </c>
      <c r="M411" s="2">
        <v>6</v>
      </c>
      <c r="N411" s="2">
        <v>7</v>
      </c>
    </row>
    <row r="412" spans="1:14" x14ac:dyDescent="0.3">
      <c r="A412" s="2">
        <v>411</v>
      </c>
      <c r="B412" s="1">
        <v>40562</v>
      </c>
      <c r="C412" s="2">
        <v>1</v>
      </c>
      <c r="D412" s="2">
        <v>2</v>
      </c>
      <c r="E412" t="b">
        <v>0</v>
      </c>
      <c r="F412" s="2">
        <v>3</v>
      </c>
      <c r="G412" s="2">
        <v>3</v>
      </c>
      <c r="H412" s="23">
        <v>0.22</v>
      </c>
      <c r="I412" s="25">
        <v>0.2273</v>
      </c>
      <c r="J412" s="23">
        <v>0.93</v>
      </c>
      <c r="K412" s="25">
        <v>0.1343</v>
      </c>
      <c r="L412" s="2">
        <v>0</v>
      </c>
      <c r="M412" s="2">
        <v>3</v>
      </c>
      <c r="N412" s="2">
        <v>3</v>
      </c>
    </row>
    <row r="413" spans="1:14" x14ac:dyDescent="0.3">
      <c r="A413" s="2">
        <v>412</v>
      </c>
      <c r="B413" s="1">
        <v>40562</v>
      </c>
      <c r="C413" s="2">
        <v>1</v>
      </c>
      <c r="D413" s="2">
        <v>4</v>
      </c>
      <c r="E413" t="b">
        <v>0</v>
      </c>
      <c r="F413" s="2">
        <v>3</v>
      </c>
      <c r="G413" s="2">
        <v>3</v>
      </c>
      <c r="H413" s="23">
        <v>0.22</v>
      </c>
      <c r="I413" s="25">
        <v>0.2273</v>
      </c>
      <c r="J413" s="23">
        <v>0.93</v>
      </c>
      <c r="K413" s="25">
        <v>0.1343</v>
      </c>
      <c r="L413" s="2">
        <v>1</v>
      </c>
      <c r="M413" s="2">
        <v>1</v>
      </c>
      <c r="N413" s="2">
        <v>2</v>
      </c>
    </row>
    <row r="414" spans="1:14" x14ac:dyDescent="0.3">
      <c r="A414" s="2">
        <v>413</v>
      </c>
      <c r="B414" s="1">
        <v>40562</v>
      </c>
      <c r="C414" s="2">
        <v>1</v>
      </c>
      <c r="D414" s="2">
        <v>5</v>
      </c>
      <c r="E414" t="b">
        <v>0</v>
      </c>
      <c r="F414" s="2">
        <v>3</v>
      </c>
      <c r="G414" s="2">
        <v>2</v>
      </c>
      <c r="H414" s="23">
        <v>0.22</v>
      </c>
      <c r="I414" s="25">
        <v>0.2576</v>
      </c>
      <c r="J414" s="23">
        <v>0.93</v>
      </c>
      <c r="K414" s="25">
        <v>8.9599999999999999E-2</v>
      </c>
      <c r="L414" s="2">
        <v>0</v>
      </c>
      <c r="M414" s="2">
        <v>7</v>
      </c>
      <c r="N414" s="2">
        <v>7</v>
      </c>
    </row>
    <row r="415" spans="1:14" x14ac:dyDescent="0.3">
      <c r="A415" s="2">
        <v>414</v>
      </c>
      <c r="B415" s="1">
        <v>40562</v>
      </c>
      <c r="C415" s="2">
        <v>1</v>
      </c>
      <c r="D415" s="2">
        <v>6</v>
      </c>
      <c r="E415" t="b">
        <v>0</v>
      </c>
      <c r="F415" s="2">
        <v>3</v>
      </c>
      <c r="G415" s="2">
        <v>2</v>
      </c>
      <c r="H415" s="23">
        <v>0.22</v>
      </c>
      <c r="I415" s="25">
        <v>0.2576</v>
      </c>
      <c r="J415" s="23">
        <v>0.93</v>
      </c>
      <c r="K415" s="25">
        <v>8.9599999999999999E-2</v>
      </c>
      <c r="L415" s="2">
        <v>0</v>
      </c>
      <c r="M415" s="2">
        <v>32</v>
      </c>
      <c r="N415" s="2">
        <v>32</v>
      </c>
    </row>
    <row r="416" spans="1:14" x14ac:dyDescent="0.3">
      <c r="A416" s="2">
        <v>415</v>
      </c>
      <c r="B416" s="1">
        <v>40562</v>
      </c>
      <c r="C416" s="2">
        <v>1</v>
      </c>
      <c r="D416" s="2">
        <v>7</v>
      </c>
      <c r="E416" t="b">
        <v>0</v>
      </c>
      <c r="F416" s="2">
        <v>3</v>
      </c>
      <c r="G416" s="2">
        <v>2</v>
      </c>
      <c r="H416" s="23">
        <v>0.24</v>
      </c>
      <c r="I416" s="25">
        <v>0.2576</v>
      </c>
      <c r="J416" s="23">
        <v>0.92</v>
      </c>
      <c r="K416" s="25">
        <v>0.1045</v>
      </c>
      <c r="L416" s="2">
        <v>1</v>
      </c>
      <c r="M416" s="2">
        <v>89</v>
      </c>
      <c r="N416" s="2">
        <v>90</v>
      </c>
    </row>
    <row r="417" spans="1:14" x14ac:dyDescent="0.3">
      <c r="A417" s="2">
        <v>416</v>
      </c>
      <c r="B417" s="1">
        <v>40562</v>
      </c>
      <c r="C417" s="2">
        <v>1</v>
      </c>
      <c r="D417" s="2">
        <v>8</v>
      </c>
      <c r="E417" t="b">
        <v>0</v>
      </c>
      <c r="F417" s="2">
        <v>3</v>
      </c>
      <c r="G417" s="2">
        <v>2</v>
      </c>
      <c r="H417" s="23">
        <v>0.24</v>
      </c>
      <c r="I417" s="25">
        <v>0.2576</v>
      </c>
      <c r="J417" s="23">
        <v>0.93</v>
      </c>
      <c r="K417" s="25">
        <v>0.1045</v>
      </c>
      <c r="L417" s="2">
        <v>1</v>
      </c>
      <c r="M417" s="2">
        <v>196</v>
      </c>
      <c r="N417" s="2">
        <v>197</v>
      </c>
    </row>
    <row r="418" spans="1:14" x14ac:dyDescent="0.3">
      <c r="A418" s="2">
        <v>417</v>
      </c>
      <c r="B418" s="1">
        <v>40562</v>
      </c>
      <c r="C418" s="2">
        <v>1</v>
      </c>
      <c r="D418" s="2">
        <v>9</v>
      </c>
      <c r="E418" t="b">
        <v>0</v>
      </c>
      <c r="F418" s="2">
        <v>3</v>
      </c>
      <c r="G418" s="2">
        <v>2</v>
      </c>
      <c r="H418" s="23">
        <v>0.24</v>
      </c>
      <c r="I418" s="25">
        <v>0.2576</v>
      </c>
      <c r="J418" s="23">
        <v>0.93</v>
      </c>
      <c r="K418" s="25">
        <v>0.1045</v>
      </c>
      <c r="L418" s="2">
        <v>2</v>
      </c>
      <c r="M418" s="2">
        <v>107</v>
      </c>
      <c r="N418" s="2">
        <v>109</v>
      </c>
    </row>
    <row r="419" spans="1:14" x14ac:dyDescent="0.3">
      <c r="A419" s="2">
        <v>418</v>
      </c>
      <c r="B419" s="1">
        <v>40562</v>
      </c>
      <c r="C419" s="2">
        <v>1</v>
      </c>
      <c r="D419" s="2">
        <v>10</v>
      </c>
      <c r="E419" t="b">
        <v>0</v>
      </c>
      <c r="F419" s="2">
        <v>3</v>
      </c>
      <c r="G419" s="2">
        <v>2</v>
      </c>
      <c r="H419" s="23">
        <v>0.26</v>
      </c>
      <c r="I419" s="25">
        <v>0.2727</v>
      </c>
      <c r="J419" s="23">
        <v>0.93</v>
      </c>
      <c r="K419" s="25">
        <v>0.1343</v>
      </c>
      <c r="L419" s="2">
        <v>1</v>
      </c>
      <c r="M419" s="2">
        <v>46</v>
      </c>
      <c r="N419" s="2">
        <v>47</v>
      </c>
    </row>
    <row r="420" spans="1:14" x14ac:dyDescent="0.3">
      <c r="A420" s="2">
        <v>419</v>
      </c>
      <c r="B420" s="1">
        <v>40562</v>
      </c>
      <c r="C420" s="2">
        <v>1</v>
      </c>
      <c r="D420" s="2">
        <v>11</v>
      </c>
      <c r="E420" t="b">
        <v>0</v>
      </c>
      <c r="F420" s="2">
        <v>3</v>
      </c>
      <c r="G420" s="2">
        <v>2</v>
      </c>
      <c r="H420" s="23">
        <v>0.28000000000000003</v>
      </c>
      <c r="I420" s="25">
        <v>0.30299999999999999</v>
      </c>
      <c r="J420" s="23">
        <v>0.87</v>
      </c>
      <c r="K420" s="25">
        <v>8.9599999999999999E-2</v>
      </c>
      <c r="L420" s="2">
        <v>5</v>
      </c>
      <c r="M420" s="2">
        <v>47</v>
      </c>
      <c r="N420" s="2">
        <v>52</v>
      </c>
    </row>
    <row r="421" spans="1:14" x14ac:dyDescent="0.3">
      <c r="A421" s="2">
        <v>420</v>
      </c>
      <c r="B421" s="1">
        <v>40562</v>
      </c>
      <c r="C421" s="2">
        <v>1</v>
      </c>
      <c r="D421" s="2">
        <v>12</v>
      </c>
      <c r="E421" t="b">
        <v>0</v>
      </c>
      <c r="F421" s="2">
        <v>3</v>
      </c>
      <c r="G421" s="2">
        <v>2</v>
      </c>
      <c r="H421" s="23">
        <v>0.3</v>
      </c>
      <c r="I421" s="25">
        <v>0.31819999999999998</v>
      </c>
      <c r="J421" s="23">
        <v>0.81</v>
      </c>
      <c r="K421" s="25">
        <v>8.9599999999999999E-2</v>
      </c>
      <c r="L421" s="2">
        <v>5</v>
      </c>
      <c r="M421" s="2">
        <v>65</v>
      </c>
      <c r="N421" s="2">
        <v>70</v>
      </c>
    </row>
    <row r="422" spans="1:14" x14ac:dyDescent="0.3">
      <c r="A422" s="2">
        <v>421</v>
      </c>
      <c r="B422" s="1">
        <v>40562</v>
      </c>
      <c r="C422" s="2">
        <v>1</v>
      </c>
      <c r="D422" s="2">
        <v>13</v>
      </c>
      <c r="E422" t="b">
        <v>0</v>
      </c>
      <c r="F422" s="2">
        <v>3</v>
      </c>
      <c r="G422" s="2">
        <v>1</v>
      </c>
      <c r="H422" s="23">
        <v>0.4</v>
      </c>
      <c r="I422" s="25">
        <v>0.40910000000000002</v>
      </c>
      <c r="J422" s="23">
        <v>0.62</v>
      </c>
      <c r="K422" s="25">
        <v>0.28360000000000002</v>
      </c>
      <c r="L422" s="2">
        <v>11</v>
      </c>
      <c r="M422" s="2">
        <v>67</v>
      </c>
      <c r="N422" s="2">
        <v>78</v>
      </c>
    </row>
    <row r="423" spans="1:14" x14ac:dyDescent="0.3">
      <c r="A423" s="2">
        <v>422</v>
      </c>
      <c r="B423" s="1">
        <v>40562</v>
      </c>
      <c r="C423" s="2">
        <v>1</v>
      </c>
      <c r="D423" s="2">
        <v>14</v>
      </c>
      <c r="E423" t="b">
        <v>0</v>
      </c>
      <c r="F423" s="2">
        <v>3</v>
      </c>
      <c r="G423" s="2">
        <v>1</v>
      </c>
      <c r="H423" s="23">
        <v>0.4</v>
      </c>
      <c r="I423" s="25">
        <v>0.40910000000000002</v>
      </c>
      <c r="J423" s="23">
        <v>0.57999999999999996</v>
      </c>
      <c r="K423" s="25">
        <v>0.25369999999999998</v>
      </c>
      <c r="L423" s="2">
        <v>7</v>
      </c>
      <c r="M423" s="2">
        <v>68</v>
      </c>
      <c r="N423" s="2">
        <v>75</v>
      </c>
    </row>
    <row r="424" spans="1:14" x14ac:dyDescent="0.3">
      <c r="A424" s="2">
        <v>423</v>
      </c>
      <c r="B424" s="1">
        <v>40562</v>
      </c>
      <c r="C424" s="2">
        <v>1</v>
      </c>
      <c r="D424" s="2">
        <v>15</v>
      </c>
      <c r="E424" t="b">
        <v>0</v>
      </c>
      <c r="F424" s="2">
        <v>3</v>
      </c>
      <c r="G424" s="2">
        <v>1</v>
      </c>
      <c r="H424" s="23">
        <v>0.4</v>
      </c>
      <c r="I424" s="25">
        <v>0.40910000000000002</v>
      </c>
      <c r="J424" s="23">
        <v>0.54</v>
      </c>
      <c r="K424" s="25">
        <v>0.28360000000000002</v>
      </c>
      <c r="L424" s="2">
        <v>4</v>
      </c>
      <c r="M424" s="2">
        <v>78</v>
      </c>
      <c r="N424" s="2">
        <v>82</v>
      </c>
    </row>
    <row r="425" spans="1:14" x14ac:dyDescent="0.3">
      <c r="A425" s="2">
        <v>424</v>
      </c>
      <c r="B425" s="1">
        <v>40562</v>
      </c>
      <c r="C425" s="2">
        <v>1</v>
      </c>
      <c r="D425" s="2">
        <v>16</v>
      </c>
      <c r="E425" t="b">
        <v>0</v>
      </c>
      <c r="F425" s="2">
        <v>3</v>
      </c>
      <c r="G425" s="2">
        <v>1</v>
      </c>
      <c r="H425" s="23">
        <v>0.38</v>
      </c>
      <c r="I425" s="25">
        <v>0.39389999999999997</v>
      </c>
      <c r="J425" s="23">
        <v>0.57999999999999996</v>
      </c>
      <c r="K425" s="25">
        <v>0.3881</v>
      </c>
      <c r="L425" s="2">
        <v>10</v>
      </c>
      <c r="M425" s="2">
        <v>94</v>
      </c>
      <c r="N425" s="2">
        <v>104</v>
      </c>
    </row>
    <row r="426" spans="1:14" x14ac:dyDescent="0.3">
      <c r="A426" s="2">
        <v>425</v>
      </c>
      <c r="B426" s="1">
        <v>40562</v>
      </c>
      <c r="C426" s="2">
        <v>1</v>
      </c>
      <c r="D426" s="2">
        <v>17</v>
      </c>
      <c r="E426" t="b">
        <v>0</v>
      </c>
      <c r="F426" s="2">
        <v>3</v>
      </c>
      <c r="G426" s="2">
        <v>1</v>
      </c>
      <c r="H426" s="23">
        <v>0.36</v>
      </c>
      <c r="I426" s="25">
        <v>0.33329999999999999</v>
      </c>
      <c r="J426" s="23">
        <v>0.56999999999999995</v>
      </c>
      <c r="K426" s="25">
        <v>0.32840000000000003</v>
      </c>
      <c r="L426" s="2">
        <v>7</v>
      </c>
      <c r="M426" s="2">
        <v>190</v>
      </c>
      <c r="N426" s="2">
        <v>197</v>
      </c>
    </row>
    <row r="427" spans="1:14" x14ac:dyDescent="0.3">
      <c r="A427" s="2">
        <v>426</v>
      </c>
      <c r="B427" s="1">
        <v>40562</v>
      </c>
      <c r="C427" s="2">
        <v>1</v>
      </c>
      <c r="D427" s="2">
        <v>18</v>
      </c>
      <c r="E427" t="b">
        <v>0</v>
      </c>
      <c r="F427" s="2">
        <v>3</v>
      </c>
      <c r="G427" s="2">
        <v>1</v>
      </c>
      <c r="H427" s="23">
        <v>0.34</v>
      </c>
      <c r="I427" s="25">
        <v>0.31819999999999998</v>
      </c>
      <c r="J427" s="23">
        <v>0.61</v>
      </c>
      <c r="K427" s="25">
        <v>0.28360000000000002</v>
      </c>
      <c r="L427" s="2">
        <v>5</v>
      </c>
      <c r="M427" s="2">
        <v>156</v>
      </c>
      <c r="N427" s="2">
        <v>161</v>
      </c>
    </row>
    <row r="428" spans="1:14" x14ac:dyDescent="0.3">
      <c r="A428" s="2">
        <v>427</v>
      </c>
      <c r="B428" s="1">
        <v>40562</v>
      </c>
      <c r="C428" s="2">
        <v>1</v>
      </c>
      <c r="D428" s="2">
        <v>19</v>
      </c>
      <c r="E428" t="b">
        <v>0</v>
      </c>
      <c r="F428" s="2">
        <v>3</v>
      </c>
      <c r="G428" s="2">
        <v>1</v>
      </c>
      <c r="H428" s="23">
        <v>0.32</v>
      </c>
      <c r="I428" s="25">
        <v>0.28789999999999999</v>
      </c>
      <c r="J428" s="23">
        <v>0.56999999999999995</v>
      </c>
      <c r="K428" s="25">
        <v>0.41789999999999999</v>
      </c>
      <c r="L428" s="2">
        <v>4</v>
      </c>
      <c r="M428" s="2">
        <v>108</v>
      </c>
      <c r="N428" s="2">
        <v>112</v>
      </c>
    </row>
    <row r="429" spans="1:14" x14ac:dyDescent="0.3">
      <c r="A429" s="2">
        <v>428</v>
      </c>
      <c r="B429" s="1">
        <v>40562</v>
      </c>
      <c r="C429" s="2">
        <v>1</v>
      </c>
      <c r="D429" s="2">
        <v>20</v>
      </c>
      <c r="E429" t="b">
        <v>0</v>
      </c>
      <c r="F429" s="2">
        <v>3</v>
      </c>
      <c r="G429" s="2">
        <v>1</v>
      </c>
      <c r="H429" s="23">
        <v>0.32</v>
      </c>
      <c r="I429" s="25">
        <v>0.30299999999999999</v>
      </c>
      <c r="J429" s="23">
        <v>0.49</v>
      </c>
      <c r="K429" s="25">
        <v>0.29849999999999999</v>
      </c>
      <c r="L429" s="2">
        <v>2</v>
      </c>
      <c r="M429" s="2">
        <v>74</v>
      </c>
      <c r="N429" s="2">
        <v>76</v>
      </c>
    </row>
    <row r="430" spans="1:14" x14ac:dyDescent="0.3">
      <c r="A430" s="2">
        <v>429</v>
      </c>
      <c r="B430" s="1">
        <v>40562</v>
      </c>
      <c r="C430" s="2">
        <v>1</v>
      </c>
      <c r="D430" s="2">
        <v>21</v>
      </c>
      <c r="E430" t="b">
        <v>0</v>
      </c>
      <c r="F430" s="2">
        <v>3</v>
      </c>
      <c r="G430" s="2">
        <v>1</v>
      </c>
      <c r="H430" s="23">
        <v>0.32</v>
      </c>
      <c r="I430" s="25">
        <v>0.28789999999999999</v>
      </c>
      <c r="J430" s="23">
        <v>0.49</v>
      </c>
      <c r="K430" s="25">
        <v>0.41789999999999999</v>
      </c>
      <c r="L430" s="2">
        <v>4</v>
      </c>
      <c r="M430" s="2">
        <v>55</v>
      </c>
      <c r="N430" s="2">
        <v>59</v>
      </c>
    </row>
    <row r="431" spans="1:14" x14ac:dyDescent="0.3">
      <c r="A431" s="2">
        <v>430</v>
      </c>
      <c r="B431" s="1">
        <v>40562</v>
      </c>
      <c r="C431" s="2">
        <v>1</v>
      </c>
      <c r="D431" s="2">
        <v>22</v>
      </c>
      <c r="E431" t="b">
        <v>0</v>
      </c>
      <c r="F431" s="2">
        <v>3</v>
      </c>
      <c r="G431" s="2">
        <v>1</v>
      </c>
      <c r="H431" s="23">
        <v>0.3</v>
      </c>
      <c r="I431" s="25">
        <v>0.30299999999999999</v>
      </c>
      <c r="J431" s="23">
        <v>0.52</v>
      </c>
      <c r="K431" s="25">
        <v>0.16420000000000001</v>
      </c>
      <c r="L431" s="2">
        <v>6</v>
      </c>
      <c r="M431" s="2">
        <v>53</v>
      </c>
      <c r="N431" s="2">
        <v>59</v>
      </c>
    </row>
    <row r="432" spans="1:14" x14ac:dyDescent="0.3">
      <c r="A432" s="2">
        <v>431</v>
      </c>
      <c r="B432" s="1">
        <v>40562</v>
      </c>
      <c r="C432" s="2">
        <v>1</v>
      </c>
      <c r="D432" s="2">
        <v>23</v>
      </c>
      <c r="E432" t="b">
        <v>0</v>
      </c>
      <c r="F432" s="2">
        <v>3</v>
      </c>
      <c r="G432" s="2">
        <v>1</v>
      </c>
      <c r="H432" s="23">
        <v>0.3</v>
      </c>
      <c r="I432" s="25">
        <v>0.2727</v>
      </c>
      <c r="J432" s="23">
        <v>0.52</v>
      </c>
      <c r="K432" s="25">
        <v>0.4627</v>
      </c>
      <c r="L432" s="2">
        <v>1</v>
      </c>
      <c r="M432" s="2">
        <v>27</v>
      </c>
      <c r="N432" s="2">
        <v>28</v>
      </c>
    </row>
    <row r="433" spans="1:14" x14ac:dyDescent="0.3">
      <c r="A433" s="2">
        <v>432</v>
      </c>
      <c r="B433" s="1">
        <v>40563</v>
      </c>
      <c r="C433" s="2">
        <v>1</v>
      </c>
      <c r="D433" s="2">
        <v>0</v>
      </c>
      <c r="E433" t="b">
        <v>0</v>
      </c>
      <c r="F433" s="2">
        <v>4</v>
      </c>
      <c r="G433" s="2">
        <v>1</v>
      </c>
      <c r="H433" s="23">
        <v>0.26</v>
      </c>
      <c r="I433" s="25">
        <v>0.2273</v>
      </c>
      <c r="J433" s="23">
        <v>0.56000000000000005</v>
      </c>
      <c r="K433" s="25">
        <v>0.3881</v>
      </c>
      <c r="L433" s="2">
        <v>5</v>
      </c>
      <c r="M433" s="2">
        <v>8</v>
      </c>
      <c r="N433" s="2">
        <v>13</v>
      </c>
    </row>
    <row r="434" spans="1:14" x14ac:dyDescent="0.3">
      <c r="A434" s="2">
        <v>433</v>
      </c>
      <c r="B434" s="1">
        <v>40563</v>
      </c>
      <c r="C434" s="2">
        <v>1</v>
      </c>
      <c r="D434" s="2">
        <v>1</v>
      </c>
      <c r="E434" t="b">
        <v>0</v>
      </c>
      <c r="F434" s="2">
        <v>4</v>
      </c>
      <c r="G434" s="2">
        <v>1</v>
      </c>
      <c r="H434" s="23">
        <v>0.26</v>
      </c>
      <c r="I434" s="25">
        <v>0.2727</v>
      </c>
      <c r="J434" s="23">
        <v>0.56000000000000005</v>
      </c>
      <c r="K434" s="25">
        <v>0</v>
      </c>
      <c r="L434" s="2">
        <v>2</v>
      </c>
      <c r="M434" s="2">
        <v>3</v>
      </c>
      <c r="N434" s="2">
        <v>5</v>
      </c>
    </row>
    <row r="435" spans="1:14" x14ac:dyDescent="0.3">
      <c r="A435" s="2">
        <v>434</v>
      </c>
      <c r="B435" s="1">
        <v>40563</v>
      </c>
      <c r="C435" s="2">
        <v>1</v>
      </c>
      <c r="D435" s="2">
        <v>2</v>
      </c>
      <c r="E435" t="b">
        <v>0</v>
      </c>
      <c r="F435" s="2">
        <v>4</v>
      </c>
      <c r="G435" s="2">
        <v>1</v>
      </c>
      <c r="H435" s="23">
        <v>0.26</v>
      </c>
      <c r="I435" s="25">
        <v>0.2727</v>
      </c>
      <c r="J435" s="23">
        <v>0.56000000000000005</v>
      </c>
      <c r="K435" s="25">
        <v>0</v>
      </c>
      <c r="L435" s="2">
        <v>0</v>
      </c>
      <c r="M435" s="2">
        <v>2</v>
      </c>
      <c r="N435" s="2">
        <v>2</v>
      </c>
    </row>
    <row r="436" spans="1:14" x14ac:dyDescent="0.3">
      <c r="A436" s="2">
        <v>435</v>
      </c>
      <c r="B436" s="1">
        <v>40563</v>
      </c>
      <c r="C436" s="2">
        <v>1</v>
      </c>
      <c r="D436" s="2">
        <v>3</v>
      </c>
      <c r="E436" t="b">
        <v>0</v>
      </c>
      <c r="F436" s="2">
        <v>4</v>
      </c>
      <c r="G436" s="2">
        <v>1</v>
      </c>
      <c r="H436" s="23">
        <v>0.26</v>
      </c>
      <c r="I436" s="25">
        <v>0.2576</v>
      </c>
      <c r="J436" s="23">
        <v>0.56000000000000005</v>
      </c>
      <c r="K436" s="25">
        <v>0.16420000000000001</v>
      </c>
      <c r="L436" s="2">
        <v>0</v>
      </c>
      <c r="M436" s="2">
        <v>1</v>
      </c>
      <c r="N436" s="2">
        <v>1</v>
      </c>
    </row>
    <row r="437" spans="1:14" x14ac:dyDescent="0.3">
      <c r="A437" s="2">
        <v>436</v>
      </c>
      <c r="B437" s="1">
        <v>40563</v>
      </c>
      <c r="C437" s="2">
        <v>1</v>
      </c>
      <c r="D437" s="2">
        <v>4</v>
      </c>
      <c r="E437" t="b">
        <v>0</v>
      </c>
      <c r="F437" s="2">
        <v>4</v>
      </c>
      <c r="G437" s="2">
        <v>1</v>
      </c>
      <c r="H437" s="23">
        <v>0.26</v>
      </c>
      <c r="I437" s="25">
        <v>0.2576</v>
      </c>
      <c r="J437" s="23">
        <v>0.56000000000000005</v>
      </c>
      <c r="K437" s="25">
        <v>0.16420000000000001</v>
      </c>
      <c r="L437" s="2">
        <v>0</v>
      </c>
      <c r="M437" s="2">
        <v>1</v>
      </c>
      <c r="N437" s="2">
        <v>1</v>
      </c>
    </row>
    <row r="438" spans="1:14" x14ac:dyDescent="0.3">
      <c r="A438" s="2">
        <v>437</v>
      </c>
      <c r="B438" s="1">
        <v>40563</v>
      </c>
      <c r="C438" s="2">
        <v>1</v>
      </c>
      <c r="D438" s="2">
        <v>5</v>
      </c>
      <c r="E438" t="b">
        <v>0</v>
      </c>
      <c r="F438" s="2">
        <v>4</v>
      </c>
      <c r="G438" s="2">
        <v>1</v>
      </c>
      <c r="H438" s="23">
        <v>0.24</v>
      </c>
      <c r="I438" s="25">
        <v>0.2273</v>
      </c>
      <c r="J438" s="23">
        <v>0.6</v>
      </c>
      <c r="K438" s="25">
        <v>0.22389999999999999</v>
      </c>
      <c r="L438" s="2">
        <v>0</v>
      </c>
      <c r="M438" s="2">
        <v>6</v>
      </c>
      <c r="N438" s="2">
        <v>6</v>
      </c>
    </row>
    <row r="439" spans="1:14" x14ac:dyDescent="0.3">
      <c r="A439" s="2">
        <v>438</v>
      </c>
      <c r="B439" s="1">
        <v>40563</v>
      </c>
      <c r="C439" s="2">
        <v>1</v>
      </c>
      <c r="D439" s="2">
        <v>6</v>
      </c>
      <c r="E439" t="b">
        <v>0</v>
      </c>
      <c r="F439" s="2">
        <v>4</v>
      </c>
      <c r="G439" s="2">
        <v>1</v>
      </c>
      <c r="H439" s="23">
        <v>0.22</v>
      </c>
      <c r="I439" s="25">
        <v>0.21210000000000001</v>
      </c>
      <c r="J439" s="23">
        <v>0.6</v>
      </c>
      <c r="K439" s="25">
        <v>0.22389999999999999</v>
      </c>
      <c r="L439" s="2">
        <v>0</v>
      </c>
      <c r="M439" s="2">
        <v>35</v>
      </c>
      <c r="N439" s="2">
        <v>35</v>
      </c>
    </row>
    <row r="440" spans="1:14" x14ac:dyDescent="0.3">
      <c r="A440" s="2">
        <v>439</v>
      </c>
      <c r="B440" s="1">
        <v>40563</v>
      </c>
      <c r="C440" s="2">
        <v>1</v>
      </c>
      <c r="D440" s="2">
        <v>7</v>
      </c>
      <c r="E440" t="b">
        <v>0</v>
      </c>
      <c r="F440" s="2">
        <v>4</v>
      </c>
      <c r="G440" s="2">
        <v>1</v>
      </c>
      <c r="H440" s="23">
        <v>0.22</v>
      </c>
      <c r="I440" s="25">
        <v>0.21210000000000001</v>
      </c>
      <c r="J440" s="23">
        <v>0.55000000000000004</v>
      </c>
      <c r="K440" s="25">
        <v>0.22389999999999999</v>
      </c>
      <c r="L440" s="2">
        <v>1</v>
      </c>
      <c r="M440" s="2">
        <v>100</v>
      </c>
      <c r="N440" s="2">
        <v>101</v>
      </c>
    </row>
    <row r="441" spans="1:14" x14ac:dyDescent="0.3">
      <c r="A441" s="2">
        <v>440</v>
      </c>
      <c r="B441" s="1">
        <v>40563</v>
      </c>
      <c r="C441" s="2">
        <v>1</v>
      </c>
      <c r="D441" s="2">
        <v>8</v>
      </c>
      <c r="E441" t="b">
        <v>0</v>
      </c>
      <c r="F441" s="2">
        <v>4</v>
      </c>
      <c r="G441" s="2">
        <v>1</v>
      </c>
      <c r="H441" s="23">
        <v>0.22</v>
      </c>
      <c r="I441" s="25">
        <v>0.21210000000000001</v>
      </c>
      <c r="J441" s="23">
        <v>0.55000000000000004</v>
      </c>
      <c r="K441" s="25">
        <v>0.28360000000000002</v>
      </c>
      <c r="L441" s="2">
        <v>2</v>
      </c>
      <c r="M441" s="2">
        <v>247</v>
      </c>
      <c r="N441" s="2">
        <v>249</v>
      </c>
    </row>
    <row r="442" spans="1:14" x14ac:dyDescent="0.3">
      <c r="A442" s="2">
        <v>441</v>
      </c>
      <c r="B442" s="1">
        <v>40563</v>
      </c>
      <c r="C442" s="2">
        <v>1</v>
      </c>
      <c r="D442" s="2">
        <v>9</v>
      </c>
      <c r="E442" t="b">
        <v>0</v>
      </c>
      <c r="F442" s="2">
        <v>4</v>
      </c>
      <c r="G442" s="2">
        <v>2</v>
      </c>
      <c r="H442" s="23">
        <v>0.24</v>
      </c>
      <c r="I442" s="25">
        <v>0.2273</v>
      </c>
      <c r="J442" s="23">
        <v>0.52</v>
      </c>
      <c r="K442" s="25">
        <v>0.22389999999999999</v>
      </c>
      <c r="L442" s="2">
        <v>3</v>
      </c>
      <c r="M442" s="2">
        <v>140</v>
      </c>
      <c r="N442" s="2">
        <v>143</v>
      </c>
    </row>
    <row r="443" spans="1:14" x14ac:dyDescent="0.3">
      <c r="A443" s="2">
        <v>442</v>
      </c>
      <c r="B443" s="1">
        <v>40563</v>
      </c>
      <c r="C443" s="2">
        <v>1</v>
      </c>
      <c r="D443" s="2">
        <v>10</v>
      </c>
      <c r="E443" t="b">
        <v>0</v>
      </c>
      <c r="F443" s="2">
        <v>4</v>
      </c>
      <c r="G443" s="2">
        <v>1</v>
      </c>
      <c r="H443" s="23">
        <v>0.26</v>
      </c>
      <c r="I443" s="25">
        <v>0.2273</v>
      </c>
      <c r="J443" s="23">
        <v>0.48</v>
      </c>
      <c r="K443" s="25">
        <v>0.29849999999999999</v>
      </c>
      <c r="L443" s="2">
        <v>1</v>
      </c>
      <c r="M443" s="2">
        <v>56</v>
      </c>
      <c r="N443" s="2">
        <v>57</v>
      </c>
    </row>
    <row r="444" spans="1:14" x14ac:dyDescent="0.3">
      <c r="A444" s="2">
        <v>443</v>
      </c>
      <c r="B444" s="1">
        <v>40563</v>
      </c>
      <c r="C444" s="2">
        <v>1</v>
      </c>
      <c r="D444" s="2">
        <v>11</v>
      </c>
      <c r="E444" t="b">
        <v>0</v>
      </c>
      <c r="F444" s="2">
        <v>4</v>
      </c>
      <c r="G444" s="2">
        <v>2</v>
      </c>
      <c r="H444" s="23">
        <v>0.28000000000000003</v>
      </c>
      <c r="I444" s="25">
        <v>0.2727</v>
      </c>
      <c r="J444" s="23">
        <v>0.45</v>
      </c>
      <c r="K444" s="25">
        <v>0.16420000000000001</v>
      </c>
      <c r="L444" s="2">
        <v>5</v>
      </c>
      <c r="M444" s="2">
        <v>63</v>
      </c>
      <c r="N444" s="2">
        <v>68</v>
      </c>
    </row>
    <row r="445" spans="1:14" x14ac:dyDescent="0.3">
      <c r="A445" s="2">
        <v>444</v>
      </c>
      <c r="B445" s="1">
        <v>40563</v>
      </c>
      <c r="C445" s="2">
        <v>1</v>
      </c>
      <c r="D445" s="2">
        <v>12</v>
      </c>
      <c r="E445" t="b">
        <v>0</v>
      </c>
      <c r="F445" s="2">
        <v>4</v>
      </c>
      <c r="G445" s="2">
        <v>2</v>
      </c>
      <c r="H445" s="23">
        <v>0.3</v>
      </c>
      <c r="I445" s="25">
        <v>0.33329999999999999</v>
      </c>
      <c r="J445" s="23">
        <v>0.42</v>
      </c>
      <c r="K445" s="25">
        <v>0</v>
      </c>
      <c r="L445" s="2">
        <v>7</v>
      </c>
      <c r="M445" s="2">
        <v>77</v>
      </c>
      <c r="N445" s="2">
        <v>84</v>
      </c>
    </row>
    <row r="446" spans="1:14" x14ac:dyDescent="0.3">
      <c r="A446" s="2">
        <v>445</v>
      </c>
      <c r="B446" s="1">
        <v>40563</v>
      </c>
      <c r="C446" s="2">
        <v>1</v>
      </c>
      <c r="D446" s="2">
        <v>13</v>
      </c>
      <c r="E446" t="b">
        <v>0</v>
      </c>
      <c r="F446" s="2">
        <v>4</v>
      </c>
      <c r="G446" s="2">
        <v>2</v>
      </c>
      <c r="H446" s="23">
        <v>0.28000000000000003</v>
      </c>
      <c r="I446" s="25">
        <v>0.28789999999999999</v>
      </c>
      <c r="J446" s="23">
        <v>0.45</v>
      </c>
      <c r="K446" s="25">
        <v>0.1045</v>
      </c>
      <c r="L446" s="2">
        <v>12</v>
      </c>
      <c r="M446" s="2">
        <v>86</v>
      </c>
      <c r="N446" s="2">
        <v>98</v>
      </c>
    </row>
    <row r="447" spans="1:14" x14ac:dyDescent="0.3">
      <c r="A447" s="2">
        <v>446</v>
      </c>
      <c r="B447" s="1">
        <v>40563</v>
      </c>
      <c r="C447" s="2">
        <v>1</v>
      </c>
      <c r="D447" s="2">
        <v>14</v>
      </c>
      <c r="E447" t="b">
        <v>0</v>
      </c>
      <c r="F447" s="2">
        <v>4</v>
      </c>
      <c r="G447" s="2">
        <v>2</v>
      </c>
      <c r="H447" s="23">
        <v>0.3</v>
      </c>
      <c r="I447" s="25">
        <v>0.30299999999999999</v>
      </c>
      <c r="J447" s="23">
        <v>0.45</v>
      </c>
      <c r="K447" s="25">
        <v>0.1343</v>
      </c>
      <c r="L447" s="2">
        <v>6</v>
      </c>
      <c r="M447" s="2">
        <v>75</v>
      </c>
      <c r="N447" s="2">
        <v>81</v>
      </c>
    </row>
    <row r="448" spans="1:14" x14ac:dyDescent="0.3">
      <c r="A448" s="2">
        <v>447</v>
      </c>
      <c r="B448" s="1">
        <v>40563</v>
      </c>
      <c r="C448" s="2">
        <v>1</v>
      </c>
      <c r="D448" s="2">
        <v>15</v>
      </c>
      <c r="E448" t="b">
        <v>0</v>
      </c>
      <c r="F448" s="2">
        <v>4</v>
      </c>
      <c r="G448" s="2">
        <v>2</v>
      </c>
      <c r="H448" s="23">
        <v>0.32</v>
      </c>
      <c r="I448" s="25">
        <v>0.31819999999999998</v>
      </c>
      <c r="J448" s="23">
        <v>0.45</v>
      </c>
      <c r="K448" s="25">
        <v>0.19400000000000001</v>
      </c>
      <c r="L448" s="2">
        <v>8</v>
      </c>
      <c r="M448" s="2">
        <v>62</v>
      </c>
      <c r="N448" s="2">
        <v>70</v>
      </c>
    </row>
    <row r="449" spans="1:14" x14ac:dyDescent="0.3">
      <c r="A449" s="2">
        <v>448</v>
      </c>
      <c r="B449" s="1">
        <v>40563</v>
      </c>
      <c r="C449" s="2">
        <v>1</v>
      </c>
      <c r="D449" s="2">
        <v>16</v>
      </c>
      <c r="E449" t="b">
        <v>0</v>
      </c>
      <c r="F449" s="2">
        <v>4</v>
      </c>
      <c r="G449" s="2">
        <v>2</v>
      </c>
      <c r="H449" s="23">
        <v>0.3</v>
      </c>
      <c r="I449" s="25">
        <v>0.30299999999999999</v>
      </c>
      <c r="J449" s="23">
        <v>0.49</v>
      </c>
      <c r="K449" s="25">
        <v>0.1343</v>
      </c>
      <c r="L449" s="2">
        <v>8</v>
      </c>
      <c r="M449" s="2">
        <v>83</v>
      </c>
      <c r="N449" s="2">
        <v>91</v>
      </c>
    </row>
    <row r="450" spans="1:14" x14ac:dyDescent="0.3">
      <c r="A450" s="2">
        <v>449</v>
      </c>
      <c r="B450" s="1">
        <v>40563</v>
      </c>
      <c r="C450" s="2">
        <v>1</v>
      </c>
      <c r="D450" s="2">
        <v>17</v>
      </c>
      <c r="E450" t="b">
        <v>0</v>
      </c>
      <c r="F450" s="2">
        <v>4</v>
      </c>
      <c r="G450" s="2">
        <v>2</v>
      </c>
      <c r="H450" s="23">
        <v>0.3</v>
      </c>
      <c r="I450" s="25">
        <v>0.31819999999999998</v>
      </c>
      <c r="J450" s="23">
        <v>0.49</v>
      </c>
      <c r="K450" s="25">
        <v>0.1045</v>
      </c>
      <c r="L450" s="2">
        <v>8</v>
      </c>
      <c r="M450" s="2">
        <v>207</v>
      </c>
      <c r="N450" s="2">
        <v>215</v>
      </c>
    </row>
    <row r="451" spans="1:14" x14ac:dyDescent="0.3">
      <c r="A451" s="2">
        <v>450</v>
      </c>
      <c r="B451" s="1">
        <v>40563</v>
      </c>
      <c r="C451" s="2">
        <v>1</v>
      </c>
      <c r="D451" s="2">
        <v>18</v>
      </c>
      <c r="E451" t="b">
        <v>0</v>
      </c>
      <c r="F451" s="2">
        <v>4</v>
      </c>
      <c r="G451" s="2">
        <v>2</v>
      </c>
      <c r="H451" s="23">
        <v>0.26</v>
      </c>
      <c r="I451" s="25">
        <v>0.2576</v>
      </c>
      <c r="J451" s="23">
        <v>0.56000000000000005</v>
      </c>
      <c r="K451" s="25">
        <v>0.19400000000000001</v>
      </c>
      <c r="L451" s="2">
        <v>1</v>
      </c>
      <c r="M451" s="2">
        <v>184</v>
      </c>
      <c r="N451" s="2">
        <v>185</v>
      </c>
    </row>
    <row r="452" spans="1:14" x14ac:dyDescent="0.3">
      <c r="A452" s="2">
        <v>451</v>
      </c>
      <c r="B452" s="1">
        <v>40563</v>
      </c>
      <c r="C452" s="2">
        <v>1</v>
      </c>
      <c r="D452" s="2">
        <v>19</v>
      </c>
      <c r="E452" t="b">
        <v>0</v>
      </c>
      <c r="F452" s="2">
        <v>4</v>
      </c>
      <c r="G452" s="2">
        <v>1</v>
      </c>
      <c r="H452" s="23">
        <v>0.26</v>
      </c>
      <c r="I452" s="25">
        <v>0.2273</v>
      </c>
      <c r="J452" s="23">
        <v>0.56000000000000005</v>
      </c>
      <c r="K452" s="25">
        <v>0.32840000000000003</v>
      </c>
      <c r="L452" s="2">
        <v>6</v>
      </c>
      <c r="M452" s="2">
        <v>146</v>
      </c>
      <c r="N452" s="2">
        <v>152</v>
      </c>
    </row>
    <row r="453" spans="1:14" x14ac:dyDescent="0.3">
      <c r="A453" s="2">
        <v>452</v>
      </c>
      <c r="B453" s="1">
        <v>40563</v>
      </c>
      <c r="C453" s="2">
        <v>1</v>
      </c>
      <c r="D453" s="2">
        <v>20</v>
      </c>
      <c r="E453" t="b">
        <v>0</v>
      </c>
      <c r="F453" s="2">
        <v>4</v>
      </c>
      <c r="G453" s="2">
        <v>2</v>
      </c>
      <c r="H453" s="23">
        <v>0.26</v>
      </c>
      <c r="I453" s="25">
        <v>0.2424</v>
      </c>
      <c r="J453" s="23">
        <v>0.6</v>
      </c>
      <c r="K453" s="25">
        <v>0.28360000000000002</v>
      </c>
      <c r="L453" s="2">
        <v>2</v>
      </c>
      <c r="M453" s="2">
        <v>124</v>
      </c>
      <c r="N453" s="2">
        <v>126</v>
      </c>
    </row>
    <row r="454" spans="1:14" x14ac:dyDescent="0.3">
      <c r="A454" s="2">
        <v>453</v>
      </c>
      <c r="B454" s="1">
        <v>40563</v>
      </c>
      <c r="C454" s="2">
        <v>1</v>
      </c>
      <c r="D454" s="2">
        <v>21</v>
      </c>
      <c r="E454" t="b">
        <v>0</v>
      </c>
      <c r="F454" s="2">
        <v>4</v>
      </c>
      <c r="G454" s="2">
        <v>2</v>
      </c>
      <c r="H454" s="23">
        <v>0.24</v>
      </c>
      <c r="I454" s="25">
        <v>0.2273</v>
      </c>
      <c r="J454" s="23">
        <v>0.6</v>
      </c>
      <c r="K454" s="25">
        <v>0.25369999999999998</v>
      </c>
      <c r="L454" s="2">
        <v>3</v>
      </c>
      <c r="M454" s="2">
        <v>54</v>
      </c>
      <c r="N454" s="2">
        <v>57</v>
      </c>
    </row>
    <row r="455" spans="1:14" x14ac:dyDescent="0.3">
      <c r="A455" s="2">
        <v>454</v>
      </c>
      <c r="B455" s="1">
        <v>40563</v>
      </c>
      <c r="C455" s="2">
        <v>1</v>
      </c>
      <c r="D455" s="2">
        <v>22</v>
      </c>
      <c r="E455" t="b">
        <v>0</v>
      </c>
      <c r="F455" s="2">
        <v>4</v>
      </c>
      <c r="G455" s="2">
        <v>2</v>
      </c>
      <c r="H455" s="23">
        <v>0.24</v>
      </c>
      <c r="I455" s="25">
        <v>0.21210000000000001</v>
      </c>
      <c r="J455" s="23">
        <v>0.65</v>
      </c>
      <c r="K455" s="25">
        <v>0.28360000000000002</v>
      </c>
      <c r="L455" s="2">
        <v>0</v>
      </c>
      <c r="M455" s="2">
        <v>56</v>
      </c>
      <c r="N455" s="2">
        <v>56</v>
      </c>
    </row>
    <row r="456" spans="1:14" x14ac:dyDescent="0.3">
      <c r="A456" s="2">
        <v>455</v>
      </c>
      <c r="B456" s="1">
        <v>40563</v>
      </c>
      <c r="C456" s="2">
        <v>1</v>
      </c>
      <c r="D456" s="2">
        <v>23</v>
      </c>
      <c r="E456" t="b">
        <v>0</v>
      </c>
      <c r="F456" s="2">
        <v>4</v>
      </c>
      <c r="G456" s="2">
        <v>2</v>
      </c>
      <c r="H456" s="23">
        <v>0.24</v>
      </c>
      <c r="I456" s="25">
        <v>0.21210000000000001</v>
      </c>
      <c r="J456" s="23">
        <v>0.65</v>
      </c>
      <c r="K456" s="25">
        <v>0.32840000000000003</v>
      </c>
      <c r="L456" s="2">
        <v>3</v>
      </c>
      <c r="M456" s="2">
        <v>28</v>
      </c>
      <c r="N456" s="2">
        <v>31</v>
      </c>
    </row>
    <row r="457" spans="1:14" x14ac:dyDescent="0.3">
      <c r="A457" s="2">
        <v>456</v>
      </c>
      <c r="B457" s="1">
        <v>40564</v>
      </c>
      <c r="C457" s="2">
        <v>1</v>
      </c>
      <c r="D457" s="2">
        <v>0</v>
      </c>
      <c r="E457" t="b">
        <v>0</v>
      </c>
      <c r="F457" s="2">
        <v>5</v>
      </c>
      <c r="G457" s="2">
        <v>2</v>
      </c>
      <c r="H457" s="23">
        <v>0.24</v>
      </c>
      <c r="I457" s="25">
        <v>0.2273</v>
      </c>
      <c r="J457" s="23">
        <v>0.7</v>
      </c>
      <c r="K457" s="25">
        <v>0.25369999999999998</v>
      </c>
      <c r="L457" s="2">
        <v>1</v>
      </c>
      <c r="M457" s="2">
        <v>20</v>
      </c>
      <c r="N457" s="2">
        <v>21</v>
      </c>
    </row>
    <row r="458" spans="1:14" x14ac:dyDescent="0.3">
      <c r="A458" s="2">
        <v>457</v>
      </c>
      <c r="B458" s="1">
        <v>40564</v>
      </c>
      <c r="C458" s="2">
        <v>1</v>
      </c>
      <c r="D458" s="2">
        <v>1</v>
      </c>
      <c r="E458" t="b">
        <v>0</v>
      </c>
      <c r="F458" s="2">
        <v>5</v>
      </c>
      <c r="G458" s="2">
        <v>2</v>
      </c>
      <c r="H458" s="23">
        <v>0.24</v>
      </c>
      <c r="I458" s="25">
        <v>0.2273</v>
      </c>
      <c r="J458" s="23">
        <v>0.7</v>
      </c>
      <c r="K458" s="25">
        <v>0.25369999999999998</v>
      </c>
      <c r="L458" s="2">
        <v>0</v>
      </c>
      <c r="M458" s="2">
        <v>6</v>
      </c>
      <c r="N458" s="2">
        <v>6</v>
      </c>
    </row>
    <row r="459" spans="1:14" x14ac:dyDescent="0.3">
      <c r="A459" s="2">
        <v>458</v>
      </c>
      <c r="B459" s="1">
        <v>40564</v>
      </c>
      <c r="C459" s="2">
        <v>1</v>
      </c>
      <c r="D459" s="2">
        <v>2</v>
      </c>
      <c r="E459" t="b">
        <v>0</v>
      </c>
      <c r="F459" s="2">
        <v>5</v>
      </c>
      <c r="G459" s="2">
        <v>3</v>
      </c>
      <c r="H459" s="23">
        <v>0.24</v>
      </c>
      <c r="I459" s="25">
        <v>0.2424</v>
      </c>
      <c r="J459" s="23">
        <v>0.75</v>
      </c>
      <c r="K459" s="25">
        <v>0.16420000000000001</v>
      </c>
      <c r="L459" s="2">
        <v>0</v>
      </c>
      <c r="M459" s="2">
        <v>2</v>
      </c>
      <c r="N459" s="2">
        <v>2</v>
      </c>
    </row>
    <row r="460" spans="1:14" x14ac:dyDescent="0.3">
      <c r="A460" s="2">
        <v>459</v>
      </c>
      <c r="B460" s="1">
        <v>40564</v>
      </c>
      <c r="C460" s="2">
        <v>1</v>
      </c>
      <c r="D460" s="2">
        <v>3</v>
      </c>
      <c r="E460" t="b">
        <v>0</v>
      </c>
      <c r="F460" s="2">
        <v>5</v>
      </c>
      <c r="G460" s="2">
        <v>3</v>
      </c>
      <c r="H460" s="23">
        <v>0.22</v>
      </c>
      <c r="I460" s="25">
        <v>0.21210000000000001</v>
      </c>
      <c r="J460" s="23">
        <v>0.8</v>
      </c>
      <c r="K460" s="25">
        <v>0.29849999999999999</v>
      </c>
      <c r="L460" s="2">
        <v>0</v>
      </c>
      <c r="M460" s="2">
        <v>1</v>
      </c>
      <c r="N460" s="2">
        <v>1</v>
      </c>
    </row>
    <row r="461" spans="1:14" x14ac:dyDescent="0.3">
      <c r="A461" s="2">
        <v>460</v>
      </c>
      <c r="B461" s="1">
        <v>40564</v>
      </c>
      <c r="C461" s="2">
        <v>1</v>
      </c>
      <c r="D461" s="2">
        <v>4</v>
      </c>
      <c r="E461" t="b">
        <v>0</v>
      </c>
      <c r="F461" s="2">
        <v>5</v>
      </c>
      <c r="G461" s="2">
        <v>2</v>
      </c>
      <c r="H461" s="23">
        <v>0.22</v>
      </c>
      <c r="I461" s="25">
        <v>0.2576</v>
      </c>
      <c r="J461" s="23">
        <v>0.87</v>
      </c>
      <c r="K461" s="25">
        <v>8.9599999999999999E-2</v>
      </c>
      <c r="L461" s="2">
        <v>0</v>
      </c>
      <c r="M461" s="2">
        <v>1</v>
      </c>
      <c r="N461" s="2">
        <v>1</v>
      </c>
    </row>
    <row r="462" spans="1:14" x14ac:dyDescent="0.3">
      <c r="A462" s="2">
        <v>461</v>
      </c>
      <c r="B462" s="1">
        <v>40564</v>
      </c>
      <c r="C462" s="2">
        <v>1</v>
      </c>
      <c r="D462" s="2">
        <v>5</v>
      </c>
      <c r="E462" t="b">
        <v>0</v>
      </c>
      <c r="F462" s="2">
        <v>5</v>
      </c>
      <c r="G462" s="2">
        <v>1</v>
      </c>
      <c r="H462" s="23">
        <v>0.24</v>
      </c>
      <c r="I462" s="25">
        <v>0.19700000000000001</v>
      </c>
      <c r="J462" s="23">
        <v>0.6</v>
      </c>
      <c r="K462" s="25">
        <v>0.41789999999999999</v>
      </c>
      <c r="L462" s="2">
        <v>1</v>
      </c>
      <c r="M462" s="2">
        <v>4</v>
      </c>
      <c r="N462" s="2">
        <v>5</v>
      </c>
    </row>
    <row r="463" spans="1:14" x14ac:dyDescent="0.3">
      <c r="A463" s="2">
        <v>462</v>
      </c>
      <c r="B463" s="1">
        <v>40564</v>
      </c>
      <c r="C463" s="2">
        <v>1</v>
      </c>
      <c r="D463" s="2">
        <v>6</v>
      </c>
      <c r="E463" t="b">
        <v>0</v>
      </c>
      <c r="F463" s="2">
        <v>5</v>
      </c>
      <c r="G463" s="2">
        <v>1</v>
      </c>
      <c r="H463" s="23">
        <v>0.22</v>
      </c>
      <c r="I463" s="25">
        <v>0.21210000000000001</v>
      </c>
      <c r="J463" s="23">
        <v>0.55000000000000004</v>
      </c>
      <c r="K463" s="25">
        <v>0.25369999999999998</v>
      </c>
      <c r="L463" s="2">
        <v>0</v>
      </c>
      <c r="M463" s="2">
        <v>27</v>
      </c>
      <c r="N463" s="2">
        <v>27</v>
      </c>
    </row>
    <row r="464" spans="1:14" x14ac:dyDescent="0.3">
      <c r="A464" s="2">
        <v>463</v>
      </c>
      <c r="B464" s="1">
        <v>40564</v>
      </c>
      <c r="C464" s="2">
        <v>1</v>
      </c>
      <c r="D464" s="2">
        <v>7</v>
      </c>
      <c r="E464" t="b">
        <v>0</v>
      </c>
      <c r="F464" s="2">
        <v>5</v>
      </c>
      <c r="G464" s="2">
        <v>1</v>
      </c>
      <c r="H464" s="23">
        <v>0.2</v>
      </c>
      <c r="I464" s="25">
        <v>0.18179999999999999</v>
      </c>
      <c r="J464" s="23">
        <v>0.51</v>
      </c>
      <c r="K464" s="25">
        <v>0.28360000000000002</v>
      </c>
      <c r="L464" s="2">
        <v>2</v>
      </c>
      <c r="M464" s="2">
        <v>66</v>
      </c>
      <c r="N464" s="2">
        <v>68</v>
      </c>
    </row>
    <row r="465" spans="1:14" x14ac:dyDescent="0.3">
      <c r="A465" s="2">
        <v>464</v>
      </c>
      <c r="B465" s="1">
        <v>40564</v>
      </c>
      <c r="C465" s="2">
        <v>1</v>
      </c>
      <c r="D465" s="2">
        <v>8</v>
      </c>
      <c r="E465" t="b">
        <v>0</v>
      </c>
      <c r="F465" s="2">
        <v>5</v>
      </c>
      <c r="G465" s="2">
        <v>1</v>
      </c>
      <c r="H465" s="23">
        <v>0.2</v>
      </c>
      <c r="I465" s="25">
        <v>0.18179999999999999</v>
      </c>
      <c r="J465" s="23">
        <v>0.47</v>
      </c>
      <c r="K465" s="25">
        <v>0.32840000000000003</v>
      </c>
      <c r="L465" s="2">
        <v>7</v>
      </c>
      <c r="M465" s="2">
        <v>210</v>
      </c>
      <c r="N465" s="2">
        <v>217</v>
      </c>
    </row>
    <row r="466" spans="1:14" x14ac:dyDescent="0.3">
      <c r="A466" s="2">
        <v>465</v>
      </c>
      <c r="B466" s="1">
        <v>40564</v>
      </c>
      <c r="C466" s="2">
        <v>1</v>
      </c>
      <c r="D466" s="2">
        <v>9</v>
      </c>
      <c r="E466" t="b">
        <v>0</v>
      </c>
      <c r="F466" s="2">
        <v>5</v>
      </c>
      <c r="G466" s="2">
        <v>1</v>
      </c>
      <c r="H466" s="23">
        <v>0.2</v>
      </c>
      <c r="I466" s="25">
        <v>0.18179999999999999</v>
      </c>
      <c r="J466" s="23">
        <v>0.51</v>
      </c>
      <c r="K466" s="25">
        <v>0.35820000000000002</v>
      </c>
      <c r="L466" s="2">
        <v>7</v>
      </c>
      <c r="M466" s="2">
        <v>159</v>
      </c>
      <c r="N466" s="2">
        <v>166</v>
      </c>
    </row>
    <row r="467" spans="1:14" x14ac:dyDescent="0.3">
      <c r="A467" s="2">
        <v>466</v>
      </c>
      <c r="B467" s="1">
        <v>40564</v>
      </c>
      <c r="C467" s="2">
        <v>1</v>
      </c>
      <c r="D467" s="2">
        <v>10</v>
      </c>
      <c r="E467" t="b">
        <v>0</v>
      </c>
      <c r="F467" s="2">
        <v>5</v>
      </c>
      <c r="G467" s="2">
        <v>1</v>
      </c>
      <c r="H467" s="23">
        <v>0.2</v>
      </c>
      <c r="I467" s="25">
        <v>0.16669999999999999</v>
      </c>
      <c r="J467" s="23">
        <v>0.47</v>
      </c>
      <c r="K467" s="25">
        <v>0.4627</v>
      </c>
      <c r="L467" s="2">
        <v>6</v>
      </c>
      <c r="M467" s="2">
        <v>57</v>
      </c>
      <c r="N467" s="2">
        <v>63</v>
      </c>
    </row>
    <row r="468" spans="1:14" x14ac:dyDescent="0.3">
      <c r="A468" s="2">
        <v>467</v>
      </c>
      <c r="B468" s="1">
        <v>40564</v>
      </c>
      <c r="C468" s="2">
        <v>1</v>
      </c>
      <c r="D468" s="2">
        <v>11</v>
      </c>
      <c r="E468" t="b">
        <v>0</v>
      </c>
      <c r="F468" s="2">
        <v>5</v>
      </c>
      <c r="G468" s="2">
        <v>1</v>
      </c>
      <c r="H468" s="23">
        <v>0.22</v>
      </c>
      <c r="I468" s="25">
        <v>0.18179999999999999</v>
      </c>
      <c r="J468" s="23">
        <v>0.41</v>
      </c>
      <c r="K468" s="25">
        <v>0.4627</v>
      </c>
      <c r="L468" s="2">
        <v>6</v>
      </c>
      <c r="M468" s="2">
        <v>53</v>
      </c>
      <c r="N468" s="2">
        <v>59</v>
      </c>
    </row>
    <row r="469" spans="1:14" x14ac:dyDescent="0.3">
      <c r="A469" s="2">
        <v>468</v>
      </c>
      <c r="B469" s="1">
        <v>40564</v>
      </c>
      <c r="C469" s="2">
        <v>1</v>
      </c>
      <c r="D469" s="2">
        <v>12</v>
      </c>
      <c r="E469" t="b">
        <v>0</v>
      </c>
      <c r="F469" s="2">
        <v>5</v>
      </c>
      <c r="G469" s="2">
        <v>1</v>
      </c>
      <c r="H469" s="23">
        <v>0.22</v>
      </c>
      <c r="I469" s="25">
        <v>0.18179999999999999</v>
      </c>
      <c r="J469" s="23">
        <v>0.27</v>
      </c>
      <c r="K469" s="25">
        <v>0.58209999999999995</v>
      </c>
      <c r="L469" s="2">
        <v>11</v>
      </c>
      <c r="M469" s="2">
        <v>67</v>
      </c>
      <c r="N469" s="2">
        <v>78</v>
      </c>
    </row>
    <row r="470" spans="1:14" x14ac:dyDescent="0.3">
      <c r="A470" s="2">
        <v>469</v>
      </c>
      <c r="B470" s="1">
        <v>40564</v>
      </c>
      <c r="C470" s="2">
        <v>1</v>
      </c>
      <c r="D470" s="2">
        <v>13</v>
      </c>
      <c r="E470" t="b">
        <v>0</v>
      </c>
      <c r="F470" s="2">
        <v>5</v>
      </c>
      <c r="G470" s="2">
        <v>1</v>
      </c>
      <c r="H470" s="23">
        <v>0.2</v>
      </c>
      <c r="I470" s="25">
        <v>0.1515</v>
      </c>
      <c r="J470" s="23">
        <v>0.21</v>
      </c>
      <c r="K470" s="25">
        <v>0.58209999999999995</v>
      </c>
      <c r="L470" s="2">
        <v>8</v>
      </c>
      <c r="M470" s="2">
        <v>65</v>
      </c>
      <c r="N470" s="2">
        <v>73</v>
      </c>
    </row>
    <row r="471" spans="1:14" x14ac:dyDescent="0.3">
      <c r="A471" s="2">
        <v>470</v>
      </c>
      <c r="B471" s="1">
        <v>40564</v>
      </c>
      <c r="C471" s="2">
        <v>1</v>
      </c>
      <c r="D471" s="2">
        <v>14</v>
      </c>
      <c r="E471" t="b">
        <v>0</v>
      </c>
      <c r="F471" s="2">
        <v>5</v>
      </c>
      <c r="G471" s="2">
        <v>1</v>
      </c>
      <c r="H471" s="23">
        <v>0.2</v>
      </c>
      <c r="I471" s="25">
        <v>0.1515</v>
      </c>
      <c r="J471" s="23">
        <v>0.25</v>
      </c>
      <c r="K471" s="25">
        <v>0.52239999999999998</v>
      </c>
      <c r="L471" s="2">
        <v>6</v>
      </c>
      <c r="M471" s="2">
        <v>56</v>
      </c>
      <c r="N471" s="2">
        <v>62</v>
      </c>
    </row>
    <row r="472" spans="1:14" x14ac:dyDescent="0.3">
      <c r="A472" s="2">
        <v>471</v>
      </c>
      <c r="B472" s="1">
        <v>40564</v>
      </c>
      <c r="C472" s="2">
        <v>1</v>
      </c>
      <c r="D472" s="2">
        <v>15</v>
      </c>
      <c r="E472" t="b">
        <v>0</v>
      </c>
      <c r="F472" s="2">
        <v>5</v>
      </c>
      <c r="G472" s="2">
        <v>1</v>
      </c>
      <c r="H472" s="23">
        <v>0.16</v>
      </c>
      <c r="I472" s="25">
        <v>0.1212</v>
      </c>
      <c r="J472" s="23">
        <v>0.26</v>
      </c>
      <c r="K472" s="25">
        <v>0.44779999999999998</v>
      </c>
      <c r="L472" s="2">
        <v>4</v>
      </c>
      <c r="M472" s="2">
        <v>61</v>
      </c>
      <c r="N472" s="2">
        <v>65</v>
      </c>
    </row>
    <row r="473" spans="1:14" x14ac:dyDescent="0.3">
      <c r="A473" s="2">
        <v>472</v>
      </c>
      <c r="B473" s="1">
        <v>40564</v>
      </c>
      <c r="C473" s="2">
        <v>1</v>
      </c>
      <c r="D473" s="2">
        <v>16</v>
      </c>
      <c r="E473" t="b">
        <v>0</v>
      </c>
      <c r="F473" s="2">
        <v>5</v>
      </c>
      <c r="G473" s="2">
        <v>1</v>
      </c>
      <c r="H473" s="23">
        <v>0.16</v>
      </c>
      <c r="I473" s="25">
        <v>0.13639999999999999</v>
      </c>
      <c r="J473" s="23">
        <v>0.26</v>
      </c>
      <c r="K473" s="25">
        <v>0.35820000000000002</v>
      </c>
      <c r="L473" s="2">
        <v>0</v>
      </c>
      <c r="M473" s="2">
        <v>97</v>
      </c>
      <c r="N473" s="2">
        <v>97</v>
      </c>
    </row>
    <row r="474" spans="1:14" x14ac:dyDescent="0.3">
      <c r="A474" s="2">
        <v>473</v>
      </c>
      <c r="B474" s="1">
        <v>40564</v>
      </c>
      <c r="C474" s="2">
        <v>1</v>
      </c>
      <c r="D474" s="2">
        <v>17</v>
      </c>
      <c r="E474" t="b">
        <v>0</v>
      </c>
      <c r="F474" s="2">
        <v>5</v>
      </c>
      <c r="G474" s="2">
        <v>1</v>
      </c>
      <c r="H474" s="23">
        <v>0.14000000000000001</v>
      </c>
      <c r="I474" s="25">
        <v>0.1212</v>
      </c>
      <c r="J474" s="23">
        <v>0.28000000000000003</v>
      </c>
      <c r="K474" s="25">
        <v>0.35820000000000002</v>
      </c>
      <c r="L474" s="2">
        <v>10</v>
      </c>
      <c r="M474" s="2">
        <v>151</v>
      </c>
      <c r="N474" s="2">
        <v>161</v>
      </c>
    </row>
    <row r="475" spans="1:14" x14ac:dyDescent="0.3">
      <c r="A475" s="2">
        <v>474</v>
      </c>
      <c r="B475" s="1">
        <v>40564</v>
      </c>
      <c r="C475" s="2">
        <v>1</v>
      </c>
      <c r="D475" s="2">
        <v>18</v>
      </c>
      <c r="E475" t="b">
        <v>0</v>
      </c>
      <c r="F475" s="2">
        <v>5</v>
      </c>
      <c r="G475" s="2">
        <v>1</v>
      </c>
      <c r="H475" s="23">
        <v>0.12</v>
      </c>
      <c r="I475" s="25">
        <v>0.1212</v>
      </c>
      <c r="J475" s="23">
        <v>0.3</v>
      </c>
      <c r="K475" s="25">
        <v>0.25369999999999998</v>
      </c>
      <c r="L475" s="2">
        <v>1</v>
      </c>
      <c r="M475" s="2">
        <v>119</v>
      </c>
      <c r="N475" s="2">
        <v>120</v>
      </c>
    </row>
    <row r="476" spans="1:14" x14ac:dyDescent="0.3">
      <c r="A476" s="2">
        <v>475</v>
      </c>
      <c r="B476" s="1">
        <v>40564</v>
      </c>
      <c r="C476" s="2">
        <v>1</v>
      </c>
      <c r="D476" s="2">
        <v>19</v>
      </c>
      <c r="E476" t="b">
        <v>0</v>
      </c>
      <c r="F476" s="2">
        <v>5</v>
      </c>
      <c r="G476" s="2">
        <v>1</v>
      </c>
      <c r="H476" s="23">
        <v>0.12</v>
      </c>
      <c r="I476" s="25">
        <v>0.1061</v>
      </c>
      <c r="J476" s="23">
        <v>0.3</v>
      </c>
      <c r="K476" s="25">
        <v>0.32840000000000003</v>
      </c>
      <c r="L476" s="2">
        <v>3</v>
      </c>
      <c r="M476" s="2">
        <v>93</v>
      </c>
      <c r="N476" s="2">
        <v>96</v>
      </c>
    </row>
    <row r="477" spans="1:14" x14ac:dyDescent="0.3">
      <c r="A477" s="2">
        <v>476</v>
      </c>
      <c r="B477" s="1">
        <v>40564</v>
      </c>
      <c r="C477" s="2">
        <v>1</v>
      </c>
      <c r="D477" s="2">
        <v>20</v>
      </c>
      <c r="E477" t="b">
        <v>0</v>
      </c>
      <c r="F477" s="2">
        <v>5</v>
      </c>
      <c r="G477" s="2">
        <v>1</v>
      </c>
      <c r="H477" s="23">
        <v>0.1</v>
      </c>
      <c r="I477" s="25">
        <v>7.5800000000000006E-2</v>
      </c>
      <c r="J477" s="23">
        <v>0.33</v>
      </c>
      <c r="K477" s="25">
        <v>0.41789999999999999</v>
      </c>
      <c r="L477" s="2">
        <v>1</v>
      </c>
      <c r="M477" s="2">
        <v>52</v>
      </c>
      <c r="N477" s="2">
        <v>53</v>
      </c>
    </row>
    <row r="478" spans="1:14" x14ac:dyDescent="0.3">
      <c r="A478" s="2">
        <v>477</v>
      </c>
      <c r="B478" s="1">
        <v>40564</v>
      </c>
      <c r="C478" s="2">
        <v>1</v>
      </c>
      <c r="D478" s="2">
        <v>21</v>
      </c>
      <c r="E478" t="b">
        <v>0</v>
      </c>
      <c r="F478" s="2">
        <v>5</v>
      </c>
      <c r="G478" s="2">
        <v>1</v>
      </c>
      <c r="H478" s="23">
        <v>0.08</v>
      </c>
      <c r="I478" s="25">
        <v>7.5800000000000006E-2</v>
      </c>
      <c r="J478" s="23">
        <v>0.38</v>
      </c>
      <c r="K478" s="25">
        <v>0.28360000000000002</v>
      </c>
      <c r="L478" s="2">
        <v>0</v>
      </c>
      <c r="M478" s="2">
        <v>41</v>
      </c>
      <c r="N478" s="2">
        <v>41</v>
      </c>
    </row>
    <row r="479" spans="1:14" x14ac:dyDescent="0.3">
      <c r="A479" s="2">
        <v>478</v>
      </c>
      <c r="B479" s="1">
        <v>40564</v>
      </c>
      <c r="C479" s="2">
        <v>1</v>
      </c>
      <c r="D479" s="2">
        <v>22</v>
      </c>
      <c r="E479" t="b">
        <v>0</v>
      </c>
      <c r="F479" s="2">
        <v>5</v>
      </c>
      <c r="G479" s="2">
        <v>1</v>
      </c>
      <c r="H479" s="23">
        <v>0.06</v>
      </c>
      <c r="I479" s="25">
        <v>3.0300000000000001E-2</v>
      </c>
      <c r="J479" s="23">
        <v>0.41</v>
      </c>
      <c r="K479" s="25">
        <v>0.3881</v>
      </c>
      <c r="L479" s="2">
        <v>1</v>
      </c>
      <c r="M479" s="2">
        <v>33</v>
      </c>
      <c r="N479" s="2">
        <v>34</v>
      </c>
    </row>
    <row r="480" spans="1:14" x14ac:dyDescent="0.3">
      <c r="A480" s="2">
        <v>479</v>
      </c>
      <c r="B480" s="1">
        <v>40564</v>
      </c>
      <c r="C480" s="2">
        <v>1</v>
      </c>
      <c r="D480" s="2">
        <v>23</v>
      </c>
      <c r="E480" t="b">
        <v>0</v>
      </c>
      <c r="F480" s="2">
        <v>5</v>
      </c>
      <c r="G480" s="2">
        <v>1</v>
      </c>
      <c r="H480" s="23">
        <v>0.06</v>
      </c>
      <c r="I480" s="25">
        <v>4.5499999999999999E-2</v>
      </c>
      <c r="J480" s="23">
        <v>0.38</v>
      </c>
      <c r="K480" s="25">
        <v>0.32840000000000003</v>
      </c>
      <c r="L480" s="2">
        <v>0</v>
      </c>
      <c r="M480" s="2">
        <v>27</v>
      </c>
      <c r="N480" s="2">
        <v>27</v>
      </c>
    </row>
    <row r="481" spans="1:14" x14ac:dyDescent="0.3">
      <c r="A481" s="2">
        <v>480</v>
      </c>
      <c r="B481" s="1">
        <v>40565</v>
      </c>
      <c r="C481" s="2">
        <v>1</v>
      </c>
      <c r="D481" s="2">
        <v>0</v>
      </c>
      <c r="E481" t="b">
        <v>0</v>
      </c>
      <c r="F481" s="2">
        <v>6</v>
      </c>
      <c r="G481" s="2">
        <v>1</v>
      </c>
      <c r="H481" s="23">
        <v>0.04</v>
      </c>
      <c r="I481" s="25">
        <v>3.0300000000000001E-2</v>
      </c>
      <c r="J481" s="23">
        <v>0.45</v>
      </c>
      <c r="K481" s="25">
        <v>0.25369999999999998</v>
      </c>
      <c r="L481" s="2">
        <v>0</v>
      </c>
      <c r="M481" s="2">
        <v>13</v>
      </c>
      <c r="N481" s="2">
        <v>13</v>
      </c>
    </row>
    <row r="482" spans="1:14" x14ac:dyDescent="0.3">
      <c r="A482" s="2">
        <v>481</v>
      </c>
      <c r="B482" s="1">
        <v>40565</v>
      </c>
      <c r="C482" s="2">
        <v>1</v>
      </c>
      <c r="D482" s="2">
        <v>1</v>
      </c>
      <c r="E482" t="b">
        <v>0</v>
      </c>
      <c r="F482" s="2">
        <v>6</v>
      </c>
      <c r="G482" s="2">
        <v>2</v>
      </c>
      <c r="H482" s="23">
        <v>0.04</v>
      </c>
      <c r="I482" s="25">
        <v>0</v>
      </c>
      <c r="J482" s="23">
        <v>0.41</v>
      </c>
      <c r="K482" s="25">
        <v>0.3881</v>
      </c>
      <c r="L482" s="2">
        <v>3</v>
      </c>
      <c r="M482" s="2">
        <v>9</v>
      </c>
      <c r="N482" s="2">
        <v>12</v>
      </c>
    </row>
    <row r="483" spans="1:14" x14ac:dyDescent="0.3">
      <c r="A483" s="2">
        <v>482</v>
      </c>
      <c r="B483" s="1">
        <v>40565</v>
      </c>
      <c r="C483" s="2">
        <v>1</v>
      </c>
      <c r="D483" s="2">
        <v>2</v>
      </c>
      <c r="E483" t="b">
        <v>0</v>
      </c>
      <c r="F483" s="2">
        <v>6</v>
      </c>
      <c r="G483" s="2">
        <v>2</v>
      </c>
      <c r="H483" s="23">
        <v>0.04</v>
      </c>
      <c r="I483" s="25">
        <v>3.0300000000000001E-2</v>
      </c>
      <c r="J483" s="23">
        <v>0.41</v>
      </c>
      <c r="K483" s="25">
        <v>0.25369999999999998</v>
      </c>
      <c r="L483" s="2">
        <v>0</v>
      </c>
      <c r="M483" s="2">
        <v>11</v>
      </c>
      <c r="N483" s="2">
        <v>11</v>
      </c>
    </row>
    <row r="484" spans="1:14" x14ac:dyDescent="0.3">
      <c r="A484" s="2">
        <v>483</v>
      </c>
      <c r="B484" s="1">
        <v>40565</v>
      </c>
      <c r="C484" s="2">
        <v>1</v>
      </c>
      <c r="D484" s="2">
        <v>3</v>
      </c>
      <c r="E484" t="b">
        <v>0</v>
      </c>
      <c r="F484" s="2">
        <v>6</v>
      </c>
      <c r="G484" s="2">
        <v>2</v>
      </c>
      <c r="H484" s="23">
        <v>0.04</v>
      </c>
      <c r="I484" s="25">
        <v>3.0300000000000001E-2</v>
      </c>
      <c r="J484" s="23">
        <v>0.41</v>
      </c>
      <c r="K484" s="25">
        <v>0.28360000000000002</v>
      </c>
      <c r="L484" s="2">
        <v>1</v>
      </c>
      <c r="M484" s="2">
        <v>6</v>
      </c>
      <c r="N484" s="2">
        <v>7</v>
      </c>
    </row>
    <row r="485" spans="1:14" x14ac:dyDescent="0.3">
      <c r="A485" s="2">
        <v>484</v>
      </c>
      <c r="B485" s="1">
        <v>40565</v>
      </c>
      <c r="C485" s="2">
        <v>1</v>
      </c>
      <c r="D485" s="2">
        <v>4</v>
      </c>
      <c r="E485" t="b">
        <v>0</v>
      </c>
      <c r="F485" s="2">
        <v>6</v>
      </c>
      <c r="G485" s="2">
        <v>2</v>
      </c>
      <c r="H485" s="23">
        <v>0.02</v>
      </c>
      <c r="I485" s="25">
        <v>1.52E-2</v>
      </c>
      <c r="J485" s="23">
        <v>0.48</v>
      </c>
      <c r="K485" s="25">
        <v>0.29849999999999999</v>
      </c>
      <c r="L485" s="2">
        <v>0</v>
      </c>
      <c r="M485" s="2">
        <v>3</v>
      </c>
      <c r="N485" s="2">
        <v>3</v>
      </c>
    </row>
    <row r="486" spans="1:14" x14ac:dyDescent="0.3">
      <c r="A486" s="2">
        <v>485</v>
      </c>
      <c r="B486" s="1">
        <v>40565</v>
      </c>
      <c r="C486" s="2">
        <v>1</v>
      </c>
      <c r="D486" s="2">
        <v>6</v>
      </c>
      <c r="E486" t="b">
        <v>0</v>
      </c>
      <c r="F486" s="2">
        <v>6</v>
      </c>
      <c r="G486" s="2">
        <v>2</v>
      </c>
      <c r="H486" s="23">
        <v>0.02</v>
      </c>
      <c r="I486" s="25">
        <v>3.0300000000000001E-2</v>
      </c>
      <c r="J486" s="23">
        <v>0.44</v>
      </c>
      <c r="K486" s="25">
        <v>0.22389999999999999</v>
      </c>
      <c r="L486" s="2">
        <v>0</v>
      </c>
      <c r="M486" s="2">
        <v>2</v>
      </c>
      <c r="N486" s="2">
        <v>2</v>
      </c>
    </row>
    <row r="487" spans="1:14" x14ac:dyDescent="0.3">
      <c r="A487" s="2">
        <v>486</v>
      </c>
      <c r="B487" s="1">
        <v>40565</v>
      </c>
      <c r="C487" s="2">
        <v>1</v>
      </c>
      <c r="D487" s="2">
        <v>7</v>
      </c>
      <c r="E487" t="b">
        <v>0</v>
      </c>
      <c r="F487" s="2">
        <v>6</v>
      </c>
      <c r="G487" s="2">
        <v>1</v>
      </c>
      <c r="H487" s="23">
        <v>0.02</v>
      </c>
      <c r="I487" s="25">
        <v>1.52E-2</v>
      </c>
      <c r="J487" s="23">
        <v>0.44</v>
      </c>
      <c r="K487" s="25">
        <v>0.28360000000000002</v>
      </c>
      <c r="L487" s="2">
        <v>0</v>
      </c>
      <c r="M487" s="2">
        <v>8</v>
      </c>
      <c r="N487" s="2">
        <v>8</v>
      </c>
    </row>
    <row r="488" spans="1:14" x14ac:dyDescent="0.3">
      <c r="A488" s="2">
        <v>487</v>
      </c>
      <c r="B488" s="1">
        <v>40565</v>
      </c>
      <c r="C488" s="2">
        <v>1</v>
      </c>
      <c r="D488" s="2">
        <v>8</v>
      </c>
      <c r="E488" t="b">
        <v>0</v>
      </c>
      <c r="F488" s="2">
        <v>6</v>
      </c>
      <c r="G488" s="2">
        <v>1</v>
      </c>
      <c r="H488" s="23">
        <v>0.02</v>
      </c>
      <c r="I488" s="25">
        <v>0</v>
      </c>
      <c r="J488" s="23">
        <v>0.44</v>
      </c>
      <c r="K488" s="25">
        <v>0.32840000000000003</v>
      </c>
      <c r="L488" s="2">
        <v>1</v>
      </c>
      <c r="M488" s="2">
        <v>26</v>
      </c>
      <c r="N488" s="2">
        <v>27</v>
      </c>
    </row>
    <row r="489" spans="1:14" x14ac:dyDescent="0.3">
      <c r="A489" s="2">
        <v>488</v>
      </c>
      <c r="B489" s="1">
        <v>40565</v>
      </c>
      <c r="C489" s="2">
        <v>1</v>
      </c>
      <c r="D489" s="2">
        <v>9</v>
      </c>
      <c r="E489" t="b">
        <v>0</v>
      </c>
      <c r="F489" s="2">
        <v>6</v>
      </c>
      <c r="G489" s="2">
        <v>1</v>
      </c>
      <c r="H489" s="23">
        <v>0.04</v>
      </c>
      <c r="I489" s="25">
        <v>3.0300000000000001E-2</v>
      </c>
      <c r="J489" s="23">
        <v>0.41</v>
      </c>
      <c r="K489" s="25">
        <v>0.25369999999999998</v>
      </c>
      <c r="L489" s="2">
        <v>3</v>
      </c>
      <c r="M489" s="2">
        <v>37</v>
      </c>
      <c r="N489" s="2">
        <v>40</v>
      </c>
    </row>
    <row r="490" spans="1:14" x14ac:dyDescent="0.3">
      <c r="A490" s="2">
        <v>489</v>
      </c>
      <c r="B490" s="1">
        <v>40565</v>
      </c>
      <c r="C490" s="2">
        <v>1</v>
      </c>
      <c r="D490" s="2">
        <v>10</v>
      </c>
      <c r="E490" t="b">
        <v>0</v>
      </c>
      <c r="F490" s="2">
        <v>6</v>
      </c>
      <c r="G490" s="2">
        <v>2</v>
      </c>
      <c r="H490" s="23">
        <v>0.04</v>
      </c>
      <c r="I490" s="25">
        <v>6.0600000000000001E-2</v>
      </c>
      <c r="J490" s="23">
        <v>0.41</v>
      </c>
      <c r="K490" s="25">
        <v>0.16420000000000001</v>
      </c>
      <c r="L490" s="2">
        <v>3</v>
      </c>
      <c r="M490" s="2">
        <v>50</v>
      </c>
      <c r="N490" s="2">
        <v>53</v>
      </c>
    </row>
    <row r="491" spans="1:14" x14ac:dyDescent="0.3">
      <c r="A491" s="2">
        <v>490</v>
      </c>
      <c r="B491" s="1">
        <v>40565</v>
      </c>
      <c r="C491" s="2">
        <v>1</v>
      </c>
      <c r="D491" s="2">
        <v>11</v>
      </c>
      <c r="E491" t="b">
        <v>0</v>
      </c>
      <c r="F491" s="2">
        <v>6</v>
      </c>
      <c r="G491" s="2">
        <v>2</v>
      </c>
      <c r="H491" s="23">
        <v>0.06</v>
      </c>
      <c r="I491" s="25">
        <v>7.5800000000000006E-2</v>
      </c>
      <c r="J491" s="23">
        <v>0.38</v>
      </c>
      <c r="K491" s="25">
        <v>0.1343</v>
      </c>
      <c r="L491" s="2">
        <v>4</v>
      </c>
      <c r="M491" s="2">
        <v>59</v>
      </c>
      <c r="N491" s="2">
        <v>63</v>
      </c>
    </row>
    <row r="492" spans="1:14" x14ac:dyDescent="0.3">
      <c r="A492" s="2">
        <v>491</v>
      </c>
      <c r="B492" s="1">
        <v>40565</v>
      </c>
      <c r="C492" s="2">
        <v>1</v>
      </c>
      <c r="D492" s="2">
        <v>12</v>
      </c>
      <c r="E492" t="b">
        <v>0</v>
      </c>
      <c r="F492" s="2">
        <v>6</v>
      </c>
      <c r="G492" s="2">
        <v>2</v>
      </c>
      <c r="H492" s="23">
        <v>0.06</v>
      </c>
      <c r="I492" s="25">
        <v>0.1061</v>
      </c>
      <c r="J492" s="23">
        <v>0.38</v>
      </c>
      <c r="K492" s="25">
        <v>0.1045</v>
      </c>
      <c r="L492" s="2">
        <v>10</v>
      </c>
      <c r="M492" s="2">
        <v>60</v>
      </c>
      <c r="N492" s="2">
        <v>70</v>
      </c>
    </row>
    <row r="493" spans="1:14" x14ac:dyDescent="0.3">
      <c r="A493" s="2">
        <v>492</v>
      </c>
      <c r="B493" s="1">
        <v>40565</v>
      </c>
      <c r="C493" s="2">
        <v>1</v>
      </c>
      <c r="D493" s="2">
        <v>13</v>
      </c>
      <c r="E493" t="b">
        <v>0</v>
      </c>
      <c r="F493" s="2">
        <v>6</v>
      </c>
      <c r="G493" s="2">
        <v>1</v>
      </c>
      <c r="H493" s="23">
        <v>0.08</v>
      </c>
      <c r="I493" s="25">
        <v>0.16669999999999999</v>
      </c>
      <c r="J493" s="23">
        <v>0.35</v>
      </c>
      <c r="K493" s="25">
        <v>0</v>
      </c>
      <c r="L493" s="2">
        <v>12</v>
      </c>
      <c r="M493" s="2">
        <v>72</v>
      </c>
      <c r="N493" s="2">
        <v>84</v>
      </c>
    </row>
    <row r="494" spans="1:14" x14ac:dyDescent="0.3">
      <c r="A494" s="2">
        <v>493</v>
      </c>
      <c r="B494" s="1">
        <v>40565</v>
      </c>
      <c r="C494" s="2">
        <v>1</v>
      </c>
      <c r="D494" s="2">
        <v>14</v>
      </c>
      <c r="E494" t="b">
        <v>0</v>
      </c>
      <c r="F494" s="2">
        <v>6</v>
      </c>
      <c r="G494" s="2">
        <v>1</v>
      </c>
      <c r="H494" s="23">
        <v>0.1</v>
      </c>
      <c r="I494" s="25">
        <v>0.13639999999999999</v>
      </c>
      <c r="J494" s="23">
        <v>0.33</v>
      </c>
      <c r="K494" s="25">
        <v>0.1045</v>
      </c>
      <c r="L494" s="2">
        <v>11</v>
      </c>
      <c r="M494" s="2">
        <v>64</v>
      </c>
      <c r="N494" s="2">
        <v>75</v>
      </c>
    </row>
    <row r="495" spans="1:14" x14ac:dyDescent="0.3">
      <c r="A495" s="2">
        <v>494</v>
      </c>
      <c r="B495" s="1">
        <v>40565</v>
      </c>
      <c r="C495" s="2">
        <v>1</v>
      </c>
      <c r="D495" s="2">
        <v>15</v>
      </c>
      <c r="E495" t="b">
        <v>0</v>
      </c>
      <c r="F495" s="2">
        <v>6</v>
      </c>
      <c r="G495" s="2">
        <v>1</v>
      </c>
      <c r="H495" s="23">
        <v>0.12</v>
      </c>
      <c r="I495" s="25">
        <v>0.1515</v>
      </c>
      <c r="J495" s="23">
        <v>0.28000000000000003</v>
      </c>
      <c r="K495" s="25">
        <v>0</v>
      </c>
      <c r="L495" s="2">
        <v>10</v>
      </c>
      <c r="M495" s="2">
        <v>93</v>
      </c>
      <c r="N495" s="2">
        <v>103</v>
      </c>
    </row>
    <row r="496" spans="1:14" x14ac:dyDescent="0.3">
      <c r="A496" s="2">
        <v>495</v>
      </c>
      <c r="B496" s="1">
        <v>40565</v>
      </c>
      <c r="C496" s="2">
        <v>1</v>
      </c>
      <c r="D496" s="2">
        <v>16</v>
      </c>
      <c r="E496" t="b">
        <v>0</v>
      </c>
      <c r="F496" s="2">
        <v>6</v>
      </c>
      <c r="G496" s="2">
        <v>1</v>
      </c>
      <c r="H496" s="23">
        <v>0.12</v>
      </c>
      <c r="I496" s="25">
        <v>0.13639999999999999</v>
      </c>
      <c r="J496" s="23">
        <v>0.28000000000000003</v>
      </c>
      <c r="K496" s="25">
        <v>0.19400000000000001</v>
      </c>
      <c r="L496" s="2">
        <v>11</v>
      </c>
      <c r="M496" s="2">
        <v>72</v>
      </c>
      <c r="N496" s="2">
        <v>83</v>
      </c>
    </row>
    <row r="497" spans="1:14" x14ac:dyDescent="0.3">
      <c r="A497" s="2">
        <v>496</v>
      </c>
      <c r="B497" s="1">
        <v>40565</v>
      </c>
      <c r="C497" s="2">
        <v>1</v>
      </c>
      <c r="D497" s="2">
        <v>17</v>
      </c>
      <c r="E497" t="b">
        <v>0</v>
      </c>
      <c r="F497" s="2">
        <v>6</v>
      </c>
      <c r="G497" s="2">
        <v>1</v>
      </c>
      <c r="H497" s="23">
        <v>0.12</v>
      </c>
      <c r="I497" s="25">
        <v>0.19700000000000001</v>
      </c>
      <c r="J497" s="23">
        <v>0.28000000000000003</v>
      </c>
      <c r="K497" s="25">
        <v>0</v>
      </c>
      <c r="L497" s="2">
        <v>8</v>
      </c>
      <c r="M497" s="2">
        <v>59</v>
      </c>
      <c r="N497" s="2">
        <v>67</v>
      </c>
    </row>
    <row r="498" spans="1:14" x14ac:dyDescent="0.3">
      <c r="A498" s="2">
        <v>497</v>
      </c>
      <c r="B498" s="1">
        <v>40565</v>
      </c>
      <c r="C498" s="2">
        <v>1</v>
      </c>
      <c r="D498" s="2">
        <v>18</v>
      </c>
      <c r="E498" t="b">
        <v>0</v>
      </c>
      <c r="F498" s="2">
        <v>6</v>
      </c>
      <c r="G498" s="2">
        <v>1</v>
      </c>
      <c r="H498" s="23">
        <v>0.08</v>
      </c>
      <c r="I498" s="25">
        <v>9.0899999999999995E-2</v>
      </c>
      <c r="J498" s="23">
        <v>0.35</v>
      </c>
      <c r="K498" s="25">
        <v>0.19400000000000001</v>
      </c>
      <c r="L498" s="2">
        <v>0</v>
      </c>
      <c r="M498" s="2">
        <v>54</v>
      </c>
      <c r="N498" s="2">
        <v>54</v>
      </c>
    </row>
    <row r="499" spans="1:14" x14ac:dyDescent="0.3">
      <c r="A499" s="2">
        <v>498</v>
      </c>
      <c r="B499" s="1">
        <v>40565</v>
      </c>
      <c r="C499" s="2">
        <v>1</v>
      </c>
      <c r="D499" s="2">
        <v>19</v>
      </c>
      <c r="E499" t="b">
        <v>0</v>
      </c>
      <c r="F499" s="2">
        <v>6</v>
      </c>
      <c r="G499" s="2">
        <v>1</v>
      </c>
      <c r="H499" s="23">
        <v>0.08</v>
      </c>
      <c r="I499" s="25">
        <v>0.1061</v>
      </c>
      <c r="J499" s="23">
        <v>0.35</v>
      </c>
      <c r="K499" s="25">
        <v>0.1343</v>
      </c>
      <c r="L499" s="2">
        <v>6</v>
      </c>
      <c r="M499" s="2">
        <v>53</v>
      </c>
      <c r="N499" s="2">
        <v>59</v>
      </c>
    </row>
    <row r="500" spans="1:14" x14ac:dyDescent="0.3">
      <c r="A500" s="2">
        <v>499</v>
      </c>
      <c r="B500" s="1">
        <v>40565</v>
      </c>
      <c r="C500" s="2">
        <v>1</v>
      </c>
      <c r="D500" s="2">
        <v>20</v>
      </c>
      <c r="E500" t="b">
        <v>0</v>
      </c>
      <c r="F500" s="2">
        <v>6</v>
      </c>
      <c r="G500" s="2">
        <v>1</v>
      </c>
      <c r="H500" s="23">
        <v>0.06</v>
      </c>
      <c r="I500" s="25">
        <v>7.5800000000000006E-2</v>
      </c>
      <c r="J500" s="23">
        <v>0.45</v>
      </c>
      <c r="K500" s="25">
        <v>0.16420000000000001</v>
      </c>
      <c r="L500" s="2">
        <v>1</v>
      </c>
      <c r="M500" s="2">
        <v>44</v>
      </c>
      <c r="N500" s="2">
        <v>45</v>
      </c>
    </row>
    <row r="501" spans="1:14" x14ac:dyDescent="0.3">
      <c r="A501" s="2">
        <v>500</v>
      </c>
      <c r="B501" s="1">
        <v>40565</v>
      </c>
      <c r="C501" s="2">
        <v>1</v>
      </c>
      <c r="D501" s="2">
        <v>21</v>
      </c>
      <c r="E501" t="b">
        <v>0</v>
      </c>
      <c r="F501" s="2">
        <v>6</v>
      </c>
      <c r="G501" s="2">
        <v>1</v>
      </c>
      <c r="H501" s="23">
        <v>0.06</v>
      </c>
      <c r="I501" s="25">
        <v>0.1061</v>
      </c>
      <c r="J501" s="23">
        <v>0.41</v>
      </c>
      <c r="K501" s="25">
        <v>8.9599999999999999E-2</v>
      </c>
      <c r="L501" s="2">
        <v>0</v>
      </c>
      <c r="M501" s="2">
        <v>39</v>
      </c>
      <c r="N501" s="2">
        <v>39</v>
      </c>
    </row>
    <row r="502" spans="1:14" x14ac:dyDescent="0.3">
      <c r="A502" s="2">
        <v>501</v>
      </c>
      <c r="B502" s="1">
        <v>40565</v>
      </c>
      <c r="C502" s="2">
        <v>1</v>
      </c>
      <c r="D502" s="2">
        <v>22</v>
      </c>
      <c r="E502" t="b">
        <v>0</v>
      </c>
      <c r="F502" s="2">
        <v>6</v>
      </c>
      <c r="G502" s="2">
        <v>1</v>
      </c>
      <c r="H502" s="23">
        <v>0.06</v>
      </c>
      <c r="I502" s="25">
        <v>0.1515</v>
      </c>
      <c r="J502" s="23">
        <v>0.49</v>
      </c>
      <c r="K502" s="25">
        <v>0</v>
      </c>
      <c r="L502" s="2">
        <v>7</v>
      </c>
      <c r="M502" s="2">
        <v>23</v>
      </c>
      <c r="N502" s="2">
        <v>30</v>
      </c>
    </row>
    <row r="503" spans="1:14" x14ac:dyDescent="0.3">
      <c r="A503" s="2">
        <v>502</v>
      </c>
      <c r="B503" s="1">
        <v>40565</v>
      </c>
      <c r="C503" s="2">
        <v>1</v>
      </c>
      <c r="D503" s="2">
        <v>23</v>
      </c>
      <c r="E503" t="b">
        <v>0</v>
      </c>
      <c r="F503" s="2">
        <v>6</v>
      </c>
      <c r="G503" s="2">
        <v>1</v>
      </c>
      <c r="H503" s="23">
        <v>0.04</v>
      </c>
      <c r="I503" s="25">
        <v>7.5800000000000006E-2</v>
      </c>
      <c r="J503" s="23">
        <v>0.56999999999999995</v>
      </c>
      <c r="K503" s="25">
        <v>0.1045</v>
      </c>
      <c r="L503" s="2">
        <v>2</v>
      </c>
      <c r="M503" s="2">
        <v>31</v>
      </c>
      <c r="N503" s="2">
        <v>33</v>
      </c>
    </row>
    <row r="504" spans="1:14" x14ac:dyDescent="0.3">
      <c r="A504" s="2">
        <v>503</v>
      </c>
      <c r="B504" s="1">
        <v>40566</v>
      </c>
      <c r="C504" s="2">
        <v>1</v>
      </c>
      <c r="D504" s="2">
        <v>0</v>
      </c>
      <c r="E504" t="b">
        <v>0</v>
      </c>
      <c r="F504" s="2">
        <v>0</v>
      </c>
      <c r="G504" s="2">
        <v>1</v>
      </c>
      <c r="H504" s="23">
        <v>0.04</v>
      </c>
      <c r="I504" s="25">
        <v>7.5800000000000006E-2</v>
      </c>
      <c r="J504" s="23">
        <v>0.56999999999999995</v>
      </c>
      <c r="K504" s="25">
        <v>0.1045</v>
      </c>
      <c r="L504" s="2">
        <v>2</v>
      </c>
      <c r="M504" s="2">
        <v>20</v>
      </c>
      <c r="N504" s="2">
        <v>22</v>
      </c>
    </row>
    <row r="505" spans="1:14" x14ac:dyDescent="0.3">
      <c r="A505" s="2">
        <v>504</v>
      </c>
      <c r="B505" s="1">
        <v>40566</v>
      </c>
      <c r="C505" s="2">
        <v>1</v>
      </c>
      <c r="D505" s="2">
        <v>1</v>
      </c>
      <c r="E505" t="b">
        <v>0</v>
      </c>
      <c r="F505" s="2">
        <v>0</v>
      </c>
      <c r="G505" s="2">
        <v>1</v>
      </c>
      <c r="H505" s="23">
        <v>0.04</v>
      </c>
      <c r="I505" s="25">
        <v>7.5800000000000006E-2</v>
      </c>
      <c r="J505" s="23">
        <v>0.56999999999999995</v>
      </c>
      <c r="K505" s="25">
        <v>0.1045</v>
      </c>
      <c r="L505" s="2">
        <v>1</v>
      </c>
      <c r="M505" s="2">
        <v>12</v>
      </c>
      <c r="N505" s="2">
        <v>13</v>
      </c>
    </row>
    <row r="506" spans="1:14" x14ac:dyDescent="0.3">
      <c r="A506" s="2">
        <v>505</v>
      </c>
      <c r="B506" s="1">
        <v>40566</v>
      </c>
      <c r="C506" s="2">
        <v>1</v>
      </c>
      <c r="D506" s="2">
        <v>2</v>
      </c>
      <c r="E506" t="b">
        <v>0</v>
      </c>
      <c r="F506" s="2">
        <v>0</v>
      </c>
      <c r="G506" s="2">
        <v>1</v>
      </c>
      <c r="H506" s="23">
        <v>0.02</v>
      </c>
      <c r="I506" s="25">
        <v>6.0600000000000001E-2</v>
      </c>
      <c r="J506" s="23">
        <v>0.62</v>
      </c>
      <c r="K506" s="25">
        <v>0.1343</v>
      </c>
      <c r="L506" s="2">
        <v>3</v>
      </c>
      <c r="M506" s="2">
        <v>15</v>
      </c>
      <c r="N506" s="2">
        <v>18</v>
      </c>
    </row>
    <row r="507" spans="1:14" x14ac:dyDescent="0.3">
      <c r="A507" s="2">
        <v>506</v>
      </c>
      <c r="B507" s="1">
        <v>40566</v>
      </c>
      <c r="C507" s="2">
        <v>1</v>
      </c>
      <c r="D507" s="2">
        <v>3</v>
      </c>
      <c r="E507" t="b">
        <v>0</v>
      </c>
      <c r="F507" s="2">
        <v>0</v>
      </c>
      <c r="G507" s="2">
        <v>1</v>
      </c>
      <c r="H507" s="23">
        <v>0.02</v>
      </c>
      <c r="I507" s="25">
        <v>6.0600000000000001E-2</v>
      </c>
      <c r="J507" s="23">
        <v>0.62</v>
      </c>
      <c r="K507" s="25">
        <v>0.1343</v>
      </c>
      <c r="L507" s="2">
        <v>1</v>
      </c>
      <c r="M507" s="2">
        <v>4</v>
      </c>
      <c r="N507" s="2">
        <v>5</v>
      </c>
    </row>
    <row r="508" spans="1:14" x14ac:dyDescent="0.3">
      <c r="A508" s="2">
        <v>507</v>
      </c>
      <c r="B508" s="1">
        <v>40566</v>
      </c>
      <c r="C508" s="2">
        <v>1</v>
      </c>
      <c r="D508" s="2">
        <v>5</v>
      </c>
      <c r="E508" t="b">
        <v>0</v>
      </c>
      <c r="F508" s="2">
        <v>0</v>
      </c>
      <c r="G508" s="2">
        <v>2</v>
      </c>
      <c r="H508" s="23">
        <v>0.04</v>
      </c>
      <c r="I508" s="25">
        <v>7.5800000000000006E-2</v>
      </c>
      <c r="J508" s="23">
        <v>0.56999999999999995</v>
      </c>
      <c r="K508" s="25">
        <v>0.1045</v>
      </c>
      <c r="L508" s="2">
        <v>0</v>
      </c>
      <c r="M508" s="2">
        <v>3</v>
      </c>
      <c r="N508" s="2">
        <v>3</v>
      </c>
    </row>
    <row r="509" spans="1:14" x14ac:dyDescent="0.3">
      <c r="A509" s="2">
        <v>508</v>
      </c>
      <c r="B509" s="1">
        <v>40566</v>
      </c>
      <c r="C509" s="2">
        <v>1</v>
      </c>
      <c r="D509" s="2">
        <v>6</v>
      </c>
      <c r="E509" t="b">
        <v>0</v>
      </c>
      <c r="F509" s="2">
        <v>0</v>
      </c>
      <c r="G509" s="2">
        <v>2</v>
      </c>
      <c r="H509" s="23">
        <v>0.04</v>
      </c>
      <c r="I509" s="25">
        <v>7.5800000000000006E-2</v>
      </c>
      <c r="J509" s="23">
        <v>0.56999999999999995</v>
      </c>
      <c r="K509" s="25">
        <v>0.1045</v>
      </c>
      <c r="L509" s="2">
        <v>0</v>
      </c>
      <c r="M509" s="2">
        <v>1</v>
      </c>
      <c r="N509" s="2">
        <v>1</v>
      </c>
    </row>
    <row r="510" spans="1:14" x14ac:dyDescent="0.3">
      <c r="A510" s="2">
        <v>509</v>
      </c>
      <c r="B510" s="1">
        <v>40566</v>
      </c>
      <c r="C510" s="2">
        <v>1</v>
      </c>
      <c r="D510" s="2">
        <v>7</v>
      </c>
      <c r="E510" t="b">
        <v>0</v>
      </c>
      <c r="F510" s="2">
        <v>0</v>
      </c>
      <c r="G510" s="2">
        <v>1</v>
      </c>
      <c r="H510" s="23">
        <v>0.08</v>
      </c>
      <c r="I510" s="25">
        <v>0.1061</v>
      </c>
      <c r="J510" s="23">
        <v>0.57999999999999996</v>
      </c>
      <c r="K510" s="25">
        <v>0.16420000000000001</v>
      </c>
      <c r="L510" s="2">
        <v>1</v>
      </c>
      <c r="M510" s="2">
        <v>1</v>
      </c>
      <c r="N510" s="2">
        <v>2</v>
      </c>
    </row>
    <row r="511" spans="1:14" x14ac:dyDescent="0.3">
      <c r="A511" s="2">
        <v>510</v>
      </c>
      <c r="B511" s="1">
        <v>40566</v>
      </c>
      <c r="C511" s="2">
        <v>1</v>
      </c>
      <c r="D511" s="2">
        <v>8</v>
      </c>
      <c r="E511" t="b">
        <v>0</v>
      </c>
      <c r="F511" s="2">
        <v>0</v>
      </c>
      <c r="G511" s="2">
        <v>1</v>
      </c>
      <c r="H511" s="23">
        <v>0.06</v>
      </c>
      <c r="I511" s="25">
        <v>7.5800000000000006E-2</v>
      </c>
      <c r="J511" s="23">
        <v>0.62</v>
      </c>
      <c r="K511" s="25">
        <v>0.16420000000000001</v>
      </c>
      <c r="L511" s="2">
        <v>2</v>
      </c>
      <c r="M511" s="2">
        <v>17</v>
      </c>
      <c r="N511" s="2">
        <v>19</v>
      </c>
    </row>
    <row r="512" spans="1:14" x14ac:dyDescent="0.3">
      <c r="A512" s="2">
        <v>511</v>
      </c>
      <c r="B512" s="1">
        <v>40566</v>
      </c>
      <c r="C512" s="2">
        <v>1</v>
      </c>
      <c r="D512" s="2">
        <v>9</v>
      </c>
      <c r="E512" t="b">
        <v>0</v>
      </c>
      <c r="F512" s="2">
        <v>0</v>
      </c>
      <c r="G512" s="2">
        <v>1</v>
      </c>
      <c r="H512" s="23">
        <v>0.1</v>
      </c>
      <c r="I512" s="25">
        <v>7.5800000000000006E-2</v>
      </c>
      <c r="J512" s="23">
        <v>0.54</v>
      </c>
      <c r="K512" s="25">
        <v>0.35820000000000002</v>
      </c>
      <c r="L512" s="2">
        <v>3</v>
      </c>
      <c r="M512" s="2">
        <v>25</v>
      </c>
      <c r="N512" s="2">
        <v>28</v>
      </c>
    </row>
    <row r="513" spans="1:14" x14ac:dyDescent="0.3">
      <c r="A513" s="2">
        <v>512</v>
      </c>
      <c r="B513" s="1">
        <v>40566</v>
      </c>
      <c r="C513" s="2">
        <v>1</v>
      </c>
      <c r="D513" s="2">
        <v>10</v>
      </c>
      <c r="E513" t="b">
        <v>0</v>
      </c>
      <c r="F513" s="2">
        <v>0</v>
      </c>
      <c r="G513" s="2">
        <v>1</v>
      </c>
      <c r="H513" s="23">
        <v>0.14000000000000001</v>
      </c>
      <c r="I513" s="25">
        <v>0.1061</v>
      </c>
      <c r="J513" s="23">
        <v>0.46</v>
      </c>
      <c r="K513" s="25">
        <v>0.3881</v>
      </c>
      <c r="L513" s="2">
        <v>7</v>
      </c>
      <c r="M513" s="2">
        <v>51</v>
      </c>
      <c r="N513" s="2">
        <v>58</v>
      </c>
    </row>
    <row r="514" spans="1:14" x14ac:dyDescent="0.3">
      <c r="A514" s="2">
        <v>513</v>
      </c>
      <c r="B514" s="1">
        <v>40566</v>
      </c>
      <c r="C514" s="2">
        <v>1</v>
      </c>
      <c r="D514" s="2">
        <v>11</v>
      </c>
      <c r="E514" t="b">
        <v>0</v>
      </c>
      <c r="F514" s="2">
        <v>0</v>
      </c>
      <c r="G514" s="2">
        <v>1</v>
      </c>
      <c r="H514" s="23">
        <v>0.14000000000000001</v>
      </c>
      <c r="I514" s="25">
        <v>0.13639999999999999</v>
      </c>
      <c r="J514" s="23">
        <v>0.43</v>
      </c>
      <c r="K514" s="25">
        <v>0.22389999999999999</v>
      </c>
      <c r="L514" s="2">
        <v>22</v>
      </c>
      <c r="M514" s="2">
        <v>77</v>
      </c>
      <c r="N514" s="2">
        <v>99</v>
      </c>
    </row>
    <row r="515" spans="1:14" x14ac:dyDescent="0.3">
      <c r="A515" s="2">
        <v>514</v>
      </c>
      <c r="B515" s="1">
        <v>40566</v>
      </c>
      <c r="C515" s="2">
        <v>1</v>
      </c>
      <c r="D515" s="2">
        <v>12</v>
      </c>
      <c r="E515" t="b">
        <v>0</v>
      </c>
      <c r="F515" s="2">
        <v>0</v>
      </c>
      <c r="G515" s="2">
        <v>1</v>
      </c>
      <c r="H515" s="23">
        <v>0.16</v>
      </c>
      <c r="I515" s="25">
        <v>0.1212</v>
      </c>
      <c r="J515" s="23">
        <v>0.37</v>
      </c>
      <c r="K515" s="25">
        <v>0.4627</v>
      </c>
      <c r="L515" s="2">
        <v>24</v>
      </c>
      <c r="M515" s="2">
        <v>92</v>
      </c>
      <c r="N515" s="2">
        <v>116</v>
      </c>
    </row>
    <row r="516" spans="1:14" x14ac:dyDescent="0.3">
      <c r="A516" s="2">
        <v>515</v>
      </c>
      <c r="B516" s="1">
        <v>40566</v>
      </c>
      <c r="C516" s="2">
        <v>1</v>
      </c>
      <c r="D516" s="2">
        <v>13</v>
      </c>
      <c r="E516" t="b">
        <v>0</v>
      </c>
      <c r="F516" s="2">
        <v>0</v>
      </c>
      <c r="G516" s="2">
        <v>1</v>
      </c>
      <c r="H516" s="23">
        <v>0.14000000000000001</v>
      </c>
      <c r="I516" s="25">
        <v>0.1061</v>
      </c>
      <c r="J516" s="23">
        <v>0.33</v>
      </c>
      <c r="K516" s="25">
        <v>0.3881</v>
      </c>
      <c r="L516" s="2">
        <v>12</v>
      </c>
      <c r="M516" s="2">
        <v>75</v>
      </c>
      <c r="N516" s="2">
        <v>87</v>
      </c>
    </row>
    <row r="517" spans="1:14" x14ac:dyDescent="0.3">
      <c r="A517" s="2">
        <v>516</v>
      </c>
      <c r="B517" s="1">
        <v>40566</v>
      </c>
      <c r="C517" s="2">
        <v>1</v>
      </c>
      <c r="D517" s="2">
        <v>14</v>
      </c>
      <c r="E517" t="b">
        <v>0</v>
      </c>
      <c r="F517" s="2">
        <v>0</v>
      </c>
      <c r="G517" s="2">
        <v>1</v>
      </c>
      <c r="H517" s="23">
        <v>0.16</v>
      </c>
      <c r="I517" s="25">
        <v>0.13639999999999999</v>
      </c>
      <c r="J517" s="23">
        <v>0.28000000000000003</v>
      </c>
      <c r="K517" s="25">
        <v>0.35820000000000002</v>
      </c>
      <c r="L517" s="2">
        <v>17</v>
      </c>
      <c r="M517" s="2">
        <v>93</v>
      </c>
      <c r="N517" s="2">
        <v>110</v>
      </c>
    </row>
    <row r="518" spans="1:14" x14ac:dyDescent="0.3">
      <c r="A518" s="2">
        <v>517</v>
      </c>
      <c r="B518" s="1">
        <v>40566</v>
      </c>
      <c r="C518" s="2">
        <v>1</v>
      </c>
      <c r="D518" s="2">
        <v>15</v>
      </c>
      <c r="E518" t="b">
        <v>0</v>
      </c>
      <c r="F518" s="2">
        <v>0</v>
      </c>
      <c r="G518" s="2">
        <v>1</v>
      </c>
      <c r="H518" s="23">
        <v>0.16</v>
      </c>
      <c r="I518" s="25">
        <v>0.13639999999999999</v>
      </c>
      <c r="J518" s="23">
        <v>0.28000000000000003</v>
      </c>
      <c r="K518" s="25">
        <v>0.35820000000000002</v>
      </c>
      <c r="L518" s="2">
        <v>13</v>
      </c>
      <c r="M518" s="2">
        <v>64</v>
      </c>
      <c r="N518" s="2">
        <v>77</v>
      </c>
    </row>
    <row r="519" spans="1:14" x14ac:dyDescent="0.3">
      <c r="A519" s="2">
        <v>518</v>
      </c>
      <c r="B519" s="1">
        <v>40566</v>
      </c>
      <c r="C519" s="2">
        <v>1</v>
      </c>
      <c r="D519" s="2">
        <v>16</v>
      </c>
      <c r="E519" t="b">
        <v>0</v>
      </c>
      <c r="F519" s="2">
        <v>0</v>
      </c>
      <c r="G519" s="2">
        <v>1</v>
      </c>
      <c r="H519" s="23">
        <v>0.16</v>
      </c>
      <c r="I519" s="25">
        <v>0.13639999999999999</v>
      </c>
      <c r="J519" s="23">
        <v>0.26</v>
      </c>
      <c r="K519" s="25">
        <v>0.32840000000000003</v>
      </c>
      <c r="L519" s="2">
        <v>9</v>
      </c>
      <c r="M519" s="2">
        <v>56</v>
      </c>
      <c r="N519" s="2">
        <v>65</v>
      </c>
    </row>
    <row r="520" spans="1:14" x14ac:dyDescent="0.3">
      <c r="A520" s="2">
        <v>519</v>
      </c>
      <c r="B520" s="1">
        <v>40566</v>
      </c>
      <c r="C520" s="2">
        <v>1</v>
      </c>
      <c r="D520" s="2">
        <v>17</v>
      </c>
      <c r="E520" t="b">
        <v>0</v>
      </c>
      <c r="F520" s="2">
        <v>0</v>
      </c>
      <c r="G520" s="2">
        <v>1</v>
      </c>
      <c r="H520" s="23">
        <v>0.14000000000000001</v>
      </c>
      <c r="I520" s="25">
        <v>0.1061</v>
      </c>
      <c r="J520" s="23">
        <v>0.26</v>
      </c>
      <c r="K520" s="25">
        <v>0.3881</v>
      </c>
      <c r="L520" s="2">
        <v>5</v>
      </c>
      <c r="M520" s="2">
        <v>50</v>
      </c>
      <c r="N520" s="2">
        <v>55</v>
      </c>
    </row>
    <row r="521" spans="1:14" x14ac:dyDescent="0.3">
      <c r="A521" s="2">
        <v>520</v>
      </c>
      <c r="B521" s="1">
        <v>40566</v>
      </c>
      <c r="C521" s="2">
        <v>1</v>
      </c>
      <c r="D521" s="2">
        <v>18</v>
      </c>
      <c r="E521" t="b">
        <v>0</v>
      </c>
      <c r="F521" s="2">
        <v>0</v>
      </c>
      <c r="G521" s="2">
        <v>1</v>
      </c>
      <c r="H521" s="23">
        <v>0.12</v>
      </c>
      <c r="I521" s="25">
        <v>0.1212</v>
      </c>
      <c r="J521" s="23">
        <v>0.3</v>
      </c>
      <c r="K521" s="25">
        <v>0.25369999999999998</v>
      </c>
      <c r="L521" s="2">
        <v>5</v>
      </c>
      <c r="M521" s="2">
        <v>44</v>
      </c>
      <c r="N521" s="2">
        <v>49</v>
      </c>
    </row>
    <row r="522" spans="1:14" x14ac:dyDescent="0.3">
      <c r="A522" s="2">
        <v>521</v>
      </c>
      <c r="B522" s="1">
        <v>40566</v>
      </c>
      <c r="C522" s="2">
        <v>1</v>
      </c>
      <c r="D522" s="2">
        <v>19</v>
      </c>
      <c r="E522" t="b">
        <v>0</v>
      </c>
      <c r="F522" s="2">
        <v>0</v>
      </c>
      <c r="G522" s="2">
        <v>1</v>
      </c>
      <c r="H522" s="23">
        <v>0.12</v>
      </c>
      <c r="I522" s="25">
        <v>0.1212</v>
      </c>
      <c r="J522" s="23">
        <v>0.3</v>
      </c>
      <c r="K522" s="25">
        <v>0.28360000000000002</v>
      </c>
      <c r="L522" s="2">
        <v>5</v>
      </c>
      <c r="M522" s="2">
        <v>45</v>
      </c>
      <c r="N522" s="2">
        <v>50</v>
      </c>
    </row>
    <row r="523" spans="1:14" x14ac:dyDescent="0.3">
      <c r="A523" s="2">
        <v>522</v>
      </c>
      <c r="B523" s="1">
        <v>40566</v>
      </c>
      <c r="C523" s="2">
        <v>1</v>
      </c>
      <c r="D523" s="2">
        <v>20</v>
      </c>
      <c r="E523" t="b">
        <v>0</v>
      </c>
      <c r="F523" s="2">
        <v>0</v>
      </c>
      <c r="G523" s="2">
        <v>1</v>
      </c>
      <c r="H523" s="23">
        <v>0.1</v>
      </c>
      <c r="I523" s="25">
        <v>0.1061</v>
      </c>
      <c r="J523" s="23">
        <v>0.36</v>
      </c>
      <c r="K523" s="25">
        <v>0.25369999999999998</v>
      </c>
      <c r="L523" s="2">
        <v>4</v>
      </c>
      <c r="M523" s="2">
        <v>31</v>
      </c>
      <c r="N523" s="2">
        <v>35</v>
      </c>
    </row>
    <row r="524" spans="1:14" x14ac:dyDescent="0.3">
      <c r="A524" s="2">
        <v>523</v>
      </c>
      <c r="B524" s="1">
        <v>40566</v>
      </c>
      <c r="C524" s="2">
        <v>1</v>
      </c>
      <c r="D524" s="2">
        <v>21</v>
      </c>
      <c r="E524" t="b">
        <v>0</v>
      </c>
      <c r="F524" s="2">
        <v>0</v>
      </c>
      <c r="G524" s="2">
        <v>1</v>
      </c>
      <c r="H524" s="23">
        <v>0.1</v>
      </c>
      <c r="I524" s="25">
        <v>0.1061</v>
      </c>
      <c r="J524" s="23">
        <v>0.36</v>
      </c>
      <c r="K524" s="25">
        <v>0.19400000000000001</v>
      </c>
      <c r="L524" s="2">
        <v>5</v>
      </c>
      <c r="M524" s="2">
        <v>20</v>
      </c>
      <c r="N524" s="2">
        <v>25</v>
      </c>
    </row>
    <row r="525" spans="1:14" x14ac:dyDescent="0.3">
      <c r="A525" s="2">
        <v>524</v>
      </c>
      <c r="B525" s="1">
        <v>40566</v>
      </c>
      <c r="C525" s="2">
        <v>1</v>
      </c>
      <c r="D525" s="2">
        <v>22</v>
      </c>
      <c r="E525" t="b">
        <v>0</v>
      </c>
      <c r="F525" s="2">
        <v>0</v>
      </c>
      <c r="G525" s="2">
        <v>1</v>
      </c>
      <c r="H525" s="23">
        <v>0.08</v>
      </c>
      <c r="I525" s="25">
        <v>9.0899999999999995E-2</v>
      </c>
      <c r="J525" s="23">
        <v>0.38</v>
      </c>
      <c r="K525" s="25">
        <v>0.19400000000000001</v>
      </c>
      <c r="L525" s="2">
        <v>5</v>
      </c>
      <c r="M525" s="2">
        <v>23</v>
      </c>
      <c r="N525" s="2">
        <v>28</v>
      </c>
    </row>
    <row r="526" spans="1:14" x14ac:dyDescent="0.3">
      <c r="A526" s="2">
        <v>525</v>
      </c>
      <c r="B526" s="1">
        <v>40566</v>
      </c>
      <c r="C526" s="2">
        <v>1</v>
      </c>
      <c r="D526" s="2">
        <v>23</v>
      </c>
      <c r="E526" t="b">
        <v>0</v>
      </c>
      <c r="F526" s="2">
        <v>0</v>
      </c>
      <c r="G526" s="2">
        <v>1</v>
      </c>
      <c r="H526" s="23">
        <v>0.06</v>
      </c>
      <c r="I526" s="25">
        <v>6.0600000000000001E-2</v>
      </c>
      <c r="J526" s="23">
        <v>0.41</v>
      </c>
      <c r="K526" s="25">
        <v>0.22389999999999999</v>
      </c>
      <c r="L526" s="2">
        <v>4</v>
      </c>
      <c r="M526" s="2">
        <v>17</v>
      </c>
      <c r="N526" s="2">
        <v>21</v>
      </c>
    </row>
    <row r="527" spans="1:14" x14ac:dyDescent="0.3">
      <c r="A527" s="2">
        <v>526</v>
      </c>
      <c r="B527" s="1">
        <v>40567</v>
      </c>
      <c r="C527" s="2">
        <v>1</v>
      </c>
      <c r="D527" s="2">
        <v>0</v>
      </c>
      <c r="E527" t="b">
        <v>0</v>
      </c>
      <c r="F527" s="2">
        <v>1</v>
      </c>
      <c r="G527" s="2">
        <v>1</v>
      </c>
      <c r="H527" s="23">
        <v>0.06</v>
      </c>
      <c r="I527" s="25">
        <v>6.0600000000000001E-2</v>
      </c>
      <c r="J527" s="23">
        <v>0.41</v>
      </c>
      <c r="K527" s="25">
        <v>0.19400000000000001</v>
      </c>
      <c r="L527" s="2">
        <v>0</v>
      </c>
      <c r="M527" s="2">
        <v>7</v>
      </c>
      <c r="N527" s="2">
        <v>7</v>
      </c>
    </row>
    <row r="528" spans="1:14" x14ac:dyDescent="0.3">
      <c r="A528" s="2">
        <v>527</v>
      </c>
      <c r="B528" s="1">
        <v>40567</v>
      </c>
      <c r="C528" s="2">
        <v>1</v>
      </c>
      <c r="D528" s="2">
        <v>1</v>
      </c>
      <c r="E528" t="b">
        <v>0</v>
      </c>
      <c r="F528" s="2">
        <v>1</v>
      </c>
      <c r="G528" s="2">
        <v>1</v>
      </c>
      <c r="H528" s="23">
        <v>0.04</v>
      </c>
      <c r="I528" s="25">
        <v>4.5499999999999999E-2</v>
      </c>
      <c r="J528" s="23">
        <v>0.45</v>
      </c>
      <c r="K528" s="25">
        <v>0.19400000000000001</v>
      </c>
      <c r="L528" s="2">
        <v>0</v>
      </c>
      <c r="M528" s="2">
        <v>1</v>
      </c>
      <c r="N528" s="2">
        <v>1</v>
      </c>
    </row>
    <row r="529" spans="1:14" x14ac:dyDescent="0.3">
      <c r="A529" s="2">
        <v>528</v>
      </c>
      <c r="B529" s="1">
        <v>40567</v>
      </c>
      <c r="C529" s="2">
        <v>1</v>
      </c>
      <c r="D529" s="2">
        <v>3</v>
      </c>
      <c r="E529" t="b">
        <v>0</v>
      </c>
      <c r="F529" s="2">
        <v>1</v>
      </c>
      <c r="G529" s="2">
        <v>1</v>
      </c>
      <c r="H529" s="23">
        <v>0.04</v>
      </c>
      <c r="I529" s="25">
        <v>3.0300000000000001E-2</v>
      </c>
      <c r="J529" s="23">
        <v>0.45</v>
      </c>
      <c r="K529" s="25">
        <v>0.25369999999999998</v>
      </c>
      <c r="L529" s="2">
        <v>0</v>
      </c>
      <c r="M529" s="2">
        <v>1</v>
      </c>
      <c r="N529" s="2">
        <v>1</v>
      </c>
    </row>
    <row r="530" spans="1:14" x14ac:dyDescent="0.3">
      <c r="A530" s="2">
        <v>529</v>
      </c>
      <c r="B530" s="1">
        <v>40567</v>
      </c>
      <c r="C530" s="2">
        <v>1</v>
      </c>
      <c r="D530" s="2">
        <v>4</v>
      </c>
      <c r="E530" t="b">
        <v>0</v>
      </c>
      <c r="F530" s="2">
        <v>1</v>
      </c>
      <c r="G530" s="2">
        <v>1</v>
      </c>
      <c r="H530" s="23">
        <v>0.02</v>
      </c>
      <c r="I530" s="25">
        <v>6.0600000000000001E-2</v>
      </c>
      <c r="J530" s="23">
        <v>0.48</v>
      </c>
      <c r="K530" s="25">
        <v>0.1343</v>
      </c>
      <c r="L530" s="2">
        <v>0</v>
      </c>
      <c r="M530" s="2">
        <v>1</v>
      </c>
      <c r="N530" s="2">
        <v>1</v>
      </c>
    </row>
    <row r="531" spans="1:14" x14ac:dyDescent="0.3">
      <c r="A531" s="2">
        <v>530</v>
      </c>
      <c r="B531" s="1">
        <v>40567</v>
      </c>
      <c r="C531" s="2">
        <v>1</v>
      </c>
      <c r="D531" s="2">
        <v>5</v>
      </c>
      <c r="E531" t="b">
        <v>0</v>
      </c>
      <c r="F531" s="2">
        <v>1</v>
      </c>
      <c r="G531" s="2">
        <v>1</v>
      </c>
      <c r="H531" s="23">
        <v>0.02</v>
      </c>
      <c r="I531" s="25">
        <v>6.0600000000000001E-2</v>
      </c>
      <c r="J531" s="23">
        <v>0.48</v>
      </c>
      <c r="K531" s="25">
        <v>0.1343</v>
      </c>
      <c r="L531" s="2">
        <v>0</v>
      </c>
      <c r="M531" s="2">
        <v>5</v>
      </c>
      <c r="N531" s="2">
        <v>5</v>
      </c>
    </row>
    <row r="532" spans="1:14" x14ac:dyDescent="0.3">
      <c r="A532" s="2">
        <v>531</v>
      </c>
      <c r="B532" s="1">
        <v>40567</v>
      </c>
      <c r="C532" s="2">
        <v>1</v>
      </c>
      <c r="D532" s="2">
        <v>6</v>
      </c>
      <c r="E532" t="b">
        <v>0</v>
      </c>
      <c r="F532" s="2">
        <v>1</v>
      </c>
      <c r="G532" s="2">
        <v>1</v>
      </c>
      <c r="H532" s="23">
        <v>0.02</v>
      </c>
      <c r="I532" s="25">
        <v>7.5800000000000006E-2</v>
      </c>
      <c r="J532" s="23">
        <v>0.48</v>
      </c>
      <c r="K532" s="25">
        <v>8.9599999999999999E-2</v>
      </c>
      <c r="L532" s="2">
        <v>0</v>
      </c>
      <c r="M532" s="2">
        <v>15</v>
      </c>
      <c r="N532" s="2">
        <v>15</v>
      </c>
    </row>
    <row r="533" spans="1:14" x14ac:dyDescent="0.3">
      <c r="A533" s="2">
        <v>532</v>
      </c>
      <c r="B533" s="1">
        <v>40567</v>
      </c>
      <c r="C533" s="2">
        <v>1</v>
      </c>
      <c r="D533" s="2">
        <v>7</v>
      </c>
      <c r="E533" t="b">
        <v>0</v>
      </c>
      <c r="F533" s="2">
        <v>1</v>
      </c>
      <c r="G533" s="2">
        <v>1</v>
      </c>
      <c r="H533" s="23">
        <v>0.02</v>
      </c>
      <c r="I533" s="25">
        <v>0.1212</v>
      </c>
      <c r="J533" s="23">
        <v>0.48</v>
      </c>
      <c r="K533" s="25">
        <v>0</v>
      </c>
      <c r="L533" s="2">
        <v>5</v>
      </c>
      <c r="M533" s="2">
        <v>79</v>
      </c>
      <c r="N533" s="2">
        <v>84</v>
      </c>
    </row>
    <row r="534" spans="1:14" x14ac:dyDescent="0.3">
      <c r="A534" s="2">
        <v>533</v>
      </c>
      <c r="B534" s="1">
        <v>40567</v>
      </c>
      <c r="C534" s="2">
        <v>1</v>
      </c>
      <c r="D534" s="2">
        <v>8</v>
      </c>
      <c r="E534" t="b">
        <v>0</v>
      </c>
      <c r="F534" s="2">
        <v>1</v>
      </c>
      <c r="G534" s="2">
        <v>1</v>
      </c>
      <c r="H534" s="23">
        <v>0.04</v>
      </c>
      <c r="I534" s="25">
        <v>0.13639999999999999</v>
      </c>
      <c r="J534" s="23">
        <v>0.49</v>
      </c>
      <c r="K534" s="25">
        <v>0</v>
      </c>
      <c r="L534" s="2">
        <v>6</v>
      </c>
      <c r="M534" s="2">
        <v>171</v>
      </c>
      <c r="N534" s="2">
        <v>177</v>
      </c>
    </row>
    <row r="535" spans="1:14" x14ac:dyDescent="0.3">
      <c r="A535" s="2">
        <v>534</v>
      </c>
      <c r="B535" s="1">
        <v>40567</v>
      </c>
      <c r="C535" s="2">
        <v>1</v>
      </c>
      <c r="D535" s="2">
        <v>9</v>
      </c>
      <c r="E535" t="b">
        <v>0</v>
      </c>
      <c r="F535" s="2">
        <v>1</v>
      </c>
      <c r="G535" s="2">
        <v>1</v>
      </c>
      <c r="H535" s="23">
        <v>0.06</v>
      </c>
      <c r="I535" s="25">
        <v>0.1515</v>
      </c>
      <c r="J535" s="23">
        <v>0.41</v>
      </c>
      <c r="K535" s="25">
        <v>0</v>
      </c>
      <c r="L535" s="2">
        <v>4</v>
      </c>
      <c r="M535" s="2">
        <v>98</v>
      </c>
      <c r="N535" s="2">
        <v>102</v>
      </c>
    </row>
    <row r="536" spans="1:14" x14ac:dyDescent="0.3">
      <c r="A536" s="2">
        <v>535</v>
      </c>
      <c r="B536" s="1">
        <v>40567</v>
      </c>
      <c r="C536" s="2">
        <v>1</v>
      </c>
      <c r="D536" s="2">
        <v>10</v>
      </c>
      <c r="E536" t="b">
        <v>0</v>
      </c>
      <c r="F536" s="2">
        <v>1</v>
      </c>
      <c r="G536" s="2">
        <v>1</v>
      </c>
      <c r="H536" s="23">
        <v>0.1</v>
      </c>
      <c r="I536" s="25">
        <v>0.13639999999999999</v>
      </c>
      <c r="J536" s="23">
        <v>0.42</v>
      </c>
      <c r="K536" s="25">
        <v>0</v>
      </c>
      <c r="L536" s="2">
        <v>6</v>
      </c>
      <c r="M536" s="2">
        <v>34</v>
      </c>
      <c r="N536" s="2">
        <v>40</v>
      </c>
    </row>
    <row r="537" spans="1:14" x14ac:dyDescent="0.3">
      <c r="A537" s="2">
        <v>536</v>
      </c>
      <c r="B537" s="1">
        <v>40567</v>
      </c>
      <c r="C537" s="2">
        <v>1</v>
      </c>
      <c r="D537" s="2">
        <v>11</v>
      </c>
      <c r="E537" t="b">
        <v>0</v>
      </c>
      <c r="F537" s="2">
        <v>1</v>
      </c>
      <c r="G537" s="2">
        <v>1</v>
      </c>
      <c r="H537" s="23">
        <v>0.1</v>
      </c>
      <c r="I537" s="25">
        <v>0.1212</v>
      </c>
      <c r="J537" s="23">
        <v>0.46</v>
      </c>
      <c r="K537" s="25">
        <v>0.1343</v>
      </c>
      <c r="L537" s="2">
        <v>3</v>
      </c>
      <c r="M537" s="2">
        <v>43</v>
      </c>
      <c r="N537" s="2">
        <v>46</v>
      </c>
    </row>
    <row r="538" spans="1:14" x14ac:dyDescent="0.3">
      <c r="A538" s="2">
        <v>537</v>
      </c>
      <c r="B538" s="1">
        <v>40567</v>
      </c>
      <c r="C538" s="2">
        <v>1</v>
      </c>
      <c r="D538" s="2">
        <v>12</v>
      </c>
      <c r="E538" t="b">
        <v>0</v>
      </c>
      <c r="F538" s="2">
        <v>1</v>
      </c>
      <c r="G538" s="2">
        <v>2</v>
      </c>
      <c r="H538" s="23">
        <v>0.12</v>
      </c>
      <c r="I538" s="25">
        <v>0.13639999999999999</v>
      </c>
      <c r="J538" s="23">
        <v>0.42</v>
      </c>
      <c r="K538" s="25">
        <v>0.19400000000000001</v>
      </c>
      <c r="L538" s="2">
        <v>11</v>
      </c>
      <c r="M538" s="2">
        <v>52</v>
      </c>
      <c r="N538" s="2">
        <v>63</v>
      </c>
    </row>
    <row r="539" spans="1:14" x14ac:dyDescent="0.3">
      <c r="A539" s="2">
        <v>538</v>
      </c>
      <c r="B539" s="1">
        <v>40567</v>
      </c>
      <c r="C539" s="2">
        <v>1</v>
      </c>
      <c r="D539" s="2">
        <v>13</v>
      </c>
      <c r="E539" t="b">
        <v>0</v>
      </c>
      <c r="F539" s="2">
        <v>1</v>
      </c>
      <c r="G539" s="2">
        <v>2</v>
      </c>
      <c r="H539" s="23">
        <v>0.14000000000000001</v>
      </c>
      <c r="I539" s="25">
        <v>0.13639999999999999</v>
      </c>
      <c r="J539" s="23">
        <v>0.43</v>
      </c>
      <c r="K539" s="25">
        <v>0.22389999999999999</v>
      </c>
      <c r="L539" s="2">
        <v>6</v>
      </c>
      <c r="M539" s="2">
        <v>54</v>
      </c>
      <c r="N539" s="2">
        <v>60</v>
      </c>
    </row>
    <row r="540" spans="1:14" x14ac:dyDescent="0.3">
      <c r="A540" s="2">
        <v>539</v>
      </c>
      <c r="B540" s="1">
        <v>40567</v>
      </c>
      <c r="C540" s="2">
        <v>1</v>
      </c>
      <c r="D540" s="2">
        <v>14</v>
      </c>
      <c r="E540" t="b">
        <v>0</v>
      </c>
      <c r="F540" s="2">
        <v>1</v>
      </c>
      <c r="G540" s="2">
        <v>2</v>
      </c>
      <c r="H540" s="23">
        <v>0.14000000000000001</v>
      </c>
      <c r="I540" s="25">
        <v>0.13639999999999999</v>
      </c>
      <c r="J540" s="23">
        <v>0.46</v>
      </c>
      <c r="K540" s="25">
        <v>0.22389999999999999</v>
      </c>
      <c r="L540" s="2">
        <v>2</v>
      </c>
      <c r="M540" s="2">
        <v>43</v>
      </c>
      <c r="N540" s="2">
        <v>45</v>
      </c>
    </row>
    <row r="541" spans="1:14" x14ac:dyDescent="0.3">
      <c r="A541" s="2">
        <v>540</v>
      </c>
      <c r="B541" s="1">
        <v>40567</v>
      </c>
      <c r="C541" s="2">
        <v>1</v>
      </c>
      <c r="D541" s="2">
        <v>15</v>
      </c>
      <c r="E541" t="b">
        <v>0</v>
      </c>
      <c r="F541" s="2">
        <v>1</v>
      </c>
      <c r="G541" s="2">
        <v>1</v>
      </c>
      <c r="H541" s="23">
        <v>0.16</v>
      </c>
      <c r="I541" s="25">
        <v>0.16669999999999999</v>
      </c>
      <c r="J541" s="23">
        <v>0.4</v>
      </c>
      <c r="K541" s="25">
        <v>0.16420000000000001</v>
      </c>
      <c r="L541" s="2">
        <v>7</v>
      </c>
      <c r="M541" s="2">
        <v>50</v>
      </c>
      <c r="N541" s="2">
        <v>57</v>
      </c>
    </row>
    <row r="542" spans="1:14" x14ac:dyDescent="0.3">
      <c r="A542" s="2">
        <v>541</v>
      </c>
      <c r="B542" s="1">
        <v>40567</v>
      </c>
      <c r="C542" s="2">
        <v>1</v>
      </c>
      <c r="D542" s="2">
        <v>16</v>
      </c>
      <c r="E542" t="b">
        <v>0</v>
      </c>
      <c r="F542" s="2">
        <v>1</v>
      </c>
      <c r="G542" s="2">
        <v>1</v>
      </c>
      <c r="H542" s="23">
        <v>0.16</v>
      </c>
      <c r="I542" s="25">
        <v>0.1515</v>
      </c>
      <c r="J542" s="23">
        <v>0.47</v>
      </c>
      <c r="K542" s="25">
        <v>0.25369999999999998</v>
      </c>
      <c r="L542" s="2">
        <v>4</v>
      </c>
      <c r="M542" s="2">
        <v>66</v>
      </c>
      <c r="N542" s="2">
        <v>70</v>
      </c>
    </row>
    <row r="543" spans="1:14" x14ac:dyDescent="0.3">
      <c r="A543" s="2">
        <v>542</v>
      </c>
      <c r="B543" s="1">
        <v>40567</v>
      </c>
      <c r="C543" s="2">
        <v>1</v>
      </c>
      <c r="D543" s="2">
        <v>17</v>
      </c>
      <c r="E543" t="b">
        <v>0</v>
      </c>
      <c r="F543" s="2">
        <v>1</v>
      </c>
      <c r="G543" s="2">
        <v>1</v>
      </c>
      <c r="H543" s="23">
        <v>0.14000000000000001</v>
      </c>
      <c r="I543" s="25">
        <v>0.1212</v>
      </c>
      <c r="J543" s="23">
        <v>0.5</v>
      </c>
      <c r="K543" s="25">
        <v>0.25369999999999998</v>
      </c>
      <c r="L543" s="2">
        <v>6</v>
      </c>
      <c r="M543" s="2">
        <v>178</v>
      </c>
      <c r="N543" s="2">
        <v>184</v>
      </c>
    </row>
    <row r="544" spans="1:14" x14ac:dyDescent="0.3">
      <c r="A544" s="2">
        <v>543</v>
      </c>
      <c r="B544" s="1">
        <v>40567</v>
      </c>
      <c r="C544" s="2">
        <v>1</v>
      </c>
      <c r="D544" s="2">
        <v>18</v>
      </c>
      <c r="E544" t="b">
        <v>0</v>
      </c>
      <c r="F544" s="2">
        <v>1</v>
      </c>
      <c r="G544" s="2">
        <v>1</v>
      </c>
      <c r="H544" s="23">
        <v>0.14000000000000001</v>
      </c>
      <c r="I544" s="25">
        <v>0.13639999999999999</v>
      </c>
      <c r="J544" s="23">
        <v>0.59</v>
      </c>
      <c r="K544" s="25">
        <v>0.19400000000000001</v>
      </c>
      <c r="L544" s="2">
        <v>8</v>
      </c>
      <c r="M544" s="2">
        <v>145</v>
      </c>
      <c r="N544" s="2">
        <v>153</v>
      </c>
    </row>
    <row r="545" spans="1:14" x14ac:dyDescent="0.3">
      <c r="A545" s="2">
        <v>544</v>
      </c>
      <c r="B545" s="1">
        <v>40567</v>
      </c>
      <c r="C545" s="2">
        <v>1</v>
      </c>
      <c r="D545" s="2">
        <v>19</v>
      </c>
      <c r="E545" t="b">
        <v>0</v>
      </c>
      <c r="F545" s="2">
        <v>1</v>
      </c>
      <c r="G545" s="2">
        <v>1</v>
      </c>
      <c r="H545" s="23">
        <v>0.14000000000000001</v>
      </c>
      <c r="I545" s="25">
        <v>0.1515</v>
      </c>
      <c r="J545" s="23">
        <v>0.54</v>
      </c>
      <c r="K545" s="25">
        <v>0.16420000000000001</v>
      </c>
      <c r="L545" s="2">
        <v>5</v>
      </c>
      <c r="M545" s="2">
        <v>101</v>
      </c>
      <c r="N545" s="2">
        <v>106</v>
      </c>
    </row>
    <row r="546" spans="1:14" x14ac:dyDescent="0.3">
      <c r="A546" s="2">
        <v>545</v>
      </c>
      <c r="B546" s="1">
        <v>40567</v>
      </c>
      <c r="C546" s="2">
        <v>1</v>
      </c>
      <c r="D546" s="2">
        <v>20</v>
      </c>
      <c r="E546" t="b">
        <v>0</v>
      </c>
      <c r="F546" s="2">
        <v>1</v>
      </c>
      <c r="G546" s="2">
        <v>1</v>
      </c>
      <c r="H546" s="23">
        <v>0.14000000000000001</v>
      </c>
      <c r="I546" s="25">
        <v>0.13639999999999999</v>
      </c>
      <c r="J546" s="23">
        <v>0.59</v>
      </c>
      <c r="K546" s="25">
        <v>0.19400000000000001</v>
      </c>
      <c r="L546" s="2">
        <v>1</v>
      </c>
      <c r="M546" s="2">
        <v>80</v>
      </c>
      <c r="N546" s="2">
        <v>81</v>
      </c>
    </row>
    <row r="547" spans="1:14" x14ac:dyDescent="0.3">
      <c r="A547" s="2">
        <v>546</v>
      </c>
      <c r="B547" s="1">
        <v>40567</v>
      </c>
      <c r="C547" s="2">
        <v>1</v>
      </c>
      <c r="D547" s="2">
        <v>21</v>
      </c>
      <c r="E547" t="b">
        <v>0</v>
      </c>
      <c r="F547" s="2">
        <v>1</v>
      </c>
      <c r="G547" s="2">
        <v>1</v>
      </c>
      <c r="H547" s="23">
        <v>0.14000000000000001</v>
      </c>
      <c r="I547" s="25">
        <v>0.1515</v>
      </c>
      <c r="J547" s="23">
        <v>0.63</v>
      </c>
      <c r="K547" s="25">
        <v>0.16420000000000001</v>
      </c>
      <c r="L547" s="2">
        <v>6</v>
      </c>
      <c r="M547" s="2">
        <v>53</v>
      </c>
      <c r="N547" s="2">
        <v>59</v>
      </c>
    </row>
    <row r="548" spans="1:14" x14ac:dyDescent="0.3">
      <c r="A548" s="2">
        <v>547</v>
      </c>
      <c r="B548" s="1">
        <v>40567</v>
      </c>
      <c r="C548" s="2">
        <v>1</v>
      </c>
      <c r="D548" s="2">
        <v>22</v>
      </c>
      <c r="E548" t="b">
        <v>0</v>
      </c>
      <c r="F548" s="2">
        <v>1</v>
      </c>
      <c r="G548" s="2">
        <v>2</v>
      </c>
      <c r="H548" s="23">
        <v>0.14000000000000001</v>
      </c>
      <c r="I548" s="25">
        <v>0.13639999999999999</v>
      </c>
      <c r="J548" s="23">
        <v>0.63</v>
      </c>
      <c r="K548" s="25">
        <v>0.22389999999999999</v>
      </c>
      <c r="L548" s="2">
        <v>3</v>
      </c>
      <c r="M548" s="2">
        <v>32</v>
      </c>
      <c r="N548" s="2">
        <v>35</v>
      </c>
    </row>
    <row r="549" spans="1:14" x14ac:dyDescent="0.3">
      <c r="A549" s="2">
        <v>548</v>
      </c>
      <c r="B549" s="1">
        <v>40567</v>
      </c>
      <c r="C549" s="2">
        <v>1</v>
      </c>
      <c r="D549" s="2">
        <v>23</v>
      </c>
      <c r="E549" t="b">
        <v>0</v>
      </c>
      <c r="F549" s="2">
        <v>1</v>
      </c>
      <c r="G549" s="2">
        <v>2</v>
      </c>
      <c r="H549" s="23">
        <v>0.16</v>
      </c>
      <c r="I549" s="25">
        <v>0.1515</v>
      </c>
      <c r="J549" s="23">
        <v>0.64</v>
      </c>
      <c r="K549" s="25">
        <v>0.25369999999999998</v>
      </c>
      <c r="L549" s="2">
        <v>3</v>
      </c>
      <c r="M549" s="2">
        <v>21</v>
      </c>
      <c r="N549" s="2">
        <v>24</v>
      </c>
    </row>
    <row r="550" spans="1:14" x14ac:dyDescent="0.3">
      <c r="A550" s="2">
        <v>549</v>
      </c>
      <c r="B550" s="1">
        <v>40568</v>
      </c>
      <c r="C550" s="2">
        <v>1</v>
      </c>
      <c r="D550" s="2">
        <v>0</v>
      </c>
      <c r="E550" t="b">
        <v>0</v>
      </c>
      <c r="F550" s="2">
        <v>2</v>
      </c>
      <c r="G550" s="2">
        <v>2</v>
      </c>
      <c r="H550" s="23">
        <v>0.16</v>
      </c>
      <c r="I550" s="25">
        <v>0.13639999999999999</v>
      </c>
      <c r="J550" s="23">
        <v>0.69</v>
      </c>
      <c r="K550" s="25">
        <v>0.28360000000000002</v>
      </c>
      <c r="L550" s="2">
        <v>3</v>
      </c>
      <c r="M550" s="2">
        <v>6</v>
      </c>
      <c r="N550" s="2">
        <v>9</v>
      </c>
    </row>
    <row r="551" spans="1:14" x14ac:dyDescent="0.3">
      <c r="A551" s="2">
        <v>550</v>
      </c>
      <c r="B551" s="1">
        <v>40568</v>
      </c>
      <c r="C551" s="2">
        <v>1</v>
      </c>
      <c r="D551" s="2">
        <v>1</v>
      </c>
      <c r="E551" t="b">
        <v>0</v>
      </c>
      <c r="F551" s="2">
        <v>2</v>
      </c>
      <c r="G551" s="2">
        <v>2</v>
      </c>
      <c r="H551" s="23">
        <v>0.16</v>
      </c>
      <c r="I551" s="25">
        <v>0.16669999999999999</v>
      </c>
      <c r="J551" s="23">
        <v>0.69</v>
      </c>
      <c r="K551" s="25">
        <v>0.16420000000000001</v>
      </c>
      <c r="L551" s="2">
        <v>0</v>
      </c>
      <c r="M551" s="2">
        <v>5</v>
      </c>
      <c r="N551" s="2">
        <v>5</v>
      </c>
    </row>
    <row r="552" spans="1:14" x14ac:dyDescent="0.3">
      <c r="A552" s="2">
        <v>551</v>
      </c>
      <c r="B552" s="1">
        <v>40568</v>
      </c>
      <c r="C552" s="2">
        <v>1</v>
      </c>
      <c r="D552" s="2">
        <v>2</v>
      </c>
      <c r="E552" t="b">
        <v>0</v>
      </c>
      <c r="F552" s="2">
        <v>2</v>
      </c>
      <c r="G552" s="2">
        <v>1</v>
      </c>
      <c r="H552" s="23">
        <v>0.16</v>
      </c>
      <c r="I552" s="25">
        <v>0.1515</v>
      </c>
      <c r="J552" s="23">
        <v>0.69</v>
      </c>
      <c r="K552" s="25">
        <v>0.22389999999999999</v>
      </c>
      <c r="L552" s="2">
        <v>0</v>
      </c>
      <c r="M552" s="2">
        <v>2</v>
      </c>
      <c r="N552" s="2">
        <v>2</v>
      </c>
    </row>
    <row r="553" spans="1:14" x14ac:dyDescent="0.3">
      <c r="A553" s="2">
        <v>552</v>
      </c>
      <c r="B553" s="1">
        <v>40568</v>
      </c>
      <c r="C553" s="2">
        <v>1</v>
      </c>
      <c r="D553" s="2">
        <v>4</v>
      </c>
      <c r="E553" t="b">
        <v>0</v>
      </c>
      <c r="F553" s="2">
        <v>2</v>
      </c>
      <c r="G553" s="2">
        <v>1</v>
      </c>
      <c r="H553" s="23">
        <v>0.14000000000000001</v>
      </c>
      <c r="I553" s="25">
        <v>0.16669999999999999</v>
      </c>
      <c r="J553" s="23">
        <v>0.74</v>
      </c>
      <c r="K553" s="25">
        <v>0.1045</v>
      </c>
      <c r="L553" s="2">
        <v>0</v>
      </c>
      <c r="M553" s="2">
        <v>1</v>
      </c>
      <c r="N553" s="2">
        <v>1</v>
      </c>
    </row>
    <row r="554" spans="1:14" x14ac:dyDescent="0.3">
      <c r="A554" s="2">
        <v>553</v>
      </c>
      <c r="B554" s="1">
        <v>40568</v>
      </c>
      <c r="C554" s="2">
        <v>1</v>
      </c>
      <c r="D554" s="2">
        <v>5</v>
      </c>
      <c r="E554" t="b">
        <v>0</v>
      </c>
      <c r="F554" s="2">
        <v>2</v>
      </c>
      <c r="G554" s="2">
        <v>1</v>
      </c>
      <c r="H554" s="23">
        <v>0.14000000000000001</v>
      </c>
      <c r="I554" s="25">
        <v>0.13639999999999999</v>
      </c>
      <c r="J554" s="23">
        <v>0.74</v>
      </c>
      <c r="K554" s="25">
        <v>0.22389999999999999</v>
      </c>
      <c r="L554" s="2">
        <v>0</v>
      </c>
      <c r="M554" s="2">
        <v>9</v>
      </c>
      <c r="N554" s="2">
        <v>9</v>
      </c>
    </row>
    <row r="555" spans="1:14" x14ac:dyDescent="0.3">
      <c r="A555" s="2">
        <v>554</v>
      </c>
      <c r="B555" s="1">
        <v>40568</v>
      </c>
      <c r="C555" s="2">
        <v>1</v>
      </c>
      <c r="D555" s="2">
        <v>6</v>
      </c>
      <c r="E555" t="b">
        <v>0</v>
      </c>
      <c r="F555" s="2">
        <v>2</v>
      </c>
      <c r="G555" s="2">
        <v>1</v>
      </c>
      <c r="H555" s="23">
        <v>0.16</v>
      </c>
      <c r="I555" s="25">
        <v>0.18179999999999999</v>
      </c>
      <c r="J555" s="23">
        <v>0.74</v>
      </c>
      <c r="K555" s="25">
        <v>0.1045</v>
      </c>
      <c r="L555" s="2">
        <v>1</v>
      </c>
      <c r="M555" s="2">
        <v>35</v>
      </c>
      <c r="N555" s="2">
        <v>36</v>
      </c>
    </row>
    <row r="556" spans="1:14" x14ac:dyDescent="0.3">
      <c r="A556" s="2">
        <v>555</v>
      </c>
      <c r="B556" s="1">
        <v>40568</v>
      </c>
      <c r="C556" s="2">
        <v>1</v>
      </c>
      <c r="D556" s="2">
        <v>7</v>
      </c>
      <c r="E556" t="b">
        <v>0</v>
      </c>
      <c r="F556" s="2">
        <v>2</v>
      </c>
      <c r="G556" s="2">
        <v>1</v>
      </c>
      <c r="H556" s="23">
        <v>0.16</v>
      </c>
      <c r="I556" s="25">
        <v>0.1515</v>
      </c>
      <c r="J556" s="23">
        <v>0.74</v>
      </c>
      <c r="K556" s="25">
        <v>0.22389999999999999</v>
      </c>
      <c r="L556" s="2">
        <v>5</v>
      </c>
      <c r="M556" s="2">
        <v>103</v>
      </c>
      <c r="N556" s="2">
        <v>108</v>
      </c>
    </row>
    <row r="557" spans="1:14" x14ac:dyDescent="0.3">
      <c r="A557" s="2">
        <v>556</v>
      </c>
      <c r="B557" s="1">
        <v>40568</v>
      </c>
      <c r="C557" s="2">
        <v>1</v>
      </c>
      <c r="D557" s="2">
        <v>8</v>
      </c>
      <c r="E557" t="b">
        <v>0</v>
      </c>
      <c r="F557" s="2">
        <v>2</v>
      </c>
      <c r="G557" s="2">
        <v>2</v>
      </c>
      <c r="H557" s="23">
        <v>0.16</v>
      </c>
      <c r="I557" s="25">
        <v>0.18179999999999999</v>
      </c>
      <c r="J557" s="23">
        <v>0.74</v>
      </c>
      <c r="K557" s="25">
        <v>0.1343</v>
      </c>
      <c r="L557" s="2">
        <v>5</v>
      </c>
      <c r="M557" s="2">
        <v>233</v>
      </c>
      <c r="N557" s="2">
        <v>238</v>
      </c>
    </row>
    <row r="558" spans="1:14" x14ac:dyDescent="0.3">
      <c r="A558" s="2">
        <v>557</v>
      </c>
      <c r="B558" s="1">
        <v>40568</v>
      </c>
      <c r="C558" s="2">
        <v>1</v>
      </c>
      <c r="D558" s="2">
        <v>9</v>
      </c>
      <c r="E558" t="b">
        <v>0</v>
      </c>
      <c r="F558" s="2">
        <v>2</v>
      </c>
      <c r="G558" s="2">
        <v>2</v>
      </c>
      <c r="H558" s="23">
        <v>0.2</v>
      </c>
      <c r="I558" s="25">
        <v>0.2273</v>
      </c>
      <c r="J558" s="23">
        <v>0.64</v>
      </c>
      <c r="K558" s="25">
        <v>8.9599999999999999E-2</v>
      </c>
      <c r="L558" s="2">
        <v>10</v>
      </c>
      <c r="M558" s="2">
        <v>134</v>
      </c>
      <c r="N558" s="2">
        <v>144</v>
      </c>
    </row>
    <row r="559" spans="1:14" x14ac:dyDescent="0.3">
      <c r="A559" s="2">
        <v>558</v>
      </c>
      <c r="B559" s="1">
        <v>40568</v>
      </c>
      <c r="C559" s="2">
        <v>1</v>
      </c>
      <c r="D559" s="2">
        <v>10</v>
      </c>
      <c r="E559" t="b">
        <v>0</v>
      </c>
      <c r="F559" s="2">
        <v>2</v>
      </c>
      <c r="G559" s="2">
        <v>2</v>
      </c>
      <c r="H559" s="23">
        <v>0.22</v>
      </c>
      <c r="I559" s="25">
        <v>0.2424</v>
      </c>
      <c r="J559" s="23">
        <v>0.6</v>
      </c>
      <c r="K559" s="25">
        <v>0.1045</v>
      </c>
      <c r="L559" s="2">
        <v>6</v>
      </c>
      <c r="M559" s="2">
        <v>49</v>
      </c>
      <c r="N559" s="2">
        <v>55</v>
      </c>
    </row>
    <row r="560" spans="1:14" x14ac:dyDescent="0.3">
      <c r="A560" s="2">
        <v>559</v>
      </c>
      <c r="B560" s="1">
        <v>40568</v>
      </c>
      <c r="C560" s="2">
        <v>1</v>
      </c>
      <c r="D560" s="2">
        <v>11</v>
      </c>
      <c r="E560" t="b">
        <v>0</v>
      </c>
      <c r="F560" s="2">
        <v>2</v>
      </c>
      <c r="G560" s="2">
        <v>2</v>
      </c>
      <c r="H560" s="23">
        <v>0.24</v>
      </c>
      <c r="I560" s="25">
        <v>0.2424</v>
      </c>
      <c r="J560" s="23">
        <v>0.6</v>
      </c>
      <c r="K560" s="25">
        <v>0.1343</v>
      </c>
      <c r="L560" s="2">
        <v>6</v>
      </c>
      <c r="M560" s="2">
        <v>55</v>
      </c>
      <c r="N560" s="2">
        <v>61</v>
      </c>
    </row>
    <row r="561" spans="1:14" x14ac:dyDescent="0.3">
      <c r="A561" s="2">
        <v>560</v>
      </c>
      <c r="B561" s="1">
        <v>40568</v>
      </c>
      <c r="C561" s="2">
        <v>1</v>
      </c>
      <c r="D561" s="2">
        <v>12</v>
      </c>
      <c r="E561" t="b">
        <v>0</v>
      </c>
      <c r="F561" s="2">
        <v>2</v>
      </c>
      <c r="G561" s="2">
        <v>2</v>
      </c>
      <c r="H561" s="23">
        <v>0.26</v>
      </c>
      <c r="I561" s="25">
        <v>0.28789999999999999</v>
      </c>
      <c r="J561" s="23">
        <v>0.56000000000000005</v>
      </c>
      <c r="K561" s="25">
        <v>8.9599999999999999E-2</v>
      </c>
      <c r="L561" s="2">
        <v>21</v>
      </c>
      <c r="M561" s="2">
        <v>85</v>
      </c>
      <c r="N561" s="2">
        <v>106</v>
      </c>
    </row>
    <row r="562" spans="1:14" x14ac:dyDescent="0.3">
      <c r="A562" s="2">
        <v>561</v>
      </c>
      <c r="B562" s="1">
        <v>40568</v>
      </c>
      <c r="C562" s="2">
        <v>1</v>
      </c>
      <c r="D562" s="2">
        <v>13</v>
      </c>
      <c r="E562" t="b">
        <v>0</v>
      </c>
      <c r="F562" s="2">
        <v>2</v>
      </c>
      <c r="G562" s="2">
        <v>2</v>
      </c>
      <c r="H562" s="23">
        <v>0.26</v>
      </c>
      <c r="I562" s="25">
        <v>0.2727</v>
      </c>
      <c r="J562" s="23">
        <v>0.56000000000000005</v>
      </c>
      <c r="K562" s="25">
        <v>0.1343</v>
      </c>
      <c r="L562" s="2">
        <v>21</v>
      </c>
      <c r="M562" s="2">
        <v>72</v>
      </c>
      <c r="N562" s="2">
        <v>93</v>
      </c>
    </row>
    <row r="563" spans="1:14" x14ac:dyDescent="0.3">
      <c r="A563" s="2">
        <v>562</v>
      </c>
      <c r="B563" s="1">
        <v>40568</v>
      </c>
      <c r="C563" s="2">
        <v>1</v>
      </c>
      <c r="D563" s="2">
        <v>14</v>
      </c>
      <c r="E563" t="b">
        <v>0</v>
      </c>
      <c r="F563" s="2">
        <v>2</v>
      </c>
      <c r="G563" s="2">
        <v>2</v>
      </c>
      <c r="H563" s="23">
        <v>0.3</v>
      </c>
      <c r="I563" s="25">
        <v>0.33329999999999999</v>
      </c>
      <c r="J563" s="23">
        <v>0.45</v>
      </c>
      <c r="K563" s="25">
        <v>0</v>
      </c>
      <c r="L563" s="2">
        <v>11</v>
      </c>
      <c r="M563" s="2">
        <v>57</v>
      </c>
      <c r="N563" s="2">
        <v>68</v>
      </c>
    </row>
    <row r="564" spans="1:14" x14ac:dyDescent="0.3">
      <c r="A564" s="2">
        <v>563</v>
      </c>
      <c r="B564" s="1">
        <v>40568</v>
      </c>
      <c r="C564" s="2">
        <v>1</v>
      </c>
      <c r="D564" s="2">
        <v>15</v>
      </c>
      <c r="E564" t="b">
        <v>0</v>
      </c>
      <c r="F564" s="2">
        <v>2</v>
      </c>
      <c r="G564" s="2">
        <v>2</v>
      </c>
      <c r="H564" s="23">
        <v>0.32</v>
      </c>
      <c r="I564" s="25">
        <v>0.34849999999999998</v>
      </c>
      <c r="J564" s="23">
        <v>0.42</v>
      </c>
      <c r="K564" s="25">
        <v>0</v>
      </c>
      <c r="L564" s="2">
        <v>21</v>
      </c>
      <c r="M564" s="2">
        <v>63</v>
      </c>
      <c r="N564" s="2">
        <v>84</v>
      </c>
    </row>
    <row r="565" spans="1:14" x14ac:dyDescent="0.3">
      <c r="A565" s="2">
        <v>564</v>
      </c>
      <c r="B565" s="1">
        <v>40568</v>
      </c>
      <c r="C565" s="2">
        <v>1</v>
      </c>
      <c r="D565" s="2">
        <v>16</v>
      </c>
      <c r="E565" t="b">
        <v>0</v>
      </c>
      <c r="F565" s="2">
        <v>2</v>
      </c>
      <c r="G565" s="2">
        <v>2</v>
      </c>
      <c r="H565" s="23">
        <v>0.32</v>
      </c>
      <c r="I565" s="25">
        <v>0.34849999999999998</v>
      </c>
      <c r="J565" s="23">
        <v>0.42</v>
      </c>
      <c r="K565" s="25">
        <v>0</v>
      </c>
      <c r="L565" s="2">
        <v>14</v>
      </c>
      <c r="M565" s="2">
        <v>102</v>
      </c>
      <c r="N565" s="2">
        <v>116</v>
      </c>
    </row>
    <row r="566" spans="1:14" x14ac:dyDescent="0.3">
      <c r="A566" s="2">
        <v>565</v>
      </c>
      <c r="B566" s="1">
        <v>40568</v>
      </c>
      <c r="C566" s="2">
        <v>1</v>
      </c>
      <c r="D566" s="2">
        <v>17</v>
      </c>
      <c r="E566" t="b">
        <v>0</v>
      </c>
      <c r="F566" s="2">
        <v>2</v>
      </c>
      <c r="G566" s="2">
        <v>1</v>
      </c>
      <c r="H566" s="23">
        <v>0.3</v>
      </c>
      <c r="I566" s="25">
        <v>0.33329999999999999</v>
      </c>
      <c r="J566" s="23">
        <v>0.45</v>
      </c>
      <c r="K566" s="25">
        <v>0</v>
      </c>
      <c r="L566" s="2">
        <v>14</v>
      </c>
      <c r="M566" s="2">
        <v>208</v>
      </c>
      <c r="N566" s="2">
        <v>222</v>
      </c>
    </row>
    <row r="567" spans="1:14" x14ac:dyDescent="0.3">
      <c r="A567" s="2">
        <v>566</v>
      </c>
      <c r="B567" s="1">
        <v>40568</v>
      </c>
      <c r="C567" s="2">
        <v>1</v>
      </c>
      <c r="D567" s="2">
        <v>18</v>
      </c>
      <c r="E567" t="b">
        <v>0</v>
      </c>
      <c r="F567" s="2">
        <v>2</v>
      </c>
      <c r="G567" s="2">
        <v>2</v>
      </c>
      <c r="H567" s="23">
        <v>0.3</v>
      </c>
      <c r="I567" s="25">
        <v>0.31819999999999998</v>
      </c>
      <c r="J567" s="23">
        <v>0.49</v>
      </c>
      <c r="K567" s="25">
        <v>8.9599999999999999E-2</v>
      </c>
      <c r="L567" s="2">
        <v>7</v>
      </c>
      <c r="M567" s="2">
        <v>218</v>
      </c>
      <c r="N567" s="2">
        <v>225</v>
      </c>
    </row>
    <row r="568" spans="1:14" x14ac:dyDescent="0.3">
      <c r="A568" s="2">
        <v>567</v>
      </c>
      <c r="B568" s="1">
        <v>40568</v>
      </c>
      <c r="C568" s="2">
        <v>1</v>
      </c>
      <c r="D568" s="2">
        <v>19</v>
      </c>
      <c r="E568" t="b">
        <v>0</v>
      </c>
      <c r="F568" s="2">
        <v>2</v>
      </c>
      <c r="G568" s="2">
        <v>2</v>
      </c>
      <c r="H568" s="23">
        <v>0.26</v>
      </c>
      <c r="I568" s="25">
        <v>0.2576</v>
      </c>
      <c r="J568" s="23">
        <v>0.65</v>
      </c>
      <c r="K568" s="25">
        <v>0.16420000000000001</v>
      </c>
      <c r="L568" s="2">
        <v>13</v>
      </c>
      <c r="M568" s="2">
        <v>133</v>
      </c>
      <c r="N568" s="2">
        <v>146</v>
      </c>
    </row>
    <row r="569" spans="1:14" x14ac:dyDescent="0.3">
      <c r="A569" s="2">
        <v>568</v>
      </c>
      <c r="B569" s="1">
        <v>40568</v>
      </c>
      <c r="C569" s="2">
        <v>1</v>
      </c>
      <c r="D569" s="2">
        <v>20</v>
      </c>
      <c r="E569" t="b">
        <v>0</v>
      </c>
      <c r="F569" s="2">
        <v>2</v>
      </c>
      <c r="G569" s="2">
        <v>1</v>
      </c>
      <c r="H569" s="23">
        <v>0.24</v>
      </c>
      <c r="I569" s="25">
        <v>0.2273</v>
      </c>
      <c r="J569" s="23">
        <v>0.65</v>
      </c>
      <c r="K569" s="25">
        <v>0.19400000000000001</v>
      </c>
      <c r="L569" s="2">
        <v>16</v>
      </c>
      <c r="M569" s="2">
        <v>103</v>
      </c>
      <c r="N569" s="2">
        <v>119</v>
      </c>
    </row>
    <row r="570" spans="1:14" x14ac:dyDescent="0.3">
      <c r="A570" s="2">
        <v>569</v>
      </c>
      <c r="B570" s="1">
        <v>40568</v>
      </c>
      <c r="C570" s="2">
        <v>1</v>
      </c>
      <c r="D570" s="2">
        <v>21</v>
      </c>
      <c r="E570" t="b">
        <v>0</v>
      </c>
      <c r="F570" s="2">
        <v>2</v>
      </c>
      <c r="G570" s="2">
        <v>1</v>
      </c>
      <c r="H570" s="23">
        <v>0.24</v>
      </c>
      <c r="I570" s="25">
        <v>0.2273</v>
      </c>
      <c r="J570" s="23">
        <v>0.65</v>
      </c>
      <c r="K570" s="25">
        <v>0.19400000000000001</v>
      </c>
      <c r="L570" s="2">
        <v>5</v>
      </c>
      <c r="M570" s="2">
        <v>40</v>
      </c>
      <c r="N570" s="2">
        <v>45</v>
      </c>
    </row>
    <row r="571" spans="1:14" x14ac:dyDescent="0.3">
      <c r="A571" s="2">
        <v>570</v>
      </c>
      <c r="B571" s="1">
        <v>40568</v>
      </c>
      <c r="C571" s="2">
        <v>1</v>
      </c>
      <c r="D571" s="2">
        <v>22</v>
      </c>
      <c r="E571" t="b">
        <v>0</v>
      </c>
      <c r="F571" s="2">
        <v>2</v>
      </c>
      <c r="G571" s="2">
        <v>1</v>
      </c>
      <c r="H571" s="23">
        <v>0.22</v>
      </c>
      <c r="I571" s="25">
        <v>0.2273</v>
      </c>
      <c r="J571" s="23">
        <v>0.64</v>
      </c>
      <c r="K571" s="25">
        <v>0.16420000000000001</v>
      </c>
      <c r="L571" s="2">
        <v>4</v>
      </c>
      <c r="M571" s="2">
        <v>49</v>
      </c>
      <c r="N571" s="2">
        <v>53</v>
      </c>
    </row>
    <row r="572" spans="1:14" x14ac:dyDescent="0.3">
      <c r="A572" s="2">
        <v>571</v>
      </c>
      <c r="B572" s="1">
        <v>40568</v>
      </c>
      <c r="C572" s="2">
        <v>1</v>
      </c>
      <c r="D572" s="2">
        <v>23</v>
      </c>
      <c r="E572" t="b">
        <v>0</v>
      </c>
      <c r="F572" s="2">
        <v>2</v>
      </c>
      <c r="G572" s="2">
        <v>2</v>
      </c>
      <c r="H572" s="23">
        <v>0.22</v>
      </c>
      <c r="I572" s="25">
        <v>0.2273</v>
      </c>
      <c r="J572" s="23">
        <v>0.64</v>
      </c>
      <c r="K572" s="25">
        <v>0.16420000000000001</v>
      </c>
      <c r="L572" s="2">
        <v>3</v>
      </c>
      <c r="M572" s="2">
        <v>37</v>
      </c>
      <c r="N572" s="2">
        <v>40</v>
      </c>
    </row>
    <row r="573" spans="1:14" x14ac:dyDescent="0.3">
      <c r="A573" s="2">
        <v>572</v>
      </c>
      <c r="B573" s="1">
        <v>40569</v>
      </c>
      <c r="C573" s="2">
        <v>1</v>
      </c>
      <c r="D573" s="2">
        <v>0</v>
      </c>
      <c r="E573" t="b">
        <v>0</v>
      </c>
      <c r="F573" s="2">
        <v>3</v>
      </c>
      <c r="G573" s="2">
        <v>2</v>
      </c>
      <c r="H573" s="23">
        <v>0.22</v>
      </c>
      <c r="I573" s="25">
        <v>0.2273</v>
      </c>
      <c r="J573" s="23">
        <v>0.69</v>
      </c>
      <c r="K573" s="25">
        <v>0.1343</v>
      </c>
      <c r="L573" s="2">
        <v>3</v>
      </c>
      <c r="M573" s="2">
        <v>14</v>
      </c>
      <c r="N573" s="2">
        <v>17</v>
      </c>
    </row>
    <row r="574" spans="1:14" x14ac:dyDescent="0.3">
      <c r="A574" s="2">
        <v>573</v>
      </c>
      <c r="B574" s="1">
        <v>40569</v>
      </c>
      <c r="C574" s="2">
        <v>1</v>
      </c>
      <c r="D574" s="2">
        <v>1</v>
      </c>
      <c r="E574" t="b">
        <v>0</v>
      </c>
      <c r="F574" s="2">
        <v>3</v>
      </c>
      <c r="G574" s="2">
        <v>2</v>
      </c>
      <c r="H574" s="23">
        <v>0.24</v>
      </c>
      <c r="I574" s="25">
        <v>0.2424</v>
      </c>
      <c r="J574" s="23">
        <v>0.65</v>
      </c>
      <c r="K574" s="25">
        <v>0.1343</v>
      </c>
      <c r="L574" s="2">
        <v>0</v>
      </c>
      <c r="M574" s="2">
        <v>5</v>
      </c>
      <c r="N574" s="2">
        <v>5</v>
      </c>
    </row>
    <row r="575" spans="1:14" x14ac:dyDescent="0.3">
      <c r="A575" s="2">
        <v>574</v>
      </c>
      <c r="B575" s="1">
        <v>40569</v>
      </c>
      <c r="C575" s="2">
        <v>1</v>
      </c>
      <c r="D575" s="2">
        <v>2</v>
      </c>
      <c r="E575" t="b">
        <v>0</v>
      </c>
      <c r="F575" s="2">
        <v>3</v>
      </c>
      <c r="G575" s="2">
        <v>3</v>
      </c>
      <c r="H575" s="23">
        <v>0.22</v>
      </c>
      <c r="I575" s="25">
        <v>0.2273</v>
      </c>
      <c r="J575" s="23">
        <v>0.69</v>
      </c>
      <c r="K575" s="25">
        <v>0.19400000000000001</v>
      </c>
      <c r="L575" s="2">
        <v>3</v>
      </c>
      <c r="M575" s="2">
        <v>7</v>
      </c>
      <c r="N575" s="2">
        <v>10</v>
      </c>
    </row>
    <row r="576" spans="1:14" x14ac:dyDescent="0.3">
      <c r="A576" s="2">
        <v>575</v>
      </c>
      <c r="B576" s="1">
        <v>40569</v>
      </c>
      <c r="C576" s="2">
        <v>1</v>
      </c>
      <c r="D576" s="2">
        <v>5</v>
      </c>
      <c r="E576" t="b">
        <v>0</v>
      </c>
      <c r="F576" s="2">
        <v>3</v>
      </c>
      <c r="G576" s="2">
        <v>3</v>
      </c>
      <c r="H576" s="23">
        <v>0.2</v>
      </c>
      <c r="I576" s="25">
        <v>0.18179999999999999</v>
      </c>
      <c r="J576" s="23">
        <v>0.86</v>
      </c>
      <c r="K576" s="25">
        <v>0.28360000000000002</v>
      </c>
      <c r="L576" s="2">
        <v>0</v>
      </c>
      <c r="M576" s="2">
        <v>1</v>
      </c>
      <c r="N576" s="2">
        <v>1</v>
      </c>
    </row>
    <row r="577" spans="1:14" x14ac:dyDescent="0.3">
      <c r="A577" s="2">
        <v>576</v>
      </c>
      <c r="B577" s="1">
        <v>40569</v>
      </c>
      <c r="C577" s="2">
        <v>1</v>
      </c>
      <c r="D577" s="2">
        <v>6</v>
      </c>
      <c r="E577" t="b">
        <v>0</v>
      </c>
      <c r="F577" s="2">
        <v>3</v>
      </c>
      <c r="G577" s="2">
        <v>3</v>
      </c>
      <c r="H577" s="23">
        <v>0.2</v>
      </c>
      <c r="I577" s="25">
        <v>0.18179999999999999</v>
      </c>
      <c r="J577" s="23">
        <v>0.86</v>
      </c>
      <c r="K577" s="25">
        <v>0.28360000000000002</v>
      </c>
      <c r="L577" s="2">
        <v>0</v>
      </c>
      <c r="M577" s="2">
        <v>8</v>
      </c>
      <c r="N577" s="2">
        <v>8</v>
      </c>
    </row>
    <row r="578" spans="1:14" x14ac:dyDescent="0.3">
      <c r="A578" s="2">
        <v>577</v>
      </c>
      <c r="B578" s="1">
        <v>40569</v>
      </c>
      <c r="C578" s="2">
        <v>1</v>
      </c>
      <c r="D578" s="2">
        <v>7</v>
      </c>
      <c r="E578" t="b">
        <v>0</v>
      </c>
      <c r="F578" s="2">
        <v>3</v>
      </c>
      <c r="G578" s="2">
        <v>3</v>
      </c>
      <c r="H578" s="23">
        <v>0.22</v>
      </c>
      <c r="I578" s="25">
        <v>0.21210000000000001</v>
      </c>
      <c r="J578" s="23">
        <v>0.87</v>
      </c>
      <c r="K578" s="25">
        <v>0.29849999999999999</v>
      </c>
      <c r="L578" s="2">
        <v>1</v>
      </c>
      <c r="M578" s="2">
        <v>29</v>
      </c>
      <c r="N578" s="2">
        <v>30</v>
      </c>
    </row>
    <row r="579" spans="1:14" x14ac:dyDescent="0.3">
      <c r="A579" s="2">
        <v>578</v>
      </c>
      <c r="B579" s="1">
        <v>40569</v>
      </c>
      <c r="C579" s="2">
        <v>1</v>
      </c>
      <c r="D579" s="2">
        <v>8</v>
      </c>
      <c r="E579" t="b">
        <v>0</v>
      </c>
      <c r="F579" s="2">
        <v>3</v>
      </c>
      <c r="G579" s="2">
        <v>3</v>
      </c>
      <c r="H579" s="23">
        <v>0.22</v>
      </c>
      <c r="I579" s="25">
        <v>0.21210000000000001</v>
      </c>
      <c r="J579" s="23">
        <v>0.87</v>
      </c>
      <c r="K579" s="25">
        <v>0.29849999999999999</v>
      </c>
      <c r="L579" s="2">
        <v>3</v>
      </c>
      <c r="M579" s="2">
        <v>69</v>
      </c>
      <c r="N579" s="2">
        <v>72</v>
      </c>
    </row>
    <row r="580" spans="1:14" x14ac:dyDescent="0.3">
      <c r="A580" s="2">
        <v>579</v>
      </c>
      <c r="B580" s="1">
        <v>40569</v>
      </c>
      <c r="C580" s="2">
        <v>1</v>
      </c>
      <c r="D580" s="2">
        <v>9</v>
      </c>
      <c r="E580" t="b">
        <v>0</v>
      </c>
      <c r="F580" s="2">
        <v>3</v>
      </c>
      <c r="G580" s="2">
        <v>3</v>
      </c>
      <c r="H580" s="23">
        <v>0.22</v>
      </c>
      <c r="I580" s="25">
        <v>0.21210000000000001</v>
      </c>
      <c r="J580" s="23">
        <v>0.87</v>
      </c>
      <c r="K580" s="25">
        <v>0.29849999999999999</v>
      </c>
      <c r="L580" s="2">
        <v>3</v>
      </c>
      <c r="M580" s="2">
        <v>55</v>
      </c>
      <c r="N580" s="2">
        <v>58</v>
      </c>
    </row>
    <row r="581" spans="1:14" x14ac:dyDescent="0.3">
      <c r="A581" s="2">
        <v>580</v>
      </c>
      <c r="B581" s="1">
        <v>40569</v>
      </c>
      <c r="C581" s="2">
        <v>1</v>
      </c>
      <c r="D581" s="2">
        <v>10</v>
      </c>
      <c r="E581" t="b">
        <v>0</v>
      </c>
      <c r="F581" s="2">
        <v>3</v>
      </c>
      <c r="G581" s="2">
        <v>3</v>
      </c>
      <c r="H581" s="23">
        <v>0.22</v>
      </c>
      <c r="I581" s="25">
        <v>0.21210000000000001</v>
      </c>
      <c r="J581" s="23">
        <v>0.93</v>
      </c>
      <c r="K581" s="25">
        <v>0.28360000000000002</v>
      </c>
      <c r="L581" s="2">
        <v>2</v>
      </c>
      <c r="M581" s="2">
        <v>26</v>
      </c>
      <c r="N581" s="2">
        <v>28</v>
      </c>
    </row>
    <row r="582" spans="1:14" x14ac:dyDescent="0.3">
      <c r="A582" s="2">
        <v>581</v>
      </c>
      <c r="B582" s="1">
        <v>40569</v>
      </c>
      <c r="C582" s="2">
        <v>1</v>
      </c>
      <c r="D582" s="2">
        <v>11</v>
      </c>
      <c r="E582" t="b">
        <v>0</v>
      </c>
      <c r="F582" s="2">
        <v>3</v>
      </c>
      <c r="G582" s="2">
        <v>3</v>
      </c>
      <c r="H582" s="23">
        <v>0.22</v>
      </c>
      <c r="I582" s="25">
        <v>0.19700000000000001</v>
      </c>
      <c r="J582" s="23">
        <v>0.93</v>
      </c>
      <c r="K582" s="25">
        <v>0.32840000000000003</v>
      </c>
      <c r="L582" s="2">
        <v>6</v>
      </c>
      <c r="M582" s="2">
        <v>35</v>
      </c>
      <c r="N582" s="2">
        <v>41</v>
      </c>
    </row>
    <row r="583" spans="1:14" x14ac:dyDescent="0.3">
      <c r="A583" s="2">
        <v>582</v>
      </c>
      <c r="B583" s="1">
        <v>40569</v>
      </c>
      <c r="C583" s="2">
        <v>1</v>
      </c>
      <c r="D583" s="2">
        <v>12</v>
      </c>
      <c r="E583" t="b">
        <v>0</v>
      </c>
      <c r="F583" s="2">
        <v>3</v>
      </c>
      <c r="G583" s="2">
        <v>3</v>
      </c>
      <c r="H583" s="23">
        <v>0.22</v>
      </c>
      <c r="I583" s="25">
        <v>0.19700000000000001</v>
      </c>
      <c r="J583" s="23">
        <v>0.93</v>
      </c>
      <c r="K583" s="25">
        <v>0.32840000000000003</v>
      </c>
      <c r="L583" s="2">
        <v>7</v>
      </c>
      <c r="M583" s="2">
        <v>41</v>
      </c>
      <c r="N583" s="2">
        <v>48</v>
      </c>
    </row>
    <row r="584" spans="1:14" x14ac:dyDescent="0.3">
      <c r="A584" s="2">
        <v>583</v>
      </c>
      <c r="B584" s="1">
        <v>40569</v>
      </c>
      <c r="C584" s="2">
        <v>1</v>
      </c>
      <c r="D584" s="2">
        <v>13</v>
      </c>
      <c r="E584" t="b">
        <v>0</v>
      </c>
      <c r="F584" s="2">
        <v>3</v>
      </c>
      <c r="G584" s="2">
        <v>3</v>
      </c>
      <c r="H584" s="23">
        <v>0.22</v>
      </c>
      <c r="I584" s="25">
        <v>0.19700000000000001</v>
      </c>
      <c r="J584" s="23">
        <v>0.93</v>
      </c>
      <c r="K584" s="25">
        <v>0.32840000000000003</v>
      </c>
      <c r="L584" s="2">
        <v>4</v>
      </c>
      <c r="M584" s="2">
        <v>43</v>
      </c>
      <c r="N584" s="2">
        <v>47</v>
      </c>
    </row>
    <row r="585" spans="1:14" x14ac:dyDescent="0.3">
      <c r="A585" s="2">
        <v>584</v>
      </c>
      <c r="B585" s="1">
        <v>40569</v>
      </c>
      <c r="C585" s="2">
        <v>1</v>
      </c>
      <c r="D585" s="2">
        <v>14</v>
      </c>
      <c r="E585" t="b">
        <v>0</v>
      </c>
      <c r="F585" s="2">
        <v>3</v>
      </c>
      <c r="G585" s="2">
        <v>3</v>
      </c>
      <c r="H585" s="23">
        <v>0.22</v>
      </c>
      <c r="I585" s="25">
        <v>0.19700000000000001</v>
      </c>
      <c r="J585" s="23">
        <v>0.93</v>
      </c>
      <c r="K585" s="25">
        <v>0.35820000000000002</v>
      </c>
      <c r="L585" s="2">
        <v>0</v>
      </c>
      <c r="M585" s="2">
        <v>36</v>
      </c>
      <c r="N585" s="2">
        <v>36</v>
      </c>
    </row>
    <row r="586" spans="1:14" x14ac:dyDescent="0.3">
      <c r="A586" s="2">
        <v>585</v>
      </c>
      <c r="B586" s="1">
        <v>40569</v>
      </c>
      <c r="C586" s="2">
        <v>1</v>
      </c>
      <c r="D586" s="2">
        <v>15</v>
      </c>
      <c r="E586" t="b">
        <v>0</v>
      </c>
      <c r="F586" s="2">
        <v>3</v>
      </c>
      <c r="G586" s="2">
        <v>3</v>
      </c>
      <c r="H586" s="23">
        <v>0.22</v>
      </c>
      <c r="I586" s="25">
        <v>0.18179999999999999</v>
      </c>
      <c r="J586" s="23">
        <v>0.93</v>
      </c>
      <c r="K586" s="25">
        <v>0.4627</v>
      </c>
      <c r="L586" s="2">
        <v>1</v>
      </c>
      <c r="M586" s="2">
        <v>42</v>
      </c>
      <c r="N586" s="2">
        <v>43</v>
      </c>
    </row>
    <row r="587" spans="1:14" x14ac:dyDescent="0.3">
      <c r="A587" s="2">
        <v>586</v>
      </c>
      <c r="B587" s="1">
        <v>40569</v>
      </c>
      <c r="C587" s="2">
        <v>1</v>
      </c>
      <c r="D587" s="2">
        <v>16</v>
      </c>
      <c r="E587" t="b">
        <v>0</v>
      </c>
      <c r="F587" s="2">
        <v>3</v>
      </c>
      <c r="G587" s="2">
        <v>4</v>
      </c>
      <c r="H587" s="23">
        <v>0.22</v>
      </c>
      <c r="I587" s="25">
        <v>0.19700000000000001</v>
      </c>
      <c r="J587" s="23">
        <v>0.93</v>
      </c>
      <c r="K587" s="25">
        <v>0.32840000000000003</v>
      </c>
      <c r="L587" s="2">
        <v>1</v>
      </c>
      <c r="M587" s="2">
        <v>35</v>
      </c>
      <c r="N587" s="2">
        <v>36</v>
      </c>
    </row>
    <row r="588" spans="1:14" x14ac:dyDescent="0.3">
      <c r="A588" s="2">
        <v>587</v>
      </c>
      <c r="B588" s="1">
        <v>40569</v>
      </c>
      <c r="C588" s="2">
        <v>1</v>
      </c>
      <c r="D588" s="2">
        <v>17</v>
      </c>
      <c r="E588" t="b">
        <v>0</v>
      </c>
      <c r="F588" s="2">
        <v>3</v>
      </c>
      <c r="G588" s="2">
        <v>3</v>
      </c>
      <c r="H588" s="23">
        <v>0.2</v>
      </c>
      <c r="I588" s="25">
        <v>0.18179999999999999</v>
      </c>
      <c r="J588" s="23">
        <v>0.93</v>
      </c>
      <c r="K588" s="25">
        <v>0.35820000000000002</v>
      </c>
      <c r="L588" s="2">
        <v>0</v>
      </c>
      <c r="M588" s="2">
        <v>26</v>
      </c>
      <c r="N588" s="2">
        <v>26</v>
      </c>
    </row>
    <row r="589" spans="1:14" x14ac:dyDescent="0.3">
      <c r="A589" s="2">
        <v>588</v>
      </c>
      <c r="B589" s="1">
        <v>40570</v>
      </c>
      <c r="C589" s="2">
        <v>1</v>
      </c>
      <c r="D589" s="2">
        <v>16</v>
      </c>
      <c r="E589" t="b">
        <v>0</v>
      </c>
      <c r="F589" s="2">
        <v>4</v>
      </c>
      <c r="G589" s="2">
        <v>1</v>
      </c>
      <c r="H589" s="23">
        <v>0.22</v>
      </c>
      <c r="I589" s="25">
        <v>0.2273</v>
      </c>
      <c r="J589" s="23">
        <v>0.55000000000000004</v>
      </c>
      <c r="K589" s="25">
        <v>0.19400000000000001</v>
      </c>
      <c r="L589" s="2">
        <v>1</v>
      </c>
      <c r="M589" s="2">
        <v>23</v>
      </c>
      <c r="N589" s="2">
        <v>24</v>
      </c>
    </row>
    <row r="590" spans="1:14" x14ac:dyDescent="0.3">
      <c r="A590" s="2">
        <v>589</v>
      </c>
      <c r="B590" s="1">
        <v>40570</v>
      </c>
      <c r="C590" s="2">
        <v>1</v>
      </c>
      <c r="D590" s="2">
        <v>17</v>
      </c>
      <c r="E590" t="b">
        <v>0</v>
      </c>
      <c r="F590" s="2">
        <v>4</v>
      </c>
      <c r="G590" s="2">
        <v>1</v>
      </c>
      <c r="H590" s="23">
        <v>0.22</v>
      </c>
      <c r="I590" s="25">
        <v>0.2424</v>
      </c>
      <c r="J590" s="23">
        <v>0.55000000000000004</v>
      </c>
      <c r="K590" s="25">
        <v>0.1045</v>
      </c>
      <c r="L590" s="2">
        <v>2</v>
      </c>
      <c r="M590" s="2">
        <v>82</v>
      </c>
      <c r="N590" s="2">
        <v>84</v>
      </c>
    </row>
    <row r="591" spans="1:14" x14ac:dyDescent="0.3">
      <c r="A591" s="2">
        <v>590</v>
      </c>
      <c r="B591" s="1">
        <v>40570</v>
      </c>
      <c r="C591" s="2">
        <v>1</v>
      </c>
      <c r="D591" s="2">
        <v>18</v>
      </c>
      <c r="E591" t="b">
        <v>0</v>
      </c>
      <c r="F591" s="2">
        <v>4</v>
      </c>
      <c r="G591" s="2">
        <v>1</v>
      </c>
      <c r="H591" s="23">
        <v>0.2</v>
      </c>
      <c r="I591" s="25">
        <v>0.2273</v>
      </c>
      <c r="J591" s="23">
        <v>0.69</v>
      </c>
      <c r="K591" s="25">
        <v>8.9599999999999999E-2</v>
      </c>
      <c r="L591" s="2">
        <v>3</v>
      </c>
      <c r="M591" s="2">
        <v>101</v>
      </c>
      <c r="N591" s="2">
        <v>104</v>
      </c>
    </row>
    <row r="592" spans="1:14" x14ac:dyDescent="0.3">
      <c r="A592" s="2">
        <v>591</v>
      </c>
      <c r="B592" s="1">
        <v>40570</v>
      </c>
      <c r="C592" s="2">
        <v>1</v>
      </c>
      <c r="D592" s="2">
        <v>19</v>
      </c>
      <c r="E592" t="b">
        <v>0</v>
      </c>
      <c r="F592" s="2">
        <v>4</v>
      </c>
      <c r="G592" s="2">
        <v>1</v>
      </c>
      <c r="H592" s="23">
        <v>0.2</v>
      </c>
      <c r="I592" s="25">
        <v>0.2273</v>
      </c>
      <c r="J592" s="23">
        <v>0.69</v>
      </c>
      <c r="K592" s="25">
        <v>8.9599999999999999E-2</v>
      </c>
      <c r="L592" s="2">
        <v>3</v>
      </c>
      <c r="M592" s="2">
        <v>76</v>
      </c>
      <c r="N592" s="2">
        <v>79</v>
      </c>
    </row>
    <row r="593" spans="1:14" x14ac:dyDescent="0.3">
      <c r="A593" s="2">
        <v>592</v>
      </c>
      <c r="B593" s="1">
        <v>40570</v>
      </c>
      <c r="C593" s="2">
        <v>1</v>
      </c>
      <c r="D593" s="2">
        <v>20</v>
      </c>
      <c r="E593" t="b">
        <v>0</v>
      </c>
      <c r="F593" s="2">
        <v>4</v>
      </c>
      <c r="G593" s="2">
        <v>1</v>
      </c>
      <c r="H593" s="23">
        <v>0.18</v>
      </c>
      <c r="I593" s="25">
        <v>0.21210000000000001</v>
      </c>
      <c r="J593" s="23">
        <v>0.74</v>
      </c>
      <c r="K593" s="25">
        <v>8.9599999999999999E-2</v>
      </c>
      <c r="L593" s="2">
        <v>4</v>
      </c>
      <c r="M593" s="2">
        <v>55</v>
      </c>
      <c r="N593" s="2">
        <v>59</v>
      </c>
    </row>
    <row r="594" spans="1:14" x14ac:dyDescent="0.3">
      <c r="A594" s="2">
        <v>593</v>
      </c>
      <c r="B594" s="1">
        <v>40570</v>
      </c>
      <c r="C594" s="2">
        <v>1</v>
      </c>
      <c r="D594" s="2">
        <v>21</v>
      </c>
      <c r="E594" t="b">
        <v>0</v>
      </c>
      <c r="F594" s="2">
        <v>4</v>
      </c>
      <c r="G594" s="2">
        <v>1</v>
      </c>
      <c r="H594" s="23">
        <v>0.18</v>
      </c>
      <c r="I594" s="25">
        <v>0.21210000000000001</v>
      </c>
      <c r="J594" s="23">
        <v>0.74</v>
      </c>
      <c r="K594" s="25">
        <v>8.9599999999999999E-2</v>
      </c>
      <c r="L594" s="2">
        <v>2</v>
      </c>
      <c r="M594" s="2">
        <v>36</v>
      </c>
      <c r="N594" s="2">
        <v>38</v>
      </c>
    </row>
    <row r="595" spans="1:14" x14ac:dyDescent="0.3">
      <c r="A595" s="2">
        <v>594</v>
      </c>
      <c r="B595" s="1">
        <v>40570</v>
      </c>
      <c r="C595" s="2">
        <v>1</v>
      </c>
      <c r="D595" s="2">
        <v>22</v>
      </c>
      <c r="E595" t="b">
        <v>0</v>
      </c>
      <c r="F595" s="2">
        <v>4</v>
      </c>
      <c r="G595" s="2">
        <v>1</v>
      </c>
      <c r="H595" s="23">
        <v>0.18</v>
      </c>
      <c r="I595" s="25">
        <v>0.21210000000000001</v>
      </c>
      <c r="J595" s="23">
        <v>0.74</v>
      </c>
      <c r="K595" s="25">
        <v>8.9599999999999999E-2</v>
      </c>
      <c r="L595" s="2">
        <v>0</v>
      </c>
      <c r="M595" s="2">
        <v>27</v>
      </c>
      <c r="N595" s="2">
        <v>27</v>
      </c>
    </row>
    <row r="596" spans="1:14" x14ac:dyDescent="0.3">
      <c r="A596" s="2">
        <v>595</v>
      </c>
      <c r="B596" s="1">
        <v>40570</v>
      </c>
      <c r="C596" s="2">
        <v>1</v>
      </c>
      <c r="D596" s="2">
        <v>23</v>
      </c>
      <c r="E596" t="b">
        <v>0</v>
      </c>
      <c r="F596" s="2">
        <v>4</v>
      </c>
      <c r="G596" s="2">
        <v>1</v>
      </c>
      <c r="H596" s="23">
        <v>0.18</v>
      </c>
      <c r="I596" s="25">
        <v>0.19700000000000001</v>
      </c>
      <c r="J596" s="23">
        <v>0.8</v>
      </c>
      <c r="K596" s="25">
        <v>0.16420000000000001</v>
      </c>
      <c r="L596" s="2">
        <v>0</v>
      </c>
      <c r="M596" s="2">
        <v>16</v>
      </c>
      <c r="N596" s="2">
        <v>16</v>
      </c>
    </row>
    <row r="597" spans="1:14" x14ac:dyDescent="0.3">
      <c r="A597" s="2">
        <v>596</v>
      </c>
      <c r="B597" s="1">
        <v>40571</v>
      </c>
      <c r="C597" s="2">
        <v>1</v>
      </c>
      <c r="D597" s="2">
        <v>0</v>
      </c>
      <c r="E597" t="b">
        <v>0</v>
      </c>
      <c r="F597" s="2">
        <v>5</v>
      </c>
      <c r="G597" s="2">
        <v>2</v>
      </c>
      <c r="H597" s="23">
        <v>0.2</v>
      </c>
      <c r="I597" s="25">
        <v>0.21210000000000001</v>
      </c>
      <c r="J597" s="23">
        <v>0.75</v>
      </c>
      <c r="K597" s="25">
        <v>0.1343</v>
      </c>
      <c r="L597" s="2">
        <v>0</v>
      </c>
      <c r="M597" s="2">
        <v>9</v>
      </c>
      <c r="N597" s="2">
        <v>9</v>
      </c>
    </row>
    <row r="598" spans="1:14" x14ac:dyDescent="0.3">
      <c r="A598" s="2">
        <v>597</v>
      </c>
      <c r="B598" s="1">
        <v>40571</v>
      </c>
      <c r="C598" s="2">
        <v>1</v>
      </c>
      <c r="D598" s="2">
        <v>1</v>
      </c>
      <c r="E598" t="b">
        <v>0</v>
      </c>
      <c r="F598" s="2">
        <v>5</v>
      </c>
      <c r="G598" s="2">
        <v>2</v>
      </c>
      <c r="H598" s="23">
        <v>0.2</v>
      </c>
      <c r="I598" s="25">
        <v>0.21210000000000001</v>
      </c>
      <c r="J598" s="23">
        <v>0.75</v>
      </c>
      <c r="K598" s="25">
        <v>0.1343</v>
      </c>
      <c r="L598" s="2">
        <v>1</v>
      </c>
      <c r="M598" s="2">
        <v>2</v>
      </c>
      <c r="N598" s="2">
        <v>3</v>
      </c>
    </row>
    <row r="599" spans="1:14" x14ac:dyDescent="0.3">
      <c r="A599" s="2">
        <v>598</v>
      </c>
      <c r="B599" s="1">
        <v>40571</v>
      </c>
      <c r="C599" s="2">
        <v>1</v>
      </c>
      <c r="D599" s="2">
        <v>2</v>
      </c>
      <c r="E599" t="b">
        <v>0</v>
      </c>
      <c r="F599" s="2">
        <v>5</v>
      </c>
      <c r="G599" s="2">
        <v>2</v>
      </c>
      <c r="H599" s="23">
        <v>0.2</v>
      </c>
      <c r="I599" s="25">
        <v>0.21210000000000001</v>
      </c>
      <c r="J599" s="23">
        <v>0.75</v>
      </c>
      <c r="K599" s="25">
        <v>0.16420000000000001</v>
      </c>
      <c r="L599" s="2">
        <v>0</v>
      </c>
      <c r="M599" s="2">
        <v>2</v>
      </c>
      <c r="N599" s="2">
        <v>2</v>
      </c>
    </row>
    <row r="600" spans="1:14" x14ac:dyDescent="0.3">
      <c r="A600" s="2">
        <v>599</v>
      </c>
      <c r="B600" s="1">
        <v>40571</v>
      </c>
      <c r="C600" s="2">
        <v>1</v>
      </c>
      <c r="D600" s="2">
        <v>3</v>
      </c>
      <c r="E600" t="b">
        <v>0</v>
      </c>
      <c r="F600" s="2">
        <v>5</v>
      </c>
      <c r="G600" s="2">
        <v>2</v>
      </c>
      <c r="H600" s="23">
        <v>0.2</v>
      </c>
      <c r="I600" s="25">
        <v>0.2273</v>
      </c>
      <c r="J600" s="23">
        <v>0.75</v>
      </c>
      <c r="K600" s="25">
        <v>0.1045</v>
      </c>
      <c r="L600" s="2">
        <v>1</v>
      </c>
      <c r="M600" s="2">
        <v>0</v>
      </c>
      <c r="N600" s="2">
        <v>1</v>
      </c>
    </row>
    <row r="601" spans="1:14" x14ac:dyDescent="0.3">
      <c r="A601" s="2">
        <v>600</v>
      </c>
      <c r="B601" s="1">
        <v>40571</v>
      </c>
      <c r="C601" s="2">
        <v>1</v>
      </c>
      <c r="D601" s="2">
        <v>5</v>
      </c>
      <c r="E601" t="b">
        <v>0</v>
      </c>
      <c r="F601" s="2">
        <v>5</v>
      </c>
      <c r="G601" s="2">
        <v>2</v>
      </c>
      <c r="H601" s="23">
        <v>0.18</v>
      </c>
      <c r="I601" s="25">
        <v>0.21210000000000001</v>
      </c>
      <c r="J601" s="23">
        <v>0.8</v>
      </c>
      <c r="K601" s="25">
        <v>0.1045</v>
      </c>
      <c r="L601" s="2">
        <v>0</v>
      </c>
      <c r="M601" s="2">
        <v>4</v>
      </c>
      <c r="N601" s="2">
        <v>4</v>
      </c>
    </row>
    <row r="602" spans="1:14" x14ac:dyDescent="0.3">
      <c r="A602" s="2">
        <v>601</v>
      </c>
      <c r="B602" s="1">
        <v>40571</v>
      </c>
      <c r="C602" s="2">
        <v>1</v>
      </c>
      <c r="D602" s="2">
        <v>6</v>
      </c>
      <c r="E602" t="b">
        <v>0</v>
      </c>
      <c r="F602" s="2">
        <v>5</v>
      </c>
      <c r="G602" s="2">
        <v>2</v>
      </c>
      <c r="H602" s="23">
        <v>0.18</v>
      </c>
      <c r="I602" s="25">
        <v>0.19700000000000001</v>
      </c>
      <c r="J602" s="23">
        <v>0.8</v>
      </c>
      <c r="K602" s="25">
        <v>0.1343</v>
      </c>
      <c r="L602" s="2">
        <v>0</v>
      </c>
      <c r="M602" s="2">
        <v>16</v>
      </c>
      <c r="N602" s="2">
        <v>16</v>
      </c>
    </row>
    <row r="603" spans="1:14" x14ac:dyDescent="0.3">
      <c r="A603" s="2">
        <v>602</v>
      </c>
      <c r="B603" s="1">
        <v>40571</v>
      </c>
      <c r="C603" s="2">
        <v>1</v>
      </c>
      <c r="D603" s="2">
        <v>7</v>
      </c>
      <c r="E603" t="b">
        <v>0</v>
      </c>
      <c r="F603" s="2">
        <v>5</v>
      </c>
      <c r="G603" s="2">
        <v>2</v>
      </c>
      <c r="H603" s="23">
        <v>0.16</v>
      </c>
      <c r="I603" s="25">
        <v>0.19700000000000001</v>
      </c>
      <c r="J603" s="23">
        <v>0.86</v>
      </c>
      <c r="K603" s="25">
        <v>8.9599999999999999E-2</v>
      </c>
      <c r="L603" s="2">
        <v>2</v>
      </c>
      <c r="M603" s="2">
        <v>58</v>
      </c>
      <c r="N603" s="2">
        <v>60</v>
      </c>
    </row>
    <row r="604" spans="1:14" x14ac:dyDescent="0.3">
      <c r="A604" s="2">
        <v>603</v>
      </c>
      <c r="B604" s="1">
        <v>40571</v>
      </c>
      <c r="C604" s="2">
        <v>1</v>
      </c>
      <c r="D604" s="2">
        <v>8</v>
      </c>
      <c r="E604" t="b">
        <v>0</v>
      </c>
      <c r="F604" s="2">
        <v>5</v>
      </c>
      <c r="G604" s="2">
        <v>2</v>
      </c>
      <c r="H604" s="23">
        <v>0.16</v>
      </c>
      <c r="I604" s="25">
        <v>0.19700000000000001</v>
      </c>
      <c r="J604" s="23">
        <v>0.86</v>
      </c>
      <c r="K604" s="25">
        <v>8.9599999999999999E-2</v>
      </c>
      <c r="L604" s="2">
        <v>2</v>
      </c>
      <c r="M604" s="2">
        <v>155</v>
      </c>
      <c r="N604" s="2">
        <v>157</v>
      </c>
    </row>
    <row r="605" spans="1:14" x14ac:dyDescent="0.3">
      <c r="A605" s="2">
        <v>604</v>
      </c>
      <c r="B605" s="1">
        <v>40571</v>
      </c>
      <c r="C605" s="2">
        <v>1</v>
      </c>
      <c r="D605" s="2">
        <v>9</v>
      </c>
      <c r="E605" t="b">
        <v>0</v>
      </c>
      <c r="F605" s="2">
        <v>5</v>
      </c>
      <c r="G605" s="2">
        <v>3</v>
      </c>
      <c r="H605" s="23">
        <v>0.18</v>
      </c>
      <c r="I605" s="25">
        <v>0.21210000000000001</v>
      </c>
      <c r="J605" s="23">
        <v>0.86</v>
      </c>
      <c r="K605" s="25">
        <v>8.9599999999999999E-2</v>
      </c>
      <c r="L605" s="2">
        <v>6</v>
      </c>
      <c r="M605" s="2">
        <v>95</v>
      </c>
      <c r="N605" s="2">
        <v>101</v>
      </c>
    </row>
    <row r="606" spans="1:14" x14ac:dyDescent="0.3">
      <c r="A606" s="2">
        <v>605</v>
      </c>
      <c r="B606" s="1">
        <v>40571</v>
      </c>
      <c r="C606" s="2">
        <v>1</v>
      </c>
      <c r="D606" s="2">
        <v>10</v>
      </c>
      <c r="E606" t="b">
        <v>0</v>
      </c>
      <c r="F606" s="2">
        <v>5</v>
      </c>
      <c r="G606" s="2">
        <v>3</v>
      </c>
      <c r="H606" s="23">
        <v>0.18</v>
      </c>
      <c r="I606" s="25">
        <v>0.21210000000000001</v>
      </c>
      <c r="J606" s="23">
        <v>0.86</v>
      </c>
      <c r="K606" s="25">
        <v>0.1045</v>
      </c>
      <c r="L606" s="2">
        <v>0</v>
      </c>
      <c r="M606" s="2">
        <v>49</v>
      </c>
      <c r="N606" s="2">
        <v>49</v>
      </c>
    </row>
    <row r="607" spans="1:14" x14ac:dyDescent="0.3">
      <c r="A607" s="2">
        <v>606</v>
      </c>
      <c r="B607" s="1">
        <v>40571</v>
      </c>
      <c r="C607" s="2">
        <v>1</v>
      </c>
      <c r="D607" s="2">
        <v>11</v>
      </c>
      <c r="E607" t="b">
        <v>0</v>
      </c>
      <c r="F607" s="2">
        <v>5</v>
      </c>
      <c r="G607" s="2">
        <v>3</v>
      </c>
      <c r="H607" s="23">
        <v>0.18</v>
      </c>
      <c r="I607" s="25">
        <v>0.21210000000000001</v>
      </c>
      <c r="J607" s="23">
        <v>0.93</v>
      </c>
      <c r="K607" s="25">
        <v>0.1045</v>
      </c>
      <c r="L607" s="2">
        <v>0</v>
      </c>
      <c r="M607" s="2">
        <v>30</v>
      </c>
      <c r="N607" s="2">
        <v>30</v>
      </c>
    </row>
    <row r="608" spans="1:14" x14ac:dyDescent="0.3">
      <c r="A608" s="2">
        <v>607</v>
      </c>
      <c r="B608" s="1">
        <v>40571</v>
      </c>
      <c r="C608" s="2">
        <v>1</v>
      </c>
      <c r="D608" s="2">
        <v>12</v>
      </c>
      <c r="E608" t="b">
        <v>0</v>
      </c>
      <c r="F608" s="2">
        <v>5</v>
      </c>
      <c r="G608" s="2">
        <v>3</v>
      </c>
      <c r="H608" s="23">
        <v>0.18</v>
      </c>
      <c r="I608" s="25">
        <v>0.21210000000000001</v>
      </c>
      <c r="J608" s="23">
        <v>0.93</v>
      </c>
      <c r="K608" s="25">
        <v>0.1045</v>
      </c>
      <c r="L608" s="2">
        <v>1</v>
      </c>
      <c r="M608" s="2">
        <v>28</v>
      </c>
      <c r="N608" s="2">
        <v>29</v>
      </c>
    </row>
    <row r="609" spans="1:14" x14ac:dyDescent="0.3">
      <c r="A609" s="2">
        <v>608</v>
      </c>
      <c r="B609" s="1">
        <v>40571</v>
      </c>
      <c r="C609" s="2">
        <v>1</v>
      </c>
      <c r="D609" s="2">
        <v>13</v>
      </c>
      <c r="E609" t="b">
        <v>0</v>
      </c>
      <c r="F609" s="2">
        <v>5</v>
      </c>
      <c r="G609" s="2">
        <v>3</v>
      </c>
      <c r="H609" s="23">
        <v>0.18</v>
      </c>
      <c r="I609" s="25">
        <v>0.21210000000000001</v>
      </c>
      <c r="J609" s="23">
        <v>0.93</v>
      </c>
      <c r="K609" s="25">
        <v>0.1045</v>
      </c>
      <c r="L609" s="2">
        <v>0</v>
      </c>
      <c r="M609" s="2">
        <v>31</v>
      </c>
      <c r="N609" s="2">
        <v>31</v>
      </c>
    </row>
    <row r="610" spans="1:14" x14ac:dyDescent="0.3">
      <c r="A610" s="2">
        <v>609</v>
      </c>
      <c r="B610" s="1">
        <v>40571</v>
      </c>
      <c r="C610" s="2">
        <v>1</v>
      </c>
      <c r="D610" s="2">
        <v>14</v>
      </c>
      <c r="E610" t="b">
        <v>0</v>
      </c>
      <c r="F610" s="2">
        <v>5</v>
      </c>
      <c r="G610" s="2">
        <v>3</v>
      </c>
      <c r="H610" s="23">
        <v>0.22</v>
      </c>
      <c r="I610" s="25">
        <v>0.2727</v>
      </c>
      <c r="J610" s="23">
        <v>0.8</v>
      </c>
      <c r="K610" s="25">
        <v>0</v>
      </c>
      <c r="L610" s="2">
        <v>2</v>
      </c>
      <c r="M610" s="2">
        <v>36</v>
      </c>
      <c r="N610" s="2">
        <v>38</v>
      </c>
    </row>
    <row r="611" spans="1:14" x14ac:dyDescent="0.3">
      <c r="A611" s="2">
        <v>610</v>
      </c>
      <c r="B611" s="1">
        <v>40571</v>
      </c>
      <c r="C611" s="2">
        <v>1</v>
      </c>
      <c r="D611" s="2">
        <v>15</v>
      </c>
      <c r="E611" t="b">
        <v>0</v>
      </c>
      <c r="F611" s="2">
        <v>5</v>
      </c>
      <c r="G611" s="2">
        <v>2</v>
      </c>
      <c r="H611" s="23">
        <v>0.2</v>
      </c>
      <c r="I611" s="25">
        <v>0.2576</v>
      </c>
      <c r="J611" s="23">
        <v>0.86</v>
      </c>
      <c r="K611" s="25">
        <v>0</v>
      </c>
      <c r="L611" s="2">
        <v>1</v>
      </c>
      <c r="M611" s="2">
        <v>40</v>
      </c>
      <c r="N611" s="2">
        <v>41</v>
      </c>
    </row>
    <row r="612" spans="1:14" x14ac:dyDescent="0.3">
      <c r="A612" s="2">
        <v>611</v>
      </c>
      <c r="B612" s="1">
        <v>40571</v>
      </c>
      <c r="C612" s="2">
        <v>1</v>
      </c>
      <c r="D612" s="2">
        <v>16</v>
      </c>
      <c r="E612" t="b">
        <v>0</v>
      </c>
      <c r="F612" s="2">
        <v>5</v>
      </c>
      <c r="G612" s="2">
        <v>1</v>
      </c>
      <c r="H612" s="23">
        <v>0.22</v>
      </c>
      <c r="I612" s="25">
        <v>0.2727</v>
      </c>
      <c r="J612" s="23">
        <v>0.8</v>
      </c>
      <c r="K612" s="25">
        <v>0</v>
      </c>
      <c r="L612" s="2">
        <v>10</v>
      </c>
      <c r="M612" s="2">
        <v>70</v>
      </c>
      <c r="N612" s="2">
        <v>80</v>
      </c>
    </row>
    <row r="613" spans="1:14" x14ac:dyDescent="0.3">
      <c r="A613" s="2">
        <v>612</v>
      </c>
      <c r="B613" s="1">
        <v>40571</v>
      </c>
      <c r="C613" s="2">
        <v>1</v>
      </c>
      <c r="D613" s="2">
        <v>17</v>
      </c>
      <c r="E613" t="b">
        <v>0</v>
      </c>
      <c r="F613" s="2">
        <v>5</v>
      </c>
      <c r="G613" s="2">
        <v>1</v>
      </c>
      <c r="H613" s="23">
        <v>0.24</v>
      </c>
      <c r="I613" s="25">
        <v>0.2424</v>
      </c>
      <c r="J613" s="23">
        <v>0.75</v>
      </c>
      <c r="K613" s="25">
        <v>0.1343</v>
      </c>
      <c r="L613" s="2">
        <v>2</v>
      </c>
      <c r="M613" s="2">
        <v>147</v>
      </c>
      <c r="N613" s="2">
        <v>149</v>
      </c>
    </row>
    <row r="614" spans="1:14" x14ac:dyDescent="0.3">
      <c r="A614" s="2">
        <v>613</v>
      </c>
      <c r="B614" s="1">
        <v>40571</v>
      </c>
      <c r="C614" s="2">
        <v>1</v>
      </c>
      <c r="D614" s="2">
        <v>18</v>
      </c>
      <c r="E614" t="b">
        <v>0</v>
      </c>
      <c r="F614" s="2">
        <v>5</v>
      </c>
      <c r="G614" s="2">
        <v>1</v>
      </c>
      <c r="H614" s="23">
        <v>0.24</v>
      </c>
      <c r="I614" s="25">
        <v>0.2273</v>
      </c>
      <c r="J614" s="23">
        <v>0.75</v>
      </c>
      <c r="K614" s="25">
        <v>0.19400000000000001</v>
      </c>
      <c r="L614" s="2">
        <v>2</v>
      </c>
      <c r="M614" s="2">
        <v>107</v>
      </c>
      <c r="N614" s="2">
        <v>109</v>
      </c>
    </row>
    <row r="615" spans="1:14" x14ac:dyDescent="0.3">
      <c r="A615" s="2">
        <v>614</v>
      </c>
      <c r="B615" s="1">
        <v>40571</v>
      </c>
      <c r="C615" s="2">
        <v>1</v>
      </c>
      <c r="D615" s="2">
        <v>19</v>
      </c>
      <c r="E615" t="b">
        <v>0</v>
      </c>
      <c r="F615" s="2">
        <v>5</v>
      </c>
      <c r="G615" s="2">
        <v>2</v>
      </c>
      <c r="H615" s="23">
        <v>0.24</v>
      </c>
      <c r="I615" s="25">
        <v>0.2424</v>
      </c>
      <c r="J615" s="23">
        <v>0.75</v>
      </c>
      <c r="K615" s="25">
        <v>0.1343</v>
      </c>
      <c r="L615" s="2">
        <v>5</v>
      </c>
      <c r="M615" s="2">
        <v>84</v>
      </c>
      <c r="N615" s="2">
        <v>89</v>
      </c>
    </row>
    <row r="616" spans="1:14" x14ac:dyDescent="0.3">
      <c r="A616" s="2">
        <v>615</v>
      </c>
      <c r="B616" s="1">
        <v>40571</v>
      </c>
      <c r="C616" s="2">
        <v>1</v>
      </c>
      <c r="D616" s="2">
        <v>20</v>
      </c>
      <c r="E616" t="b">
        <v>0</v>
      </c>
      <c r="F616" s="2">
        <v>5</v>
      </c>
      <c r="G616" s="2">
        <v>2</v>
      </c>
      <c r="H616" s="23">
        <v>0.24</v>
      </c>
      <c r="I616" s="25">
        <v>0.2273</v>
      </c>
      <c r="J616" s="23">
        <v>0.7</v>
      </c>
      <c r="K616" s="25">
        <v>0.19400000000000001</v>
      </c>
      <c r="L616" s="2">
        <v>1</v>
      </c>
      <c r="M616" s="2">
        <v>61</v>
      </c>
      <c r="N616" s="2">
        <v>62</v>
      </c>
    </row>
    <row r="617" spans="1:14" x14ac:dyDescent="0.3">
      <c r="A617" s="2">
        <v>616</v>
      </c>
      <c r="B617" s="1">
        <v>40571</v>
      </c>
      <c r="C617" s="2">
        <v>1</v>
      </c>
      <c r="D617" s="2">
        <v>21</v>
      </c>
      <c r="E617" t="b">
        <v>0</v>
      </c>
      <c r="F617" s="2">
        <v>5</v>
      </c>
      <c r="G617" s="2">
        <v>2</v>
      </c>
      <c r="H617" s="23">
        <v>0.22</v>
      </c>
      <c r="I617" s="25">
        <v>0.2273</v>
      </c>
      <c r="J617" s="23">
        <v>0.75</v>
      </c>
      <c r="K617" s="25">
        <v>0.1343</v>
      </c>
      <c r="L617" s="2">
        <v>1</v>
      </c>
      <c r="M617" s="2">
        <v>57</v>
      </c>
      <c r="N617" s="2">
        <v>58</v>
      </c>
    </row>
    <row r="618" spans="1:14" x14ac:dyDescent="0.3">
      <c r="A618" s="2">
        <v>617</v>
      </c>
      <c r="B618" s="1">
        <v>40571</v>
      </c>
      <c r="C618" s="2">
        <v>1</v>
      </c>
      <c r="D618" s="2">
        <v>22</v>
      </c>
      <c r="E618" t="b">
        <v>0</v>
      </c>
      <c r="F618" s="2">
        <v>5</v>
      </c>
      <c r="G618" s="2">
        <v>1</v>
      </c>
      <c r="H618" s="23">
        <v>0.24</v>
      </c>
      <c r="I618" s="25">
        <v>0.21210000000000001</v>
      </c>
      <c r="J618" s="23">
        <v>0.65</v>
      </c>
      <c r="K618" s="25">
        <v>0.35820000000000002</v>
      </c>
      <c r="L618" s="2">
        <v>0</v>
      </c>
      <c r="M618" s="2">
        <v>26</v>
      </c>
      <c r="N618" s="2">
        <v>26</v>
      </c>
    </row>
    <row r="619" spans="1:14" x14ac:dyDescent="0.3">
      <c r="A619" s="2">
        <v>618</v>
      </c>
      <c r="B619" s="1">
        <v>40571</v>
      </c>
      <c r="C619" s="2">
        <v>1</v>
      </c>
      <c r="D619" s="2">
        <v>23</v>
      </c>
      <c r="E619" t="b">
        <v>0</v>
      </c>
      <c r="F619" s="2">
        <v>5</v>
      </c>
      <c r="G619" s="2">
        <v>1</v>
      </c>
      <c r="H619" s="23">
        <v>0.24</v>
      </c>
      <c r="I619" s="25">
        <v>0.2273</v>
      </c>
      <c r="J619" s="23">
        <v>0.6</v>
      </c>
      <c r="K619" s="25">
        <v>0.22389999999999999</v>
      </c>
      <c r="L619" s="2">
        <v>1</v>
      </c>
      <c r="M619" s="2">
        <v>22</v>
      </c>
      <c r="N619" s="2">
        <v>23</v>
      </c>
    </row>
    <row r="620" spans="1:14" x14ac:dyDescent="0.3">
      <c r="A620" s="2">
        <v>619</v>
      </c>
      <c r="B620" s="1">
        <v>40572</v>
      </c>
      <c r="C620" s="2">
        <v>1</v>
      </c>
      <c r="D620" s="2">
        <v>0</v>
      </c>
      <c r="E620" t="b">
        <v>0</v>
      </c>
      <c r="F620" s="2">
        <v>6</v>
      </c>
      <c r="G620" s="2">
        <v>1</v>
      </c>
      <c r="H620" s="23">
        <v>0.22</v>
      </c>
      <c r="I620" s="25">
        <v>0.19700000000000001</v>
      </c>
      <c r="J620" s="23">
        <v>0.64</v>
      </c>
      <c r="K620" s="25">
        <v>0.35820000000000002</v>
      </c>
      <c r="L620" s="2">
        <v>2</v>
      </c>
      <c r="M620" s="2">
        <v>26</v>
      </c>
      <c r="N620" s="2">
        <v>28</v>
      </c>
    </row>
    <row r="621" spans="1:14" x14ac:dyDescent="0.3">
      <c r="A621" s="2">
        <v>620</v>
      </c>
      <c r="B621" s="1">
        <v>40572</v>
      </c>
      <c r="C621" s="2">
        <v>1</v>
      </c>
      <c r="D621" s="2">
        <v>1</v>
      </c>
      <c r="E621" t="b">
        <v>0</v>
      </c>
      <c r="F621" s="2">
        <v>6</v>
      </c>
      <c r="G621" s="2">
        <v>1</v>
      </c>
      <c r="H621" s="23">
        <v>0.22</v>
      </c>
      <c r="I621" s="25">
        <v>0.2273</v>
      </c>
      <c r="J621" s="23">
        <v>0.64</v>
      </c>
      <c r="K621" s="25">
        <v>0.19400000000000001</v>
      </c>
      <c r="L621" s="2">
        <v>0</v>
      </c>
      <c r="M621" s="2">
        <v>20</v>
      </c>
      <c r="N621" s="2">
        <v>20</v>
      </c>
    </row>
    <row r="622" spans="1:14" x14ac:dyDescent="0.3">
      <c r="A622" s="2">
        <v>621</v>
      </c>
      <c r="B622" s="1">
        <v>40572</v>
      </c>
      <c r="C622" s="2">
        <v>1</v>
      </c>
      <c r="D622" s="2">
        <v>2</v>
      </c>
      <c r="E622" t="b">
        <v>0</v>
      </c>
      <c r="F622" s="2">
        <v>6</v>
      </c>
      <c r="G622" s="2">
        <v>1</v>
      </c>
      <c r="H622" s="23">
        <v>0.22</v>
      </c>
      <c r="I622" s="25">
        <v>0.2273</v>
      </c>
      <c r="J622" s="23">
        <v>0.64</v>
      </c>
      <c r="K622" s="25">
        <v>0.16420000000000001</v>
      </c>
      <c r="L622" s="2">
        <v>0</v>
      </c>
      <c r="M622" s="2">
        <v>15</v>
      </c>
      <c r="N622" s="2">
        <v>15</v>
      </c>
    </row>
    <row r="623" spans="1:14" x14ac:dyDescent="0.3">
      <c r="A623" s="2">
        <v>622</v>
      </c>
      <c r="B623" s="1">
        <v>40572</v>
      </c>
      <c r="C623" s="2">
        <v>1</v>
      </c>
      <c r="D623" s="2">
        <v>3</v>
      </c>
      <c r="E623" t="b">
        <v>0</v>
      </c>
      <c r="F623" s="2">
        <v>6</v>
      </c>
      <c r="G623" s="2">
        <v>1</v>
      </c>
      <c r="H623" s="23">
        <v>0.2</v>
      </c>
      <c r="I623" s="25">
        <v>0.21210000000000001</v>
      </c>
      <c r="J623" s="23">
        <v>0.64</v>
      </c>
      <c r="K623" s="25">
        <v>0.1343</v>
      </c>
      <c r="L623" s="2">
        <v>3</v>
      </c>
      <c r="M623" s="2">
        <v>5</v>
      </c>
      <c r="N623" s="2">
        <v>8</v>
      </c>
    </row>
    <row r="624" spans="1:14" x14ac:dyDescent="0.3">
      <c r="A624" s="2">
        <v>623</v>
      </c>
      <c r="B624" s="1">
        <v>40572</v>
      </c>
      <c r="C624" s="2">
        <v>1</v>
      </c>
      <c r="D624" s="2">
        <v>4</v>
      </c>
      <c r="E624" t="b">
        <v>0</v>
      </c>
      <c r="F624" s="2">
        <v>6</v>
      </c>
      <c r="G624" s="2">
        <v>1</v>
      </c>
      <c r="H624" s="23">
        <v>0.16</v>
      </c>
      <c r="I624" s="25">
        <v>0.18179999999999999</v>
      </c>
      <c r="J624" s="23">
        <v>0.69</v>
      </c>
      <c r="K624" s="25">
        <v>0.1045</v>
      </c>
      <c r="L624" s="2">
        <v>1</v>
      </c>
      <c r="M624" s="2">
        <v>2</v>
      </c>
      <c r="N624" s="2">
        <v>3</v>
      </c>
    </row>
    <row r="625" spans="1:14" x14ac:dyDescent="0.3">
      <c r="A625" s="2">
        <v>624</v>
      </c>
      <c r="B625" s="1">
        <v>40572</v>
      </c>
      <c r="C625" s="2">
        <v>1</v>
      </c>
      <c r="D625" s="2">
        <v>6</v>
      </c>
      <c r="E625" t="b">
        <v>0</v>
      </c>
      <c r="F625" s="2">
        <v>6</v>
      </c>
      <c r="G625" s="2">
        <v>1</v>
      </c>
      <c r="H625" s="23">
        <v>0.16</v>
      </c>
      <c r="I625" s="25">
        <v>0.18179999999999999</v>
      </c>
      <c r="J625" s="23">
        <v>0.64</v>
      </c>
      <c r="K625" s="25">
        <v>0.1343</v>
      </c>
      <c r="L625" s="2">
        <v>0</v>
      </c>
      <c r="M625" s="2">
        <v>2</v>
      </c>
      <c r="N625" s="2">
        <v>2</v>
      </c>
    </row>
    <row r="626" spans="1:14" x14ac:dyDescent="0.3">
      <c r="A626" s="2">
        <v>625</v>
      </c>
      <c r="B626" s="1">
        <v>40572</v>
      </c>
      <c r="C626" s="2">
        <v>1</v>
      </c>
      <c r="D626" s="2">
        <v>7</v>
      </c>
      <c r="E626" t="b">
        <v>0</v>
      </c>
      <c r="F626" s="2">
        <v>6</v>
      </c>
      <c r="G626" s="2">
        <v>1</v>
      </c>
      <c r="H626" s="23">
        <v>0.16</v>
      </c>
      <c r="I626" s="25">
        <v>0.18179999999999999</v>
      </c>
      <c r="J626" s="23">
        <v>0.59</v>
      </c>
      <c r="K626" s="25">
        <v>0.1045</v>
      </c>
      <c r="L626" s="2">
        <v>1</v>
      </c>
      <c r="M626" s="2">
        <v>4</v>
      </c>
      <c r="N626" s="2">
        <v>5</v>
      </c>
    </row>
    <row r="627" spans="1:14" x14ac:dyDescent="0.3">
      <c r="A627" s="2">
        <v>626</v>
      </c>
      <c r="B627" s="1">
        <v>40572</v>
      </c>
      <c r="C627" s="2">
        <v>1</v>
      </c>
      <c r="D627" s="2">
        <v>8</v>
      </c>
      <c r="E627" t="b">
        <v>0</v>
      </c>
      <c r="F627" s="2">
        <v>6</v>
      </c>
      <c r="G627" s="2">
        <v>1</v>
      </c>
      <c r="H627" s="23">
        <v>0.18</v>
      </c>
      <c r="I627" s="25">
        <v>0.19700000000000001</v>
      </c>
      <c r="J627" s="23">
        <v>0.55000000000000004</v>
      </c>
      <c r="K627" s="25">
        <v>0.16420000000000001</v>
      </c>
      <c r="L627" s="2">
        <v>3</v>
      </c>
      <c r="M627" s="2">
        <v>31</v>
      </c>
      <c r="N627" s="2">
        <v>34</v>
      </c>
    </row>
    <row r="628" spans="1:14" x14ac:dyDescent="0.3">
      <c r="A628" s="2">
        <v>627</v>
      </c>
      <c r="B628" s="1">
        <v>40572</v>
      </c>
      <c r="C628" s="2">
        <v>1</v>
      </c>
      <c r="D628" s="2">
        <v>9</v>
      </c>
      <c r="E628" t="b">
        <v>0</v>
      </c>
      <c r="F628" s="2">
        <v>6</v>
      </c>
      <c r="G628" s="2">
        <v>1</v>
      </c>
      <c r="H628" s="23">
        <v>0.18</v>
      </c>
      <c r="I628" s="25">
        <v>0.21210000000000001</v>
      </c>
      <c r="J628" s="23">
        <v>0.59</v>
      </c>
      <c r="K628" s="25">
        <v>8.9599999999999999E-2</v>
      </c>
      <c r="L628" s="2">
        <v>0</v>
      </c>
      <c r="M628" s="2">
        <v>34</v>
      </c>
      <c r="N628" s="2">
        <v>34</v>
      </c>
    </row>
    <row r="629" spans="1:14" x14ac:dyDescent="0.3">
      <c r="A629" s="2">
        <v>628</v>
      </c>
      <c r="B629" s="1">
        <v>40572</v>
      </c>
      <c r="C629" s="2">
        <v>1</v>
      </c>
      <c r="D629" s="2">
        <v>10</v>
      </c>
      <c r="E629" t="b">
        <v>0</v>
      </c>
      <c r="F629" s="2">
        <v>6</v>
      </c>
      <c r="G629" s="2">
        <v>2</v>
      </c>
      <c r="H629" s="23">
        <v>0.18</v>
      </c>
      <c r="I629" s="25">
        <v>0.21210000000000001</v>
      </c>
      <c r="J629" s="23">
        <v>0.64</v>
      </c>
      <c r="K629" s="25">
        <v>0.1045</v>
      </c>
      <c r="L629" s="2">
        <v>4</v>
      </c>
      <c r="M629" s="2">
        <v>51</v>
      </c>
      <c r="N629" s="2">
        <v>55</v>
      </c>
    </row>
    <row r="630" spans="1:14" x14ac:dyDescent="0.3">
      <c r="A630" s="2">
        <v>629</v>
      </c>
      <c r="B630" s="1">
        <v>40572</v>
      </c>
      <c r="C630" s="2">
        <v>1</v>
      </c>
      <c r="D630" s="2">
        <v>11</v>
      </c>
      <c r="E630" t="b">
        <v>0</v>
      </c>
      <c r="F630" s="2">
        <v>6</v>
      </c>
      <c r="G630" s="2">
        <v>2</v>
      </c>
      <c r="H630" s="23">
        <v>0.18</v>
      </c>
      <c r="I630" s="25">
        <v>0.19700000000000001</v>
      </c>
      <c r="J630" s="23">
        <v>0.64</v>
      </c>
      <c r="K630" s="25">
        <v>0.1343</v>
      </c>
      <c r="L630" s="2">
        <v>4</v>
      </c>
      <c r="M630" s="2">
        <v>60</v>
      </c>
      <c r="N630" s="2">
        <v>64</v>
      </c>
    </row>
    <row r="631" spans="1:14" x14ac:dyDescent="0.3">
      <c r="A631" s="2">
        <v>630</v>
      </c>
      <c r="B631" s="1">
        <v>40572</v>
      </c>
      <c r="C631" s="2">
        <v>1</v>
      </c>
      <c r="D631" s="2">
        <v>12</v>
      </c>
      <c r="E631" t="b">
        <v>0</v>
      </c>
      <c r="F631" s="2">
        <v>6</v>
      </c>
      <c r="G631" s="2">
        <v>2</v>
      </c>
      <c r="H631" s="23">
        <v>0.2</v>
      </c>
      <c r="I631" s="25">
        <v>0.19700000000000001</v>
      </c>
      <c r="J631" s="23">
        <v>0.59</v>
      </c>
      <c r="K631" s="25">
        <v>0.19400000000000001</v>
      </c>
      <c r="L631" s="2">
        <v>12</v>
      </c>
      <c r="M631" s="2">
        <v>66</v>
      </c>
      <c r="N631" s="2">
        <v>78</v>
      </c>
    </row>
    <row r="632" spans="1:14" x14ac:dyDescent="0.3">
      <c r="A632" s="2">
        <v>631</v>
      </c>
      <c r="B632" s="1">
        <v>40572</v>
      </c>
      <c r="C632" s="2">
        <v>1</v>
      </c>
      <c r="D632" s="2">
        <v>13</v>
      </c>
      <c r="E632" t="b">
        <v>0</v>
      </c>
      <c r="F632" s="2">
        <v>6</v>
      </c>
      <c r="G632" s="2">
        <v>2</v>
      </c>
      <c r="H632" s="23">
        <v>0.22</v>
      </c>
      <c r="I632" s="25">
        <v>0.2273</v>
      </c>
      <c r="J632" s="23">
        <v>0.55000000000000004</v>
      </c>
      <c r="K632" s="25">
        <v>0.16420000000000001</v>
      </c>
      <c r="L632" s="2">
        <v>9</v>
      </c>
      <c r="M632" s="2">
        <v>56</v>
      </c>
      <c r="N632" s="2">
        <v>65</v>
      </c>
    </row>
    <row r="633" spans="1:14" x14ac:dyDescent="0.3">
      <c r="A633" s="2">
        <v>632</v>
      </c>
      <c r="B633" s="1">
        <v>40572</v>
      </c>
      <c r="C633" s="2">
        <v>1</v>
      </c>
      <c r="D633" s="2">
        <v>14</v>
      </c>
      <c r="E633" t="b">
        <v>0</v>
      </c>
      <c r="F633" s="2">
        <v>6</v>
      </c>
      <c r="G633" s="2">
        <v>2</v>
      </c>
      <c r="H633" s="23">
        <v>0.22</v>
      </c>
      <c r="I633" s="25">
        <v>0.2273</v>
      </c>
      <c r="J633" s="23">
        <v>0.6</v>
      </c>
      <c r="K633" s="25">
        <v>0.1343</v>
      </c>
      <c r="L633" s="2">
        <v>10</v>
      </c>
      <c r="M633" s="2">
        <v>89</v>
      </c>
      <c r="N633" s="2">
        <v>99</v>
      </c>
    </row>
    <row r="634" spans="1:14" x14ac:dyDescent="0.3">
      <c r="A634" s="2">
        <v>633</v>
      </c>
      <c r="B634" s="1">
        <v>40572</v>
      </c>
      <c r="C634" s="2">
        <v>1</v>
      </c>
      <c r="D634" s="2">
        <v>15</v>
      </c>
      <c r="E634" t="b">
        <v>0</v>
      </c>
      <c r="F634" s="2">
        <v>6</v>
      </c>
      <c r="G634" s="2">
        <v>1</v>
      </c>
      <c r="H634" s="23">
        <v>0.22</v>
      </c>
      <c r="I634" s="25">
        <v>0.21210000000000001</v>
      </c>
      <c r="J634" s="23">
        <v>0.69</v>
      </c>
      <c r="K634" s="25">
        <v>0.25369999999999998</v>
      </c>
      <c r="L634" s="2">
        <v>22</v>
      </c>
      <c r="M634" s="2">
        <v>98</v>
      </c>
      <c r="N634" s="2">
        <v>120</v>
      </c>
    </row>
    <row r="635" spans="1:14" x14ac:dyDescent="0.3">
      <c r="A635" s="2">
        <v>634</v>
      </c>
      <c r="B635" s="1">
        <v>40572</v>
      </c>
      <c r="C635" s="2">
        <v>1</v>
      </c>
      <c r="D635" s="2">
        <v>16</v>
      </c>
      <c r="E635" t="b">
        <v>0</v>
      </c>
      <c r="F635" s="2">
        <v>6</v>
      </c>
      <c r="G635" s="2">
        <v>1</v>
      </c>
      <c r="H635" s="23">
        <v>0.24</v>
      </c>
      <c r="I635" s="25">
        <v>0.2424</v>
      </c>
      <c r="J635" s="23">
        <v>0.6</v>
      </c>
      <c r="K635" s="25">
        <v>0.16420000000000001</v>
      </c>
      <c r="L635" s="2">
        <v>19</v>
      </c>
      <c r="M635" s="2">
        <v>88</v>
      </c>
      <c r="N635" s="2">
        <v>107</v>
      </c>
    </row>
    <row r="636" spans="1:14" x14ac:dyDescent="0.3">
      <c r="A636" s="2">
        <v>635</v>
      </c>
      <c r="B636" s="1">
        <v>40572</v>
      </c>
      <c r="C636" s="2">
        <v>1</v>
      </c>
      <c r="D636" s="2">
        <v>17</v>
      </c>
      <c r="E636" t="b">
        <v>0</v>
      </c>
      <c r="F636" s="2">
        <v>6</v>
      </c>
      <c r="G636" s="2">
        <v>1</v>
      </c>
      <c r="H636" s="23">
        <v>0.24</v>
      </c>
      <c r="I636" s="25">
        <v>0.28789999999999999</v>
      </c>
      <c r="J636" s="23">
        <v>0.6</v>
      </c>
      <c r="K636" s="25">
        <v>0</v>
      </c>
      <c r="L636" s="2">
        <v>9</v>
      </c>
      <c r="M636" s="2">
        <v>82</v>
      </c>
      <c r="N636" s="2">
        <v>91</v>
      </c>
    </row>
    <row r="637" spans="1:14" x14ac:dyDescent="0.3">
      <c r="A637" s="2">
        <v>636</v>
      </c>
      <c r="B637" s="1">
        <v>40572</v>
      </c>
      <c r="C637" s="2">
        <v>1</v>
      </c>
      <c r="D637" s="2">
        <v>18</v>
      </c>
      <c r="E637" t="b">
        <v>0</v>
      </c>
      <c r="F637" s="2">
        <v>6</v>
      </c>
      <c r="G637" s="2">
        <v>1</v>
      </c>
      <c r="H637" s="23">
        <v>0.22</v>
      </c>
      <c r="I637" s="25">
        <v>0.2273</v>
      </c>
      <c r="J637" s="23">
        <v>0.69</v>
      </c>
      <c r="K637" s="25">
        <v>0.1343</v>
      </c>
      <c r="L637" s="2">
        <v>9</v>
      </c>
      <c r="M637" s="2">
        <v>59</v>
      </c>
      <c r="N637" s="2">
        <v>68</v>
      </c>
    </row>
    <row r="638" spans="1:14" x14ac:dyDescent="0.3">
      <c r="A638" s="2">
        <v>637</v>
      </c>
      <c r="B638" s="1">
        <v>40572</v>
      </c>
      <c r="C638" s="2">
        <v>1</v>
      </c>
      <c r="D638" s="2">
        <v>19</v>
      </c>
      <c r="E638" t="b">
        <v>0</v>
      </c>
      <c r="F638" s="2">
        <v>6</v>
      </c>
      <c r="G638" s="2">
        <v>2</v>
      </c>
      <c r="H638" s="23">
        <v>0.22</v>
      </c>
      <c r="I638" s="25">
        <v>0.21210000000000001</v>
      </c>
      <c r="J638" s="23">
        <v>0.69</v>
      </c>
      <c r="K638" s="25">
        <v>0.25369999999999998</v>
      </c>
      <c r="L638" s="2">
        <v>6</v>
      </c>
      <c r="M638" s="2">
        <v>52</v>
      </c>
      <c r="N638" s="2">
        <v>58</v>
      </c>
    </row>
    <row r="639" spans="1:14" x14ac:dyDescent="0.3">
      <c r="A639" s="2">
        <v>638</v>
      </c>
      <c r="B639" s="1">
        <v>40572</v>
      </c>
      <c r="C639" s="2">
        <v>1</v>
      </c>
      <c r="D639" s="2">
        <v>20</v>
      </c>
      <c r="E639" t="b">
        <v>0</v>
      </c>
      <c r="F639" s="2">
        <v>6</v>
      </c>
      <c r="G639" s="2">
        <v>1</v>
      </c>
      <c r="H639" s="23">
        <v>0.18</v>
      </c>
      <c r="I639" s="25">
        <v>0.21210000000000001</v>
      </c>
      <c r="J639" s="23">
        <v>0.74</v>
      </c>
      <c r="K639" s="25">
        <v>8.9599999999999999E-2</v>
      </c>
      <c r="L639" s="2">
        <v>1</v>
      </c>
      <c r="M639" s="2">
        <v>42</v>
      </c>
      <c r="N639" s="2">
        <v>43</v>
      </c>
    </row>
    <row r="640" spans="1:14" x14ac:dyDescent="0.3">
      <c r="A640" s="2">
        <v>639</v>
      </c>
      <c r="B640" s="1">
        <v>40572</v>
      </c>
      <c r="C640" s="2">
        <v>1</v>
      </c>
      <c r="D640" s="2">
        <v>21</v>
      </c>
      <c r="E640" t="b">
        <v>0</v>
      </c>
      <c r="F640" s="2">
        <v>6</v>
      </c>
      <c r="G640" s="2">
        <v>1</v>
      </c>
      <c r="H640" s="23">
        <v>0.18</v>
      </c>
      <c r="I640" s="25">
        <v>0.21210000000000001</v>
      </c>
      <c r="J640" s="23">
        <v>0.74</v>
      </c>
      <c r="K640" s="25">
        <v>8.9599999999999999E-2</v>
      </c>
      <c r="L640" s="2">
        <v>1</v>
      </c>
      <c r="M640" s="2">
        <v>35</v>
      </c>
      <c r="N640" s="2">
        <v>36</v>
      </c>
    </row>
    <row r="641" spans="1:14" x14ac:dyDescent="0.3">
      <c r="A641" s="2">
        <v>640</v>
      </c>
      <c r="B641" s="1">
        <v>40572</v>
      </c>
      <c r="C641" s="2">
        <v>1</v>
      </c>
      <c r="D641" s="2">
        <v>22</v>
      </c>
      <c r="E641" t="b">
        <v>0</v>
      </c>
      <c r="F641" s="2">
        <v>6</v>
      </c>
      <c r="G641" s="2">
        <v>1</v>
      </c>
      <c r="H641" s="23">
        <v>0.16</v>
      </c>
      <c r="I641" s="25">
        <v>0.19700000000000001</v>
      </c>
      <c r="J641" s="23">
        <v>0.8</v>
      </c>
      <c r="K641" s="25">
        <v>8.9599999999999999E-2</v>
      </c>
      <c r="L641" s="2">
        <v>4</v>
      </c>
      <c r="M641" s="2">
        <v>28</v>
      </c>
      <c r="N641" s="2">
        <v>32</v>
      </c>
    </row>
    <row r="642" spans="1:14" x14ac:dyDescent="0.3">
      <c r="A642" s="2">
        <v>641</v>
      </c>
      <c r="B642" s="1">
        <v>40572</v>
      </c>
      <c r="C642" s="2">
        <v>1</v>
      </c>
      <c r="D642" s="2">
        <v>23</v>
      </c>
      <c r="E642" t="b">
        <v>0</v>
      </c>
      <c r="F642" s="2">
        <v>6</v>
      </c>
      <c r="G642" s="2">
        <v>1</v>
      </c>
      <c r="H642" s="23">
        <v>0.16</v>
      </c>
      <c r="I642" s="25">
        <v>0.19700000000000001</v>
      </c>
      <c r="J642" s="23">
        <v>0.8</v>
      </c>
      <c r="K642" s="25">
        <v>8.9599999999999999E-2</v>
      </c>
      <c r="L642" s="2">
        <v>3</v>
      </c>
      <c r="M642" s="2">
        <v>30</v>
      </c>
      <c r="N642" s="2">
        <v>33</v>
      </c>
    </row>
    <row r="643" spans="1:14" x14ac:dyDescent="0.3">
      <c r="A643" s="2">
        <v>642</v>
      </c>
      <c r="B643" s="1">
        <v>40573</v>
      </c>
      <c r="C643" s="2">
        <v>1</v>
      </c>
      <c r="D643" s="2">
        <v>0</v>
      </c>
      <c r="E643" t="b">
        <v>0</v>
      </c>
      <c r="F643" s="2">
        <v>0</v>
      </c>
      <c r="G643" s="2">
        <v>1</v>
      </c>
      <c r="H643" s="23">
        <v>0.16</v>
      </c>
      <c r="I643" s="25">
        <v>0.18179999999999999</v>
      </c>
      <c r="J643" s="23">
        <v>0.8</v>
      </c>
      <c r="K643" s="25">
        <v>0.1045</v>
      </c>
      <c r="L643" s="2">
        <v>0</v>
      </c>
      <c r="M643" s="2">
        <v>33</v>
      </c>
      <c r="N643" s="2">
        <v>33</v>
      </c>
    </row>
    <row r="644" spans="1:14" x14ac:dyDescent="0.3">
      <c r="A644" s="2">
        <v>643</v>
      </c>
      <c r="B644" s="1">
        <v>40573</v>
      </c>
      <c r="C644" s="2">
        <v>1</v>
      </c>
      <c r="D644" s="2">
        <v>1</v>
      </c>
      <c r="E644" t="b">
        <v>0</v>
      </c>
      <c r="F644" s="2">
        <v>0</v>
      </c>
      <c r="G644" s="2">
        <v>1</v>
      </c>
      <c r="H644" s="23">
        <v>0.14000000000000001</v>
      </c>
      <c r="I644" s="25">
        <v>0.21210000000000001</v>
      </c>
      <c r="J644" s="23">
        <v>0.8</v>
      </c>
      <c r="K644" s="25">
        <v>0</v>
      </c>
      <c r="L644" s="2">
        <v>7</v>
      </c>
      <c r="M644" s="2">
        <v>22</v>
      </c>
      <c r="N644" s="2">
        <v>29</v>
      </c>
    </row>
    <row r="645" spans="1:14" x14ac:dyDescent="0.3">
      <c r="A645" s="2">
        <v>644</v>
      </c>
      <c r="B645" s="1">
        <v>40573</v>
      </c>
      <c r="C645" s="2">
        <v>1</v>
      </c>
      <c r="D645" s="2">
        <v>2</v>
      </c>
      <c r="E645" t="b">
        <v>0</v>
      </c>
      <c r="F645" s="2">
        <v>0</v>
      </c>
      <c r="G645" s="2">
        <v>1</v>
      </c>
      <c r="H645" s="23">
        <v>0.16</v>
      </c>
      <c r="I645" s="25">
        <v>0.2273</v>
      </c>
      <c r="J645" s="23">
        <v>0.8</v>
      </c>
      <c r="K645" s="25">
        <v>0</v>
      </c>
      <c r="L645" s="2">
        <v>1</v>
      </c>
      <c r="M645" s="2">
        <v>10</v>
      </c>
      <c r="N645" s="2">
        <v>11</v>
      </c>
    </row>
    <row r="646" spans="1:14" x14ac:dyDescent="0.3">
      <c r="A646" s="2">
        <v>645</v>
      </c>
      <c r="B646" s="1">
        <v>40573</v>
      </c>
      <c r="C646" s="2">
        <v>1</v>
      </c>
      <c r="D646" s="2">
        <v>3</v>
      </c>
      <c r="E646" t="b">
        <v>0</v>
      </c>
      <c r="F646" s="2">
        <v>0</v>
      </c>
      <c r="G646" s="2">
        <v>1</v>
      </c>
      <c r="H646" s="23">
        <v>0.14000000000000001</v>
      </c>
      <c r="I646" s="25">
        <v>0.21210000000000001</v>
      </c>
      <c r="J646" s="23">
        <v>0.93</v>
      </c>
      <c r="K646" s="25">
        <v>0</v>
      </c>
      <c r="L646" s="2">
        <v>1</v>
      </c>
      <c r="M646" s="2">
        <v>7</v>
      </c>
      <c r="N646" s="2">
        <v>8</v>
      </c>
    </row>
    <row r="647" spans="1:14" x14ac:dyDescent="0.3">
      <c r="A647" s="2">
        <v>646</v>
      </c>
      <c r="B647" s="1">
        <v>40573</v>
      </c>
      <c r="C647" s="2">
        <v>1</v>
      </c>
      <c r="D647" s="2">
        <v>4</v>
      </c>
      <c r="E647" t="b">
        <v>0</v>
      </c>
      <c r="F647" s="2">
        <v>0</v>
      </c>
      <c r="G647" s="2">
        <v>1</v>
      </c>
      <c r="H647" s="23">
        <v>0.14000000000000001</v>
      </c>
      <c r="I647" s="25">
        <v>0.21210000000000001</v>
      </c>
      <c r="J647" s="23">
        <v>0.93</v>
      </c>
      <c r="K647" s="25">
        <v>0</v>
      </c>
      <c r="L647" s="2">
        <v>0</v>
      </c>
      <c r="M647" s="2">
        <v>1</v>
      </c>
      <c r="N647" s="2">
        <v>1</v>
      </c>
    </row>
    <row r="648" spans="1:14" x14ac:dyDescent="0.3">
      <c r="A648" s="2">
        <v>647</v>
      </c>
      <c r="B648" s="1">
        <v>40573</v>
      </c>
      <c r="C648" s="2">
        <v>1</v>
      </c>
      <c r="D648" s="2">
        <v>5</v>
      </c>
      <c r="E648" t="b">
        <v>0</v>
      </c>
      <c r="F648" s="2">
        <v>0</v>
      </c>
      <c r="G648" s="2">
        <v>1</v>
      </c>
      <c r="H648" s="23">
        <v>0.14000000000000001</v>
      </c>
      <c r="I648" s="25">
        <v>0.21210000000000001</v>
      </c>
      <c r="J648" s="23">
        <v>0.86</v>
      </c>
      <c r="K648" s="25">
        <v>0</v>
      </c>
      <c r="L648" s="2">
        <v>0</v>
      </c>
      <c r="M648" s="2">
        <v>3</v>
      </c>
      <c r="N648" s="2">
        <v>3</v>
      </c>
    </row>
    <row r="649" spans="1:14" x14ac:dyDescent="0.3">
      <c r="A649" s="2">
        <v>648</v>
      </c>
      <c r="B649" s="1">
        <v>40573</v>
      </c>
      <c r="C649" s="2">
        <v>1</v>
      </c>
      <c r="D649" s="2">
        <v>7</v>
      </c>
      <c r="E649" t="b">
        <v>0</v>
      </c>
      <c r="F649" s="2">
        <v>0</v>
      </c>
      <c r="G649" s="2">
        <v>1</v>
      </c>
      <c r="H649" s="23">
        <v>0.14000000000000001</v>
      </c>
      <c r="I649" s="25">
        <v>0.21210000000000001</v>
      </c>
      <c r="J649" s="23">
        <v>0.86</v>
      </c>
      <c r="K649" s="25">
        <v>0</v>
      </c>
      <c r="L649" s="2">
        <v>0</v>
      </c>
      <c r="M649" s="2">
        <v>3</v>
      </c>
      <c r="N649" s="2">
        <v>3</v>
      </c>
    </row>
    <row r="650" spans="1:14" x14ac:dyDescent="0.3">
      <c r="A650" s="2">
        <v>649</v>
      </c>
      <c r="B650" s="1">
        <v>40573</v>
      </c>
      <c r="C650" s="2">
        <v>1</v>
      </c>
      <c r="D650" s="2">
        <v>8</v>
      </c>
      <c r="E650" t="b">
        <v>0</v>
      </c>
      <c r="F650" s="2">
        <v>0</v>
      </c>
      <c r="G650" s="2">
        <v>2</v>
      </c>
      <c r="H650" s="23">
        <v>0.14000000000000001</v>
      </c>
      <c r="I650" s="25">
        <v>0.21210000000000001</v>
      </c>
      <c r="J650" s="23">
        <v>0.86</v>
      </c>
      <c r="K650" s="25">
        <v>0</v>
      </c>
      <c r="L650" s="2">
        <v>1</v>
      </c>
      <c r="M650" s="2">
        <v>11</v>
      </c>
      <c r="N650" s="2">
        <v>12</v>
      </c>
    </row>
    <row r="651" spans="1:14" x14ac:dyDescent="0.3">
      <c r="A651" s="2">
        <v>650</v>
      </c>
      <c r="B651" s="1">
        <v>40573</v>
      </c>
      <c r="C651" s="2">
        <v>1</v>
      </c>
      <c r="D651" s="2">
        <v>9</v>
      </c>
      <c r="E651" t="b">
        <v>0</v>
      </c>
      <c r="F651" s="2">
        <v>0</v>
      </c>
      <c r="G651" s="2">
        <v>2</v>
      </c>
      <c r="H651" s="23">
        <v>0.16</v>
      </c>
      <c r="I651" s="25">
        <v>0.2273</v>
      </c>
      <c r="J651" s="23">
        <v>0.8</v>
      </c>
      <c r="K651" s="25">
        <v>0</v>
      </c>
      <c r="L651" s="2">
        <v>4</v>
      </c>
      <c r="M651" s="2">
        <v>34</v>
      </c>
      <c r="N651" s="2">
        <v>38</v>
      </c>
    </row>
    <row r="652" spans="1:14" x14ac:dyDescent="0.3">
      <c r="A652" s="2">
        <v>651</v>
      </c>
      <c r="B652" s="1">
        <v>40573</v>
      </c>
      <c r="C652" s="2">
        <v>1</v>
      </c>
      <c r="D652" s="2">
        <v>10</v>
      </c>
      <c r="E652" t="b">
        <v>0</v>
      </c>
      <c r="F652" s="2">
        <v>0</v>
      </c>
      <c r="G652" s="2">
        <v>2</v>
      </c>
      <c r="H652" s="23">
        <v>0.18</v>
      </c>
      <c r="I652" s="25">
        <v>0.2424</v>
      </c>
      <c r="J652" s="23">
        <v>0.8</v>
      </c>
      <c r="K652" s="25">
        <v>0</v>
      </c>
      <c r="L652" s="2">
        <v>7</v>
      </c>
      <c r="M652" s="2">
        <v>57</v>
      </c>
      <c r="N652" s="2">
        <v>64</v>
      </c>
    </row>
    <row r="653" spans="1:14" x14ac:dyDescent="0.3">
      <c r="A653" s="2">
        <v>652</v>
      </c>
      <c r="B653" s="1">
        <v>40573</v>
      </c>
      <c r="C653" s="2">
        <v>1</v>
      </c>
      <c r="D653" s="2">
        <v>11</v>
      </c>
      <c r="E653" t="b">
        <v>0</v>
      </c>
      <c r="F653" s="2">
        <v>0</v>
      </c>
      <c r="G653" s="2">
        <v>1</v>
      </c>
      <c r="H653" s="23">
        <v>0.22</v>
      </c>
      <c r="I653" s="25">
        <v>0.2727</v>
      </c>
      <c r="J653" s="23">
        <v>0.75</v>
      </c>
      <c r="K653" s="25">
        <v>0</v>
      </c>
      <c r="L653" s="2">
        <v>9</v>
      </c>
      <c r="M653" s="2">
        <v>50</v>
      </c>
      <c r="N653" s="2">
        <v>59</v>
      </c>
    </row>
    <row r="654" spans="1:14" x14ac:dyDescent="0.3">
      <c r="A654" s="2">
        <v>653</v>
      </c>
      <c r="B654" s="1">
        <v>40573</v>
      </c>
      <c r="C654" s="2">
        <v>1</v>
      </c>
      <c r="D654" s="2">
        <v>12</v>
      </c>
      <c r="E654" t="b">
        <v>0</v>
      </c>
      <c r="F654" s="2">
        <v>0</v>
      </c>
      <c r="G654" s="2">
        <v>1</v>
      </c>
      <c r="H654" s="23">
        <v>0.3</v>
      </c>
      <c r="I654" s="25">
        <v>0.31819999999999998</v>
      </c>
      <c r="J654" s="23">
        <v>0.52</v>
      </c>
      <c r="K654" s="25">
        <v>0.1045</v>
      </c>
      <c r="L654" s="2">
        <v>10</v>
      </c>
      <c r="M654" s="2">
        <v>87</v>
      </c>
      <c r="N654" s="2">
        <v>97</v>
      </c>
    </row>
    <row r="655" spans="1:14" x14ac:dyDescent="0.3">
      <c r="A655" s="2">
        <v>654</v>
      </c>
      <c r="B655" s="1">
        <v>40573</v>
      </c>
      <c r="C655" s="2">
        <v>1</v>
      </c>
      <c r="D655" s="2">
        <v>13</v>
      </c>
      <c r="E655" t="b">
        <v>0</v>
      </c>
      <c r="F655" s="2">
        <v>0</v>
      </c>
      <c r="G655" s="2">
        <v>1</v>
      </c>
      <c r="H655" s="23">
        <v>0.28000000000000003</v>
      </c>
      <c r="I655" s="25">
        <v>0.28789999999999999</v>
      </c>
      <c r="J655" s="23">
        <v>0.61</v>
      </c>
      <c r="K655" s="25">
        <v>0.1045</v>
      </c>
      <c r="L655" s="2">
        <v>13</v>
      </c>
      <c r="M655" s="2">
        <v>71</v>
      </c>
      <c r="N655" s="2">
        <v>84</v>
      </c>
    </row>
    <row r="656" spans="1:14" x14ac:dyDescent="0.3">
      <c r="A656" s="2">
        <v>655</v>
      </c>
      <c r="B656" s="1">
        <v>40573</v>
      </c>
      <c r="C656" s="2">
        <v>1</v>
      </c>
      <c r="D656" s="2">
        <v>14</v>
      </c>
      <c r="E656" t="b">
        <v>0</v>
      </c>
      <c r="F656" s="2">
        <v>0</v>
      </c>
      <c r="G656" s="2">
        <v>1</v>
      </c>
      <c r="H656" s="23">
        <v>0.28000000000000003</v>
      </c>
      <c r="I656" s="25">
        <v>0.30299999999999999</v>
      </c>
      <c r="J656" s="23">
        <v>0.61</v>
      </c>
      <c r="K656" s="25">
        <v>8.9599999999999999E-2</v>
      </c>
      <c r="L656" s="2">
        <v>18</v>
      </c>
      <c r="M656" s="2">
        <v>104</v>
      </c>
      <c r="N656" s="2">
        <v>122</v>
      </c>
    </row>
    <row r="657" spans="1:14" x14ac:dyDescent="0.3">
      <c r="A657" s="2">
        <v>656</v>
      </c>
      <c r="B657" s="1">
        <v>40573</v>
      </c>
      <c r="C657" s="2">
        <v>1</v>
      </c>
      <c r="D657" s="2">
        <v>15</v>
      </c>
      <c r="E657" t="b">
        <v>0</v>
      </c>
      <c r="F657" s="2">
        <v>0</v>
      </c>
      <c r="G657" s="2">
        <v>1</v>
      </c>
      <c r="H657" s="23">
        <v>0.3</v>
      </c>
      <c r="I657" s="25">
        <v>0.33329999999999999</v>
      </c>
      <c r="J657" s="23">
        <v>0.56000000000000005</v>
      </c>
      <c r="K657" s="25">
        <v>0</v>
      </c>
      <c r="L657" s="2">
        <v>14</v>
      </c>
      <c r="M657" s="2">
        <v>95</v>
      </c>
      <c r="N657" s="2">
        <v>109</v>
      </c>
    </row>
    <row r="658" spans="1:14" x14ac:dyDescent="0.3">
      <c r="A658" s="2">
        <v>657</v>
      </c>
      <c r="B658" s="1">
        <v>40573</v>
      </c>
      <c r="C658" s="2">
        <v>1</v>
      </c>
      <c r="D658" s="2">
        <v>16</v>
      </c>
      <c r="E658" t="b">
        <v>0</v>
      </c>
      <c r="F658" s="2">
        <v>0</v>
      </c>
      <c r="G658" s="2">
        <v>1</v>
      </c>
      <c r="H658" s="23">
        <v>0.3</v>
      </c>
      <c r="I658" s="25">
        <v>0.33329999999999999</v>
      </c>
      <c r="J658" s="23">
        <v>0.56000000000000005</v>
      </c>
      <c r="K658" s="25">
        <v>0</v>
      </c>
      <c r="L658" s="2">
        <v>19</v>
      </c>
      <c r="M658" s="2">
        <v>104</v>
      </c>
      <c r="N658" s="2">
        <v>123</v>
      </c>
    </row>
    <row r="659" spans="1:14" x14ac:dyDescent="0.3">
      <c r="A659" s="2">
        <v>658</v>
      </c>
      <c r="B659" s="1">
        <v>40573</v>
      </c>
      <c r="C659" s="2">
        <v>1</v>
      </c>
      <c r="D659" s="2">
        <v>17</v>
      </c>
      <c r="E659" t="b">
        <v>0</v>
      </c>
      <c r="F659" s="2">
        <v>0</v>
      </c>
      <c r="G659" s="2">
        <v>1</v>
      </c>
      <c r="H659" s="23">
        <v>0.3</v>
      </c>
      <c r="I659" s="25">
        <v>0.28789999999999999</v>
      </c>
      <c r="J659" s="23">
        <v>0.56000000000000005</v>
      </c>
      <c r="K659" s="25">
        <v>0.19400000000000001</v>
      </c>
      <c r="L659" s="2">
        <v>6</v>
      </c>
      <c r="M659" s="2">
        <v>71</v>
      </c>
      <c r="N659" s="2">
        <v>77</v>
      </c>
    </row>
    <row r="660" spans="1:14" x14ac:dyDescent="0.3">
      <c r="A660" s="2">
        <v>659</v>
      </c>
      <c r="B660" s="1">
        <v>40573</v>
      </c>
      <c r="C660" s="2">
        <v>1</v>
      </c>
      <c r="D660" s="2">
        <v>18</v>
      </c>
      <c r="E660" t="b">
        <v>0</v>
      </c>
      <c r="F660" s="2">
        <v>0</v>
      </c>
      <c r="G660" s="2">
        <v>1</v>
      </c>
      <c r="H660" s="23">
        <v>0.26</v>
      </c>
      <c r="I660" s="25">
        <v>0.2576</v>
      </c>
      <c r="J660" s="23">
        <v>0.65</v>
      </c>
      <c r="K660" s="25">
        <v>0.16420000000000001</v>
      </c>
      <c r="L660" s="2">
        <v>8</v>
      </c>
      <c r="M660" s="2">
        <v>57</v>
      </c>
      <c r="N660" s="2">
        <v>65</v>
      </c>
    </row>
    <row r="661" spans="1:14" x14ac:dyDescent="0.3">
      <c r="A661" s="2">
        <v>660</v>
      </c>
      <c r="B661" s="1">
        <v>40573</v>
      </c>
      <c r="C661" s="2">
        <v>1</v>
      </c>
      <c r="D661" s="2">
        <v>19</v>
      </c>
      <c r="E661" t="b">
        <v>0</v>
      </c>
      <c r="F661" s="2">
        <v>0</v>
      </c>
      <c r="G661" s="2">
        <v>1</v>
      </c>
      <c r="H661" s="23">
        <v>0.26</v>
      </c>
      <c r="I661" s="25">
        <v>0.2576</v>
      </c>
      <c r="J661" s="23">
        <v>0.65</v>
      </c>
      <c r="K661" s="25">
        <v>0.19400000000000001</v>
      </c>
      <c r="L661" s="2">
        <v>9</v>
      </c>
      <c r="M661" s="2">
        <v>46</v>
      </c>
      <c r="N661" s="2">
        <v>55</v>
      </c>
    </row>
    <row r="662" spans="1:14" x14ac:dyDescent="0.3">
      <c r="A662" s="2">
        <v>661</v>
      </c>
      <c r="B662" s="1">
        <v>40573</v>
      </c>
      <c r="C662" s="2">
        <v>1</v>
      </c>
      <c r="D662" s="2">
        <v>20</v>
      </c>
      <c r="E662" t="b">
        <v>0</v>
      </c>
      <c r="F662" s="2">
        <v>0</v>
      </c>
      <c r="G662" s="2">
        <v>2</v>
      </c>
      <c r="H662" s="23">
        <v>0.26</v>
      </c>
      <c r="I662" s="25">
        <v>0.2727</v>
      </c>
      <c r="J662" s="23">
        <v>0.65</v>
      </c>
      <c r="K662" s="25">
        <v>0.1045</v>
      </c>
      <c r="L662" s="2">
        <v>3</v>
      </c>
      <c r="M662" s="2">
        <v>30</v>
      </c>
      <c r="N662" s="2">
        <v>33</v>
      </c>
    </row>
    <row r="663" spans="1:14" x14ac:dyDescent="0.3">
      <c r="A663" s="2">
        <v>662</v>
      </c>
      <c r="B663" s="1">
        <v>40573</v>
      </c>
      <c r="C663" s="2">
        <v>1</v>
      </c>
      <c r="D663" s="2">
        <v>21</v>
      </c>
      <c r="E663" t="b">
        <v>0</v>
      </c>
      <c r="F663" s="2">
        <v>0</v>
      </c>
      <c r="G663" s="2">
        <v>2</v>
      </c>
      <c r="H663" s="23">
        <v>0.24</v>
      </c>
      <c r="I663" s="25">
        <v>0.2424</v>
      </c>
      <c r="J663" s="23">
        <v>0.7</v>
      </c>
      <c r="K663" s="25">
        <v>0.16420000000000001</v>
      </c>
      <c r="L663" s="2">
        <v>3</v>
      </c>
      <c r="M663" s="2">
        <v>25</v>
      </c>
      <c r="N663" s="2">
        <v>28</v>
      </c>
    </row>
    <row r="664" spans="1:14" x14ac:dyDescent="0.3">
      <c r="A664" s="2">
        <v>663</v>
      </c>
      <c r="B664" s="1">
        <v>40573</v>
      </c>
      <c r="C664" s="2">
        <v>1</v>
      </c>
      <c r="D664" s="2">
        <v>22</v>
      </c>
      <c r="E664" t="b">
        <v>0</v>
      </c>
      <c r="F664" s="2">
        <v>0</v>
      </c>
      <c r="G664" s="2">
        <v>2</v>
      </c>
      <c r="H664" s="23">
        <v>0.24</v>
      </c>
      <c r="I664" s="25">
        <v>0.2273</v>
      </c>
      <c r="J664" s="23">
        <v>0.7</v>
      </c>
      <c r="K664" s="25">
        <v>0.19400000000000001</v>
      </c>
      <c r="L664" s="2">
        <v>2</v>
      </c>
      <c r="M664" s="2">
        <v>19</v>
      </c>
      <c r="N664" s="2">
        <v>21</v>
      </c>
    </row>
    <row r="665" spans="1:14" x14ac:dyDescent="0.3">
      <c r="A665" s="2">
        <v>664</v>
      </c>
      <c r="B665" s="1">
        <v>40573</v>
      </c>
      <c r="C665" s="2">
        <v>1</v>
      </c>
      <c r="D665" s="2">
        <v>23</v>
      </c>
      <c r="E665" t="b">
        <v>0</v>
      </c>
      <c r="F665" s="2">
        <v>0</v>
      </c>
      <c r="G665" s="2">
        <v>2</v>
      </c>
      <c r="H665" s="23">
        <v>0.24</v>
      </c>
      <c r="I665" s="25">
        <v>0.21210000000000001</v>
      </c>
      <c r="J665" s="23">
        <v>0.65</v>
      </c>
      <c r="K665" s="25">
        <v>0.28360000000000002</v>
      </c>
      <c r="L665" s="2">
        <v>5</v>
      </c>
      <c r="M665" s="2">
        <v>16</v>
      </c>
      <c r="N665" s="2">
        <v>21</v>
      </c>
    </row>
    <row r="666" spans="1:14" x14ac:dyDescent="0.3">
      <c r="A666" s="2">
        <v>665</v>
      </c>
      <c r="B666" s="1">
        <v>40574</v>
      </c>
      <c r="C666" s="2">
        <v>1</v>
      </c>
      <c r="D666" s="2">
        <v>0</v>
      </c>
      <c r="E666" t="b">
        <v>0</v>
      </c>
      <c r="F666" s="2">
        <v>1</v>
      </c>
      <c r="G666" s="2">
        <v>2</v>
      </c>
      <c r="H666" s="23">
        <v>0.24</v>
      </c>
      <c r="I666" s="25">
        <v>0.2273</v>
      </c>
      <c r="J666" s="23">
        <v>0.65</v>
      </c>
      <c r="K666" s="25">
        <v>0.22389999999999999</v>
      </c>
      <c r="L666" s="2">
        <v>1</v>
      </c>
      <c r="M666" s="2">
        <v>6</v>
      </c>
      <c r="N666" s="2">
        <v>7</v>
      </c>
    </row>
    <row r="667" spans="1:14" x14ac:dyDescent="0.3">
      <c r="A667" s="2">
        <v>666</v>
      </c>
      <c r="B667" s="1">
        <v>40574</v>
      </c>
      <c r="C667" s="2">
        <v>1</v>
      </c>
      <c r="D667" s="2">
        <v>1</v>
      </c>
      <c r="E667" t="b">
        <v>0</v>
      </c>
      <c r="F667" s="2">
        <v>1</v>
      </c>
      <c r="G667" s="2">
        <v>1</v>
      </c>
      <c r="H667" s="23">
        <v>0.22</v>
      </c>
      <c r="I667" s="25">
        <v>0.21210000000000001</v>
      </c>
      <c r="J667" s="23">
        <v>0.64</v>
      </c>
      <c r="K667" s="25">
        <v>0.25369999999999998</v>
      </c>
      <c r="L667" s="2">
        <v>2</v>
      </c>
      <c r="M667" s="2">
        <v>5</v>
      </c>
      <c r="N667" s="2">
        <v>7</v>
      </c>
    </row>
    <row r="668" spans="1:14" x14ac:dyDescent="0.3">
      <c r="A668" s="2">
        <v>667</v>
      </c>
      <c r="B668" s="1">
        <v>40574</v>
      </c>
      <c r="C668" s="2">
        <v>1</v>
      </c>
      <c r="D668" s="2">
        <v>2</v>
      </c>
      <c r="E668" t="b">
        <v>0</v>
      </c>
      <c r="F668" s="2">
        <v>1</v>
      </c>
      <c r="G668" s="2">
        <v>1</v>
      </c>
      <c r="H668" s="23">
        <v>0.22</v>
      </c>
      <c r="I668" s="25">
        <v>0.2273</v>
      </c>
      <c r="J668" s="23">
        <v>0.64</v>
      </c>
      <c r="K668" s="25">
        <v>0.19400000000000001</v>
      </c>
      <c r="L668" s="2">
        <v>0</v>
      </c>
      <c r="M668" s="2">
        <v>1</v>
      </c>
      <c r="N668" s="2">
        <v>1</v>
      </c>
    </row>
    <row r="669" spans="1:14" x14ac:dyDescent="0.3">
      <c r="A669" s="2">
        <v>668</v>
      </c>
      <c r="B669" s="1">
        <v>40574</v>
      </c>
      <c r="C669" s="2">
        <v>1</v>
      </c>
      <c r="D669" s="2">
        <v>3</v>
      </c>
      <c r="E669" t="b">
        <v>0</v>
      </c>
      <c r="F669" s="2">
        <v>1</v>
      </c>
      <c r="G669" s="2">
        <v>1</v>
      </c>
      <c r="H669" s="23">
        <v>0.22</v>
      </c>
      <c r="I669" s="25">
        <v>0.2273</v>
      </c>
      <c r="J669" s="23">
        <v>0.64</v>
      </c>
      <c r="K669" s="25">
        <v>0.19400000000000001</v>
      </c>
      <c r="L669" s="2">
        <v>0</v>
      </c>
      <c r="M669" s="2">
        <v>2</v>
      </c>
      <c r="N669" s="2">
        <v>2</v>
      </c>
    </row>
    <row r="670" spans="1:14" x14ac:dyDescent="0.3">
      <c r="A670" s="2">
        <v>669</v>
      </c>
      <c r="B670" s="1">
        <v>40574</v>
      </c>
      <c r="C670" s="2">
        <v>1</v>
      </c>
      <c r="D670" s="2">
        <v>4</v>
      </c>
      <c r="E670" t="b">
        <v>0</v>
      </c>
      <c r="F670" s="2">
        <v>1</v>
      </c>
      <c r="G670" s="2">
        <v>1</v>
      </c>
      <c r="H670" s="23">
        <v>0.2</v>
      </c>
      <c r="I670" s="25">
        <v>0.19700000000000001</v>
      </c>
      <c r="J670" s="23">
        <v>0.59</v>
      </c>
      <c r="K670" s="25">
        <v>0.22389999999999999</v>
      </c>
      <c r="L670" s="2">
        <v>0</v>
      </c>
      <c r="M670" s="2">
        <v>2</v>
      </c>
      <c r="N670" s="2">
        <v>2</v>
      </c>
    </row>
    <row r="671" spans="1:14" x14ac:dyDescent="0.3">
      <c r="A671" s="2">
        <v>670</v>
      </c>
      <c r="B671" s="1">
        <v>40574</v>
      </c>
      <c r="C671" s="2">
        <v>1</v>
      </c>
      <c r="D671" s="2">
        <v>5</v>
      </c>
      <c r="E671" t="b">
        <v>0</v>
      </c>
      <c r="F671" s="2">
        <v>1</v>
      </c>
      <c r="G671" s="2">
        <v>1</v>
      </c>
      <c r="H671" s="23">
        <v>0.18</v>
      </c>
      <c r="I671" s="25">
        <v>0.16669999999999999</v>
      </c>
      <c r="J671" s="23">
        <v>0.64</v>
      </c>
      <c r="K671" s="25">
        <v>0.28360000000000002</v>
      </c>
      <c r="L671" s="2">
        <v>0</v>
      </c>
      <c r="M671" s="2">
        <v>8</v>
      </c>
      <c r="N671" s="2">
        <v>8</v>
      </c>
    </row>
    <row r="672" spans="1:14" x14ac:dyDescent="0.3">
      <c r="A672" s="2">
        <v>671</v>
      </c>
      <c r="B672" s="1">
        <v>40574</v>
      </c>
      <c r="C672" s="2">
        <v>1</v>
      </c>
      <c r="D672" s="2">
        <v>6</v>
      </c>
      <c r="E672" t="b">
        <v>0</v>
      </c>
      <c r="F672" s="2">
        <v>1</v>
      </c>
      <c r="G672" s="2">
        <v>1</v>
      </c>
      <c r="H672" s="23">
        <v>0.16</v>
      </c>
      <c r="I672" s="25">
        <v>0.13639999999999999</v>
      </c>
      <c r="J672" s="23">
        <v>0.69</v>
      </c>
      <c r="K672" s="25">
        <v>0.32840000000000003</v>
      </c>
      <c r="L672" s="2">
        <v>0</v>
      </c>
      <c r="M672" s="2">
        <v>37</v>
      </c>
      <c r="N672" s="2">
        <v>37</v>
      </c>
    </row>
    <row r="673" spans="1:14" x14ac:dyDescent="0.3">
      <c r="A673" s="2">
        <v>672</v>
      </c>
      <c r="B673" s="1">
        <v>40574</v>
      </c>
      <c r="C673" s="2">
        <v>1</v>
      </c>
      <c r="D673" s="2">
        <v>7</v>
      </c>
      <c r="E673" t="b">
        <v>0</v>
      </c>
      <c r="F673" s="2">
        <v>1</v>
      </c>
      <c r="G673" s="2">
        <v>2</v>
      </c>
      <c r="H673" s="23">
        <v>0.16</v>
      </c>
      <c r="I673" s="25">
        <v>0.13639999999999999</v>
      </c>
      <c r="J673" s="23">
        <v>0.64</v>
      </c>
      <c r="K673" s="25">
        <v>0.28360000000000002</v>
      </c>
      <c r="L673" s="2">
        <v>1</v>
      </c>
      <c r="M673" s="2">
        <v>71</v>
      </c>
      <c r="N673" s="2">
        <v>72</v>
      </c>
    </row>
    <row r="674" spans="1:14" x14ac:dyDescent="0.3">
      <c r="A674" s="2">
        <v>673</v>
      </c>
      <c r="B674" s="1">
        <v>40574</v>
      </c>
      <c r="C674" s="2">
        <v>1</v>
      </c>
      <c r="D674" s="2">
        <v>8</v>
      </c>
      <c r="E674" t="b">
        <v>0</v>
      </c>
      <c r="F674" s="2">
        <v>1</v>
      </c>
      <c r="G674" s="2">
        <v>2</v>
      </c>
      <c r="H674" s="23">
        <v>0.16</v>
      </c>
      <c r="I674" s="25">
        <v>0.13639999999999999</v>
      </c>
      <c r="J674" s="23">
        <v>0.59</v>
      </c>
      <c r="K674" s="25">
        <v>0.28360000000000002</v>
      </c>
      <c r="L674" s="2">
        <v>3</v>
      </c>
      <c r="M674" s="2">
        <v>182</v>
      </c>
      <c r="N674" s="2">
        <v>185</v>
      </c>
    </row>
    <row r="675" spans="1:14" x14ac:dyDescent="0.3">
      <c r="A675" s="2">
        <v>674</v>
      </c>
      <c r="B675" s="1">
        <v>40574</v>
      </c>
      <c r="C675" s="2">
        <v>1</v>
      </c>
      <c r="D675" s="2">
        <v>9</v>
      </c>
      <c r="E675" t="b">
        <v>0</v>
      </c>
      <c r="F675" s="2">
        <v>1</v>
      </c>
      <c r="G675" s="2">
        <v>2</v>
      </c>
      <c r="H675" s="23">
        <v>0.16</v>
      </c>
      <c r="I675" s="25">
        <v>0.13639999999999999</v>
      </c>
      <c r="J675" s="23">
        <v>0.59</v>
      </c>
      <c r="K675" s="25">
        <v>0.29849999999999999</v>
      </c>
      <c r="L675" s="2">
        <v>0</v>
      </c>
      <c r="M675" s="2">
        <v>112</v>
      </c>
      <c r="N675" s="2">
        <v>112</v>
      </c>
    </row>
    <row r="676" spans="1:14" x14ac:dyDescent="0.3">
      <c r="A676" s="2">
        <v>675</v>
      </c>
      <c r="B676" s="1">
        <v>40574</v>
      </c>
      <c r="C676" s="2">
        <v>1</v>
      </c>
      <c r="D676" s="2">
        <v>10</v>
      </c>
      <c r="E676" t="b">
        <v>0</v>
      </c>
      <c r="F676" s="2">
        <v>1</v>
      </c>
      <c r="G676" s="2">
        <v>2</v>
      </c>
      <c r="H676" s="23">
        <v>0.16</v>
      </c>
      <c r="I676" s="25">
        <v>0.1515</v>
      </c>
      <c r="J676" s="23">
        <v>0.59</v>
      </c>
      <c r="K676" s="25">
        <v>0.19400000000000001</v>
      </c>
      <c r="L676" s="2">
        <v>1</v>
      </c>
      <c r="M676" s="2">
        <v>68</v>
      </c>
      <c r="N676" s="2">
        <v>69</v>
      </c>
    </row>
    <row r="677" spans="1:14" x14ac:dyDescent="0.3">
      <c r="A677" s="2">
        <v>676</v>
      </c>
      <c r="B677" s="1">
        <v>40574</v>
      </c>
      <c r="C677" s="2">
        <v>1</v>
      </c>
      <c r="D677" s="2">
        <v>11</v>
      </c>
      <c r="E677" t="b">
        <v>0</v>
      </c>
      <c r="F677" s="2">
        <v>1</v>
      </c>
      <c r="G677" s="2">
        <v>2</v>
      </c>
      <c r="H677" s="23">
        <v>0.16</v>
      </c>
      <c r="I677" s="25">
        <v>0.1515</v>
      </c>
      <c r="J677" s="23">
        <v>0.59</v>
      </c>
      <c r="K677" s="25">
        <v>0.19400000000000001</v>
      </c>
      <c r="L677" s="2">
        <v>2</v>
      </c>
      <c r="M677" s="2">
        <v>46</v>
      </c>
      <c r="N677" s="2">
        <v>48</v>
      </c>
    </row>
    <row r="678" spans="1:14" x14ac:dyDescent="0.3">
      <c r="A678" s="2">
        <v>677</v>
      </c>
      <c r="B678" s="1">
        <v>40574</v>
      </c>
      <c r="C678" s="2">
        <v>1</v>
      </c>
      <c r="D678" s="2">
        <v>12</v>
      </c>
      <c r="E678" t="b">
        <v>0</v>
      </c>
      <c r="F678" s="2">
        <v>1</v>
      </c>
      <c r="G678" s="2">
        <v>2</v>
      </c>
      <c r="H678" s="23">
        <v>0.18</v>
      </c>
      <c r="I678" s="25">
        <v>0.21210000000000001</v>
      </c>
      <c r="J678" s="23">
        <v>0.55000000000000004</v>
      </c>
      <c r="K678" s="25">
        <v>0.1045</v>
      </c>
      <c r="L678" s="2">
        <v>6</v>
      </c>
      <c r="M678" s="2">
        <v>62</v>
      </c>
      <c r="N678" s="2">
        <v>68</v>
      </c>
    </row>
    <row r="679" spans="1:14" x14ac:dyDescent="0.3">
      <c r="A679" s="2">
        <v>678</v>
      </c>
      <c r="B679" s="1">
        <v>40574</v>
      </c>
      <c r="C679" s="2">
        <v>1</v>
      </c>
      <c r="D679" s="2">
        <v>13</v>
      </c>
      <c r="E679" t="b">
        <v>0</v>
      </c>
      <c r="F679" s="2">
        <v>1</v>
      </c>
      <c r="G679" s="2">
        <v>2</v>
      </c>
      <c r="H679" s="23">
        <v>0.16</v>
      </c>
      <c r="I679" s="25">
        <v>0.2273</v>
      </c>
      <c r="J679" s="23">
        <v>0.59</v>
      </c>
      <c r="K679" s="25">
        <v>0</v>
      </c>
      <c r="L679" s="2">
        <v>2</v>
      </c>
      <c r="M679" s="2">
        <v>52</v>
      </c>
      <c r="N679" s="2">
        <v>54</v>
      </c>
    </row>
    <row r="680" spans="1:14" x14ac:dyDescent="0.3">
      <c r="A680" s="2">
        <v>679</v>
      </c>
      <c r="B680" s="1">
        <v>40574</v>
      </c>
      <c r="C680" s="2">
        <v>1</v>
      </c>
      <c r="D680" s="2">
        <v>14</v>
      </c>
      <c r="E680" t="b">
        <v>0</v>
      </c>
      <c r="F680" s="2">
        <v>1</v>
      </c>
      <c r="G680" s="2">
        <v>2</v>
      </c>
      <c r="H680" s="23">
        <v>0.18</v>
      </c>
      <c r="I680" s="25">
        <v>0.19700000000000001</v>
      </c>
      <c r="J680" s="23">
        <v>0.55000000000000004</v>
      </c>
      <c r="K680" s="25">
        <v>0.1343</v>
      </c>
      <c r="L680" s="2">
        <v>1</v>
      </c>
      <c r="M680" s="2">
        <v>85</v>
      </c>
      <c r="N680" s="2">
        <v>86</v>
      </c>
    </row>
    <row r="681" spans="1:14" x14ac:dyDescent="0.3">
      <c r="A681" s="2">
        <v>680</v>
      </c>
      <c r="B681" s="1">
        <v>40574</v>
      </c>
      <c r="C681" s="2">
        <v>1</v>
      </c>
      <c r="D681" s="2">
        <v>15</v>
      </c>
      <c r="E681" t="b">
        <v>0</v>
      </c>
      <c r="F681" s="2">
        <v>1</v>
      </c>
      <c r="G681" s="2">
        <v>2</v>
      </c>
      <c r="H681" s="23">
        <v>0.16</v>
      </c>
      <c r="I681" s="25">
        <v>0.18179999999999999</v>
      </c>
      <c r="J681" s="23">
        <v>0.59</v>
      </c>
      <c r="K681" s="25">
        <v>0.1343</v>
      </c>
      <c r="L681" s="2">
        <v>3</v>
      </c>
      <c r="M681" s="2">
        <v>41</v>
      </c>
      <c r="N681" s="2">
        <v>44</v>
      </c>
    </row>
    <row r="682" spans="1:14" x14ac:dyDescent="0.3">
      <c r="A682" s="2">
        <v>681</v>
      </c>
      <c r="B682" s="1">
        <v>40574</v>
      </c>
      <c r="C682" s="2">
        <v>1</v>
      </c>
      <c r="D682" s="2">
        <v>16</v>
      </c>
      <c r="E682" t="b">
        <v>0</v>
      </c>
      <c r="F682" s="2">
        <v>1</v>
      </c>
      <c r="G682" s="2">
        <v>2</v>
      </c>
      <c r="H682" s="23">
        <v>0.16</v>
      </c>
      <c r="I682" s="25">
        <v>0.18179999999999999</v>
      </c>
      <c r="J682" s="23">
        <v>0.56000000000000005</v>
      </c>
      <c r="K682" s="25">
        <v>0.19400000000000001</v>
      </c>
      <c r="L682" s="2">
        <v>3</v>
      </c>
      <c r="M682" s="2">
        <v>83</v>
      </c>
      <c r="N682" s="2">
        <v>86</v>
      </c>
    </row>
    <row r="683" spans="1:14" x14ac:dyDescent="0.3">
      <c r="A683" s="2">
        <v>682</v>
      </c>
      <c r="B683" s="1">
        <v>40574</v>
      </c>
      <c r="C683" s="2">
        <v>1</v>
      </c>
      <c r="D683" s="2">
        <v>17</v>
      </c>
      <c r="E683" t="b">
        <v>0</v>
      </c>
      <c r="F683" s="2">
        <v>1</v>
      </c>
      <c r="G683" s="2">
        <v>2</v>
      </c>
      <c r="H683" s="23">
        <v>0.16</v>
      </c>
      <c r="I683" s="25">
        <v>0.1515</v>
      </c>
      <c r="J683" s="23">
        <v>0.59</v>
      </c>
      <c r="K683" s="25">
        <v>0.19400000000000001</v>
      </c>
      <c r="L683" s="2">
        <v>6</v>
      </c>
      <c r="M683" s="2">
        <v>155</v>
      </c>
      <c r="N683" s="2">
        <v>161</v>
      </c>
    </row>
    <row r="684" spans="1:14" x14ac:dyDescent="0.3">
      <c r="A684" s="2">
        <v>683</v>
      </c>
      <c r="B684" s="1">
        <v>40574</v>
      </c>
      <c r="C684" s="2">
        <v>1</v>
      </c>
      <c r="D684" s="2">
        <v>18</v>
      </c>
      <c r="E684" t="b">
        <v>0</v>
      </c>
      <c r="F684" s="2">
        <v>1</v>
      </c>
      <c r="G684" s="2">
        <v>2</v>
      </c>
      <c r="H684" s="23">
        <v>0.16</v>
      </c>
      <c r="I684" s="25">
        <v>0.1515</v>
      </c>
      <c r="J684" s="23">
        <v>0.55000000000000004</v>
      </c>
      <c r="K684" s="25">
        <v>0.22389999999999999</v>
      </c>
      <c r="L684" s="2">
        <v>3</v>
      </c>
      <c r="M684" s="2">
        <v>153</v>
      </c>
      <c r="N684" s="2">
        <v>156</v>
      </c>
    </row>
    <row r="685" spans="1:14" x14ac:dyDescent="0.3">
      <c r="A685" s="2">
        <v>684</v>
      </c>
      <c r="B685" s="1">
        <v>40574</v>
      </c>
      <c r="C685" s="2">
        <v>1</v>
      </c>
      <c r="D685" s="2">
        <v>19</v>
      </c>
      <c r="E685" t="b">
        <v>0</v>
      </c>
      <c r="F685" s="2">
        <v>1</v>
      </c>
      <c r="G685" s="2">
        <v>1</v>
      </c>
      <c r="H685" s="23">
        <v>0.3</v>
      </c>
      <c r="I685" s="25">
        <v>0.31819999999999998</v>
      </c>
      <c r="J685" s="23">
        <v>0.61</v>
      </c>
      <c r="K685" s="25">
        <v>0.1045</v>
      </c>
      <c r="L685" s="2">
        <v>3</v>
      </c>
      <c r="M685" s="2">
        <v>108</v>
      </c>
      <c r="N685" s="2">
        <v>111</v>
      </c>
    </row>
    <row r="686" spans="1:14" x14ac:dyDescent="0.3">
      <c r="A686" s="2">
        <v>685</v>
      </c>
      <c r="B686" s="1">
        <v>40574</v>
      </c>
      <c r="C686" s="2">
        <v>1</v>
      </c>
      <c r="D686" s="2">
        <v>20</v>
      </c>
      <c r="E686" t="b">
        <v>0</v>
      </c>
      <c r="F686" s="2">
        <v>1</v>
      </c>
      <c r="G686" s="2">
        <v>3</v>
      </c>
      <c r="H686" s="23">
        <v>0.16</v>
      </c>
      <c r="I686" s="25">
        <v>0.16669999999999999</v>
      </c>
      <c r="J686" s="23">
        <v>0.59</v>
      </c>
      <c r="K686" s="25">
        <v>0.16420000000000001</v>
      </c>
      <c r="L686" s="2">
        <v>0</v>
      </c>
      <c r="M686" s="2">
        <v>78</v>
      </c>
      <c r="N686" s="2">
        <v>78</v>
      </c>
    </row>
    <row r="687" spans="1:14" x14ac:dyDescent="0.3">
      <c r="A687" s="2">
        <v>686</v>
      </c>
      <c r="B687" s="1">
        <v>40574</v>
      </c>
      <c r="C687" s="2">
        <v>1</v>
      </c>
      <c r="D687" s="2">
        <v>21</v>
      </c>
      <c r="E687" t="b">
        <v>0</v>
      </c>
      <c r="F687" s="2">
        <v>1</v>
      </c>
      <c r="G687" s="2">
        <v>3</v>
      </c>
      <c r="H687" s="23">
        <v>0.16</v>
      </c>
      <c r="I687" s="25">
        <v>0.19700000000000001</v>
      </c>
      <c r="J687" s="23">
        <v>0.59</v>
      </c>
      <c r="K687" s="25">
        <v>8.9599999999999999E-2</v>
      </c>
      <c r="L687" s="2">
        <v>3</v>
      </c>
      <c r="M687" s="2">
        <v>53</v>
      </c>
      <c r="N687" s="2">
        <v>56</v>
      </c>
    </row>
    <row r="688" spans="1:14" x14ac:dyDescent="0.3">
      <c r="A688" s="2">
        <v>687</v>
      </c>
      <c r="B688" s="1">
        <v>40574</v>
      </c>
      <c r="C688" s="2">
        <v>1</v>
      </c>
      <c r="D688" s="2">
        <v>22</v>
      </c>
      <c r="E688" t="b">
        <v>0</v>
      </c>
      <c r="F688" s="2">
        <v>1</v>
      </c>
      <c r="G688" s="2">
        <v>2</v>
      </c>
      <c r="H688" s="23">
        <v>0.16</v>
      </c>
      <c r="I688" s="25">
        <v>0.18179999999999999</v>
      </c>
      <c r="J688" s="23">
        <v>0.59</v>
      </c>
      <c r="K688" s="25">
        <v>0.1045</v>
      </c>
      <c r="L688" s="2">
        <v>0</v>
      </c>
      <c r="M688" s="2">
        <v>34</v>
      </c>
      <c r="N688" s="2">
        <v>34</v>
      </c>
    </row>
    <row r="689" spans="1:14" x14ac:dyDescent="0.3">
      <c r="A689" s="2">
        <v>688</v>
      </c>
      <c r="B689" s="1">
        <v>40574</v>
      </c>
      <c r="C689" s="2">
        <v>1</v>
      </c>
      <c r="D689" s="2">
        <v>23</v>
      </c>
      <c r="E689" t="b">
        <v>0</v>
      </c>
      <c r="F689" s="2">
        <v>1</v>
      </c>
      <c r="G689" s="2">
        <v>2</v>
      </c>
      <c r="H689" s="23">
        <v>0.16</v>
      </c>
      <c r="I689" s="25">
        <v>0.19700000000000001</v>
      </c>
      <c r="J689" s="23">
        <v>0.64</v>
      </c>
      <c r="K689" s="25">
        <v>8.9599999999999999E-2</v>
      </c>
      <c r="L689" s="2">
        <v>2</v>
      </c>
      <c r="M689" s="2">
        <v>15</v>
      </c>
      <c r="N689" s="2">
        <v>17</v>
      </c>
    </row>
    <row r="690" spans="1:14" x14ac:dyDescent="0.3">
      <c r="A690" s="2">
        <v>689</v>
      </c>
      <c r="B690" s="1">
        <v>40575</v>
      </c>
      <c r="C690" s="2">
        <v>1</v>
      </c>
      <c r="D690" s="2">
        <v>0</v>
      </c>
      <c r="E690" t="b">
        <v>0</v>
      </c>
      <c r="F690" s="2">
        <v>2</v>
      </c>
      <c r="G690" s="2">
        <v>2</v>
      </c>
      <c r="H690" s="23">
        <v>0.16</v>
      </c>
      <c r="I690" s="25">
        <v>0.18179999999999999</v>
      </c>
      <c r="J690" s="23">
        <v>0.64</v>
      </c>
      <c r="K690" s="25">
        <v>0.1045</v>
      </c>
      <c r="L690" s="2">
        <v>2</v>
      </c>
      <c r="M690" s="2">
        <v>6</v>
      </c>
      <c r="N690" s="2">
        <v>8</v>
      </c>
    </row>
    <row r="691" spans="1:14" x14ac:dyDescent="0.3">
      <c r="A691" s="2">
        <v>690</v>
      </c>
      <c r="B691" s="1">
        <v>40575</v>
      </c>
      <c r="C691" s="2">
        <v>1</v>
      </c>
      <c r="D691" s="2">
        <v>1</v>
      </c>
      <c r="E691" t="b">
        <v>0</v>
      </c>
      <c r="F691" s="2">
        <v>2</v>
      </c>
      <c r="G691" s="2">
        <v>2</v>
      </c>
      <c r="H691" s="23">
        <v>0.16</v>
      </c>
      <c r="I691" s="25">
        <v>0.18179999999999999</v>
      </c>
      <c r="J691" s="23">
        <v>0.69</v>
      </c>
      <c r="K691" s="25">
        <v>0.1045</v>
      </c>
      <c r="L691" s="2">
        <v>0</v>
      </c>
      <c r="M691" s="2">
        <v>3</v>
      </c>
      <c r="N691" s="2">
        <v>3</v>
      </c>
    </row>
    <row r="692" spans="1:14" x14ac:dyDescent="0.3">
      <c r="A692" s="2">
        <v>691</v>
      </c>
      <c r="B692" s="1">
        <v>40575</v>
      </c>
      <c r="C692" s="2">
        <v>1</v>
      </c>
      <c r="D692" s="2">
        <v>2</v>
      </c>
      <c r="E692" t="b">
        <v>0</v>
      </c>
      <c r="F692" s="2">
        <v>2</v>
      </c>
      <c r="G692" s="2">
        <v>2</v>
      </c>
      <c r="H692" s="23">
        <v>0.16</v>
      </c>
      <c r="I692" s="25">
        <v>0.2273</v>
      </c>
      <c r="J692" s="23">
        <v>0.69</v>
      </c>
      <c r="K692" s="25">
        <v>0</v>
      </c>
      <c r="L692" s="2">
        <v>0</v>
      </c>
      <c r="M692" s="2">
        <v>2</v>
      </c>
      <c r="N692" s="2">
        <v>2</v>
      </c>
    </row>
    <row r="693" spans="1:14" x14ac:dyDescent="0.3">
      <c r="A693" s="2">
        <v>692</v>
      </c>
      <c r="B693" s="1">
        <v>40575</v>
      </c>
      <c r="C693" s="2">
        <v>1</v>
      </c>
      <c r="D693" s="2">
        <v>3</v>
      </c>
      <c r="E693" t="b">
        <v>0</v>
      </c>
      <c r="F693" s="2">
        <v>2</v>
      </c>
      <c r="G693" s="2">
        <v>2</v>
      </c>
      <c r="H693" s="23">
        <v>0.16</v>
      </c>
      <c r="I693" s="25">
        <v>0.2273</v>
      </c>
      <c r="J693" s="23">
        <v>0.69</v>
      </c>
      <c r="K693" s="25">
        <v>0</v>
      </c>
      <c r="L693" s="2">
        <v>0</v>
      </c>
      <c r="M693" s="2">
        <v>2</v>
      </c>
      <c r="N693" s="2">
        <v>2</v>
      </c>
    </row>
    <row r="694" spans="1:14" x14ac:dyDescent="0.3">
      <c r="A694" s="2">
        <v>693</v>
      </c>
      <c r="B694" s="1">
        <v>40575</v>
      </c>
      <c r="C694" s="2">
        <v>1</v>
      </c>
      <c r="D694" s="2">
        <v>5</v>
      </c>
      <c r="E694" t="b">
        <v>0</v>
      </c>
      <c r="F694" s="2">
        <v>2</v>
      </c>
      <c r="G694" s="2">
        <v>3</v>
      </c>
      <c r="H694" s="23">
        <v>0.14000000000000001</v>
      </c>
      <c r="I694" s="25">
        <v>0.21210000000000001</v>
      </c>
      <c r="J694" s="23">
        <v>0.93</v>
      </c>
      <c r="K694" s="25">
        <v>0</v>
      </c>
      <c r="L694" s="2">
        <v>0</v>
      </c>
      <c r="M694" s="2">
        <v>3</v>
      </c>
      <c r="N694" s="2">
        <v>3</v>
      </c>
    </row>
    <row r="695" spans="1:14" x14ac:dyDescent="0.3">
      <c r="A695" s="2">
        <v>694</v>
      </c>
      <c r="B695" s="1">
        <v>40575</v>
      </c>
      <c r="C695" s="2">
        <v>1</v>
      </c>
      <c r="D695" s="2">
        <v>6</v>
      </c>
      <c r="E695" t="b">
        <v>0</v>
      </c>
      <c r="F695" s="2">
        <v>2</v>
      </c>
      <c r="G695" s="2">
        <v>3</v>
      </c>
      <c r="H695" s="23">
        <v>0.14000000000000001</v>
      </c>
      <c r="I695" s="25">
        <v>0.21210000000000001</v>
      </c>
      <c r="J695" s="23">
        <v>0.93</v>
      </c>
      <c r="K695" s="25">
        <v>0</v>
      </c>
      <c r="L695" s="2">
        <v>0</v>
      </c>
      <c r="M695" s="2">
        <v>22</v>
      </c>
      <c r="N695" s="2">
        <v>22</v>
      </c>
    </row>
    <row r="696" spans="1:14" x14ac:dyDescent="0.3">
      <c r="A696" s="2">
        <v>695</v>
      </c>
      <c r="B696" s="1">
        <v>40575</v>
      </c>
      <c r="C696" s="2">
        <v>1</v>
      </c>
      <c r="D696" s="2">
        <v>7</v>
      </c>
      <c r="E696" t="b">
        <v>0</v>
      </c>
      <c r="F696" s="2">
        <v>2</v>
      </c>
      <c r="G696" s="2">
        <v>3</v>
      </c>
      <c r="H696" s="23">
        <v>0.16</v>
      </c>
      <c r="I696" s="25">
        <v>0.2273</v>
      </c>
      <c r="J696" s="23">
        <v>0.93</v>
      </c>
      <c r="K696" s="25">
        <v>0</v>
      </c>
      <c r="L696" s="2">
        <v>0</v>
      </c>
      <c r="M696" s="2">
        <v>52</v>
      </c>
      <c r="N696" s="2">
        <v>52</v>
      </c>
    </row>
    <row r="697" spans="1:14" x14ac:dyDescent="0.3">
      <c r="A697" s="2">
        <v>696</v>
      </c>
      <c r="B697" s="1">
        <v>40575</v>
      </c>
      <c r="C697" s="2">
        <v>1</v>
      </c>
      <c r="D697" s="2">
        <v>8</v>
      </c>
      <c r="E697" t="b">
        <v>0</v>
      </c>
      <c r="F697" s="2">
        <v>2</v>
      </c>
      <c r="G697" s="2">
        <v>3</v>
      </c>
      <c r="H697" s="23">
        <v>0.16</v>
      </c>
      <c r="I697" s="25">
        <v>0.2273</v>
      </c>
      <c r="J697" s="23">
        <v>0.93</v>
      </c>
      <c r="K697" s="25">
        <v>0</v>
      </c>
      <c r="L697" s="2">
        <v>3</v>
      </c>
      <c r="M697" s="2">
        <v>132</v>
      </c>
      <c r="N697" s="2">
        <v>135</v>
      </c>
    </row>
    <row r="698" spans="1:14" x14ac:dyDescent="0.3">
      <c r="A698" s="2">
        <v>697</v>
      </c>
      <c r="B698" s="1">
        <v>40575</v>
      </c>
      <c r="C698" s="2">
        <v>1</v>
      </c>
      <c r="D698" s="2">
        <v>9</v>
      </c>
      <c r="E698" t="b">
        <v>0</v>
      </c>
      <c r="F698" s="2">
        <v>2</v>
      </c>
      <c r="G698" s="2">
        <v>2</v>
      </c>
      <c r="H698" s="23">
        <v>0.16</v>
      </c>
      <c r="I698" s="25">
        <v>0.2273</v>
      </c>
      <c r="J698" s="23">
        <v>0.93</v>
      </c>
      <c r="K698" s="25">
        <v>0</v>
      </c>
      <c r="L698" s="2">
        <v>2</v>
      </c>
      <c r="M698" s="2">
        <v>114</v>
      </c>
      <c r="N698" s="2">
        <v>116</v>
      </c>
    </row>
    <row r="699" spans="1:14" x14ac:dyDescent="0.3">
      <c r="A699" s="2">
        <v>698</v>
      </c>
      <c r="B699" s="1">
        <v>40575</v>
      </c>
      <c r="C699" s="2">
        <v>1</v>
      </c>
      <c r="D699" s="2">
        <v>10</v>
      </c>
      <c r="E699" t="b">
        <v>0</v>
      </c>
      <c r="F699" s="2">
        <v>2</v>
      </c>
      <c r="G699" s="2">
        <v>2</v>
      </c>
      <c r="H699" s="23">
        <v>0.16</v>
      </c>
      <c r="I699" s="25">
        <v>0.2273</v>
      </c>
      <c r="J699" s="23">
        <v>0.93</v>
      </c>
      <c r="K699" s="25">
        <v>0</v>
      </c>
      <c r="L699" s="2">
        <v>0</v>
      </c>
      <c r="M699" s="2">
        <v>47</v>
      </c>
      <c r="N699" s="2">
        <v>47</v>
      </c>
    </row>
    <row r="700" spans="1:14" x14ac:dyDescent="0.3">
      <c r="A700" s="2">
        <v>699</v>
      </c>
      <c r="B700" s="1">
        <v>40575</v>
      </c>
      <c r="C700" s="2">
        <v>1</v>
      </c>
      <c r="D700" s="2">
        <v>11</v>
      </c>
      <c r="E700" t="b">
        <v>0</v>
      </c>
      <c r="F700" s="2">
        <v>2</v>
      </c>
      <c r="G700" s="2">
        <v>2</v>
      </c>
      <c r="H700" s="23">
        <v>0.18</v>
      </c>
      <c r="I700" s="25">
        <v>0.2424</v>
      </c>
      <c r="J700" s="23">
        <v>0.86</v>
      </c>
      <c r="K700" s="25">
        <v>0</v>
      </c>
      <c r="L700" s="2">
        <v>2</v>
      </c>
      <c r="M700" s="2">
        <v>49</v>
      </c>
      <c r="N700" s="2">
        <v>51</v>
      </c>
    </row>
    <row r="701" spans="1:14" x14ac:dyDescent="0.3">
      <c r="A701" s="2">
        <v>700</v>
      </c>
      <c r="B701" s="1">
        <v>40575</v>
      </c>
      <c r="C701" s="2">
        <v>1</v>
      </c>
      <c r="D701" s="2">
        <v>12</v>
      </c>
      <c r="E701" t="b">
        <v>0</v>
      </c>
      <c r="F701" s="2">
        <v>2</v>
      </c>
      <c r="G701" s="2">
        <v>2</v>
      </c>
      <c r="H701" s="23">
        <v>0.2</v>
      </c>
      <c r="I701" s="25">
        <v>0.2576</v>
      </c>
      <c r="J701" s="23">
        <v>0.86</v>
      </c>
      <c r="K701" s="25">
        <v>0</v>
      </c>
      <c r="L701" s="2">
        <v>2</v>
      </c>
      <c r="M701" s="2">
        <v>53</v>
      </c>
      <c r="N701" s="2">
        <v>55</v>
      </c>
    </row>
    <row r="702" spans="1:14" x14ac:dyDescent="0.3">
      <c r="A702" s="2">
        <v>701</v>
      </c>
      <c r="B702" s="1">
        <v>40575</v>
      </c>
      <c r="C702" s="2">
        <v>1</v>
      </c>
      <c r="D702" s="2">
        <v>13</v>
      </c>
      <c r="E702" t="b">
        <v>0</v>
      </c>
      <c r="F702" s="2">
        <v>2</v>
      </c>
      <c r="G702" s="2">
        <v>2</v>
      </c>
      <c r="H702" s="23">
        <v>0.2</v>
      </c>
      <c r="I702" s="25">
        <v>0.2576</v>
      </c>
      <c r="J702" s="23">
        <v>0.86</v>
      </c>
      <c r="K702" s="25">
        <v>0</v>
      </c>
      <c r="L702" s="2">
        <v>3</v>
      </c>
      <c r="M702" s="2">
        <v>49</v>
      </c>
      <c r="N702" s="2">
        <v>52</v>
      </c>
    </row>
    <row r="703" spans="1:14" x14ac:dyDescent="0.3">
      <c r="A703" s="2">
        <v>702</v>
      </c>
      <c r="B703" s="1">
        <v>40575</v>
      </c>
      <c r="C703" s="2">
        <v>1</v>
      </c>
      <c r="D703" s="2">
        <v>14</v>
      </c>
      <c r="E703" t="b">
        <v>0</v>
      </c>
      <c r="F703" s="2">
        <v>2</v>
      </c>
      <c r="G703" s="2">
        <v>2</v>
      </c>
      <c r="H703" s="23">
        <v>0.22</v>
      </c>
      <c r="I703" s="25">
        <v>0.2576</v>
      </c>
      <c r="J703" s="23">
        <v>0.8</v>
      </c>
      <c r="K703" s="25">
        <v>8.9599999999999999E-2</v>
      </c>
      <c r="L703" s="2">
        <v>5</v>
      </c>
      <c r="M703" s="2">
        <v>49</v>
      </c>
      <c r="N703" s="2">
        <v>54</v>
      </c>
    </row>
    <row r="704" spans="1:14" x14ac:dyDescent="0.3">
      <c r="A704" s="2">
        <v>703</v>
      </c>
      <c r="B704" s="1">
        <v>40575</v>
      </c>
      <c r="C704" s="2">
        <v>1</v>
      </c>
      <c r="D704" s="2">
        <v>15</v>
      </c>
      <c r="E704" t="b">
        <v>0</v>
      </c>
      <c r="F704" s="2">
        <v>2</v>
      </c>
      <c r="G704" s="2">
        <v>2</v>
      </c>
      <c r="H704" s="23">
        <v>0.24</v>
      </c>
      <c r="I704" s="25">
        <v>0.28789999999999999</v>
      </c>
      <c r="J704" s="23">
        <v>0.75</v>
      </c>
      <c r="K704" s="25">
        <v>0</v>
      </c>
      <c r="L704" s="2">
        <v>7</v>
      </c>
      <c r="M704" s="2">
        <v>45</v>
      </c>
      <c r="N704" s="2">
        <v>52</v>
      </c>
    </row>
    <row r="705" spans="1:14" x14ac:dyDescent="0.3">
      <c r="A705" s="2">
        <v>704</v>
      </c>
      <c r="B705" s="1">
        <v>40575</v>
      </c>
      <c r="C705" s="2">
        <v>1</v>
      </c>
      <c r="D705" s="2">
        <v>16</v>
      </c>
      <c r="E705" t="b">
        <v>0</v>
      </c>
      <c r="F705" s="2">
        <v>2</v>
      </c>
      <c r="G705" s="2">
        <v>2</v>
      </c>
      <c r="H705" s="23">
        <v>0.24</v>
      </c>
      <c r="I705" s="25">
        <v>0.2424</v>
      </c>
      <c r="J705" s="23">
        <v>0.75</v>
      </c>
      <c r="K705" s="25">
        <v>0.1343</v>
      </c>
      <c r="L705" s="2">
        <v>3</v>
      </c>
      <c r="M705" s="2">
        <v>61</v>
      </c>
      <c r="N705" s="2">
        <v>64</v>
      </c>
    </row>
    <row r="706" spans="1:14" x14ac:dyDescent="0.3">
      <c r="A706" s="2">
        <v>705</v>
      </c>
      <c r="B706" s="1">
        <v>40575</v>
      </c>
      <c r="C706" s="2">
        <v>1</v>
      </c>
      <c r="D706" s="2">
        <v>17</v>
      </c>
      <c r="E706" t="b">
        <v>0</v>
      </c>
      <c r="F706" s="2">
        <v>2</v>
      </c>
      <c r="G706" s="2">
        <v>2</v>
      </c>
      <c r="H706" s="23">
        <v>0.24</v>
      </c>
      <c r="I706" s="25">
        <v>0.28789999999999999</v>
      </c>
      <c r="J706" s="23">
        <v>0.75</v>
      </c>
      <c r="K706" s="25">
        <v>0</v>
      </c>
      <c r="L706" s="2">
        <v>4</v>
      </c>
      <c r="M706" s="2">
        <v>172</v>
      </c>
      <c r="N706" s="2">
        <v>176</v>
      </c>
    </row>
    <row r="707" spans="1:14" x14ac:dyDescent="0.3">
      <c r="A707" s="2">
        <v>706</v>
      </c>
      <c r="B707" s="1">
        <v>40575</v>
      </c>
      <c r="C707" s="2">
        <v>1</v>
      </c>
      <c r="D707" s="2">
        <v>18</v>
      </c>
      <c r="E707" t="b">
        <v>0</v>
      </c>
      <c r="F707" s="2">
        <v>2</v>
      </c>
      <c r="G707" s="2">
        <v>2</v>
      </c>
      <c r="H707" s="23">
        <v>0.24</v>
      </c>
      <c r="I707" s="25">
        <v>0.2576</v>
      </c>
      <c r="J707" s="23">
        <v>0.81</v>
      </c>
      <c r="K707" s="25">
        <v>0.1045</v>
      </c>
      <c r="L707" s="2">
        <v>3</v>
      </c>
      <c r="M707" s="2">
        <v>165</v>
      </c>
      <c r="N707" s="2">
        <v>168</v>
      </c>
    </row>
    <row r="708" spans="1:14" x14ac:dyDescent="0.3">
      <c r="A708" s="2">
        <v>707</v>
      </c>
      <c r="B708" s="1">
        <v>40575</v>
      </c>
      <c r="C708" s="2">
        <v>1</v>
      </c>
      <c r="D708" s="2">
        <v>19</v>
      </c>
      <c r="E708" t="b">
        <v>0</v>
      </c>
      <c r="F708" s="2">
        <v>2</v>
      </c>
      <c r="G708" s="2">
        <v>2</v>
      </c>
      <c r="H708" s="23">
        <v>0.24</v>
      </c>
      <c r="I708" s="25">
        <v>0.2424</v>
      </c>
      <c r="J708" s="23">
        <v>0.81</v>
      </c>
      <c r="K708" s="25">
        <v>0.1343</v>
      </c>
      <c r="L708" s="2">
        <v>3</v>
      </c>
      <c r="M708" s="2">
        <v>105</v>
      </c>
      <c r="N708" s="2">
        <v>108</v>
      </c>
    </row>
    <row r="709" spans="1:14" x14ac:dyDescent="0.3">
      <c r="A709" s="2">
        <v>708</v>
      </c>
      <c r="B709" s="1">
        <v>40575</v>
      </c>
      <c r="C709" s="2">
        <v>1</v>
      </c>
      <c r="D709" s="2">
        <v>20</v>
      </c>
      <c r="E709" t="b">
        <v>0</v>
      </c>
      <c r="F709" s="2">
        <v>2</v>
      </c>
      <c r="G709" s="2">
        <v>2</v>
      </c>
      <c r="H709" s="23">
        <v>0.22</v>
      </c>
      <c r="I709" s="25">
        <v>0.2273</v>
      </c>
      <c r="J709" s="23">
        <v>0.87</v>
      </c>
      <c r="K709" s="25">
        <v>0.1343</v>
      </c>
      <c r="L709" s="2">
        <v>5</v>
      </c>
      <c r="M709" s="2">
        <v>69</v>
      </c>
      <c r="N709" s="2">
        <v>74</v>
      </c>
    </row>
    <row r="710" spans="1:14" x14ac:dyDescent="0.3">
      <c r="A710" s="2">
        <v>709</v>
      </c>
      <c r="B710" s="1">
        <v>40575</v>
      </c>
      <c r="C710" s="2">
        <v>1</v>
      </c>
      <c r="D710" s="2">
        <v>21</v>
      </c>
      <c r="E710" t="b">
        <v>0</v>
      </c>
      <c r="F710" s="2">
        <v>2</v>
      </c>
      <c r="G710" s="2">
        <v>2</v>
      </c>
      <c r="H710" s="23">
        <v>0.22</v>
      </c>
      <c r="I710" s="25">
        <v>0.2273</v>
      </c>
      <c r="J710" s="23">
        <v>0.87</v>
      </c>
      <c r="K710" s="25">
        <v>0.1343</v>
      </c>
      <c r="L710" s="2">
        <v>0</v>
      </c>
      <c r="M710" s="2">
        <v>64</v>
      </c>
      <c r="N710" s="2">
        <v>64</v>
      </c>
    </row>
    <row r="711" spans="1:14" x14ac:dyDescent="0.3">
      <c r="A711" s="2">
        <v>710</v>
      </c>
      <c r="B711" s="1">
        <v>40575</v>
      </c>
      <c r="C711" s="2">
        <v>1</v>
      </c>
      <c r="D711" s="2">
        <v>22</v>
      </c>
      <c r="E711" t="b">
        <v>0</v>
      </c>
      <c r="F711" s="2">
        <v>2</v>
      </c>
      <c r="G711" s="2">
        <v>2</v>
      </c>
      <c r="H711" s="23">
        <v>0.22</v>
      </c>
      <c r="I711" s="25">
        <v>0.2576</v>
      </c>
      <c r="J711" s="23">
        <v>0.87</v>
      </c>
      <c r="K711" s="25">
        <v>8.9599999999999999E-2</v>
      </c>
      <c r="L711" s="2">
        <v>2</v>
      </c>
      <c r="M711" s="2">
        <v>34</v>
      </c>
      <c r="N711" s="2">
        <v>36</v>
      </c>
    </row>
    <row r="712" spans="1:14" x14ac:dyDescent="0.3">
      <c r="A712" s="2">
        <v>711</v>
      </c>
      <c r="B712" s="1">
        <v>40575</v>
      </c>
      <c r="C712" s="2">
        <v>1</v>
      </c>
      <c r="D712" s="2">
        <v>23</v>
      </c>
      <c r="E712" t="b">
        <v>0</v>
      </c>
      <c r="F712" s="2">
        <v>2</v>
      </c>
      <c r="G712" s="2">
        <v>3</v>
      </c>
      <c r="H712" s="23">
        <v>0.2</v>
      </c>
      <c r="I712" s="25">
        <v>0.19700000000000001</v>
      </c>
      <c r="J712" s="23">
        <v>0.93</v>
      </c>
      <c r="K712" s="25">
        <v>0.19400000000000001</v>
      </c>
      <c r="L712" s="2">
        <v>1</v>
      </c>
      <c r="M712" s="2">
        <v>15</v>
      </c>
      <c r="N712" s="2">
        <v>16</v>
      </c>
    </row>
    <row r="713" spans="1:14" x14ac:dyDescent="0.3">
      <c r="A713" s="2">
        <v>712</v>
      </c>
      <c r="B713" s="1">
        <v>40576</v>
      </c>
      <c r="C713" s="2">
        <v>1</v>
      </c>
      <c r="D713" s="2">
        <v>0</v>
      </c>
      <c r="E713" t="b">
        <v>0</v>
      </c>
      <c r="F713" s="2">
        <v>3</v>
      </c>
      <c r="G713" s="2">
        <v>3</v>
      </c>
      <c r="H713" s="23">
        <v>0.22</v>
      </c>
      <c r="I713" s="25">
        <v>0.2424</v>
      </c>
      <c r="J713" s="23">
        <v>0.93</v>
      </c>
      <c r="K713" s="25">
        <v>0.1045</v>
      </c>
      <c r="L713" s="2">
        <v>0</v>
      </c>
      <c r="M713" s="2">
        <v>2</v>
      </c>
      <c r="N713" s="2">
        <v>2</v>
      </c>
    </row>
    <row r="714" spans="1:14" x14ac:dyDescent="0.3">
      <c r="A714" s="2">
        <v>713</v>
      </c>
      <c r="B714" s="1">
        <v>40576</v>
      </c>
      <c r="C714" s="2">
        <v>1</v>
      </c>
      <c r="D714" s="2">
        <v>1</v>
      </c>
      <c r="E714" t="b">
        <v>0</v>
      </c>
      <c r="F714" s="2">
        <v>3</v>
      </c>
      <c r="G714" s="2">
        <v>3</v>
      </c>
      <c r="H714" s="23">
        <v>0.22</v>
      </c>
      <c r="I714" s="25">
        <v>0.2273</v>
      </c>
      <c r="J714" s="23">
        <v>0.93</v>
      </c>
      <c r="K714" s="25">
        <v>0.19400000000000001</v>
      </c>
      <c r="L714" s="2">
        <v>0</v>
      </c>
      <c r="M714" s="2">
        <v>3</v>
      </c>
      <c r="N714" s="2">
        <v>3</v>
      </c>
    </row>
    <row r="715" spans="1:14" x14ac:dyDescent="0.3">
      <c r="A715" s="2">
        <v>714</v>
      </c>
      <c r="B715" s="1">
        <v>40576</v>
      </c>
      <c r="C715" s="2">
        <v>1</v>
      </c>
      <c r="D715" s="2">
        <v>2</v>
      </c>
      <c r="E715" t="b">
        <v>0</v>
      </c>
      <c r="F715" s="2">
        <v>3</v>
      </c>
      <c r="G715" s="2">
        <v>3</v>
      </c>
      <c r="H715" s="23">
        <v>0.22</v>
      </c>
      <c r="I715" s="25">
        <v>0.2273</v>
      </c>
      <c r="J715" s="23">
        <v>0.93</v>
      </c>
      <c r="K715" s="25">
        <v>0.1343</v>
      </c>
      <c r="L715" s="2">
        <v>4</v>
      </c>
      <c r="M715" s="2">
        <v>0</v>
      </c>
      <c r="N715" s="2">
        <v>4</v>
      </c>
    </row>
    <row r="716" spans="1:14" x14ac:dyDescent="0.3">
      <c r="A716" s="2">
        <v>715</v>
      </c>
      <c r="B716" s="1">
        <v>40576</v>
      </c>
      <c r="C716" s="2">
        <v>1</v>
      </c>
      <c r="D716" s="2">
        <v>3</v>
      </c>
      <c r="E716" t="b">
        <v>0</v>
      </c>
      <c r="F716" s="2">
        <v>3</v>
      </c>
      <c r="G716" s="2">
        <v>3</v>
      </c>
      <c r="H716" s="23">
        <v>0.22</v>
      </c>
      <c r="I716" s="25">
        <v>0.2273</v>
      </c>
      <c r="J716" s="23">
        <v>0.93</v>
      </c>
      <c r="K716" s="25">
        <v>0.1343</v>
      </c>
      <c r="L716" s="2">
        <v>0</v>
      </c>
      <c r="M716" s="2">
        <v>1</v>
      </c>
      <c r="N716" s="2">
        <v>1</v>
      </c>
    </row>
    <row r="717" spans="1:14" x14ac:dyDescent="0.3">
      <c r="A717" s="2">
        <v>716</v>
      </c>
      <c r="B717" s="1">
        <v>40576</v>
      </c>
      <c r="C717" s="2">
        <v>1</v>
      </c>
      <c r="D717" s="2">
        <v>4</v>
      </c>
      <c r="E717" t="b">
        <v>0</v>
      </c>
      <c r="F717" s="2">
        <v>3</v>
      </c>
      <c r="G717" s="2">
        <v>3</v>
      </c>
      <c r="H717" s="23">
        <v>0.22</v>
      </c>
      <c r="I717" s="25">
        <v>0.21210000000000001</v>
      </c>
      <c r="J717" s="23">
        <v>0.93</v>
      </c>
      <c r="K717" s="25">
        <v>0.28360000000000002</v>
      </c>
      <c r="L717" s="2">
        <v>0</v>
      </c>
      <c r="M717" s="2">
        <v>1</v>
      </c>
      <c r="N717" s="2">
        <v>1</v>
      </c>
    </row>
    <row r="718" spans="1:14" x14ac:dyDescent="0.3">
      <c r="A718" s="2">
        <v>717</v>
      </c>
      <c r="B718" s="1">
        <v>40576</v>
      </c>
      <c r="C718" s="2">
        <v>1</v>
      </c>
      <c r="D718" s="2">
        <v>5</v>
      </c>
      <c r="E718" t="b">
        <v>0</v>
      </c>
      <c r="F718" s="2">
        <v>3</v>
      </c>
      <c r="G718" s="2">
        <v>3</v>
      </c>
      <c r="H718" s="23">
        <v>0.22</v>
      </c>
      <c r="I718" s="25">
        <v>0.2424</v>
      </c>
      <c r="J718" s="23">
        <v>0.93</v>
      </c>
      <c r="K718" s="25">
        <v>0.1045</v>
      </c>
      <c r="L718" s="2">
        <v>0</v>
      </c>
      <c r="M718" s="2">
        <v>3</v>
      </c>
      <c r="N718" s="2">
        <v>3</v>
      </c>
    </row>
    <row r="719" spans="1:14" x14ac:dyDescent="0.3">
      <c r="A719" s="2">
        <v>718</v>
      </c>
      <c r="B719" s="1">
        <v>40576</v>
      </c>
      <c r="C719" s="2">
        <v>1</v>
      </c>
      <c r="D719" s="2">
        <v>6</v>
      </c>
      <c r="E719" t="b">
        <v>0</v>
      </c>
      <c r="F719" s="2">
        <v>3</v>
      </c>
      <c r="G719" s="2">
        <v>3</v>
      </c>
      <c r="H719" s="23">
        <v>0.22</v>
      </c>
      <c r="I719" s="25">
        <v>0.2424</v>
      </c>
      <c r="J719" s="23">
        <v>0.93</v>
      </c>
      <c r="K719" s="25">
        <v>0.1045</v>
      </c>
      <c r="L719" s="2">
        <v>1</v>
      </c>
      <c r="M719" s="2">
        <v>17</v>
      </c>
      <c r="N719" s="2">
        <v>18</v>
      </c>
    </row>
    <row r="720" spans="1:14" x14ac:dyDescent="0.3">
      <c r="A720" s="2">
        <v>719</v>
      </c>
      <c r="B720" s="1">
        <v>40576</v>
      </c>
      <c r="C720" s="2">
        <v>1</v>
      </c>
      <c r="D720" s="2">
        <v>7</v>
      </c>
      <c r="E720" t="b">
        <v>0</v>
      </c>
      <c r="F720" s="2">
        <v>3</v>
      </c>
      <c r="G720" s="2">
        <v>3</v>
      </c>
      <c r="H720" s="23">
        <v>0.22</v>
      </c>
      <c r="I720" s="25">
        <v>0.21210000000000001</v>
      </c>
      <c r="J720" s="23">
        <v>0.93</v>
      </c>
      <c r="K720" s="25">
        <v>0.22389999999999999</v>
      </c>
      <c r="L720" s="2">
        <v>1</v>
      </c>
      <c r="M720" s="2">
        <v>48</v>
      </c>
      <c r="N720" s="2">
        <v>49</v>
      </c>
    </row>
    <row r="721" spans="1:14" x14ac:dyDescent="0.3">
      <c r="A721" s="2">
        <v>720</v>
      </c>
      <c r="B721" s="1">
        <v>40576</v>
      </c>
      <c r="C721" s="2">
        <v>1</v>
      </c>
      <c r="D721" s="2">
        <v>8</v>
      </c>
      <c r="E721" t="b">
        <v>0</v>
      </c>
      <c r="F721" s="2">
        <v>3</v>
      </c>
      <c r="G721" s="2">
        <v>3</v>
      </c>
      <c r="H721" s="23">
        <v>0.22</v>
      </c>
      <c r="I721" s="25">
        <v>0.21210000000000001</v>
      </c>
      <c r="J721" s="23">
        <v>0.93</v>
      </c>
      <c r="K721" s="25">
        <v>0.22389999999999999</v>
      </c>
      <c r="L721" s="2">
        <v>1</v>
      </c>
      <c r="M721" s="2">
        <v>154</v>
      </c>
      <c r="N721" s="2">
        <v>155</v>
      </c>
    </row>
    <row r="722" spans="1:14" x14ac:dyDescent="0.3">
      <c r="A722" s="2">
        <v>721</v>
      </c>
      <c r="B722" s="1">
        <v>40576</v>
      </c>
      <c r="C722" s="2">
        <v>1</v>
      </c>
      <c r="D722" s="2">
        <v>9</v>
      </c>
      <c r="E722" t="b">
        <v>0</v>
      </c>
      <c r="F722" s="2">
        <v>3</v>
      </c>
      <c r="G722" s="2">
        <v>2</v>
      </c>
      <c r="H722" s="23">
        <v>0.24</v>
      </c>
      <c r="I722" s="25">
        <v>0.2576</v>
      </c>
      <c r="J722" s="23">
        <v>0.93</v>
      </c>
      <c r="K722" s="25">
        <v>8.9599999999999999E-2</v>
      </c>
      <c r="L722" s="2">
        <v>4</v>
      </c>
      <c r="M722" s="2">
        <v>119</v>
      </c>
      <c r="N722" s="2">
        <v>123</v>
      </c>
    </row>
    <row r="723" spans="1:14" x14ac:dyDescent="0.3">
      <c r="A723" s="2">
        <v>722</v>
      </c>
      <c r="B723" s="1">
        <v>40576</v>
      </c>
      <c r="C723" s="2">
        <v>1</v>
      </c>
      <c r="D723" s="2">
        <v>10</v>
      </c>
      <c r="E723" t="b">
        <v>0</v>
      </c>
      <c r="F723" s="2">
        <v>3</v>
      </c>
      <c r="G723" s="2">
        <v>2</v>
      </c>
      <c r="H723" s="23">
        <v>0.22</v>
      </c>
      <c r="I723" s="25">
        <v>0.2727</v>
      </c>
      <c r="J723" s="23">
        <v>1</v>
      </c>
      <c r="K723" s="25">
        <v>0</v>
      </c>
      <c r="L723" s="2">
        <v>2</v>
      </c>
      <c r="M723" s="2">
        <v>59</v>
      </c>
      <c r="N723" s="2">
        <v>61</v>
      </c>
    </row>
    <row r="724" spans="1:14" x14ac:dyDescent="0.3">
      <c r="A724" s="2">
        <v>723</v>
      </c>
      <c r="B724" s="1">
        <v>40576</v>
      </c>
      <c r="C724" s="2">
        <v>1</v>
      </c>
      <c r="D724" s="2">
        <v>11</v>
      </c>
      <c r="E724" t="b">
        <v>0</v>
      </c>
      <c r="F724" s="2">
        <v>3</v>
      </c>
      <c r="G724" s="2">
        <v>2</v>
      </c>
      <c r="H724" s="23">
        <v>0.24</v>
      </c>
      <c r="I724" s="25">
        <v>0.2273</v>
      </c>
      <c r="J724" s="23">
        <v>0.93</v>
      </c>
      <c r="K724" s="25">
        <v>0.19400000000000001</v>
      </c>
      <c r="L724" s="2">
        <v>5</v>
      </c>
      <c r="M724" s="2">
        <v>47</v>
      </c>
      <c r="N724" s="2">
        <v>52</v>
      </c>
    </row>
    <row r="725" spans="1:14" x14ac:dyDescent="0.3">
      <c r="A725" s="2">
        <v>724</v>
      </c>
      <c r="B725" s="1">
        <v>40576</v>
      </c>
      <c r="C725" s="2">
        <v>1</v>
      </c>
      <c r="D725" s="2">
        <v>12</v>
      </c>
      <c r="E725" t="b">
        <v>0</v>
      </c>
      <c r="F725" s="2">
        <v>3</v>
      </c>
      <c r="G725" s="2">
        <v>2</v>
      </c>
      <c r="H725" s="23">
        <v>0.24</v>
      </c>
      <c r="I725" s="25">
        <v>0.2273</v>
      </c>
      <c r="J725" s="23">
        <v>0.93</v>
      </c>
      <c r="K725" s="25">
        <v>0.22389999999999999</v>
      </c>
      <c r="L725" s="2">
        <v>3</v>
      </c>
      <c r="M725" s="2">
        <v>61</v>
      </c>
      <c r="N725" s="2">
        <v>64</v>
      </c>
    </row>
    <row r="726" spans="1:14" x14ac:dyDescent="0.3">
      <c r="A726" s="2">
        <v>725</v>
      </c>
      <c r="B726" s="1">
        <v>40576</v>
      </c>
      <c r="C726" s="2">
        <v>1</v>
      </c>
      <c r="D726" s="2">
        <v>13</v>
      </c>
      <c r="E726" t="b">
        <v>0</v>
      </c>
      <c r="F726" s="2">
        <v>3</v>
      </c>
      <c r="G726" s="2">
        <v>1</v>
      </c>
      <c r="H726" s="23">
        <v>0.34</v>
      </c>
      <c r="I726" s="25">
        <v>0.33329999999999999</v>
      </c>
      <c r="J726" s="23">
        <v>0.93</v>
      </c>
      <c r="K726" s="25">
        <v>0.16420000000000001</v>
      </c>
      <c r="L726" s="2">
        <v>1</v>
      </c>
      <c r="M726" s="2">
        <v>74</v>
      </c>
      <c r="N726" s="2">
        <v>75</v>
      </c>
    </row>
    <row r="727" spans="1:14" x14ac:dyDescent="0.3">
      <c r="A727" s="2">
        <v>726</v>
      </c>
      <c r="B727" s="1">
        <v>40576</v>
      </c>
      <c r="C727" s="2">
        <v>1</v>
      </c>
      <c r="D727" s="2">
        <v>14</v>
      </c>
      <c r="E727" t="b">
        <v>0</v>
      </c>
      <c r="F727" s="2">
        <v>3</v>
      </c>
      <c r="G727" s="2">
        <v>1</v>
      </c>
      <c r="H727" s="23">
        <v>0.38</v>
      </c>
      <c r="I727" s="25">
        <v>0.39389999999999997</v>
      </c>
      <c r="J727" s="23">
        <v>0.82</v>
      </c>
      <c r="K727" s="25">
        <v>0.3881</v>
      </c>
      <c r="L727" s="2">
        <v>2</v>
      </c>
      <c r="M727" s="2">
        <v>61</v>
      </c>
      <c r="N727" s="2">
        <v>63</v>
      </c>
    </row>
    <row r="728" spans="1:14" x14ac:dyDescent="0.3">
      <c r="A728" s="2">
        <v>727</v>
      </c>
      <c r="B728" s="1">
        <v>40576</v>
      </c>
      <c r="C728" s="2">
        <v>1</v>
      </c>
      <c r="D728" s="2">
        <v>15</v>
      </c>
      <c r="E728" t="b">
        <v>0</v>
      </c>
      <c r="F728" s="2">
        <v>3</v>
      </c>
      <c r="G728" s="2">
        <v>1</v>
      </c>
      <c r="H728" s="23">
        <v>0.38</v>
      </c>
      <c r="I728" s="25">
        <v>0.39389999999999997</v>
      </c>
      <c r="J728" s="23">
        <v>0.76</v>
      </c>
      <c r="K728" s="25">
        <v>0.32840000000000003</v>
      </c>
      <c r="L728" s="2">
        <v>10</v>
      </c>
      <c r="M728" s="2">
        <v>66</v>
      </c>
      <c r="N728" s="2">
        <v>76</v>
      </c>
    </row>
    <row r="729" spans="1:14" x14ac:dyDescent="0.3">
      <c r="A729" s="2">
        <v>728</v>
      </c>
      <c r="B729" s="1">
        <v>40576</v>
      </c>
      <c r="C729" s="2">
        <v>1</v>
      </c>
      <c r="D729" s="2">
        <v>16</v>
      </c>
      <c r="E729" t="b">
        <v>0</v>
      </c>
      <c r="F729" s="2">
        <v>3</v>
      </c>
      <c r="G729" s="2">
        <v>1</v>
      </c>
      <c r="H729" s="23">
        <v>0.36</v>
      </c>
      <c r="I729" s="25">
        <v>0.33329999999999999</v>
      </c>
      <c r="J729" s="23">
        <v>0.71</v>
      </c>
      <c r="K729" s="25">
        <v>0.29849999999999999</v>
      </c>
      <c r="L729" s="2">
        <v>8</v>
      </c>
      <c r="M729" s="2">
        <v>95</v>
      </c>
      <c r="N729" s="2">
        <v>103</v>
      </c>
    </row>
    <row r="730" spans="1:14" x14ac:dyDescent="0.3">
      <c r="A730" s="2">
        <v>729</v>
      </c>
      <c r="B730" s="1">
        <v>40576</v>
      </c>
      <c r="C730" s="2">
        <v>1</v>
      </c>
      <c r="D730" s="2">
        <v>17</v>
      </c>
      <c r="E730" t="b">
        <v>0</v>
      </c>
      <c r="F730" s="2">
        <v>3</v>
      </c>
      <c r="G730" s="2">
        <v>1</v>
      </c>
      <c r="H730" s="23">
        <v>0.36</v>
      </c>
      <c r="I730" s="25">
        <v>0.31819999999999998</v>
      </c>
      <c r="J730" s="23">
        <v>0.53</v>
      </c>
      <c r="K730" s="25">
        <v>0.52239999999999998</v>
      </c>
      <c r="L730" s="2">
        <v>7</v>
      </c>
      <c r="M730" s="2">
        <v>183</v>
      </c>
      <c r="N730" s="2">
        <v>190</v>
      </c>
    </row>
    <row r="731" spans="1:14" x14ac:dyDescent="0.3">
      <c r="A731" s="2">
        <v>730</v>
      </c>
      <c r="B731" s="1">
        <v>40576</v>
      </c>
      <c r="C731" s="2">
        <v>1</v>
      </c>
      <c r="D731" s="2">
        <v>18</v>
      </c>
      <c r="E731" t="b">
        <v>0</v>
      </c>
      <c r="F731" s="2">
        <v>3</v>
      </c>
      <c r="G731" s="2">
        <v>1</v>
      </c>
      <c r="H731" s="23">
        <v>0.34</v>
      </c>
      <c r="I731" s="25">
        <v>0.28789999999999999</v>
      </c>
      <c r="J731" s="23">
        <v>0.42</v>
      </c>
      <c r="K731" s="25">
        <v>0.55220000000000002</v>
      </c>
      <c r="L731" s="2">
        <v>7</v>
      </c>
      <c r="M731" s="2">
        <v>175</v>
      </c>
      <c r="N731" s="2">
        <v>182</v>
      </c>
    </row>
    <row r="732" spans="1:14" x14ac:dyDescent="0.3">
      <c r="A732" s="2">
        <v>731</v>
      </c>
      <c r="B732" s="1">
        <v>40576</v>
      </c>
      <c r="C732" s="2">
        <v>1</v>
      </c>
      <c r="D732" s="2">
        <v>19</v>
      </c>
      <c r="E732" t="b">
        <v>0</v>
      </c>
      <c r="F732" s="2">
        <v>3</v>
      </c>
      <c r="G732" s="2">
        <v>1</v>
      </c>
      <c r="H732" s="23">
        <v>0.28000000000000003</v>
      </c>
      <c r="I732" s="25">
        <v>0.2424</v>
      </c>
      <c r="J732" s="23">
        <v>0.45</v>
      </c>
      <c r="K732" s="25">
        <v>0.49249999999999999</v>
      </c>
      <c r="L732" s="2">
        <v>3</v>
      </c>
      <c r="M732" s="2">
        <v>88</v>
      </c>
      <c r="N732" s="2">
        <v>91</v>
      </c>
    </row>
    <row r="733" spans="1:14" x14ac:dyDescent="0.3">
      <c r="A733" s="2">
        <v>732</v>
      </c>
      <c r="B733" s="1">
        <v>40576</v>
      </c>
      <c r="C733" s="2">
        <v>1</v>
      </c>
      <c r="D733" s="2">
        <v>20</v>
      </c>
      <c r="E733" t="b">
        <v>0</v>
      </c>
      <c r="F733" s="2">
        <v>3</v>
      </c>
      <c r="G733" s="2">
        <v>1</v>
      </c>
      <c r="H733" s="23">
        <v>0.24</v>
      </c>
      <c r="I733" s="25">
        <v>0.19700000000000001</v>
      </c>
      <c r="J733" s="23">
        <v>0.48</v>
      </c>
      <c r="K733" s="25">
        <v>0.55220000000000002</v>
      </c>
      <c r="L733" s="2">
        <v>4</v>
      </c>
      <c r="M733" s="2">
        <v>71</v>
      </c>
      <c r="N733" s="2">
        <v>75</v>
      </c>
    </row>
    <row r="734" spans="1:14" x14ac:dyDescent="0.3">
      <c r="A734" s="2">
        <v>733</v>
      </c>
      <c r="B734" s="1">
        <v>40576</v>
      </c>
      <c r="C734" s="2">
        <v>1</v>
      </c>
      <c r="D734" s="2">
        <v>21</v>
      </c>
      <c r="E734" t="b">
        <v>0</v>
      </c>
      <c r="F734" s="2">
        <v>3</v>
      </c>
      <c r="G734" s="2">
        <v>1</v>
      </c>
      <c r="H734" s="23">
        <v>0.22</v>
      </c>
      <c r="I734" s="25">
        <v>0.19700000000000001</v>
      </c>
      <c r="J734" s="23">
        <v>0.47</v>
      </c>
      <c r="K734" s="25">
        <v>0.32840000000000003</v>
      </c>
      <c r="L734" s="2">
        <v>1</v>
      </c>
      <c r="M734" s="2">
        <v>62</v>
      </c>
      <c r="N734" s="2">
        <v>63</v>
      </c>
    </row>
    <row r="735" spans="1:14" x14ac:dyDescent="0.3">
      <c r="A735" s="2">
        <v>734</v>
      </c>
      <c r="B735" s="1">
        <v>40576</v>
      </c>
      <c r="C735" s="2">
        <v>1</v>
      </c>
      <c r="D735" s="2">
        <v>22</v>
      </c>
      <c r="E735" t="b">
        <v>0</v>
      </c>
      <c r="F735" s="2">
        <v>3</v>
      </c>
      <c r="G735" s="2">
        <v>1</v>
      </c>
      <c r="H735" s="23">
        <v>0.22</v>
      </c>
      <c r="I735" s="25">
        <v>0.21210000000000001</v>
      </c>
      <c r="J735" s="23">
        <v>0.44</v>
      </c>
      <c r="K735" s="25">
        <v>0.25369999999999998</v>
      </c>
      <c r="L735" s="2">
        <v>5</v>
      </c>
      <c r="M735" s="2">
        <v>35</v>
      </c>
      <c r="N735" s="2">
        <v>40</v>
      </c>
    </row>
    <row r="736" spans="1:14" x14ac:dyDescent="0.3">
      <c r="A736" s="2">
        <v>735</v>
      </c>
      <c r="B736" s="1">
        <v>40576</v>
      </c>
      <c r="C736" s="2">
        <v>1</v>
      </c>
      <c r="D736" s="2">
        <v>23</v>
      </c>
      <c r="E736" t="b">
        <v>0</v>
      </c>
      <c r="F736" s="2">
        <v>3</v>
      </c>
      <c r="G736" s="2">
        <v>1</v>
      </c>
      <c r="H736" s="23">
        <v>0.2</v>
      </c>
      <c r="I736" s="25">
        <v>0.16669999999999999</v>
      </c>
      <c r="J736" s="23">
        <v>0.44</v>
      </c>
      <c r="K736" s="25">
        <v>0.44779999999999998</v>
      </c>
      <c r="L736" s="2">
        <v>3</v>
      </c>
      <c r="M736" s="2">
        <v>29</v>
      </c>
      <c r="N736" s="2">
        <v>32</v>
      </c>
    </row>
    <row r="737" spans="1:14" x14ac:dyDescent="0.3">
      <c r="A737" s="2">
        <v>736</v>
      </c>
      <c r="B737" s="1">
        <v>40577</v>
      </c>
      <c r="C737" s="2">
        <v>1</v>
      </c>
      <c r="D737" s="2">
        <v>0</v>
      </c>
      <c r="E737" t="b">
        <v>0</v>
      </c>
      <c r="F737" s="2">
        <v>4</v>
      </c>
      <c r="G737" s="2">
        <v>1</v>
      </c>
      <c r="H737" s="23">
        <v>0.2</v>
      </c>
      <c r="I737" s="25">
        <v>0.16669999999999999</v>
      </c>
      <c r="J737" s="23">
        <v>0.4</v>
      </c>
      <c r="K737" s="25">
        <v>0.44779999999999998</v>
      </c>
      <c r="L737" s="2">
        <v>1</v>
      </c>
      <c r="M737" s="2">
        <v>11</v>
      </c>
      <c r="N737" s="2">
        <v>12</v>
      </c>
    </row>
    <row r="738" spans="1:14" x14ac:dyDescent="0.3">
      <c r="A738" s="2">
        <v>737</v>
      </c>
      <c r="B738" s="1">
        <v>40577</v>
      </c>
      <c r="C738" s="2">
        <v>1</v>
      </c>
      <c r="D738" s="2">
        <v>1</v>
      </c>
      <c r="E738" t="b">
        <v>0</v>
      </c>
      <c r="F738" s="2">
        <v>4</v>
      </c>
      <c r="G738" s="2">
        <v>1</v>
      </c>
      <c r="H738" s="23">
        <v>0.2</v>
      </c>
      <c r="I738" s="25">
        <v>0.1515</v>
      </c>
      <c r="J738" s="23">
        <v>0.44</v>
      </c>
      <c r="K738" s="25">
        <v>0.52239999999999998</v>
      </c>
      <c r="L738" s="2">
        <v>0</v>
      </c>
      <c r="M738" s="2">
        <v>5</v>
      </c>
      <c r="N738" s="2">
        <v>5</v>
      </c>
    </row>
    <row r="739" spans="1:14" x14ac:dyDescent="0.3">
      <c r="A739" s="2">
        <v>738</v>
      </c>
      <c r="B739" s="1">
        <v>40577</v>
      </c>
      <c r="C739" s="2">
        <v>1</v>
      </c>
      <c r="D739" s="2">
        <v>2</v>
      </c>
      <c r="E739" t="b">
        <v>0</v>
      </c>
      <c r="F739" s="2">
        <v>4</v>
      </c>
      <c r="G739" s="2">
        <v>1</v>
      </c>
      <c r="H739" s="23">
        <v>0.18</v>
      </c>
      <c r="I739" s="25">
        <v>0.16669999999999999</v>
      </c>
      <c r="J739" s="23">
        <v>0.43</v>
      </c>
      <c r="K739" s="25">
        <v>0.25369999999999998</v>
      </c>
      <c r="L739" s="2">
        <v>0</v>
      </c>
      <c r="M739" s="2">
        <v>2</v>
      </c>
      <c r="N739" s="2">
        <v>2</v>
      </c>
    </row>
    <row r="740" spans="1:14" x14ac:dyDescent="0.3">
      <c r="A740" s="2">
        <v>739</v>
      </c>
      <c r="B740" s="1">
        <v>40577</v>
      </c>
      <c r="C740" s="2">
        <v>1</v>
      </c>
      <c r="D740" s="2">
        <v>3</v>
      </c>
      <c r="E740" t="b">
        <v>0</v>
      </c>
      <c r="F740" s="2">
        <v>4</v>
      </c>
      <c r="G740" s="2">
        <v>1</v>
      </c>
      <c r="H740" s="23">
        <v>0.18</v>
      </c>
      <c r="I740" s="25">
        <v>0.16669999999999999</v>
      </c>
      <c r="J740" s="23">
        <v>0.43</v>
      </c>
      <c r="K740" s="25">
        <v>0.25369999999999998</v>
      </c>
      <c r="L740" s="2">
        <v>0</v>
      </c>
      <c r="M740" s="2">
        <v>1</v>
      </c>
      <c r="N740" s="2">
        <v>1</v>
      </c>
    </row>
    <row r="741" spans="1:14" x14ac:dyDescent="0.3">
      <c r="A741" s="2">
        <v>740</v>
      </c>
      <c r="B741" s="1">
        <v>40577</v>
      </c>
      <c r="C741" s="2">
        <v>1</v>
      </c>
      <c r="D741" s="2">
        <v>5</v>
      </c>
      <c r="E741" t="b">
        <v>0</v>
      </c>
      <c r="F741" s="2">
        <v>4</v>
      </c>
      <c r="G741" s="2">
        <v>1</v>
      </c>
      <c r="H741" s="23">
        <v>0.16</v>
      </c>
      <c r="I741" s="25">
        <v>0.13639999999999999</v>
      </c>
      <c r="J741" s="23">
        <v>0.5</v>
      </c>
      <c r="K741" s="25">
        <v>0.29849999999999999</v>
      </c>
      <c r="L741" s="2">
        <v>0</v>
      </c>
      <c r="M741" s="2">
        <v>2</v>
      </c>
      <c r="N741" s="2">
        <v>2</v>
      </c>
    </row>
    <row r="742" spans="1:14" x14ac:dyDescent="0.3">
      <c r="A742" s="2">
        <v>741</v>
      </c>
      <c r="B742" s="1">
        <v>40577</v>
      </c>
      <c r="C742" s="2">
        <v>1</v>
      </c>
      <c r="D742" s="2">
        <v>6</v>
      </c>
      <c r="E742" t="b">
        <v>0</v>
      </c>
      <c r="F742" s="2">
        <v>4</v>
      </c>
      <c r="G742" s="2">
        <v>1</v>
      </c>
      <c r="H742" s="23">
        <v>0.16</v>
      </c>
      <c r="I742" s="25">
        <v>0.13639999999999999</v>
      </c>
      <c r="J742" s="23">
        <v>0.43</v>
      </c>
      <c r="K742" s="25">
        <v>0.35820000000000002</v>
      </c>
      <c r="L742" s="2">
        <v>0</v>
      </c>
      <c r="M742" s="2">
        <v>39</v>
      </c>
      <c r="N742" s="2">
        <v>39</v>
      </c>
    </row>
    <row r="743" spans="1:14" x14ac:dyDescent="0.3">
      <c r="A743" s="2">
        <v>742</v>
      </c>
      <c r="B743" s="1">
        <v>40577</v>
      </c>
      <c r="C743" s="2">
        <v>1</v>
      </c>
      <c r="D743" s="2">
        <v>7</v>
      </c>
      <c r="E743" t="b">
        <v>0</v>
      </c>
      <c r="F743" s="2">
        <v>4</v>
      </c>
      <c r="G743" s="2">
        <v>1</v>
      </c>
      <c r="H743" s="23">
        <v>0.14000000000000001</v>
      </c>
      <c r="I743" s="25">
        <v>0.1212</v>
      </c>
      <c r="J743" s="23">
        <v>0.5</v>
      </c>
      <c r="K743" s="25">
        <v>0.32840000000000003</v>
      </c>
      <c r="L743" s="2">
        <v>1</v>
      </c>
      <c r="M743" s="2">
        <v>86</v>
      </c>
      <c r="N743" s="2">
        <v>87</v>
      </c>
    </row>
    <row r="744" spans="1:14" x14ac:dyDescent="0.3">
      <c r="A744" s="2">
        <v>743</v>
      </c>
      <c r="B744" s="1">
        <v>40577</v>
      </c>
      <c r="C744" s="2">
        <v>1</v>
      </c>
      <c r="D744" s="2">
        <v>8</v>
      </c>
      <c r="E744" t="b">
        <v>0</v>
      </c>
      <c r="F744" s="2">
        <v>4</v>
      </c>
      <c r="G744" s="2">
        <v>1</v>
      </c>
      <c r="H744" s="23">
        <v>0.14000000000000001</v>
      </c>
      <c r="I744" s="25">
        <v>0.1212</v>
      </c>
      <c r="J744" s="23">
        <v>0.5</v>
      </c>
      <c r="K744" s="25">
        <v>0.35820000000000002</v>
      </c>
      <c r="L744" s="2">
        <v>4</v>
      </c>
      <c r="M744" s="2">
        <v>184</v>
      </c>
      <c r="N744" s="2">
        <v>188</v>
      </c>
    </row>
    <row r="745" spans="1:14" x14ac:dyDescent="0.3">
      <c r="A745" s="2">
        <v>744</v>
      </c>
      <c r="B745" s="1">
        <v>40577</v>
      </c>
      <c r="C745" s="2">
        <v>1</v>
      </c>
      <c r="D745" s="2">
        <v>9</v>
      </c>
      <c r="E745" t="b">
        <v>0</v>
      </c>
      <c r="F745" s="2">
        <v>4</v>
      </c>
      <c r="G745" s="2">
        <v>1</v>
      </c>
      <c r="H745" s="23">
        <v>0.16</v>
      </c>
      <c r="I745" s="25">
        <v>0.13639999999999999</v>
      </c>
      <c r="J745" s="23">
        <v>0.47</v>
      </c>
      <c r="K745" s="25">
        <v>0.29849999999999999</v>
      </c>
      <c r="L745" s="2">
        <v>6</v>
      </c>
      <c r="M745" s="2">
        <v>127</v>
      </c>
      <c r="N745" s="2">
        <v>133</v>
      </c>
    </row>
    <row r="746" spans="1:14" x14ac:dyDescent="0.3">
      <c r="A746" s="2">
        <v>745</v>
      </c>
      <c r="B746" s="1">
        <v>40577</v>
      </c>
      <c r="C746" s="2">
        <v>1</v>
      </c>
      <c r="D746" s="2">
        <v>10</v>
      </c>
      <c r="E746" t="b">
        <v>0</v>
      </c>
      <c r="F746" s="2">
        <v>4</v>
      </c>
      <c r="G746" s="2">
        <v>1</v>
      </c>
      <c r="H746" s="23">
        <v>0.18</v>
      </c>
      <c r="I746" s="25">
        <v>0.1515</v>
      </c>
      <c r="J746" s="23">
        <v>0.43</v>
      </c>
      <c r="K746" s="25">
        <v>0.32840000000000003</v>
      </c>
      <c r="L746" s="2">
        <v>2</v>
      </c>
      <c r="M746" s="2">
        <v>50</v>
      </c>
      <c r="N746" s="2">
        <v>52</v>
      </c>
    </row>
    <row r="747" spans="1:14" x14ac:dyDescent="0.3">
      <c r="A747" s="2">
        <v>746</v>
      </c>
      <c r="B747" s="1">
        <v>40577</v>
      </c>
      <c r="C747" s="2">
        <v>1</v>
      </c>
      <c r="D747" s="2">
        <v>11</v>
      </c>
      <c r="E747" t="b">
        <v>0</v>
      </c>
      <c r="F747" s="2">
        <v>4</v>
      </c>
      <c r="G747" s="2">
        <v>1</v>
      </c>
      <c r="H747" s="23">
        <v>0.18</v>
      </c>
      <c r="I747" s="25">
        <v>0.13639999999999999</v>
      </c>
      <c r="J747" s="23">
        <v>0.43</v>
      </c>
      <c r="K747" s="25">
        <v>0.44779999999999998</v>
      </c>
      <c r="L747" s="2">
        <v>9</v>
      </c>
      <c r="M747" s="2">
        <v>55</v>
      </c>
      <c r="N747" s="2">
        <v>64</v>
      </c>
    </row>
    <row r="748" spans="1:14" x14ac:dyDescent="0.3">
      <c r="A748" s="2">
        <v>747</v>
      </c>
      <c r="B748" s="1">
        <v>40577</v>
      </c>
      <c r="C748" s="2">
        <v>1</v>
      </c>
      <c r="D748" s="2">
        <v>12</v>
      </c>
      <c r="E748" t="b">
        <v>0</v>
      </c>
      <c r="F748" s="2">
        <v>4</v>
      </c>
      <c r="G748" s="2">
        <v>1</v>
      </c>
      <c r="H748" s="23">
        <v>0.2</v>
      </c>
      <c r="I748" s="25">
        <v>0.18179999999999999</v>
      </c>
      <c r="J748" s="23">
        <v>0.4</v>
      </c>
      <c r="K748" s="25">
        <v>0.35820000000000002</v>
      </c>
      <c r="L748" s="2">
        <v>2</v>
      </c>
      <c r="M748" s="2">
        <v>67</v>
      </c>
      <c r="N748" s="2">
        <v>69</v>
      </c>
    </row>
    <row r="749" spans="1:14" x14ac:dyDescent="0.3">
      <c r="A749" s="2">
        <v>748</v>
      </c>
      <c r="B749" s="1">
        <v>40577</v>
      </c>
      <c r="C749" s="2">
        <v>1</v>
      </c>
      <c r="D749" s="2">
        <v>13</v>
      </c>
      <c r="E749" t="b">
        <v>0</v>
      </c>
      <c r="F749" s="2">
        <v>4</v>
      </c>
      <c r="G749" s="2">
        <v>1</v>
      </c>
      <c r="H749" s="23">
        <v>0.2</v>
      </c>
      <c r="I749" s="25">
        <v>0.16669999999999999</v>
      </c>
      <c r="J749" s="23">
        <v>0.4</v>
      </c>
      <c r="K749" s="25">
        <v>0.41789999999999999</v>
      </c>
      <c r="L749" s="2">
        <v>4</v>
      </c>
      <c r="M749" s="2">
        <v>47</v>
      </c>
      <c r="N749" s="2">
        <v>51</v>
      </c>
    </row>
    <row r="750" spans="1:14" x14ac:dyDescent="0.3">
      <c r="A750" s="2">
        <v>749</v>
      </c>
      <c r="B750" s="1">
        <v>40577</v>
      </c>
      <c r="C750" s="2">
        <v>1</v>
      </c>
      <c r="D750" s="2">
        <v>14</v>
      </c>
      <c r="E750" t="b">
        <v>0</v>
      </c>
      <c r="F750" s="2">
        <v>4</v>
      </c>
      <c r="G750" s="2">
        <v>1</v>
      </c>
      <c r="H750" s="23">
        <v>0.22</v>
      </c>
      <c r="I750" s="25">
        <v>0.19700000000000001</v>
      </c>
      <c r="J750" s="23">
        <v>0.37</v>
      </c>
      <c r="K750" s="25">
        <v>0.3881</v>
      </c>
      <c r="L750" s="2">
        <v>4</v>
      </c>
      <c r="M750" s="2">
        <v>43</v>
      </c>
      <c r="N750" s="2">
        <v>47</v>
      </c>
    </row>
    <row r="751" spans="1:14" x14ac:dyDescent="0.3">
      <c r="A751" s="2">
        <v>750</v>
      </c>
      <c r="B751" s="1">
        <v>40577</v>
      </c>
      <c r="C751" s="2">
        <v>1</v>
      </c>
      <c r="D751" s="2">
        <v>15</v>
      </c>
      <c r="E751" t="b">
        <v>0</v>
      </c>
      <c r="F751" s="2">
        <v>4</v>
      </c>
      <c r="G751" s="2">
        <v>1</v>
      </c>
      <c r="H751" s="23">
        <v>0.22</v>
      </c>
      <c r="I751" s="25">
        <v>0.19700000000000001</v>
      </c>
      <c r="J751" s="23">
        <v>0.37</v>
      </c>
      <c r="K751" s="25">
        <v>0.32840000000000003</v>
      </c>
      <c r="L751" s="2">
        <v>4</v>
      </c>
      <c r="M751" s="2">
        <v>56</v>
      </c>
      <c r="N751" s="2">
        <v>60</v>
      </c>
    </row>
    <row r="752" spans="1:14" x14ac:dyDescent="0.3">
      <c r="A752" s="2">
        <v>751</v>
      </c>
      <c r="B752" s="1">
        <v>40577</v>
      </c>
      <c r="C752" s="2">
        <v>1</v>
      </c>
      <c r="D752" s="2">
        <v>16</v>
      </c>
      <c r="E752" t="b">
        <v>0</v>
      </c>
      <c r="F752" s="2">
        <v>4</v>
      </c>
      <c r="G752" s="2">
        <v>1</v>
      </c>
      <c r="H752" s="23">
        <v>0.22</v>
      </c>
      <c r="I752" s="25">
        <v>0.21210000000000001</v>
      </c>
      <c r="J752" s="23">
        <v>0.37</v>
      </c>
      <c r="K752" s="25">
        <v>0.25369999999999998</v>
      </c>
      <c r="L752" s="2">
        <v>5</v>
      </c>
      <c r="M752" s="2">
        <v>73</v>
      </c>
      <c r="N752" s="2">
        <v>78</v>
      </c>
    </row>
    <row r="753" spans="1:14" x14ac:dyDescent="0.3">
      <c r="A753" s="2">
        <v>752</v>
      </c>
      <c r="B753" s="1">
        <v>40577</v>
      </c>
      <c r="C753" s="2">
        <v>1</v>
      </c>
      <c r="D753" s="2">
        <v>17</v>
      </c>
      <c r="E753" t="b">
        <v>0</v>
      </c>
      <c r="F753" s="2">
        <v>4</v>
      </c>
      <c r="G753" s="2">
        <v>1</v>
      </c>
      <c r="H753" s="23">
        <v>0.2</v>
      </c>
      <c r="I753" s="25">
        <v>0.19700000000000001</v>
      </c>
      <c r="J753" s="23">
        <v>0.4</v>
      </c>
      <c r="K753" s="25">
        <v>0.19400000000000001</v>
      </c>
      <c r="L753" s="2">
        <v>5</v>
      </c>
      <c r="M753" s="2">
        <v>170</v>
      </c>
      <c r="N753" s="2">
        <v>175</v>
      </c>
    </row>
    <row r="754" spans="1:14" x14ac:dyDescent="0.3">
      <c r="A754" s="2">
        <v>753</v>
      </c>
      <c r="B754" s="1">
        <v>40577</v>
      </c>
      <c r="C754" s="2">
        <v>1</v>
      </c>
      <c r="D754" s="2">
        <v>18</v>
      </c>
      <c r="E754" t="b">
        <v>0</v>
      </c>
      <c r="F754" s="2">
        <v>4</v>
      </c>
      <c r="G754" s="2">
        <v>1</v>
      </c>
      <c r="H754" s="23">
        <v>0.2</v>
      </c>
      <c r="I754" s="25">
        <v>0.21210000000000001</v>
      </c>
      <c r="J754" s="23">
        <v>0.4</v>
      </c>
      <c r="K754" s="25">
        <v>0.16420000000000001</v>
      </c>
      <c r="L754" s="2">
        <v>2</v>
      </c>
      <c r="M754" s="2">
        <v>145</v>
      </c>
      <c r="N754" s="2">
        <v>147</v>
      </c>
    </row>
    <row r="755" spans="1:14" x14ac:dyDescent="0.3">
      <c r="A755" s="2">
        <v>754</v>
      </c>
      <c r="B755" s="1">
        <v>40577</v>
      </c>
      <c r="C755" s="2">
        <v>1</v>
      </c>
      <c r="D755" s="2">
        <v>19</v>
      </c>
      <c r="E755" t="b">
        <v>0</v>
      </c>
      <c r="F755" s="2">
        <v>4</v>
      </c>
      <c r="G755" s="2">
        <v>1</v>
      </c>
      <c r="H755" s="23">
        <v>0.2</v>
      </c>
      <c r="I755" s="25">
        <v>0.2576</v>
      </c>
      <c r="J755" s="23">
        <v>0.4</v>
      </c>
      <c r="K755" s="25">
        <v>0</v>
      </c>
      <c r="L755" s="2">
        <v>4</v>
      </c>
      <c r="M755" s="2">
        <v>92</v>
      </c>
      <c r="N755" s="2">
        <v>96</v>
      </c>
    </row>
    <row r="756" spans="1:14" x14ac:dyDescent="0.3">
      <c r="A756" s="2">
        <v>755</v>
      </c>
      <c r="B756" s="1">
        <v>40577</v>
      </c>
      <c r="C756" s="2">
        <v>1</v>
      </c>
      <c r="D756" s="2">
        <v>20</v>
      </c>
      <c r="E756" t="b">
        <v>0</v>
      </c>
      <c r="F756" s="2">
        <v>4</v>
      </c>
      <c r="G756" s="2">
        <v>1</v>
      </c>
      <c r="H756" s="23">
        <v>0.2</v>
      </c>
      <c r="I756" s="25">
        <v>0.2273</v>
      </c>
      <c r="J756" s="23">
        <v>0.47</v>
      </c>
      <c r="K756" s="25">
        <v>8.9599999999999999E-2</v>
      </c>
      <c r="L756" s="2">
        <v>1</v>
      </c>
      <c r="M756" s="2">
        <v>108</v>
      </c>
      <c r="N756" s="2">
        <v>109</v>
      </c>
    </row>
    <row r="757" spans="1:14" x14ac:dyDescent="0.3">
      <c r="A757" s="2">
        <v>756</v>
      </c>
      <c r="B757" s="1">
        <v>40577</v>
      </c>
      <c r="C757" s="2">
        <v>1</v>
      </c>
      <c r="D757" s="2">
        <v>21</v>
      </c>
      <c r="E757" t="b">
        <v>0</v>
      </c>
      <c r="F757" s="2">
        <v>4</v>
      </c>
      <c r="G757" s="2">
        <v>1</v>
      </c>
      <c r="H757" s="23">
        <v>0.18</v>
      </c>
      <c r="I757" s="25">
        <v>0.21210000000000001</v>
      </c>
      <c r="J757" s="23">
        <v>0.55000000000000004</v>
      </c>
      <c r="K757" s="25">
        <v>0.1045</v>
      </c>
      <c r="L757" s="2">
        <v>1</v>
      </c>
      <c r="M757" s="2">
        <v>53</v>
      </c>
      <c r="N757" s="2">
        <v>54</v>
      </c>
    </row>
    <row r="758" spans="1:14" x14ac:dyDescent="0.3">
      <c r="A758" s="2">
        <v>757</v>
      </c>
      <c r="B758" s="1">
        <v>40577</v>
      </c>
      <c r="C758" s="2">
        <v>1</v>
      </c>
      <c r="D758" s="2">
        <v>22</v>
      </c>
      <c r="E758" t="b">
        <v>0</v>
      </c>
      <c r="F758" s="2">
        <v>4</v>
      </c>
      <c r="G758" s="2">
        <v>1</v>
      </c>
      <c r="H758" s="23">
        <v>0.18</v>
      </c>
      <c r="I758" s="25">
        <v>0.21210000000000001</v>
      </c>
      <c r="J758" s="23">
        <v>0.51</v>
      </c>
      <c r="K758" s="25">
        <v>8.9599999999999999E-2</v>
      </c>
      <c r="L758" s="2">
        <v>2</v>
      </c>
      <c r="M758" s="2">
        <v>39</v>
      </c>
      <c r="N758" s="2">
        <v>41</v>
      </c>
    </row>
    <row r="759" spans="1:14" x14ac:dyDescent="0.3">
      <c r="A759" s="2">
        <v>758</v>
      </c>
      <c r="B759" s="1">
        <v>40577</v>
      </c>
      <c r="C759" s="2">
        <v>1</v>
      </c>
      <c r="D759" s="2">
        <v>23</v>
      </c>
      <c r="E759" t="b">
        <v>0</v>
      </c>
      <c r="F759" s="2">
        <v>4</v>
      </c>
      <c r="G759" s="2">
        <v>1</v>
      </c>
      <c r="H759" s="23">
        <v>0.2</v>
      </c>
      <c r="I759" s="25">
        <v>0.2273</v>
      </c>
      <c r="J759" s="23">
        <v>0.47</v>
      </c>
      <c r="K759" s="25">
        <v>0.1045</v>
      </c>
      <c r="L759" s="2">
        <v>4</v>
      </c>
      <c r="M759" s="2">
        <v>34</v>
      </c>
      <c r="N759" s="2">
        <v>38</v>
      </c>
    </row>
    <row r="760" spans="1:14" x14ac:dyDescent="0.3">
      <c r="A760" s="2">
        <v>759</v>
      </c>
      <c r="B760" s="1">
        <v>40578</v>
      </c>
      <c r="C760" s="2">
        <v>1</v>
      </c>
      <c r="D760" s="2">
        <v>0</v>
      </c>
      <c r="E760" t="b">
        <v>0</v>
      </c>
      <c r="F760" s="2">
        <v>5</v>
      </c>
      <c r="G760" s="2">
        <v>2</v>
      </c>
      <c r="H760" s="23">
        <v>0.2</v>
      </c>
      <c r="I760" s="25">
        <v>0.2576</v>
      </c>
      <c r="J760" s="23">
        <v>0.44</v>
      </c>
      <c r="K760" s="25">
        <v>0</v>
      </c>
      <c r="L760" s="2">
        <v>3</v>
      </c>
      <c r="M760" s="2">
        <v>10</v>
      </c>
      <c r="N760" s="2">
        <v>13</v>
      </c>
    </row>
    <row r="761" spans="1:14" x14ac:dyDescent="0.3">
      <c r="A761" s="2">
        <v>760</v>
      </c>
      <c r="B761" s="1">
        <v>40578</v>
      </c>
      <c r="C761" s="2">
        <v>1</v>
      </c>
      <c r="D761" s="2">
        <v>1</v>
      </c>
      <c r="E761" t="b">
        <v>0</v>
      </c>
      <c r="F761" s="2">
        <v>5</v>
      </c>
      <c r="G761" s="2">
        <v>2</v>
      </c>
      <c r="H761" s="23">
        <v>0.16</v>
      </c>
      <c r="I761" s="25">
        <v>0.2273</v>
      </c>
      <c r="J761" s="23">
        <v>0.59</v>
      </c>
      <c r="K761" s="25">
        <v>0</v>
      </c>
      <c r="L761" s="2">
        <v>0</v>
      </c>
      <c r="M761" s="2">
        <v>7</v>
      </c>
      <c r="N761" s="2">
        <v>7</v>
      </c>
    </row>
    <row r="762" spans="1:14" x14ac:dyDescent="0.3">
      <c r="A762" s="2">
        <v>761</v>
      </c>
      <c r="B762" s="1">
        <v>40578</v>
      </c>
      <c r="C762" s="2">
        <v>1</v>
      </c>
      <c r="D762" s="2">
        <v>2</v>
      </c>
      <c r="E762" t="b">
        <v>0</v>
      </c>
      <c r="F762" s="2">
        <v>5</v>
      </c>
      <c r="G762" s="2">
        <v>2</v>
      </c>
      <c r="H762" s="23">
        <v>0.14000000000000001</v>
      </c>
      <c r="I762" s="25">
        <v>0.16669999999999999</v>
      </c>
      <c r="J762" s="23">
        <v>0.63</v>
      </c>
      <c r="K762" s="25">
        <v>0.1045</v>
      </c>
      <c r="L762" s="2">
        <v>0</v>
      </c>
      <c r="M762" s="2">
        <v>1</v>
      </c>
      <c r="N762" s="2">
        <v>1</v>
      </c>
    </row>
    <row r="763" spans="1:14" x14ac:dyDescent="0.3">
      <c r="A763" s="2">
        <v>762</v>
      </c>
      <c r="B763" s="1">
        <v>40578</v>
      </c>
      <c r="C763" s="2">
        <v>1</v>
      </c>
      <c r="D763" s="2">
        <v>3</v>
      </c>
      <c r="E763" t="b">
        <v>0</v>
      </c>
      <c r="F763" s="2">
        <v>5</v>
      </c>
      <c r="G763" s="2">
        <v>2</v>
      </c>
      <c r="H763" s="23">
        <v>0.14000000000000001</v>
      </c>
      <c r="I763" s="25">
        <v>0.16669999999999999</v>
      </c>
      <c r="J763" s="23">
        <v>0.63</v>
      </c>
      <c r="K763" s="25">
        <v>0.1045</v>
      </c>
      <c r="L763" s="2">
        <v>0</v>
      </c>
      <c r="M763" s="2">
        <v>1</v>
      </c>
      <c r="N763" s="2">
        <v>1</v>
      </c>
    </row>
    <row r="764" spans="1:14" x14ac:dyDescent="0.3">
      <c r="A764" s="2">
        <v>763</v>
      </c>
      <c r="B764" s="1">
        <v>40578</v>
      </c>
      <c r="C764" s="2">
        <v>1</v>
      </c>
      <c r="D764" s="2">
        <v>5</v>
      </c>
      <c r="E764" t="b">
        <v>0</v>
      </c>
      <c r="F764" s="2">
        <v>5</v>
      </c>
      <c r="G764" s="2">
        <v>2</v>
      </c>
      <c r="H764" s="23">
        <v>0.14000000000000001</v>
      </c>
      <c r="I764" s="25">
        <v>0.1515</v>
      </c>
      <c r="J764" s="23">
        <v>0.63</v>
      </c>
      <c r="K764" s="25">
        <v>0.1343</v>
      </c>
      <c r="L764" s="2">
        <v>0</v>
      </c>
      <c r="M764" s="2">
        <v>7</v>
      </c>
      <c r="N764" s="2">
        <v>7</v>
      </c>
    </row>
    <row r="765" spans="1:14" x14ac:dyDescent="0.3">
      <c r="A765" s="2">
        <v>764</v>
      </c>
      <c r="B765" s="1">
        <v>40578</v>
      </c>
      <c r="C765" s="2">
        <v>1</v>
      </c>
      <c r="D765" s="2">
        <v>6</v>
      </c>
      <c r="E765" t="b">
        <v>0</v>
      </c>
      <c r="F765" s="2">
        <v>5</v>
      </c>
      <c r="G765" s="2">
        <v>2</v>
      </c>
      <c r="H765" s="23">
        <v>0.16</v>
      </c>
      <c r="I765" s="25">
        <v>0.2273</v>
      </c>
      <c r="J765" s="23">
        <v>0.55000000000000004</v>
      </c>
      <c r="K765" s="25">
        <v>0</v>
      </c>
      <c r="L765" s="2">
        <v>2</v>
      </c>
      <c r="M765" s="2">
        <v>26</v>
      </c>
      <c r="N765" s="2">
        <v>28</v>
      </c>
    </row>
    <row r="766" spans="1:14" x14ac:dyDescent="0.3">
      <c r="A766" s="2">
        <v>765</v>
      </c>
      <c r="B766" s="1">
        <v>40578</v>
      </c>
      <c r="C766" s="2">
        <v>1</v>
      </c>
      <c r="D766" s="2">
        <v>7</v>
      </c>
      <c r="E766" t="b">
        <v>0</v>
      </c>
      <c r="F766" s="2">
        <v>5</v>
      </c>
      <c r="G766" s="2">
        <v>1</v>
      </c>
      <c r="H766" s="23">
        <v>0.14000000000000001</v>
      </c>
      <c r="I766" s="25">
        <v>0.21210000000000001</v>
      </c>
      <c r="J766" s="23">
        <v>0.59</v>
      </c>
      <c r="K766" s="25">
        <v>0</v>
      </c>
      <c r="L766" s="2">
        <v>0</v>
      </c>
      <c r="M766" s="2">
        <v>87</v>
      </c>
      <c r="N766" s="2">
        <v>87</v>
      </c>
    </row>
    <row r="767" spans="1:14" x14ac:dyDescent="0.3">
      <c r="A767" s="2">
        <v>766</v>
      </c>
      <c r="B767" s="1">
        <v>40578</v>
      </c>
      <c r="C767" s="2">
        <v>1</v>
      </c>
      <c r="D767" s="2">
        <v>8</v>
      </c>
      <c r="E767" t="b">
        <v>0</v>
      </c>
      <c r="F767" s="2">
        <v>5</v>
      </c>
      <c r="G767" s="2">
        <v>1</v>
      </c>
      <c r="H767" s="23">
        <v>0.14000000000000001</v>
      </c>
      <c r="I767" s="25">
        <v>0.1515</v>
      </c>
      <c r="J767" s="23">
        <v>0.74</v>
      </c>
      <c r="K767" s="25">
        <v>0.1343</v>
      </c>
      <c r="L767" s="2">
        <v>3</v>
      </c>
      <c r="M767" s="2">
        <v>217</v>
      </c>
      <c r="N767" s="2">
        <v>220</v>
      </c>
    </row>
    <row r="768" spans="1:14" x14ac:dyDescent="0.3">
      <c r="A768" s="2">
        <v>767</v>
      </c>
      <c r="B768" s="1">
        <v>40578</v>
      </c>
      <c r="C768" s="2">
        <v>1</v>
      </c>
      <c r="D768" s="2">
        <v>9</v>
      </c>
      <c r="E768" t="b">
        <v>0</v>
      </c>
      <c r="F768" s="2">
        <v>5</v>
      </c>
      <c r="G768" s="2">
        <v>2</v>
      </c>
      <c r="H768" s="23">
        <v>0.16</v>
      </c>
      <c r="I768" s="25">
        <v>0.18179999999999999</v>
      </c>
      <c r="J768" s="23">
        <v>0.8</v>
      </c>
      <c r="K768" s="25">
        <v>0.1343</v>
      </c>
      <c r="L768" s="2">
        <v>3</v>
      </c>
      <c r="M768" s="2">
        <v>124</v>
      </c>
      <c r="N768" s="2">
        <v>127</v>
      </c>
    </row>
    <row r="769" spans="1:14" x14ac:dyDescent="0.3">
      <c r="A769" s="2">
        <v>768</v>
      </c>
      <c r="B769" s="1">
        <v>40578</v>
      </c>
      <c r="C769" s="2">
        <v>1</v>
      </c>
      <c r="D769" s="2">
        <v>10</v>
      </c>
      <c r="E769" t="b">
        <v>0</v>
      </c>
      <c r="F769" s="2">
        <v>5</v>
      </c>
      <c r="G769" s="2">
        <v>2</v>
      </c>
      <c r="H769" s="23">
        <v>0.2</v>
      </c>
      <c r="I769" s="25">
        <v>0.21210000000000001</v>
      </c>
      <c r="J769" s="23">
        <v>0.51</v>
      </c>
      <c r="K769" s="25">
        <v>0.1343</v>
      </c>
      <c r="L769" s="2">
        <v>5</v>
      </c>
      <c r="M769" s="2">
        <v>46</v>
      </c>
      <c r="N769" s="2">
        <v>51</v>
      </c>
    </row>
    <row r="770" spans="1:14" x14ac:dyDescent="0.3">
      <c r="A770" s="2">
        <v>769</v>
      </c>
      <c r="B770" s="1">
        <v>40578</v>
      </c>
      <c r="C770" s="2">
        <v>1</v>
      </c>
      <c r="D770" s="2">
        <v>11</v>
      </c>
      <c r="E770" t="b">
        <v>0</v>
      </c>
      <c r="F770" s="2">
        <v>5</v>
      </c>
      <c r="G770" s="2">
        <v>1</v>
      </c>
      <c r="H770" s="23">
        <v>0.22</v>
      </c>
      <c r="I770" s="25">
        <v>0.2273</v>
      </c>
      <c r="J770" s="23">
        <v>0.51</v>
      </c>
      <c r="K770" s="25">
        <v>0.16420000000000001</v>
      </c>
      <c r="L770" s="2">
        <v>3</v>
      </c>
      <c r="M770" s="2">
        <v>61</v>
      </c>
      <c r="N770" s="2">
        <v>64</v>
      </c>
    </row>
    <row r="771" spans="1:14" x14ac:dyDescent="0.3">
      <c r="A771" s="2">
        <v>770</v>
      </c>
      <c r="B771" s="1">
        <v>40578</v>
      </c>
      <c r="C771" s="2">
        <v>1</v>
      </c>
      <c r="D771" s="2">
        <v>12</v>
      </c>
      <c r="E771" t="b">
        <v>0</v>
      </c>
      <c r="F771" s="2">
        <v>5</v>
      </c>
      <c r="G771" s="2">
        <v>2</v>
      </c>
      <c r="H771" s="23">
        <v>0.24</v>
      </c>
      <c r="I771" s="25">
        <v>0.2424</v>
      </c>
      <c r="J771" s="23">
        <v>0.48</v>
      </c>
      <c r="K771" s="25">
        <v>0.16420000000000001</v>
      </c>
      <c r="L771" s="2">
        <v>8</v>
      </c>
      <c r="M771" s="2">
        <v>78</v>
      </c>
      <c r="N771" s="2">
        <v>86</v>
      </c>
    </row>
    <row r="772" spans="1:14" x14ac:dyDescent="0.3">
      <c r="A772" s="2">
        <v>771</v>
      </c>
      <c r="B772" s="1">
        <v>40578</v>
      </c>
      <c r="C772" s="2">
        <v>1</v>
      </c>
      <c r="D772" s="2">
        <v>13</v>
      </c>
      <c r="E772" t="b">
        <v>0</v>
      </c>
      <c r="F772" s="2">
        <v>5</v>
      </c>
      <c r="G772" s="2">
        <v>2</v>
      </c>
      <c r="H772" s="23">
        <v>0.26</v>
      </c>
      <c r="I772" s="25">
        <v>0.2576</v>
      </c>
      <c r="J772" s="23">
        <v>0.5</v>
      </c>
      <c r="K772" s="25">
        <v>0.22389999999999999</v>
      </c>
      <c r="L772" s="2">
        <v>9</v>
      </c>
      <c r="M772" s="2">
        <v>73</v>
      </c>
      <c r="N772" s="2">
        <v>82</v>
      </c>
    </row>
    <row r="773" spans="1:14" x14ac:dyDescent="0.3">
      <c r="A773" s="2">
        <v>772</v>
      </c>
      <c r="B773" s="1">
        <v>40578</v>
      </c>
      <c r="C773" s="2">
        <v>1</v>
      </c>
      <c r="D773" s="2">
        <v>14</v>
      </c>
      <c r="E773" t="b">
        <v>0</v>
      </c>
      <c r="F773" s="2">
        <v>5</v>
      </c>
      <c r="G773" s="2">
        <v>2</v>
      </c>
      <c r="H773" s="23">
        <v>0.28000000000000003</v>
      </c>
      <c r="I773" s="25">
        <v>0.2727</v>
      </c>
      <c r="J773" s="23">
        <v>0.45</v>
      </c>
      <c r="K773" s="25">
        <v>0.16420000000000001</v>
      </c>
      <c r="L773" s="2">
        <v>15</v>
      </c>
      <c r="M773" s="2">
        <v>76</v>
      </c>
      <c r="N773" s="2">
        <v>91</v>
      </c>
    </row>
    <row r="774" spans="1:14" x14ac:dyDescent="0.3">
      <c r="A774" s="2">
        <v>773</v>
      </c>
      <c r="B774" s="1">
        <v>40578</v>
      </c>
      <c r="C774" s="2">
        <v>1</v>
      </c>
      <c r="D774" s="2">
        <v>15</v>
      </c>
      <c r="E774" t="b">
        <v>0</v>
      </c>
      <c r="F774" s="2">
        <v>5</v>
      </c>
      <c r="G774" s="2">
        <v>2</v>
      </c>
      <c r="H774" s="23">
        <v>0.28000000000000003</v>
      </c>
      <c r="I774" s="25">
        <v>0.2727</v>
      </c>
      <c r="J774" s="23">
        <v>0.48</v>
      </c>
      <c r="K774" s="25">
        <v>0.25369999999999998</v>
      </c>
      <c r="L774" s="2">
        <v>9</v>
      </c>
      <c r="M774" s="2">
        <v>81</v>
      </c>
      <c r="N774" s="2">
        <v>90</v>
      </c>
    </row>
    <row r="775" spans="1:14" x14ac:dyDescent="0.3">
      <c r="A775" s="2">
        <v>774</v>
      </c>
      <c r="B775" s="1">
        <v>40578</v>
      </c>
      <c r="C775" s="2">
        <v>1</v>
      </c>
      <c r="D775" s="2">
        <v>16</v>
      </c>
      <c r="E775" t="b">
        <v>0</v>
      </c>
      <c r="F775" s="2">
        <v>5</v>
      </c>
      <c r="G775" s="2">
        <v>2</v>
      </c>
      <c r="H775" s="23">
        <v>0.3</v>
      </c>
      <c r="I775" s="25">
        <v>0.28789999999999999</v>
      </c>
      <c r="J775" s="23">
        <v>0.42</v>
      </c>
      <c r="K775" s="25">
        <v>0.22389999999999999</v>
      </c>
      <c r="L775" s="2">
        <v>8</v>
      </c>
      <c r="M775" s="2">
        <v>91</v>
      </c>
      <c r="N775" s="2">
        <v>99</v>
      </c>
    </row>
    <row r="776" spans="1:14" x14ac:dyDescent="0.3">
      <c r="A776" s="2">
        <v>775</v>
      </c>
      <c r="B776" s="1">
        <v>40578</v>
      </c>
      <c r="C776" s="2">
        <v>1</v>
      </c>
      <c r="D776" s="2">
        <v>17</v>
      </c>
      <c r="E776" t="b">
        <v>0</v>
      </c>
      <c r="F776" s="2">
        <v>5</v>
      </c>
      <c r="G776" s="2">
        <v>2</v>
      </c>
      <c r="H776" s="23">
        <v>0.26</v>
      </c>
      <c r="I776" s="25">
        <v>0.2727</v>
      </c>
      <c r="J776" s="23">
        <v>0.56000000000000005</v>
      </c>
      <c r="K776" s="25">
        <v>0.1343</v>
      </c>
      <c r="L776" s="2">
        <v>10</v>
      </c>
      <c r="M776" s="2">
        <v>195</v>
      </c>
      <c r="N776" s="2">
        <v>205</v>
      </c>
    </row>
    <row r="777" spans="1:14" x14ac:dyDescent="0.3">
      <c r="A777" s="2">
        <v>776</v>
      </c>
      <c r="B777" s="1">
        <v>40578</v>
      </c>
      <c r="C777" s="2">
        <v>1</v>
      </c>
      <c r="D777" s="2">
        <v>18</v>
      </c>
      <c r="E777" t="b">
        <v>0</v>
      </c>
      <c r="F777" s="2">
        <v>5</v>
      </c>
      <c r="G777" s="2">
        <v>2</v>
      </c>
      <c r="H777" s="23">
        <v>0.24</v>
      </c>
      <c r="I777" s="25">
        <v>0.2576</v>
      </c>
      <c r="J777" s="23">
        <v>0.6</v>
      </c>
      <c r="K777" s="25">
        <v>0.1045</v>
      </c>
      <c r="L777" s="2">
        <v>3</v>
      </c>
      <c r="M777" s="2">
        <v>152</v>
      </c>
      <c r="N777" s="2">
        <v>155</v>
      </c>
    </row>
    <row r="778" spans="1:14" x14ac:dyDescent="0.3">
      <c r="A778" s="2">
        <v>777</v>
      </c>
      <c r="B778" s="1">
        <v>40578</v>
      </c>
      <c r="C778" s="2">
        <v>1</v>
      </c>
      <c r="D778" s="2">
        <v>19</v>
      </c>
      <c r="E778" t="b">
        <v>0</v>
      </c>
      <c r="F778" s="2">
        <v>5</v>
      </c>
      <c r="G778" s="2">
        <v>2</v>
      </c>
      <c r="H778" s="23">
        <v>0.24</v>
      </c>
      <c r="I778" s="25">
        <v>0.2424</v>
      </c>
      <c r="J778" s="23">
        <v>0.65</v>
      </c>
      <c r="K778" s="25">
        <v>0.1343</v>
      </c>
      <c r="L778" s="2">
        <v>1</v>
      </c>
      <c r="M778" s="2">
        <v>102</v>
      </c>
      <c r="N778" s="2">
        <v>103</v>
      </c>
    </row>
    <row r="779" spans="1:14" x14ac:dyDescent="0.3">
      <c r="A779" s="2">
        <v>778</v>
      </c>
      <c r="B779" s="1">
        <v>40578</v>
      </c>
      <c r="C779" s="2">
        <v>1</v>
      </c>
      <c r="D779" s="2">
        <v>20</v>
      </c>
      <c r="E779" t="b">
        <v>0</v>
      </c>
      <c r="F779" s="2">
        <v>5</v>
      </c>
      <c r="G779" s="2">
        <v>2</v>
      </c>
      <c r="H779" s="23">
        <v>0.24</v>
      </c>
      <c r="I779" s="25">
        <v>0.2424</v>
      </c>
      <c r="J779" s="23">
        <v>0.65</v>
      </c>
      <c r="K779" s="25">
        <v>0.16420000000000001</v>
      </c>
      <c r="L779" s="2">
        <v>2</v>
      </c>
      <c r="M779" s="2">
        <v>69</v>
      </c>
      <c r="N779" s="2">
        <v>71</v>
      </c>
    </row>
    <row r="780" spans="1:14" x14ac:dyDescent="0.3">
      <c r="A780" s="2">
        <v>779</v>
      </c>
      <c r="B780" s="1">
        <v>40578</v>
      </c>
      <c r="C780" s="2">
        <v>1</v>
      </c>
      <c r="D780" s="2">
        <v>21</v>
      </c>
      <c r="E780" t="b">
        <v>0</v>
      </c>
      <c r="F780" s="2">
        <v>5</v>
      </c>
      <c r="G780" s="2">
        <v>2</v>
      </c>
      <c r="H780" s="23">
        <v>0.24</v>
      </c>
      <c r="I780" s="25">
        <v>0.2424</v>
      </c>
      <c r="J780" s="23">
        <v>0.7</v>
      </c>
      <c r="K780" s="25">
        <v>0.16420000000000001</v>
      </c>
      <c r="L780" s="2">
        <v>2</v>
      </c>
      <c r="M780" s="2">
        <v>41</v>
      </c>
      <c r="N780" s="2">
        <v>43</v>
      </c>
    </row>
    <row r="781" spans="1:14" x14ac:dyDescent="0.3">
      <c r="A781" s="2">
        <v>780</v>
      </c>
      <c r="B781" s="1">
        <v>40578</v>
      </c>
      <c r="C781" s="2">
        <v>1</v>
      </c>
      <c r="D781" s="2">
        <v>22</v>
      </c>
      <c r="E781" t="b">
        <v>0</v>
      </c>
      <c r="F781" s="2">
        <v>5</v>
      </c>
      <c r="G781" s="2">
        <v>2</v>
      </c>
      <c r="H781" s="23">
        <v>0.24</v>
      </c>
      <c r="I781" s="25">
        <v>0.2424</v>
      </c>
      <c r="J781" s="23">
        <v>0.65</v>
      </c>
      <c r="K781" s="25">
        <v>0.16420000000000001</v>
      </c>
      <c r="L781" s="2">
        <v>1</v>
      </c>
      <c r="M781" s="2">
        <v>45</v>
      </c>
      <c r="N781" s="2">
        <v>46</v>
      </c>
    </row>
    <row r="782" spans="1:14" x14ac:dyDescent="0.3">
      <c r="A782" s="2">
        <v>781</v>
      </c>
      <c r="B782" s="1">
        <v>40578</v>
      </c>
      <c r="C782" s="2">
        <v>1</v>
      </c>
      <c r="D782" s="2">
        <v>23</v>
      </c>
      <c r="E782" t="b">
        <v>0</v>
      </c>
      <c r="F782" s="2">
        <v>5</v>
      </c>
      <c r="G782" s="2">
        <v>2</v>
      </c>
      <c r="H782" s="23">
        <v>0.24</v>
      </c>
      <c r="I782" s="25">
        <v>0.2424</v>
      </c>
      <c r="J782" s="23">
        <v>0.7</v>
      </c>
      <c r="K782" s="25">
        <v>0.1343</v>
      </c>
      <c r="L782" s="2">
        <v>1</v>
      </c>
      <c r="M782" s="2">
        <v>30</v>
      </c>
      <c r="N782" s="2">
        <v>31</v>
      </c>
    </row>
    <row r="783" spans="1:14" x14ac:dyDescent="0.3">
      <c r="A783" s="2">
        <v>782</v>
      </c>
      <c r="B783" s="1">
        <v>40579</v>
      </c>
      <c r="C783" s="2">
        <v>1</v>
      </c>
      <c r="D783" s="2">
        <v>0</v>
      </c>
      <c r="E783" t="b">
        <v>0</v>
      </c>
      <c r="F783" s="2">
        <v>6</v>
      </c>
      <c r="G783" s="2">
        <v>2</v>
      </c>
      <c r="H783" s="23">
        <v>0.24</v>
      </c>
      <c r="I783" s="25">
        <v>0.2424</v>
      </c>
      <c r="J783" s="23">
        <v>0.7</v>
      </c>
      <c r="K783" s="25">
        <v>0.16420000000000001</v>
      </c>
      <c r="L783" s="2">
        <v>3</v>
      </c>
      <c r="M783" s="2">
        <v>36</v>
      </c>
      <c r="N783" s="2">
        <v>39</v>
      </c>
    </row>
    <row r="784" spans="1:14" x14ac:dyDescent="0.3">
      <c r="A784" s="2">
        <v>783</v>
      </c>
      <c r="B784" s="1">
        <v>40579</v>
      </c>
      <c r="C784" s="2">
        <v>1</v>
      </c>
      <c r="D784" s="2">
        <v>1</v>
      </c>
      <c r="E784" t="b">
        <v>0</v>
      </c>
      <c r="F784" s="2">
        <v>6</v>
      </c>
      <c r="G784" s="2">
        <v>2</v>
      </c>
      <c r="H784" s="23">
        <v>0.24</v>
      </c>
      <c r="I784" s="25">
        <v>0.2424</v>
      </c>
      <c r="J784" s="23">
        <v>0.65</v>
      </c>
      <c r="K784" s="25">
        <v>0.16420000000000001</v>
      </c>
      <c r="L784" s="2">
        <v>1</v>
      </c>
      <c r="M784" s="2">
        <v>17</v>
      </c>
      <c r="N784" s="2">
        <v>18</v>
      </c>
    </row>
    <row r="785" spans="1:14" x14ac:dyDescent="0.3">
      <c r="A785" s="2">
        <v>784</v>
      </c>
      <c r="B785" s="1">
        <v>40579</v>
      </c>
      <c r="C785" s="2">
        <v>1</v>
      </c>
      <c r="D785" s="2">
        <v>2</v>
      </c>
      <c r="E785" t="b">
        <v>0</v>
      </c>
      <c r="F785" s="2">
        <v>6</v>
      </c>
      <c r="G785" s="2">
        <v>2</v>
      </c>
      <c r="H785" s="23">
        <v>0.24</v>
      </c>
      <c r="I785" s="25">
        <v>0.2424</v>
      </c>
      <c r="J785" s="23">
        <v>0.75</v>
      </c>
      <c r="K785" s="25">
        <v>0.16420000000000001</v>
      </c>
      <c r="L785" s="2">
        <v>5</v>
      </c>
      <c r="M785" s="2">
        <v>12</v>
      </c>
      <c r="N785" s="2">
        <v>17</v>
      </c>
    </row>
    <row r="786" spans="1:14" x14ac:dyDescent="0.3">
      <c r="A786" s="2">
        <v>785</v>
      </c>
      <c r="B786" s="1">
        <v>40579</v>
      </c>
      <c r="C786" s="2">
        <v>1</v>
      </c>
      <c r="D786" s="2">
        <v>3</v>
      </c>
      <c r="E786" t="b">
        <v>0</v>
      </c>
      <c r="F786" s="2">
        <v>6</v>
      </c>
      <c r="G786" s="2">
        <v>2</v>
      </c>
      <c r="H786" s="23">
        <v>0.24</v>
      </c>
      <c r="I786" s="25">
        <v>0.2424</v>
      </c>
      <c r="J786" s="23">
        <v>0.75</v>
      </c>
      <c r="K786" s="25">
        <v>0.16420000000000001</v>
      </c>
      <c r="L786" s="2">
        <v>1</v>
      </c>
      <c r="M786" s="2">
        <v>10</v>
      </c>
      <c r="N786" s="2">
        <v>11</v>
      </c>
    </row>
    <row r="787" spans="1:14" x14ac:dyDescent="0.3">
      <c r="A787" s="2">
        <v>786</v>
      </c>
      <c r="B787" s="1">
        <v>40579</v>
      </c>
      <c r="C787" s="2">
        <v>1</v>
      </c>
      <c r="D787" s="2">
        <v>4</v>
      </c>
      <c r="E787" t="b">
        <v>0</v>
      </c>
      <c r="F787" s="2">
        <v>6</v>
      </c>
      <c r="G787" s="2">
        <v>3</v>
      </c>
      <c r="H787" s="23">
        <v>0.22</v>
      </c>
      <c r="I787" s="25">
        <v>0.2273</v>
      </c>
      <c r="J787" s="23">
        <v>0.93</v>
      </c>
      <c r="K787" s="25">
        <v>0.1343</v>
      </c>
      <c r="L787" s="2">
        <v>0</v>
      </c>
      <c r="M787" s="2">
        <v>8</v>
      </c>
      <c r="N787" s="2">
        <v>8</v>
      </c>
    </row>
    <row r="788" spans="1:14" x14ac:dyDescent="0.3">
      <c r="A788" s="2">
        <v>787</v>
      </c>
      <c r="B788" s="1">
        <v>40579</v>
      </c>
      <c r="C788" s="2">
        <v>1</v>
      </c>
      <c r="D788" s="2">
        <v>5</v>
      </c>
      <c r="E788" t="b">
        <v>0</v>
      </c>
      <c r="F788" s="2">
        <v>6</v>
      </c>
      <c r="G788" s="2">
        <v>3</v>
      </c>
      <c r="H788" s="23">
        <v>0.2</v>
      </c>
      <c r="I788" s="25">
        <v>0.2273</v>
      </c>
      <c r="J788" s="23">
        <v>1</v>
      </c>
      <c r="K788" s="25">
        <v>8.9599999999999999E-2</v>
      </c>
      <c r="L788" s="2">
        <v>0</v>
      </c>
      <c r="M788" s="2">
        <v>9</v>
      </c>
      <c r="N788" s="2">
        <v>9</v>
      </c>
    </row>
    <row r="789" spans="1:14" x14ac:dyDescent="0.3">
      <c r="A789" s="2">
        <v>788</v>
      </c>
      <c r="B789" s="1">
        <v>40579</v>
      </c>
      <c r="C789" s="2">
        <v>1</v>
      </c>
      <c r="D789" s="2">
        <v>6</v>
      </c>
      <c r="E789" t="b">
        <v>0</v>
      </c>
      <c r="F789" s="2">
        <v>6</v>
      </c>
      <c r="G789" s="2">
        <v>3</v>
      </c>
      <c r="H789" s="23">
        <v>0.2</v>
      </c>
      <c r="I789" s="25">
        <v>0.2576</v>
      </c>
      <c r="J789" s="23">
        <v>1</v>
      </c>
      <c r="K789" s="25">
        <v>0</v>
      </c>
      <c r="L789" s="2">
        <v>0</v>
      </c>
      <c r="M789" s="2">
        <v>4</v>
      </c>
      <c r="N789" s="2">
        <v>4</v>
      </c>
    </row>
    <row r="790" spans="1:14" x14ac:dyDescent="0.3">
      <c r="A790" s="2">
        <v>789</v>
      </c>
      <c r="B790" s="1">
        <v>40579</v>
      </c>
      <c r="C790" s="2">
        <v>1</v>
      </c>
      <c r="D790" s="2">
        <v>7</v>
      </c>
      <c r="E790" t="b">
        <v>0</v>
      </c>
      <c r="F790" s="2">
        <v>6</v>
      </c>
      <c r="G790" s="2">
        <v>3</v>
      </c>
      <c r="H790" s="23">
        <v>0.22</v>
      </c>
      <c r="I790" s="25">
        <v>0.2576</v>
      </c>
      <c r="J790" s="23">
        <v>0.93</v>
      </c>
      <c r="K790" s="25">
        <v>8.9599999999999999E-2</v>
      </c>
      <c r="L790" s="2">
        <v>0</v>
      </c>
      <c r="M790" s="2">
        <v>4</v>
      </c>
      <c r="N790" s="2">
        <v>4</v>
      </c>
    </row>
    <row r="791" spans="1:14" x14ac:dyDescent="0.3">
      <c r="A791" s="2">
        <v>790</v>
      </c>
      <c r="B791" s="1">
        <v>40579</v>
      </c>
      <c r="C791" s="2">
        <v>1</v>
      </c>
      <c r="D791" s="2">
        <v>8</v>
      </c>
      <c r="E791" t="b">
        <v>0</v>
      </c>
      <c r="F791" s="2">
        <v>6</v>
      </c>
      <c r="G791" s="2">
        <v>3</v>
      </c>
      <c r="H791" s="23">
        <v>0.2</v>
      </c>
      <c r="I791" s="25">
        <v>0.2273</v>
      </c>
      <c r="J791" s="23">
        <v>1</v>
      </c>
      <c r="K791" s="25">
        <v>8.9599999999999999E-2</v>
      </c>
      <c r="L791" s="2">
        <v>0</v>
      </c>
      <c r="M791" s="2">
        <v>10</v>
      </c>
      <c r="N791" s="2">
        <v>10</v>
      </c>
    </row>
    <row r="792" spans="1:14" x14ac:dyDescent="0.3">
      <c r="A792" s="2">
        <v>791</v>
      </c>
      <c r="B792" s="1">
        <v>40579</v>
      </c>
      <c r="C792" s="2">
        <v>1</v>
      </c>
      <c r="D792" s="2">
        <v>9</v>
      </c>
      <c r="E792" t="b">
        <v>0</v>
      </c>
      <c r="F792" s="2">
        <v>6</v>
      </c>
      <c r="G792" s="2">
        <v>3</v>
      </c>
      <c r="H792" s="23">
        <v>0.2</v>
      </c>
      <c r="I792" s="25">
        <v>0.2273</v>
      </c>
      <c r="J792" s="23">
        <v>1</v>
      </c>
      <c r="K792" s="25">
        <v>8.9599999999999999E-2</v>
      </c>
      <c r="L792" s="2">
        <v>3</v>
      </c>
      <c r="M792" s="2">
        <v>17</v>
      </c>
      <c r="N792" s="2">
        <v>20</v>
      </c>
    </row>
    <row r="793" spans="1:14" x14ac:dyDescent="0.3">
      <c r="A793" s="2">
        <v>792</v>
      </c>
      <c r="B793" s="1">
        <v>40579</v>
      </c>
      <c r="C793" s="2">
        <v>1</v>
      </c>
      <c r="D793" s="2">
        <v>10</v>
      </c>
      <c r="E793" t="b">
        <v>0</v>
      </c>
      <c r="F793" s="2">
        <v>6</v>
      </c>
      <c r="G793" s="2">
        <v>3</v>
      </c>
      <c r="H793" s="23">
        <v>0.2</v>
      </c>
      <c r="I793" s="25">
        <v>0.21210000000000001</v>
      </c>
      <c r="J793" s="23">
        <v>1</v>
      </c>
      <c r="K793" s="25">
        <v>0.1343</v>
      </c>
      <c r="L793" s="2">
        <v>3</v>
      </c>
      <c r="M793" s="2">
        <v>31</v>
      </c>
      <c r="N793" s="2">
        <v>34</v>
      </c>
    </row>
    <row r="794" spans="1:14" x14ac:dyDescent="0.3">
      <c r="A794" s="2">
        <v>793</v>
      </c>
      <c r="B794" s="1">
        <v>40579</v>
      </c>
      <c r="C794" s="2">
        <v>1</v>
      </c>
      <c r="D794" s="2">
        <v>11</v>
      </c>
      <c r="E794" t="b">
        <v>0</v>
      </c>
      <c r="F794" s="2">
        <v>6</v>
      </c>
      <c r="G794" s="2">
        <v>3</v>
      </c>
      <c r="H794" s="23">
        <v>0.22</v>
      </c>
      <c r="I794" s="25">
        <v>0.2273</v>
      </c>
      <c r="J794" s="23">
        <v>1</v>
      </c>
      <c r="K794" s="25">
        <v>0.1343</v>
      </c>
      <c r="L794" s="2">
        <v>1</v>
      </c>
      <c r="M794" s="2">
        <v>46</v>
      </c>
      <c r="N794" s="2">
        <v>47</v>
      </c>
    </row>
    <row r="795" spans="1:14" x14ac:dyDescent="0.3">
      <c r="A795" s="2">
        <v>794</v>
      </c>
      <c r="B795" s="1">
        <v>40579</v>
      </c>
      <c r="C795" s="2">
        <v>1</v>
      </c>
      <c r="D795" s="2">
        <v>12</v>
      </c>
      <c r="E795" t="b">
        <v>0</v>
      </c>
      <c r="F795" s="2">
        <v>6</v>
      </c>
      <c r="G795" s="2">
        <v>3</v>
      </c>
      <c r="H795" s="23">
        <v>0.22</v>
      </c>
      <c r="I795" s="25">
        <v>0.2273</v>
      </c>
      <c r="J795" s="23">
        <v>1</v>
      </c>
      <c r="K795" s="25">
        <v>0.16420000000000001</v>
      </c>
      <c r="L795" s="2">
        <v>10</v>
      </c>
      <c r="M795" s="2">
        <v>42</v>
      </c>
      <c r="N795" s="2">
        <v>52</v>
      </c>
    </row>
    <row r="796" spans="1:14" x14ac:dyDescent="0.3">
      <c r="A796" s="2">
        <v>795</v>
      </c>
      <c r="B796" s="1">
        <v>40579</v>
      </c>
      <c r="C796" s="2">
        <v>1</v>
      </c>
      <c r="D796" s="2">
        <v>13</v>
      </c>
      <c r="E796" t="b">
        <v>0</v>
      </c>
      <c r="F796" s="2">
        <v>6</v>
      </c>
      <c r="G796" s="2">
        <v>3</v>
      </c>
      <c r="H796" s="23">
        <v>0.22</v>
      </c>
      <c r="I796" s="25">
        <v>0.2273</v>
      </c>
      <c r="J796" s="23">
        <v>1</v>
      </c>
      <c r="K796" s="25">
        <v>0.16420000000000001</v>
      </c>
      <c r="L796" s="2">
        <v>10</v>
      </c>
      <c r="M796" s="2">
        <v>62</v>
      </c>
      <c r="N796" s="2">
        <v>72</v>
      </c>
    </row>
    <row r="797" spans="1:14" x14ac:dyDescent="0.3">
      <c r="A797" s="2">
        <v>796</v>
      </c>
      <c r="B797" s="1">
        <v>40579</v>
      </c>
      <c r="C797" s="2">
        <v>1</v>
      </c>
      <c r="D797" s="2">
        <v>14</v>
      </c>
      <c r="E797" t="b">
        <v>0</v>
      </c>
      <c r="F797" s="2">
        <v>6</v>
      </c>
      <c r="G797" s="2">
        <v>3</v>
      </c>
      <c r="H797" s="23">
        <v>0.22</v>
      </c>
      <c r="I797" s="25">
        <v>0.2727</v>
      </c>
      <c r="J797" s="23">
        <v>1</v>
      </c>
      <c r="K797" s="25">
        <v>0</v>
      </c>
      <c r="L797" s="2">
        <v>5</v>
      </c>
      <c r="M797" s="2">
        <v>50</v>
      </c>
      <c r="N797" s="2">
        <v>55</v>
      </c>
    </row>
    <row r="798" spans="1:14" x14ac:dyDescent="0.3">
      <c r="A798" s="2">
        <v>797</v>
      </c>
      <c r="B798" s="1">
        <v>40579</v>
      </c>
      <c r="C798" s="2">
        <v>1</v>
      </c>
      <c r="D798" s="2">
        <v>15</v>
      </c>
      <c r="E798" t="b">
        <v>0</v>
      </c>
      <c r="F798" s="2">
        <v>6</v>
      </c>
      <c r="G798" s="2">
        <v>3</v>
      </c>
      <c r="H798" s="23">
        <v>0.22</v>
      </c>
      <c r="I798" s="25">
        <v>0.2727</v>
      </c>
      <c r="J798" s="23">
        <v>1</v>
      </c>
      <c r="K798" s="25">
        <v>0</v>
      </c>
      <c r="L798" s="2">
        <v>11</v>
      </c>
      <c r="M798" s="2">
        <v>49</v>
      </c>
      <c r="N798" s="2">
        <v>60</v>
      </c>
    </row>
    <row r="799" spans="1:14" x14ac:dyDescent="0.3">
      <c r="A799" s="2">
        <v>798</v>
      </c>
      <c r="B799" s="1">
        <v>40579</v>
      </c>
      <c r="C799" s="2">
        <v>1</v>
      </c>
      <c r="D799" s="2">
        <v>16</v>
      </c>
      <c r="E799" t="b">
        <v>0</v>
      </c>
      <c r="F799" s="2">
        <v>6</v>
      </c>
      <c r="G799" s="2">
        <v>3</v>
      </c>
      <c r="H799" s="23">
        <v>0.22</v>
      </c>
      <c r="I799" s="25">
        <v>0.2273</v>
      </c>
      <c r="J799" s="23">
        <v>1</v>
      </c>
      <c r="K799" s="25">
        <v>0.1343</v>
      </c>
      <c r="L799" s="2">
        <v>8</v>
      </c>
      <c r="M799" s="2">
        <v>63</v>
      </c>
      <c r="N799" s="2">
        <v>71</v>
      </c>
    </row>
    <row r="800" spans="1:14" x14ac:dyDescent="0.3">
      <c r="A800" s="2">
        <v>799</v>
      </c>
      <c r="B800" s="1">
        <v>40579</v>
      </c>
      <c r="C800" s="2">
        <v>1</v>
      </c>
      <c r="D800" s="2">
        <v>17</v>
      </c>
      <c r="E800" t="b">
        <v>0</v>
      </c>
      <c r="F800" s="2">
        <v>6</v>
      </c>
      <c r="G800" s="2">
        <v>2</v>
      </c>
      <c r="H800" s="23">
        <v>0.24</v>
      </c>
      <c r="I800" s="25">
        <v>0.21210000000000001</v>
      </c>
      <c r="J800" s="23">
        <v>1</v>
      </c>
      <c r="K800" s="25">
        <v>0.28360000000000002</v>
      </c>
      <c r="L800" s="2">
        <v>14</v>
      </c>
      <c r="M800" s="2">
        <v>64</v>
      </c>
      <c r="N800" s="2">
        <v>78</v>
      </c>
    </row>
    <row r="801" spans="1:14" x14ac:dyDescent="0.3">
      <c r="A801" s="2">
        <v>800</v>
      </c>
      <c r="B801" s="1">
        <v>40579</v>
      </c>
      <c r="C801" s="2">
        <v>1</v>
      </c>
      <c r="D801" s="2">
        <v>18</v>
      </c>
      <c r="E801" t="b">
        <v>0</v>
      </c>
      <c r="F801" s="2">
        <v>6</v>
      </c>
      <c r="G801" s="2">
        <v>2</v>
      </c>
      <c r="H801" s="23">
        <v>0.28000000000000003</v>
      </c>
      <c r="I801" s="25">
        <v>0.2424</v>
      </c>
      <c r="J801" s="23">
        <v>0.93</v>
      </c>
      <c r="K801" s="25">
        <v>0.44779999999999998</v>
      </c>
      <c r="L801" s="2">
        <v>2</v>
      </c>
      <c r="M801" s="2">
        <v>81</v>
      </c>
      <c r="N801" s="2">
        <v>83</v>
      </c>
    </row>
    <row r="802" spans="1:14" x14ac:dyDescent="0.3">
      <c r="A802" s="2">
        <v>801</v>
      </c>
      <c r="B802" s="1">
        <v>40579</v>
      </c>
      <c r="C802" s="2">
        <v>1</v>
      </c>
      <c r="D802" s="2">
        <v>19</v>
      </c>
      <c r="E802" t="b">
        <v>0</v>
      </c>
      <c r="F802" s="2">
        <v>6</v>
      </c>
      <c r="G802" s="2">
        <v>2</v>
      </c>
      <c r="H802" s="23">
        <v>0.28000000000000003</v>
      </c>
      <c r="I802" s="25">
        <v>0.2424</v>
      </c>
      <c r="J802" s="23">
        <v>0.93</v>
      </c>
      <c r="K802" s="25">
        <v>0.44779999999999998</v>
      </c>
      <c r="L802" s="2">
        <v>6</v>
      </c>
      <c r="M802" s="2">
        <v>78</v>
      </c>
      <c r="N802" s="2">
        <v>84</v>
      </c>
    </row>
    <row r="803" spans="1:14" x14ac:dyDescent="0.3">
      <c r="A803" s="2">
        <v>802</v>
      </c>
      <c r="B803" s="1">
        <v>40579</v>
      </c>
      <c r="C803" s="2">
        <v>1</v>
      </c>
      <c r="D803" s="2">
        <v>20</v>
      </c>
      <c r="E803" t="b">
        <v>0</v>
      </c>
      <c r="F803" s="2">
        <v>6</v>
      </c>
      <c r="G803" s="2">
        <v>1</v>
      </c>
      <c r="H803" s="23">
        <v>0.3</v>
      </c>
      <c r="I803" s="25">
        <v>0.28789999999999999</v>
      </c>
      <c r="J803" s="23">
        <v>0.87</v>
      </c>
      <c r="K803" s="25">
        <v>0.25369999999999998</v>
      </c>
      <c r="L803" s="2">
        <v>5</v>
      </c>
      <c r="M803" s="2">
        <v>64</v>
      </c>
      <c r="N803" s="2">
        <v>69</v>
      </c>
    </row>
    <row r="804" spans="1:14" x14ac:dyDescent="0.3">
      <c r="A804" s="2">
        <v>803</v>
      </c>
      <c r="B804" s="1">
        <v>40579</v>
      </c>
      <c r="C804" s="2">
        <v>1</v>
      </c>
      <c r="D804" s="2">
        <v>21</v>
      </c>
      <c r="E804" t="b">
        <v>0</v>
      </c>
      <c r="F804" s="2">
        <v>6</v>
      </c>
      <c r="G804" s="2">
        <v>1</v>
      </c>
      <c r="H804" s="23">
        <v>0.26</v>
      </c>
      <c r="I804" s="25">
        <v>0.2576</v>
      </c>
      <c r="J804" s="23">
        <v>1</v>
      </c>
      <c r="K804" s="25">
        <v>0.19400000000000001</v>
      </c>
      <c r="L804" s="2">
        <v>3</v>
      </c>
      <c r="M804" s="2">
        <v>53</v>
      </c>
      <c r="N804" s="2">
        <v>56</v>
      </c>
    </row>
    <row r="805" spans="1:14" x14ac:dyDescent="0.3">
      <c r="A805" s="2">
        <v>804</v>
      </c>
      <c r="B805" s="1">
        <v>40579</v>
      </c>
      <c r="C805" s="2">
        <v>1</v>
      </c>
      <c r="D805" s="2">
        <v>22</v>
      </c>
      <c r="E805" t="b">
        <v>0</v>
      </c>
      <c r="F805" s="2">
        <v>6</v>
      </c>
      <c r="G805" s="2">
        <v>1</v>
      </c>
      <c r="H805" s="23">
        <v>0.26</v>
      </c>
      <c r="I805" s="25">
        <v>0.2727</v>
      </c>
      <c r="J805" s="23">
        <v>0.93</v>
      </c>
      <c r="K805" s="25">
        <v>0.1343</v>
      </c>
      <c r="L805" s="2">
        <v>2</v>
      </c>
      <c r="M805" s="2">
        <v>43</v>
      </c>
      <c r="N805" s="2">
        <v>45</v>
      </c>
    </row>
    <row r="806" spans="1:14" x14ac:dyDescent="0.3">
      <c r="A806" s="2">
        <v>805</v>
      </c>
      <c r="B806" s="1">
        <v>40579</v>
      </c>
      <c r="C806" s="2">
        <v>1</v>
      </c>
      <c r="D806" s="2">
        <v>23</v>
      </c>
      <c r="E806" t="b">
        <v>0</v>
      </c>
      <c r="F806" s="2">
        <v>6</v>
      </c>
      <c r="G806" s="2">
        <v>1</v>
      </c>
      <c r="H806" s="23">
        <v>0.26</v>
      </c>
      <c r="I806" s="25">
        <v>0.2576</v>
      </c>
      <c r="J806" s="23">
        <v>0.93</v>
      </c>
      <c r="K806" s="25">
        <v>0.22389999999999999</v>
      </c>
      <c r="L806" s="2">
        <v>7</v>
      </c>
      <c r="M806" s="2">
        <v>52</v>
      </c>
      <c r="N806" s="2">
        <v>59</v>
      </c>
    </row>
    <row r="807" spans="1:14" x14ac:dyDescent="0.3">
      <c r="A807" s="2">
        <v>806</v>
      </c>
      <c r="B807" s="1">
        <v>40580</v>
      </c>
      <c r="C807" s="2">
        <v>1</v>
      </c>
      <c r="D807" s="2">
        <v>0</v>
      </c>
      <c r="E807" t="b">
        <v>0</v>
      </c>
      <c r="F807" s="2">
        <v>0</v>
      </c>
      <c r="G807" s="2">
        <v>1</v>
      </c>
      <c r="H807" s="23">
        <v>0.26</v>
      </c>
      <c r="I807" s="25">
        <v>0.2576</v>
      </c>
      <c r="J807" s="23">
        <v>0.7</v>
      </c>
      <c r="K807" s="25">
        <v>0.19400000000000001</v>
      </c>
      <c r="L807" s="2">
        <v>2</v>
      </c>
      <c r="M807" s="2">
        <v>37</v>
      </c>
      <c r="N807" s="2">
        <v>39</v>
      </c>
    </row>
    <row r="808" spans="1:14" x14ac:dyDescent="0.3">
      <c r="A808" s="2">
        <v>807</v>
      </c>
      <c r="B808" s="1">
        <v>40580</v>
      </c>
      <c r="C808" s="2">
        <v>1</v>
      </c>
      <c r="D808" s="2">
        <v>1</v>
      </c>
      <c r="E808" t="b">
        <v>0</v>
      </c>
      <c r="F808" s="2">
        <v>0</v>
      </c>
      <c r="G808" s="2">
        <v>1</v>
      </c>
      <c r="H808" s="23">
        <v>0.26</v>
      </c>
      <c r="I808" s="25">
        <v>0.2273</v>
      </c>
      <c r="J808" s="23">
        <v>0.65</v>
      </c>
      <c r="K808" s="25">
        <v>0.41789999999999999</v>
      </c>
      <c r="L808" s="2">
        <v>4</v>
      </c>
      <c r="M808" s="2">
        <v>40</v>
      </c>
      <c r="N808" s="2">
        <v>44</v>
      </c>
    </row>
    <row r="809" spans="1:14" x14ac:dyDescent="0.3">
      <c r="A809" s="2">
        <v>808</v>
      </c>
      <c r="B809" s="1">
        <v>40580</v>
      </c>
      <c r="C809" s="2">
        <v>1</v>
      </c>
      <c r="D809" s="2">
        <v>2</v>
      </c>
      <c r="E809" t="b">
        <v>0</v>
      </c>
      <c r="F809" s="2">
        <v>0</v>
      </c>
      <c r="G809" s="2">
        <v>1</v>
      </c>
      <c r="H809" s="23">
        <v>0.26</v>
      </c>
      <c r="I809" s="25">
        <v>0.2273</v>
      </c>
      <c r="J809" s="23">
        <v>0.6</v>
      </c>
      <c r="K809" s="25">
        <v>0.32840000000000003</v>
      </c>
      <c r="L809" s="2">
        <v>0</v>
      </c>
      <c r="M809" s="2">
        <v>20</v>
      </c>
      <c r="N809" s="2">
        <v>20</v>
      </c>
    </row>
    <row r="810" spans="1:14" x14ac:dyDescent="0.3">
      <c r="A810" s="2">
        <v>809</v>
      </c>
      <c r="B810" s="1">
        <v>40580</v>
      </c>
      <c r="C810" s="2">
        <v>1</v>
      </c>
      <c r="D810" s="2">
        <v>3</v>
      </c>
      <c r="E810" t="b">
        <v>0</v>
      </c>
      <c r="F810" s="2">
        <v>0</v>
      </c>
      <c r="G810" s="2">
        <v>1</v>
      </c>
      <c r="H810" s="23">
        <v>0.26</v>
      </c>
      <c r="I810" s="25">
        <v>0.28789999999999999</v>
      </c>
      <c r="J810" s="23">
        <v>0.6</v>
      </c>
      <c r="K810" s="25">
        <v>8.9599999999999999E-2</v>
      </c>
      <c r="L810" s="2">
        <v>3</v>
      </c>
      <c r="M810" s="2">
        <v>10</v>
      </c>
      <c r="N810" s="2">
        <v>13</v>
      </c>
    </row>
    <row r="811" spans="1:14" x14ac:dyDescent="0.3">
      <c r="A811" s="2">
        <v>810</v>
      </c>
      <c r="B811" s="1">
        <v>40580</v>
      </c>
      <c r="C811" s="2">
        <v>1</v>
      </c>
      <c r="D811" s="2">
        <v>4</v>
      </c>
      <c r="E811" t="b">
        <v>0</v>
      </c>
      <c r="F811" s="2">
        <v>0</v>
      </c>
      <c r="G811" s="2">
        <v>1</v>
      </c>
      <c r="H811" s="23">
        <v>0.26</v>
      </c>
      <c r="I811" s="25">
        <v>0.2273</v>
      </c>
      <c r="J811" s="23">
        <v>0.6</v>
      </c>
      <c r="K811" s="25">
        <v>0.35820000000000002</v>
      </c>
      <c r="L811" s="2">
        <v>0</v>
      </c>
      <c r="M811" s="2">
        <v>2</v>
      </c>
      <c r="N811" s="2">
        <v>2</v>
      </c>
    </row>
    <row r="812" spans="1:14" x14ac:dyDescent="0.3">
      <c r="A812" s="2">
        <v>811</v>
      </c>
      <c r="B812" s="1">
        <v>40580</v>
      </c>
      <c r="C812" s="2">
        <v>1</v>
      </c>
      <c r="D812" s="2">
        <v>5</v>
      </c>
      <c r="E812" t="b">
        <v>0</v>
      </c>
      <c r="F812" s="2">
        <v>0</v>
      </c>
      <c r="G812" s="2">
        <v>1</v>
      </c>
      <c r="H812" s="23">
        <v>0.26</v>
      </c>
      <c r="I812" s="25">
        <v>0.2576</v>
      </c>
      <c r="J812" s="23">
        <v>0.6</v>
      </c>
      <c r="K812" s="25">
        <v>0.22389999999999999</v>
      </c>
      <c r="L812" s="2">
        <v>0</v>
      </c>
      <c r="M812" s="2">
        <v>1</v>
      </c>
      <c r="N812" s="2">
        <v>1</v>
      </c>
    </row>
    <row r="813" spans="1:14" x14ac:dyDescent="0.3">
      <c r="A813" s="2">
        <v>812</v>
      </c>
      <c r="B813" s="1">
        <v>40580</v>
      </c>
      <c r="C813" s="2">
        <v>1</v>
      </c>
      <c r="D813" s="2">
        <v>6</v>
      </c>
      <c r="E813" t="b">
        <v>0</v>
      </c>
      <c r="F813" s="2">
        <v>0</v>
      </c>
      <c r="G813" s="2">
        <v>1</v>
      </c>
      <c r="H813" s="23">
        <v>0.26</v>
      </c>
      <c r="I813" s="25">
        <v>0.2576</v>
      </c>
      <c r="J813" s="23">
        <v>0.6</v>
      </c>
      <c r="K813" s="25">
        <v>0.22389999999999999</v>
      </c>
      <c r="L813" s="2">
        <v>0</v>
      </c>
      <c r="M813" s="2">
        <v>1</v>
      </c>
      <c r="N813" s="2">
        <v>1</v>
      </c>
    </row>
    <row r="814" spans="1:14" x14ac:dyDescent="0.3">
      <c r="A814" s="2">
        <v>813</v>
      </c>
      <c r="B814" s="1">
        <v>40580</v>
      </c>
      <c r="C814" s="2">
        <v>1</v>
      </c>
      <c r="D814" s="2">
        <v>7</v>
      </c>
      <c r="E814" t="b">
        <v>0</v>
      </c>
      <c r="F814" s="2">
        <v>0</v>
      </c>
      <c r="G814" s="2">
        <v>1</v>
      </c>
      <c r="H814" s="23">
        <v>0.24</v>
      </c>
      <c r="I814" s="25">
        <v>0.2424</v>
      </c>
      <c r="J814" s="23">
        <v>0.65</v>
      </c>
      <c r="K814" s="25">
        <v>0.16420000000000001</v>
      </c>
      <c r="L814" s="2">
        <v>0</v>
      </c>
      <c r="M814" s="2">
        <v>8</v>
      </c>
      <c r="N814" s="2">
        <v>8</v>
      </c>
    </row>
    <row r="815" spans="1:14" x14ac:dyDescent="0.3">
      <c r="A815" s="2">
        <v>814</v>
      </c>
      <c r="B815" s="1">
        <v>40580</v>
      </c>
      <c r="C815" s="2">
        <v>1</v>
      </c>
      <c r="D815" s="2">
        <v>8</v>
      </c>
      <c r="E815" t="b">
        <v>0</v>
      </c>
      <c r="F815" s="2">
        <v>0</v>
      </c>
      <c r="G815" s="2">
        <v>1</v>
      </c>
      <c r="H815" s="23">
        <v>0.24</v>
      </c>
      <c r="I815" s="25">
        <v>0.2576</v>
      </c>
      <c r="J815" s="23">
        <v>0.65</v>
      </c>
      <c r="K815" s="25">
        <v>0.1045</v>
      </c>
      <c r="L815" s="2">
        <v>2</v>
      </c>
      <c r="M815" s="2">
        <v>21</v>
      </c>
      <c r="N815" s="2">
        <v>23</v>
      </c>
    </row>
    <row r="816" spans="1:14" x14ac:dyDescent="0.3">
      <c r="A816" s="2">
        <v>815</v>
      </c>
      <c r="B816" s="1">
        <v>40580</v>
      </c>
      <c r="C816" s="2">
        <v>1</v>
      </c>
      <c r="D816" s="2">
        <v>9</v>
      </c>
      <c r="E816" t="b">
        <v>0</v>
      </c>
      <c r="F816" s="2">
        <v>0</v>
      </c>
      <c r="G816" s="2">
        <v>1</v>
      </c>
      <c r="H816" s="23">
        <v>0.28000000000000003</v>
      </c>
      <c r="I816" s="25">
        <v>0.28789999999999999</v>
      </c>
      <c r="J816" s="23">
        <v>0.56000000000000005</v>
      </c>
      <c r="K816" s="25">
        <v>0.1045</v>
      </c>
      <c r="L816" s="2">
        <v>7</v>
      </c>
      <c r="M816" s="2">
        <v>38</v>
      </c>
      <c r="N816" s="2">
        <v>45</v>
      </c>
    </row>
    <row r="817" spans="1:14" x14ac:dyDescent="0.3">
      <c r="A817" s="2">
        <v>816</v>
      </c>
      <c r="B817" s="1">
        <v>40580</v>
      </c>
      <c r="C817" s="2">
        <v>1</v>
      </c>
      <c r="D817" s="2">
        <v>10</v>
      </c>
      <c r="E817" t="b">
        <v>0</v>
      </c>
      <c r="F817" s="2">
        <v>0</v>
      </c>
      <c r="G817" s="2">
        <v>1</v>
      </c>
      <c r="H817" s="23">
        <v>0.3</v>
      </c>
      <c r="I817" s="25">
        <v>0.28789999999999999</v>
      </c>
      <c r="J817" s="23">
        <v>0.52</v>
      </c>
      <c r="K817" s="25">
        <v>0.25369999999999998</v>
      </c>
      <c r="L817" s="2">
        <v>15</v>
      </c>
      <c r="M817" s="2">
        <v>74</v>
      </c>
      <c r="N817" s="2">
        <v>89</v>
      </c>
    </row>
    <row r="818" spans="1:14" x14ac:dyDescent="0.3">
      <c r="A818" s="2">
        <v>817</v>
      </c>
      <c r="B818" s="1">
        <v>40580</v>
      </c>
      <c r="C818" s="2">
        <v>1</v>
      </c>
      <c r="D818" s="2">
        <v>11</v>
      </c>
      <c r="E818" t="b">
        <v>0</v>
      </c>
      <c r="F818" s="2">
        <v>0</v>
      </c>
      <c r="G818" s="2">
        <v>1</v>
      </c>
      <c r="H818" s="23">
        <v>0.32</v>
      </c>
      <c r="I818" s="25">
        <v>0.30299999999999999</v>
      </c>
      <c r="J818" s="23">
        <v>0.49</v>
      </c>
      <c r="K818" s="25">
        <v>0.25369999999999998</v>
      </c>
      <c r="L818" s="2">
        <v>28</v>
      </c>
      <c r="M818" s="2">
        <v>89</v>
      </c>
      <c r="N818" s="2">
        <v>117</v>
      </c>
    </row>
    <row r="819" spans="1:14" x14ac:dyDescent="0.3">
      <c r="A819" s="2">
        <v>818</v>
      </c>
      <c r="B819" s="1">
        <v>40580</v>
      </c>
      <c r="C819" s="2">
        <v>1</v>
      </c>
      <c r="D819" s="2">
        <v>12</v>
      </c>
      <c r="E819" t="b">
        <v>0</v>
      </c>
      <c r="F819" s="2">
        <v>0</v>
      </c>
      <c r="G819" s="2">
        <v>1</v>
      </c>
      <c r="H819" s="23">
        <v>0.34</v>
      </c>
      <c r="I819" s="25">
        <v>0.33329999999999999</v>
      </c>
      <c r="J819" s="23">
        <v>0.46</v>
      </c>
      <c r="K819" s="25">
        <v>0</v>
      </c>
      <c r="L819" s="2">
        <v>48</v>
      </c>
      <c r="M819" s="2">
        <v>126</v>
      </c>
      <c r="N819" s="2">
        <v>174</v>
      </c>
    </row>
    <row r="820" spans="1:14" x14ac:dyDescent="0.3">
      <c r="A820" s="2">
        <v>819</v>
      </c>
      <c r="B820" s="1">
        <v>40580</v>
      </c>
      <c r="C820" s="2">
        <v>1</v>
      </c>
      <c r="D820" s="2">
        <v>13</v>
      </c>
      <c r="E820" t="b">
        <v>0</v>
      </c>
      <c r="F820" s="2">
        <v>0</v>
      </c>
      <c r="G820" s="2">
        <v>1</v>
      </c>
      <c r="H820" s="23">
        <v>0.34</v>
      </c>
      <c r="I820" s="25">
        <v>0.36359999999999998</v>
      </c>
      <c r="J820" s="23">
        <v>0.46</v>
      </c>
      <c r="K820" s="25">
        <v>0</v>
      </c>
      <c r="L820" s="2">
        <v>47</v>
      </c>
      <c r="M820" s="2">
        <v>135</v>
      </c>
      <c r="N820" s="2">
        <v>182</v>
      </c>
    </row>
    <row r="821" spans="1:14" x14ac:dyDescent="0.3">
      <c r="A821" s="2">
        <v>820</v>
      </c>
      <c r="B821" s="1">
        <v>40580</v>
      </c>
      <c r="C821" s="2">
        <v>1</v>
      </c>
      <c r="D821" s="2">
        <v>14</v>
      </c>
      <c r="E821" t="b">
        <v>0</v>
      </c>
      <c r="F821" s="2">
        <v>0</v>
      </c>
      <c r="G821" s="2">
        <v>1</v>
      </c>
      <c r="H821" s="23">
        <v>0.34</v>
      </c>
      <c r="I821" s="25">
        <v>0.34849999999999998</v>
      </c>
      <c r="J821" s="23">
        <v>0.46</v>
      </c>
      <c r="K821" s="25">
        <v>8.9599999999999999E-2</v>
      </c>
      <c r="L821" s="2">
        <v>47</v>
      </c>
      <c r="M821" s="2">
        <v>114</v>
      </c>
      <c r="N821" s="2">
        <v>161</v>
      </c>
    </row>
    <row r="822" spans="1:14" x14ac:dyDescent="0.3">
      <c r="A822" s="2">
        <v>821</v>
      </c>
      <c r="B822" s="1">
        <v>40580</v>
      </c>
      <c r="C822" s="2">
        <v>1</v>
      </c>
      <c r="D822" s="2">
        <v>15</v>
      </c>
      <c r="E822" t="b">
        <v>0</v>
      </c>
      <c r="F822" s="2">
        <v>0</v>
      </c>
      <c r="G822" s="2">
        <v>1</v>
      </c>
      <c r="H822" s="23">
        <v>0.34</v>
      </c>
      <c r="I822" s="25">
        <v>0.34849999999999998</v>
      </c>
      <c r="J822" s="23">
        <v>0.46</v>
      </c>
      <c r="K822" s="25">
        <v>8.9599999999999999E-2</v>
      </c>
      <c r="L822" s="2">
        <v>52</v>
      </c>
      <c r="M822" s="2">
        <v>130</v>
      </c>
      <c r="N822" s="2">
        <v>182</v>
      </c>
    </row>
    <row r="823" spans="1:14" x14ac:dyDescent="0.3">
      <c r="A823" s="2">
        <v>822</v>
      </c>
      <c r="B823" s="1">
        <v>40580</v>
      </c>
      <c r="C823" s="2">
        <v>1</v>
      </c>
      <c r="D823" s="2">
        <v>16</v>
      </c>
      <c r="E823" t="b">
        <v>0</v>
      </c>
      <c r="F823" s="2">
        <v>0</v>
      </c>
      <c r="G823" s="2">
        <v>1</v>
      </c>
      <c r="H823" s="23">
        <v>0.34</v>
      </c>
      <c r="I823" s="25">
        <v>0.34849999999999998</v>
      </c>
      <c r="J823" s="23">
        <v>0.49</v>
      </c>
      <c r="K823" s="25">
        <v>0.1045</v>
      </c>
      <c r="L823" s="2">
        <v>42</v>
      </c>
      <c r="M823" s="2">
        <v>115</v>
      </c>
      <c r="N823" s="2">
        <v>157</v>
      </c>
    </row>
    <row r="824" spans="1:14" x14ac:dyDescent="0.3">
      <c r="A824" s="2">
        <v>823</v>
      </c>
      <c r="B824" s="1">
        <v>40580</v>
      </c>
      <c r="C824" s="2">
        <v>1</v>
      </c>
      <c r="D824" s="2">
        <v>17</v>
      </c>
      <c r="E824" t="b">
        <v>0</v>
      </c>
      <c r="F824" s="2">
        <v>0</v>
      </c>
      <c r="G824" s="2">
        <v>1</v>
      </c>
      <c r="H824" s="23">
        <v>0.34</v>
      </c>
      <c r="I824" s="25">
        <v>0.36359999999999998</v>
      </c>
      <c r="J824" s="23">
        <v>0.46</v>
      </c>
      <c r="K824" s="25">
        <v>0</v>
      </c>
      <c r="L824" s="2">
        <v>24</v>
      </c>
      <c r="M824" s="2">
        <v>97</v>
      </c>
      <c r="N824" s="2">
        <v>121</v>
      </c>
    </row>
    <row r="825" spans="1:14" x14ac:dyDescent="0.3">
      <c r="A825" s="2">
        <v>824</v>
      </c>
      <c r="B825" s="1">
        <v>40580</v>
      </c>
      <c r="C825" s="2">
        <v>1</v>
      </c>
      <c r="D825" s="2">
        <v>18</v>
      </c>
      <c r="E825" t="b">
        <v>0</v>
      </c>
      <c r="F825" s="2">
        <v>0</v>
      </c>
      <c r="G825" s="2">
        <v>1</v>
      </c>
      <c r="H825" s="23">
        <v>0.3</v>
      </c>
      <c r="I825" s="25">
        <v>0.30299999999999999</v>
      </c>
      <c r="J825" s="23">
        <v>0.56000000000000005</v>
      </c>
      <c r="K825" s="25">
        <v>0.16420000000000001</v>
      </c>
      <c r="L825" s="2">
        <v>13</v>
      </c>
      <c r="M825" s="2">
        <v>65</v>
      </c>
      <c r="N825" s="2">
        <v>78</v>
      </c>
    </row>
    <row r="826" spans="1:14" x14ac:dyDescent="0.3">
      <c r="A826" s="2">
        <v>825</v>
      </c>
      <c r="B826" s="1">
        <v>40580</v>
      </c>
      <c r="C826" s="2">
        <v>1</v>
      </c>
      <c r="D826" s="2">
        <v>19</v>
      </c>
      <c r="E826" t="b">
        <v>0</v>
      </c>
      <c r="F826" s="2">
        <v>0</v>
      </c>
      <c r="G826" s="2">
        <v>1</v>
      </c>
      <c r="H826" s="23">
        <v>0.28000000000000003</v>
      </c>
      <c r="I826" s="25">
        <v>0.28789999999999999</v>
      </c>
      <c r="J826" s="23">
        <v>0.61</v>
      </c>
      <c r="K826" s="25">
        <v>0.1343</v>
      </c>
      <c r="L826" s="2">
        <v>1</v>
      </c>
      <c r="M826" s="2">
        <v>20</v>
      </c>
      <c r="N826" s="2">
        <v>21</v>
      </c>
    </row>
    <row r="827" spans="1:14" x14ac:dyDescent="0.3">
      <c r="A827" s="2">
        <v>826</v>
      </c>
      <c r="B827" s="1">
        <v>40580</v>
      </c>
      <c r="C827" s="2">
        <v>1</v>
      </c>
      <c r="D827" s="2">
        <v>20</v>
      </c>
      <c r="E827" t="b">
        <v>0</v>
      </c>
      <c r="F827" s="2">
        <v>0</v>
      </c>
      <c r="G827" s="2">
        <v>1</v>
      </c>
      <c r="H827" s="23">
        <v>0.28000000000000003</v>
      </c>
      <c r="I827" s="25">
        <v>0.28789999999999999</v>
      </c>
      <c r="J827" s="23">
        <v>0.61</v>
      </c>
      <c r="K827" s="25">
        <v>0.1045</v>
      </c>
      <c r="L827" s="2">
        <v>5</v>
      </c>
      <c r="M827" s="2">
        <v>21</v>
      </c>
      <c r="N827" s="2">
        <v>26</v>
      </c>
    </row>
    <row r="828" spans="1:14" x14ac:dyDescent="0.3">
      <c r="A828" s="2">
        <v>827</v>
      </c>
      <c r="B828" s="1">
        <v>40580</v>
      </c>
      <c r="C828" s="2">
        <v>1</v>
      </c>
      <c r="D828" s="2">
        <v>21</v>
      </c>
      <c r="E828" t="b">
        <v>0</v>
      </c>
      <c r="F828" s="2">
        <v>0</v>
      </c>
      <c r="G828" s="2">
        <v>1</v>
      </c>
      <c r="H828" s="23">
        <v>0.26</v>
      </c>
      <c r="I828" s="25">
        <v>0.30299999999999999</v>
      </c>
      <c r="J828" s="23">
        <v>0.6</v>
      </c>
      <c r="K828" s="25">
        <v>0</v>
      </c>
      <c r="L828" s="2">
        <v>5</v>
      </c>
      <c r="M828" s="2">
        <v>22</v>
      </c>
      <c r="N828" s="2">
        <v>27</v>
      </c>
    </row>
    <row r="829" spans="1:14" x14ac:dyDescent="0.3">
      <c r="A829" s="2">
        <v>828</v>
      </c>
      <c r="B829" s="1">
        <v>40580</v>
      </c>
      <c r="C829" s="2">
        <v>1</v>
      </c>
      <c r="D829" s="2">
        <v>22</v>
      </c>
      <c r="E829" t="b">
        <v>0</v>
      </c>
      <c r="F829" s="2">
        <v>0</v>
      </c>
      <c r="G829" s="2">
        <v>1</v>
      </c>
      <c r="H829" s="23">
        <v>0.26</v>
      </c>
      <c r="I829" s="25">
        <v>0.30299999999999999</v>
      </c>
      <c r="J829" s="23">
        <v>0.6</v>
      </c>
      <c r="K829" s="25">
        <v>0</v>
      </c>
      <c r="L829" s="2">
        <v>5</v>
      </c>
      <c r="M829" s="2">
        <v>57</v>
      </c>
      <c r="N829" s="2">
        <v>62</v>
      </c>
    </row>
    <row r="830" spans="1:14" x14ac:dyDescent="0.3">
      <c r="A830" s="2">
        <v>829</v>
      </c>
      <c r="B830" s="1">
        <v>40580</v>
      </c>
      <c r="C830" s="2">
        <v>1</v>
      </c>
      <c r="D830" s="2">
        <v>23</v>
      </c>
      <c r="E830" t="b">
        <v>0</v>
      </c>
      <c r="F830" s="2">
        <v>0</v>
      </c>
      <c r="G830" s="2">
        <v>1</v>
      </c>
      <c r="H830" s="23">
        <v>0.24</v>
      </c>
      <c r="I830" s="25">
        <v>0.28789999999999999</v>
      </c>
      <c r="J830" s="23">
        <v>0.65</v>
      </c>
      <c r="K830" s="25">
        <v>0</v>
      </c>
      <c r="L830" s="2">
        <v>4</v>
      </c>
      <c r="M830" s="2">
        <v>26</v>
      </c>
      <c r="N830" s="2">
        <v>30</v>
      </c>
    </row>
    <row r="831" spans="1:14" x14ac:dyDescent="0.3">
      <c r="A831" s="2">
        <v>830</v>
      </c>
      <c r="B831" s="1">
        <v>40581</v>
      </c>
      <c r="C831" s="2">
        <v>1</v>
      </c>
      <c r="D831" s="2">
        <v>0</v>
      </c>
      <c r="E831" t="b">
        <v>0</v>
      </c>
      <c r="F831" s="2">
        <v>1</v>
      </c>
      <c r="G831" s="2">
        <v>1</v>
      </c>
      <c r="H831" s="23">
        <v>0.24</v>
      </c>
      <c r="I831" s="25">
        <v>0.28789999999999999</v>
      </c>
      <c r="J831" s="23">
        <v>0.65</v>
      </c>
      <c r="K831" s="25">
        <v>0</v>
      </c>
      <c r="L831" s="2">
        <v>1</v>
      </c>
      <c r="M831" s="2">
        <v>14</v>
      </c>
      <c r="N831" s="2">
        <v>15</v>
      </c>
    </row>
    <row r="832" spans="1:14" x14ac:dyDescent="0.3">
      <c r="A832" s="2">
        <v>831</v>
      </c>
      <c r="B832" s="1">
        <v>40581</v>
      </c>
      <c r="C832" s="2">
        <v>1</v>
      </c>
      <c r="D832" s="2">
        <v>1</v>
      </c>
      <c r="E832" t="b">
        <v>0</v>
      </c>
      <c r="F832" s="2">
        <v>1</v>
      </c>
      <c r="G832" s="2">
        <v>1</v>
      </c>
      <c r="H832" s="23">
        <v>0.22</v>
      </c>
      <c r="I832" s="25">
        <v>0.2727</v>
      </c>
      <c r="J832" s="23">
        <v>0.75</v>
      </c>
      <c r="K832" s="25">
        <v>0</v>
      </c>
      <c r="L832" s="2">
        <v>1</v>
      </c>
      <c r="M832" s="2">
        <v>4</v>
      </c>
      <c r="N832" s="2">
        <v>5</v>
      </c>
    </row>
    <row r="833" spans="1:14" x14ac:dyDescent="0.3">
      <c r="A833" s="2">
        <v>832</v>
      </c>
      <c r="B833" s="1">
        <v>40581</v>
      </c>
      <c r="C833" s="2">
        <v>1</v>
      </c>
      <c r="D833" s="2">
        <v>2</v>
      </c>
      <c r="E833" t="b">
        <v>0</v>
      </c>
      <c r="F833" s="2">
        <v>1</v>
      </c>
      <c r="G833" s="2">
        <v>1</v>
      </c>
      <c r="H833" s="23">
        <v>0.2</v>
      </c>
      <c r="I833" s="25">
        <v>0.2576</v>
      </c>
      <c r="J833" s="23">
        <v>0.8</v>
      </c>
      <c r="K833" s="25">
        <v>0</v>
      </c>
      <c r="L833" s="2">
        <v>0</v>
      </c>
      <c r="M833" s="2">
        <v>3</v>
      </c>
      <c r="N833" s="2">
        <v>3</v>
      </c>
    </row>
    <row r="834" spans="1:14" x14ac:dyDescent="0.3">
      <c r="A834" s="2">
        <v>833</v>
      </c>
      <c r="B834" s="1">
        <v>40581</v>
      </c>
      <c r="C834" s="2">
        <v>1</v>
      </c>
      <c r="D834" s="2">
        <v>3</v>
      </c>
      <c r="E834" t="b">
        <v>0</v>
      </c>
      <c r="F834" s="2">
        <v>1</v>
      </c>
      <c r="G834" s="2">
        <v>1</v>
      </c>
      <c r="H834" s="23">
        <v>0.2</v>
      </c>
      <c r="I834" s="25">
        <v>0.2576</v>
      </c>
      <c r="J834" s="23">
        <v>0.86</v>
      </c>
      <c r="K834" s="25">
        <v>0</v>
      </c>
      <c r="L834" s="2">
        <v>0</v>
      </c>
      <c r="M834" s="2">
        <v>1</v>
      </c>
      <c r="N834" s="2">
        <v>1</v>
      </c>
    </row>
    <row r="835" spans="1:14" x14ac:dyDescent="0.3">
      <c r="A835" s="2">
        <v>834</v>
      </c>
      <c r="B835" s="1">
        <v>40581</v>
      </c>
      <c r="C835" s="2">
        <v>1</v>
      </c>
      <c r="D835" s="2">
        <v>4</v>
      </c>
      <c r="E835" t="b">
        <v>0</v>
      </c>
      <c r="F835" s="2">
        <v>1</v>
      </c>
      <c r="G835" s="2">
        <v>1</v>
      </c>
      <c r="H835" s="23">
        <v>0.2</v>
      </c>
      <c r="I835" s="25">
        <v>0.2576</v>
      </c>
      <c r="J835" s="23">
        <v>0.86</v>
      </c>
      <c r="K835" s="25">
        <v>0</v>
      </c>
      <c r="L835" s="2">
        <v>1</v>
      </c>
      <c r="M835" s="2">
        <v>1</v>
      </c>
      <c r="N835" s="2">
        <v>2</v>
      </c>
    </row>
    <row r="836" spans="1:14" x14ac:dyDescent="0.3">
      <c r="A836" s="2">
        <v>835</v>
      </c>
      <c r="B836" s="1">
        <v>40581</v>
      </c>
      <c r="C836" s="2">
        <v>1</v>
      </c>
      <c r="D836" s="2">
        <v>5</v>
      </c>
      <c r="E836" t="b">
        <v>0</v>
      </c>
      <c r="F836" s="2">
        <v>1</v>
      </c>
      <c r="G836" s="2">
        <v>1</v>
      </c>
      <c r="H836" s="23">
        <v>0.2</v>
      </c>
      <c r="I836" s="25">
        <v>0.2576</v>
      </c>
      <c r="J836" s="23">
        <v>0.86</v>
      </c>
      <c r="K836" s="25">
        <v>0</v>
      </c>
      <c r="L836" s="2">
        <v>1</v>
      </c>
      <c r="M836" s="2">
        <v>9</v>
      </c>
      <c r="N836" s="2">
        <v>10</v>
      </c>
    </row>
    <row r="837" spans="1:14" x14ac:dyDescent="0.3">
      <c r="A837" s="2">
        <v>836</v>
      </c>
      <c r="B837" s="1">
        <v>40581</v>
      </c>
      <c r="C837" s="2">
        <v>1</v>
      </c>
      <c r="D837" s="2">
        <v>6</v>
      </c>
      <c r="E837" t="b">
        <v>0</v>
      </c>
      <c r="F837" s="2">
        <v>1</v>
      </c>
      <c r="G837" s="2">
        <v>1</v>
      </c>
      <c r="H837" s="23">
        <v>0.18</v>
      </c>
      <c r="I837" s="25">
        <v>0.2424</v>
      </c>
      <c r="J837" s="23">
        <v>0.93</v>
      </c>
      <c r="K837" s="25">
        <v>0</v>
      </c>
      <c r="L837" s="2">
        <v>1</v>
      </c>
      <c r="M837" s="2">
        <v>29</v>
      </c>
      <c r="N837" s="2">
        <v>30</v>
      </c>
    </row>
    <row r="838" spans="1:14" x14ac:dyDescent="0.3">
      <c r="A838" s="2">
        <v>837</v>
      </c>
      <c r="B838" s="1">
        <v>40581</v>
      </c>
      <c r="C838" s="2">
        <v>1</v>
      </c>
      <c r="D838" s="2">
        <v>7</v>
      </c>
      <c r="E838" t="b">
        <v>0</v>
      </c>
      <c r="F838" s="2">
        <v>1</v>
      </c>
      <c r="G838" s="2">
        <v>1</v>
      </c>
      <c r="H838" s="23">
        <v>0.18</v>
      </c>
      <c r="I838" s="25">
        <v>0.2424</v>
      </c>
      <c r="J838" s="23">
        <v>0.86</v>
      </c>
      <c r="K838" s="25">
        <v>0</v>
      </c>
      <c r="L838" s="2">
        <v>6</v>
      </c>
      <c r="M838" s="2">
        <v>89</v>
      </c>
      <c r="N838" s="2">
        <v>95</v>
      </c>
    </row>
    <row r="839" spans="1:14" x14ac:dyDescent="0.3">
      <c r="A839" s="2">
        <v>838</v>
      </c>
      <c r="B839" s="1">
        <v>40581</v>
      </c>
      <c r="C839" s="2">
        <v>1</v>
      </c>
      <c r="D839" s="2">
        <v>8</v>
      </c>
      <c r="E839" t="b">
        <v>0</v>
      </c>
      <c r="F839" s="2">
        <v>1</v>
      </c>
      <c r="G839" s="2">
        <v>2</v>
      </c>
      <c r="H839" s="23">
        <v>0.16</v>
      </c>
      <c r="I839" s="25">
        <v>0.2273</v>
      </c>
      <c r="J839" s="23">
        <v>1</v>
      </c>
      <c r="K839" s="25">
        <v>0</v>
      </c>
      <c r="L839" s="2">
        <v>7</v>
      </c>
      <c r="M839" s="2">
        <v>223</v>
      </c>
      <c r="N839" s="2">
        <v>230</v>
      </c>
    </row>
    <row r="840" spans="1:14" x14ac:dyDescent="0.3">
      <c r="A840" s="2">
        <v>839</v>
      </c>
      <c r="B840" s="1">
        <v>40581</v>
      </c>
      <c r="C840" s="2">
        <v>1</v>
      </c>
      <c r="D840" s="2">
        <v>9</v>
      </c>
      <c r="E840" t="b">
        <v>0</v>
      </c>
      <c r="F840" s="2">
        <v>1</v>
      </c>
      <c r="G840" s="2">
        <v>1</v>
      </c>
      <c r="H840" s="23">
        <v>0.22</v>
      </c>
      <c r="I840" s="25">
        <v>0.2727</v>
      </c>
      <c r="J840" s="23">
        <v>0.8</v>
      </c>
      <c r="K840" s="25">
        <v>0</v>
      </c>
      <c r="L840" s="2">
        <v>3</v>
      </c>
      <c r="M840" s="2">
        <v>115</v>
      </c>
      <c r="N840" s="2">
        <v>118</v>
      </c>
    </row>
    <row r="841" spans="1:14" x14ac:dyDescent="0.3">
      <c r="A841" s="2">
        <v>840</v>
      </c>
      <c r="B841" s="1">
        <v>40581</v>
      </c>
      <c r="C841" s="2">
        <v>1</v>
      </c>
      <c r="D841" s="2">
        <v>10</v>
      </c>
      <c r="E841" t="b">
        <v>0</v>
      </c>
      <c r="F841" s="2">
        <v>1</v>
      </c>
      <c r="G841" s="2">
        <v>1</v>
      </c>
      <c r="H841" s="23">
        <v>0.24</v>
      </c>
      <c r="I841" s="25">
        <v>0.2576</v>
      </c>
      <c r="J841" s="23">
        <v>0.75</v>
      </c>
      <c r="K841" s="25">
        <v>0.1045</v>
      </c>
      <c r="L841" s="2">
        <v>6</v>
      </c>
      <c r="M841" s="2">
        <v>49</v>
      </c>
      <c r="N841" s="2">
        <v>55</v>
      </c>
    </row>
    <row r="842" spans="1:14" x14ac:dyDescent="0.3">
      <c r="A842" s="2">
        <v>841</v>
      </c>
      <c r="B842" s="1">
        <v>40581</v>
      </c>
      <c r="C842" s="2">
        <v>1</v>
      </c>
      <c r="D842" s="2">
        <v>11</v>
      </c>
      <c r="E842" t="b">
        <v>0</v>
      </c>
      <c r="F842" s="2">
        <v>1</v>
      </c>
      <c r="G842" s="2">
        <v>1</v>
      </c>
      <c r="H842" s="23">
        <v>0.3</v>
      </c>
      <c r="I842" s="25">
        <v>0.31819999999999998</v>
      </c>
      <c r="J842" s="23">
        <v>0.65</v>
      </c>
      <c r="K842" s="25">
        <v>8.9599999999999999E-2</v>
      </c>
      <c r="L842" s="2">
        <v>11</v>
      </c>
      <c r="M842" s="2">
        <v>36</v>
      </c>
      <c r="N842" s="2">
        <v>47</v>
      </c>
    </row>
    <row r="843" spans="1:14" x14ac:dyDescent="0.3">
      <c r="A843" s="2">
        <v>842</v>
      </c>
      <c r="B843" s="1">
        <v>40581</v>
      </c>
      <c r="C843" s="2">
        <v>1</v>
      </c>
      <c r="D843" s="2">
        <v>12</v>
      </c>
      <c r="E843" t="b">
        <v>0</v>
      </c>
      <c r="F843" s="2">
        <v>1</v>
      </c>
      <c r="G843" s="2">
        <v>2</v>
      </c>
      <c r="H843" s="23">
        <v>0.32</v>
      </c>
      <c r="I843" s="25">
        <v>0.34849999999999998</v>
      </c>
      <c r="J843" s="23">
        <v>0.62</v>
      </c>
      <c r="K843" s="25">
        <v>0</v>
      </c>
      <c r="L843" s="2">
        <v>7</v>
      </c>
      <c r="M843" s="2">
        <v>59</v>
      </c>
      <c r="N843" s="2">
        <v>66</v>
      </c>
    </row>
    <row r="844" spans="1:14" x14ac:dyDescent="0.3">
      <c r="A844" s="2">
        <v>843</v>
      </c>
      <c r="B844" s="1">
        <v>40581</v>
      </c>
      <c r="C844" s="2">
        <v>1</v>
      </c>
      <c r="D844" s="2">
        <v>13</v>
      </c>
      <c r="E844" t="b">
        <v>0</v>
      </c>
      <c r="F844" s="2">
        <v>1</v>
      </c>
      <c r="G844" s="2">
        <v>2</v>
      </c>
      <c r="H844" s="23">
        <v>0.36</v>
      </c>
      <c r="I844" s="25">
        <v>0.36359999999999998</v>
      </c>
      <c r="J844" s="23">
        <v>0.56999999999999995</v>
      </c>
      <c r="K844" s="25">
        <v>8.9599999999999999E-2</v>
      </c>
      <c r="L844" s="2">
        <v>10</v>
      </c>
      <c r="M844" s="2">
        <v>54</v>
      </c>
      <c r="N844" s="2">
        <v>64</v>
      </c>
    </row>
    <row r="845" spans="1:14" x14ac:dyDescent="0.3">
      <c r="A845" s="2">
        <v>844</v>
      </c>
      <c r="B845" s="1">
        <v>40581</v>
      </c>
      <c r="C845" s="2">
        <v>1</v>
      </c>
      <c r="D845" s="2">
        <v>14</v>
      </c>
      <c r="E845" t="b">
        <v>0</v>
      </c>
      <c r="F845" s="2">
        <v>1</v>
      </c>
      <c r="G845" s="2">
        <v>2</v>
      </c>
      <c r="H845" s="23">
        <v>0.36</v>
      </c>
      <c r="I845" s="25">
        <v>0.36359999999999998</v>
      </c>
      <c r="J845" s="23">
        <v>0.56999999999999995</v>
      </c>
      <c r="K845" s="25">
        <v>8.9599999999999999E-2</v>
      </c>
      <c r="L845" s="2">
        <v>8</v>
      </c>
      <c r="M845" s="2">
        <v>52</v>
      </c>
      <c r="N845" s="2">
        <v>60</v>
      </c>
    </row>
    <row r="846" spans="1:14" x14ac:dyDescent="0.3">
      <c r="A846" s="2">
        <v>845</v>
      </c>
      <c r="B846" s="1">
        <v>40581</v>
      </c>
      <c r="C846" s="2">
        <v>1</v>
      </c>
      <c r="D846" s="2">
        <v>15</v>
      </c>
      <c r="E846" t="b">
        <v>0</v>
      </c>
      <c r="F846" s="2">
        <v>1</v>
      </c>
      <c r="G846" s="2">
        <v>2</v>
      </c>
      <c r="H846" s="23">
        <v>0.38</v>
      </c>
      <c r="I846" s="25">
        <v>0.39389999999999997</v>
      </c>
      <c r="J846" s="23">
        <v>0.54</v>
      </c>
      <c r="K846" s="25">
        <v>8.9599999999999999E-2</v>
      </c>
      <c r="L846" s="2">
        <v>4</v>
      </c>
      <c r="M846" s="2">
        <v>46</v>
      </c>
      <c r="N846" s="2">
        <v>50</v>
      </c>
    </row>
    <row r="847" spans="1:14" x14ac:dyDescent="0.3">
      <c r="A847" s="2">
        <v>846</v>
      </c>
      <c r="B847" s="1">
        <v>40581</v>
      </c>
      <c r="C847" s="2">
        <v>1</v>
      </c>
      <c r="D847" s="2">
        <v>16</v>
      </c>
      <c r="E847" t="b">
        <v>0</v>
      </c>
      <c r="F847" s="2">
        <v>1</v>
      </c>
      <c r="G847" s="2">
        <v>2</v>
      </c>
      <c r="H847" s="23">
        <v>0.36</v>
      </c>
      <c r="I847" s="25">
        <v>0.34849999999999998</v>
      </c>
      <c r="J847" s="23">
        <v>0.56999999999999995</v>
      </c>
      <c r="K847" s="25">
        <v>0.1343</v>
      </c>
      <c r="L847" s="2">
        <v>16</v>
      </c>
      <c r="M847" s="2">
        <v>98</v>
      </c>
      <c r="N847" s="2">
        <v>114</v>
      </c>
    </row>
    <row r="848" spans="1:14" x14ac:dyDescent="0.3">
      <c r="A848" s="2">
        <v>847</v>
      </c>
      <c r="B848" s="1">
        <v>40581</v>
      </c>
      <c r="C848" s="2">
        <v>1</v>
      </c>
      <c r="D848" s="2">
        <v>17</v>
      </c>
      <c r="E848" t="b">
        <v>0</v>
      </c>
      <c r="F848" s="2">
        <v>1</v>
      </c>
      <c r="G848" s="2">
        <v>2</v>
      </c>
      <c r="H848" s="23">
        <v>0.32</v>
      </c>
      <c r="I848" s="25">
        <v>0.31819999999999998</v>
      </c>
      <c r="J848" s="23">
        <v>0.7</v>
      </c>
      <c r="K848" s="25">
        <v>0.16420000000000001</v>
      </c>
      <c r="L848" s="2">
        <v>9</v>
      </c>
      <c r="M848" s="2">
        <v>207</v>
      </c>
      <c r="N848" s="2">
        <v>216</v>
      </c>
    </row>
    <row r="849" spans="1:14" x14ac:dyDescent="0.3">
      <c r="A849" s="2">
        <v>848</v>
      </c>
      <c r="B849" s="1">
        <v>40581</v>
      </c>
      <c r="C849" s="2">
        <v>1</v>
      </c>
      <c r="D849" s="2">
        <v>18</v>
      </c>
      <c r="E849" t="b">
        <v>0</v>
      </c>
      <c r="F849" s="2">
        <v>1</v>
      </c>
      <c r="G849" s="2">
        <v>2</v>
      </c>
      <c r="H849" s="23">
        <v>0.34</v>
      </c>
      <c r="I849" s="25">
        <v>0.33329999999999999</v>
      </c>
      <c r="J849" s="23">
        <v>0.66</v>
      </c>
      <c r="K849" s="25">
        <v>0.1343</v>
      </c>
      <c r="L849" s="2">
        <v>5</v>
      </c>
      <c r="M849" s="2">
        <v>170</v>
      </c>
      <c r="N849" s="2">
        <v>175</v>
      </c>
    </row>
    <row r="850" spans="1:14" x14ac:dyDescent="0.3">
      <c r="A850" s="2">
        <v>849</v>
      </c>
      <c r="B850" s="1">
        <v>40581</v>
      </c>
      <c r="C850" s="2">
        <v>1</v>
      </c>
      <c r="D850" s="2">
        <v>19</v>
      </c>
      <c r="E850" t="b">
        <v>0</v>
      </c>
      <c r="F850" s="2">
        <v>1</v>
      </c>
      <c r="G850" s="2">
        <v>2</v>
      </c>
      <c r="H850" s="23">
        <v>0.32</v>
      </c>
      <c r="I850" s="25">
        <v>0.34849999999999998</v>
      </c>
      <c r="J850" s="23">
        <v>0.7</v>
      </c>
      <c r="K850" s="25">
        <v>0</v>
      </c>
      <c r="L850" s="2">
        <v>5</v>
      </c>
      <c r="M850" s="2">
        <v>123</v>
      </c>
      <c r="N850" s="2">
        <v>128</v>
      </c>
    </row>
    <row r="851" spans="1:14" x14ac:dyDescent="0.3">
      <c r="A851" s="2">
        <v>850</v>
      </c>
      <c r="B851" s="1">
        <v>40581</v>
      </c>
      <c r="C851" s="2">
        <v>1</v>
      </c>
      <c r="D851" s="2">
        <v>20</v>
      </c>
      <c r="E851" t="b">
        <v>0</v>
      </c>
      <c r="F851" s="2">
        <v>1</v>
      </c>
      <c r="G851" s="2">
        <v>2</v>
      </c>
      <c r="H851" s="23">
        <v>0.32</v>
      </c>
      <c r="I851" s="25">
        <v>0.33329999999999999</v>
      </c>
      <c r="J851" s="23">
        <v>0.7</v>
      </c>
      <c r="K851" s="25">
        <v>0.1045</v>
      </c>
      <c r="L851" s="2">
        <v>6</v>
      </c>
      <c r="M851" s="2">
        <v>82</v>
      </c>
      <c r="N851" s="2">
        <v>88</v>
      </c>
    </row>
    <row r="852" spans="1:14" x14ac:dyDescent="0.3">
      <c r="A852" s="2">
        <v>851</v>
      </c>
      <c r="B852" s="1">
        <v>40581</v>
      </c>
      <c r="C852" s="2">
        <v>1</v>
      </c>
      <c r="D852" s="2">
        <v>21</v>
      </c>
      <c r="E852" t="b">
        <v>0</v>
      </c>
      <c r="F852" s="2">
        <v>1</v>
      </c>
      <c r="G852" s="2">
        <v>1</v>
      </c>
      <c r="H852" s="23">
        <v>0.32</v>
      </c>
      <c r="I852" s="25">
        <v>0.34849999999999998</v>
      </c>
      <c r="J852" s="23">
        <v>0.7</v>
      </c>
      <c r="K852" s="25">
        <v>0</v>
      </c>
      <c r="L852" s="2">
        <v>3</v>
      </c>
      <c r="M852" s="2">
        <v>75</v>
      </c>
      <c r="N852" s="2">
        <v>78</v>
      </c>
    </row>
    <row r="853" spans="1:14" x14ac:dyDescent="0.3">
      <c r="A853" s="2">
        <v>852</v>
      </c>
      <c r="B853" s="1">
        <v>40581</v>
      </c>
      <c r="C853" s="2">
        <v>1</v>
      </c>
      <c r="D853" s="2">
        <v>22</v>
      </c>
      <c r="E853" t="b">
        <v>0</v>
      </c>
      <c r="F853" s="2">
        <v>1</v>
      </c>
      <c r="G853" s="2">
        <v>1</v>
      </c>
      <c r="H853" s="23">
        <v>0.28000000000000003</v>
      </c>
      <c r="I853" s="25">
        <v>0.30299999999999999</v>
      </c>
      <c r="J853" s="23">
        <v>0.81</v>
      </c>
      <c r="K853" s="25">
        <v>8.9599999999999999E-2</v>
      </c>
      <c r="L853" s="2">
        <v>3</v>
      </c>
      <c r="M853" s="2">
        <v>34</v>
      </c>
      <c r="N853" s="2">
        <v>37</v>
      </c>
    </row>
    <row r="854" spans="1:14" x14ac:dyDescent="0.3">
      <c r="A854" s="2">
        <v>853</v>
      </c>
      <c r="B854" s="1">
        <v>40581</v>
      </c>
      <c r="C854" s="2">
        <v>1</v>
      </c>
      <c r="D854" s="2">
        <v>23</v>
      </c>
      <c r="E854" t="b">
        <v>0</v>
      </c>
      <c r="F854" s="2">
        <v>1</v>
      </c>
      <c r="G854" s="2">
        <v>2</v>
      </c>
      <c r="H854" s="23">
        <v>0.3</v>
      </c>
      <c r="I854" s="25">
        <v>0.33329999999999999</v>
      </c>
      <c r="J854" s="23">
        <v>0.81</v>
      </c>
      <c r="K854" s="25">
        <v>0</v>
      </c>
      <c r="L854" s="2">
        <v>6</v>
      </c>
      <c r="M854" s="2">
        <v>19</v>
      </c>
      <c r="N854" s="2">
        <v>25</v>
      </c>
    </row>
    <row r="855" spans="1:14" x14ac:dyDescent="0.3">
      <c r="A855" s="2">
        <v>854</v>
      </c>
      <c r="B855" s="1">
        <v>40582</v>
      </c>
      <c r="C855" s="2">
        <v>1</v>
      </c>
      <c r="D855" s="2">
        <v>0</v>
      </c>
      <c r="E855" t="b">
        <v>0</v>
      </c>
      <c r="F855" s="2">
        <v>2</v>
      </c>
      <c r="G855" s="2">
        <v>2</v>
      </c>
      <c r="H855" s="23">
        <v>0.28000000000000003</v>
      </c>
      <c r="I855" s="25">
        <v>0.31819999999999998</v>
      </c>
      <c r="J855" s="23">
        <v>0.87</v>
      </c>
      <c r="K855" s="25">
        <v>0</v>
      </c>
      <c r="L855" s="2">
        <v>4</v>
      </c>
      <c r="M855" s="2">
        <v>6</v>
      </c>
      <c r="N855" s="2">
        <v>10</v>
      </c>
    </row>
    <row r="856" spans="1:14" x14ac:dyDescent="0.3">
      <c r="A856" s="2">
        <v>855</v>
      </c>
      <c r="B856" s="1">
        <v>40582</v>
      </c>
      <c r="C856" s="2">
        <v>1</v>
      </c>
      <c r="D856" s="2">
        <v>1</v>
      </c>
      <c r="E856" t="b">
        <v>0</v>
      </c>
      <c r="F856" s="2">
        <v>2</v>
      </c>
      <c r="G856" s="2">
        <v>2</v>
      </c>
      <c r="H856" s="23">
        <v>0.28000000000000003</v>
      </c>
      <c r="I856" s="25">
        <v>0.31819999999999998</v>
      </c>
      <c r="J856" s="23">
        <v>0.87</v>
      </c>
      <c r="K856" s="25">
        <v>0</v>
      </c>
      <c r="L856" s="2">
        <v>0</v>
      </c>
      <c r="M856" s="2">
        <v>4</v>
      </c>
      <c r="N856" s="2">
        <v>4</v>
      </c>
    </row>
    <row r="857" spans="1:14" x14ac:dyDescent="0.3">
      <c r="A857" s="2">
        <v>856</v>
      </c>
      <c r="B857" s="1">
        <v>40582</v>
      </c>
      <c r="C857" s="2">
        <v>1</v>
      </c>
      <c r="D857" s="2">
        <v>2</v>
      </c>
      <c r="E857" t="b">
        <v>0</v>
      </c>
      <c r="F857" s="2">
        <v>2</v>
      </c>
      <c r="G857" s="2">
        <v>2</v>
      </c>
      <c r="H857" s="23">
        <v>0.26</v>
      </c>
      <c r="I857" s="25">
        <v>0.2727</v>
      </c>
      <c r="J857" s="23">
        <v>0.93</v>
      </c>
      <c r="K857" s="25">
        <v>0.1045</v>
      </c>
      <c r="L857" s="2">
        <v>1</v>
      </c>
      <c r="M857" s="2">
        <v>1</v>
      </c>
      <c r="N857" s="2">
        <v>2</v>
      </c>
    </row>
    <row r="858" spans="1:14" x14ac:dyDescent="0.3">
      <c r="A858" s="2">
        <v>857</v>
      </c>
      <c r="B858" s="1">
        <v>40582</v>
      </c>
      <c r="C858" s="2">
        <v>1</v>
      </c>
      <c r="D858" s="2">
        <v>3</v>
      </c>
      <c r="E858" t="b">
        <v>0</v>
      </c>
      <c r="F858" s="2">
        <v>2</v>
      </c>
      <c r="G858" s="2">
        <v>3</v>
      </c>
      <c r="H858" s="23">
        <v>0.28000000000000003</v>
      </c>
      <c r="I858" s="25">
        <v>0.2727</v>
      </c>
      <c r="J858" s="23">
        <v>0.93</v>
      </c>
      <c r="K858" s="25">
        <v>0.16420000000000001</v>
      </c>
      <c r="L858" s="2">
        <v>0</v>
      </c>
      <c r="M858" s="2">
        <v>1</v>
      </c>
      <c r="N858" s="2">
        <v>1</v>
      </c>
    </row>
    <row r="859" spans="1:14" x14ac:dyDescent="0.3">
      <c r="A859" s="2">
        <v>858</v>
      </c>
      <c r="B859" s="1">
        <v>40582</v>
      </c>
      <c r="C859" s="2">
        <v>1</v>
      </c>
      <c r="D859" s="2">
        <v>4</v>
      </c>
      <c r="E859" t="b">
        <v>0</v>
      </c>
      <c r="F859" s="2">
        <v>2</v>
      </c>
      <c r="G859" s="2">
        <v>1</v>
      </c>
      <c r="H859" s="23">
        <v>0.26</v>
      </c>
      <c r="I859" s="25">
        <v>0.2576</v>
      </c>
      <c r="J859" s="23">
        <v>0.93</v>
      </c>
      <c r="K859" s="25">
        <v>0.16420000000000001</v>
      </c>
      <c r="L859" s="2">
        <v>0</v>
      </c>
      <c r="M859" s="2">
        <v>3</v>
      </c>
      <c r="N859" s="2">
        <v>3</v>
      </c>
    </row>
    <row r="860" spans="1:14" x14ac:dyDescent="0.3">
      <c r="A860" s="2">
        <v>859</v>
      </c>
      <c r="B860" s="1">
        <v>40582</v>
      </c>
      <c r="C860" s="2">
        <v>1</v>
      </c>
      <c r="D860" s="2">
        <v>5</v>
      </c>
      <c r="E860" t="b">
        <v>0</v>
      </c>
      <c r="F860" s="2">
        <v>2</v>
      </c>
      <c r="G860" s="2">
        <v>1</v>
      </c>
      <c r="H860" s="23">
        <v>0.26</v>
      </c>
      <c r="I860" s="25">
        <v>0.2273</v>
      </c>
      <c r="J860" s="23">
        <v>0.81</v>
      </c>
      <c r="K860" s="25">
        <v>0.32840000000000003</v>
      </c>
      <c r="L860" s="2">
        <v>0</v>
      </c>
      <c r="M860" s="2">
        <v>2</v>
      </c>
      <c r="N860" s="2">
        <v>2</v>
      </c>
    </row>
    <row r="861" spans="1:14" x14ac:dyDescent="0.3">
      <c r="A861" s="2">
        <v>860</v>
      </c>
      <c r="B861" s="1">
        <v>40582</v>
      </c>
      <c r="C861" s="2">
        <v>1</v>
      </c>
      <c r="D861" s="2">
        <v>6</v>
      </c>
      <c r="E861" t="b">
        <v>0</v>
      </c>
      <c r="F861" s="2">
        <v>2</v>
      </c>
      <c r="G861" s="2">
        <v>1</v>
      </c>
      <c r="H861" s="23">
        <v>0.26</v>
      </c>
      <c r="I861" s="25">
        <v>0.2273</v>
      </c>
      <c r="J861" s="23">
        <v>0.7</v>
      </c>
      <c r="K861" s="25">
        <v>0.32840000000000003</v>
      </c>
      <c r="L861" s="2">
        <v>0</v>
      </c>
      <c r="M861" s="2">
        <v>39</v>
      </c>
      <c r="N861" s="2">
        <v>39</v>
      </c>
    </row>
    <row r="862" spans="1:14" x14ac:dyDescent="0.3">
      <c r="A862" s="2">
        <v>861</v>
      </c>
      <c r="B862" s="1">
        <v>40582</v>
      </c>
      <c r="C862" s="2">
        <v>1</v>
      </c>
      <c r="D862" s="2">
        <v>7</v>
      </c>
      <c r="E862" t="b">
        <v>0</v>
      </c>
      <c r="F862" s="2">
        <v>2</v>
      </c>
      <c r="G862" s="2">
        <v>1</v>
      </c>
      <c r="H862" s="23">
        <v>0.24</v>
      </c>
      <c r="I862" s="25">
        <v>0.19700000000000001</v>
      </c>
      <c r="J862" s="23">
        <v>0.65</v>
      </c>
      <c r="K862" s="25">
        <v>0.41789999999999999</v>
      </c>
      <c r="L862" s="2">
        <v>3</v>
      </c>
      <c r="M862" s="2">
        <v>97</v>
      </c>
      <c r="N862" s="2">
        <v>100</v>
      </c>
    </row>
    <row r="863" spans="1:14" x14ac:dyDescent="0.3">
      <c r="A863" s="2">
        <v>862</v>
      </c>
      <c r="B863" s="1">
        <v>40582</v>
      </c>
      <c r="C863" s="2">
        <v>1</v>
      </c>
      <c r="D863" s="2">
        <v>8</v>
      </c>
      <c r="E863" t="b">
        <v>0</v>
      </c>
      <c r="F863" s="2">
        <v>2</v>
      </c>
      <c r="G863" s="2">
        <v>1</v>
      </c>
      <c r="H863" s="23">
        <v>0.24</v>
      </c>
      <c r="I863" s="25">
        <v>0.19700000000000001</v>
      </c>
      <c r="J863" s="23">
        <v>0.56000000000000005</v>
      </c>
      <c r="K863" s="25">
        <v>0.49249999999999999</v>
      </c>
      <c r="L863" s="2">
        <v>7</v>
      </c>
      <c r="M863" s="2">
        <v>236</v>
      </c>
      <c r="N863" s="2">
        <v>243</v>
      </c>
    </row>
    <row r="864" spans="1:14" x14ac:dyDescent="0.3">
      <c r="A864" s="2">
        <v>863</v>
      </c>
      <c r="B864" s="1">
        <v>40582</v>
      </c>
      <c r="C864" s="2">
        <v>1</v>
      </c>
      <c r="D864" s="2">
        <v>9</v>
      </c>
      <c r="E864" t="b">
        <v>0</v>
      </c>
      <c r="F864" s="2">
        <v>2</v>
      </c>
      <c r="G864" s="2">
        <v>1</v>
      </c>
      <c r="H864" s="23">
        <v>0.24</v>
      </c>
      <c r="I864" s="25">
        <v>0.19700000000000001</v>
      </c>
      <c r="J864" s="23">
        <v>0.52</v>
      </c>
      <c r="K864" s="25">
        <v>0.49249999999999999</v>
      </c>
      <c r="L864" s="2">
        <v>7</v>
      </c>
      <c r="M864" s="2">
        <v>128</v>
      </c>
      <c r="N864" s="2">
        <v>135</v>
      </c>
    </row>
    <row r="865" spans="1:14" x14ac:dyDescent="0.3">
      <c r="A865" s="2">
        <v>864</v>
      </c>
      <c r="B865" s="1">
        <v>40582</v>
      </c>
      <c r="C865" s="2">
        <v>1</v>
      </c>
      <c r="D865" s="2">
        <v>10</v>
      </c>
      <c r="E865" t="b">
        <v>0</v>
      </c>
      <c r="F865" s="2">
        <v>2</v>
      </c>
      <c r="G865" s="2">
        <v>1</v>
      </c>
      <c r="H865" s="23">
        <v>0.22</v>
      </c>
      <c r="I865" s="25">
        <v>0.18179999999999999</v>
      </c>
      <c r="J865" s="23">
        <v>0.47</v>
      </c>
      <c r="K865" s="25">
        <v>0.55220000000000002</v>
      </c>
      <c r="L865" s="2">
        <v>4</v>
      </c>
      <c r="M865" s="2">
        <v>44</v>
      </c>
      <c r="N865" s="2">
        <v>48</v>
      </c>
    </row>
    <row r="866" spans="1:14" x14ac:dyDescent="0.3">
      <c r="A866" s="2">
        <v>865</v>
      </c>
      <c r="B866" s="1">
        <v>40582</v>
      </c>
      <c r="C866" s="2">
        <v>1</v>
      </c>
      <c r="D866" s="2">
        <v>11</v>
      </c>
      <c r="E866" t="b">
        <v>0</v>
      </c>
      <c r="F866" s="2">
        <v>2</v>
      </c>
      <c r="G866" s="2">
        <v>1</v>
      </c>
      <c r="H866" s="23">
        <v>0.22</v>
      </c>
      <c r="I866" s="25">
        <v>0.18179999999999999</v>
      </c>
      <c r="J866" s="23">
        <v>0.47</v>
      </c>
      <c r="K866" s="25">
        <v>0.4627</v>
      </c>
      <c r="L866" s="2">
        <v>1</v>
      </c>
      <c r="M866" s="2">
        <v>49</v>
      </c>
      <c r="N866" s="2">
        <v>50</v>
      </c>
    </row>
    <row r="867" spans="1:14" x14ac:dyDescent="0.3">
      <c r="A867" s="2">
        <v>866</v>
      </c>
      <c r="B867" s="1">
        <v>40582</v>
      </c>
      <c r="C867" s="2">
        <v>1</v>
      </c>
      <c r="D867" s="2">
        <v>12</v>
      </c>
      <c r="E867" t="b">
        <v>0</v>
      </c>
      <c r="F867" s="2">
        <v>2</v>
      </c>
      <c r="G867" s="2">
        <v>1</v>
      </c>
      <c r="H867" s="23">
        <v>0.24</v>
      </c>
      <c r="I867" s="25">
        <v>0.19700000000000001</v>
      </c>
      <c r="J867" s="23">
        <v>0.38</v>
      </c>
      <c r="K867" s="25">
        <v>0.49249999999999999</v>
      </c>
      <c r="L867" s="2">
        <v>2</v>
      </c>
      <c r="M867" s="2">
        <v>63</v>
      </c>
      <c r="N867" s="2">
        <v>65</v>
      </c>
    </row>
    <row r="868" spans="1:14" x14ac:dyDescent="0.3">
      <c r="A868" s="2">
        <v>867</v>
      </c>
      <c r="B868" s="1">
        <v>40582</v>
      </c>
      <c r="C868" s="2">
        <v>1</v>
      </c>
      <c r="D868" s="2">
        <v>13</v>
      </c>
      <c r="E868" t="b">
        <v>0</v>
      </c>
      <c r="F868" s="2">
        <v>2</v>
      </c>
      <c r="G868" s="2">
        <v>2</v>
      </c>
      <c r="H868" s="23">
        <v>0.24</v>
      </c>
      <c r="I868" s="25">
        <v>0.19700000000000001</v>
      </c>
      <c r="J868" s="23">
        <v>0.32</v>
      </c>
      <c r="K868" s="25">
        <v>0.44779999999999998</v>
      </c>
      <c r="L868" s="2">
        <v>2</v>
      </c>
      <c r="M868" s="2">
        <v>48</v>
      </c>
      <c r="N868" s="2">
        <v>50</v>
      </c>
    </row>
    <row r="869" spans="1:14" x14ac:dyDescent="0.3">
      <c r="A869" s="2">
        <v>868</v>
      </c>
      <c r="B869" s="1">
        <v>40582</v>
      </c>
      <c r="C869" s="2">
        <v>1</v>
      </c>
      <c r="D869" s="2">
        <v>14</v>
      </c>
      <c r="E869" t="b">
        <v>0</v>
      </c>
      <c r="F869" s="2">
        <v>2</v>
      </c>
      <c r="G869" s="2">
        <v>1</v>
      </c>
      <c r="H869" s="23">
        <v>0.22</v>
      </c>
      <c r="I869" s="25">
        <v>0.19700000000000001</v>
      </c>
      <c r="J869" s="23">
        <v>0.37</v>
      </c>
      <c r="K869" s="25">
        <v>0.41789999999999999</v>
      </c>
      <c r="L869" s="2">
        <v>3</v>
      </c>
      <c r="M869" s="2">
        <v>61</v>
      </c>
      <c r="N869" s="2">
        <v>64</v>
      </c>
    </row>
    <row r="870" spans="1:14" x14ac:dyDescent="0.3">
      <c r="A870" s="2">
        <v>869</v>
      </c>
      <c r="B870" s="1">
        <v>40582</v>
      </c>
      <c r="C870" s="2">
        <v>1</v>
      </c>
      <c r="D870" s="2">
        <v>15</v>
      </c>
      <c r="E870" t="b">
        <v>0</v>
      </c>
      <c r="F870" s="2">
        <v>2</v>
      </c>
      <c r="G870" s="2">
        <v>1</v>
      </c>
      <c r="H870" s="23">
        <v>0.22</v>
      </c>
      <c r="I870" s="25">
        <v>0.19700000000000001</v>
      </c>
      <c r="J870" s="23">
        <v>0.35</v>
      </c>
      <c r="K870" s="25">
        <v>0.3881</v>
      </c>
      <c r="L870" s="2">
        <v>6</v>
      </c>
      <c r="M870" s="2">
        <v>45</v>
      </c>
      <c r="N870" s="2">
        <v>51</v>
      </c>
    </row>
    <row r="871" spans="1:14" x14ac:dyDescent="0.3">
      <c r="A871" s="2">
        <v>870</v>
      </c>
      <c r="B871" s="1">
        <v>40582</v>
      </c>
      <c r="C871" s="2">
        <v>1</v>
      </c>
      <c r="D871" s="2">
        <v>16</v>
      </c>
      <c r="E871" t="b">
        <v>0</v>
      </c>
      <c r="F871" s="2">
        <v>2</v>
      </c>
      <c r="G871" s="2">
        <v>1</v>
      </c>
      <c r="H871" s="23">
        <v>0.22</v>
      </c>
      <c r="I871" s="25">
        <v>0.18179999999999999</v>
      </c>
      <c r="J871" s="23">
        <v>0.35</v>
      </c>
      <c r="K871" s="25">
        <v>0.52239999999999998</v>
      </c>
      <c r="L871" s="2">
        <v>4</v>
      </c>
      <c r="M871" s="2">
        <v>79</v>
      </c>
      <c r="N871" s="2">
        <v>83</v>
      </c>
    </row>
    <row r="872" spans="1:14" x14ac:dyDescent="0.3">
      <c r="A872" s="2">
        <v>871</v>
      </c>
      <c r="B872" s="1">
        <v>40582</v>
      </c>
      <c r="C872" s="2">
        <v>1</v>
      </c>
      <c r="D872" s="2">
        <v>17</v>
      </c>
      <c r="E872" t="b">
        <v>0</v>
      </c>
      <c r="F872" s="2">
        <v>2</v>
      </c>
      <c r="G872" s="2">
        <v>1</v>
      </c>
      <c r="H872" s="23">
        <v>0.22</v>
      </c>
      <c r="I872" s="25">
        <v>0.18179999999999999</v>
      </c>
      <c r="J872" s="23">
        <v>0.32</v>
      </c>
      <c r="K872" s="25">
        <v>0.58209999999999995</v>
      </c>
      <c r="L872" s="2">
        <v>4</v>
      </c>
      <c r="M872" s="2">
        <v>172</v>
      </c>
      <c r="N872" s="2">
        <v>176</v>
      </c>
    </row>
    <row r="873" spans="1:14" x14ac:dyDescent="0.3">
      <c r="A873" s="2">
        <v>872</v>
      </c>
      <c r="B873" s="1">
        <v>40582</v>
      </c>
      <c r="C873" s="2">
        <v>1</v>
      </c>
      <c r="D873" s="2">
        <v>18</v>
      </c>
      <c r="E873" t="b">
        <v>0</v>
      </c>
      <c r="F873" s="2">
        <v>2</v>
      </c>
      <c r="G873" s="2">
        <v>1</v>
      </c>
      <c r="H873" s="23">
        <v>0.2</v>
      </c>
      <c r="I873" s="25">
        <v>0.18179999999999999</v>
      </c>
      <c r="J873" s="23">
        <v>0.32</v>
      </c>
      <c r="K873" s="25">
        <v>0.3881</v>
      </c>
      <c r="L873" s="2">
        <v>1</v>
      </c>
      <c r="M873" s="2">
        <v>151</v>
      </c>
      <c r="N873" s="2">
        <v>152</v>
      </c>
    </row>
    <row r="874" spans="1:14" x14ac:dyDescent="0.3">
      <c r="A874" s="2">
        <v>873</v>
      </c>
      <c r="B874" s="1">
        <v>40582</v>
      </c>
      <c r="C874" s="2">
        <v>1</v>
      </c>
      <c r="D874" s="2">
        <v>19</v>
      </c>
      <c r="E874" t="b">
        <v>0</v>
      </c>
      <c r="F874" s="2">
        <v>2</v>
      </c>
      <c r="G874" s="2">
        <v>1</v>
      </c>
      <c r="H874" s="23">
        <v>0.16</v>
      </c>
      <c r="I874" s="25">
        <v>0.1212</v>
      </c>
      <c r="J874" s="23">
        <v>0.4</v>
      </c>
      <c r="K874" s="25">
        <v>0.4627</v>
      </c>
      <c r="L874" s="2">
        <v>1</v>
      </c>
      <c r="M874" s="2">
        <v>100</v>
      </c>
      <c r="N874" s="2">
        <v>101</v>
      </c>
    </row>
    <row r="875" spans="1:14" x14ac:dyDescent="0.3">
      <c r="A875" s="2">
        <v>874</v>
      </c>
      <c r="B875" s="1">
        <v>40582</v>
      </c>
      <c r="C875" s="2">
        <v>1</v>
      </c>
      <c r="D875" s="2">
        <v>20</v>
      </c>
      <c r="E875" t="b">
        <v>0</v>
      </c>
      <c r="F875" s="2">
        <v>2</v>
      </c>
      <c r="G875" s="2">
        <v>1</v>
      </c>
      <c r="H875" s="23">
        <v>0.16</v>
      </c>
      <c r="I875" s="25">
        <v>0.13639999999999999</v>
      </c>
      <c r="J875" s="23">
        <v>0.4</v>
      </c>
      <c r="K875" s="25">
        <v>0.32840000000000003</v>
      </c>
      <c r="L875" s="2">
        <v>3</v>
      </c>
      <c r="M875" s="2">
        <v>53</v>
      </c>
      <c r="N875" s="2">
        <v>56</v>
      </c>
    </row>
    <row r="876" spans="1:14" x14ac:dyDescent="0.3">
      <c r="A876" s="2">
        <v>875</v>
      </c>
      <c r="B876" s="1">
        <v>40582</v>
      </c>
      <c r="C876" s="2">
        <v>1</v>
      </c>
      <c r="D876" s="2">
        <v>21</v>
      </c>
      <c r="E876" t="b">
        <v>0</v>
      </c>
      <c r="F876" s="2">
        <v>2</v>
      </c>
      <c r="G876" s="2">
        <v>1</v>
      </c>
      <c r="H876" s="23">
        <v>0.14000000000000001</v>
      </c>
      <c r="I876" s="25">
        <v>0.1061</v>
      </c>
      <c r="J876" s="23">
        <v>0.33</v>
      </c>
      <c r="K876" s="25">
        <v>0.4627</v>
      </c>
      <c r="L876" s="2">
        <v>8</v>
      </c>
      <c r="M876" s="2">
        <v>46</v>
      </c>
      <c r="N876" s="2">
        <v>54</v>
      </c>
    </row>
    <row r="877" spans="1:14" x14ac:dyDescent="0.3">
      <c r="A877" s="2">
        <v>876</v>
      </c>
      <c r="B877" s="1">
        <v>40582</v>
      </c>
      <c r="C877" s="2">
        <v>1</v>
      </c>
      <c r="D877" s="2">
        <v>22</v>
      </c>
      <c r="E877" t="b">
        <v>0</v>
      </c>
      <c r="F877" s="2">
        <v>2</v>
      </c>
      <c r="G877" s="2">
        <v>1</v>
      </c>
      <c r="H877" s="23">
        <v>0.12</v>
      </c>
      <c r="I877" s="25">
        <v>0.1061</v>
      </c>
      <c r="J877" s="23">
        <v>0.33</v>
      </c>
      <c r="K877" s="25">
        <v>0.35820000000000002</v>
      </c>
      <c r="L877" s="2">
        <v>0</v>
      </c>
      <c r="M877" s="2">
        <v>29</v>
      </c>
      <c r="N877" s="2">
        <v>29</v>
      </c>
    </row>
    <row r="878" spans="1:14" x14ac:dyDescent="0.3">
      <c r="A878" s="2">
        <v>877</v>
      </c>
      <c r="B878" s="1">
        <v>40582</v>
      </c>
      <c r="C878" s="2">
        <v>1</v>
      </c>
      <c r="D878" s="2">
        <v>23</v>
      </c>
      <c r="E878" t="b">
        <v>0</v>
      </c>
      <c r="F878" s="2">
        <v>2</v>
      </c>
      <c r="G878" s="2">
        <v>1</v>
      </c>
      <c r="H878" s="23">
        <v>0.12</v>
      </c>
      <c r="I878" s="25">
        <v>0.1061</v>
      </c>
      <c r="J878" s="23">
        <v>0.33</v>
      </c>
      <c r="K878" s="25">
        <v>0.32840000000000003</v>
      </c>
      <c r="L878" s="2">
        <v>3</v>
      </c>
      <c r="M878" s="2">
        <v>9</v>
      </c>
      <c r="N878" s="2">
        <v>12</v>
      </c>
    </row>
    <row r="879" spans="1:14" x14ac:dyDescent="0.3">
      <c r="A879" s="2">
        <v>878</v>
      </c>
      <c r="B879" s="1">
        <v>40583</v>
      </c>
      <c r="C879" s="2">
        <v>1</v>
      </c>
      <c r="D879" s="2">
        <v>0</v>
      </c>
      <c r="E879" t="b">
        <v>0</v>
      </c>
      <c r="F879" s="2">
        <v>3</v>
      </c>
      <c r="G879" s="2">
        <v>1</v>
      </c>
      <c r="H879" s="23">
        <v>0.1</v>
      </c>
      <c r="I879" s="25">
        <v>7.5800000000000006E-2</v>
      </c>
      <c r="J879" s="23">
        <v>0.36</v>
      </c>
      <c r="K879" s="25">
        <v>0.35820000000000002</v>
      </c>
      <c r="L879" s="2">
        <v>0</v>
      </c>
      <c r="M879" s="2">
        <v>17</v>
      </c>
      <c r="N879" s="2">
        <v>17</v>
      </c>
    </row>
    <row r="880" spans="1:14" x14ac:dyDescent="0.3">
      <c r="A880" s="2">
        <v>879</v>
      </c>
      <c r="B880" s="1">
        <v>40583</v>
      </c>
      <c r="C880" s="2">
        <v>1</v>
      </c>
      <c r="D880" s="2">
        <v>1</v>
      </c>
      <c r="E880" t="b">
        <v>0</v>
      </c>
      <c r="F880" s="2">
        <v>3</v>
      </c>
      <c r="G880" s="2">
        <v>1</v>
      </c>
      <c r="H880" s="23">
        <v>0.1</v>
      </c>
      <c r="I880" s="25">
        <v>0.1061</v>
      </c>
      <c r="J880" s="23">
        <v>0.36</v>
      </c>
      <c r="K880" s="25">
        <v>0.22389999999999999</v>
      </c>
      <c r="L880" s="2">
        <v>0</v>
      </c>
      <c r="M880" s="2">
        <v>7</v>
      </c>
      <c r="N880" s="2">
        <v>7</v>
      </c>
    </row>
    <row r="881" spans="1:14" x14ac:dyDescent="0.3">
      <c r="A881" s="2">
        <v>880</v>
      </c>
      <c r="B881" s="1">
        <v>40583</v>
      </c>
      <c r="C881" s="2">
        <v>1</v>
      </c>
      <c r="D881" s="2">
        <v>2</v>
      </c>
      <c r="E881" t="b">
        <v>0</v>
      </c>
      <c r="F881" s="2">
        <v>3</v>
      </c>
      <c r="G881" s="2">
        <v>1</v>
      </c>
      <c r="H881" s="23">
        <v>0.08</v>
      </c>
      <c r="I881" s="25">
        <v>7.5800000000000006E-2</v>
      </c>
      <c r="J881" s="23">
        <v>0.38</v>
      </c>
      <c r="K881" s="25">
        <v>0.28360000000000002</v>
      </c>
      <c r="L881" s="2">
        <v>1</v>
      </c>
      <c r="M881" s="2">
        <v>2</v>
      </c>
      <c r="N881" s="2">
        <v>3</v>
      </c>
    </row>
    <row r="882" spans="1:14" x14ac:dyDescent="0.3">
      <c r="A882" s="2">
        <v>881</v>
      </c>
      <c r="B882" s="1">
        <v>40583</v>
      </c>
      <c r="C882" s="2">
        <v>1</v>
      </c>
      <c r="D882" s="2">
        <v>3</v>
      </c>
      <c r="E882" t="b">
        <v>0</v>
      </c>
      <c r="F882" s="2">
        <v>3</v>
      </c>
      <c r="G882" s="2">
        <v>1</v>
      </c>
      <c r="H882" s="23">
        <v>0.06</v>
      </c>
      <c r="I882" s="25">
        <v>7.5800000000000006E-2</v>
      </c>
      <c r="J882" s="23">
        <v>0.45</v>
      </c>
      <c r="K882" s="25">
        <v>0.1343</v>
      </c>
      <c r="L882" s="2">
        <v>0</v>
      </c>
      <c r="M882" s="2">
        <v>2</v>
      </c>
      <c r="N882" s="2">
        <v>2</v>
      </c>
    </row>
    <row r="883" spans="1:14" x14ac:dyDescent="0.3">
      <c r="A883" s="2">
        <v>882</v>
      </c>
      <c r="B883" s="1">
        <v>40583</v>
      </c>
      <c r="C883" s="2">
        <v>1</v>
      </c>
      <c r="D883" s="2">
        <v>5</v>
      </c>
      <c r="E883" t="b">
        <v>0</v>
      </c>
      <c r="F883" s="2">
        <v>3</v>
      </c>
      <c r="G883" s="2">
        <v>1</v>
      </c>
      <c r="H883" s="23">
        <v>0.06</v>
      </c>
      <c r="I883" s="25">
        <v>0.1061</v>
      </c>
      <c r="J883" s="23">
        <v>0.45</v>
      </c>
      <c r="K883" s="25">
        <v>0.1045</v>
      </c>
      <c r="L883" s="2">
        <v>0</v>
      </c>
      <c r="M883" s="2">
        <v>7</v>
      </c>
      <c r="N883" s="2">
        <v>7</v>
      </c>
    </row>
    <row r="884" spans="1:14" x14ac:dyDescent="0.3">
      <c r="A884" s="2">
        <v>883</v>
      </c>
      <c r="B884" s="1">
        <v>40583</v>
      </c>
      <c r="C884" s="2">
        <v>1</v>
      </c>
      <c r="D884" s="2">
        <v>6</v>
      </c>
      <c r="E884" t="b">
        <v>0</v>
      </c>
      <c r="F884" s="2">
        <v>3</v>
      </c>
      <c r="G884" s="2">
        <v>1</v>
      </c>
      <c r="H884" s="23">
        <v>0.06</v>
      </c>
      <c r="I884" s="25">
        <v>0.1515</v>
      </c>
      <c r="J884" s="23">
        <v>0.45</v>
      </c>
      <c r="K884" s="25">
        <v>0</v>
      </c>
      <c r="L884" s="2">
        <v>0</v>
      </c>
      <c r="M884" s="2">
        <v>43</v>
      </c>
      <c r="N884" s="2">
        <v>43</v>
      </c>
    </row>
    <row r="885" spans="1:14" x14ac:dyDescent="0.3">
      <c r="A885" s="2">
        <v>884</v>
      </c>
      <c r="B885" s="1">
        <v>40583</v>
      </c>
      <c r="C885" s="2">
        <v>1</v>
      </c>
      <c r="D885" s="2">
        <v>7</v>
      </c>
      <c r="E885" t="b">
        <v>0</v>
      </c>
      <c r="F885" s="2">
        <v>3</v>
      </c>
      <c r="G885" s="2">
        <v>1</v>
      </c>
      <c r="H885" s="23">
        <v>0.06</v>
      </c>
      <c r="I885" s="25">
        <v>0.1061</v>
      </c>
      <c r="J885" s="23">
        <v>0.49</v>
      </c>
      <c r="K885" s="25">
        <v>0.1045</v>
      </c>
      <c r="L885" s="2">
        <v>4</v>
      </c>
      <c r="M885" s="2">
        <v>95</v>
      </c>
      <c r="N885" s="2">
        <v>99</v>
      </c>
    </row>
    <row r="886" spans="1:14" x14ac:dyDescent="0.3">
      <c r="A886" s="2">
        <v>885</v>
      </c>
      <c r="B886" s="1">
        <v>40583</v>
      </c>
      <c r="C886" s="2">
        <v>1</v>
      </c>
      <c r="D886" s="2">
        <v>8</v>
      </c>
      <c r="E886" t="b">
        <v>0</v>
      </c>
      <c r="F886" s="2">
        <v>3</v>
      </c>
      <c r="G886" s="2">
        <v>1</v>
      </c>
      <c r="H886" s="23">
        <v>0.1</v>
      </c>
      <c r="I886" s="25">
        <v>0.13639999999999999</v>
      </c>
      <c r="J886" s="23">
        <v>0.42</v>
      </c>
      <c r="K886" s="25">
        <v>0</v>
      </c>
      <c r="L886" s="2">
        <v>1</v>
      </c>
      <c r="M886" s="2">
        <v>198</v>
      </c>
      <c r="N886" s="2">
        <v>199</v>
      </c>
    </row>
    <row r="887" spans="1:14" x14ac:dyDescent="0.3">
      <c r="A887" s="2">
        <v>886</v>
      </c>
      <c r="B887" s="1">
        <v>40583</v>
      </c>
      <c r="C887" s="2">
        <v>1</v>
      </c>
      <c r="D887" s="2">
        <v>9</v>
      </c>
      <c r="E887" t="b">
        <v>0</v>
      </c>
      <c r="F887" s="2">
        <v>3</v>
      </c>
      <c r="G887" s="2">
        <v>1</v>
      </c>
      <c r="H887" s="23">
        <v>0.12</v>
      </c>
      <c r="I887" s="25">
        <v>0.13639999999999999</v>
      </c>
      <c r="J887" s="23">
        <v>0.39</v>
      </c>
      <c r="K887" s="25">
        <v>0.16420000000000001</v>
      </c>
      <c r="L887" s="2">
        <v>4</v>
      </c>
      <c r="M887" s="2">
        <v>119</v>
      </c>
      <c r="N887" s="2">
        <v>123</v>
      </c>
    </row>
    <row r="888" spans="1:14" x14ac:dyDescent="0.3">
      <c r="A888" s="2">
        <v>887</v>
      </c>
      <c r="B888" s="1">
        <v>40583</v>
      </c>
      <c r="C888" s="2">
        <v>1</v>
      </c>
      <c r="D888" s="2">
        <v>10</v>
      </c>
      <c r="E888" t="b">
        <v>0</v>
      </c>
      <c r="F888" s="2">
        <v>3</v>
      </c>
      <c r="G888" s="2">
        <v>1</v>
      </c>
      <c r="H888" s="23">
        <v>0.14000000000000001</v>
      </c>
      <c r="I888" s="25">
        <v>0.18179999999999999</v>
      </c>
      <c r="J888" s="23">
        <v>0.36</v>
      </c>
      <c r="K888" s="25">
        <v>0</v>
      </c>
      <c r="L888" s="2">
        <v>8</v>
      </c>
      <c r="M888" s="2">
        <v>51</v>
      </c>
      <c r="N888" s="2">
        <v>59</v>
      </c>
    </row>
    <row r="889" spans="1:14" x14ac:dyDescent="0.3">
      <c r="A889" s="2">
        <v>888</v>
      </c>
      <c r="B889" s="1">
        <v>40583</v>
      </c>
      <c r="C889" s="2">
        <v>1</v>
      </c>
      <c r="D889" s="2">
        <v>11</v>
      </c>
      <c r="E889" t="b">
        <v>0</v>
      </c>
      <c r="F889" s="2">
        <v>3</v>
      </c>
      <c r="G889" s="2">
        <v>2</v>
      </c>
      <c r="H889" s="23">
        <v>0.14000000000000001</v>
      </c>
      <c r="I889" s="25">
        <v>0.1515</v>
      </c>
      <c r="J889" s="23">
        <v>0.43</v>
      </c>
      <c r="K889" s="25">
        <v>0.16420000000000001</v>
      </c>
      <c r="L889" s="2">
        <v>1</v>
      </c>
      <c r="M889" s="2">
        <v>40</v>
      </c>
      <c r="N889" s="2">
        <v>41</v>
      </c>
    </row>
    <row r="890" spans="1:14" x14ac:dyDescent="0.3">
      <c r="A890" s="2">
        <v>889</v>
      </c>
      <c r="B890" s="1">
        <v>40583</v>
      </c>
      <c r="C890" s="2">
        <v>1</v>
      </c>
      <c r="D890" s="2">
        <v>12</v>
      </c>
      <c r="E890" t="b">
        <v>0</v>
      </c>
      <c r="F890" s="2">
        <v>3</v>
      </c>
      <c r="G890" s="2">
        <v>2</v>
      </c>
      <c r="H890" s="23">
        <v>0.18</v>
      </c>
      <c r="I890" s="25">
        <v>0.18179999999999999</v>
      </c>
      <c r="J890" s="23">
        <v>0.4</v>
      </c>
      <c r="K890" s="25">
        <v>0.22389999999999999</v>
      </c>
      <c r="L890" s="2">
        <v>4</v>
      </c>
      <c r="M890" s="2">
        <v>57</v>
      </c>
      <c r="N890" s="2">
        <v>61</v>
      </c>
    </row>
    <row r="891" spans="1:14" x14ac:dyDescent="0.3">
      <c r="A891" s="2">
        <v>890</v>
      </c>
      <c r="B891" s="1">
        <v>40583</v>
      </c>
      <c r="C891" s="2">
        <v>1</v>
      </c>
      <c r="D891" s="2">
        <v>13</v>
      </c>
      <c r="E891" t="b">
        <v>0</v>
      </c>
      <c r="F891" s="2">
        <v>3</v>
      </c>
      <c r="G891" s="2">
        <v>1</v>
      </c>
      <c r="H891" s="23">
        <v>0.18</v>
      </c>
      <c r="I891" s="25">
        <v>0.16669999999999999</v>
      </c>
      <c r="J891" s="23">
        <v>0.4</v>
      </c>
      <c r="K891" s="25">
        <v>0.25369999999999998</v>
      </c>
      <c r="L891" s="2">
        <v>2</v>
      </c>
      <c r="M891" s="2">
        <v>67</v>
      </c>
      <c r="N891" s="2">
        <v>69</v>
      </c>
    </row>
    <row r="892" spans="1:14" x14ac:dyDescent="0.3">
      <c r="A892" s="2">
        <v>891</v>
      </c>
      <c r="B892" s="1">
        <v>40583</v>
      </c>
      <c r="C892" s="2">
        <v>1</v>
      </c>
      <c r="D892" s="2">
        <v>14</v>
      </c>
      <c r="E892" t="b">
        <v>0</v>
      </c>
      <c r="F892" s="2">
        <v>3</v>
      </c>
      <c r="G892" s="2">
        <v>1</v>
      </c>
      <c r="H892" s="23">
        <v>0.2</v>
      </c>
      <c r="I892" s="25">
        <v>0.18179999999999999</v>
      </c>
      <c r="J892" s="23">
        <v>0.34</v>
      </c>
      <c r="K892" s="25">
        <v>0.29849999999999999</v>
      </c>
      <c r="L892" s="2">
        <v>2</v>
      </c>
      <c r="M892" s="2">
        <v>56</v>
      </c>
      <c r="N892" s="2">
        <v>58</v>
      </c>
    </row>
    <row r="893" spans="1:14" x14ac:dyDescent="0.3">
      <c r="A893" s="2">
        <v>892</v>
      </c>
      <c r="B893" s="1">
        <v>40583</v>
      </c>
      <c r="C893" s="2">
        <v>1</v>
      </c>
      <c r="D893" s="2">
        <v>15</v>
      </c>
      <c r="E893" t="b">
        <v>0</v>
      </c>
      <c r="F893" s="2">
        <v>3</v>
      </c>
      <c r="G893" s="2">
        <v>2</v>
      </c>
      <c r="H893" s="23">
        <v>0.2</v>
      </c>
      <c r="I893" s="25">
        <v>0.18179999999999999</v>
      </c>
      <c r="J893" s="23">
        <v>0.34</v>
      </c>
      <c r="K893" s="25">
        <v>0.28360000000000002</v>
      </c>
      <c r="L893" s="2">
        <v>3</v>
      </c>
      <c r="M893" s="2">
        <v>61</v>
      </c>
      <c r="N893" s="2">
        <v>64</v>
      </c>
    </row>
    <row r="894" spans="1:14" x14ac:dyDescent="0.3">
      <c r="A894" s="2">
        <v>893</v>
      </c>
      <c r="B894" s="1">
        <v>40583</v>
      </c>
      <c r="C894" s="2">
        <v>1</v>
      </c>
      <c r="D894" s="2">
        <v>16</v>
      </c>
      <c r="E894" t="b">
        <v>0</v>
      </c>
      <c r="F894" s="2">
        <v>3</v>
      </c>
      <c r="G894" s="2">
        <v>2</v>
      </c>
      <c r="H894" s="23">
        <v>0.2</v>
      </c>
      <c r="I894" s="25">
        <v>0.19700000000000001</v>
      </c>
      <c r="J894" s="23">
        <v>0.37</v>
      </c>
      <c r="K894" s="25">
        <v>0.25369999999999998</v>
      </c>
      <c r="L894" s="2">
        <v>7</v>
      </c>
      <c r="M894" s="2">
        <v>72</v>
      </c>
      <c r="N894" s="2">
        <v>79</v>
      </c>
    </row>
    <row r="895" spans="1:14" x14ac:dyDescent="0.3">
      <c r="A895" s="2">
        <v>894</v>
      </c>
      <c r="B895" s="1">
        <v>40583</v>
      </c>
      <c r="C895" s="2">
        <v>1</v>
      </c>
      <c r="D895" s="2">
        <v>17</v>
      </c>
      <c r="E895" t="b">
        <v>0</v>
      </c>
      <c r="F895" s="2">
        <v>3</v>
      </c>
      <c r="G895" s="2">
        <v>2</v>
      </c>
      <c r="H895" s="23">
        <v>0.2</v>
      </c>
      <c r="I895" s="25">
        <v>0.19700000000000001</v>
      </c>
      <c r="J895" s="23">
        <v>0.34</v>
      </c>
      <c r="K895" s="25">
        <v>0.25369999999999998</v>
      </c>
      <c r="L895" s="2">
        <v>9</v>
      </c>
      <c r="M895" s="2">
        <v>157</v>
      </c>
      <c r="N895" s="2">
        <v>166</v>
      </c>
    </row>
    <row r="896" spans="1:14" x14ac:dyDescent="0.3">
      <c r="A896" s="2">
        <v>895</v>
      </c>
      <c r="B896" s="1">
        <v>40583</v>
      </c>
      <c r="C896" s="2">
        <v>1</v>
      </c>
      <c r="D896" s="2">
        <v>18</v>
      </c>
      <c r="E896" t="b">
        <v>0</v>
      </c>
      <c r="F896" s="2">
        <v>3</v>
      </c>
      <c r="G896" s="2">
        <v>2</v>
      </c>
      <c r="H896" s="23">
        <v>0.18</v>
      </c>
      <c r="I896" s="25">
        <v>0.16669999999999999</v>
      </c>
      <c r="J896" s="23">
        <v>0.47</v>
      </c>
      <c r="K896" s="25">
        <v>0.29849999999999999</v>
      </c>
      <c r="L896" s="2">
        <v>2</v>
      </c>
      <c r="M896" s="2">
        <v>168</v>
      </c>
      <c r="N896" s="2">
        <v>170</v>
      </c>
    </row>
    <row r="897" spans="1:14" x14ac:dyDescent="0.3">
      <c r="A897" s="2">
        <v>896</v>
      </c>
      <c r="B897" s="1">
        <v>40583</v>
      </c>
      <c r="C897" s="2">
        <v>1</v>
      </c>
      <c r="D897" s="2">
        <v>19</v>
      </c>
      <c r="E897" t="b">
        <v>0</v>
      </c>
      <c r="F897" s="2">
        <v>3</v>
      </c>
      <c r="G897" s="2">
        <v>3</v>
      </c>
      <c r="H897" s="23">
        <v>0.14000000000000001</v>
      </c>
      <c r="I897" s="25">
        <v>0.1212</v>
      </c>
      <c r="J897" s="23">
        <v>0.86</v>
      </c>
      <c r="K897" s="25">
        <v>0.25369999999999998</v>
      </c>
      <c r="L897" s="2">
        <v>1</v>
      </c>
      <c r="M897" s="2">
        <v>87</v>
      </c>
      <c r="N897" s="2">
        <v>88</v>
      </c>
    </row>
    <row r="898" spans="1:14" x14ac:dyDescent="0.3">
      <c r="A898" s="2">
        <v>897</v>
      </c>
      <c r="B898" s="1">
        <v>40583</v>
      </c>
      <c r="C898" s="2">
        <v>1</v>
      </c>
      <c r="D898" s="2">
        <v>20</v>
      </c>
      <c r="E898" t="b">
        <v>0</v>
      </c>
      <c r="F898" s="2">
        <v>3</v>
      </c>
      <c r="G898" s="2">
        <v>3</v>
      </c>
      <c r="H898" s="23">
        <v>0.14000000000000001</v>
      </c>
      <c r="I898" s="25">
        <v>0.1515</v>
      </c>
      <c r="J898" s="23">
        <v>0.86</v>
      </c>
      <c r="K898" s="25">
        <v>0.16420000000000001</v>
      </c>
      <c r="L898" s="2">
        <v>0</v>
      </c>
      <c r="M898" s="2">
        <v>84</v>
      </c>
      <c r="N898" s="2">
        <v>84</v>
      </c>
    </row>
    <row r="899" spans="1:14" x14ac:dyDescent="0.3">
      <c r="A899" s="2">
        <v>898</v>
      </c>
      <c r="B899" s="1">
        <v>40583</v>
      </c>
      <c r="C899" s="2">
        <v>1</v>
      </c>
      <c r="D899" s="2">
        <v>21</v>
      </c>
      <c r="E899" t="b">
        <v>0</v>
      </c>
      <c r="F899" s="2">
        <v>3</v>
      </c>
      <c r="G899" s="2">
        <v>2</v>
      </c>
      <c r="H899" s="23">
        <v>0.14000000000000001</v>
      </c>
      <c r="I899" s="25">
        <v>0.1515</v>
      </c>
      <c r="J899" s="23">
        <v>0.86</v>
      </c>
      <c r="K899" s="25">
        <v>0.16420000000000001</v>
      </c>
      <c r="L899" s="2">
        <v>0</v>
      </c>
      <c r="M899" s="2">
        <v>83</v>
      </c>
      <c r="N899" s="2">
        <v>83</v>
      </c>
    </row>
    <row r="900" spans="1:14" x14ac:dyDescent="0.3">
      <c r="A900" s="2">
        <v>899</v>
      </c>
      <c r="B900" s="1">
        <v>40583</v>
      </c>
      <c r="C900" s="2">
        <v>1</v>
      </c>
      <c r="D900" s="2">
        <v>22</v>
      </c>
      <c r="E900" t="b">
        <v>0</v>
      </c>
      <c r="F900" s="2">
        <v>3</v>
      </c>
      <c r="G900" s="2">
        <v>3</v>
      </c>
      <c r="H900" s="23">
        <v>0.16</v>
      </c>
      <c r="I900" s="25">
        <v>0.16669999999999999</v>
      </c>
      <c r="J900" s="23">
        <v>0.8</v>
      </c>
      <c r="K900" s="25">
        <v>0.16420000000000001</v>
      </c>
      <c r="L900" s="2">
        <v>4</v>
      </c>
      <c r="M900" s="2">
        <v>42</v>
      </c>
      <c r="N900" s="2">
        <v>46</v>
      </c>
    </row>
    <row r="901" spans="1:14" x14ac:dyDescent="0.3">
      <c r="A901" s="2">
        <v>900</v>
      </c>
      <c r="B901" s="1">
        <v>40583</v>
      </c>
      <c r="C901" s="2">
        <v>1</v>
      </c>
      <c r="D901" s="2">
        <v>23</v>
      </c>
      <c r="E901" t="b">
        <v>0</v>
      </c>
      <c r="F901" s="2">
        <v>3</v>
      </c>
      <c r="G901" s="2">
        <v>3</v>
      </c>
      <c r="H901" s="23">
        <v>0.16</v>
      </c>
      <c r="I901" s="25">
        <v>0.1515</v>
      </c>
      <c r="J901" s="23">
        <v>0.8</v>
      </c>
      <c r="K901" s="25">
        <v>0.19400000000000001</v>
      </c>
      <c r="L901" s="2">
        <v>0</v>
      </c>
      <c r="M901" s="2">
        <v>37</v>
      </c>
      <c r="N901" s="2">
        <v>37</v>
      </c>
    </row>
    <row r="902" spans="1:14" x14ac:dyDescent="0.3">
      <c r="A902" s="2">
        <v>901</v>
      </c>
      <c r="B902" s="1">
        <v>40584</v>
      </c>
      <c r="C902" s="2">
        <v>1</v>
      </c>
      <c r="D902" s="2">
        <v>0</v>
      </c>
      <c r="E902" t="b">
        <v>0</v>
      </c>
      <c r="F902" s="2">
        <v>4</v>
      </c>
      <c r="G902" s="2">
        <v>3</v>
      </c>
      <c r="H902" s="23">
        <v>0.14000000000000001</v>
      </c>
      <c r="I902" s="25">
        <v>0.13639999999999999</v>
      </c>
      <c r="J902" s="23">
        <v>0.86</v>
      </c>
      <c r="K902" s="25">
        <v>0.19400000000000001</v>
      </c>
      <c r="L902" s="2">
        <v>0</v>
      </c>
      <c r="M902" s="2">
        <v>16</v>
      </c>
      <c r="N902" s="2">
        <v>16</v>
      </c>
    </row>
    <row r="903" spans="1:14" x14ac:dyDescent="0.3">
      <c r="A903" s="2">
        <v>902</v>
      </c>
      <c r="B903" s="1">
        <v>40584</v>
      </c>
      <c r="C903" s="2">
        <v>1</v>
      </c>
      <c r="D903" s="2">
        <v>1</v>
      </c>
      <c r="E903" t="b">
        <v>0</v>
      </c>
      <c r="F903" s="2">
        <v>4</v>
      </c>
      <c r="G903" s="2">
        <v>3</v>
      </c>
      <c r="H903" s="23">
        <v>0.14000000000000001</v>
      </c>
      <c r="I903" s="25">
        <v>0.1515</v>
      </c>
      <c r="J903" s="23">
        <v>0.8</v>
      </c>
      <c r="K903" s="25">
        <v>0.1343</v>
      </c>
      <c r="L903" s="2">
        <v>0</v>
      </c>
      <c r="M903" s="2">
        <v>7</v>
      </c>
      <c r="N903" s="2">
        <v>7</v>
      </c>
    </row>
    <row r="904" spans="1:14" x14ac:dyDescent="0.3">
      <c r="A904" s="2">
        <v>903</v>
      </c>
      <c r="B904" s="1">
        <v>40584</v>
      </c>
      <c r="C904" s="2">
        <v>1</v>
      </c>
      <c r="D904" s="2">
        <v>2</v>
      </c>
      <c r="E904" t="b">
        <v>0</v>
      </c>
      <c r="F904" s="2">
        <v>4</v>
      </c>
      <c r="G904" s="2">
        <v>3</v>
      </c>
      <c r="H904" s="23">
        <v>0.14000000000000001</v>
      </c>
      <c r="I904" s="25">
        <v>0.1515</v>
      </c>
      <c r="J904" s="23">
        <v>0.8</v>
      </c>
      <c r="K904" s="25">
        <v>0.1343</v>
      </c>
      <c r="L904" s="2">
        <v>0</v>
      </c>
      <c r="M904" s="2">
        <v>3</v>
      </c>
      <c r="N904" s="2">
        <v>3</v>
      </c>
    </row>
    <row r="905" spans="1:14" x14ac:dyDescent="0.3">
      <c r="A905" s="2">
        <v>904</v>
      </c>
      <c r="B905" s="1">
        <v>40584</v>
      </c>
      <c r="C905" s="2">
        <v>1</v>
      </c>
      <c r="D905" s="2">
        <v>4</v>
      </c>
      <c r="E905" t="b">
        <v>0</v>
      </c>
      <c r="F905" s="2">
        <v>4</v>
      </c>
      <c r="G905" s="2">
        <v>2</v>
      </c>
      <c r="H905" s="23">
        <v>0.14000000000000001</v>
      </c>
      <c r="I905" s="25">
        <v>0.13639999999999999</v>
      </c>
      <c r="J905" s="23">
        <v>0.59</v>
      </c>
      <c r="K905" s="25">
        <v>0.22389999999999999</v>
      </c>
      <c r="L905" s="2">
        <v>0</v>
      </c>
      <c r="M905" s="2">
        <v>1</v>
      </c>
      <c r="N905" s="2">
        <v>1</v>
      </c>
    </row>
    <row r="906" spans="1:14" x14ac:dyDescent="0.3">
      <c r="A906" s="2">
        <v>905</v>
      </c>
      <c r="B906" s="1">
        <v>40584</v>
      </c>
      <c r="C906" s="2">
        <v>1</v>
      </c>
      <c r="D906" s="2">
        <v>5</v>
      </c>
      <c r="E906" t="b">
        <v>0</v>
      </c>
      <c r="F906" s="2">
        <v>4</v>
      </c>
      <c r="G906" s="2">
        <v>2</v>
      </c>
      <c r="H906" s="23">
        <v>0.12</v>
      </c>
      <c r="I906" s="25">
        <v>0.1212</v>
      </c>
      <c r="J906" s="23">
        <v>0.5</v>
      </c>
      <c r="K906" s="25">
        <v>0.22389999999999999</v>
      </c>
      <c r="L906" s="2">
        <v>0</v>
      </c>
      <c r="M906" s="2">
        <v>6</v>
      </c>
      <c r="N906" s="2">
        <v>6</v>
      </c>
    </row>
    <row r="907" spans="1:14" x14ac:dyDescent="0.3">
      <c r="A907" s="2">
        <v>906</v>
      </c>
      <c r="B907" s="1">
        <v>40584</v>
      </c>
      <c r="C907" s="2">
        <v>1</v>
      </c>
      <c r="D907" s="2">
        <v>6</v>
      </c>
      <c r="E907" t="b">
        <v>0</v>
      </c>
      <c r="F907" s="2">
        <v>4</v>
      </c>
      <c r="G907" s="2">
        <v>2</v>
      </c>
      <c r="H907" s="23">
        <v>0.12</v>
      </c>
      <c r="I907" s="25">
        <v>0.1212</v>
      </c>
      <c r="J907" s="23">
        <v>0.54</v>
      </c>
      <c r="K907" s="25">
        <v>0.28360000000000002</v>
      </c>
      <c r="L907" s="2">
        <v>0</v>
      </c>
      <c r="M907" s="2">
        <v>26</v>
      </c>
      <c r="N907" s="2">
        <v>26</v>
      </c>
    </row>
    <row r="908" spans="1:14" x14ac:dyDescent="0.3">
      <c r="A908" s="2">
        <v>907</v>
      </c>
      <c r="B908" s="1">
        <v>40584</v>
      </c>
      <c r="C908" s="2">
        <v>1</v>
      </c>
      <c r="D908" s="2">
        <v>7</v>
      </c>
      <c r="E908" t="b">
        <v>0</v>
      </c>
      <c r="F908" s="2">
        <v>4</v>
      </c>
      <c r="G908" s="2">
        <v>1</v>
      </c>
      <c r="H908" s="23">
        <v>0.1</v>
      </c>
      <c r="I908" s="25">
        <v>7.5800000000000006E-2</v>
      </c>
      <c r="J908" s="23">
        <v>0.5</v>
      </c>
      <c r="K908" s="25">
        <v>0.41789999999999999</v>
      </c>
      <c r="L908" s="2">
        <v>0</v>
      </c>
      <c r="M908" s="2">
        <v>99</v>
      </c>
      <c r="N908" s="2">
        <v>99</v>
      </c>
    </row>
    <row r="909" spans="1:14" x14ac:dyDescent="0.3">
      <c r="A909" s="2">
        <v>908</v>
      </c>
      <c r="B909" s="1">
        <v>40584</v>
      </c>
      <c r="C909" s="2">
        <v>1</v>
      </c>
      <c r="D909" s="2">
        <v>8</v>
      </c>
      <c r="E909" t="b">
        <v>0</v>
      </c>
      <c r="F909" s="2">
        <v>4</v>
      </c>
      <c r="G909" s="2">
        <v>1</v>
      </c>
      <c r="H909" s="23">
        <v>0.1</v>
      </c>
      <c r="I909" s="25">
        <v>7.5800000000000006E-2</v>
      </c>
      <c r="J909" s="23">
        <v>0.49</v>
      </c>
      <c r="K909" s="25">
        <v>0.32840000000000003</v>
      </c>
      <c r="L909" s="2">
        <v>5</v>
      </c>
      <c r="M909" s="2">
        <v>173</v>
      </c>
      <c r="N909" s="2">
        <v>178</v>
      </c>
    </row>
    <row r="910" spans="1:14" x14ac:dyDescent="0.3">
      <c r="A910" s="2">
        <v>909</v>
      </c>
      <c r="B910" s="1">
        <v>40584</v>
      </c>
      <c r="C910" s="2">
        <v>1</v>
      </c>
      <c r="D910" s="2">
        <v>9</v>
      </c>
      <c r="E910" t="b">
        <v>0</v>
      </c>
      <c r="F910" s="2">
        <v>4</v>
      </c>
      <c r="G910" s="2">
        <v>1</v>
      </c>
      <c r="H910" s="23">
        <v>0.12</v>
      </c>
      <c r="I910" s="25">
        <v>0.1061</v>
      </c>
      <c r="J910" s="23">
        <v>0.42</v>
      </c>
      <c r="K910" s="25">
        <v>0.35820000000000002</v>
      </c>
      <c r="L910" s="2">
        <v>1</v>
      </c>
      <c r="M910" s="2">
        <v>121</v>
      </c>
      <c r="N910" s="2">
        <v>122</v>
      </c>
    </row>
    <row r="911" spans="1:14" x14ac:dyDescent="0.3">
      <c r="A911" s="2">
        <v>910</v>
      </c>
      <c r="B911" s="1">
        <v>40584</v>
      </c>
      <c r="C911" s="2">
        <v>1</v>
      </c>
      <c r="D911" s="2">
        <v>10</v>
      </c>
      <c r="E911" t="b">
        <v>0</v>
      </c>
      <c r="F911" s="2">
        <v>4</v>
      </c>
      <c r="G911" s="2">
        <v>1</v>
      </c>
      <c r="H911" s="23">
        <v>0.12</v>
      </c>
      <c r="I911" s="25">
        <v>0.1061</v>
      </c>
      <c r="J911" s="23">
        <v>0.42</v>
      </c>
      <c r="K911" s="25">
        <v>0.29849999999999999</v>
      </c>
      <c r="L911" s="2">
        <v>1</v>
      </c>
      <c r="M911" s="2">
        <v>34</v>
      </c>
      <c r="N911" s="2">
        <v>35</v>
      </c>
    </row>
    <row r="912" spans="1:14" x14ac:dyDescent="0.3">
      <c r="A912" s="2">
        <v>911</v>
      </c>
      <c r="B912" s="1">
        <v>40584</v>
      </c>
      <c r="C912" s="2">
        <v>1</v>
      </c>
      <c r="D912" s="2">
        <v>11</v>
      </c>
      <c r="E912" t="b">
        <v>0</v>
      </c>
      <c r="F912" s="2">
        <v>4</v>
      </c>
      <c r="G912" s="2">
        <v>1</v>
      </c>
      <c r="H912" s="23">
        <v>0.14000000000000001</v>
      </c>
      <c r="I912" s="25">
        <v>0.1212</v>
      </c>
      <c r="J912" s="23">
        <v>0.39</v>
      </c>
      <c r="K912" s="25">
        <v>0.35820000000000002</v>
      </c>
      <c r="L912" s="2">
        <v>1</v>
      </c>
      <c r="M912" s="2">
        <v>44</v>
      </c>
      <c r="N912" s="2">
        <v>45</v>
      </c>
    </row>
    <row r="913" spans="1:14" x14ac:dyDescent="0.3">
      <c r="A913" s="2">
        <v>912</v>
      </c>
      <c r="B913" s="1">
        <v>40584</v>
      </c>
      <c r="C913" s="2">
        <v>1</v>
      </c>
      <c r="D913" s="2">
        <v>12</v>
      </c>
      <c r="E913" t="b">
        <v>0</v>
      </c>
      <c r="F913" s="2">
        <v>4</v>
      </c>
      <c r="G913" s="2">
        <v>1</v>
      </c>
      <c r="H913" s="23">
        <v>0.16</v>
      </c>
      <c r="I913" s="25">
        <v>0.13639999999999999</v>
      </c>
      <c r="J913" s="23">
        <v>0.34</v>
      </c>
      <c r="K913" s="25">
        <v>0.3881</v>
      </c>
      <c r="L913" s="2">
        <v>4</v>
      </c>
      <c r="M913" s="2">
        <v>65</v>
      </c>
      <c r="N913" s="2">
        <v>69</v>
      </c>
    </row>
    <row r="914" spans="1:14" x14ac:dyDescent="0.3">
      <c r="A914" s="2">
        <v>913</v>
      </c>
      <c r="B914" s="1">
        <v>40584</v>
      </c>
      <c r="C914" s="2">
        <v>1</v>
      </c>
      <c r="D914" s="2">
        <v>13</v>
      </c>
      <c r="E914" t="b">
        <v>0</v>
      </c>
      <c r="F914" s="2">
        <v>4</v>
      </c>
      <c r="G914" s="2">
        <v>1</v>
      </c>
      <c r="H914" s="23">
        <v>0.18</v>
      </c>
      <c r="I914" s="25">
        <v>0.16669999999999999</v>
      </c>
      <c r="J914" s="23">
        <v>0.28999999999999998</v>
      </c>
      <c r="K914" s="25">
        <v>0.29849999999999999</v>
      </c>
      <c r="L914" s="2">
        <v>3</v>
      </c>
      <c r="M914" s="2">
        <v>59</v>
      </c>
      <c r="N914" s="2">
        <v>62</v>
      </c>
    </row>
    <row r="915" spans="1:14" x14ac:dyDescent="0.3">
      <c r="A915" s="2">
        <v>914</v>
      </c>
      <c r="B915" s="1">
        <v>40584</v>
      </c>
      <c r="C915" s="2">
        <v>1</v>
      </c>
      <c r="D915" s="2">
        <v>14</v>
      </c>
      <c r="E915" t="b">
        <v>0</v>
      </c>
      <c r="F915" s="2">
        <v>4</v>
      </c>
      <c r="G915" s="2">
        <v>1</v>
      </c>
      <c r="H915" s="23">
        <v>0.2</v>
      </c>
      <c r="I915" s="25">
        <v>0.18179999999999999</v>
      </c>
      <c r="J915" s="23">
        <v>0.27</v>
      </c>
      <c r="K915" s="25">
        <v>0.28360000000000002</v>
      </c>
      <c r="L915" s="2">
        <v>6</v>
      </c>
      <c r="M915" s="2">
        <v>42</v>
      </c>
      <c r="N915" s="2">
        <v>48</v>
      </c>
    </row>
    <row r="916" spans="1:14" x14ac:dyDescent="0.3">
      <c r="A916" s="2">
        <v>915</v>
      </c>
      <c r="B916" s="1">
        <v>40584</v>
      </c>
      <c r="C916" s="2">
        <v>1</v>
      </c>
      <c r="D916" s="2">
        <v>15</v>
      </c>
      <c r="E916" t="b">
        <v>0</v>
      </c>
      <c r="F916" s="2">
        <v>4</v>
      </c>
      <c r="G916" s="2">
        <v>1</v>
      </c>
      <c r="H916" s="23">
        <v>0.2</v>
      </c>
      <c r="I916" s="25">
        <v>0.19700000000000001</v>
      </c>
      <c r="J916" s="23">
        <v>0.25</v>
      </c>
      <c r="K916" s="25">
        <v>0.25369999999999998</v>
      </c>
      <c r="L916" s="2">
        <v>0</v>
      </c>
      <c r="M916" s="2">
        <v>50</v>
      </c>
      <c r="N916" s="2">
        <v>50</v>
      </c>
    </row>
    <row r="917" spans="1:14" x14ac:dyDescent="0.3">
      <c r="A917" s="2">
        <v>916</v>
      </c>
      <c r="B917" s="1">
        <v>40584</v>
      </c>
      <c r="C917" s="2">
        <v>1</v>
      </c>
      <c r="D917" s="2">
        <v>16</v>
      </c>
      <c r="E917" t="b">
        <v>0</v>
      </c>
      <c r="F917" s="2">
        <v>4</v>
      </c>
      <c r="G917" s="2">
        <v>1</v>
      </c>
      <c r="H917" s="23">
        <v>0.2</v>
      </c>
      <c r="I917" s="25">
        <v>0.18179999999999999</v>
      </c>
      <c r="J917" s="23">
        <v>0.27</v>
      </c>
      <c r="K917" s="25">
        <v>0.29849999999999999</v>
      </c>
      <c r="L917" s="2">
        <v>4</v>
      </c>
      <c r="M917" s="2">
        <v>76</v>
      </c>
      <c r="N917" s="2">
        <v>80</v>
      </c>
    </row>
    <row r="918" spans="1:14" x14ac:dyDescent="0.3">
      <c r="A918" s="2">
        <v>917</v>
      </c>
      <c r="B918" s="1">
        <v>40584</v>
      </c>
      <c r="C918" s="2">
        <v>1</v>
      </c>
      <c r="D918" s="2">
        <v>17</v>
      </c>
      <c r="E918" t="b">
        <v>0</v>
      </c>
      <c r="F918" s="2">
        <v>4</v>
      </c>
      <c r="G918" s="2">
        <v>1</v>
      </c>
      <c r="H918" s="23">
        <v>0.18</v>
      </c>
      <c r="I918" s="25">
        <v>0.18179999999999999</v>
      </c>
      <c r="J918" s="23">
        <v>0.26</v>
      </c>
      <c r="K918" s="25">
        <v>0.19400000000000001</v>
      </c>
      <c r="L918" s="2">
        <v>6</v>
      </c>
      <c r="M918" s="2">
        <v>159</v>
      </c>
      <c r="N918" s="2">
        <v>165</v>
      </c>
    </row>
    <row r="919" spans="1:14" x14ac:dyDescent="0.3">
      <c r="A919" s="2">
        <v>918</v>
      </c>
      <c r="B919" s="1">
        <v>40584</v>
      </c>
      <c r="C919" s="2">
        <v>1</v>
      </c>
      <c r="D919" s="2">
        <v>18</v>
      </c>
      <c r="E919" t="b">
        <v>0</v>
      </c>
      <c r="F919" s="2">
        <v>4</v>
      </c>
      <c r="G919" s="2">
        <v>1</v>
      </c>
      <c r="H919" s="23">
        <v>0.16</v>
      </c>
      <c r="I919" s="25">
        <v>0.18179999999999999</v>
      </c>
      <c r="J919" s="23">
        <v>0.28000000000000003</v>
      </c>
      <c r="K919" s="25">
        <v>0.1343</v>
      </c>
      <c r="L919" s="2">
        <v>3</v>
      </c>
      <c r="M919" s="2">
        <v>157</v>
      </c>
      <c r="N919" s="2">
        <v>160</v>
      </c>
    </row>
    <row r="920" spans="1:14" x14ac:dyDescent="0.3">
      <c r="A920" s="2">
        <v>919</v>
      </c>
      <c r="B920" s="1">
        <v>40584</v>
      </c>
      <c r="C920" s="2">
        <v>1</v>
      </c>
      <c r="D920" s="2">
        <v>19</v>
      </c>
      <c r="E920" t="b">
        <v>0</v>
      </c>
      <c r="F920" s="2">
        <v>4</v>
      </c>
      <c r="G920" s="2">
        <v>1</v>
      </c>
      <c r="H920" s="23">
        <v>0.14000000000000001</v>
      </c>
      <c r="I920" s="25">
        <v>0.16669999999999999</v>
      </c>
      <c r="J920" s="23">
        <v>0.28000000000000003</v>
      </c>
      <c r="K920" s="25">
        <v>0.1045</v>
      </c>
      <c r="L920" s="2">
        <v>2</v>
      </c>
      <c r="M920" s="2">
        <v>110</v>
      </c>
      <c r="N920" s="2">
        <v>112</v>
      </c>
    </row>
    <row r="921" spans="1:14" x14ac:dyDescent="0.3">
      <c r="A921" s="2">
        <v>920</v>
      </c>
      <c r="B921" s="1">
        <v>40584</v>
      </c>
      <c r="C921" s="2">
        <v>1</v>
      </c>
      <c r="D921" s="2">
        <v>20</v>
      </c>
      <c r="E921" t="b">
        <v>0</v>
      </c>
      <c r="F921" s="2">
        <v>4</v>
      </c>
      <c r="G921" s="2">
        <v>1</v>
      </c>
      <c r="H921" s="23">
        <v>0.14000000000000001</v>
      </c>
      <c r="I921" s="25">
        <v>0.18179999999999999</v>
      </c>
      <c r="J921" s="23">
        <v>0.31</v>
      </c>
      <c r="K921" s="25">
        <v>8.9599999999999999E-2</v>
      </c>
      <c r="L921" s="2">
        <v>4</v>
      </c>
      <c r="M921" s="2">
        <v>93</v>
      </c>
      <c r="N921" s="2">
        <v>97</v>
      </c>
    </row>
    <row r="922" spans="1:14" x14ac:dyDescent="0.3">
      <c r="A922" s="2">
        <v>921</v>
      </c>
      <c r="B922" s="1">
        <v>40584</v>
      </c>
      <c r="C922" s="2">
        <v>1</v>
      </c>
      <c r="D922" s="2">
        <v>21</v>
      </c>
      <c r="E922" t="b">
        <v>0</v>
      </c>
      <c r="F922" s="2">
        <v>4</v>
      </c>
      <c r="G922" s="2">
        <v>1</v>
      </c>
      <c r="H922" s="23">
        <v>0.14000000000000001</v>
      </c>
      <c r="I922" s="25">
        <v>0.21210000000000001</v>
      </c>
      <c r="J922" s="23">
        <v>0.39</v>
      </c>
      <c r="K922" s="25">
        <v>0</v>
      </c>
      <c r="L922" s="2">
        <v>2</v>
      </c>
      <c r="M922" s="2">
        <v>70</v>
      </c>
      <c r="N922" s="2">
        <v>72</v>
      </c>
    </row>
    <row r="923" spans="1:14" x14ac:dyDescent="0.3">
      <c r="A923" s="2">
        <v>922</v>
      </c>
      <c r="B923" s="1">
        <v>40584</v>
      </c>
      <c r="C923" s="2">
        <v>1</v>
      </c>
      <c r="D923" s="2">
        <v>22</v>
      </c>
      <c r="E923" t="b">
        <v>0</v>
      </c>
      <c r="F923" s="2">
        <v>4</v>
      </c>
      <c r="G923" s="2">
        <v>1</v>
      </c>
      <c r="H923" s="23">
        <v>0.12</v>
      </c>
      <c r="I923" s="25">
        <v>0.19700000000000001</v>
      </c>
      <c r="J923" s="23">
        <v>0.39</v>
      </c>
      <c r="K923" s="25">
        <v>0</v>
      </c>
      <c r="L923" s="2">
        <v>4</v>
      </c>
      <c r="M923" s="2">
        <v>47</v>
      </c>
      <c r="N923" s="2">
        <v>51</v>
      </c>
    </row>
    <row r="924" spans="1:14" x14ac:dyDescent="0.3">
      <c r="A924" s="2">
        <v>923</v>
      </c>
      <c r="B924" s="1">
        <v>40584</v>
      </c>
      <c r="C924" s="2">
        <v>1</v>
      </c>
      <c r="D924" s="2">
        <v>23</v>
      </c>
      <c r="E924" t="b">
        <v>0</v>
      </c>
      <c r="F924" s="2">
        <v>4</v>
      </c>
      <c r="G924" s="2">
        <v>1</v>
      </c>
      <c r="H924" s="23">
        <v>0.12</v>
      </c>
      <c r="I924" s="25">
        <v>0.1515</v>
      </c>
      <c r="J924" s="23">
        <v>0.42</v>
      </c>
      <c r="K924" s="25">
        <v>0.1045</v>
      </c>
      <c r="L924" s="2">
        <v>1</v>
      </c>
      <c r="M924" s="2">
        <v>33</v>
      </c>
      <c r="N924" s="2">
        <v>34</v>
      </c>
    </row>
    <row r="925" spans="1:14" x14ac:dyDescent="0.3">
      <c r="A925" s="2">
        <v>924</v>
      </c>
      <c r="B925" s="1">
        <v>40585</v>
      </c>
      <c r="C925" s="2">
        <v>1</v>
      </c>
      <c r="D925" s="2">
        <v>0</v>
      </c>
      <c r="E925" t="b">
        <v>0</v>
      </c>
      <c r="F925" s="2">
        <v>5</v>
      </c>
      <c r="G925" s="2">
        <v>1</v>
      </c>
      <c r="H925" s="23">
        <v>0.1</v>
      </c>
      <c r="I925" s="25">
        <v>0.13639999999999999</v>
      </c>
      <c r="J925" s="23">
        <v>0.49</v>
      </c>
      <c r="K925" s="25">
        <v>0.1045</v>
      </c>
      <c r="L925" s="2">
        <v>2</v>
      </c>
      <c r="M925" s="2">
        <v>12</v>
      </c>
      <c r="N925" s="2">
        <v>14</v>
      </c>
    </row>
    <row r="926" spans="1:14" x14ac:dyDescent="0.3">
      <c r="A926" s="2">
        <v>925</v>
      </c>
      <c r="B926" s="1">
        <v>40585</v>
      </c>
      <c r="C926" s="2">
        <v>1</v>
      </c>
      <c r="D926" s="2">
        <v>1</v>
      </c>
      <c r="E926" t="b">
        <v>0</v>
      </c>
      <c r="F926" s="2">
        <v>5</v>
      </c>
      <c r="G926" s="2">
        <v>1</v>
      </c>
      <c r="H926" s="23">
        <v>0.1</v>
      </c>
      <c r="I926" s="25">
        <v>0.13639999999999999</v>
      </c>
      <c r="J926" s="23">
        <v>0.54</v>
      </c>
      <c r="K926" s="25">
        <v>8.9599999999999999E-2</v>
      </c>
      <c r="L926" s="2">
        <v>1</v>
      </c>
      <c r="M926" s="2">
        <v>6</v>
      </c>
      <c r="N926" s="2">
        <v>7</v>
      </c>
    </row>
    <row r="927" spans="1:14" x14ac:dyDescent="0.3">
      <c r="A927" s="2">
        <v>926</v>
      </c>
      <c r="B927" s="1">
        <v>40585</v>
      </c>
      <c r="C927" s="2">
        <v>1</v>
      </c>
      <c r="D927" s="2">
        <v>2</v>
      </c>
      <c r="E927" t="b">
        <v>0</v>
      </c>
      <c r="F927" s="2">
        <v>5</v>
      </c>
      <c r="G927" s="2">
        <v>1</v>
      </c>
      <c r="H927" s="23">
        <v>0.1</v>
      </c>
      <c r="I927" s="25">
        <v>0.13639999999999999</v>
      </c>
      <c r="J927" s="23">
        <v>0.54</v>
      </c>
      <c r="K927" s="25">
        <v>8.9599999999999999E-2</v>
      </c>
      <c r="L927" s="2">
        <v>0</v>
      </c>
      <c r="M927" s="2">
        <v>3</v>
      </c>
      <c r="N927" s="2">
        <v>3</v>
      </c>
    </row>
    <row r="928" spans="1:14" x14ac:dyDescent="0.3">
      <c r="A928" s="2">
        <v>927</v>
      </c>
      <c r="B928" s="1">
        <v>40585</v>
      </c>
      <c r="C928" s="2">
        <v>1</v>
      </c>
      <c r="D928" s="2">
        <v>5</v>
      </c>
      <c r="E928" t="b">
        <v>0</v>
      </c>
      <c r="F928" s="2">
        <v>5</v>
      </c>
      <c r="G928" s="2">
        <v>1</v>
      </c>
      <c r="H928" s="23">
        <v>0.08</v>
      </c>
      <c r="I928" s="25">
        <v>0.1212</v>
      </c>
      <c r="J928" s="23">
        <v>0.63</v>
      </c>
      <c r="K928" s="25">
        <v>8.9599999999999999E-2</v>
      </c>
      <c r="L928" s="2">
        <v>0</v>
      </c>
      <c r="M928" s="2">
        <v>4</v>
      </c>
      <c r="N928" s="2">
        <v>4</v>
      </c>
    </row>
    <row r="929" spans="1:14" x14ac:dyDescent="0.3">
      <c r="A929" s="2">
        <v>928</v>
      </c>
      <c r="B929" s="1">
        <v>40585</v>
      </c>
      <c r="C929" s="2">
        <v>1</v>
      </c>
      <c r="D929" s="2">
        <v>6</v>
      </c>
      <c r="E929" t="b">
        <v>0</v>
      </c>
      <c r="F929" s="2">
        <v>5</v>
      </c>
      <c r="G929" s="2">
        <v>1</v>
      </c>
      <c r="H929" s="23">
        <v>0.1</v>
      </c>
      <c r="I929" s="25">
        <v>0.18179999999999999</v>
      </c>
      <c r="J929" s="23">
        <v>0.68</v>
      </c>
      <c r="K929" s="25">
        <v>0</v>
      </c>
      <c r="L929" s="2">
        <v>1</v>
      </c>
      <c r="M929" s="2">
        <v>23</v>
      </c>
      <c r="N929" s="2">
        <v>24</v>
      </c>
    </row>
    <row r="930" spans="1:14" x14ac:dyDescent="0.3">
      <c r="A930" s="2">
        <v>929</v>
      </c>
      <c r="B930" s="1">
        <v>40585</v>
      </c>
      <c r="C930" s="2">
        <v>1</v>
      </c>
      <c r="D930" s="2">
        <v>7</v>
      </c>
      <c r="E930" t="b">
        <v>0</v>
      </c>
      <c r="F930" s="2">
        <v>5</v>
      </c>
      <c r="G930" s="2">
        <v>1</v>
      </c>
      <c r="H930" s="23">
        <v>0.08</v>
      </c>
      <c r="I930" s="25">
        <v>0.16669999999999999</v>
      </c>
      <c r="J930" s="23">
        <v>0.73</v>
      </c>
      <c r="K930" s="25">
        <v>0</v>
      </c>
      <c r="L930" s="2">
        <v>1</v>
      </c>
      <c r="M930" s="2">
        <v>73</v>
      </c>
      <c r="N930" s="2">
        <v>74</v>
      </c>
    </row>
    <row r="931" spans="1:14" x14ac:dyDescent="0.3">
      <c r="A931" s="2">
        <v>930</v>
      </c>
      <c r="B931" s="1">
        <v>40585</v>
      </c>
      <c r="C931" s="2">
        <v>1</v>
      </c>
      <c r="D931" s="2">
        <v>8</v>
      </c>
      <c r="E931" t="b">
        <v>0</v>
      </c>
      <c r="F931" s="2">
        <v>5</v>
      </c>
      <c r="G931" s="2">
        <v>1</v>
      </c>
      <c r="H931" s="23">
        <v>0.1</v>
      </c>
      <c r="I931" s="25">
        <v>0.1212</v>
      </c>
      <c r="J931" s="23">
        <v>0.74</v>
      </c>
      <c r="K931" s="25">
        <v>0.16420000000000001</v>
      </c>
      <c r="L931" s="2">
        <v>4</v>
      </c>
      <c r="M931" s="2">
        <v>212</v>
      </c>
      <c r="N931" s="2">
        <v>216</v>
      </c>
    </row>
    <row r="932" spans="1:14" x14ac:dyDescent="0.3">
      <c r="A932" s="2">
        <v>931</v>
      </c>
      <c r="B932" s="1">
        <v>40585</v>
      </c>
      <c r="C932" s="2">
        <v>1</v>
      </c>
      <c r="D932" s="2">
        <v>9</v>
      </c>
      <c r="E932" t="b">
        <v>0</v>
      </c>
      <c r="F932" s="2">
        <v>5</v>
      </c>
      <c r="G932" s="2">
        <v>1</v>
      </c>
      <c r="H932" s="23">
        <v>0.12</v>
      </c>
      <c r="I932" s="25">
        <v>0.1212</v>
      </c>
      <c r="J932" s="23">
        <v>0.74</v>
      </c>
      <c r="K932" s="25">
        <v>0.22389999999999999</v>
      </c>
      <c r="L932" s="2">
        <v>8</v>
      </c>
      <c r="M932" s="2">
        <v>132</v>
      </c>
      <c r="N932" s="2">
        <v>140</v>
      </c>
    </row>
    <row r="933" spans="1:14" x14ac:dyDescent="0.3">
      <c r="A933" s="2">
        <v>932</v>
      </c>
      <c r="B933" s="1">
        <v>40585</v>
      </c>
      <c r="C933" s="2">
        <v>1</v>
      </c>
      <c r="D933" s="2">
        <v>10</v>
      </c>
      <c r="E933" t="b">
        <v>0</v>
      </c>
      <c r="F933" s="2">
        <v>5</v>
      </c>
      <c r="G933" s="2">
        <v>1</v>
      </c>
      <c r="H933" s="23">
        <v>0.14000000000000001</v>
      </c>
      <c r="I933" s="25">
        <v>0.13639999999999999</v>
      </c>
      <c r="J933" s="23">
        <v>0.69</v>
      </c>
      <c r="K933" s="25">
        <v>0.19400000000000001</v>
      </c>
      <c r="L933" s="2">
        <v>5</v>
      </c>
      <c r="M933" s="2">
        <v>39</v>
      </c>
      <c r="N933" s="2">
        <v>44</v>
      </c>
    </row>
    <row r="934" spans="1:14" x14ac:dyDescent="0.3">
      <c r="A934" s="2">
        <v>933</v>
      </c>
      <c r="B934" s="1">
        <v>40585</v>
      </c>
      <c r="C934" s="2">
        <v>1</v>
      </c>
      <c r="D934" s="2">
        <v>11</v>
      </c>
      <c r="E934" t="b">
        <v>0</v>
      </c>
      <c r="F934" s="2">
        <v>5</v>
      </c>
      <c r="G934" s="2">
        <v>1</v>
      </c>
      <c r="H934" s="23">
        <v>0.22</v>
      </c>
      <c r="I934" s="25">
        <v>0.2273</v>
      </c>
      <c r="J934" s="23">
        <v>0.47</v>
      </c>
      <c r="K934" s="25">
        <v>0.1343</v>
      </c>
      <c r="L934" s="2">
        <v>12</v>
      </c>
      <c r="M934" s="2">
        <v>52</v>
      </c>
      <c r="N934" s="2">
        <v>64</v>
      </c>
    </row>
    <row r="935" spans="1:14" x14ac:dyDescent="0.3">
      <c r="A935" s="2">
        <v>934</v>
      </c>
      <c r="B935" s="1">
        <v>40585</v>
      </c>
      <c r="C935" s="2">
        <v>1</v>
      </c>
      <c r="D935" s="2">
        <v>12</v>
      </c>
      <c r="E935" t="b">
        <v>0</v>
      </c>
      <c r="F935" s="2">
        <v>5</v>
      </c>
      <c r="G935" s="2">
        <v>1</v>
      </c>
      <c r="H935" s="23">
        <v>0.22</v>
      </c>
      <c r="I935" s="25">
        <v>0.2273</v>
      </c>
      <c r="J935" s="23">
        <v>0.47</v>
      </c>
      <c r="K935" s="25">
        <v>0.1343</v>
      </c>
      <c r="L935" s="2">
        <v>7</v>
      </c>
      <c r="M935" s="2">
        <v>64</v>
      </c>
      <c r="N935" s="2">
        <v>71</v>
      </c>
    </row>
    <row r="936" spans="1:14" x14ac:dyDescent="0.3">
      <c r="A936" s="2">
        <v>935</v>
      </c>
      <c r="B936" s="1">
        <v>40585</v>
      </c>
      <c r="C936" s="2">
        <v>1</v>
      </c>
      <c r="D936" s="2">
        <v>13</v>
      </c>
      <c r="E936" t="b">
        <v>0</v>
      </c>
      <c r="F936" s="2">
        <v>5</v>
      </c>
      <c r="G936" s="2">
        <v>1</v>
      </c>
      <c r="H936" s="23">
        <v>0.24</v>
      </c>
      <c r="I936" s="25">
        <v>0.2273</v>
      </c>
      <c r="J936" s="23">
        <v>0.35</v>
      </c>
      <c r="K936" s="25">
        <v>0.19400000000000001</v>
      </c>
      <c r="L936" s="2">
        <v>21</v>
      </c>
      <c r="M936" s="2">
        <v>89</v>
      </c>
      <c r="N936" s="2">
        <v>110</v>
      </c>
    </row>
    <row r="937" spans="1:14" x14ac:dyDescent="0.3">
      <c r="A937" s="2">
        <v>936</v>
      </c>
      <c r="B937" s="1">
        <v>40585</v>
      </c>
      <c r="C937" s="2">
        <v>1</v>
      </c>
      <c r="D937" s="2">
        <v>14</v>
      </c>
      <c r="E937" t="b">
        <v>0</v>
      </c>
      <c r="F937" s="2">
        <v>5</v>
      </c>
      <c r="G937" s="2">
        <v>1</v>
      </c>
      <c r="H937" s="23">
        <v>0.3</v>
      </c>
      <c r="I937" s="25">
        <v>0.28789999999999999</v>
      </c>
      <c r="J937" s="23">
        <v>0.26</v>
      </c>
      <c r="K937" s="25">
        <v>0.25369999999999998</v>
      </c>
      <c r="L937" s="2">
        <v>17</v>
      </c>
      <c r="M937" s="2">
        <v>67</v>
      </c>
      <c r="N937" s="2">
        <v>84</v>
      </c>
    </row>
    <row r="938" spans="1:14" x14ac:dyDescent="0.3">
      <c r="A938" s="2">
        <v>937</v>
      </c>
      <c r="B938" s="1">
        <v>40585</v>
      </c>
      <c r="C938" s="2">
        <v>1</v>
      </c>
      <c r="D938" s="2">
        <v>15</v>
      </c>
      <c r="E938" t="b">
        <v>0</v>
      </c>
      <c r="F938" s="2">
        <v>5</v>
      </c>
      <c r="G938" s="2">
        <v>1</v>
      </c>
      <c r="H938" s="23">
        <v>0.32</v>
      </c>
      <c r="I938" s="25">
        <v>0.31819999999999998</v>
      </c>
      <c r="J938" s="23">
        <v>0.21</v>
      </c>
      <c r="K938" s="25">
        <v>0.16420000000000001</v>
      </c>
      <c r="L938" s="2">
        <v>12</v>
      </c>
      <c r="M938" s="2">
        <v>62</v>
      </c>
      <c r="N938" s="2">
        <v>74</v>
      </c>
    </row>
    <row r="939" spans="1:14" x14ac:dyDescent="0.3">
      <c r="A939" s="2">
        <v>938</v>
      </c>
      <c r="B939" s="1">
        <v>40585</v>
      </c>
      <c r="C939" s="2">
        <v>1</v>
      </c>
      <c r="D939" s="2">
        <v>16</v>
      </c>
      <c r="E939" t="b">
        <v>0</v>
      </c>
      <c r="F939" s="2">
        <v>5</v>
      </c>
      <c r="G939" s="2">
        <v>1</v>
      </c>
      <c r="H939" s="23">
        <v>0.3</v>
      </c>
      <c r="I939" s="25">
        <v>0.28789999999999999</v>
      </c>
      <c r="J939" s="23">
        <v>0.28000000000000003</v>
      </c>
      <c r="K939" s="25">
        <v>0.19400000000000001</v>
      </c>
      <c r="L939" s="2">
        <v>14</v>
      </c>
      <c r="M939" s="2">
        <v>111</v>
      </c>
      <c r="N939" s="2">
        <v>125</v>
      </c>
    </row>
    <row r="940" spans="1:14" x14ac:dyDescent="0.3">
      <c r="A940" s="2">
        <v>939</v>
      </c>
      <c r="B940" s="1">
        <v>40585</v>
      </c>
      <c r="C940" s="2">
        <v>1</v>
      </c>
      <c r="D940" s="2">
        <v>17</v>
      </c>
      <c r="E940" t="b">
        <v>0</v>
      </c>
      <c r="F940" s="2">
        <v>5</v>
      </c>
      <c r="G940" s="2">
        <v>1</v>
      </c>
      <c r="H940" s="23">
        <v>0.3</v>
      </c>
      <c r="I940" s="25">
        <v>0.33329999999999999</v>
      </c>
      <c r="J940" s="23">
        <v>0.24</v>
      </c>
      <c r="K940" s="25">
        <v>0</v>
      </c>
      <c r="L940" s="2">
        <v>18</v>
      </c>
      <c r="M940" s="2">
        <v>193</v>
      </c>
      <c r="N940" s="2">
        <v>211</v>
      </c>
    </row>
    <row r="941" spans="1:14" x14ac:dyDescent="0.3">
      <c r="A941" s="2">
        <v>940</v>
      </c>
      <c r="B941" s="1">
        <v>40585</v>
      </c>
      <c r="C941" s="2">
        <v>1</v>
      </c>
      <c r="D941" s="2">
        <v>18</v>
      </c>
      <c r="E941" t="b">
        <v>0</v>
      </c>
      <c r="F941" s="2">
        <v>5</v>
      </c>
      <c r="G941" s="2">
        <v>1</v>
      </c>
      <c r="H941" s="23">
        <v>0.28000000000000003</v>
      </c>
      <c r="I941" s="25">
        <v>0.31819999999999998</v>
      </c>
      <c r="J941" s="23">
        <v>0.28000000000000003</v>
      </c>
      <c r="K941" s="25">
        <v>0</v>
      </c>
      <c r="L941" s="2">
        <v>9</v>
      </c>
      <c r="M941" s="2">
        <v>165</v>
      </c>
      <c r="N941" s="2">
        <v>174</v>
      </c>
    </row>
    <row r="942" spans="1:14" x14ac:dyDescent="0.3">
      <c r="A942" s="2">
        <v>941</v>
      </c>
      <c r="B942" s="1">
        <v>40585</v>
      </c>
      <c r="C942" s="2">
        <v>1</v>
      </c>
      <c r="D942" s="2">
        <v>19</v>
      </c>
      <c r="E942" t="b">
        <v>0</v>
      </c>
      <c r="F942" s="2">
        <v>5</v>
      </c>
      <c r="G942" s="2">
        <v>1</v>
      </c>
      <c r="H942" s="23">
        <v>0.26</v>
      </c>
      <c r="I942" s="25">
        <v>0.30299999999999999</v>
      </c>
      <c r="J942" s="23">
        <v>0.33</v>
      </c>
      <c r="K942" s="25">
        <v>0</v>
      </c>
      <c r="L942" s="2">
        <v>7</v>
      </c>
      <c r="M942" s="2">
        <v>94</v>
      </c>
      <c r="N942" s="2">
        <v>101</v>
      </c>
    </row>
    <row r="943" spans="1:14" x14ac:dyDescent="0.3">
      <c r="A943" s="2">
        <v>942</v>
      </c>
      <c r="B943" s="1">
        <v>40585</v>
      </c>
      <c r="C943" s="2">
        <v>1</v>
      </c>
      <c r="D943" s="2">
        <v>20</v>
      </c>
      <c r="E943" t="b">
        <v>0</v>
      </c>
      <c r="F943" s="2">
        <v>5</v>
      </c>
      <c r="G943" s="2">
        <v>1</v>
      </c>
      <c r="H943" s="23">
        <v>0.22</v>
      </c>
      <c r="I943" s="25">
        <v>0.2273</v>
      </c>
      <c r="J943" s="23">
        <v>0.55000000000000004</v>
      </c>
      <c r="K943" s="25">
        <v>0.1343</v>
      </c>
      <c r="L943" s="2">
        <v>2</v>
      </c>
      <c r="M943" s="2">
        <v>61</v>
      </c>
      <c r="N943" s="2">
        <v>63</v>
      </c>
    </row>
    <row r="944" spans="1:14" x14ac:dyDescent="0.3">
      <c r="A944" s="2">
        <v>943</v>
      </c>
      <c r="B944" s="1">
        <v>40585</v>
      </c>
      <c r="C944" s="2">
        <v>1</v>
      </c>
      <c r="D944" s="2">
        <v>21</v>
      </c>
      <c r="E944" t="b">
        <v>0</v>
      </c>
      <c r="F944" s="2">
        <v>5</v>
      </c>
      <c r="G944" s="2">
        <v>1</v>
      </c>
      <c r="H944" s="23">
        <v>0.2</v>
      </c>
      <c r="I944" s="25">
        <v>0.21210000000000001</v>
      </c>
      <c r="J944" s="23">
        <v>0.59</v>
      </c>
      <c r="K944" s="25">
        <v>0.1343</v>
      </c>
      <c r="L944" s="2">
        <v>1</v>
      </c>
      <c r="M944" s="2">
        <v>46</v>
      </c>
      <c r="N944" s="2">
        <v>47</v>
      </c>
    </row>
    <row r="945" spans="1:14" x14ac:dyDescent="0.3">
      <c r="A945" s="2">
        <v>944</v>
      </c>
      <c r="B945" s="1">
        <v>40585</v>
      </c>
      <c r="C945" s="2">
        <v>1</v>
      </c>
      <c r="D945" s="2">
        <v>22</v>
      </c>
      <c r="E945" t="b">
        <v>0</v>
      </c>
      <c r="F945" s="2">
        <v>5</v>
      </c>
      <c r="G945" s="2">
        <v>1</v>
      </c>
      <c r="H945" s="23">
        <v>0.2</v>
      </c>
      <c r="I945" s="25">
        <v>0.2273</v>
      </c>
      <c r="J945" s="23">
        <v>0.64</v>
      </c>
      <c r="K945" s="25">
        <v>8.9599999999999999E-2</v>
      </c>
      <c r="L945" s="2">
        <v>2</v>
      </c>
      <c r="M945" s="2">
        <v>41</v>
      </c>
      <c r="N945" s="2">
        <v>43</v>
      </c>
    </row>
    <row r="946" spans="1:14" x14ac:dyDescent="0.3">
      <c r="A946" s="2">
        <v>945</v>
      </c>
      <c r="B946" s="1">
        <v>40585</v>
      </c>
      <c r="C946" s="2">
        <v>1</v>
      </c>
      <c r="D946" s="2">
        <v>23</v>
      </c>
      <c r="E946" t="b">
        <v>0</v>
      </c>
      <c r="F946" s="2">
        <v>5</v>
      </c>
      <c r="G946" s="2">
        <v>1</v>
      </c>
      <c r="H946" s="23">
        <v>0.18</v>
      </c>
      <c r="I946" s="25">
        <v>0.2424</v>
      </c>
      <c r="J946" s="23">
        <v>0.69</v>
      </c>
      <c r="K946" s="25">
        <v>0</v>
      </c>
      <c r="L946" s="2">
        <v>5</v>
      </c>
      <c r="M946" s="2">
        <v>48</v>
      </c>
      <c r="N946" s="2">
        <v>53</v>
      </c>
    </row>
    <row r="947" spans="1:14" x14ac:dyDescent="0.3">
      <c r="A947" s="2">
        <v>946</v>
      </c>
      <c r="B947" s="1">
        <v>40586</v>
      </c>
      <c r="C947" s="2">
        <v>1</v>
      </c>
      <c r="D947" s="2">
        <v>0</v>
      </c>
      <c r="E947" t="b">
        <v>0</v>
      </c>
      <c r="F947" s="2">
        <v>6</v>
      </c>
      <c r="G947" s="2">
        <v>1</v>
      </c>
      <c r="H947" s="23">
        <v>0.16</v>
      </c>
      <c r="I947" s="25">
        <v>0.19700000000000001</v>
      </c>
      <c r="J947" s="23">
        <v>0.69</v>
      </c>
      <c r="K947" s="25">
        <v>8.9599999999999999E-2</v>
      </c>
      <c r="L947" s="2">
        <v>3</v>
      </c>
      <c r="M947" s="2">
        <v>27</v>
      </c>
      <c r="N947" s="2">
        <v>30</v>
      </c>
    </row>
    <row r="948" spans="1:14" x14ac:dyDescent="0.3">
      <c r="A948" s="2">
        <v>947</v>
      </c>
      <c r="B948" s="1">
        <v>40586</v>
      </c>
      <c r="C948" s="2">
        <v>1</v>
      </c>
      <c r="D948" s="2">
        <v>1</v>
      </c>
      <c r="E948" t="b">
        <v>0</v>
      </c>
      <c r="F948" s="2">
        <v>6</v>
      </c>
      <c r="G948" s="2">
        <v>1</v>
      </c>
      <c r="H948" s="23">
        <v>0.14000000000000001</v>
      </c>
      <c r="I948" s="25">
        <v>0.21210000000000001</v>
      </c>
      <c r="J948" s="23">
        <v>0.86</v>
      </c>
      <c r="K948" s="25">
        <v>0</v>
      </c>
      <c r="L948" s="2">
        <v>2</v>
      </c>
      <c r="M948" s="2">
        <v>22</v>
      </c>
      <c r="N948" s="2">
        <v>24</v>
      </c>
    </row>
    <row r="949" spans="1:14" x14ac:dyDescent="0.3">
      <c r="A949" s="2">
        <v>948</v>
      </c>
      <c r="B949" s="1">
        <v>40586</v>
      </c>
      <c r="C949" s="2">
        <v>1</v>
      </c>
      <c r="D949" s="2">
        <v>2</v>
      </c>
      <c r="E949" t="b">
        <v>0</v>
      </c>
      <c r="F949" s="2">
        <v>6</v>
      </c>
      <c r="G949" s="2">
        <v>1</v>
      </c>
      <c r="H949" s="23">
        <v>0.14000000000000001</v>
      </c>
      <c r="I949" s="25">
        <v>0.21210000000000001</v>
      </c>
      <c r="J949" s="23">
        <v>0.8</v>
      </c>
      <c r="K949" s="25">
        <v>0</v>
      </c>
      <c r="L949" s="2">
        <v>2</v>
      </c>
      <c r="M949" s="2">
        <v>13</v>
      </c>
      <c r="N949" s="2">
        <v>15</v>
      </c>
    </row>
    <row r="950" spans="1:14" x14ac:dyDescent="0.3">
      <c r="A950" s="2">
        <v>949</v>
      </c>
      <c r="B950" s="1">
        <v>40586</v>
      </c>
      <c r="C950" s="2">
        <v>1</v>
      </c>
      <c r="D950" s="2">
        <v>3</v>
      </c>
      <c r="E950" t="b">
        <v>0</v>
      </c>
      <c r="F950" s="2">
        <v>6</v>
      </c>
      <c r="G950" s="2">
        <v>1</v>
      </c>
      <c r="H950" s="23">
        <v>0.12</v>
      </c>
      <c r="I950" s="25">
        <v>0.19700000000000001</v>
      </c>
      <c r="J950" s="23">
        <v>0.8</v>
      </c>
      <c r="K950" s="25">
        <v>0</v>
      </c>
      <c r="L950" s="2">
        <v>3</v>
      </c>
      <c r="M950" s="2">
        <v>7</v>
      </c>
      <c r="N950" s="2">
        <v>10</v>
      </c>
    </row>
    <row r="951" spans="1:14" x14ac:dyDescent="0.3">
      <c r="A951" s="2">
        <v>950</v>
      </c>
      <c r="B951" s="1">
        <v>40586</v>
      </c>
      <c r="C951" s="2">
        <v>1</v>
      </c>
      <c r="D951" s="2">
        <v>4</v>
      </c>
      <c r="E951" t="b">
        <v>0</v>
      </c>
      <c r="F951" s="2">
        <v>6</v>
      </c>
      <c r="G951" s="2">
        <v>1</v>
      </c>
      <c r="H951" s="23">
        <v>0.12</v>
      </c>
      <c r="I951" s="25">
        <v>0.16669999999999999</v>
      </c>
      <c r="J951" s="23">
        <v>0.74</v>
      </c>
      <c r="K951" s="25">
        <v>8.9599999999999999E-2</v>
      </c>
      <c r="L951" s="2">
        <v>0</v>
      </c>
      <c r="M951" s="2">
        <v>4</v>
      </c>
      <c r="N951" s="2">
        <v>4</v>
      </c>
    </row>
    <row r="952" spans="1:14" x14ac:dyDescent="0.3">
      <c r="A952" s="2">
        <v>951</v>
      </c>
      <c r="B952" s="1">
        <v>40586</v>
      </c>
      <c r="C952" s="2">
        <v>1</v>
      </c>
      <c r="D952" s="2">
        <v>5</v>
      </c>
      <c r="E952" t="b">
        <v>0</v>
      </c>
      <c r="F952" s="2">
        <v>6</v>
      </c>
      <c r="G952" s="2">
        <v>1</v>
      </c>
      <c r="H952" s="23">
        <v>0.12</v>
      </c>
      <c r="I952" s="25">
        <v>0.16669999999999999</v>
      </c>
      <c r="J952" s="23">
        <v>0.74</v>
      </c>
      <c r="K952" s="25">
        <v>8.9599999999999999E-2</v>
      </c>
      <c r="L952" s="2">
        <v>0</v>
      </c>
      <c r="M952" s="2">
        <v>1</v>
      </c>
      <c r="N952" s="2">
        <v>1</v>
      </c>
    </row>
    <row r="953" spans="1:14" x14ac:dyDescent="0.3">
      <c r="A953" s="2">
        <v>952</v>
      </c>
      <c r="B953" s="1">
        <v>40586</v>
      </c>
      <c r="C953" s="2">
        <v>1</v>
      </c>
      <c r="D953" s="2">
        <v>6</v>
      </c>
      <c r="E953" t="b">
        <v>0</v>
      </c>
      <c r="F953" s="2">
        <v>6</v>
      </c>
      <c r="G953" s="2">
        <v>1</v>
      </c>
      <c r="H953" s="23">
        <v>0.12</v>
      </c>
      <c r="I953" s="25">
        <v>0.13639999999999999</v>
      </c>
      <c r="J953" s="23">
        <v>0.93</v>
      </c>
      <c r="K953" s="25">
        <v>0.19400000000000001</v>
      </c>
      <c r="L953" s="2">
        <v>1</v>
      </c>
      <c r="M953" s="2">
        <v>1</v>
      </c>
      <c r="N953" s="2">
        <v>2</v>
      </c>
    </row>
    <row r="954" spans="1:14" x14ac:dyDescent="0.3">
      <c r="A954" s="2">
        <v>953</v>
      </c>
      <c r="B954" s="1">
        <v>40586</v>
      </c>
      <c r="C954" s="2">
        <v>1</v>
      </c>
      <c r="D954" s="2">
        <v>7</v>
      </c>
      <c r="E954" t="b">
        <v>0</v>
      </c>
      <c r="F954" s="2">
        <v>6</v>
      </c>
      <c r="G954" s="2">
        <v>1</v>
      </c>
      <c r="H954" s="23">
        <v>0.12</v>
      </c>
      <c r="I954" s="25">
        <v>0.1515</v>
      </c>
      <c r="J954" s="23">
        <v>0.8</v>
      </c>
      <c r="K954" s="25">
        <v>0.1045</v>
      </c>
      <c r="L954" s="2">
        <v>2</v>
      </c>
      <c r="M954" s="2">
        <v>9</v>
      </c>
      <c r="N954" s="2">
        <v>11</v>
      </c>
    </row>
    <row r="955" spans="1:14" x14ac:dyDescent="0.3">
      <c r="A955" s="2">
        <v>954</v>
      </c>
      <c r="B955" s="1">
        <v>40586</v>
      </c>
      <c r="C955" s="2">
        <v>1</v>
      </c>
      <c r="D955" s="2">
        <v>8</v>
      </c>
      <c r="E955" t="b">
        <v>0</v>
      </c>
      <c r="F955" s="2">
        <v>6</v>
      </c>
      <c r="G955" s="2">
        <v>1</v>
      </c>
      <c r="H955" s="23">
        <v>0.14000000000000001</v>
      </c>
      <c r="I955" s="25">
        <v>0.1515</v>
      </c>
      <c r="J955" s="23">
        <v>0.86</v>
      </c>
      <c r="K955" s="25">
        <v>0.1343</v>
      </c>
      <c r="L955" s="2">
        <v>2</v>
      </c>
      <c r="M955" s="2">
        <v>28</v>
      </c>
      <c r="N955" s="2">
        <v>30</v>
      </c>
    </row>
    <row r="956" spans="1:14" x14ac:dyDescent="0.3">
      <c r="A956" s="2">
        <v>955</v>
      </c>
      <c r="B956" s="1">
        <v>40586</v>
      </c>
      <c r="C956" s="2">
        <v>1</v>
      </c>
      <c r="D956" s="2">
        <v>9</v>
      </c>
      <c r="E956" t="b">
        <v>0</v>
      </c>
      <c r="F956" s="2">
        <v>6</v>
      </c>
      <c r="G956" s="2">
        <v>1</v>
      </c>
      <c r="H956" s="23">
        <v>0.16</v>
      </c>
      <c r="I956" s="25">
        <v>0.18179999999999999</v>
      </c>
      <c r="J956" s="23">
        <v>0.64</v>
      </c>
      <c r="K956" s="25">
        <v>0.1343</v>
      </c>
      <c r="L956" s="2">
        <v>5</v>
      </c>
      <c r="M956" s="2">
        <v>38</v>
      </c>
      <c r="N956" s="2">
        <v>43</v>
      </c>
    </row>
    <row r="957" spans="1:14" x14ac:dyDescent="0.3">
      <c r="A957" s="2">
        <v>956</v>
      </c>
      <c r="B957" s="1">
        <v>40586</v>
      </c>
      <c r="C957" s="2">
        <v>1</v>
      </c>
      <c r="D957" s="2">
        <v>10</v>
      </c>
      <c r="E957" t="b">
        <v>0</v>
      </c>
      <c r="F957" s="2">
        <v>6</v>
      </c>
      <c r="G957" s="2">
        <v>1</v>
      </c>
      <c r="H957" s="23">
        <v>0.22</v>
      </c>
      <c r="I957" s="25">
        <v>0.21210000000000001</v>
      </c>
      <c r="J957" s="23">
        <v>0.41</v>
      </c>
      <c r="K957" s="25">
        <v>0.25369999999999998</v>
      </c>
      <c r="L957" s="2">
        <v>13</v>
      </c>
      <c r="M957" s="2">
        <v>71</v>
      </c>
      <c r="N957" s="2">
        <v>84</v>
      </c>
    </row>
    <row r="958" spans="1:14" x14ac:dyDescent="0.3">
      <c r="A958" s="2">
        <v>957</v>
      </c>
      <c r="B958" s="1">
        <v>40586</v>
      </c>
      <c r="C958" s="2">
        <v>1</v>
      </c>
      <c r="D958" s="2">
        <v>11</v>
      </c>
      <c r="E958" t="b">
        <v>0</v>
      </c>
      <c r="F958" s="2">
        <v>6</v>
      </c>
      <c r="G958" s="2">
        <v>1</v>
      </c>
      <c r="H958" s="23">
        <v>0.3</v>
      </c>
      <c r="I958" s="25">
        <v>0.2727</v>
      </c>
      <c r="J958" s="23">
        <v>0.28000000000000003</v>
      </c>
      <c r="K958" s="25">
        <v>0.32840000000000003</v>
      </c>
      <c r="L958" s="2">
        <v>30</v>
      </c>
      <c r="M958" s="2">
        <v>84</v>
      </c>
      <c r="N958" s="2">
        <v>114</v>
      </c>
    </row>
    <row r="959" spans="1:14" x14ac:dyDescent="0.3">
      <c r="A959" s="2">
        <v>958</v>
      </c>
      <c r="B959" s="1">
        <v>40586</v>
      </c>
      <c r="C959" s="2">
        <v>1</v>
      </c>
      <c r="D959" s="2">
        <v>12</v>
      </c>
      <c r="E959" t="b">
        <v>0</v>
      </c>
      <c r="F959" s="2">
        <v>6</v>
      </c>
      <c r="G959" s="2">
        <v>1</v>
      </c>
      <c r="H959" s="23">
        <v>0.3</v>
      </c>
      <c r="I959" s="25">
        <v>0.2727</v>
      </c>
      <c r="J959" s="23">
        <v>0.39</v>
      </c>
      <c r="K959" s="25">
        <v>0.4627</v>
      </c>
      <c r="L959" s="2">
        <v>27</v>
      </c>
      <c r="M959" s="2">
        <v>93</v>
      </c>
      <c r="N959" s="2">
        <v>120</v>
      </c>
    </row>
    <row r="960" spans="1:14" x14ac:dyDescent="0.3">
      <c r="A960" s="2">
        <v>959</v>
      </c>
      <c r="B960" s="1">
        <v>40586</v>
      </c>
      <c r="C960" s="2">
        <v>1</v>
      </c>
      <c r="D960" s="2">
        <v>13</v>
      </c>
      <c r="E960" t="b">
        <v>0</v>
      </c>
      <c r="F960" s="2">
        <v>6</v>
      </c>
      <c r="G960" s="2">
        <v>1</v>
      </c>
      <c r="H960" s="23">
        <v>0.3</v>
      </c>
      <c r="I960" s="25">
        <v>0.2727</v>
      </c>
      <c r="J960" s="23">
        <v>0.39</v>
      </c>
      <c r="K960" s="25">
        <v>0.41789999999999999</v>
      </c>
      <c r="L960" s="2">
        <v>32</v>
      </c>
      <c r="M960" s="2">
        <v>103</v>
      </c>
      <c r="N960" s="2">
        <v>135</v>
      </c>
    </row>
    <row r="961" spans="1:14" x14ac:dyDescent="0.3">
      <c r="A961" s="2">
        <v>960</v>
      </c>
      <c r="B961" s="1">
        <v>40586</v>
      </c>
      <c r="C961" s="2">
        <v>1</v>
      </c>
      <c r="D961" s="2">
        <v>14</v>
      </c>
      <c r="E961" t="b">
        <v>0</v>
      </c>
      <c r="F961" s="2">
        <v>6</v>
      </c>
      <c r="G961" s="2">
        <v>1</v>
      </c>
      <c r="H961" s="23">
        <v>0.34</v>
      </c>
      <c r="I961" s="25">
        <v>0.31819999999999998</v>
      </c>
      <c r="J961" s="23">
        <v>0.31</v>
      </c>
      <c r="K961" s="25">
        <v>0.28360000000000002</v>
      </c>
      <c r="L961" s="2">
        <v>30</v>
      </c>
      <c r="M961" s="2">
        <v>90</v>
      </c>
      <c r="N961" s="2">
        <v>120</v>
      </c>
    </row>
    <row r="962" spans="1:14" x14ac:dyDescent="0.3">
      <c r="A962" s="2">
        <v>961</v>
      </c>
      <c r="B962" s="1">
        <v>40586</v>
      </c>
      <c r="C962" s="2">
        <v>1</v>
      </c>
      <c r="D962" s="2">
        <v>15</v>
      </c>
      <c r="E962" t="b">
        <v>0</v>
      </c>
      <c r="F962" s="2">
        <v>6</v>
      </c>
      <c r="G962" s="2">
        <v>1</v>
      </c>
      <c r="H962" s="23">
        <v>0.34</v>
      </c>
      <c r="I962" s="25">
        <v>0.30299999999999999</v>
      </c>
      <c r="J962" s="23">
        <v>0.28999999999999998</v>
      </c>
      <c r="K962" s="25">
        <v>0.41789999999999999</v>
      </c>
      <c r="L962" s="2">
        <v>47</v>
      </c>
      <c r="M962" s="2">
        <v>127</v>
      </c>
      <c r="N962" s="2">
        <v>174</v>
      </c>
    </row>
    <row r="963" spans="1:14" x14ac:dyDescent="0.3">
      <c r="A963" s="2">
        <v>962</v>
      </c>
      <c r="B963" s="1">
        <v>40586</v>
      </c>
      <c r="C963" s="2">
        <v>1</v>
      </c>
      <c r="D963" s="2">
        <v>16</v>
      </c>
      <c r="E963" t="b">
        <v>0</v>
      </c>
      <c r="F963" s="2">
        <v>6</v>
      </c>
      <c r="G963" s="2">
        <v>1</v>
      </c>
      <c r="H963" s="23">
        <v>0.34</v>
      </c>
      <c r="I963" s="25">
        <v>0.30299999999999999</v>
      </c>
      <c r="J963" s="23">
        <v>0.28999999999999998</v>
      </c>
      <c r="K963" s="25">
        <v>0.41789999999999999</v>
      </c>
      <c r="L963" s="2">
        <v>42</v>
      </c>
      <c r="M963" s="2">
        <v>103</v>
      </c>
      <c r="N963" s="2">
        <v>145</v>
      </c>
    </row>
    <row r="964" spans="1:14" x14ac:dyDescent="0.3">
      <c r="A964" s="2">
        <v>963</v>
      </c>
      <c r="B964" s="1">
        <v>40586</v>
      </c>
      <c r="C964" s="2">
        <v>1</v>
      </c>
      <c r="D964" s="2">
        <v>17</v>
      </c>
      <c r="E964" t="b">
        <v>0</v>
      </c>
      <c r="F964" s="2">
        <v>6</v>
      </c>
      <c r="G964" s="2">
        <v>1</v>
      </c>
      <c r="H964" s="23">
        <v>0.32</v>
      </c>
      <c r="I964" s="25">
        <v>0.28789999999999999</v>
      </c>
      <c r="J964" s="23">
        <v>0.31</v>
      </c>
      <c r="K964" s="25">
        <v>0.52239999999999998</v>
      </c>
      <c r="L964" s="2">
        <v>24</v>
      </c>
      <c r="M964" s="2">
        <v>113</v>
      </c>
      <c r="N964" s="2">
        <v>137</v>
      </c>
    </row>
    <row r="965" spans="1:14" x14ac:dyDescent="0.3">
      <c r="A965" s="2">
        <v>964</v>
      </c>
      <c r="B965" s="1">
        <v>40586</v>
      </c>
      <c r="C965" s="2">
        <v>1</v>
      </c>
      <c r="D965" s="2">
        <v>18</v>
      </c>
      <c r="E965" t="b">
        <v>0</v>
      </c>
      <c r="F965" s="2">
        <v>6</v>
      </c>
      <c r="G965" s="2">
        <v>1</v>
      </c>
      <c r="H965" s="23">
        <v>0.28000000000000003</v>
      </c>
      <c r="I965" s="25">
        <v>0.2576</v>
      </c>
      <c r="J965" s="23">
        <v>0.38</v>
      </c>
      <c r="K965" s="25">
        <v>0.32840000000000003</v>
      </c>
      <c r="L965" s="2">
        <v>4</v>
      </c>
      <c r="M965" s="2">
        <v>60</v>
      </c>
      <c r="N965" s="2">
        <v>64</v>
      </c>
    </row>
    <row r="966" spans="1:14" x14ac:dyDescent="0.3">
      <c r="A966" s="2">
        <v>965</v>
      </c>
      <c r="B966" s="1">
        <v>40586</v>
      </c>
      <c r="C966" s="2">
        <v>1</v>
      </c>
      <c r="D966" s="2">
        <v>19</v>
      </c>
      <c r="E966" t="b">
        <v>0</v>
      </c>
      <c r="F966" s="2">
        <v>6</v>
      </c>
      <c r="G966" s="2">
        <v>1</v>
      </c>
      <c r="H966" s="23">
        <v>0.28000000000000003</v>
      </c>
      <c r="I966" s="25">
        <v>0.2727</v>
      </c>
      <c r="J966" s="23">
        <v>0.38</v>
      </c>
      <c r="K966" s="25">
        <v>0.16420000000000001</v>
      </c>
      <c r="L966" s="2">
        <v>2</v>
      </c>
      <c r="M966" s="2">
        <v>39</v>
      </c>
      <c r="N966" s="2">
        <v>41</v>
      </c>
    </row>
    <row r="967" spans="1:14" x14ac:dyDescent="0.3">
      <c r="A967" s="2">
        <v>966</v>
      </c>
      <c r="B967" s="1">
        <v>40586</v>
      </c>
      <c r="C967" s="2">
        <v>1</v>
      </c>
      <c r="D967" s="2">
        <v>20</v>
      </c>
      <c r="E967" t="b">
        <v>0</v>
      </c>
      <c r="F967" s="2">
        <v>6</v>
      </c>
      <c r="G967" s="2">
        <v>1</v>
      </c>
      <c r="H967" s="23">
        <v>0.26</v>
      </c>
      <c r="I967" s="25">
        <v>0.2576</v>
      </c>
      <c r="J967" s="23">
        <v>0.41</v>
      </c>
      <c r="K967" s="25">
        <v>0.22389999999999999</v>
      </c>
      <c r="L967" s="2">
        <v>1</v>
      </c>
      <c r="M967" s="2">
        <v>39</v>
      </c>
      <c r="N967" s="2">
        <v>40</v>
      </c>
    </row>
    <row r="968" spans="1:14" x14ac:dyDescent="0.3">
      <c r="A968" s="2">
        <v>967</v>
      </c>
      <c r="B968" s="1">
        <v>40586</v>
      </c>
      <c r="C968" s="2">
        <v>1</v>
      </c>
      <c r="D968" s="2">
        <v>21</v>
      </c>
      <c r="E968" t="b">
        <v>0</v>
      </c>
      <c r="F968" s="2">
        <v>6</v>
      </c>
      <c r="G968" s="2">
        <v>1</v>
      </c>
      <c r="H968" s="23">
        <v>0.26</v>
      </c>
      <c r="I968" s="25">
        <v>0.30299999999999999</v>
      </c>
      <c r="J968" s="23">
        <v>0.41</v>
      </c>
      <c r="K968" s="25">
        <v>0</v>
      </c>
      <c r="L968" s="2">
        <v>9</v>
      </c>
      <c r="M968" s="2">
        <v>42</v>
      </c>
      <c r="N968" s="2">
        <v>51</v>
      </c>
    </row>
    <row r="969" spans="1:14" x14ac:dyDescent="0.3">
      <c r="A969" s="2">
        <v>968</v>
      </c>
      <c r="B969" s="1">
        <v>40586</v>
      </c>
      <c r="C969" s="2">
        <v>1</v>
      </c>
      <c r="D969" s="2">
        <v>22</v>
      </c>
      <c r="E969" t="b">
        <v>0</v>
      </c>
      <c r="F969" s="2">
        <v>6</v>
      </c>
      <c r="G969" s="2">
        <v>1</v>
      </c>
      <c r="H969" s="23">
        <v>0.24</v>
      </c>
      <c r="I969" s="25">
        <v>0.2576</v>
      </c>
      <c r="J969" s="23">
        <v>0.44</v>
      </c>
      <c r="K969" s="25">
        <v>8.9599999999999999E-2</v>
      </c>
      <c r="L969" s="2">
        <v>6</v>
      </c>
      <c r="M969" s="2">
        <v>39</v>
      </c>
      <c r="N969" s="2">
        <v>45</v>
      </c>
    </row>
    <row r="970" spans="1:14" x14ac:dyDescent="0.3">
      <c r="A970" s="2">
        <v>969</v>
      </c>
      <c r="B970" s="1">
        <v>40586</v>
      </c>
      <c r="C970" s="2">
        <v>1</v>
      </c>
      <c r="D970" s="2">
        <v>23</v>
      </c>
      <c r="E970" t="b">
        <v>0</v>
      </c>
      <c r="F970" s="2">
        <v>6</v>
      </c>
      <c r="G970" s="2">
        <v>1</v>
      </c>
      <c r="H970" s="23">
        <v>0.22</v>
      </c>
      <c r="I970" s="25">
        <v>0.2273</v>
      </c>
      <c r="J970" s="23">
        <v>0.51</v>
      </c>
      <c r="K970" s="25">
        <v>0.1343</v>
      </c>
      <c r="L970" s="2">
        <v>1</v>
      </c>
      <c r="M970" s="2">
        <v>31</v>
      </c>
      <c r="N970" s="2">
        <v>32</v>
      </c>
    </row>
    <row r="971" spans="1:14" x14ac:dyDescent="0.3">
      <c r="A971" s="2">
        <v>970</v>
      </c>
      <c r="B971" s="1">
        <v>40587</v>
      </c>
      <c r="C971" s="2">
        <v>1</v>
      </c>
      <c r="D971" s="2">
        <v>0</v>
      </c>
      <c r="E971" t="b">
        <v>0</v>
      </c>
      <c r="F971" s="2">
        <v>0</v>
      </c>
      <c r="G971" s="2">
        <v>1</v>
      </c>
      <c r="H971" s="23">
        <v>0.2</v>
      </c>
      <c r="I971" s="25">
        <v>0.2273</v>
      </c>
      <c r="J971" s="23">
        <v>0.64</v>
      </c>
      <c r="K971" s="25">
        <v>0.1045</v>
      </c>
      <c r="L971" s="2">
        <v>5</v>
      </c>
      <c r="M971" s="2">
        <v>34</v>
      </c>
      <c r="N971" s="2">
        <v>39</v>
      </c>
    </row>
    <row r="972" spans="1:14" x14ac:dyDescent="0.3">
      <c r="A972" s="2">
        <v>971</v>
      </c>
      <c r="B972" s="1">
        <v>40587</v>
      </c>
      <c r="C972" s="2">
        <v>1</v>
      </c>
      <c r="D972" s="2">
        <v>1</v>
      </c>
      <c r="E972" t="b">
        <v>0</v>
      </c>
      <c r="F972" s="2">
        <v>0</v>
      </c>
      <c r="G972" s="2">
        <v>1</v>
      </c>
      <c r="H972" s="23">
        <v>0.2</v>
      </c>
      <c r="I972" s="25">
        <v>0.2273</v>
      </c>
      <c r="J972" s="23">
        <v>0.59</v>
      </c>
      <c r="K972" s="25">
        <v>8.9599999999999999E-2</v>
      </c>
      <c r="L972" s="2">
        <v>1</v>
      </c>
      <c r="M972" s="2">
        <v>23</v>
      </c>
      <c r="N972" s="2">
        <v>24</v>
      </c>
    </row>
    <row r="973" spans="1:14" x14ac:dyDescent="0.3">
      <c r="A973" s="2">
        <v>972</v>
      </c>
      <c r="B973" s="1">
        <v>40587</v>
      </c>
      <c r="C973" s="2">
        <v>1</v>
      </c>
      <c r="D973" s="2">
        <v>2</v>
      </c>
      <c r="E973" t="b">
        <v>0</v>
      </c>
      <c r="F973" s="2">
        <v>0</v>
      </c>
      <c r="G973" s="2">
        <v>2</v>
      </c>
      <c r="H973" s="23">
        <v>0.2</v>
      </c>
      <c r="I973" s="25">
        <v>0.2273</v>
      </c>
      <c r="J973" s="23">
        <v>0.75</v>
      </c>
      <c r="K973" s="25">
        <v>8.9599999999999999E-2</v>
      </c>
      <c r="L973" s="2">
        <v>1</v>
      </c>
      <c r="M973" s="2">
        <v>19</v>
      </c>
      <c r="N973" s="2">
        <v>20</v>
      </c>
    </row>
    <row r="974" spans="1:14" x14ac:dyDescent="0.3">
      <c r="A974" s="2">
        <v>973</v>
      </c>
      <c r="B974" s="1">
        <v>40587</v>
      </c>
      <c r="C974" s="2">
        <v>1</v>
      </c>
      <c r="D974" s="2">
        <v>3</v>
      </c>
      <c r="E974" t="b">
        <v>0</v>
      </c>
      <c r="F974" s="2">
        <v>0</v>
      </c>
      <c r="G974" s="2">
        <v>2</v>
      </c>
      <c r="H974" s="23">
        <v>0.2</v>
      </c>
      <c r="I974" s="25">
        <v>0.2273</v>
      </c>
      <c r="J974" s="23">
        <v>0.69</v>
      </c>
      <c r="K974" s="25">
        <v>0.1045</v>
      </c>
      <c r="L974" s="2">
        <v>4</v>
      </c>
      <c r="M974" s="2">
        <v>8</v>
      </c>
      <c r="N974" s="2">
        <v>12</v>
      </c>
    </row>
    <row r="975" spans="1:14" x14ac:dyDescent="0.3">
      <c r="A975" s="2">
        <v>974</v>
      </c>
      <c r="B975" s="1">
        <v>40587</v>
      </c>
      <c r="C975" s="2">
        <v>1</v>
      </c>
      <c r="D975" s="2">
        <v>4</v>
      </c>
      <c r="E975" t="b">
        <v>0</v>
      </c>
      <c r="F975" s="2">
        <v>0</v>
      </c>
      <c r="G975" s="2">
        <v>2</v>
      </c>
      <c r="H975" s="23">
        <v>0.2</v>
      </c>
      <c r="I975" s="25">
        <v>0.21210000000000001</v>
      </c>
      <c r="J975" s="23">
        <v>0.69</v>
      </c>
      <c r="K975" s="25">
        <v>0.16420000000000001</v>
      </c>
      <c r="L975" s="2">
        <v>0</v>
      </c>
      <c r="M975" s="2">
        <v>2</v>
      </c>
      <c r="N975" s="2">
        <v>2</v>
      </c>
    </row>
    <row r="976" spans="1:14" x14ac:dyDescent="0.3">
      <c r="A976" s="2">
        <v>975</v>
      </c>
      <c r="B976" s="1">
        <v>40587</v>
      </c>
      <c r="C976" s="2">
        <v>1</v>
      </c>
      <c r="D976" s="2">
        <v>6</v>
      </c>
      <c r="E976" t="b">
        <v>0</v>
      </c>
      <c r="F976" s="2">
        <v>0</v>
      </c>
      <c r="G976" s="2">
        <v>2</v>
      </c>
      <c r="H976" s="23">
        <v>0.2</v>
      </c>
      <c r="I976" s="25">
        <v>0.21210000000000001</v>
      </c>
      <c r="J976" s="23">
        <v>0.69</v>
      </c>
      <c r="K976" s="25">
        <v>0.1343</v>
      </c>
      <c r="L976" s="2">
        <v>2</v>
      </c>
      <c r="M976" s="2">
        <v>3</v>
      </c>
      <c r="N976" s="2">
        <v>5</v>
      </c>
    </row>
    <row r="977" spans="1:14" x14ac:dyDescent="0.3">
      <c r="A977" s="2">
        <v>976</v>
      </c>
      <c r="B977" s="1">
        <v>40587</v>
      </c>
      <c r="C977" s="2">
        <v>1</v>
      </c>
      <c r="D977" s="2">
        <v>7</v>
      </c>
      <c r="E977" t="b">
        <v>0</v>
      </c>
      <c r="F977" s="2">
        <v>0</v>
      </c>
      <c r="G977" s="2">
        <v>2</v>
      </c>
      <c r="H977" s="23">
        <v>0.22</v>
      </c>
      <c r="I977" s="25">
        <v>0.2727</v>
      </c>
      <c r="J977" s="23">
        <v>0.55000000000000004</v>
      </c>
      <c r="K977" s="25">
        <v>0</v>
      </c>
      <c r="L977" s="2">
        <v>0</v>
      </c>
      <c r="M977" s="2">
        <v>3</v>
      </c>
      <c r="N977" s="2">
        <v>3</v>
      </c>
    </row>
    <row r="978" spans="1:14" x14ac:dyDescent="0.3">
      <c r="A978" s="2">
        <v>977</v>
      </c>
      <c r="B978" s="1">
        <v>40587</v>
      </c>
      <c r="C978" s="2">
        <v>1</v>
      </c>
      <c r="D978" s="2">
        <v>8</v>
      </c>
      <c r="E978" t="b">
        <v>0</v>
      </c>
      <c r="F978" s="2">
        <v>0</v>
      </c>
      <c r="G978" s="2">
        <v>2</v>
      </c>
      <c r="H978" s="23">
        <v>0.22</v>
      </c>
      <c r="I978" s="25">
        <v>0.2273</v>
      </c>
      <c r="J978" s="23">
        <v>0.64</v>
      </c>
      <c r="K978" s="25">
        <v>0.19400000000000001</v>
      </c>
      <c r="L978" s="2">
        <v>1</v>
      </c>
      <c r="M978" s="2">
        <v>11</v>
      </c>
      <c r="N978" s="2">
        <v>12</v>
      </c>
    </row>
    <row r="979" spans="1:14" x14ac:dyDescent="0.3">
      <c r="A979" s="2">
        <v>978</v>
      </c>
      <c r="B979" s="1">
        <v>40587</v>
      </c>
      <c r="C979" s="2">
        <v>1</v>
      </c>
      <c r="D979" s="2">
        <v>9</v>
      </c>
      <c r="E979" t="b">
        <v>0</v>
      </c>
      <c r="F979" s="2">
        <v>0</v>
      </c>
      <c r="G979" s="2">
        <v>2</v>
      </c>
      <c r="H979" s="23">
        <v>0.24</v>
      </c>
      <c r="I979" s="25">
        <v>0.2273</v>
      </c>
      <c r="J979" s="23">
        <v>0.6</v>
      </c>
      <c r="K979" s="25">
        <v>0.22389999999999999</v>
      </c>
      <c r="L979" s="2">
        <v>12</v>
      </c>
      <c r="M979" s="2">
        <v>35</v>
      </c>
      <c r="N979" s="2">
        <v>47</v>
      </c>
    </row>
    <row r="980" spans="1:14" x14ac:dyDescent="0.3">
      <c r="A980" s="2">
        <v>979</v>
      </c>
      <c r="B980" s="1">
        <v>40587</v>
      </c>
      <c r="C980" s="2">
        <v>1</v>
      </c>
      <c r="D980" s="2">
        <v>10</v>
      </c>
      <c r="E980" t="b">
        <v>0</v>
      </c>
      <c r="F980" s="2">
        <v>0</v>
      </c>
      <c r="G980" s="2">
        <v>1</v>
      </c>
      <c r="H980" s="23">
        <v>0.3</v>
      </c>
      <c r="I980" s="25">
        <v>0.2727</v>
      </c>
      <c r="J980" s="23">
        <v>0.45</v>
      </c>
      <c r="K980" s="25">
        <v>0.32840000000000003</v>
      </c>
      <c r="L980" s="2">
        <v>19</v>
      </c>
      <c r="M980" s="2">
        <v>86</v>
      </c>
      <c r="N980" s="2">
        <v>105</v>
      </c>
    </row>
    <row r="981" spans="1:14" x14ac:dyDescent="0.3">
      <c r="A981" s="2">
        <v>980</v>
      </c>
      <c r="B981" s="1">
        <v>40587</v>
      </c>
      <c r="C981" s="2">
        <v>1</v>
      </c>
      <c r="D981" s="2">
        <v>11</v>
      </c>
      <c r="E981" t="b">
        <v>0</v>
      </c>
      <c r="F981" s="2">
        <v>0</v>
      </c>
      <c r="G981" s="2">
        <v>1</v>
      </c>
      <c r="H981" s="23">
        <v>0.32</v>
      </c>
      <c r="I981" s="25">
        <v>0.28789999999999999</v>
      </c>
      <c r="J981" s="23">
        <v>0.39</v>
      </c>
      <c r="K981" s="25">
        <v>0.44779999999999998</v>
      </c>
      <c r="L981" s="2">
        <v>26</v>
      </c>
      <c r="M981" s="2">
        <v>86</v>
      </c>
      <c r="N981" s="2">
        <v>112</v>
      </c>
    </row>
    <row r="982" spans="1:14" x14ac:dyDescent="0.3">
      <c r="A982" s="2">
        <v>981</v>
      </c>
      <c r="B982" s="1">
        <v>40587</v>
      </c>
      <c r="C982" s="2">
        <v>1</v>
      </c>
      <c r="D982" s="2">
        <v>12</v>
      </c>
      <c r="E982" t="b">
        <v>0</v>
      </c>
      <c r="F982" s="2">
        <v>0</v>
      </c>
      <c r="G982" s="2">
        <v>1</v>
      </c>
      <c r="H982" s="23">
        <v>0.36</v>
      </c>
      <c r="I982" s="25">
        <v>0.31819999999999998</v>
      </c>
      <c r="J982" s="23">
        <v>0.32</v>
      </c>
      <c r="K982" s="25">
        <v>0.4627</v>
      </c>
      <c r="L982" s="2">
        <v>58</v>
      </c>
      <c r="M982" s="2">
        <v>94</v>
      </c>
      <c r="N982" s="2">
        <v>152</v>
      </c>
    </row>
    <row r="983" spans="1:14" x14ac:dyDescent="0.3">
      <c r="A983" s="2">
        <v>982</v>
      </c>
      <c r="B983" s="1">
        <v>40587</v>
      </c>
      <c r="C983" s="2">
        <v>1</v>
      </c>
      <c r="D983" s="2">
        <v>13</v>
      </c>
      <c r="E983" t="b">
        <v>0</v>
      </c>
      <c r="F983" s="2">
        <v>0</v>
      </c>
      <c r="G983" s="2">
        <v>1</v>
      </c>
      <c r="H983" s="23">
        <v>0.38</v>
      </c>
      <c r="I983" s="25">
        <v>0.39389999999999997</v>
      </c>
      <c r="J983" s="23">
        <v>0.28999999999999998</v>
      </c>
      <c r="K983" s="25">
        <v>0.35820000000000002</v>
      </c>
      <c r="L983" s="2">
        <v>62</v>
      </c>
      <c r="M983" s="2">
        <v>92</v>
      </c>
      <c r="N983" s="2">
        <v>154</v>
      </c>
    </row>
    <row r="984" spans="1:14" x14ac:dyDescent="0.3">
      <c r="A984" s="2">
        <v>983</v>
      </c>
      <c r="B984" s="1">
        <v>40587</v>
      </c>
      <c r="C984" s="2">
        <v>1</v>
      </c>
      <c r="D984" s="2">
        <v>14</v>
      </c>
      <c r="E984" t="b">
        <v>0</v>
      </c>
      <c r="F984" s="2">
        <v>0</v>
      </c>
      <c r="G984" s="2">
        <v>2</v>
      </c>
      <c r="H984" s="23">
        <v>0.4</v>
      </c>
      <c r="I984" s="25">
        <v>0.40910000000000002</v>
      </c>
      <c r="J984" s="23">
        <v>0.3</v>
      </c>
      <c r="K984" s="25">
        <v>0.41789999999999999</v>
      </c>
      <c r="L984" s="2">
        <v>51</v>
      </c>
      <c r="M984" s="2">
        <v>110</v>
      </c>
      <c r="N984" s="2">
        <v>161</v>
      </c>
    </row>
    <row r="985" spans="1:14" x14ac:dyDescent="0.3">
      <c r="A985" s="2">
        <v>984</v>
      </c>
      <c r="B985" s="1">
        <v>40587</v>
      </c>
      <c r="C985" s="2">
        <v>1</v>
      </c>
      <c r="D985" s="2">
        <v>15</v>
      </c>
      <c r="E985" t="b">
        <v>0</v>
      </c>
      <c r="F985" s="2">
        <v>0</v>
      </c>
      <c r="G985" s="2">
        <v>2</v>
      </c>
      <c r="H985" s="23">
        <v>0.4</v>
      </c>
      <c r="I985" s="25">
        <v>0.40910000000000002</v>
      </c>
      <c r="J985" s="23">
        <v>0.3</v>
      </c>
      <c r="K985" s="25">
        <v>0.29849999999999999</v>
      </c>
      <c r="L985" s="2">
        <v>40</v>
      </c>
      <c r="M985" s="2">
        <v>122</v>
      </c>
      <c r="N985" s="2">
        <v>162</v>
      </c>
    </row>
    <row r="986" spans="1:14" x14ac:dyDescent="0.3">
      <c r="A986" s="2">
        <v>985</v>
      </c>
      <c r="B986" s="1">
        <v>40587</v>
      </c>
      <c r="C986" s="2">
        <v>1</v>
      </c>
      <c r="D986" s="2">
        <v>16</v>
      </c>
      <c r="E986" t="b">
        <v>0</v>
      </c>
      <c r="F986" s="2">
        <v>0</v>
      </c>
      <c r="G986" s="2">
        <v>2</v>
      </c>
      <c r="H986" s="23">
        <v>0.42</v>
      </c>
      <c r="I986" s="25">
        <v>0.42420000000000002</v>
      </c>
      <c r="J986" s="23">
        <v>0.28000000000000003</v>
      </c>
      <c r="K986" s="25">
        <v>0.32840000000000003</v>
      </c>
      <c r="L986" s="2">
        <v>28</v>
      </c>
      <c r="M986" s="2">
        <v>106</v>
      </c>
      <c r="N986" s="2">
        <v>134</v>
      </c>
    </row>
    <row r="987" spans="1:14" x14ac:dyDescent="0.3">
      <c r="A987" s="2">
        <v>986</v>
      </c>
      <c r="B987" s="1">
        <v>40587</v>
      </c>
      <c r="C987" s="2">
        <v>1</v>
      </c>
      <c r="D987" s="2">
        <v>17</v>
      </c>
      <c r="E987" t="b">
        <v>0</v>
      </c>
      <c r="F987" s="2">
        <v>0</v>
      </c>
      <c r="G987" s="2">
        <v>1</v>
      </c>
      <c r="H987" s="23">
        <v>0.42</v>
      </c>
      <c r="I987" s="25">
        <v>0.42420000000000002</v>
      </c>
      <c r="J987" s="23">
        <v>0.28000000000000003</v>
      </c>
      <c r="K987" s="25">
        <v>0.32840000000000003</v>
      </c>
      <c r="L987" s="2">
        <v>30</v>
      </c>
      <c r="M987" s="2">
        <v>95</v>
      </c>
      <c r="N987" s="2">
        <v>125</v>
      </c>
    </row>
    <row r="988" spans="1:14" x14ac:dyDescent="0.3">
      <c r="A988" s="2">
        <v>987</v>
      </c>
      <c r="B988" s="1">
        <v>40587</v>
      </c>
      <c r="C988" s="2">
        <v>1</v>
      </c>
      <c r="D988" s="2">
        <v>18</v>
      </c>
      <c r="E988" t="b">
        <v>0</v>
      </c>
      <c r="F988" s="2">
        <v>0</v>
      </c>
      <c r="G988" s="2">
        <v>1</v>
      </c>
      <c r="H988" s="23">
        <v>0.4</v>
      </c>
      <c r="I988" s="25">
        <v>0.40910000000000002</v>
      </c>
      <c r="J988" s="23">
        <v>0.32</v>
      </c>
      <c r="K988" s="25">
        <v>0.29849999999999999</v>
      </c>
      <c r="L988" s="2">
        <v>17</v>
      </c>
      <c r="M988" s="2">
        <v>78</v>
      </c>
      <c r="N988" s="2">
        <v>95</v>
      </c>
    </row>
    <row r="989" spans="1:14" x14ac:dyDescent="0.3">
      <c r="A989" s="2">
        <v>988</v>
      </c>
      <c r="B989" s="1">
        <v>40587</v>
      </c>
      <c r="C989" s="2">
        <v>1</v>
      </c>
      <c r="D989" s="2">
        <v>19</v>
      </c>
      <c r="E989" t="b">
        <v>0</v>
      </c>
      <c r="F989" s="2">
        <v>0</v>
      </c>
      <c r="G989" s="2">
        <v>1</v>
      </c>
      <c r="H989" s="23">
        <v>0.4</v>
      </c>
      <c r="I989" s="25">
        <v>0.40910000000000002</v>
      </c>
      <c r="J989" s="23">
        <v>0.35</v>
      </c>
      <c r="K989" s="25">
        <v>0.28360000000000002</v>
      </c>
      <c r="L989" s="2">
        <v>11</v>
      </c>
      <c r="M989" s="2">
        <v>50</v>
      </c>
      <c r="N989" s="2">
        <v>61</v>
      </c>
    </row>
    <row r="990" spans="1:14" x14ac:dyDescent="0.3">
      <c r="A990" s="2">
        <v>989</v>
      </c>
      <c r="B990" s="1">
        <v>40587</v>
      </c>
      <c r="C990" s="2">
        <v>1</v>
      </c>
      <c r="D990" s="2">
        <v>20</v>
      </c>
      <c r="E990" t="b">
        <v>0</v>
      </c>
      <c r="F990" s="2">
        <v>0</v>
      </c>
      <c r="G990" s="2">
        <v>1</v>
      </c>
      <c r="H990" s="23">
        <v>0.4</v>
      </c>
      <c r="I990" s="25">
        <v>0.40910000000000002</v>
      </c>
      <c r="J990" s="23">
        <v>0.35</v>
      </c>
      <c r="K990" s="25">
        <v>0.32840000000000003</v>
      </c>
      <c r="L990" s="2">
        <v>15</v>
      </c>
      <c r="M990" s="2">
        <v>32</v>
      </c>
      <c r="N990" s="2">
        <v>47</v>
      </c>
    </row>
    <row r="991" spans="1:14" x14ac:dyDescent="0.3">
      <c r="A991" s="2">
        <v>990</v>
      </c>
      <c r="B991" s="1">
        <v>40587</v>
      </c>
      <c r="C991" s="2">
        <v>1</v>
      </c>
      <c r="D991" s="2">
        <v>21</v>
      </c>
      <c r="E991" t="b">
        <v>0</v>
      </c>
      <c r="F991" s="2">
        <v>0</v>
      </c>
      <c r="G991" s="2">
        <v>1</v>
      </c>
      <c r="H991" s="23">
        <v>0.4</v>
      </c>
      <c r="I991" s="25">
        <v>0.40910000000000002</v>
      </c>
      <c r="J991" s="23">
        <v>0.35</v>
      </c>
      <c r="K991" s="25">
        <v>0.35820000000000002</v>
      </c>
      <c r="L991" s="2">
        <v>6</v>
      </c>
      <c r="M991" s="2">
        <v>45</v>
      </c>
      <c r="N991" s="2">
        <v>51</v>
      </c>
    </row>
    <row r="992" spans="1:14" x14ac:dyDescent="0.3">
      <c r="A992" s="2">
        <v>991</v>
      </c>
      <c r="B992" s="1">
        <v>40587</v>
      </c>
      <c r="C992" s="2">
        <v>1</v>
      </c>
      <c r="D992" s="2">
        <v>22</v>
      </c>
      <c r="E992" t="b">
        <v>0</v>
      </c>
      <c r="F992" s="2">
        <v>0</v>
      </c>
      <c r="G992" s="2">
        <v>1</v>
      </c>
      <c r="H992" s="23">
        <v>0.4</v>
      </c>
      <c r="I992" s="25">
        <v>0.40910000000000002</v>
      </c>
      <c r="J992" s="23">
        <v>0.35</v>
      </c>
      <c r="K992" s="25">
        <v>0.29849999999999999</v>
      </c>
      <c r="L992" s="2">
        <v>5</v>
      </c>
      <c r="M992" s="2">
        <v>31</v>
      </c>
      <c r="N992" s="2">
        <v>36</v>
      </c>
    </row>
    <row r="993" spans="1:14" x14ac:dyDescent="0.3">
      <c r="A993" s="2">
        <v>992</v>
      </c>
      <c r="B993" s="1">
        <v>40587</v>
      </c>
      <c r="C993" s="2">
        <v>1</v>
      </c>
      <c r="D993" s="2">
        <v>23</v>
      </c>
      <c r="E993" t="b">
        <v>0</v>
      </c>
      <c r="F993" s="2">
        <v>0</v>
      </c>
      <c r="G993" s="2">
        <v>1</v>
      </c>
      <c r="H993" s="23">
        <v>0.4</v>
      </c>
      <c r="I993" s="25">
        <v>0.40910000000000002</v>
      </c>
      <c r="J993" s="23">
        <v>0.35</v>
      </c>
      <c r="K993" s="25">
        <v>0.35820000000000002</v>
      </c>
      <c r="L993" s="2">
        <v>3</v>
      </c>
      <c r="M993" s="2">
        <v>27</v>
      </c>
      <c r="N993" s="2">
        <v>30</v>
      </c>
    </row>
    <row r="994" spans="1:14" x14ac:dyDescent="0.3">
      <c r="A994" s="2">
        <v>993</v>
      </c>
      <c r="B994" s="1">
        <v>40588</v>
      </c>
      <c r="C994" s="2">
        <v>1</v>
      </c>
      <c r="D994" s="2">
        <v>0</v>
      </c>
      <c r="E994" t="b">
        <v>0</v>
      </c>
      <c r="F994" s="2">
        <v>1</v>
      </c>
      <c r="G994" s="2">
        <v>1</v>
      </c>
      <c r="H994" s="23">
        <v>0.38</v>
      </c>
      <c r="I994" s="25">
        <v>0.39389999999999997</v>
      </c>
      <c r="J994" s="23">
        <v>0.37</v>
      </c>
      <c r="K994" s="25">
        <v>0.35820000000000002</v>
      </c>
      <c r="L994" s="2">
        <v>3</v>
      </c>
      <c r="M994" s="2">
        <v>8</v>
      </c>
      <c r="N994" s="2">
        <v>11</v>
      </c>
    </row>
    <row r="995" spans="1:14" x14ac:dyDescent="0.3">
      <c r="A995" s="2">
        <v>994</v>
      </c>
      <c r="B995" s="1">
        <v>40588</v>
      </c>
      <c r="C995" s="2">
        <v>1</v>
      </c>
      <c r="D995" s="2">
        <v>1</v>
      </c>
      <c r="E995" t="b">
        <v>0</v>
      </c>
      <c r="F995" s="2">
        <v>1</v>
      </c>
      <c r="G995" s="2">
        <v>1</v>
      </c>
      <c r="H995" s="23">
        <v>0.38</v>
      </c>
      <c r="I995" s="25">
        <v>0.39389999999999997</v>
      </c>
      <c r="J995" s="23">
        <v>0.37</v>
      </c>
      <c r="K995" s="25">
        <v>0.35820000000000002</v>
      </c>
      <c r="L995" s="2">
        <v>1</v>
      </c>
      <c r="M995" s="2">
        <v>6</v>
      </c>
      <c r="N995" s="2">
        <v>7</v>
      </c>
    </row>
    <row r="996" spans="1:14" x14ac:dyDescent="0.3">
      <c r="A996" s="2">
        <v>995</v>
      </c>
      <c r="B996" s="1">
        <v>40588</v>
      </c>
      <c r="C996" s="2">
        <v>1</v>
      </c>
      <c r="D996" s="2">
        <v>2</v>
      </c>
      <c r="E996" t="b">
        <v>0</v>
      </c>
      <c r="F996" s="2">
        <v>1</v>
      </c>
      <c r="G996" s="2">
        <v>1</v>
      </c>
      <c r="H996" s="23">
        <v>0.36</v>
      </c>
      <c r="I996" s="25">
        <v>0.33329999999999999</v>
      </c>
      <c r="J996" s="23">
        <v>0.4</v>
      </c>
      <c r="K996" s="25">
        <v>0.29849999999999999</v>
      </c>
      <c r="L996" s="2">
        <v>0</v>
      </c>
      <c r="M996" s="2">
        <v>2</v>
      </c>
      <c r="N996" s="2">
        <v>2</v>
      </c>
    </row>
    <row r="997" spans="1:14" x14ac:dyDescent="0.3">
      <c r="A997" s="2">
        <v>996</v>
      </c>
      <c r="B997" s="1">
        <v>40588</v>
      </c>
      <c r="C997" s="2">
        <v>1</v>
      </c>
      <c r="D997" s="2">
        <v>3</v>
      </c>
      <c r="E997" t="b">
        <v>0</v>
      </c>
      <c r="F997" s="2">
        <v>1</v>
      </c>
      <c r="G997" s="2">
        <v>1</v>
      </c>
      <c r="H997" s="23">
        <v>0.34</v>
      </c>
      <c r="I997" s="25">
        <v>0.31819999999999998</v>
      </c>
      <c r="J997" s="23">
        <v>0.46</v>
      </c>
      <c r="K997" s="25">
        <v>0.22389999999999999</v>
      </c>
      <c r="L997" s="2">
        <v>1</v>
      </c>
      <c r="M997" s="2">
        <v>1</v>
      </c>
      <c r="N997" s="2">
        <v>2</v>
      </c>
    </row>
    <row r="998" spans="1:14" x14ac:dyDescent="0.3">
      <c r="A998" s="2">
        <v>997</v>
      </c>
      <c r="B998" s="1">
        <v>40588</v>
      </c>
      <c r="C998" s="2">
        <v>1</v>
      </c>
      <c r="D998" s="2">
        <v>4</v>
      </c>
      <c r="E998" t="b">
        <v>0</v>
      </c>
      <c r="F998" s="2">
        <v>1</v>
      </c>
      <c r="G998" s="2">
        <v>1</v>
      </c>
      <c r="H998" s="23">
        <v>0.32</v>
      </c>
      <c r="I998" s="25">
        <v>0.30299999999999999</v>
      </c>
      <c r="J998" s="23">
        <v>0.53</v>
      </c>
      <c r="K998" s="25">
        <v>0.28360000000000002</v>
      </c>
      <c r="L998" s="2">
        <v>0</v>
      </c>
      <c r="M998" s="2">
        <v>2</v>
      </c>
      <c r="N998" s="2">
        <v>2</v>
      </c>
    </row>
    <row r="999" spans="1:14" x14ac:dyDescent="0.3">
      <c r="A999" s="2">
        <v>998</v>
      </c>
      <c r="B999" s="1">
        <v>40588</v>
      </c>
      <c r="C999" s="2">
        <v>1</v>
      </c>
      <c r="D999" s="2">
        <v>5</v>
      </c>
      <c r="E999" t="b">
        <v>0</v>
      </c>
      <c r="F999" s="2">
        <v>1</v>
      </c>
      <c r="G999" s="2">
        <v>1</v>
      </c>
      <c r="H999" s="23">
        <v>0.32</v>
      </c>
      <c r="I999" s="25">
        <v>0.30299999999999999</v>
      </c>
      <c r="J999" s="23">
        <v>0.53</v>
      </c>
      <c r="K999" s="25">
        <v>0.28360000000000002</v>
      </c>
      <c r="L999" s="2">
        <v>0</v>
      </c>
      <c r="M999" s="2">
        <v>3</v>
      </c>
      <c r="N999" s="2">
        <v>3</v>
      </c>
    </row>
    <row r="1000" spans="1:14" x14ac:dyDescent="0.3">
      <c r="A1000" s="2">
        <v>999</v>
      </c>
      <c r="B1000" s="1">
        <v>40588</v>
      </c>
      <c r="C1000" s="2">
        <v>1</v>
      </c>
      <c r="D1000" s="2">
        <v>6</v>
      </c>
      <c r="E1000" t="b">
        <v>0</v>
      </c>
      <c r="F1000" s="2">
        <v>1</v>
      </c>
      <c r="G1000" s="2">
        <v>1</v>
      </c>
      <c r="H1000" s="23">
        <v>0.34</v>
      </c>
      <c r="I1000" s="25">
        <v>0.30299999999999999</v>
      </c>
      <c r="J1000" s="23">
        <v>0.46</v>
      </c>
      <c r="K1000" s="25">
        <v>0.29849999999999999</v>
      </c>
      <c r="L1000" s="2">
        <v>1</v>
      </c>
      <c r="M1000" s="2">
        <v>25</v>
      </c>
      <c r="N1000" s="2">
        <v>26</v>
      </c>
    </row>
    <row r="1001" spans="1:14" x14ac:dyDescent="0.3">
      <c r="A1001" s="2">
        <v>1000</v>
      </c>
      <c r="B1001" s="1">
        <v>40588</v>
      </c>
      <c r="C1001" s="2">
        <v>1</v>
      </c>
      <c r="D1001" s="2">
        <v>7</v>
      </c>
      <c r="E1001" t="b">
        <v>0</v>
      </c>
      <c r="F1001" s="2">
        <v>1</v>
      </c>
      <c r="G1001" s="2">
        <v>1</v>
      </c>
      <c r="H1001" s="23">
        <v>0.34</v>
      </c>
      <c r="I1001" s="25">
        <v>0.30299999999999999</v>
      </c>
      <c r="J1001" s="23">
        <v>0.46</v>
      </c>
      <c r="K1001" s="25">
        <v>0.29849999999999999</v>
      </c>
      <c r="L1001" s="2">
        <v>2</v>
      </c>
      <c r="M1001" s="2">
        <v>96</v>
      </c>
      <c r="N1001" s="2">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1"/>
  <sheetViews>
    <sheetView workbookViewId="0">
      <selection activeCell="A2" sqref="A2"/>
    </sheetView>
  </sheetViews>
  <sheetFormatPr defaultRowHeight="14.4" x14ac:dyDescent="0.3"/>
  <cols>
    <col min="1" max="1" width="9" style="2" bestFit="1" customWidth="1"/>
    <col min="2" max="2" width="10.33203125" style="1" bestFit="1" customWidth="1"/>
    <col min="3" max="3" width="9" style="2" bestFit="1" customWidth="1"/>
    <col min="4" max="4" width="7.21875" style="2" bestFit="1" customWidth="1"/>
    <col min="5" max="5" width="9.44140625" bestFit="1" customWidth="1"/>
    <col min="6" max="6" width="10.77734375" style="2" bestFit="1" customWidth="1"/>
    <col min="7" max="7" width="18.5546875" style="2" bestFit="1" customWidth="1"/>
    <col min="8" max="8" width="13.77734375" style="23" bestFit="1" customWidth="1"/>
    <col min="9" max="9" width="22.44140625" style="25" bestFit="1" customWidth="1"/>
    <col min="10" max="10" width="10.77734375" style="23" bestFit="1" customWidth="1"/>
    <col min="11" max="11" width="12.33203125" style="25" bestFit="1" customWidth="1"/>
    <col min="12" max="12" width="17.44140625" style="2" bestFit="1" customWidth="1"/>
    <col min="13" max="13" width="20.6640625" style="2" bestFit="1" customWidth="1"/>
    <col min="14" max="14" width="16.109375" style="2" bestFit="1" customWidth="1"/>
    <col min="15" max="15" width="14.5546875" customWidth="1"/>
    <col min="16" max="16" width="16.33203125" customWidth="1"/>
    <col min="17" max="17" width="20.21875" customWidth="1"/>
    <col min="18" max="18" width="13.77734375" customWidth="1"/>
    <col min="19" max="19" width="18.6640625" customWidth="1"/>
    <col min="20" max="20" width="15.33203125" customWidth="1"/>
    <col min="21" max="21" width="12.33203125" customWidth="1"/>
    <col min="22" max="22" width="10.88671875" customWidth="1"/>
    <col min="23" max="23" width="15.6640625" customWidth="1"/>
    <col min="24" max="24" width="18.33203125" style="24" customWidth="1"/>
    <col min="25" max="25" width="21.5546875" style="24" customWidth="1"/>
    <col min="26" max="26" width="11.77734375" customWidth="1"/>
    <col min="27" max="27" width="14.88671875" customWidth="1"/>
    <col min="28" max="28" width="10.5546875" customWidth="1"/>
    <col min="29" max="29" width="20.77734375" style="24" customWidth="1"/>
  </cols>
  <sheetData>
    <row r="1" spans="1:29" x14ac:dyDescent="0.3">
      <c r="A1" s="2" t="s">
        <v>0</v>
      </c>
      <c r="B1" s="1" t="s">
        <v>1</v>
      </c>
      <c r="C1" s="2" t="s">
        <v>2</v>
      </c>
      <c r="D1" s="2" t="s">
        <v>3</v>
      </c>
      <c r="E1" t="s">
        <v>4</v>
      </c>
      <c r="F1" s="2" t="s">
        <v>5</v>
      </c>
      <c r="G1" s="2" t="s">
        <v>6</v>
      </c>
      <c r="H1" s="23" t="s">
        <v>7</v>
      </c>
      <c r="I1" s="25" t="s">
        <v>8</v>
      </c>
      <c r="J1" s="23" t="s">
        <v>9</v>
      </c>
      <c r="K1" s="25" t="s">
        <v>10</v>
      </c>
      <c r="L1" s="2" t="s">
        <v>11</v>
      </c>
      <c r="M1" s="2" t="s">
        <v>12</v>
      </c>
      <c r="N1" s="2" t="s">
        <v>13</v>
      </c>
      <c r="O1" t="s">
        <v>14</v>
      </c>
      <c r="P1" t="s">
        <v>15</v>
      </c>
      <c r="Q1" t="s">
        <v>16</v>
      </c>
      <c r="R1" t="s">
        <v>17</v>
      </c>
      <c r="S1" t="s">
        <v>18</v>
      </c>
      <c r="T1" t="s">
        <v>19</v>
      </c>
      <c r="U1" t="s">
        <v>20</v>
      </c>
      <c r="V1" t="s">
        <v>21</v>
      </c>
      <c r="W1" t="s">
        <v>22</v>
      </c>
      <c r="X1" s="24" t="s">
        <v>23</v>
      </c>
      <c r="Y1" s="24" t="s">
        <v>24</v>
      </c>
      <c r="Z1" t="s">
        <v>25</v>
      </c>
      <c r="AA1" t="s">
        <v>26</v>
      </c>
      <c r="AB1" t="s">
        <v>27</v>
      </c>
      <c r="AC1" s="24" t="s">
        <v>28</v>
      </c>
    </row>
    <row r="2" spans="1:29" x14ac:dyDescent="0.3">
      <c r="A2" s="2">
        <v>1</v>
      </c>
      <c r="B2" s="1">
        <v>40544</v>
      </c>
      <c r="C2" s="2">
        <v>1</v>
      </c>
      <c r="D2" s="2">
        <v>0</v>
      </c>
      <c r="E2" t="b">
        <v>0</v>
      </c>
      <c r="F2" s="2">
        <v>6</v>
      </c>
      <c r="G2" s="2">
        <v>1</v>
      </c>
      <c r="H2" s="23">
        <v>0.24</v>
      </c>
      <c r="I2" s="25">
        <v>0.28789999999999999</v>
      </c>
      <c r="J2" s="23">
        <v>0.81</v>
      </c>
      <c r="K2" s="25">
        <v>0</v>
      </c>
      <c r="L2" s="2">
        <v>3</v>
      </c>
      <c r="M2" s="2">
        <v>13</v>
      </c>
      <c r="N2" s="2">
        <v>16</v>
      </c>
      <c r="O2" t="s">
        <v>29</v>
      </c>
      <c r="P2" t="s">
        <v>30</v>
      </c>
      <c r="Q2" t="s">
        <v>31</v>
      </c>
      <c r="R2" t="s">
        <v>32</v>
      </c>
      <c r="S2" t="s">
        <v>33</v>
      </c>
      <c r="T2" t="s">
        <v>34</v>
      </c>
      <c r="U2" t="s">
        <v>35</v>
      </c>
      <c r="V2" t="s">
        <v>36</v>
      </c>
      <c r="W2" t="s">
        <v>37</v>
      </c>
      <c r="X2" s="24">
        <v>18.75</v>
      </c>
      <c r="Y2" s="24">
        <v>81.25</v>
      </c>
      <c r="Z2" t="s">
        <v>38</v>
      </c>
      <c r="AA2" t="s">
        <v>39</v>
      </c>
      <c r="AB2" t="s">
        <v>40</v>
      </c>
      <c r="AC2" s="24">
        <v>4.7899999999999998E-2</v>
      </c>
    </row>
    <row r="3" spans="1:29" x14ac:dyDescent="0.3">
      <c r="A3" s="2">
        <v>2</v>
      </c>
      <c r="B3" s="1">
        <v>40544</v>
      </c>
      <c r="C3" s="2">
        <v>1</v>
      </c>
      <c r="D3" s="2">
        <v>1</v>
      </c>
      <c r="E3" t="b">
        <v>0</v>
      </c>
      <c r="F3" s="2">
        <v>6</v>
      </c>
      <c r="G3" s="2">
        <v>1</v>
      </c>
      <c r="H3" s="23">
        <v>0.22</v>
      </c>
      <c r="I3" s="25">
        <v>0.2727</v>
      </c>
      <c r="J3" s="23">
        <v>0.8</v>
      </c>
      <c r="K3" s="25">
        <v>0</v>
      </c>
      <c r="L3" s="2">
        <v>8</v>
      </c>
      <c r="M3" s="2">
        <v>32</v>
      </c>
      <c r="N3" s="2">
        <v>40</v>
      </c>
      <c r="O3" t="s">
        <v>29</v>
      </c>
      <c r="P3" t="s">
        <v>30</v>
      </c>
      <c r="Q3" t="s">
        <v>31</v>
      </c>
      <c r="R3" t="s">
        <v>32</v>
      </c>
      <c r="S3" t="s">
        <v>33</v>
      </c>
      <c r="T3" t="s">
        <v>34</v>
      </c>
      <c r="U3" t="s">
        <v>35</v>
      </c>
      <c r="V3" t="s">
        <v>36</v>
      </c>
      <c r="W3" t="s">
        <v>37</v>
      </c>
      <c r="X3" s="24">
        <v>20</v>
      </c>
      <c r="Y3" s="24">
        <v>80</v>
      </c>
      <c r="Z3" t="s">
        <v>38</v>
      </c>
      <c r="AA3" t="s">
        <v>39</v>
      </c>
      <c r="AB3" t="s">
        <v>40</v>
      </c>
      <c r="AC3" s="24">
        <v>5.2699999999999997E-2</v>
      </c>
    </row>
    <row r="4" spans="1:29" x14ac:dyDescent="0.3">
      <c r="A4" s="2">
        <v>3</v>
      </c>
      <c r="B4" s="1">
        <v>40544</v>
      </c>
      <c r="C4" s="2">
        <v>1</v>
      </c>
      <c r="D4" s="2">
        <v>2</v>
      </c>
      <c r="E4" t="b">
        <v>0</v>
      </c>
      <c r="F4" s="2">
        <v>6</v>
      </c>
      <c r="G4" s="2">
        <v>1</v>
      </c>
      <c r="H4" s="23">
        <v>0.22</v>
      </c>
      <c r="I4" s="25">
        <v>0.2727</v>
      </c>
      <c r="J4" s="23">
        <v>0.8</v>
      </c>
      <c r="K4" s="25">
        <v>0</v>
      </c>
      <c r="L4" s="2">
        <v>5</v>
      </c>
      <c r="M4" s="2">
        <v>27</v>
      </c>
      <c r="N4" s="2">
        <v>32</v>
      </c>
      <c r="O4" t="s">
        <v>29</v>
      </c>
      <c r="P4" t="s">
        <v>30</v>
      </c>
      <c r="Q4" t="s">
        <v>31</v>
      </c>
      <c r="R4" t="s">
        <v>32</v>
      </c>
      <c r="S4" t="s">
        <v>33</v>
      </c>
      <c r="T4" t="s">
        <v>34</v>
      </c>
      <c r="U4" t="s">
        <v>35</v>
      </c>
      <c r="V4" t="s">
        <v>36</v>
      </c>
      <c r="W4" t="s">
        <v>37</v>
      </c>
      <c r="X4" s="24">
        <v>15.625</v>
      </c>
      <c r="Y4" s="24">
        <v>84.375</v>
      </c>
      <c r="Z4" t="s">
        <v>38</v>
      </c>
      <c r="AA4" t="s">
        <v>39</v>
      </c>
      <c r="AB4" t="s">
        <v>40</v>
      </c>
      <c r="AC4" s="24">
        <v>5.2699999999999997E-2</v>
      </c>
    </row>
    <row r="5" spans="1:29" x14ac:dyDescent="0.3">
      <c r="A5" s="2">
        <v>4</v>
      </c>
      <c r="B5" s="1">
        <v>40544</v>
      </c>
      <c r="C5" s="2">
        <v>1</v>
      </c>
      <c r="D5" s="2">
        <v>3</v>
      </c>
      <c r="E5" t="b">
        <v>0</v>
      </c>
      <c r="F5" s="2">
        <v>6</v>
      </c>
      <c r="G5" s="2">
        <v>1</v>
      </c>
      <c r="H5" s="23">
        <v>0.24</v>
      </c>
      <c r="I5" s="25">
        <v>0.28789999999999999</v>
      </c>
      <c r="J5" s="23">
        <v>0.75</v>
      </c>
      <c r="K5" s="25">
        <v>0</v>
      </c>
      <c r="L5" s="2">
        <v>3</v>
      </c>
      <c r="M5" s="2">
        <v>10</v>
      </c>
      <c r="N5" s="2">
        <v>13</v>
      </c>
      <c r="O5" t="s">
        <v>29</v>
      </c>
      <c r="P5" t="s">
        <v>30</v>
      </c>
      <c r="Q5" t="s">
        <v>31</v>
      </c>
      <c r="R5" t="s">
        <v>32</v>
      </c>
      <c r="S5" t="s">
        <v>33</v>
      </c>
      <c r="T5" t="s">
        <v>34</v>
      </c>
      <c r="U5" t="s">
        <v>35</v>
      </c>
      <c r="V5" t="s">
        <v>36</v>
      </c>
      <c r="W5" t="s">
        <v>37</v>
      </c>
      <c r="X5" s="24">
        <v>23.07692307692308</v>
      </c>
      <c r="Y5" s="24">
        <v>76.923076923076934</v>
      </c>
      <c r="Z5" t="s">
        <v>38</v>
      </c>
      <c r="AA5" t="s">
        <v>39</v>
      </c>
      <c r="AB5" t="s">
        <v>40</v>
      </c>
      <c r="AC5" s="24">
        <v>4.7899999999999998E-2</v>
      </c>
    </row>
    <row r="6" spans="1:29" x14ac:dyDescent="0.3">
      <c r="A6" s="2">
        <v>5</v>
      </c>
      <c r="B6" s="1">
        <v>40544</v>
      </c>
      <c r="C6" s="2">
        <v>1</v>
      </c>
      <c r="D6" s="2">
        <v>4</v>
      </c>
      <c r="E6" t="b">
        <v>0</v>
      </c>
      <c r="F6" s="2">
        <v>6</v>
      </c>
      <c r="G6" s="2">
        <v>1</v>
      </c>
      <c r="H6" s="23">
        <v>0.24</v>
      </c>
      <c r="I6" s="25">
        <v>0.28789999999999999</v>
      </c>
      <c r="J6" s="23">
        <v>0.75</v>
      </c>
      <c r="K6" s="25">
        <v>0</v>
      </c>
      <c r="L6" s="2">
        <v>0</v>
      </c>
      <c r="M6" s="2">
        <v>1</v>
      </c>
      <c r="N6" s="2">
        <v>1</v>
      </c>
      <c r="O6" t="s">
        <v>29</v>
      </c>
      <c r="P6" t="s">
        <v>30</v>
      </c>
      <c r="Q6" t="s">
        <v>31</v>
      </c>
      <c r="R6" t="s">
        <v>32</v>
      </c>
      <c r="S6" t="s">
        <v>33</v>
      </c>
      <c r="T6" t="s">
        <v>34</v>
      </c>
      <c r="U6" t="s">
        <v>35</v>
      </c>
      <c r="V6" t="s">
        <v>36</v>
      </c>
      <c r="W6" t="s">
        <v>37</v>
      </c>
      <c r="X6" s="24">
        <v>0</v>
      </c>
      <c r="Y6" s="24">
        <v>100</v>
      </c>
      <c r="Z6" t="s">
        <v>38</v>
      </c>
      <c r="AA6" t="s">
        <v>39</v>
      </c>
      <c r="AB6" t="s">
        <v>40</v>
      </c>
      <c r="AC6" s="24">
        <v>4.7899999999999998E-2</v>
      </c>
    </row>
    <row r="7" spans="1:29" x14ac:dyDescent="0.3">
      <c r="A7" s="2">
        <v>6</v>
      </c>
      <c r="B7" s="1">
        <v>40544</v>
      </c>
      <c r="C7" s="2">
        <v>1</v>
      </c>
      <c r="D7" s="2">
        <v>5</v>
      </c>
      <c r="E7" t="b">
        <v>0</v>
      </c>
      <c r="F7" s="2">
        <v>6</v>
      </c>
      <c r="G7" s="2">
        <v>2</v>
      </c>
      <c r="H7" s="23">
        <v>0.24</v>
      </c>
      <c r="I7" s="25">
        <v>0.2576</v>
      </c>
      <c r="J7" s="23">
        <v>0.75</v>
      </c>
      <c r="K7" s="25">
        <v>8.9599999999999999E-2</v>
      </c>
      <c r="L7" s="2">
        <v>0</v>
      </c>
      <c r="M7" s="2">
        <v>1</v>
      </c>
      <c r="N7" s="2">
        <v>1</v>
      </c>
      <c r="O7" t="s">
        <v>29</v>
      </c>
      <c r="P7" t="s">
        <v>30</v>
      </c>
      <c r="Q7" t="s">
        <v>41</v>
      </c>
      <c r="R7" t="s">
        <v>32</v>
      </c>
      <c r="S7" t="s">
        <v>33</v>
      </c>
      <c r="T7" t="s">
        <v>34</v>
      </c>
      <c r="U7" t="s">
        <v>35</v>
      </c>
      <c r="V7" t="s">
        <v>36</v>
      </c>
      <c r="W7" t="s">
        <v>37</v>
      </c>
      <c r="X7" s="24">
        <v>0</v>
      </c>
      <c r="Y7" s="24">
        <v>100</v>
      </c>
      <c r="Z7" t="s">
        <v>38</v>
      </c>
      <c r="AA7" t="s">
        <v>39</v>
      </c>
      <c r="AB7" t="s">
        <v>40</v>
      </c>
      <c r="AC7" s="24">
        <v>1.7600000000000001E-2</v>
      </c>
    </row>
    <row r="8" spans="1:29" x14ac:dyDescent="0.3">
      <c r="A8" s="2">
        <v>7</v>
      </c>
      <c r="B8" s="1">
        <v>40544</v>
      </c>
      <c r="C8" s="2">
        <v>1</v>
      </c>
      <c r="D8" s="2">
        <v>6</v>
      </c>
      <c r="E8" t="b">
        <v>0</v>
      </c>
      <c r="F8" s="2">
        <v>6</v>
      </c>
      <c r="G8" s="2">
        <v>1</v>
      </c>
      <c r="H8" s="23">
        <v>0.22</v>
      </c>
      <c r="I8" s="25">
        <v>0.2727</v>
      </c>
      <c r="J8" s="23">
        <v>0.8</v>
      </c>
      <c r="K8" s="25">
        <v>0</v>
      </c>
      <c r="L8" s="2">
        <v>2</v>
      </c>
      <c r="M8" s="2">
        <v>0</v>
      </c>
      <c r="N8" s="2">
        <v>2</v>
      </c>
      <c r="O8" t="s">
        <v>29</v>
      </c>
      <c r="P8" t="s">
        <v>30</v>
      </c>
      <c r="Q8" t="s">
        <v>31</v>
      </c>
      <c r="R8" t="s">
        <v>42</v>
      </c>
      <c r="S8" t="s">
        <v>33</v>
      </c>
      <c r="T8" t="s">
        <v>34</v>
      </c>
      <c r="U8" t="s">
        <v>35</v>
      </c>
      <c r="V8" t="s">
        <v>36</v>
      </c>
      <c r="W8" t="s">
        <v>43</v>
      </c>
      <c r="X8" s="24">
        <v>100</v>
      </c>
      <c r="Y8" s="24">
        <v>0</v>
      </c>
      <c r="Z8" t="s">
        <v>38</v>
      </c>
      <c r="AA8" t="s">
        <v>39</v>
      </c>
      <c r="AB8" t="s">
        <v>40</v>
      </c>
      <c r="AC8" s="24">
        <v>5.2699999999999997E-2</v>
      </c>
    </row>
    <row r="9" spans="1:29" x14ac:dyDescent="0.3">
      <c r="A9" s="2">
        <v>8</v>
      </c>
      <c r="B9" s="1">
        <v>40544</v>
      </c>
      <c r="C9" s="2">
        <v>1</v>
      </c>
      <c r="D9" s="2">
        <v>7</v>
      </c>
      <c r="E9" t="b">
        <v>0</v>
      </c>
      <c r="F9" s="2">
        <v>6</v>
      </c>
      <c r="G9" s="2">
        <v>1</v>
      </c>
      <c r="H9" s="23">
        <v>0.2</v>
      </c>
      <c r="I9" s="25">
        <v>0.2576</v>
      </c>
      <c r="J9" s="23">
        <v>0.86</v>
      </c>
      <c r="K9" s="25">
        <v>0</v>
      </c>
      <c r="L9" s="2">
        <v>1</v>
      </c>
      <c r="M9" s="2">
        <v>2</v>
      </c>
      <c r="N9" s="2">
        <v>3</v>
      </c>
      <c r="O9" t="s">
        <v>29</v>
      </c>
      <c r="P9" t="s">
        <v>30</v>
      </c>
      <c r="Q9" t="s">
        <v>31</v>
      </c>
      <c r="R9" t="s">
        <v>42</v>
      </c>
      <c r="S9" t="s">
        <v>33</v>
      </c>
      <c r="T9" t="s">
        <v>34</v>
      </c>
      <c r="U9" t="s">
        <v>35</v>
      </c>
      <c r="V9" t="s">
        <v>36</v>
      </c>
      <c r="W9" t="s">
        <v>37</v>
      </c>
      <c r="X9" s="24">
        <v>33.333333333333329</v>
      </c>
      <c r="Y9" s="24">
        <v>66.666666666666657</v>
      </c>
      <c r="Z9" t="s">
        <v>40</v>
      </c>
      <c r="AA9" t="s">
        <v>39</v>
      </c>
      <c r="AB9" t="s">
        <v>40</v>
      </c>
      <c r="AC9" s="24">
        <v>5.7599999999999978E-2</v>
      </c>
    </row>
    <row r="10" spans="1:29" x14ac:dyDescent="0.3">
      <c r="A10" s="2">
        <v>9</v>
      </c>
      <c r="B10" s="1">
        <v>40544</v>
      </c>
      <c r="C10" s="2">
        <v>1</v>
      </c>
      <c r="D10" s="2">
        <v>8</v>
      </c>
      <c r="E10" t="b">
        <v>0</v>
      </c>
      <c r="F10" s="2">
        <v>6</v>
      </c>
      <c r="G10" s="2">
        <v>1</v>
      </c>
      <c r="H10" s="23">
        <v>0.24</v>
      </c>
      <c r="I10" s="25">
        <v>0.2576</v>
      </c>
      <c r="J10" s="23">
        <v>0.75</v>
      </c>
      <c r="K10" s="25">
        <v>0</v>
      </c>
      <c r="L10" s="2">
        <v>1</v>
      </c>
      <c r="M10" s="2">
        <v>7</v>
      </c>
      <c r="N10" s="2">
        <v>8</v>
      </c>
      <c r="O10" t="s">
        <v>29</v>
      </c>
      <c r="P10" t="s">
        <v>30</v>
      </c>
      <c r="Q10" t="s">
        <v>31</v>
      </c>
      <c r="R10" t="s">
        <v>42</v>
      </c>
      <c r="S10" t="s">
        <v>33</v>
      </c>
      <c r="T10" t="s">
        <v>34</v>
      </c>
      <c r="U10" t="s">
        <v>35</v>
      </c>
      <c r="V10" t="s">
        <v>36</v>
      </c>
      <c r="W10" t="s">
        <v>37</v>
      </c>
      <c r="X10" s="24">
        <v>12.5</v>
      </c>
      <c r="Y10" s="24">
        <v>87.5</v>
      </c>
      <c r="Z10" t="s">
        <v>40</v>
      </c>
      <c r="AA10" t="s">
        <v>39</v>
      </c>
      <c r="AB10" t="s">
        <v>40</v>
      </c>
      <c r="AC10" s="24">
        <v>1.7600000000000001E-2</v>
      </c>
    </row>
    <row r="11" spans="1:29" x14ac:dyDescent="0.3">
      <c r="A11" s="2">
        <v>10</v>
      </c>
      <c r="B11" s="1">
        <v>40544</v>
      </c>
      <c r="C11" s="2">
        <v>1</v>
      </c>
      <c r="D11" s="2">
        <v>9</v>
      </c>
      <c r="E11" t="b">
        <v>0</v>
      </c>
      <c r="F11" s="2">
        <v>6</v>
      </c>
      <c r="G11" s="2">
        <v>1</v>
      </c>
      <c r="H11" s="23">
        <v>0.32</v>
      </c>
      <c r="I11" s="25">
        <v>0.34849999999999998</v>
      </c>
      <c r="J11" s="23">
        <v>0.76</v>
      </c>
      <c r="K11" s="25">
        <v>0</v>
      </c>
      <c r="L11" s="2">
        <v>8</v>
      </c>
      <c r="M11" s="2">
        <v>6</v>
      </c>
      <c r="N11" s="2">
        <v>14</v>
      </c>
      <c r="O11" t="s">
        <v>29</v>
      </c>
      <c r="P11" t="s">
        <v>30</v>
      </c>
      <c r="Q11" t="s">
        <v>31</v>
      </c>
      <c r="R11" t="s">
        <v>42</v>
      </c>
      <c r="S11" t="s">
        <v>44</v>
      </c>
      <c r="T11" t="s">
        <v>34</v>
      </c>
      <c r="U11" t="s">
        <v>35</v>
      </c>
      <c r="V11" t="s">
        <v>36</v>
      </c>
      <c r="W11" t="s">
        <v>43</v>
      </c>
      <c r="X11" s="24">
        <v>57.142857142857139</v>
      </c>
      <c r="Y11" s="24">
        <v>42.857142857142847</v>
      </c>
      <c r="Z11" t="s">
        <v>40</v>
      </c>
      <c r="AA11" t="s">
        <v>39</v>
      </c>
      <c r="AB11" t="s">
        <v>40</v>
      </c>
      <c r="AC11" s="24">
        <v>2.849999999999997E-2</v>
      </c>
    </row>
    <row r="12" spans="1:29" x14ac:dyDescent="0.3">
      <c r="A12" s="2">
        <v>11</v>
      </c>
      <c r="B12" s="1">
        <v>40544</v>
      </c>
      <c r="C12" s="2">
        <v>1</v>
      </c>
      <c r="D12" s="2">
        <v>10</v>
      </c>
      <c r="E12" t="b">
        <v>0</v>
      </c>
      <c r="F12" s="2">
        <v>6</v>
      </c>
      <c r="G12" s="2">
        <v>1</v>
      </c>
      <c r="H12" s="23">
        <v>0.38</v>
      </c>
      <c r="I12" s="25">
        <v>0.39389999999999997</v>
      </c>
      <c r="J12" s="23">
        <v>0.76</v>
      </c>
      <c r="K12" s="25">
        <v>0.25369999999999998</v>
      </c>
      <c r="L12" s="2">
        <v>12</v>
      </c>
      <c r="M12" s="2">
        <v>24</v>
      </c>
      <c r="N12" s="2">
        <v>36</v>
      </c>
      <c r="O12" t="s">
        <v>29</v>
      </c>
      <c r="P12" t="s">
        <v>30</v>
      </c>
      <c r="Q12" t="s">
        <v>31</v>
      </c>
      <c r="R12" t="s">
        <v>42</v>
      </c>
      <c r="S12" t="s">
        <v>45</v>
      </c>
      <c r="T12" t="s">
        <v>34</v>
      </c>
      <c r="U12" t="s">
        <v>46</v>
      </c>
      <c r="V12" t="s">
        <v>36</v>
      </c>
      <c r="W12" t="s">
        <v>37</v>
      </c>
      <c r="X12" s="24">
        <v>33.333333333333329</v>
      </c>
      <c r="Y12" s="24">
        <v>66.666666666666657</v>
      </c>
      <c r="Z12" t="s">
        <v>38</v>
      </c>
      <c r="AA12" t="s">
        <v>39</v>
      </c>
      <c r="AB12" t="s">
        <v>40</v>
      </c>
      <c r="AC12" s="24">
        <v>1.389999999999997E-2</v>
      </c>
    </row>
    <row r="13" spans="1:29" x14ac:dyDescent="0.3">
      <c r="A13" s="2">
        <v>12</v>
      </c>
      <c r="B13" s="1">
        <v>40544</v>
      </c>
      <c r="C13" s="2">
        <v>1</v>
      </c>
      <c r="D13" s="2">
        <v>11</v>
      </c>
      <c r="E13" t="b">
        <v>0</v>
      </c>
      <c r="F13" s="2">
        <v>6</v>
      </c>
      <c r="G13" s="2">
        <v>1</v>
      </c>
      <c r="H13" s="23">
        <v>0.36</v>
      </c>
      <c r="I13" s="25">
        <v>0.33329999999999999</v>
      </c>
      <c r="J13" s="23">
        <v>0.81</v>
      </c>
      <c r="K13" s="25">
        <v>0.28360000000000002</v>
      </c>
      <c r="L13" s="2">
        <v>26</v>
      </c>
      <c r="M13" s="2">
        <v>30</v>
      </c>
      <c r="N13" s="2">
        <v>56</v>
      </c>
      <c r="O13" t="s">
        <v>29</v>
      </c>
      <c r="P13" t="s">
        <v>30</v>
      </c>
      <c r="Q13" t="s">
        <v>31</v>
      </c>
      <c r="R13" t="s">
        <v>42</v>
      </c>
      <c r="S13" t="s">
        <v>45</v>
      </c>
      <c r="T13" t="s">
        <v>34</v>
      </c>
      <c r="U13" t="s">
        <v>46</v>
      </c>
      <c r="V13" t="s">
        <v>36</v>
      </c>
      <c r="W13" t="s">
        <v>37</v>
      </c>
      <c r="X13" s="24">
        <v>46.428571428571431</v>
      </c>
      <c r="Y13" s="24">
        <v>53.571428571428569</v>
      </c>
      <c r="Z13" t="s">
        <v>38</v>
      </c>
      <c r="AA13" t="s">
        <v>39</v>
      </c>
      <c r="AB13" t="s">
        <v>40</v>
      </c>
      <c r="AC13" s="24">
        <v>-2.6700000000000002E-2</v>
      </c>
    </row>
    <row r="14" spans="1:29" x14ac:dyDescent="0.3">
      <c r="A14" s="2">
        <v>13</v>
      </c>
      <c r="B14" s="1">
        <v>40544</v>
      </c>
      <c r="C14" s="2">
        <v>1</v>
      </c>
      <c r="D14" s="2">
        <v>12</v>
      </c>
      <c r="E14" t="b">
        <v>0</v>
      </c>
      <c r="F14" s="2">
        <v>6</v>
      </c>
      <c r="G14" s="2">
        <v>1</v>
      </c>
      <c r="H14" s="23">
        <v>0.42</v>
      </c>
      <c r="I14" s="25">
        <v>0.42420000000000002</v>
      </c>
      <c r="J14" s="23">
        <v>0.77</v>
      </c>
      <c r="K14" s="25">
        <v>0.28360000000000002</v>
      </c>
      <c r="L14" s="2">
        <v>29</v>
      </c>
      <c r="M14" s="2">
        <v>55</v>
      </c>
      <c r="N14" s="2">
        <v>84</v>
      </c>
      <c r="O14" t="s">
        <v>29</v>
      </c>
      <c r="P14" t="s">
        <v>30</v>
      </c>
      <c r="Q14" t="s">
        <v>31</v>
      </c>
      <c r="R14" t="s">
        <v>47</v>
      </c>
      <c r="S14" t="s">
        <v>45</v>
      </c>
      <c r="T14" t="s">
        <v>34</v>
      </c>
      <c r="U14" t="s">
        <v>46</v>
      </c>
      <c r="V14" t="s">
        <v>36</v>
      </c>
      <c r="W14" t="s">
        <v>37</v>
      </c>
      <c r="X14" s="24">
        <v>34.523809523809533</v>
      </c>
      <c r="Y14" s="24">
        <v>65.476190476190482</v>
      </c>
      <c r="Z14" t="s">
        <v>38</v>
      </c>
      <c r="AA14" t="s">
        <v>39</v>
      </c>
      <c r="AB14" t="s">
        <v>40</v>
      </c>
      <c r="AC14" s="24">
        <v>4.200000000000037E-3</v>
      </c>
    </row>
    <row r="15" spans="1:29" x14ac:dyDescent="0.3">
      <c r="A15" s="2">
        <v>14</v>
      </c>
      <c r="B15" s="1">
        <v>40544</v>
      </c>
      <c r="C15" s="2">
        <v>1</v>
      </c>
      <c r="D15" s="2">
        <v>13</v>
      </c>
      <c r="E15" t="b">
        <v>0</v>
      </c>
      <c r="F15" s="2">
        <v>6</v>
      </c>
      <c r="G15" s="2">
        <v>2</v>
      </c>
      <c r="H15" s="23">
        <v>0.46</v>
      </c>
      <c r="I15" s="25">
        <v>0.45450000000000002</v>
      </c>
      <c r="J15" s="23">
        <v>0.72</v>
      </c>
      <c r="K15" s="25">
        <v>0.29849999999999999</v>
      </c>
      <c r="L15" s="2">
        <v>47</v>
      </c>
      <c r="M15" s="2">
        <v>47</v>
      </c>
      <c r="N15" s="2">
        <v>94</v>
      </c>
      <c r="O15" t="s">
        <v>29</v>
      </c>
      <c r="P15" t="s">
        <v>30</v>
      </c>
      <c r="Q15" t="s">
        <v>41</v>
      </c>
      <c r="R15" t="s">
        <v>47</v>
      </c>
      <c r="S15" t="s">
        <v>48</v>
      </c>
      <c r="T15" t="s">
        <v>34</v>
      </c>
      <c r="U15" t="s">
        <v>46</v>
      </c>
      <c r="V15" t="s">
        <v>36</v>
      </c>
      <c r="W15" t="s">
        <v>37</v>
      </c>
      <c r="X15" s="24">
        <v>50</v>
      </c>
      <c r="Y15" s="24">
        <v>50</v>
      </c>
      <c r="Z15" t="s">
        <v>38</v>
      </c>
      <c r="AA15" t="s">
        <v>39</v>
      </c>
      <c r="AB15" t="s">
        <v>40</v>
      </c>
      <c r="AC15" s="24">
        <v>-5.5000000000000049E-3</v>
      </c>
    </row>
    <row r="16" spans="1:29" x14ac:dyDescent="0.3">
      <c r="A16" s="2">
        <v>15</v>
      </c>
      <c r="B16" s="1">
        <v>40544</v>
      </c>
      <c r="C16" s="2">
        <v>1</v>
      </c>
      <c r="D16" s="2">
        <v>14</v>
      </c>
      <c r="E16" t="b">
        <v>0</v>
      </c>
      <c r="F16" s="2">
        <v>6</v>
      </c>
      <c r="G16" s="2">
        <v>2</v>
      </c>
      <c r="H16" s="23">
        <v>0.46</v>
      </c>
      <c r="I16" s="25">
        <v>0.45450000000000002</v>
      </c>
      <c r="J16" s="23">
        <v>0.72</v>
      </c>
      <c r="K16" s="25">
        <v>0.28360000000000002</v>
      </c>
      <c r="L16" s="2">
        <v>35</v>
      </c>
      <c r="M16" s="2">
        <v>71</v>
      </c>
      <c r="N16" s="2">
        <v>106</v>
      </c>
      <c r="O16" t="s">
        <v>29</v>
      </c>
      <c r="P16" t="s">
        <v>30</v>
      </c>
      <c r="Q16" t="s">
        <v>41</v>
      </c>
      <c r="R16" t="s">
        <v>47</v>
      </c>
      <c r="S16" t="s">
        <v>48</v>
      </c>
      <c r="T16" t="s">
        <v>34</v>
      </c>
      <c r="U16" t="s">
        <v>46</v>
      </c>
      <c r="V16" t="s">
        <v>36</v>
      </c>
      <c r="W16" t="s">
        <v>37</v>
      </c>
      <c r="X16" s="24">
        <v>33.018867924528301</v>
      </c>
      <c r="Y16" s="24">
        <v>66.981132075471692</v>
      </c>
      <c r="Z16" t="s">
        <v>38</v>
      </c>
      <c r="AA16" t="s">
        <v>49</v>
      </c>
      <c r="AB16" t="s">
        <v>40</v>
      </c>
      <c r="AC16" s="24">
        <v>-5.5000000000000049E-3</v>
      </c>
    </row>
    <row r="17" spans="1:29" x14ac:dyDescent="0.3">
      <c r="A17" s="2">
        <v>16</v>
      </c>
      <c r="B17" s="1">
        <v>40544</v>
      </c>
      <c r="C17" s="2">
        <v>1</v>
      </c>
      <c r="D17" s="2">
        <v>15</v>
      </c>
      <c r="E17" t="b">
        <v>0</v>
      </c>
      <c r="F17" s="2">
        <v>6</v>
      </c>
      <c r="G17" s="2">
        <v>2</v>
      </c>
      <c r="H17" s="23">
        <v>0.44</v>
      </c>
      <c r="I17" s="25">
        <v>0.43940000000000001</v>
      </c>
      <c r="J17" s="23">
        <v>0.77</v>
      </c>
      <c r="K17" s="25">
        <v>0.29849999999999999</v>
      </c>
      <c r="L17" s="2">
        <v>40</v>
      </c>
      <c r="M17" s="2">
        <v>70</v>
      </c>
      <c r="N17" s="2">
        <v>110</v>
      </c>
      <c r="O17" t="s">
        <v>29</v>
      </c>
      <c r="P17" t="s">
        <v>30</v>
      </c>
      <c r="Q17" t="s">
        <v>41</v>
      </c>
      <c r="R17" t="s">
        <v>47</v>
      </c>
      <c r="S17" t="s">
        <v>45</v>
      </c>
      <c r="T17" t="s">
        <v>34</v>
      </c>
      <c r="U17" t="s">
        <v>46</v>
      </c>
      <c r="V17" t="s">
        <v>36</v>
      </c>
      <c r="W17" t="s">
        <v>37</v>
      </c>
      <c r="X17" s="24">
        <v>36.363636363636367</v>
      </c>
      <c r="Y17" s="24">
        <v>63.636363636363633</v>
      </c>
      <c r="Z17" t="s">
        <v>38</v>
      </c>
      <c r="AA17" t="s">
        <v>49</v>
      </c>
      <c r="AB17" t="s">
        <v>40</v>
      </c>
      <c r="AC17" s="24">
        <v>-5.9999999999998943E-4</v>
      </c>
    </row>
    <row r="18" spans="1:29" x14ac:dyDescent="0.3">
      <c r="A18" s="2">
        <v>17</v>
      </c>
      <c r="B18" s="1">
        <v>40544</v>
      </c>
      <c r="C18" s="2">
        <v>1</v>
      </c>
      <c r="D18" s="2">
        <v>16</v>
      </c>
      <c r="E18" t="b">
        <v>0</v>
      </c>
      <c r="F18" s="2">
        <v>6</v>
      </c>
      <c r="G18" s="2">
        <v>2</v>
      </c>
      <c r="H18" s="23">
        <v>0.42</v>
      </c>
      <c r="I18" s="25">
        <v>0.42420000000000002</v>
      </c>
      <c r="J18" s="23">
        <v>0.82</v>
      </c>
      <c r="K18" s="25">
        <v>0.29849999999999999</v>
      </c>
      <c r="L18" s="2">
        <v>41</v>
      </c>
      <c r="M18" s="2">
        <v>52</v>
      </c>
      <c r="N18" s="2">
        <v>93</v>
      </c>
      <c r="O18" t="s">
        <v>29</v>
      </c>
      <c r="P18" t="s">
        <v>30</v>
      </c>
      <c r="Q18" t="s">
        <v>41</v>
      </c>
      <c r="R18" t="s">
        <v>47</v>
      </c>
      <c r="S18" t="s">
        <v>45</v>
      </c>
      <c r="T18" t="s">
        <v>34</v>
      </c>
      <c r="U18" t="s">
        <v>46</v>
      </c>
      <c r="V18" t="s">
        <v>36</v>
      </c>
      <c r="W18" t="s">
        <v>37</v>
      </c>
      <c r="X18" s="24">
        <v>44.086021505376337</v>
      </c>
      <c r="Y18" s="24">
        <v>55.913978494623649</v>
      </c>
      <c r="Z18" t="s">
        <v>38</v>
      </c>
      <c r="AA18" t="s">
        <v>39</v>
      </c>
      <c r="AB18" t="s">
        <v>40</v>
      </c>
      <c r="AC18" s="24">
        <v>4.200000000000037E-3</v>
      </c>
    </row>
    <row r="19" spans="1:29" x14ac:dyDescent="0.3">
      <c r="A19" s="2">
        <v>18</v>
      </c>
      <c r="B19" s="1">
        <v>40544</v>
      </c>
      <c r="C19" s="2">
        <v>1</v>
      </c>
      <c r="D19" s="2">
        <v>17</v>
      </c>
      <c r="E19" t="b">
        <v>0</v>
      </c>
      <c r="F19" s="2">
        <v>6</v>
      </c>
      <c r="G19" s="2">
        <v>2</v>
      </c>
      <c r="H19" s="23">
        <v>0.44</v>
      </c>
      <c r="I19" s="25">
        <v>0.42420000000000002</v>
      </c>
      <c r="J19" s="23">
        <v>0.82</v>
      </c>
      <c r="K19" s="25">
        <v>0.28360000000000002</v>
      </c>
      <c r="L19" s="2">
        <v>15</v>
      </c>
      <c r="M19" s="2">
        <v>52</v>
      </c>
      <c r="N19" s="2">
        <v>67</v>
      </c>
      <c r="O19" t="s">
        <v>29</v>
      </c>
      <c r="P19" t="s">
        <v>30</v>
      </c>
      <c r="Q19" t="s">
        <v>41</v>
      </c>
      <c r="R19" t="s">
        <v>50</v>
      </c>
      <c r="S19" t="s">
        <v>45</v>
      </c>
      <c r="T19" t="s">
        <v>34</v>
      </c>
      <c r="U19" t="s">
        <v>46</v>
      </c>
      <c r="V19" t="s">
        <v>36</v>
      </c>
      <c r="W19" t="s">
        <v>37</v>
      </c>
      <c r="X19" s="24">
        <v>22.388059701492541</v>
      </c>
      <c r="Y19" s="24">
        <v>77.611940298507463</v>
      </c>
      <c r="Z19" t="s">
        <v>40</v>
      </c>
      <c r="AA19" t="s">
        <v>39</v>
      </c>
      <c r="AB19" t="s">
        <v>40</v>
      </c>
      <c r="AC19" s="24">
        <v>-1.5799999999999981E-2</v>
      </c>
    </row>
    <row r="20" spans="1:29" x14ac:dyDescent="0.3">
      <c r="A20" s="2">
        <v>19</v>
      </c>
      <c r="B20" s="1">
        <v>40544</v>
      </c>
      <c r="C20" s="2">
        <v>1</v>
      </c>
      <c r="D20" s="2">
        <v>18</v>
      </c>
      <c r="E20" t="b">
        <v>0</v>
      </c>
      <c r="F20" s="2">
        <v>6</v>
      </c>
      <c r="G20" s="2">
        <v>3</v>
      </c>
      <c r="H20" s="23">
        <v>0.42</v>
      </c>
      <c r="I20" s="25">
        <v>0.42420000000000002</v>
      </c>
      <c r="J20" s="23">
        <v>0.88</v>
      </c>
      <c r="K20" s="25">
        <v>0.25369999999999998</v>
      </c>
      <c r="L20" s="2">
        <v>9</v>
      </c>
      <c r="M20" s="2">
        <v>26</v>
      </c>
      <c r="N20" s="2">
        <v>35</v>
      </c>
      <c r="O20" t="s">
        <v>29</v>
      </c>
      <c r="P20" t="s">
        <v>30</v>
      </c>
      <c r="Q20" t="s">
        <v>51</v>
      </c>
      <c r="R20" t="s">
        <v>50</v>
      </c>
      <c r="S20" t="s">
        <v>45</v>
      </c>
      <c r="T20" t="s">
        <v>34</v>
      </c>
      <c r="U20" t="s">
        <v>46</v>
      </c>
      <c r="V20" t="s">
        <v>36</v>
      </c>
      <c r="W20" t="s">
        <v>37</v>
      </c>
      <c r="X20" s="24">
        <v>25.714285714285712</v>
      </c>
      <c r="Y20" s="24">
        <v>74.285714285714292</v>
      </c>
      <c r="Z20" t="s">
        <v>40</v>
      </c>
      <c r="AA20" t="s">
        <v>39</v>
      </c>
      <c r="AB20" t="s">
        <v>40</v>
      </c>
      <c r="AC20" s="24">
        <v>4.200000000000037E-3</v>
      </c>
    </row>
    <row r="21" spans="1:29" x14ac:dyDescent="0.3">
      <c r="A21" s="2">
        <v>20</v>
      </c>
      <c r="B21" s="1">
        <v>40544</v>
      </c>
      <c r="C21" s="2">
        <v>1</v>
      </c>
      <c r="D21" s="2">
        <v>19</v>
      </c>
      <c r="E21" t="b">
        <v>0</v>
      </c>
      <c r="F21" s="2">
        <v>6</v>
      </c>
      <c r="G21" s="2">
        <v>3</v>
      </c>
      <c r="H21" s="23">
        <v>0.42</v>
      </c>
      <c r="I21" s="25">
        <v>0.42420000000000002</v>
      </c>
      <c r="J21" s="23">
        <v>0.88</v>
      </c>
      <c r="K21" s="25">
        <v>0.25369999999999998</v>
      </c>
      <c r="L21" s="2">
        <v>6</v>
      </c>
      <c r="M21" s="2">
        <v>31</v>
      </c>
      <c r="N21" s="2">
        <v>37</v>
      </c>
      <c r="O21" t="s">
        <v>29</v>
      </c>
      <c r="P21" t="s">
        <v>30</v>
      </c>
      <c r="Q21" t="s">
        <v>51</v>
      </c>
      <c r="R21" t="s">
        <v>50</v>
      </c>
      <c r="S21" t="s">
        <v>45</v>
      </c>
      <c r="T21" t="s">
        <v>34</v>
      </c>
      <c r="U21" t="s">
        <v>46</v>
      </c>
      <c r="V21" t="s">
        <v>36</v>
      </c>
      <c r="W21" t="s">
        <v>37</v>
      </c>
      <c r="X21" s="24">
        <v>16.216216216216221</v>
      </c>
      <c r="Y21" s="24">
        <v>83.78378378378379</v>
      </c>
      <c r="Z21" t="s">
        <v>40</v>
      </c>
      <c r="AA21" t="s">
        <v>39</v>
      </c>
      <c r="AB21" t="s">
        <v>40</v>
      </c>
      <c r="AC21" s="24">
        <v>4.200000000000037E-3</v>
      </c>
    </row>
    <row r="22" spans="1:29" x14ac:dyDescent="0.3">
      <c r="A22" s="2">
        <v>21</v>
      </c>
      <c r="B22" s="1">
        <v>40544</v>
      </c>
      <c r="C22" s="2">
        <v>1</v>
      </c>
      <c r="D22" s="2">
        <v>20</v>
      </c>
      <c r="E22" t="b">
        <v>0</v>
      </c>
      <c r="F22" s="2">
        <v>6</v>
      </c>
      <c r="G22" s="2">
        <v>2</v>
      </c>
      <c r="H22" s="23">
        <v>0.4</v>
      </c>
      <c r="I22" s="25">
        <v>0.40910000000000002</v>
      </c>
      <c r="J22" s="23">
        <v>0.87</v>
      </c>
      <c r="K22" s="25">
        <v>0.25369999999999998</v>
      </c>
      <c r="L22" s="2">
        <v>11</v>
      </c>
      <c r="M22" s="2">
        <v>25</v>
      </c>
      <c r="N22" s="2">
        <v>36</v>
      </c>
      <c r="O22" t="s">
        <v>29</v>
      </c>
      <c r="P22" t="s">
        <v>30</v>
      </c>
      <c r="Q22" t="s">
        <v>41</v>
      </c>
      <c r="R22" t="s">
        <v>50</v>
      </c>
      <c r="S22" t="s">
        <v>45</v>
      </c>
      <c r="T22" t="s">
        <v>34</v>
      </c>
      <c r="U22" t="s">
        <v>46</v>
      </c>
      <c r="V22" t="s">
        <v>36</v>
      </c>
      <c r="W22" t="s">
        <v>37</v>
      </c>
      <c r="X22" s="24">
        <v>30.555555555555561</v>
      </c>
      <c r="Y22" s="24">
        <v>69.444444444444443</v>
      </c>
      <c r="Z22" t="s">
        <v>38</v>
      </c>
      <c r="AA22" t="s">
        <v>39</v>
      </c>
      <c r="AB22" t="s">
        <v>40</v>
      </c>
      <c r="AC22" s="24">
        <v>9.099999999999997E-3</v>
      </c>
    </row>
    <row r="23" spans="1:29" x14ac:dyDescent="0.3">
      <c r="A23" s="2">
        <v>22</v>
      </c>
      <c r="B23" s="1">
        <v>40544</v>
      </c>
      <c r="C23" s="2">
        <v>1</v>
      </c>
      <c r="D23" s="2">
        <v>21</v>
      </c>
      <c r="E23" t="b">
        <v>0</v>
      </c>
      <c r="F23" s="2">
        <v>6</v>
      </c>
      <c r="G23" s="2">
        <v>2</v>
      </c>
      <c r="H23" s="23">
        <v>0.4</v>
      </c>
      <c r="I23" s="25">
        <v>0.40910000000000002</v>
      </c>
      <c r="J23" s="23">
        <v>0.87</v>
      </c>
      <c r="K23" s="25">
        <v>0.19400000000000001</v>
      </c>
      <c r="L23" s="2">
        <v>3</v>
      </c>
      <c r="M23" s="2">
        <v>31</v>
      </c>
      <c r="N23" s="2">
        <v>34</v>
      </c>
      <c r="O23" t="s">
        <v>29</v>
      </c>
      <c r="P23" t="s">
        <v>30</v>
      </c>
      <c r="Q23" t="s">
        <v>41</v>
      </c>
      <c r="R23" t="s">
        <v>32</v>
      </c>
      <c r="S23" t="s">
        <v>45</v>
      </c>
      <c r="T23" t="s">
        <v>34</v>
      </c>
      <c r="U23" t="s">
        <v>46</v>
      </c>
      <c r="V23" t="s">
        <v>36</v>
      </c>
      <c r="W23" t="s">
        <v>37</v>
      </c>
      <c r="X23" s="24">
        <v>8.8235294117647065</v>
      </c>
      <c r="Y23" s="24">
        <v>91.17647058823529</v>
      </c>
      <c r="Z23" t="s">
        <v>38</v>
      </c>
      <c r="AA23" t="s">
        <v>39</v>
      </c>
      <c r="AB23" t="s">
        <v>40</v>
      </c>
      <c r="AC23" s="24">
        <v>9.099999999999997E-3</v>
      </c>
    </row>
    <row r="24" spans="1:29" x14ac:dyDescent="0.3">
      <c r="A24" s="2">
        <v>23</v>
      </c>
      <c r="B24" s="1">
        <v>40544</v>
      </c>
      <c r="C24" s="2">
        <v>1</v>
      </c>
      <c r="D24" s="2">
        <v>22</v>
      </c>
      <c r="E24" t="b">
        <v>0</v>
      </c>
      <c r="F24" s="2">
        <v>6</v>
      </c>
      <c r="G24" s="2">
        <v>2</v>
      </c>
      <c r="H24" s="23">
        <v>0.4</v>
      </c>
      <c r="I24" s="25">
        <v>0.40910000000000002</v>
      </c>
      <c r="J24" s="23">
        <v>0.94</v>
      </c>
      <c r="K24" s="25">
        <v>0.22389999999999999</v>
      </c>
      <c r="L24" s="2">
        <v>11</v>
      </c>
      <c r="M24" s="2">
        <v>17</v>
      </c>
      <c r="N24" s="2">
        <v>28</v>
      </c>
      <c r="O24" t="s">
        <v>29</v>
      </c>
      <c r="P24" t="s">
        <v>30</v>
      </c>
      <c r="Q24" t="s">
        <v>41</v>
      </c>
      <c r="R24" t="s">
        <v>32</v>
      </c>
      <c r="S24" t="s">
        <v>45</v>
      </c>
      <c r="T24" t="s">
        <v>34</v>
      </c>
      <c r="U24" t="s">
        <v>46</v>
      </c>
      <c r="V24" t="s">
        <v>36</v>
      </c>
      <c r="W24" t="s">
        <v>37</v>
      </c>
      <c r="X24" s="24">
        <v>39.285714285714278</v>
      </c>
      <c r="Y24" s="24">
        <v>60.714285714285708</v>
      </c>
      <c r="Z24" t="s">
        <v>38</v>
      </c>
      <c r="AA24" t="s">
        <v>39</v>
      </c>
      <c r="AB24" t="s">
        <v>40</v>
      </c>
      <c r="AC24" s="24">
        <v>9.099999999999997E-3</v>
      </c>
    </row>
    <row r="25" spans="1:29" x14ac:dyDescent="0.3">
      <c r="A25" s="2">
        <v>24</v>
      </c>
      <c r="B25" s="1">
        <v>40544</v>
      </c>
      <c r="C25" s="2">
        <v>1</v>
      </c>
      <c r="D25" s="2">
        <v>23</v>
      </c>
      <c r="E25" t="b">
        <v>0</v>
      </c>
      <c r="F25" s="2">
        <v>6</v>
      </c>
      <c r="G25" s="2">
        <v>2</v>
      </c>
      <c r="H25" s="23">
        <v>0.46</v>
      </c>
      <c r="I25" s="25">
        <v>0.40910000000000002</v>
      </c>
      <c r="J25" s="23">
        <v>0.88</v>
      </c>
      <c r="K25" s="25">
        <v>0.29849999999999999</v>
      </c>
      <c r="L25" s="2">
        <v>15</v>
      </c>
      <c r="M25" s="2">
        <v>24</v>
      </c>
      <c r="N25" s="2">
        <v>39</v>
      </c>
      <c r="O25" t="s">
        <v>29</v>
      </c>
      <c r="P25" t="s">
        <v>30</v>
      </c>
      <c r="Q25" t="s">
        <v>41</v>
      </c>
      <c r="R25" t="s">
        <v>32</v>
      </c>
      <c r="S25" t="s">
        <v>48</v>
      </c>
      <c r="T25" t="s">
        <v>34</v>
      </c>
      <c r="U25" t="s">
        <v>46</v>
      </c>
      <c r="V25" t="s">
        <v>36</v>
      </c>
      <c r="W25" t="s">
        <v>37</v>
      </c>
      <c r="X25" s="24">
        <v>38.461538461538467</v>
      </c>
      <c r="Y25" s="24">
        <v>61.53846153846154</v>
      </c>
      <c r="Z25" t="s">
        <v>38</v>
      </c>
      <c r="AA25" t="s">
        <v>39</v>
      </c>
      <c r="AB25" t="s">
        <v>40</v>
      </c>
      <c r="AC25" s="24">
        <v>-5.0900000000000001E-2</v>
      </c>
    </row>
    <row r="26" spans="1:29" x14ac:dyDescent="0.3">
      <c r="A26" s="2">
        <v>25</v>
      </c>
      <c r="B26" s="1">
        <v>40545</v>
      </c>
      <c r="C26" s="2">
        <v>1</v>
      </c>
      <c r="D26" s="2">
        <v>0</v>
      </c>
      <c r="E26" t="b">
        <v>0</v>
      </c>
      <c r="F26" s="2">
        <v>0</v>
      </c>
      <c r="G26" s="2">
        <v>2</v>
      </c>
      <c r="H26" s="23">
        <v>0.46</v>
      </c>
      <c r="I26" s="25">
        <v>0.45450000000000002</v>
      </c>
      <c r="J26" s="23">
        <v>0.88</v>
      </c>
      <c r="K26" s="25">
        <v>0.29849999999999999</v>
      </c>
      <c r="L26" s="2">
        <v>4</v>
      </c>
      <c r="M26" s="2">
        <v>13</v>
      </c>
      <c r="N26" s="2">
        <v>17</v>
      </c>
      <c r="O26" t="s">
        <v>29</v>
      </c>
      <c r="P26" t="s">
        <v>52</v>
      </c>
      <c r="Q26" t="s">
        <v>41</v>
      </c>
      <c r="R26" t="s">
        <v>32</v>
      </c>
      <c r="S26" t="s">
        <v>48</v>
      </c>
      <c r="T26" t="s">
        <v>34</v>
      </c>
      <c r="U26" t="s">
        <v>46</v>
      </c>
      <c r="V26" t="s">
        <v>36</v>
      </c>
      <c r="W26" t="s">
        <v>37</v>
      </c>
      <c r="X26" s="24">
        <v>23.52941176470588</v>
      </c>
      <c r="Y26" s="24">
        <v>76.470588235294116</v>
      </c>
      <c r="Z26" t="s">
        <v>38</v>
      </c>
      <c r="AA26" t="s">
        <v>39</v>
      </c>
      <c r="AB26" t="s">
        <v>40</v>
      </c>
      <c r="AC26" s="24">
        <v>-5.5000000000000049E-3</v>
      </c>
    </row>
    <row r="27" spans="1:29" x14ac:dyDescent="0.3">
      <c r="A27" s="2">
        <v>26</v>
      </c>
      <c r="B27" s="1">
        <v>40545</v>
      </c>
      <c r="C27" s="2">
        <v>1</v>
      </c>
      <c r="D27" s="2">
        <v>1</v>
      </c>
      <c r="E27" t="b">
        <v>0</v>
      </c>
      <c r="F27" s="2">
        <v>0</v>
      </c>
      <c r="G27" s="2">
        <v>2</v>
      </c>
      <c r="H27" s="23">
        <v>0.44</v>
      </c>
      <c r="I27" s="25">
        <v>0.43940000000000001</v>
      </c>
      <c r="J27" s="23">
        <v>0.94</v>
      </c>
      <c r="K27" s="25">
        <v>0.25369999999999998</v>
      </c>
      <c r="L27" s="2">
        <v>1</v>
      </c>
      <c r="M27" s="2">
        <v>16</v>
      </c>
      <c r="N27" s="2">
        <v>17</v>
      </c>
      <c r="O27" t="s">
        <v>29</v>
      </c>
      <c r="P27" t="s">
        <v>52</v>
      </c>
      <c r="Q27" t="s">
        <v>41</v>
      </c>
      <c r="R27" t="s">
        <v>32</v>
      </c>
      <c r="S27" t="s">
        <v>45</v>
      </c>
      <c r="T27" t="s">
        <v>34</v>
      </c>
      <c r="U27" t="s">
        <v>46</v>
      </c>
      <c r="V27" t="s">
        <v>36</v>
      </c>
      <c r="W27" t="s">
        <v>37</v>
      </c>
      <c r="X27" s="24">
        <v>5.8823529411764701</v>
      </c>
      <c r="Y27" s="24">
        <v>94.117647058823522</v>
      </c>
      <c r="Z27" t="s">
        <v>38</v>
      </c>
      <c r="AA27" t="s">
        <v>39</v>
      </c>
      <c r="AB27" t="s">
        <v>40</v>
      </c>
      <c r="AC27" s="24">
        <v>-5.9999999999998943E-4</v>
      </c>
    </row>
    <row r="28" spans="1:29" x14ac:dyDescent="0.3">
      <c r="A28" s="2">
        <v>27</v>
      </c>
      <c r="B28" s="1">
        <v>40545</v>
      </c>
      <c r="C28" s="2">
        <v>1</v>
      </c>
      <c r="D28" s="2">
        <v>2</v>
      </c>
      <c r="E28" t="b">
        <v>0</v>
      </c>
      <c r="F28" s="2">
        <v>0</v>
      </c>
      <c r="G28" s="2">
        <v>2</v>
      </c>
      <c r="H28" s="23">
        <v>0.42</v>
      </c>
      <c r="I28" s="25">
        <v>0.42420000000000002</v>
      </c>
      <c r="J28" s="23">
        <v>1</v>
      </c>
      <c r="K28" s="25">
        <v>0.28360000000000002</v>
      </c>
      <c r="L28" s="2">
        <v>1</v>
      </c>
      <c r="M28" s="2">
        <v>8</v>
      </c>
      <c r="N28" s="2">
        <v>9</v>
      </c>
      <c r="O28" t="s">
        <v>29</v>
      </c>
      <c r="P28" t="s">
        <v>52</v>
      </c>
      <c r="Q28" t="s">
        <v>41</v>
      </c>
      <c r="R28" t="s">
        <v>32</v>
      </c>
      <c r="S28" t="s">
        <v>45</v>
      </c>
      <c r="T28" t="s">
        <v>34</v>
      </c>
      <c r="U28" t="s">
        <v>46</v>
      </c>
      <c r="V28" t="s">
        <v>36</v>
      </c>
      <c r="W28" t="s">
        <v>37</v>
      </c>
      <c r="X28" s="24">
        <v>11.111111111111111</v>
      </c>
      <c r="Y28" s="24">
        <v>88.888888888888886</v>
      </c>
      <c r="Z28" t="s">
        <v>38</v>
      </c>
      <c r="AA28" t="s">
        <v>39</v>
      </c>
      <c r="AB28" t="s">
        <v>40</v>
      </c>
      <c r="AC28" s="24">
        <v>4.200000000000037E-3</v>
      </c>
    </row>
    <row r="29" spans="1:29" x14ac:dyDescent="0.3">
      <c r="A29" s="2">
        <v>28</v>
      </c>
      <c r="B29" s="1">
        <v>40545</v>
      </c>
      <c r="C29" s="2">
        <v>1</v>
      </c>
      <c r="D29" s="2">
        <v>3</v>
      </c>
      <c r="E29" t="b">
        <v>0</v>
      </c>
      <c r="F29" s="2">
        <v>0</v>
      </c>
      <c r="G29" s="2">
        <v>2</v>
      </c>
      <c r="H29" s="23">
        <v>0.46</v>
      </c>
      <c r="I29" s="25">
        <v>0.45450000000000002</v>
      </c>
      <c r="J29" s="23">
        <v>0.94</v>
      </c>
      <c r="K29" s="25">
        <v>0.19400000000000001</v>
      </c>
      <c r="L29" s="2">
        <v>2</v>
      </c>
      <c r="M29" s="2">
        <v>4</v>
      </c>
      <c r="N29" s="2">
        <v>6</v>
      </c>
      <c r="O29" t="s">
        <v>29</v>
      </c>
      <c r="P29" t="s">
        <v>52</v>
      </c>
      <c r="Q29" t="s">
        <v>41</v>
      </c>
      <c r="R29" t="s">
        <v>32</v>
      </c>
      <c r="S29" t="s">
        <v>48</v>
      </c>
      <c r="T29" t="s">
        <v>34</v>
      </c>
      <c r="U29" t="s">
        <v>46</v>
      </c>
      <c r="V29" t="s">
        <v>36</v>
      </c>
      <c r="W29" t="s">
        <v>37</v>
      </c>
      <c r="X29" s="24">
        <v>33.333333333333329</v>
      </c>
      <c r="Y29" s="24">
        <v>66.666666666666657</v>
      </c>
      <c r="Z29" t="s">
        <v>38</v>
      </c>
      <c r="AA29" t="s">
        <v>39</v>
      </c>
      <c r="AB29" t="s">
        <v>40</v>
      </c>
      <c r="AC29" s="24">
        <v>-5.5000000000000049E-3</v>
      </c>
    </row>
    <row r="30" spans="1:29" x14ac:dyDescent="0.3">
      <c r="A30" s="2">
        <v>29</v>
      </c>
      <c r="B30" s="1">
        <v>40545</v>
      </c>
      <c r="C30" s="2">
        <v>1</v>
      </c>
      <c r="D30" s="2">
        <v>4</v>
      </c>
      <c r="E30" t="b">
        <v>0</v>
      </c>
      <c r="F30" s="2">
        <v>0</v>
      </c>
      <c r="G30" s="2">
        <v>2</v>
      </c>
      <c r="H30" s="23">
        <v>0.46</v>
      </c>
      <c r="I30" s="25">
        <v>0.45450000000000002</v>
      </c>
      <c r="J30" s="23">
        <v>0.94</v>
      </c>
      <c r="K30" s="25">
        <v>0.19400000000000001</v>
      </c>
      <c r="L30" s="2">
        <v>2</v>
      </c>
      <c r="M30" s="2">
        <v>1</v>
      </c>
      <c r="N30" s="2">
        <v>3</v>
      </c>
      <c r="O30" t="s">
        <v>29</v>
      </c>
      <c r="P30" t="s">
        <v>52</v>
      </c>
      <c r="Q30" t="s">
        <v>41</v>
      </c>
      <c r="R30" t="s">
        <v>32</v>
      </c>
      <c r="S30" t="s">
        <v>48</v>
      </c>
      <c r="T30" t="s">
        <v>34</v>
      </c>
      <c r="U30" t="s">
        <v>46</v>
      </c>
      <c r="V30" t="s">
        <v>36</v>
      </c>
      <c r="W30" t="s">
        <v>43</v>
      </c>
      <c r="X30" s="24">
        <v>66.666666666666657</v>
      </c>
      <c r="Y30" s="24">
        <v>33.333333333333329</v>
      </c>
      <c r="Z30" t="s">
        <v>38</v>
      </c>
      <c r="AA30" t="s">
        <v>39</v>
      </c>
      <c r="AB30" t="s">
        <v>40</v>
      </c>
      <c r="AC30" s="24">
        <v>-5.5000000000000049E-3</v>
      </c>
    </row>
    <row r="31" spans="1:29" x14ac:dyDescent="0.3">
      <c r="A31" s="2">
        <v>30</v>
      </c>
      <c r="B31" s="1">
        <v>40545</v>
      </c>
      <c r="C31" s="2">
        <v>1</v>
      </c>
      <c r="D31" s="2">
        <v>6</v>
      </c>
      <c r="E31" t="b">
        <v>0</v>
      </c>
      <c r="F31" s="2">
        <v>0</v>
      </c>
      <c r="G31" s="2">
        <v>3</v>
      </c>
      <c r="H31" s="23">
        <v>0.42</v>
      </c>
      <c r="I31" s="25">
        <v>0.42420000000000002</v>
      </c>
      <c r="J31" s="23">
        <v>0.77</v>
      </c>
      <c r="K31" s="25">
        <v>0.29849999999999999</v>
      </c>
      <c r="L31" s="2">
        <v>0</v>
      </c>
      <c r="M31" s="2">
        <v>2</v>
      </c>
      <c r="N31" s="2">
        <v>2</v>
      </c>
      <c r="O31" t="s">
        <v>29</v>
      </c>
      <c r="P31" t="s">
        <v>52</v>
      </c>
      <c r="Q31" t="s">
        <v>51</v>
      </c>
      <c r="R31" t="s">
        <v>42</v>
      </c>
      <c r="S31" t="s">
        <v>45</v>
      </c>
      <c r="T31" t="s">
        <v>34</v>
      </c>
      <c r="U31" t="s">
        <v>46</v>
      </c>
      <c r="V31" t="s">
        <v>36</v>
      </c>
      <c r="W31" t="s">
        <v>37</v>
      </c>
      <c r="X31" s="24">
        <v>0</v>
      </c>
      <c r="Y31" s="24">
        <v>100</v>
      </c>
      <c r="Z31" t="s">
        <v>38</v>
      </c>
      <c r="AA31" t="s">
        <v>39</v>
      </c>
      <c r="AB31" t="s">
        <v>40</v>
      </c>
      <c r="AC31" s="24">
        <v>4.200000000000037E-3</v>
      </c>
    </row>
    <row r="32" spans="1:29" x14ac:dyDescent="0.3">
      <c r="A32" s="2">
        <v>31</v>
      </c>
      <c r="B32" s="1">
        <v>40545</v>
      </c>
      <c r="C32" s="2">
        <v>1</v>
      </c>
      <c r="D32" s="2">
        <v>7</v>
      </c>
      <c r="E32" t="b">
        <v>0</v>
      </c>
      <c r="F32" s="2">
        <v>0</v>
      </c>
      <c r="G32" s="2">
        <v>2</v>
      </c>
      <c r="H32" s="23">
        <v>0.4</v>
      </c>
      <c r="I32" s="25">
        <v>0.40910000000000002</v>
      </c>
      <c r="J32" s="23">
        <v>0.76</v>
      </c>
      <c r="K32" s="25">
        <v>0.19400000000000001</v>
      </c>
      <c r="L32" s="2">
        <v>0</v>
      </c>
      <c r="M32" s="2">
        <v>1</v>
      </c>
      <c r="N32" s="2">
        <v>1</v>
      </c>
      <c r="O32" t="s">
        <v>29</v>
      </c>
      <c r="P32" t="s">
        <v>52</v>
      </c>
      <c r="Q32" t="s">
        <v>41</v>
      </c>
      <c r="R32" t="s">
        <v>42</v>
      </c>
      <c r="S32" t="s">
        <v>45</v>
      </c>
      <c r="T32" t="s">
        <v>34</v>
      </c>
      <c r="U32" t="s">
        <v>46</v>
      </c>
      <c r="V32" t="s">
        <v>36</v>
      </c>
      <c r="W32" t="s">
        <v>37</v>
      </c>
      <c r="X32" s="24">
        <v>0</v>
      </c>
      <c r="Y32" s="24">
        <v>100</v>
      </c>
      <c r="Z32" t="s">
        <v>40</v>
      </c>
      <c r="AA32" t="s">
        <v>39</v>
      </c>
      <c r="AB32" t="s">
        <v>40</v>
      </c>
      <c r="AC32" s="24">
        <v>9.099999999999997E-3</v>
      </c>
    </row>
    <row r="33" spans="1:29" x14ac:dyDescent="0.3">
      <c r="A33" s="2">
        <v>32</v>
      </c>
      <c r="B33" s="1">
        <v>40545</v>
      </c>
      <c r="C33" s="2">
        <v>1</v>
      </c>
      <c r="D33" s="2">
        <v>8</v>
      </c>
      <c r="E33" t="b">
        <v>0</v>
      </c>
      <c r="F33" s="2">
        <v>0</v>
      </c>
      <c r="G33" s="2">
        <v>3</v>
      </c>
      <c r="H33" s="23">
        <v>0.4</v>
      </c>
      <c r="I33" s="25">
        <v>0.40910000000000002</v>
      </c>
      <c r="J33" s="23">
        <v>0.71</v>
      </c>
      <c r="K33" s="25">
        <v>0.22389999999999999</v>
      </c>
      <c r="L33" s="2">
        <v>0</v>
      </c>
      <c r="M33" s="2">
        <v>8</v>
      </c>
      <c r="N33" s="2">
        <v>8</v>
      </c>
      <c r="O33" t="s">
        <v>29</v>
      </c>
      <c r="P33" t="s">
        <v>52</v>
      </c>
      <c r="Q33" t="s">
        <v>51</v>
      </c>
      <c r="R33" t="s">
        <v>42</v>
      </c>
      <c r="S33" t="s">
        <v>45</v>
      </c>
      <c r="T33" t="s">
        <v>34</v>
      </c>
      <c r="U33" t="s">
        <v>46</v>
      </c>
      <c r="V33" t="s">
        <v>36</v>
      </c>
      <c r="W33" t="s">
        <v>37</v>
      </c>
      <c r="X33" s="24">
        <v>0</v>
      </c>
      <c r="Y33" s="24">
        <v>100</v>
      </c>
      <c r="Z33" t="s">
        <v>40</v>
      </c>
      <c r="AA33" t="s">
        <v>39</v>
      </c>
      <c r="AB33" t="s">
        <v>40</v>
      </c>
      <c r="AC33" s="24">
        <v>9.099999999999997E-3</v>
      </c>
    </row>
    <row r="34" spans="1:29" x14ac:dyDescent="0.3">
      <c r="A34" s="2">
        <v>33</v>
      </c>
      <c r="B34" s="1">
        <v>40545</v>
      </c>
      <c r="C34" s="2">
        <v>1</v>
      </c>
      <c r="D34" s="2">
        <v>9</v>
      </c>
      <c r="E34" t="b">
        <v>0</v>
      </c>
      <c r="F34" s="2">
        <v>0</v>
      </c>
      <c r="G34" s="2">
        <v>2</v>
      </c>
      <c r="H34" s="23">
        <v>0.38</v>
      </c>
      <c r="I34" s="25">
        <v>0.40910000000000002</v>
      </c>
      <c r="J34" s="23">
        <v>0.76</v>
      </c>
      <c r="K34" s="25">
        <v>0.22389999999999999</v>
      </c>
      <c r="L34" s="2">
        <v>1</v>
      </c>
      <c r="M34" s="2">
        <v>19</v>
      </c>
      <c r="N34" s="2">
        <v>20</v>
      </c>
      <c r="O34" t="s">
        <v>29</v>
      </c>
      <c r="P34" t="s">
        <v>52</v>
      </c>
      <c r="Q34" t="s">
        <v>41</v>
      </c>
      <c r="R34" t="s">
        <v>42</v>
      </c>
      <c r="S34" t="s">
        <v>45</v>
      </c>
      <c r="T34" t="s">
        <v>34</v>
      </c>
      <c r="U34" t="s">
        <v>46</v>
      </c>
      <c r="V34" t="s">
        <v>36</v>
      </c>
      <c r="W34" t="s">
        <v>37</v>
      </c>
      <c r="X34" s="24">
        <v>5</v>
      </c>
      <c r="Y34" s="24">
        <v>95</v>
      </c>
      <c r="Z34" t="s">
        <v>40</v>
      </c>
      <c r="AA34" t="s">
        <v>39</v>
      </c>
      <c r="AB34" t="s">
        <v>40</v>
      </c>
      <c r="AC34" s="24">
        <v>2.9100000000000011E-2</v>
      </c>
    </row>
    <row r="35" spans="1:29" x14ac:dyDescent="0.3">
      <c r="A35" s="2">
        <v>34</v>
      </c>
      <c r="B35" s="1">
        <v>40545</v>
      </c>
      <c r="C35" s="2">
        <v>1</v>
      </c>
      <c r="D35" s="2">
        <v>10</v>
      </c>
      <c r="E35" t="b">
        <v>0</v>
      </c>
      <c r="F35" s="2">
        <v>0</v>
      </c>
      <c r="G35" s="2">
        <v>2</v>
      </c>
      <c r="H35" s="23">
        <v>0.36</v>
      </c>
      <c r="I35" s="25">
        <v>0.34849999999999998</v>
      </c>
      <c r="J35" s="23">
        <v>0.81</v>
      </c>
      <c r="K35" s="25">
        <v>0.22389999999999999</v>
      </c>
      <c r="L35" s="2">
        <v>7</v>
      </c>
      <c r="M35" s="2">
        <v>46</v>
      </c>
      <c r="N35" s="2">
        <v>53</v>
      </c>
      <c r="O35" t="s">
        <v>29</v>
      </c>
      <c r="P35" t="s">
        <v>52</v>
      </c>
      <c r="Q35" t="s">
        <v>41</v>
      </c>
      <c r="R35" t="s">
        <v>42</v>
      </c>
      <c r="S35" t="s">
        <v>45</v>
      </c>
      <c r="T35" t="s">
        <v>34</v>
      </c>
      <c r="U35" t="s">
        <v>46</v>
      </c>
      <c r="V35" t="s">
        <v>36</v>
      </c>
      <c r="W35" t="s">
        <v>37</v>
      </c>
      <c r="X35" s="24">
        <v>13.20754716981132</v>
      </c>
      <c r="Y35" s="24">
        <v>86.79245283018868</v>
      </c>
      <c r="Z35" t="s">
        <v>38</v>
      </c>
      <c r="AA35" t="s">
        <v>39</v>
      </c>
      <c r="AB35" t="s">
        <v>40</v>
      </c>
      <c r="AC35" s="24">
        <v>-1.150000000000001E-2</v>
      </c>
    </row>
    <row r="36" spans="1:29" x14ac:dyDescent="0.3">
      <c r="A36" s="2">
        <v>35</v>
      </c>
      <c r="B36" s="1">
        <v>40545</v>
      </c>
      <c r="C36" s="2">
        <v>1</v>
      </c>
      <c r="D36" s="2">
        <v>11</v>
      </c>
      <c r="E36" t="b">
        <v>0</v>
      </c>
      <c r="F36" s="2">
        <v>0</v>
      </c>
      <c r="G36" s="2">
        <v>2</v>
      </c>
      <c r="H36" s="23">
        <v>0.36</v>
      </c>
      <c r="I36" s="25">
        <v>0.33329999999999999</v>
      </c>
      <c r="J36" s="23">
        <v>0.71</v>
      </c>
      <c r="K36" s="25">
        <v>0.25369999999999998</v>
      </c>
      <c r="L36" s="2">
        <v>16</v>
      </c>
      <c r="M36" s="2">
        <v>54</v>
      </c>
      <c r="N36" s="2">
        <v>70</v>
      </c>
      <c r="O36" t="s">
        <v>29</v>
      </c>
      <c r="P36" t="s">
        <v>52</v>
      </c>
      <c r="Q36" t="s">
        <v>41</v>
      </c>
      <c r="R36" t="s">
        <v>42</v>
      </c>
      <c r="S36" t="s">
        <v>45</v>
      </c>
      <c r="T36" t="s">
        <v>34</v>
      </c>
      <c r="U36" t="s">
        <v>46</v>
      </c>
      <c r="V36" t="s">
        <v>36</v>
      </c>
      <c r="W36" t="s">
        <v>37</v>
      </c>
      <c r="X36" s="24">
        <v>22.857142857142861</v>
      </c>
      <c r="Y36" s="24">
        <v>77.142857142857153</v>
      </c>
      <c r="Z36" t="s">
        <v>38</v>
      </c>
      <c r="AA36" t="s">
        <v>39</v>
      </c>
      <c r="AB36" t="s">
        <v>40</v>
      </c>
      <c r="AC36" s="24">
        <v>-2.6700000000000002E-2</v>
      </c>
    </row>
    <row r="37" spans="1:29" x14ac:dyDescent="0.3">
      <c r="A37" s="2">
        <v>57</v>
      </c>
      <c r="B37" s="1">
        <v>40546</v>
      </c>
      <c r="C37" s="2">
        <v>1</v>
      </c>
      <c r="D37" s="2">
        <v>11</v>
      </c>
      <c r="E37" t="b">
        <v>0</v>
      </c>
      <c r="F37" s="2">
        <v>1</v>
      </c>
      <c r="G37" s="2">
        <v>1</v>
      </c>
      <c r="H37" s="23">
        <v>0.2</v>
      </c>
      <c r="I37" s="25">
        <v>0.18179999999999999</v>
      </c>
      <c r="J37" s="23">
        <v>0.4</v>
      </c>
      <c r="K37" s="25">
        <v>0.32840000000000003</v>
      </c>
      <c r="L37" s="2">
        <v>10</v>
      </c>
      <c r="M37" s="2">
        <v>41</v>
      </c>
      <c r="N37" s="2">
        <v>51</v>
      </c>
      <c r="O37" t="s">
        <v>29</v>
      </c>
      <c r="P37" t="s">
        <v>54</v>
      </c>
      <c r="Q37" t="s">
        <v>31</v>
      </c>
      <c r="R37" t="s">
        <v>42</v>
      </c>
      <c r="S37" t="s">
        <v>33</v>
      </c>
      <c r="T37" t="s">
        <v>49</v>
      </c>
      <c r="U37" t="s">
        <v>53</v>
      </c>
      <c r="V37" t="s">
        <v>36</v>
      </c>
      <c r="W37" t="s">
        <v>37</v>
      </c>
      <c r="X37" s="24">
        <v>19.6078431372549</v>
      </c>
      <c r="Y37" s="24">
        <v>80.392156862745097</v>
      </c>
      <c r="Z37" t="s">
        <v>38</v>
      </c>
      <c r="AA37" t="s">
        <v>39</v>
      </c>
      <c r="AB37" t="s">
        <v>38</v>
      </c>
      <c r="AC37" s="24">
        <v>-1.8200000000000022E-2</v>
      </c>
    </row>
    <row r="38" spans="1:29" x14ac:dyDescent="0.3">
      <c r="A38" s="2">
        <v>100</v>
      </c>
      <c r="B38" s="1">
        <v>40548</v>
      </c>
      <c r="C38" s="2">
        <v>1</v>
      </c>
      <c r="D38" s="2">
        <v>8</v>
      </c>
      <c r="E38" t="b">
        <v>0</v>
      </c>
      <c r="F38" s="2">
        <v>3</v>
      </c>
      <c r="G38" s="2">
        <v>1</v>
      </c>
      <c r="H38" s="23">
        <v>0.2</v>
      </c>
      <c r="I38" s="25">
        <v>0.18179999999999999</v>
      </c>
      <c r="J38" s="23">
        <v>0.4</v>
      </c>
      <c r="K38" s="25">
        <v>0.29849999999999999</v>
      </c>
      <c r="L38" s="2">
        <v>3</v>
      </c>
      <c r="M38" s="2">
        <v>192</v>
      </c>
      <c r="N38" s="2">
        <v>195</v>
      </c>
      <c r="O38" t="s">
        <v>29</v>
      </c>
      <c r="P38" t="s">
        <v>57</v>
      </c>
      <c r="Q38" t="s">
        <v>31</v>
      </c>
      <c r="R38" t="s">
        <v>42</v>
      </c>
      <c r="S38" t="s">
        <v>33</v>
      </c>
      <c r="T38" t="s">
        <v>49</v>
      </c>
      <c r="U38" t="s">
        <v>46</v>
      </c>
      <c r="V38" t="s">
        <v>36</v>
      </c>
      <c r="W38" t="s">
        <v>37</v>
      </c>
      <c r="X38" s="24">
        <v>1.538461538461539</v>
      </c>
      <c r="Y38" s="24">
        <v>98.461538461538467</v>
      </c>
      <c r="Z38" t="s">
        <v>40</v>
      </c>
      <c r="AA38" t="s">
        <v>49</v>
      </c>
      <c r="AB38" t="s">
        <v>38</v>
      </c>
      <c r="AC38" s="24">
        <v>-1.8200000000000022E-2</v>
      </c>
    </row>
    <row r="39" spans="1:29" x14ac:dyDescent="0.3">
      <c r="A39" s="2">
        <v>38</v>
      </c>
      <c r="B39" s="1">
        <v>40545</v>
      </c>
      <c r="C39" s="2">
        <v>1</v>
      </c>
      <c r="D39" s="2">
        <v>14</v>
      </c>
      <c r="E39" t="b">
        <v>0</v>
      </c>
      <c r="F39" s="2">
        <v>0</v>
      </c>
      <c r="G39" s="2">
        <v>3</v>
      </c>
      <c r="H39" s="23">
        <v>0.36</v>
      </c>
      <c r="I39" s="25">
        <v>0.34849999999999998</v>
      </c>
      <c r="J39" s="23">
        <v>0.76</v>
      </c>
      <c r="K39" s="25">
        <v>0.19400000000000001</v>
      </c>
      <c r="L39" s="2">
        <v>4</v>
      </c>
      <c r="M39" s="2">
        <v>55</v>
      </c>
      <c r="N39" s="2">
        <v>59</v>
      </c>
      <c r="O39" t="s">
        <v>29</v>
      </c>
      <c r="P39" t="s">
        <v>52</v>
      </c>
      <c r="Q39" t="s">
        <v>51</v>
      </c>
      <c r="R39" t="s">
        <v>47</v>
      </c>
      <c r="S39" t="s">
        <v>45</v>
      </c>
      <c r="T39" t="s">
        <v>34</v>
      </c>
      <c r="U39" t="s">
        <v>46</v>
      </c>
      <c r="V39" t="s">
        <v>36</v>
      </c>
      <c r="W39" t="s">
        <v>37</v>
      </c>
      <c r="X39" s="24">
        <v>6.7796610169491522</v>
      </c>
      <c r="Y39" s="24">
        <v>93.220338983050837</v>
      </c>
      <c r="Z39" t="s">
        <v>38</v>
      </c>
      <c r="AA39" t="s">
        <v>39</v>
      </c>
      <c r="AB39" t="s">
        <v>40</v>
      </c>
      <c r="AC39" s="24">
        <v>-1.150000000000001E-2</v>
      </c>
    </row>
    <row r="40" spans="1:29" x14ac:dyDescent="0.3">
      <c r="A40" s="2">
        <v>39</v>
      </c>
      <c r="B40" s="1">
        <v>40545</v>
      </c>
      <c r="C40" s="2">
        <v>1</v>
      </c>
      <c r="D40" s="2">
        <v>15</v>
      </c>
      <c r="E40" t="b">
        <v>0</v>
      </c>
      <c r="F40" s="2">
        <v>0</v>
      </c>
      <c r="G40" s="2">
        <v>3</v>
      </c>
      <c r="H40" s="23">
        <v>0.34</v>
      </c>
      <c r="I40" s="25">
        <v>0.33329999999999999</v>
      </c>
      <c r="J40" s="23">
        <v>0.81</v>
      </c>
      <c r="K40" s="25">
        <v>0.16420000000000001</v>
      </c>
      <c r="L40" s="2">
        <v>19</v>
      </c>
      <c r="M40" s="2">
        <v>55</v>
      </c>
      <c r="N40" s="2">
        <v>74</v>
      </c>
      <c r="O40" t="s">
        <v>29</v>
      </c>
      <c r="P40" t="s">
        <v>52</v>
      </c>
      <c r="Q40" t="s">
        <v>51</v>
      </c>
      <c r="R40" t="s">
        <v>47</v>
      </c>
      <c r="S40" t="s">
        <v>44</v>
      </c>
      <c r="T40" t="s">
        <v>34</v>
      </c>
      <c r="U40" t="s">
        <v>46</v>
      </c>
      <c r="V40" t="s">
        <v>36</v>
      </c>
      <c r="W40" t="s">
        <v>37</v>
      </c>
      <c r="X40" s="24">
        <v>25.67567567567567</v>
      </c>
      <c r="Y40" s="24">
        <v>74.324324324324323</v>
      </c>
      <c r="Z40" t="s">
        <v>38</v>
      </c>
      <c r="AA40" t="s">
        <v>39</v>
      </c>
      <c r="AB40" t="s">
        <v>40</v>
      </c>
      <c r="AC40" s="24">
        <v>-6.7000000000000393E-3</v>
      </c>
    </row>
    <row r="41" spans="1:29" x14ac:dyDescent="0.3">
      <c r="A41" s="2">
        <v>40</v>
      </c>
      <c r="B41" s="1">
        <v>40545</v>
      </c>
      <c r="C41" s="2">
        <v>1</v>
      </c>
      <c r="D41" s="2">
        <v>16</v>
      </c>
      <c r="E41" t="b">
        <v>0</v>
      </c>
      <c r="F41" s="2">
        <v>0</v>
      </c>
      <c r="G41" s="2">
        <v>3</v>
      </c>
      <c r="H41" s="23">
        <v>0.34</v>
      </c>
      <c r="I41" s="25">
        <v>0.33329999999999999</v>
      </c>
      <c r="J41" s="23">
        <v>0.71</v>
      </c>
      <c r="K41" s="25">
        <v>0.16420000000000001</v>
      </c>
      <c r="L41" s="2">
        <v>9</v>
      </c>
      <c r="M41" s="2">
        <v>67</v>
      </c>
      <c r="N41" s="2">
        <v>76</v>
      </c>
      <c r="O41" t="s">
        <v>29</v>
      </c>
      <c r="P41" t="s">
        <v>52</v>
      </c>
      <c r="Q41" t="s">
        <v>51</v>
      </c>
      <c r="R41" t="s">
        <v>47</v>
      </c>
      <c r="S41" t="s">
        <v>44</v>
      </c>
      <c r="T41" t="s">
        <v>34</v>
      </c>
      <c r="U41" t="s">
        <v>46</v>
      </c>
      <c r="V41" t="s">
        <v>36</v>
      </c>
      <c r="W41" t="s">
        <v>37</v>
      </c>
      <c r="X41" s="24">
        <v>11.84210526315789</v>
      </c>
      <c r="Y41" s="24">
        <v>88.157894736842096</v>
      </c>
      <c r="Z41" t="s">
        <v>38</v>
      </c>
      <c r="AA41" t="s">
        <v>39</v>
      </c>
      <c r="AB41" t="s">
        <v>40</v>
      </c>
      <c r="AC41" s="24">
        <v>-6.7000000000000393E-3</v>
      </c>
    </row>
    <row r="42" spans="1:29" x14ac:dyDescent="0.3">
      <c r="A42" s="2">
        <v>149</v>
      </c>
      <c r="B42" s="1">
        <v>40550</v>
      </c>
      <c r="C42" s="2">
        <v>1</v>
      </c>
      <c r="D42" s="2">
        <v>11</v>
      </c>
      <c r="E42" t="b">
        <v>0</v>
      </c>
      <c r="F42" s="2">
        <v>5</v>
      </c>
      <c r="G42" s="2">
        <v>2</v>
      </c>
      <c r="H42" s="23">
        <v>0.2</v>
      </c>
      <c r="I42" s="25">
        <v>0.19700000000000001</v>
      </c>
      <c r="J42" s="23">
        <v>0.4</v>
      </c>
      <c r="K42" s="25">
        <v>0.22389999999999999</v>
      </c>
      <c r="L42" s="2">
        <v>19</v>
      </c>
      <c r="M42" s="2">
        <v>48</v>
      </c>
      <c r="N42" s="2">
        <v>67</v>
      </c>
      <c r="O42" t="s">
        <v>29</v>
      </c>
      <c r="P42" t="s">
        <v>59</v>
      </c>
      <c r="Q42" t="s">
        <v>41</v>
      </c>
      <c r="R42" t="s">
        <v>42</v>
      </c>
      <c r="S42" t="s">
        <v>33</v>
      </c>
      <c r="T42" t="s">
        <v>49</v>
      </c>
      <c r="U42" t="s">
        <v>46</v>
      </c>
      <c r="V42" t="s">
        <v>36</v>
      </c>
      <c r="W42" t="s">
        <v>37</v>
      </c>
      <c r="X42" s="24">
        <v>28.35820895522388</v>
      </c>
      <c r="Y42" s="24">
        <v>71.641791044776113</v>
      </c>
      <c r="Z42" t="s">
        <v>38</v>
      </c>
      <c r="AA42" t="s">
        <v>39</v>
      </c>
      <c r="AB42" t="s">
        <v>38</v>
      </c>
      <c r="AC42" s="24">
        <v>-3.0000000000000031E-3</v>
      </c>
    </row>
    <row r="43" spans="1:29" x14ac:dyDescent="0.3">
      <c r="A43" s="2">
        <v>152</v>
      </c>
      <c r="B43" s="1">
        <v>40550</v>
      </c>
      <c r="C43" s="2">
        <v>1</v>
      </c>
      <c r="D43" s="2">
        <v>14</v>
      </c>
      <c r="E43" t="b">
        <v>0</v>
      </c>
      <c r="F43" s="2">
        <v>5</v>
      </c>
      <c r="G43" s="2">
        <v>2</v>
      </c>
      <c r="H43" s="23">
        <v>0.2</v>
      </c>
      <c r="I43" s="25">
        <v>0.19700000000000001</v>
      </c>
      <c r="J43" s="23">
        <v>0.4</v>
      </c>
      <c r="K43" s="25">
        <v>0.25369999999999998</v>
      </c>
      <c r="L43" s="2">
        <v>7</v>
      </c>
      <c r="M43" s="2">
        <v>43</v>
      </c>
      <c r="N43" s="2">
        <v>50</v>
      </c>
      <c r="O43" t="s">
        <v>29</v>
      </c>
      <c r="P43" t="s">
        <v>59</v>
      </c>
      <c r="Q43" t="s">
        <v>41</v>
      </c>
      <c r="R43" t="s">
        <v>47</v>
      </c>
      <c r="S43" t="s">
        <v>33</v>
      </c>
      <c r="T43" t="s">
        <v>49</v>
      </c>
      <c r="U43" t="s">
        <v>46</v>
      </c>
      <c r="V43" t="s">
        <v>36</v>
      </c>
      <c r="W43" t="s">
        <v>37</v>
      </c>
      <c r="X43" s="24">
        <v>14</v>
      </c>
      <c r="Y43" s="24">
        <v>86</v>
      </c>
      <c r="Z43" t="s">
        <v>38</v>
      </c>
      <c r="AA43" t="s">
        <v>39</v>
      </c>
      <c r="AB43" t="s">
        <v>38</v>
      </c>
      <c r="AC43" s="24">
        <v>-3.0000000000000031E-3</v>
      </c>
    </row>
    <row r="44" spans="1:29" x14ac:dyDescent="0.3">
      <c r="A44" s="2">
        <v>156</v>
      </c>
      <c r="B44" s="1">
        <v>40550</v>
      </c>
      <c r="C44" s="2">
        <v>1</v>
      </c>
      <c r="D44" s="2">
        <v>18</v>
      </c>
      <c r="E44" t="b">
        <v>0</v>
      </c>
      <c r="F44" s="2">
        <v>5</v>
      </c>
      <c r="G44" s="2">
        <v>1</v>
      </c>
      <c r="H44" s="23">
        <v>0.2</v>
      </c>
      <c r="I44" s="25">
        <v>0.2273</v>
      </c>
      <c r="J44" s="23">
        <v>0.4</v>
      </c>
      <c r="K44" s="25">
        <v>8.9599999999999999E-2</v>
      </c>
      <c r="L44" s="2">
        <v>7</v>
      </c>
      <c r="M44" s="2">
        <v>116</v>
      </c>
      <c r="N44" s="2">
        <v>123</v>
      </c>
      <c r="O44" t="s">
        <v>29</v>
      </c>
      <c r="P44" t="s">
        <v>59</v>
      </c>
      <c r="Q44" t="s">
        <v>31</v>
      </c>
      <c r="R44" t="s">
        <v>50</v>
      </c>
      <c r="S44" t="s">
        <v>33</v>
      </c>
      <c r="T44" t="s">
        <v>49</v>
      </c>
      <c r="U44" t="s">
        <v>35</v>
      </c>
      <c r="V44" t="s">
        <v>36</v>
      </c>
      <c r="W44" t="s">
        <v>37</v>
      </c>
      <c r="X44" s="24">
        <v>5.6910569105691051</v>
      </c>
      <c r="Y44" s="24">
        <v>94.308943089430898</v>
      </c>
      <c r="Z44" t="s">
        <v>40</v>
      </c>
      <c r="AA44" t="s">
        <v>49</v>
      </c>
      <c r="AB44" t="s">
        <v>38</v>
      </c>
      <c r="AC44" s="24">
        <v>2.7299999999999991E-2</v>
      </c>
    </row>
    <row r="45" spans="1:29" x14ac:dyDescent="0.3">
      <c r="A45" s="2">
        <v>44</v>
      </c>
      <c r="B45" s="1">
        <v>40545</v>
      </c>
      <c r="C45" s="2">
        <v>1</v>
      </c>
      <c r="D45" s="2">
        <v>20</v>
      </c>
      <c r="E45" t="b">
        <v>0</v>
      </c>
      <c r="F45" s="2">
        <v>0</v>
      </c>
      <c r="G45" s="2">
        <v>1</v>
      </c>
      <c r="H45" s="23">
        <v>0.3</v>
      </c>
      <c r="I45" s="25">
        <v>0.28789999999999999</v>
      </c>
      <c r="J45" s="23">
        <v>0.39</v>
      </c>
      <c r="K45" s="25">
        <v>0.35820000000000002</v>
      </c>
      <c r="L45" s="2">
        <v>5</v>
      </c>
      <c r="M45" s="2">
        <v>17</v>
      </c>
      <c r="N45" s="2">
        <v>22</v>
      </c>
      <c r="O45" t="s">
        <v>29</v>
      </c>
      <c r="P45" t="s">
        <v>52</v>
      </c>
      <c r="Q45" t="s">
        <v>31</v>
      </c>
      <c r="R45" t="s">
        <v>50</v>
      </c>
      <c r="S45" t="s">
        <v>44</v>
      </c>
      <c r="T45" t="s">
        <v>39</v>
      </c>
      <c r="U45" t="s">
        <v>53</v>
      </c>
      <c r="V45" t="s">
        <v>36</v>
      </c>
      <c r="W45" t="s">
        <v>37</v>
      </c>
      <c r="X45" s="24">
        <v>22.72727272727273</v>
      </c>
      <c r="Y45" s="24">
        <v>77.272727272727266</v>
      </c>
      <c r="Z45" t="s">
        <v>38</v>
      </c>
      <c r="AA45" t="s">
        <v>39</v>
      </c>
      <c r="AB45" t="s">
        <v>40</v>
      </c>
      <c r="AC45" s="24">
        <v>-1.21E-2</v>
      </c>
    </row>
    <row r="46" spans="1:29" x14ac:dyDescent="0.3">
      <c r="A46" s="2">
        <v>197</v>
      </c>
      <c r="B46" s="1">
        <v>40552</v>
      </c>
      <c r="C46" s="2">
        <v>1</v>
      </c>
      <c r="D46" s="2">
        <v>11</v>
      </c>
      <c r="E46" t="b">
        <v>0</v>
      </c>
      <c r="F46" s="2">
        <v>0</v>
      </c>
      <c r="G46" s="2">
        <v>1</v>
      </c>
      <c r="H46" s="23">
        <v>0.16</v>
      </c>
      <c r="I46" s="25">
        <v>0.1212</v>
      </c>
      <c r="J46" s="23">
        <v>0.4</v>
      </c>
      <c r="K46" s="25">
        <v>0.52239999999999998</v>
      </c>
      <c r="L46" s="2">
        <v>2</v>
      </c>
      <c r="M46" s="2">
        <v>47</v>
      </c>
      <c r="N46" s="2">
        <v>49</v>
      </c>
      <c r="O46" t="s">
        <v>29</v>
      </c>
      <c r="P46" t="s">
        <v>52</v>
      </c>
      <c r="Q46" t="s">
        <v>31</v>
      </c>
      <c r="R46" t="s">
        <v>42</v>
      </c>
      <c r="S46" t="s">
        <v>33</v>
      </c>
      <c r="T46" t="s">
        <v>49</v>
      </c>
      <c r="U46" t="s">
        <v>53</v>
      </c>
      <c r="V46" t="s">
        <v>36</v>
      </c>
      <c r="W46" t="s">
        <v>37</v>
      </c>
      <c r="X46" s="24">
        <v>4.0816326530612246</v>
      </c>
      <c r="Y46" s="24">
        <v>95.918367346938766</v>
      </c>
      <c r="Z46" t="s">
        <v>38</v>
      </c>
      <c r="AA46" t="s">
        <v>39</v>
      </c>
      <c r="AB46" t="s">
        <v>40</v>
      </c>
      <c r="AC46" s="24">
        <v>-3.8800000000000001E-2</v>
      </c>
    </row>
    <row r="47" spans="1:29" x14ac:dyDescent="0.3">
      <c r="A47" s="2">
        <v>204</v>
      </c>
      <c r="B47" s="1">
        <v>40552</v>
      </c>
      <c r="C47" s="2">
        <v>1</v>
      </c>
      <c r="D47" s="2">
        <v>18</v>
      </c>
      <c r="E47" t="b">
        <v>0</v>
      </c>
      <c r="F47" s="2">
        <v>0</v>
      </c>
      <c r="G47" s="2">
        <v>1</v>
      </c>
      <c r="H47" s="23">
        <v>0.16</v>
      </c>
      <c r="I47" s="25">
        <v>0.13639999999999999</v>
      </c>
      <c r="J47" s="23">
        <v>0.4</v>
      </c>
      <c r="K47" s="25">
        <v>0.32840000000000003</v>
      </c>
      <c r="L47" s="2">
        <v>4</v>
      </c>
      <c r="M47" s="2">
        <v>44</v>
      </c>
      <c r="N47" s="2">
        <v>48</v>
      </c>
      <c r="O47" t="s">
        <v>29</v>
      </c>
      <c r="P47" t="s">
        <v>52</v>
      </c>
      <c r="Q47" t="s">
        <v>31</v>
      </c>
      <c r="R47" t="s">
        <v>50</v>
      </c>
      <c r="S47" t="s">
        <v>33</v>
      </c>
      <c r="T47" t="s">
        <v>49</v>
      </c>
      <c r="U47" t="s">
        <v>53</v>
      </c>
      <c r="V47" t="s">
        <v>36</v>
      </c>
      <c r="W47" t="s">
        <v>37</v>
      </c>
      <c r="X47" s="24">
        <v>8.3333333333333321</v>
      </c>
      <c r="Y47" s="24">
        <v>91.666666666666657</v>
      </c>
      <c r="Z47" t="s">
        <v>40</v>
      </c>
      <c r="AA47" t="s">
        <v>39</v>
      </c>
      <c r="AB47" t="s">
        <v>40</v>
      </c>
      <c r="AC47" s="24">
        <v>-2.360000000000001E-2</v>
      </c>
    </row>
    <row r="48" spans="1:29" x14ac:dyDescent="0.3">
      <c r="A48" s="2">
        <v>222</v>
      </c>
      <c r="B48" s="1">
        <v>40553</v>
      </c>
      <c r="C48" s="2">
        <v>1</v>
      </c>
      <c r="D48" s="2">
        <v>12</v>
      </c>
      <c r="E48" t="b">
        <v>0</v>
      </c>
      <c r="F48" s="2">
        <v>1</v>
      </c>
      <c r="G48" s="2">
        <v>2</v>
      </c>
      <c r="H48" s="23">
        <v>0.2</v>
      </c>
      <c r="I48" s="25">
        <v>0.18179999999999999</v>
      </c>
      <c r="J48" s="23">
        <v>0.4</v>
      </c>
      <c r="K48" s="25">
        <v>0.28360000000000002</v>
      </c>
      <c r="L48" s="2">
        <v>5</v>
      </c>
      <c r="M48" s="2">
        <v>47</v>
      </c>
      <c r="N48" s="2">
        <v>52</v>
      </c>
      <c r="O48" t="s">
        <v>29</v>
      </c>
      <c r="P48" t="s">
        <v>54</v>
      </c>
      <c r="Q48" t="s">
        <v>41</v>
      </c>
      <c r="R48" t="s">
        <v>47</v>
      </c>
      <c r="S48" t="s">
        <v>33</v>
      </c>
      <c r="T48" t="s">
        <v>49</v>
      </c>
      <c r="U48" t="s">
        <v>46</v>
      </c>
      <c r="V48" t="s">
        <v>36</v>
      </c>
      <c r="W48" t="s">
        <v>37</v>
      </c>
      <c r="X48" s="24">
        <v>9.6153846153846168</v>
      </c>
      <c r="Y48" s="24">
        <v>90.384615384615387</v>
      </c>
      <c r="Z48" t="s">
        <v>38</v>
      </c>
      <c r="AA48" t="s">
        <v>39</v>
      </c>
      <c r="AB48" t="s">
        <v>38</v>
      </c>
      <c r="AC48" s="24">
        <v>-1.8200000000000022E-2</v>
      </c>
    </row>
    <row r="49" spans="1:29" x14ac:dyDescent="0.3">
      <c r="A49" s="2">
        <v>223</v>
      </c>
      <c r="B49" s="1">
        <v>40553</v>
      </c>
      <c r="C49" s="2">
        <v>1</v>
      </c>
      <c r="D49" s="2">
        <v>13</v>
      </c>
      <c r="E49" t="b">
        <v>0</v>
      </c>
      <c r="F49" s="2">
        <v>1</v>
      </c>
      <c r="G49" s="2">
        <v>2</v>
      </c>
      <c r="H49" s="23">
        <v>0.2</v>
      </c>
      <c r="I49" s="25">
        <v>0.18179999999999999</v>
      </c>
      <c r="J49" s="23">
        <v>0.4</v>
      </c>
      <c r="K49" s="25">
        <v>0.28360000000000002</v>
      </c>
      <c r="L49" s="2">
        <v>4</v>
      </c>
      <c r="M49" s="2">
        <v>50</v>
      </c>
      <c r="N49" s="2">
        <v>54</v>
      </c>
      <c r="O49" t="s">
        <v>29</v>
      </c>
      <c r="P49" t="s">
        <v>54</v>
      </c>
      <c r="Q49" t="s">
        <v>41</v>
      </c>
      <c r="R49" t="s">
        <v>47</v>
      </c>
      <c r="S49" t="s">
        <v>33</v>
      </c>
      <c r="T49" t="s">
        <v>49</v>
      </c>
      <c r="U49" t="s">
        <v>46</v>
      </c>
      <c r="V49" t="s">
        <v>36</v>
      </c>
      <c r="W49" t="s">
        <v>37</v>
      </c>
      <c r="X49" s="24">
        <v>7.4074074074074074</v>
      </c>
      <c r="Y49" s="24">
        <v>92.592592592592595</v>
      </c>
      <c r="Z49" t="s">
        <v>38</v>
      </c>
      <c r="AA49" t="s">
        <v>39</v>
      </c>
      <c r="AB49" t="s">
        <v>38</v>
      </c>
      <c r="AC49" s="24">
        <v>-1.8200000000000022E-2</v>
      </c>
    </row>
    <row r="50" spans="1:29" x14ac:dyDescent="0.3">
      <c r="A50" s="2">
        <v>224</v>
      </c>
      <c r="B50" s="1">
        <v>40553</v>
      </c>
      <c r="C50" s="2">
        <v>1</v>
      </c>
      <c r="D50" s="2">
        <v>14</v>
      </c>
      <c r="E50" t="b">
        <v>0</v>
      </c>
      <c r="F50" s="2">
        <v>1</v>
      </c>
      <c r="G50" s="2">
        <v>2</v>
      </c>
      <c r="H50" s="23">
        <v>0.2</v>
      </c>
      <c r="I50" s="25">
        <v>0.19700000000000001</v>
      </c>
      <c r="J50" s="23">
        <v>0.4</v>
      </c>
      <c r="K50" s="25">
        <v>0.22389999999999999</v>
      </c>
      <c r="L50" s="2">
        <v>0</v>
      </c>
      <c r="M50" s="2">
        <v>47</v>
      </c>
      <c r="N50" s="2">
        <v>47</v>
      </c>
      <c r="O50" t="s">
        <v>29</v>
      </c>
      <c r="P50" t="s">
        <v>54</v>
      </c>
      <c r="Q50" t="s">
        <v>41</v>
      </c>
      <c r="R50" t="s">
        <v>47</v>
      </c>
      <c r="S50" t="s">
        <v>33</v>
      </c>
      <c r="T50" t="s">
        <v>49</v>
      </c>
      <c r="U50" t="s">
        <v>46</v>
      </c>
      <c r="V50" t="s">
        <v>36</v>
      </c>
      <c r="W50" t="s">
        <v>37</v>
      </c>
      <c r="X50" s="24">
        <v>0</v>
      </c>
      <c r="Y50" s="24">
        <v>100</v>
      </c>
      <c r="Z50" t="s">
        <v>38</v>
      </c>
      <c r="AA50" t="s">
        <v>39</v>
      </c>
      <c r="AB50" t="s">
        <v>38</v>
      </c>
      <c r="AC50" s="24">
        <v>-3.0000000000000031E-3</v>
      </c>
    </row>
    <row r="51" spans="1:29" x14ac:dyDescent="0.3">
      <c r="A51" s="2">
        <v>225</v>
      </c>
      <c r="B51" s="1">
        <v>40553</v>
      </c>
      <c r="C51" s="2">
        <v>1</v>
      </c>
      <c r="D51" s="2">
        <v>15</v>
      </c>
      <c r="E51" t="b">
        <v>0</v>
      </c>
      <c r="F51" s="2">
        <v>1</v>
      </c>
      <c r="G51" s="2">
        <v>2</v>
      </c>
      <c r="H51" s="23">
        <v>0.2</v>
      </c>
      <c r="I51" s="25">
        <v>0.19700000000000001</v>
      </c>
      <c r="J51" s="23">
        <v>0.4</v>
      </c>
      <c r="K51" s="25">
        <v>0.22389999999999999</v>
      </c>
      <c r="L51" s="2">
        <v>2</v>
      </c>
      <c r="M51" s="2">
        <v>43</v>
      </c>
      <c r="N51" s="2">
        <v>45</v>
      </c>
      <c r="O51" t="s">
        <v>29</v>
      </c>
      <c r="P51" t="s">
        <v>54</v>
      </c>
      <c r="Q51" t="s">
        <v>41</v>
      </c>
      <c r="R51" t="s">
        <v>47</v>
      </c>
      <c r="S51" t="s">
        <v>33</v>
      </c>
      <c r="T51" t="s">
        <v>49</v>
      </c>
      <c r="U51" t="s">
        <v>46</v>
      </c>
      <c r="V51" t="s">
        <v>36</v>
      </c>
      <c r="W51" t="s">
        <v>37</v>
      </c>
      <c r="X51" s="24">
        <v>4.4444444444444446</v>
      </c>
      <c r="Y51" s="24">
        <v>95.555555555555557</v>
      </c>
      <c r="Z51" t="s">
        <v>38</v>
      </c>
      <c r="AA51" t="s">
        <v>39</v>
      </c>
      <c r="AB51" t="s">
        <v>38</v>
      </c>
      <c r="AC51" s="24">
        <v>-3.0000000000000031E-3</v>
      </c>
    </row>
    <row r="52" spans="1:29" x14ac:dyDescent="0.3">
      <c r="A52" s="2">
        <v>226</v>
      </c>
      <c r="B52" s="1">
        <v>40553</v>
      </c>
      <c r="C52" s="2">
        <v>1</v>
      </c>
      <c r="D52" s="2">
        <v>16</v>
      </c>
      <c r="E52" t="b">
        <v>0</v>
      </c>
      <c r="F52" s="2">
        <v>1</v>
      </c>
      <c r="G52" s="2">
        <v>1</v>
      </c>
      <c r="H52" s="23">
        <v>0.2</v>
      </c>
      <c r="I52" s="25">
        <v>0.21210000000000001</v>
      </c>
      <c r="J52" s="23">
        <v>0.4</v>
      </c>
      <c r="K52" s="25">
        <v>0.1343</v>
      </c>
      <c r="L52" s="2">
        <v>4</v>
      </c>
      <c r="M52" s="2">
        <v>70</v>
      </c>
      <c r="N52" s="2">
        <v>74</v>
      </c>
      <c r="O52" t="s">
        <v>29</v>
      </c>
      <c r="P52" t="s">
        <v>54</v>
      </c>
      <c r="Q52" t="s">
        <v>31</v>
      </c>
      <c r="R52" t="s">
        <v>47</v>
      </c>
      <c r="S52" t="s">
        <v>33</v>
      </c>
      <c r="T52" t="s">
        <v>49</v>
      </c>
      <c r="U52" t="s">
        <v>35</v>
      </c>
      <c r="V52" t="s">
        <v>36</v>
      </c>
      <c r="W52" t="s">
        <v>37</v>
      </c>
      <c r="X52" s="24">
        <v>5.4054054054054053</v>
      </c>
      <c r="Y52" s="24">
        <v>94.594594594594597</v>
      </c>
      <c r="Z52" t="s">
        <v>38</v>
      </c>
      <c r="AA52" t="s">
        <v>39</v>
      </c>
      <c r="AB52" t="s">
        <v>38</v>
      </c>
      <c r="AC52" s="24">
        <v>1.21E-2</v>
      </c>
    </row>
    <row r="53" spans="1:29" x14ac:dyDescent="0.3">
      <c r="A53" s="2">
        <v>227</v>
      </c>
      <c r="B53" s="1">
        <v>40553</v>
      </c>
      <c r="C53" s="2">
        <v>1</v>
      </c>
      <c r="D53" s="2">
        <v>17</v>
      </c>
      <c r="E53" t="b">
        <v>0</v>
      </c>
      <c r="F53" s="2">
        <v>1</v>
      </c>
      <c r="G53" s="2">
        <v>1</v>
      </c>
      <c r="H53" s="23">
        <v>0.2</v>
      </c>
      <c r="I53" s="25">
        <v>0.2273</v>
      </c>
      <c r="J53" s="23">
        <v>0.4</v>
      </c>
      <c r="K53" s="25">
        <v>0.1045</v>
      </c>
      <c r="L53" s="2">
        <v>4</v>
      </c>
      <c r="M53" s="2">
        <v>174</v>
      </c>
      <c r="N53" s="2">
        <v>178</v>
      </c>
      <c r="O53" t="s">
        <v>29</v>
      </c>
      <c r="P53" t="s">
        <v>54</v>
      </c>
      <c r="Q53" t="s">
        <v>31</v>
      </c>
      <c r="R53" t="s">
        <v>50</v>
      </c>
      <c r="S53" t="s">
        <v>33</v>
      </c>
      <c r="T53" t="s">
        <v>49</v>
      </c>
      <c r="U53" t="s">
        <v>35</v>
      </c>
      <c r="V53" t="s">
        <v>36</v>
      </c>
      <c r="W53" t="s">
        <v>37</v>
      </c>
      <c r="X53" s="24">
        <v>2.2471910112359552</v>
      </c>
      <c r="Y53" s="24">
        <v>97.752808988764045</v>
      </c>
      <c r="Z53" t="s">
        <v>40</v>
      </c>
      <c r="AA53" t="s">
        <v>49</v>
      </c>
      <c r="AB53" t="s">
        <v>38</v>
      </c>
      <c r="AC53" s="24">
        <v>2.7299999999999991E-2</v>
      </c>
    </row>
    <row r="54" spans="1:29" x14ac:dyDescent="0.3">
      <c r="A54" s="2">
        <v>228</v>
      </c>
      <c r="B54" s="1">
        <v>40553</v>
      </c>
      <c r="C54" s="2">
        <v>1</v>
      </c>
      <c r="D54" s="2">
        <v>18</v>
      </c>
      <c r="E54" t="b">
        <v>0</v>
      </c>
      <c r="F54" s="2">
        <v>1</v>
      </c>
      <c r="G54" s="2">
        <v>1</v>
      </c>
      <c r="H54" s="23">
        <v>0.2</v>
      </c>
      <c r="I54" s="25">
        <v>0.19700000000000001</v>
      </c>
      <c r="J54" s="23">
        <v>0.4</v>
      </c>
      <c r="K54" s="25">
        <v>0.22389999999999999</v>
      </c>
      <c r="L54" s="2">
        <v>1</v>
      </c>
      <c r="M54" s="2">
        <v>154</v>
      </c>
      <c r="N54" s="2">
        <v>155</v>
      </c>
      <c r="O54" t="s">
        <v>29</v>
      </c>
      <c r="P54" t="s">
        <v>54</v>
      </c>
      <c r="Q54" t="s">
        <v>31</v>
      </c>
      <c r="R54" t="s">
        <v>50</v>
      </c>
      <c r="S54" t="s">
        <v>33</v>
      </c>
      <c r="T54" t="s">
        <v>49</v>
      </c>
      <c r="U54" t="s">
        <v>46</v>
      </c>
      <c r="V54" t="s">
        <v>36</v>
      </c>
      <c r="W54" t="s">
        <v>37</v>
      </c>
      <c r="X54" s="24">
        <v>0.64516129032258063</v>
      </c>
      <c r="Y54" s="24">
        <v>99.354838709677423</v>
      </c>
      <c r="Z54" t="s">
        <v>40</v>
      </c>
      <c r="AA54" t="s">
        <v>49</v>
      </c>
      <c r="AB54" t="s">
        <v>38</v>
      </c>
      <c r="AC54" s="24">
        <v>-3.0000000000000031E-3</v>
      </c>
    </row>
    <row r="55" spans="1:29" x14ac:dyDescent="0.3">
      <c r="A55" s="2">
        <v>295</v>
      </c>
      <c r="B55" s="1">
        <v>40556</v>
      </c>
      <c r="C55" s="2">
        <v>1</v>
      </c>
      <c r="D55" s="2">
        <v>17</v>
      </c>
      <c r="E55" t="b">
        <v>0</v>
      </c>
      <c r="F55" s="2">
        <v>4</v>
      </c>
      <c r="G55" s="2">
        <v>1</v>
      </c>
      <c r="H55" s="23">
        <v>0.2</v>
      </c>
      <c r="I55" s="25">
        <v>0.18179999999999999</v>
      </c>
      <c r="J55" s="23">
        <v>0.4</v>
      </c>
      <c r="K55" s="25">
        <v>0.28360000000000002</v>
      </c>
      <c r="L55" s="2">
        <v>4</v>
      </c>
      <c r="M55" s="2">
        <v>158</v>
      </c>
      <c r="N55" s="2">
        <v>162</v>
      </c>
      <c r="O55" t="s">
        <v>29</v>
      </c>
      <c r="P55" t="s">
        <v>58</v>
      </c>
      <c r="Q55" t="s">
        <v>31</v>
      </c>
      <c r="R55" t="s">
        <v>50</v>
      </c>
      <c r="S55" t="s">
        <v>33</v>
      </c>
      <c r="T55" t="s">
        <v>49</v>
      </c>
      <c r="U55" t="s">
        <v>46</v>
      </c>
      <c r="V55" t="s">
        <v>36</v>
      </c>
      <c r="W55" t="s">
        <v>37</v>
      </c>
      <c r="X55" s="24">
        <v>2.4691358024691361</v>
      </c>
      <c r="Y55" s="24">
        <v>97.53086419753086</v>
      </c>
      <c r="Z55" t="s">
        <v>40</v>
      </c>
      <c r="AA55" t="s">
        <v>49</v>
      </c>
      <c r="AB55" t="s">
        <v>38</v>
      </c>
      <c r="AC55" s="24">
        <v>-1.8200000000000022E-2</v>
      </c>
    </row>
    <row r="56" spans="1:29" x14ac:dyDescent="0.3">
      <c r="A56" s="2">
        <v>296</v>
      </c>
      <c r="B56" s="1">
        <v>40556</v>
      </c>
      <c r="C56" s="2">
        <v>1</v>
      </c>
      <c r="D56" s="2">
        <v>18</v>
      </c>
      <c r="E56" t="b">
        <v>0</v>
      </c>
      <c r="F56" s="2">
        <v>4</v>
      </c>
      <c r="G56" s="2">
        <v>1</v>
      </c>
      <c r="H56" s="23">
        <v>0.2</v>
      </c>
      <c r="I56" s="25">
        <v>0.18179999999999999</v>
      </c>
      <c r="J56" s="23">
        <v>0.4</v>
      </c>
      <c r="K56" s="25">
        <v>0.32840000000000003</v>
      </c>
      <c r="L56" s="2">
        <v>3</v>
      </c>
      <c r="M56" s="2">
        <v>141</v>
      </c>
      <c r="N56" s="2">
        <v>144</v>
      </c>
      <c r="O56" t="s">
        <v>29</v>
      </c>
      <c r="P56" t="s">
        <v>58</v>
      </c>
      <c r="Q56" t="s">
        <v>31</v>
      </c>
      <c r="R56" t="s">
        <v>50</v>
      </c>
      <c r="S56" t="s">
        <v>33</v>
      </c>
      <c r="T56" t="s">
        <v>49</v>
      </c>
      <c r="U56" t="s">
        <v>53</v>
      </c>
      <c r="V56" t="s">
        <v>36</v>
      </c>
      <c r="W56" t="s">
        <v>37</v>
      </c>
      <c r="X56" s="24">
        <v>2.083333333333333</v>
      </c>
      <c r="Y56" s="24">
        <v>97.916666666666657</v>
      </c>
      <c r="Z56" t="s">
        <v>40</v>
      </c>
      <c r="AA56" t="s">
        <v>49</v>
      </c>
      <c r="AB56" t="s">
        <v>38</v>
      </c>
      <c r="AC56" s="24">
        <v>-1.8200000000000022E-2</v>
      </c>
    </row>
    <row r="57" spans="1:29" x14ac:dyDescent="0.3">
      <c r="A57" s="2">
        <v>367</v>
      </c>
      <c r="B57" s="1">
        <v>40559</v>
      </c>
      <c r="C57" s="2">
        <v>1</v>
      </c>
      <c r="D57" s="2">
        <v>18</v>
      </c>
      <c r="E57" t="b">
        <v>0</v>
      </c>
      <c r="F57" s="2">
        <v>0</v>
      </c>
      <c r="G57" s="2">
        <v>1</v>
      </c>
      <c r="H57" s="23">
        <v>0.2</v>
      </c>
      <c r="I57" s="25">
        <v>0.21210000000000001</v>
      </c>
      <c r="J57" s="23">
        <v>0.4</v>
      </c>
      <c r="K57" s="25">
        <v>0.16420000000000001</v>
      </c>
      <c r="L57" s="2">
        <v>11</v>
      </c>
      <c r="M57" s="2">
        <v>56</v>
      </c>
      <c r="N57" s="2">
        <v>67</v>
      </c>
      <c r="O57" t="s">
        <v>29</v>
      </c>
      <c r="P57" t="s">
        <v>52</v>
      </c>
      <c r="Q57" t="s">
        <v>31</v>
      </c>
      <c r="R57" t="s">
        <v>50</v>
      </c>
      <c r="S57" t="s">
        <v>33</v>
      </c>
      <c r="T57" t="s">
        <v>49</v>
      </c>
      <c r="U57" t="s">
        <v>46</v>
      </c>
      <c r="V57" t="s">
        <v>36</v>
      </c>
      <c r="W57" t="s">
        <v>37</v>
      </c>
      <c r="X57" s="24">
        <v>16.417910447761191</v>
      </c>
      <c r="Y57" s="24">
        <v>83.582089552238799</v>
      </c>
      <c r="Z57" t="s">
        <v>40</v>
      </c>
      <c r="AA57" t="s">
        <v>39</v>
      </c>
      <c r="AB57" t="s">
        <v>40</v>
      </c>
      <c r="AC57" s="24">
        <v>1.21E-2</v>
      </c>
    </row>
    <row r="58" spans="1:29" x14ac:dyDescent="0.3">
      <c r="A58" s="2">
        <v>372</v>
      </c>
      <c r="B58" s="1">
        <v>40559</v>
      </c>
      <c r="C58" s="2">
        <v>1</v>
      </c>
      <c r="D58" s="2">
        <v>23</v>
      </c>
      <c r="E58" t="b">
        <v>0</v>
      </c>
      <c r="F58" s="2">
        <v>0</v>
      </c>
      <c r="G58" s="2">
        <v>2</v>
      </c>
      <c r="H58" s="23">
        <v>0.2</v>
      </c>
      <c r="I58" s="25">
        <v>0.2273</v>
      </c>
      <c r="J58" s="23">
        <v>0.4</v>
      </c>
      <c r="K58" s="25">
        <v>0.1045</v>
      </c>
      <c r="L58" s="2">
        <v>0</v>
      </c>
      <c r="M58" s="2">
        <v>18</v>
      </c>
      <c r="N58" s="2">
        <v>18</v>
      </c>
      <c r="O58" t="s">
        <v>29</v>
      </c>
      <c r="P58" t="s">
        <v>52</v>
      </c>
      <c r="Q58" t="s">
        <v>41</v>
      </c>
      <c r="R58" t="s">
        <v>32</v>
      </c>
      <c r="S58" t="s">
        <v>33</v>
      </c>
      <c r="T58" t="s">
        <v>49</v>
      </c>
      <c r="U58" t="s">
        <v>35</v>
      </c>
      <c r="V58" t="s">
        <v>36</v>
      </c>
      <c r="W58" t="s">
        <v>37</v>
      </c>
      <c r="X58" s="24">
        <v>0</v>
      </c>
      <c r="Y58" s="24">
        <v>100</v>
      </c>
      <c r="Z58" t="s">
        <v>38</v>
      </c>
      <c r="AA58" t="s">
        <v>39</v>
      </c>
      <c r="AB58" t="s">
        <v>40</v>
      </c>
      <c r="AC58" s="24">
        <v>2.7299999999999991E-2</v>
      </c>
    </row>
    <row r="59" spans="1:29" x14ac:dyDescent="0.3">
      <c r="A59" s="2">
        <v>58</v>
      </c>
      <c r="B59" s="1">
        <v>40546</v>
      </c>
      <c r="C59" s="2">
        <v>1</v>
      </c>
      <c r="D59" s="2">
        <v>12</v>
      </c>
      <c r="E59" t="b">
        <v>0</v>
      </c>
      <c r="F59" s="2">
        <v>1</v>
      </c>
      <c r="G59" s="2">
        <v>1</v>
      </c>
      <c r="H59" s="23">
        <v>0.22</v>
      </c>
      <c r="I59" s="25">
        <v>0.21210000000000001</v>
      </c>
      <c r="J59" s="23">
        <v>0.35</v>
      </c>
      <c r="K59" s="25">
        <v>0.29849999999999999</v>
      </c>
      <c r="L59" s="2">
        <v>13</v>
      </c>
      <c r="M59" s="2">
        <v>48</v>
      </c>
      <c r="N59" s="2">
        <v>61</v>
      </c>
      <c r="O59" t="s">
        <v>29</v>
      </c>
      <c r="P59" t="s">
        <v>54</v>
      </c>
      <c r="Q59" t="s">
        <v>31</v>
      </c>
      <c r="R59" t="s">
        <v>47</v>
      </c>
      <c r="S59" t="s">
        <v>33</v>
      </c>
      <c r="T59" t="s">
        <v>39</v>
      </c>
      <c r="U59" t="s">
        <v>46</v>
      </c>
      <c r="V59" t="s">
        <v>36</v>
      </c>
      <c r="W59" t="s">
        <v>37</v>
      </c>
      <c r="X59" s="24">
        <v>21.31147540983606</v>
      </c>
      <c r="Y59" s="24">
        <v>78.688524590163937</v>
      </c>
      <c r="Z59" t="s">
        <v>38</v>
      </c>
      <c r="AA59" t="s">
        <v>39</v>
      </c>
      <c r="AB59" t="s">
        <v>38</v>
      </c>
      <c r="AC59" s="24">
        <v>-7.8999999999999904E-3</v>
      </c>
    </row>
    <row r="60" spans="1:29" x14ac:dyDescent="0.3">
      <c r="A60" s="2">
        <v>59</v>
      </c>
      <c r="B60" s="1">
        <v>40546</v>
      </c>
      <c r="C60" s="2">
        <v>1</v>
      </c>
      <c r="D60" s="2">
        <v>13</v>
      </c>
      <c r="E60" t="b">
        <v>0</v>
      </c>
      <c r="F60" s="2">
        <v>1</v>
      </c>
      <c r="G60" s="2">
        <v>1</v>
      </c>
      <c r="H60" s="23">
        <v>0.24</v>
      </c>
      <c r="I60" s="25">
        <v>0.21210000000000001</v>
      </c>
      <c r="J60" s="23">
        <v>0.35</v>
      </c>
      <c r="K60" s="25">
        <v>0.28360000000000002</v>
      </c>
      <c r="L60" s="2">
        <v>8</v>
      </c>
      <c r="M60" s="2">
        <v>53</v>
      </c>
      <c r="N60" s="2">
        <v>61</v>
      </c>
      <c r="O60" t="s">
        <v>29</v>
      </c>
      <c r="P60" t="s">
        <v>54</v>
      </c>
      <c r="Q60" t="s">
        <v>31</v>
      </c>
      <c r="R60" t="s">
        <v>47</v>
      </c>
      <c r="S60" t="s">
        <v>33</v>
      </c>
      <c r="T60" t="s">
        <v>39</v>
      </c>
      <c r="U60" t="s">
        <v>46</v>
      </c>
      <c r="V60" t="s">
        <v>36</v>
      </c>
      <c r="W60" t="s">
        <v>37</v>
      </c>
      <c r="X60" s="24">
        <v>13.11475409836066</v>
      </c>
      <c r="Y60" s="24">
        <v>86.885245901639337</v>
      </c>
      <c r="Z60" t="s">
        <v>38</v>
      </c>
      <c r="AA60" t="s">
        <v>39</v>
      </c>
      <c r="AB60" t="s">
        <v>38</v>
      </c>
      <c r="AC60" s="24">
        <v>-2.789999999999998E-2</v>
      </c>
    </row>
    <row r="61" spans="1:29" x14ac:dyDescent="0.3">
      <c r="A61" s="2">
        <v>60</v>
      </c>
      <c r="B61" s="1">
        <v>40546</v>
      </c>
      <c r="C61" s="2">
        <v>1</v>
      </c>
      <c r="D61" s="2">
        <v>14</v>
      </c>
      <c r="E61" t="b">
        <v>0</v>
      </c>
      <c r="F61" s="2">
        <v>1</v>
      </c>
      <c r="G61" s="2">
        <v>1</v>
      </c>
      <c r="H61" s="23">
        <v>0.26</v>
      </c>
      <c r="I61" s="25">
        <v>0.2424</v>
      </c>
      <c r="J61" s="23">
        <v>0.3</v>
      </c>
      <c r="K61" s="25">
        <v>0.28360000000000002</v>
      </c>
      <c r="L61" s="2">
        <v>11</v>
      </c>
      <c r="M61" s="2">
        <v>66</v>
      </c>
      <c r="N61" s="2">
        <v>77</v>
      </c>
      <c r="O61" t="s">
        <v>29</v>
      </c>
      <c r="P61" t="s">
        <v>54</v>
      </c>
      <c r="Q61" t="s">
        <v>31</v>
      </c>
      <c r="R61" t="s">
        <v>47</v>
      </c>
      <c r="S61" t="s">
        <v>44</v>
      </c>
      <c r="T61" t="s">
        <v>39</v>
      </c>
      <c r="U61" t="s">
        <v>46</v>
      </c>
      <c r="V61" t="s">
        <v>36</v>
      </c>
      <c r="W61" t="s">
        <v>37</v>
      </c>
      <c r="X61" s="24">
        <v>14.285714285714279</v>
      </c>
      <c r="Y61" s="24">
        <v>85.714285714285708</v>
      </c>
      <c r="Z61" t="s">
        <v>38</v>
      </c>
      <c r="AA61" t="s">
        <v>39</v>
      </c>
      <c r="AB61" t="s">
        <v>38</v>
      </c>
      <c r="AC61" s="24">
        <v>-1.7600000000000001E-2</v>
      </c>
    </row>
    <row r="62" spans="1:29" x14ac:dyDescent="0.3">
      <c r="A62" s="2">
        <v>61</v>
      </c>
      <c r="B62" s="1">
        <v>40546</v>
      </c>
      <c r="C62" s="2">
        <v>1</v>
      </c>
      <c r="D62" s="2">
        <v>15</v>
      </c>
      <c r="E62" t="b">
        <v>0</v>
      </c>
      <c r="F62" s="2">
        <v>1</v>
      </c>
      <c r="G62" s="2">
        <v>1</v>
      </c>
      <c r="H62" s="23">
        <v>0.26</v>
      </c>
      <c r="I62" s="25">
        <v>0.2424</v>
      </c>
      <c r="J62" s="23">
        <v>0.3</v>
      </c>
      <c r="K62" s="25">
        <v>0.25369999999999998</v>
      </c>
      <c r="L62" s="2">
        <v>14</v>
      </c>
      <c r="M62" s="2">
        <v>58</v>
      </c>
      <c r="N62" s="2">
        <v>72</v>
      </c>
      <c r="O62" t="s">
        <v>29</v>
      </c>
      <c r="P62" t="s">
        <v>54</v>
      </c>
      <c r="Q62" t="s">
        <v>31</v>
      </c>
      <c r="R62" t="s">
        <v>47</v>
      </c>
      <c r="S62" t="s">
        <v>44</v>
      </c>
      <c r="T62" t="s">
        <v>39</v>
      </c>
      <c r="U62" t="s">
        <v>46</v>
      </c>
      <c r="V62" t="s">
        <v>36</v>
      </c>
      <c r="W62" t="s">
        <v>37</v>
      </c>
      <c r="X62" s="24">
        <v>19.44444444444445</v>
      </c>
      <c r="Y62" s="24">
        <v>80.555555555555557</v>
      </c>
      <c r="Z62" t="s">
        <v>38</v>
      </c>
      <c r="AA62" t="s">
        <v>39</v>
      </c>
      <c r="AB62" t="s">
        <v>38</v>
      </c>
      <c r="AC62" s="24">
        <v>-1.7600000000000001E-2</v>
      </c>
    </row>
    <row r="63" spans="1:29" x14ac:dyDescent="0.3">
      <c r="A63" s="2">
        <v>62</v>
      </c>
      <c r="B63" s="1">
        <v>40546</v>
      </c>
      <c r="C63" s="2">
        <v>1</v>
      </c>
      <c r="D63" s="2">
        <v>16</v>
      </c>
      <c r="E63" t="b">
        <v>0</v>
      </c>
      <c r="F63" s="2">
        <v>1</v>
      </c>
      <c r="G63" s="2">
        <v>1</v>
      </c>
      <c r="H63" s="23">
        <v>0.26</v>
      </c>
      <c r="I63" s="25">
        <v>0.2424</v>
      </c>
      <c r="J63" s="23">
        <v>0.3</v>
      </c>
      <c r="K63" s="25">
        <v>0.25369999999999998</v>
      </c>
      <c r="L63" s="2">
        <v>9</v>
      </c>
      <c r="M63" s="2">
        <v>67</v>
      </c>
      <c r="N63" s="2">
        <v>76</v>
      </c>
      <c r="O63" t="s">
        <v>29</v>
      </c>
      <c r="P63" t="s">
        <v>54</v>
      </c>
      <c r="Q63" t="s">
        <v>31</v>
      </c>
      <c r="R63" t="s">
        <v>47</v>
      </c>
      <c r="S63" t="s">
        <v>44</v>
      </c>
      <c r="T63" t="s">
        <v>39</v>
      </c>
      <c r="U63" t="s">
        <v>46</v>
      </c>
      <c r="V63" t="s">
        <v>36</v>
      </c>
      <c r="W63" t="s">
        <v>37</v>
      </c>
      <c r="X63" s="24">
        <v>11.84210526315789</v>
      </c>
      <c r="Y63" s="24">
        <v>88.157894736842096</v>
      </c>
      <c r="Z63" t="s">
        <v>38</v>
      </c>
      <c r="AA63" t="s">
        <v>39</v>
      </c>
      <c r="AB63" t="s">
        <v>38</v>
      </c>
      <c r="AC63" s="24">
        <v>-1.7600000000000001E-2</v>
      </c>
    </row>
    <row r="64" spans="1:29" x14ac:dyDescent="0.3">
      <c r="A64" s="2">
        <v>63</v>
      </c>
      <c r="B64" s="1">
        <v>40546</v>
      </c>
      <c r="C64" s="2">
        <v>1</v>
      </c>
      <c r="D64" s="2">
        <v>17</v>
      </c>
      <c r="E64" t="b">
        <v>0</v>
      </c>
      <c r="F64" s="2">
        <v>1</v>
      </c>
      <c r="G64" s="2">
        <v>1</v>
      </c>
      <c r="H64" s="23">
        <v>0.24</v>
      </c>
      <c r="I64" s="25">
        <v>0.2273</v>
      </c>
      <c r="J64" s="23">
        <v>0.3</v>
      </c>
      <c r="K64" s="25">
        <v>0.22389999999999999</v>
      </c>
      <c r="L64" s="2">
        <v>11</v>
      </c>
      <c r="M64" s="2">
        <v>146</v>
      </c>
      <c r="N64" s="2">
        <v>157</v>
      </c>
      <c r="O64" t="s">
        <v>29</v>
      </c>
      <c r="P64" t="s">
        <v>54</v>
      </c>
      <c r="Q64" t="s">
        <v>31</v>
      </c>
      <c r="R64" t="s">
        <v>50</v>
      </c>
      <c r="S64" t="s">
        <v>33</v>
      </c>
      <c r="T64" t="s">
        <v>39</v>
      </c>
      <c r="U64" t="s">
        <v>46</v>
      </c>
      <c r="V64" t="s">
        <v>36</v>
      </c>
      <c r="W64" t="s">
        <v>37</v>
      </c>
      <c r="X64" s="24">
        <v>7.0063694267515926</v>
      </c>
      <c r="Y64" s="24">
        <v>92.99363057324841</v>
      </c>
      <c r="Z64" t="s">
        <v>40</v>
      </c>
      <c r="AA64" t="s">
        <v>49</v>
      </c>
      <c r="AB64" t="s">
        <v>38</v>
      </c>
      <c r="AC64" s="24">
        <v>-1.2699999999999991E-2</v>
      </c>
    </row>
    <row r="65" spans="1:29" x14ac:dyDescent="0.3">
      <c r="A65" s="2">
        <v>64</v>
      </c>
      <c r="B65" s="1">
        <v>40546</v>
      </c>
      <c r="C65" s="2">
        <v>1</v>
      </c>
      <c r="D65" s="2">
        <v>18</v>
      </c>
      <c r="E65" t="b">
        <v>0</v>
      </c>
      <c r="F65" s="2">
        <v>1</v>
      </c>
      <c r="G65" s="2">
        <v>1</v>
      </c>
      <c r="H65" s="23">
        <v>0.24</v>
      </c>
      <c r="I65" s="25">
        <v>0.2576</v>
      </c>
      <c r="J65" s="23">
        <v>0.32</v>
      </c>
      <c r="K65" s="25">
        <v>0.1045</v>
      </c>
      <c r="L65" s="2">
        <v>9</v>
      </c>
      <c r="M65" s="2">
        <v>148</v>
      </c>
      <c r="N65" s="2">
        <v>157</v>
      </c>
      <c r="O65" t="s">
        <v>29</v>
      </c>
      <c r="P65" t="s">
        <v>54</v>
      </c>
      <c r="Q65" t="s">
        <v>31</v>
      </c>
      <c r="R65" t="s">
        <v>50</v>
      </c>
      <c r="S65" t="s">
        <v>33</v>
      </c>
      <c r="T65" t="s">
        <v>39</v>
      </c>
      <c r="U65" t="s">
        <v>35</v>
      </c>
      <c r="V65" t="s">
        <v>36</v>
      </c>
      <c r="W65" t="s">
        <v>37</v>
      </c>
      <c r="X65" s="24">
        <v>5.7324840764331224</v>
      </c>
      <c r="Y65" s="24">
        <v>94.267515923566876</v>
      </c>
      <c r="Z65" t="s">
        <v>40</v>
      </c>
      <c r="AA65" t="s">
        <v>49</v>
      </c>
      <c r="AB65" t="s">
        <v>38</v>
      </c>
      <c r="AC65" s="24">
        <v>1.7600000000000001E-2</v>
      </c>
    </row>
    <row r="66" spans="1:29" x14ac:dyDescent="0.3">
      <c r="A66" s="2">
        <v>540</v>
      </c>
      <c r="B66" s="1">
        <v>40567</v>
      </c>
      <c r="C66" s="2">
        <v>1</v>
      </c>
      <c r="D66" s="2">
        <v>15</v>
      </c>
      <c r="E66" t="b">
        <v>0</v>
      </c>
      <c r="F66" s="2">
        <v>1</v>
      </c>
      <c r="G66" s="2">
        <v>1</v>
      </c>
      <c r="H66" s="23">
        <v>0.16</v>
      </c>
      <c r="I66" s="25">
        <v>0.16669999999999999</v>
      </c>
      <c r="J66" s="23">
        <v>0.4</v>
      </c>
      <c r="K66" s="25">
        <v>0.16420000000000001</v>
      </c>
      <c r="L66" s="2">
        <v>7</v>
      </c>
      <c r="M66" s="2">
        <v>50</v>
      </c>
      <c r="N66" s="2">
        <v>57</v>
      </c>
      <c r="O66" t="s">
        <v>29</v>
      </c>
      <c r="P66" t="s">
        <v>54</v>
      </c>
      <c r="Q66" t="s">
        <v>31</v>
      </c>
      <c r="R66" t="s">
        <v>47</v>
      </c>
      <c r="S66" t="s">
        <v>33</v>
      </c>
      <c r="T66" t="s">
        <v>49</v>
      </c>
      <c r="U66" t="s">
        <v>46</v>
      </c>
      <c r="V66" t="s">
        <v>36</v>
      </c>
      <c r="W66" t="s">
        <v>37</v>
      </c>
      <c r="X66" s="24">
        <v>12.28070175438596</v>
      </c>
      <c r="Y66" s="24">
        <v>87.719298245614027</v>
      </c>
      <c r="Z66" t="s">
        <v>38</v>
      </c>
      <c r="AA66" t="s">
        <v>39</v>
      </c>
      <c r="AB66" t="s">
        <v>38</v>
      </c>
      <c r="AC66" s="24">
        <v>6.6999999999999837E-3</v>
      </c>
    </row>
    <row r="67" spans="1:29" x14ac:dyDescent="0.3">
      <c r="A67" s="2">
        <v>736</v>
      </c>
      <c r="B67" s="1">
        <v>40577</v>
      </c>
      <c r="C67" s="2">
        <v>1</v>
      </c>
      <c r="D67" s="2">
        <v>0</v>
      </c>
      <c r="E67" t="b">
        <v>0</v>
      </c>
      <c r="F67" s="2">
        <v>4</v>
      </c>
      <c r="G67" s="2">
        <v>1</v>
      </c>
      <c r="H67" s="23">
        <v>0.2</v>
      </c>
      <c r="I67" s="25">
        <v>0.16669999999999999</v>
      </c>
      <c r="J67" s="23">
        <v>0.4</v>
      </c>
      <c r="K67" s="25">
        <v>0.44779999999999998</v>
      </c>
      <c r="L67" s="2">
        <v>1</v>
      </c>
      <c r="M67" s="2">
        <v>11</v>
      </c>
      <c r="N67" s="2">
        <v>12</v>
      </c>
      <c r="O67" t="s">
        <v>29</v>
      </c>
      <c r="P67" t="s">
        <v>58</v>
      </c>
      <c r="Q67" t="s">
        <v>31</v>
      </c>
      <c r="R67" t="s">
        <v>32</v>
      </c>
      <c r="S67" t="s">
        <v>33</v>
      </c>
      <c r="T67" t="s">
        <v>49</v>
      </c>
      <c r="U67" t="s">
        <v>53</v>
      </c>
      <c r="V67" t="s">
        <v>36</v>
      </c>
      <c r="W67" t="s">
        <v>37</v>
      </c>
      <c r="X67" s="24">
        <v>8.3333333333333321</v>
      </c>
      <c r="Y67" s="24">
        <v>91.666666666666657</v>
      </c>
      <c r="Z67" t="s">
        <v>38</v>
      </c>
      <c r="AA67" t="s">
        <v>39</v>
      </c>
      <c r="AB67" t="s">
        <v>38</v>
      </c>
      <c r="AC67" s="24">
        <v>-3.3300000000000017E-2</v>
      </c>
    </row>
    <row r="68" spans="1:29" x14ac:dyDescent="0.3">
      <c r="A68" s="2">
        <v>747</v>
      </c>
      <c r="B68" s="1">
        <v>40577</v>
      </c>
      <c r="C68" s="2">
        <v>1</v>
      </c>
      <c r="D68" s="2">
        <v>12</v>
      </c>
      <c r="E68" t="b">
        <v>0</v>
      </c>
      <c r="F68" s="2">
        <v>4</v>
      </c>
      <c r="G68" s="2">
        <v>1</v>
      </c>
      <c r="H68" s="23">
        <v>0.2</v>
      </c>
      <c r="I68" s="25">
        <v>0.18179999999999999</v>
      </c>
      <c r="J68" s="23">
        <v>0.4</v>
      </c>
      <c r="K68" s="25">
        <v>0.35820000000000002</v>
      </c>
      <c r="L68" s="2">
        <v>2</v>
      </c>
      <c r="M68" s="2">
        <v>67</v>
      </c>
      <c r="N68" s="2">
        <v>69</v>
      </c>
      <c r="O68" t="s">
        <v>29</v>
      </c>
      <c r="P68" t="s">
        <v>58</v>
      </c>
      <c r="Q68" t="s">
        <v>31</v>
      </c>
      <c r="R68" t="s">
        <v>47</v>
      </c>
      <c r="S68" t="s">
        <v>33</v>
      </c>
      <c r="T68" t="s">
        <v>49</v>
      </c>
      <c r="U68" t="s">
        <v>53</v>
      </c>
      <c r="V68" t="s">
        <v>36</v>
      </c>
      <c r="W68" t="s">
        <v>37</v>
      </c>
      <c r="X68" s="24">
        <v>2.8985507246376812</v>
      </c>
      <c r="Y68" s="24">
        <v>97.101449275362313</v>
      </c>
      <c r="Z68" t="s">
        <v>38</v>
      </c>
      <c r="AA68" t="s">
        <v>39</v>
      </c>
      <c r="AB68" t="s">
        <v>38</v>
      </c>
      <c r="AC68" s="24">
        <v>-1.8200000000000022E-2</v>
      </c>
    </row>
    <row r="69" spans="1:29" x14ac:dyDescent="0.3">
      <c r="A69" s="2">
        <v>748</v>
      </c>
      <c r="B69" s="1">
        <v>40577</v>
      </c>
      <c r="C69" s="2">
        <v>1</v>
      </c>
      <c r="D69" s="2">
        <v>13</v>
      </c>
      <c r="E69" t="b">
        <v>0</v>
      </c>
      <c r="F69" s="2">
        <v>4</v>
      </c>
      <c r="G69" s="2">
        <v>1</v>
      </c>
      <c r="H69" s="23">
        <v>0.2</v>
      </c>
      <c r="I69" s="25">
        <v>0.16669999999999999</v>
      </c>
      <c r="J69" s="23">
        <v>0.4</v>
      </c>
      <c r="K69" s="25">
        <v>0.41789999999999999</v>
      </c>
      <c r="L69" s="2">
        <v>4</v>
      </c>
      <c r="M69" s="2">
        <v>47</v>
      </c>
      <c r="N69" s="2">
        <v>51</v>
      </c>
      <c r="O69" t="s">
        <v>29</v>
      </c>
      <c r="P69" t="s">
        <v>58</v>
      </c>
      <c r="Q69" t="s">
        <v>31</v>
      </c>
      <c r="R69" t="s">
        <v>47</v>
      </c>
      <c r="S69" t="s">
        <v>33</v>
      </c>
      <c r="T69" t="s">
        <v>49</v>
      </c>
      <c r="U69" t="s">
        <v>53</v>
      </c>
      <c r="V69" t="s">
        <v>36</v>
      </c>
      <c r="W69" t="s">
        <v>37</v>
      </c>
      <c r="X69" s="24">
        <v>7.8431372549019596</v>
      </c>
      <c r="Y69" s="24">
        <v>92.156862745098039</v>
      </c>
      <c r="Z69" t="s">
        <v>38</v>
      </c>
      <c r="AA69" t="s">
        <v>39</v>
      </c>
      <c r="AB69" t="s">
        <v>38</v>
      </c>
      <c r="AC69" s="24">
        <v>-3.3300000000000017E-2</v>
      </c>
    </row>
    <row r="70" spans="1:29" x14ac:dyDescent="0.3">
      <c r="A70" s="2">
        <v>752</v>
      </c>
      <c r="B70" s="1">
        <v>40577</v>
      </c>
      <c r="C70" s="2">
        <v>1</v>
      </c>
      <c r="D70" s="2">
        <v>17</v>
      </c>
      <c r="E70" t="b">
        <v>0</v>
      </c>
      <c r="F70" s="2">
        <v>4</v>
      </c>
      <c r="G70" s="2">
        <v>1</v>
      </c>
      <c r="H70" s="23">
        <v>0.2</v>
      </c>
      <c r="I70" s="25">
        <v>0.19700000000000001</v>
      </c>
      <c r="J70" s="23">
        <v>0.4</v>
      </c>
      <c r="K70" s="25">
        <v>0.19400000000000001</v>
      </c>
      <c r="L70" s="2">
        <v>5</v>
      </c>
      <c r="M70" s="2">
        <v>170</v>
      </c>
      <c r="N70" s="2">
        <v>175</v>
      </c>
      <c r="O70" t="s">
        <v>29</v>
      </c>
      <c r="P70" t="s">
        <v>58</v>
      </c>
      <c r="Q70" t="s">
        <v>31</v>
      </c>
      <c r="R70" t="s">
        <v>50</v>
      </c>
      <c r="S70" t="s">
        <v>33</v>
      </c>
      <c r="T70" t="s">
        <v>49</v>
      </c>
      <c r="U70" t="s">
        <v>46</v>
      </c>
      <c r="V70" t="s">
        <v>36</v>
      </c>
      <c r="W70" t="s">
        <v>37</v>
      </c>
      <c r="X70" s="24">
        <v>2.8571428571428572</v>
      </c>
      <c r="Y70" s="24">
        <v>97.142857142857139</v>
      </c>
      <c r="Z70" t="s">
        <v>40</v>
      </c>
      <c r="AA70" t="s">
        <v>49</v>
      </c>
      <c r="AB70" t="s">
        <v>38</v>
      </c>
      <c r="AC70" s="24">
        <v>-3.0000000000000031E-3</v>
      </c>
    </row>
    <row r="71" spans="1:29" x14ac:dyDescent="0.3">
      <c r="A71" s="2">
        <v>753</v>
      </c>
      <c r="B71" s="1">
        <v>40577</v>
      </c>
      <c r="C71" s="2">
        <v>1</v>
      </c>
      <c r="D71" s="2">
        <v>18</v>
      </c>
      <c r="E71" t="b">
        <v>0</v>
      </c>
      <c r="F71" s="2">
        <v>4</v>
      </c>
      <c r="G71" s="2">
        <v>1</v>
      </c>
      <c r="H71" s="23">
        <v>0.2</v>
      </c>
      <c r="I71" s="25">
        <v>0.21210000000000001</v>
      </c>
      <c r="J71" s="23">
        <v>0.4</v>
      </c>
      <c r="K71" s="25">
        <v>0.16420000000000001</v>
      </c>
      <c r="L71" s="2">
        <v>2</v>
      </c>
      <c r="M71" s="2">
        <v>145</v>
      </c>
      <c r="N71" s="2">
        <v>147</v>
      </c>
      <c r="O71" t="s">
        <v>29</v>
      </c>
      <c r="P71" t="s">
        <v>58</v>
      </c>
      <c r="Q71" t="s">
        <v>31</v>
      </c>
      <c r="R71" t="s">
        <v>50</v>
      </c>
      <c r="S71" t="s">
        <v>33</v>
      </c>
      <c r="T71" t="s">
        <v>49</v>
      </c>
      <c r="U71" t="s">
        <v>46</v>
      </c>
      <c r="V71" t="s">
        <v>36</v>
      </c>
      <c r="W71" t="s">
        <v>37</v>
      </c>
      <c r="X71" s="24">
        <v>1.360544217687075</v>
      </c>
      <c r="Y71" s="24">
        <v>98.639455782312922</v>
      </c>
      <c r="Z71" t="s">
        <v>40</v>
      </c>
      <c r="AA71" t="s">
        <v>49</v>
      </c>
      <c r="AB71" t="s">
        <v>38</v>
      </c>
      <c r="AC71" s="24">
        <v>1.21E-2</v>
      </c>
    </row>
    <row r="72" spans="1:29" x14ac:dyDescent="0.3">
      <c r="A72" s="2">
        <v>754</v>
      </c>
      <c r="B72" s="1">
        <v>40577</v>
      </c>
      <c r="C72" s="2">
        <v>1</v>
      </c>
      <c r="D72" s="2">
        <v>19</v>
      </c>
      <c r="E72" t="b">
        <v>0</v>
      </c>
      <c r="F72" s="2">
        <v>4</v>
      </c>
      <c r="G72" s="2">
        <v>1</v>
      </c>
      <c r="H72" s="23">
        <v>0.2</v>
      </c>
      <c r="I72" s="25">
        <v>0.2576</v>
      </c>
      <c r="J72" s="23">
        <v>0.4</v>
      </c>
      <c r="K72" s="25">
        <v>0</v>
      </c>
      <c r="L72" s="2">
        <v>4</v>
      </c>
      <c r="M72" s="2">
        <v>92</v>
      </c>
      <c r="N72" s="2">
        <v>96</v>
      </c>
      <c r="O72" t="s">
        <v>29</v>
      </c>
      <c r="P72" t="s">
        <v>58</v>
      </c>
      <c r="Q72" t="s">
        <v>31</v>
      </c>
      <c r="R72" t="s">
        <v>50</v>
      </c>
      <c r="S72" t="s">
        <v>33</v>
      </c>
      <c r="T72" t="s">
        <v>49</v>
      </c>
      <c r="U72" t="s">
        <v>35</v>
      </c>
      <c r="V72" t="s">
        <v>36</v>
      </c>
      <c r="W72" t="s">
        <v>37</v>
      </c>
      <c r="X72" s="24">
        <v>4.1666666666666661</v>
      </c>
      <c r="Y72" s="24">
        <v>95.833333333333343</v>
      </c>
      <c r="Z72" t="s">
        <v>40</v>
      </c>
      <c r="AA72" t="s">
        <v>39</v>
      </c>
      <c r="AB72" t="s">
        <v>38</v>
      </c>
      <c r="AC72" s="24">
        <v>5.7599999999999978E-2</v>
      </c>
    </row>
    <row r="73" spans="1:29" x14ac:dyDescent="0.3">
      <c r="A73" s="2">
        <v>873</v>
      </c>
      <c r="B73" s="1">
        <v>40582</v>
      </c>
      <c r="C73" s="2">
        <v>1</v>
      </c>
      <c r="D73" s="2">
        <v>19</v>
      </c>
      <c r="E73" t="b">
        <v>0</v>
      </c>
      <c r="F73" s="2">
        <v>2</v>
      </c>
      <c r="G73" s="2">
        <v>1</v>
      </c>
      <c r="H73" s="23">
        <v>0.16</v>
      </c>
      <c r="I73" s="25">
        <v>0.1212</v>
      </c>
      <c r="J73" s="23">
        <v>0.4</v>
      </c>
      <c r="K73" s="25">
        <v>0.4627</v>
      </c>
      <c r="L73" s="2">
        <v>1</v>
      </c>
      <c r="M73" s="2">
        <v>100</v>
      </c>
      <c r="N73" s="2">
        <v>101</v>
      </c>
      <c r="O73" t="s">
        <v>29</v>
      </c>
      <c r="P73" t="s">
        <v>56</v>
      </c>
      <c r="Q73" t="s">
        <v>31</v>
      </c>
      <c r="R73" t="s">
        <v>50</v>
      </c>
      <c r="S73" t="s">
        <v>33</v>
      </c>
      <c r="T73" t="s">
        <v>49</v>
      </c>
      <c r="U73" t="s">
        <v>53</v>
      </c>
      <c r="V73" t="s">
        <v>36</v>
      </c>
      <c r="W73" t="s">
        <v>37</v>
      </c>
      <c r="X73" s="24">
        <v>0.99009900990099009</v>
      </c>
      <c r="Y73" s="24">
        <v>99.009900990099013</v>
      </c>
      <c r="Z73" t="s">
        <v>40</v>
      </c>
      <c r="AA73" t="s">
        <v>49</v>
      </c>
      <c r="AB73" t="s">
        <v>38</v>
      </c>
      <c r="AC73" s="24">
        <v>-3.8800000000000001E-2</v>
      </c>
    </row>
    <row r="74" spans="1:29" x14ac:dyDescent="0.3">
      <c r="A74" s="2">
        <v>874</v>
      </c>
      <c r="B74" s="1">
        <v>40582</v>
      </c>
      <c r="C74" s="2">
        <v>1</v>
      </c>
      <c r="D74" s="2">
        <v>20</v>
      </c>
      <c r="E74" t="b">
        <v>0</v>
      </c>
      <c r="F74" s="2">
        <v>2</v>
      </c>
      <c r="G74" s="2">
        <v>1</v>
      </c>
      <c r="H74" s="23">
        <v>0.16</v>
      </c>
      <c r="I74" s="25">
        <v>0.13639999999999999</v>
      </c>
      <c r="J74" s="23">
        <v>0.4</v>
      </c>
      <c r="K74" s="25">
        <v>0.32840000000000003</v>
      </c>
      <c r="L74" s="2">
        <v>3</v>
      </c>
      <c r="M74" s="2">
        <v>53</v>
      </c>
      <c r="N74" s="2">
        <v>56</v>
      </c>
      <c r="O74" t="s">
        <v>29</v>
      </c>
      <c r="P74" t="s">
        <v>56</v>
      </c>
      <c r="Q74" t="s">
        <v>31</v>
      </c>
      <c r="R74" t="s">
        <v>50</v>
      </c>
      <c r="S74" t="s">
        <v>33</v>
      </c>
      <c r="T74" t="s">
        <v>49</v>
      </c>
      <c r="U74" t="s">
        <v>53</v>
      </c>
      <c r="V74" t="s">
        <v>36</v>
      </c>
      <c r="W74" t="s">
        <v>37</v>
      </c>
      <c r="X74" s="24">
        <v>5.3571428571428568</v>
      </c>
      <c r="Y74" s="24">
        <v>94.642857142857139</v>
      </c>
      <c r="Z74" t="s">
        <v>38</v>
      </c>
      <c r="AA74" t="s">
        <v>39</v>
      </c>
      <c r="AB74" t="s">
        <v>38</v>
      </c>
      <c r="AC74" s="24">
        <v>-2.360000000000001E-2</v>
      </c>
    </row>
    <row r="75" spans="1:29" x14ac:dyDescent="0.3">
      <c r="A75" s="2">
        <v>889</v>
      </c>
      <c r="B75" s="1">
        <v>40583</v>
      </c>
      <c r="C75" s="2">
        <v>1</v>
      </c>
      <c r="D75" s="2">
        <v>12</v>
      </c>
      <c r="E75" t="b">
        <v>0</v>
      </c>
      <c r="F75" s="2">
        <v>3</v>
      </c>
      <c r="G75" s="2">
        <v>2</v>
      </c>
      <c r="H75" s="23">
        <v>0.18</v>
      </c>
      <c r="I75" s="25">
        <v>0.18179999999999999</v>
      </c>
      <c r="J75" s="23">
        <v>0.4</v>
      </c>
      <c r="K75" s="25">
        <v>0.22389999999999999</v>
      </c>
      <c r="L75" s="2">
        <v>4</v>
      </c>
      <c r="M75" s="2">
        <v>57</v>
      </c>
      <c r="N75" s="2">
        <v>61</v>
      </c>
      <c r="O75" t="s">
        <v>29</v>
      </c>
      <c r="P75" t="s">
        <v>57</v>
      </c>
      <c r="Q75" t="s">
        <v>41</v>
      </c>
      <c r="R75" t="s">
        <v>47</v>
      </c>
      <c r="S75" t="s">
        <v>33</v>
      </c>
      <c r="T75" t="s">
        <v>49</v>
      </c>
      <c r="U75" t="s">
        <v>46</v>
      </c>
      <c r="V75" t="s">
        <v>36</v>
      </c>
      <c r="W75" t="s">
        <v>37</v>
      </c>
      <c r="X75" s="24">
        <v>6.557377049180328</v>
      </c>
      <c r="Y75" s="24">
        <v>93.442622950819683</v>
      </c>
      <c r="Z75" t="s">
        <v>38</v>
      </c>
      <c r="AA75" t="s">
        <v>39</v>
      </c>
      <c r="AB75" t="s">
        <v>38</v>
      </c>
      <c r="AC75" s="24">
        <v>1.799999999999996E-3</v>
      </c>
    </row>
    <row r="76" spans="1:29" x14ac:dyDescent="0.3">
      <c r="A76" s="2">
        <v>75</v>
      </c>
      <c r="B76" s="1">
        <v>40547</v>
      </c>
      <c r="C76" s="2">
        <v>1</v>
      </c>
      <c r="D76" s="2">
        <v>6</v>
      </c>
      <c r="E76" t="b">
        <v>0</v>
      </c>
      <c r="F76" s="2">
        <v>2</v>
      </c>
      <c r="G76" s="2">
        <v>1</v>
      </c>
      <c r="H76" s="23">
        <v>0.12</v>
      </c>
      <c r="I76" s="25">
        <v>0.1515</v>
      </c>
      <c r="J76" s="23">
        <v>0.74</v>
      </c>
      <c r="K76" s="25">
        <v>0.1045</v>
      </c>
      <c r="L76" s="2">
        <v>0</v>
      </c>
      <c r="M76" s="2">
        <v>36</v>
      </c>
      <c r="N76" s="2">
        <v>36</v>
      </c>
      <c r="O76" t="s">
        <v>29</v>
      </c>
      <c r="P76" t="s">
        <v>56</v>
      </c>
      <c r="Q76" t="s">
        <v>31</v>
      </c>
      <c r="R76" t="s">
        <v>42</v>
      </c>
      <c r="S76" t="s">
        <v>55</v>
      </c>
      <c r="T76" t="s">
        <v>34</v>
      </c>
      <c r="U76" t="s">
        <v>35</v>
      </c>
      <c r="V76" t="s">
        <v>36</v>
      </c>
      <c r="W76" t="s">
        <v>37</v>
      </c>
      <c r="X76" s="24">
        <v>0</v>
      </c>
      <c r="Y76" s="24">
        <v>100</v>
      </c>
      <c r="Z76" t="s">
        <v>38</v>
      </c>
      <c r="AA76" t="s">
        <v>39</v>
      </c>
      <c r="AB76" t="s">
        <v>38</v>
      </c>
      <c r="AC76" s="24">
        <v>3.15E-2</v>
      </c>
    </row>
    <row r="77" spans="1:29" x14ac:dyDescent="0.3">
      <c r="A77" s="2">
        <v>76</v>
      </c>
      <c r="B77" s="1">
        <v>40547</v>
      </c>
      <c r="C77" s="2">
        <v>1</v>
      </c>
      <c r="D77" s="2">
        <v>7</v>
      </c>
      <c r="E77" t="b">
        <v>0</v>
      </c>
      <c r="F77" s="2">
        <v>2</v>
      </c>
      <c r="G77" s="2">
        <v>1</v>
      </c>
      <c r="H77" s="23">
        <v>0.12</v>
      </c>
      <c r="I77" s="25">
        <v>0.1515</v>
      </c>
      <c r="J77" s="23">
        <v>0.74</v>
      </c>
      <c r="K77" s="25">
        <v>0.1343</v>
      </c>
      <c r="L77" s="2">
        <v>2</v>
      </c>
      <c r="M77" s="2">
        <v>92</v>
      </c>
      <c r="N77" s="2">
        <v>94</v>
      </c>
      <c r="O77" t="s">
        <v>29</v>
      </c>
      <c r="P77" t="s">
        <v>56</v>
      </c>
      <c r="Q77" t="s">
        <v>31</v>
      </c>
      <c r="R77" t="s">
        <v>42</v>
      </c>
      <c r="S77" t="s">
        <v>55</v>
      </c>
      <c r="T77" t="s">
        <v>34</v>
      </c>
      <c r="U77" t="s">
        <v>35</v>
      </c>
      <c r="V77" t="s">
        <v>36</v>
      </c>
      <c r="W77" t="s">
        <v>37</v>
      </c>
      <c r="X77" s="24">
        <v>2.1276595744680851</v>
      </c>
      <c r="Y77" s="24">
        <v>97.872340425531917</v>
      </c>
      <c r="Z77" t="s">
        <v>40</v>
      </c>
      <c r="AA77" t="s">
        <v>39</v>
      </c>
      <c r="AB77" t="s">
        <v>38</v>
      </c>
      <c r="AC77" s="24">
        <v>3.15E-2</v>
      </c>
    </row>
    <row r="78" spans="1:29" x14ac:dyDescent="0.3">
      <c r="A78" s="2">
        <v>890</v>
      </c>
      <c r="B78" s="1">
        <v>40583</v>
      </c>
      <c r="C78" s="2">
        <v>1</v>
      </c>
      <c r="D78" s="2">
        <v>13</v>
      </c>
      <c r="E78" t="b">
        <v>0</v>
      </c>
      <c r="F78" s="2">
        <v>3</v>
      </c>
      <c r="G78" s="2">
        <v>1</v>
      </c>
      <c r="H78" s="23">
        <v>0.18</v>
      </c>
      <c r="I78" s="25">
        <v>0.16669999999999999</v>
      </c>
      <c r="J78" s="23">
        <v>0.4</v>
      </c>
      <c r="K78" s="25">
        <v>0.25369999999999998</v>
      </c>
      <c r="L78" s="2">
        <v>2</v>
      </c>
      <c r="M78" s="2">
        <v>67</v>
      </c>
      <c r="N78" s="2">
        <v>69</v>
      </c>
      <c r="O78" t="s">
        <v>29</v>
      </c>
      <c r="P78" t="s">
        <v>57</v>
      </c>
      <c r="Q78" t="s">
        <v>31</v>
      </c>
      <c r="R78" t="s">
        <v>47</v>
      </c>
      <c r="S78" t="s">
        <v>33</v>
      </c>
      <c r="T78" t="s">
        <v>49</v>
      </c>
      <c r="U78" t="s">
        <v>46</v>
      </c>
      <c r="V78" t="s">
        <v>36</v>
      </c>
      <c r="W78" t="s">
        <v>37</v>
      </c>
      <c r="X78" s="24">
        <v>2.8985507246376812</v>
      </c>
      <c r="Y78" s="24">
        <v>97.101449275362313</v>
      </c>
      <c r="Z78" t="s">
        <v>38</v>
      </c>
      <c r="AA78" t="s">
        <v>39</v>
      </c>
      <c r="AB78" t="s">
        <v>38</v>
      </c>
      <c r="AC78" s="24">
        <v>-1.330000000000001E-2</v>
      </c>
    </row>
    <row r="79" spans="1:29" x14ac:dyDescent="0.3">
      <c r="A79" s="2">
        <v>995</v>
      </c>
      <c r="B79" s="1">
        <v>40588</v>
      </c>
      <c r="C79" s="2">
        <v>1</v>
      </c>
      <c r="D79" s="2">
        <v>2</v>
      </c>
      <c r="E79" t="b">
        <v>0</v>
      </c>
      <c r="F79" s="2">
        <v>1</v>
      </c>
      <c r="G79" s="2">
        <v>1</v>
      </c>
      <c r="H79" s="23">
        <v>0.36</v>
      </c>
      <c r="I79" s="25">
        <v>0.33329999999999999</v>
      </c>
      <c r="J79" s="23">
        <v>0.4</v>
      </c>
      <c r="K79" s="25">
        <v>0.29849999999999999</v>
      </c>
      <c r="L79" s="2">
        <v>0</v>
      </c>
      <c r="M79" s="2">
        <v>2</v>
      </c>
      <c r="N79" s="2">
        <v>2</v>
      </c>
      <c r="O79" t="s">
        <v>29</v>
      </c>
      <c r="P79" t="s">
        <v>54</v>
      </c>
      <c r="Q79" t="s">
        <v>31</v>
      </c>
      <c r="R79" t="s">
        <v>32</v>
      </c>
      <c r="S79" t="s">
        <v>45</v>
      </c>
      <c r="T79" t="s">
        <v>49</v>
      </c>
      <c r="U79" t="s">
        <v>46</v>
      </c>
      <c r="V79" t="s">
        <v>36</v>
      </c>
      <c r="W79" t="s">
        <v>37</v>
      </c>
      <c r="X79" s="24">
        <v>0</v>
      </c>
      <c r="Y79" s="24">
        <v>100</v>
      </c>
      <c r="Z79" t="s">
        <v>38</v>
      </c>
      <c r="AA79" t="s">
        <v>39</v>
      </c>
      <c r="AB79" t="s">
        <v>38</v>
      </c>
      <c r="AC79" s="24">
        <v>-2.6700000000000002E-2</v>
      </c>
    </row>
    <row r="80" spans="1:29" x14ac:dyDescent="0.3">
      <c r="A80" s="2">
        <v>291</v>
      </c>
      <c r="B80" s="1">
        <v>40556</v>
      </c>
      <c r="C80" s="2">
        <v>1</v>
      </c>
      <c r="D80" s="2">
        <v>13</v>
      </c>
      <c r="E80" t="b">
        <v>0</v>
      </c>
      <c r="F80" s="2">
        <v>4</v>
      </c>
      <c r="G80" s="2">
        <v>1</v>
      </c>
      <c r="H80" s="23">
        <v>0.22</v>
      </c>
      <c r="I80" s="25">
        <v>0.19700000000000001</v>
      </c>
      <c r="J80" s="23">
        <v>0.41</v>
      </c>
      <c r="K80" s="25">
        <v>0.44779999999999998</v>
      </c>
      <c r="L80" s="2">
        <v>2</v>
      </c>
      <c r="M80" s="2">
        <v>81</v>
      </c>
      <c r="N80" s="2">
        <v>83</v>
      </c>
      <c r="O80" t="s">
        <v>29</v>
      </c>
      <c r="P80" t="s">
        <v>58</v>
      </c>
      <c r="Q80" t="s">
        <v>31</v>
      </c>
      <c r="R80" t="s">
        <v>47</v>
      </c>
      <c r="S80" t="s">
        <v>33</v>
      </c>
      <c r="T80" t="s">
        <v>49</v>
      </c>
      <c r="U80" t="s">
        <v>53</v>
      </c>
      <c r="V80" t="s">
        <v>36</v>
      </c>
      <c r="W80" t="s">
        <v>37</v>
      </c>
      <c r="X80" s="24">
        <v>2.4096385542168681</v>
      </c>
      <c r="Y80" s="24">
        <v>97.590361445783131</v>
      </c>
      <c r="Z80" t="s">
        <v>38</v>
      </c>
      <c r="AA80" t="s">
        <v>39</v>
      </c>
      <c r="AB80" t="s">
        <v>38</v>
      </c>
      <c r="AC80" s="24">
        <v>-2.2999999999999989E-2</v>
      </c>
    </row>
    <row r="81" spans="1:29" x14ac:dyDescent="0.3">
      <c r="A81" s="2">
        <v>292</v>
      </c>
      <c r="B81" s="1">
        <v>40556</v>
      </c>
      <c r="C81" s="2">
        <v>1</v>
      </c>
      <c r="D81" s="2">
        <v>14</v>
      </c>
      <c r="E81" t="b">
        <v>0</v>
      </c>
      <c r="F81" s="2">
        <v>4</v>
      </c>
      <c r="G81" s="2">
        <v>1</v>
      </c>
      <c r="H81" s="23">
        <v>0.22</v>
      </c>
      <c r="I81" s="25">
        <v>0.19700000000000001</v>
      </c>
      <c r="J81" s="23">
        <v>0.41</v>
      </c>
      <c r="K81" s="25">
        <v>0.3881</v>
      </c>
      <c r="L81" s="2">
        <v>3</v>
      </c>
      <c r="M81" s="2">
        <v>39</v>
      </c>
      <c r="N81" s="2">
        <v>42</v>
      </c>
      <c r="O81" t="s">
        <v>29</v>
      </c>
      <c r="P81" t="s">
        <v>58</v>
      </c>
      <c r="Q81" t="s">
        <v>31</v>
      </c>
      <c r="R81" t="s">
        <v>47</v>
      </c>
      <c r="S81" t="s">
        <v>33</v>
      </c>
      <c r="T81" t="s">
        <v>49</v>
      </c>
      <c r="U81" t="s">
        <v>53</v>
      </c>
      <c r="V81" t="s">
        <v>36</v>
      </c>
      <c r="W81" t="s">
        <v>37</v>
      </c>
      <c r="X81" s="24">
        <v>7.1428571428571423</v>
      </c>
      <c r="Y81" s="24">
        <v>92.857142857142861</v>
      </c>
      <c r="Z81" t="s">
        <v>38</v>
      </c>
      <c r="AA81" t="s">
        <v>39</v>
      </c>
      <c r="AB81" t="s">
        <v>38</v>
      </c>
      <c r="AC81" s="24">
        <v>-2.2999999999999989E-2</v>
      </c>
    </row>
    <row r="82" spans="1:29" x14ac:dyDescent="0.3">
      <c r="A82" s="2">
        <v>315</v>
      </c>
      <c r="B82" s="1">
        <v>40557</v>
      </c>
      <c r="C82" s="2">
        <v>1</v>
      </c>
      <c r="D82" s="2">
        <v>14</v>
      </c>
      <c r="E82" t="b">
        <v>0</v>
      </c>
      <c r="F82" s="2">
        <v>5</v>
      </c>
      <c r="G82" s="2">
        <v>1</v>
      </c>
      <c r="H82" s="23">
        <v>0.22</v>
      </c>
      <c r="I82" s="25">
        <v>0.21210000000000001</v>
      </c>
      <c r="J82" s="23">
        <v>0.41</v>
      </c>
      <c r="K82" s="25">
        <v>0.28360000000000002</v>
      </c>
      <c r="L82" s="2">
        <v>5</v>
      </c>
      <c r="M82" s="2">
        <v>59</v>
      </c>
      <c r="N82" s="2">
        <v>64</v>
      </c>
      <c r="O82" t="s">
        <v>29</v>
      </c>
      <c r="P82" t="s">
        <v>59</v>
      </c>
      <c r="Q82" t="s">
        <v>31</v>
      </c>
      <c r="R82" t="s">
        <v>47</v>
      </c>
      <c r="S82" t="s">
        <v>33</v>
      </c>
      <c r="T82" t="s">
        <v>49</v>
      </c>
      <c r="U82" t="s">
        <v>46</v>
      </c>
      <c r="V82" t="s">
        <v>36</v>
      </c>
      <c r="W82" t="s">
        <v>37</v>
      </c>
      <c r="X82" s="24">
        <v>7.8125</v>
      </c>
      <c r="Y82" s="24">
        <v>92.1875</v>
      </c>
      <c r="Z82" t="s">
        <v>38</v>
      </c>
      <c r="AA82" t="s">
        <v>39</v>
      </c>
      <c r="AB82" t="s">
        <v>38</v>
      </c>
      <c r="AC82" s="24">
        <v>-7.8999999999999904E-3</v>
      </c>
    </row>
    <row r="83" spans="1:29" x14ac:dyDescent="0.3">
      <c r="A83" s="2">
        <v>317</v>
      </c>
      <c r="B83" s="1">
        <v>40557</v>
      </c>
      <c r="C83" s="2">
        <v>1</v>
      </c>
      <c r="D83" s="2">
        <v>16</v>
      </c>
      <c r="E83" t="b">
        <v>0</v>
      </c>
      <c r="F83" s="2">
        <v>5</v>
      </c>
      <c r="G83" s="2">
        <v>1</v>
      </c>
      <c r="H83" s="23">
        <v>0.22</v>
      </c>
      <c r="I83" s="25">
        <v>0.2424</v>
      </c>
      <c r="J83" s="23">
        <v>0.41</v>
      </c>
      <c r="K83" s="25">
        <v>0.1045</v>
      </c>
      <c r="L83" s="2">
        <v>3</v>
      </c>
      <c r="M83" s="2">
        <v>87</v>
      </c>
      <c r="N83" s="2">
        <v>90</v>
      </c>
      <c r="O83" t="s">
        <v>29</v>
      </c>
      <c r="P83" t="s">
        <v>59</v>
      </c>
      <c r="Q83" t="s">
        <v>31</v>
      </c>
      <c r="R83" t="s">
        <v>47</v>
      </c>
      <c r="S83" t="s">
        <v>33</v>
      </c>
      <c r="T83" t="s">
        <v>49</v>
      </c>
      <c r="U83" t="s">
        <v>35</v>
      </c>
      <c r="V83" t="s">
        <v>36</v>
      </c>
      <c r="W83" t="s">
        <v>37</v>
      </c>
      <c r="X83" s="24">
        <v>3.333333333333333</v>
      </c>
      <c r="Y83" s="24">
        <v>96.666666666666671</v>
      </c>
      <c r="Z83" t="s">
        <v>38</v>
      </c>
      <c r="AA83" t="s">
        <v>39</v>
      </c>
      <c r="AB83" t="s">
        <v>38</v>
      </c>
      <c r="AC83" s="24">
        <v>2.24E-2</v>
      </c>
    </row>
    <row r="84" spans="1:29" x14ac:dyDescent="0.3">
      <c r="A84" s="2">
        <v>318</v>
      </c>
      <c r="B84" s="1">
        <v>40557</v>
      </c>
      <c r="C84" s="2">
        <v>1</v>
      </c>
      <c r="D84" s="2">
        <v>17</v>
      </c>
      <c r="E84" t="b">
        <v>0</v>
      </c>
      <c r="F84" s="2">
        <v>5</v>
      </c>
      <c r="G84" s="2">
        <v>1</v>
      </c>
      <c r="H84" s="23">
        <v>0.22</v>
      </c>
      <c r="I84" s="25">
        <v>0.2273</v>
      </c>
      <c r="J84" s="23">
        <v>0.41</v>
      </c>
      <c r="K84" s="25">
        <v>0.16420000000000001</v>
      </c>
      <c r="L84" s="2">
        <v>4</v>
      </c>
      <c r="M84" s="2">
        <v>155</v>
      </c>
      <c r="N84" s="2">
        <v>159</v>
      </c>
      <c r="O84" t="s">
        <v>29</v>
      </c>
      <c r="P84" t="s">
        <v>59</v>
      </c>
      <c r="Q84" t="s">
        <v>31</v>
      </c>
      <c r="R84" t="s">
        <v>50</v>
      </c>
      <c r="S84" t="s">
        <v>33</v>
      </c>
      <c r="T84" t="s">
        <v>49</v>
      </c>
      <c r="U84" t="s">
        <v>46</v>
      </c>
      <c r="V84" t="s">
        <v>36</v>
      </c>
      <c r="W84" t="s">
        <v>37</v>
      </c>
      <c r="X84" s="24">
        <v>2.5157232704402519</v>
      </c>
      <c r="Y84" s="24">
        <v>97.484276729559753</v>
      </c>
      <c r="Z84" t="s">
        <v>40</v>
      </c>
      <c r="AA84" t="s">
        <v>49</v>
      </c>
      <c r="AB84" t="s">
        <v>38</v>
      </c>
      <c r="AC84" s="24">
        <v>7.3000000000000009E-3</v>
      </c>
    </row>
    <row r="85" spans="1:29" x14ac:dyDescent="0.3">
      <c r="A85" s="2">
        <v>361</v>
      </c>
      <c r="B85" s="1">
        <v>40559</v>
      </c>
      <c r="C85" s="2">
        <v>1</v>
      </c>
      <c r="D85" s="2">
        <v>12</v>
      </c>
      <c r="E85" t="b">
        <v>0</v>
      </c>
      <c r="F85" s="2">
        <v>0</v>
      </c>
      <c r="G85" s="2">
        <v>1</v>
      </c>
      <c r="H85" s="23">
        <v>0.24</v>
      </c>
      <c r="I85" s="25">
        <v>0.21210000000000001</v>
      </c>
      <c r="J85" s="23">
        <v>0.41</v>
      </c>
      <c r="K85" s="25">
        <v>0.28360000000000002</v>
      </c>
      <c r="L85" s="2">
        <v>29</v>
      </c>
      <c r="M85" s="2">
        <v>75</v>
      </c>
      <c r="N85" s="2">
        <v>104</v>
      </c>
      <c r="O85" t="s">
        <v>29</v>
      </c>
      <c r="P85" t="s">
        <v>52</v>
      </c>
      <c r="Q85" t="s">
        <v>31</v>
      </c>
      <c r="R85" t="s">
        <v>47</v>
      </c>
      <c r="S85" t="s">
        <v>33</v>
      </c>
      <c r="T85" t="s">
        <v>49</v>
      </c>
      <c r="U85" t="s">
        <v>46</v>
      </c>
      <c r="V85" t="s">
        <v>36</v>
      </c>
      <c r="W85" t="s">
        <v>37</v>
      </c>
      <c r="X85" s="24">
        <v>27.88461538461539</v>
      </c>
      <c r="Y85" s="24">
        <v>72.115384615384613</v>
      </c>
      <c r="Z85" t="s">
        <v>38</v>
      </c>
      <c r="AA85" t="s">
        <v>49</v>
      </c>
      <c r="AB85" t="s">
        <v>40</v>
      </c>
      <c r="AC85" s="24">
        <v>-2.789999999999998E-2</v>
      </c>
    </row>
    <row r="86" spans="1:29" x14ac:dyDescent="0.3">
      <c r="A86" s="2">
        <v>467</v>
      </c>
      <c r="B86" s="1">
        <v>40564</v>
      </c>
      <c r="C86" s="2">
        <v>1</v>
      </c>
      <c r="D86" s="2">
        <v>11</v>
      </c>
      <c r="E86" t="b">
        <v>0</v>
      </c>
      <c r="F86" s="2">
        <v>5</v>
      </c>
      <c r="G86" s="2">
        <v>1</v>
      </c>
      <c r="H86" s="23">
        <v>0.22</v>
      </c>
      <c r="I86" s="25">
        <v>0.18179999999999999</v>
      </c>
      <c r="J86" s="23">
        <v>0.41</v>
      </c>
      <c r="K86" s="25">
        <v>0.4627</v>
      </c>
      <c r="L86" s="2">
        <v>6</v>
      </c>
      <c r="M86" s="2">
        <v>53</v>
      </c>
      <c r="N86" s="2">
        <v>59</v>
      </c>
      <c r="O86" t="s">
        <v>29</v>
      </c>
      <c r="P86" t="s">
        <v>59</v>
      </c>
      <c r="Q86" t="s">
        <v>31</v>
      </c>
      <c r="R86" t="s">
        <v>42</v>
      </c>
      <c r="S86" t="s">
        <v>33</v>
      </c>
      <c r="T86" t="s">
        <v>49</v>
      </c>
      <c r="U86" t="s">
        <v>53</v>
      </c>
      <c r="V86" t="s">
        <v>36</v>
      </c>
      <c r="W86" t="s">
        <v>37</v>
      </c>
      <c r="X86" s="24">
        <v>10.16949152542373</v>
      </c>
      <c r="Y86" s="24">
        <v>89.830508474576277</v>
      </c>
      <c r="Z86" t="s">
        <v>38</v>
      </c>
      <c r="AA86" t="s">
        <v>39</v>
      </c>
      <c r="AB86" t="s">
        <v>38</v>
      </c>
      <c r="AC86" s="24">
        <v>-3.8200000000000012E-2</v>
      </c>
    </row>
    <row r="87" spans="1:29" x14ac:dyDescent="0.3">
      <c r="A87" s="2">
        <v>478</v>
      </c>
      <c r="B87" s="1">
        <v>40564</v>
      </c>
      <c r="C87" s="2">
        <v>1</v>
      </c>
      <c r="D87" s="2">
        <v>22</v>
      </c>
      <c r="E87" t="b">
        <v>0</v>
      </c>
      <c r="F87" s="2">
        <v>5</v>
      </c>
      <c r="G87" s="2">
        <v>1</v>
      </c>
      <c r="H87" s="23">
        <v>0.06</v>
      </c>
      <c r="I87" s="25">
        <v>3.0300000000000001E-2</v>
      </c>
      <c r="J87" s="23">
        <v>0.41</v>
      </c>
      <c r="K87" s="25">
        <v>0.3881</v>
      </c>
      <c r="L87" s="2">
        <v>1</v>
      </c>
      <c r="M87" s="2">
        <v>33</v>
      </c>
      <c r="N87" s="2">
        <v>34</v>
      </c>
      <c r="O87" t="s">
        <v>29</v>
      </c>
      <c r="P87" t="s">
        <v>59</v>
      </c>
      <c r="Q87" t="s">
        <v>31</v>
      </c>
      <c r="R87" t="s">
        <v>32</v>
      </c>
      <c r="S87" t="s">
        <v>55</v>
      </c>
      <c r="T87" t="s">
        <v>49</v>
      </c>
      <c r="U87" t="s">
        <v>53</v>
      </c>
      <c r="V87" t="s">
        <v>36</v>
      </c>
      <c r="W87" t="s">
        <v>37</v>
      </c>
      <c r="X87" s="24">
        <v>2.9411764705882351</v>
      </c>
      <c r="Y87" s="24">
        <v>97.058823529411768</v>
      </c>
      <c r="Z87" t="s">
        <v>38</v>
      </c>
      <c r="AA87" t="s">
        <v>39</v>
      </c>
      <c r="AB87" t="s">
        <v>38</v>
      </c>
      <c r="AC87" s="24">
        <v>-2.9700000000000001E-2</v>
      </c>
    </row>
    <row r="88" spans="1:29" x14ac:dyDescent="0.3">
      <c r="A88" s="2">
        <v>481</v>
      </c>
      <c r="B88" s="1">
        <v>40565</v>
      </c>
      <c r="C88" s="2">
        <v>1</v>
      </c>
      <c r="D88" s="2">
        <v>1</v>
      </c>
      <c r="E88" t="b">
        <v>0</v>
      </c>
      <c r="F88" s="2">
        <v>6</v>
      </c>
      <c r="G88" s="2">
        <v>2</v>
      </c>
      <c r="H88" s="23">
        <v>0.04</v>
      </c>
      <c r="I88" s="25">
        <v>0</v>
      </c>
      <c r="J88" s="23">
        <v>0.41</v>
      </c>
      <c r="K88" s="25">
        <v>0.3881</v>
      </c>
      <c r="L88" s="2">
        <v>3</v>
      </c>
      <c r="M88" s="2">
        <v>9</v>
      </c>
      <c r="N88" s="2">
        <v>12</v>
      </c>
      <c r="O88" t="s">
        <v>29</v>
      </c>
      <c r="P88" t="s">
        <v>30</v>
      </c>
      <c r="Q88" t="s">
        <v>41</v>
      </c>
      <c r="R88" t="s">
        <v>32</v>
      </c>
      <c r="S88" t="s">
        <v>55</v>
      </c>
      <c r="T88" t="s">
        <v>49</v>
      </c>
      <c r="U88" t="s">
        <v>53</v>
      </c>
      <c r="V88" t="s">
        <v>36</v>
      </c>
      <c r="W88" t="s">
        <v>37</v>
      </c>
      <c r="X88" s="24">
        <v>25</v>
      </c>
      <c r="Y88" s="24">
        <v>75</v>
      </c>
      <c r="Z88" t="s">
        <v>38</v>
      </c>
      <c r="AA88" t="s">
        <v>39</v>
      </c>
      <c r="AB88" t="s">
        <v>40</v>
      </c>
      <c r="AC88" s="24">
        <v>-0.04</v>
      </c>
    </row>
    <row r="89" spans="1:29" x14ac:dyDescent="0.3">
      <c r="A89" s="2">
        <v>482</v>
      </c>
      <c r="B89" s="1">
        <v>40565</v>
      </c>
      <c r="C89" s="2">
        <v>1</v>
      </c>
      <c r="D89" s="2">
        <v>2</v>
      </c>
      <c r="E89" t="b">
        <v>0</v>
      </c>
      <c r="F89" s="2">
        <v>6</v>
      </c>
      <c r="G89" s="2">
        <v>2</v>
      </c>
      <c r="H89" s="23">
        <v>0.04</v>
      </c>
      <c r="I89" s="25">
        <v>3.0300000000000001E-2</v>
      </c>
      <c r="J89" s="23">
        <v>0.41</v>
      </c>
      <c r="K89" s="25">
        <v>0.25369999999999998</v>
      </c>
      <c r="L89" s="2">
        <v>0</v>
      </c>
      <c r="M89" s="2">
        <v>11</v>
      </c>
      <c r="N89" s="2">
        <v>11</v>
      </c>
      <c r="O89" t="s">
        <v>29</v>
      </c>
      <c r="P89" t="s">
        <v>30</v>
      </c>
      <c r="Q89" t="s">
        <v>41</v>
      </c>
      <c r="R89" t="s">
        <v>32</v>
      </c>
      <c r="S89" t="s">
        <v>55</v>
      </c>
      <c r="T89" t="s">
        <v>49</v>
      </c>
      <c r="U89" t="s">
        <v>46</v>
      </c>
      <c r="V89" t="s">
        <v>36</v>
      </c>
      <c r="W89" t="s">
        <v>37</v>
      </c>
      <c r="X89" s="24">
        <v>0</v>
      </c>
      <c r="Y89" s="24">
        <v>100</v>
      </c>
      <c r="Z89" t="s">
        <v>38</v>
      </c>
      <c r="AA89" t="s">
        <v>39</v>
      </c>
      <c r="AB89" t="s">
        <v>40</v>
      </c>
      <c r="AC89" s="24">
        <v>-9.7000000000000003E-3</v>
      </c>
    </row>
    <row r="90" spans="1:29" x14ac:dyDescent="0.3">
      <c r="A90" s="2">
        <v>483</v>
      </c>
      <c r="B90" s="1">
        <v>40565</v>
      </c>
      <c r="C90" s="2">
        <v>1</v>
      </c>
      <c r="D90" s="2">
        <v>3</v>
      </c>
      <c r="E90" t="b">
        <v>0</v>
      </c>
      <c r="F90" s="2">
        <v>6</v>
      </c>
      <c r="G90" s="2">
        <v>2</v>
      </c>
      <c r="H90" s="23">
        <v>0.04</v>
      </c>
      <c r="I90" s="25">
        <v>3.0300000000000001E-2</v>
      </c>
      <c r="J90" s="23">
        <v>0.41</v>
      </c>
      <c r="K90" s="25">
        <v>0.28360000000000002</v>
      </c>
      <c r="L90" s="2">
        <v>1</v>
      </c>
      <c r="M90" s="2">
        <v>6</v>
      </c>
      <c r="N90" s="2">
        <v>7</v>
      </c>
      <c r="O90" t="s">
        <v>29</v>
      </c>
      <c r="P90" t="s">
        <v>30</v>
      </c>
      <c r="Q90" t="s">
        <v>41</v>
      </c>
      <c r="R90" t="s">
        <v>32</v>
      </c>
      <c r="S90" t="s">
        <v>55</v>
      </c>
      <c r="T90" t="s">
        <v>49</v>
      </c>
      <c r="U90" t="s">
        <v>46</v>
      </c>
      <c r="V90" t="s">
        <v>36</v>
      </c>
      <c r="W90" t="s">
        <v>37</v>
      </c>
      <c r="X90" s="24">
        <v>14.285714285714279</v>
      </c>
      <c r="Y90" s="24">
        <v>85.714285714285708</v>
      </c>
      <c r="Z90" t="s">
        <v>38</v>
      </c>
      <c r="AA90" t="s">
        <v>39</v>
      </c>
      <c r="AB90" t="s">
        <v>40</v>
      </c>
      <c r="AC90" s="24">
        <v>-9.7000000000000003E-3</v>
      </c>
    </row>
    <row r="91" spans="1:29" x14ac:dyDescent="0.3">
      <c r="A91" s="2">
        <v>488</v>
      </c>
      <c r="B91" s="1">
        <v>40565</v>
      </c>
      <c r="C91" s="2">
        <v>1</v>
      </c>
      <c r="D91" s="2">
        <v>9</v>
      </c>
      <c r="E91" t="b">
        <v>0</v>
      </c>
      <c r="F91" s="2">
        <v>6</v>
      </c>
      <c r="G91" s="2">
        <v>1</v>
      </c>
      <c r="H91" s="23">
        <v>0.04</v>
      </c>
      <c r="I91" s="25">
        <v>3.0300000000000001E-2</v>
      </c>
      <c r="J91" s="23">
        <v>0.41</v>
      </c>
      <c r="K91" s="25">
        <v>0.25369999999999998</v>
      </c>
      <c r="L91" s="2">
        <v>3</v>
      </c>
      <c r="M91" s="2">
        <v>37</v>
      </c>
      <c r="N91" s="2">
        <v>40</v>
      </c>
      <c r="O91" t="s">
        <v>29</v>
      </c>
      <c r="P91" t="s">
        <v>30</v>
      </c>
      <c r="Q91" t="s">
        <v>31</v>
      </c>
      <c r="R91" t="s">
        <v>42</v>
      </c>
      <c r="S91" t="s">
        <v>55</v>
      </c>
      <c r="T91" t="s">
        <v>49</v>
      </c>
      <c r="U91" t="s">
        <v>46</v>
      </c>
      <c r="V91" t="s">
        <v>36</v>
      </c>
      <c r="W91" t="s">
        <v>37</v>
      </c>
      <c r="X91" s="24">
        <v>7.5</v>
      </c>
      <c r="Y91" s="24">
        <v>92.5</v>
      </c>
      <c r="Z91" t="s">
        <v>40</v>
      </c>
      <c r="AA91" t="s">
        <v>39</v>
      </c>
      <c r="AB91" t="s">
        <v>40</v>
      </c>
      <c r="AC91" s="24">
        <v>-9.7000000000000003E-3</v>
      </c>
    </row>
    <row r="92" spans="1:29" x14ac:dyDescent="0.3">
      <c r="A92" s="2">
        <v>489</v>
      </c>
      <c r="B92" s="1">
        <v>40565</v>
      </c>
      <c r="C92" s="2">
        <v>1</v>
      </c>
      <c r="D92" s="2">
        <v>10</v>
      </c>
      <c r="E92" t="b">
        <v>0</v>
      </c>
      <c r="F92" s="2">
        <v>6</v>
      </c>
      <c r="G92" s="2">
        <v>2</v>
      </c>
      <c r="H92" s="23">
        <v>0.04</v>
      </c>
      <c r="I92" s="25">
        <v>6.0600000000000001E-2</v>
      </c>
      <c r="J92" s="23">
        <v>0.41</v>
      </c>
      <c r="K92" s="25">
        <v>0.16420000000000001</v>
      </c>
      <c r="L92" s="2">
        <v>3</v>
      </c>
      <c r="M92" s="2">
        <v>50</v>
      </c>
      <c r="N92" s="2">
        <v>53</v>
      </c>
      <c r="O92" t="s">
        <v>29</v>
      </c>
      <c r="P92" t="s">
        <v>30</v>
      </c>
      <c r="Q92" t="s">
        <v>41</v>
      </c>
      <c r="R92" t="s">
        <v>42</v>
      </c>
      <c r="S92" t="s">
        <v>55</v>
      </c>
      <c r="T92" t="s">
        <v>49</v>
      </c>
      <c r="U92" t="s">
        <v>46</v>
      </c>
      <c r="V92" t="s">
        <v>36</v>
      </c>
      <c r="W92" t="s">
        <v>37</v>
      </c>
      <c r="X92" s="24">
        <v>5.6603773584905666</v>
      </c>
      <c r="Y92" s="24">
        <v>94.339622641509436</v>
      </c>
      <c r="Z92" t="s">
        <v>38</v>
      </c>
      <c r="AA92" t="s">
        <v>39</v>
      </c>
      <c r="AB92" t="s">
        <v>40</v>
      </c>
      <c r="AC92" s="24">
        <v>2.06E-2</v>
      </c>
    </row>
    <row r="93" spans="1:29" x14ac:dyDescent="0.3">
      <c r="A93" s="2">
        <v>500</v>
      </c>
      <c r="B93" s="1">
        <v>40565</v>
      </c>
      <c r="C93" s="2">
        <v>1</v>
      </c>
      <c r="D93" s="2">
        <v>21</v>
      </c>
      <c r="E93" t="b">
        <v>0</v>
      </c>
      <c r="F93" s="2">
        <v>6</v>
      </c>
      <c r="G93" s="2">
        <v>1</v>
      </c>
      <c r="H93" s="23">
        <v>0.06</v>
      </c>
      <c r="I93" s="25">
        <v>0.1061</v>
      </c>
      <c r="J93" s="23">
        <v>0.41</v>
      </c>
      <c r="K93" s="25">
        <v>8.9599999999999999E-2</v>
      </c>
      <c r="L93" s="2">
        <v>0</v>
      </c>
      <c r="M93" s="2">
        <v>39</v>
      </c>
      <c r="N93" s="2">
        <v>39</v>
      </c>
      <c r="O93" t="s">
        <v>29</v>
      </c>
      <c r="P93" t="s">
        <v>30</v>
      </c>
      <c r="Q93" t="s">
        <v>31</v>
      </c>
      <c r="R93" t="s">
        <v>32</v>
      </c>
      <c r="S93" t="s">
        <v>55</v>
      </c>
      <c r="T93" t="s">
        <v>49</v>
      </c>
      <c r="U93" t="s">
        <v>35</v>
      </c>
      <c r="V93" t="s">
        <v>36</v>
      </c>
      <c r="W93" t="s">
        <v>37</v>
      </c>
      <c r="X93" s="24">
        <v>0</v>
      </c>
      <c r="Y93" s="24">
        <v>100</v>
      </c>
      <c r="Z93" t="s">
        <v>38</v>
      </c>
      <c r="AA93" t="s">
        <v>39</v>
      </c>
      <c r="AB93" t="s">
        <v>40</v>
      </c>
      <c r="AC93" s="24">
        <v>4.6100000000000002E-2</v>
      </c>
    </row>
    <row r="94" spans="1:29" x14ac:dyDescent="0.3">
      <c r="A94" s="2">
        <v>525</v>
      </c>
      <c r="B94" s="1">
        <v>40566</v>
      </c>
      <c r="C94" s="2">
        <v>1</v>
      </c>
      <c r="D94" s="2">
        <v>23</v>
      </c>
      <c r="E94" t="b">
        <v>0</v>
      </c>
      <c r="F94" s="2">
        <v>0</v>
      </c>
      <c r="G94" s="2">
        <v>1</v>
      </c>
      <c r="H94" s="23">
        <v>0.06</v>
      </c>
      <c r="I94" s="25">
        <v>6.0600000000000001E-2</v>
      </c>
      <c r="J94" s="23">
        <v>0.41</v>
      </c>
      <c r="K94" s="25">
        <v>0.22389999999999999</v>
      </c>
      <c r="L94" s="2">
        <v>4</v>
      </c>
      <c r="M94" s="2">
        <v>17</v>
      </c>
      <c r="N94" s="2">
        <v>21</v>
      </c>
      <c r="O94" t="s">
        <v>29</v>
      </c>
      <c r="P94" t="s">
        <v>52</v>
      </c>
      <c r="Q94" t="s">
        <v>31</v>
      </c>
      <c r="R94" t="s">
        <v>32</v>
      </c>
      <c r="S94" t="s">
        <v>55</v>
      </c>
      <c r="T94" t="s">
        <v>49</v>
      </c>
      <c r="U94" t="s">
        <v>46</v>
      </c>
      <c r="V94" t="s">
        <v>36</v>
      </c>
      <c r="W94" t="s">
        <v>37</v>
      </c>
      <c r="X94" s="24">
        <v>19.047619047619051</v>
      </c>
      <c r="Y94" s="24">
        <v>80.952380952380949</v>
      </c>
      <c r="Z94" t="s">
        <v>38</v>
      </c>
      <c r="AA94" t="s">
        <v>39</v>
      </c>
      <c r="AB94" t="s">
        <v>40</v>
      </c>
      <c r="AC94" s="24">
        <v>6.0000000000000331E-4</v>
      </c>
    </row>
    <row r="95" spans="1:29" x14ac:dyDescent="0.3">
      <c r="A95" s="2">
        <v>94</v>
      </c>
      <c r="B95" s="1">
        <v>40548</v>
      </c>
      <c r="C95" s="2">
        <v>1</v>
      </c>
      <c r="D95" s="2">
        <v>1</v>
      </c>
      <c r="E95" t="b">
        <v>0</v>
      </c>
      <c r="F95" s="2">
        <v>3</v>
      </c>
      <c r="G95" s="2">
        <v>1</v>
      </c>
      <c r="H95" s="23">
        <v>0.16</v>
      </c>
      <c r="I95" s="25">
        <v>0.19700000000000001</v>
      </c>
      <c r="J95" s="23">
        <v>0.74</v>
      </c>
      <c r="K95" s="25">
        <v>8.9599999999999999E-2</v>
      </c>
      <c r="L95" s="2">
        <v>0</v>
      </c>
      <c r="M95" s="2">
        <v>6</v>
      </c>
      <c r="N95" s="2">
        <v>6</v>
      </c>
      <c r="O95" t="s">
        <v>29</v>
      </c>
      <c r="P95" t="s">
        <v>57</v>
      </c>
      <c r="Q95" t="s">
        <v>31</v>
      </c>
      <c r="R95" t="s">
        <v>32</v>
      </c>
      <c r="S95" t="s">
        <v>33</v>
      </c>
      <c r="T95" t="s">
        <v>34</v>
      </c>
      <c r="U95" t="s">
        <v>35</v>
      </c>
      <c r="V95" t="s">
        <v>36</v>
      </c>
      <c r="W95" t="s">
        <v>37</v>
      </c>
      <c r="X95" s="24">
        <v>0</v>
      </c>
      <c r="Y95" s="24">
        <v>100</v>
      </c>
      <c r="Z95" t="s">
        <v>38</v>
      </c>
      <c r="AA95" t="s">
        <v>39</v>
      </c>
      <c r="AB95" t="s">
        <v>38</v>
      </c>
      <c r="AC95" s="24">
        <v>3.7000000000000012E-2</v>
      </c>
    </row>
    <row r="96" spans="1:29" x14ac:dyDescent="0.3">
      <c r="A96" s="2">
        <v>95</v>
      </c>
      <c r="B96" s="1">
        <v>40548</v>
      </c>
      <c r="C96" s="2">
        <v>1</v>
      </c>
      <c r="D96" s="2">
        <v>2</v>
      </c>
      <c r="E96" t="b">
        <v>0</v>
      </c>
      <c r="F96" s="2">
        <v>3</v>
      </c>
      <c r="G96" s="2">
        <v>1</v>
      </c>
      <c r="H96" s="23">
        <v>0.16</v>
      </c>
      <c r="I96" s="25">
        <v>0.19700000000000001</v>
      </c>
      <c r="J96" s="23">
        <v>0.74</v>
      </c>
      <c r="K96" s="25">
        <v>8.9599999999999999E-2</v>
      </c>
      <c r="L96" s="2">
        <v>0</v>
      </c>
      <c r="M96" s="2">
        <v>2</v>
      </c>
      <c r="N96" s="2">
        <v>2</v>
      </c>
      <c r="O96" t="s">
        <v>29</v>
      </c>
      <c r="P96" t="s">
        <v>57</v>
      </c>
      <c r="Q96" t="s">
        <v>31</v>
      </c>
      <c r="R96" t="s">
        <v>32</v>
      </c>
      <c r="S96" t="s">
        <v>33</v>
      </c>
      <c r="T96" t="s">
        <v>34</v>
      </c>
      <c r="U96" t="s">
        <v>35</v>
      </c>
      <c r="V96" t="s">
        <v>36</v>
      </c>
      <c r="W96" t="s">
        <v>37</v>
      </c>
      <c r="X96" s="24">
        <v>0</v>
      </c>
      <c r="Y96" s="24">
        <v>100</v>
      </c>
      <c r="Z96" t="s">
        <v>38</v>
      </c>
      <c r="AA96" t="s">
        <v>39</v>
      </c>
      <c r="AB96" t="s">
        <v>38</v>
      </c>
      <c r="AC96" s="24">
        <v>3.7000000000000012E-2</v>
      </c>
    </row>
    <row r="97" spans="1:29" x14ac:dyDescent="0.3">
      <c r="A97" s="2">
        <v>526</v>
      </c>
      <c r="B97" s="1">
        <v>40567</v>
      </c>
      <c r="C97" s="2">
        <v>1</v>
      </c>
      <c r="D97" s="2">
        <v>0</v>
      </c>
      <c r="E97" t="b">
        <v>0</v>
      </c>
      <c r="F97" s="2">
        <v>1</v>
      </c>
      <c r="G97" s="2">
        <v>1</v>
      </c>
      <c r="H97" s="23">
        <v>0.06</v>
      </c>
      <c r="I97" s="25">
        <v>6.0600000000000001E-2</v>
      </c>
      <c r="J97" s="23">
        <v>0.41</v>
      </c>
      <c r="K97" s="25">
        <v>0.19400000000000001</v>
      </c>
      <c r="L97" s="2">
        <v>0</v>
      </c>
      <c r="M97" s="2">
        <v>7</v>
      </c>
      <c r="N97" s="2">
        <v>7</v>
      </c>
      <c r="O97" t="s">
        <v>29</v>
      </c>
      <c r="P97" t="s">
        <v>54</v>
      </c>
      <c r="Q97" t="s">
        <v>31</v>
      </c>
      <c r="R97" t="s">
        <v>32</v>
      </c>
      <c r="S97" t="s">
        <v>55</v>
      </c>
      <c r="T97" t="s">
        <v>49</v>
      </c>
      <c r="U97" t="s">
        <v>46</v>
      </c>
      <c r="V97" t="s">
        <v>36</v>
      </c>
      <c r="W97" t="s">
        <v>37</v>
      </c>
      <c r="X97" s="24">
        <v>0</v>
      </c>
      <c r="Y97" s="24">
        <v>100</v>
      </c>
      <c r="Z97" t="s">
        <v>38</v>
      </c>
      <c r="AA97" t="s">
        <v>39</v>
      </c>
      <c r="AB97" t="s">
        <v>38</v>
      </c>
      <c r="AC97" s="24">
        <v>6.0000000000000331E-4</v>
      </c>
    </row>
    <row r="98" spans="1:29" x14ac:dyDescent="0.3">
      <c r="A98" s="2">
        <v>534</v>
      </c>
      <c r="B98" s="1">
        <v>40567</v>
      </c>
      <c r="C98" s="2">
        <v>1</v>
      </c>
      <c r="D98" s="2">
        <v>9</v>
      </c>
      <c r="E98" t="b">
        <v>0</v>
      </c>
      <c r="F98" s="2">
        <v>1</v>
      </c>
      <c r="G98" s="2">
        <v>1</v>
      </c>
      <c r="H98" s="23">
        <v>0.06</v>
      </c>
      <c r="I98" s="25">
        <v>0.1515</v>
      </c>
      <c r="J98" s="23">
        <v>0.41</v>
      </c>
      <c r="K98" s="25">
        <v>0</v>
      </c>
      <c r="L98" s="2">
        <v>4</v>
      </c>
      <c r="M98" s="2">
        <v>98</v>
      </c>
      <c r="N98" s="2">
        <v>102</v>
      </c>
      <c r="O98" t="s">
        <v>29</v>
      </c>
      <c r="P98" t="s">
        <v>54</v>
      </c>
      <c r="Q98" t="s">
        <v>31</v>
      </c>
      <c r="R98" t="s">
        <v>42</v>
      </c>
      <c r="S98" t="s">
        <v>55</v>
      </c>
      <c r="T98" t="s">
        <v>49</v>
      </c>
      <c r="U98" t="s">
        <v>35</v>
      </c>
      <c r="V98" t="s">
        <v>36</v>
      </c>
      <c r="W98" t="s">
        <v>37</v>
      </c>
      <c r="X98" s="24">
        <v>3.9215686274509798</v>
      </c>
      <c r="Y98" s="24">
        <v>96.078431372549019</v>
      </c>
      <c r="Z98" t="s">
        <v>40</v>
      </c>
      <c r="AA98" t="s">
        <v>49</v>
      </c>
      <c r="AB98" t="s">
        <v>38</v>
      </c>
      <c r="AC98" s="24">
        <v>9.1499999999999998E-2</v>
      </c>
    </row>
    <row r="99" spans="1:29" x14ac:dyDescent="0.3">
      <c r="A99" s="2">
        <v>956</v>
      </c>
      <c r="B99" s="1">
        <v>40586</v>
      </c>
      <c r="C99" s="2">
        <v>1</v>
      </c>
      <c r="D99" s="2">
        <v>10</v>
      </c>
      <c r="E99" t="b">
        <v>0</v>
      </c>
      <c r="F99" s="2">
        <v>6</v>
      </c>
      <c r="G99" s="2">
        <v>1</v>
      </c>
      <c r="H99" s="23">
        <v>0.22</v>
      </c>
      <c r="I99" s="25">
        <v>0.21210000000000001</v>
      </c>
      <c r="J99" s="23">
        <v>0.41</v>
      </c>
      <c r="K99" s="25">
        <v>0.25369999999999998</v>
      </c>
      <c r="L99" s="2">
        <v>13</v>
      </c>
      <c r="M99" s="2">
        <v>71</v>
      </c>
      <c r="N99" s="2">
        <v>84</v>
      </c>
      <c r="O99" t="s">
        <v>29</v>
      </c>
      <c r="P99" t="s">
        <v>30</v>
      </c>
      <c r="Q99" t="s">
        <v>31</v>
      </c>
      <c r="R99" t="s">
        <v>42</v>
      </c>
      <c r="S99" t="s">
        <v>33</v>
      </c>
      <c r="T99" t="s">
        <v>49</v>
      </c>
      <c r="U99" t="s">
        <v>46</v>
      </c>
      <c r="V99" t="s">
        <v>36</v>
      </c>
      <c r="W99" t="s">
        <v>37</v>
      </c>
      <c r="X99" s="24">
        <v>15.47619047619048</v>
      </c>
      <c r="Y99" s="24">
        <v>84.523809523809518</v>
      </c>
      <c r="Z99" t="s">
        <v>38</v>
      </c>
      <c r="AA99" t="s">
        <v>39</v>
      </c>
      <c r="AB99" t="s">
        <v>40</v>
      </c>
      <c r="AC99" s="24">
        <v>-7.8999999999999904E-3</v>
      </c>
    </row>
    <row r="100" spans="1:29" x14ac:dyDescent="0.3">
      <c r="A100" s="2">
        <v>966</v>
      </c>
      <c r="B100" s="1">
        <v>40586</v>
      </c>
      <c r="C100" s="2">
        <v>1</v>
      </c>
      <c r="D100" s="2">
        <v>20</v>
      </c>
      <c r="E100" t="b">
        <v>0</v>
      </c>
      <c r="F100" s="2">
        <v>6</v>
      </c>
      <c r="G100" s="2">
        <v>1</v>
      </c>
      <c r="H100" s="23">
        <v>0.26</v>
      </c>
      <c r="I100" s="25">
        <v>0.2576</v>
      </c>
      <c r="J100" s="23">
        <v>0.41</v>
      </c>
      <c r="K100" s="25">
        <v>0.22389999999999999</v>
      </c>
      <c r="L100" s="2">
        <v>1</v>
      </c>
      <c r="M100" s="2">
        <v>39</v>
      </c>
      <c r="N100" s="2">
        <v>40</v>
      </c>
      <c r="O100" t="s">
        <v>29</v>
      </c>
      <c r="P100" t="s">
        <v>30</v>
      </c>
      <c r="Q100" t="s">
        <v>31</v>
      </c>
      <c r="R100" t="s">
        <v>50</v>
      </c>
      <c r="S100" t="s">
        <v>44</v>
      </c>
      <c r="T100" t="s">
        <v>49</v>
      </c>
      <c r="U100" t="s">
        <v>46</v>
      </c>
      <c r="V100" t="s">
        <v>36</v>
      </c>
      <c r="W100" t="s">
        <v>37</v>
      </c>
      <c r="X100" s="24">
        <v>2.5</v>
      </c>
      <c r="Y100" s="24">
        <v>97.5</v>
      </c>
      <c r="Z100" t="s">
        <v>38</v>
      </c>
      <c r="AA100" t="s">
        <v>39</v>
      </c>
      <c r="AB100" t="s">
        <v>40</v>
      </c>
      <c r="AC100" s="24">
        <v>-2.4000000000000128E-3</v>
      </c>
    </row>
    <row r="101" spans="1:29" x14ac:dyDescent="0.3">
      <c r="A101" s="2">
        <v>967</v>
      </c>
      <c r="B101" s="1">
        <v>40586</v>
      </c>
      <c r="C101" s="2">
        <v>1</v>
      </c>
      <c r="D101" s="2">
        <v>21</v>
      </c>
      <c r="E101" t="b">
        <v>0</v>
      </c>
      <c r="F101" s="2">
        <v>6</v>
      </c>
      <c r="G101" s="2">
        <v>1</v>
      </c>
      <c r="H101" s="23">
        <v>0.26</v>
      </c>
      <c r="I101" s="25">
        <v>0.30299999999999999</v>
      </c>
      <c r="J101" s="23">
        <v>0.41</v>
      </c>
      <c r="K101" s="25">
        <v>0</v>
      </c>
      <c r="L101" s="2">
        <v>9</v>
      </c>
      <c r="M101" s="2">
        <v>42</v>
      </c>
      <c r="N101" s="2">
        <v>51</v>
      </c>
      <c r="O101" t="s">
        <v>29</v>
      </c>
      <c r="P101" t="s">
        <v>30</v>
      </c>
      <c r="Q101" t="s">
        <v>31</v>
      </c>
      <c r="R101" t="s">
        <v>32</v>
      </c>
      <c r="S101" t="s">
        <v>44</v>
      </c>
      <c r="T101" t="s">
        <v>49</v>
      </c>
      <c r="U101" t="s">
        <v>35</v>
      </c>
      <c r="V101" t="s">
        <v>36</v>
      </c>
      <c r="W101" t="s">
        <v>37</v>
      </c>
      <c r="X101" s="24">
        <v>17.647058823529409</v>
      </c>
      <c r="Y101" s="24">
        <v>82.35294117647058</v>
      </c>
      <c r="Z101" t="s">
        <v>38</v>
      </c>
      <c r="AA101" t="s">
        <v>39</v>
      </c>
      <c r="AB101" t="s">
        <v>40</v>
      </c>
      <c r="AC101" s="24">
        <v>4.2999999999999983E-2</v>
      </c>
    </row>
    <row r="102" spans="1:29" x14ac:dyDescent="0.3">
      <c r="A102" s="2">
        <v>101</v>
      </c>
      <c r="B102" s="1">
        <v>40548</v>
      </c>
      <c r="C102" s="2">
        <v>1</v>
      </c>
      <c r="D102" s="2">
        <v>9</v>
      </c>
      <c r="E102" t="b">
        <v>0</v>
      </c>
      <c r="F102" s="2">
        <v>3</v>
      </c>
      <c r="G102" s="2">
        <v>1</v>
      </c>
      <c r="H102" s="23">
        <v>0.22</v>
      </c>
      <c r="I102" s="25">
        <v>0.19700000000000001</v>
      </c>
      <c r="J102" s="23">
        <v>0.37</v>
      </c>
      <c r="K102" s="25">
        <v>0.32840000000000003</v>
      </c>
      <c r="L102" s="2">
        <v>6</v>
      </c>
      <c r="M102" s="2">
        <v>109</v>
      </c>
      <c r="N102" s="2">
        <v>115</v>
      </c>
      <c r="O102" t="s">
        <v>29</v>
      </c>
      <c r="P102" t="s">
        <v>57</v>
      </c>
      <c r="Q102" t="s">
        <v>31</v>
      </c>
      <c r="R102" t="s">
        <v>42</v>
      </c>
      <c r="S102" t="s">
        <v>33</v>
      </c>
      <c r="T102" t="s">
        <v>39</v>
      </c>
      <c r="U102" t="s">
        <v>53</v>
      </c>
      <c r="V102" t="s">
        <v>36</v>
      </c>
      <c r="W102" t="s">
        <v>37</v>
      </c>
      <c r="X102" s="24">
        <v>5.2173913043478262</v>
      </c>
      <c r="Y102" s="24">
        <v>94.782608695652172</v>
      </c>
      <c r="Z102" t="s">
        <v>40</v>
      </c>
      <c r="AA102" t="s">
        <v>49</v>
      </c>
      <c r="AB102" t="s">
        <v>38</v>
      </c>
      <c r="AC102" s="24">
        <v>-2.2999999999999989E-2</v>
      </c>
    </row>
    <row r="103" spans="1:29" x14ac:dyDescent="0.3">
      <c r="A103" s="2">
        <v>102</v>
      </c>
      <c r="B103" s="1">
        <v>40548</v>
      </c>
      <c r="C103" s="2">
        <v>1</v>
      </c>
      <c r="D103" s="2">
        <v>10</v>
      </c>
      <c r="E103" t="b">
        <v>0</v>
      </c>
      <c r="F103" s="2">
        <v>3</v>
      </c>
      <c r="G103" s="2">
        <v>1</v>
      </c>
      <c r="H103" s="23">
        <v>0.22</v>
      </c>
      <c r="I103" s="25">
        <v>0.19700000000000001</v>
      </c>
      <c r="J103" s="23">
        <v>0.37</v>
      </c>
      <c r="K103" s="25">
        <v>0.32840000000000003</v>
      </c>
      <c r="L103" s="2">
        <v>4</v>
      </c>
      <c r="M103" s="2">
        <v>53</v>
      </c>
      <c r="N103" s="2">
        <v>57</v>
      </c>
      <c r="O103" t="s">
        <v>29</v>
      </c>
      <c r="P103" t="s">
        <v>57</v>
      </c>
      <c r="Q103" t="s">
        <v>31</v>
      </c>
      <c r="R103" t="s">
        <v>42</v>
      </c>
      <c r="S103" t="s">
        <v>33</v>
      </c>
      <c r="T103" t="s">
        <v>39</v>
      </c>
      <c r="U103" t="s">
        <v>53</v>
      </c>
      <c r="V103" t="s">
        <v>36</v>
      </c>
      <c r="W103" t="s">
        <v>37</v>
      </c>
      <c r="X103" s="24">
        <v>7.0175438596491224</v>
      </c>
      <c r="Y103" s="24">
        <v>92.982456140350877</v>
      </c>
      <c r="Z103" t="s">
        <v>38</v>
      </c>
      <c r="AA103" t="s">
        <v>39</v>
      </c>
      <c r="AB103" t="s">
        <v>38</v>
      </c>
      <c r="AC103" s="24">
        <v>-2.2999999999999989E-2</v>
      </c>
    </row>
    <row r="104" spans="1:29" x14ac:dyDescent="0.3">
      <c r="A104" s="2">
        <v>103</v>
      </c>
      <c r="B104" s="1">
        <v>40548</v>
      </c>
      <c r="C104" s="2">
        <v>1</v>
      </c>
      <c r="D104" s="2">
        <v>11</v>
      </c>
      <c r="E104" t="b">
        <v>0</v>
      </c>
      <c r="F104" s="2">
        <v>3</v>
      </c>
      <c r="G104" s="2">
        <v>1</v>
      </c>
      <c r="H104" s="23">
        <v>0.26</v>
      </c>
      <c r="I104" s="25">
        <v>0.2273</v>
      </c>
      <c r="J104" s="23">
        <v>0.33</v>
      </c>
      <c r="K104" s="25">
        <v>0.32840000000000003</v>
      </c>
      <c r="L104" s="2">
        <v>12</v>
      </c>
      <c r="M104" s="2">
        <v>34</v>
      </c>
      <c r="N104" s="2">
        <v>46</v>
      </c>
      <c r="O104" t="s">
        <v>29</v>
      </c>
      <c r="P104" t="s">
        <v>57</v>
      </c>
      <c r="Q104" t="s">
        <v>31</v>
      </c>
      <c r="R104" t="s">
        <v>42</v>
      </c>
      <c r="S104" t="s">
        <v>44</v>
      </c>
      <c r="T104" t="s">
        <v>39</v>
      </c>
      <c r="U104" t="s">
        <v>53</v>
      </c>
      <c r="V104" t="s">
        <v>36</v>
      </c>
      <c r="W104" t="s">
        <v>37</v>
      </c>
      <c r="X104" s="24">
        <v>26.086956521739129</v>
      </c>
      <c r="Y104" s="24">
        <v>73.91304347826086</v>
      </c>
      <c r="Z104" t="s">
        <v>38</v>
      </c>
      <c r="AA104" t="s">
        <v>39</v>
      </c>
      <c r="AB104" t="s">
        <v>38</v>
      </c>
      <c r="AC104" s="24">
        <v>-3.2700000000000007E-2</v>
      </c>
    </row>
    <row r="105" spans="1:29" x14ac:dyDescent="0.3">
      <c r="A105" s="2">
        <v>104</v>
      </c>
      <c r="B105" s="1">
        <v>40548</v>
      </c>
      <c r="C105" s="2">
        <v>1</v>
      </c>
      <c r="D105" s="2">
        <v>12</v>
      </c>
      <c r="E105" t="b">
        <v>0</v>
      </c>
      <c r="F105" s="2">
        <v>3</v>
      </c>
      <c r="G105" s="2">
        <v>1</v>
      </c>
      <c r="H105" s="23">
        <v>0.26</v>
      </c>
      <c r="I105" s="25">
        <v>0.2273</v>
      </c>
      <c r="J105" s="23">
        <v>0.33</v>
      </c>
      <c r="K105" s="25">
        <v>0.32840000000000003</v>
      </c>
      <c r="L105" s="2">
        <v>5</v>
      </c>
      <c r="M105" s="2">
        <v>74</v>
      </c>
      <c r="N105" s="2">
        <v>79</v>
      </c>
      <c r="O105" t="s">
        <v>29</v>
      </c>
      <c r="P105" t="s">
        <v>57</v>
      </c>
      <c r="Q105" t="s">
        <v>31</v>
      </c>
      <c r="R105" t="s">
        <v>47</v>
      </c>
      <c r="S105" t="s">
        <v>44</v>
      </c>
      <c r="T105" t="s">
        <v>39</v>
      </c>
      <c r="U105" t="s">
        <v>53</v>
      </c>
      <c r="V105" t="s">
        <v>36</v>
      </c>
      <c r="W105" t="s">
        <v>37</v>
      </c>
      <c r="X105" s="24">
        <v>6.3291139240506329</v>
      </c>
      <c r="Y105" s="24">
        <v>93.670886075949369</v>
      </c>
      <c r="Z105" t="s">
        <v>38</v>
      </c>
      <c r="AA105" t="s">
        <v>39</v>
      </c>
      <c r="AB105" t="s">
        <v>38</v>
      </c>
      <c r="AC105" s="24">
        <v>-3.2700000000000007E-2</v>
      </c>
    </row>
    <row r="106" spans="1:29" x14ac:dyDescent="0.3">
      <c r="A106" s="2">
        <v>105</v>
      </c>
      <c r="B106" s="1">
        <v>40548</v>
      </c>
      <c r="C106" s="2">
        <v>1</v>
      </c>
      <c r="D106" s="2">
        <v>13</v>
      </c>
      <c r="E106" t="b">
        <v>0</v>
      </c>
      <c r="F106" s="2">
        <v>3</v>
      </c>
      <c r="G106" s="2">
        <v>1</v>
      </c>
      <c r="H106" s="23">
        <v>0.28000000000000003</v>
      </c>
      <c r="I106" s="25">
        <v>0.2576</v>
      </c>
      <c r="J106" s="23">
        <v>0.3</v>
      </c>
      <c r="K106" s="25">
        <v>0.29849999999999999</v>
      </c>
      <c r="L106" s="2">
        <v>6</v>
      </c>
      <c r="M106" s="2">
        <v>65</v>
      </c>
      <c r="N106" s="2">
        <v>71</v>
      </c>
      <c r="O106" t="s">
        <v>29</v>
      </c>
      <c r="P106" t="s">
        <v>57</v>
      </c>
      <c r="Q106" t="s">
        <v>31</v>
      </c>
      <c r="R106" t="s">
        <v>47</v>
      </c>
      <c r="S106" t="s">
        <v>44</v>
      </c>
      <c r="T106" t="s">
        <v>39</v>
      </c>
      <c r="U106" t="s">
        <v>46</v>
      </c>
      <c r="V106" t="s">
        <v>36</v>
      </c>
      <c r="W106" t="s">
        <v>37</v>
      </c>
      <c r="X106" s="24">
        <v>8.4507042253521121</v>
      </c>
      <c r="Y106" s="24">
        <v>91.549295774647888</v>
      </c>
      <c r="Z106" t="s">
        <v>38</v>
      </c>
      <c r="AA106" t="s">
        <v>39</v>
      </c>
      <c r="AB106" t="s">
        <v>38</v>
      </c>
      <c r="AC106" s="24">
        <v>-2.2400000000000031E-2</v>
      </c>
    </row>
    <row r="107" spans="1:29" x14ac:dyDescent="0.3">
      <c r="A107" s="2">
        <v>106</v>
      </c>
      <c r="B107" s="1">
        <v>40548</v>
      </c>
      <c r="C107" s="2">
        <v>1</v>
      </c>
      <c r="D107" s="2">
        <v>14</v>
      </c>
      <c r="E107" t="b">
        <v>0</v>
      </c>
      <c r="F107" s="2">
        <v>3</v>
      </c>
      <c r="G107" s="2">
        <v>1</v>
      </c>
      <c r="H107" s="23">
        <v>0.3</v>
      </c>
      <c r="I107" s="25">
        <v>0.28789999999999999</v>
      </c>
      <c r="J107" s="23">
        <v>0.28000000000000003</v>
      </c>
      <c r="K107" s="25">
        <v>0.19400000000000001</v>
      </c>
      <c r="L107" s="2">
        <v>10</v>
      </c>
      <c r="M107" s="2">
        <v>52</v>
      </c>
      <c r="N107" s="2">
        <v>62</v>
      </c>
      <c r="O107" t="s">
        <v>29</v>
      </c>
      <c r="P107" t="s">
        <v>57</v>
      </c>
      <c r="Q107" t="s">
        <v>31</v>
      </c>
      <c r="R107" t="s">
        <v>47</v>
      </c>
      <c r="S107" t="s">
        <v>44</v>
      </c>
      <c r="T107" t="s">
        <v>39</v>
      </c>
      <c r="U107" t="s">
        <v>46</v>
      </c>
      <c r="V107" t="s">
        <v>36</v>
      </c>
      <c r="W107" t="s">
        <v>37</v>
      </c>
      <c r="X107" s="24">
        <v>16.12903225806452</v>
      </c>
      <c r="Y107" s="24">
        <v>83.870967741935488</v>
      </c>
      <c r="Z107" t="s">
        <v>38</v>
      </c>
      <c r="AA107" t="s">
        <v>39</v>
      </c>
      <c r="AB107" t="s">
        <v>38</v>
      </c>
      <c r="AC107" s="24">
        <v>-1.21E-2</v>
      </c>
    </row>
    <row r="108" spans="1:29" x14ac:dyDescent="0.3">
      <c r="A108" s="2">
        <v>107</v>
      </c>
      <c r="B108" s="1">
        <v>40548</v>
      </c>
      <c r="C108" s="2">
        <v>1</v>
      </c>
      <c r="D108" s="2">
        <v>15</v>
      </c>
      <c r="E108" t="b">
        <v>0</v>
      </c>
      <c r="F108" s="2">
        <v>3</v>
      </c>
      <c r="G108" s="2">
        <v>1</v>
      </c>
      <c r="H108" s="23">
        <v>0.3</v>
      </c>
      <c r="I108" s="25">
        <v>0.28789999999999999</v>
      </c>
      <c r="J108" s="23">
        <v>0.28000000000000003</v>
      </c>
      <c r="K108" s="25">
        <v>0.19400000000000001</v>
      </c>
      <c r="L108" s="2">
        <v>7</v>
      </c>
      <c r="M108" s="2">
        <v>55</v>
      </c>
      <c r="N108" s="2">
        <v>62</v>
      </c>
      <c r="O108" t="s">
        <v>29</v>
      </c>
      <c r="P108" t="s">
        <v>57</v>
      </c>
      <c r="Q108" t="s">
        <v>31</v>
      </c>
      <c r="R108" t="s">
        <v>47</v>
      </c>
      <c r="S108" t="s">
        <v>44</v>
      </c>
      <c r="T108" t="s">
        <v>39</v>
      </c>
      <c r="U108" t="s">
        <v>46</v>
      </c>
      <c r="V108" t="s">
        <v>36</v>
      </c>
      <c r="W108" t="s">
        <v>37</v>
      </c>
      <c r="X108" s="24">
        <v>11.29032258064516</v>
      </c>
      <c r="Y108" s="24">
        <v>88.709677419354833</v>
      </c>
      <c r="Z108" t="s">
        <v>38</v>
      </c>
      <c r="AA108" t="s">
        <v>39</v>
      </c>
      <c r="AB108" t="s">
        <v>38</v>
      </c>
      <c r="AC108" s="24">
        <v>-1.21E-2</v>
      </c>
    </row>
    <row r="109" spans="1:29" x14ac:dyDescent="0.3">
      <c r="A109" s="2">
        <v>108</v>
      </c>
      <c r="B109" s="1">
        <v>40548</v>
      </c>
      <c r="C109" s="2">
        <v>1</v>
      </c>
      <c r="D109" s="2">
        <v>16</v>
      </c>
      <c r="E109" t="b">
        <v>0</v>
      </c>
      <c r="F109" s="2">
        <v>3</v>
      </c>
      <c r="G109" s="2">
        <v>1</v>
      </c>
      <c r="H109" s="23">
        <v>0.3</v>
      </c>
      <c r="I109" s="25">
        <v>0.31819999999999998</v>
      </c>
      <c r="J109" s="23">
        <v>0.28000000000000003</v>
      </c>
      <c r="K109" s="25">
        <v>8.9599999999999999E-2</v>
      </c>
      <c r="L109" s="2">
        <v>4</v>
      </c>
      <c r="M109" s="2">
        <v>85</v>
      </c>
      <c r="N109" s="2">
        <v>89</v>
      </c>
      <c r="O109" t="s">
        <v>29</v>
      </c>
      <c r="P109" t="s">
        <v>57</v>
      </c>
      <c r="Q109" t="s">
        <v>31</v>
      </c>
      <c r="R109" t="s">
        <v>47</v>
      </c>
      <c r="S109" t="s">
        <v>44</v>
      </c>
      <c r="T109" t="s">
        <v>39</v>
      </c>
      <c r="U109" t="s">
        <v>35</v>
      </c>
      <c r="V109" t="s">
        <v>36</v>
      </c>
      <c r="W109" t="s">
        <v>37</v>
      </c>
      <c r="X109" s="24">
        <v>4.4943820224719104</v>
      </c>
      <c r="Y109" s="24">
        <v>95.50561797752809</v>
      </c>
      <c r="Z109" t="s">
        <v>38</v>
      </c>
      <c r="AA109" t="s">
        <v>39</v>
      </c>
      <c r="AB109" t="s">
        <v>38</v>
      </c>
      <c r="AC109" s="24">
        <v>1.819999999999999E-2</v>
      </c>
    </row>
    <row r="110" spans="1:29" x14ac:dyDescent="0.3">
      <c r="A110" s="2">
        <v>109</v>
      </c>
      <c r="B110" s="1">
        <v>40548</v>
      </c>
      <c r="C110" s="2">
        <v>1</v>
      </c>
      <c r="D110" s="2">
        <v>17</v>
      </c>
      <c r="E110" t="b">
        <v>0</v>
      </c>
      <c r="F110" s="2">
        <v>3</v>
      </c>
      <c r="G110" s="2">
        <v>1</v>
      </c>
      <c r="H110" s="23">
        <v>0.24</v>
      </c>
      <c r="I110" s="25">
        <v>0.2273</v>
      </c>
      <c r="J110" s="23">
        <v>0.38</v>
      </c>
      <c r="K110" s="25">
        <v>0.19400000000000001</v>
      </c>
      <c r="L110" s="2">
        <v>4</v>
      </c>
      <c r="M110" s="2">
        <v>186</v>
      </c>
      <c r="N110" s="2">
        <v>190</v>
      </c>
      <c r="O110" t="s">
        <v>29</v>
      </c>
      <c r="P110" t="s">
        <v>57</v>
      </c>
      <c r="Q110" t="s">
        <v>31</v>
      </c>
      <c r="R110" t="s">
        <v>50</v>
      </c>
      <c r="S110" t="s">
        <v>33</v>
      </c>
      <c r="T110" t="s">
        <v>39</v>
      </c>
      <c r="U110" t="s">
        <v>46</v>
      </c>
      <c r="V110" t="s">
        <v>36</v>
      </c>
      <c r="W110" t="s">
        <v>37</v>
      </c>
      <c r="X110" s="24">
        <v>2.1052631578947372</v>
      </c>
      <c r="Y110" s="24">
        <v>97.894736842105274</v>
      </c>
      <c r="Z110" t="s">
        <v>40</v>
      </c>
      <c r="AA110" t="s">
        <v>49</v>
      </c>
      <c r="AB110" t="s">
        <v>38</v>
      </c>
      <c r="AC110" s="24">
        <v>-1.2699999999999991E-2</v>
      </c>
    </row>
    <row r="111" spans="1:29" x14ac:dyDescent="0.3">
      <c r="A111" s="2">
        <v>110</v>
      </c>
      <c r="B111" s="1">
        <v>40548</v>
      </c>
      <c r="C111" s="2">
        <v>1</v>
      </c>
      <c r="D111" s="2">
        <v>18</v>
      </c>
      <c r="E111" t="b">
        <v>0</v>
      </c>
      <c r="F111" s="2">
        <v>3</v>
      </c>
      <c r="G111" s="2">
        <v>1</v>
      </c>
      <c r="H111" s="23">
        <v>0.24</v>
      </c>
      <c r="I111" s="25">
        <v>0.2424</v>
      </c>
      <c r="J111" s="23">
        <v>0.38</v>
      </c>
      <c r="K111" s="25">
        <v>0.1343</v>
      </c>
      <c r="L111" s="2">
        <v>3</v>
      </c>
      <c r="M111" s="2">
        <v>166</v>
      </c>
      <c r="N111" s="2">
        <v>169</v>
      </c>
      <c r="O111" t="s">
        <v>29</v>
      </c>
      <c r="P111" t="s">
        <v>57</v>
      </c>
      <c r="Q111" t="s">
        <v>31</v>
      </c>
      <c r="R111" t="s">
        <v>50</v>
      </c>
      <c r="S111" t="s">
        <v>33</v>
      </c>
      <c r="T111" t="s">
        <v>39</v>
      </c>
      <c r="U111" t="s">
        <v>35</v>
      </c>
      <c r="V111" t="s">
        <v>36</v>
      </c>
      <c r="W111" t="s">
        <v>37</v>
      </c>
      <c r="X111" s="24">
        <v>1.775147928994083</v>
      </c>
      <c r="Y111" s="24">
        <v>98.224852071005913</v>
      </c>
      <c r="Z111" t="s">
        <v>40</v>
      </c>
      <c r="AA111" t="s">
        <v>49</v>
      </c>
      <c r="AB111" t="s">
        <v>38</v>
      </c>
      <c r="AC111" s="24">
        <v>2.4000000000000128E-3</v>
      </c>
    </row>
    <row r="112" spans="1:29" x14ac:dyDescent="0.3">
      <c r="A112" s="2">
        <v>111</v>
      </c>
      <c r="B112" s="1">
        <v>40548</v>
      </c>
      <c r="C112" s="2">
        <v>1</v>
      </c>
      <c r="D112" s="2">
        <v>19</v>
      </c>
      <c r="E112" t="b">
        <v>0</v>
      </c>
      <c r="F112" s="2">
        <v>3</v>
      </c>
      <c r="G112" s="2">
        <v>1</v>
      </c>
      <c r="H112" s="23">
        <v>0.24</v>
      </c>
      <c r="I112" s="25">
        <v>0.2576</v>
      </c>
      <c r="J112" s="23">
        <v>0.38</v>
      </c>
      <c r="K112" s="25">
        <v>0.1045</v>
      </c>
      <c r="L112" s="2">
        <v>5</v>
      </c>
      <c r="M112" s="2">
        <v>127</v>
      </c>
      <c r="N112" s="2">
        <v>132</v>
      </c>
      <c r="O112" t="s">
        <v>29</v>
      </c>
      <c r="P112" t="s">
        <v>57</v>
      </c>
      <c r="Q112" t="s">
        <v>31</v>
      </c>
      <c r="R112" t="s">
        <v>50</v>
      </c>
      <c r="S112" t="s">
        <v>33</v>
      </c>
      <c r="T112" t="s">
        <v>39</v>
      </c>
      <c r="U112" t="s">
        <v>35</v>
      </c>
      <c r="V112" t="s">
        <v>36</v>
      </c>
      <c r="W112" t="s">
        <v>37</v>
      </c>
      <c r="X112" s="24">
        <v>3.7878787878787881</v>
      </c>
      <c r="Y112" s="24">
        <v>96.212121212121218</v>
      </c>
      <c r="Z112" t="s">
        <v>40</v>
      </c>
      <c r="AA112" t="s">
        <v>49</v>
      </c>
      <c r="AB112" t="s">
        <v>38</v>
      </c>
      <c r="AC112" s="24">
        <v>1.7600000000000001E-2</v>
      </c>
    </row>
    <row r="113" spans="1:29" x14ac:dyDescent="0.3">
      <c r="A113" s="2">
        <v>43</v>
      </c>
      <c r="B113" s="1">
        <v>40545</v>
      </c>
      <c r="C113" s="2">
        <v>1</v>
      </c>
      <c r="D113" s="2">
        <v>19</v>
      </c>
      <c r="E113" t="b">
        <v>0</v>
      </c>
      <c r="F113" s="2">
        <v>0</v>
      </c>
      <c r="G113" s="2">
        <v>1</v>
      </c>
      <c r="H113" s="23">
        <v>0.32</v>
      </c>
      <c r="I113" s="25">
        <v>0.28789999999999999</v>
      </c>
      <c r="J113" s="23">
        <v>0.42</v>
      </c>
      <c r="K113" s="25">
        <v>0.44779999999999998</v>
      </c>
      <c r="L113" s="2">
        <v>1</v>
      </c>
      <c r="M113" s="2">
        <v>29</v>
      </c>
      <c r="N113" s="2">
        <v>30</v>
      </c>
      <c r="O113" t="s">
        <v>29</v>
      </c>
      <c r="P113" t="s">
        <v>52</v>
      </c>
      <c r="Q113" t="s">
        <v>31</v>
      </c>
      <c r="R113" t="s">
        <v>50</v>
      </c>
      <c r="S113" t="s">
        <v>44</v>
      </c>
      <c r="T113" t="s">
        <v>49</v>
      </c>
      <c r="U113" t="s">
        <v>53</v>
      </c>
      <c r="V113" t="s">
        <v>36</v>
      </c>
      <c r="W113" t="s">
        <v>37</v>
      </c>
      <c r="X113" s="24">
        <v>3.333333333333333</v>
      </c>
      <c r="Y113" s="24">
        <v>96.666666666666671</v>
      </c>
      <c r="Z113" t="s">
        <v>40</v>
      </c>
      <c r="AA113" t="s">
        <v>39</v>
      </c>
      <c r="AB113" t="s">
        <v>40</v>
      </c>
      <c r="AC113" s="24">
        <v>-3.2100000000000017E-2</v>
      </c>
    </row>
    <row r="114" spans="1:29" x14ac:dyDescent="0.3">
      <c r="A114" s="2">
        <v>186</v>
      </c>
      <c r="B114" s="1">
        <v>40552</v>
      </c>
      <c r="C114" s="2">
        <v>1</v>
      </c>
      <c r="D114" s="2">
        <v>0</v>
      </c>
      <c r="E114" t="b">
        <v>0</v>
      </c>
      <c r="F114" s="2">
        <v>0</v>
      </c>
      <c r="G114" s="2">
        <v>1</v>
      </c>
      <c r="H114" s="23">
        <v>0.1</v>
      </c>
      <c r="I114" s="25">
        <v>7.5800000000000006E-2</v>
      </c>
      <c r="J114" s="23">
        <v>0.42</v>
      </c>
      <c r="K114" s="25">
        <v>0.3881</v>
      </c>
      <c r="L114" s="2">
        <v>1</v>
      </c>
      <c r="M114" s="2">
        <v>24</v>
      </c>
      <c r="N114" s="2">
        <v>25</v>
      </c>
      <c r="O114" t="s">
        <v>29</v>
      </c>
      <c r="P114" t="s">
        <v>52</v>
      </c>
      <c r="Q114" t="s">
        <v>31</v>
      </c>
      <c r="R114" t="s">
        <v>32</v>
      </c>
      <c r="S114" t="s">
        <v>55</v>
      </c>
      <c r="T114" t="s">
        <v>49</v>
      </c>
      <c r="U114" t="s">
        <v>53</v>
      </c>
      <c r="V114" t="s">
        <v>36</v>
      </c>
      <c r="W114" t="s">
        <v>37</v>
      </c>
      <c r="X114" s="24">
        <v>4</v>
      </c>
      <c r="Y114" s="24">
        <v>96</v>
      </c>
      <c r="Z114" t="s">
        <v>38</v>
      </c>
      <c r="AA114" t="s">
        <v>39</v>
      </c>
      <c r="AB114" t="s">
        <v>40</v>
      </c>
      <c r="AC114" s="24">
        <v>-2.4199999999999999E-2</v>
      </c>
    </row>
    <row r="115" spans="1:29" x14ac:dyDescent="0.3">
      <c r="A115" s="2">
        <v>187</v>
      </c>
      <c r="B115" s="1">
        <v>40552</v>
      </c>
      <c r="C115" s="2">
        <v>1</v>
      </c>
      <c r="D115" s="2">
        <v>1</v>
      </c>
      <c r="E115" t="b">
        <v>0</v>
      </c>
      <c r="F115" s="2">
        <v>0</v>
      </c>
      <c r="G115" s="2">
        <v>1</v>
      </c>
      <c r="H115" s="23">
        <v>0.1</v>
      </c>
      <c r="I115" s="25">
        <v>6.0600000000000001E-2</v>
      </c>
      <c r="J115" s="23">
        <v>0.42</v>
      </c>
      <c r="K115" s="25">
        <v>0.4627</v>
      </c>
      <c r="L115" s="2">
        <v>0</v>
      </c>
      <c r="M115" s="2">
        <v>12</v>
      </c>
      <c r="N115" s="2">
        <v>12</v>
      </c>
      <c r="O115" t="s">
        <v>29</v>
      </c>
      <c r="P115" t="s">
        <v>52</v>
      </c>
      <c r="Q115" t="s">
        <v>31</v>
      </c>
      <c r="R115" t="s">
        <v>32</v>
      </c>
      <c r="S115" t="s">
        <v>55</v>
      </c>
      <c r="T115" t="s">
        <v>49</v>
      </c>
      <c r="U115" t="s">
        <v>53</v>
      </c>
      <c r="V115" t="s">
        <v>36</v>
      </c>
      <c r="W115" t="s">
        <v>37</v>
      </c>
      <c r="X115" s="24">
        <v>0</v>
      </c>
      <c r="Y115" s="24">
        <v>100</v>
      </c>
      <c r="Z115" t="s">
        <v>38</v>
      </c>
      <c r="AA115" t="s">
        <v>39</v>
      </c>
      <c r="AB115" t="s">
        <v>40</v>
      </c>
      <c r="AC115" s="24">
        <v>-3.9399999999999998E-2</v>
      </c>
    </row>
    <row r="116" spans="1:29" x14ac:dyDescent="0.3">
      <c r="A116" s="2">
        <v>347</v>
      </c>
      <c r="B116" s="1">
        <v>40558</v>
      </c>
      <c r="C116" s="2">
        <v>1</v>
      </c>
      <c r="D116" s="2">
        <v>22</v>
      </c>
      <c r="E116" t="b">
        <v>0</v>
      </c>
      <c r="F116" s="2">
        <v>6</v>
      </c>
      <c r="G116" s="2">
        <v>2</v>
      </c>
      <c r="H116" s="23">
        <v>0.3</v>
      </c>
      <c r="I116" s="25">
        <v>0.31819999999999998</v>
      </c>
      <c r="J116" s="23">
        <v>0.42</v>
      </c>
      <c r="K116" s="25">
        <v>0.1045</v>
      </c>
      <c r="L116" s="2">
        <v>0</v>
      </c>
      <c r="M116" s="2">
        <v>26</v>
      </c>
      <c r="N116" s="2">
        <v>26</v>
      </c>
      <c r="O116" t="s">
        <v>29</v>
      </c>
      <c r="P116" t="s">
        <v>30</v>
      </c>
      <c r="Q116" t="s">
        <v>41</v>
      </c>
      <c r="R116" t="s">
        <v>32</v>
      </c>
      <c r="S116" t="s">
        <v>44</v>
      </c>
      <c r="T116" t="s">
        <v>49</v>
      </c>
      <c r="U116" t="s">
        <v>35</v>
      </c>
      <c r="V116" t="s">
        <v>36</v>
      </c>
      <c r="W116" t="s">
        <v>37</v>
      </c>
      <c r="X116" s="24">
        <v>0</v>
      </c>
      <c r="Y116" s="24">
        <v>100</v>
      </c>
      <c r="Z116" t="s">
        <v>38</v>
      </c>
      <c r="AA116" t="s">
        <v>39</v>
      </c>
      <c r="AB116" t="s">
        <v>40</v>
      </c>
      <c r="AC116" s="24">
        <v>1.819999999999999E-2</v>
      </c>
    </row>
    <row r="117" spans="1:29" x14ac:dyDescent="0.3">
      <c r="A117" s="2">
        <v>444</v>
      </c>
      <c r="B117" s="1">
        <v>40563</v>
      </c>
      <c r="C117" s="2">
        <v>1</v>
      </c>
      <c r="D117" s="2">
        <v>12</v>
      </c>
      <c r="E117" t="b">
        <v>0</v>
      </c>
      <c r="F117" s="2">
        <v>4</v>
      </c>
      <c r="G117" s="2">
        <v>2</v>
      </c>
      <c r="H117" s="23">
        <v>0.3</v>
      </c>
      <c r="I117" s="25">
        <v>0.33329999999999999</v>
      </c>
      <c r="J117" s="23">
        <v>0.42</v>
      </c>
      <c r="K117" s="25">
        <v>0</v>
      </c>
      <c r="L117" s="2">
        <v>7</v>
      </c>
      <c r="M117" s="2">
        <v>77</v>
      </c>
      <c r="N117" s="2">
        <v>84</v>
      </c>
      <c r="O117" t="s">
        <v>29</v>
      </c>
      <c r="P117" t="s">
        <v>58</v>
      </c>
      <c r="Q117" t="s">
        <v>41</v>
      </c>
      <c r="R117" t="s">
        <v>47</v>
      </c>
      <c r="S117" t="s">
        <v>44</v>
      </c>
      <c r="T117" t="s">
        <v>49</v>
      </c>
      <c r="U117" t="s">
        <v>35</v>
      </c>
      <c r="V117" t="s">
        <v>36</v>
      </c>
      <c r="W117" t="s">
        <v>37</v>
      </c>
      <c r="X117" s="24">
        <v>8.3333333333333321</v>
      </c>
      <c r="Y117" s="24">
        <v>91.666666666666657</v>
      </c>
      <c r="Z117" t="s">
        <v>38</v>
      </c>
      <c r="AA117" t="s">
        <v>39</v>
      </c>
      <c r="AB117" t="s">
        <v>38</v>
      </c>
      <c r="AC117" s="24">
        <v>3.3300000000000003E-2</v>
      </c>
    </row>
    <row r="118" spans="1:29" x14ac:dyDescent="0.3">
      <c r="A118" s="2">
        <v>535</v>
      </c>
      <c r="B118" s="1">
        <v>40567</v>
      </c>
      <c r="C118" s="2">
        <v>1</v>
      </c>
      <c r="D118" s="2">
        <v>10</v>
      </c>
      <c r="E118" t="b">
        <v>0</v>
      </c>
      <c r="F118" s="2">
        <v>1</v>
      </c>
      <c r="G118" s="2">
        <v>1</v>
      </c>
      <c r="H118" s="23">
        <v>0.1</v>
      </c>
      <c r="I118" s="25">
        <v>0.13639999999999999</v>
      </c>
      <c r="J118" s="23">
        <v>0.42</v>
      </c>
      <c r="K118" s="25">
        <v>0</v>
      </c>
      <c r="L118" s="2">
        <v>6</v>
      </c>
      <c r="M118" s="2">
        <v>34</v>
      </c>
      <c r="N118" s="2">
        <v>40</v>
      </c>
      <c r="O118" t="s">
        <v>29</v>
      </c>
      <c r="P118" t="s">
        <v>54</v>
      </c>
      <c r="Q118" t="s">
        <v>31</v>
      </c>
      <c r="R118" t="s">
        <v>42</v>
      </c>
      <c r="S118" t="s">
        <v>55</v>
      </c>
      <c r="T118" t="s">
        <v>49</v>
      </c>
      <c r="U118" t="s">
        <v>35</v>
      </c>
      <c r="V118" t="s">
        <v>36</v>
      </c>
      <c r="W118" t="s">
        <v>37</v>
      </c>
      <c r="X118" s="24">
        <v>15</v>
      </c>
      <c r="Y118" s="24">
        <v>85</v>
      </c>
      <c r="Z118" t="s">
        <v>38</v>
      </c>
      <c r="AA118" t="s">
        <v>39</v>
      </c>
      <c r="AB118" t="s">
        <v>38</v>
      </c>
      <c r="AC118" s="24">
        <v>3.6399999999999988E-2</v>
      </c>
    </row>
    <row r="119" spans="1:29" x14ac:dyDescent="0.3">
      <c r="A119" s="2">
        <v>537</v>
      </c>
      <c r="B119" s="1">
        <v>40567</v>
      </c>
      <c r="C119" s="2">
        <v>1</v>
      </c>
      <c r="D119" s="2">
        <v>12</v>
      </c>
      <c r="E119" t="b">
        <v>0</v>
      </c>
      <c r="F119" s="2">
        <v>1</v>
      </c>
      <c r="G119" s="2">
        <v>2</v>
      </c>
      <c r="H119" s="23">
        <v>0.12</v>
      </c>
      <c r="I119" s="25">
        <v>0.13639999999999999</v>
      </c>
      <c r="J119" s="23">
        <v>0.42</v>
      </c>
      <c r="K119" s="25">
        <v>0.19400000000000001</v>
      </c>
      <c r="L119" s="2">
        <v>11</v>
      </c>
      <c r="M119" s="2">
        <v>52</v>
      </c>
      <c r="N119" s="2">
        <v>63</v>
      </c>
      <c r="O119" t="s">
        <v>29</v>
      </c>
      <c r="P119" t="s">
        <v>54</v>
      </c>
      <c r="Q119" t="s">
        <v>41</v>
      </c>
      <c r="R119" t="s">
        <v>47</v>
      </c>
      <c r="S119" t="s">
        <v>55</v>
      </c>
      <c r="T119" t="s">
        <v>49</v>
      </c>
      <c r="U119" t="s">
        <v>46</v>
      </c>
      <c r="V119" t="s">
        <v>36</v>
      </c>
      <c r="W119" t="s">
        <v>37</v>
      </c>
      <c r="X119" s="24">
        <v>17.460317460317459</v>
      </c>
      <c r="Y119" s="24">
        <v>82.539682539682531</v>
      </c>
      <c r="Z119" t="s">
        <v>38</v>
      </c>
      <c r="AA119" t="s">
        <v>39</v>
      </c>
      <c r="AB119" t="s">
        <v>38</v>
      </c>
      <c r="AC119" s="24">
        <v>1.6400000000000001E-2</v>
      </c>
    </row>
    <row r="120" spans="1:29" x14ac:dyDescent="0.3">
      <c r="A120" s="2">
        <v>563</v>
      </c>
      <c r="B120" s="1">
        <v>40568</v>
      </c>
      <c r="C120" s="2">
        <v>1</v>
      </c>
      <c r="D120" s="2">
        <v>15</v>
      </c>
      <c r="E120" t="b">
        <v>0</v>
      </c>
      <c r="F120" s="2">
        <v>2</v>
      </c>
      <c r="G120" s="2">
        <v>2</v>
      </c>
      <c r="H120" s="23">
        <v>0.32</v>
      </c>
      <c r="I120" s="25">
        <v>0.34849999999999998</v>
      </c>
      <c r="J120" s="23">
        <v>0.42</v>
      </c>
      <c r="K120" s="25">
        <v>0</v>
      </c>
      <c r="L120" s="2">
        <v>21</v>
      </c>
      <c r="M120" s="2">
        <v>63</v>
      </c>
      <c r="N120" s="2">
        <v>84</v>
      </c>
      <c r="O120" t="s">
        <v>29</v>
      </c>
      <c r="P120" t="s">
        <v>56</v>
      </c>
      <c r="Q120" t="s">
        <v>41</v>
      </c>
      <c r="R120" t="s">
        <v>47</v>
      </c>
      <c r="S120" t="s">
        <v>44</v>
      </c>
      <c r="T120" t="s">
        <v>49</v>
      </c>
      <c r="U120" t="s">
        <v>35</v>
      </c>
      <c r="V120" t="s">
        <v>36</v>
      </c>
      <c r="W120" t="s">
        <v>37</v>
      </c>
      <c r="X120" s="24">
        <v>25</v>
      </c>
      <c r="Y120" s="24">
        <v>75</v>
      </c>
      <c r="Z120" t="s">
        <v>38</v>
      </c>
      <c r="AA120" t="s">
        <v>39</v>
      </c>
      <c r="AB120" t="s">
        <v>38</v>
      </c>
      <c r="AC120" s="24">
        <v>2.849999999999997E-2</v>
      </c>
    </row>
    <row r="121" spans="1:29" x14ac:dyDescent="0.3">
      <c r="A121" s="2">
        <v>564</v>
      </c>
      <c r="B121" s="1">
        <v>40568</v>
      </c>
      <c r="C121" s="2">
        <v>1</v>
      </c>
      <c r="D121" s="2">
        <v>16</v>
      </c>
      <c r="E121" t="b">
        <v>0</v>
      </c>
      <c r="F121" s="2">
        <v>2</v>
      </c>
      <c r="G121" s="2">
        <v>2</v>
      </c>
      <c r="H121" s="23">
        <v>0.32</v>
      </c>
      <c r="I121" s="25">
        <v>0.34849999999999998</v>
      </c>
      <c r="J121" s="23">
        <v>0.42</v>
      </c>
      <c r="K121" s="25">
        <v>0</v>
      </c>
      <c r="L121" s="2">
        <v>14</v>
      </c>
      <c r="M121" s="2">
        <v>102</v>
      </c>
      <c r="N121" s="2">
        <v>116</v>
      </c>
      <c r="O121" t="s">
        <v>29</v>
      </c>
      <c r="P121" t="s">
        <v>56</v>
      </c>
      <c r="Q121" t="s">
        <v>41</v>
      </c>
      <c r="R121" t="s">
        <v>47</v>
      </c>
      <c r="S121" t="s">
        <v>44</v>
      </c>
      <c r="T121" t="s">
        <v>49</v>
      </c>
      <c r="U121" t="s">
        <v>35</v>
      </c>
      <c r="V121" t="s">
        <v>36</v>
      </c>
      <c r="W121" t="s">
        <v>37</v>
      </c>
      <c r="X121" s="24">
        <v>12.068965517241381</v>
      </c>
      <c r="Y121" s="24">
        <v>87.931034482758619</v>
      </c>
      <c r="Z121" t="s">
        <v>38</v>
      </c>
      <c r="AA121" t="s">
        <v>49</v>
      </c>
      <c r="AB121" t="s">
        <v>38</v>
      </c>
      <c r="AC121" s="24">
        <v>2.849999999999997E-2</v>
      </c>
    </row>
    <row r="122" spans="1:29" x14ac:dyDescent="0.3">
      <c r="A122" s="2">
        <v>730</v>
      </c>
      <c r="B122" s="1">
        <v>40576</v>
      </c>
      <c r="C122" s="2">
        <v>1</v>
      </c>
      <c r="D122" s="2">
        <v>18</v>
      </c>
      <c r="E122" t="b">
        <v>0</v>
      </c>
      <c r="F122" s="2">
        <v>3</v>
      </c>
      <c r="G122" s="2">
        <v>1</v>
      </c>
      <c r="H122" s="23">
        <v>0.34</v>
      </c>
      <c r="I122" s="25">
        <v>0.28789999999999999</v>
      </c>
      <c r="J122" s="23">
        <v>0.42</v>
      </c>
      <c r="K122" s="25">
        <v>0.55220000000000002</v>
      </c>
      <c r="L122" s="2">
        <v>7</v>
      </c>
      <c r="M122" s="2">
        <v>175</v>
      </c>
      <c r="N122" s="2">
        <v>182</v>
      </c>
      <c r="O122" t="s">
        <v>29</v>
      </c>
      <c r="P122" t="s">
        <v>57</v>
      </c>
      <c r="Q122" t="s">
        <v>31</v>
      </c>
      <c r="R122" t="s">
        <v>50</v>
      </c>
      <c r="S122" t="s">
        <v>44</v>
      </c>
      <c r="T122" t="s">
        <v>49</v>
      </c>
      <c r="U122" t="s">
        <v>53</v>
      </c>
      <c r="V122" t="s">
        <v>36</v>
      </c>
      <c r="W122" t="s">
        <v>37</v>
      </c>
      <c r="X122" s="24">
        <v>3.8461538461538458</v>
      </c>
      <c r="Y122" s="24">
        <v>96.15384615384616</v>
      </c>
      <c r="Z122" t="s">
        <v>40</v>
      </c>
      <c r="AA122" t="s">
        <v>49</v>
      </c>
      <c r="AB122" t="s">
        <v>38</v>
      </c>
      <c r="AC122" s="24">
        <v>-5.2100000000000042E-2</v>
      </c>
    </row>
    <row r="123" spans="1:29" x14ac:dyDescent="0.3">
      <c r="A123" s="2">
        <v>774</v>
      </c>
      <c r="B123" s="1">
        <v>40578</v>
      </c>
      <c r="C123" s="2">
        <v>1</v>
      </c>
      <c r="D123" s="2">
        <v>16</v>
      </c>
      <c r="E123" t="b">
        <v>0</v>
      </c>
      <c r="F123" s="2">
        <v>5</v>
      </c>
      <c r="G123" s="2">
        <v>2</v>
      </c>
      <c r="H123" s="23">
        <v>0.3</v>
      </c>
      <c r="I123" s="25">
        <v>0.28789999999999999</v>
      </c>
      <c r="J123" s="23">
        <v>0.42</v>
      </c>
      <c r="K123" s="25">
        <v>0.22389999999999999</v>
      </c>
      <c r="L123" s="2">
        <v>8</v>
      </c>
      <c r="M123" s="2">
        <v>91</v>
      </c>
      <c r="N123" s="2">
        <v>99</v>
      </c>
      <c r="O123" t="s">
        <v>29</v>
      </c>
      <c r="P123" t="s">
        <v>59</v>
      </c>
      <c r="Q123" t="s">
        <v>41</v>
      </c>
      <c r="R123" t="s">
        <v>47</v>
      </c>
      <c r="S123" t="s">
        <v>44</v>
      </c>
      <c r="T123" t="s">
        <v>49</v>
      </c>
      <c r="U123" t="s">
        <v>46</v>
      </c>
      <c r="V123" t="s">
        <v>36</v>
      </c>
      <c r="W123" t="s">
        <v>37</v>
      </c>
      <c r="X123" s="24">
        <v>8.0808080808080813</v>
      </c>
      <c r="Y123" s="24">
        <v>91.919191919191917</v>
      </c>
      <c r="Z123" t="s">
        <v>38</v>
      </c>
      <c r="AA123" t="s">
        <v>39</v>
      </c>
      <c r="AB123" t="s">
        <v>38</v>
      </c>
      <c r="AC123" s="24">
        <v>-1.21E-2</v>
      </c>
    </row>
    <row r="124" spans="1:29" x14ac:dyDescent="0.3">
      <c r="A124" s="2">
        <v>885</v>
      </c>
      <c r="B124" s="1">
        <v>40583</v>
      </c>
      <c r="C124" s="2">
        <v>1</v>
      </c>
      <c r="D124" s="2">
        <v>8</v>
      </c>
      <c r="E124" t="b">
        <v>0</v>
      </c>
      <c r="F124" s="2">
        <v>3</v>
      </c>
      <c r="G124" s="2">
        <v>1</v>
      </c>
      <c r="H124" s="23">
        <v>0.1</v>
      </c>
      <c r="I124" s="25">
        <v>0.13639999999999999</v>
      </c>
      <c r="J124" s="23">
        <v>0.42</v>
      </c>
      <c r="K124" s="25">
        <v>0</v>
      </c>
      <c r="L124" s="2">
        <v>1</v>
      </c>
      <c r="M124" s="2">
        <v>198</v>
      </c>
      <c r="N124" s="2">
        <v>199</v>
      </c>
      <c r="O124" t="s">
        <v>29</v>
      </c>
      <c r="P124" t="s">
        <v>57</v>
      </c>
      <c r="Q124" t="s">
        <v>31</v>
      </c>
      <c r="R124" t="s">
        <v>42</v>
      </c>
      <c r="S124" t="s">
        <v>55</v>
      </c>
      <c r="T124" t="s">
        <v>49</v>
      </c>
      <c r="U124" t="s">
        <v>35</v>
      </c>
      <c r="V124" t="s">
        <v>36</v>
      </c>
      <c r="W124" t="s">
        <v>37</v>
      </c>
      <c r="X124" s="24">
        <v>0.50251256281407031</v>
      </c>
      <c r="Y124" s="24">
        <v>99.497487437185924</v>
      </c>
      <c r="Z124" t="s">
        <v>40</v>
      </c>
      <c r="AA124" t="s">
        <v>49</v>
      </c>
      <c r="AB124" t="s">
        <v>38</v>
      </c>
      <c r="AC124" s="24">
        <v>3.6399999999999988E-2</v>
      </c>
    </row>
    <row r="125" spans="1:29" x14ac:dyDescent="0.3">
      <c r="A125" s="2">
        <v>909</v>
      </c>
      <c r="B125" s="1">
        <v>40584</v>
      </c>
      <c r="C125" s="2">
        <v>1</v>
      </c>
      <c r="D125" s="2">
        <v>9</v>
      </c>
      <c r="E125" t="b">
        <v>0</v>
      </c>
      <c r="F125" s="2">
        <v>4</v>
      </c>
      <c r="G125" s="2">
        <v>1</v>
      </c>
      <c r="H125" s="23">
        <v>0.12</v>
      </c>
      <c r="I125" s="25">
        <v>0.1061</v>
      </c>
      <c r="J125" s="23">
        <v>0.42</v>
      </c>
      <c r="K125" s="25">
        <v>0.35820000000000002</v>
      </c>
      <c r="L125" s="2">
        <v>1</v>
      </c>
      <c r="M125" s="2">
        <v>121</v>
      </c>
      <c r="N125" s="2">
        <v>122</v>
      </c>
      <c r="O125" t="s">
        <v>29</v>
      </c>
      <c r="P125" t="s">
        <v>58</v>
      </c>
      <c r="Q125" t="s">
        <v>31</v>
      </c>
      <c r="R125" t="s">
        <v>42</v>
      </c>
      <c r="S125" t="s">
        <v>55</v>
      </c>
      <c r="T125" t="s">
        <v>49</v>
      </c>
      <c r="U125" t="s">
        <v>53</v>
      </c>
      <c r="V125" t="s">
        <v>36</v>
      </c>
      <c r="W125" t="s">
        <v>37</v>
      </c>
      <c r="X125" s="24">
        <v>0.81967213114754101</v>
      </c>
      <c r="Y125" s="24">
        <v>99.180327868852459</v>
      </c>
      <c r="Z125" t="s">
        <v>40</v>
      </c>
      <c r="AA125" t="s">
        <v>49</v>
      </c>
      <c r="AB125" t="s">
        <v>38</v>
      </c>
      <c r="AC125" s="24">
        <v>-1.3899999999999999E-2</v>
      </c>
    </row>
    <row r="126" spans="1:29" x14ac:dyDescent="0.3">
      <c r="A126" s="2">
        <v>910</v>
      </c>
      <c r="B126" s="1">
        <v>40584</v>
      </c>
      <c r="C126" s="2">
        <v>1</v>
      </c>
      <c r="D126" s="2">
        <v>10</v>
      </c>
      <c r="E126" t="b">
        <v>0</v>
      </c>
      <c r="F126" s="2">
        <v>4</v>
      </c>
      <c r="G126" s="2">
        <v>1</v>
      </c>
      <c r="H126" s="23">
        <v>0.12</v>
      </c>
      <c r="I126" s="25">
        <v>0.1061</v>
      </c>
      <c r="J126" s="23">
        <v>0.42</v>
      </c>
      <c r="K126" s="25">
        <v>0.29849999999999999</v>
      </c>
      <c r="L126" s="2">
        <v>1</v>
      </c>
      <c r="M126" s="2">
        <v>34</v>
      </c>
      <c r="N126" s="2">
        <v>35</v>
      </c>
      <c r="O126" t="s">
        <v>29</v>
      </c>
      <c r="P126" t="s">
        <v>58</v>
      </c>
      <c r="Q126" t="s">
        <v>31</v>
      </c>
      <c r="R126" t="s">
        <v>42</v>
      </c>
      <c r="S126" t="s">
        <v>55</v>
      </c>
      <c r="T126" t="s">
        <v>49</v>
      </c>
      <c r="U126" t="s">
        <v>46</v>
      </c>
      <c r="V126" t="s">
        <v>36</v>
      </c>
      <c r="W126" t="s">
        <v>37</v>
      </c>
      <c r="X126" s="24">
        <v>2.8571428571428572</v>
      </c>
      <c r="Y126" s="24">
        <v>97.142857142857139</v>
      </c>
      <c r="Z126" t="s">
        <v>38</v>
      </c>
      <c r="AA126" t="s">
        <v>39</v>
      </c>
      <c r="AB126" t="s">
        <v>38</v>
      </c>
      <c r="AC126" s="24">
        <v>-1.3899999999999999E-2</v>
      </c>
    </row>
    <row r="127" spans="1:29" x14ac:dyDescent="0.3">
      <c r="A127" s="2">
        <v>923</v>
      </c>
      <c r="B127" s="1">
        <v>40584</v>
      </c>
      <c r="C127" s="2">
        <v>1</v>
      </c>
      <c r="D127" s="2">
        <v>23</v>
      </c>
      <c r="E127" t="b">
        <v>0</v>
      </c>
      <c r="F127" s="2">
        <v>4</v>
      </c>
      <c r="G127" s="2">
        <v>1</v>
      </c>
      <c r="H127" s="23">
        <v>0.12</v>
      </c>
      <c r="I127" s="25">
        <v>0.1515</v>
      </c>
      <c r="J127" s="23">
        <v>0.42</v>
      </c>
      <c r="K127" s="25">
        <v>0.1045</v>
      </c>
      <c r="L127" s="2">
        <v>1</v>
      </c>
      <c r="M127" s="2">
        <v>33</v>
      </c>
      <c r="N127" s="2">
        <v>34</v>
      </c>
      <c r="O127" t="s">
        <v>29</v>
      </c>
      <c r="P127" t="s">
        <v>58</v>
      </c>
      <c r="Q127" t="s">
        <v>31</v>
      </c>
      <c r="R127" t="s">
        <v>32</v>
      </c>
      <c r="S127" t="s">
        <v>55</v>
      </c>
      <c r="T127" t="s">
        <v>49</v>
      </c>
      <c r="U127" t="s">
        <v>35</v>
      </c>
      <c r="V127" t="s">
        <v>36</v>
      </c>
      <c r="W127" t="s">
        <v>37</v>
      </c>
      <c r="X127" s="24">
        <v>2.9411764705882351</v>
      </c>
      <c r="Y127" s="24">
        <v>97.058823529411768</v>
      </c>
      <c r="Z127" t="s">
        <v>38</v>
      </c>
      <c r="AA127" t="s">
        <v>39</v>
      </c>
      <c r="AB127" t="s">
        <v>38</v>
      </c>
      <c r="AC127" s="24">
        <v>3.15E-2</v>
      </c>
    </row>
    <row r="128" spans="1:29" x14ac:dyDescent="0.3">
      <c r="A128" s="2">
        <v>127</v>
      </c>
      <c r="B128" s="1">
        <v>40549</v>
      </c>
      <c r="C128" s="2">
        <v>1</v>
      </c>
      <c r="D128" s="2">
        <v>12</v>
      </c>
      <c r="E128" t="b">
        <v>0</v>
      </c>
      <c r="F128" s="2">
        <v>4</v>
      </c>
      <c r="G128" s="2">
        <v>1</v>
      </c>
      <c r="H128" s="23">
        <v>0.26</v>
      </c>
      <c r="I128" s="25">
        <v>0.28789999999999999</v>
      </c>
      <c r="J128" s="23">
        <v>0.35</v>
      </c>
      <c r="K128" s="25">
        <v>0</v>
      </c>
      <c r="L128" s="2">
        <v>6</v>
      </c>
      <c r="M128" s="2">
        <v>78</v>
      </c>
      <c r="N128" s="2">
        <v>84</v>
      </c>
      <c r="O128" t="s">
        <v>29</v>
      </c>
      <c r="P128" t="s">
        <v>58</v>
      </c>
      <c r="Q128" t="s">
        <v>31</v>
      </c>
      <c r="R128" t="s">
        <v>47</v>
      </c>
      <c r="S128" t="s">
        <v>44</v>
      </c>
      <c r="T128" t="s">
        <v>39</v>
      </c>
      <c r="U128" t="s">
        <v>35</v>
      </c>
      <c r="V128" t="s">
        <v>36</v>
      </c>
      <c r="W128" t="s">
        <v>37</v>
      </c>
      <c r="X128" s="24">
        <v>7.1428571428571423</v>
      </c>
      <c r="Y128" s="24">
        <v>92.857142857142861</v>
      </c>
      <c r="Z128" t="s">
        <v>38</v>
      </c>
      <c r="AA128" t="s">
        <v>39</v>
      </c>
      <c r="AB128" t="s">
        <v>38</v>
      </c>
      <c r="AC128" s="24">
        <v>2.789999999999998E-2</v>
      </c>
    </row>
    <row r="129" spans="1:29" x14ac:dyDescent="0.3">
      <c r="A129" s="2">
        <v>128</v>
      </c>
      <c r="B129" s="1">
        <v>40549</v>
      </c>
      <c r="C129" s="2">
        <v>1</v>
      </c>
      <c r="D129" s="2">
        <v>13</v>
      </c>
      <c r="E129" t="b">
        <v>0</v>
      </c>
      <c r="F129" s="2">
        <v>4</v>
      </c>
      <c r="G129" s="2">
        <v>1</v>
      </c>
      <c r="H129" s="23">
        <v>0.26</v>
      </c>
      <c r="I129" s="25">
        <v>0.2727</v>
      </c>
      <c r="J129" s="23">
        <v>0.35</v>
      </c>
      <c r="K129" s="25">
        <v>0.1045</v>
      </c>
      <c r="L129" s="2">
        <v>12</v>
      </c>
      <c r="M129" s="2">
        <v>55</v>
      </c>
      <c r="N129" s="2">
        <v>67</v>
      </c>
      <c r="O129" t="s">
        <v>29</v>
      </c>
      <c r="P129" t="s">
        <v>58</v>
      </c>
      <c r="Q129" t="s">
        <v>31</v>
      </c>
      <c r="R129" t="s">
        <v>47</v>
      </c>
      <c r="S129" t="s">
        <v>44</v>
      </c>
      <c r="T129" t="s">
        <v>39</v>
      </c>
      <c r="U129" t="s">
        <v>35</v>
      </c>
      <c r="V129" t="s">
        <v>36</v>
      </c>
      <c r="W129" t="s">
        <v>37</v>
      </c>
      <c r="X129" s="24">
        <v>17.910447761194028</v>
      </c>
      <c r="Y129" s="24">
        <v>82.089552238805979</v>
      </c>
      <c r="Z129" t="s">
        <v>38</v>
      </c>
      <c r="AA129" t="s">
        <v>39</v>
      </c>
      <c r="AB129" t="s">
        <v>38</v>
      </c>
      <c r="AC129" s="24">
        <v>1.2699999999999991E-2</v>
      </c>
    </row>
    <row r="130" spans="1:29" x14ac:dyDescent="0.3">
      <c r="A130" s="2">
        <v>129</v>
      </c>
      <c r="B130" s="1">
        <v>40549</v>
      </c>
      <c r="C130" s="2">
        <v>1</v>
      </c>
      <c r="D130" s="2">
        <v>14</v>
      </c>
      <c r="E130" t="b">
        <v>0</v>
      </c>
      <c r="F130" s="2">
        <v>4</v>
      </c>
      <c r="G130" s="2">
        <v>1</v>
      </c>
      <c r="H130" s="23">
        <v>0.28000000000000003</v>
      </c>
      <c r="I130" s="25">
        <v>0.2727</v>
      </c>
      <c r="J130" s="23">
        <v>0.36</v>
      </c>
      <c r="K130" s="25">
        <v>0.16420000000000001</v>
      </c>
      <c r="L130" s="2">
        <v>11</v>
      </c>
      <c r="M130" s="2">
        <v>59</v>
      </c>
      <c r="N130" s="2">
        <v>70</v>
      </c>
      <c r="O130" t="s">
        <v>29</v>
      </c>
      <c r="P130" t="s">
        <v>58</v>
      </c>
      <c r="Q130" t="s">
        <v>31</v>
      </c>
      <c r="R130" t="s">
        <v>47</v>
      </c>
      <c r="S130" t="s">
        <v>44</v>
      </c>
      <c r="T130" t="s">
        <v>39</v>
      </c>
      <c r="U130" t="s">
        <v>46</v>
      </c>
      <c r="V130" t="s">
        <v>36</v>
      </c>
      <c r="W130" t="s">
        <v>37</v>
      </c>
      <c r="X130" s="24">
        <v>15.71428571428571</v>
      </c>
      <c r="Y130" s="24">
        <v>84.285714285714292</v>
      </c>
      <c r="Z130" t="s">
        <v>38</v>
      </c>
      <c r="AA130" t="s">
        <v>39</v>
      </c>
      <c r="AB130" t="s">
        <v>38</v>
      </c>
      <c r="AC130" s="24">
        <v>-7.3000000000000287E-3</v>
      </c>
    </row>
    <row r="131" spans="1:29" x14ac:dyDescent="0.3">
      <c r="A131" s="2">
        <v>130</v>
      </c>
      <c r="B131" s="1">
        <v>40549</v>
      </c>
      <c r="C131" s="2">
        <v>1</v>
      </c>
      <c r="D131" s="2">
        <v>15</v>
      </c>
      <c r="E131" t="b">
        <v>0</v>
      </c>
      <c r="F131" s="2">
        <v>4</v>
      </c>
      <c r="G131" s="2">
        <v>1</v>
      </c>
      <c r="H131" s="23">
        <v>0.28000000000000003</v>
      </c>
      <c r="I131" s="25">
        <v>0.2727</v>
      </c>
      <c r="J131" s="23">
        <v>0.36</v>
      </c>
      <c r="K131" s="25">
        <v>0</v>
      </c>
      <c r="L131" s="2">
        <v>8</v>
      </c>
      <c r="M131" s="2">
        <v>54</v>
      </c>
      <c r="N131" s="2">
        <v>62</v>
      </c>
      <c r="O131" t="s">
        <v>29</v>
      </c>
      <c r="P131" t="s">
        <v>58</v>
      </c>
      <c r="Q131" t="s">
        <v>31</v>
      </c>
      <c r="R131" t="s">
        <v>47</v>
      </c>
      <c r="S131" t="s">
        <v>44</v>
      </c>
      <c r="T131" t="s">
        <v>39</v>
      </c>
      <c r="U131" t="s">
        <v>35</v>
      </c>
      <c r="V131" t="s">
        <v>36</v>
      </c>
      <c r="W131" t="s">
        <v>37</v>
      </c>
      <c r="X131" s="24">
        <v>12.90322580645161</v>
      </c>
      <c r="Y131" s="24">
        <v>87.096774193548384</v>
      </c>
      <c r="Z131" t="s">
        <v>38</v>
      </c>
      <c r="AA131" t="s">
        <v>39</v>
      </c>
      <c r="AB131" t="s">
        <v>38</v>
      </c>
      <c r="AC131" s="24">
        <v>-7.3000000000000287E-3</v>
      </c>
    </row>
    <row r="132" spans="1:29" x14ac:dyDescent="0.3">
      <c r="A132" s="2">
        <v>131</v>
      </c>
      <c r="B132" s="1">
        <v>40549</v>
      </c>
      <c r="C132" s="2">
        <v>1</v>
      </c>
      <c r="D132" s="2">
        <v>16</v>
      </c>
      <c r="E132" t="b">
        <v>0</v>
      </c>
      <c r="F132" s="2">
        <v>4</v>
      </c>
      <c r="G132" s="2">
        <v>1</v>
      </c>
      <c r="H132" s="23">
        <v>0.26</v>
      </c>
      <c r="I132" s="25">
        <v>0.2576</v>
      </c>
      <c r="J132" s="23">
        <v>0.38</v>
      </c>
      <c r="K132" s="25">
        <v>0.16420000000000001</v>
      </c>
      <c r="L132" s="2">
        <v>12</v>
      </c>
      <c r="M132" s="2">
        <v>74</v>
      </c>
      <c r="N132" s="2">
        <v>86</v>
      </c>
      <c r="O132" t="s">
        <v>29</v>
      </c>
      <c r="P132" t="s">
        <v>58</v>
      </c>
      <c r="Q132" t="s">
        <v>31</v>
      </c>
      <c r="R132" t="s">
        <v>47</v>
      </c>
      <c r="S132" t="s">
        <v>44</v>
      </c>
      <c r="T132" t="s">
        <v>39</v>
      </c>
      <c r="U132" t="s">
        <v>46</v>
      </c>
      <c r="V132" t="s">
        <v>36</v>
      </c>
      <c r="W132" t="s">
        <v>37</v>
      </c>
      <c r="X132" s="24">
        <v>13.95348837209302</v>
      </c>
      <c r="Y132" s="24">
        <v>86.04651162790698</v>
      </c>
      <c r="Z132" t="s">
        <v>38</v>
      </c>
      <c r="AA132" t="s">
        <v>39</v>
      </c>
      <c r="AB132" t="s">
        <v>38</v>
      </c>
      <c r="AC132" s="24">
        <v>-2.4000000000000128E-3</v>
      </c>
    </row>
    <row r="133" spans="1:29" x14ac:dyDescent="0.3">
      <c r="A133" s="2">
        <v>55</v>
      </c>
      <c r="B133" s="1">
        <v>40546</v>
      </c>
      <c r="C133" s="2">
        <v>1</v>
      </c>
      <c r="D133" s="2">
        <v>9</v>
      </c>
      <c r="E133" t="b">
        <v>0</v>
      </c>
      <c r="F133" s="2">
        <v>1</v>
      </c>
      <c r="G133" s="2">
        <v>1</v>
      </c>
      <c r="H133" s="23">
        <v>0.16</v>
      </c>
      <c r="I133" s="25">
        <v>0.13639999999999999</v>
      </c>
      <c r="J133" s="23">
        <v>0.43</v>
      </c>
      <c r="K133" s="25">
        <v>0.3881</v>
      </c>
      <c r="L133" s="2">
        <v>7</v>
      </c>
      <c r="M133" s="2">
        <v>81</v>
      </c>
      <c r="N133" s="2">
        <v>88</v>
      </c>
      <c r="O133" t="s">
        <v>29</v>
      </c>
      <c r="P133" t="s">
        <v>54</v>
      </c>
      <c r="Q133" t="s">
        <v>31</v>
      </c>
      <c r="R133" t="s">
        <v>42</v>
      </c>
      <c r="S133" t="s">
        <v>33</v>
      </c>
      <c r="T133" t="s">
        <v>49</v>
      </c>
      <c r="U133" t="s">
        <v>53</v>
      </c>
      <c r="V133" t="s">
        <v>36</v>
      </c>
      <c r="W133" t="s">
        <v>37</v>
      </c>
      <c r="X133" s="24">
        <v>7.9545454545454541</v>
      </c>
      <c r="Y133" s="24">
        <v>92.045454545454547</v>
      </c>
      <c r="Z133" t="s">
        <v>40</v>
      </c>
      <c r="AA133" t="s">
        <v>39</v>
      </c>
      <c r="AB133" t="s">
        <v>38</v>
      </c>
      <c r="AC133" s="24">
        <v>-2.360000000000001E-2</v>
      </c>
    </row>
    <row r="134" spans="1:29" x14ac:dyDescent="0.3">
      <c r="A134" s="2">
        <v>56</v>
      </c>
      <c r="B134" s="1">
        <v>40546</v>
      </c>
      <c r="C134" s="2">
        <v>1</v>
      </c>
      <c r="D134" s="2">
        <v>10</v>
      </c>
      <c r="E134" t="b">
        <v>0</v>
      </c>
      <c r="F134" s="2">
        <v>1</v>
      </c>
      <c r="G134" s="2">
        <v>1</v>
      </c>
      <c r="H134" s="23">
        <v>0.18</v>
      </c>
      <c r="I134" s="25">
        <v>0.16669999999999999</v>
      </c>
      <c r="J134" s="23">
        <v>0.43</v>
      </c>
      <c r="K134" s="25">
        <v>0.25369999999999998</v>
      </c>
      <c r="L134" s="2">
        <v>11</v>
      </c>
      <c r="M134" s="2">
        <v>33</v>
      </c>
      <c r="N134" s="2">
        <v>44</v>
      </c>
      <c r="O134" t="s">
        <v>29</v>
      </c>
      <c r="P134" t="s">
        <v>54</v>
      </c>
      <c r="Q134" t="s">
        <v>31</v>
      </c>
      <c r="R134" t="s">
        <v>42</v>
      </c>
      <c r="S134" t="s">
        <v>33</v>
      </c>
      <c r="T134" t="s">
        <v>49</v>
      </c>
      <c r="U134" t="s">
        <v>46</v>
      </c>
      <c r="V134" t="s">
        <v>36</v>
      </c>
      <c r="W134" t="s">
        <v>37</v>
      </c>
      <c r="X134" s="24">
        <v>25</v>
      </c>
      <c r="Y134" s="24">
        <v>75</v>
      </c>
      <c r="Z134" t="s">
        <v>38</v>
      </c>
      <c r="AA134" t="s">
        <v>39</v>
      </c>
      <c r="AB134" t="s">
        <v>38</v>
      </c>
      <c r="AC134" s="24">
        <v>-1.330000000000001E-2</v>
      </c>
    </row>
    <row r="135" spans="1:29" x14ac:dyDescent="0.3">
      <c r="A135" s="2">
        <v>99</v>
      </c>
      <c r="B135" s="1">
        <v>40548</v>
      </c>
      <c r="C135" s="2">
        <v>1</v>
      </c>
      <c r="D135" s="2">
        <v>7</v>
      </c>
      <c r="E135" t="b">
        <v>0</v>
      </c>
      <c r="F135" s="2">
        <v>3</v>
      </c>
      <c r="G135" s="2">
        <v>1</v>
      </c>
      <c r="H135" s="23">
        <v>0.18</v>
      </c>
      <c r="I135" s="25">
        <v>0.18179999999999999</v>
      </c>
      <c r="J135" s="23">
        <v>0.43</v>
      </c>
      <c r="K135" s="25">
        <v>0.19400000000000001</v>
      </c>
      <c r="L135" s="2">
        <v>1</v>
      </c>
      <c r="M135" s="2">
        <v>87</v>
      </c>
      <c r="N135" s="2">
        <v>88</v>
      </c>
      <c r="O135" t="s">
        <v>29</v>
      </c>
      <c r="P135" t="s">
        <v>57</v>
      </c>
      <c r="Q135" t="s">
        <v>31</v>
      </c>
      <c r="R135" t="s">
        <v>42</v>
      </c>
      <c r="S135" t="s">
        <v>33</v>
      </c>
      <c r="T135" t="s">
        <v>49</v>
      </c>
      <c r="U135" t="s">
        <v>46</v>
      </c>
      <c r="V135" t="s">
        <v>36</v>
      </c>
      <c r="W135" t="s">
        <v>37</v>
      </c>
      <c r="X135" s="24">
        <v>1.136363636363636</v>
      </c>
      <c r="Y135" s="24">
        <v>98.86363636363636</v>
      </c>
      <c r="Z135" t="s">
        <v>40</v>
      </c>
      <c r="AA135" t="s">
        <v>39</v>
      </c>
      <c r="AB135" t="s">
        <v>38</v>
      </c>
      <c r="AC135" s="24">
        <v>1.799999999999996E-3</v>
      </c>
    </row>
    <row r="136" spans="1:29" x14ac:dyDescent="0.3">
      <c r="A136" s="2">
        <v>160</v>
      </c>
      <c r="B136" s="1">
        <v>40550</v>
      </c>
      <c r="C136" s="2">
        <v>1</v>
      </c>
      <c r="D136" s="2">
        <v>22</v>
      </c>
      <c r="E136" t="b">
        <v>0</v>
      </c>
      <c r="F136" s="2">
        <v>5</v>
      </c>
      <c r="G136" s="2">
        <v>2</v>
      </c>
      <c r="H136" s="23">
        <v>0.18</v>
      </c>
      <c r="I136" s="25">
        <v>0.19700000000000001</v>
      </c>
      <c r="J136" s="23">
        <v>0.43</v>
      </c>
      <c r="K136" s="25">
        <v>0.16420000000000001</v>
      </c>
      <c r="L136" s="2">
        <v>2</v>
      </c>
      <c r="M136" s="2">
        <v>34</v>
      </c>
      <c r="N136" s="2">
        <v>36</v>
      </c>
      <c r="O136" t="s">
        <v>29</v>
      </c>
      <c r="P136" t="s">
        <v>59</v>
      </c>
      <c r="Q136" t="s">
        <v>41</v>
      </c>
      <c r="R136" t="s">
        <v>32</v>
      </c>
      <c r="S136" t="s">
        <v>33</v>
      </c>
      <c r="T136" t="s">
        <v>49</v>
      </c>
      <c r="U136" t="s">
        <v>46</v>
      </c>
      <c r="V136" t="s">
        <v>36</v>
      </c>
      <c r="W136" t="s">
        <v>37</v>
      </c>
      <c r="X136" s="24">
        <v>5.5555555555555554</v>
      </c>
      <c r="Y136" s="24">
        <v>94.444444444444443</v>
      </c>
      <c r="Z136" t="s">
        <v>38</v>
      </c>
      <c r="AA136" t="s">
        <v>39</v>
      </c>
      <c r="AB136" t="s">
        <v>38</v>
      </c>
      <c r="AC136" s="24">
        <v>1.7000000000000019E-2</v>
      </c>
    </row>
    <row r="137" spans="1:29" x14ac:dyDescent="0.3">
      <c r="A137" s="2">
        <v>196</v>
      </c>
      <c r="B137" s="1">
        <v>40552</v>
      </c>
      <c r="C137" s="2">
        <v>1</v>
      </c>
      <c r="D137" s="2">
        <v>10</v>
      </c>
      <c r="E137" t="b">
        <v>0</v>
      </c>
      <c r="F137" s="2">
        <v>0</v>
      </c>
      <c r="G137" s="2">
        <v>1</v>
      </c>
      <c r="H137" s="23">
        <v>0.14000000000000001</v>
      </c>
      <c r="I137" s="25">
        <v>0.1061</v>
      </c>
      <c r="J137" s="23">
        <v>0.43</v>
      </c>
      <c r="K137" s="25">
        <v>0.3881</v>
      </c>
      <c r="L137" s="2">
        <v>0</v>
      </c>
      <c r="M137" s="2">
        <v>49</v>
      </c>
      <c r="N137" s="2">
        <v>49</v>
      </c>
      <c r="O137" t="s">
        <v>29</v>
      </c>
      <c r="P137" t="s">
        <v>52</v>
      </c>
      <c r="Q137" t="s">
        <v>31</v>
      </c>
      <c r="R137" t="s">
        <v>42</v>
      </c>
      <c r="S137" t="s">
        <v>55</v>
      </c>
      <c r="T137" t="s">
        <v>49</v>
      </c>
      <c r="U137" t="s">
        <v>53</v>
      </c>
      <c r="V137" t="s">
        <v>36</v>
      </c>
      <c r="W137" t="s">
        <v>37</v>
      </c>
      <c r="X137" s="24">
        <v>0</v>
      </c>
      <c r="Y137" s="24">
        <v>100</v>
      </c>
      <c r="Z137" t="s">
        <v>38</v>
      </c>
      <c r="AA137" t="s">
        <v>39</v>
      </c>
      <c r="AB137" t="s">
        <v>40</v>
      </c>
      <c r="AC137" s="24">
        <v>-3.3900000000000013E-2</v>
      </c>
    </row>
    <row r="138" spans="1:29" x14ac:dyDescent="0.3">
      <c r="A138" s="2">
        <v>205</v>
      </c>
      <c r="B138" s="1">
        <v>40552</v>
      </c>
      <c r="C138" s="2">
        <v>1</v>
      </c>
      <c r="D138" s="2">
        <v>19</v>
      </c>
      <c r="E138" t="b">
        <v>0</v>
      </c>
      <c r="F138" s="2">
        <v>0</v>
      </c>
      <c r="G138" s="2">
        <v>1</v>
      </c>
      <c r="H138" s="23">
        <v>0.16</v>
      </c>
      <c r="I138" s="25">
        <v>0.13639999999999999</v>
      </c>
      <c r="J138" s="23">
        <v>0.43</v>
      </c>
      <c r="K138" s="25">
        <v>0.32840000000000003</v>
      </c>
      <c r="L138" s="2">
        <v>1</v>
      </c>
      <c r="M138" s="2">
        <v>40</v>
      </c>
      <c r="N138" s="2">
        <v>41</v>
      </c>
      <c r="O138" t="s">
        <v>29</v>
      </c>
      <c r="P138" t="s">
        <v>52</v>
      </c>
      <c r="Q138" t="s">
        <v>31</v>
      </c>
      <c r="R138" t="s">
        <v>50</v>
      </c>
      <c r="S138" t="s">
        <v>33</v>
      </c>
      <c r="T138" t="s">
        <v>49</v>
      </c>
      <c r="U138" t="s">
        <v>53</v>
      </c>
      <c r="V138" t="s">
        <v>36</v>
      </c>
      <c r="W138" t="s">
        <v>37</v>
      </c>
      <c r="X138" s="24">
        <v>2.4390243902439019</v>
      </c>
      <c r="Y138" s="24">
        <v>97.560975609756099</v>
      </c>
      <c r="Z138" t="s">
        <v>40</v>
      </c>
      <c r="AA138" t="s">
        <v>39</v>
      </c>
      <c r="AB138" t="s">
        <v>40</v>
      </c>
      <c r="AC138" s="24">
        <v>-2.360000000000001E-2</v>
      </c>
    </row>
    <row r="139" spans="1:29" x14ac:dyDescent="0.3">
      <c r="A139" s="2">
        <v>375</v>
      </c>
      <c r="B139" s="1">
        <v>40560</v>
      </c>
      <c r="C139" s="2">
        <v>1</v>
      </c>
      <c r="D139" s="2">
        <v>2</v>
      </c>
      <c r="E139" t="b">
        <v>1</v>
      </c>
      <c r="F139" s="2">
        <v>1</v>
      </c>
      <c r="G139" s="2">
        <v>2</v>
      </c>
      <c r="H139" s="23">
        <v>0.18</v>
      </c>
      <c r="I139" s="25">
        <v>0.16669999999999999</v>
      </c>
      <c r="J139" s="23">
        <v>0.43</v>
      </c>
      <c r="K139" s="25">
        <v>0.25369999999999998</v>
      </c>
      <c r="L139" s="2">
        <v>0</v>
      </c>
      <c r="M139" s="2">
        <v>8</v>
      </c>
      <c r="N139" s="2">
        <v>8</v>
      </c>
      <c r="O139" t="s">
        <v>29</v>
      </c>
      <c r="P139" t="s">
        <v>54</v>
      </c>
      <c r="Q139" t="s">
        <v>41</v>
      </c>
      <c r="R139" t="s">
        <v>32</v>
      </c>
      <c r="S139" t="s">
        <v>33</v>
      </c>
      <c r="T139" t="s">
        <v>49</v>
      </c>
      <c r="U139" t="s">
        <v>46</v>
      </c>
      <c r="V139" t="s">
        <v>60</v>
      </c>
      <c r="W139" t="s">
        <v>37</v>
      </c>
      <c r="X139" s="24">
        <v>0</v>
      </c>
      <c r="Y139" s="24">
        <v>100</v>
      </c>
      <c r="Z139" t="s">
        <v>38</v>
      </c>
      <c r="AA139" t="s">
        <v>39</v>
      </c>
      <c r="AB139" t="s">
        <v>38</v>
      </c>
      <c r="AC139" s="24">
        <v>-1.330000000000001E-2</v>
      </c>
    </row>
    <row r="140" spans="1:29" x14ac:dyDescent="0.3">
      <c r="A140" s="2">
        <v>376</v>
      </c>
      <c r="B140" s="1">
        <v>40560</v>
      </c>
      <c r="C140" s="2">
        <v>1</v>
      </c>
      <c r="D140" s="2">
        <v>3</v>
      </c>
      <c r="E140" t="b">
        <v>1</v>
      </c>
      <c r="F140" s="2">
        <v>1</v>
      </c>
      <c r="G140" s="2">
        <v>2</v>
      </c>
      <c r="H140" s="23">
        <v>0.18</v>
      </c>
      <c r="I140" s="25">
        <v>0.18179999999999999</v>
      </c>
      <c r="J140" s="23">
        <v>0.43</v>
      </c>
      <c r="K140" s="25">
        <v>0.19400000000000001</v>
      </c>
      <c r="L140" s="2">
        <v>0</v>
      </c>
      <c r="M140" s="2">
        <v>2</v>
      </c>
      <c r="N140" s="2">
        <v>2</v>
      </c>
      <c r="O140" t="s">
        <v>29</v>
      </c>
      <c r="P140" t="s">
        <v>54</v>
      </c>
      <c r="Q140" t="s">
        <v>41</v>
      </c>
      <c r="R140" t="s">
        <v>32</v>
      </c>
      <c r="S140" t="s">
        <v>33</v>
      </c>
      <c r="T140" t="s">
        <v>49</v>
      </c>
      <c r="U140" t="s">
        <v>46</v>
      </c>
      <c r="V140" t="s">
        <v>60</v>
      </c>
      <c r="W140" t="s">
        <v>37</v>
      </c>
      <c r="X140" s="24">
        <v>0</v>
      </c>
      <c r="Y140" s="24">
        <v>100</v>
      </c>
      <c r="Z140" t="s">
        <v>38</v>
      </c>
      <c r="AA140" t="s">
        <v>39</v>
      </c>
      <c r="AB140" t="s">
        <v>38</v>
      </c>
      <c r="AC140" s="24">
        <v>1.799999999999996E-3</v>
      </c>
    </row>
    <row r="141" spans="1:29" x14ac:dyDescent="0.3">
      <c r="A141" s="2">
        <v>377</v>
      </c>
      <c r="B141" s="1">
        <v>40560</v>
      </c>
      <c r="C141" s="2">
        <v>1</v>
      </c>
      <c r="D141" s="2">
        <v>4</v>
      </c>
      <c r="E141" t="b">
        <v>1</v>
      </c>
      <c r="F141" s="2">
        <v>1</v>
      </c>
      <c r="G141" s="2">
        <v>2</v>
      </c>
      <c r="H141" s="23">
        <v>0.18</v>
      </c>
      <c r="I141" s="25">
        <v>0.19700000000000001</v>
      </c>
      <c r="J141" s="23">
        <v>0.43</v>
      </c>
      <c r="K141" s="25">
        <v>0.1343</v>
      </c>
      <c r="L141" s="2">
        <v>1</v>
      </c>
      <c r="M141" s="2">
        <v>2</v>
      </c>
      <c r="N141" s="2">
        <v>3</v>
      </c>
      <c r="O141" t="s">
        <v>29</v>
      </c>
      <c r="P141" t="s">
        <v>54</v>
      </c>
      <c r="Q141" t="s">
        <v>41</v>
      </c>
      <c r="R141" t="s">
        <v>32</v>
      </c>
      <c r="S141" t="s">
        <v>33</v>
      </c>
      <c r="T141" t="s">
        <v>49</v>
      </c>
      <c r="U141" t="s">
        <v>35</v>
      </c>
      <c r="V141" t="s">
        <v>60</v>
      </c>
      <c r="W141" t="s">
        <v>37</v>
      </c>
      <c r="X141" s="24">
        <v>33.333333333333329</v>
      </c>
      <c r="Y141" s="24">
        <v>66.666666666666657</v>
      </c>
      <c r="Z141" t="s">
        <v>38</v>
      </c>
      <c r="AA141" t="s">
        <v>39</v>
      </c>
      <c r="AB141" t="s">
        <v>38</v>
      </c>
      <c r="AC141" s="24">
        <v>1.7000000000000019E-2</v>
      </c>
    </row>
    <row r="142" spans="1:29" x14ac:dyDescent="0.3">
      <c r="A142" s="2">
        <v>378</v>
      </c>
      <c r="B142" s="1">
        <v>40560</v>
      </c>
      <c r="C142" s="2">
        <v>1</v>
      </c>
      <c r="D142" s="2">
        <v>5</v>
      </c>
      <c r="E142" t="b">
        <v>1</v>
      </c>
      <c r="F142" s="2">
        <v>1</v>
      </c>
      <c r="G142" s="2">
        <v>2</v>
      </c>
      <c r="H142" s="23">
        <v>0.18</v>
      </c>
      <c r="I142" s="25">
        <v>0.19700000000000001</v>
      </c>
      <c r="J142" s="23">
        <v>0.43</v>
      </c>
      <c r="K142" s="25">
        <v>0.16420000000000001</v>
      </c>
      <c r="L142" s="2">
        <v>0</v>
      </c>
      <c r="M142" s="2">
        <v>1</v>
      </c>
      <c r="N142" s="2">
        <v>1</v>
      </c>
      <c r="O142" t="s">
        <v>29</v>
      </c>
      <c r="P142" t="s">
        <v>54</v>
      </c>
      <c r="Q142" t="s">
        <v>41</v>
      </c>
      <c r="R142" t="s">
        <v>32</v>
      </c>
      <c r="S142" t="s">
        <v>33</v>
      </c>
      <c r="T142" t="s">
        <v>49</v>
      </c>
      <c r="U142" t="s">
        <v>46</v>
      </c>
      <c r="V142" t="s">
        <v>60</v>
      </c>
      <c r="W142" t="s">
        <v>37</v>
      </c>
      <c r="X142" s="24">
        <v>0</v>
      </c>
      <c r="Y142" s="24">
        <v>100</v>
      </c>
      <c r="Z142" t="s">
        <v>38</v>
      </c>
      <c r="AA142" t="s">
        <v>39</v>
      </c>
      <c r="AB142" t="s">
        <v>38</v>
      </c>
      <c r="AC142" s="24">
        <v>1.7000000000000019E-2</v>
      </c>
    </row>
    <row r="143" spans="1:29" x14ac:dyDescent="0.3">
      <c r="A143" s="2">
        <v>379</v>
      </c>
      <c r="B143" s="1">
        <v>40560</v>
      </c>
      <c r="C143" s="2">
        <v>1</v>
      </c>
      <c r="D143" s="2">
        <v>6</v>
      </c>
      <c r="E143" t="b">
        <v>1</v>
      </c>
      <c r="F143" s="2">
        <v>1</v>
      </c>
      <c r="G143" s="2">
        <v>2</v>
      </c>
      <c r="H143" s="23">
        <v>0.18</v>
      </c>
      <c r="I143" s="25">
        <v>0.18179999999999999</v>
      </c>
      <c r="J143" s="23">
        <v>0.43</v>
      </c>
      <c r="K143" s="25">
        <v>0.19400000000000001</v>
      </c>
      <c r="L143" s="2">
        <v>0</v>
      </c>
      <c r="M143" s="2">
        <v>5</v>
      </c>
      <c r="N143" s="2">
        <v>5</v>
      </c>
      <c r="O143" t="s">
        <v>29</v>
      </c>
      <c r="P143" t="s">
        <v>54</v>
      </c>
      <c r="Q143" t="s">
        <v>41</v>
      </c>
      <c r="R143" t="s">
        <v>42</v>
      </c>
      <c r="S143" t="s">
        <v>33</v>
      </c>
      <c r="T143" t="s">
        <v>49</v>
      </c>
      <c r="U143" t="s">
        <v>46</v>
      </c>
      <c r="V143" t="s">
        <v>60</v>
      </c>
      <c r="W143" t="s">
        <v>37</v>
      </c>
      <c r="X143" s="24">
        <v>0</v>
      </c>
      <c r="Y143" s="24">
        <v>100</v>
      </c>
      <c r="Z143" t="s">
        <v>38</v>
      </c>
      <c r="AA143" t="s">
        <v>39</v>
      </c>
      <c r="AB143" t="s">
        <v>38</v>
      </c>
      <c r="AC143" s="24">
        <v>1.799999999999996E-3</v>
      </c>
    </row>
    <row r="144" spans="1:29" x14ac:dyDescent="0.3">
      <c r="A144" s="2">
        <v>387</v>
      </c>
      <c r="B144" s="1">
        <v>40560</v>
      </c>
      <c r="C144" s="2">
        <v>1</v>
      </c>
      <c r="D144" s="2">
        <v>14</v>
      </c>
      <c r="E144" t="b">
        <v>1</v>
      </c>
      <c r="F144" s="2">
        <v>1</v>
      </c>
      <c r="G144" s="2">
        <v>2</v>
      </c>
      <c r="H144" s="23">
        <v>0.18</v>
      </c>
      <c r="I144" s="25">
        <v>0.21210000000000001</v>
      </c>
      <c r="J144" s="23">
        <v>0.43</v>
      </c>
      <c r="K144" s="25">
        <v>0.1045</v>
      </c>
      <c r="L144" s="2">
        <v>12</v>
      </c>
      <c r="M144" s="2">
        <v>74</v>
      </c>
      <c r="N144" s="2">
        <v>86</v>
      </c>
      <c r="O144" t="s">
        <v>29</v>
      </c>
      <c r="P144" t="s">
        <v>54</v>
      </c>
      <c r="Q144" t="s">
        <v>41</v>
      </c>
      <c r="R144" t="s">
        <v>47</v>
      </c>
      <c r="S144" t="s">
        <v>33</v>
      </c>
      <c r="T144" t="s">
        <v>49</v>
      </c>
      <c r="U144" t="s">
        <v>35</v>
      </c>
      <c r="V144" t="s">
        <v>60</v>
      </c>
      <c r="W144" t="s">
        <v>37</v>
      </c>
      <c r="X144" s="24">
        <v>13.95348837209302</v>
      </c>
      <c r="Y144" s="24">
        <v>86.04651162790698</v>
      </c>
      <c r="Z144" t="s">
        <v>38</v>
      </c>
      <c r="AA144" t="s">
        <v>39</v>
      </c>
      <c r="AB144" t="s">
        <v>38</v>
      </c>
      <c r="AC144" s="24">
        <v>3.2100000000000017E-2</v>
      </c>
    </row>
    <row r="145" spans="1:29" x14ac:dyDescent="0.3">
      <c r="A145" s="2">
        <v>513</v>
      </c>
      <c r="B145" s="1">
        <v>40566</v>
      </c>
      <c r="C145" s="2">
        <v>1</v>
      </c>
      <c r="D145" s="2">
        <v>11</v>
      </c>
      <c r="E145" t="b">
        <v>0</v>
      </c>
      <c r="F145" s="2">
        <v>0</v>
      </c>
      <c r="G145" s="2">
        <v>1</v>
      </c>
      <c r="H145" s="23">
        <v>0.14000000000000001</v>
      </c>
      <c r="I145" s="25">
        <v>0.13639999999999999</v>
      </c>
      <c r="J145" s="23">
        <v>0.43</v>
      </c>
      <c r="K145" s="25">
        <v>0.22389999999999999</v>
      </c>
      <c r="L145" s="2">
        <v>22</v>
      </c>
      <c r="M145" s="2">
        <v>77</v>
      </c>
      <c r="N145" s="2">
        <v>99</v>
      </c>
      <c r="O145" t="s">
        <v>29</v>
      </c>
      <c r="P145" t="s">
        <v>52</v>
      </c>
      <c r="Q145" t="s">
        <v>31</v>
      </c>
      <c r="R145" t="s">
        <v>42</v>
      </c>
      <c r="S145" t="s">
        <v>55</v>
      </c>
      <c r="T145" t="s">
        <v>49</v>
      </c>
      <c r="U145" t="s">
        <v>46</v>
      </c>
      <c r="V145" t="s">
        <v>36</v>
      </c>
      <c r="W145" t="s">
        <v>37</v>
      </c>
      <c r="X145" s="24">
        <v>22.222222222222221</v>
      </c>
      <c r="Y145" s="24">
        <v>77.777777777777786</v>
      </c>
      <c r="Z145" t="s">
        <v>38</v>
      </c>
      <c r="AA145" t="s">
        <v>39</v>
      </c>
      <c r="AB145" t="s">
        <v>40</v>
      </c>
      <c r="AC145" s="24">
        <v>-3.6000000000000199E-3</v>
      </c>
    </row>
    <row r="146" spans="1:29" x14ac:dyDescent="0.3">
      <c r="A146" s="2">
        <v>538</v>
      </c>
      <c r="B146" s="1">
        <v>40567</v>
      </c>
      <c r="C146" s="2">
        <v>1</v>
      </c>
      <c r="D146" s="2">
        <v>13</v>
      </c>
      <c r="E146" t="b">
        <v>0</v>
      </c>
      <c r="F146" s="2">
        <v>1</v>
      </c>
      <c r="G146" s="2">
        <v>2</v>
      </c>
      <c r="H146" s="23">
        <v>0.14000000000000001</v>
      </c>
      <c r="I146" s="25">
        <v>0.13639999999999999</v>
      </c>
      <c r="J146" s="23">
        <v>0.43</v>
      </c>
      <c r="K146" s="25">
        <v>0.22389999999999999</v>
      </c>
      <c r="L146" s="2">
        <v>6</v>
      </c>
      <c r="M146" s="2">
        <v>54</v>
      </c>
      <c r="N146" s="2">
        <v>60</v>
      </c>
      <c r="O146" t="s">
        <v>29</v>
      </c>
      <c r="P146" t="s">
        <v>54</v>
      </c>
      <c r="Q146" t="s">
        <v>41</v>
      </c>
      <c r="R146" t="s">
        <v>47</v>
      </c>
      <c r="S146" t="s">
        <v>55</v>
      </c>
      <c r="T146" t="s">
        <v>49</v>
      </c>
      <c r="U146" t="s">
        <v>46</v>
      </c>
      <c r="V146" t="s">
        <v>36</v>
      </c>
      <c r="W146" t="s">
        <v>37</v>
      </c>
      <c r="X146" s="24">
        <v>10</v>
      </c>
      <c r="Y146" s="24">
        <v>90</v>
      </c>
      <c r="Z146" t="s">
        <v>38</v>
      </c>
      <c r="AA146" t="s">
        <v>39</v>
      </c>
      <c r="AB146" t="s">
        <v>38</v>
      </c>
      <c r="AC146" s="24">
        <v>-3.6000000000000199E-3</v>
      </c>
    </row>
    <row r="147" spans="1:29" x14ac:dyDescent="0.3">
      <c r="A147" s="2">
        <v>738</v>
      </c>
      <c r="B147" s="1">
        <v>40577</v>
      </c>
      <c r="C147" s="2">
        <v>1</v>
      </c>
      <c r="D147" s="2">
        <v>2</v>
      </c>
      <c r="E147" t="b">
        <v>0</v>
      </c>
      <c r="F147" s="2">
        <v>4</v>
      </c>
      <c r="G147" s="2">
        <v>1</v>
      </c>
      <c r="H147" s="23">
        <v>0.18</v>
      </c>
      <c r="I147" s="25">
        <v>0.16669999999999999</v>
      </c>
      <c r="J147" s="23">
        <v>0.43</v>
      </c>
      <c r="K147" s="25">
        <v>0.25369999999999998</v>
      </c>
      <c r="L147" s="2">
        <v>0</v>
      </c>
      <c r="M147" s="2">
        <v>2</v>
      </c>
      <c r="N147" s="2">
        <v>2</v>
      </c>
      <c r="O147" t="s">
        <v>29</v>
      </c>
      <c r="P147" t="s">
        <v>58</v>
      </c>
      <c r="Q147" t="s">
        <v>31</v>
      </c>
      <c r="R147" t="s">
        <v>32</v>
      </c>
      <c r="S147" t="s">
        <v>33</v>
      </c>
      <c r="T147" t="s">
        <v>49</v>
      </c>
      <c r="U147" t="s">
        <v>46</v>
      </c>
      <c r="V147" t="s">
        <v>36</v>
      </c>
      <c r="W147" t="s">
        <v>37</v>
      </c>
      <c r="X147" s="24">
        <v>0</v>
      </c>
      <c r="Y147" s="24">
        <v>100</v>
      </c>
      <c r="Z147" t="s">
        <v>38</v>
      </c>
      <c r="AA147" t="s">
        <v>39</v>
      </c>
      <c r="AB147" t="s">
        <v>38</v>
      </c>
      <c r="AC147" s="24">
        <v>-1.330000000000001E-2</v>
      </c>
    </row>
    <row r="148" spans="1:29" x14ac:dyDescent="0.3">
      <c r="A148" s="2">
        <v>739</v>
      </c>
      <c r="B148" s="1">
        <v>40577</v>
      </c>
      <c r="C148" s="2">
        <v>1</v>
      </c>
      <c r="D148" s="2">
        <v>3</v>
      </c>
      <c r="E148" t="b">
        <v>0</v>
      </c>
      <c r="F148" s="2">
        <v>4</v>
      </c>
      <c r="G148" s="2">
        <v>1</v>
      </c>
      <c r="H148" s="23">
        <v>0.18</v>
      </c>
      <c r="I148" s="25">
        <v>0.16669999999999999</v>
      </c>
      <c r="J148" s="23">
        <v>0.43</v>
      </c>
      <c r="K148" s="25">
        <v>0.25369999999999998</v>
      </c>
      <c r="L148" s="2">
        <v>0</v>
      </c>
      <c r="M148" s="2">
        <v>1</v>
      </c>
      <c r="N148" s="2">
        <v>1</v>
      </c>
      <c r="O148" t="s">
        <v>29</v>
      </c>
      <c r="P148" t="s">
        <v>58</v>
      </c>
      <c r="Q148" t="s">
        <v>31</v>
      </c>
      <c r="R148" t="s">
        <v>32</v>
      </c>
      <c r="S148" t="s">
        <v>33</v>
      </c>
      <c r="T148" t="s">
        <v>49</v>
      </c>
      <c r="U148" t="s">
        <v>46</v>
      </c>
      <c r="V148" t="s">
        <v>36</v>
      </c>
      <c r="W148" t="s">
        <v>37</v>
      </c>
      <c r="X148" s="24">
        <v>0</v>
      </c>
      <c r="Y148" s="24">
        <v>100</v>
      </c>
      <c r="Z148" t="s">
        <v>38</v>
      </c>
      <c r="AA148" t="s">
        <v>39</v>
      </c>
      <c r="AB148" t="s">
        <v>38</v>
      </c>
      <c r="AC148" s="24">
        <v>-1.330000000000001E-2</v>
      </c>
    </row>
    <row r="149" spans="1:29" x14ac:dyDescent="0.3">
      <c r="A149" s="2">
        <v>148</v>
      </c>
      <c r="B149" s="1">
        <v>40550</v>
      </c>
      <c r="C149" s="2">
        <v>1</v>
      </c>
      <c r="D149" s="2">
        <v>10</v>
      </c>
      <c r="E149" t="b">
        <v>0</v>
      </c>
      <c r="F149" s="2">
        <v>5</v>
      </c>
      <c r="G149" s="2">
        <v>1</v>
      </c>
      <c r="H149" s="23">
        <v>0.22</v>
      </c>
      <c r="I149" s="25">
        <v>0.19700000000000001</v>
      </c>
      <c r="J149" s="23">
        <v>0.37</v>
      </c>
      <c r="K149" s="25">
        <v>0.32840000000000003</v>
      </c>
      <c r="L149" s="2">
        <v>16</v>
      </c>
      <c r="M149" s="2">
        <v>47</v>
      </c>
      <c r="N149" s="2">
        <v>63</v>
      </c>
      <c r="O149" t="s">
        <v>29</v>
      </c>
      <c r="P149" t="s">
        <v>59</v>
      </c>
      <c r="Q149" t="s">
        <v>31</v>
      </c>
      <c r="R149" t="s">
        <v>42</v>
      </c>
      <c r="S149" t="s">
        <v>33</v>
      </c>
      <c r="T149" t="s">
        <v>39</v>
      </c>
      <c r="U149" t="s">
        <v>53</v>
      </c>
      <c r="V149" t="s">
        <v>36</v>
      </c>
      <c r="W149" t="s">
        <v>37</v>
      </c>
      <c r="X149" s="24">
        <v>25.396825396825399</v>
      </c>
      <c r="Y149" s="24">
        <v>74.603174603174608</v>
      </c>
      <c r="Z149" t="s">
        <v>38</v>
      </c>
      <c r="AA149" t="s">
        <v>39</v>
      </c>
      <c r="AB149" t="s">
        <v>38</v>
      </c>
      <c r="AC149" s="24">
        <v>-2.2999999999999989E-2</v>
      </c>
    </row>
    <row r="150" spans="1:29" x14ac:dyDescent="0.3">
      <c r="A150" s="2">
        <v>741</v>
      </c>
      <c r="B150" s="1">
        <v>40577</v>
      </c>
      <c r="C150" s="2">
        <v>1</v>
      </c>
      <c r="D150" s="2">
        <v>6</v>
      </c>
      <c r="E150" t="b">
        <v>0</v>
      </c>
      <c r="F150" s="2">
        <v>4</v>
      </c>
      <c r="G150" s="2">
        <v>1</v>
      </c>
      <c r="H150" s="23">
        <v>0.16</v>
      </c>
      <c r="I150" s="25">
        <v>0.13639999999999999</v>
      </c>
      <c r="J150" s="23">
        <v>0.43</v>
      </c>
      <c r="K150" s="25">
        <v>0.35820000000000002</v>
      </c>
      <c r="L150" s="2">
        <v>0</v>
      </c>
      <c r="M150" s="2">
        <v>39</v>
      </c>
      <c r="N150" s="2">
        <v>39</v>
      </c>
      <c r="O150" t="s">
        <v>29</v>
      </c>
      <c r="P150" t="s">
        <v>58</v>
      </c>
      <c r="Q150" t="s">
        <v>31</v>
      </c>
      <c r="R150" t="s">
        <v>42</v>
      </c>
      <c r="S150" t="s">
        <v>33</v>
      </c>
      <c r="T150" t="s">
        <v>49</v>
      </c>
      <c r="U150" t="s">
        <v>53</v>
      </c>
      <c r="V150" t="s">
        <v>36</v>
      </c>
      <c r="W150" t="s">
        <v>37</v>
      </c>
      <c r="X150" s="24">
        <v>0</v>
      </c>
      <c r="Y150" s="24">
        <v>100</v>
      </c>
      <c r="Z150" t="s">
        <v>38</v>
      </c>
      <c r="AA150" t="s">
        <v>39</v>
      </c>
      <c r="AB150" t="s">
        <v>38</v>
      </c>
      <c r="AC150" s="24">
        <v>-2.360000000000001E-2</v>
      </c>
    </row>
    <row r="151" spans="1:29" x14ac:dyDescent="0.3">
      <c r="A151" s="2">
        <v>150</v>
      </c>
      <c r="B151" s="1">
        <v>40550</v>
      </c>
      <c r="C151" s="2">
        <v>1</v>
      </c>
      <c r="D151" s="2">
        <v>12</v>
      </c>
      <c r="E151" t="b">
        <v>0</v>
      </c>
      <c r="F151" s="2">
        <v>5</v>
      </c>
      <c r="G151" s="2">
        <v>2</v>
      </c>
      <c r="H151" s="23">
        <v>0.2</v>
      </c>
      <c r="I151" s="25">
        <v>0.19700000000000001</v>
      </c>
      <c r="J151" s="23">
        <v>0.37</v>
      </c>
      <c r="K151" s="25">
        <v>0.25369999999999998</v>
      </c>
      <c r="L151" s="2">
        <v>9</v>
      </c>
      <c r="M151" s="2">
        <v>50</v>
      </c>
      <c r="N151" s="2">
        <v>59</v>
      </c>
      <c r="O151" t="s">
        <v>29</v>
      </c>
      <c r="P151" t="s">
        <v>59</v>
      </c>
      <c r="Q151" t="s">
        <v>41</v>
      </c>
      <c r="R151" t="s">
        <v>47</v>
      </c>
      <c r="S151" t="s">
        <v>33</v>
      </c>
      <c r="T151" t="s">
        <v>39</v>
      </c>
      <c r="U151" t="s">
        <v>46</v>
      </c>
      <c r="V151" t="s">
        <v>36</v>
      </c>
      <c r="W151" t="s">
        <v>37</v>
      </c>
      <c r="X151" s="24">
        <v>15.25423728813559</v>
      </c>
      <c r="Y151" s="24">
        <v>84.745762711864401</v>
      </c>
      <c r="Z151" t="s">
        <v>38</v>
      </c>
      <c r="AA151" t="s">
        <v>39</v>
      </c>
      <c r="AB151" t="s">
        <v>38</v>
      </c>
      <c r="AC151" s="24">
        <v>-3.0000000000000031E-3</v>
      </c>
    </row>
    <row r="152" spans="1:29" x14ac:dyDescent="0.3">
      <c r="A152" s="2">
        <v>151</v>
      </c>
      <c r="B152" s="1">
        <v>40550</v>
      </c>
      <c r="C152" s="2">
        <v>1</v>
      </c>
      <c r="D152" s="2">
        <v>13</v>
      </c>
      <c r="E152" t="b">
        <v>0</v>
      </c>
      <c r="F152" s="2">
        <v>5</v>
      </c>
      <c r="G152" s="2">
        <v>2</v>
      </c>
      <c r="H152" s="23">
        <v>0.2</v>
      </c>
      <c r="I152" s="25">
        <v>0.18179999999999999</v>
      </c>
      <c r="J152" s="23">
        <v>0.37</v>
      </c>
      <c r="K152" s="25">
        <v>0.28360000000000002</v>
      </c>
      <c r="L152" s="2">
        <v>9</v>
      </c>
      <c r="M152" s="2">
        <v>64</v>
      </c>
      <c r="N152" s="2">
        <v>73</v>
      </c>
      <c r="O152" t="s">
        <v>29</v>
      </c>
      <c r="P152" t="s">
        <v>59</v>
      </c>
      <c r="Q152" t="s">
        <v>41</v>
      </c>
      <c r="R152" t="s">
        <v>47</v>
      </c>
      <c r="S152" t="s">
        <v>33</v>
      </c>
      <c r="T152" t="s">
        <v>39</v>
      </c>
      <c r="U152" t="s">
        <v>46</v>
      </c>
      <c r="V152" t="s">
        <v>36</v>
      </c>
      <c r="W152" t="s">
        <v>37</v>
      </c>
      <c r="X152" s="24">
        <v>12.328767123287671</v>
      </c>
      <c r="Y152" s="24">
        <v>87.671232876712324</v>
      </c>
      <c r="Z152" t="s">
        <v>38</v>
      </c>
      <c r="AA152" t="s">
        <v>39</v>
      </c>
      <c r="AB152" t="s">
        <v>38</v>
      </c>
      <c r="AC152" s="24">
        <v>-1.8200000000000022E-2</v>
      </c>
    </row>
    <row r="153" spans="1:29" x14ac:dyDescent="0.3">
      <c r="A153" s="2">
        <v>745</v>
      </c>
      <c r="B153" s="1">
        <v>40577</v>
      </c>
      <c r="C153" s="2">
        <v>1</v>
      </c>
      <c r="D153" s="2">
        <v>10</v>
      </c>
      <c r="E153" t="b">
        <v>0</v>
      </c>
      <c r="F153" s="2">
        <v>4</v>
      </c>
      <c r="G153" s="2">
        <v>1</v>
      </c>
      <c r="H153" s="23">
        <v>0.18</v>
      </c>
      <c r="I153" s="25">
        <v>0.1515</v>
      </c>
      <c r="J153" s="23">
        <v>0.43</v>
      </c>
      <c r="K153" s="25">
        <v>0.32840000000000003</v>
      </c>
      <c r="L153" s="2">
        <v>2</v>
      </c>
      <c r="M153" s="2">
        <v>50</v>
      </c>
      <c r="N153" s="2">
        <v>52</v>
      </c>
      <c r="O153" t="s">
        <v>29</v>
      </c>
      <c r="P153" t="s">
        <v>58</v>
      </c>
      <c r="Q153" t="s">
        <v>31</v>
      </c>
      <c r="R153" t="s">
        <v>42</v>
      </c>
      <c r="S153" t="s">
        <v>33</v>
      </c>
      <c r="T153" t="s">
        <v>49</v>
      </c>
      <c r="U153" t="s">
        <v>53</v>
      </c>
      <c r="V153" t="s">
        <v>36</v>
      </c>
      <c r="W153" t="s">
        <v>37</v>
      </c>
      <c r="X153" s="24">
        <v>3.8461538461538458</v>
      </c>
      <c r="Y153" s="24">
        <v>96.15384615384616</v>
      </c>
      <c r="Z153" t="s">
        <v>38</v>
      </c>
      <c r="AA153" t="s">
        <v>39</v>
      </c>
      <c r="AB153" t="s">
        <v>38</v>
      </c>
      <c r="AC153" s="24">
        <v>-2.8500000000000001E-2</v>
      </c>
    </row>
    <row r="154" spans="1:29" x14ac:dyDescent="0.3">
      <c r="A154" s="2">
        <v>153</v>
      </c>
      <c r="B154" s="1">
        <v>40550</v>
      </c>
      <c r="C154" s="2">
        <v>1</v>
      </c>
      <c r="D154" s="2">
        <v>15</v>
      </c>
      <c r="E154" t="b">
        <v>0</v>
      </c>
      <c r="F154" s="2">
        <v>5</v>
      </c>
      <c r="G154" s="2">
        <v>2</v>
      </c>
      <c r="H154" s="23">
        <v>0.2</v>
      </c>
      <c r="I154" s="25">
        <v>0.21210000000000001</v>
      </c>
      <c r="J154" s="23">
        <v>0.37</v>
      </c>
      <c r="K154" s="25">
        <v>0.16420000000000001</v>
      </c>
      <c r="L154" s="2">
        <v>9</v>
      </c>
      <c r="M154" s="2">
        <v>63</v>
      </c>
      <c r="N154" s="2">
        <v>72</v>
      </c>
      <c r="O154" t="s">
        <v>29</v>
      </c>
      <c r="P154" t="s">
        <v>59</v>
      </c>
      <c r="Q154" t="s">
        <v>41</v>
      </c>
      <c r="R154" t="s">
        <v>47</v>
      </c>
      <c r="S154" t="s">
        <v>33</v>
      </c>
      <c r="T154" t="s">
        <v>39</v>
      </c>
      <c r="U154" t="s">
        <v>46</v>
      </c>
      <c r="V154" t="s">
        <v>36</v>
      </c>
      <c r="W154" t="s">
        <v>37</v>
      </c>
      <c r="X154" s="24">
        <v>12.5</v>
      </c>
      <c r="Y154" s="24">
        <v>87.5</v>
      </c>
      <c r="Z154" t="s">
        <v>38</v>
      </c>
      <c r="AA154" t="s">
        <v>39</v>
      </c>
      <c r="AB154" t="s">
        <v>38</v>
      </c>
      <c r="AC154" s="24">
        <v>1.21E-2</v>
      </c>
    </row>
    <row r="155" spans="1:29" x14ac:dyDescent="0.3">
      <c r="A155" s="2">
        <v>154</v>
      </c>
      <c r="B155" s="1">
        <v>40550</v>
      </c>
      <c r="C155" s="2">
        <v>1</v>
      </c>
      <c r="D155" s="2">
        <v>16</v>
      </c>
      <c r="E155" t="b">
        <v>0</v>
      </c>
      <c r="F155" s="2">
        <v>5</v>
      </c>
      <c r="G155" s="2">
        <v>2</v>
      </c>
      <c r="H155" s="23">
        <v>0.2</v>
      </c>
      <c r="I155" s="25">
        <v>0.21210000000000001</v>
      </c>
      <c r="J155" s="23">
        <v>0.37</v>
      </c>
      <c r="K155" s="25">
        <v>0.16420000000000001</v>
      </c>
      <c r="L155" s="2">
        <v>5</v>
      </c>
      <c r="M155" s="2">
        <v>82</v>
      </c>
      <c r="N155" s="2">
        <v>87</v>
      </c>
      <c r="O155" t="s">
        <v>29</v>
      </c>
      <c r="P155" t="s">
        <v>59</v>
      </c>
      <c r="Q155" t="s">
        <v>41</v>
      </c>
      <c r="R155" t="s">
        <v>47</v>
      </c>
      <c r="S155" t="s">
        <v>33</v>
      </c>
      <c r="T155" t="s">
        <v>39</v>
      </c>
      <c r="U155" t="s">
        <v>46</v>
      </c>
      <c r="V155" t="s">
        <v>36</v>
      </c>
      <c r="W155" t="s">
        <v>37</v>
      </c>
      <c r="X155" s="24">
        <v>5.7471264367816088</v>
      </c>
      <c r="Y155" s="24">
        <v>94.252873563218387</v>
      </c>
      <c r="Z155" t="s">
        <v>38</v>
      </c>
      <c r="AA155" t="s">
        <v>39</v>
      </c>
      <c r="AB155" t="s">
        <v>38</v>
      </c>
      <c r="AC155" s="24">
        <v>1.21E-2</v>
      </c>
    </row>
    <row r="156" spans="1:29" x14ac:dyDescent="0.3">
      <c r="A156" s="2">
        <v>155</v>
      </c>
      <c r="B156" s="1">
        <v>40550</v>
      </c>
      <c r="C156" s="2">
        <v>1</v>
      </c>
      <c r="D156" s="2">
        <v>17</v>
      </c>
      <c r="E156" t="b">
        <v>0</v>
      </c>
      <c r="F156" s="2">
        <v>5</v>
      </c>
      <c r="G156" s="2">
        <v>2</v>
      </c>
      <c r="H156" s="23">
        <v>0.2</v>
      </c>
      <c r="I156" s="25">
        <v>0.2576</v>
      </c>
      <c r="J156" s="23">
        <v>0.37</v>
      </c>
      <c r="K156" s="25">
        <v>0</v>
      </c>
      <c r="L156" s="2">
        <v>9</v>
      </c>
      <c r="M156" s="2">
        <v>178</v>
      </c>
      <c r="N156" s="2">
        <v>187</v>
      </c>
      <c r="O156" t="s">
        <v>29</v>
      </c>
      <c r="P156" t="s">
        <v>59</v>
      </c>
      <c r="Q156" t="s">
        <v>41</v>
      </c>
      <c r="R156" t="s">
        <v>50</v>
      </c>
      <c r="S156" t="s">
        <v>33</v>
      </c>
      <c r="T156" t="s">
        <v>39</v>
      </c>
      <c r="U156" t="s">
        <v>35</v>
      </c>
      <c r="V156" t="s">
        <v>36</v>
      </c>
      <c r="W156" t="s">
        <v>37</v>
      </c>
      <c r="X156" s="24">
        <v>4.8128342245989302</v>
      </c>
      <c r="Y156" s="24">
        <v>95.18716577540107</v>
      </c>
      <c r="Z156" t="s">
        <v>40</v>
      </c>
      <c r="AA156" t="s">
        <v>49</v>
      </c>
      <c r="AB156" t="s">
        <v>38</v>
      </c>
      <c r="AC156" s="24">
        <v>5.7599999999999978E-2</v>
      </c>
    </row>
    <row r="157" spans="1:29" x14ac:dyDescent="0.3">
      <c r="A157" s="2">
        <v>746</v>
      </c>
      <c r="B157" s="1">
        <v>40577</v>
      </c>
      <c r="C157" s="2">
        <v>1</v>
      </c>
      <c r="D157" s="2">
        <v>11</v>
      </c>
      <c r="E157" t="b">
        <v>0</v>
      </c>
      <c r="F157" s="2">
        <v>4</v>
      </c>
      <c r="G157" s="2">
        <v>1</v>
      </c>
      <c r="H157" s="23">
        <v>0.18</v>
      </c>
      <c r="I157" s="25">
        <v>0.13639999999999999</v>
      </c>
      <c r="J157" s="23">
        <v>0.43</v>
      </c>
      <c r="K157" s="25">
        <v>0.44779999999999998</v>
      </c>
      <c r="L157" s="2">
        <v>9</v>
      </c>
      <c r="M157" s="2">
        <v>55</v>
      </c>
      <c r="N157" s="2">
        <v>64</v>
      </c>
      <c r="O157" t="s">
        <v>29</v>
      </c>
      <c r="P157" t="s">
        <v>58</v>
      </c>
      <c r="Q157" t="s">
        <v>31</v>
      </c>
      <c r="R157" t="s">
        <v>42</v>
      </c>
      <c r="S157" t="s">
        <v>33</v>
      </c>
      <c r="T157" t="s">
        <v>49</v>
      </c>
      <c r="U157" t="s">
        <v>53</v>
      </c>
      <c r="V157" t="s">
        <v>36</v>
      </c>
      <c r="W157" t="s">
        <v>37</v>
      </c>
      <c r="X157" s="24">
        <v>14.0625</v>
      </c>
      <c r="Y157" s="24">
        <v>85.9375</v>
      </c>
      <c r="Z157" t="s">
        <v>38</v>
      </c>
      <c r="AA157" t="s">
        <v>39</v>
      </c>
      <c r="AB157" t="s">
        <v>38</v>
      </c>
      <c r="AC157" s="24">
        <v>-4.36E-2</v>
      </c>
    </row>
    <row r="158" spans="1:29" x14ac:dyDescent="0.3">
      <c r="A158" s="2">
        <v>888</v>
      </c>
      <c r="B158" s="1">
        <v>40583</v>
      </c>
      <c r="C158" s="2">
        <v>1</v>
      </c>
      <c r="D158" s="2">
        <v>11</v>
      </c>
      <c r="E158" t="b">
        <v>0</v>
      </c>
      <c r="F158" s="2">
        <v>3</v>
      </c>
      <c r="G158" s="2">
        <v>2</v>
      </c>
      <c r="H158" s="23">
        <v>0.14000000000000001</v>
      </c>
      <c r="I158" s="25">
        <v>0.1515</v>
      </c>
      <c r="J158" s="23">
        <v>0.43</v>
      </c>
      <c r="K158" s="25">
        <v>0.16420000000000001</v>
      </c>
      <c r="L158" s="2">
        <v>1</v>
      </c>
      <c r="M158" s="2">
        <v>40</v>
      </c>
      <c r="N158" s="2">
        <v>41</v>
      </c>
      <c r="O158" t="s">
        <v>29</v>
      </c>
      <c r="P158" t="s">
        <v>57</v>
      </c>
      <c r="Q158" t="s">
        <v>41</v>
      </c>
      <c r="R158" t="s">
        <v>42</v>
      </c>
      <c r="S158" t="s">
        <v>55</v>
      </c>
      <c r="T158" t="s">
        <v>49</v>
      </c>
      <c r="U158" t="s">
        <v>46</v>
      </c>
      <c r="V158" t="s">
        <v>36</v>
      </c>
      <c r="W158" t="s">
        <v>37</v>
      </c>
      <c r="X158" s="24">
        <v>2.4390243902439019</v>
      </c>
      <c r="Y158" s="24">
        <v>97.560975609756099</v>
      </c>
      <c r="Z158" t="s">
        <v>38</v>
      </c>
      <c r="AA158" t="s">
        <v>39</v>
      </c>
      <c r="AB158" t="s">
        <v>38</v>
      </c>
      <c r="AC158" s="24">
        <v>1.1499999999999981E-2</v>
      </c>
    </row>
    <row r="159" spans="1:29" x14ac:dyDescent="0.3">
      <c r="A159" s="2">
        <v>45</v>
      </c>
      <c r="B159" s="1">
        <v>40545</v>
      </c>
      <c r="C159" s="2">
        <v>1</v>
      </c>
      <c r="D159" s="2">
        <v>21</v>
      </c>
      <c r="E159" t="b">
        <v>0</v>
      </c>
      <c r="F159" s="2">
        <v>0</v>
      </c>
      <c r="G159" s="2">
        <v>1</v>
      </c>
      <c r="H159" s="23">
        <v>0.26</v>
      </c>
      <c r="I159" s="25">
        <v>0.2273</v>
      </c>
      <c r="J159" s="23">
        <v>0.44</v>
      </c>
      <c r="K159" s="25">
        <v>0.32840000000000003</v>
      </c>
      <c r="L159" s="2">
        <v>11</v>
      </c>
      <c r="M159" s="2">
        <v>20</v>
      </c>
      <c r="N159" s="2">
        <v>31</v>
      </c>
      <c r="O159" t="s">
        <v>29</v>
      </c>
      <c r="P159" t="s">
        <v>52</v>
      </c>
      <c r="Q159" t="s">
        <v>31</v>
      </c>
      <c r="R159" t="s">
        <v>32</v>
      </c>
      <c r="S159" t="s">
        <v>44</v>
      </c>
      <c r="T159" t="s">
        <v>49</v>
      </c>
      <c r="U159" t="s">
        <v>53</v>
      </c>
      <c r="V159" t="s">
        <v>36</v>
      </c>
      <c r="W159" t="s">
        <v>37</v>
      </c>
      <c r="X159" s="24">
        <v>35.483870967741943</v>
      </c>
      <c r="Y159" s="24">
        <v>64.516129032258064</v>
      </c>
      <c r="Z159" t="s">
        <v>38</v>
      </c>
      <c r="AA159" t="s">
        <v>39</v>
      </c>
      <c r="AB159" t="s">
        <v>40</v>
      </c>
      <c r="AC159" s="24">
        <v>-3.2700000000000007E-2</v>
      </c>
    </row>
    <row r="160" spans="1:29" x14ac:dyDescent="0.3">
      <c r="A160" s="2">
        <v>46</v>
      </c>
      <c r="B160" s="1">
        <v>40545</v>
      </c>
      <c r="C160" s="2">
        <v>1</v>
      </c>
      <c r="D160" s="2">
        <v>22</v>
      </c>
      <c r="E160" t="b">
        <v>0</v>
      </c>
      <c r="F160" s="2">
        <v>0</v>
      </c>
      <c r="G160" s="2">
        <v>1</v>
      </c>
      <c r="H160" s="23">
        <v>0.24</v>
      </c>
      <c r="I160" s="25">
        <v>0.21210000000000001</v>
      </c>
      <c r="J160" s="23">
        <v>0.44</v>
      </c>
      <c r="K160" s="25">
        <v>0.29849999999999999</v>
      </c>
      <c r="L160" s="2">
        <v>0</v>
      </c>
      <c r="M160" s="2">
        <v>9</v>
      </c>
      <c r="N160" s="2">
        <v>9</v>
      </c>
      <c r="O160" t="s">
        <v>29</v>
      </c>
      <c r="P160" t="s">
        <v>52</v>
      </c>
      <c r="Q160" t="s">
        <v>31</v>
      </c>
      <c r="R160" t="s">
        <v>32</v>
      </c>
      <c r="S160" t="s">
        <v>33</v>
      </c>
      <c r="T160" t="s">
        <v>49</v>
      </c>
      <c r="U160" t="s">
        <v>46</v>
      </c>
      <c r="V160" t="s">
        <v>36</v>
      </c>
      <c r="W160" t="s">
        <v>37</v>
      </c>
      <c r="X160" s="24">
        <v>0</v>
      </c>
      <c r="Y160" s="24">
        <v>100</v>
      </c>
      <c r="Z160" t="s">
        <v>38</v>
      </c>
      <c r="AA160" t="s">
        <v>39</v>
      </c>
      <c r="AB160" t="s">
        <v>40</v>
      </c>
      <c r="AC160" s="24">
        <v>-2.789999999999998E-2</v>
      </c>
    </row>
    <row r="161" spans="1:29" x14ac:dyDescent="0.3">
      <c r="A161" s="2">
        <v>48</v>
      </c>
      <c r="B161" s="1">
        <v>40546</v>
      </c>
      <c r="C161" s="2">
        <v>1</v>
      </c>
      <c r="D161" s="2">
        <v>0</v>
      </c>
      <c r="E161" t="b">
        <v>0</v>
      </c>
      <c r="F161" s="2">
        <v>1</v>
      </c>
      <c r="G161" s="2">
        <v>1</v>
      </c>
      <c r="H161" s="23">
        <v>0.22</v>
      </c>
      <c r="I161" s="25">
        <v>0.19700000000000001</v>
      </c>
      <c r="J161" s="23">
        <v>0.44</v>
      </c>
      <c r="K161" s="25">
        <v>0.35820000000000002</v>
      </c>
      <c r="L161" s="2">
        <v>0</v>
      </c>
      <c r="M161" s="2">
        <v>5</v>
      </c>
      <c r="N161" s="2">
        <v>5</v>
      </c>
      <c r="O161" t="s">
        <v>29</v>
      </c>
      <c r="P161" t="s">
        <v>54</v>
      </c>
      <c r="Q161" t="s">
        <v>31</v>
      </c>
      <c r="R161" t="s">
        <v>32</v>
      </c>
      <c r="S161" t="s">
        <v>33</v>
      </c>
      <c r="T161" t="s">
        <v>49</v>
      </c>
      <c r="U161" t="s">
        <v>53</v>
      </c>
      <c r="V161" t="s">
        <v>36</v>
      </c>
      <c r="W161" t="s">
        <v>37</v>
      </c>
      <c r="X161" s="24">
        <v>0</v>
      </c>
      <c r="Y161" s="24">
        <v>100</v>
      </c>
      <c r="Z161" t="s">
        <v>38</v>
      </c>
      <c r="AA161" t="s">
        <v>39</v>
      </c>
      <c r="AB161" t="s">
        <v>38</v>
      </c>
      <c r="AC161" s="24">
        <v>-2.2999999999999989E-2</v>
      </c>
    </row>
    <row r="162" spans="1:29" x14ac:dyDescent="0.3">
      <c r="A162" s="2">
        <v>49</v>
      </c>
      <c r="B162" s="1">
        <v>40546</v>
      </c>
      <c r="C162" s="2">
        <v>1</v>
      </c>
      <c r="D162" s="2">
        <v>1</v>
      </c>
      <c r="E162" t="b">
        <v>0</v>
      </c>
      <c r="F162" s="2">
        <v>1</v>
      </c>
      <c r="G162" s="2">
        <v>1</v>
      </c>
      <c r="H162" s="23">
        <v>0.2</v>
      </c>
      <c r="I162" s="25">
        <v>0.19700000000000001</v>
      </c>
      <c r="J162" s="23">
        <v>0.44</v>
      </c>
      <c r="K162" s="25">
        <v>0.41789999999999999</v>
      </c>
      <c r="L162" s="2">
        <v>0</v>
      </c>
      <c r="M162" s="2">
        <v>2</v>
      </c>
      <c r="N162" s="2">
        <v>2</v>
      </c>
      <c r="O162" t="s">
        <v>29</v>
      </c>
      <c r="P162" t="s">
        <v>54</v>
      </c>
      <c r="Q162" t="s">
        <v>31</v>
      </c>
      <c r="R162" t="s">
        <v>32</v>
      </c>
      <c r="S162" t="s">
        <v>33</v>
      </c>
      <c r="T162" t="s">
        <v>49</v>
      </c>
      <c r="U162" t="s">
        <v>53</v>
      </c>
      <c r="V162" t="s">
        <v>36</v>
      </c>
      <c r="W162" t="s">
        <v>37</v>
      </c>
      <c r="X162" s="24">
        <v>0</v>
      </c>
      <c r="Y162" s="24">
        <v>100</v>
      </c>
      <c r="Z162" t="s">
        <v>38</v>
      </c>
      <c r="AA162" t="s">
        <v>39</v>
      </c>
      <c r="AB162" t="s">
        <v>38</v>
      </c>
      <c r="AC162" s="24">
        <v>-3.0000000000000031E-3</v>
      </c>
    </row>
    <row r="163" spans="1:29" x14ac:dyDescent="0.3">
      <c r="A163" s="2">
        <v>126</v>
      </c>
      <c r="B163" s="1">
        <v>40549</v>
      </c>
      <c r="C163" s="2">
        <v>1</v>
      </c>
      <c r="D163" s="2">
        <v>11</v>
      </c>
      <c r="E163" t="b">
        <v>0</v>
      </c>
      <c r="F163" s="2">
        <v>4</v>
      </c>
      <c r="G163" s="2">
        <v>1</v>
      </c>
      <c r="H163" s="23">
        <v>0.22</v>
      </c>
      <c r="I163" s="25">
        <v>0.2576</v>
      </c>
      <c r="J163" s="23">
        <v>0.44</v>
      </c>
      <c r="K163" s="25">
        <v>8.9599999999999999E-2</v>
      </c>
      <c r="L163" s="2">
        <v>2</v>
      </c>
      <c r="M163" s="2">
        <v>57</v>
      </c>
      <c r="N163" s="2">
        <v>59</v>
      </c>
      <c r="O163" t="s">
        <v>29</v>
      </c>
      <c r="P163" t="s">
        <v>58</v>
      </c>
      <c r="Q163" t="s">
        <v>31</v>
      </c>
      <c r="R163" t="s">
        <v>42</v>
      </c>
      <c r="S163" t="s">
        <v>33</v>
      </c>
      <c r="T163" t="s">
        <v>49</v>
      </c>
      <c r="U163" t="s">
        <v>35</v>
      </c>
      <c r="V163" t="s">
        <v>36</v>
      </c>
      <c r="W163" t="s">
        <v>37</v>
      </c>
      <c r="X163" s="24">
        <v>3.3898305084745761</v>
      </c>
      <c r="Y163" s="24">
        <v>96.610169491525426</v>
      </c>
      <c r="Z163" t="s">
        <v>38</v>
      </c>
      <c r="AA163" t="s">
        <v>39</v>
      </c>
      <c r="AB163" t="s">
        <v>38</v>
      </c>
      <c r="AC163" s="24">
        <v>3.7599999999999988E-2</v>
      </c>
    </row>
    <row r="164" spans="1:29" x14ac:dyDescent="0.3">
      <c r="A164" s="2">
        <v>175</v>
      </c>
      <c r="B164" s="1">
        <v>40551</v>
      </c>
      <c r="C164" s="2">
        <v>1</v>
      </c>
      <c r="D164" s="2">
        <v>13</v>
      </c>
      <c r="E164" t="b">
        <v>0</v>
      </c>
      <c r="F164" s="2">
        <v>6</v>
      </c>
      <c r="G164" s="2">
        <v>1</v>
      </c>
      <c r="H164" s="23">
        <v>0.2</v>
      </c>
      <c r="I164" s="25">
        <v>0.18179999999999999</v>
      </c>
      <c r="J164" s="23">
        <v>0.44</v>
      </c>
      <c r="K164" s="25">
        <v>0.32840000000000003</v>
      </c>
      <c r="L164" s="2">
        <v>7</v>
      </c>
      <c r="M164" s="2">
        <v>95</v>
      </c>
      <c r="N164" s="2">
        <v>102</v>
      </c>
      <c r="O164" t="s">
        <v>29</v>
      </c>
      <c r="P164" t="s">
        <v>30</v>
      </c>
      <c r="Q164" t="s">
        <v>31</v>
      </c>
      <c r="R164" t="s">
        <v>47</v>
      </c>
      <c r="S164" t="s">
        <v>33</v>
      </c>
      <c r="T164" t="s">
        <v>49</v>
      </c>
      <c r="U164" t="s">
        <v>53</v>
      </c>
      <c r="V164" t="s">
        <v>36</v>
      </c>
      <c r="W164" t="s">
        <v>37</v>
      </c>
      <c r="X164" s="24">
        <v>6.8627450980392162</v>
      </c>
      <c r="Y164" s="24">
        <v>93.137254901960787</v>
      </c>
      <c r="Z164" t="s">
        <v>38</v>
      </c>
      <c r="AA164" t="s">
        <v>49</v>
      </c>
      <c r="AB164" t="s">
        <v>40</v>
      </c>
      <c r="AC164" s="24">
        <v>-1.8200000000000022E-2</v>
      </c>
    </row>
    <row r="165" spans="1:29" x14ac:dyDescent="0.3">
      <c r="A165" s="2">
        <v>267</v>
      </c>
      <c r="B165" s="1">
        <v>40555</v>
      </c>
      <c r="C165" s="2">
        <v>1</v>
      </c>
      <c r="D165" s="2">
        <v>13</v>
      </c>
      <c r="E165" t="b">
        <v>0</v>
      </c>
      <c r="F165" s="2">
        <v>3</v>
      </c>
      <c r="G165" s="2">
        <v>1</v>
      </c>
      <c r="H165" s="23">
        <v>0.22</v>
      </c>
      <c r="I165" s="25">
        <v>0.19700000000000001</v>
      </c>
      <c r="J165" s="23">
        <v>0.44</v>
      </c>
      <c r="K165" s="25">
        <v>0.35820000000000002</v>
      </c>
      <c r="L165" s="2">
        <v>0</v>
      </c>
      <c r="M165" s="2">
        <v>49</v>
      </c>
      <c r="N165" s="2">
        <v>49</v>
      </c>
      <c r="O165" t="s">
        <v>29</v>
      </c>
      <c r="P165" t="s">
        <v>57</v>
      </c>
      <c r="Q165" t="s">
        <v>31</v>
      </c>
      <c r="R165" t="s">
        <v>47</v>
      </c>
      <c r="S165" t="s">
        <v>33</v>
      </c>
      <c r="T165" t="s">
        <v>49</v>
      </c>
      <c r="U165" t="s">
        <v>53</v>
      </c>
      <c r="V165" t="s">
        <v>36</v>
      </c>
      <c r="W165" t="s">
        <v>37</v>
      </c>
      <c r="X165" s="24">
        <v>0</v>
      </c>
      <c r="Y165" s="24">
        <v>100</v>
      </c>
      <c r="Z165" t="s">
        <v>38</v>
      </c>
      <c r="AA165" t="s">
        <v>39</v>
      </c>
      <c r="AB165" t="s">
        <v>38</v>
      </c>
      <c r="AC165" s="24">
        <v>-2.2999999999999989E-2</v>
      </c>
    </row>
    <row r="166" spans="1:29" x14ac:dyDescent="0.3">
      <c r="A166" s="2">
        <v>270</v>
      </c>
      <c r="B166" s="1">
        <v>40555</v>
      </c>
      <c r="C166" s="2">
        <v>1</v>
      </c>
      <c r="D166" s="2">
        <v>16</v>
      </c>
      <c r="E166" t="b">
        <v>0</v>
      </c>
      <c r="F166" s="2">
        <v>3</v>
      </c>
      <c r="G166" s="2">
        <v>1</v>
      </c>
      <c r="H166" s="23">
        <v>0.22</v>
      </c>
      <c r="I166" s="25">
        <v>0.19700000000000001</v>
      </c>
      <c r="J166" s="23">
        <v>0.44</v>
      </c>
      <c r="K166" s="25">
        <v>0.32840000000000003</v>
      </c>
      <c r="L166" s="2">
        <v>5</v>
      </c>
      <c r="M166" s="2">
        <v>63</v>
      </c>
      <c r="N166" s="2">
        <v>68</v>
      </c>
      <c r="O166" t="s">
        <v>29</v>
      </c>
      <c r="P166" t="s">
        <v>57</v>
      </c>
      <c r="Q166" t="s">
        <v>31</v>
      </c>
      <c r="R166" t="s">
        <v>47</v>
      </c>
      <c r="S166" t="s">
        <v>33</v>
      </c>
      <c r="T166" t="s">
        <v>49</v>
      </c>
      <c r="U166" t="s">
        <v>53</v>
      </c>
      <c r="V166" t="s">
        <v>36</v>
      </c>
      <c r="W166" t="s">
        <v>37</v>
      </c>
      <c r="X166" s="24">
        <v>7.3529411764705888</v>
      </c>
      <c r="Y166" s="24">
        <v>92.64705882352942</v>
      </c>
      <c r="Z166" t="s">
        <v>38</v>
      </c>
      <c r="AA166" t="s">
        <v>39</v>
      </c>
      <c r="AB166" t="s">
        <v>38</v>
      </c>
      <c r="AC166" s="24">
        <v>-2.2999999999999989E-2</v>
      </c>
    </row>
    <row r="167" spans="1:29" x14ac:dyDescent="0.3">
      <c r="A167" s="2">
        <v>289</v>
      </c>
      <c r="B167" s="1">
        <v>40556</v>
      </c>
      <c r="C167" s="2">
        <v>1</v>
      </c>
      <c r="D167" s="2">
        <v>11</v>
      </c>
      <c r="E167" t="b">
        <v>0</v>
      </c>
      <c r="F167" s="2">
        <v>4</v>
      </c>
      <c r="G167" s="2">
        <v>2</v>
      </c>
      <c r="H167" s="23">
        <v>0.2</v>
      </c>
      <c r="I167" s="25">
        <v>0.16669999999999999</v>
      </c>
      <c r="J167" s="23">
        <v>0.44</v>
      </c>
      <c r="K167" s="25">
        <v>0.44779999999999998</v>
      </c>
      <c r="L167" s="2">
        <v>4</v>
      </c>
      <c r="M167" s="2">
        <v>33</v>
      </c>
      <c r="N167" s="2">
        <v>37</v>
      </c>
      <c r="O167" t="s">
        <v>29</v>
      </c>
      <c r="P167" t="s">
        <v>58</v>
      </c>
      <c r="Q167" t="s">
        <v>41</v>
      </c>
      <c r="R167" t="s">
        <v>42</v>
      </c>
      <c r="S167" t="s">
        <v>33</v>
      </c>
      <c r="T167" t="s">
        <v>49</v>
      </c>
      <c r="U167" t="s">
        <v>53</v>
      </c>
      <c r="V167" t="s">
        <v>36</v>
      </c>
      <c r="W167" t="s">
        <v>37</v>
      </c>
      <c r="X167" s="24">
        <v>10.810810810810811</v>
      </c>
      <c r="Y167" s="24">
        <v>89.189189189189193</v>
      </c>
      <c r="Z167" t="s">
        <v>38</v>
      </c>
      <c r="AA167" t="s">
        <v>39</v>
      </c>
      <c r="AB167" t="s">
        <v>38</v>
      </c>
      <c r="AC167" s="24">
        <v>-3.3300000000000017E-2</v>
      </c>
    </row>
    <row r="168" spans="1:29" x14ac:dyDescent="0.3">
      <c r="A168" s="2">
        <v>167</v>
      </c>
      <c r="B168" s="1">
        <v>40551</v>
      </c>
      <c r="C168" s="2">
        <v>1</v>
      </c>
      <c r="D168" s="2">
        <v>5</v>
      </c>
      <c r="E168" t="b">
        <v>0</v>
      </c>
      <c r="F168" s="2">
        <v>6</v>
      </c>
      <c r="G168" s="2">
        <v>2</v>
      </c>
      <c r="H168" s="23">
        <v>0.16</v>
      </c>
      <c r="I168" s="25">
        <v>0.16669999999999999</v>
      </c>
      <c r="J168" s="23">
        <v>0.74</v>
      </c>
      <c r="K168" s="25">
        <v>0.16420000000000001</v>
      </c>
      <c r="L168" s="2">
        <v>0</v>
      </c>
      <c r="M168" s="2">
        <v>5</v>
      </c>
      <c r="N168" s="2">
        <v>5</v>
      </c>
      <c r="O168" t="s">
        <v>29</v>
      </c>
      <c r="P168" t="s">
        <v>30</v>
      </c>
      <c r="Q168" t="s">
        <v>41</v>
      </c>
      <c r="R168" t="s">
        <v>32</v>
      </c>
      <c r="S168" t="s">
        <v>33</v>
      </c>
      <c r="T168" t="s">
        <v>34</v>
      </c>
      <c r="U168" t="s">
        <v>46</v>
      </c>
      <c r="V168" t="s">
        <v>36</v>
      </c>
      <c r="W168" t="s">
        <v>37</v>
      </c>
      <c r="X168" s="24">
        <v>0</v>
      </c>
      <c r="Y168" s="24">
        <v>100</v>
      </c>
      <c r="Z168" t="s">
        <v>38</v>
      </c>
      <c r="AA168" t="s">
        <v>39</v>
      </c>
      <c r="AB168" t="s">
        <v>40</v>
      </c>
      <c r="AC168" s="24">
        <v>6.6999999999999837E-3</v>
      </c>
    </row>
    <row r="169" spans="1:29" x14ac:dyDescent="0.3">
      <c r="A169" s="2">
        <v>168</v>
      </c>
      <c r="B169" s="1">
        <v>40551</v>
      </c>
      <c r="C169" s="2">
        <v>1</v>
      </c>
      <c r="D169" s="2">
        <v>6</v>
      </c>
      <c r="E169" t="b">
        <v>0</v>
      </c>
      <c r="F169" s="2">
        <v>6</v>
      </c>
      <c r="G169" s="2">
        <v>2</v>
      </c>
      <c r="H169" s="23">
        <v>0.16</v>
      </c>
      <c r="I169" s="25">
        <v>0.16669999999999999</v>
      </c>
      <c r="J169" s="23">
        <v>0.74</v>
      </c>
      <c r="K169" s="25">
        <v>0.16420000000000001</v>
      </c>
      <c r="L169" s="2">
        <v>0</v>
      </c>
      <c r="M169" s="2">
        <v>2</v>
      </c>
      <c r="N169" s="2">
        <v>2</v>
      </c>
      <c r="O169" t="s">
        <v>29</v>
      </c>
      <c r="P169" t="s">
        <v>30</v>
      </c>
      <c r="Q169" t="s">
        <v>41</v>
      </c>
      <c r="R169" t="s">
        <v>42</v>
      </c>
      <c r="S169" t="s">
        <v>33</v>
      </c>
      <c r="T169" t="s">
        <v>34</v>
      </c>
      <c r="U169" t="s">
        <v>46</v>
      </c>
      <c r="V169" t="s">
        <v>36</v>
      </c>
      <c r="W169" t="s">
        <v>37</v>
      </c>
      <c r="X169" s="24">
        <v>0</v>
      </c>
      <c r="Y169" s="24">
        <v>100</v>
      </c>
      <c r="Z169" t="s">
        <v>38</v>
      </c>
      <c r="AA169" t="s">
        <v>39</v>
      </c>
      <c r="AB169" t="s">
        <v>40</v>
      </c>
      <c r="AC169" s="24">
        <v>6.6999999999999837E-3</v>
      </c>
    </row>
    <row r="170" spans="1:29" x14ac:dyDescent="0.3">
      <c r="A170" s="2">
        <v>169</v>
      </c>
      <c r="B170" s="1">
        <v>40551</v>
      </c>
      <c r="C170" s="2">
        <v>1</v>
      </c>
      <c r="D170" s="2">
        <v>7</v>
      </c>
      <c r="E170" t="b">
        <v>0</v>
      </c>
      <c r="F170" s="2">
        <v>6</v>
      </c>
      <c r="G170" s="2">
        <v>2</v>
      </c>
      <c r="H170" s="23">
        <v>0.16</v>
      </c>
      <c r="I170" s="25">
        <v>0.18179999999999999</v>
      </c>
      <c r="J170" s="23">
        <v>0.74</v>
      </c>
      <c r="K170" s="25">
        <v>0.1045</v>
      </c>
      <c r="L170" s="2">
        <v>1</v>
      </c>
      <c r="M170" s="2">
        <v>8</v>
      </c>
      <c r="N170" s="2">
        <v>9</v>
      </c>
      <c r="O170" t="s">
        <v>29</v>
      </c>
      <c r="P170" t="s">
        <v>30</v>
      </c>
      <c r="Q170" t="s">
        <v>41</v>
      </c>
      <c r="R170" t="s">
        <v>42</v>
      </c>
      <c r="S170" t="s">
        <v>33</v>
      </c>
      <c r="T170" t="s">
        <v>34</v>
      </c>
      <c r="U170" t="s">
        <v>35</v>
      </c>
      <c r="V170" t="s">
        <v>36</v>
      </c>
      <c r="W170" t="s">
        <v>37</v>
      </c>
      <c r="X170" s="24">
        <v>11.111111111111111</v>
      </c>
      <c r="Y170" s="24">
        <v>88.888888888888886</v>
      </c>
      <c r="Z170" t="s">
        <v>40</v>
      </c>
      <c r="AA170" t="s">
        <v>39</v>
      </c>
      <c r="AB170" t="s">
        <v>40</v>
      </c>
      <c r="AC170" s="24">
        <v>2.179999999999999E-2</v>
      </c>
    </row>
    <row r="171" spans="1:29" x14ac:dyDescent="0.3">
      <c r="A171" s="2">
        <v>170</v>
      </c>
      <c r="B171" s="1">
        <v>40551</v>
      </c>
      <c r="C171" s="2">
        <v>1</v>
      </c>
      <c r="D171" s="2">
        <v>8</v>
      </c>
      <c r="E171" t="b">
        <v>0</v>
      </c>
      <c r="F171" s="2">
        <v>6</v>
      </c>
      <c r="G171" s="2">
        <v>3</v>
      </c>
      <c r="H171" s="23">
        <v>0.16</v>
      </c>
      <c r="I171" s="25">
        <v>0.18179999999999999</v>
      </c>
      <c r="J171" s="23">
        <v>0.93</v>
      </c>
      <c r="K171" s="25">
        <v>0.1045</v>
      </c>
      <c r="L171" s="2">
        <v>0</v>
      </c>
      <c r="M171" s="2">
        <v>15</v>
      </c>
      <c r="N171" s="2">
        <v>15</v>
      </c>
      <c r="O171" t="s">
        <v>29</v>
      </c>
      <c r="P171" t="s">
        <v>30</v>
      </c>
      <c r="Q171" t="s">
        <v>51</v>
      </c>
      <c r="R171" t="s">
        <v>42</v>
      </c>
      <c r="S171" t="s">
        <v>33</v>
      </c>
      <c r="T171" t="s">
        <v>34</v>
      </c>
      <c r="U171" t="s">
        <v>35</v>
      </c>
      <c r="V171" t="s">
        <v>36</v>
      </c>
      <c r="W171" t="s">
        <v>37</v>
      </c>
      <c r="X171" s="24">
        <v>0</v>
      </c>
      <c r="Y171" s="24">
        <v>100</v>
      </c>
      <c r="Z171" t="s">
        <v>40</v>
      </c>
      <c r="AA171" t="s">
        <v>39</v>
      </c>
      <c r="AB171" t="s">
        <v>40</v>
      </c>
      <c r="AC171" s="24">
        <v>2.179999999999999E-2</v>
      </c>
    </row>
    <row r="172" spans="1:29" x14ac:dyDescent="0.3">
      <c r="A172" s="2">
        <v>171</v>
      </c>
      <c r="B172" s="1">
        <v>40551</v>
      </c>
      <c r="C172" s="2">
        <v>1</v>
      </c>
      <c r="D172" s="2">
        <v>9</v>
      </c>
      <c r="E172" t="b">
        <v>0</v>
      </c>
      <c r="F172" s="2">
        <v>6</v>
      </c>
      <c r="G172" s="2">
        <v>3</v>
      </c>
      <c r="H172" s="23">
        <v>0.16</v>
      </c>
      <c r="I172" s="25">
        <v>0.18179999999999999</v>
      </c>
      <c r="J172" s="23">
        <v>0.93</v>
      </c>
      <c r="K172" s="25">
        <v>0.1045</v>
      </c>
      <c r="L172" s="2">
        <v>0</v>
      </c>
      <c r="M172" s="2">
        <v>20</v>
      </c>
      <c r="N172" s="2">
        <v>20</v>
      </c>
      <c r="O172" t="s">
        <v>29</v>
      </c>
      <c r="P172" t="s">
        <v>30</v>
      </c>
      <c r="Q172" t="s">
        <v>51</v>
      </c>
      <c r="R172" t="s">
        <v>42</v>
      </c>
      <c r="S172" t="s">
        <v>33</v>
      </c>
      <c r="T172" t="s">
        <v>34</v>
      </c>
      <c r="U172" t="s">
        <v>35</v>
      </c>
      <c r="V172" t="s">
        <v>36</v>
      </c>
      <c r="W172" t="s">
        <v>37</v>
      </c>
      <c r="X172" s="24">
        <v>0</v>
      </c>
      <c r="Y172" s="24">
        <v>100</v>
      </c>
      <c r="Z172" t="s">
        <v>40</v>
      </c>
      <c r="AA172" t="s">
        <v>39</v>
      </c>
      <c r="AB172" t="s">
        <v>40</v>
      </c>
      <c r="AC172" s="24">
        <v>2.179999999999999E-2</v>
      </c>
    </row>
    <row r="173" spans="1:29" x14ac:dyDescent="0.3">
      <c r="A173" s="2">
        <v>172</v>
      </c>
      <c r="B173" s="1">
        <v>40551</v>
      </c>
      <c r="C173" s="2">
        <v>1</v>
      </c>
      <c r="D173" s="2">
        <v>10</v>
      </c>
      <c r="E173" t="b">
        <v>0</v>
      </c>
      <c r="F173" s="2">
        <v>6</v>
      </c>
      <c r="G173" s="2">
        <v>2</v>
      </c>
      <c r="H173" s="23">
        <v>0.18</v>
      </c>
      <c r="I173" s="25">
        <v>0.19700000000000001</v>
      </c>
      <c r="J173" s="23">
        <v>0.8</v>
      </c>
      <c r="K173" s="25">
        <v>0.16420000000000001</v>
      </c>
      <c r="L173" s="2">
        <v>5</v>
      </c>
      <c r="M173" s="2">
        <v>56</v>
      </c>
      <c r="N173" s="2">
        <v>61</v>
      </c>
      <c r="O173" t="s">
        <v>29</v>
      </c>
      <c r="P173" t="s">
        <v>30</v>
      </c>
      <c r="Q173" t="s">
        <v>41</v>
      </c>
      <c r="R173" t="s">
        <v>42</v>
      </c>
      <c r="S173" t="s">
        <v>33</v>
      </c>
      <c r="T173" t="s">
        <v>34</v>
      </c>
      <c r="U173" t="s">
        <v>46</v>
      </c>
      <c r="V173" t="s">
        <v>36</v>
      </c>
      <c r="W173" t="s">
        <v>37</v>
      </c>
      <c r="X173" s="24">
        <v>8.1967213114754092</v>
      </c>
      <c r="Y173" s="24">
        <v>91.803278688524586</v>
      </c>
      <c r="Z173" t="s">
        <v>38</v>
      </c>
      <c r="AA173" t="s">
        <v>39</v>
      </c>
      <c r="AB173" t="s">
        <v>40</v>
      </c>
      <c r="AC173" s="24">
        <v>1.7000000000000019E-2</v>
      </c>
    </row>
    <row r="174" spans="1:29" x14ac:dyDescent="0.3">
      <c r="A174" s="2">
        <v>290</v>
      </c>
      <c r="B174" s="1">
        <v>40556</v>
      </c>
      <c r="C174" s="2">
        <v>1</v>
      </c>
      <c r="D174" s="2">
        <v>12</v>
      </c>
      <c r="E174" t="b">
        <v>0</v>
      </c>
      <c r="F174" s="2">
        <v>4</v>
      </c>
      <c r="G174" s="2">
        <v>1</v>
      </c>
      <c r="H174" s="23">
        <v>0.2</v>
      </c>
      <c r="I174" s="25">
        <v>0.16669999999999999</v>
      </c>
      <c r="J174" s="23">
        <v>0.44</v>
      </c>
      <c r="K174" s="25">
        <v>0.41789999999999999</v>
      </c>
      <c r="L174" s="2">
        <v>3</v>
      </c>
      <c r="M174" s="2">
        <v>49</v>
      </c>
      <c r="N174" s="2">
        <v>52</v>
      </c>
      <c r="O174" t="s">
        <v>29</v>
      </c>
      <c r="P174" t="s">
        <v>58</v>
      </c>
      <c r="Q174" t="s">
        <v>31</v>
      </c>
      <c r="R174" t="s">
        <v>47</v>
      </c>
      <c r="S174" t="s">
        <v>33</v>
      </c>
      <c r="T174" t="s">
        <v>49</v>
      </c>
      <c r="U174" t="s">
        <v>53</v>
      </c>
      <c r="V174" t="s">
        <v>36</v>
      </c>
      <c r="W174" t="s">
        <v>37</v>
      </c>
      <c r="X174" s="24">
        <v>5.7692307692307692</v>
      </c>
      <c r="Y174" s="24">
        <v>94.230769230769226</v>
      </c>
      <c r="Z174" t="s">
        <v>38</v>
      </c>
      <c r="AA174" t="s">
        <v>39</v>
      </c>
      <c r="AB174" t="s">
        <v>38</v>
      </c>
      <c r="AC174" s="24">
        <v>-3.3300000000000017E-2</v>
      </c>
    </row>
    <row r="175" spans="1:29" x14ac:dyDescent="0.3">
      <c r="A175" s="2">
        <v>313</v>
      </c>
      <c r="B175" s="1">
        <v>40557</v>
      </c>
      <c r="C175" s="2">
        <v>1</v>
      </c>
      <c r="D175" s="2">
        <v>12</v>
      </c>
      <c r="E175" t="b">
        <v>0</v>
      </c>
      <c r="F175" s="2">
        <v>5</v>
      </c>
      <c r="G175" s="2">
        <v>1</v>
      </c>
      <c r="H175" s="23">
        <v>0.2</v>
      </c>
      <c r="I175" s="25">
        <v>0.19700000000000001</v>
      </c>
      <c r="J175" s="23">
        <v>0.44</v>
      </c>
      <c r="K175" s="25">
        <v>0.25369999999999998</v>
      </c>
      <c r="L175" s="2">
        <v>2</v>
      </c>
      <c r="M175" s="2">
        <v>59</v>
      </c>
      <c r="N175" s="2">
        <v>61</v>
      </c>
      <c r="O175" t="s">
        <v>29</v>
      </c>
      <c r="P175" t="s">
        <v>59</v>
      </c>
      <c r="Q175" t="s">
        <v>31</v>
      </c>
      <c r="R175" t="s">
        <v>47</v>
      </c>
      <c r="S175" t="s">
        <v>33</v>
      </c>
      <c r="T175" t="s">
        <v>49</v>
      </c>
      <c r="U175" t="s">
        <v>46</v>
      </c>
      <c r="V175" t="s">
        <v>36</v>
      </c>
      <c r="W175" t="s">
        <v>37</v>
      </c>
      <c r="X175" s="24">
        <v>3.278688524590164</v>
      </c>
      <c r="Y175" s="24">
        <v>96.721311475409834</v>
      </c>
      <c r="Z175" t="s">
        <v>38</v>
      </c>
      <c r="AA175" t="s">
        <v>39</v>
      </c>
      <c r="AB175" t="s">
        <v>38</v>
      </c>
      <c r="AC175" s="24">
        <v>-3.0000000000000031E-3</v>
      </c>
    </row>
    <row r="176" spans="1:29" x14ac:dyDescent="0.3">
      <c r="A176" s="2">
        <v>360</v>
      </c>
      <c r="B176" s="1">
        <v>40559</v>
      </c>
      <c r="C176" s="2">
        <v>1</v>
      </c>
      <c r="D176" s="2">
        <v>11</v>
      </c>
      <c r="E176" t="b">
        <v>0</v>
      </c>
      <c r="F176" s="2">
        <v>0</v>
      </c>
      <c r="G176" s="2">
        <v>1</v>
      </c>
      <c r="H176" s="23">
        <v>0.24</v>
      </c>
      <c r="I176" s="25">
        <v>0.2273</v>
      </c>
      <c r="J176" s="23">
        <v>0.44</v>
      </c>
      <c r="K176" s="25">
        <v>0.25369999999999998</v>
      </c>
      <c r="L176" s="2">
        <v>23</v>
      </c>
      <c r="M176" s="2">
        <v>70</v>
      </c>
      <c r="N176" s="2">
        <v>93</v>
      </c>
      <c r="O176" t="s">
        <v>29</v>
      </c>
      <c r="P176" t="s">
        <v>52</v>
      </c>
      <c r="Q176" t="s">
        <v>31</v>
      </c>
      <c r="R176" t="s">
        <v>42</v>
      </c>
      <c r="S176" t="s">
        <v>33</v>
      </c>
      <c r="T176" t="s">
        <v>49</v>
      </c>
      <c r="U176" t="s">
        <v>46</v>
      </c>
      <c r="V176" t="s">
        <v>36</v>
      </c>
      <c r="W176" t="s">
        <v>37</v>
      </c>
      <c r="X176" s="24">
        <v>24.731182795698921</v>
      </c>
      <c r="Y176" s="24">
        <v>75.268817204301072</v>
      </c>
      <c r="Z176" t="s">
        <v>38</v>
      </c>
      <c r="AA176" t="s">
        <v>39</v>
      </c>
      <c r="AB176" t="s">
        <v>40</v>
      </c>
      <c r="AC176" s="24">
        <v>-1.2699999999999991E-2</v>
      </c>
    </row>
    <row r="177" spans="1:29" x14ac:dyDescent="0.3">
      <c r="A177" s="2">
        <v>176</v>
      </c>
      <c r="B177" s="1">
        <v>40551</v>
      </c>
      <c r="C177" s="2">
        <v>1</v>
      </c>
      <c r="D177" s="2">
        <v>14</v>
      </c>
      <c r="E177" t="b">
        <v>0</v>
      </c>
      <c r="F177" s="2">
        <v>6</v>
      </c>
      <c r="G177" s="2">
        <v>1</v>
      </c>
      <c r="H177" s="23">
        <v>0.2</v>
      </c>
      <c r="I177" s="25">
        <v>0.16669999999999999</v>
      </c>
      <c r="J177" s="23">
        <v>0.32</v>
      </c>
      <c r="K177" s="25">
        <v>0.49249999999999999</v>
      </c>
      <c r="L177" s="2">
        <v>12</v>
      </c>
      <c r="M177" s="2">
        <v>83</v>
      </c>
      <c r="N177" s="2">
        <v>95</v>
      </c>
      <c r="O177" t="s">
        <v>29</v>
      </c>
      <c r="P177" t="s">
        <v>30</v>
      </c>
      <c r="Q177" t="s">
        <v>31</v>
      </c>
      <c r="R177" t="s">
        <v>47</v>
      </c>
      <c r="S177" t="s">
        <v>33</v>
      </c>
      <c r="T177" t="s">
        <v>39</v>
      </c>
      <c r="U177" t="s">
        <v>53</v>
      </c>
      <c r="V177" t="s">
        <v>36</v>
      </c>
      <c r="W177" t="s">
        <v>37</v>
      </c>
      <c r="X177" s="24">
        <v>12.631578947368419</v>
      </c>
      <c r="Y177" s="24">
        <v>87.368421052631589</v>
      </c>
      <c r="Z177" t="s">
        <v>38</v>
      </c>
      <c r="AA177" t="s">
        <v>39</v>
      </c>
      <c r="AB177" t="s">
        <v>40</v>
      </c>
      <c r="AC177" s="24">
        <v>-3.3300000000000017E-2</v>
      </c>
    </row>
    <row r="178" spans="1:29" x14ac:dyDescent="0.3">
      <c r="A178" s="2">
        <v>177</v>
      </c>
      <c r="B178" s="1">
        <v>40551</v>
      </c>
      <c r="C178" s="2">
        <v>1</v>
      </c>
      <c r="D178" s="2">
        <v>15</v>
      </c>
      <c r="E178" t="b">
        <v>0</v>
      </c>
      <c r="F178" s="2">
        <v>6</v>
      </c>
      <c r="G178" s="2">
        <v>1</v>
      </c>
      <c r="H178" s="23">
        <v>0.2</v>
      </c>
      <c r="I178" s="25">
        <v>0.16669999999999999</v>
      </c>
      <c r="J178" s="23">
        <v>0.32</v>
      </c>
      <c r="K178" s="25">
        <v>0.44779999999999998</v>
      </c>
      <c r="L178" s="2">
        <v>5</v>
      </c>
      <c r="M178" s="2">
        <v>69</v>
      </c>
      <c r="N178" s="2">
        <v>74</v>
      </c>
      <c r="O178" t="s">
        <v>29</v>
      </c>
      <c r="P178" t="s">
        <v>30</v>
      </c>
      <c r="Q178" t="s">
        <v>31</v>
      </c>
      <c r="R178" t="s">
        <v>47</v>
      </c>
      <c r="S178" t="s">
        <v>33</v>
      </c>
      <c r="T178" t="s">
        <v>39</v>
      </c>
      <c r="U178" t="s">
        <v>53</v>
      </c>
      <c r="V178" t="s">
        <v>36</v>
      </c>
      <c r="W178" t="s">
        <v>37</v>
      </c>
      <c r="X178" s="24">
        <v>6.756756756756757</v>
      </c>
      <c r="Y178" s="24">
        <v>93.243243243243242</v>
      </c>
      <c r="Z178" t="s">
        <v>38</v>
      </c>
      <c r="AA178" t="s">
        <v>39</v>
      </c>
      <c r="AB178" t="s">
        <v>40</v>
      </c>
      <c r="AC178" s="24">
        <v>-3.3300000000000017E-2</v>
      </c>
    </row>
    <row r="179" spans="1:29" x14ac:dyDescent="0.3">
      <c r="A179" s="2">
        <v>178</v>
      </c>
      <c r="B179" s="1">
        <v>40551</v>
      </c>
      <c r="C179" s="2">
        <v>1</v>
      </c>
      <c r="D179" s="2">
        <v>16</v>
      </c>
      <c r="E179" t="b">
        <v>0</v>
      </c>
      <c r="F179" s="2">
        <v>6</v>
      </c>
      <c r="G179" s="2">
        <v>1</v>
      </c>
      <c r="H179" s="23">
        <v>0.18</v>
      </c>
      <c r="I179" s="25">
        <v>0.13639999999999999</v>
      </c>
      <c r="J179" s="23">
        <v>0.28999999999999998</v>
      </c>
      <c r="K179" s="25">
        <v>0.44779999999999998</v>
      </c>
      <c r="L179" s="2">
        <v>8</v>
      </c>
      <c r="M179" s="2">
        <v>68</v>
      </c>
      <c r="N179" s="2">
        <v>76</v>
      </c>
      <c r="O179" t="s">
        <v>29</v>
      </c>
      <c r="P179" t="s">
        <v>30</v>
      </c>
      <c r="Q179" t="s">
        <v>31</v>
      </c>
      <c r="R179" t="s">
        <v>47</v>
      </c>
      <c r="S179" t="s">
        <v>33</v>
      </c>
      <c r="T179" t="s">
        <v>39</v>
      </c>
      <c r="U179" t="s">
        <v>53</v>
      </c>
      <c r="V179" t="s">
        <v>36</v>
      </c>
      <c r="W179" t="s">
        <v>37</v>
      </c>
      <c r="X179" s="24">
        <v>10.52631578947368</v>
      </c>
      <c r="Y179" s="24">
        <v>89.473684210526315</v>
      </c>
      <c r="Z179" t="s">
        <v>38</v>
      </c>
      <c r="AA179" t="s">
        <v>39</v>
      </c>
      <c r="AB179" t="s">
        <v>40</v>
      </c>
      <c r="AC179" s="24">
        <v>-4.36E-2</v>
      </c>
    </row>
    <row r="180" spans="1:29" x14ac:dyDescent="0.3">
      <c r="A180" s="2">
        <v>179</v>
      </c>
      <c r="B180" s="1">
        <v>40551</v>
      </c>
      <c r="C180" s="2">
        <v>1</v>
      </c>
      <c r="D180" s="2">
        <v>17</v>
      </c>
      <c r="E180" t="b">
        <v>0</v>
      </c>
      <c r="F180" s="2">
        <v>6</v>
      </c>
      <c r="G180" s="2">
        <v>1</v>
      </c>
      <c r="H180" s="23">
        <v>0.16</v>
      </c>
      <c r="I180" s="25">
        <v>0.1212</v>
      </c>
      <c r="J180" s="23">
        <v>0.37</v>
      </c>
      <c r="K180" s="25">
        <v>0.55220000000000002</v>
      </c>
      <c r="L180" s="2">
        <v>5</v>
      </c>
      <c r="M180" s="2">
        <v>64</v>
      </c>
      <c r="N180" s="2">
        <v>69</v>
      </c>
      <c r="O180" t="s">
        <v>29</v>
      </c>
      <c r="P180" t="s">
        <v>30</v>
      </c>
      <c r="Q180" t="s">
        <v>31</v>
      </c>
      <c r="R180" t="s">
        <v>50</v>
      </c>
      <c r="S180" t="s">
        <v>33</v>
      </c>
      <c r="T180" t="s">
        <v>39</v>
      </c>
      <c r="U180" t="s">
        <v>53</v>
      </c>
      <c r="V180" t="s">
        <v>36</v>
      </c>
      <c r="W180" t="s">
        <v>37</v>
      </c>
      <c r="X180" s="24">
        <v>7.2463768115942031</v>
      </c>
      <c r="Y180" s="24">
        <v>92.753623188405797</v>
      </c>
      <c r="Z180" t="s">
        <v>40</v>
      </c>
      <c r="AA180" t="s">
        <v>39</v>
      </c>
      <c r="AB180" t="s">
        <v>40</v>
      </c>
      <c r="AC180" s="24">
        <v>-3.8800000000000001E-2</v>
      </c>
    </row>
    <row r="181" spans="1:29" x14ac:dyDescent="0.3">
      <c r="A181" s="2">
        <v>180</v>
      </c>
      <c r="B181" s="1">
        <v>40551</v>
      </c>
      <c r="C181" s="2">
        <v>1</v>
      </c>
      <c r="D181" s="2">
        <v>18</v>
      </c>
      <c r="E181" t="b">
        <v>0</v>
      </c>
      <c r="F181" s="2">
        <v>6</v>
      </c>
      <c r="G181" s="2">
        <v>1</v>
      </c>
      <c r="H181" s="23">
        <v>0.14000000000000001</v>
      </c>
      <c r="I181" s="25">
        <v>0.1212</v>
      </c>
      <c r="J181" s="23">
        <v>0.39</v>
      </c>
      <c r="K181" s="25">
        <v>0.29849999999999999</v>
      </c>
      <c r="L181" s="2">
        <v>3</v>
      </c>
      <c r="M181" s="2">
        <v>52</v>
      </c>
      <c r="N181" s="2">
        <v>55</v>
      </c>
      <c r="O181" t="s">
        <v>29</v>
      </c>
      <c r="P181" t="s">
        <v>30</v>
      </c>
      <c r="Q181" t="s">
        <v>31</v>
      </c>
      <c r="R181" t="s">
        <v>50</v>
      </c>
      <c r="S181" t="s">
        <v>55</v>
      </c>
      <c r="T181" t="s">
        <v>39</v>
      </c>
      <c r="U181" t="s">
        <v>46</v>
      </c>
      <c r="V181" t="s">
        <v>36</v>
      </c>
      <c r="W181" t="s">
        <v>37</v>
      </c>
      <c r="X181" s="24">
        <v>5.4545454545454541</v>
      </c>
      <c r="Y181" s="24">
        <v>94.545454545454547</v>
      </c>
      <c r="Z181" t="s">
        <v>40</v>
      </c>
      <c r="AA181" t="s">
        <v>39</v>
      </c>
      <c r="AB181" t="s">
        <v>40</v>
      </c>
      <c r="AC181" s="24">
        <v>-1.8800000000000011E-2</v>
      </c>
    </row>
    <row r="182" spans="1:29" x14ac:dyDescent="0.3">
      <c r="A182" s="2">
        <v>181</v>
      </c>
      <c r="B182" s="1">
        <v>40551</v>
      </c>
      <c r="C182" s="2">
        <v>1</v>
      </c>
      <c r="D182" s="2">
        <v>19</v>
      </c>
      <c r="E182" t="b">
        <v>0</v>
      </c>
      <c r="F182" s="2">
        <v>6</v>
      </c>
      <c r="G182" s="2">
        <v>1</v>
      </c>
      <c r="H182" s="23">
        <v>0.14000000000000001</v>
      </c>
      <c r="I182" s="25">
        <v>0.1212</v>
      </c>
      <c r="J182" s="23">
        <v>0.36</v>
      </c>
      <c r="K182" s="25">
        <v>0.25369999999999998</v>
      </c>
      <c r="L182" s="2">
        <v>4</v>
      </c>
      <c r="M182" s="2">
        <v>26</v>
      </c>
      <c r="N182" s="2">
        <v>30</v>
      </c>
      <c r="O182" t="s">
        <v>29</v>
      </c>
      <c r="P182" t="s">
        <v>30</v>
      </c>
      <c r="Q182" t="s">
        <v>31</v>
      </c>
      <c r="R182" t="s">
        <v>50</v>
      </c>
      <c r="S182" t="s">
        <v>55</v>
      </c>
      <c r="T182" t="s">
        <v>39</v>
      </c>
      <c r="U182" t="s">
        <v>46</v>
      </c>
      <c r="V182" t="s">
        <v>36</v>
      </c>
      <c r="W182" t="s">
        <v>37</v>
      </c>
      <c r="X182" s="24">
        <v>13.33333333333333</v>
      </c>
      <c r="Y182" s="24">
        <v>86.666666666666671</v>
      </c>
      <c r="Z182" t="s">
        <v>40</v>
      </c>
      <c r="AA182" t="s">
        <v>39</v>
      </c>
      <c r="AB182" t="s">
        <v>40</v>
      </c>
      <c r="AC182" s="24">
        <v>-1.8800000000000011E-2</v>
      </c>
    </row>
    <row r="183" spans="1:29" x14ac:dyDescent="0.3">
      <c r="A183" s="2">
        <v>182</v>
      </c>
      <c r="B183" s="1">
        <v>40551</v>
      </c>
      <c r="C183" s="2">
        <v>1</v>
      </c>
      <c r="D183" s="2">
        <v>20</v>
      </c>
      <c r="E183" t="b">
        <v>0</v>
      </c>
      <c r="F183" s="2">
        <v>6</v>
      </c>
      <c r="G183" s="2">
        <v>1</v>
      </c>
      <c r="H183" s="23">
        <v>0.12</v>
      </c>
      <c r="I183" s="25">
        <v>0.1212</v>
      </c>
      <c r="J183" s="23">
        <v>0.36</v>
      </c>
      <c r="K183" s="25">
        <v>0.25369999999999998</v>
      </c>
      <c r="L183" s="2">
        <v>0</v>
      </c>
      <c r="M183" s="2">
        <v>28</v>
      </c>
      <c r="N183" s="2">
        <v>28</v>
      </c>
      <c r="O183" t="s">
        <v>29</v>
      </c>
      <c r="P183" t="s">
        <v>30</v>
      </c>
      <c r="Q183" t="s">
        <v>31</v>
      </c>
      <c r="R183" t="s">
        <v>50</v>
      </c>
      <c r="S183" t="s">
        <v>55</v>
      </c>
      <c r="T183" t="s">
        <v>39</v>
      </c>
      <c r="U183" t="s">
        <v>46</v>
      </c>
      <c r="V183" t="s">
        <v>36</v>
      </c>
      <c r="W183" t="s">
        <v>37</v>
      </c>
      <c r="X183" s="24">
        <v>0</v>
      </c>
      <c r="Y183" s="24">
        <v>100</v>
      </c>
      <c r="Z183" t="s">
        <v>38</v>
      </c>
      <c r="AA183" t="s">
        <v>39</v>
      </c>
      <c r="AB183" t="s">
        <v>40</v>
      </c>
      <c r="AC183" s="24">
        <v>1.2000000000000071E-3</v>
      </c>
    </row>
    <row r="184" spans="1:29" x14ac:dyDescent="0.3">
      <c r="A184" s="2">
        <v>183</v>
      </c>
      <c r="B184" s="1">
        <v>40551</v>
      </c>
      <c r="C184" s="2">
        <v>1</v>
      </c>
      <c r="D184" s="2">
        <v>21</v>
      </c>
      <c r="E184" t="b">
        <v>0</v>
      </c>
      <c r="F184" s="2">
        <v>6</v>
      </c>
      <c r="G184" s="2">
        <v>1</v>
      </c>
      <c r="H184" s="23">
        <v>0.12</v>
      </c>
      <c r="I184" s="25">
        <v>0.1061</v>
      </c>
      <c r="J184" s="23">
        <v>0.39</v>
      </c>
      <c r="K184" s="25">
        <v>0.35820000000000002</v>
      </c>
      <c r="L184" s="2">
        <v>2</v>
      </c>
      <c r="M184" s="2">
        <v>35</v>
      </c>
      <c r="N184" s="2">
        <v>37</v>
      </c>
      <c r="O184" t="s">
        <v>29</v>
      </c>
      <c r="P184" t="s">
        <v>30</v>
      </c>
      <c r="Q184" t="s">
        <v>31</v>
      </c>
      <c r="R184" t="s">
        <v>32</v>
      </c>
      <c r="S184" t="s">
        <v>55</v>
      </c>
      <c r="T184" t="s">
        <v>39</v>
      </c>
      <c r="U184" t="s">
        <v>53</v>
      </c>
      <c r="V184" t="s">
        <v>36</v>
      </c>
      <c r="W184" t="s">
        <v>37</v>
      </c>
      <c r="X184" s="24">
        <v>5.4054054054054053</v>
      </c>
      <c r="Y184" s="24">
        <v>94.594594594594597</v>
      </c>
      <c r="Z184" t="s">
        <v>38</v>
      </c>
      <c r="AA184" t="s">
        <v>39</v>
      </c>
      <c r="AB184" t="s">
        <v>40</v>
      </c>
      <c r="AC184" s="24">
        <v>-1.3899999999999999E-2</v>
      </c>
    </row>
    <row r="185" spans="1:29" x14ac:dyDescent="0.3">
      <c r="A185" s="2">
        <v>184</v>
      </c>
      <c r="B185" s="1">
        <v>40551</v>
      </c>
      <c r="C185" s="2">
        <v>1</v>
      </c>
      <c r="D185" s="2">
        <v>22</v>
      </c>
      <c r="E185" t="b">
        <v>0</v>
      </c>
      <c r="F185" s="2">
        <v>6</v>
      </c>
      <c r="G185" s="2">
        <v>1</v>
      </c>
      <c r="H185" s="23">
        <v>0.12</v>
      </c>
      <c r="I185" s="25">
        <v>0.1061</v>
      </c>
      <c r="J185" s="23">
        <v>0.36</v>
      </c>
      <c r="K185" s="25">
        <v>0.3881</v>
      </c>
      <c r="L185" s="2">
        <v>1</v>
      </c>
      <c r="M185" s="2">
        <v>33</v>
      </c>
      <c r="N185" s="2">
        <v>34</v>
      </c>
      <c r="O185" t="s">
        <v>29</v>
      </c>
      <c r="P185" t="s">
        <v>30</v>
      </c>
      <c r="Q185" t="s">
        <v>31</v>
      </c>
      <c r="R185" t="s">
        <v>32</v>
      </c>
      <c r="S185" t="s">
        <v>55</v>
      </c>
      <c r="T185" t="s">
        <v>39</v>
      </c>
      <c r="U185" t="s">
        <v>53</v>
      </c>
      <c r="V185" t="s">
        <v>36</v>
      </c>
      <c r="W185" t="s">
        <v>37</v>
      </c>
      <c r="X185" s="24">
        <v>2.9411764705882351</v>
      </c>
      <c r="Y185" s="24">
        <v>97.058823529411768</v>
      </c>
      <c r="Z185" t="s">
        <v>38</v>
      </c>
      <c r="AA185" t="s">
        <v>39</v>
      </c>
      <c r="AB185" t="s">
        <v>40</v>
      </c>
      <c r="AC185" s="24">
        <v>-1.3899999999999999E-2</v>
      </c>
    </row>
    <row r="186" spans="1:29" x14ac:dyDescent="0.3">
      <c r="A186" s="2">
        <v>185</v>
      </c>
      <c r="B186" s="1">
        <v>40551</v>
      </c>
      <c r="C186" s="2">
        <v>1</v>
      </c>
      <c r="D186" s="2">
        <v>23</v>
      </c>
      <c r="E186" t="b">
        <v>0</v>
      </c>
      <c r="F186" s="2">
        <v>6</v>
      </c>
      <c r="G186" s="2">
        <v>1</v>
      </c>
      <c r="H186" s="23">
        <v>0.1</v>
      </c>
      <c r="I186" s="25">
        <v>6.0600000000000001E-2</v>
      </c>
      <c r="J186" s="23">
        <v>0.39</v>
      </c>
      <c r="K186" s="25">
        <v>0.44779999999999998</v>
      </c>
      <c r="L186" s="2">
        <v>0</v>
      </c>
      <c r="M186" s="2">
        <v>22</v>
      </c>
      <c r="N186" s="2">
        <v>22</v>
      </c>
      <c r="O186" t="s">
        <v>29</v>
      </c>
      <c r="P186" t="s">
        <v>30</v>
      </c>
      <c r="Q186" t="s">
        <v>31</v>
      </c>
      <c r="R186" t="s">
        <v>32</v>
      </c>
      <c r="S186" t="s">
        <v>55</v>
      </c>
      <c r="T186" t="s">
        <v>39</v>
      </c>
      <c r="U186" t="s">
        <v>53</v>
      </c>
      <c r="V186" t="s">
        <v>36</v>
      </c>
      <c r="W186" t="s">
        <v>37</v>
      </c>
      <c r="X186" s="24">
        <v>0</v>
      </c>
      <c r="Y186" s="24">
        <v>100</v>
      </c>
      <c r="Z186" t="s">
        <v>38</v>
      </c>
      <c r="AA186" t="s">
        <v>39</v>
      </c>
      <c r="AB186" t="s">
        <v>40</v>
      </c>
      <c r="AC186" s="24">
        <v>-3.9399999999999998E-2</v>
      </c>
    </row>
    <row r="187" spans="1:29" x14ac:dyDescent="0.3">
      <c r="A187" s="2">
        <v>374</v>
      </c>
      <c r="B187" s="1">
        <v>40560</v>
      </c>
      <c r="C187" s="2">
        <v>1</v>
      </c>
      <c r="D187" s="2">
        <v>1</v>
      </c>
      <c r="E187" t="b">
        <v>1</v>
      </c>
      <c r="F187" s="2">
        <v>1</v>
      </c>
      <c r="G187" s="2">
        <v>2</v>
      </c>
      <c r="H187" s="23">
        <v>0.2</v>
      </c>
      <c r="I187" s="25">
        <v>0.19700000000000001</v>
      </c>
      <c r="J187" s="23">
        <v>0.44</v>
      </c>
      <c r="K187" s="25">
        <v>0.19400000000000001</v>
      </c>
      <c r="L187" s="2">
        <v>1</v>
      </c>
      <c r="M187" s="2">
        <v>15</v>
      </c>
      <c r="N187" s="2">
        <v>16</v>
      </c>
      <c r="O187" t="s">
        <v>29</v>
      </c>
      <c r="P187" t="s">
        <v>54</v>
      </c>
      <c r="Q187" t="s">
        <v>41</v>
      </c>
      <c r="R187" t="s">
        <v>32</v>
      </c>
      <c r="S187" t="s">
        <v>33</v>
      </c>
      <c r="T187" t="s">
        <v>49</v>
      </c>
      <c r="U187" t="s">
        <v>46</v>
      </c>
      <c r="V187" t="s">
        <v>60</v>
      </c>
      <c r="W187" t="s">
        <v>37</v>
      </c>
      <c r="X187" s="24">
        <v>6.25</v>
      </c>
      <c r="Y187" s="24">
        <v>93.75</v>
      </c>
      <c r="Z187" t="s">
        <v>38</v>
      </c>
      <c r="AA187" t="s">
        <v>39</v>
      </c>
      <c r="AB187" t="s">
        <v>38</v>
      </c>
      <c r="AC187" s="24">
        <v>-3.0000000000000031E-3</v>
      </c>
    </row>
    <row r="188" spans="1:29" x14ac:dyDescent="0.3">
      <c r="A188" s="2">
        <v>485</v>
      </c>
      <c r="B188" s="1">
        <v>40565</v>
      </c>
      <c r="C188" s="2">
        <v>1</v>
      </c>
      <c r="D188" s="2">
        <v>6</v>
      </c>
      <c r="E188" t="b">
        <v>0</v>
      </c>
      <c r="F188" s="2">
        <v>6</v>
      </c>
      <c r="G188" s="2">
        <v>2</v>
      </c>
      <c r="H188" s="23">
        <v>0.02</v>
      </c>
      <c r="I188" s="25">
        <v>3.0300000000000001E-2</v>
      </c>
      <c r="J188" s="23">
        <v>0.44</v>
      </c>
      <c r="K188" s="25">
        <v>0.22389999999999999</v>
      </c>
      <c r="L188" s="2">
        <v>0</v>
      </c>
      <c r="M188" s="2">
        <v>2</v>
      </c>
      <c r="N188" s="2">
        <v>2</v>
      </c>
      <c r="O188" t="s">
        <v>29</v>
      </c>
      <c r="P188" t="s">
        <v>30</v>
      </c>
      <c r="Q188" t="s">
        <v>41</v>
      </c>
      <c r="R188" t="s">
        <v>42</v>
      </c>
      <c r="S188" t="s">
        <v>55</v>
      </c>
      <c r="T188" t="s">
        <v>49</v>
      </c>
      <c r="U188" t="s">
        <v>46</v>
      </c>
      <c r="V188" t="s">
        <v>36</v>
      </c>
      <c r="W188" t="s">
        <v>37</v>
      </c>
      <c r="X188" s="24">
        <v>0</v>
      </c>
      <c r="Y188" s="24">
        <v>100</v>
      </c>
      <c r="Z188" t="s">
        <v>38</v>
      </c>
      <c r="AA188" t="s">
        <v>39</v>
      </c>
      <c r="AB188" t="s">
        <v>40</v>
      </c>
      <c r="AC188" s="24">
        <v>1.03E-2</v>
      </c>
    </row>
    <row r="189" spans="1:29" x14ac:dyDescent="0.3">
      <c r="A189" s="2">
        <v>486</v>
      </c>
      <c r="B189" s="1">
        <v>40565</v>
      </c>
      <c r="C189" s="2">
        <v>1</v>
      </c>
      <c r="D189" s="2">
        <v>7</v>
      </c>
      <c r="E189" t="b">
        <v>0</v>
      </c>
      <c r="F189" s="2">
        <v>6</v>
      </c>
      <c r="G189" s="2">
        <v>1</v>
      </c>
      <c r="H189" s="23">
        <v>0.02</v>
      </c>
      <c r="I189" s="25">
        <v>1.52E-2</v>
      </c>
      <c r="J189" s="23">
        <v>0.44</v>
      </c>
      <c r="K189" s="25">
        <v>0.28360000000000002</v>
      </c>
      <c r="L189" s="2">
        <v>0</v>
      </c>
      <c r="M189" s="2">
        <v>8</v>
      </c>
      <c r="N189" s="2">
        <v>8</v>
      </c>
      <c r="O189" t="s">
        <v>29</v>
      </c>
      <c r="P189" t="s">
        <v>30</v>
      </c>
      <c r="Q189" t="s">
        <v>31</v>
      </c>
      <c r="R189" t="s">
        <v>42</v>
      </c>
      <c r="S189" t="s">
        <v>55</v>
      </c>
      <c r="T189" t="s">
        <v>49</v>
      </c>
      <c r="U189" t="s">
        <v>46</v>
      </c>
      <c r="V189" t="s">
        <v>36</v>
      </c>
      <c r="W189" t="s">
        <v>37</v>
      </c>
      <c r="X189" s="24">
        <v>0</v>
      </c>
      <c r="Y189" s="24">
        <v>100</v>
      </c>
      <c r="Z189" t="s">
        <v>40</v>
      </c>
      <c r="AA189" t="s">
        <v>39</v>
      </c>
      <c r="AB189" t="s">
        <v>40</v>
      </c>
      <c r="AC189" s="24">
        <v>-4.7999999999999996E-3</v>
      </c>
    </row>
    <row r="190" spans="1:29" x14ac:dyDescent="0.3">
      <c r="A190" s="2">
        <v>487</v>
      </c>
      <c r="B190" s="1">
        <v>40565</v>
      </c>
      <c r="C190" s="2">
        <v>1</v>
      </c>
      <c r="D190" s="2">
        <v>8</v>
      </c>
      <c r="E190" t="b">
        <v>0</v>
      </c>
      <c r="F190" s="2">
        <v>6</v>
      </c>
      <c r="G190" s="2">
        <v>1</v>
      </c>
      <c r="H190" s="23">
        <v>0.02</v>
      </c>
      <c r="I190" s="25">
        <v>0</v>
      </c>
      <c r="J190" s="23">
        <v>0.44</v>
      </c>
      <c r="K190" s="25">
        <v>0.32840000000000003</v>
      </c>
      <c r="L190" s="2">
        <v>1</v>
      </c>
      <c r="M190" s="2">
        <v>26</v>
      </c>
      <c r="N190" s="2">
        <v>27</v>
      </c>
      <c r="O190" t="s">
        <v>29</v>
      </c>
      <c r="P190" t="s">
        <v>30</v>
      </c>
      <c r="Q190" t="s">
        <v>31</v>
      </c>
      <c r="R190" t="s">
        <v>42</v>
      </c>
      <c r="S190" t="s">
        <v>55</v>
      </c>
      <c r="T190" t="s">
        <v>49</v>
      </c>
      <c r="U190" t="s">
        <v>53</v>
      </c>
      <c r="V190" t="s">
        <v>36</v>
      </c>
      <c r="W190" t="s">
        <v>37</v>
      </c>
      <c r="X190" s="24">
        <v>3.7037037037037028</v>
      </c>
      <c r="Y190" s="24">
        <v>96.296296296296291</v>
      </c>
      <c r="Z190" t="s">
        <v>40</v>
      </c>
      <c r="AA190" t="s">
        <v>39</v>
      </c>
      <c r="AB190" t="s">
        <v>40</v>
      </c>
      <c r="AC190" s="24">
        <v>-0.02</v>
      </c>
    </row>
    <row r="191" spans="1:29" x14ac:dyDescent="0.3">
      <c r="A191" s="2">
        <v>734</v>
      </c>
      <c r="B191" s="1">
        <v>40576</v>
      </c>
      <c r="C191" s="2">
        <v>1</v>
      </c>
      <c r="D191" s="2">
        <v>22</v>
      </c>
      <c r="E191" t="b">
        <v>0</v>
      </c>
      <c r="F191" s="2">
        <v>3</v>
      </c>
      <c r="G191" s="2">
        <v>1</v>
      </c>
      <c r="H191" s="23">
        <v>0.22</v>
      </c>
      <c r="I191" s="25">
        <v>0.21210000000000001</v>
      </c>
      <c r="J191" s="23">
        <v>0.44</v>
      </c>
      <c r="K191" s="25">
        <v>0.25369999999999998</v>
      </c>
      <c r="L191" s="2">
        <v>5</v>
      </c>
      <c r="M191" s="2">
        <v>35</v>
      </c>
      <c r="N191" s="2">
        <v>40</v>
      </c>
      <c r="O191" t="s">
        <v>29</v>
      </c>
      <c r="P191" t="s">
        <v>57</v>
      </c>
      <c r="Q191" t="s">
        <v>31</v>
      </c>
      <c r="R191" t="s">
        <v>32</v>
      </c>
      <c r="S191" t="s">
        <v>33</v>
      </c>
      <c r="T191" t="s">
        <v>49</v>
      </c>
      <c r="U191" t="s">
        <v>46</v>
      </c>
      <c r="V191" t="s">
        <v>36</v>
      </c>
      <c r="W191" t="s">
        <v>37</v>
      </c>
      <c r="X191" s="24">
        <v>12.5</v>
      </c>
      <c r="Y191" s="24">
        <v>87.5</v>
      </c>
      <c r="Z191" t="s">
        <v>38</v>
      </c>
      <c r="AA191" t="s">
        <v>39</v>
      </c>
      <c r="AB191" t="s">
        <v>38</v>
      </c>
      <c r="AC191" s="24">
        <v>-7.8999999999999904E-3</v>
      </c>
    </row>
    <row r="192" spans="1:29" x14ac:dyDescent="0.3">
      <c r="A192" s="2">
        <v>735</v>
      </c>
      <c r="B192" s="1">
        <v>40576</v>
      </c>
      <c r="C192" s="2">
        <v>1</v>
      </c>
      <c r="D192" s="2">
        <v>23</v>
      </c>
      <c r="E192" t="b">
        <v>0</v>
      </c>
      <c r="F192" s="2">
        <v>3</v>
      </c>
      <c r="G192" s="2">
        <v>1</v>
      </c>
      <c r="H192" s="23">
        <v>0.2</v>
      </c>
      <c r="I192" s="25">
        <v>0.16669999999999999</v>
      </c>
      <c r="J192" s="23">
        <v>0.44</v>
      </c>
      <c r="K192" s="25">
        <v>0.44779999999999998</v>
      </c>
      <c r="L192" s="2">
        <v>3</v>
      </c>
      <c r="M192" s="2">
        <v>29</v>
      </c>
      <c r="N192" s="2">
        <v>32</v>
      </c>
      <c r="O192" t="s">
        <v>29</v>
      </c>
      <c r="P192" t="s">
        <v>57</v>
      </c>
      <c r="Q192" t="s">
        <v>31</v>
      </c>
      <c r="R192" t="s">
        <v>32</v>
      </c>
      <c r="S192" t="s">
        <v>33</v>
      </c>
      <c r="T192" t="s">
        <v>49</v>
      </c>
      <c r="U192" t="s">
        <v>53</v>
      </c>
      <c r="V192" t="s">
        <v>36</v>
      </c>
      <c r="W192" t="s">
        <v>37</v>
      </c>
      <c r="X192" s="24">
        <v>9.375</v>
      </c>
      <c r="Y192" s="24">
        <v>90.625</v>
      </c>
      <c r="Z192" t="s">
        <v>38</v>
      </c>
      <c r="AA192" t="s">
        <v>39</v>
      </c>
      <c r="AB192" t="s">
        <v>38</v>
      </c>
      <c r="AC192" s="24">
        <v>-3.3300000000000017E-2</v>
      </c>
    </row>
    <row r="193" spans="1:29" x14ac:dyDescent="0.3">
      <c r="A193" s="2">
        <v>737</v>
      </c>
      <c r="B193" s="1">
        <v>40577</v>
      </c>
      <c r="C193" s="2">
        <v>1</v>
      </c>
      <c r="D193" s="2">
        <v>1</v>
      </c>
      <c r="E193" t="b">
        <v>0</v>
      </c>
      <c r="F193" s="2">
        <v>4</v>
      </c>
      <c r="G193" s="2">
        <v>1</v>
      </c>
      <c r="H193" s="23">
        <v>0.2</v>
      </c>
      <c r="I193" s="25">
        <v>0.1515</v>
      </c>
      <c r="J193" s="23">
        <v>0.44</v>
      </c>
      <c r="K193" s="25">
        <v>0.52239999999999998</v>
      </c>
      <c r="L193" s="2">
        <v>0</v>
      </c>
      <c r="M193" s="2">
        <v>5</v>
      </c>
      <c r="N193" s="2">
        <v>5</v>
      </c>
      <c r="O193" t="s">
        <v>29</v>
      </c>
      <c r="P193" t="s">
        <v>58</v>
      </c>
      <c r="Q193" t="s">
        <v>31</v>
      </c>
      <c r="R193" t="s">
        <v>32</v>
      </c>
      <c r="S193" t="s">
        <v>33</v>
      </c>
      <c r="T193" t="s">
        <v>49</v>
      </c>
      <c r="U193" t="s">
        <v>53</v>
      </c>
      <c r="V193" t="s">
        <v>36</v>
      </c>
      <c r="W193" t="s">
        <v>37</v>
      </c>
      <c r="X193" s="24">
        <v>0</v>
      </c>
      <c r="Y193" s="24">
        <v>100</v>
      </c>
      <c r="Z193" t="s">
        <v>38</v>
      </c>
      <c r="AA193" t="s">
        <v>39</v>
      </c>
      <c r="AB193" t="s">
        <v>38</v>
      </c>
      <c r="AC193" s="24">
        <v>-4.8500000000000022E-2</v>
      </c>
    </row>
    <row r="194" spans="1:29" x14ac:dyDescent="0.3">
      <c r="A194" s="2">
        <v>759</v>
      </c>
      <c r="B194" s="1">
        <v>40578</v>
      </c>
      <c r="C194" s="2">
        <v>1</v>
      </c>
      <c r="D194" s="2">
        <v>0</v>
      </c>
      <c r="E194" t="b">
        <v>0</v>
      </c>
      <c r="F194" s="2">
        <v>5</v>
      </c>
      <c r="G194" s="2">
        <v>2</v>
      </c>
      <c r="H194" s="23">
        <v>0.2</v>
      </c>
      <c r="I194" s="25">
        <v>0.2576</v>
      </c>
      <c r="J194" s="23">
        <v>0.44</v>
      </c>
      <c r="K194" s="25">
        <v>0</v>
      </c>
      <c r="L194" s="2">
        <v>3</v>
      </c>
      <c r="M194" s="2">
        <v>10</v>
      </c>
      <c r="N194" s="2">
        <v>13</v>
      </c>
      <c r="O194" t="s">
        <v>29</v>
      </c>
      <c r="P194" t="s">
        <v>59</v>
      </c>
      <c r="Q194" t="s">
        <v>41</v>
      </c>
      <c r="R194" t="s">
        <v>32</v>
      </c>
      <c r="S194" t="s">
        <v>33</v>
      </c>
      <c r="T194" t="s">
        <v>49</v>
      </c>
      <c r="U194" t="s">
        <v>35</v>
      </c>
      <c r="V194" t="s">
        <v>36</v>
      </c>
      <c r="W194" t="s">
        <v>37</v>
      </c>
      <c r="X194" s="24">
        <v>23.07692307692308</v>
      </c>
      <c r="Y194" s="24">
        <v>76.923076923076934</v>
      </c>
      <c r="Z194" t="s">
        <v>38</v>
      </c>
      <c r="AA194" t="s">
        <v>39</v>
      </c>
      <c r="AB194" t="s">
        <v>38</v>
      </c>
      <c r="AC194" s="24">
        <v>5.7599999999999978E-2</v>
      </c>
    </row>
    <row r="195" spans="1:29" x14ac:dyDescent="0.3">
      <c r="A195" s="2">
        <v>968</v>
      </c>
      <c r="B195" s="1">
        <v>40586</v>
      </c>
      <c r="C195" s="2">
        <v>1</v>
      </c>
      <c r="D195" s="2">
        <v>22</v>
      </c>
      <c r="E195" t="b">
        <v>0</v>
      </c>
      <c r="F195" s="2">
        <v>6</v>
      </c>
      <c r="G195" s="2">
        <v>1</v>
      </c>
      <c r="H195" s="23">
        <v>0.24</v>
      </c>
      <c r="I195" s="25">
        <v>0.2576</v>
      </c>
      <c r="J195" s="23">
        <v>0.44</v>
      </c>
      <c r="K195" s="25">
        <v>8.9599999999999999E-2</v>
      </c>
      <c r="L195" s="2">
        <v>6</v>
      </c>
      <c r="M195" s="2">
        <v>39</v>
      </c>
      <c r="N195" s="2">
        <v>45</v>
      </c>
      <c r="O195" t="s">
        <v>29</v>
      </c>
      <c r="P195" t="s">
        <v>30</v>
      </c>
      <c r="Q195" t="s">
        <v>31</v>
      </c>
      <c r="R195" t="s">
        <v>32</v>
      </c>
      <c r="S195" t="s">
        <v>33</v>
      </c>
      <c r="T195" t="s">
        <v>49</v>
      </c>
      <c r="U195" t="s">
        <v>35</v>
      </c>
      <c r="V195" t="s">
        <v>36</v>
      </c>
      <c r="W195" t="s">
        <v>37</v>
      </c>
      <c r="X195" s="24">
        <v>13.33333333333333</v>
      </c>
      <c r="Y195" s="24">
        <v>86.666666666666671</v>
      </c>
      <c r="Z195" t="s">
        <v>38</v>
      </c>
      <c r="AA195" t="s">
        <v>39</v>
      </c>
      <c r="AB195" t="s">
        <v>40</v>
      </c>
      <c r="AC195" s="24">
        <v>1.7600000000000001E-2</v>
      </c>
    </row>
    <row r="196" spans="1:29" x14ac:dyDescent="0.3">
      <c r="A196" s="2">
        <v>343</v>
      </c>
      <c r="B196" s="1">
        <v>40558</v>
      </c>
      <c r="C196" s="2">
        <v>1</v>
      </c>
      <c r="D196" s="2">
        <v>18</v>
      </c>
      <c r="E196" t="b">
        <v>0</v>
      </c>
      <c r="F196" s="2">
        <v>6</v>
      </c>
      <c r="G196" s="2">
        <v>2</v>
      </c>
      <c r="H196" s="23">
        <v>0.3</v>
      </c>
      <c r="I196" s="25">
        <v>0.28789999999999999</v>
      </c>
      <c r="J196" s="23">
        <v>0.45</v>
      </c>
      <c r="K196" s="25">
        <v>0.25369999999999998</v>
      </c>
      <c r="L196" s="2">
        <v>15</v>
      </c>
      <c r="M196" s="2">
        <v>69</v>
      </c>
      <c r="N196" s="2">
        <v>84</v>
      </c>
      <c r="O196" t="s">
        <v>29</v>
      </c>
      <c r="P196" t="s">
        <v>30</v>
      </c>
      <c r="Q196" t="s">
        <v>41</v>
      </c>
      <c r="R196" t="s">
        <v>50</v>
      </c>
      <c r="S196" t="s">
        <v>44</v>
      </c>
      <c r="T196" t="s">
        <v>49</v>
      </c>
      <c r="U196" t="s">
        <v>46</v>
      </c>
      <c r="V196" t="s">
        <v>36</v>
      </c>
      <c r="W196" t="s">
        <v>37</v>
      </c>
      <c r="X196" s="24">
        <v>17.857142857142861</v>
      </c>
      <c r="Y196" s="24">
        <v>82.142857142857139</v>
      </c>
      <c r="Z196" t="s">
        <v>40</v>
      </c>
      <c r="AA196" t="s">
        <v>39</v>
      </c>
      <c r="AB196" t="s">
        <v>40</v>
      </c>
      <c r="AC196" s="24">
        <v>-1.21E-2</v>
      </c>
    </row>
    <row r="197" spans="1:29" x14ac:dyDescent="0.3">
      <c r="A197" s="2">
        <v>348</v>
      </c>
      <c r="B197" s="1">
        <v>40558</v>
      </c>
      <c r="C197" s="2">
        <v>1</v>
      </c>
      <c r="D197" s="2">
        <v>23</v>
      </c>
      <c r="E197" t="b">
        <v>0</v>
      </c>
      <c r="F197" s="2">
        <v>6</v>
      </c>
      <c r="G197" s="2">
        <v>1</v>
      </c>
      <c r="H197" s="23">
        <v>0.3</v>
      </c>
      <c r="I197" s="25">
        <v>0.28789999999999999</v>
      </c>
      <c r="J197" s="23">
        <v>0.45</v>
      </c>
      <c r="K197" s="25">
        <v>0.28360000000000002</v>
      </c>
      <c r="L197" s="2">
        <v>5</v>
      </c>
      <c r="M197" s="2">
        <v>39</v>
      </c>
      <c r="N197" s="2">
        <v>44</v>
      </c>
      <c r="O197" t="s">
        <v>29</v>
      </c>
      <c r="P197" t="s">
        <v>30</v>
      </c>
      <c r="Q197" t="s">
        <v>31</v>
      </c>
      <c r="R197" t="s">
        <v>32</v>
      </c>
      <c r="S197" t="s">
        <v>44</v>
      </c>
      <c r="T197" t="s">
        <v>49</v>
      </c>
      <c r="U197" t="s">
        <v>46</v>
      </c>
      <c r="V197" t="s">
        <v>36</v>
      </c>
      <c r="W197" t="s">
        <v>37</v>
      </c>
      <c r="X197" s="24">
        <v>11.36363636363636</v>
      </c>
      <c r="Y197" s="24">
        <v>88.63636363636364</v>
      </c>
      <c r="Z197" t="s">
        <v>38</v>
      </c>
      <c r="AA197" t="s">
        <v>39</v>
      </c>
      <c r="AB197" t="s">
        <v>40</v>
      </c>
      <c r="AC197" s="24">
        <v>-1.21E-2</v>
      </c>
    </row>
    <row r="198" spans="1:29" x14ac:dyDescent="0.3">
      <c r="A198" s="2">
        <v>443</v>
      </c>
      <c r="B198" s="1">
        <v>40563</v>
      </c>
      <c r="C198" s="2">
        <v>1</v>
      </c>
      <c r="D198" s="2">
        <v>11</v>
      </c>
      <c r="E198" t="b">
        <v>0</v>
      </c>
      <c r="F198" s="2">
        <v>4</v>
      </c>
      <c r="G198" s="2">
        <v>2</v>
      </c>
      <c r="H198" s="23">
        <v>0.28000000000000003</v>
      </c>
      <c r="I198" s="25">
        <v>0.2727</v>
      </c>
      <c r="J198" s="23">
        <v>0.45</v>
      </c>
      <c r="K198" s="25">
        <v>0.16420000000000001</v>
      </c>
      <c r="L198" s="2">
        <v>5</v>
      </c>
      <c r="M198" s="2">
        <v>63</v>
      </c>
      <c r="N198" s="2">
        <v>68</v>
      </c>
      <c r="O198" t="s">
        <v>29</v>
      </c>
      <c r="P198" t="s">
        <v>58</v>
      </c>
      <c r="Q198" t="s">
        <v>41</v>
      </c>
      <c r="R198" t="s">
        <v>42</v>
      </c>
      <c r="S198" t="s">
        <v>44</v>
      </c>
      <c r="T198" t="s">
        <v>49</v>
      </c>
      <c r="U198" t="s">
        <v>46</v>
      </c>
      <c r="V198" t="s">
        <v>36</v>
      </c>
      <c r="W198" t="s">
        <v>37</v>
      </c>
      <c r="X198" s="24">
        <v>7.3529411764705888</v>
      </c>
      <c r="Y198" s="24">
        <v>92.64705882352942</v>
      </c>
      <c r="Z198" t="s">
        <v>38</v>
      </c>
      <c r="AA198" t="s">
        <v>39</v>
      </c>
      <c r="AB198" t="s">
        <v>38</v>
      </c>
      <c r="AC198" s="24">
        <v>-7.3000000000000287E-3</v>
      </c>
    </row>
    <row r="199" spans="1:29" x14ac:dyDescent="0.3">
      <c r="A199" s="2">
        <v>198</v>
      </c>
      <c r="B199" s="1">
        <v>40552</v>
      </c>
      <c r="C199" s="2">
        <v>1</v>
      </c>
      <c r="D199" s="2">
        <v>12</v>
      </c>
      <c r="E199" t="b">
        <v>0</v>
      </c>
      <c r="F199" s="2">
        <v>0</v>
      </c>
      <c r="G199" s="2">
        <v>1</v>
      </c>
      <c r="H199" s="23">
        <v>0.18</v>
      </c>
      <c r="I199" s="25">
        <v>0.13639999999999999</v>
      </c>
      <c r="J199" s="23">
        <v>0.37</v>
      </c>
      <c r="K199" s="25">
        <v>0.44779999999999998</v>
      </c>
      <c r="L199" s="2">
        <v>4</v>
      </c>
      <c r="M199" s="2">
        <v>79</v>
      </c>
      <c r="N199" s="2">
        <v>83</v>
      </c>
      <c r="O199" t="s">
        <v>29</v>
      </c>
      <c r="P199" t="s">
        <v>52</v>
      </c>
      <c r="Q199" t="s">
        <v>31</v>
      </c>
      <c r="R199" t="s">
        <v>47</v>
      </c>
      <c r="S199" t="s">
        <v>33</v>
      </c>
      <c r="T199" t="s">
        <v>39</v>
      </c>
      <c r="U199" t="s">
        <v>53</v>
      </c>
      <c r="V199" t="s">
        <v>36</v>
      </c>
      <c r="W199" t="s">
        <v>37</v>
      </c>
      <c r="X199" s="24">
        <v>4.8192771084337354</v>
      </c>
      <c r="Y199" s="24">
        <v>95.180722891566262</v>
      </c>
      <c r="Z199" t="s">
        <v>38</v>
      </c>
      <c r="AA199" t="s">
        <v>39</v>
      </c>
      <c r="AB199" t="s">
        <v>40</v>
      </c>
      <c r="AC199" s="24">
        <v>-4.36E-2</v>
      </c>
    </row>
    <row r="200" spans="1:29" x14ac:dyDescent="0.3">
      <c r="A200" s="2">
        <v>199</v>
      </c>
      <c r="B200" s="1">
        <v>40552</v>
      </c>
      <c r="C200" s="2">
        <v>1</v>
      </c>
      <c r="D200" s="2">
        <v>13</v>
      </c>
      <c r="E200" t="b">
        <v>0</v>
      </c>
      <c r="F200" s="2">
        <v>0</v>
      </c>
      <c r="G200" s="2">
        <v>1</v>
      </c>
      <c r="H200" s="23">
        <v>0.2</v>
      </c>
      <c r="I200" s="25">
        <v>0.16669999999999999</v>
      </c>
      <c r="J200" s="23">
        <v>0.34</v>
      </c>
      <c r="K200" s="25">
        <v>0.44779999999999998</v>
      </c>
      <c r="L200" s="2">
        <v>6</v>
      </c>
      <c r="M200" s="2">
        <v>69</v>
      </c>
      <c r="N200" s="2">
        <v>75</v>
      </c>
      <c r="O200" t="s">
        <v>29</v>
      </c>
      <c r="P200" t="s">
        <v>52</v>
      </c>
      <c r="Q200" t="s">
        <v>31</v>
      </c>
      <c r="R200" t="s">
        <v>47</v>
      </c>
      <c r="S200" t="s">
        <v>33</v>
      </c>
      <c r="T200" t="s">
        <v>39</v>
      </c>
      <c r="U200" t="s">
        <v>53</v>
      </c>
      <c r="V200" t="s">
        <v>36</v>
      </c>
      <c r="W200" t="s">
        <v>37</v>
      </c>
      <c r="X200" s="24">
        <v>8</v>
      </c>
      <c r="Y200" s="24">
        <v>92</v>
      </c>
      <c r="Z200" t="s">
        <v>38</v>
      </c>
      <c r="AA200" t="s">
        <v>39</v>
      </c>
      <c r="AB200" t="s">
        <v>40</v>
      </c>
      <c r="AC200" s="24">
        <v>-3.3300000000000017E-2</v>
      </c>
    </row>
    <row r="201" spans="1:29" x14ac:dyDescent="0.3">
      <c r="A201" s="2">
        <v>200</v>
      </c>
      <c r="B201" s="1">
        <v>40552</v>
      </c>
      <c r="C201" s="2">
        <v>1</v>
      </c>
      <c r="D201" s="2">
        <v>14</v>
      </c>
      <c r="E201" t="b">
        <v>0</v>
      </c>
      <c r="F201" s="2">
        <v>0</v>
      </c>
      <c r="G201" s="2">
        <v>1</v>
      </c>
      <c r="H201" s="23">
        <v>0.22</v>
      </c>
      <c r="I201" s="25">
        <v>0.18179999999999999</v>
      </c>
      <c r="J201" s="23">
        <v>0.32</v>
      </c>
      <c r="K201" s="25">
        <v>0.4627</v>
      </c>
      <c r="L201" s="2">
        <v>8</v>
      </c>
      <c r="M201" s="2">
        <v>64</v>
      </c>
      <c r="N201" s="2">
        <v>72</v>
      </c>
      <c r="O201" t="s">
        <v>29</v>
      </c>
      <c r="P201" t="s">
        <v>52</v>
      </c>
      <c r="Q201" t="s">
        <v>31</v>
      </c>
      <c r="R201" t="s">
        <v>47</v>
      </c>
      <c r="S201" t="s">
        <v>33</v>
      </c>
      <c r="T201" t="s">
        <v>39</v>
      </c>
      <c r="U201" t="s">
        <v>53</v>
      </c>
      <c r="V201" t="s">
        <v>36</v>
      </c>
      <c r="W201" t="s">
        <v>37</v>
      </c>
      <c r="X201" s="24">
        <v>11.111111111111111</v>
      </c>
      <c r="Y201" s="24">
        <v>88.888888888888886</v>
      </c>
      <c r="Z201" t="s">
        <v>38</v>
      </c>
      <c r="AA201" t="s">
        <v>39</v>
      </c>
      <c r="AB201" t="s">
        <v>40</v>
      </c>
      <c r="AC201" s="24">
        <v>-3.8200000000000012E-2</v>
      </c>
    </row>
    <row r="202" spans="1:29" x14ac:dyDescent="0.3">
      <c r="A202" s="2">
        <v>201</v>
      </c>
      <c r="B202" s="1">
        <v>40552</v>
      </c>
      <c r="C202" s="2">
        <v>1</v>
      </c>
      <c r="D202" s="2">
        <v>15</v>
      </c>
      <c r="E202" t="b">
        <v>0</v>
      </c>
      <c r="F202" s="2">
        <v>0</v>
      </c>
      <c r="G202" s="2">
        <v>1</v>
      </c>
      <c r="H202" s="23">
        <v>0.22</v>
      </c>
      <c r="I202" s="25">
        <v>0.19700000000000001</v>
      </c>
      <c r="J202" s="23">
        <v>0.35</v>
      </c>
      <c r="K202" s="25">
        <v>0.35820000000000002</v>
      </c>
      <c r="L202" s="2">
        <v>5</v>
      </c>
      <c r="M202" s="2">
        <v>77</v>
      </c>
      <c r="N202" s="2">
        <v>82</v>
      </c>
      <c r="O202" t="s">
        <v>29</v>
      </c>
      <c r="P202" t="s">
        <v>52</v>
      </c>
      <c r="Q202" t="s">
        <v>31</v>
      </c>
      <c r="R202" t="s">
        <v>47</v>
      </c>
      <c r="S202" t="s">
        <v>33</v>
      </c>
      <c r="T202" t="s">
        <v>39</v>
      </c>
      <c r="U202" t="s">
        <v>53</v>
      </c>
      <c r="V202" t="s">
        <v>36</v>
      </c>
      <c r="W202" t="s">
        <v>37</v>
      </c>
      <c r="X202" s="24">
        <v>6.0975609756097562</v>
      </c>
      <c r="Y202" s="24">
        <v>93.902439024390233</v>
      </c>
      <c r="Z202" t="s">
        <v>38</v>
      </c>
      <c r="AA202" t="s">
        <v>39</v>
      </c>
      <c r="AB202" t="s">
        <v>40</v>
      </c>
      <c r="AC202" s="24">
        <v>-2.2999999999999989E-2</v>
      </c>
    </row>
    <row r="203" spans="1:29" x14ac:dyDescent="0.3">
      <c r="A203" s="2">
        <v>202</v>
      </c>
      <c r="B203" s="1">
        <v>40552</v>
      </c>
      <c r="C203" s="2">
        <v>1</v>
      </c>
      <c r="D203" s="2">
        <v>16</v>
      </c>
      <c r="E203" t="b">
        <v>0</v>
      </c>
      <c r="F203" s="2">
        <v>0</v>
      </c>
      <c r="G203" s="2">
        <v>1</v>
      </c>
      <c r="H203" s="23">
        <v>0.2</v>
      </c>
      <c r="I203" s="25">
        <v>0.16669999999999999</v>
      </c>
      <c r="J203" s="23">
        <v>0.34</v>
      </c>
      <c r="K203" s="25">
        <v>0.44779999999999998</v>
      </c>
      <c r="L203" s="2">
        <v>13</v>
      </c>
      <c r="M203" s="2">
        <v>79</v>
      </c>
      <c r="N203" s="2">
        <v>92</v>
      </c>
      <c r="O203" t="s">
        <v>29</v>
      </c>
      <c r="P203" t="s">
        <v>52</v>
      </c>
      <c r="Q203" t="s">
        <v>31</v>
      </c>
      <c r="R203" t="s">
        <v>47</v>
      </c>
      <c r="S203" t="s">
        <v>33</v>
      </c>
      <c r="T203" t="s">
        <v>39</v>
      </c>
      <c r="U203" t="s">
        <v>53</v>
      </c>
      <c r="V203" t="s">
        <v>36</v>
      </c>
      <c r="W203" t="s">
        <v>37</v>
      </c>
      <c r="X203" s="24">
        <v>14.130434782608701</v>
      </c>
      <c r="Y203" s="24">
        <v>85.869565217391312</v>
      </c>
      <c r="Z203" t="s">
        <v>38</v>
      </c>
      <c r="AA203" t="s">
        <v>39</v>
      </c>
      <c r="AB203" t="s">
        <v>40</v>
      </c>
      <c r="AC203" s="24">
        <v>-3.3300000000000017E-2</v>
      </c>
    </row>
    <row r="204" spans="1:29" x14ac:dyDescent="0.3">
      <c r="A204" s="2">
        <v>203</v>
      </c>
      <c r="B204" s="1">
        <v>40552</v>
      </c>
      <c r="C204" s="2">
        <v>1</v>
      </c>
      <c r="D204" s="2">
        <v>17</v>
      </c>
      <c r="E204" t="b">
        <v>0</v>
      </c>
      <c r="F204" s="2">
        <v>0</v>
      </c>
      <c r="G204" s="2">
        <v>1</v>
      </c>
      <c r="H204" s="23">
        <v>0.18</v>
      </c>
      <c r="I204" s="25">
        <v>0.1515</v>
      </c>
      <c r="J204" s="23">
        <v>0.37</v>
      </c>
      <c r="K204" s="25">
        <v>0.3881</v>
      </c>
      <c r="L204" s="2">
        <v>3</v>
      </c>
      <c r="M204" s="2">
        <v>59</v>
      </c>
      <c r="N204" s="2">
        <v>62</v>
      </c>
      <c r="O204" t="s">
        <v>29</v>
      </c>
      <c r="P204" t="s">
        <v>52</v>
      </c>
      <c r="Q204" t="s">
        <v>31</v>
      </c>
      <c r="R204" t="s">
        <v>50</v>
      </c>
      <c r="S204" t="s">
        <v>33</v>
      </c>
      <c r="T204" t="s">
        <v>39</v>
      </c>
      <c r="U204" t="s">
        <v>53</v>
      </c>
      <c r="V204" t="s">
        <v>36</v>
      </c>
      <c r="W204" t="s">
        <v>37</v>
      </c>
      <c r="X204" s="24">
        <v>4.838709677419355</v>
      </c>
      <c r="Y204" s="24">
        <v>95.161290322580655</v>
      </c>
      <c r="Z204" t="s">
        <v>40</v>
      </c>
      <c r="AA204" t="s">
        <v>39</v>
      </c>
      <c r="AB204" t="s">
        <v>40</v>
      </c>
      <c r="AC204" s="24">
        <v>-2.8500000000000001E-2</v>
      </c>
    </row>
    <row r="205" spans="1:29" x14ac:dyDescent="0.3">
      <c r="A205" s="2">
        <v>445</v>
      </c>
      <c r="B205" s="1">
        <v>40563</v>
      </c>
      <c r="C205" s="2">
        <v>1</v>
      </c>
      <c r="D205" s="2">
        <v>13</v>
      </c>
      <c r="E205" t="b">
        <v>0</v>
      </c>
      <c r="F205" s="2">
        <v>4</v>
      </c>
      <c r="G205" s="2">
        <v>2</v>
      </c>
      <c r="H205" s="23">
        <v>0.28000000000000003</v>
      </c>
      <c r="I205" s="25">
        <v>0.28789999999999999</v>
      </c>
      <c r="J205" s="23">
        <v>0.45</v>
      </c>
      <c r="K205" s="25">
        <v>0.1045</v>
      </c>
      <c r="L205" s="2">
        <v>12</v>
      </c>
      <c r="M205" s="2">
        <v>86</v>
      </c>
      <c r="N205" s="2">
        <v>98</v>
      </c>
      <c r="O205" t="s">
        <v>29</v>
      </c>
      <c r="P205" t="s">
        <v>58</v>
      </c>
      <c r="Q205" t="s">
        <v>41</v>
      </c>
      <c r="R205" t="s">
        <v>47</v>
      </c>
      <c r="S205" t="s">
        <v>44</v>
      </c>
      <c r="T205" t="s">
        <v>49</v>
      </c>
      <c r="U205" t="s">
        <v>35</v>
      </c>
      <c r="V205" t="s">
        <v>36</v>
      </c>
      <c r="W205" t="s">
        <v>37</v>
      </c>
      <c r="X205" s="24">
        <v>12.244897959183669</v>
      </c>
      <c r="Y205" s="24">
        <v>87.755102040816325</v>
      </c>
      <c r="Z205" t="s">
        <v>38</v>
      </c>
      <c r="AA205" t="s">
        <v>39</v>
      </c>
      <c r="AB205" t="s">
        <v>38</v>
      </c>
      <c r="AC205" s="24">
        <v>7.8999999999999626E-3</v>
      </c>
    </row>
    <row r="206" spans="1:29" x14ac:dyDescent="0.3">
      <c r="A206" s="2">
        <v>446</v>
      </c>
      <c r="B206" s="1">
        <v>40563</v>
      </c>
      <c r="C206" s="2">
        <v>1</v>
      </c>
      <c r="D206" s="2">
        <v>14</v>
      </c>
      <c r="E206" t="b">
        <v>0</v>
      </c>
      <c r="F206" s="2">
        <v>4</v>
      </c>
      <c r="G206" s="2">
        <v>2</v>
      </c>
      <c r="H206" s="23">
        <v>0.3</v>
      </c>
      <c r="I206" s="25">
        <v>0.30299999999999999</v>
      </c>
      <c r="J206" s="23">
        <v>0.45</v>
      </c>
      <c r="K206" s="25">
        <v>0.1343</v>
      </c>
      <c r="L206" s="2">
        <v>6</v>
      </c>
      <c r="M206" s="2">
        <v>75</v>
      </c>
      <c r="N206" s="2">
        <v>81</v>
      </c>
      <c r="O206" t="s">
        <v>29</v>
      </c>
      <c r="P206" t="s">
        <v>58</v>
      </c>
      <c r="Q206" t="s">
        <v>41</v>
      </c>
      <c r="R206" t="s">
        <v>47</v>
      </c>
      <c r="S206" t="s">
        <v>44</v>
      </c>
      <c r="T206" t="s">
        <v>49</v>
      </c>
      <c r="U206" t="s">
        <v>35</v>
      </c>
      <c r="V206" t="s">
        <v>36</v>
      </c>
      <c r="W206" t="s">
        <v>37</v>
      </c>
      <c r="X206" s="24">
        <v>7.4074074074074074</v>
      </c>
      <c r="Y206" s="24">
        <v>92.592592592592595</v>
      </c>
      <c r="Z206" t="s">
        <v>38</v>
      </c>
      <c r="AA206" t="s">
        <v>39</v>
      </c>
      <c r="AB206" t="s">
        <v>38</v>
      </c>
      <c r="AC206" s="24">
        <v>3.0000000000000031E-3</v>
      </c>
    </row>
    <row r="207" spans="1:29" x14ac:dyDescent="0.3">
      <c r="A207" s="2">
        <v>447</v>
      </c>
      <c r="B207" s="1">
        <v>40563</v>
      </c>
      <c r="C207" s="2">
        <v>1</v>
      </c>
      <c r="D207" s="2">
        <v>15</v>
      </c>
      <c r="E207" t="b">
        <v>0</v>
      </c>
      <c r="F207" s="2">
        <v>4</v>
      </c>
      <c r="G207" s="2">
        <v>2</v>
      </c>
      <c r="H207" s="23">
        <v>0.32</v>
      </c>
      <c r="I207" s="25">
        <v>0.31819999999999998</v>
      </c>
      <c r="J207" s="23">
        <v>0.45</v>
      </c>
      <c r="K207" s="25">
        <v>0.19400000000000001</v>
      </c>
      <c r="L207" s="2">
        <v>8</v>
      </c>
      <c r="M207" s="2">
        <v>62</v>
      </c>
      <c r="N207" s="2">
        <v>70</v>
      </c>
      <c r="O207" t="s">
        <v>29</v>
      </c>
      <c r="P207" t="s">
        <v>58</v>
      </c>
      <c r="Q207" t="s">
        <v>41</v>
      </c>
      <c r="R207" t="s">
        <v>47</v>
      </c>
      <c r="S207" t="s">
        <v>44</v>
      </c>
      <c r="T207" t="s">
        <v>49</v>
      </c>
      <c r="U207" t="s">
        <v>46</v>
      </c>
      <c r="V207" t="s">
        <v>36</v>
      </c>
      <c r="W207" t="s">
        <v>37</v>
      </c>
      <c r="X207" s="24">
        <v>11.428571428571431</v>
      </c>
      <c r="Y207" s="24">
        <v>88.571428571428569</v>
      </c>
      <c r="Z207" t="s">
        <v>38</v>
      </c>
      <c r="AA207" t="s">
        <v>39</v>
      </c>
      <c r="AB207" t="s">
        <v>38</v>
      </c>
      <c r="AC207" s="24">
        <v>-1.800000000000024E-3</v>
      </c>
    </row>
    <row r="208" spans="1:29" x14ac:dyDescent="0.3">
      <c r="A208" s="2">
        <v>480</v>
      </c>
      <c r="B208" s="1">
        <v>40565</v>
      </c>
      <c r="C208" s="2">
        <v>1</v>
      </c>
      <c r="D208" s="2">
        <v>0</v>
      </c>
      <c r="E208" t="b">
        <v>0</v>
      </c>
      <c r="F208" s="2">
        <v>6</v>
      </c>
      <c r="G208" s="2">
        <v>1</v>
      </c>
      <c r="H208" s="23">
        <v>0.04</v>
      </c>
      <c r="I208" s="25">
        <v>3.0300000000000001E-2</v>
      </c>
      <c r="J208" s="23">
        <v>0.45</v>
      </c>
      <c r="K208" s="25">
        <v>0.25369999999999998</v>
      </c>
      <c r="L208" s="2">
        <v>0</v>
      </c>
      <c r="M208" s="2">
        <v>13</v>
      </c>
      <c r="N208" s="2">
        <v>13</v>
      </c>
      <c r="O208" t="s">
        <v>29</v>
      </c>
      <c r="P208" t="s">
        <v>30</v>
      </c>
      <c r="Q208" t="s">
        <v>31</v>
      </c>
      <c r="R208" t="s">
        <v>32</v>
      </c>
      <c r="S208" t="s">
        <v>55</v>
      </c>
      <c r="T208" t="s">
        <v>49</v>
      </c>
      <c r="U208" t="s">
        <v>46</v>
      </c>
      <c r="V208" t="s">
        <v>36</v>
      </c>
      <c r="W208" t="s">
        <v>37</v>
      </c>
      <c r="X208" s="24">
        <v>0</v>
      </c>
      <c r="Y208" s="24">
        <v>100</v>
      </c>
      <c r="Z208" t="s">
        <v>38</v>
      </c>
      <c r="AA208" t="s">
        <v>39</v>
      </c>
      <c r="AB208" t="s">
        <v>40</v>
      </c>
      <c r="AC208" s="24">
        <v>-9.7000000000000003E-3</v>
      </c>
    </row>
    <row r="209" spans="1:29" x14ac:dyDescent="0.3">
      <c r="A209" s="2">
        <v>499</v>
      </c>
      <c r="B209" s="1">
        <v>40565</v>
      </c>
      <c r="C209" s="2">
        <v>1</v>
      </c>
      <c r="D209" s="2">
        <v>20</v>
      </c>
      <c r="E209" t="b">
        <v>0</v>
      </c>
      <c r="F209" s="2">
        <v>6</v>
      </c>
      <c r="G209" s="2">
        <v>1</v>
      </c>
      <c r="H209" s="23">
        <v>0.06</v>
      </c>
      <c r="I209" s="25">
        <v>7.5800000000000006E-2</v>
      </c>
      <c r="J209" s="23">
        <v>0.45</v>
      </c>
      <c r="K209" s="25">
        <v>0.16420000000000001</v>
      </c>
      <c r="L209" s="2">
        <v>1</v>
      </c>
      <c r="M209" s="2">
        <v>44</v>
      </c>
      <c r="N209" s="2">
        <v>45</v>
      </c>
      <c r="O209" t="s">
        <v>29</v>
      </c>
      <c r="P209" t="s">
        <v>30</v>
      </c>
      <c r="Q209" t="s">
        <v>31</v>
      </c>
      <c r="R209" t="s">
        <v>50</v>
      </c>
      <c r="S209" t="s">
        <v>55</v>
      </c>
      <c r="T209" t="s">
        <v>49</v>
      </c>
      <c r="U209" t="s">
        <v>46</v>
      </c>
      <c r="V209" t="s">
        <v>36</v>
      </c>
      <c r="W209" t="s">
        <v>37</v>
      </c>
      <c r="X209" s="24">
        <v>2.2222222222222219</v>
      </c>
      <c r="Y209" s="24">
        <v>97.777777777777771</v>
      </c>
      <c r="Z209" t="s">
        <v>38</v>
      </c>
      <c r="AA209" t="s">
        <v>39</v>
      </c>
      <c r="AB209" t="s">
        <v>40</v>
      </c>
      <c r="AC209" s="24">
        <v>1.5800000000000008E-2</v>
      </c>
    </row>
    <row r="210" spans="1:29" x14ac:dyDescent="0.3">
      <c r="A210" s="2">
        <v>527</v>
      </c>
      <c r="B210" s="1">
        <v>40567</v>
      </c>
      <c r="C210" s="2">
        <v>1</v>
      </c>
      <c r="D210" s="2">
        <v>1</v>
      </c>
      <c r="E210" t="b">
        <v>0</v>
      </c>
      <c r="F210" s="2">
        <v>1</v>
      </c>
      <c r="G210" s="2">
        <v>1</v>
      </c>
      <c r="H210" s="23">
        <v>0.04</v>
      </c>
      <c r="I210" s="25">
        <v>4.5499999999999999E-2</v>
      </c>
      <c r="J210" s="23">
        <v>0.45</v>
      </c>
      <c r="K210" s="25">
        <v>0.19400000000000001</v>
      </c>
      <c r="L210" s="2">
        <v>0</v>
      </c>
      <c r="M210" s="2">
        <v>1</v>
      </c>
      <c r="N210" s="2">
        <v>1</v>
      </c>
      <c r="O210" t="s">
        <v>29</v>
      </c>
      <c r="P210" t="s">
        <v>54</v>
      </c>
      <c r="Q210" t="s">
        <v>31</v>
      </c>
      <c r="R210" t="s">
        <v>32</v>
      </c>
      <c r="S210" t="s">
        <v>55</v>
      </c>
      <c r="T210" t="s">
        <v>49</v>
      </c>
      <c r="U210" t="s">
        <v>46</v>
      </c>
      <c r="V210" t="s">
        <v>36</v>
      </c>
      <c r="W210" t="s">
        <v>37</v>
      </c>
      <c r="X210" s="24">
        <v>0</v>
      </c>
      <c r="Y210" s="24">
        <v>100</v>
      </c>
      <c r="Z210" t="s">
        <v>38</v>
      </c>
      <c r="AA210" t="s">
        <v>39</v>
      </c>
      <c r="AB210" t="s">
        <v>38</v>
      </c>
      <c r="AC210" s="24">
        <v>5.4999999999999979E-3</v>
      </c>
    </row>
    <row r="211" spans="1:29" x14ac:dyDescent="0.3">
      <c r="A211" s="2">
        <v>528</v>
      </c>
      <c r="B211" s="1">
        <v>40567</v>
      </c>
      <c r="C211" s="2">
        <v>1</v>
      </c>
      <c r="D211" s="2">
        <v>3</v>
      </c>
      <c r="E211" t="b">
        <v>0</v>
      </c>
      <c r="F211" s="2">
        <v>1</v>
      </c>
      <c r="G211" s="2">
        <v>1</v>
      </c>
      <c r="H211" s="23">
        <v>0.04</v>
      </c>
      <c r="I211" s="25">
        <v>3.0300000000000001E-2</v>
      </c>
      <c r="J211" s="23">
        <v>0.45</v>
      </c>
      <c r="K211" s="25">
        <v>0.25369999999999998</v>
      </c>
      <c r="L211" s="2">
        <v>0</v>
      </c>
      <c r="M211" s="2">
        <v>1</v>
      </c>
      <c r="N211" s="2">
        <v>1</v>
      </c>
      <c r="O211" t="s">
        <v>29</v>
      </c>
      <c r="P211" t="s">
        <v>54</v>
      </c>
      <c r="Q211" t="s">
        <v>31</v>
      </c>
      <c r="R211" t="s">
        <v>32</v>
      </c>
      <c r="S211" t="s">
        <v>55</v>
      </c>
      <c r="T211" t="s">
        <v>49</v>
      </c>
      <c r="U211" t="s">
        <v>46</v>
      </c>
      <c r="V211" t="s">
        <v>36</v>
      </c>
      <c r="W211" t="s">
        <v>37</v>
      </c>
      <c r="X211" s="24">
        <v>0</v>
      </c>
      <c r="Y211" s="24">
        <v>100</v>
      </c>
      <c r="Z211" t="s">
        <v>38</v>
      </c>
      <c r="AA211" t="s">
        <v>39</v>
      </c>
      <c r="AB211" t="s">
        <v>38</v>
      </c>
      <c r="AC211" s="24">
        <v>-9.7000000000000003E-3</v>
      </c>
    </row>
    <row r="212" spans="1:29" x14ac:dyDescent="0.3">
      <c r="A212" s="2">
        <v>562</v>
      </c>
      <c r="B212" s="1">
        <v>40568</v>
      </c>
      <c r="C212" s="2">
        <v>1</v>
      </c>
      <c r="D212" s="2">
        <v>14</v>
      </c>
      <c r="E212" t="b">
        <v>0</v>
      </c>
      <c r="F212" s="2">
        <v>2</v>
      </c>
      <c r="G212" s="2">
        <v>2</v>
      </c>
      <c r="H212" s="23">
        <v>0.3</v>
      </c>
      <c r="I212" s="25">
        <v>0.33329999999999999</v>
      </c>
      <c r="J212" s="23">
        <v>0.45</v>
      </c>
      <c r="K212" s="25">
        <v>0</v>
      </c>
      <c r="L212" s="2">
        <v>11</v>
      </c>
      <c r="M212" s="2">
        <v>57</v>
      </c>
      <c r="N212" s="2">
        <v>68</v>
      </c>
      <c r="O212" t="s">
        <v>29</v>
      </c>
      <c r="P212" t="s">
        <v>56</v>
      </c>
      <c r="Q212" t="s">
        <v>41</v>
      </c>
      <c r="R212" t="s">
        <v>47</v>
      </c>
      <c r="S212" t="s">
        <v>44</v>
      </c>
      <c r="T212" t="s">
        <v>49</v>
      </c>
      <c r="U212" t="s">
        <v>35</v>
      </c>
      <c r="V212" t="s">
        <v>36</v>
      </c>
      <c r="W212" t="s">
        <v>37</v>
      </c>
      <c r="X212" s="24">
        <v>16.17647058823529</v>
      </c>
      <c r="Y212" s="24">
        <v>83.82352941176471</v>
      </c>
      <c r="Z212" t="s">
        <v>38</v>
      </c>
      <c r="AA212" t="s">
        <v>39</v>
      </c>
      <c r="AB212" t="s">
        <v>38</v>
      </c>
      <c r="AC212" s="24">
        <v>3.3300000000000003E-2</v>
      </c>
    </row>
    <row r="213" spans="1:29" x14ac:dyDescent="0.3">
      <c r="A213" s="2">
        <v>565</v>
      </c>
      <c r="B213" s="1">
        <v>40568</v>
      </c>
      <c r="C213" s="2">
        <v>1</v>
      </c>
      <c r="D213" s="2">
        <v>17</v>
      </c>
      <c r="E213" t="b">
        <v>0</v>
      </c>
      <c r="F213" s="2">
        <v>2</v>
      </c>
      <c r="G213" s="2">
        <v>1</v>
      </c>
      <c r="H213" s="23">
        <v>0.3</v>
      </c>
      <c r="I213" s="25">
        <v>0.33329999999999999</v>
      </c>
      <c r="J213" s="23">
        <v>0.45</v>
      </c>
      <c r="K213" s="25">
        <v>0</v>
      </c>
      <c r="L213" s="2">
        <v>14</v>
      </c>
      <c r="M213" s="2">
        <v>208</v>
      </c>
      <c r="N213" s="2">
        <v>222</v>
      </c>
      <c r="O213" t="s">
        <v>29</v>
      </c>
      <c r="P213" t="s">
        <v>56</v>
      </c>
      <c r="Q213" t="s">
        <v>31</v>
      </c>
      <c r="R213" t="s">
        <v>50</v>
      </c>
      <c r="S213" t="s">
        <v>44</v>
      </c>
      <c r="T213" t="s">
        <v>49</v>
      </c>
      <c r="U213" t="s">
        <v>35</v>
      </c>
      <c r="V213" t="s">
        <v>36</v>
      </c>
      <c r="W213" t="s">
        <v>37</v>
      </c>
      <c r="X213" s="24">
        <v>6.3063063063063058</v>
      </c>
      <c r="Y213" s="24">
        <v>93.693693693693689</v>
      </c>
      <c r="Z213" t="s">
        <v>40</v>
      </c>
      <c r="AA213" t="s">
        <v>49</v>
      </c>
      <c r="AB213" t="s">
        <v>38</v>
      </c>
      <c r="AC213" s="24">
        <v>3.3300000000000003E-2</v>
      </c>
    </row>
    <row r="214" spans="1:29" x14ac:dyDescent="0.3">
      <c r="A214" s="2">
        <v>731</v>
      </c>
      <c r="B214" s="1">
        <v>40576</v>
      </c>
      <c r="C214" s="2">
        <v>1</v>
      </c>
      <c r="D214" s="2">
        <v>19</v>
      </c>
      <c r="E214" t="b">
        <v>0</v>
      </c>
      <c r="F214" s="2">
        <v>3</v>
      </c>
      <c r="G214" s="2">
        <v>1</v>
      </c>
      <c r="H214" s="23">
        <v>0.28000000000000003</v>
      </c>
      <c r="I214" s="25">
        <v>0.2424</v>
      </c>
      <c r="J214" s="23">
        <v>0.45</v>
      </c>
      <c r="K214" s="25">
        <v>0.49249999999999999</v>
      </c>
      <c r="L214" s="2">
        <v>3</v>
      </c>
      <c r="M214" s="2">
        <v>88</v>
      </c>
      <c r="N214" s="2">
        <v>91</v>
      </c>
      <c r="O214" t="s">
        <v>29</v>
      </c>
      <c r="P214" t="s">
        <v>57</v>
      </c>
      <c r="Q214" t="s">
        <v>31</v>
      </c>
      <c r="R214" t="s">
        <v>50</v>
      </c>
      <c r="S214" t="s">
        <v>44</v>
      </c>
      <c r="T214" t="s">
        <v>49</v>
      </c>
      <c r="U214" t="s">
        <v>53</v>
      </c>
      <c r="V214" t="s">
        <v>36</v>
      </c>
      <c r="W214" t="s">
        <v>37</v>
      </c>
      <c r="X214" s="24">
        <v>3.296703296703297</v>
      </c>
      <c r="Y214" s="24">
        <v>96.703296703296701</v>
      </c>
      <c r="Z214" t="s">
        <v>40</v>
      </c>
      <c r="AA214" t="s">
        <v>39</v>
      </c>
      <c r="AB214" t="s">
        <v>38</v>
      </c>
      <c r="AC214" s="24">
        <v>-3.7600000000000022E-2</v>
      </c>
    </row>
    <row r="215" spans="1:29" x14ac:dyDescent="0.3">
      <c r="A215" s="2">
        <v>772</v>
      </c>
      <c r="B215" s="1">
        <v>40578</v>
      </c>
      <c r="C215" s="2">
        <v>1</v>
      </c>
      <c r="D215" s="2">
        <v>14</v>
      </c>
      <c r="E215" t="b">
        <v>0</v>
      </c>
      <c r="F215" s="2">
        <v>5</v>
      </c>
      <c r="G215" s="2">
        <v>2</v>
      </c>
      <c r="H215" s="23">
        <v>0.28000000000000003</v>
      </c>
      <c r="I215" s="25">
        <v>0.2727</v>
      </c>
      <c r="J215" s="23">
        <v>0.45</v>
      </c>
      <c r="K215" s="25">
        <v>0.16420000000000001</v>
      </c>
      <c r="L215" s="2">
        <v>15</v>
      </c>
      <c r="M215" s="2">
        <v>76</v>
      </c>
      <c r="N215" s="2">
        <v>91</v>
      </c>
      <c r="O215" t="s">
        <v>29</v>
      </c>
      <c r="P215" t="s">
        <v>59</v>
      </c>
      <c r="Q215" t="s">
        <v>41</v>
      </c>
      <c r="R215" t="s">
        <v>47</v>
      </c>
      <c r="S215" t="s">
        <v>44</v>
      </c>
      <c r="T215" t="s">
        <v>49</v>
      </c>
      <c r="U215" t="s">
        <v>46</v>
      </c>
      <c r="V215" t="s">
        <v>36</v>
      </c>
      <c r="W215" t="s">
        <v>37</v>
      </c>
      <c r="X215" s="24">
        <v>16.483516483516478</v>
      </c>
      <c r="Y215" s="24">
        <v>83.516483516483518</v>
      </c>
      <c r="Z215" t="s">
        <v>38</v>
      </c>
      <c r="AA215" t="s">
        <v>39</v>
      </c>
      <c r="AB215" t="s">
        <v>38</v>
      </c>
      <c r="AC215" s="24">
        <v>-7.3000000000000287E-3</v>
      </c>
    </row>
    <row r="216" spans="1:29" x14ac:dyDescent="0.3">
      <c r="A216" s="2">
        <v>881</v>
      </c>
      <c r="B216" s="1">
        <v>40583</v>
      </c>
      <c r="C216" s="2">
        <v>1</v>
      </c>
      <c r="D216" s="2">
        <v>3</v>
      </c>
      <c r="E216" t="b">
        <v>0</v>
      </c>
      <c r="F216" s="2">
        <v>3</v>
      </c>
      <c r="G216" s="2">
        <v>1</v>
      </c>
      <c r="H216" s="23">
        <v>0.06</v>
      </c>
      <c r="I216" s="25">
        <v>7.5800000000000006E-2</v>
      </c>
      <c r="J216" s="23">
        <v>0.45</v>
      </c>
      <c r="K216" s="25">
        <v>0.1343</v>
      </c>
      <c r="L216" s="2">
        <v>0</v>
      </c>
      <c r="M216" s="2">
        <v>2</v>
      </c>
      <c r="N216" s="2">
        <v>2</v>
      </c>
      <c r="O216" t="s">
        <v>29</v>
      </c>
      <c r="P216" t="s">
        <v>57</v>
      </c>
      <c r="Q216" t="s">
        <v>31</v>
      </c>
      <c r="R216" t="s">
        <v>32</v>
      </c>
      <c r="S216" t="s">
        <v>55</v>
      </c>
      <c r="T216" t="s">
        <v>49</v>
      </c>
      <c r="U216" t="s">
        <v>35</v>
      </c>
      <c r="V216" t="s">
        <v>36</v>
      </c>
      <c r="W216" t="s">
        <v>37</v>
      </c>
      <c r="X216" s="24">
        <v>0</v>
      </c>
      <c r="Y216" s="24">
        <v>100</v>
      </c>
      <c r="Z216" t="s">
        <v>38</v>
      </c>
      <c r="AA216" t="s">
        <v>39</v>
      </c>
      <c r="AB216" t="s">
        <v>38</v>
      </c>
      <c r="AC216" s="24">
        <v>1.5800000000000008E-2</v>
      </c>
    </row>
    <row r="217" spans="1:29" x14ac:dyDescent="0.3">
      <c r="A217" s="2">
        <v>882</v>
      </c>
      <c r="B217" s="1">
        <v>40583</v>
      </c>
      <c r="C217" s="2">
        <v>1</v>
      </c>
      <c r="D217" s="2">
        <v>5</v>
      </c>
      <c r="E217" t="b">
        <v>0</v>
      </c>
      <c r="F217" s="2">
        <v>3</v>
      </c>
      <c r="G217" s="2">
        <v>1</v>
      </c>
      <c r="H217" s="23">
        <v>0.06</v>
      </c>
      <c r="I217" s="25">
        <v>0.1061</v>
      </c>
      <c r="J217" s="23">
        <v>0.45</v>
      </c>
      <c r="K217" s="25">
        <v>0.1045</v>
      </c>
      <c r="L217" s="2">
        <v>0</v>
      </c>
      <c r="M217" s="2">
        <v>7</v>
      </c>
      <c r="N217" s="2">
        <v>7</v>
      </c>
      <c r="O217" t="s">
        <v>29</v>
      </c>
      <c r="P217" t="s">
        <v>57</v>
      </c>
      <c r="Q217" t="s">
        <v>31</v>
      </c>
      <c r="R217" t="s">
        <v>32</v>
      </c>
      <c r="S217" t="s">
        <v>55</v>
      </c>
      <c r="T217" t="s">
        <v>49</v>
      </c>
      <c r="U217" t="s">
        <v>35</v>
      </c>
      <c r="V217" t="s">
        <v>36</v>
      </c>
      <c r="W217" t="s">
        <v>37</v>
      </c>
      <c r="X217" s="24">
        <v>0</v>
      </c>
      <c r="Y217" s="24">
        <v>100</v>
      </c>
      <c r="Z217" t="s">
        <v>38</v>
      </c>
      <c r="AA217" t="s">
        <v>39</v>
      </c>
      <c r="AB217" t="s">
        <v>38</v>
      </c>
      <c r="AC217" s="24">
        <v>4.6100000000000002E-2</v>
      </c>
    </row>
    <row r="218" spans="1:29" x14ac:dyDescent="0.3">
      <c r="A218" s="2">
        <v>883</v>
      </c>
      <c r="B218" s="1">
        <v>40583</v>
      </c>
      <c r="C218" s="2">
        <v>1</v>
      </c>
      <c r="D218" s="2">
        <v>6</v>
      </c>
      <c r="E218" t="b">
        <v>0</v>
      </c>
      <c r="F218" s="2">
        <v>3</v>
      </c>
      <c r="G218" s="2">
        <v>1</v>
      </c>
      <c r="H218" s="23">
        <v>0.06</v>
      </c>
      <c r="I218" s="25">
        <v>0.1515</v>
      </c>
      <c r="J218" s="23">
        <v>0.45</v>
      </c>
      <c r="K218" s="25">
        <v>0</v>
      </c>
      <c r="L218" s="2">
        <v>0</v>
      </c>
      <c r="M218" s="2">
        <v>43</v>
      </c>
      <c r="N218" s="2">
        <v>43</v>
      </c>
      <c r="O218" t="s">
        <v>29</v>
      </c>
      <c r="P218" t="s">
        <v>57</v>
      </c>
      <c r="Q218" t="s">
        <v>31</v>
      </c>
      <c r="R218" t="s">
        <v>42</v>
      </c>
      <c r="S218" t="s">
        <v>55</v>
      </c>
      <c r="T218" t="s">
        <v>49</v>
      </c>
      <c r="U218" t="s">
        <v>35</v>
      </c>
      <c r="V218" t="s">
        <v>36</v>
      </c>
      <c r="W218" t="s">
        <v>37</v>
      </c>
      <c r="X218" s="24">
        <v>0</v>
      </c>
      <c r="Y218" s="24">
        <v>100</v>
      </c>
      <c r="Z218" t="s">
        <v>38</v>
      </c>
      <c r="AA218" t="s">
        <v>39</v>
      </c>
      <c r="AB218" t="s">
        <v>38</v>
      </c>
      <c r="AC218" s="24">
        <v>9.1499999999999998E-2</v>
      </c>
    </row>
    <row r="219" spans="1:29" x14ac:dyDescent="0.3">
      <c r="A219" s="2">
        <v>979</v>
      </c>
      <c r="B219" s="1">
        <v>40587</v>
      </c>
      <c r="C219" s="2">
        <v>1</v>
      </c>
      <c r="D219" s="2">
        <v>10</v>
      </c>
      <c r="E219" t="b">
        <v>0</v>
      </c>
      <c r="F219" s="2">
        <v>0</v>
      </c>
      <c r="G219" s="2">
        <v>1</v>
      </c>
      <c r="H219" s="23">
        <v>0.3</v>
      </c>
      <c r="I219" s="25">
        <v>0.2727</v>
      </c>
      <c r="J219" s="23">
        <v>0.45</v>
      </c>
      <c r="K219" s="25">
        <v>0.32840000000000003</v>
      </c>
      <c r="L219" s="2">
        <v>19</v>
      </c>
      <c r="M219" s="2">
        <v>86</v>
      </c>
      <c r="N219" s="2">
        <v>105</v>
      </c>
      <c r="O219" t="s">
        <v>29</v>
      </c>
      <c r="P219" t="s">
        <v>52</v>
      </c>
      <c r="Q219" t="s">
        <v>31</v>
      </c>
      <c r="R219" t="s">
        <v>42</v>
      </c>
      <c r="S219" t="s">
        <v>44</v>
      </c>
      <c r="T219" t="s">
        <v>49</v>
      </c>
      <c r="U219" t="s">
        <v>53</v>
      </c>
      <c r="V219" t="s">
        <v>36</v>
      </c>
      <c r="W219" t="s">
        <v>37</v>
      </c>
      <c r="X219" s="24">
        <v>18.095238095238091</v>
      </c>
      <c r="Y219" s="24">
        <v>81.904761904761898</v>
      </c>
      <c r="Z219" t="s">
        <v>38</v>
      </c>
      <c r="AA219" t="s">
        <v>49</v>
      </c>
      <c r="AB219" t="s">
        <v>40</v>
      </c>
      <c r="AC219" s="24">
        <v>-2.7299999999999991E-2</v>
      </c>
    </row>
    <row r="220" spans="1:29" x14ac:dyDescent="0.3">
      <c r="A220" s="2">
        <v>42</v>
      </c>
      <c r="B220" s="1">
        <v>40545</v>
      </c>
      <c r="C220" s="2">
        <v>1</v>
      </c>
      <c r="D220" s="2">
        <v>18</v>
      </c>
      <c r="E220" t="b">
        <v>0</v>
      </c>
      <c r="F220" s="2">
        <v>0</v>
      </c>
      <c r="G220" s="2">
        <v>2</v>
      </c>
      <c r="H220" s="23">
        <v>0.36</v>
      </c>
      <c r="I220" s="25">
        <v>0.33329999999999999</v>
      </c>
      <c r="J220" s="23">
        <v>0.46</v>
      </c>
      <c r="K220" s="25">
        <v>0.32840000000000003</v>
      </c>
      <c r="L220" s="2">
        <v>10</v>
      </c>
      <c r="M220" s="2">
        <v>43</v>
      </c>
      <c r="N220" s="2">
        <v>53</v>
      </c>
      <c r="O220" t="s">
        <v>29</v>
      </c>
      <c r="P220" t="s">
        <v>52</v>
      </c>
      <c r="Q220" t="s">
        <v>41</v>
      </c>
      <c r="R220" t="s">
        <v>50</v>
      </c>
      <c r="S220" t="s">
        <v>45</v>
      </c>
      <c r="T220" t="s">
        <v>49</v>
      </c>
      <c r="U220" t="s">
        <v>53</v>
      </c>
      <c r="V220" t="s">
        <v>36</v>
      </c>
      <c r="W220" t="s">
        <v>37</v>
      </c>
      <c r="X220" s="24">
        <v>18.867924528301891</v>
      </c>
      <c r="Y220" s="24">
        <v>81.132075471698116</v>
      </c>
      <c r="Z220" t="s">
        <v>40</v>
      </c>
      <c r="AA220" t="s">
        <v>39</v>
      </c>
      <c r="AB220" t="s">
        <v>40</v>
      </c>
      <c r="AC220" s="24">
        <v>-2.6700000000000002E-2</v>
      </c>
    </row>
    <row r="221" spans="1:29" x14ac:dyDescent="0.3">
      <c r="A221" s="2">
        <v>188</v>
      </c>
      <c r="B221" s="1">
        <v>40552</v>
      </c>
      <c r="C221" s="2">
        <v>1</v>
      </c>
      <c r="D221" s="2">
        <v>2</v>
      </c>
      <c r="E221" t="b">
        <v>0</v>
      </c>
      <c r="F221" s="2">
        <v>0</v>
      </c>
      <c r="G221" s="2">
        <v>1</v>
      </c>
      <c r="H221" s="23">
        <v>0.1</v>
      </c>
      <c r="I221" s="25">
        <v>6.0600000000000001E-2</v>
      </c>
      <c r="J221" s="23">
        <v>0.46</v>
      </c>
      <c r="K221" s="25">
        <v>0.4627</v>
      </c>
      <c r="L221" s="2">
        <v>0</v>
      </c>
      <c r="M221" s="2">
        <v>11</v>
      </c>
      <c r="N221" s="2">
        <v>11</v>
      </c>
      <c r="O221" t="s">
        <v>29</v>
      </c>
      <c r="P221" t="s">
        <v>52</v>
      </c>
      <c r="Q221" t="s">
        <v>31</v>
      </c>
      <c r="R221" t="s">
        <v>32</v>
      </c>
      <c r="S221" t="s">
        <v>55</v>
      </c>
      <c r="T221" t="s">
        <v>49</v>
      </c>
      <c r="U221" t="s">
        <v>53</v>
      </c>
      <c r="V221" t="s">
        <v>36</v>
      </c>
      <c r="W221" t="s">
        <v>37</v>
      </c>
      <c r="X221" s="24">
        <v>0</v>
      </c>
      <c r="Y221" s="24">
        <v>100</v>
      </c>
      <c r="Z221" t="s">
        <v>38</v>
      </c>
      <c r="AA221" t="s">
        <v>39</v>
      </c>
      <c r="AB221" t="s">
        <v>40</v>
      </c>
      <c r="AC221" s="24">
        <v>-3.9399999999999998E-2</v>
      </c>
    </row>
    <row r="222" spans="1:29" x14ac:dyDescent="0.3">
      <c r="A222" s="2">
        <v>189</v>
      </c>
      <c r="B222" s="1">
        <v>40552</v>
      </c>
      <c r="C222" s="2">
        <v>1</v>
      </c>
      <c r="D222" s="2">
        <v>3</v>
      </c>
      <c r="E222" t="b">
        <v>0</v>
      </c>
      <c r="F222" s="2">
        <v>0</v>
      </c>
      <c r="G222" s="2">
        <v>1</v>
      </c>
      <c r="H222" s="23">
        <v>0.1</v>
      </c>
      <c r="I222" s="25">
        <v>7.5800000000000006E-2</v>
      </c>
      <c r="J222" s="23">
        <v>0.46</v>
      </c>
      <c r="K222" s="25">
        <v>0.41789999999999999</v>
      </c>
      <c r="L222" s="2">
        <v>0</v>
      </c>
      <c r="M222" s="2">
        <v>4</v>
      </c>
      <c r="N222" s="2">
        <v>4</v>
      </c>
      <c r="O222" t="s">
        <v>29</v>
      </c>
      <c r="P222" t="s">
        <v>52</v>
      </c>
      <c r="Q222" t="s">
        <v>31</v>
      </c>
      <c r="R222" t="s">
        <v>32</v>
      </c>
      <c r="S222" t="s">
        <v>55</v>
      </c>
      <c r="T222" t="s">
        <v>49</v>
      </c>
      <c r="U222" t="s">
        <v>53</v>
      </c>
      <c r="V222" t="s">
        <v>36</v>
      </c>
      <c r="W222" t="s">
        <v>37</v>
      </c>
      <c r="X222" s="24">
        <v>0</v>
      </c>
      <c r="Y222" s="24">
        <v>100</v>
      </c>
      <c r="Z222" t="s">
        <v>38</v>
      </c>
      <c r="AA222" t="s">
        <v>39</v>
      </c>
      <c r="AB222" t="s">
        <v>40</v>
      </c>
      <c r="AC222" s="24">
        <v>-2.4199999999999999E-2</v>
      </c>
    </row>
    <row r="223" spans="1:29" x14ac:dyDescent="0.3">
      <c r="A223" s="2">
        <v>195</v>
      </c>
      <c r="B223" s="1">
        <v>40552</v>
      </c>
      <c r="C223" s="2">
        <v>1</v>
      </c>
      <c r="D223" s="2">
        <v>9</v>
      </c>
      <c r="E223" t="b">
        <v>0</v>
      </c>
      <c r="F223" s="2">
        <v>0</v>
      </c>
      <c r="G223" s="2">
        <v>1</v>
      </c>
      <c r="H223" s="23">
        <v>0.12</v>
      </c>
      <c r="I223" s="25">
        <v>7.5800000000000006E-2</v>
      </c>
      <c r="J223" s="23">
        <v>0.46</v>
      </c>
      <c r="K223" s="25">
        <v>0.52239999999999998</v>
      </c>
      <c r="L223" s="2">
        <v>0</v>
      </c>
      <c r="M223" s="2">
        <v>19</v>
      </c>
      <c r="N223" s="2">
        <v>19</v>
      </c>
      <c r="O223" t="s">
        <v>29</v>
      </c>
      <c r="P223" t="s">
        <v>52</v>
      </c>
      <c r="Q223" t="s">
        <v>31</v>
      </c>
      <c r="R223" t="s">
        <v>42</v>
      </c>
      <c r="S223" t="s">
        <v>55</v>
      </c>
      <c r="T223" t="s">
        <v>49</v>
      </c>
      <c r="U223" t="s">
        <v>53</v>
      </c>
      <c r="V223" t="s">
        <v>36</v>
      </c>
      <c r="W223" t="s">
        <v>37</v>
      </c>
      <c r="X223" s="24">
        <v>0</v>
      </c>
      <c r="Y223" s="24">
        <v>100</v>
      </c>
      <c r="Z223" t="s">
        <v>40</v>
      </c>
      <c r="AA223" t="s">
        <v>39</v>
      </c>
      <c r="AB223" t="s">
        <v>40</v>
      </c>
      <c r="AC223" s="24">
        <v>-4.4199999999999989E-2</v>
      </c>
    </row>
    <row r="224" spans="1:29" x14ac:dyDescent="0.3">
      <c r="A224" s="2">
        <v>206</v>
      </c>
      <c r="B224" s="1">
        <v>40552</v>
      </c>
      <c r="C224" s="2">
        <v>1</v>
      </c>
      <c r="D224" s="2">
        <v>20</v>
      </c>
      <c r="E224" t="b">
        <v>0</v>
      </c>
      <c r="F224" s="2">
        <v>0</v>
      </c>
      <c r="G224" s="2">
        <v>1</v>
      </c>
      <c r="H224" s="23">
        <v>0.14000000000000001</v>
      </c>
      <c r="I224" s="25">
        <v>0.1212</v>
      </c>
      <c r="J224" s="23">
        <v>0.46</v>
      </c>
      <c r="K224" s="25">
        <v>0.25369999999999998</v>
      </c>
      <c r="L224" s="2">
        <v>0</v>
      </c>
      <c r="M224" s="2">
        <v>38</v>
      </c>
      <c r="N224" s="2">
        <v>38</v>
      </c>
      <c r="O224" t="s">
        <v>29</v>
      </c>
      <c r="P224" t="s">
        <v>52</v>
      </c>
      <c r="Q224" t="s">
        <v>31</v>
      </c>
      <c r="R224" t="s">
        <v>50</v>
      </c>
      <c r="S224" t="s">
        <v>55</v>
      </c>
      <c r="T224" t="s">
        <v>49</v>
      </c>
      <c r="U224" t="s">
        <v>46</v>
      </c>
      <c r="V224" t="s">
        <v>36</v>
      </c>
      <c r="W224" t="s">
        <v>37</v>
      </c>
      <c r="X224" s="24">
        <v>0</v>
      </c>
      <c r="Y224" s="24">
        <v>100</v>
      </c>
      <c r="Z224" t="s">
        <v>38</v>
      </c>
      <c r="AA224" t="s">
        <v>39</v>
      </c>
      <c r="AB224" t="s">
        <v>40</v>
      </c>
      <c r="AC224" s="24">
        <v>-1.8800000000000011E-2</v>
      </c>
    </row>
    <row r="225" spans="1:29" x14ac:dyDescent="0.3">
      <c r="A225" s="2">
        <v>207</v>
      </c>
      <c r="B225" s="1">
        <v>40552</v>
      </c>
      <c r="C225" s="2">
        <v>1</v>
      </c>
      <c r="D225" s="2">
        <v>21</v>
      </c>
      <c r="E225" t="b">
        <v>0</v>
      </c>
      <c r="F225" s="2">
        <v>0</v>
      </c>
      <c r="G225" s="2">
        <v>1</v>
      </c>
      <c r="H225" s="23">
        <v>0.14000000000000001</v>
      </c>
      <c r="I225" s="25">
        <v>0.1061</v>
      </c>
      <c r="J225" s="23">
        <v>0.46</v>
      </c>
      <c r="K225" s="25">
        <v>0.41789999999999999</v>
      </c>
      <c r="L225" s="2">
        <v>1</v>
      </c>
      <c r="M225" s="2">
        <v>19</v>
      </c>
      <c r="N225" s="2">
        <v>20</v>
      </c>
      <c r="O225" t="s">
        <v>29</v>
      </c>
      <c r="P225" t="s">
        <v>52</v>
      </c>
      <c r="Q225" t="s">
        <v>31</v>
      </c>
      <c r="R225" t="s">
        <v>32</v>
      </c>
      <c r="S225" t="s">
        <v>55</v>
      </c>
      <c r="T225" t="s">
        <v>49</v>
      </c>
      <c r="U225" t="s">
        <v>53</v>
      </c>
      <c r="V225" t="s">
        <v>36</v>
      </c>
      <c r="W225" t="s">
        <v>37</v>
      </c>
      <c r="X225" s="24">
        <v>5</v>
      </c>
      <c r="Y225" s="24">
        <v>95</v>
      </c>
      <c r="Z225" t="s">
        <v>38</v>
      </c>
      <c r="AA225" t="s">
        <v>39</v>
      </c>
      <c r="AB225" t="s">
        <v>40</v>
      </c>
      <c r="AC225" s="24">
        <v>-3.3900000000000013E-2</v>
      </c>
    </row>
    <row r="226" spans="1:29" x14ac:dyDescent="0.3">
      <c r="A226" s="2">
        <v>208</v>
      </c>
      <c r="B226" s="1">
        <v>40552</v>
      </c>
      <c r="C226" s="2">
        <v>1</v>
      </c>
      <c r="D226" s="2">
        <v>22</v>
      </c>
      <c r="E226" t="b">
        <v>0</v>
      </c>
      <c r="F226" s="2">
        <v>0</v>
      </c>
      <c r="G226" s="2">
        <v>1</v>
      </c>
      <c r="H226" s="23">
        <v>0.14000000000000001</v>
      </c>
      <c r="I226" s="25">
        <v>0.1212</v>
      </c>
      <c r="J226" s="23">
        <v>0.46</v>
      </c>
      <c r="K226" s="25">
        <v>0.29849999999999999</v>
      </c>
      <c r="L226" s="2">
        <v>5</v>
      </c>
      <c r="M226" s="2">
        <v>10</v>
      </c>
      <c r="N226" s="2">
        <v>15</v>
      </c>
      <c r="O226" t="s">
        <v>29</v>
      </c>
      <c r="P226" t="s">
        <v>52</v>
      </c>
      <c r="Q226" t="s">
        <v>31</v>
      </c>
      <c r="R226" t="s">
        <v>32</v>
      </c>
      <c r="S226" t="s">
        <v>55</v>
      </c>
      <c r="T226" t="s">
        <v>49</v>
      </c>
      <c r="U226" t="s">
        <v>46</v>
      </c>
      <c r="V226" t="s">
        <v>36</v>
      </c>
      <c r="W226" t="s">
        <v>37</v>
      </c>
      <c r="X226" s="24">
        <v>33.333333333333329</v>
      </c>
      <c r="Y226" s="24">
        <v>66.666666666666657</v>
      </c>
      <c r="Z226" t="s">
        <v>38</v>
      </c>
      <c r="AA226" t="s">
        <v>39</v>
      </c>
      <c r="AB226" t="s">
        <v>40</v>
      </c>
      <c r="AC226" s="24">
        <v>-1.8800000000000011E-2</v>
      </c>
    </row>
    <row r="227" spans="1:29" x14ac:dyDescent="0.3">
      <c r="A227" s="2">
        <v>299</v>
      </c>
      <c r="B227" s="1">
        <v>40556</v>
      </c>
      <c r="C227" s="2">
        <v>1</v>
      </c>
      <c r="D227" s="2">
        <v>21</v>
      </c>
      <c r="E227" t="b">
        <v>0</v>
      </c>
      <c r="F227" s="2">
        <v>4</v>
      </c>
      <c r="G227" s="2">
        <v>1</v>
      </c>
      <c r="H227" s="23">
        <v>0.14000000000000001</v>
      </c>
      <c r="I227" s="25">
        <v>0.1212</v>
      </c>
      <c r="J227" s="23">
        <v>0.46</v>
      </c>
      <c r="K227" s="25">
        <v>0.29849999999999999</v>
      </c>
      <c r="L227" s="2">
        <v>0</v>
      </c>
      <c r="M227" s="2">
        <v>40</v>
      </c>
      <c r="N227" s="2">
        <v>40</v>
      </c>
      <c r="O227" t="s">
        <v>29</v>
      </c>
      <c r="P227" t="s">
        <v>58</v>
      </c>
      <c r="Q227" t="s">
        <v>31</v>
      </c>
      <c r="R227" t="s">
        <v>32</v>
      </c>
      <c r="S227" t="s">
        <v>55</v>
      </c>
      <c r="T227" t="s">
        <v>49</v>
      </c>
      <c r="U227" t="s">
        <v>46</v>
      </c>
      <c r="V227" t="s">
        <v>36</v>
      </c>
      <c r="W227" t="s">
        <v>37</v>
      </c>
      <c r="X227" s="24">
        <v>0</v>
      </c>
      <c r="Y227" s="24">
        <v>100</v>
      </c>
      <c r="Z227" t="s">
        <v>38</v>
      </c>
      <c r="AA227" t="s">
        <v>39</v>
      </c>
      <c r="AB227" t="s">
        <v>38</v>
      </c>
      <c r="AC227" s="24">
        <v>-1.8800000000000011E-2</v>
      </c>
    </row>
    <row r="228" spans="1:29" x14ac:dyDescent="0.3">
      <c r="A228" s="2">
        <v>300</v>
      </c>
      <c r="B228" s="1">
        <v>40556</v>
      </c>
      <c r="C228" s="2">
        <v>1</v>
      </c>
      <c r="D228" s="2">
        <v>22</v>
      </c>
      <c r="E228" t="b">
        <v>0</v>
      </c>
      <c r="F228" s="2">
        <v>4</v>
      </c>
      <c r="G228" s="2">
        <v>1</v>
      </c>
      <c r="H228" s="23">
        <v>0.14000000000000001</v>
      </c>
      <c r="I228" s="25">
        <v>0.1212</v>
      </c>
      <c r="J228" s="23">
        <v>0.46</v>
      </c>
      <c r="K228" s="25">
        <v>0.32840000000000003</v>
      </c>
      <c r="L228" s="2">
        <v>0</v>
      </c>
      <c r="M228" s="2">
        <v>30</v>
      </c>
      <c r="N228" s="2">
        <v>30</v>
      </c>
      <c r="O228" t="s">
        <v>29</v>
      </c>
      <c r="P228" t="s">
        <v>58</v>
      </c>
      <c r="Q228" t="s">
        <v>31</v>
      </c>
      <c r="R228" t="s">
        <v>32</v>
      </c>
      <c r="S228" t="s">
        <v>55</v>
      </c>
      <c r="T228" t="s">
        <v>49</v>
      </c>
      <c r="U228" t="s">
        <v>53</v>
      </c>
      <c r="V228" t="s">
        <v>36</v>
      </c>
      <c r="W228" t="s">
        <v>37</v>
      </c>
      <c r="X228" s="24">
        <v>0</v>
      </c>
      <c r="Y228" s="24">
        <v>100</v>
      </c>
      <c r="Z228" t="s">
        <v>38</v>
      </c>
      <c r="AA228" t="s">
        <v>39</v>
      </c>
      <c r="AB228" t="s">
        <v>38</v>
      </c>
      <c r="AC228" s="24">
        <v>-1.8800000000000011E-2</v>
      </c>
    </row>
    <row r="229" spans="1:29" x14ac:dyDescent="0.3">
      <c r="A229" s="2">
        <v>512</v>
      </c>
      <c r="B229" s="1">
        <v>40566</v>
      </c>
      <c r="C229" s="2">
        <v>1</v>
      </c>
      <c r="D229" s="2">
        <v>10</v>
      </c>
      <c r="E229" t="b">
        <v>0</v>
      </c>
      <c r="F229" s="2">
        <v>0</v>
      </c>
      <c r="G229" s="2">
        <v>1</v>
      </c>
      <c r="H229" s="23">
        <v>0.14000000000000001</v>
      </c>
      <c r="I229" s="25">
        <v>0.1061</v>
      </c>
      <c r="J229" s="23">
        <v>0.46</v>
      </c>
      <c r="K229" s="25">
        <v>0.3881</v>
      </c>
      <c r="L229" s="2">
        <v>7</v>
      </c>
      <c r="M229" s="2">
        <v>51</v>
      </c>
      <c r="N229" s="2">
        <v>58</v>
      </c>
      <c r="O229" t="s">
        <v>29</v>
      </c>
      <c r="P229" t="s">
        <v>52</v>
      </c>
      <c r="Q229" t="s">
        <v>31</v>
      </c>
      <c r="R229" t="s">
        <v>42</v>
      </c>
      <c r="S229" t="s">
        <v>55</v>
      </c>
      <c r="T229" t="s">
        <v>49</v>
      </c>
      <c r="U229" t="s">
        <v>53</v>
      </c>
      <c r="V229" t="s">
        <v>36</v>
      </c>
      <c r="W229" t="s">
        <v>37</v>
      </c>
      <c r="X229" s="24">
        <v>12.068965517241381</v>
      </c>
      <c r="Y229" s="24">
        <v>87.931034482758619</v>
      </c>
      <c r="Z229" t="s">
        <v>38</v>
      </c>
      <c r="AA229" t="s">
        <v>39</v>
      </c>
      <c r="AB229" t="s">
        <v>40</v>
      </c>
      <c r="AC229" s="24">
        <v>-3.3900000000000013E-2</v>
      </c>
    </row>
    <row r="230" spans="1:29" x14ac:dyDescent="0.3">
      <c r="A230" s="2">
        <v>536</v>
      </c>
      <c r="B230" s="1">
        <v>40567</v>
      </c>
      <c r="C230" s="2">
        <v>1</v>
      </c>
      <c r="D230" s="2">
        <v>11</v>
      </c>
      <c r="E230" t="b">
        <v>0</v>
      </c>
      <c r="F230" s="2">
        <v>1</v>
      </c>
      <c r="G230" s="2">
        <v>1</v>
      </c>
      <c r="H230" s="23">
        <v>0.1</v>
      </c>
      <c r="I230" s="25">
        <v>0.1212</v>
      </c>
      <c r="J230" s="23">
        <v>0.46</v>
      </c>
      <c r="K230" s="25">
        <v>0.1343</v>
      </c>
      <c r="L230" s="2">
        <v>3</v>
      </c>
      <c r="M230" s="2">
        <v>43</v>
      </c>
      <c r="N230" s="2">
        <v>46</v>
      </c>
      <c r="O230" t="s">
        <v>29</v>
      </c>
      <c r="P230" t="s">
        <v>54</v>
      </c>
      <c r="Q230" t="s">
        <v>31</v>
      </c>
      <c r="R230" t="s">
        <v>42</v>
      </c>
      <c r="S230" t="s">
        <v>55</v>
      </c>
      <c r="T230" t="s">
        <v>49</v>
      </c>
      <c r="U230" t="s">
        <v>35</v>
      </c>
      <c r="V230" t="s">
        <v>36</v>
      </c>
      <c r="W230" t="s">
        <v>37</v>
      </c>
      <c r="X230" s="24">
        <v>6.5217391304347823</v>
      </c>
      <c r="Y230" s="24">
        <v>93.478260869565219</v>
      </c>
      <c r="Z230" t="s">
        <v>38</v>
      </c>
      <c r="AA230" t="s">
        <v>39</v>
      </c>
      <c r="AB230" t="s">
        <v>38</v>
      </c>
      <c r="AC230" s="24">
        <v>2.12E-2</v>
      </c>
    </row>
    <row r="231" spans="1:29" x14ac:dyDescent="0.3">
      <c r="A231" s="2">
        <v>539</v>
      </c>
      <c r="B231" s="1">
        <v>40567</v>
      </c>
      <c r="C231" s="2">
        <v>1</v>
      </c>
      <c r="D231" s="2">
        <v>14</v>
      </c>
      <c r="E231" t="b">
        <v>0</v>
      </c>
      <c r="F231" s="2">
        <v>1</v>
      </c>
      <c r="G231" s="2">
        <v>2</v>
      </c>
      <c r="H231" s="23">
        <v>0.14000000000000001</v>
      </c>
      <c r="I231" s="25">
        <v>0.13639999999999999</v>
      </c>
      <c r="J231" s="23">
        <v>0.46</v>
      </c>
      <c r="K231" s="25">
        <v>0.22389999999999999</v>
      </c>
      <c r="L231" s="2">
        <v>2</v>
      </c>
      <c r="M231" s="2">
        <v>43</v>
      </c>
      <c r="N231" s="2">
        <v>45</v>
      </c>
      <c r="O231" t="s">
        <v>29</v>
      </c>
      <c r="P231" t="s">
        <v>54</v>
      </c>
      <c r="Q231" t="s">
        <v>41</v>
      </c>
      <c r="R231" t="s">
        <v>47</v>
      </c>
      <c r="S231" t="s">
        <v>55</v>
      </c>
      <c r="T231" t="s">
        <v>49</v>
      </c>
      <c r="U231" t="s">
        <v>46</v>
      </c>
      <c r="V231" t="s">
        <v>36</v>
      </c>
      <c r="W231" t="s">
        <v>37</v>
      </c>
      <c r="X231" s="24">
        <v>4.4444444444444446</v>
      </c>
      <c r="Y231" s="24">
        <v>95.555555555555557</v>
      </c>
      <c r="Z231" t="s">
        <v>38</v>
      </c>
      <c r="AA231" t="s">
        <v>39</v>
      </c>
      <c r="AB231" t="s">
        <v>38</v>
      </c>
      <c r="AC231" s="24">
        <v>-3.6000000000000199E-3</v>
      </c>
    </row>
    <row r="232" spans="1:29" x14ac:dyDescent="0.3">
      <c r="A232" s="2">
        <v>818</v>
      </c>
      <c r="B232" s="1">
        <v>40580</v>
      </c>
      <c r="C232" s="2">
        <v>1</v>
      </c>
      <c r="D232" s="2">
        <v>12</v>
      </c>
      <c r="E232" t="b">
        <v>0</v>
      </c>
      <c r="F232" s="2">
        <v>0</v>
      </c>
      <c r="G232" s="2">
        <v>1</v>
      </c>
      <c r="H232" s="23">
        <v>0.34</v>
      </c>
      <c r="I232" s="25">
        <v>0.33329999999999999</v>
      </c>
      <c r="J232" s="23">
        <v>0.46</v>
      </c>
      <c r="K232" s="25">
        <v>0</v>
      </c>
      <c r="L232" s="2">
        <v>48</v>
      </c>
      <c r="M232" s="2">
        <v>126</v>
      </c>
      <c r="N232" s="2">
        <v>174</v>
      </c>
      <c r="O232" t="s">
        <v>29</v>
      </c>
      <c r="P232" t="s">
        <v>52</v>
      </c>
      <c r="Q232" t="s">
        <v>31</v>
      </c>
      <c r="R232" t="s">
        <v>47</v>
      </c>
      <c r="S232" t="s">
        <v>44</v>
      </c>
      <c r="T232" t="s">
        <v>49</v>
      </c>
      <c r="U232" t="s">
        <v>35</v>
      </c>
      <c r="V232" t="s">
        <v>36</v>
      </c>
      <c r="W232" t="s">
        <v>37</v>
      </c>
      <c r="X232" s="24">
        <v>27.586206896551719</v>
      </c>
      <c r="Y232" s="24">
        <v>72.41379310344827</v>
      </c>
      <c r="Z232" t="s">
        <v>38</v>
      </c>
      <c r="AA232" t="s">
        <v>49</v>
      </c>
      <c r="AB232" t="s">
        <v>40</v>
      </c>
      <c r="AC232" s="24">
        <v>-6.7000000000000393E-3</v>
      </c>
    </row>
    <row r="233" spans="1:29" x14ac:dyDescent="0.3">
      <c r="A233" s="2">
        <v>819</v>
      </c>
      <c r="B233" s="1">
        <v>40580</v>
      </c>
      <c r="C233" s="2">
        <v>1</v>
      </c>
      <c r="D233" s="2">
        <v>13</v>
      </c>
      <c r="E233" t="b">
        <v>0</v>
      </c>
      <c r="F233" s="2">
        <v>0</v>
      </c>
      <c r="G233" s="2">
        <v>1</v>
      </c>
      <c r="H233" s="23">
        <v>0.34</v>
      </c>
      <c r="I233" s="25">
        <v>0.36359999999999998</v>
      </c>
      <c r="J233" s="23">
        <v>0.46</v>
      </c>
      <c r="K233" s="25">
        <v>0</v>
      </c>
      <c r="L233" s="2">
        <v>47</v>
      </c>
      <c r="M233" s="2">
        <v>135</v>
      </c>
      <c r="N233" s="2">
        <v>182</v>
      </c>
      <c r="O233" t="s">
        <v>29</v>
      </c>
      <c r="P233" t="s">
        <v>52</v>
      </c>
      <c r="Q233" t="s">
        <v>31</v>
      </c>
      <c r="R233" t="s">
        <v>47</v>
      </c>
      <c r="S233" t="s">
        <v>44</v>
      </c>
      <c r="T233" t="s">
        <v>49</v>
      </c>
      <c r="U233" t="s">
        <v>35</v>
      </c>
      <c r="V233" t="s">
        <v>36</v>
      </c>
      <c r="W233" t="s">
        <v>37</v>
      </c>
      <c r="X233" s="24">
        <v>25.824175824175828</v>
      </c>
      <c r="Y233" s="24">
        <v>74.175824175824175</v>
      </c>
      <c r="Z233" t="s">
        <v>38</v>
      </c>
      <c r="AA233" t="s">
        <v>49</v>
      </c>
      <c r="AB233" t="s">
        <v>40</v>
      </c>
      <c r="AC233" s="24">
        <v>2.3599999999999951E-2</v>
      </c>
    </row>
    <row r="234" spans="1:29" x14ac:dyDescent="0.3">
      <c r="A234" s="2">
        <v>820</v>
      </c>
      <c r="B234" s="1">
        <v>40580</v>
      </c>
      <c r="C234" s="2">
        <v>1</v>
      </c>
      <c r="D234" s="2">
        <v>14</v>
      </c>
      <c r="E234" t="b">
        <v>0</v>
      </c>
      <c r="F234" s="2">
        <v>0</v>
      </c>
      <c r="G234" s="2">
        <v>1</v>
      </c>
      <c r="H234" s="23">
        <v>0.34</v>
      </c>
      <c r="I234" s="25">
        <v>0.34849999999999998</v>
      </c>
      <c r="J234" s="23">
        <v>0.46</v>
      </c>
      <c r="K234" s="25">
        <v>8.9599999999999999E-2</v>
      </c>
      <c r="L234" s="2">
        <v>47</v>
      </c>
      <c r="M234" s="2">
        <v>114</v>
      </c>
      <c r="N234" s="2">
        <v>161</v>
      </c>
      <c r="O234" t="s">
        <v>29</v>
      </c>
      <c r="P234" t="s">
        <v>52</v>
      </c>
      <c r="Q234" t="s">
        <v>31</v>
      </c>
      <c r="R234" t="s">
        <v>47</v>
      </c>
      <c r="S234" t="s">
        <v>44</v>
      </c>
      <c r="T234" t="s">
        <v>49</v>
      </c>
      <c r="U234" t="s">
        <v>35</v>
      </c>
      <c r="V234" t="s">
        <v>36</v>
      </c>
      <c r="W234" t="s">
        <v>37</v>
      </c>
      <c r="X234" s="24">
        <v>29.19254658385093</v>
      </c>
      <c r="Y234" s="24">
        <v>70.807453416149073</v>
      </c>
      <c r="Z234" t="s">
        <v>38</v>
      </c>
      <c r="AA234" t="s">
        <v>49</v>
      </c>
      <c r="AB234" t="s">
        <v>40</v>
      </c>
      <c r="AC234" s="24">
        <v>8.499999999999952E-3</v>
      </c>
    </row>
    <row r="235" spans="1:29" x14ac:dyDescent="0.3">
      <c r="A235" s="2">
        <v>821</v>
      </c>
      <c r="B235" s="1">
        <v>40580</v>
      </c>
      <c r="C235" s="2">
        <v>1</v>
      </c>
      <c r="D235" s="2">
        <v>15</v>
      </c>
      <c r="E235" t="b">
        <v>0</v>
      </c>
      <c r="F235" s="2">
        <v>0</v>
      </c>
      <c r="G235" s="2">
        <v>1</v>
      </c>
      <c r="H235" s="23">
        <v>0.34</v>
      </c>
      <c r="I235" s="25">
        <v>0.34849999999999998</v>
      </c>
      <c r="J235" s="23">
        <v>0.46</v>
      </c>
      <c r="K235" s="25">
        <v>8.9599999999999999E-2</v>
      </c>
      <c r="L235" s="2">
        <v>52</v>
      </c>
      <c r="M235" s="2">
        <v>130</v>
      </c>
      <c r="N235" s="2">
        <v>182</v>
      </c>
      <c r="O235" t="s">
        <v>29</v>
      </c>
      <c r="P235" t="s">
        <v>52</v>
      </c>
      <c r="Q235" t="s">
        <v>31</v>
      </c>
      <c r="R235" t="s">
        <v>47</v>
      </c>
      <c r="S235" t="s">
        <v>44</v>
      </c>
      <c r="T235" t="s">
        <v>49</v>
      </c>
      <c r="U235" t="s">
        <v>35</v>
      </c>
      <c r="V235" t="s">
        <v>36</v>
      </c>
      <c r="W235" t="s">
        <v>37</v>
      </c>
      <c r="X235" s="24">
        <v>28.571428571428569</v>
      </c>
      <c r="Y235" s="24">
        <v>71.428571428571431</v>
      </c>
      <c r="Z235" t="s">
        <v>38</v>
      </c>
      <c r="AA235" t="s">
        <v>49</v>
      </c>
      <c r="AB235" t="s">
        <v>40</v>
      </c>
      <c r="AC235" s="24">
        <v>8.499999999999952E-3</v>
      </c>
    </row>
    <row r="236" spans="1:29" x14ac:dyDescent="0.3">
      <c r="A236" s="2">
        <v>823</v>
      </c>
      <c r="B236" s="1">
        <v>40580</v>
      </c>
      <c r="C236" s="2">
        <v>1</v>
      </c>
      <c r="D236" s="2">
        <v>17</v>
      </c>
      <c r="E236" t="b">
        <v>0</v>
      </c>
      <c r="F236" s="2">
        <v>0</v>
      </c>
      <c r="G236" s="2">
        <v>1</v>
      </c>
      <c r="H236" s="23">
        <v>0.34</v>
      </c>
      <c r="I236" s="25">
        <v>0.36359999999999998</v>
      </c>
      <c r="J236" s="23">
        <v>0.46</v>
      </c>
      <c r="K236" s="25">
        <v>0</v>
      </c>
      <c r="L236" s="2">
        <v>24</v>
      </c>
      <c r="M236" s="2">
        <v>97</v>
      </c>
      <c r="N236" s="2">
        <v>121</v>
      </c>
      <c r="O236" t="s">
        <v>29</v>
      </c>
      <c r="P236" t="s">
        <v>52</v>
      </c>
      <c r="Q236" t="s">
        <v>31</v>
      </c>
      <c r="R236" t="s">
        <v>50</v>
      </c>
      <c r="S236" t="s">
        <v>44</v>
      </c>
      <c r="T236" t="s">
        <v>49</v>
      </c>
      <c r="U236" t="s">
        <v>35</v>
      </c>
      <c r="V236" t="s">
        <v>36</v>
      </c>
      <c r="W236" t="s">
        <v>37</v>
      </c>
      <c r="X236" s="24">
        <v>19.834710743801651</v>
      </c>
      <c r="Y236" s="24">
        <v>80.165289256198349</v>
      </c>
      <c r="Z236" t="s">
        <v>40</v>
      </c>
      <c r="AA236" t="s">
        <v>49</v>
      </c>
      <c r="AB236" t="s">
        <v>40</v>
      </c>
      <c r="AC236" s="24">
        <v>2.3599999999999951E-2</v>
      </c>
    </row>
    <row r="237" spans="1:29" x14ac:dyDescent="0.3">
      <c r="A237" s="2">
        <v>996</v>
      </c>
      <c r="B237" s="1">
        <v>40588</v>
      </c>
      <c r="C237" s="2">
        <v>1</v>
      </c>
      <c r="D237" s="2">
        <v>3</v>
      </c>
      <c r="E237" t="b">
        <v>0</v>
      </c>
      <c r="F237" s="2">
        <v>1</v>
      </c>
      <c r="G237" s="2">
        <v>1</v>
      </c>
      <c r="H237" s="23">
        <v>0.34</v>
      </c>
      <c r="I237" s="25">
        <v>0.31819999999999998</v>
      </c>
      <c r="J237" s="23">
        <v>0.46</v>
      </c>
      <c r="K237" s="25">
        <v>0.22389999999999999</v>
      </c>
      <c r="L237" s="2">
        <v>1</v>
      </c>
      <c r="M237" s="2">
        <v>1</v>
      </c>
      <c r="N237" s="2">
        <v>2</v>
      </c>
      <c r="O237" t="s">
        <v>29</v>
      </c>
      <c r="P237" t="s">
        <v>54</v>
      </c>
      <c r="Q237" t="s">
        <v>31</v>
      </c>
      <c r="R237" t="s">
        <v>32</v>
      </c>
      <c r="S237" t="s">
        <v>44</v>
      </c>
      <c r="T237" t="s">
        <v>49</v>
      </c>
      <c r="U237" t="s">
        <v>46</v>
      </c>
      <c r="V237" t="s">
        <v>36</v>
      </c>
      <c r="W237" t="s">
        <v>37</v>
      </c>
      <c r="X237" s="24">
        <v>50</v>
      </c>
      <c r="Y237" s="24">
        <v>50</v>
      </c>
      <c r="Z237" t="s">
        <v>38</v>
      </c>
      <c r="AA237" t="s">
        <v>39</v>
      </c>
      <c r="AB237" t="s">
        <v>38</v>
      </c>
      <c r="AC237" s="24">
        <v>-2.1800000000000042E-2</v>
      </c>
    </row>
    <row r="238" spans="1:29" x14ac:dyDescent="0.3">
      <c r="A238" s="2">
        <v>999</v>
      </c>
      <c r="B238" s="1">
        <v>40588</v>
      </c>
      <c r="C238" s="2">
        <v>1</v>
      </c>
      <c r="D238" s="2">
        <v>6</v>
      </c>
      <c r="E238" t="b">
        <v>0</v>
      </c>
      <c r="F238" s="2">
        <v>1</v>
      </c>
      <c r="G238" s="2">
        <v>1</v>
      </c>
      <c r="H238" s="23">
        <v>0.34</v>
      </c>
      <c r="I238" s="25">
        <v>0.30299999999999999</v>
      </c>
      <c r="J238" s="23">
        <v>0.46</v>
      </c>
      <c r="K238" s="25">
        <v>0.29849999999999999</v>
      </c>
      <c r="L238" s="2">
        <v>1</v>
      </c>
      <c r="M238" s="2">
        <v>25</v>
      </c>
      <c r="N238" s="2">
        <v>26</v>
      </c>
      <c r="O238" t="s">
        <v>29</v>
      </c>
      <c r="P238" t="s">
        <v>54</v>
      </c>
      <c r="Q238" t="s">
        <v>31</v>
      </c>
      <c r="R238" t="s">
        <v>42</v>
      </c>
      <c r="S238" t="s">
        <v>44</v>
      </c>
      <c r="T238" t="s">
        <v>49</v>
      </c>
      <c r="U238" t="s">
        <v>46</v>
      </c>
      <c r="V238" t="s">
        <v>36</v>
      </c>
      <c r="W238" t="s">
        <v>37</v>
      </c>
      <c r="X238" s="24">
        <v>3.8461538461538458</v>
      </c>
      <c r="Y238" s="24">
        <v>96.15384615384616</v>
      </c>
      <c r="Z238" t="s">
        <v>38</v>
      </c>
      <c r="AA238" t="s">
        <v>39</v>
      </c>
      <c r="AB238" t="s">
        <v>38</v>
      </c>
      <c r="AC238" s="24">
        <v>-3.7000000000000033E-2</v>
      </c>
    </row>
    <row r="239" spans="1:29" x14ac:dyDescent="0.3">
      <c r="A239" s="2">
        <v>1000</v>
      </c>
      <c r="B239" s="1">
        <v>40588</v>
      </c>
      <c r="C239" s="2">
        <v>1</v>
      </c>
      <c r="D239" s="2">
        <v>7</v>
      </c>
      <c r="E239" t="b">
        <v>0</v>
      </c>
      <c r="F239" s="2">
        <v>1</v>
      </c>
      <c r="G239" s="2">
        <v>1</v>
      </c>
      <c r="H239" s="23">
        <v>0.34</v>
      </c>
      <c r="I239" s="25">
        <v>0.30299999999999999</v>
      </c>
      <c r="J239" s="23">
        <v>0.46</v>
      </c>
      <c r="K239" s="25">
        <v>0.29849999999999999</v>
      </c>
      <c r="L239" s="2">
        <v>2</v>
      </c>
      <c r="M239" s="2">
        <v>96</v>
      </c>
      <c r="N239" s="2">
        <v>98</v>
      </c>
      <c r="O239" t="s">
        <v>29</v>
      </c>
      <c r="P239" t="s">
        <v>54</v>
      </c>
      <c r="Q239" t="s">
        <v>31</v>
      </c>
      <c r="R239" t="s">
        <v>42</v>
      </c>
      <c r="S239" t="s">
        <v>44</v>
      </c>
      <c r="T239" t="s">
        <v>49</v>
      </c>
      <c r="U239" t="s">
        <v>46</v>
      </c>
      <c r="V239" t="s">
        <v>36</v>
      </c>
      <c r="W239" t="s">
        <v>37</v>
      </c>
      <c r="X239" s="24">
        <v>2.0408163265306118</v>
      </c>
      <c r="Y239" s="24">
        <v>97.959183673469383</v>
      </c>
      <c r="Z239" t="s">
        <v>40</v>
      </c>
      <c r="AA239" t="s">
        <v>39</v>
      </c>
      <c r="AB239" t="s">
        <v>38</v>
      </c>
      <c r="AC239" s="24">
        <v>-3.7000000000000033E-2</v>
      </c>
    </row>
    <row r="240" spans="1:29" x14ac:dyDescent="0.3">
      <c r="A240" s="2">
        <v>47</v>
      </c>
      <c r="B240" s="1">
        <v>40545</v>
      </c>
      <c r="C240" s="2">
        <v>1</v>
      </c>
      <c r="D240" s="2">
        <v>23</v>
      </c>
      <c r="E240" t="b">
        <v>0</v>
      </c>
      <c r="F240" s="2">
        <v>0</v>
      </c>
      <c r="G240" s="2">
        <v>1</v>
      </c>
      <c r="H240" s="23">
        <v>0.22</v>
      </c>
      <c r="I240" s="25">
        <v>0.2273</v>
      </c>
      <c r="J240" s="23">
        <v>0.47</v>
      </c>
      <c r="K240" s="25">
        <v>0.16420000000000001</v>
      </c>
      <c r="L240" s="2">
        <v>0</v>
      </c>
      <c r="M240" s="2">
        <v>8</v>
      </c>
      <c r="N240" s="2">
        <v>8</v>
      </c>
      <c r="O240" t="s">
        <v>29</v>
      </c>
      <c r="P240" t="s">
        <v>52</v>
      </c>
      <c r="Q240" t="s">
        <v>31</v>
      </c>
      <c r="R240" t="s">
        <v>32</v>
      </c>
      <c r="S240" t="s">
        <v>33</v>
      </c>
      <c r="T240" t="s">
        <v>49</v>
      </c>
      <c r="U240" t="s">
        <v>46</v>
      </c>
      <c r="V240" t="s">
        <v>36</v>
      </c>
      <c r="W240" t="s">
        <v>37</v>
      </c>
      <c r="X240" s="24">
        <v>0</v>
      </c>
      <c r="Y240" s="24">
        <v>100</v>
      </c>
      <c r="Z240" t="s">
        <v>38</v>
      </c>
      <c r="AA240" t="s">
        <v>39</v>
      </c>
      <c r="AB240" t="s">
        <v>40</v>
      </c>
      <c r="AC240" s="24">
        <v>7.3000000000000009E-3</v>
      </c>
    </row>
    <row r="241" spans="1:29" x14ac:dyDescent="0.3">
      <c r="A241" s="2">
        <v>50</v>
      </c>
      <c r="B241" s="1">
        <v>40546</v>
      </c>
      <c r="C241" s="2">
        <v>1</v>
      </c>
      <c r="D241" s="2">
        <v>4</v>
      </c>
      <c r="E241" t="b">
        <v>0</v>
      </c>
      <c r="F241" s="2">
        <v>1</v>
      </c>
      <c r="G241" s="2">
        <v>1</v>
      </c>
      <c r="H241" s="23">
        <v>0.16</v>
      </c>
      <c r="I241" s="25">
        <v>0.13639999999999999</v>
      </c>
      <c r="J241" s="23">
        <v>0.47</v>
      </c>
      <c r="K241" s="25">
        <v>0.3881</v>
      </c>
      <c r="L241" s="2">
        <v>0</v>
      </c>
      <c r="M241" s="2">
        <v>1</v>
      </c>
      <c r="N241" s="2">
        <v>1</v>
      </c>
      <c r="O241" t="s">
        <v>29</v>
      </c>
      <c r="P241" t="s">
        <v>54</v>
      </c>
      <c r="Q241" t="s">
        <v>31</v>
      </c>
      <c r="R241" t="s">
        <v>32</v>
      </c>
      <c r="S241" t="s">
        <v>33</v>
      </c>
      <c r="T241" t="s">
        <v>49</v>
      </c>
      <c r="U241" t="s">
        <v>53</v>
      </c>
      <c r="V241" t="s">
        <v>36</v>
      </c>
      <c r="W241" t="s">
        <v>37</v>
      </c>
      <c r="X241" s="24">
        <v>0</v>
      </c>
      <c r="Y241" s="24">
        <v>100</v>
      </c>
      <c r="Z241" t="s">
        <v>38</v>
      </c>
      <c r="AA241" t="s">
        <v>39</v>
      </c>
      <c r="AB241" t="s">
        <v>38</v>
      </c>
      <c r="AC241" s="24">
        <v>-2.360000000000001E-2</v>
      </c>
    </row>
    <row r="242" spans="1:29" x14ac:dyDescent="0.3">
      <c r="A242" s="2">
        <v>51</v>
      </c>
      <c r="B242" s="1">
        <v>40546</v>
      </c>
      <c r="C242" s="2">
        <v>1</v>
      </c>
      <c r="D242" s="2">
        <v>5</v>
      </c>
      <c r="E242" t="b">
        <v>0</v>
      </c>
      <c r="F242" s="2">
        <v>1</v>
      </c>
      <c r="G242" s="2">
        <v>1</v>
      </c>
      <c r="H242" s="23">
        <v>0.16</v>
      </c>
      <c r="I242" s="25">
        <v>0.13639999999999999</v>
      </c>
      <c r="J242" s="23">
        <v>0.47</v>
      </c>
      <c r="K242" s="25">
        <v>0.28360000000000002</v>
      </c>
      <c r="L242" s="2">
        <v>0</v>
      </c>
      <c r="M242" s="2">
        <v>3</v>
      </c>
      <c r="N242" s="2">
        <v>3</v>
      </c>
      <c r="O242" t="s">
        <v>29</v>
      </c>
      <c r="P242" t="s">
        <v>54</v>
      </c>
      <c r="Q242" t="s">
        <v>31</v>
      </c>
      <c r="R242" t="s">
        <v>32</v>
      </c>
      <c r="S242" t="s">
        <v>33</v>
      </c>
      <c r="T242" t="s">
        <v>49</v>
      </c>
      <c r="U242" t="s">
        <v>46</v>
      </c>
      <c r="V242" t="s">
        <v>36</v>
      </c>
      <c r="W242" t="s">
        <v>37</v>
      </c>
      <c r="X242" s="24">
        <v>0</v>
      </c>
      <c r="Y242" s="24">
        <v>100</v>
      </c>
      <c r="Z242" t="s">
        <v>38</v>
      </c>
      <c r="AA242" t="s">
        <v>39</v>
      </c>
      <c r="AB242" t="s">
        <v>38</v>
      </c>
      <c r="AC242" s="24">
        <v>-2.360000000000001E-2</v>
      </c>
    </row>
    <row r="243" spans="1:29" x14ac:dyDescent="0.3">
      <c r="A243" s="2">
        <v>65</v>
      </c>
      <c r="B243" s="1">
        <v>40546</v>
      </c>
      <c r="C243" s="2">
        <v>1</v>
      </c>
      <c r="D243" s="2">
        <v>19</v>
      </c>
      <c r="E243" t="b">
        <v>0</v>
      </c>
      <c r="F243" s="2">
        <v>1</v>
      </c>
      <c r="G243" s="2">
        <v>1</v>
      </c>
      <c r="H243" s="23">
        <v>0.2</v>
      </c>
      <c r="I243" s="25">
        <v>0.2576</v>
      </c>
      <c r="J243" s="23">
        <v>0.47</v>
      </c>
      <c r="K243" s="25">
        <v>0</v>
      </c>
      <c r="L243" s="2">
        <v>8</v>
      </c>
      <c r="M243" s="2">
        <v>102</v>
      </c>
      <c r="N243" s="2">
        <v>110</v>
      </c>
      <c r="O243" t="s">
        <v>29</v>
      </c>
      <c r="P243" t="s">
        <v>54</v>
      </c>
      <c r="Q243" t="s">
        <v>31</v>
      </c>
      <c r="R243" t="s">
        <v>50</v>
      </c>
      <c r="S243" t="s">
        <v>33</v>
      </c>
      <c r="T243" t="s">
        <v>49</v>
      </c>
      <c r="U243" t="s">
        <v>35</v>
      </c>
      <c r="V243" t="s">
        <v>36</v>
      </c>
      <c r="W243" t="s">
        <v>37</v>
      </c>
      <c r="X243" s="24">
        <v>7.2727272727272716</v>
      </c>
      <c r="Y243" s="24">
        <v>92.72727272727272</v>
      </c>
      <c r="Z243" t="s">
        <v>40</v>
      </c>
      <c r="AA243" t="s">
        <v>49</v>
      </c>
      <c r="AB243" t="s">
        <v>38</v>
      </c>
      <c r="AC243" s="24">
        <v>5.7599999999999978E-2</v>
      </c>
    </row>
    <row r="244" spans="1:29" x14ac:dyDescent="0.3">
      <c r="A244" s="2">
        <v>66</v>
      </c>
      <c r="B244" s="1">
        <v>40546</v>
      </c>
      <c r="C244" s="2">
        <v>1</v>
      </c>
      <c r="D244" s="2">
        <v>20</v>
      </c>
      <c r="E244" t="b">
        <v>0</v>
      </c>
      <c r="F244" s="2">
        <v>1</v>
      </c>
      <c r="G244" s="2">
        <v>1</v>
      </c>
      <c r="H244" s="23">
        <v>0.2</v>
      </c>
      <c r="I244" s="25">
        <v>0.2576</v>
      </c>
      <c r="J244" s="23">
        <v>0.47</v>
      </c>
      <c r="K244" s="25">
        <v>0.1045</v>
      </c>
      <c r="L244" s="2">
        <v>3</v>
      </c>
      <c r="M244" s="2">
        <v>49</v>
      </c>
      <c r="N244" s="2">
        <v>52</v>
      </c>
      <c r="O244" t="s">
        <v>29</v>
      </c>
      <c r="P244" t="s">
        <v>54</v>
      </c>
      <c r="Q244" t="s">
        <v>31</v>
      </c>
      <c r="R244" t="s">
        <v>50</v>
      </c>
      <c r="S244" t="s">
        <v>33</v>
      </c>
      <c r="T244" t="s">
        <v>49</v>
      </c>
      <c r="U244" t="s">
        <v>35</v>
      </c>
      <c r="V244" t="s">
        <v>36</v>
      </c>
      <c r="W244" t="s">
        <v>37</v>
      </c>
      <c r="X244" s="24">
        <v>5.7692307692307692</v>
      </c>
      <c r="Y244" s="24">
        <v>94.230769230769226</v>
      </c>
      <c r="Z244" t="s">
        <v>38</v>
      </c>
      <c r="AA244" t="s">
        <v>39</v>
      </c>
      <c r="AB244" t="s">
        <v>38</v>
      </c>
      <c r="AC244" s="24">
        <v>5.7599999999999978E-2</v>
      </c>
    </row>
    <row r="245" spans="1:29" x14ac:dyDescent="0.3">
      <c r="A245" s="2">
        <v>97</v>
      </c>
      <c r="B245" s="1">
        <v>40548</v>
      </c>
      <c r="C245" s="2">
        <v>1</v>
      </c>
      <c r="D245" s="2">
        <v>5</v>
      </c>
      <c r="E245" t="b">
        <v>0</v>
      </c>
      <c r="F245" s="2">
        <v>3</v>
      </c>
      <c r="G245" s="2">
        <v>1</v>
      </c>
      <c r="H245" s="23">
        <v>0.22</v>
      </c>
      <c r="I245" s="25">
        <v>0.2273</v>
      </c>
      <c r="J245" s="23">
        <v>0.47</v>
      </c>
      <c r="K245" s="25">
        <v>0.16420000000000001</v>
      </c>
      <c r="L245" s="2">
        <v>0</v>
      </c>
      <c r="M245" s="2">
        <v>3</v>
      </c>
      <c r="N245" s="2">
        <v>3</v>
      </c>
      <c r="O245" t="s">
        <v>29</v>
      </c>
      <c r="P245" t="s">
        <v>57</v>
      </c>
      <c r="Q245" t="s">
        <v>31</v>
      </c>
      <c r="R245" t="s">
        <v>32</v>
      </c>
      <c r="S245" t="s">
        <v>33</v>
      </c>
      <c r="T245" t="s">
        <v>49</v>
      </c>
      <c r="U245" t="s">
        <v>46</v>
      </c>
      <c r="V245" t="s">
        <v>36</v>
      </c>
      <c r="W245" t="s">
        <v>37</v>
      </c>
      <c r="X245" s="24">
        <v>0</v>
      </c>
      <c r="Y245" s="24">
        <v>100</v>
      </c>
      <c r="Z245" t="s">
        <v>38</v>
      </c>
      <c r="AA245" t="s">
        <v>39</v>
      </c>
      <c r="AB245" t="s">
        <v>38</v>
      </c>
      <c r="AC245" s="24">
        <v>7.3000000000000009E-3</v>
      </c>
    </row>
    <row r="246" spans="1:29" x14ac:dyDescent="0.3">
      <c r="A246" s="2">
        <v>98</v>
      </c>
      <c r="B246" s="1">
        <v>40548</v>
      </c>
      <c r="C246" s="2">
        <v>1</v>
      </c>
      <c r="D246" s="2">
        <v>6</v>
      </c>
      <c r="E246" t="b">
        <v>0</v>
      </c>
      <c r="F246" s="2">
        <v>3</v>
      </c>
      <c r="G246" s="2">
        <v>1</v>
      </c>
      <c r="H246" s="23">
        <v>0.2</v>
      </c>
      <c r="I246" s="25">
        <v>0.19700000000000001</v>
      </c>
      <c r="J246" s="23">
        <v>0.47</v>
      </c>
      <c r="K246" s="25">
        <v>0.22389999999999999</v>
      </c>
      <c r="L246" s="2">
        <v>0</v>
      </c>
      <c r="M246" s="2">
        <v>33</v>
      </c>
      <c r="N246" s="2">
        <v>33</v>
      </c>
      <c r="O246" t="s">
        <v>29</v>
      </c>
      <c r="P246" t="s">
        <v>57</v>
      </c>
      <c r="Q246" t="s">
        <v>31</v>
      </c>
      <c r="R246" t="s">
        <v>42</v>
      </c>
      <c r="S246" t="s">
        <v>33</v>
      </c>
      <c r="T246" t="s">
        <v>49</v>
      </c>
      <c r="U246" t="s">
        <v>46</v>
      </c>
      <c r="V246" t="s">
        <v>36</v>
      </c>
      <c r="W246" t="s">
        <v>37</v>
      </c>
      <c r="X246" s="24">
        <v>0</v>
      </c>
      <c r="Y246" s="24">
        <v>100</v>
      </c>
      <c r="Z246" t="s">
        <v>38</v>
      </c>
      <c r="AA246" t="s">
        <v>39</v>
      </c>
      <c r="AB246" t="s">
        <v>38</v>
      </c>
      <c r="AC246" s="24">
        <v>-3.0000000000000031E-3</v>
      </c>
    </row>
    <row r="247" spans="1:29" x14ac:dyDescent="0.3">
      <c r="A247" s="2">
        <v>112</v>
      </c>
      <c r="B247" s="1">
        <v>40548</v>
      </c>
      <c r="C247" s="2">
        <v>1</v>
      </c>
      <c r="D247" s="2">
        <v>20</v>
      </c>
      <c r="E247" t="b">
        <v>0</v>
      </c>
      <c r="F247" s="2">
        <v>3</v>
      </c>
      <c r="G247" s="2">
        <v>1</v>
      </c>
      <c r="H247" s="23">
        <v>0.22</v>
      </c>
      <c r="I247" s="25">
        <v>0.2273</v>
      </c>
      <c r="J247" s="23">
        <v>0.47</v>
      </c>
      <c r="K247" s="25">
        <v>0.16420000000000001</v>
      </c>
      <c r="L247" s="2">
        <v>7</v>
      </c>
      <c r="M247" s="2">
        <v>82</v>
      </c>
      <c r="N247" s="2">
        <v>89</v>
      </c>
      <c r="O247" t="s">
        <v>29</v>
      </c>
      <c r="P247" t="s">
        <v>57</v>
      </c>
      <c r="Q247" t="s">
        <v>31</v>
      </c>
      <c r="R247" t="s">
        <v>50</v>
      </c>
      <c r="S247" t="s">
        <v>33</v>
      </c>
      <c r="T247" t="s">
        <v>49</v>
      </c>
      <c r="U247" t="s">
        <v>46</v>
      </c>
      <c r="V247" t="s">
        <v>36</v>
      </c>
      <c r="W247" t="s">
        <v>37</v>
      </c>
      <c r="X247" s="24">
        <v>7.8651685393258424</v>
      </c>
      <c r="Y247" s="24">
        <v>92.134831460674164</v>
      </c>
      <c r="Z247" t="s">
        <v>38</v>
      </c>
      <c r="AA247" t="s">
        <v>39</v>
      </c>
      <c r="AB247" t="s">
        <v>38</v>
      </c>
      <c r="AC247" s="24">
        <v>7.3000000000000009E-3</v>
      </c>
    </row>
    <row r="248" spans="1:29" x14ac:dyDescent="0.3">
      <c r="A248" s="2">
        <v>247</v>
      </c>
      <c r="B248" s="1">
        <v>40554</v>
      </c>
      <c r="C248" s="2">
        <v>1</v>
      </c>
      <c r="D248" s="2">
        <v>15</v>
      </c>
      <c r="E248" t="b">
        <v>0</v>
      </c>
      <c r="F248" s="2">
        <v>2</v>
      </c>
      <c r="G248" s="2">
        <v>2</v>
      </c>
      <c r="H248" s="23">
        <v>0.16</v>
      </c>
      <c r="I248" s="25">
        <v>0.19700000000000001</v>
      </c>
      <c r="J248" s="23">
        <v>0.8</v>
      </c>
      <c r="K248" s="25">
        <v>8.9599999999999999E-2</v>
      </c>
      <c r="L248" s="2">
        <v>2</v>
      </c>
      <c r="M248" s="2">
        <v>45</v>
      </c>
      <c r="N248" s="2">
        <v>47</v>
      </c>
      <c r="O248" t="s">
        <v>29</v>
      </c>
      <c r="P248" t="s">
        <v>56</v>
      </c>
      <c r="Q248" t="s">
        <v>41</v>
      </c>
      <c r="R248" t="s">
        <v>47</v>
      </c>
      <c r="S248" t="s">
        <v>33</v>
      </c>
      <c r="T248" t="s">
        <v>34</v>
      </c>
      <c r="U248" t="s">
        <v>35</v>
      </c>
      <c r="V248" t="s">
        <v>36</v>
      </c>
      <c r="W248" t="s">
        <v>37</v>
      </c>
      <c r="X248" s="24">
        <v>4.2553191489361701</v>
      </c>
      <c r="Y248" s="24">
        <v>95.744680851063833</v>
      </c>
      <c r="Z248" t="s">
        <v>38</v>
      </c>
      <c r="AA248" t="s">
        <v>39</v>
      </c>
      <c r="AB248" t="s">
        <v>38</v>
      </c>
      <c r="AC248" s="24">
        <v>3.7000000000000012E-2</v>
      </c>
    </row>
    <row r="249" spans="1:29" x14ac:dyDescent="0.3">
      <c r="A249" s="2">
        <v>248</v>
      </c>
      <c r="B249" s="1">
        <v>40554</v>
      </c>
      <c r="C249" s="2">
        <v>1</v>
      </c>
      <c r="D249" s="2">
        <v>16</v>
      </c>
      <c r="E249" t="b">
        <v>0</v>
      </c>
      <c r="F249" s="2">
        <v>2</v>
      </c>
      <c r="G249" s="2">
        <v>2</v>
      </c>
      <c r="H249" s="23">
        <v>0.16</v>
      </c>
      <c r="I249" s="25">
        <v>0.1515</v>
      </c>
      <c r="J249" s="23">
        <v>0.86</v>
      </c>
      <c r="K249" s="25">
        <v>0.22389999999999999</v>
      </c>
      <c r="L249" s="2">
        <v>4</v>
      </c>
      <c r="M249" s="2">
        <v>72</v>
      </c>
      <c r="N249" s="2">
        <v>76</v>
      </c>
      <c r="O249" t="s">
        <v>29</v>
      </c>
      <c r="P249" t="s">
        <v>56</v>
      </c>
      <c r="Q249" t="s">
        <v>41</v>
      </c>
      <c r="R249" t="s">
        <v>47</v>
      </c>
      <c r="S249" t="s">
        <v>33</v>
      </c>
      <c r="T249" t="s">
        <v>34</v>
      </c>
      <c r="U249" t="s">
        <v>46</v>
      </c>
      <c r="V249" t="s">
        <v>36</v>
      </c>
      <c r="W249" t="s">
        <v>37</v>
      </c>
      <c r="X249" s="24">
        <v>5.2631578947368416</v>
      </c>
      <c r="Y249" s="24">
        <v>94.73684210526315</v>
      </c>
      <c r="Z249" t="s">
        <v>38</v>
      </c>
      <c r="AA249" t="s">
        <v>39</v>
      </c>
      <c r="AB249" t="s">
        <v>38</v>
      </c>
      <c r="AC249" s="24">
        <v>-8.5000000000000075E-3</v>
      </c>
    </row>
    <row r="250" spans="1:29" x14ac:dyDescent="0.3">
      <c r="A250" s="2">
        <v>249</v>
      </c>
      <c r="B250" s="1">
        <v>40554</v>
      </c>
      <c r="C250" s="2">
        <v>1</v>
      </c>
      <c r="D250" s="2">
        <v>17</v>
      </c>
      <c r="E250" t="b">
        <v>0</v>
      </c>
      <c r="F250" s="2">
        <v>2</v>
      </c>
      <c r="G250" s="2">
        <v>2</v>
      </c>
      <c r="H250" s="23">
        <v>0.16</v>
      </c>
      <c r="I250" s="25">
        <v>0.1515</v>
      </c>
      <c r="J250" s="23">
        <v>0.86</v>
      </c>
      <c r="K250" s="25">
        <v>0.22389999999999999</v>
      </c>
      <c r="L250" s="2">
        <v>6</v>
      </c>
      <c r="M250" s="2">
        <v>130</v>
      </c>
      <c r="N250" s="2">
        <v>136</v>
      </c>
      <c r="O250" t="s">
        <v>29</v>
      </c>
      <c r="P250" t="s">
        <v>56</v>
      </c>
      <c r="Q250" t="s">
        <v>41</v>
      </c>
      <c r="R250" t="s">
        <v>50</v>
      </c>
      <c r="S250" t="s">
        <v>33</v>
      </c>
      <c r="T250" t="s">
        <v>34</v>
      </c>
      <c r="U250" t="s">
        <v>46</v>
      </c>
      <c r="V250" t="s">
        <v>36</v>
      </c>
      <c r="W250" t="s">
        <v>37</v>
      </c>
      <c r="X250" s="24">
        <v>4.4117647058823533</v>
      </c>
      <c r="Y250" s="24">
        <v>95.588235294117652</v>
      </c>
      <c r="Z250" t="s">
        <v>40</v>
      </c>
      <c r="AA250" t="s">
        <v>49</v>
      </c>
      <c r="AB250" t="s">
        <v>38</v>
      </c>
      <c r="AC250" s="24">
        <v>-8.5000000000000075E-3</v>
      </c>
    </row>
    <row r="251" spans="1:29" x14ac:dyDescent="0.3">
      <c r="A251" s="2">
        <v>250</v>
      </c>
      <c r="B251" s="1">
        <v>40554</v>
      </c>
      <c r="C251" s="2">
        <v>1</v>
      </c>
      <c r="D251" s="2">
        <v>18</v>
      </c>
      <c r="E251" t="b">
        <v>0</v>
      </c>
      <c r="F251" s="2">
        <v>2</v>
      </c>
      <c r="G251" s="2">
        <v>3</v>
      </c>
      <c r="H251" s="23">
        <v>0.16</v>
      </c>
      <c r="I251" s="25">
        <v>0.18179999999999999</v>
      </c>
      <c r="J251" s="23">
        <v>0.93</v>
      </c>
      <c r="K251" s="25">
        <v>0.1045</v>
      </c>
      <c r="L251" s="2">
        <v>1</v>
      </c>
      <c r="M251" s="2">
        <v>94</v>
      </c>
      <c r="N251" s="2">
        <v>95</v>
      </c>
      <c r="O251" t="s">
        <v>29</v>
      </c>
      <c r="P251" t="s">
        <v>56</v>
      </c>
      <c r="Q251" t="s">
        <v>51</v>
      </c>
      <c r="R251" t="s">
        <v>50</v>
      </c>
      <c r="S251" t="s">
        <v>33</v>
      </c>
      <c r="T251" t="s">
        <v>34</v>
      </c>
      <c r="U251" t="s">
        <v>35</v>
      </c>
      <c r="V251" t="s">
        <v>36</v>
      </c>
      <c r="W251" t="s">
        <v>37</v>
      </c>
      <c r="X251" s="24">
        <v>1.0526315789473679</v>
      </c>
      <c r="Y251" s="24">
        <v>98.94736842105263</v>
      </c>
      <c r="Z251" t="s">
        <v>40</v>
      </c>
      <c r="AA251" t="s">
        <v>39</v>
      </c>
      <c r="AB251" t="s">
        <v>38</v>
      </c>
      <c r="AC251" s="24">
        <v>2.179999999999999E-2</v>
      </c>
    </row>
    <row r="252" spans="1:29" x14ac:dyDescent="0.3">
      <c r="A252" s="2">
        <v>251</v>
      </c>
      <c r="B252" s="1">
        <v>40554</v>
      </c>
      <c r="C252" s="2">
        <v>1</v>
      </c>
      <c r="D252" s="2">
        <v>19</v>
      </c>
      <c r="E252" t="b">
        <v>0</v>
      </c>
      <c r="F252" s="2">
        <v>2</v>
      </c>
      <c r="G252" s="2">
        <v>3</v>
      </c>
      <c r="H252" s="23">
        <v>0.16</v>
      </c>
      <c r="I252" s="25">
        <v>0.2273</v>
      </c>
      <c r="J252" s="23">
        <v>0.93</v>
      </c>
      <c r="K252" s="25">
        <v>0</v>
      </c>
      <c r="L252" s="2">
        <v>0</v>
      </c>
      <c r="M252" s="2">
        <v>51</v>
      </c>
      <c r="N252" s="2">
        <v>51</v>
      </c>
      <c r="O252" t="s">
        <v>29</v>
      </c>
      <c r="P252" t="s">
        <v>56</v>
      </c>
      <c r="Q252" t="s">
        <v>51</v>
      </c>
      <c r="R252" t="s">
        <v>50</v>
      </c>
      <c r="S252" t="s">
        <v>33</v>
      </c>
      <c r="T252" t="s">
        <v>34</v>
      </c>
      <c r="U252" t="s">
        <v>35</v>
      </c>
      <c r="V252" t="s">
        <v>36</v>
      </c>
      <c r="W252" t="s">
        <v>37</v>
      </c>
      <c r="X252" s="24">
        <v>0</v>
      </c>
      <c r="Y252" s="24">
        <v>100</v>
      </c>
      <c r="Z252" t="s">
        <v>40</v>
      </c>
      <c r="AA252" t="s">
        <v>39</v>
      </c>
      <c r="AB252" t="s">
        <v>38</v>
      </c>
      <c r="AC252" s="24">
        <v>6.7299999999999999E-2</v>
      </c>
    </row>
    <row r="253" spans="1:29" x14ac:dyDescent="0.3">
      <c r="A253" s="2">
        <v>252</v>
      </c>
      <c r="B253" s="1">
        <v>40554</v>
      </c>
      <c r="C253" s="2">
        <v>1</v>
      </c>
      <c r="D253" s="2">
        <v>20</v>
      </c>
      <c r="E253" t="b">
        <v>0</v>
      </c>
      <c r="F253" s="2">
        <v>2</v>
      </c>
      <c r="G253" s="2">
        <v>3</v>
      </c>
      <c r="H253" s="23">
        <v>0.16</v>
      </c>
      <c r="I253" s="25">
        <v>0.1515</v>
      </c>
      <c r="J253" s="23">
        <v>0.93</v>
      </c>
      <c r="K253" s="25">
        <v>0.19400000000000001</v>
      </c>
      <c r="L253" s="2">
        <v>0</v>
      </c>
      <c r="M253" s="2">
        <v>32</v>
      </c>
      <c r="N253" s="2">
        <v>32</v>
      </c>
      <c r="O253" t="s">
        <v>29</v>
      </c>
      <c r="P253" t="s">
        <v>56</v>
      </c>
      <c r="Q253" t="s">
        <v>51</v>
      </c>
      <c r="R253" t="s">
        <v>50</v>
      </c>
      <c r="S253" t="s">
        <v>33</v>
      </c>
      <c r="T253" t="s">
        <v>34</v>
      </c>
      <c r="U253" t="s">
        <v>46</v>
      </c>
      <c r="V253" t="s">
        <v>36</v>
      </c>
      <c r="W253" t="s">
        <v>37</v>
      </c>
      <c r="X253" s="24">
        <v>0</v>
      </c>
      <c r="Y253" s="24">
        <v>100</v>
      </c>
      <c r="Z253" t="s">
        <v>38</v>
      </c>
      <c r="AA253" t="s">
        <v>39</v>
      </c>
      <c r="AB253" t="s">
        <v>38</v>
      </c>
      <c r="AC253" s="24">
        <v>-8.5000000000000075E-3</v>
      </c>
    </row>
    <row r="254" spans="1:29" x14ac:dyDescent="0.3">
      <c r="A254" s="2">
        <v>253</v>
      </c>
      <c r="B254" s="1">
        <v>40554</v>
      </c>
      <c r="C254" s="2">
        <v>1</v>
      </c>
      <c r="D254" s="2">
        <v>21</v>
      </c>
      <c r="E254" t="b">
        <v>0</v>
      </c>
      <c r="F254" s="2">
        <v>2</v>
      </c>
      <c r="G254" s="2">
        <v>3</v>
      </c>
      <c r="H254" s="23">
        <v>0.16</v>
      </c>
      <c r="I254" s="25">
        <v>0.19700000000000001</v>
      </c>
      <c r="J254" s="23">
        <v>0.86</v>
      </c>
      <c r="K254" s="25">
        <v>8.9599999999999999E-2</v>
      </c>
      <c r="L254" s="2">
        <v>0</v>
      </c>
      <c r="M254" s="2">
        <v>20</v>
      </c>
      <c r="N254" s="2">
        <v>20</v>
      </c>
      <c r="O254" t="s">
        <v>29</v>
      </c>
      <c r="P254" t="s">
        <v>56</v>
      </c>
      <c r="Q254" t="s">
        <v>51</v>
      </c>
      <c r="R254" t="s">
        <v>32</v>
      </c>
      <c r="S254" t="s">
        <v>33</v>
      </c>
      <c r="T254" t="s">
        <v>34</v>
      </c>
      <c r="U254" t="s">
        <v>35</v>
      </c>
      <c r="V254" t="s">
        <v>36</v>
      </c>
      <c r="W254" t="s">
        <v>37</v>
      </c>
      <c r="X254" s="24">
        <v>0</v>
      </c>
      <c r="Y254" s="24">
        <v>100</v>
      </c>
      <c r="Z254" t="s">
        <v>38</v>
      </c>
      <c r="AA254" t="s">
        <v>39</v>
      </c>
      <c r="AB254" t="s">
        <v>38</v>
      </c>
      <c r="AC254" s="24">
        <v>3.7000000000000012E-2</v>
      </c>
    </row>
    <row r="255" spans="1:29" x14ac:dyDescent="0.3">
      <c r="A255" s="2">
        <v>254</v>
      </c>
      <c r="B255" s="1">
        <v>40554</v>
      </c>
      <c r="C255" s="2">
        <v>1</v>
      </c>
      <c r="D255" s="2">
        <v>22</v>
      </c>
      <c r="E255" t="b">
        <v>0</v>
      </c>
      <c r="F255" s="2">
        <v>2</v>
      </c>
      <c r="G255" s="2">
        <v>3</v>
      </c>
      <c r="H255" s="23">
        <v>0.16</v>
      </c>
      <c r="I255" s="25">
        <v>0.18179999999999999</v>
      </c>
      <c r="J255" s="23">
        <v>0.93</v>
      </c>
      <c r="K255" s="25">
        <v>0.1045</v>
      </c>
      <c r="L255" s="2">
        <v>1</v>
      </c>
      <c r="M255" s="2">
        <v>28</v>
      </c>
      <c r="N255" s="2">
        <v>29</v>
      </c>
      <c r="O255" t="s">
        <v>29</v>
      </c>
      <c r="P255" t="s">
        <v>56</v>
      </c>
      <c r="Q255" t="s">
        <v>51</v>
      </c>
      <c r="R255" t="s">
        <v>32</v>
      </c>
      <c r="S255" t="s">
        <v>33</v>
      </c>
      <c r="T255" t="s">
        <v>34</v>
      </c>
      <c r="U255" t="s">
        <v>35</v>
      </c>
      <c r="V255" t="s">
        <v>36</v>
      </c>
      <c r="W255" t="s">
        <v>37</v>
      </c>
      <c r="X255" s="24">
        <v>3.4482758620689649</v>
      </c>
      <c r="Y255" s="24">
        <v>96.551724137931032</v>
      </c>
      <c r="Z255" t="s">
        <v>38</v>
      </c>
      <c r="AA255" t="s">
        <v>39</v>
      </c>
      <c r="AB255" t="s">
        <v>38</v>
      </c>
      <c r="AC255" s="24">
        <v>2.179999999999999E-2</v>
      </c>
    </row>
    <row r="256" spans="1:29" x14ac:dyDescent="0.3">
      <c r="A256" s="2">
        <v>255</v>
      </c>
      <c r="B256" s="1">
        <v>40554</v>
      </c>
      <c r="C256" s="2">
        <v>1</v>
      </c>
      <c r="D256" s="2">
        <v>23</v>
      </c>
      <c r="E256" t="b">
        <v>0</v>
      </c>
      <c r="F256" s="2">
        <v>2</v>
      </c>
      <c r="G256" s="2">
        <v>3</v>
      </c>
      <c r="H256" s="23">
        <v>0.16</v>
      </c>
      <c r="I256" s="25">
        <v>0.19700000000000001</v>
      </c>
      <c r="J256" s="23">
        <v>0.93</v>
      </c>
      <c r="K256" s="25">
        <v>8.9599999999999999E-2</v>
      </c>
      <c r="L256" s="2">
        <v>1</v>
      </c>
      <c r="M256" s="2">
        <v>18</v>
      </c>
      <c r="N256" s="2">
        <v>19</v>
      </c>
      <c r="O256" t="s">
        <v>29</v>
      </c>
      <c r="P256" t="s">
        <v>56</v>
      </c>
      <c r="Q256" t="s">
        <v>51</v>
      </c>
      <c r="R256" t="s">
        <v>32</v>
      </c>
      <c r="S256" t="s">
        <v>33</v>
      </c>
      <c r="T256" t="s">
        <v>34</v>
      </c>
      <c r="U256" t="s">
        <v>35</v>
      </c>
      <c r="V256" t="s">
        <v>36</v>
      </c>
      <c r="W256" t="s">
        <v>37</v>
      </c>
      <c r="X256" s="24">
        <v>5.2631578947368416</v>
      </c>
      <c r="Y256" s="24">
        <v>94.73684210526315</v>
      </c>
      <c r="Z256" t="s">
        <v>38</v>
      </c>
      <c r="AA256" t="s">
        <v>39</v>
      </c>
      <c r="AB256" t="s">
        <v>38</v>
      </c>
      <c r="AC256" s="24">
        <v>3.7000000000000012E-2</v>
      </c>
    </row>
    <row r="257" spans="1:29" x14ac:dyDescent="0.3">
      <c r="A257" s="2">
        <v>256</v>
      </c>
      <c r="B257" s="1">
        <v>40555</v>
      </c>
      <c r="C257" s="2">
        <v>1</v>
      </c>
      <c r="D257" s="2">
        <v>0</v>
      </c>
      <c r="E257" t="b">
        <v>0</v>
      </c>
      <c r="F257" s="2">
        <v>3</v>
      </c>
      <c r="G257" s="2">
        <v>2</v>
      </c>
      <c r="H257" s="23">
        <v>0.16</v>
      </c>
      <c r="I257" s="25">
        <v>0.19700000000000001</v>
      </c>
      <c r="J257" s="23">
        <v>0.86</v>
      </c>
      <c r="K257" s="25">
        <v>8.9599999999999999E-2</v>
      </c>
      <c r="L257" s="2">
        <v>0</v>
      </c>
      <c r="M257" s="2">
        <v>7</v>
      </c>
      <c r="N257" s="2">
        <v>7</v>
      </c>
      <c r="O257" t="s">
        <v>29</v>
      </c>
      <c r="P257" t="s">
        <v>57</v>
      </c>
      <c r="Q257" t="s">
        <v>41</v>
      </c>
      <c r="R257" t="s">
        <v>32</v>
      </c>
      <c r="S257" t="s">
        <v>33</v>
      </c>
      <c r="T257" t="s">
        <v>34</v>
      </c>
      <c r="U257" t="s">
        <v>35</v>
      </c>
      <c r="V257" t="s">
        <v>36</v>
      </c>
      <c r="W257" t="s">
        <v>37</v>
      </c>
      <c r="X257" s="24">
        <v>0</v>
      </c>
      <c r="Y257" s="24">
        <v>100</v>
      </c>
      <c r="Z257" t="s">
        <v>38</v>
      </c>
      <c r="AA257" t="s">
        <v>39</v>
      </c>
      <c r="AB257" t="s">
        <v>38</v>
      </c>
      <c r="AC257" s="24">
        <v>3.7000000000000012E-2</v>
      </c>
    </row>
    <row r="258" spans="1:29" x14ac:dyDescent="0.3">
      <c r="A258" s="2">
        <v>257</v>
      </c>
      <c r="B258" s="1">
        <v>40555</v>
      </c>
      <c r="C258" s="2">
        <v>1</v>
      </c>
      <c r="D258" s="2">
        <v>1</v>
      </c>
      <c r="E258" t="b">
        <v>0</v>
      </c>
      <c r="F258" s="2">
        <v>3</v>
      </c>
      <c r="G258" s="2">
        <v>2</v>
      </c>
      <c r="H258" s="23">
        <v>0.16</v>
      </c>
      <c r="I258" s="25">
        <v>0.18179999999999999</v>
      </c>
      <c r="J258" s="23">
        <v>0.86</v>
      </c>
      <c r="K258" s="25">
        <v>0.1045</v>
      </c>
      <c r="L258" s="2">
        <v>0</v>
      </c>
      <c r="M258" s="2">
        <v>6</v>
      </c>
      <c r="N258" s="2">
        <v>6</v>
      </c>
      <c r="O258" t="s">
        <v>29</v>
      </c>
      <c r="P258" t="s">
        <v>57</v>
      </c>
      <c r="Q258" t="s">
        <v>41</v>
      </c>
      <c r="R258" t="s">
        <v>32</v>
      </c>
      <c r="S258" t="s">
        <v>33</v>
      </c>
      <c r="T258" t="s">
        <v>34</v>
      </c>
      <c r="U258" t="s">
        <v>35</v>
      </c>
      <c r="V258" t="s">
        <v>36</v>
      </c>
      <c r="W258" t="s">
        <v>37</v>
      </c>
      <c r="X258" s="24">
        <v>0</v>
      </c>
      <c r="Y258" s="24">
        <v>100</v>
      </c>
      <c r="Z258" t="s">
        <v>38</v>
      </c>
      <c r="AA258" t="s">
        <v>39</v>
      </c>
      <c r="AB258" t="s">
        <v>38</v>
      </c>
      <c r="AC258" s="24">
        <v>2.179999999999999E-2</v>
      </c>
    </row>
    <row r="259" spans="1:29" x14ac:dyDescent="0.3">
      <c r="A259" s="2">
        <v>258</v>
      </c>
      <c r="B259" s="1">
        <v>40555</v>
      </c>
      <c r="C259" s="2">
        <v>1</v>
      </c>
      <c r="D259" s="2">
        <v>2</v>
      </c>
      <c r="E259" t="b">
        <v>0</v>
      </c>
      <c r="F259" s="2">
        <v>3</v>
      </c>
      <c r="G259" s="2">
        <v>1</v>
      </c>
      <c r="H259" s="23">
        <v>0.14000000000000001</v>
      </c>
      <c r="I259" s="25">
        <v>0.1515</v>
      </c>
      <c r="J259" s="23">
        <v>0.86</v>
      </c>
      <c r="K259" s="25">
        <v>0.1343</v>
      </c>
      <c r="L259" s="2">
        <v>0</v>
      </c>
      <c r="M259" s="2">
        <v>1</v>
      </c>
      <c r="N259" s="2">
        <v>1</v>
      </c>
      <c r="O259" t="s">
        <v>29</v>
      </c>
      <c r="P259" t="s">
        <v>57</v>
      </c>
      <c r="Q259" t="s">
        <v>31</v>
      </c>
      <c r="R259" t="s">
        <v>32</v>
      </c>
      <c r="S259" t="s">
        <v>55</v>
      </c>
      <c r="T259" t="s">
        <v>34</v>
      </c>
      <c r="U259" t="s">
        <v>35</v>
      </c>
      <c r="V259" t="s">
        <v>36</v>
      </c>
      <c r="W259" t="s">
        <v>37</v>
      </c>
      <c r="X259" s="24">
        <v>0</v>
      </c>
      <c r="Y259" s="24">
        <v>100</v>
      </c>
      <c r="Z259" t="s">
        <v>38</v>
      </c>
      <c r="AA259" t="s">
        <v>39</v>
      </c>
      <c r="AB259" t="s">
        <v>38</v>
      </c>
      <c r="AC259" s="24">
        <v>1.1499999999999981E-2</v>
      </c>
    </row>
    <row r="260" spans="1:29" x14ac:dyDescent="0.3">
      <c r="A260" s="2">
        <v>259</v>
      </c>
      <c r="B260" s="1">
        <v>40555</v>
      </c>
      <c r="C260" s="2">
        <v>1</v>
      </c>
      <c r="D260" s="2">
        <v>5</v>
      </c>
      <c r="E260" t="b">
        <v>0</v>
      </c>
      <c r="F260" s="2">
        <v>3</v>
      </c>
      <c r="G260" s="2">
        <v>1</v>
      </c>
      <c r="H260" s="23">
        <v>0.14000000000000001</v>
      </c>
      <c r="I260" s="25">
        <v>0.1515</v>
      </c>
      <c r="J260" s="23">
        <v>0.86</v>
      </c>
      <c r="K260" s="25">
        <v>0.16420000000000001</v>
      </c>
      <c r="L260" s="2">
        <v>0</v>
      </c>
      <c r="M260" s="2">
        <v>5</v>
      </c>
      <c r="N260" s="2">
        <v>5</v>
      </c>
      <c r="O260" t="s">
        <v>29</v>
      </c>
      <c r="P260" t="s">
        <v>57</v>
      </c>
      <c r="Q260" t="s">
        <v>31</v>
      </c>
      <c r="R260" t="s">
        <v>32</v>
      </c>
      <c r="S260" t="s">
        <v>55</v>
      </c>
      <c r="T260" t="s">
        <v>34</v>
      </c>
      <c r="U260" t="s">
        <v>46</v>
      </c>
      <c r="V260" t="s">
        <v>36</v>
      </c>
      <c r="W260" t="s">
        <v>37</v>
      </c>
      <c r="X260" s="24">
        <v>0</v>
      </c>
      <c r="Y260" s="24">
        <v>100</v>
      </c>
      <c r="Z260" t="s">
        <v>38</v>
      </c>
      <c r="AA260" t="s">
        <v>39</v>
      </c>
      <c r="AB260" t="s">
        <v>38</v>
      </c>
      <c r="AC260" s="24">
        <v>1.1499999999999981E-2</v>
      </c>
    </row>
    <row r="261" spans="1:29" x14ac:dyDescent="0.3">
      <c r="A261" s="2">
        <v>260</v>
      </c>
      <c r="B261" s="1">
        <v>40555</v>
      </c>
      <c r="C261" s="2">
        <v>1</v>
      </c>
      <c r="D261" s="2">
        <v>6</v>
      </c>
      <c r="E261" t="b">
        <v>0</v>
      </c>
      <c r="F261" s="2">
        <v>3</v>
      </c>
      <c r="G261" s="2">
        <v>1</v>
      </c>
      <c r="H261" s="23">
        <v>0.12</v>
      </c>
      <c r="I261" s="25">
        <v>0.1515</v>
      </c>
      <c r="J261" s="23">
        <v>0.93</v>
      </c>
      <c r="K261" s="25">
        <v>0.1343</v>
      </c>
      <c r="L261" s="2">
        <v>0</v>
      </c>
      <c r="M261" s="2">
        <v>16</v>
      </c>
      <c r="N261" s="2">
        <v>16</v>
      </c>
      <c r="O261" t="s">
        <v>29</v>
      </c>
      <c r="P261" t="s">
        <v>57</v>
      </c>
      <c r="Q261" t="s">
        <v>31</v>
      </c>
      <c r="R261" t="s">
        <v>42</v>
      </c>
      <c r="S261" t="s">
        <v>55</v>
      </c>
      <c r="T261" t="s">
        <v>34</v>
      </c>
      <c r="U261" t="s">
        <v>35</v>
      </c>
      <c r="V261" t="s">
        <v>36</v>
      </c>
      <c r="W261" t="s">
        <v>37</v>
      </c>
      <c r="X261" s="24">
        <v>0</v>
      </c>
      <c r="Y261" s="24">
        <v>100</v>
      </c>
      <c r="Z261" t="s">
        <v>38</v>
      </c>
      <c r="AA261" t="s">
        <v>39</v>
      </c>
      <c r="AB261" t="s">
        <v>38</v>
      </c>
      <c r="AC261" s="24">
        <v>3.15E-2</v>
      </c>
    </row>
    <row r="262" spans="1:29" x14ac:dyDescent="0.3">
      <c r="A262" s="2">
        <v>115</v>
      </c>
      <c r="B262" s="1">
        <v>40548</v>
      </c>
      <c r="C262" s="2">
        <v>1</v>
      </c>
      <c r="D262" s="2">
        <v>23</v>
      </c>
      <c r="E262" t="b">
        <v>0</v>
      </c>
      <c r="F262" s="2">
        <v>3</v>
      </c>
      <c r="G262" s="2">
        <v>1</v>
      </c>
      <c r="H262" s="23">
        <v>0.2</v>
      </c>
      <c r="I262" s="25">
        <v>0.2576</v>
      </c>
      <c r="J262" s="23">
        <v>0.47</v>
      </c>
      <c r="K262" s="25">
        <v>0</v>
      </c>
      <c r="L262" s="2">
        <v>1</v>
      </c>
      <c r="M262" s="2">
        <v>18</v>
      </c>
      <c r="N262" s="2">
        <v>19</v>
      </c>
      <c r="O262" t="s">
        <v>29</v>
      </c>
      <c r="P262" t="s">
        <v>57</v>
      </c>
      <c r="Q262" t="s">
        <v>31</v>
      </c>
      <c r="R262" t="s">
        <v>32</v>
      </c>
      <c r="S262" t="s">
        <v>33</v>
      </c>
      <c r="T262" t="s">
        <v>49</v>
      </c>
      <c r="U262" t="s">
        <v>35</v>
      </c>
      <c r="V262" t="s">
        <v>36</v>
      </c>
      <c r="W262" t="s">
        <v>37</v>
      </c>
      <c r="X262" s="24">
        <v>5.2631578947368416</v>
      </c>
      <c r="Y262" s="24">
        <v>94.73684210526315</v>
      </c>
      <c r="Z262" t="s">
        <v>38</v>
      </c>
      <c r="AA262" t="s">
        <v>39</v>
      </c>
      <c r="AB262" t="s">
        <v>38</v>
      </c>
      <c r="AC262" s="24">
        <v>5.7599999999999978E-2</v>
      </c>
    </row>
    <row r="263" spans="1:29" x14ac:dyDescent="0.3">
      <c r="A263" s="2">
        <v>125</v>
      </c>
      <c r="B263" s="1">
        <v>40549</v>
      </c>
      <c r="C263" s="2">
        <v>1</v>
      </c>
      <c r="D263" s="2">
        <v>10</v>
      </c>
      <c r="E263" t="b">
        <v>0</v>
      </c>
      <c r="F263" s="2">
        <v>4</v>
      </c>
      <c r="G263" s="2">
        <v>1</v>
      </c>
      <c r="H263" s="23">
        <v>0.2</v>
      </c>
      <c r="I263" s="25">
        <v>0.2576</v>
      </c>
      <c r="J263" s="23">
        <v>0.47</v>
      </c>
      <c r="K263" s="25">
        <v>0</v>
      </c>
      <c r="L263" s="2">
        <v>3</v>
      </c>
      <c r="M263" s="2">
        <v>42</v>
      </c>
      <c r="N263" s="2">
        <v>45</v>
      </c>
      <c r="O263" t="s">
        <v>29</v>
      </c>
      <c r="P263" t="s">
        <v>58</v>
      </c>
      <c r="Q263" t="s">
        <v>31</v>
      </c>
      <c r="R263" t="s">
        <v>42</v>
      </c>
      <c r="S263" t="s">
        <v>33</v>
      </c>
      <c r="T263" t="s">
        <v>49</v>
      </c>
      <c r="U263" t="s">
        <v>35</v>
      </c>
      <c r="V263" t="s">
        <v>36</v>
      </c>
      <c r="W263" t="s">
        <v>37</v>
      </c>
      <c r="X263" s="24">
        <v>6.666666666666667</v>
      </c>
      <c r="Y263" s="24">
        <v>93.333333333333329</v>
      </c>
      <c r="Z263" t="s">
        <v>38</v>
      </c>
      <c r="AA263" t="s">
        <v>39</v>
      </c>
      <c r="AB263" t="s">
        <v>38</v>
      </c>
      <c r="AC263" s="24">
        <v>5.7599999999999978E-2</v>
      </c>
    </row>
    <row r="264" spans="1:29" x14ac:dyDescent="0.3">
      <c r="A264" s="2">
        <v>147</v>
      </c>
      <c r="B264" s="1">
        <v>40550</v>
      </c>
      <c r="C264" s="2">
        <v>1</v>
      </c>
      <c r="D264" s="2">
        <v>9</v>
      </c>
      <c r="E264" t="b">
        <v>0</v>
      </c>
      <c r="F264" s="2">
        <v>5</v>
      </c>
      <c r="G264" s="2">
        <v>1</v>
      </c>
      <c r="H264" s="23">
        <v>0.2</v>
      </c>
      <c r="I264" s="25">
        <v>0.18179999999999999</v>
      </c>
      <c r="J264" s="23">
        <v>0.47</v>
      </c>
      <c r="K264" s="25">
        <v>0.29849999999999999</v>
      </c>
      <c r="L264" s="2">
        <v>9</v>
      </c>
      <c r="M264" s="2">
        <v>125</v>
      </c>
      <c r="N264" s="2">
        <v>134</v>
      </c>
      <c r="O264" t="s">
        <v>29</v>
      </c>
      <c r="P264" t="s">
        <v>59</v>
      </c>
      <c r="Q264" t="s">
        <v>31</v>
      </c>
      <c r="R264" t="s">
        <v>42</v>
      </c>
      <c r="S264" t="s">
        <v>33</v>
      </c>
      <c r="T264" t="s">
        <v>49</v>
      </c>
      <c r="U264" t="s">
        <v>46</v>
      </c>
      <c r="V264" t="s">
        <v>36</v>
      </c>
      <c r="W264" t="s">
        <v>37</v>
      </c>
      <c r="X264" s="24">
        <v>6.7164179104477606</v>
      </c>
      <c r="Y264" s="24">
        <v>93.28358208955224</v>
      </c>
      <c r="Z264" t="s">
        <v>40</v>
      </c>
      <c r="AA264" t="s">
        <v>49</v>
      </c>
      <c r="AB264" t="s">
        <v>38</v>
      </c>
      <c r="AC264" s="24">
        <v>-1.8200000000000022E-2</v>
      </c>
    </row>
    <row r="265" spans="1:29" x14ac:dyDescent="0.3">
      <c r="A265" s="2">
        <v>158</v>
      </c>
      <c r="B265" s="1">
        <v>40550</v>
      </c>
      <c r="C265" s="2">
        <v>1</v>
      </c>
      <c r="D265" s="2">
        <v>20</v>
      </c>
      <c r="E265" t="b">
        <v>0</v>
      </c>
      <c r="F265" s="2">
        <v>5</v>
      </c>
      <c r="G265" s="2">
        <v>1</v>
      </c>
      <c r="H265" s="23">
        <v>0.18</v>
      </c>
      <c r="I265" s="25">
        <v>0.21210000000000001</v>
      </c>
      <c r="J265" s="23">
        <v>0.47</v>
      </c>
      <c r="K265" s="25">
        <v>0.1045</v>
      </c>
      <c r="L265" s="2">
        <v>1</v>
      </c>
      <c r="M265" s="2">
        <v>50</v>
      </c>
      <c r="N265" s="2">
        <v>51</v>
      </c>
      <c r="O265" t="s">
        <v>29</v>
      </c>
      <c r="P265" t="s">
        <v>59</v>
      </c>
      <c r="Q265" t="s">
        <v>31</v>
      </c>
      <c r="R265" t="s">
        <v>50</v>
      </c>
      <c r="S265" t="s">
        <v>33</v>
      </c>
      <c r="T265" t="s">
        <v>49</v>
      </c>
      <c r="U265" t="s">
        <v>35</v>
      </c>
      <c r="V265" t="s">
        <v>36</v>
      </c>
      <c r="W265" t="s">
        <v>37</v>
      </c>
      <c r="X265" s="24">
        <v>1.9607843137254899</v>
      </c>
      <c r="Y265" s="24">
        <v>98.039215686274503</v>
      </c>
      <c r="Z265" t="s">
        <v>38</v>
      </c>
      <c r="AA265" t="s">
        <v>39</v>
      </c>
      <c r="AB265" t="s">
        <v>38</v>
      </c>
      <c r="AC265" s="24">
        <v>3.2100000000000017E-2</v>
      </c>
    </row>
    <row r="266" spans="1:29" x14ac:dyDescent="0.3">
      <c r="A266" s="2">
        <v>159</v>
      </c>
      <c r="B266" s="1">
        <v>40550</v>
      </c>
      <c r="C266" s="2">
        <v>1</v>
      </c>
      <c r="D266" s="2">
        <v>21</v>
      </c>
      <c r="E266" t="b">
        <v>0</v>
      </c>
      <c r="F266" s="2">
        <v>5</v>
      </c>
      <c r="G266" s="2">
        <v>1</v>
      </c>
      <c r="H266" s="23">
        <v>0.18</v>
      </c>
      <c r="I266" s="25">
        <v>0.19700000000000001</v>
      </c>
      <c r="J266" s="23">
        <v>0.47</v>
      </c>
      <c r="K266" s="25">
        <v>0.1343</v>
      </c>
      <c r="L266" s="2">
        <v>0</v>
      </c>
      <c r="M266" s="2">
        <v>39</v>
      </c>
      <c r="N266" s="2">
        <v>39</v>
      </c>
      <c r="O266" t="s">
        <v>29</v>
      </c>
      <c r="P266" t="s">
        <v>59</v>
      </c>
      <c r="Q266" t="s">
        <v>31</v>
      </c>
      <c r="R266" t="s">
        <v>32</v>
      </c>
      <c r="S266" t="s">
        <v>33</v>
      </c>
      <c r="T266" t="s">
        <v>49</v>
      </c>
      <c r="U266" t="s">
        <v>35</v>
      </c>
      <c r="V266" t="s">
        <v>36</v>
      </c>
      <c r="W266" t="s">
        <v>37</v>
      </c>
      <c r="X266" s="24">
        <v>0</v>
      </c>
      <c r="Y266" s="24">
        <v>100</v>
      </c>
      <c r="Z266" t="s">
        <v>38</v>
      </c>
      <c r="AA266" t="s">
        <v>39</v>
      </c>
      <c r="AB266" t="s">
        <v>38</v>
      </c>
      <c r="AC266" s="24">
        <v>1.7000000000000019E-2</v>
      </c>
    </row>
    <row r="267" spans="1:29" x14ac:dyDescent="0.3">
      <c r="A267" s="2">
        <v>221</v>
      </c>
      <c r="B267" s="1">
        <v>40553</v>
      </c>
      <c r="C267" s="2">
        <v>1</v>
      </c>
      <c r="D267" s="2">
        <v>11</v>
      </c>
      <c r="E267" t="b">
        <v>0</v>
      </c>
      <c r="F267" s="2">
        <v>1</v>
      </c>
      <c r="G267" s="2">
        <v>2</v>
      </c>
      <c r="H267" s="23">
        <v>0.16</v>
      </c>
      <c r="I267" s="25">
        <v>0.13639999999999999</v>
      </c>
      <c r="J267" s="23">
        <v>0.47</v>
      </c>
      <c r="K267" s="25">
        <v>0.28360000000000002</v>
      </c>
      <c r="L267" s="2">
        <v>2</v>
      </c>
      <c r="M267" s="2">
        <v>28</v>
      </c>
      <c r="N267" s="2">
        <v>30</v>
      </c>
      <c r="O267" t="s">
        <v>29</v>
      </c>
      <c r="P267" t="s">
        <v>54</v>
      </c>
      <c r="Q267" t="s">
        <v>41</v>
      </c>
      <c r="R267" t="s">
        <v>42</v>
      </c>
      <c r="S267" t="s">
        <v>33</v>
      </c>
      <c r="T267" t="s">
        <v>49</v>
      </c>
      <c r="U267" t="s">
        <v>46</v>
      </c>
      <c r="V267" t="s">
        <v>36</v>
      </c>
      <c r="W267" t="s">
        <v>37</v>
      </c>
      <c r="X267" s="24">
        <v>6.666666666666667</v>
      </c>
      <c r="Y267" s="24">
        <v>93.333333333333329</v>
      </c>
      <c r="Z267" t="s">
        <v>38</v>
      </c>
      <c r="AA267" t="s">
        <v>39</v>
      </c>
      <c r="AB267" t="s">
        <v>38</v>
      </c>
      <c r="AC267" s="24">
        <v>-2.360000000000001E-2</v>
      </c>
    </row>
    <row r="268" spans="1:29" x14ac:dyDescent="0.3">
      <c r="A268" s="2">
        <v>229</v>
      </c>
      <c r="B268" s="1">
        <v>40553</v>
      </c>
      <c r="C268" s="2">
        <v>1</v>
      </c>
      <c r="D268" s="2">
        <v>19</v>
      </c>
      <c r="E268" t="b">
        <v>0</v>
      </c>
      <c r="F268" s="2">
        <v>1</v>
      </c>
      <c r="G268" s="2">
        <v>1</v>
      </c>
      <c r="H268" s="23">
        <v>0.16</v>
      </c>
      <c r="I268" s="25">
        <v>0.16669999999999999</v>
      </c>
      <c r="J268" s="23">
        <v>0.47</v>
      </c>
      <c r="K268" s="25">
        <v>0.16420000000000001</v>
      </c>
      <c r="L268" s="2">
        <v>3</v>
      </c>
      <c r="M268" s="2">
        <v>92</v>
      </c>
      <c r="N268" s="2">
        <v>95</v>
      </c>
      <c r="O268" t="s">
        <v>29</v>
      </c>
      <c r="P268" t="s">
        <v>54</v>
      </c>
      <c r="Q268" t="s">
        <v>31</v>
      </c>
      <c r="R268" t="s">
        <v>50</v>
      </c>
      <c r="S268" t="s">
        <v>33</v>
      </c>
      <c r="T268" t="s">
        <v>49</v>
      </c>
      <c r="U268" t="s">
        <v>46</v>
      </c>
      <c r="V268" t="s">
        <v>36</v>
      </c>
      <c r="W268" t="s">
        <v>37</v>
      </c>
      <c r="X268" s="24">
        <v>3.1578947368421049</v>
      </c>
      <c r="Y268" s="24">
        <v>96.84210526315789</v>
      </c>
      <c r="Z268" t="s">
        <v>40</v>
      </c>
      <c r="AA268" t="s">
        <v>39</v>
      </c>
      <c r="AB268" t="s">
        <v>38</v>
      </c>
      <c r="AC268" s="24">
        <v>6.6999999999999837E-3</v>
      </c>
    </row>
    <row r="269" spans="1:29" x14ac:dyDescent="0.3">
      <c r="A269" s="2">
        <v>243</v>
      </c>
      <c r="B269" s="1">
        <v>40554</v>
      </c>
      <c r="C269" s="2">
        <v>1</v>
      </c>
      <c r="D269" s="2">
        <v>11</v>
      </c>
      <c r="E269" t="b">
        <v>0</v>
      </c>
      <c r="F269" s="2">
        <v>2</v>
      </c>
      <c r="G269" s="2">
        <v>2</v>
      </c>
      <c r="H269" s="23">
        <v>0.2</v>
      </c>
      <c r="I269" s="25">
        <v>0.21210000000000001</v>
      </c>
      <c r="J269" s="23">
        <v>0.47</v>
      </c>
      <c r="K269" s="25">
        <v>0.1343</v>
      </c>
      <c r="L269" s="2">
        <v>4</v>
      </c>
      <c r="M269" s="2">
        <v>31</v>
      </c>
      <c r="N269" s="2">
        <v>35</v>
      </c>
      <c r="O269" t="s">
        <v>29</v>
      </c>
      <c r="P269" t="s">
        <v>56</v>
      </c>
      <c r="Q269" t="s">
        <v>41</v>
      </c>
      <c r="R269" t="s">
        <v>42</v>
      </c>
      <c r="S269" t="s">
        <v>33</v>
      </c>
      <c r="T269" t="s">
        <v>49</v>
      </c>
      <c r="U269" t="s">
        <v>35</v>
      </c>
      <c r="V269" t="s">
        <v>36</v>
      </c>
      <c r="W269" t="s">
        <v>37</v>
      </c>
      <c r="X269" s="24">
        <v>11.428571428571431</v>
      </c>
      <c r="Y269" s="24">
        <v>88.571428571428569</v>
      </c>
      <c r="Z269" t="s">
        <v>38</v>
      </c>
      <c r="AA269" t="s">
        <v>39</v>
      </c>
      <c r="AB269" t="s">
        <v>38</v>
      </c>
      <c r="AC269" s="24">
        <v>1.21E-2</v>
      </c>
    </row>
    <row r="270" spans="1:29" x14ac:dyDescent="0.3">
      <c r="A270" s="2">
        <v>266</v>
      </c>
      <c r="B270" s="1">
        <v>40555</v>
      </c>
      <c r="C270" s="2">
        <v>1</v>
      </c>
      <c r="D270" s="2">
        <v>12</v>
      </c>
      <c r="E270" t="b">
        <v>0</v>
      </c>
      <c r="F270" s="2">
        <v>3</v>
      </c>
      <c r="G270" s="2">
        <v>1</v>
      </c>
      <c r="H270" s="23">
        <v>0.2</v>
      </c>
      <c r="I270" s="25">
        <v>0.1515</v>
      </c>
      <c r="J270" s="23">
        <v>0.47</v>
      </c>
      <c r="K270" s="25">
        <v>0.58209999999999995</v>
      </c>
      <c r="L270" s="2">
        <v>3</v>
      </c>
      <c r="M270" s="2">
        <v>52</v>
      </c>
      <c r="N270" s="2">
        <v>55</v>
      </c>
      <c r="O270" t="s">
        <v>29</v>
      </c>
      <c r="P270" t="s">
        <v>57</v>
      </c>
      <c r="Q270" t="s">
        <v>31</v>
      </c>
      <c r="R270" t="s">
        <v>47</v>
      </c>
      <c r="S270" t="s">
        <v>33</v>
      </c>
      <c r="T270" t="s">
        <v>49</v>
      </c>
      <c r="U270" t="s">
        <v>53</v>
      </c>
      <c r="V270" t="s">
        <v>36</v>
      </c>
      <c r="W270" t="s">
        <v>37</v>
      </c>
      <c r="X270" s="24">
        <v>5.4545454545454541</v>
      </c>
      <c r="Y270" s="24">
        <v>94.545454545454547</v>
      </c>
      <c r="Z270" t="s">
        <v>38</v>
      </c>
      <c r="AA270" t="s">
        <v>39</v>
      </c>
      <c r="AB270" t="s">
        <v>38</v>
      </c>
      <c r="AC270" s="24">
        <v>-4.8500000000000022E-2</v>
      </c>
    </row>
    <row r="271" spans="1:29" x14ac:dyDescent="0.3">
      <c r="A271" s="2">
        <v>268</v>
      </c>
      <c r="B271" s="1">
        <v>40555</v>
      </c>
      <c r="C271" s="2">
        <v>1</v>
      </c>
      <c r="D271" s="2">
        <v>14</v>
      </c>
      <c r="E271" t="b">
        <v>0</v>
      </c>
      <c r="F271" s="2">
        <v>3</v>
      </c>
      <c r="G271" s="2">
        <v>1</v>
      </c>
      <c r="H271" s="23">
        <v>0.2</v>
      </c>
      <c r="I271" s="25">
        <v>0.18179999999999999</v>
      </c>
      <c r="J271" s="23">
        <v>0.47</v>
      </c>
      <c r="K271" s="25">
        <v>0.32840000000000003</v>
      </c>
      <c r="L271" s="2">
        <v>0</v>
      </c>
      <c r="M271" s="2">
        <v>44</v>
      </c>
      <c r="N271" s="2">
        <v>44</v>
      </c>
      <c r="O271" t="s">
        <v>29</v>
      </c>
      <c r="P271" t="s">
        <v>57</v>
      </c>
      <c r="Q271" t="s">
        <v>31</v>
      </c>
      <c r="R271" t="s">
        <v>47</v>
      </c>
      <c r="S271" t="s">
        <v>33</v>
      </c>
      <c r="T271" t="s">
        <v>49</v>
      </c>
      <c r="U271" t="s">
        <v>53</v>
      </c>
      <c r="V271" t="s">
        <v>36</v>
      </c>
      <c r="W271" t="s">
        <v>37</v>
      </c>
      <c r="X271" s="24">
        <v>0</v>
      </c>
      <c r="Y271" s="24">
        <v>100</v>
      </c>
      <c r="Z271" t="s">
        <v>38</v>
      </c>
      <c r="AA271" t="s">
        <v>39</v>
      </c>
      <c r="AB271" t="s">
        <v>38</v>
      </c>
      <c r="AC271" s="24">
        <v>-1.8200000000000022E-2</v>
      </c>
    </row>
    <row r="272" spans="1:29" x14ac:dyDescent="0.3">
      <c r="A272" s="2">
        <v>269</v>
      </c>
      <c r="B272" s="1">
        <v>40555</v>
      </c>
      <c r="C272" s="2">
        <v>1</v>
      </c>
      <c r="D272" s="2">
        <v>15</v>
      </c>
      <c r="E272" t="b">
        <v>0</v>
      </c>
      <c r="F272" s="2">
        <v>3</v>
      </c>
      <c r="G272" s="2">
        <v>1</v>
      </c>
      <c r="H272" s="23">
        <v>0.2</v>
      </c>
      <c r="I272" s="25">
        <v>0.16669999999999999</v>
      </c>
      <c r="J272" s="23">
        <v>0.47</v>
      </c>
      <c r="K272" s="25">
        <v>0.41789999999999999</v>
      </c>
      <c r="L272" s="2">
        <v>1</v>
      </c>
      <c r="M272" s="2">
        <v>48</v>
      </c>
      <c r="N272" s="2">
        <v>49</v>
      </c>
      <c r="O272" t="s">
        <v>29</v>
      </c>
      <c r="P272" t="s">
        <v>57</v>
      </c>
      <c r="Q272" t="s">
        <v>31</v>
      </c>
      <c r="R272" t="s">
        <v>47</v>
      </c>
      <c r="S272" t="s">
        <v>33</v>
      </c>
      <c r="T272" t="s">
        <v>49</v>
      </c>
      <c r="U272" t="s">
        <v>53</v>
      </c>
      <c r="V272" t="s">
        <v>36</v>
      </c>
      <c r="W272" t="s">
        <v>37</v>
      </c>
      <c r="X272" s="24">
        <v>2.0408163265306118</v>
      </c>
      <c r="Y272" s="24">
        <v>97.959183673469383</v>
      </c>
      <c r="Z272" t="s">
        <v>38</v>
      </c>
      <c r="AA272" t="s">
        <v>39</v>
      </c>
      <c r="AB272" t="s">
        <v>38</v>
      </c>
      <c r="AC272" s="24">
        <v>-3.3300000000000017E-2</v>
      </c>
    </row>
    <row r="273" spans="1:29" x14ac:dyDescent="0.3">
      <c r="A273" s="2">
        <v>271</v>
      </c>
      <c r="B273" s="1">
        <v>40555</v>
      </c>
      <c r="C273" s="2">
        <v>1</v>
      </c>
      <c r="D273" s="2">
        <v>17</v>
      </c>
      <c r="E273" t="b">
        <v>0</v>
      </c>
      <c r="F273" s="2">
        <v>3</v>
      </c>
      <c r="G273" s="2">
        <v>1</v>
      </c>
      <c r="H273" s="23">
        <v>0.2</v>
      </c>
      <c r="I273" s="25">
        <v>0.18179999999999999</v>
      </c>
      <c r="J273" s="23">
        <v>0.47</v>
      </c>
      <c r="K273" s="25">
        <v>0.35820000000000002</v>
      </c>
      <c r="L273" s="2">
        <v>0</v>
      </c>
      <c r="M273" s="2">
        <v>139</v>
      </c>
      <c r="N273" s="2">
        <v>139</v>
      </c>
      <c r="O273" t="s">
        <v>29</v>
      </c>
      <c r="P273" t="s">
        <v>57</v>
      </c>
      <c r="Q273" t="s">
        <v>31</v>
      </c>
      <c r="R273" t="s">
        <v>50</v>
      </c>
      <c r="S273" t="s">
        <v>33</v>
      </c>
      <c r="T273" t="s">
        <v>49</v>
      </c>
      <c r="U273" t="s">
        <v>53</v>
      </c>
      <c r="V273" t="s">
        <v>36</v>
      </c>
      <c r="W273" t="s">
        <v>37</v>
      </c>
      <c r="X273" s="24">
        <v>0</v>
      </c>
      <c r="Y273" s="24">
        <v>100</v>
      </c>
      <c r="Z273" t="s">
        <v>40</v>
      </c>
      <c r="AA273" t="s">
        <v>49</v>
      </c>
      <c r="AB273" t="s">
        <v>38</v>
      </c>
      <c r="AC273" s="24">
        <v>-1.8200000000000022E-2</v>
      </c>
    </row>
    <row r="274" spans="1:29" x14ac:dyDescent="0.3">
      <c r="A274" s="2">
        <v>272</v>
      </c>
      <c r="B274" s="1">
        <v>40555</v>
      </c>
      <c r="C274" s="2">
        <v>1</v>
      </c>
      <c r="D274" s="2">
        <v>18</v>
      </c>
      <c r="E274" t="b">
        <v>0</v>
      </c>
      <c r="F274" s="2">
        <v>3</v>
      </c>
      <c r="G274" s="2">
        <v>1</v>
      </c>
      <c r="H274" s="23">
        <v>0.2</v>
      </c>
      <c r="I274" s="25">
        <v>0.1515</v>
      </c>
      <c r="J274" s="23">
        <v>0.47</v>
      </c>
      <c r="K274" s="25">
        <v>0.52239999999999998</v>
      </c>
      <c r="L274" s="2">
        <v>2</v>
      </c>
      <c r="M274" s="2">
        <v>135</v>
      </c>
      <c r="N274" s="2">
        <v>137</v>
      </c>
      <c r="O274" t="s">
        <v>29</v>
      </c>
      <c r="P274" t="s">
        <v>57</v>
      </c>
      <c r="Q274" t="s">
        <v>31</v>
      </c>
      <c r="R274" t="s">
        <v>50</v>
      </c>
      <c r="S274" t="s">
        <v>33</v>
      </c>
      <c r="T274" t="s">
        <v>49</v>
      </c>
      <c r="U274" t="s">
        <v>53</v>
      </c>
      <c r="V274" t="s">
        <v>36</v>
      </c>
      <c r="W274" t="s">
        <v>37</v>
      </c>
      <c r="X274" s="24">
        <v>1.4598540145985399</v>
      </c>
      <c r="Y274" s="24">
        <v>98.540145985401466</v>
      </c>
      <c r="Z274" t="s">
        <v>40</v>
      </c>
      <c r="AA274" t="s">
        <v>49</v>
      </c>
      <c r="AB274" t="s">
        <v>38</v>
      </c>
      <c r="AC274" s="24">
        <v>-4.8500000000000022E-2</v>
      </c>
    </row>
    <row r="275" spans="1:29" x14ac:dyDescent="0.3">
      <c r="A275" s="2">
        <v>273</v>
      </c>
      <c r="B275" s="1">
        <v>40555</v>
      </c>
      <c r="C275" s="2">
        <v>1</v>
      </c>
      <c r="D275" s="2">
        <v>19</v>
      </c>
      <c r="E275" t="b">
        <v>0</v>
      </c>
      <c r="F275" s="2">
        <v>3</v>
      </c>
      <c r="G275" s="2">
        <v>1</v>
      </c>
      <c r="H275" s="23">
        <v>0.18</v>
      </c>
      <c r="I275" s="25">
        <v>0.1515</v>
      </c>
      <c r="J275" s="23">
        <v>0.47</v>
      </c>
      <c r="K275" s="25">
        <v>0.41789999999999999</v>
      </c>
      <c r="L275" s="2">
        <v>1</v>
      </c>
      <c r="M275" s="2">
        <v>82</v>
      </c>
      <c r="N275" s="2">
        <v>83</v>
      </c>
      <c r="O275" t="s">
        <v>29</v>
      </c>
      <c r="P275" t="s">
        <v>57</v>
      </c>
      <c r="Q275" t="s">
        <v>31</v>
      </c>
      <c r="R275" t="s">
        <v>50</v>
      </c>
      <c r="S275" t="s">
        <v>33</v>
      </c>
      <c r="T275" t="s">
        <v>49</v>
      </c>
      <c r="U275" t="s">
        <v>53</v>
      </c>
      <c r="V275" t="s">
        <v>36</v>
      </c>
      <c r="W275" t="s">
        <v>37</v>
      </c>
      <c r="X275" s="24">
        <v>1.2048192771084341</v>
      </c>
      <c r="Y275" s="24">
        <v>98.795180722891558</v>
      </c>
      <c r="Z275" t="s">
        <v>40</v>
      </c>
      <c r="AA275" t="s">
        <v>39</v>
      </c>
      <c r="AB275" t="s">
        <v>38</v>
      </c>
      <c r="AC275" s="24">
        <v>-2.8500000000000001E-2</v>
      </c>
    </row>
    <row r="276" spans="1:29" x14ac:dyDescent="0.3">
      <c r="A276" s="2">
        <v>297</v>
      </c>
      <c r="B276" s="1">
        <v>40556</v>
      </c>
      <c r="C276" s="2">
        <v>1</v>
      </c>
      <c r="D276" s="2">
        <v>19</v>
      </c>
      <c r="E276" t="b">
        <v>0</v>
      </c>
      <c r="F276" s="2">
        <v>4</v>
      </c>
      <c r="G276" s="2">
        <v>1</v>
      </c>
      <c r="H276" s="23">
        <v>0.16</v>
      </c>
      <c r="I276" s="25">
        <v>0.1515</v>
      </c>
      <c r="J276" s="23">
        <v>0.47</v>
      </c>
      <c r="K276" s="25">
        <v>0.25369999999999998</v>
      </c>
      <c r="L276" s="2">
        <v>1</v>
      </c>
      <c r="M276" s="2">
        <v>98</v>
      </c>
      <c r="N276" s="2">
        <v>99</v>
      </c>
      <c r="O276" t="s">
        <v>29</v>
      </c>
      <c r="P276" t="s">
        <v>58</v>
      </c>
      <c r="Q276" t="s">
        <v>31</v>
      </c>
      <c r="R276" t="s">
        <v>50</v>
      </c>
      <c r="S276" t="s">
        <v>33</v>
      </c>
      <c r="T276" t="s">
        <v>49</v>
      </c>
      <c r="U276" t="s">
        <v>46</v>
      </c>
      <c r="V276" t="s">
        <v>36</v>
      </c>
      <c r="W276" t="s">
        <v>37</v>
      </c>
      <c r="X276" s="24">
        <v>1.0101010101010099</v>
      </c>
      <c r="Y276" s="24">
        <v>98.98989898989899</v>
      </c>
      <c r="Z276" t="s">
        <v>40</v>
      </c>
      <c r="AA276" t="s">
        <v>39</v>
      </c>
      <c r="AB276" t="s">
        <v>38</v>
      </c>
      <c r="AC276" s="24">
        <v>-8.5000000000000075E-3</v>
      </c>
    </row>
    <row r="277" spans="1:29" x14ac:dyDescent="0.3">
      <c r="A277" s="2">
        <v>298</v>
      </c>
      <c r="B277" s="1">
        <v>40556</v>
      </c>
      <c r="C277" s="2">
        <v>1</v>
      </c>
      <c r="D277" s="2">
        <v>20</v>
      </c>
      <c r="E277" t="b">
        <v>0</v>
      </c>
      <c r="F277" s="2">
        <v>4</v>
      </c>
      <c r="G277" s="2">
        <v>1</v>
      </c>
      <c r="H277" s="23">
        <v>0.16</v>
      </c>
      <c r="I277" s="25">
        <v>0.1515</v>
      </c>
      <c r="J277" s="23">
        <v>0.47</v>
      </c>
      <c r="K277" s="25">
        <v>0.22389999999999999</v>
      </c>
      <c r="L277" s="2">
        <v>0</v>
      </c>
      <c r="M277" s="2">
        <v>64</v>
      </c>
      <c r="N277" s="2">
        <v>64</v>
      </c>
      <c r="O277" t="s">
        <v>29</v>
      </c>
      <c r="P277" t="s">
        <v>58</v>
      </c>
      <c r="Q277" t="s">
        <v>31</v>
      </c>
      <c r="R277" t="s">
        <v>50</v>
      </c>
      <c r="S277" t="s">
        <v>33</v>
      </c>
      <c r="T277" t="s">
        <v>49</v>
      </c>
      <c r="U277" t="s">
        <v>46</v>
      </c>
      <c r="V277" t="s">
        <v>36</v>
      </c>
      <c r="W277" t="s">
        <v>37</v>
      </c>
      <c r="X277" s="24">
        <v>0</v>
      </c>
      <c r="Y277" s="24">
        <v>100</v>
      </c>
      <c r="Z277" t="s">
        <v>38</v>
      </c>
      <c r="AA277" t="s">
        <v>39</v>
      </c>
      <c r="AB277" t="s">
        <v>38</v>
      </c>
      <c r="AC277" s="24">
        <v>-8.5000000000000075E-3</v>
      </c>
    </row>
    <row r="278" spans="1:29" x14ac:dyDescent="0.3">
      <c r="A278" s="2">
        <v>319</v>
      </c>
      <c r="B278" s="1">
        <v>40557</v>
      </c>
      <c r="C278" s="2">
        <v>1</v>
      </c>
      <c r="D278" s="2">
        <v>18</v>
      </c>
      <c r="E278" t="b">
        <v>0</v>
      </c>
      <c r="F278" s="2">
        <v>5</v>
      </c>
      <c r="G278" s="2">
        <v>1</v>
      </c>
      <c r="H278" s="23">
        <v>0.2</v>
      </c>
      <c r="I278" s="25">
        <v>0.2576</v>
      </c>
      <c r="J278" s="23">
        <v>0.47</v>
      </c>
      <c r="K278" s="25">
        <v>0</v>
      </c>
      <c r="L278" s="2">
        <v>5</v>
      </c>
      <c r="M278" s="2">
        <v>134</v>
      </c>
      <c r="N278" s="2">
        <v>139</v>
      </c>
      <c r="O278" t="s">
        <v>29</v>
      </c>
      <c r="P278" t="s">
        <v>59</v>
      </c>
      <c r="Q278" t="s">
        <v>31</v>
      </c>
      <c r="R278" t="s">
        <v>50</v>
      </c>
      <c r="S278" t="s">
        <v>33</v>
      </c>
      <c r="T278" t="s">
        <v>49</v>
      </c>
      <c r="U278" t="s">
        <v>35</v>
      </c>
      <c r="V278" t="s">
        <v>36</v>
      </c>
      <c r="W278" t="s">
        <v>37</v>
      </c>
      <c r="X278" s="24">
        <v>3.5971223021582732</v>
      </c>
      <c r="Y278" s="24">
        <v>96.402877697841731</v>
      </c>
      <c r="Z278" t="s">
        <v>40</v>
      </c>
      <c r="AA278" t="s">
        <v>49</v>
      </c>
      <c r="AB278" t="s">
        <v>38</v>
      </c>
      <c r="AC278" s="24">
        <v>5.7599999999999978E-2</v>
      </c>
    </row>
    <row r="279" spans="1:29" x14ac:dyDescent="0.3">
      <c r="A279" s="2">
        <v>368</v>
      </c>
      <c r="B279" s="1">
        <v>40559</v>
      </c>
      <c r="C279" s="2">
        <v>1</v>
      </c>
      <c r="D279" s="2">
        <v>19</v>
      </c>
      <c r="E279" t="b">
        <v>0</v>
      </c>
      <c r="F279" s="2">
        <v>0</v>
      </c>
      <c r="G279" s="2">
        <v>1</v>
      </c>
      <c r="H279" s="23">
        <v>0.18</v>
      </c>
      <c r="I279" s="25">
        <v>0.19700000000000001</v>
      </c>
      <c r="J279" s="23">
        <v>0.47</v>
      </c>
      <c r="K279" s="25">
        <v>0.1343</v>
      </c>
      <c r="L279" s="2">
        <v>14</v>
      </c>
      <c r="M279" s="2">
        <v>47</v>
      </c>
      <c r="N279" s="2">
        <v>61</v>
      </c>
      <c r="O279" t="s">
        <v>29</v>
      </c>
      <c r="P279" t="s">
        <v>52</v>
      </c>
      <c r="Q279" t="s">
        <v>31</v>
      </c>
      <c r="R279" t="s">
        <v>50</v>
      </c>
      <c r="S279" t="s">
        <v>33</v>
      </c>
      <c r="T279" t="s">
        <v>49</v>
      </c>
      <c r="U279" t="s">
        <v>35</v>
      </c>
      <c r="V279" t="s">
        <v>36</v>
      </c>
      <c r="W279" t="s">
        <v>37</v>
      </c>
      <c r="X279" s="24">
        <v>22.95081967213115</v>
      </c>
      <c r="Y279" s="24">
        <v>77.049180327868854</v>
      </c>
      <c r="Z279" t="s">
        <v>40</v>
      </c>
      <c r="AA279" t="s">
        <v>39</v>
      </c>
      <c r="AB279" t="s">
        <v>40</v>
      </c>
      <c r="AC279" s="24">
        <v>1.7000000000000019E-2</v>
      </c>
    </row>
    <row r="280" spans="1:29" x14ac:dyDescent="0.3">
      <c r="A280" s="2">
        <v>369</v>
      </c>
      <c r="B280" s="1">
        <v>40559</v>
      </c>
      <c r="C280" s="2">
        <v>1</v>
      </c>
      <c r="D280" s="2">
        <v>20</v>
      </c>
      <c r="E280" t="b">
        <v>0</v>
      </c>
      <c r="F280" s="2">
        <v>0</v>
      </c>
      <c r="G280" s="2">
        <v>1</v>
      </c>
      <c r="H280" s="23">
        <v>0.18</v>
      </c>
      <c r="I280" s="25">
        <v>0.19700000000000001</v>
      </c>
      <c r="J280" s="23">
        <v>0.47</v>
      </c>
      <c r="K280" s="25">
        <v>0.16420000000000001</v>
      </c>
      <c r="L280" s="2">
        <v>7</v>
      </c>
      <c r="M280" s="2">
        <v>50</v>
      </c>
      <c r="N280" s="2">
        <v>57</v>
      </c>
      <c r="O280" t="s">
        <v>29</v>
      </c>
      <c r="P280" t="s">
        <v>52</v>
      </c>
      <c r="Q280" t="s">
        <v>31</v>
      </c>
      <c r="R280" t="s">
        <v>50</v>
      </c>
      <c r="S280" t="s">
        <v>33</v>
      </c>
      <c r="T280" t="s">
        <v>49</v>
      </c>
      <c r="U280" t="s">
        <v>46</v>
      </c>
      <c r="V280" t="s">
        <v>36</v>
      </c>
      <c r="W280" t="s">
        <v>37</v>
      </c>
      <c r="X280" s="24">
        <v>12.28070175438596</v>
      </c>
      <c r="Y280" s="24">
        <v>87.719298245614027</v>
      </c>
      <c r="Z280" t="s">
        <v>38</v>
      </c>
      <c r="AA280" t="s">
        <v>39</v>
      </c>
      <c r="AB280" t="s">
        <v>40</v>
      </c>
      <c r="AC280" s="24">
        <v>1.7000000000000019E-2</v>
      </c>
    </row>
    <row r="281" spans="1:29" x14ac:dyDescent="0.3">
      <c r="A281" s="2">
        <v>373</v>
      </c>
      <c r="B281" s="1">
        <v>40560</v>
      </c>
      <c r="C281" s="2">
        <v>1</v>
      </c>
      <c r="D281" s="2">
        <v>0</v>
      </c>
      <c r="E281" t="b">
        <v>1</v>
      </c>
      <c r="F281" s="2">
        <v>1</v>
      </c>
      <c r="G281" s="2">
        <v>2</v>
      </c>
      <c r="H281" s="23">
        <v>0.2</v>
      </c>
      <c r="I281" s="25">
        <v>0.19700000000000001</v>
      </c>
      <c r="J281" s="23">
        <v>0.47</v>
      </c>
      <c r="K281" s="25">
        <v>0.22389999999999999</v>
      </c>
      <c r="L281" s="2">
        <v>1</v>
      </c>
      <c r="M281" s="2">
        <v>16</v>
      </c>
      <c r="N281" s="2">
        <v>17</v>
      </c>
      <c r="O281" t="s">
        <v>29</v>
      </c>
      <c r="P281" t="s">
        <v>54</v>
      </c>
      <c r="Q281" t="s">
        <v>41</v>
      </c>
      <c r="R281" t="s">
        <v>32</v>
      </c>
      <c r="S281" t="s">
        <v>33</v>
      </c>
      <c r="T281" t="s">
        <v>49</v>
      </c>
      <c r="U281" t="s">
        <v>46</v>
      </c>
      <c r="V281" t="s">
        <v>60</v>
      </c>
      <c r="W281" t="s">
        <v>37</v>
      </c>
      <c r="X281" s="24">
        <v>5.8823529411764701</v>
      </c>
      <c r="Y281" s="24">
        <v>94.117647058823522</v>
      </c>
      <c r="Z281" t="s">
        <v>38</v>
      </c>
      <c r="AA281" t="s">
        <v>39</v>
      </c>
      <c r="AB281" t="s">
        <v>38</v>
      </c>
      <c r="AC281" s="24">
        <v>-3.0000000000000031E-3</v>
      </c>
    </row>
    <row r="282" spans="1:29" x14ac:dyDescent="0.3">
      <c r="A282" s="2">
        <v>381</v>
      </c>
      <c r="B282" s="1">
        <v>40560</v>
      </c>
      <c r="C282" s="2">
        <v>1</v>
      </c>
      <c r="D282" s="2">
        <v>8</v>
      </c>
      <c r="E282" t="b">
        <v>1</v>
      </c>
      <c r="F282" s="2">
        <v>1</v>
      </c>
      <c r="G282" s="2">
        <v>2</v>
      </c>
      <c r="H282" s="23">
        <v>0.16</v>
      </c>
      <c r="I282" s="25">
        <v>0.1515</v>
      </c>
      <c r="J282" s="23">
        <v>0.47</v>
      </c>
      <c r="K282" s="25">
        <v>0.22389999999999999</v>
      </c>
      <c r="L282" s="2">
        <v>3</v>
      </c>
      <c r="M282" s="2">
        <v>30</v>
      </c>
      <c r="N282" s="2">
        <v>33</v>
      </c>
      <c r="O282" t="s">
        <v>29</v>
      </c>
      <c r="P282" t="s">
        <v>54</v>
      </c>
      <c r="Q282" t="s">
        <v>41</v>
      </c>
      <c r="R282" t="s">
        <v>42</v>
      </c>
      <c r="S282" t="s">
        <v>33</v>
      </c>
      <c r="T282" t="s">
        <v>49</v>
      </c>
      <c r="U282" t="s">
        <v>46</v>
      </c>
      <c r="V282" t="s">
        <v>60</v>
      </c>
      <c r="W282" t="s">
        <v>37</v>
      </c>
      <c r="X282" s="24">
        <v>9.0909090909090917</v>
      </c>
      <c r="Y282" s="24">
        <v>90.909090909090907</v>
      </c>
      <c r="Z282" t="s">
        <v>40</v>
      </c>
      <c r="AA282" t="s">
        <v>39</v>
      </c>
      <c r="AB282" t="s">
        <v>38</v>
      </c>
      <c r="AC282" s="24">
        <v>-8.5000000000000075E-3</v>
      </c>
    </row>
    <row r="283" spans="1:29" x14ac:dyDescent="0.3">
      <c r="A283" s="2">
        <v>382</v>
      </c>
      <c r="B283" s="1">
        <v>40560</v>
      </c>
      <c r="C283" s="2">
        <v>1</v>
      </c>
      <c r="D283" s="2">
        <v>9</v>
      </c>
      <c r="E283" t="b">
        <v>1</v>
      </c>
      <c r="F283" s="2">
        <v>1</v>
      </c>
      <c r="G283" s="2">
        <v>2</v>
      </c>
      <c r="H283" s="23">
        <v>0.16</v>
      </c>
      <c r="I283" s="25">
        <v>0.1515</v>
      </c>
      <c r="J283" s="23">
        <v>0.47</v>
      </c>
      <c r="K283" s="25">
        <v>0.22389999999999999</v>
      </c>
      <c r="L283" s="2">
        <v>8</v>
      </c>
      <c r="M283" s="2">
        <v>39</v>
      </c>
      <c r="N283" s="2">
        <v>47</v>
      </c>
      <c r="O283" t="s">
        <v>29</v>
      </c>
      <c r="P283" t="s">
        <v>54</v>
      </c>
      <c r="Q283" t="s">
        <v>41</v>
      </c>
      <c r="R283" t="s">
        <v>42</v>
      </c>
      <c r="S283" t="s">
        <v>33</v>
      </c>
      <c r="T283" t="s">
        <v>49</v>
      </c>
      <c r="U283" t="s">
        <v>46</v>
      </c>
      <c r="V283" t="s">
        <v>60</v>
      </c>
      <c r="W283" t="s">
        <v>37</v>
      </c>
      <c r="X283" s="24">
        <v>17.021276595744681</v>
      </c>
      <c r="Y283" s="24">
        <v>82.978723404255319</v>
      </c>
      <c r="Z283" t="s">
        <v>40</v>
      </c>
      <c r="AA283" t="s">
        <v>39</v>
      </c>
      <c r="AB283" t="s">
        <v>38</v>
      </c>
      <c r="AC283" s="24">
        <v>-8.5000000000000075E-3</v>
      </c>
    </row>
    <row r="284" spans="1:29" x14ac:dyDescent="0.3">
      <c r="A284" s="2">
        <v>385</v>
      </c>
      <c r="B284" s="1">
        <v>40560</v>
      </c>
      <c r="C284" s="2">
        <v>1</v>
      </c>
      <c r="D284" s="2">
        <v>12</v>
      </c>
      <c r="E284" t="b">
        <v>1</v>
      </c>
      <c r="F284" s="2">
        <v>1</v>
      </c>
      <c r="G284" s="2">
        <v>2</v>
      </c>
      <c r="H284" s="23">
        <v>0.18</v>
      </c>
      <c r="I284" s="25">
        <v>0.19700000000000001</v>
      </c>
      <c r="J284" s="23">
        <v>0.47</v>
      </c>
      <c r="K284" s="25">
        <v>0.1343</v>
      </c>
      <c r="L284" s="2">
        <v>10</v>
      </c>
      <c r="M284" s="2">
        <v>70</v>
      </c>
      <c r="N284" s="2">
        <v>80</v>
      </c>
      <c r="O284" t="s">
        <v>29</v>
      </c>
      <c r="P284" t="s">
        <v>54</v>
      </c>
      <c r="Q284" t="s">
        <v>41</v>
      </c>
      <c r="R284" t="s">
        <v>47</v>
      </c>
      <c r="S284" t="s">
        <v>33</v>
      </c>
      <c r="T284" t="s">
        <v>49</v>
      </c>
      <c r="U284" t="s">
        <v>35</v>
      </c>
      <c r="V284" t="s">
        <v>60</v>
      </c>
      <c r="W284" t="s">
        <v>37</v>
      </c>
      <c r="X284" s="24">
        <v>12.5</v>
      </c>
      <c r="Y284" s="24">
        <v>87.5</v>
      </c>
      <c r="Z284" t="s">
        <v>38</v>
      </c>
      <c r="AA284" t="s">
        <v>39</v>
      </c>
      <c r="AB284" t="s">
        <v>38</v>
      </c>
      <c r="AC284" s="24">
        <v>1.7000000000000019E-2</v>
      </c>
    </row>
    <row r="285" spans="1:29" x14ac:dyDescent="0.3">
      <c r="A285" s="2">
        <v>386</v>
      </c>
      <c r="B285" s="1">
        <v>40560</v>
      </c>
      <c r="C285" s="2">
        <v>1</v>
      </c>
      <c r="D285" s="2">
        <v>13</v>
      </c>
      <c r="E285" t="b">
        <v>1</v>
      </c>
      <c r="F285" s="2">
        <v>1</v>
      </c>
      <c r="G285" s="2">
        <v>2</v>
      </c>
      <c r="H285" s="23">
        <v>0.18</v>
      </c>
      <c r="I285" s="25">
        <v>0.19700000000000001</v>
      </c>
      <c r="J285" s="23">
        <v>0.47</v>
      </c>
      <c r="K285" s="25">
        <v>0.1343</v>
      </c>
      <c r="L285" s="2">
        <v>13</v>
      </c>
      <c r="M285" s="2">
        <v>80</v>
      </c>
      <c r="N285" s="2">
        <v>93</v>
      </c>
      <c r="O285" t="s">
        <v>29</v>
      </c>
      <c r="P285" t="s">
        <v>54</v>
      </c>
      <c r="Q285" t="s">
        <v>41</v>
      </c>
      <c r="R285" t="s">
        <v>47</v>
      </c>
      <c r="S285" t="s">
        <v>33</v>
      </c>
      <c r="T285" t="s">
        <v>49</v>
      </c>
      <c r="U285" t="s">
        <v>35</v>
      </c>
      <c r="V285" t="s">
        <v>60</v>
      </c>
      <c r="W285" t="s">
        <v>37</v>
      </c>
      <c r="X285" s="24">
        <v>13.97849462365591</v>
      </c>
      <c r="Y285" s="24">
        <v>86.021505376344081</v>
      </c>
      <c r="Z285" t="s">
        <v>38</v>
      </c>
      <c r="AA285" t="s">
        <v>39</v>
      </c>
      <c r="AB285" t="s">
        <v>38</v>
      </c>
      <c r="AC285" s="24">
        <v>1.7000000000000019E-2</v>
      </c>
    </row>
    <row r="286" spans="1:29" x14ac:dyDescent="0.3">
      <c r="A286" s="2">
        <v>388</v>
      </c>
      <c r="B286" s="1">
        <v>40560</v>
      </c>
      <c r="C286" s="2">
        <v>1</v>
      </c>
      <c r="D286" s="2">
        <v>15</v>
      </c>
      <c r="E286" t="b">
        <v>1</v>
      </c>
      <c r="F286" s="2">
        <v>1</v>
      </c>
      <c r="G286" s="2">
        <v>2</v>
      </c>
      <c r="H286" s="23">
        <v>0.2</v>
      </c>
      <c r="I286" s="25">
        <v>0.21210000000000001</v>
      </c>
      <c r="J286" s="23">
        <v>0.47</v>
      </c>
      <c r="K286" s="25">
        <v>0.16420000000000001</v>
      </c>
      <c r="L286" s="2">
        <v>21</v>
      </c>
      <c r="M286" s="2">
        <v>72</v>
      </c>
      <c r="N286" s="2">
        <v>93</v>
      </c>
      <c r="O286" t="s">
        <v>29</v>
      </c>
      <c r="P286" t="s">
        <v>54</v>
      </c>
      <c r="Q286" t="s">
        <v>41</v>
      </c>
      <c r="R286" t="s">
        <v>47</v>
      </c>
      <c r="S286" t="s">
        <v>33</v>
      </c>
      <c r="T286" t="s">
        <v>49</v>
      </c>
      <c r="U286" t="s">
        <v>46</v>
      </c>
      <c r="V286" t="s">
        <v>60</v>
      </c>
      <c r="W286" t="s">
        <v>37</v>
      </c>
      <c r="X286" s="24">
        <v>22.58064516129032</v>
      </c>
      <c r="Y286" s="24">
        <v>77.41935483870968</v>
      </c>
      <c r="Z286" t="s">
        <v>38</v>
      </c>
      <c r="AA286" t="s">
        <v>39</v>
      </c>
      <c r="AB286" t="s">
        <v>38</v>
      </c>
      <c r="AC286" s="24">
        <v>1.21E-2</v>
      </c>
    </row>
    <row r="287" spans="1:29" x14ac:dyDescent="0.3">
      <c r="A287" s="2">
        <v>389</v>
      </c>
      <c r="B287" s="1">
        <v>40560</v>
      </c>
      <c r="C287" s="2">
        <v>1</v>
      </c>
      <c r="D287" s="2">
        <v>16</v>
      </c>
      <c r="E287" t="b">
        <v>1</v>
      </c>
      <c r="F287" s="2">
        <v>1</v>
      </c>
      <c r="G287" s="2">
        <v>2</v>
      </c>
      <c r="H287" s="23">
        <v>0.2</v>
      </c>
      <c r="I287" s="25">
        <v>0.21210000000000001</v>
      </c>
      <c r="J287" s="23">
        <v>0.47</v>
      </c>
      <c r="K287" s="25">
        <v>0.16420000000000001</v>
      </c>
      <c r="L287" s="2">
        <v>6</v>
      </c>
      <c r="M287" s="2">
        <v>76</v>
      </c>
      <c r="N287" s="2">
        <v>82</v>
      </c>
      <c r="O287" t="s">
        <v>29</v>
      </c>
      <c r="P287" t="s">
        <v>54</v>
      </c>
      <c r="Q287" t="s">
        <v>41</v>
      </c>
      <c r="R287" t="s">
        <v>47</v>
      </c>
      <c r="S287" t="s">
        <v>33</v>
      </c>
      <c r="T287" t="s">
        <v>49</v>
      </c>
      <c r="U287" t="s">
        <v>46</v>
      </c>
      <c r="V287" t="s">
        <v>60</v>
      </c>
      <c r="W287" t="s">
        <v>37</v>
      </c>
      <c r="X287" s="24">
        <v>7.3170731707317067</v>
      </c>
      <c r="Y287" s="24">
        <v>92.682926829268297</v>
      </c>
      <c r="Z287" t="s">
        <v>38</v>
      </c>
      <c r="AA287" t="s">
        <v>39</v>
      </c>
      <c r="AB287" t="s">
        <v>38</v>
      </c>
      <c r="AC287" s="24">
        <v>1.21E-2</v>
      </c>
    </row>
    <row r="288" spans="1:29" x14ac:dyDescent="0.3">
      <c r="A288" s="2">
        <v>464</v>
      </c>
      <c r="B288" s="1">
        <v>40564</v>
      </c>
      <c r="C288" s="2">
        <v>1</v>
      </c>
      <c r="D288" s="2">
        <v>8</v>
      </c>
      <c r="E288" t="b">
        <v>0</v>
      </c>
      <c r="F288" s="2">
        <v>5</v>
      </c>
      <c r="G288" s="2">
        <v>1</v>
      </c>
      <c r="H288" s="23">
        <v>0.2</v>
      </c>
      <c r="I288" s="25">
        <v>0.18179999999999999</v>
      </c>
      <c r="J288" s="23">
        <v>0.47</v>
      </c>
      <c r="K288" s="25">
        <v>0.32840000000000003</v>
      </c>
      <c r="L288" s="2">
        <v>7</v>
      </c>
      <c r="M288" s="2">
        <v>210</v>
      </c>
      <c r="N288" s="2">
        <v>217</v>
      </c>
      <c r="O288" t="s">
        <v>29</v>
      </c>
      <c r="P288" t="s">
        <v>59</v>
      </c>
      <c r="Q288" t="s">
        <v>31</v>
      </c>
      <c r="R288" t="s">
        <v>42</v>
      </c>
      <c r="S288" t="s">
        <v>33</v>
      </c>
      <c r="T288" t="s">
        <v>49</v>
      </c>
      <c r="U288" t="s">
        <v>53</v>
      </c>
      <c r="V288" t="s">
        <v>36</v>
      </c>
      <c r="W288" t="s">
        <v>37</v>
      </c>
      <c r="X288" s="24">
        <v>3.225806451612903</v>
      </c>
      <c r="Y288" s="24">
        <v>96.774193548387103</v>
      </c>
      <c r="Z288" t="s">
        <v>40</v>
      </c>
      <c r="AA288" t="s">
        <v>49</v>
      </c>
      <c r="AB288" t="s">
        <v>38</v>
      </c>
      <c r="AC288" s="24">
        <v>-1.8200000000000022E-2</v>
      </c>
    </row>
    <row r="289" spans="1:29" x14ac:dyDescent="0.3">
      <c r="A289" s="2">
        <v>466</v>
      </c>
      <c r="B289" s="1">
        <v>40564</v>
      </c>
      <c r="C289" s="2">
        <v>1</v>
      </c>
      <c r="D289" s="2">
        <v>10</v>
      </c>
      <c r="E289" t="b">
        <v>0</v>
      </c>
      <c r="F289" s="2">
        <v>5</v>
      </c>
      <c r="G289" s="2">
        <v>1</v>
      </c>
      <c r="H289" s="23">
        <v>0.2</v>
      </c>
      <c r="I289" s="25">
        <v>0.16669999999999999</v>
      </c>
      <c r="J289" s="23">
        <v>0.47</v>
      </c>
      <c r="K289" s="25">
        <v>0.4627</v>
      </c>
      <c r="L289" s="2">
        <v>6</v>
      </c>
      <c r="M289" s="2">
        <v>57</v>
      </c>
      <c r="N289" s="2">
        <v>63</v>
      </c>
      <c r="O289" t="s">
        <v>29</v>
      </c>
      <c r="P289" t="s">
        <v>59</v>
      </c>
      <c r="Q289" t="s">
        <v>31</v>
      </c>
      <c r="R289" t="s">
        <v>42</v>
      </c>
      <c r="S289" t="s">
        <v>33</v>
      </c>
      <c r="T289" t="s">
        <v>49</v>
      </c>
      <c r="U289" t="s">
        <v>53</v>
      </c>
      <c r="V289" t="s">
        <v>36</v>
      </c>
      <c r="W289" t="s">
        <v>37</v>
      </c>
      <c r="X289" s="24">
        <v>9.5238095238095237</v>
      </c>
      <c r="Y289" s="24">
        <v>90.476190476190482</v>
      </c>
      <c r="Z289" t="s">
        <v>38</v>
      </c>
      <c r="AA289" t="s">
        <v>39</v>
      </c>
      <c r="AB289" t="s">
        <v>38</v>
      </c>
      <c r="AC289" s="24">
        <v>-3.3300000000000017E-2</v>
      </c>
    </row>
    <row r="290" spans="1:29" x14ac:dyDescent="0.3">
      <c r="A290" s="2">
        <v>541</v>
      </c>
      <c r="B290" s="1">
        <v>40567</v>
      </c>
      <c r="C290" s="2">
        <v>1</v>
      </c>
      <c r="D290" s="2">
        <v>16</v>
      </c>
      <c r="E290" t="b">
        <v>0</v>
      </c>
      <c r="F290" s="2">
        <v>1</v>
      </c>
      <c r="G290" s="2">
        <v>1</v>
      </c>
      <c r="H290" s="23">
        <v>0.16</v>
      </c>
      <c r="I290" s="25">
        <v>0.1515</v>
      </c>
      <c r="J290" s="23">
        <v>0.47</v>
      </c>
      <c r="K290" s="25">
        <v>0.25369999999999998</v>
      </c>
      <c r="L290" s="2">
        <v>4</v>
      </c>
      <c r="M290" s="2">
        <v>66</v>
      </c>
      <c r="N290" s="2">
        <v>70</v>
      </c>
      <c r="O290" t="s">
        <v>29</v>
      </c>
      <c r="P290" t="s">
        <v>54</v>
      </c>
      <c r="Q290" t="s">
        <v>31</v>
      </c>
      <c r="R290" t="s">
        <v>47</v>
      </c>
      <c r="S290" t="s">
        <v>33</v>
      </c>
      <c r="T290" t="s">
        <v>49</v>
      </c>
      <c r="U290" t="s">
        <v>46</v>
      </c>
      <c r="V290" t="s">
        <v>36</v>
      </c>
      <c r="W290" t="s">
        <v>37</v>
      </c>
      <c r="X290" s="24">
        <v>5.7142857142857144</v>
      </c>
      <c r="Y290" s="24">
        <v>94.285714285714278</v>
      </c>
      <c r="Z290" t="s">
        <v>38</v>
      </c>
      <c r="AA290" t="s">
        <v>39</v>
      </c>
      <c r="AB290" t="s">
        <v>38</v>
      </c>
      <c r="AC290" s="24">
        <v>-8.5000000000000075E-3</v>
      </c>
    </row>
    <row r="291" spans="1:29" x14ac:dyDescent="0.3">
      <c r="A291" s="2">
        <v>733</v>
      </c>
      <c r="B291" s="1">
        <v>40576</v>
      </c>
      <c r="C291" s="2">
        <v>1</v>
      </c>
      <c r="D291" s="2">
        <v>21</v>
      </c>
      <c r="E291" t="b">
        <v>0</v>
      </c>
      <c r="F291" s="2">
        <v>3</v>
      </c>
      <c r="G291" s="2">
        <v>1</v>
      </c>
      <c r="H291" s="23">
        <v>0.22</v>
      </c>
      <c r="I291" s="25">
        <v>0.19700000000000001</v>
      </c>
      <c r="J291" s="23">
        <v>0.47</v>
      </c>
      <c r="K291" s="25">
        <v>0.32840000000000003</v>
      </c>
      <c r="L291" s="2">
        <v>1</v>
      </c>
      <c r="M291" s="2">
        <v>62</v>
      </c>
      <c r="N291" s="2">
        <v>63</v>
      </c>
      <c r="O291" t="s">
        <v>29</v>
      </c>
      <c r="P291" t="s">
        <v>57</v>
      </c>
      <c r="Q291" t="s">
        <v>31</v>
      </c>
      <c r="R291" t="s">
        <v>32</v>
      </c>
      <c r="S291" t="s">
        <v>33</v>
      </c>
      <c r="T291" t="s">
        <v>49</v>
      </c>
      <c r="U291" t="s">
        <v>53</v>
      </c>
      <c r="V291" t="s">
        <v>36</v>
      </c>
      <c r="W291" t="s">
        <v>37</v>
      </c>
      <c r="X291" s="24">
        <v>1.587301587301587</v>
      </c>
      <c r="Y291" s="24">
        <v>98.412698412698404</v>
      </c>
      <c r="Z291" t="s">
        <v>38</v>
      </c>
      <c r="AA291" t="s">
        <v>39</v>
      </c>
      <c r="AB291" t="s">
        <v>38</v>
      </c>
      <c r="AC291" s="24">
        <v>-2.2999999999999989E-2</v>
      </c>
    </row>
    <row r="292" spans="1:29" x14ac:dyDescent="0.3">
      <c r="A292" s="2">
        <v>744</v>
      </c>
      <c r="B292" s="1">
        <v>40577</v>
      </c>
      <c r="C292" s="2">
        <v>1</v>
      </c>
      <c r="D292" s="2">
        <v>9</v>
      </c>
      <c r="E292" t="b">
        <v>0</v>
      </c>
      <c r="F292" s="2">
        <v>4</v>
      </c>
      <c r="G292" s="2">
        <v>1</v>
      </c>
      <c r="H292" s="23">
        <v>0.16</v>
      </c>
      <c r="I292" s="25">
        <v>0.13639999999999999</v>
      </c>
      <c r="J292" s="23">
        <v>0.47</v>
      </c>
      <c r="K292" s="25">
        <v>0.29849999999999999</v>
      </c>
      <c r="L292" s="2">
        <v>6</v>
      </c>
      <c r="M292" s="2">
        <v>127</v>
      </c>
      <c r="N292" s="2">
        <v>133</v>
      </c>
      <c r="O292" t="s">
        <v>29</v>
      </c>
      <c r="P292" t="s">
        <v>58</v>
      </c>
      <c r="Q292" t="s">
        <v>31</v>
      </c>
      <c r="R292" t="s">
        <v>42</v>
      </c>
      <c r="S292" t="s">
        <v>33</v>
      </c>
      <c r="T292" t="s">
        <v>49</v>
      </c>
      <c r="U292" t="s">
        <v>46</v>
      </c>
      <c r="V292" t="s">
        <v>36</v>
      </c>
      <c r="W292" t="s">
        <v>37</v>
      </c>
      <c r="X292" s="24">
        <v>4.5112781954887211</v>
      </c>
      <c r="Y292" s="24">
        <v>95.488721804511272</v>
      </c>
      <c r="Z292" t="s">
        <v>40</v>
      </c>
      <c r="AA292" t="s">
        <v>49</v>
      </c>
      <c r="AB292" t="s">
        <v>38</v>
      </c>
      <c r="AC292" s="24">
        <v>-2.360000000000001E-2</v>
      </c>
    </row>
    <row r="293" spans="1:29" x14ac:dyDescent="0.3">
      <c r="A293" s="2">
        <v>755</v>
      </c>
      <c r="B293" s="1">
        <v>40577</v>
      </c>
      <c r="C293" s="2">
        <v>1</v>
      </c>
      <c r="D293" s="2">
        <v>20</v>
      </c>
      <c r="E293" t="b">
        <v>0</v>
      </c>
      <c r="F293" s="2">
        <v>4</v>
      </c>
      <c r="G293" s="2">
        <v>1</v>
      </c>
      <c r="H293" s="23">
        <v>0.2</v>
      </c>
      <c r="I293" s="25">
        <v>0.2273</v>
      </c>
      <c r="J293" s="23">
        <v>0.47</v>
      </c>
      <c r="K293" s="25">
        <v>8.9599999999999999E-2</v>
      </c>
      <c r="L293" s="2">
        <v>1</v>
      </c>
      <c r="M293" s="2">
        <v>108</v>
      </c>
      <c r="N293" s="2">
        <v>109</v>
      </c>
      <c r="O293" t="s">
        <v>29</v>
      </c>
      <c r="P293" t="s">
        <v>58</v>
      </c>
      <c r="Q293" t="s">
        <v>31</v>
      </c>
      <c r="R293" t="s">
        <v>50</v>
      </c>
      <c r="S293" t="s">
        <v>33</v>
      </c>
      <c r="T293" t="s">
        <v>49</v>
      </c>
      <c r="U293" t="s">
        <v>35</v>
      </c>
      <c r="V293" t="s">
        <v>36</v>
      </c>
      <c r="W293" t="s">
        <v>37</v>
      </c>
      <c r="X293" s="24">
        <v>0.91743119266055051</v>
      </c>
      <c r="Y293" s="24">
        <v>99.082568807339456</v>
      </c>
      <c r="Z293" t="s">
        <v>38</v>
      </c>
      <c r="AA293" t="s">
        <v>49</v>
      </c>
      <c r="AB293" t="s">
        <v>38</v>
      </c>
      <c r="AC293" s="24">
        <v>2.7299999999999991E-2</v>
      </c>
    </row>
    <row r="294" spans="1:29" x14ac:dyDescent="0.3">
      <c r="A294" s="2">
        <v>293</v>
      </c>
      <c r="B294" s="1">
        <v>40556</v>
      </c>
      <c r="C294" s="2">
        <v>1</v>
      </c>
      <c r="D294" s="2">
        <v>15</v>
      </c>
      <c r="E294" t="b">
        <v>0</v>
      </c>
      <c r="F294" s="2">
        <v>4</v>
      </c>
      <c r="G294" s="2">
        <v>1</v>
      </c>
      <c r="H294" s="23">
        <v>0.24</v>
      </c>
      <c r="I294" s="25">
        <v>0.21210000000000001</v>
      </c>
      <c r="J294" s="23">
        <v>0.38</v>
      </c>
      <c r="K294" s="25">
        <v>0.29849999999999999</v>
      </c>
      <c r="L294" s="2">
        <v>5</v>
      </c>
      <c r="M294" s="2">
        <v>55</v>
      </c>
      <c r="N294" s="2">
        <v>60</v>
      </c>
      <c r="O294" t="s">
        <v>29</v>
      </c>
      <c r="P294" t="s">
        <v>58</v>
      </c>
      <c r="Q294" t="s">
        <v>31</v>
      </c>
      <c r="R294" t="s">
        <v>47</v>
      </c>
      <c r="S294" t="s">
        <v>33</v>
      </c>
      <c r="T294" t="s">
        <v>39</v>
      </c>
      <c r="U294" t="s">
        <v>46</v>
      </c>
      <c r="V294" t="s">
        <v>36</v>
      </c>
      <c r="W294" t="s">
        <v>37</v>
      </c>
      <c r="X294" s="24">
        <v>8.3333333333333321</v>
      </c>
      <c r="Y294" s="24">
        <v>91.666666666666657</v>
      </c>
      <c r="Z294" t="s">
        <v>38</v>
      </c>
      <c r="AA294" t="s">
        <v>39</v>
      </c>
      <c r="AB294" t="s">
        <v>38</v>
      </c>
      <c r="AC294" s="24">
        <v>-2.789999999999998E-2</v>
      </c>
    </row>
    <row r="295" spans="1:29" x14ac:dyDescent="0.3">
      <c r="A295" s="2">
        <v>294</v>
      </c>
      <c r="B295" s="1">
        <v>40556</v>
      </c>
      <c r="C295" s="2">
        <v>1</v>
      </c>
      <c r="D295" s="2">
        <v>16</v>
      </c>
      <c r="E295" t="b">
        <v>0</v>
      </c>
      <c r="F295" s="2">
        <v>4</v>
      </c>
      <c r="G295" s="2">
        <v>1</v>
      </c>
      <c r="H295" s="23">
        <v>0.24</v>
      </c>
      <c r="I295" s="25">
        <v>0.21210000000000001</v>
      </c>
      <c r="J295" s="23">
        <v>0.38</v>
      </c>
      <c r="K295" s="25">
        <v>0.35820000000000002</v>
      </c>
      <c r="L295" s="2">
        <v>2</v>
      </c>
      <c r="M295" s="2">
        <v>76</v>
      </c>
      <c r="N295" s="2">
        <v>78</v>
      </c>
      <c r="O295" t="s">
        <v>29</v>
      </c>
      <c r="P295" t="s">
        <v>58</v>
      </c>
      <c r="Q295" t="s">
        <v>31</v>
      </c>
      <c r="R295" t="s">
        <v>47</v>
      </c>
      <c r="S295" t="s">
        <v>33</v>
      </c>
      <c r="T295" t="s">
        <v>39</v>
      </c>
      <c r="U295" t="s">
        <v>53</v>
      </c>
      <c r="V295" t="s">
        <v>36</v>
      </c>
      <c r="W295" t="s">
        <v>37</v>
      </c>
      <c r="X295" s="24">
        <v>2.5641025641025639</v>
      </c>
      <c r="Y295" s="24">
        <v>97.435897435897431</v>
      </c>
      <c r="Z295" t="s">
        <v>38</v>
      </c>
      <c r="AA295" t="s">
        <v>39</v>
      </c>
      <c r="AB295" t="s">
        <v>38</v>
      </c>
      <c r="AC295" s="24">
        <v>-2.789999999999998E-2</v>
      </c>
    </row>
    <row r="296" spans="1:29" x14ac:dyDescent="0.3">
      <c r="A296" s="2">
        <v>758</v>
      </c>
      <c r="B296" s="1">
        <v>40577</v>
      </c>
      <c r="C296" s="2">
        <v>1</v>
      </c>
      <c r="D296" s="2">
        <v>23</v>
      </c>
      <c r="E296" t="b">
        <v>0</v>
      </c>
      <c r="F296" s="2">
        <v>4</v>
      </c>
      <c r="G296" s="2">
        <v>1</v>
      </c>
      <c r="H296" s="23">
        <v>0.2</v>
      </c>
      <c r="I296" s="25">
        <v>0.2273</v>
      </c>
      <c r="J296" s="23">
        <v>0.47</v>
      </c>
      <c r="K296" s="25">
        <v>0.1045</v>
      </c>
      <c r="L296" s="2">
        <v>4</v>
      </c>
      <c r="M296" s="2">
        <v>34</v>
      </c>
      <c r="N296" s="2">
        <v>38</v>
      </c>
      <c r="O296" t="s">
        <v>29</v>
      </c>
      <c r="P296" t="s">
        <v>58</v>
      </c>
      <c r="Q296" t="s">
        <v>31</v>
      </c>
      <c r="R296" t="s">
        <v>32</v>
      </c>
      <c r="S296" t="s">
        <v>33</v>
      </c>
      <c r="T296" t="s">
        <v>49</v>
      </c>
      <c r="U296" t="s">
        <v>35</v>
      </c>
      <c r="V296" t="s">
        <v>36</v>
      </c>
      <c r="W296" t="s">
        <v>37</v>
      </c>
      <c r="X296" s="24">
        <v>10.52631578947368</v>
      </c>
      <c r="Y296" s="24">
        <v>89.473684210526315</v>
      </c>
      <c r="Z296" t="s">
        <v>38</v>
      </c>
      <c r="AA296" t="s">
        <v>39</v>
      </c>
      <c r="AB296" t="s">
        <v>38</v>
      </c>
      <c r="AC296" s="24">
        <v>2.7299999999999991E-2</v>
      </c>
    </row>
    <row r="297" spans="1:29" x14ac:dyDescent="0.3">
      <c r="A297" s="2">
        <v>864</v>
      </c>
      <c r="B297" s="1">
        <v>40582</v>
      </c>
      <c r="C297" s="2">
        <v>1</v>
      </c>
      <c r="D297" s="2">
        <v>10</v>
      </c>
      <c r="E297" t="b">
        <v>0</v>
      </c>
      <c r="F297" s="2">
        <v>2</v>
      </c>
      <c r="G297" s="2">
        <v>1</v>
      </c>
      <c r="H297" s="23">
        <v>0.22</v>
      </c>
      <c r="I297" s="25">
        <v>0.18179999999999999</v>
      </c>
      <c r="J297" s="23">
        <v>0.47</v>
      </c>
      <c r="K297" s="25">
        <v>0.55220000000000002</v>
      </c>
      <c r="L297" s="2">
        <v>4</v>
      </c>
      <c r="M297" s="2">
        <v>44</v>
      </c>
      <c r="N297" s="2">
        <v>48</v>
      </c>
      <c r="O297" t="s">
        <v>29</v>
      </c>
      <c r="P297" t="s">
        <v>56</v>
      </c>
      <c r="Q297" t="s">
        <v>31</v>
      </c>
      <c r="R297" t="s">
        <v>42</v>
      </c>
      <c r="S297" t="s">
        <v>33</v>
      </c>
      <c r="T297" t="s">
        <v>49</v>
      </c>
      <c r="U297" t="s">
        <v>53</v>
      </c>
      <c r="V297" t="s">
        <v>36</v>
      </c>
      <c r="W297" t="s">
        <v>37</v>
      </c>
      <c r="X297" s="24">
        <v>8.3333333333333321</v>
      </c>
      <c r="Y297" s="24">
        <v>91.666666666666657</v>
      </c>
      <c r="Z297" t="s">
        <v>38</v>
      </c>
      <c r="AA297" t="s">
        <v>39</v>
      </c>
      <c r="AB297" t="s">
        <v>38</v>
      </c>
      <c r="AC297" s="24">
        <v>-3.8200000000000012E-2</v>
      </c>
    </row>
    <row r="298" spans="1:29" x14ac:dyDescent="0.3">
      <c r="A298" s="2">
        <v>865</v>
      </c>
      <c r="B298" s="1">
        <v>40582</v>
      </c>
      <c r="C298" s="2">
        <v>1</v>
      </c>
      <c r="D298" s="2">
        <v>11</v>
      </c>
      <c r="E298" t="b">
        <v>0</v>
      </c>
      <c r="F298" s="2">
        <v>2</v>
      </c>
      <c r="G298" s="2">
        <v>1</v>
      </c>
      <c r="H298" s="23">
        <v>0.22</v>
      </c>
      <c r="I298" s="25">
        <v>0.18179999999999999</v>
      </c>
      <c r="J298" s="23">
        <v>0.47</v>
      </c>
      <c r="K298" s="25">
        <v>0.4627</v>
      </c>
      <c r="L298" s="2">
        <v>1</v>
      </c>
      <c r="M298" s="2">
        <v>49</v>
      </c>
      <c r="N298" s="2">
        <v>50</v>
      </c>
      <c r="O298" t="s">
        <v>29</v>
      </c>
      <c r="P298" t="s">
        <v>56</v>
      </c>
      <c r="Q298" t="s">
        <v>31</v>
      </c>
      <c r="R298" t="s">
        <v>42</v>
      </c>
      <c r="S298" t="s">
        <v>33</v>
      </c>
      <c r="T298" t="s">
        <v>49</v>
      </c>
      <c r="U298" t="s">
        <v>53</v>
      </c>
      <c r="V298" t="s">
        <v>36</v>
      </c>
      <c r="W298" t="s">
        <v>37</v>
      </c>
      <c r="X298" s="24">
        <v>2</v>
      </c>
      <c r="Y298" s="24">
        <v>98</v>
      </c>
      <c r="Z298" t="s">
        <v>38</v>
      </c>
      <c r="AA298" t="s">
        <v>39</v>
      </c>
      <c r="AB298" t="s">
        <v>38</v>
      </c>
      <c r="AC298" s="24">
        <v>-3.8200000000000012E-2</v>
      </c>
    </row>
    <row r="299" spans="1:29" x14ac:dyDescent="0.3">
      <c r="A299" s="2">
        <v>895</v>
      </c>
      <c r="B299" s="1">
        <v>40583</v>
      </c>
      <c r="C299" s="2">
        <v>1</v>
      </c>
      <c r="D299" s="2">
        <v>18</v>
      </c>
      <c r="E299" t="b">
        <v>0</v>
      </c>
      <c r="F299" s="2">
        <v>3</v>
      </c>
      <c r="G299" s="2">
        <v>2</v>
      </c>
      <c r="H299" s="23">
        <v>0.18</v>
      </c>
      <c r="I299" s="25">
        <v>0.16669999999999999</v>
      </c>
      <c r="J299" s="23">
        <v>0.47</v>
      </c>
      <c r="K299" s="25">
        <v>0.29849999999999999</v>
      </c>
      <c r="L299" s="2">
        <v>2</v>
      </c>
      <c r="M299" s="2">
        <v>168</v>
      </c>
      <c r="N299" s="2">
        <v>170</v>
      </c>
      <c r="O299" t="s">
        <v>29</v>
      </c>
      <c r="P299" t="s">
        <v>57</v>
      </c>
      <c r="Q299" t="s">
        <v>41</v>
      </c>
      <c r="R299" t="s">
        <v>50</v>
      </c>
      <c r="S299" t="s">
        <v>33</v>
      </c>
      <c r="T299" t="s">
        <v>49</v>
      </c>
      <c r="U299" t="s">
        <v>46</v>
      </c>
      <c r="V299" t="s">
        <v>36</v>
      </c>
      <c r="W299" t="s">
        <v>37</v>
      </c>
      <c r="X299" s="24">
        <v>1.1764705882352939</v>
      </c>
      <c r="Y299" s="24">
        <v>98.82352941176471</v>
      </c>
      <c r="Z299" t="s">
        <v>40</v>
      </c>
      <c r="AA299" t="s">
        <v>49</v>
      </c>
      <c r="AB299" t="s">
        <v>38</v>
      </c>
      <c r="AC299" s="24">
        <v>-1.330000000000001E-2</v>
      </c>
    </row>
    <row r="300" spans="1:29" x14ac:dyDescent="0.3">
      <c r="A300" s="2">
        <v>933</v>
      </c>
      <c r="B300" s="1">
        <v>40585</v>
      </c>
      <c r="C300" s="2">
        <v>1</v>
      </c>
      <c r="D300" s="2">
        <v>11</v>
      </c>
      <c r="E300" t="b">
        <v>0</v>
      </c>
      <c r="F300" s="2">
        <v>5</v>
      </c>
      <c r="G300" s="2">
        <v>1</v>
      </c>
      <c r="H300" s="23">
        <v>0.22</v>
      </c>
      <c r="I300" s="25">
        <v>0.2273</v>
      </c>
      <c r="J300" s="23">
        <v>0.47</v>
      </c>
      <c r="K300" s="25">
        <v>0.1343</v>
      </c>
      <c r="L300" s="2">
        <v>12</v>
      </c>
      <c r="M300" s="2">
        <v>52</v>
      </c>
      <c r="N300" s="2">
        <v>64</v>
      </c>
      <c r="O300" t="s">
        <v>29</v>
      </c>
      <c r="P300" t="s">
        <v>59</v>
      </c>
      <c r="Q300" t="s">
        <v>31</v>
      </c>
      <c r="R300" t="s">
        <v>42</v>
      </c>
      <c r="S300" t="s">
        <v>33</v>
      </c>
      <c r="T300" t="s">
        <v>49</v>
      </c>
      <c r="U300" t="s">
        <v>35</v>
      </c>
      <c r="V300" t="s">
        <v>36</v>
      </c>
      <c r="W300" t="s">
        <v>37</v>
      </c>
      <c r="X300" s="24">
        <v>18.75</v>
      </c>
      <c r="Y300" s="24">
        <v>81.25</v>
      </c>
      <c r="Z300" t="s">
        <v>38</v>
      </c>
      <c r="AA300" t="s">
        <v>39</v>
      </c>
      <c r="AB300" t="s">
        <v>38</v>
      </c>
      <c r="AC300" s="24">
        <v>7.3000000000000009E-3</v>
      </c>
    </row>
    <row r="301" spans="1:29" x14ac:dyDescent="0.3">
      <c r="A301" s="2">
        <v>934</v>
      </c>
      <c r="B301" s="1">
        <v>40585</v>
      </c>
      <c r="C301" s="2">
        <v>1</v>
      </c>
      <c r="D301" s="2">
        <v>12</v>
      </c>
      <c r="E301" t="b">
        <v>0</v>
      </c>
      <c r="F301" s="2">
        <v>5</v>
      </c>
      <c r="G301" s="2">
        <v>1</v>
      </c>
      <c r="H301" s="23">
        <v>0.22</v>
      </c>
      <c r="I301" s="25">
        <v>0.2273</v>
      </c>
      <c r="J301" s="23">
        <v>0.47</v>
      </c>
      <c r="K301" s="25">
        <v>0.1343</v>
      </c>
      <c r="L301" s="2">
        <v>7</v>
      </c>
      <c r="M301" s="2">
        <v>64</v>
      </c>
      <c r="N301" s="2">
        <v>71</v>
      </c>
      <c r="O301" t="s">
        <v>29</v>
      </c>
      <c r="P301" t="s">
        <v>59</v>
      </c>
      <c r="Q301" t="s">
        <v>31</v>
      </c>
      <c r="R301" t="s">
        <v>47</v>
      </c>
      <c r="S301" t="s">
        <v>33</v>
      </c>
      <c r="T301" t="s">
        <v>49</v>
      </c>
      <c r="U301" t="s">
        <v>35</v>
      </c>
      <c r="V301" t="s">
        <v>36</v>
      </c>
      <c r="W301" t="s">
        <v>37</v>
      </c>
      <c r="X301" s="24">
        <v>9.8591549295774641</v>
      </c>
      <c r="Y301" s="24">
        <v>90.140845070422543</v>
      </c>
      <c r="Z301" t="s">
        <v>38</v>
      </c>
      <c r="AA301" t="s">
        <v>39</v>
      </c>
      <c r="AB301" t="s">
        <v>38</v>
      </c>
      <c r="AC301" s="24">
        <v>7.3000000000000009E-3</v>
      </c>
    </row>
    <row r="302" spans="1:29" x14ac:dyDescent="0.3">
      <c r="A302" s="2">
        <v>86</v>
      </c>
      <c r="B302" s="1">
        <v>40547</v>
      </c>
      <c r="C302" s="2">
        <v>1</v>
      </c>
      <c r="D302" s="2">
        <v>17</v>
      </c>
      <c r="E302" t="b">
        <v>0</v>
      </c>
      <c r="F302" s="2">
        <v>2</v>
      </c>
      <c r="G302" s="2">
        <v>1</v>
      </c>
      <c r="H302" s="23">
        <v>0.28000000000000003</v>
      </c>
      <c r="I302" s="25">
        <v>0.2727</v>
      </c>
      <c r="J302" s="23">
        <v>0.48</v>
      </c>
      <c r="K302" s="25">
        <v>0.22389999999999999</v>
      </c>
      <c r="L302" s="2">
        <v>10</v>
      </c>
      <c r="M302" s="2">
        <v>202</v>
      </c>
      <c r="N302" s="2">
        <v>212</v>
      </c>
      <c r="O302" t="s">
        <v>29</v>
      </c>
      <c r="P302" t="s">
        <v>56</v>
      </c>
      <c r="Q302" t="s">
        <v>31</v>
      </c>
      <c r="R302" t="s">
        <v>50</v>
      </c>
      <c r="S302" t="s">
        <v>44</v>
      </c>
      <c r="T302" t="s">
        <v>49</v>
      </c>
      <c r="U302" t="s">
        <v>46</v>
      </c>
      <c r="V302" t="s">
        <v>36</v>
      </c>
      <c r="W302" t="s">
        <v>37</v>
      </c>
      <c r="X302" s="24">
        <v>4.716981132075472</v>
      </c>
      <c r="Y302" s="24">
        <v>95.283018867924525</v>
      </c>
      <c r="Z302" t="s">
        <v>40</v>
      </c>
      <c r="AA302" t="s">
        <v>49</v>
      </c>
      <c r="AB302" t="s">
        <v>38</v>
      </c>
      <c r="AC302" s="24">
        <v>-7.3000000000000287E-3</v>
      </c>
    </row>
    <row r="303" spans="1:29" x14ac:dyDescent="0.3">
      <c r="A303" s="2">
        <v>87</v>
      </c>
      <c r="B303" s="1">
        <v>40547</v>
      </c>
      <c r="C303" s="2">
        <v>1</v>
      </c>
      <c r="D303" s="2">
        <v>18</v>
      </c>
      <c r="E303" t="b">
        <v>0</v>
      </c>
      <c r="F303" s="2">
        <v>2</v>
      </c>
      <c r="G303" s="2">
        <v>1</v>
      </c>
      <c r="H303" s="23">
        <v>0.26</v>
      </c>
      <c r="I303" s="25">
        <v>0.2576</v>
      </c>
      <c r="J303" s="23">
        <v>0.48</v>
      </c>
      <c r="K303" s="25">
        <v>0.19400000000000001</v>
      </c>
      <c r="L303" s="2">
        <v>3</v>
      </c>
      <c r="M303" s="2">
        <v>179</v>
      </c>
      <c r="N303" s="2">
        <v>182</v>
      </c>
      <c r="O303" t="s">
        <v>29</v>
      </c>
      <c r="P303" t="s">
        <v>56</v>
      </c>
      <c r="Q303" t="s">
        <v>31</v>
      </c>
      <c r="R303" t="s">
        <v>50</v>
      </c>
      <c r="S303" t="s">
        <v>44</v>
      </c>
      <c r="T303" t="s">
        <v>49</v>
      </c>
      <c r="U303" t="s">
        <v>46</v>
      </c>
      <c r="V303" t="s">
        <v>36</v>
      </c>
      <c r="W303" t="s">
        <v>37</v>
      </c>
      <c r="X303" s="24">
        <v>1.648351648351648</v>
      </c>
      <c r="Y303" s="24">
        <v>98.35164835164835</v>
      </c>
      <c r="Z303" t="s">
        <v>40</v>
      </c>
      <c r="AA303" t="s">
        <v>49</v>
      </c>
      <c r="AB303" t="s">
        <v>38</v>
      </c>
      <c r="AC303" s="24">
        <v>-2.4000000000000128E-3</v>
      </c>
    </row>
    <row r="304" spans="1:29" x14ac:dyDescent="0.3">
      <c r="A304" s="2">
        <v>88</v>
      </c>
      <c r="B304" s="1">
        <v>40547</v>
      </c>
      <c r="C304" s="2">
        <v>1</v>
      </c>
      <c r="D304" s="2">
        <v>19</v>
      </c>
      <c r="E304" t="b">
        <v>0</v>
      </c>
      <c r="F304" s="2">
        <v>2</v>
      </c>
      <c r="G304" s="2">
        <v>1</v>
      </c>
      <c r="H304" s="23">
        <v>0.24</v>
      </c>
      <c r="I304" s="25">
        <v>0.2576</v>
      </c>
      <c r="J304" s="23">
        <v>0.48</v>
      </c>
      <c r="K304" s="25">
        <v>0.1045</v>
      </c>
      <c r="L304" s="2">
        <v>2</v>
      </c>
      <c r="M304" s="2">
        <v>110</v>
      </c>
      <c r="N304" s="2">
        <v>112</v>
      </c>
      <c r="O304" t="s">
        <v>29</v>
      </c>
      <c r="P304" t="s">
        <v>56</v>
      </c>
      <c r="Q304" t="s">
        <v>31</v>
      </c>
      <c r="R304" t="s">
        <v>50</v>
      </c>
      <c r="S304" t="s">
        <v>33</v>
      </c>
      <c r="T304" t="s">
        <v>49</v>
      </c>
      <c r="U304" t="s">
        <v>35</v>
      </c>
      <c r="V304" t="s">
        <v>36</v>
      </c>
      <c r="W304" t="s">
        <v>37</v>
      </c>
      <c r="X304" s="24">
        <v>1.785714285714286</v>
      </c>
      <c r="Y304" s="24">
        <v>98.214285714285708</v>
      </c>
      <c r="Z304" t="s">
        <v>40</v>
      </c>
      <c r="AA304" t="s">
        <v>49</v>
      </c>
      <c r="AB304" t="s">
        <v>38</v>
      </c>
      <c r="AC304" s="24">
        <v>1.7600000000000001E-2</v>
      </c>
    </row>
    <row r="305" spans="1:29" x14ac:dyDescent="0.3">
      <c r="A305" s="2">
        <v>89</v>
      </c>
      <c r="B305" s="1">
        <v>40547</v>
      </c>
      <c r="C305" s="2">
        <v>1</v>
      </c>
      <c r="D305" s="2">
        <v>20</v>
      </c>
      <c r="E305" t="b">
        <v>0</v>
      </c>
      <c r="F305" s="2">
        <v>2</v>
      </c>
      <c r="G305" s="2">
        <v>1</v>
      </c>
      <c r="H305" s="23">
        <v>0.24</v>
      </c>
      <c r="I305" s="25">
        <v>0.2576</v>
      </c>
      <c r="J305" s="23">
        <v>0.48</v>
      </c>
      <c r="K305" s="25">
        <v>0.1045</v>
      </c>
      <c r="L305" s="2">
        <v>1</v>
      </c>
      <c r="M305" s="2">
        <v>53</v>
      </c>
      <c r="N305" s="2">
        <v>54</v>
      </c>
      <c r="O305" t="s">
        <v>29</v>
      </c>
      <c r="P305" t="s">
        <v>56</v>
      </c>
      <c r="Q305" t="s">
        <v>31</v>
      </c>
      <c r="R305" t="s">
        <v>50</v>
      </c>
      <c r="S305" t="s">
        <v>33</v>
      </c>
      <c r="T305" t="s">
        <v>49</v>
      </c>
      <c r="U305" t="s">
        <v>35</v>
      </c>
      <c r="V305" t="s">
        <v>36</v>
      </c>
      <c r="W305" t="s">
        <v>37</v>
      </c>
      <c r="X305" s="24">
        <v>1.8518518518518521</v>
      </c>
      <c r="Y305" s="24">
        <v>98.148148148148152</v>
      </c>
      <c r="Z305" t="s">
        <v>38</v>
      </c>
      <c r="AA305" t="s">
        <v>39</v>
      </c>
      <c r="AB305" t="s">
        <v>38</v>
      </c>
      <c r="AC305" s="24">
        <v>1.7600000000000001E-2</v>
      </c>
    </row>
    <row r="306" spans="1:29" x14ac:dyDescent="0.3">
      <c r="A306" s="2">
        <v>96</v>
      </c>
      <c r="B306" s="1">
        <v>40548</v>
      </c>
      <c r="C306" s="2">
        <v>1</v>
      </c>
      <c r="D306" s="2">
        <v>4</v>
      </c>
      <c r="E306" t="b">
        <v>0</v>
      </c>
      <c r="F306" s="2">
        <v>3</v>
      </c>
      <c r="G306" s="2">
        <v>1</v>
      </c>
      <c r="H306" s="23">
        <v>0.24</v>
      </c>
      <c r="I306" s="25">
        <v>0.2273</v>
      </c>
      <c r="J306" s="23">
        <v>0.48</v>
      </c>
      <c r="K306" s="25">
        <v>0.22389999999999999</v>
      </c>
      <c r="L306" s="2">
        <v>0</v>
      </c>
      <c r="M306" s="2">
        <v>2</v>
      </c>
      <c r="N306" s="2">
        <v>2</v>
      </c>
      <c r="O306" t="s">
        <v>29</v>
      </c>
      <c r="P306" t="s">
        <v>57</v>
      </c>
      <c r="Q306" t="s">
        <v>31</v>
      </c>
      <c r="R306" t="s">
        <v>32</v>
      </c>
      <c r="S306" t="s">
        <v>33</v>
      </c>
      <c r="T306" t="s">
        <v>49</v>
      </c>
      <c r="U306" t="s">
        <v>46</v>
      </c>
      <c r="V306" t="s">
        <v>36</v>
      </c>
      <c r="W306" t="s">
        <v>37</v>
      </c>
      <c r="X306" s="24">
        <v>0</v>
      </c>
      <c r="Y306" s="24">
        <v>100</v>
      </c>
      <c r="Z306" t="s">
        <v>38</v>
      </c>
      <c r="AA306" t="s">
        <v>39</v>
      </c>
      <c r="AB306" t="s">
        <v>38</v>
      </c>
      <c r="AC306" s="24">
        <v>-1.2699999999999991E-2</v>
      </c>
    </row>
    <row r="307" spans="1:29" x14ac:dyDescent="0.3">
      <c r="A307" s="2">
        <v>337</v>
      </c>
      <c r="B307" s="1">
        <v>40558</v>
      </c>
      <c r="C307" s="2">
        <v>1</v>
      </c>
      <c r="D307" s="2">
        <v>12</v>
      </c>
      <c r="E307" t="b">
        <v>0</v>
      </c>
      <c r="F307" s="2">
        <v>6</v>
      </c>
      <c r="G307" s="2">
        <v>1</v>
      </c>
      <c r="H307" s="23">
        <v>0.24</v>
      </c>
      <c r="I307" s="25">
        <v>0.2273</v>
      </c>
      <c r="J307" s="23">
        <v>0.48</v>
      </c>
      <c r="K307" s="25">
        <v>0.22389999999999999</v>
      </c>
      <c r="L307" s="2">
        <v>15</v>
      </c>
      <c r="M307" s="2">
        <v>74</v>
      </c>
      <c r="N307" s="2">
        <v>89</v>
      </c>
      <c r="O307" t="s">
        <v>29</v>
      </c>
      <c r="P307" t="s">
        <v>30</v>
      </c>
      <c r="Q307" t="s">
        <v>31</v>
      </c>
      <c r="R307" t="s">
        <v>47</v>
      </c>
      <c r="S307" t="s">
        <v>33</v>
      </c>
      <c r="T307" t="s">
        <v>49</v>
      </c>
      <c r="U307" t="s">
        <v>46</v>
      </c>
      <c r="V307" t="s">
        <v>36</v>
      </c>
      <c r="W307" t="s">
        <v>37</v>
      </c>
      <c r="X307" s="24">
        <v>16.853932584269661</v>
      </c>
      <c r="Y307" s="24">
        <v>83.146067415730343</v>
      </c>
      <c r="Z307" t="s">
        <v>38</v>
      </c>
      <c r="AA307" t="s">
        <v>39</v>
      </c>
      <c r="AB307" t="s">
        <v>40</v>
      </c>
      <c r="AC307" s="24">
        <v>-1.2699999999999991E-2</v>
      </c>
    </row>
    <row r="308" spans="1:29" x14ac:dyDescent="0.3">
      <c r="A308" s="2">
        <v>442</v>
      </c>
      <c r="B308" s="1">
        <v>40563</v>
      </c>
      <c r="C308" s="2">
        <v>1</v>
      </c>
      <c r="D308" s="2">
        <v>10</v>
      </c>
      <c r="E308" t="b">
        <v>0</v>
      </c>
      <c r="F308" s="2">
        <v>4</v>
      </c>
      <c r="G308" s="2">
        <v>1</v>
      </c>
      <c r="H308" s="23">
        <v>0.26</v>
      </c>
      <c r="I308" s="25">
        <v>0.2273</v>
      </c>
      <c r="J308" s="23">
        <v>0.48</v>
      </c>
      <c r="K308" s="25">
        <v>0.29849999999999999</v>
      </c>
      <c r="L308" s="2">
        <v>1</v>
      </c>
      <c r="M308" s="2">
        <v>56</v>
      </c>
      <c r="N308" s="2">
        <v>57</v>
      </c>
      <c r="O308" t="s">
        <v>29</v>
      </c>
      <c r="P308" t="s">
        <v>58</v>
      </c>
      <c r="Q308" t="s">
        <v>31</v>
      </c>
      <c r="R308" t="s">
        <v>42</v>
      </c>
      <c r="S308" t="s">
        <v>44</v>
      </c>
      <c r="T308" t="s">
        <v>49</v>
      </c>
      <c r="U308" t="s">
        <v>46</v>
      </c>
      <c r="V308" t="s">
        <v>36</v>
      </c>
      <c r="W308" t="s">
        <v>37</v>
      </c>
      <c r="X308" s="24">
        <v>1.754385964912281</v>
      </c>
      <c r="Y308" s="24">
        <v>98.245614035087712</v>
      </c>
      <c r="Z308" t="s">
        <v>38</v>
      </c>
      <c r="AA308" t="s">
        <v>39</v>
      </c>
      <c r="AB308" t="s">
        <v>38</v>
      </c>
      <c r="AC308" s="24">
        <v>-3.2700000000000007E-2</v>
      </c>
    </row>
    <row r="309" spans="1:29" x14ac:dyDescent="0.3">
      <c r="A309" s="2">
        <v>308</v>
      </c>
      <c r="B309" s="1">
        <v>40557</v>
      </c>
      <c r="C309" s="2">
        <v>1</v>
      </c>
      <c r="D309" s="2">
        <v>7</v>
      </c>
      <c r="E309" t="b">
        <v>0</v>
      </c>
      <c r="F309" s="2">
        <v>5</v>
      </c>
      <c r="G309" s="2">
        <v>1</v>
      </c>
      <c r="H309" s="23">
        <v>0.1</v>
      </c>
      <c r="I309" s="25">
        <v>0.1212</v>
      </c>
      <c r="J309" s="23">
        <v>0.74</v>
      </c>
      <c r="K309" s="25">
        <v>0.16420000000000001</v>
      </c>
      <c r="L309" s="2">
        <v>0</v>
      </c>
      <c r="M309" s="2">
        <v>70</v>
      </c>
      <c r="N309" s="2">
        <v>70</v>
      </c>
      <c r="O309" t="s">
        <v>29</v>
      </c>
      <c r="P309" t="s">
        <v>59</v>
      </c>
      <c r="Q309" t="s">
        <v>31</v>
      </c>
      <c r="R309" t="s">
        <v>42</v>
      </c>
      <c r="S309" t="s">
        <v>55</v>
      </c>
      <c r="T309" t="s">
        <v>34</v>
      </c>
      <c r="U309" t="s">
        <v>46</v>
      </c>
      <c r="V309" t="s">
        <v>36</v>
      </c>
      <c r="W309" t="s">
        <v>37</v>
      </c>
      <c r="X309" s="24">
        <v>0</v>
      </c>
      <c r="Y309" s="24">
        <v>100</v>
      </c>
      <c r="Z309" t="s">
        <v>40</v>
      </c>
      <c r="AA309" t="s">
        <v>39</v>
      </c>
      <c r="AB309" t="s">
        <v>38</v>
      </c>
      <c r="AC309" s="24">
        <v>2.12E-2</v>
      </c>
    </row>
    <row r="310" spans="1:29" x14ac:dyDescent="0.3">
      <c r="A310" s="2">
        <v>484</v>
      </c>
      <c r="B310" s="1">
        <v>40565</v>
      </c>
      <c r="C310" s="2">
        <v>1</v>
      </c>
      <c r="D310" s="2">
        <v>4</v>
      </c>
      <c r="E310" t="b">
        <v>0</v>
      </c>
      <c r="F310" s="2">
        <v>6</v>
      </c>
      <c r="G310" s="2">
        <v>2</v>
      </c>
      <c r="H310" s="23">
        <v>0.02</v>
      </c>
      <c r="I310" s="25">
        <v>1.52E-2</v>
      </c>
      <c r="J310" s="23">
        <v>0.48</v>
      </c>
      <c r="K310" s="25">
        <v>0.29849999999999999</v>
      </c>
      <c r="L310" s="2">
        <v>0</v>
      </c>
      <c r="M310" s="2">
        <v>3</v>
      </c>
      <c r="N310" s="2">
        <v>3</v>
      </c>
      <c r="O310" t="s">
        <v>29</v>
      </c>
      <c r="P310" t="s">
        <v>30</v>
      </c>
      <c r="Q310" t="s">
        <v>41</v>
      </c>
      <c r="R310" t="s">
        <v>32</v>
      </c>
      <c r="S310" t="s">
        <v>55</v>
      </c>
      <c r="T310" t="s">
        <v>49</v>
      </c>
      <c r="U310" t="s">
        <v>46</v>
      </c>
      <c r="V310" t="s">
        <v>36</v>
      </c>
      <c r="W310" t="s">
        <v>37</v>
      </c>
      <c r="X310" s="24">
        <v>0</v>
      </c>
      <c r="Y310" s="24">
        <v>100</v>
      </c>
      <c r="Z310" t="s">
        <v>38</v>
      </c>
      <c r="AA310" t="s">
        <v>39</v>
      </c>
      <c r="AB310" t="s">
        <v>40</v>
      </c>
      <c r="AC310" s="24">
        <v>-4.7999999999999996E-3</v>
      </c>
    </row>
    <row r="311" spans="1:29" x14ac:dyDescent="0.3">
      <c r="A311" s="2">
        <v>529</v>
      </c>
      <c r="B311" s="1">
        <v>40567</v>
      </c>
      <c r="C311" s="2">
        <v>1</v>
      </c>
      <c r="D311" s="2">
        <v>4</v>
      </c>
      <c r="E311" t="b">
        <v>0</v>
      </c>
      <c r="F311" s="2">
        <v>1</v>
      </c>
      <c r="G311" s="2">
        <v>1</v>
      </c>
      <c r="H311" s="23">
        <v>0.02</v>
      </c>
      <c r="I311" s="25">
        <v>6.0600000000000001E-2</v>
      </c>
      <c r="J311" s="23">
        <v>0.48</v>
      </c>
      <c r="K311" s="25">
        <v>0.1343</v>
      </c>
      <c r="L311" s="2">
        <v>0</v>
      </c>
      <c r="M311" s="2">
        <v>1</v>
      </c>
      <c r="N311" s="2">
        <v>1</v>
      </c>
      <c r="O311" t="s">
        <v>29</v>
      </c>
      <c r="P311" t="s">
        <v>54</v>
      </c>
      <c r="Q311" t="s">
        <v>31</v>
      </c>
      <c r="R311" t="s">
        <v>32</v>
      </c>
      <c r="S311" t="s">
        <v>55</v>
      </c>
      <c r="T311" t="s">
        <v>49</v>
      </c>
      <c r="U311" t="s">
        <v>35</v>
      </c>
      <c r="V311" t="s">
        <v>36</v>
      </c>
      <c r="W311" t="s">
        <v>37</v>
      </c>
      <c r="X311" s="24">
        <v>0</v>
      </c>
      <c r="Y311" s="24">
        <v>100</v>
      </c>
      <c r="Z311" t="s">
        <v>38</v>
      </c>
      <c r="AA311" t="s">
        <v>39</v>
      </c>
      <c r="AB311" t="s">
        <v>38</v>
      </c>
      <c r="AC311" s="24">
        <v>4.0599999999999997E-2</v>
      </c>
    </row>
    <row r="312" spans="1:29" x14ac:dyDescent="0.3">
      <c r="A312" s="2">
        <v>530</v>
      </c>
      <c r="B312" s="1">
        <v>40567</v>
      </c>
      <c r="C312" s="2">
        <v>1</v>
      </c>
      <c r="D312" s="2">
        <v>5</v>
      </c>
      <c r="E312" t="b">
        <v>0</v>
      </c>
      <c r="F312" s="2">
        <v>1</v>
      </c>
      <c r="G312" s="2">
        <v>1</v>
      </c>
      <c r="H312" s="23">
        <v>0.02</v>
      </c>
      <c r="I312" s="25">
        <v>6.0600000000000001E-2</v>
      </c>
      <c r="J312" s="23">
        <v>0.48</v>
      </c>
      <c r="K312" s="25">
        <v>0.1343</v>
      </c>
      <c r="L312" s="2">
        <v>0</v>
      </c>
      <c r="M312" s="2">
        <v>5</v>
      </c>
      <c r="N312" s="2">
        <v>5</v>
      </c>
      <c r="O312" t="s">
        <v>29</v>
      </c>
      <c r="P312" t="s">
        <v>54</v>
      </c>
      <c r="Q312" t="s">
        <v>31</v>
      </c>
      <c r="R312" t="s">
        <v>32</v>
      </c>
      <c r="S312" t="s">
        <v>55</v>
      </c>
      <c r="T312" t="s">
        <v>49</v>
      </c>
      <c r="U312" t="s">
        <v>35</v>
      </c>
      <c r="V312" t="s">
        <v>36</v>
      </c>
      <c r="W312" t="s">
        <v>37</v>
      </c>
      <c r="X312" s="24">
        <v>0</v>
      </c>
      <c r="Y312" s="24">
        <v>100</v>
      </c>
      <c r="Z312" t="s">
        <v>38</v>
      </c>
      <c r="AA312" t="s">
        <v>39</v>
      </c>
      <c r="AB312" t="s">
        <v>38</v>
      </c>
      <c r="AC312" s="24">
        <v>4.0599999999999997E-2</v>
      </c>
    </row>
    <row r="313" spans="1:29" x14ac:dyDescent="0.3">
      <c r="A313" s="2">
        <v>531</v>
      </c>
      <c r="B313" s="1">
        <v>40567</v>
      </c>
      <c r="C313" s="2">
        <v>1</v>
      </c>
      <c r="D313" s="2">
        <v>6</v>
      </c>
      <c r="E313" t="b">
        <v>0</v>
      </c>
      <c r="F313" s="2">
        <v>1</v>
      </c>
      <c r="G313" s="2">
        <v>1</v>
      </c>
      <c r="H313" s="23">
        <v>0.02</v>
      </c>
      <c r="I313" s="25">
        <v>7.5800000000000006E-2</v>
      </c>
      <c r="J313" s="23">
        <v>0.48</v>
      </c>
      <c r="K313" s="25">
        <v>8.9599999999999999E-2</v>
      </c>
      <c r="L313" s="2">
        <v>0</v>
      </c>
      <c r="M313" s="2">
        <v>15</v>
      </c>
      <c r="N313" s="2">
        <v>15</v>
      </c>
      <c r="O313" t="s">
        <v>29</v>
      </c>
      <c r="P313" t="s">
        <v>54</v>
      </c>
      <c r="Q313" t="s">
        <v>31</v>
      </c>
      <c r="R313" t="s">
        <v>42</v>
      </c>
      <c r="S313" t="s">
        <v>55</v>
      </c>
      <c r="T313" t="s">
        <v>49</v>
      </c>
      <c r="U313" t="s">
        <v>35</v>
      </c>
      <c r="V313" t="s">
        <v>36</v>
      </c>
      <c r="W313" t="s">
        <v>37</v>
      </c>
      <c r="X313" s="24">
        <v>0</v>
      </c>
      <c r="Y313" s="24">
        <v>100</v>
      </c>
      <c r="Z313" t="s">
        <v>38</v>
      </c>
      <c r="AA313" t="s">
        <v>39</v>
      </c>
      <c r="AB313" t="s">
        <v>38</v>
      </c>
      <c r="AC313" s="24">
        <v>5.5800000000000002E-2</v>
      </c>
    </row>
    <row r="314" spans="1:29" x14ac:dyDescent="0.3">
      <c r="A314" s="2">
        <v>532</v>
      </c>
      <c r="B314" s="1">
        <v>40567</v>
      </c>
      <c r="C314" s="2">
        <v>1</v>
      </c>
      <c r="D314" s="2">
        <v>7</v>
      </c>
      <c r="E314" t="b">
        <v>0</v>
      </c>
      <c r="F314" s="2">
        <v>1</v>
      </c>
      <c r="G314" s="2">
        <v>1</v>
      </c>
      <c r="H314" s="23">
        <v>0.02</v>
      </c>
      <c r="I314" s="25">
        <v>0.1212</v>
      </c>
      <c r="J314" s="23">
        <v>0.48</v>
      </c>
      <c r="K314" s="25">
        <v>0</v>
      </c>
      <c r="L314" s="2">
        <v>5</v>
      </c>
      <c r="M314" s="2">
        <v>79</v>
      </c>
      <c r="N314" s="2">
        <v>84</v>
      </c>
      <c r="O314" t="s">
        <v>29</v>
      </c>
      <c r="P314" t="s">
        <v>54</v>
      </c>
      <c r="Q314" t="s">
        <v>31</v>
      </c>
      <c r="R314" t="s">
        <v>42</v>
      </c>
      <c r="S314" t="s">
        <v>55</v>
      </c>
      <c r="T314" t="s">
        <v>49</v>
      </c>
      <c r="U314" t="s">
        <v>35</v>
      </c>
      <c r="V314" t="s">
        <v>36</v>
      </c>
      <c r="W314" t="s">
        <v>37</v>
      </c>
      <c r="X314" s="24">
        <v>5.9523809523809517</v>
      </c>
      <c r="Y314" s="24">
        <v>94.047619047619051</v>
      </c>
      <c r="Z314" t="s">
        <v>40</v>
      </c>
      <c r="AA314" t="s">
        <v>39</v>
      </c>
      <c r="AB314" t="s">
        <v>38</v>
      </c>
      <c r="AC314" s="24">
        <v>0.1012</v>
      </c>
    </row>
    <row r="315" spans="1:29" x14ac:dyDescent="0.3">
      <c r="A315" s="2">
        <v>314</v>
      </c>
      <c r="B315" s="1">
        <v>40557</v>
      </c>
      <c r="C315" s="2">
        <v>1</v>
      </c>
      <c r="D315" s="2">
        <v>13</v>
      </c>
      <c r="E315" t="b">
        <v>0</v>
      </c>
      <c r="F315" s="2">
        <v>5</v>
      </c>
      <c r="G315" s="2">
        <v>1</v>
      </c>
      <c r="H315" s="23">
        <v>0.22</v>
      </c>
      <c r="I315" s="25">
        <v>0.19700000000000001</v>
      </c>
      <c r="J315" s="23">
        <v>0.37</v>
      </c>
      <c r="K315" s="25">
        <v>0.3881</v>
      </c>
      <c r="L315" s="2">
        <v>4</v>
      </c>
      <c r="M315" s="2">
        <v>73</v>
      </c>
      <c r="N315" s="2">
        <v>77</v>
      </c>
      <c r="O315" t="s">
        <v>29</v>
      </c>
      <c r="P315" t="s">
        <v>59</v>
      </c>
      <c r="Q315" t="s">
        <v>31</v>
      </c>
      <c r="R315" t="s">
        <v>47</v>
      </c>
      <c r="S315" t="s">
        <v>33</v>
      </c>
      <c r="T315" t="s">
        <v>39</v>
      </c>
      <c r="U315" t="s">
        <v>53</v>
      </c>
      <c r="V315" t="s">
        <v>36</v>
      </c>
      <c r="W315" t="s">
        <v>37</v>
      </c>
      <c r="X315" s="24">
        <v>5.1948051948051948</v>
      </c>
      <c r="Y315" s="24">
        <v>94.805194805194802</v>
      </c>
      <c r="Z315" t="s">
        <v>38</v>
      </c>
      <c r="AA315" t="s">
        <v>39</v>
      </c>
      <c r="AB315" t="s">
        <v>38</v>
      </c>
      <c r="AC315" s="24">
        <v>-2.2999999999999989E-2</v>
      </c>
    </row>
    <row r="316" spans="1:29" x14ac:dyDescent="0.3">
      <c r="A316" s="2">
        <v>732</v>
      </c>
      <c r="B316" s="1">
        <v>40576</v>
      </c>
      <c r="C316" s="2">
        <v>1</v>
      </c>
      <c r="D316" s="2">
        <v>20</v>
      </c>
      <c r="E316" t="b">
        <v>0</v>
      </c>
      <c r="F316" s="2">
        <v>3</v>
      </c>
      <c r="G316" s="2">
        <v>1</v>
      </c>
      <c r="H316" s="23">
        <v>0.24</v>
      </c>
      <c r="I316" s="25">
        <v>0.19700000000000001</v>
      </c>
      <c r="J316" s="23">
        <v>0.48</v>
      </c>
      <c r="K316" s="25">
        <v>0.55220000000000002</v>
      </c>
      <c r="L316" s="2">
        <v>4</v>
      </c>
      <c r="M316" s="2">
        <v>71</v>
      </c>
      <c r="N316" s="2">
        <v>75</v>
      </c>
      <c r="O316" t="s">
        <v>29</v>
      </c>
      <c r="P316" t="s">
        <v>57</v>
      </c>
      <c r="Q316" t="s">
        <v>31</v>
      </c>
      <c r="R316" t="s">
        <v>50</v>
      </c>
      <c r="S316" t="s">
        <v>33</v>
      </c>
      <c r="T316" t="s">
        <v>49</v>
      </c>
      <c r="U316" t="s">
        <v>53</v>
      </c>
      <c r="V316" t="s">
        <v>36</v>
      </c>
      <c r="W316" t="s">
        <v>37</v>
      </c>
      <c r="X316" s="24">
        <v>5.3333333333333339</v>
      </c>
      <c r="Y316" s="24">
        <v>94.666666666666671</v>
      </c>
      <c r="Z316" t="s">
        <v>38</v>
      </c>
      <c r="AA316" t="s">
        <v>39</v>
      </c>
      <c r="AB316" t="s">
        <v>38</v>
      </c>
      <c r="AC316" s="24">
        <v>-4.2999999999999983E-2</v>
      </c>
    </row>
    <row r="317" spans="1:29" x14ac:dyDescent="0.3">
      <c r="A317" s="2">
        <v>316</v>
      </c>
      <c r="B317" s="1">
        <v>40557</v>
      </c>
      <c r="C317" s="2">
        <v>1</v>
      </c>
      <c r="D317" s="2">
        <v>15</v>
      </c>
      <c r="E317" t="b">
        <v>0</v>
      </c>
      <c r="F317" s="2">
        <v>5</v>
      </c>
      <c r="G317" s="2">
        <v>1</v>
      </c>
      <c r="H317" s="23">
        <v>0.24</v>
      </c>
      <c r="I317" s="25">
        <v>0.2424</v>
      </c>
      <c r="J317" s="23">
        <v>0.38</v>
      </c>
      <c r="K317" s="25">
        <v>0.16420000000000001</v>
      </c>
      <c r="L317" s="2">
        <v>9</v>
      </c>
      <c r="M317" s="2">
        <v>59</v>
      </c>
      <c r="N317" s="2">
        <v>68</v>
      </c>
      <c r="O317" t="s">
        <v>29</v>
      </c>
      <c r="P317" t="s">
        <v>59</v>
      </c>
      <c r="Q317" t="s">
        <v>31</v>
      </c>
      <c r="R317" t="s">
        <v>47</v>
      </c>
      <c r="S317" t="s">
        <v>33</v>
      </c>
      <c r="T317" t="s">
        <v>39</v>
      </c>
      <c r="U317" t="s">
        <v>46</v>
      </c>
      <c r="V317" t="s">
        <v>36</v>
      </c>
      <c r="W317" t="s">
        <v>37</v>
      </c>
      <c r="X317" s="24">
        <v>13.23529411764706</v>
      </c>
      <c r="Y317" s="24">
        <v>86.764705882352942</v>
      </c>
      <c r="Z317" t="s">
        <v>38</v>
      </c>
      <c r="AA317" t="s">
        <v>39</v>
      </c>
      <c r="AB317" t="s">
        <v>38</v>
      </c>
      <c r="AC317" s="24">
        <v>2.4000000000000128E-3</v>
      </c>
    </row>
    <row r="318" spans="1:29" x14ac:dyDescent="0.3">
      <c r="A318" s="2">
        <v>770</v>
      </c>
      <c r="B318" s="1">
        <v>40578</v>
      </c>
      <c r="C318" s="2">
        <v>1</v>
      </c>
      <c r="D318" s="2">
        <v>12</v>
      </c>
      <c r="E318" t="b">
        <v>0</v>
      </c>
      <c r="F318" s="2">
        <v>5</v>
      </c>
      <c r="G318" s="2">
        <v>2</v>
      </c>
      <c r="H318" s="23">
        <v>0.24</v>
      </c>
      <c r="I318" s="25">
        <v>0.2424</v>
      </c>
      <c r="J318" s="23">
        <v>0.48</v>
      </c>
      <c r="K318" s="25">
        <v>0.16420000000000001</v>
      </c>
      <c r="L318" s="2">
        <v>8</v>
      </c>
      <c r="M318" s="2">
        <v>78</v>
      </c>
      <c r="N318" s="2">
        <v>86</v>
      </c>
      <c r="O318" t="s">
        <v>29</v>
      </c>
      <c r="P318" t="s">
        <v>59</v>
      </c>
      <c r="Q318" t="s">
        <v>41</v>
      </c>
      <c r="R318" t="s">
        <v>47</v>
      </c>
      <c r="S318" t="s">
        <v>33</v>
      </c>
      <c r="T318" t="s">
        <v>49</v>
      </c>
      <c r="U318" t="s">
        <v>46</v>
      </c>
      <c r="V318" t="s">
        <v>36</v>
      </c>
      <c r="W318" t="s">
        <v>37</v>
      </c>
      <c r="X318" s="24">
        <v>9.3023255813953494</v>
      </c>
      <c r="Y318" s="24">
        <v>90.697674418604649</v>
      </c>
      <c r="Z318" t="s">
        <v>38</v>
      </c>
      <c r="AA318" t="s">
        <v>39</v>
      </c>
      <c r="AB318" t="s">
        <v>38</v>
      </c>
      <c r="AC318" s="24">
        <v>2.4000000000000128E-3</v>
      </c>
    </row>
    <row r="319" spans="1:29" x14ac:dyDescent="0.3">
      <c r="A319" s="2">
        <v>773</v>
      </c>
      <c r="B319" s="1">
        <v>40578</v>
      </c>
      <c r="C319" s="2">
        <v>1</v>
      </c>
      <c r="D319" s="2">
        <v>15</v>
      </c>
      <c r="E319" t="b">
        <v>0</v>
      </c>
      <c r="F319" s="2">
        <v>5</v>
      </c>
      <c r="G319" s="2">
        <v>2</v>
      </c>
      <c r="H319" s="23">
        <v>0.28000000000000003</v>
      </c>
      <c r="I319" s="25">
        <v>0.2727</v>
      </c>
      <c r="J319" s="23">
        <v>0.48</v>
      </c>
      <c r="K319" s="25">
        <v>0.25369999999999998</v>
      </c>
      <c r="L319" s="2">
        <v>9</v>
      </c>
      <c r="M319" s="2">
        <v>81</v>
      </c>
      <c r="N319" s="2">
        <v>90</v>
      </c>
      <c r="O319" t="s">
        <v>29</v>
      </c>
      <c r="P319" t="s">
        <v>59</v>
      </c>
      <c r="Q319" t="s">
        <v>41</v>
      </c>
      <c r="R319" t="s">
        <v>47</v>
      </c>
      <c r="S319" t="s">
        <v>44</v>
      </c>
      <c r="T319" t="s">
        <v>49</v>
      </c>
      <c r="U319" t="s">
        <v>46</v>
      </c>
      <c r="V319" t="s">
        <v>36</v>
      </c>
      <c r="W319" t="s">
        <v>37</v>
      </c>
      <c r="X319" s="24">
        <v>10</v>
      </c>
      <c r="Y319" s="24">
        <v>90</v>
      </c>
      <c r="Z319" t="s">
        <v>38</v>
      </c>
      <c r="AA319" t="s">
        <v>39</v>
      </c>
      <c r="AB319" t="s">
        <v>38</v>
      </c>
      <c r="AC319" s="24">
        <v>-7.3000000000000287E-3</v>
      </c>
    </row>
    <row r="320" spans="1:29" x14ac:dyDescent="0.3">
      <c r="A320" s="2">
        <v>85</v>
      </c>
      <c r="B320" s="1">
        <v>40547</v>
      </c>
      <c r="C320" s="2">
        <v>1</v>
      </c>
      <c r="D320" s="2">
        <v>16</v>
      </c>
      <c r="E320" t="b">
        <v>0</v>
      </c>
      <c r="F320" s="2">
        <v>2</v>
      </c>
      <c r="G320" s="2">
        <v>1</v>
      </c>
      <c r="H320" s="23">
        <v>0.3</v>
      </c>
      <c r="I320" s="25">
        <v>0.28789999999999999</v>
      </c>
      <c r="J320" s="23">
        <v>0.49</v>
      </c>
      <c r="K320" s="25">
        <v>0.25369999999999998</v>
      </c>
      <c r="L320" s="2">
        <v>15</v>
      </c>
      <c r="M320" s="2">
        <v>68</v>
      </c>
      <c r="N320" s="2">
        <v>83</v>
      </c>
      <c r="O320" t="s">
        <v>29</v>
      </c>
      <c r="P320" t="s">
        <v>56</v>
      </c>
      <c r="Q320" t="s">
        <v>31</v>
      </c>
      <c r="R320" t="s">
        <v>47</v>
      </c>
      <c r="S320" t="s">
        <v>44</v>
      </c>
      <c r="T320" t="s">
        <v>49</v>
      </c>
      <c r="U320" t="s">
        <v>46</v>
      </c>
      <c r="V320" t="s">
        <v>36</v>
      </c>
      <c r="W320" t="s">
        <v>37</v>
      </c>
      <c r="X320" s="24">
        <v>18.07228915662651</v>
      </c>
      <c r="Y320" s="24">
        <v>81.92771084337349</v>
      </c>
      <c r="Z320" t="s">
        <v>38</v>
      </c>
      <c r="AA320" t="s">
        <v>39</v>
      </c>
      <c r="AB320" t="s">
        <v>38</v>
      </c>
      <c r="AC320" s="24">
        <v>-1.21E-2</v>
      </c>
    </row>
    <row r="321" spans="1:29" x14ac:dyDescent="0.3">
      <c r="A321" s="2">
        <v>192</v>
      </c>
      <c r="B321" s="1">
        <v>40552</v>
      </c>
      <c r="C321" s="2">
        <v>1</v>
      </c>
      <c r="D321" s="2">
        <v>6</v>
      </c>
      <c r="E321" t="b">
        <v>0</v>
      </c>
      <c r="F321" s="2">
        <v>0</v>
      </c>
      <c r="G321" s="2">
        <v>1</v>
      </c>
      <c r="H321" s="23">
        <v>0.1</v>
      </c>
      <c r="I321" s="25">
        <v>9.0899999999999995E-2</v>
      </c>
      <c r="J321" s="23">
        <v>0.49</v>
      </c>
      <c r="K321" s="25">
        <v>0.28360000000000002</v>
      </c>
      <c r="L321" s="2">
        <v>0</v>
      </c>
      <c r="M321" s="2">
        <v>1</v>
      </c>
      <c r="N321" s="2">
        <v>1</v>
      </c>
      <c r="O321" t="s">
        <v>29</v>
      </c>
      <c r="P321" t="s">
        <v>52</v>
      </c>
      <c r="Q321" t="s">
        <v>31</v>
      </c>
      <c r="R321" t="s">
        <v>42</v>
      </c>
      <c r="S321" t="s">
        <v>55</v>
      </c>
      <c r="T321" t="s">
        <v>49</v>
      </c>
      <c r="U321" t="s">
        <v>46</v>
      </c>
      <c r="V321" t="s">
        <v>36</v>
      </c>
      <c r="W321" t="s">
        <v>37</v>
      </c>
      <c r="X321" s="24">
        <v>0</v>
      </c>
      <c r="Y321" s="24">
        <v>100</v>
      </c>
      <c r="Z321" t="s">
        <v>38</v>
      </c>
      <c r="AA321" t="s">
        <v>39</v>
      </c>
      <c r="AB321" t="s">
        <v>40</v>
      </c>
      <c r="AC321" s="24">
        <v>-9.1000000000000109E-3</v>
      </c>
    </row>
    <row r="322" spans="1:29" x14ac:dyDescent="0.3">
      <c r="A322" s="2">
        <v>194</v>
      </c>
      <c r="B322" s="1">
        <v>40552</v>
      </c>
      <c r="C322" s="2">
        <v>1</v>
      </c>
      <c r="D322" s="2">
        <v>8</v>
      </c>
      <c r="E322" t="b">
        <v>0</v>
      </c>
      <c r="F322" s="2">
        <v>0</v>
      </c>
      <c r="G322" s="2">
        <v>1</v>
      </c>
      <c r="H322" s="23">
        <v>0.1</v>
      </c>
      <c r="I322" s="25">
        <v>9.0899999999999995E-2</v>
      </c>
      <c r="J322" s="23">
        <v>0.49</v>
      </c>
      <c r="K322" s="25">
        <v>0.28360000000000002</v>
      </c>
      <c r="L322" s="2">
        <v>0</v>
      </c>
      <c r="M322" s="2">
        <v>10</v>
      </c>
      <c r="N322" s="2">
        <v>10</v>
      </c>
      <c r="O322" t="s">
        <v>29</v>
      </c>
      <c r="P322" t="s">
        <v>52</v>
      </c>
      <c r="Q322" t="s">
        <v>31</v>
      </c>
      <c r="R322" t="s">
        <v>42</v>
      </c>
      <c r="S322" t="s">
        <v>55</v>
      </c>
      <c r="T322" t="s">
        <v>49</v>
      </c>
      <c r="U322" t="s">
        <v>46</v>
      </c>
      <c r="V322" t="s">
        <v>36</v>
      </c>
      <c r="W322" t="s">
        <v>37</v>
      </c>
      <c r="X322" s="24">
        <v>0</v>
      </c>
      <c r="Y322" s="24">
        <v>100</v>
      </c>
      <c r="Z322" t="s">
        <v>40</v>
      </c>
      <c r="AA322" t="s">
        <v>39</v>
      </c>
      <c r="AB322" t="s">
        <v>40</v>
      </c>
      <c r="AC322" s="24">
        <v>-9.1000000000000109E-3</v>
      </c>
    </row>
    <row r="323" spans="1:29" x14ac:dyDescent="0.3">
      <c r="A323" s="2">
        <v>371</v>
      </c>
      <c r="B323" s="1">
        <v>40559</v>
      </c>
      <c r="C323" s="2">
        <v>1</v>
      </c>
      <c r="D323" s="2">
        <v>22</v>
      </c>
      <c r="E323" t="b">
        <v>0</v>
      </c>
      <c r="F323" s="2">
        <v>0</v>
      </c>
      <c r="G323" s="2">
        <v>2</v>
      </c>
      <c r="H323" s="23">
        <v>0.2</v>
      </c>
      <c r="I323" s="25">
        <v>0.21210000000000001</v>
      </c>
      <c r="J323" s="23">
        <v>0.49</v>
      </c>
      <c r="K323" s="25">
        <v>0.1343</v>
      </c>
      <c r="L323" s="2">
        <v>2</v>
      </c>
      <c r="M323" s="2">
        <v>19</v>
      </c>
      <c r="N323" s="2">
        <v>21</v>
      </c>
      <c r="O323" t="s">
        <v>29</v>
      </c>
      <c r="P323" t="s">
        <v>52</v>
      </c>
      <c r="Q323" t="s">
        <v>41</v>
      </c>
      <c r="R323" t="s">
        <v>32</v>
      </c>
      <c r="S323" t="s">
        <v>33</v>
      </c>
      <c r="T323" t="s">
        <v>49</v>
      </c>
      <c r="U323" t="s">
        <v>35</v>
      </c>
      <c r="V323" t="s">
        <v>36</v>
      </c>
      <c r="W323" t="s">
        <v>37</v>
      </c>
      <c r="X323" s="24">
        <v>9.5238095238095237</v>
      </c>
      <c r="Y323" s="24">
        <v>90.476190476190482</v>
      </c>
      <c r="Z323" t="s">
        <v>38</v>
      </c>
      <c r="AA323" t="s">
        <v>39</v>
      </c>
      <c r="AB323" t="s">
        <v>40</v>
      </c>
      <c r="AC323" s="24">
        <v>1.21E-2</v>
      </c>
    </row>
    <row r="324" spans="1:29" x14ac:dyDescent="0.3">
      <c r="A324" s="2">
        <v>428</v>
      </c>
      <c r="B324" s="1">
        <v>40562</v>
      </c>
      <c r="C324" s="2">
        <v>1</v>
      </c>
      <c r="D324" s="2">
        <v>20</v>
      </c>
      <c r="E324" t="b">
        <v>0</v>
      </c>
      <c r="F324" s="2">
        <v>3</v>
      </c>
      <c r="G324" s="2">
        <v>1</v>
      </c>
      <c r="H324" s="23">
        <v>0.32</v>
      </c>
      <c r="I324" s="25">
        <v>0.30299999999999999</v>
      </c>
      <c r="J324" s="23">
        <v>0.49</v>
      </c>
      <c r="K324" s="25">
        <v>0.29849999999999999</v>
      </c>
      <c r="L324" s="2">
        <v>2</v>
      </c>
      <c r="M324" s="2">
        <v>74</v>
      </c>
      <c r="N324" s="2">
        <v>76</v>
      </c>
      <c r="O324" t="s">
        <v>29</v>
      </c>
      <c r="P324" t="s">
        <v>57</v>
      </c>
      <c r="Q324" t="s">
        <v>31</v>
      </c>
      <c r="R324" t="s">
        <v>50</v>
      </c>
      <c r="S324" t="s">
        <v>44</v>
      </c>
      <c r="T324" t="s">
        <v>49</v>
      </c>
      <c r="U324" t="s">
        <v>46</v>
      </c>
      <c r="V324" t="s">
        <v>36</v>
      </c>
      <c r="W324" t="s">
        <v>37</v>
      </c>
      <c r="X324" s="24">
        <v>2.6315789473684208</v>
      </c>
      <c r="Y324" s="24">
        <v>97.368421052631575</v>
      </c>
      <c r="Z324" t="s">
        <v>38</v>
      </c>
      <c r="AA324" t="s">
        <v>39</v>
      </c>
      <c r="AB324" t="s">
        <v>38</v>
      </c>
      <c r="AC324" s="24">
        <v>-1.7000000000000019E-2</v>
      </c>
    </row>
    <row r="325" spans="1:29" x14ac:dyDescent="0.3">
      <c r="A325" s="2">
        <v>429</v>
      </c>
      <c r="B325" s="1">
        <v>40562</v>
      </c>
      <c r="C325" s="2">
        <v>1</v>
      </c>
      <c r="D325" s="2">
        <v>21</v>
      </c>
      <c r="E325" t="b">
        <v>0</v>
      </c>
      <c r="F325" s="2">
        <v>3</v>
      </c>
      <c r="G325" s="2">
        <v>1</v>
      </c>
      <c r="H325" s="23">
        <v>0.32</v>
      </c>
      <c r="I325" s="25">
        <v>0.28789999999999999</v>
      </c>
      <c r="J325" s="23">
        <v>0.49</v>
      </c>
      <c r="K325" s="25">
        <v>0.41789999999999999</v>
      </c>
      <c r="L325" s="2">
        <v>4</v>
      </c>
      <c r="M325" s="2">
        <v>55</v>
      </c>
      <c r="N325" s="2">
        <v>59</v>
      </c>
      <c r="O325" t="s">
        <v>29</v>
      </c>
      <c r="P325" t="s">
        <v>57</v>
      </c>
      <c r="Q325" t="s">
        <v>31</v>
      </c>
      <c r="R325" t="s">
        <v>32</v>
      </c>
      <c r="S325" t="s">
        <v>44</v>
      </c>
      <c r="T325" t="s">
        <v>49</v>
      </c>
      <c r="U325" t="s">
        <v>53</v>
      </c>
      <c r="V325" t="s">
        <v>36</v>
      </c>
      <c r="W325" t="s">
        <v>37</v>
      </c>
      <c r="X325" s="24">
        <v>6.7796610169491522</v>
      </c>
      <c r="Y325" s="24">
        <v>93.220338983050837</v>
      </c>
      <c r="Z325" t="s">
        <v>38</v>
      </c>
      <c r="AA325" t="s">
        <v>39</v>
      </c>
      <c r="AB325" t="s">
        <v>38</v>
      </c>
      <c r="AC325" s="24">
        <v>-3.2100000000000017E-2</v>
      </c>
    </row>
    <row r="326" spans="1:29" x14ac:dyDescent="0.3">
      <c r="A326" s="2">
        <v>448</v>
      </c>
      <c r="B326" s="1">
        <v>40563</v>
      </c>
      <c r="C326" s="2">
        <v>1</v>
      </c>
      <c r="D326" s="2">
        <v>16</v>
      </c>
      <c r="E326" t="b">
        <v>0</v>
      </c>
      <c r="F326" s="2">
        <v>4</v>
      </c>
      <c r="G326" s="2">
        <v>2</v>
      </c>
      <c r="H326" s="23">
        <v>0.3</v>
      </c>
      <c r="I326" s="25">
        <v>0.30299999999999999</v>
      </c>
      <c r="J326" s="23">
        <v>0.49</v>
      </c>
      <c r="K326" s="25">
        <v>0.1343</v>
      </c>
      <c r="L326" s="2">
        <v>8</v>
      </c>
      <c r="M326" s="2">
        <v>83</v>
      </c>
      <c r="N326" s="2">
        <v>91</v>
      </c>
      <c r="O326" t="s">
        <v>29</v>
      </c>
      <c r="P326" t="s">
        <v>58</v>
      </c>
      <c r="Q326" t="s">
        <v>41</v>
      </c>
      <c r="R326" t="s">
        <v>47</v>
      </c>
      <c r="S326" t="s">
        <v>44</v>
      </c>
      <c r="T326" t="s">
        <v>49</v>
      </c>
      <c r="U326" t="s">
        <v>35</v>
      </c>
      <c r="V326" t="s">
        <v>36</v>
      </c>
      <c r="W326" t="s">
        <v>37</v>
      </c>
      <c r="X326" s="24">
        <v>8.791208791208792</v>
      </c>
      <c r="Y326" s="24">
        <v>91.208791208791212</v>
      </c>
      <c r="Z326" t="s">
        <v>38</v>
      </c>
      <c r="AA326" t="s">
        <v>39</v>
      </c>
      <c r="AB326" t="s">
        <v>38</v>
      </c>
      <c r="AC326" s="24">
        <v>3.0000000000000031E-3</v>
      </c>
    </row>
    <row r="327" spans="1:29" x14ac:dyDescent="0.3">
      <c r="A327" s="2">
        <v>449</v>
      </c>
      <c r="B327" s="1">
        <v>40563</v>
      </c>
      <c r="C327" s="2">
        <v>1</v>
      </c>
      <c r="D327" s="2">
        <v>17</v>
      </c>
      <c r="E327" t="b">
        <v>0</v>
      </c>
      <c r="F327" s="2">
        <v>4</v>
      </c>
      <c r="G327" s="2">
        <v>2</v>
      </c>
      <c r="H327" s="23">
        <v>0.3</v>
      </c>
      <c r="I327" s="25">
        <v>0.31819999999999998</v>
      </c>
      <c r="J327" s="23">
        <v>0.49</v>
      </c>
      <c r="K327" s="25">
        <v>0.1045</v>
      </c>
      <c r="L327" s="2">
        <v>8</v>
      </c>
      <c r="M327" s="2">
        <v>207</v>
      </c>
      <c r="N327" s="2">
        <v>215</v>
      </c>
      <c r="O327" t="s">
        <v>29</v>
      </c>
      <c r="P327" t="s">
        <v>58</v>
      </c>
      <c r="Q327" t="s">
        <v>41</v>
      </c>
      <c r="R327" t="s">
        <v>50</v>
      </c>
      <c r="S327" t="s">
        <v>44</v>
      </c>
      <c r="T327" t="s">
        <v>49</v>
      </c>
      <c r="U327" t="s">
        <v>35</v>
      </c>
      <c r="V327" t="s">
        <v>36</v>
      </c>
      <c r="W327" t="s">
        <v>37</v>
      </c>
      <c r="X327" s="24">
        <v>3.720930232558139</v>
      </c>
      <c r="Y327" s="24">
        <v>96.279069767441854</v>
      </c>
      <c r="Z327" t="s">
        <v>40</v>
      </c>
      <c r="AA327" t="s">
        <v>49</v>
      </c>
      <c r="AB327" t="s">
        <v>38</v>
      </c>
      <c r="AC327" s="24">
        <v>1.819999999999999E-2</v>
      </c>
    </row>
    <row r="328" spans="1:29" x14ac:dyDescent="0.3">
      <c r="A328" s="2">
        <v>501</v>
      </c>
      <c r="B328" s="1">
        <v>40565</v>
      </c>
      <c r="C328" s="2">
        <v>1</v>
      </c>
      <c r="D328" s="2">
        <v>22</v>
      </c>
      <c r="E328" t="b">
        <v>0</v>
      </c>
      <c r="F328" s="2">
        <v>6</v>
      </c>
      <c r="G328" s="2">
        <v>1</v>
      </c>
      <c r="H328" s="23">
        <v>0.06</v>
      </c>
      <c r="I328" s="25">
        <v>0.1515</v>
      </c>
      <c r="J328" s="23">
        <v>0.49</v>
      </c>
      <c r="K328" s="25">
        <v>0</v>
      </c>
      <c r="L328" s="2">
        <v>7</v>
      </c>
      <c r="M328" s="2">
        <v>23</v>
      </c>
      <c r="N328" s="2">
        <v>30</v>
      </c>
      <c r="O328" t="s">
        <v>29</v>
      </c>
      <c r="P328" t="s">
        <v>30</v>
      </c>
      <c r="Q328" t="s">
        <v>31</v>
      </c>
      <c r="R328" t="s">
        <v>32</v>
      </c>
      <c r="S328" t="s">
        <v>55</v>
      </c>
      <c r="T328" t="s">
        <v>49</v>
      </c>
      <c r="U328" t="s">
        <v>35</v>
      </c>
      <c r="V328" t="s">
        <v>36</v>
      </c>
      <c r="W328" t="s">
        <v>37</v>
      </c>
      <c r="X328" s="24">
        <v>23.333333333333329</v>
      </c>
      <c r="Y328" s="24">
        <v>76.666666666666671</v>
      </c>
      <c r="Z328" t="s">
        <v>38</v>
      </c>
      <c r="AA328" t="s">
        <v>39</v>
      </c>
      <c r="AB328" t="s">
        <v>40</v>
      </c>
      <c r="AC328" s="24">
        <v>9.1499999999999998E-2</v>
      </c>
    </row>
    <row r="329" spans="1:29" x14ac:dyDescent="0.3">
      <c r="A329" s="2">
        <v>533</v>
      </c>
      <c r="B329" s="1">
        <v>40567</v>
      </c>
      <c r="C329" s="2">
        <v>1</v>
      </c>
      <c r="D329" s="2">
        <v>8</v>
      </c>
      <c r="E329" t="b">
        <v>0</v>
      </c>
      <c r="F329" s="2">
        <v>1</v>
      </c>
      <c r="G329" s="2">
        <v>1</v>
      </c>
      <c r="H329" s="23">
        <v>0.04</v>
      </c>
      <c r="I329" s="25">
        <v>0.13639999999999999</v>
      </c>
      <c r="J329" s="23">
        <v>0.49</v>
      </c>
      <c r="K329" s="25">
        <v>0</v>
      </c>
      <c r="L329" s="2">
        <v>6</v>
      </c>
      <c r="M329" s="2">
        <v>171</v>
      </c>
      <c r="N329" s="2">
        <v>177</v>
      </c>
      <c r="O329" t="s">
        <v>29</v>
      </c>
      <c r="P329" t="s">
        <v>54</v>
      </c>
      <c r="Q329" t="s">
        <v>31</v>
      </c>
      <c r="R329" t="s">
        <v>42</v>
      </c>
      <c r="S329" t="s">
        <v>55</v>
      </c>
      <c r="T329" t="s">
        <v>49</v>
      </c>
      <c r="U329" t="s">
        <v>35</v>
      </c>
      <c r="V329" t="s">
        <v>36</v>
      </c>
      <c r="W329" t="s">
        <v>37</v>
      </c>
      <c r="X329" s="24">
        <v>3.3898305084745761</v>
      </c>
      <c r="Y329" s="24">
        <v>96.610169491525426</v>
      </c>
      <c r="Z329" t="s">
        <v>40</v>
      </c>
      <c r="AA329" t="s">
        <v>49</v>
      </c>
      <c r="AB329" t="s">
        <v>38</v>
      </c>
      <c r="AC329" s="24">
        <v>9.6399999999999986E-2</v>
      </c>
    </row>
    <row r="330" spans="1:29" x14ac:dyDescent="0.3">
      <c r="A330" s="2">
        <v>566</v>
      </c>
      <c r="B330" s="1">
        <v>40568</v>
      </c>
      <c r="C330" s="2">
        <v>1</v>
      </c>
      <c r="D330" s="2">
        <v>18</v>
      </c>
      <c r="E330" t="b">
        <v>0</v>
      </c>
      <c r="F330" s="2">
        <v>2</v>
      </c>
      <c r="G330" s="2">
        <v>2</v>
      </c>
      <c r="H330" s="23">
        <v>0.3</v>
      </c>
      <c r="I330" s="25">
        <v>0.31819999999999998</v>
      </c>
      <c r="J330" s="23">
        <v>0.49</v>
      </c>
      <c r="K330" s="25">
        <v>8.9599999999999999E-2</v>
      </c>
      <c r="L330" s="2">
        <v>7</v>
      </c>
      <c r="M330" s="2">
        <v>218</v>
      </c>
      <c r="N330" s="2">
        <v>225</v>
      </c>
      <c r="O330" t="s">
        <v>29</v>
      </c>
      <c r="P330" t="s">
        <v>56</v>
      </c>
      <c r="Q330" t="s">
        <v>41</v>
      </c>
      <c r="R330" t="s">
        <v>50</v>
      </c>
      <c r="S330" t="s">
        <v>44</v>
      </c>
      <c r="T330" t="s">
        <v>49</v>
      </c>
      <c r="U330" t="s">
        <v>35</v>
      </c>
      <c r="V330" t="s">
        <v>36</v>
      </c>
      <c r="W330" t="s">
        <v>37</v>
      </c>
      <c r="X330" s="24">
        <v>3.1111111111111112</v>
      </c>
      <c r="Y330" s="24">
        <v>96.888888888888886</v>
      </c>
      <c r="Z330" t="s">
        <v>40</v>
      </c>
      <c r="AA330" t="s">
        <v>49</v>
      </c>
      <c r="AB330" t="s">
        <v>38</v>
      </c>
      <c r="AC330" s="24">
        <v>1.819999999999999E-2</v>
      </c>
    </row>
    <row r="331" spans="1:29" x14ac:dyDescent="0.3">
      <c r="A331" s="2">
        <v>817</v>
      </c>
      <c r="B331" s="1">
        <v>40580</v>
      </c>
      <c r="C331" s="2">
        <v>1</v>
      </c>
      <c r="D331" s="2">
        <v>11</v>
      </c>
      <c r="E331" t="b">
        <v>0</v>
      </c>
      <c r="F331" s="2">
        <v>0</v>
      </c>
      <c r="G331" s="2">
        <v>1</v>
      </c>
      <c r="H331" s="23">
        <v>0.32</v>
      </c>
      <c r="I331" s="25">
        <v>0.30299999999999999</v>
      </c>
      <c r="J331" s="23">
        <v>0.49</v>
      </c>
      <c r="K331" s="25">
        <v>0.25369999999999998</v>
      </c>
      <c r="L331" s="2">
        <v>28</v>
      </c>
      <c r="M331" s="2">
        <v>89</v>
      </c>
      <c r="N331" s="2">
        <v>117</v>
      </c>
      <c r="O331" t="s">
        <v>29</v>
      </c>
      <c r="P331" t="s">
        <v>52</v>
      </c>
      <c r="Q331" t="s">
        <v>31</v>
      </c>
      <c r="R331" t="s">
        <v>42</v>
      </c>
      <c r="S331" t="s">
        <v>44</v>
      </c>
      <c r="T331" t="s">
        <v>49</v>
      </c>
      <c r="U331" t="s">
        <v>46</v>
      </c>
      <c r="V331" t="s">
        <v>36</v>
      </c>
      <c r="W331" t="s">
        <v>37</v>
      </c>
      <c r="X331" s="24">
        <v>23.931623931623928</v>
      </c>
      <c r="Y331" s="24">
        <v>76.068376068376068</v>
      </c>
      <c r="Z331" t="s">
        <v>38</v>
      </c>
      <c r="AA331" t="s">
        <v>49</v>
      </c>
      <c r="AB331" t="s">
        <v>40</v>
      </c>
      <c r="AC331" s="24">
        <v>-1.7000000000000019E-2</v>
      </c>
    </row>
    <row r="332" spans="1:29" x14ac:dyDescent="0.3">
      <c r="A332" s="2">
        <v>822</v>
      </c>
      <c r="B332" s="1">
        <v>40580</v>
      </c>
      <c r="C332" s="2">
        <v>1</v>
      </c>
      <c r="D332" s="2">
        <v>16</v>
      </c>
      <c r="E332" t="b">
        <v>0</v>
      </c>
      <c r="F332" s="2">
        <v>0</v>
      </c>
      <c r="G332" s="2">
        <v>1</v>
      </c>
      <c r="H332" s="23">
        <v>0.34</v>
      </c>
      <c r="I332" s="25">
        <v>0.34849999999999998</v>
      </c>
      <c r="J332" s="23">
        <v>0.49</v>
      </c>
      <c r="K332" s="25">
        <v>0.1045</v>
      </c>
      <c r="L332" s="2">
        <v>42</v>
      </c>
      <c r="M332" s="2">
        <v>115</v>
      </c>
      <c r="N332" s="2">
        <v>157</v>
      </c>
      <c r="O332" t="s">
        <v>29</v>
      </c>
      <c r="P332" t="s">
        <v>52</v>
      </c>
      <c r="Q332" t="s">
        <v>31</v>
      </c>
      <c r="R332" t="s">
        <v>47</v>
      </c>
      <c r="S332" t="s">
        <v>44</v>
      </c>
      <c r="T332" t="s">
        <v>49</v>
      </c>
      <c r="U332" t="s">
        <v>35</v>
      </c>
      <c r="V332" t="s">
        <v>36</v>
      </c>
      <c r="W332" t="s">
        <v>37</v>
      </c>
      <c r="X332" s="24">
        <v>26.751592356687901</v>
      </c>
      <c r="Y332" s="24">
        <v>73.248407643312092</v>
      </c>
      <c r="Z332" t="s">
        <v>38</v>
      </c>
      <c r="AA332" t="s">
        <v>49</v>
      </c>
      <c r="AB332" t="s">
        <v>40</v>
      </c>
      <c r="AC332" s="24">
        <v>8.499999999999952E-3</v>
      </c>
    </row>
    <row r="333" spans="1:29" x14ac:dyDescent="0.3">
      <c r="A333" s="2">
        <v>884</v>
      </c>
      <c r="B333" s="1">
        <v>40583</v>
      </c>
      <c r="C333" s="2">
        <v>1</v>
      </c>
      <c r="D333" s="2">
        <v>7</v>
      </c>
      <c r="E333" t="b">
        <v>0</v>
      </c>
      <c r="F333" s="2">
        <v>3</v>
      </c>
      <c r="G333" s="2">
        <v>1</v>
      </c>
      <c r="H333" s="23">
        <v>0.06</v>
      </c>
      <c r="I333" s="25">
        <v>0.1061</v>
      </c>
      <c r="J333" s="23">
        <v>0.49</v>
      </c>
      <c r="K333" s="25">
        <v>0.1045</v>
      </c>
      <c r="L333" s="2">
        <v>4</v>
      </c>
      <c r="M333" s="2">
        <v>95</v>
      </c>
      <c r="N333" s="2">
        <v>99</v>
      </c>
      <c r="O333" t="s">
        <v>29</v>
      </c>
      <c r="P333" t="s">
        <v>57</v>
      </c>
      <c r="Q333" t="s">
        <v>31</v>
      </c>
      <c r="R333" t="s">
        <v>42</v>
      </c>
      <c r="S333" t="s">
        <v>55</v>
      </c>
      <c r="T333" t="s">
        <v>49</v>
      </c>
      <c r="U333" t="s">
        <v>35</v>
      </c>
      <c r="V333" t="s">
        <v>36</v>
      </c>
      <c r="W333" t="s">
        <v>37</v>
      </c>
      <c r="X333" s="24">
        <v>4.0404040404040407</v>
      </c>
      <c r="Y333" s="24">
        <v>95.959595959595958</v>
      </c>
      <c r="Z333" t="s">
        <v>40</v>
      </c>
      <c r="AA333" t="s">
        <v>39</v>
      </c>
      <c r="AB333" t="s">
        <v>38</v>
      </c>
      <c r="AC333" s="24">
        <v>4.6100000000000002E-2</v>
      </c>
    </row>
    <row r="334" spans="1:29" x14ac:dyDescent="0.3">
      <c r="A334" s="2">
        <v>908</v>
      </c>
      <c r="B334" s="1">
        <v>40584</v>
      </c>
      <c r="C334" s="2">
        <v>1</v>
      </c>
      <c r="D334" s="2">
        <v>8</v>
      </c>
      <c r="E334" t="b">
        <v>0</v>
      </c>
      <c r="F334" s="2">
        <v>4</v>
      </c>
      <c r="G334" s="2">
        <v>1</v>
      </c>
      <c r="H334" s="23">
        <v>0.1</v>
      </c>
      <c r="I334" s="25">
        <v>7.5800000000000006E-2</v>
      </c>
      <c r="J334" s="23">
        <v>0.49</v>
      </c>
      <c r="K334" s="25">
        <v>0.32840000000000003</v>
      </c>
      <c r="L334" s="2">
        <v>5</v>
      </c>
      <c r="M334" s="2">
        <v>173</v>
      </c>
      <c r="N334" s="2">
        <v>178</v>
      </c>
      <c r="O334" t="s">
        <v>29</v>
      </c>
      <c r="P334" t="s">
        <v>58</v>
      </c>
      <c r="Q334" t="s">
        <v>31</v>
      </c>
      <c r="R334" t="s">
        <v>42</v>
      </c>
      <c r="S334" t="s">
        <v>55</v>
      </c>
      <c r="T334" t="s">
        <v>49</v>
      </c>
      <c r="U334" t="s">
        <v>53</v>
      </c>
      <c r="V334" t="s">
        <v>36</v>
      </c>
      <c r="W334" t="s">
        <v>37</v>
      </c>
      <c r="X334" s="24">
        <v>2.808988764044944</v>
      </c>
      <c r="Y334" s="24">
        <v>97.19101123595506</v>
      </c>
      <c r="Z334" t="s">
        <v>40</v>
      </c>
      <c r="AA334" t="s">
        <v>49</v>
      </c>
      <c r="AB334" t="s">
        <v>38</v>
      </c>
      <c r="AC334" s="24">
        <v>-2.4199999999999999E-2</v>
      </c>
    </row>
    <row r="335" spans="1:29" x14ac:dyDescent="0.3">
      <c r="A335" s="2">
        <v>924</v>
      </c>
      <c r="B335" s="1">
        <v>40585</v>
      </c>
      <c r="C335" s="2">
        <v>1</v>
      </c>
      <c r="D335" s="2">
        <v>0</v>
      </c>
      <c r="E335" t="b">
        <v>0</v>
      </c>
      <c r="F335" s="2">
        <v>5</v>
      </c>
      <c r="G335" s="2">
        <v>1</v>
      </c>
      <c r="H335" s="23">
        <v>0.1</v>
      </c>
      <c r="I335" s="25">
        <v>0.13639999999999999</v>
      </c>
      <c r="J335" s="23">
        <v>0.49</v>
      </c>
      <c r="K335" s="25">
        <v>0.1045</v>
      </c>
      <c r="L335" s="2">
        <v>2</v>
      </c>
      <c r="M335" s="2">
        <v>12</v>
      </c>
      <c r="N335" s="2">
        <v>14</v>
      </c>
      <c r="O335" t="s">
        <v>29</v>
      </c>
      <c r="P335" t="s">
        <v>59</v>
      </c>
      <c r="Q335" t="s">
        <v>31</v>
      </c>
      <c r="R335" t="s">
        <v>32</v>
      </c>
      <c r="S335" t="s">
        <v>55</v>
      </c>
      <c r="T335" t="s">
        <v>49</v>
      </c>
      <c r="U335" t="s">
        <v>35</v>
      </c>
      <c r="V335" t="s">
        <v>36</v>
      </c>
      <c r="W335" t="s">
        <v>37</v>
      </c>
      <c r="X335" s="24">
        <v>14.285714285714279</v>
      </c>
      <c r="Y335" s="24">
        <v>85.714285714285708</v>
      </c>
      <c r="Z335" t="s">
        <v>38</v>
      </c>
      <c r="AA335" t="s">
        <v>39</v>
      </c>
      <c r="AB335" t="s">
        <v>38</v>
      </c>
      <c r="AC335" s="24">
        <v>3.6399999999999988E-2</v>
      </c>
    </row>
    <row r="336" spans="1:29" x14ac:dyDescent="0.3">
      <c r="A336" s="2">
        <v>52</v>
      </c>
      <c r="B336" s="1">
        <v>40546</v>
      </c>
      <c r="C336" s="2">
        <v>1</v>
      </c>
      <c r="D336" s="2">
        <v>6</v>
      </c>
      <c r="E336" t="b">
        <v>0</v>
      </c>
      <c r="F336" s="2">
        <v>1</v>
      </c>
      <c r="G336" s="2">
        <v>1</v>
      </c>
      <c r="H336" s="23">
        <v>0.14000000000000001</v>
      </c>
      <c r="I336" s="25">
        <v>0.1061</v>
      </c>
      <c r="J336" s="23">
        <v>0.5</v>
      </c>
      <c r="K336" s="25">
        <v>0.3881</v>
      </c>
      <c r="L336" s="2">
        <v>0</v>
      </c>
      <c r="M336" s="2">
        <v>30</v>
      </c>
      <c r="N336" s="2">
        <v>30</v>
      </c>
      <c r="O336" t="s">
        <v>29</v>
      </c>
      <c r="P336" t="s">
        <v>54</v>
      </c>
      <c r="Q336" t="s">
        <v>31</v>
      </c>
      <c r="R336" t="s">
        <v>42</v>
      </c>
      <c r="S336" t="s">
        <v>55</v>
      </c>
      <c r="T336" t="s">
        <v>49</v>
      </c>
      <c r="U336" t="s">
        <v>53</v>
      </c>
      <c r="V336" t="s">
        <v>36</v>
      </c>
      <c r="W336" t="s">
        <v>37</v>
      </c>
      <c r="X336" s="24">
        <v>0</v>
      </c>
      <c r="Y336" s="24">
        <v>100</v>
      </c>
      <c r="Z336" t="s">
        <v>38</v>
      </c>
      <c r="AA336" t="s">
        <v>39</v>
      </c>
      <c r="AB336" t="s">
        <v>38</v>
      </c>
      <c r="AC336" s="24">
        <v>-3.3900000000000013E-2</v>
      </c>
    </row>
    <row r="337" spans="1:29" x14ac:dyDescent="0.3">
      <c r="A337" s="2">
        <v>53</v>
      </c>
      <c r="B337" s="1">
        <v>40546</v>
      </c>
      <c r="C337" s="2">
        <v>1</v>
      </c>
      <c r="D337" s="2">
        <v>7</v>
      </c>
      <c r="E337" t="b">
        <v>0</v>
      </c>
      <c r="F337" s="2">
        <v>1</v>
      </c>
      <c r="G337" s="2">
        <v>1</v>
      </c>
      <c r="H337" s="23">
        <v>0.14000000000000001</v>
      </c>
      <c r="I337" s="25">
        <v>0.13639999999999999</v>
      </c>
      <c r="J337" s="23">
        <v>0.5</v>
      </c>
      <c r="K337" s="25">
        <v>0.19400000000000001</v>
      </c>
      <c r="L337" s="2">
        <v>1</v>
      </c>
      <c r="M337" s="2">
        <v>63</v>
      </c>
      <c r="N337" s="2">
        <v>64</v>
      </c>
      <c r="O337" t="s">
        <v>29</v>
      </c>
      <c r="P337" t="s">
        <v>54</v>
      </c>
      <c r="Q337" t="s">
        <v>31</v>
      </c>
      <c r="R337" t="s">
        <v>42</v>
      </c>
      <c r="S337" t="s">
        <v>55</v>
      </c>
      <c r="T337" t="s">
        <v>49</v>
      </c>
      <c r="U337" t="s">
        <v>46</v>
      </c>
      <c r="V337" t="s">
        <v>36</v>
      </c>
      <c r="W337" t="s">
        <v>37</v>
      </c>
      <c r="X337" s="24">
        <v>1.5625</v>
      </c>
      <c r="Y337" s="24">
        <v>98.4375</v>
      </c>
      <c r="Z337" t="s">
        <v>40</v>
      </c>
      <c r="AA337" t="s">
        <v>39</v>
      </c>
      <c r="AB337" t="s">
        <v>38</v>
      </c>
      <c r="AC337" s="24">
        <v>-3.6000000000000199E-3</v>
      </c>
    </row>
    <row r="338" spans="1:29" x14ac:dyDescent="0.3">
      <c r="A338" s="2">
        <v>54</v>
      </c>
      <c r="B338" s="1">
        <v>40546</v>
      </c>
      <c r="C338" s="2">
        <v>1</v>
      </c>
      <c r="D338" s="2">
        <v>8</v>
      </c>
      <c r="E338" t="b">
        <v>0</v>
      </c>
      <c r="F338" s="2">
        <v>1</v>
      </c>
      <c r="G338" s="2">
        <v>1</v>
      </c>
      <c r="H338" s="23">
        <v>0.14000000000000001</v>
      </c>
      <c r="I338" s="25">
        <v>0.1212</v>
      </c>
      <c r="J338" s="23">
        <v>0.5</v>
      </c>
      <c r="K338" s="25">
        <v>0.28360000000000002</v>
      </c>
      <c r="L338" s="2">
        <v>1</v>
      </c>
      <c r="M338" s="2">
        <v>153</v>
      </c>
      <c r="N338" s="2">
        <v>154</v>
      </c>
      <c r="O338" t="s">
        <v>29</v>
      </c>
      <c r="P338" t="s">
        <v>54</v>
      </c>
      <c r="Q338" t="s">
        <v>31</v>
      </c>
      <c r="R338" t="s">
        <v>42</v>
      </c>
      <c r="S338" t="s">
        <v>55</v>
      </c>
      <c r="T338" t="s">
        <v>49</v>
      </c>
      <c r="U338" t="s">
        <v>46</v>
      </c>
      <c r="V338" t="s">
        <v>36</v>
      </c>
      <c r="W338" t="s">
        <v>37</v>
      </c>
      <c r="X338" s="24">
        <v>0.64935064935064934</v>
      </c>
      <c r="Y338" s="24">
        <v>99.350649350649363</v>
      </c>
      <c r="Z338" t="s">
        <v>40</v>
      </c>
      <c r="AA338" t="s">
        <v>49</v>
      </c>
      <c r="AB338" t="s">
        <v>38</v>
      </c>
      <c r="AC338" s="24">
        <v>-1.8800000000000011E-2</v>
      </c>
    </row>
    <row r="339" spans="1:29" x14ac:dyDescent="0.3">
      <c r="A339" s="2">
        <v>338</v>
      </c>
      <c r="B339" s="1">
        <v>40558</v>
      </c>
      <c r="C339" s="2">
        <v>1</v>
      </c>
      <c r="D339" s="2">
        <v>13</v>
      </c>
      <c r="E339" t="b">
        <v>0</v>
      </c>
      <c r="F339" s="2">
        <v>6</v>
      </c>
      <c r="G339" s="2">
        <v>1</v>
      </c>
      <c r="H339" s="23">
        <v>0.28000000000000003</v>
      </c>
      <c r="I339" s="25">
        <v>0.2576</v>
      </c>
      <c r="J339" s="23">
        <v>0.38</v>
      </c>
      <c r="K339" s="25">
        <v>0.29849999999999999</v>
      </c>
      <c r="L339" s="2">
        <v>21</v>
      </c>
      <c r="M339" s="2">
        <v>80</v>
      </c>
      <c r="N339" s="2">
        <v>101</v>
      </c>
      <c r="O339" t="s">
        <v>29</v>
      </c>
      <c r="P339" t="s">
        <v>30</v>
      </c>
      <c r="Q339" t="s">
        <v>31</v>
      </c>
      <c r="R339" t="s">
        <v>47</v>
      </c>
      <c r="S339" t="s">
        <v>44</v>
      </c>
      <c r="T339" t="s">
        <v>39</v>
      </c>
      <c r="U339" t="s">
        <v>46</v>
      </c>
      <c r="V339" t="s">
        <v>36</v>
      </c>
      <c r="W339" t="s">
        <v>37</v>
      </c>
      <c r="X339" s="24">
        <v>20.792079207920789</v>
      </c>
      <c r="Y339" s="24">
        <v>79.207920792079207</v>
      </c>
      <c r="Z339" t="s">
        <v>38</v>
      </c>
      <c r="AA339" t="s">
        <v>49</v>
      </c>
      <c r="AB339" t="s">
        <v>40</v>
      </c>
      <c r="AC339" s="24">
        <v>-2.2400000000000031E-2</v>
      </c>
    </row>
    <row r="340" spans="1:29" x14ac:dyDescent="0.3">
      <c r="A340" s="2">
        <v>339</v>
      </c>
      <c r="B340" s="1">
        <v>40558</v>
      </c>
      <c r="C340" s="2">
        <v>1</v>
      </c>
      <c r="D340" s="2">
        <v>14</v>
      </c>
      <c r="E340" t="b">
        <v>0</v>
      </c>
      <c r="F340" s="2">
        <v>6</v>
      </c>
      <c r="G340" s="2">
        <v>1</v>
      </c>
      <c r="H340" s="23">
        <v>0.3</v>
      </c>
      <c r="I340" s="25">
        <v>0.28789999999999999</v>
      </c>
      <c r="J340" s="23">
        <v>0.39</v>
      </c>
      <c r="K340" s="25">
        <v>0.28360000000000002</v>
      </c>
      <c r="L340" s="2">
        <v>26</v>
      </c>
      <c r="M340" s="2">
        <v>92</v>
      </c>
      <c r="N340" s="2">
        <v>118</v>
      </c>
      <c r="O340" t="s">
        <v>29</v>
      </c>
      <c r="P340" t="s">
        <v>30</v>
      </c>
      <c r="Q340" t="s">
        <v>31</v>
      </c>
      <c r="R340" t="s">
        <v>47</v>
      </c>
      <c r="S340" t="s">
        <v>44</v>
      </c>
      <c r="T340" t="s">
        <v>39</v>
      </c>
      <c r="U340" t="s">
        <v>46</v>
      </c>
      <c r="V340" t="s">
        <v>36</v>
      </c>
      <c r="W340" t="s">
        <v>37</v>
      </c>
      <c r="X340" s="24">
        <v>22.03389830508474</v>
      </c>
      <c r="Y340" s="24">
        <v>77.966101694915253</v>
      </c>
      <c r="Z340" t="s">
        <v>38</v>
      </c>
      <c r="AA340" t="s">
        <v>49</v>
      </c>
      <c r="AB340" t="s">
        <v>40</v>
      </c>
      <c r="AC340" s="24">
        <v>-1.21E-2</v>
      </c>
    </row>
    <row r="341" spans="1:29" x14ac:dyDescent="0.3">
      <c r="A341" s="2">
        <v>340</v>
      </c>
      <c r="B341" s="1">
        <v>40558</v>
      </c>
      <c r="C341" s="2">
        <v>1</v>
      </c>
      <c r="D341" s="2">
        <v>15</v>
      </c>
      <c r="E341" t="b">
        <v>0</v>
      </c>
      <c r="F341" s="2">
        <v>6</v>
      </c>
      <c r="G341" s="2">
        <v>2</v>
      </c>
      <c r="H341" s="23">
        <v>0.32</v>
      </c>
      <c r="I341" s="25">
        <v>0.31819999999999998</v>
      </c>
      <c r="J341" s="23">
        <v>0.36</v>
      </c>
      <c r="K341" s="25">
        <v>0.19400000000000001</v>
      </c>
      <c r="L341" s="2">
        <v>21</v>
      </c>
      <c r="M341" s="2">
        <v>108</v>
      </c>
      <c r="N341" s="2">
        <v>129</v>
      </c>
      <c r="O341" t="s">
        <v>29</v>
      </c>
      <c r="P341" t="s">
        <v>30</v>
      </c>
      <c r="Q341" t="s">
        <v>41</v>
      </c>
      <c r="R341" t="s">
        <v>47</v>
      </c>
      <c r="S341" t="s">
        <v>44</v>
      </c>
      <c r="T341" t="s">
        <v>39</v>
      </c>
      <c r="U341" t="s">
        <v>46</v>
      </c>
      <c r="V341" t="s">
        <v>36</v>
      </c>
      <c r="W341" t="s">
        <v>37</v>
      </c>
      <c r="X341" s="24">
        <v>16.279069767441861</v>
      </c>
      <c r="Y341" s="24">
        <v>83.720930232558146</v>
      </c>
      <c r="Z341" t="s">
        <v>38</v>
      </c>
      <c r="AA341" t="s">
        <v>49</v>
      </c>
      <c r="AB341" t="s">
        <v>40</v>
      </c>
      <c r="AC341" s="24">
        <v>-1.800000000000024E-3</v>
      </c>
    </row>
    <row r="342" spans="1:29" x14ac:dyDescent="0.3">
      <c r="A342" s="2">
        <v>341</v>
      </c>
      <c r="B342" s="1">
        <v>40558</v>
      </c>
      <c r="C342" s="2">
        <v>1</v>
      </c>
      <c r="D342" s="2">
        <v>16</v>
      </c>
      <c r="E342" t="b">
        <v>0</v>
      </c>
      <c r="F342" s="2">
        <v>6</v>
      </c>
      <c r="G342" s="2">
        <v>2</v>
      </c>
      <c r="H342" s="23">
        <v>0.34</v>
      </c>
      <c r="I342" s="25">
        <v>0.33329999999999999</v>
      </c>
      <c r="J342" s="23">
        <v>0.34</v>
      </c>
      <c r="K342" s="25">
        <v>0.19400000000000001</v>
      </c>
      <c r="L342" s="2">
        <v>33</v>
      </c>
      <c r="M342" s="2">
        <v>95</v>
      </c>
      <c r="N342" s="2">
        <v>128</v>
      </c>
      <c r="O342" t="s">
        <v>29</v>
      </c>
      <c r="P342" t="s">
        <v>30</v>
      </c>
      <c r="Q342" t="s">
        <v>41</v>
      </c>
      <c r="R342" t="s">
        <v>47</v>
      </c>
      <c r="S342" t="s">
        <v>44</v>
      </c>
      <c r="T342" t="s">
        <v>39</v>
      </c>
      <c r="U342" t="s">
        <v>46</v>
      </c>
      <c r="V342" t="s">
        <v>36</v>
      </c>
      <c r="W342" t="s">
        <v>37</v>
      </c>
      <c r="X342" s="24">
        <v>25.78125</v>
      </c>
      <c r="Y342" s="24">
        <v>74.21875</v>
      </c>
      <c r="Z342" t="s">
        <v>38</v>
      </c>
      <c r="AA342" t="s">
        <v>49</v>
      </c>
      <c r="AB342" t="s">
        <v>40</v>
      </c>
      <c r="AC342" s="24">
        <v>-6.7000000000000393E-3</v>
      </c>
    </row>
    <row r="343" spans="1:29" x14ac:dyDescent="0.3">
      <c r="A343" s="2">
        <v>342</v>
      </c>
      <c r="B343" s="1">
        <v>40558</v>
      </c>
      <c r="C343" s="2">
        <v>1</v>
      </c>
      <c r="D343" s="2">
        <v>17</v>
      </c>
      <c r="E343" t="b">
        <v>0</v>
      </c>
      <c r="F343" s="2">
        <v>6</v>
      </c>
      <c r="G343" s="2">
        <v>2</v>
      </c>
      <c r="H343" s="23">
        <v>0.32</v>
      </c>
      <c r="I343" s="25">
        <v>0.30299999999999999</v>
      </c>
      <c r="J343" s="23">
        <v>0.36</v>
      </c>
      <c r="K343" s="25">
        <v>0.28360000000000002</v>
      </c>
      <c r="L343" s="2">
        <v>29</v>
      </c>
      <c r="M343" s="2">
        <v>54</v>
      </c>
      <c r="N343" s="2">
        <v>83</v>
      </c>
      <c r="O343" t="s">
        <v>29</v>
      </c>
      <c r="P343" t="s">
        <v>30</v>
      </c>
      <c r="Q343" t="s">
        <v>41</v>
      </c>
      <c r="R343" t="s">
        <v>50</v>
      </c>
      <c r="S343" t="s">
        <v>44</v>
      </c>
      <c r="T343" t="s">
        <v>39</v>
      </c>
      <c r="U343" t="s">
        <v>46</v>
      </c>
      <c r="V343" t="s">
        <v>36</v>
      </c>
      <c r="W343" t="s">
        <v>37</v>
      </c>
      <c r="X343" s="24">
        <v>34.939759036144579</v>
      </c>
      <c r="Y343" s="24">
        <v>65.060240963855421</v>
      </c>
      <c r="Z343" t="s">
        <v>40</v>
      </c>
      <c r="AA343" t="s">
        <v>39</v>
      </c>
      <c r="AB343" t="s">
        <v>40</v>
      </c>
      <c r="AC343" s="24">
        <v>-1.7000000000000019E-2</v>
      </c>
    </row>
    <row r="344" spans="1:29" x14ac:dyDescent="0.3">
      <c r="A344" s="2">
        <v>209</v>
      </c>
      <c r="B344" s="1">
        <v>40552</v>
      </c>
      <c r="C344" s="2">
        <v>1</v>
      </c>
      <c r="D344" s="2">
        <v>23</v>
      </c>
      <c r="E344" t="b">
        <v>0</v>
      </c>
      <c r="F344" s="2">
        <v>0</v>
      </c>
      <c r="G344" s="2">
        <v>1</v>
      </c>
      <c r="H344" s="23">
        <v>0.12</v>
      </c>
      <c r="I344" s="25">
        <v>0.13639999999999999</v>
      </c>
      <c r="J344" s="23">
        <v>0.5</v>
      </c>
      <c r="K344" s="25">
        <v>0.19400000000000001</v>
      </c>
      <c r="L344" s="2">
        <v>0</v>
      </c>
      <c r="M344" s="2">
        <v>6</v>
      </c>
      <c r="N344" s="2">
        <v>6</v>
      </c>
      <c r="O344" t="s">
        <v>29</v>
      </c>
      <c r="P344" t="s">
        <v>52</v>
      </c>
      <c r="Q344" t="s">
        <v>31</v>
      </c>
      <c r="R344" t="s">
        <v>32</v>
      </c>
      <c r="S344" t="s">
        <v>55</v>
      </c>
      <c r="T344" t="s">
        <v>49</v>
      </c>
      <c r="U344" t="s">
        <v>46</v>
      </c>
      <c r="V344" t="s">
        <v>36</v>
      </c>
      <c r="W344" t="s">
        <v>37</v>
      </c>
      <c r="X344" s="24">
        <v>0</v>
      </c>
      <c r="Y344" s="24">
        <v>100</v>
      </c>
      <c r="Z344" t="s">
        <v>38</v>
      </c>
      <c r="AA344" t="s">
        <v>39</v>
      </c>
      <c r="AB344" t="s">
        <v>40</v>
      </c>
      <c r="AC344" s="24">
        <v>1.6400000000000001E-2</v>
      </c>
    </row>
    <row r="345" spans="1:29" x14ac:dyDescent="0.3">
      <c r="A345" s="2">
        <v>344</v>
      </c>
      <c r="B345" s="1">
        <v>40558</v>
      </c>
      <c r="C345" s="2">
        <v>1</v>
      </c>
      <c r="D345" s="2">
        <v>19</v>
      </c>
      <c r="E345" t="b">
        <v>0</v>
      </c>
      <c r="F345" s="2">
        <v>6</v>
      </c>
      <c r="G345" s="2">
        <v>2</v>
      </c>
      <c r="H345" s="23">
        <v>0.32</v>
      </c>
      <c r="I345" s="25">
        <v>0.30299999999999999</v>
      </c>
      <c r="J345" s="23">
        <v>0.39</v>
      </c>
      <c r="K345" s="25">
        <v>0.25369999999999998</v>
      </c>
      <c r="L345" s="2">
        <v>14</v>
      </c>
      <c r="M345" s="2">
        <v>60</v>
      </c>
      <c r="N345" s="2">
        <v>74</v>
      </c>
      <c r="O345" t="s">
        <v>29</v>
      </c>
      <c r="P345" t="s">
        <v>30</v>
      </c>
      <c r="Q345" t="s">
        <v>41</v>
      </c>
      <c r="R345" t="s">
        <v>50</v>
      </c>
      <c r="S345" t="s">
        <v>44</v>
      </c>
      <c r="T345" t="s">
        <v>39</v>
      </c>
      <c r="U345" t="s">
        <v>46</v>
      </c>
      <c r="V345" t="s">
        <v>36</v>
      </c>
      <c r="W345" t="s">
        <v>37</v>
      </c>
      <c r="X345" s="24">
        <v>18.918918918918919</v>
      </c>
      <c r="Y345" s="24">
        <v>81.081081081081081</v>
      </c>
      <c r="Z345" t="s">
        <v>40</v>
      </c>
      <c r="AA345" t="s">
        <v>39</v>
      </c>
      <c r="AB345" t="s">
        <v>40</v>
      </c>
      <c r="AC345" s="24">
        <v>-1.7000000000000019E-2</v>
      </c>
    </row>
    <row r="346" spans="1:29" x14ac:dyDescent="0.3">
      <c r="A346" s="2">
        <v>345</v>
      </c>
      <c r="B346" s="1">
        <v>40558</v>
      </c>
      <c r="C346" s="2">
        <v>1</v>
      </c>
      <c r="D346" s="2">
        <v>20</v>
      </c>
      <c r="E346" t="b">
        <v>0</v>
      </c>
      <c r="F346" s="2">
        <v>6</v>
      </c>
      <c r="G346" s="2">
        <v>2</v>
      </c>
      <c r="H346" s="23">
        <v>0.32</v>
      </c>
      <c r="I346" s="25">
        <v>0.30299999999999999</v>
      </c>
      <c r="J346" s="23">
        <v>0.39</v>
      </c>
      <c r="K346" s="25">
        <v>0.25369999999999998</v>
      </c>
      <c r="L346" s="2">
        <v>6</v>
      </c>
      <c r="M346" s="2">
        <v>35</v>
      </c>
      <c r="N346" s="2">
        <v>41</v>
      </c>
      <c r="O346" t="s">
        <v>29</v>
      </c>
      <c r="P346" t="s">
        <v>30</v>
      </c>
      <c r="Q346" t="s">
        <v>41</v>
      </c>
      <c r="R346" t="s">
        <v>50</v>
      </c>
      <c r="S346" t="s">
        <v>44</v>
      </c>
      <c r="T346" t="s">
        <v>39</v>
      </c>
      <c r="U346" t="s">
        <v>46</v>
      </c>
      <c r="V346" t="s">
        <v>36</v>
      </c>
      <c r="W346" t="s">
        <v>37</v>
      </c>
      <c r="X346" s="24">
        <v>14.63414634146341</v>
      </c>
      <c r="Y346" s="24">
        <v>85.365853658536579</v>
      </c>
      <c r="Z346" t="s">
        <v>38</v>
      </c>
      <c r="AA346" t="s">
        <v>39</v>
      </c>
      <c r="AB346" t="s">
        <v>40</v>
      </c>
      <c r="AC346" s="24">
        <v>-1.7000000000000019E-2</v>
      </c>
    </row>
    <row r="347" spans="1:29" x14ac:dyDescent="0.3">
      <c r="A347" s="2">
        <v>346</v>
      </c>
      <c r="B347" s="1">
        <v>40558</v>
      </c>
      <c r="C347" s="2">
        <v>1</v>
      </c>
      <c r="D347" s="2">
        <v>21</v>
      </c>
      <c r="E347" t="b">
        <v>0</v>
      </c>
      <c r="F347" s="2">
        <v>6</v>
      </c>
      <c r="G347" s="2">
        <v>2</v>
      </c>
      <c r="H347" s="23">
        <v>0.32</v>
      </c>
      <c r="I347" s="25">
        <v>0.30299999999999999</v>
      </c>
      <c r="J347" s="23">
        <v>0.39</v>
      </c>
      <c r="K347" s="25">
        <v>0.22389999999999999</v>
      </c>
      <c r="L347" s="2">
        <v>6</v>
      </c>
      <c r="M347" s="2">
        <v>51</v>
      </c>
      <c r="N347" s="2">
        <v>57</v>
      </c>
      <c r="O347" t="s">
        <v>29</v>
      </c>
      <c r="P347" t="s">
        <v>30</v>
      </c>
      <c r="Q347" t="s">
        <v>41</v>
      </c>
      <c r="R347" t="s">
        <v>32</v>
      </c>
      <c r="S347" t="s">
        <v>44</v>
      </c>
      <c r="T347" t="s">
        <v>39</v>
      </c>
      <c r="U347" t="s">
        <v>46</v>
      </c>
      <c r="V347" t="s">
        <v>36</v>
      </c>
      <c r="W347" t="s">
        <v>37</v>
      </c>
      <c r="X347" s="24">
        <v>10.52631578947368</v>
      </c>
      <c r="Y347" s="24">
        <v>89.473684210526315</v>
      </c>
      <c r="Z347" t="s">
        <v>38</v>
      </c>
      <c r="AA347" t="s">
        <v>39</v>
      </c>
      <c r="AB347" t="s">
        <v>40</v>
      </c>
      <c r="AC347" s="24">
        <v>-1.7000000000000019E-2</v>
      </c>
    </row>
    <row r="348" spans="1:29" x14ac:dyDescent="0.3">
      <c r="A348" s="2">
        <v>210</v>
      </c>
      <c r="B348" s="1">
        <v>40553</v>
      </c>
      <c r="C348" s="2">
        <v>1</v>
      </c>
      <c r="D348" s="2">
        <v>0</v>
      </c>
      <c r="E348" t="b">
        <v>0</v>
      </c>
      <c r="F348" s="2">
        <v>1</v>
      </c>
      <c r="G348" s="2">
        <v>1</v>
      </c>
      <c r="H348" s="23">
        <v>0.12</v>
      </c>
      <c r="I348" s="25">
        <v>0.1212</v>
      </c>
      <c r="J348" s="23">
        <v>0.5</v>
      </c>
      <c r="K348" s="25">
        <v>0.28360000000000002</v>
      </c>
      <c r="L348" s="2">
        <v>2</v>
      </c>
      <c r="M348" s="2">
        <v>3</v>
      </c>
      <c r="N348" s="2">
        <v>5</v>
      </c>
      <c r="O348" t="s">
        <v>29</v>
      </c>
      <c r="P348" t="s">
        <v>54</v>
      </c>
      <c r="Q348" t="s">
        <v>31</v>
      </c>
      <c r="R348" t="s">
        <v>32</v>
      </c>
      <c r="S348" t="s">
        <v>55</v>
      </c>
      <c r="T348" t="s">
        <v>49</v>
      </c>
      <c r="U348" t="s">
        <v>46</v>
      </c>
      <c r="V348" t="s">
        <v>36</v>
      </c>
      <c r="W348" t="s">
        <v>37</v>
      </c>
      <c r="X348" s="24">
        <v>40</v>
      </c>
      <c r="Y348" s="24">
        <v>60</v>
      </c>
      <c r="Z348" t="s">
        <v>38</v>
      </c>
      <c r="AA348" t="s">
        <v>39</v>
      </c>
      <c r="AB348" t="s">
        <v>38</v>
      </c>
      <c r="AC348" s="24">
        <v>1.2000000000000071E-3</v>
      </c>
    </row>
    <row r="349" spans="1:29" x14ac:dyDescent="0.3">
      <c r="A349" s="2">
        <v>211</v>
      </c>
      <c r="B349" s="1">
        <v>40553</v>
      </c>
      <c r="C349" s="2">
        <v>1</v>
      </c>
      <c r="D349" s="2">
        <v>1</v>
      </c>
      <c r="E349" t="b">
        <v>0</v>
      </c>
      <c r="F349" s="2">
        <v>1</v>
      </c>
      <c r="G349" s="2">
        <v>1</v>
      </c>
      <c r="H349" s="23">
        <v>0.12</v>
      </c>
      <c r="I349" s="25">
        <v>0.1212</v>
      </c>
      <c r="J349" s="23">
        <v>0.5</v>
      </c>
      <c r="K349" s="25">
        <v>0.28360000000000002</v>
      </c>
      <c r="L349" s="2">
        <v>1</v>
      </c>
      <c r="M349" s="2">
        <v>0</v>
      </c>
      <c r="N349" s="2">
        <v>1</v>
      </c>
      <c r="O349" t="s">
        <v>29</v>
      </c>
      <c r="P349" t="s">
        <v>54</v>
      </c>
      <c r="Q349" t="s">
        <v>31</v>
      </c>
      <c r="R349" t="s">
        <v>32</v>
      </c>
      <c r="S349" t="s">
        <v>55</v>
      </c>
      <c r="T349" t="s">
        <v>49</v>
      </c>
      <c r="U349" t="s">
        <v>46</v>
      </c>
      <c r="V349" t="s">
        <v>36</v>
      </c>
      <c r="W349" t="s">
        <v>43</v>
      </c>
      <c r="X349" s="24">
        <v>100</v>
      </c>
      <c r="Y349" s="24">
        <v>0</v>
      </c>
      <c r="Z349" t="s">
        <v>38</v>
      </c>
      <c r="AA349" t="s">
        <v>39</v>
      </c>
      <c r="AB349" t="s">
        <v>38</v>
      </c>
      <c r="AC349" s="24">
        <v>1.2000000000000071E-3</v>
      </c>
    </row>
    <row r="350" spans="1:29" x14ac:dyDescent="0.3">
      <c r="A350" s="2">
        <v>212</v>
      </c>
      <c r="B350" s="1">
        <v>40553</v>
      </c>
      <c r="C350" s="2">
        <v>1</v>
      </c>
      <c r="D350" s="2">
        <v>2</v>
      </c>
      <c r="E350" t="b">
        <v>0</v>
      </c>
      <c r="F350" s="2">
        <v>1</v>
      </c>
      <c r="G350" s="2">
        <v>1</v>
      </c>
      <c r="H350" s="23">
        <v>0.12</v>
      </c>
      <c r="I350" s="25">
        <v>0.1212</v>
      </c>
      <c r="J350" s="23">
        <v>0.5</v>
      </c>
      <c r="K350" s="25">
        <v>0.22389999999999999</v>
      </c>
      <c r="L350" s="2">
        <v>0</v>
      </c>
      <c r="M350" s="2">
        <v>3</v>
      </c>
      <c r="N350" s="2">
        <v>3</v>
      </c>
      <c r="O350" t="s">
        <v>29</v>
      </c>
      <c r="P350" t="s">
        <v>54</v>
      </c>
      <c r="Q350" t="s">
        <v>31</v>
      </c>
      <c r="R350" t="s">
        <v>32</v>
      </c>
      <c r="S350" t="s">
        <v>55</v>
      </c>
      <c r="T350" t="s">
        <v>49</v>
      </c>
      <c r="U350" t="s">
        <v>46</v>
      </c>
      <c r="V350" t="s">
        <v>36</v>
      </c>
      <c r="W350" t="s">
        <v>37</v>
      </c>
      <c r="X350" s="24">
        <v>0</v>
      </c>
      <c r="Y350" s="24">
        <v>100</v>
      </c>
      <c r="Z350" t="s">
        <v>38</v>
      </c>
      <c r="AA350" t="s">
        <v>39</v>
      </c>
      <c r="AB350" t="s">
        <v>38</v>
      </c>
      <c r="AC350" s="24">
        <v>1.2000000000000071E-3</v>
      </c>
    </row>
    <row r="351" spans="1:29" x14ac:dyDescent="0.3">
      <c r="A351" s="2">
        <v>213</v>
      </c>
      <c r="B351" s="1">
        <v>40553</v>
      </c>
      <c r="C351" s="2">
        <v>1</v>
      </c>
      <c r="D351" s="2">
        <v>3</v>
      </c>
      <c r="E351" t="b">
        <v>0</v>
      </c>
      <c r="F351" s="2">
        <v>1</v>
      </c>
      <c r="G351" s="2">
        <v>1</v>
      </c>
      <c r="H351" s="23">
        <v>0.12</v>
      </c>
      <c r="I351" s="25">
        <v>0.1212</v>
      </c>
      <c r="J351" s="23">
        <v>0.5</v>
      </c>
      <c r="K351" s="25">
        <v>0.22389999999999999</v>
      </c>
      <c r="L351" s="2">
        <v>0</v>
      </c>
      <c r="M351" s="2">
        <v>1</v>
      </c>
      <c r="N351" s="2">
        <v>1</v>
      </c>
      <c r="O351" t="s">
        <v>29</v>
      </c>
      <c r="P351" t="s">
        <v>54</v>
      </c>
      <c r="Q351" t="s">
        <v>31</v>
      </c>
      <c r="R351" t="s">
        <v>32</v>
      </c>
      <c r="S351" t="s">
        <v>55</v>
      </c>
      <c r="T351" t="s">
        <v>49</v>
      </c>
      <c r="U351" t="s">
        <v>46</v>
      </c>
      <c r="V351" t="s">
        <v>36</v>
      </c>
      <c r="W351" t="s">
        <v>37</v>
      </c>
      <c r="X351" s="24">
        <v>0</v>
      </c>
      <c r="Y351" s="24">
        <v>100</v>
      </c>
      <c r="Z351" t="s">
        <v>38</v>
      </c>
      <c r="AA351" t="s">
        <v>39</v>
      </c>
      <c r="AB351" t="s">
        <v>38</v>
      </c>
      <c r="AC351" s="24">
        <v>1.2000000000000071E-3</v>
      </c>
    </row>
    <row r="352" spans="1:29" x14ac:dyDescent="0.3">
      <c r="A352" s="2">
        <v>216</v>
      </c>
      <c r="B352" s="1">
        <v>40553</v>
      </c>
      <c r="C352" s="2">
        <v>1</v>
      </c>
      <c r="D352" s="2">
        <v>6</v>
      </c>
      <c r="E352" t="b">
        <v>0</v>
      </c>
      <c r="F352" s="2">
        <v>1</v>
      </c>
      <c r="G352" s="2">
        <v>1</v>
      </c>
      <c r="H352" s="23">
        <v>0.12</v>
      </c>
      <c r="I352" s="25">
        <v>0.1212</v>
      </c>
      <c r="J352" s="23">
        <v>0.5</v>
      </c>
      <c r="K352" s="25">
        <v>0.28360000000000002</v>
      </c>
      <c r="L352" s="2">
        <v>0</v>
      </c>
      <c r="M352" s="2">
        <v>31</v>
      </c>
      <c r="N352" s="2">
        <v>31</v>
      </c>
      <c r="O352" t="s">
        <v>29</v>
      </c>
      <c r="P352" t="s">
        <v>54</v>
      </c>
      <c r="Q352" t="s">
        <v>31</v>
      </c>
      <c r="R352" t="s">
        <v>42</v>
      </c>
      <c r="S352" t="s">
        <v>55</v>
      </c>
      <c r="T352" t="s">
        <v>49</v>
      </c>
      <c r="U352" t="s">
        <v>46</v>
      </c>
      <c r="V352" t="s">
        <v>36</v>
      </c>
      <c r="W352" t="s">
        <v>37</v>
      </c>
      <c r="X352" s="24">
        <v>0</v>
      </c>
      <c r="Y352" s="24">
        <v>100</v>
      </c>
      <c r="Z352" t="s">
        <v>38</v>
      </c>
      <c r="AA352" t="s">
        <v>39</v>
      </c>
      <c r="AB352" t="s">
        <v>38</v>
      </c>
      <c r="AC352" s="24">
        <v>1.2000000000000071E-3</v>
      </c>
    </row>
    <row r="353" spans="1:29" x14ac:dyDescent="0.3">
      <c r="A353" s="2">
        <v>217</v>
      </c>
      <c r="B353" s="1">
        <v>40553</v>
      </c>
      <c r="C353" s="2">
        <v>1</v>
      </c>
      <c r="D353" s="2">
        <v>7</v>
      </c>
      <c r="E353" t="b">
        <v>0</v>
      </c>
      <c r="F353" s="2">
        <v>1</v>
      </c>
      <c r="G353" s="2">
        <v>1</v>
      </c>
      <c r="H353" s="23">
        <v>0.12</v>
      </c>
      <c r="I353" s="25">
        <v>0.1212</v>
      </c>
      <c r="J353" s="23">
        <v>0.5</v>
      </c>
      <c r="K353" s="25">
        <v>0.22389999999999999</v>
      </c>
      <c r="L353" s="2">
        <v>2</v>
      </c>
      <c r="M353" s="2">
        <v>75</v>
      </c>
      <c r="N353" s="2">
        <v>77</v>
      </c>
      <c r="O353" t="s">
        <v>29</v>
      </c>
      <c r="P353" t="s">
        <v>54</v>
      </c>
      <c r="Q353" t="s">
        <v>31</v>
      </c>
      <c r="R353" t="s">
        <v>42</v>
      </c>
      <c r="S353" t="s">
        <v>55</v>
      </c>
      <c r="T353" t="s">
        <v>49</v>
      </c>
      <c r="U353" t="s">
        <v>46</v>
      </c>
      <c r="V353" t="s">
        <v>36</v>
      </c>
      <c r="W353" t="s">
        <v>37</v>
      </c>
      <c r="X353" s="24">
        <v>2.5974025974025969</v>
      </c>
      <c r="Y353" s="24">
        <v>97.402597402597408</v>
      </c>
      <c r="Z353" t="s">
        <v>40</v>
      </c>
      <c r="AA353" t="s">
        <v>39</v>
      </c>
      <c r="AB353" t="s">
        <v>38</v>
      </c>
      <c r="AC353" s="24">
        <v>1.2000000000000071E-3</v>
      </c>
    </row>
    <row r="354" spans="1:29" x14ac:dyDescent="0.3">
      <c r="A354" s="2">
        <v>218</v>
      </c>
      <c r="B354" s="1">
        <v>40553</v>
      </c>
      <c r="C354" s="2">
        <v>1</v>
      </c>
      <c r="D354" s="2">
        <v>8</v>
      </c>
      <c r="E354" t="b">
        <v>0</v>
      </c>
      <c r="F354" s="2">
        <v>1</v>
      </c>
      <c r="G354" s="2">
        <v>2</v>
      </c>
      <c r="H354" s="23">
        <v>0.12</v>
      </c>
      <c r="I354" s="25">
        <v>0.1212</v>
      </c>
      <c r="J354" s="23">
        <v>0.5</v>
      </c>
      <c r="K354" s="25">
        <v>0.28360000000000002</v>
      </c>
      <c r="L354" s="2">
        <v>4</v>
      </c>
      <c r="M354" s="2">
        <v>184</v>
      </c>
      <c r="N354" s="2">
        <v>188</v>
      </c>
      <c r="O354" t="s">
        <v>29</v>
      </c>
      <c r="P354" t="s">
        <v>54</v>
      </c>
      <c r="Q354" t="s">
        <v>41</v>
      </c>
      <c r="R354" t="s">
        <v>42</v>
      </c>
      <c r="S354" t="s">
        <v>55</v>
      </c>
      <c r="T354" t="s">
        <v>49</v>
      </c>
      <c r="U354" t="s">
        <v>46</v>
      </c>
      <c r="V354" t="s">
        <v>36</v>
      </c>
      <c r="W354" t="s">
        <v>37</v>
      </c>
      <c r="X354" s="24">
        <v>2.1276595744680851</v>
      </c>
      <c r="Y354" s="24">
        <v>97.872340425531917</v>
      </c>
      <c r="Z354" t="s">
        <v>40</v>
      </c>
      <c r="AA354" t="s">
        <v>49</v>
      </c>
      <c r="AB354" t="s">
        <v>38</v>
      </c>
      <c r="AC354" s="24">
        <v>1.2000000000000071E-3</v>
      </c>
    </row>
    <row r="355" spans="1:29" x14ac:dyDescent="0.3">
      <c r="A355" s="2">
        <v>219</v>
      </c>
      <c r="B355" s="1">
        <v>40553</v>
      </c>
      <c r="C355" s="2">
        <v>1</v>
      </c>
      <c r="D355" s="2">
        <v>9</v>
      </c>
      <c r="E355" t="b">
        <v>0</v>
      </c>
      <c r="F355" s="2">
        <v>1</v>
      </c>
      <c r="G355" s="2">
        <v>2</v>
      </c>
      <c r="H355" s="23">
        <v>0.14000000000000001</v>
      </c>
      <c r="I355" s="25">
        <v>0.1212</v>
      </c>
      <c r="J355" s="23">
        <v>0.5</v>
      </c>
      <c r="K355" s="25">
        <v>0.25369999999999998</v>
      </c>
      <c r="L355" s="2">
        <v>2</v>
      </c>
      <c r="M355" s="2">
        <v>92</v>
      </c>
      <c r="N355" s="2">
        <v>94</v>
      </c>
      <c r="O355" t="s">
        <v>29</v>
      </c>
      <c r="P355" t="s">
        <v>54</v>
      </c>
      <c r="Q355" t="s">
        <v>41</v>
      </c>
      <c r="R355" t="s">
        <v>42</v>
      </c>
      <c r="S355" t="s">
        <v>55</v>
      </c>
      <c r="T355" t="s">
        <v>49</v>
      </c>
      <c r="U355" t="s">
        <v>46</v>
      </c>
      <c r="V355" t="s">
        <v>36</v>
      </c>
      <c r="W355" t="s">
        <v>37</v>
      </c>
      <c r="X355" s="24">
        <v>2.1276595744680851</v>
      </c>
      <c r="Y355" s="24">
        <v>97.872340425531917</v>
      </c>
      <c r="Z355" t="s">
        <v>40</v>
      </c>
      <c r="AA355" t="s">
        <v>39</v>
      </c>
      <c r="AB355" t="s">
        <v>38</v>
      </c>
      <c r="AC355" s="24">
        <v>-1.8800000000000011E-2</v>
      </c>
    </row>
    <row r="356" spans="1:29" x14ac:dyDescent="0.3">
      <c r="A356" s="2">
        <v>220</v>
      </c>
      <c r="B356" s="1">
        <v>40553</v>
      </c>
      <c r="C356" s="2">
        <v>1</v>
      </c>
      <c r="D356" s="2">
        <v>10</v>
      </c>
      <c r="E356" t="b">
        <v>0</v>
      </c>
      <c r="F356" s="2">
        <v>1</v>
      </c>
      <c r="G356" s="2">
        <v>2</v>
      </c>
      <c r="H356" s="23">
        <v>0.14000000000000001</v>
      </c>
      <c r="I356" s="25">
        <v>0.1212</v>
      </c>
      <c r="J356" s="23">
        <v>0.5</v>
      </c>
      <c r="K356" s="25">
        <v>0.29849999999999999</v>
      </c>
      <c r="L356" s="2">
        <v>0</v>
      </c>
      <c r="M356" s="2">
        <v>31</v>
      </c>
      <c r="N356" s="2">
        <v>31</v>
      </c>
      <c r="O356" t="s">
        <v>29</v>
      </c>
      <c r="P356" t="s">
        <v>54</v>
      </c>
      <c r="Q356" t="s">
        <v>41</v>
      </c>
      <c r="R356" t="s">
        <v>42</v>
      </c>
      <c r="S356" t="s">
        <v>55</v>
      </c>
      <c r="T356" t="s">
        <v>49</v>
      </c>
      <c r="U356" t="s">
        <v>46</v>
      </c>
      <c r="V356" t="s">
        <v>36</v>
      </c>
      <c r="W356" t="s">
        <v>37</v>
      </c>
      <c r="X356" s="24">
        <v>0</v>
      </c>
      <c r="Y356" s="24">
        <v>100</v>
      </c>
      <c r="Z356" t="s">
        <v>38</v>
      </c>
      <c r="AA356" t="s">
        <v>39</v>
      </c>
      <c r="AB356" t="s">
        <v>38</v>
      </c>
      <c r="AC356" s="24">
        <v>-1.8800000000000011E-2</v>
      </c>
    </row>
    <row r="357" spans="1:29" x14ac:dyDescent="0.3">
      <c r="A357" s="2">
        <v>230</v>
      </c>
      <c r="B357" s="1">
        <v>40553</v>
      </c>
      <c r="C357" s="2">
        <v>1</v>
      </c>
      <c r="D357" s="2">
        <v>20</v>
      </c>
      <c r="E357" t="b">
        <v>0</v>
      </c>
      <c r="F357" s="2">
        <v>1</v>
      </c>
      <c r="G357" s="2">
        <v>1</v>
      </c>
      <c r="H357" s="23">
        <v>0.16</v>
      </c>
      <c r="I357" s="25">
        <v>0.16669999999999999</v>
      </c>
      <c r="J357" s="23">
        <v>0.5</v>
      </c>
      <c r="K357" s="25">
        <v>0.16420000000000001</v>
      </c>
      <c r="L357" s="2">
        <v>1</v>
      </c>
      <c r="M357" s="2">
        <v>73</v>
      </c>
      <c r="N357" s="2">
        <v>74</v>
      </c>
      <c r="O357" t="s">
        <v>29</v>
      </c>
      <c r="P357" t="s">
        <v>54</v>
      </c>
      <c r="Q357" t="s">
        <v>31</v>
      </c>
      <c r="R357" t="s">
        <v>50</v>
      </c>
      <c r="S357" t="s">
        <v>33</v>
      </c>
      <c r="T357" t="s">
        <v>49</v>
      </c>
      <c r="U357" t="s">
        <v>46</v>
      </c>
      <c r="V357" t="s">
        <v>36</v>
      </c>
      <c r="W357" t="s">
        <v>37</v>
      </c>
      <c r="X357" s="24">
        <v>1.3513513513513511</v>
      </c>
      <c r="Y357" s="24">
        <v>98.648648648648646</v>
      </c>
      <c r="Z357" t="s">
        <v>38</v>
      </c>
      <c r="AA357" t="s">
        <v>39</v>
      </c>
      <c r="AB357" t="s">
        <v>38</v>
      </c>
      <c r="AC357" s="24">
        <v>6.6999999999999837E-3</v>
      </c>
    </row>
    <row r="358" spans="1:29" x14ac:dyDescent="0.3">
      <c r="A358" s="2">
        <v>274</v>
      </c>
      <c r="B358" s="1">
        <v>40555</v>
      </c>
      <c r="C358" s="2">
        <v>1</v>
      </c>
      <c r="D358" s="2">
        <v>20</v>
      </c>
      <c r="E358" t="b">
        <v>0</v>
      </c>
      <c r="F358" s="2">
        <v>3</v>
      </c>
      <c r="G358" s="2">
        <v>1</v>
      </c>
      <c r="H358" s="23">
        <v>0.16</v>
      </c>
      <c r="I358" s="25">
        <v>0.13639999999999999</v>
      </c>
      <c r="J358" s="23">
        <v>0.5</v>
      </c>
      <c r="K358" s="25">
        <v>0.32840000000000003</v>
      </c>
      <c r="L358" s="2">
        <v>2</v>
      </c>
      <c r="M358" s="2">
        <v>54</v>
      </c>
      <c r="N358" s="2">
        <v>56</v>
      </c>
      <c r="O358" t="s">
        <v>29</v>
      </c>
      <c r="P358" t="s">
        <v>57</v>
      </c>
      <c r="Q358" t="s">
        <v>31</v>
      </c>
      <c r="R358" t="s">
        <v>50</v>
      </c>
      <c r="S358" t="s">
        <v>33</v>
      </c>
      <c r="T358" t="s">
        <v>49</v>
      </c>
      <c r="U358" t="s">
        <v>53</v>
      </c>
      <c r="V358" t="s">
        <v>36</v>
      </c>
      <c r="W358" t="s">
        <v>37</v>
      </c>
      <c r="X358" s="24">
        <v>3.5714285714285712</v>
      </c>
      <c r="Y358" s="24">
        <v>96.428571428571431</v>
      </c>
      <c r="Z358" t="s">
        <v>38</v>
      </c>
      <c r="AA358" t="s">
        <v>39</v>
      </c>
      <c r="AB358" t="s">
        <v>38</v>
      </c>
      <c r="AC358" s="24">
        <v>-2.360000000000001E-2</v>
      </c>
    </row>
    <row r="359" spans="1:29" x14ac:dyDescent="0.3">
      <c r="A359" s="2">
        <v>279</v>
      </c>
      <c r="B359" s="1">
        <v>40556</v>
      </c>
      <c r="C359" s="2">
        <v>1</v>
      </c>
      <c r="D359" s="2">
        <v>1</v>
      </c>
      <c r="E359" t="b">
        <v>0</v>
      </c>
      <c r="F359" s="2">
        <v>4</v>
      </c>
      <c r="G359" s="2">
        <v>1</v>
      </c>
      <c r="H359" s="23">
        <v>0.14000000000000001</v>
      </c>
      <c r="I359" s="25">
        <v>0.1212</v>
      </c>
      <c r="J359" s="23">
        <v>0.5</v>
      </c>
      <c r="K359" s="25">
        <v>0.28360000000000002</v>
      </c>
      <c r="L359" s="2">
        <v>0</v>
      </c>
      <c r="M359" s="2">
        <v>2</v>
      </c>
      <c r="N359" s="2">
        <v>2</v>
      </c>
      <c r="O359" t="s">
        <v>29</v>
      </c>
      <c r="P359" t="s">
        <v>58</v>
      </c>
      <c r="Q359" t="s">
        <v>31</v>
      </c>
      <c r="R359" t="s">
        <v>32</v>
      </c>
      <c r="S359" t="s">
        <v>55</v>
      </c>
      <c r="T359" t="s">
        <v>49</v>
      </c>
      <c r="U359" t="s">
        <v>46</v>
      </c>
      <c r="V359" t="s">
        <v>36</v>
      </c>
      <c r="W359" t="s">
        <v>37</v>
      </c>
      <c r="X359" s="24">
        <v>0</v>
      </c>
      <c r="Y359" s="24">
        <v>100</v>
      </c>
      <c r="Z359" t="s">
        <v>38</v>
      </c>
      <c r="AA359" t="s">
        <v>39</v>
      </c>
      <c r="AB359" t="s">
        <v>38</v>
      </c>
      <c r="AC359" s="24">
        <v>-1.8800000000000011E-2</v>
      </c>
    </row>
    <row r="360" spans="1:29" x14ac:dyDescent="0.3">
      <c r="A360" s="2">
        <v>280</v>
      </c>
      <c r="B360" s="1">
        <v>40556</v>
      </c>
      <c r="C360" s="2">
        <v>1</v>
      </c>
      <c r="D360" s="2">
        <v>2</v>
      </c>
      <c r="E360" t="b">
        <v>0</v>
      </c>
      <c r="F360" s="2">
        <v>4</v>
      </c>
      <c r="G360" s="2">
        <v>1</v>
      </c>
      <c r="H360" s="23">
        <v>0.14000000000000001</v>
      </c>
      <c r="I360" s="25">
        <v>0.1212</v>
      </c>
      <c r="J360" s="23">
        <v>0.5</v>
      </c>
      <c r="K360" s="25">
        <v>0.35820000000000002</v>
      </c>
      <c r="L360" s="2">
        <v>0</v>
      </c>
      <c r="M360" s="2">
        <v>2</v>
      </c>
      <c r="N360" s="2">
        <v>2</v>
      </c>
      <c r="O360" t="s">
        <v>29</v>
      </c>
      <c r="P360" t="s">
        <v>58</v>
      </c>
      <c r="Q360" t="s">
        <v>31</v>
      </c>
      <c r="R360" t="s">
        <v>32</v>
      </c>
      <c r="S360" t="s">
        <v>55</v>
      </c>
      <c r="T360" t="s">
        <v>49</v>
      </c>
      <c r="U360" t="s">
        <v>53</v>
      </c>
      <c r="V360" t="s">
        <v>36</v>
      </c>
      <c r="W360" t="s">
        <v>37</v>
      </c>
      <c r="X360" s="24">
        <v>0</v>
      </c>
      <c r="Y360" s="24">
        <v>100</v>
      </c>
      <c r="Z360" t="s">
        <v>38</v>
      </c>
      <c r="AA360" t="s">
        <v>39</v>
      </c>
      <c r="AB360" t="s">
        <v>38</v>
      </c>
      <c r="AC360" s="24">
        <v>-1.8800000000000011E-2</v>
      </c>
    </row>
    <row r="361" spans="1:29" x14ac:dyDescent="0.3">
      <c r="A361" s="2">
        <v>281</v>
      </c>
      <c r="B361" s="1">
        <v>40556</v>
      </c>
      <c r="C361" s="2">
        <v>1</v>
      </c>
      <c r="D361" s="2">
        <v>3</v>
      </c>
      <c r="E361" t="b">
        <v>0</v>
      </c>
      <c r="F361" s="2">
        <v>4</v>
      </c>
      <c r="G361" s="2">
        <v>1</v>
      </c>
      <c r="H361" s="23">
        <v>0.14000000000000001</v>
      </c>
      <c r="I361" s="25">
        <v>0.1212</v>
      </c>
      <c r="J361" s="23">
        <v>0.5</v>
      </c>
      <c r="K361" s="25">
        <v>0.32840000000000003</v>
      </c>
      <c r="L361" s="2">
        <v>0</v>
      </c>
      <c r="M361" s="2">
        <v>3</v>
      </c>
      <c r="N361" s="2">
        <v>3</v>
      </c>
      <c r="O361" t="s">
        <v>29</v>
      </c>
      <c r="P361" t="s">
        <v>58</v>
      </c>
      <c r="Q361" t="s">
        <v>31</v>
      </c>
      <c r="R361" t="s">
        <v>32</v>
      </c>
      <c r="S361" t="s">
        <v>55</v>
      </c>
      <c r="T361" t="s">
        <v>49</v>
      </c>
      <c r="U361" t="s">
        <v>53</v>
      </c>
      <c r="V361" t="s">
        <v>36</v>
      </c>
      <c r="W361" t="s">
        <v>37</v>
      </c>
      <c r="X361" s="24">
        <v>0</v>
      </c>
      <c r="Y361" s="24">
        <v>100</v>
      </c>
      <c r="Z361" t="s">
        <v>38</v>
      </c>
      <c r="AA361" t="s">
        <v>39</v>
      </c>
      <c r="AB361" t="s">
        <v>38</v>
      </c>
      <c r="AC361" s="24">
        <v>-1.8800000000000011E-2</v>
      </c>
    </row>
    <row r="362" spans="1:29" x14ac:dyDescent="0.3">
      <c r="A362" s="2">
        <v>282</v>
      </c>
      <c r="B362" s="1">
        <v>40556</v>
      </c>
      <c r="C362" s="2">
        <v>1</v>
      </c>
      <c r="D362" s="2">
        <v>4</v>
      </c>
      <c r="E362" t="b">
        <v>0</v>
      </c>
      <c r="F362" s="2">
        <v>4</v>
      </c>
      <c r="G362" s="2">
        <v>1</v>
      </c>
      <c r="H362" s="23">
        <v>0.14000000000000001</v>
      </c>
      <c r="I362" s="25">
        <v>0.1212</v>
      </c>
      <c r="J362" s="23">
        <v>0.5</v>
      </c>
      <c r="K362" s="25">
        <v>0.25369999999999998</v>
      </c>
      <c r="L362" s="2">
        <v>0</v>
      </c>
      <c r="M362" s="2">
        <v>4</v>
      </c>
      <c r="N362" s="2">
        <v>4</v>
      </c>
      <c r="O362" t="s">
        <v>29</v>
      </c>
      <c r="P362" t="s">
        <v>58</v>
      </c>
      <c r="Q362" t="s">
        <v>31</v>
      </c>
      <c r="R362" t="s">
        <v>32</v>
      </c>
      <c r="S362" t="s">
        <v>55</v>
      </c>
      <c r="T362" t="s">
        <v>49</v>
      </c>
      <c r="U362" t="s">
        <v>46</v>
      </c>
      <c r="V362" t="s">
        <v>36</v>
      </c>
      <c r="W362" t="s">
        <v>37</v>
      </c>
      <c r="X362" s="24">
        <v>0</v>
      </c>
      <c r="Y362" s="24">
        <v>100</v>
      </c>
      <c r="Z362" t="s">
        <v>38</v>
      </c>
      <c r="AA362" t="s">
        <v>39</v>
      </c>
      <c r="AB362" t="s">
        <v>38</v>
      </c>
      <c r="AC362" s="24">
        <v>-1.8800000000000011E-2</v>
      </c>
    </row>
    <row r="363" spans="1:29" x14ac:dyDescent="0.3">
      <c r="A363" s="2">
        <v>362</v>
      </c>
      <c r="B363" s="1">
        <v>40559</v>
      </c>
      <c r="C363" s="2">
        <v>1</v>
      </c>
      <c r="D363" s="2">
        <v>13</v>
      </c>
      <c r="E363" t="b">
        <v>0</v>
      </c>
      <c r="F363" s="2">
        <v>0</v>
      </c>
      <c r="G363" s="2">
        <v>1</v>
      </c>
      <c r="H363" s="23">
        <v>0.26</v>
      </c>
      <c r="I363" s="25">
        <v>0.2273</v>
      </c>
      <c r="J363" s="23">
        <v>0.35</v>
      </c>
      <c r="K363" s="25">
        <v>0.29849999999999999</v>
      </c>
      <c r="L363" s="2">
        <v>23</v>
      </c>
      <c r="M363" s="2">
        <v>95</v>
      </c>
      <c r="N363" s="2">
        <v>118</v>
      </c>
      <c r="O363" t="s">
        <v>29</v>
      </c>
      <c r="P363" t="s">
        <v>52</v>
      </c>
      <c r="Q363" t="s">
        <v>31</v>
      </c>
      <c r="R363" t="s">
        <v>47</v>
      </c>
      <c r="S363" t="s">
        <v>44</v>
      </c>
      <c r="T363" t="s">
        <v>39</v>
      </c>
      <c r="U363" t="s">
        <v>46</v>
      </c>
      <c r="V363" t="s">
        <v>36</v>
      </c>
      <c r="W363" t="s">
        <v>37</v>
      </c>
      <c r="X363" s="24">
        <v>19.49152542372881</v>
      </c>
      <c r="Y363" s="24">
        <v>80.508474576271183</v>
      </c>
      <c r="Z363" t="s">
        <v>38</v>
      </c>
      <c r="AA363" t="s">
        <v>49</v>
      </c>
      <c r="AB363" t="s">
        <v>40</v>
      </c>
      <c r="AC363" s="24">
        <v>-3.2700000000000007E-2</v>
      </c>
    </row>
    <row r="364" spans="1:29" x14ac:dyDescent="0.3">
      <c r="A364" s="2">
        <v>363</v>
      </c>
      <c r="B364" s="1">
        <v>40559</v>
      </c>
      <c r="C364" s="2">
        <v>1</v>
      </c>
      <c r="D364" s="2">
        <v>14</v>
      </c>
      <c r="E364" t="b">
        <v>0</v>
      </c>
      <c r="F364" s="2">
        <v>0</v>
      </c>
      <c r="G364" s="2">
        <v>1</v>
      </c>
      <c r="H364" s="23">
        <v>0.28000000000000003</v>
      </c>
      <c r="I364" s="25">
        <v>0.2727</v>
      </c>
      <c r="J364" s="23">
        <v>0.36</v>
      </c>
      <c r="K364" s="25">
        <v>0.25369999999999998</v>
      </c>
      <c r="L364" s="2">
        <v>22</v>
      </c>
      <c r="M364" s="2">
        <v>69</v>
      </c>
      <c r="N364" s="2">
        <v>91</v>
      </c>
      <c r="O364" t="s">
        <v>29</v>
      </c>
      <c r="P364" t="s">
        <v>52</v>
      </c>
      <c r="Q364" t="s">
        <v>31</v>
      </c>
      <c r="R364" t="s">
        <v>47</v>
      </c>
      <c r="S364" t="s">
        <v>44</v>
      </c>
      <c r="T364" t="s">
        <v>39</v>
      </c>
      <c r="U364" t="s">
        <v>46</v>
      </c>
      <c r="V364" t="s">
        <v>36</v>
      </c>
      <c r="W364" t="s">
        <v>37</v>
      </c>
      <c r="X364" s="24">
        <v>24.175824175824179</v>
      </c>
      <c r="Y364" s="24">
        <v>75.824175824175825</v>
      </c>
      <c r="Z364" t="s">
        <v>38</v>
      </c>
      <c r="AA364" t="s">
        <v>39</v>
      </c>
      <c r="AB364" t="s">
        <v>40</v>
      </c>
      <c r="AC364" s="24">
        <v>-7.3000000000000287E-3</v>
      </c>
    </row>
    <row r="365" spans="1:29" x14ac:dyDescent="0.3">
      <c r="A365" s="2">
        <v>364</v>
      </c>
      <c r="B365" s="1">
        <v>40559</v>
      </c>
      <c r="C365" s="2">
        <v>1</v>
      </c>
      <c r="D365" s="2">
        <v>15</v>
      </c>
      <c r="E365" t="b">
        <v>0</v>
      </c>
      <c r="F365" s="2">
        <v>0</v>
      </c>
      <c r="G365" s="2">
        <v>1</v>
      </c>
      <c r="H365" s="23">
        <v>0.26</v>
      </c>
      <c r="I365" s="25">
        <v>0.2424</v>
      </c>
      <c r="J365" s="23">
        <v>0.38</v>
      </c>
      <c r="K365" s="25">
        <v>0.25369999999999998</v>
      </c>
      <c r="L365" s="2">
        <v>35</v>
      </c>
      <c r="M365" s="2">
        <v>78</v>
      </c>
      <c r="N365" s="2">
        <v>113</v>
      </c>
      <c r="O365" t="s">
        <v>29</v>
      </c>
      <c r="P365" t="s">
        <v>52</v>
      </c>
      <c r="Q365" t="s">
        <v>31</v>
      </c>
      <c r="R365" t="s">
        <v>47</v>
      </c>
      <c r="S365" t="s">
        <v>44</v>
      </c>
      <c r="T365" t="s">
        <v>39</v>
      </c>
      <c r="U365" t="s">
        <v>46</v>
      </c>
      <c r="V365" t="s">
        <v>36</v>
      </c>
      <c r="W365" t="s">
        <v>37</v>
      </c>
      <c r="X365" s="24">
        <v>30.973451327433629</v>
      </c>
      <c r="Y365" s="24">
        <v>69.026548672566364</v>
      </c>
      <c r="Z365" t="s">
        <v>38</v>
      </c>
      <c r="AA365" t="s">
        <v>49</v>
      </c>
      <c r="AB365" t="s">
        <v>40</v>
      </c>
      <c r="AC365" s="24">
        <v>-1.7600000000000001E-2</v>
      </c>
    </row>
    <row r="366" spans="1:29" x14ac:dyDescent="0.3">
      <c r="A366" s="2">
        <v>365</v>
      </c>
      <c r="B366" s="1">
        <v>40559</v>
      </c>
      <c r="C366" s="2">
        <v>1</v>
      </c>
      <c r="D366" s="2">
        <v>16</v>
      </c>
      <c r="E366" t="b">
        <v>0</v>
      </c>
      <c r="F366" s="2">
        <v>0</v>
      </c>
      <c r="G366" s="2">
        <v>1</v>
      </c>
      <c r="H366" s="23">
        <v>0.24</v>
      </c>
      <c r="I366" s="25">
        <v>0.2273</v>
      </c>
      <c r="J366" s="23">
        <v>0.38</v>
      </c>
      <c r="K366" s="25">
        <v>0.22389999999999999</v>
      </c>
      <c r="L366" s="2">
        <v>22</v>
      </c>
      <c r="M366" s="2">
        <v>77</v>
      </c>
      <c r="N366" s="2">
        <v>99</v>
      </c>
      <c r="O366" t="s">
        <v>29</v>
      </c>
      <c r="P366" t="s">
        <v>52</v>
      </c>
      <c r="Q366" t="s">
        <v>31</v>
      </c>
      <c r="R366" t="s">
        <v>47</v>
      </c>
      <c r="S366" t="s">
        <v>33</v>
      </c>
      <c r="T366" t="s">
        <v>39</v>
      </c>
      <c r="U366" t="s">
        <v>46</v>
      </c>
      <c r="V366" t="s">
        <v>36</v>
      </c>
      <c r="W366" t="s">
        <v>37</v>
      </c>
      <c r="X366" s="24">
        <v>22.222222222222221</v>
      </c>
      <c r="Y366" s="24">
        <v>77.777777777777786</v>
      </c>
      <c r="Z366" t="s">
        <v>38</v>
      </c>
      <c r="AA366" t="s">
        <v>39</v>
      </c>
      <c r="AB366" t="s">
        <v>40</v>
      </c>
      <c r="AC366" s="24">
        <v>-1.2699999999999991E-2</v>
      </c>
    </row>
    <row r="367" spans="1:29" x14ac:dyDescent="0.3">
      <c r="A367" s="2">
        <v>366</v>
      </c>
      <c r="B367" s="1">
        <v>40559</v>
      </c>
      <c r="C367" s="2">
        <v>1</v>
      </c>
      <c r="D367" s="2">
        <v>17</v>
      </c>
      <c r="E367" t="b">
        <v>0</v>
      </c>
      <c r="F367" s="2">
        <v>0</v>
      </c>
      <c r="G367" s="2">
        <v>1</v>
      </c>
      <c r="H367" s="23">
        <v>0.22</v>
      </c>
      <c r="I367" s="25">
        <v>0.21210000000000001</v>
      </c>
      <c r="J367" s="23">
        <v>0.37</v>
      </c>
      <c r="K367" s="25">
        <v>0.25369999999999998</v>
      </c>
      <c r="L367" s="2">
        <v>23</v>
      </c>
      <c r="M367" s="2">
        <v>82</v>
      </c>
      <c r="N367" s="2">
        <v>105</v>
      </c>
      <c r="O367" t="s">
        <v>29</v>
      </c>
      <c r="P367" t="s">
        <v>52</v>
      </c>
      <c r="Q367" t="s">
        <v>31</v>
      </c>
      <c r="R367" t="s">
        <v>50</v>
      </c>
      <c r="S367" t="s">
        <v>33</v>
      </c>
      <c r="T367" t="s">
        <v>39</v>
      </c>
      <c r="U367" t="s">
        <v>46</v>
      </c>
      <c r="V367" t="s">
        <v>36</v>
      </c>
      <c r="W367" t="s">
        <v>37</v>
      </c>
      <c r="X367" s="24">
        <v>21.904761904761909</v>
      </c>
      <c r="Y367" s="24">
        <v>78.095238095238102</v>
      </c>
      <c r="Z367" t="s">
        <v>40</v>
      </c>
      <c r="AA367" t="s">
        <v>49</v>
      </c>
      <c r="AB367" t="s">
        <v>40</v>
      </c>
      <c r="AC367" s="24">
        <v>-7.8999999999999904E-3</v>
      </c>
    </row>
    <row r="368" spans="1:29" x14ac:dyDescent="0.3">
      <c r="A368" s="2">
        <v>283</v>
      </c>
      <c r="B368" s="1">
        <v>40556</v>
      </c>
      <c r="C368" s="2">
        <v>1</v>
      </c>
      <c r="D368" s="2">
        <v>5</v>
      </c>
      <c r="E368" t="b">
        <v>0</v>
      </c>
      <c r="F368" s="2">
        <v>4</v>
      </c>
      <c r="G368" s="2">
        <v>1</v>
      </c>
      <c r="H368" s="23">
        <v>0.14000000000000001</v>
      </c>
      <c r="I368" s="25">
        <v>0.1212</v>
      </c>
      <c r="J368" s="23">
        <v>0.5</v>
      </c>
      <c r="K368" s="25">
        <v>0.29849999999999999</v>
      </c>
      <c r="L368" s="2">
        <v>0</v>
      </c>
      <c r="M368" s="2">
        <v>3</v>
      </c>
      <c r="N368" s="2">
        <v>3</v>
      </c>
      <c r="O368" t="s">
        <v>29</v>
      </c>
      <c r="P368" t="s">
        <v>58</v>
      </c>
      <c r="Q368" t="s">
        <v>31</v>
      </c>
      <c r="R368" t="s">
        <v>32</v>
      </c>
      <c r="S368" t="s">
        <v>55</v>
      </c>
      <c r="T368" t="s">
        <v>49</v>
      </c>
      <c r="U368" t="s">
        <v>46</v>
      </c>
      <c r="V368" t="s">
        <v>36</v>
      </c>
      <c r="W368" t="s">
        <v>37</v>
      </c>
      <c r="X368" s="24">
        <v>0</v>
      </c>
      <c r="Y368" s="24">
        <v>100</v>
      </c>
      <c r="Z368" t="s">
        <v>38</v>
      </c>
      <c r="AA368" t="s">
        <v>39</v>
      </c>
      <c r="AB368" t="s">
        <v>38</v>
      </c>
      <c r="AC368" s="24">
        <v>-1.8800000000000011E-2</v>
      </c>
    </row>
    <row r="369" spans="1:29" x14ac:dyDescent="0.3">
      <c r="A369" s="2">
        <v>286</v>
      </c>
      <c r="B369" s="1">
        <v>40556</v>
      </c>
      <c r="C369" s="2">
        <v>1</v>
      </c>
      <c r="D369" s="2">
        <v>8</v>
      </c>
      <c r="E369" t="b">
        <v>0</v>
      </c>
      <c r="F369" s="2">
        <v>4</v>
      </c>
      <c r="G369" s="2">
        <v>1</v>
      </c>
      <c r="H369" s="23">
        <v>0.14000000000000001</v>
      </c>
      <c r="I369" s="25">
        <v>0.13639999999999999</v>
      </c>
      <c r="J369" s="23">
        <v>0.5</v>
      </c>
      <c r="K369" s="25">
        <v>0.19400000000000001</v>
      </c>
      <c r="L369" s="2">
        <v>5</v>
      </c>
      <c r="M369" s="2">
        <v>197</v>
      </c>
      <c r="N369" s="2">
        <v>202</v>
      </c>
      <c r="O369" t="s">
        <v>29</v>
      </c>
      <c r="P369" t="s">
        <v>58</v>
      </c>
      <c r="Q369" t="s">
        <v>31</v>
      </c>
      <c r="R369" t="s">
        <v>42</v>
      </c>
      <c r="S369" t="s">
        <v>55</v>
      </c>
      <c r="T369" t="s">
        <v>49</v>
      </c>
      <c r="U369" t="s">
        <v>46</v>
      </c>
      <c r="V369" t="s">
        <v>36</v>
      </c>
      <c r="W369" t="s">
        <v>37</v>
      </c>
      <c r="X369" s="24">
        <v>2.4752475247524748</v>
      </c>
      <c r="Y369" s="24">
        <v>97.524752475247524</v>
      </c>
      <c r="Z369" t="s">
        <v>40</v>
      </c>
      <c r="AA369" t="s">
        <v>49</v>
      </c>
      <c r="AB369" t="s">
        <v>38</v>
      </c>
      <c r="AC369" s="24">
        <v>-3.6000000000000199E-3</v>
      </c>
    </row>
    <row r="370" spans="1:29" x14ac:dyDescent="0.3">
      <c r="A370" s="2">
        <v>287</v>
      </c>
      <c r="B370" s="1">
        <v>40556</v>
      </c>
      <c r="C370" s="2">
        <v>1</v>
      </c>
      <c r="D370" s="2">
        <v>9</v>
      </c>
      <c r="E370" t="b">
        <v>0</v>
      </c>
      <c r="F370" s="2">
        <v>4</v>
      </c>
      <c r="G370" s="2">
        <v>1</v>
      </c>
      <c r="H370" s="23">
        <v>0.14000000000000001</v>
      </c>
      <c r="I370" s="25">
        <v>0.1212</v>
      </c>
      <c r="J370" s="23">
        <v>0.5</v>
      </c>
      <c r="K370" s="25">
        <v>0.32840000000000003</v>
      </c>
      <c r="L370" s="2">
        <v>2</v>
      </c>
      <c r="M370" s="2">
        <v>137</v>
      </c>
      <c r="N370" s="2">
        <v>139</v>
      </c>
      <c r="O370" t="s">
        <v>29</v>
      </c>
      <c r="P370" t="s">
        <v>58</v>
      </c>
      <c r="Q370" t="s">
        <v>31</v>
      </c>
      <c r="R370" t="s">
        <v>42</v>
      </c>
      <c r="S370" t="s">
        <v>55</v>
      </c>
      <c r="T370" t="s">
        <v>49</v>
      </c>
      <c r="U370" t="s">
        <v>53</v>
      </c>
      <c r="V370" t="s">
        <v>36</v>
      </c>
      <c r="W370" t="s">
        <v>37</v>
      </c>
      <c r="X370" s="24">
        <v>1.43884892086331</v>
      </c>
      <c r="Y370" s="24">
        <v>98.561151079136692</v>
      </c>
      <c r="Z370" t="s">
        <v>40</v>
      </c>
      <c r="AA370" t="s">
        <v>49</v>
      </c>
      <c r="AB370" t="s">
        <v>38</v>
      </c>
      <c r="AC370" s="24">
        <v>-1.8800000000000011E-2</v>
      </c>
    </row>
    <row r="371" spans="1:29" x14ac:dyDescent="0.3">
      <c r="A371" s="2">
        <v>288</v>
      </c>
      <c r="B371" s="1">
        <v>40556</v>
      </c>
      <c r="C371" s="2">
        <v>1</v>
      </c>
      <c r="D371" s="2">
        <v>10</v>
      </c>
      <c r="E371" t="b">
        <v>0</v>
      </c>
      <c r="F371" s="2">
        <v>4</v>
      </c>
      <c r="G371" s="2">
        <v>2</v>
      </c>
      <c r="H371" s="23">
        <v>0.16</v>
      </c>
      <c r="I371" s="25">
        <v>0.13639999999999999</v>
      </c>
      <c r="J371" s="23">
        <v>0.5</v>
      </c>
      <c r="K371" s="25">
        <v>0.35820000000000002</v>
      </c>
      <c r="L371" s="2">
        <v>2</v>
      </c>
      <c r="M371" s="2">
        <v>36</v>
      </c>
      <c r="N371" s="2">
        <v>38</v>
      </c>
      <c r="O371" t="s">
        <v>29</v>
      </c>
      <c r="P371" t="s">
        <v>58</v>
      </c>
      <c r="Q371" t="s">
        <v>41</v>
      </c>
      <c r="R371" t="s">
        <v>42</v>
      </c>
      <c r="S371" t="s">
        <v>33</v>
      </c>
      <c r="T371" t="s">
        <v>49</v>
      </c>
      <c r="U371" t="s">
        <v>53</v>
      </c>
      <c r="V371" t="s">
        <v>36</v>
      </c>
      <c r="W371" t="s">
        <v>37</v>
      </c>
      <c r="X371" s="24">
        <v>5.2631578947368416</v>
      </c>
      <c r="Y371" s="24">
        <v>94.73684210526315</v>
      </c>
      <c r="Z371" t="s">
        <v>38</v>
      </c>
      <c r="AA371" t="s">
        <v>39</v>
      </c>
      <c r="AB371" t="s">
        <v>38</v>
      </c>
      <c r="AC371" s="24">
        <v>-2.360000000000001E-2</v>
      </c>
    </row>
    <row r="372" spans="1:29" x14ac:dyDescent="0.3">
      <c r="A372" s="2">
        <v>301</v>
      </c>
      <c r="B372" s="1">
        <v>40556</v>
      </c>
      <c r="C372" s="2">
        <v>1</v>
      </c>
      <c r="D372" s="2">
        <v>23</v>
      </c>
      <c r="E372" t="b">
        <v>0</v>
      </c>
      <c r="F372" s="2">
        <v>4</v>
      </c>
      <c r="G372" s="2">
        <v>1</v>
      </c>
      <c r="H372" s="23">
        <v>0.12</v>
      </c>
      <c r="I372" s="25">
        <v>0.13639999999999999</v>
      </c>
      <c r="J372" s="23">
        <v>0.5</v>
      </c>
      <c r="K372" s="25">
        <v>0.19400000000000001</v>
      </c>
      <c r="L372" s="2">
        <v>1</v>
      </c>
      <c r="M372" s="2">
        <v>14</v>
      </c>
      <c r="N372" s="2">
        <v>15</v>
      </c>
      <c r="O372" t="s">
        <v>29</v>
      </c>
      <c r="P372" t="s">
        <v>58</v>
      </c>
      <c r="Q372" t="s">
        <v>31</v>
      </c>
      <c r="R372" t="s">
        <v>32</v>
      </c>
      <c r="S372" t="s">
        <v>55</v>
      </c>
      <c r="T372" t="s">
        <v>49</v>
      </c>
      <c r="U372" t="s">
        <v>46</v>
      </c>
      <c r="V372" t="s">
        <v>36</v>
      </c>
      <c r="W372" t="s">
        <v>37</v>
      </c>
      <c r="X372" s="24">
        <v>6.666666666666667</v>
      </c>
      <c r="Y372" s="24">
        <v>93.333333333333329</v>
      </c>
      <c r="Z372" t="s">
        <v>38</v>
      </c>
      <c r="AA372" t="s">
        <v>39</v>
      </c>
      <c r="AB372" t="s">
        <v>38</v>
      </c>
      <c r="AC372" s="24">
        <v>1.6400000000000001E-2</v>
      </c>
    </row>
    <row r="373" spans="1:29" x14ac:dyDescent="0.3">
      <c r="A373" s="2">
        <v>302</v>
      </c>
      <c r="B373" s="1">
        <v>40557</v>
      </c>
      <c r="C373" s="2">
        <v>1</v>
      </c>
      <c r="D373" s="2">
        <v>0</v>
      </c>
      <c r="E373" t="b">
        <v>0</v>
      </c>
      <c r="F373" s="2">
        <v>5</v>
      </c>
      <c r="G373" s="2">
        <v>1</v>
      </c>
      <c r="H373" s="23">
        <v>0.12</v>
      </c>
      <c r="I373" s="25">
        <v>0.13639999999999999</v>
      </c>
      <c r="J373" s="23">
        <v>0.5</v>
      </c>
      <c r="K373" s="25">
        <v>0.19400000000000001</v>
      </c>
      <c r="L373" s="2">
        <v>0</v>
      </c>
      <c r="M373" s="2">
        <v>14</v>
      </c>
      <c r="N373" s="2">
        <v>14</v>
      </c>
      <c r="O373" t="s">
        <v>29</v>
      </c>
      <c r="P373" t="s">
        <v>59</v>
      </c>
      <c r="Q373" t="s">
        <v>31</v>
      </c>
      <c r="R373" t="s">
        <v>32</v>
      </c>
      <c r="S373" t="s">
        <v>55</v>
      </c>
      <c r="T373" t="s">
        <v>49</v>
      </c>
      <c r="U373" t="s">
        <v>46</v>
      </c>
      <c r="V373" t="s">
        <v>36</v>
      </c>
      <c r="W373" t="s">
        <v>37</v>
      </c>
      <c r="X373" s="24">
        <v>0</v>
      </c>
      <c r="Y373" s="24">
        <v>100</v>
      </c>
      <c r="Z373" t="s">
        <v>38</v>
      </c>
      <c r="AA373" t="s">
        <v>39</v>
      </c>
      <c r="AB373" t="s">
        <v>38</v>
      </c>
      <c r="AC373" s="24">
        <v>1.6400000000000001E-2</v>
      </c>
    </row>
    <row r="374" spans="1:29" x14ac:dyDescent="0.3">
      <c r="A374" s="2">
        <v>380</v>
      </c>
      <c r="B374" s="1">
        <v>40560</v>
      </c>
      <c r="C374" s="2">
        <v>1</v>
      </c>
      <c r="D374" s="2">
        <v>7</v>
      </c>
      <c r="E374" t="b">
        <v>1</v>
      </c>
      <c r="F374" s="2">
        <v>1</v>
      </c>
      <c r="G374" s="2">
        <v>2</v>
      </c>
      <c r="H374" s="23">
        <v>0.16</v>
      </c>
      <c r="I374" s="25">
        <v>0.18179999999999999</v>
      </c>
      <c r="J374" s="23">
        <v>0.5</v>
      </c>
      <c r="K374" s="25">
        <v>0.1343</v>
      </c>
      <c r="L374" s="2">
        <v>4</v>
      </c>
      <c r="M374" s="2">
        <v>9</v>
      </c>
      <c r="N374" s="2">
        <v>13</v>
      </c>
      <c r="O374" t="s">
        <v>29</v>
      </c>
      <c r="P374" t="s">
        <v>54</v>
      </c>
      <c r="Q374" t="s">
        <v>41</v>
      </c>
      <c r="R374" t="s">
        <v>42</v>
      </c>
      <c r="S374" t="s">
        <v>33</v>
      </c>
      <c r="T374" t="s">
        <v>49</v>
      </c>
      <c r="U374" t="s">
        <v>35</v>
      </c>
      <c r="V374" t="s">
        <v>60</v>
      </c>
      <c r="W374" t="s">
        <v>37</v>
      </c>
      <c r="X374" s="24">
        <v>30.76923076923077</v>
      </c>
      <c r="Y374" s="24">
        <v>69.230769230769226</v>
      </c>
      <c r="Z374" t="s">
        <v>40</v>
      </c>
      <c r="AA374" t="s">
        <v>39</v>
      </c>
      <c r="AB374" t="s">
        <v>38</v>
      </c>
      <c r="AC374" s="24">
        <v>2.179999999999999E-2</v>
      </c>
    </row>
    <row r="375" spans="1:29" x14ac:dyDescent="0.3">
      <c r="A375" s="2">
        <v>383</v>
      </c>
      <c r="B375" s="1">
        <v>40560</v>
      </c>
      <c r="C375" s="2">
        <v>1</v>
      </c>
      <c r="D375" s="2">
        <v>10</v>
      </c>
      <c r="E375" t="b">
        <v>1</v>
      </c>
      <c r="F375" s="2">
        <v>1</v>
      </c>
      <c r="G375" s="2">
        <v>2</v>
      </c>
      <c r="H375" s="23">
        <v>0.16</v>
      </c>
      <c r="I375" s="25">
        <v>0.1515</v>
      </c>
      <c r="J375" s="23">
        <v>0.5</v>
      </c>
      <c r="K375" s="25">
        <v>0.25369999999999998</v>
      </c>
      <c r="L375" s="2">
        <v>7</v>
      </c>
      <c r="M375" s="2">
        <v>50</v>
      </c>
      <c r="N375" s="2">
        <v>57</v>
      </c>
      <c r="O375" t="s">
        <v>29</v>
      </c>
      <c r="P375" t="s">
        <v>54</v>
      </c>
      <c r="Q375" t="s">
        <v>41</v>
      </c>
      <c r="R375" t="s">
        <v>42</v>
      </c>
      <c r="S375" t="s">
        <v>33</v>
      </c>
      <c r="T375" t="s">
        <v>49</v>
      </c>
      <c r="U375" t="s">
        <v>46</v>
      </c>
      <c r="V375" t="s">
        <v>60</v>
      </c>
      <c r="W375" t="s">
        <v>37</v>
      </c>
      <c r="X375" s="24">
        <v>12.28070175438596</v>
      </c>
      <c r="Y375" s="24">
        <v>87.719298245614027</v>
      </c>
      <c r="Z375" t="s">
        <v>38</v>
      </c>
      <c r="AA375" t="s">
        <v>39</v>
      </c>
      <c r="AB375" t="s">
        <v>38</v>
      </c>
      <c r="AC375" s="24">
        <v>-8.5000000000000075E-3</v>
      </c>
    </row>
    <row r="376" spans="1:29" x14ac:dyDescent="0.3">
      <c r="A376" s="2">
        <v>542</v>
      </c>
      <c r="B376" s="1">
        <v>40567</v>
      </c>
      <c r="C376" s="2">
        <v>1</v>
      </c>
      <c r="D376" s="2">
        <v>17</v>
      </c>
      <c r="E376" t="b">
        <v>0</v>
      </c>
      <c r="F376" s="2">
        <v>1</v>
      </c>
      <c r="G376" s="2">
        <v>1</v>
      </c>
      <c r="H376" s="23">
        <v>0.14000000000000001</v>
      </c>
      <c r="I376" s="25">
        <v>0.1212</v>
      </c>
      <c r="J376" s="23">
        <v>0.5</v>
      </c>
      <c r="K376" s="25">
        <v>0.25369999999999998</v>
      </c>
      <c r="L376" s="2">
        <v>6</v>
      </c>
      <c r="M376" s="2">
        <v>178</v>
      </c>
      <c r="N376" s="2">
        <v>184</v>
      </c>
      <c r="O376" t="s">
        <v>29</v>
      </c>
      <c r="P376" t="s">
        <v>54</v>
      </c>
      <c r="Q376" t="s">
        <v>31</v>
      </c>
      <c r="R376" t="s">
        <v>50</v>
      </c>
      <c r="S376" t="s">
        <v>55</v>
      </c>
      <c r="T376" t="s">
        <v>49</v>
      </c>
      <c r="U376" t="s">
        <v>46</v>
      </c>
      <c r="V376" t="s">
        <v>36</v>
      </c>
      <c r="W376" t="s">
        <v>37</v>
      </c>
      <c r="X376" s="24">
        <v>3.2608695652173911</v>
      </c>
      <c r="Y376" s="24">
        <v>96.739130434782609</v>
      </c>
      <c r="Z376" t="s">
        <v>40</v>
      </c>
      <c r="AA376" t="s">
        <v>49</v>
      </c>
      <c r="AB376" t="s">
        <v>38</v>
      </c>
      <c r="AC376" s="24">
        <v>-1.8800000000000011E-2</v>
      </c>
    </row>
    <row r="377" spans="1:29" x14ac:dyDescent="0.3">
      <c r="A377" s="2">
        <v>740</v>
      </c>
      <c r="B377" s="1">
        <v>40577</v>
      </c>
      <c r="C377" s="2">
        <v>1</v>
      </c>
      <c r="D377" s="2">
        <v>5</v>
      </c>
      <c r="E377" t="b">
        <v>0</v>
      </c>
      <c r="F377" s="2">
        <v>4</v>
      </c>
      <c r="G377" s="2">
        <v>1</v>
      </c>
      <c r="H377" s="23">
        <v>0.16</v>
      </c>
      <c r="I377" s="25">
        <v>0.13639999999999999</v>
      </c>
      <c r="J377" s="23">
        <v>0.5</v>
      </c>
      <c r="K377" s="25">
        <v>0.29849999999999999</v>
      </c>
      <c r="L377" s="2">
        <v>0</v>
      </c>
      <c r="M377" s="2">
        <v>2</v>
      </c>
      <c r="N377" s="2">
        <v>2</v>
      </c>
      <c r="O377" t="s">
        <v>29</v>
      </c>
      <c r="P377" t="s">
        <v>58</v>
      </c>
      <c r="Q377" t="s">
        <v>31</v>
      </c>
      <c r="R377" t="s">
        <v>32</v>
      </c>
      <c r="S377" t="s">
        <v>33</v>
      </c>
      <c r="T377" t="s">
        <v>49</v>
      </c>
      <c r="U377" t="s">
        <v>46</v>
      </c>
      <c r="V377" t="s">
        <v>36</v>
      </c>
      <c r="W377" t="s">
        <v>37</v>
      </c>
      <c r="X377" s="24">
        <v>0</v>
      </c>
      <c r="Y377" s="24">
        <v>100</v>
      </c>
      <c r="Z377" t="s">
        <v>38</v>
      </c>
      <c r="AA377" t="s">
        <v>39</v>
      </c>
      <c r="AB377" t="s">
        <v>38</v>
      </c>
      <c r="AC377" s="24">
        <v>-2.360000000000001E-2</v>
      </c>
    </row>
    <row r="378" spans="1:29" x14ac:dyDescent="0.3">
      <c r="A378" s="2">
        <v>742</v>
      </c>
      <c r="B378" s="1">
        <v>40577</v>
      </c>
      <c r="C378" s="2">
        <v>1</v>
      </c>
      <c r="D378" s="2">
        <v>7</v>
      </c>
      <c r="E378" t="b">
        <v>0</v>
      </c>
      <c r="F378" s="2">
        <v>4</v>
      </c>
      <c r="G378" s="2">
        <v>1</v>
      </c>
      <c r="H378" s="23">
        <v>0.14000000000000001</v>
      </c>
      <c r="I378" s="25">
        <v>0.1212</v>
      </c>
      <c r="J378" s="23">
        <v>0.5</v>
      </c>
      <c r="K378" s="25">
        <v>0.32840000000000003</v>
      </c>
      <c r="L378" s="2">
        <v>1</v>
      </c>
      <c r="M378" s="2">
        <v>86</v>
      </c>
      <c r="N378" s="2">
        <v>87</v>
      </c>
      <c r="O378" t="s">
        <v>29</v>
      </c>
      <c r="P378" t="s">
        <v>58</v>
      </c>
      <c r="Q378" t="s">
        <v>31</v>
      </c>
      <c r="R378" t="s">
        <v>42</v>
      </c>
      <c r="S378" t="s">
        <v>55</v>
      </c>
      <c r="T378" t="s">
        <v>49</v>
      </c>
      <c r="U378" t="s">
        <v>53</v>
      </c>
      <c r="V378" t="s">
        <v>36</v>
      </c>
      <c r="W378" t="s">
        <v>37</v>
      </c>
      <c r="X378" s="24">
        <v>1.149425287356322</v>
      </c>
      <c r="Y378" s="24">
        <v>98.850574712643677</v>
      </c>
      <c r="Z378" t="s">
        <v>40</v>
      </c>
      <c r="AA378" t="s">
        <v>39</v>
      </c>
      <c r="AB378" t="s">
        <v>38</v>
      </c>
      <c r="AC378" s="24">
        <v>-1.8800000000000011E-2</v>
      </c>
    </row>
    <row r="379" spans="1:29" x14ac:dyDescent="0.3">
      <c r="A379" s="2">
        <v>743</v>
      </c>
      <c r="B379" s="1">
        <v>40577</v>
      </c>
      <c r="C379" s="2">
        <v>1</v>
      </c>
      <c r="D379" s="2">
        <v>8</v>
      </c>
      <c r="E379" t="b">
        <v>0</v>
      </c>
      <c r="F379" s="2">
        <v>4</v>
      </c>
      <c r="G379" s="2">
        <v>1</v>
      </c>
      <c r="H379" s="23">
        <v>0.14000000000000001</v>
      </c>
      <c r="I379" s="25">
        <v>0.1212</v>
      </c>
      <c r="J379" s="23">
        <v>0.5</v>
      </c>
      <c r="K379" s="25">
        <v>0.35820000000000002</v>
      </c>
      <c r="L379" s="2">
        <v>4</v>
      </c>
      <c r="M379" s="2">
        <v>184</v>
      </c>
      <c r="N379" s="2">
        <v>188</v>
      </c>
      <c r="O379" t="s">
        <v>29</v>
      </c>
      <c r="P379" t="s">
        <v>58</v>
      </c>
      <c r="Q379" t="s">
        <v>31</v>
      </c>
      <c r="R379" t="s">
        <v>42</v>
      </c>
      <c r="S379" t="s">
        <v>55</v>
      </c>
      <c r="T379" t="s">
        <v>49</v>
      </c>
      <c r="U379" t="s">
        <v>53</v>
      </c>
      <c r="V379" t="s">
        <v>36</v>
      </c>
      <c r="W379" t="s">
        <v>37</v>
      </c>
      <c r="X379" s="24">
        <v>2.1276595744680851</v>
      </c>
      <c r="Y379" s="24">
        <v>97.872340425531917</v>
      </c>
      <c r="Z379" t="s">
        <v>40</v>
      </c>
      <c r="AA379" t="s">
        <v>49</v>
      </c>
      <c r="AB379" t="s">
        <v>38</v>
      </c>
      <c r="AC379" s="24">
        <v>-1.8800000000000011E-2</v>
      </c>
    </row>
    <row r="380" spans="1:29" x14ac:dyDescent="0.3">
      <c r="A380" s="2">
        <v>771</v>
      </c>
      <c r="B380" s="1">
        <v>40578</v>
      </c>
      <c r="C380" s="2">
        <v>1</v>
      </c>
      <c r="D380" s="2">
        <v>13</v>
      </c>
      <c r="E380" t="b">
        <v>0</v>
      </c>
      <c r="F380" s="2">
        <v>5</v>
      </c>
      <c r="G380" s="2">
        <v>2</v>
      </c>
      <c r="H380" s="23">
        <v>0.26</v>
      </c>
      <c r="I380" s="25">
        <v>0.2576</v>
      </c>
      <c r="J380" s="23">
        <v>0.5</v>
      </c>
      <c r="K380" s="25">
        <v>0.22389999999999999</v>
      </c>
      <c r="L380" s="2">
        <v>9</v>
      </c>
      <c r="M380" s="2">
        <v>73</v>
      </c>
      <c r="N380" s="2">
        <v>82</v>
      </c>
      <c r="O380" t="s">
        <v>29</v>
      </c>
      <c r="P380" t="s">
        <v>59</v>
      </c>
      <c r="Q380" t="s">
        <v>41</v>
      </c>
      <c r="R380" t="s">
        <v>47</v>
      </c>
      <c r="S380" t="s">
        <v>44</v>
      </c>
      <c r="T380" t="s">
        <v>49</v>
      </c>
      <c r="U380" t="s">
        <v>46</v>
      </c>
      <c r="V380" t="s">
        <v>36</v>
      </c>
      <c r="W380" t="s">
        <v>37</v>
      </c>
      <c r="X380" s="24">
        <v>10.97560975609756</v>
      </c>
      <c r="Y380" s="24">
        <v>89.024390243902445</v>
      </c>
      <c r="Z380" t="s">
        <v>38</v>
      </c>
      <c r="AA380" t="s">
        <v>39</v>
      </c>
      <c r="AB380" t="s">
        <v>38</v>
      </c>
      <c r="AC380" s="24">
        <v>-2.4000000000000128E-3</v>
      </c>
    </row>
    <row r="381" spans="1:29" x14ac:dyDescent="0.3">
      <c r="A381" s="2">
        <v>905</v>
      </c>
      <c r="B381" s="1">
        <v>40584</v>
      </c>
      <c r="C381" s="2">
        <v>1</v>
      </c>
      <c r="D381" s="2">
        <v>5</v>
      </c>
      <c r="E381" t="b">
        <v>0</v>
      </c>
      <c r="F381" s="2">
        <v>4</v>
      </c>
      <c r="G381" s="2">
        <v>2</v>
      </c>
      <c r="H381" s="23">
        <v>0.12</v>
      </c>
      <c r="I381" s="25">
        <v>0.1212</v>
      </c>
      <c r="J381" s="23">
        <v>0.5</v>
      </c>
      <c r="K381" s="25">
        <v>0.22389999999999999</v>
      </c>
      <c r="L381" s="2">
        <v>0</v>
      </c>
      <c r="M381" s="2">
        <v>6</v>
      </c>
      <c r="N381" s="2">
        <v>6</v>
      </c>
      <c r="O381" t="s">
        <v>29</v>
      </c>
      <c r="P381" t="s">
        <v>58</v>
      </c>
      <c r="Q381" t="s">
        <v>41</v>
      </c>
      <c r="R381" t="s">
        <v>32</v>
      </c>
      <c r="S381" t="s">
        <v>55</v>
      </c>
      <c r="T381" t="s">
        <v>49</v>
      </c>
      <c r="U381" t="s">
        <v>46</v>
      </c>
      <c r="V381" t="s">
        <v>36</v>
      </c>
      <c r="W381" t="s">
        <v>37</v>
      </c>
      <c r="X381" s="24">
        <v>0</v>
      </c>
      <c r="Y381" s="24">
        <v>100</v>
      </c>
      <c r="Z381" t="s">
        <v>38</v>
      </c>
      <c r="AA381" t="s">
        <v>39</v>
      </c>
      <c r="AB381" t="s">
        <v>38</v>
      </c>
      <c r="AC381" s="24">
        <v>1.2000000000000071E-3</v>
      </c>
    </row>
    <row r="382" spans="1:29" x14ac:dyDescent="0.3">
      <c r="A382" s="2">
        <v>907</v>
      </c>
      <c r="B382" s="1">
        <v>40584</v>
      </c>
      <c r="C382" s="2">
        <v>1</v>
      </c>
      <c r="D382" s="2">
        <v>7</v>
      </c>
      <c r="E382" t="b">
        <v>0</v>
      </c>
      <c r="F382" s="2">
        <v>4</v>
      </c>
      <c r="G382" s="2">
        <v>1</v>
      </c>
      <c r="H382" s="23">
        <v>0.1</v>
      </c>
      <c r="I382" s="25">
        <v>7.5800000000000006E-2</v>
      </c>
      <c r="J382" s="23">
        <v>0.5</v>
      </c>
      <c r="K382" s="25">
        <v>0.41789999999999999</v>
      </c>
      <c r="L382" s="2">
        <v>0</v>
      </c>
      <c r="M382" s="2">
        <v>99</v>
      </c>
      <c r="N382" s="2">
        <v>99</v>
      </c>
      <c r="O382" t="s">
        <v>29</v>
      </c>
      <c r="P382" t="s">
        <v>58</v>
      </c>
      <c r="Q382" t="s">
        <v>31</v>
      </c>
      <c r="R382" t="s">
        <v>42</v>
      </c>
      <c r="S382" t="s">
        <v>55</v>
      </c>
      <c r="T382" t="s">
        <v>49</v>
      </c>
      <c r="U382" t="s">
        <v>53</v>
      </c>
      <c r="V382" t="s">
        <v>36</v>
      </c>
      <c r="W382" t="s">
        <v>37</v>
      </c>
      <c r="X382" s="24">
        <v>0</v>
      </c>
      <c r="Y382" s="24">
        <v>100</v>
      </c>
      <c r="Z382" t="s">
        <v>40</v>
      </c>
      <c r="AA382" t="s">
        <v>39</v>
      </c>
      <c r="AB382" t="s">
        <v>38</v>
      </c>
      <c r="AC382" s="24">
        <v>-2.4199999999999999E-2</v>
      </c>
    </row>
    <row r="383" spans="1:29" x14ac:dyDescent="0.3">
      <c r="A383" s="2">
        <v>80</v>
      </c>
      <c r="B383" s="1">
        <v>40547</v>
      </c>
      <c r="C383" s="2">
        <v>1</v>
      </c>
      <c r="D383" s="2">
        <v>11</v>
      </c>
      <c r="E383" t="b">
        <v>0</v>
      </c>
      <c r="F383" s="2">
        <v>2</v>
      </c>
      <c r="G383" s="2">
        <v>1</v>
      </c>
      <c r="H383" s="23">
        <v>0.22</v>
      </c>
      <c r="I383" s="25">
        <v>0.21210000000000001</v>
      </c>
      <c r="J383" s="23">
        <v>0.51</v>
      </c>
      <c r="K383" s="25">
        <v>0.29849999999999999</v>
      </c>
      <c r="L383" s="2">
        <v>7</v>
      </c>
      <c r="M383" s="2">
        <v>50</v>
      </c>
      <c r="N383" s="2">
        <v>57</v>
      </c>
      <c r="O383" t="s">
        <v>29</v>
      </c>
      <c r="P383" t="s">
        <v>56</v>
      </c>
      <c r="Q383" t="s">
        <v>31</v>
      </c>
      <c r="R383" t="s">
        <v>42</v>
      </c>
      <c r="S383" t="s">
        <v>33</v>
      </c>
      <c r="T383" t="s">
        <v>49</v>
      </c>
      <c r="U383" t="s">
        <v>46</v>
      </c>
      <c r="V383" t="s">
        <v>36</v>
      </c>
      <c r="W383" t="s">
        <v>37</v>
      </c>
      <c r="X383" s="24">
        <v>12.28070175438596</v>
      </c>
      <c r="Y383" s="24">
        <v>87.719298245614027</v>
      </c>
      <c r="Z383" t="s">
        <v>38</v>
      </c>
      <c r="AA383" t="s">
        <v>39</v>
      </c>
      <c r="AB383" t="s">
        <v>38</v>
      </c>
      <c r="AC383" s="24">
        <v>-7.8999999999999904E-3</v>
      </c>
    </row>
    <row r="384" spans="1:29" x14ac:dyDescent="0.3">
      <c r="A384" s="2">
        <v>81</v>
      </c>
      <c r="B384" s="1">
        <v>40547</v>
      </c>
      <c r="C384" s="2">
        <v>1</v>
      </c>
      <c r="D384" s="2">
        <v>12</v>
      </c>
      <c r="E384" t="b">
        <v>0</v>
      </c>
      <c r="F384" s="2">
        <v>2</v>
      </c>
      <c r="G384" s="2">
        <v>1</v>
      </c>
      <c r="H384" s="23">
        <v>0.22</v>
      </c>
      <c r="I384" s="25">
        <v>0.2273</v>
      </c>
      <c r="J384" s="23">
        <v>0.51</v>
      </c>
      <c r="K384" s="25">
        <v>0.16420000000000001</v>
      </c>
      <c r="L384" s="2">
        <v>12</v>
      </c>
      <c r="M384" s="2">
        <v>66</v>
      </c>
      <c r="N384" s="2">
        <v>78</v>
      </c>
      <c r="O384" t="s">
        <v>29</v>
      </c>
      <c r="P384" t="s">
        <v>56</v>
      </c>
      <c r="Q384" t="s">
        <v>31</v>
      </c>
      <c r="R384" t="s">
        <v>47</v>
      </c>
      <c r="S384" t="s">
        <v>33</v>
      </c>
      <c r="T384" t="s">
        <v>49</v>
      </c>
      <c r="U384" t="s">
        <v>46</v>
      </c>
      <c r="V384" t="s">
        <v>36</v>
      </c>
      <c r="W384" t="s">
        <v>37</v>
      </c>
      <c r="X384" s="24">
        <v>15.38461538461539</v>
      </c>
      <c r="Y384" s="24">
        <v>84.615384615384613</v>
      </c>
      <c r="Z384" t="s">
        <v>38</v>
      </c>
      <c r="AA384" t="s">
        <v>39</v>
      </c>
      <c r="AB384" t="s">
        <v>38</v>
      </c>
      <c r="AC384" s="24">
        <v>7.3000000000000009E-3</v>
      </c>
    </row>
    <row r="385" spans="1:29" x14ac:dyDescent="0.3">
      <c r="A385" s="2">
        <v>113</v>
      </c>
      <c r="B385" s="1">
        <v>40548</v>
      </c>
      <c r="C385" s="2">
        <v>1</v>
      </c>
      <c r="D385" s="2">
        <v>21</v>
      </c>
      <c r="E385" t="b">
        <v>0</v>
      </c>
      <c r="F385" s="2">
        <v>3</v>
      </c>
      <c r="G385" s="2">
        <v>1</v>
      </c>
      <c r="H385" s="23">
        <v>0.2</v>
      </c>
      <c r="I385" s="25">
        <v>0.19700000000000001</v>
      </c>
      <c r="J385" s="23">
        <v>0.51</v>
      </c>
      <c r="K385" s="25">
        <v>0.19400000000000001</v>
      </c>
      <c r="L385" s="2">
        <v>3</v>
      </c>
      <c r="M385" s="2">
        <v>40</v>
      </c>
      <c r="N385" s="2">
        <v>43</v>
      </c>
      <c r="O385" t="s">
        <v>29</v>
      </c>
      <c r="P385" t="s">
        <v>57</v>
      </c>
      <c r="Q385" t="s">
        <v>31</v>
      </c>
      <c r="R385" t="s">
        <v>32</v>
      </c>
      <c r="S385" t="s">
        <v>33</v>
      </c>
      <c r="T385" t="s">
        <v>49</v>
      </c>
      <c r="U385" t="s">
        <v>46</v>
      </c>
      <c r="V385" t="s">
        <v>36</v>
      </c>
      <c r="W385" t="s">
        <v>37</v>
      </c>
      <c r="X385" s="24">
        <v>6.9767441860465116</v>
      </c>
      <c r="Y385" s="24">
        <v>93.023255813953483</v>
      </c>
      <c r="Z385" t="s">
        <v>38</v>
      </c>
      <c r="AA385" t="s">
        <v>39</v>
      </c>
      <c r="AB385" t="s">
        <v>38</v>
      </c>
      <c r="AC385" s="24">
        <v>-3.0000000000000031E-3</v>
      </c>
    </row>
    <row r="386" spans="1:29" x14ac:dyDescent="0.3">
      <c r="A386" s="2">
        <v>124</v>
      </c>
      <c r="B386" s="1">
        <v>40549</v>
      </c>
      <c r="C386" s="2">
        <v>1</v>
      </c>
      <c r="D386" s="2">
        <v>9</v>
      </c>
      <c r="E386" t="b">
        <v>0</v>
      </c>
      <c r="F386" s="2">
        <v>4</v>
      </c>
      <c r="G386" s="2">
        <v>2</v>
      </c>
      <c r="H386" s="23">
        <v>0.18</v>
      </c>
      <c r="I386" s="25">
        <v>0.2424</v>
      </c>
      <c r="J386" s="23">
        <v>0.51</v>
      </c>
      <c r="K386" s="25">
        <v>0</v>
      </c>
      <c r="L386" s="2">
        <v>6</v>
      </c>
      <c r="M386" s="2">
        <v>116</v>
      </c>
      <c r="N386" s="2">
        <v>122</v>
      </c>
      <c r="O386" t="s">
        <v>29</v>
      </c>
      <c r="P386" t="s">
        <v>58</v>
      </c>
      <c r="Q386" t="s">
        <v>41</v>
      </c>
      <c r="R386" t="s">
        <v>42</v>
      </c>
      <c r="S386" t="s">
        <v>33</v>
      </c>
      <c r="T386" t="s">
        <v>49</v>
      </c>
      <c r="U386" t="s">
        <v>35</v>
      </c>
      <c r="V386" t="s">
        <v>36</v>
      </c>
      <c r="W386" t="s">
        <v>37</v>
      </c>
      <c r="X386" s="24">
        <v>4.918032786885246</v>
      </c>
      <c r="Y386" s="24">
        <v>95.081967213114751</v>
      </c>
      <c r="Z386" t="s">
        <v>40</v>
      </c>
      <c r="AA386" t="s">
        <v>49</v>
      </c>
      <c r="AB386" t="s">
        <v>38</v>
      </c>
      <c r="AC386" s="24">
        <v>6.2400000000000011E-2</v>
      </c>
    </row>
    <row r="387" spans="1:29" x14ac:dyDescent="0.3">
      <c r="A387" s="2">
        <v>132</v>
      </c>
      <c r="B387" s="1">
        <v>40549</v>
      </c>
      <c r="C387" s="2">
        <v>1</v>
      </c>
      <c r="D387" s="2">
        <v>17</v>
      </c>
      <c r="E387" t="b">
        <v>0</v>
      </c>
      <c r="F387" s="2">
        <v>4</v>
      </c>
      <c r="G387" s="2">
        <v>1</v>
      </c>
      <c r="H387" s="23">
        <v>0.22</v>
      </c>
      <c r="I387" s="25">
        <v>0.2273</v>
      </c>
      <c r="J387" s="23">
        <v>0.51</v>
      </c>
      <c r="K387" s="25">
        <v>0.16420000000000001</v>
      </c>
      <c r="L387" s="2">
        <v>9</v>
      </c>
      <c r="M387" s="2">
        <v>163</v>
      </c>
      <c r="N387" s="2">
        <v>172</v>
      </c>
      <c r="O387" t="s">
        <v>29</v>
      </c>
      <c r="P387" t="s">
        <v>58</v>
      </c>
      <c r="Q387" t="s">
        <v>31</v>
      </c>
      <c r="R387" t="s">
        <v>50</v>
      </c>
      <c r="S387" t="s">
        <v>33</v>
      </c>
      <c r="T387" t="s">
        <v>49</v>
      </c>
      <c r="U387" t="s">
        <v>46</v>
      </c>
      <c r="V387" t="s">
        <v>36</v>
      </c>
      <c r="W387" t="s">
        <v>37</v>
      </c>
      <c r="X387" s="24">
        <v>5.2325581395348841</v>
      </c>
      <c r="Y387" s="24">
        <v>94.767441860465112</v>
      </c>
      <c r="Z387" t="s">
        <v>40</v>
      </c>
      <c r="AA387" t="s">
        <v>49</v>
      </c>
      <c r="AB387" t="s">
        <v>38</v>
      </c>
      <c r="AC387" s="24">
        <v>7.3000000000000009E-3</v>
      </c>
    </row>
    <row r="388" spans="1:29" x14ac:dyDescent="0.3">
      <c r="A388" s="2">
        <v>133</v>
      </c>
      <c r="B388" s="1">
        <v>40549</v>
      </c>
      <c r="C388" s="2">
        <v>1</v>
      </c>
      <c r="D388" s="2">
        <v>18</v>
      </c>
      <c r="E388" t="b">
        <v>0</v>
      </c>
      <c r="F388" s="2">
        <v>4</v>
      </c>
      <c r="G388" s="2">
        <v>1</v>
      </c>
      <c r="H388" s="23">
        <v>0.22</v>
      </c>
      <c r="I388" s="25">
        <v>0.2273</v>
      </c>
      <c r="J388" s="23">
        <v>0.51</v>
      </c>
      <c r="K388" s="25">
        <v>0.1343</v>
      </c>
      <c r="L388" s="2">
        <v>5</v>
      </c>
      <c r="M388" s="2">
        <v>158</v>
      </c>
      <c r="N388" s="2">
        <v>163</v>
      </c>
      <c r="O388" t="s">
        <v>29</v>
      </c>
      <c r="P388" t="s">
        <v>58</v>
      </c>
      <c r="Q388" t="s">
        <v>31</v>
      </c>
      <c r="R388" t="s">
        <v>50</v>
      </c>
      <c r="S388" t="s">
        <v>33</v>
      </c>
      <c r="T388" t="s">
        <v>49</v>
      </c>
      <c r="U388" t="s">
        <v>35</v>
      </c>
      <c r="V388" t="s">
        <v>36</v>
      </c>
      <c r="W388" t="s">
        <v>37</v>
      </c>
      <c r="X388" s="24">
        <v>3.0674846625766872</v>
      </c>
      <c r="Y388" s="24">
        <v>96.932515337423311</v>
      </c>
      <c r="Z388" t="s">
        <v>40</v>
      </c>
      <c r="AA388" t="s">
        <v>49</v>
      </c>
      <c r="AB388" t="s">
        <v>38</v>
      </c>
      <c r="AC388" s="24">
        <v>7.3000000000000009E-3</v>
      </c>
    </row>
    <row r="389" spans="1:29" x14ac:dyDescent="0.3">
      <c r="A389" s="2">
        <v>135</v>
      </c>
      <c r="B389" s="1">
        <v>40549</v>
      </c>
      <c r="C389" s="2">
        <v>1</v>
      </c>
      <c r="D389" s="2">
        <v>20</v>
      </c>
      <c r="E389" t="b">
        <v>0</v>
      </c>
      <c r="F389" s="2">
        <v>4</v>
      </c>
      <c r="G389" s="2">
        <v>1</v>
      </c>
      <c r="H389" s="23">
        <v>0.2</v>
      </c>
      <c r="I389" s="25">
        <v>0.21210000000000001</v>
      </c>
      <c r="J389" s="23">
        <v>0.51</v>
      </c>
      <c r="K389" s="25">
        <v>0.16420000000000001</v>
      </c>
      <c r="L389" s="2">
        <v>3</v>
      </c>
      <c r="M389" s="2">
        <v>66</v>
      </c>
      <c r="N389" s="2">
        <v>69</v>
      </c>
      <c r="O389" t="s">
        <v>29</v>
      </c>
      <c r="P389" t="s">
        <v>58</v>
      </c>
      <c r="Q389" t="s">
        <v>31</v>
      </c>
      <c r="R389" t="s">
        <v>50</v>
      </c>
      <c r="S389" t="s">
        <v>33</v>
      </c>
      <c r="T389" t="s">
        <v>49</v>
      </c>
      <c r="U389" t="s">
        <v>46</v>
      </c>
      <c r="V389" t="s">
        <v>36</v>
      </c>
      <c r="W389" t="s">
        <v>37</v>
      </c>
      <c r="X389" s="24">
        <v>4.3478260869565224</v>
      </c>
      <c r="Y389" s="24">
        <v>95.652173913043484</v>
      </c>
      <c r="Z389" t="s">
        <v>38</v>
      </c>
      <c r="AA389" t="s">
        <v>39</v>
      </c>
      <c r="AB389" t="s">
        <v>38</v>
      </c>
      <c r="AC389" s="24">
        <v>1.21E-2</v>
      </c>
    </row>
    <row r="390" spans="1:29" x14ac:dyDescent="0.3">
      <c r="A390" s="2">
        <v>137</v>
      </c>
      <c r="B390" s="1">
        <v>40549</v>
      </c>
      <c r="C390" s="2">
        <v>1</v>
      </c>
      <c r="D390" s="2">
        <v>22</v>
      </c>
      <c r="E390" t="b">
        <v>0</v>
      </c>
      <c r="F390" s="2">
        <v>4</v>
      </c>
      <c r="G390" s="2">
        <v>2</v>
      </c>
      <c r="H390" s="23">
        <v>0.22</v>
      </c>
      <c r="I390" s="25">
        <v>0.21210000000000001</v>
      </c>
      <c r="J390" s="23">
        <v>0.51</v>
      </c>
      <c r="K390" s="25">
        <v>0.28360000000000002</v>
      </c>
      <c r="L390" s="2">
        <v>1</v>
      </c>
      <c r="M390" s="2">
        <v>51</v>
      </c>
      <c r="N390" s="2">
        <v>52</v>
      </c>
      <c r="O390" t="s">
        <v>29</v>
      </c>
      <c r="P390" t="s">
        <v>58</v>
      </c>
      <c r="Q390" t="s">
        <v>41</v>
      </c>
      <c r="R390" t="s">
        <v>32</v>
      </c>
      <c r="S390" t="s">
        <v>33</v>
      </c>
      <c r="T390" t="s">
        <v>49</v>
      </c>
      <c r="U390" t="s">
        <v>46</v>
      </c>
      <c r="V390" t="s">
        <v>36</v>
      </c>
      <c r="W390" t="s">
        <v>37</v>
      </c>
      <c r="X390" s="24">
        <v>1.9230769230769229</v>
      </c>
      <c r="Y390" s="24">
        <v>98.076923076923066</v>
      </c>
      <c r="Z390" t="s">
        <v>38</v>
      </c>
      <c r="AA390" t="s">
        <v>39</v>
      </c>
      <c r="AB390" t="s">
        <v>38</v>
      </c>
      <c r="AC390" s="24">
        <v>-7.8999999999999904E-3</v>
      </c>
    </row>
    <row r="391" spans="1:29" x14ac:dyDescent="0.3">
      <c r="A391" s="2">
        <v>146</v>
      </c>
      <c r="B391" s="1">
        <v>40550</v>
      </c>
      <c r="C391" s="2">
        <v>1</v>
      </c>
      <c r="D391" s="2">
        <v>8</v>
      </c>
      <c r="E391" t="b">
        <v>0</v>
      </c>
      <c r="F391" s="2">
        <v>5</v>
      </c>
      <c r="G391" s="2">
        <v>1</v>
      </c>
      <c r="H391" s="23">
        <v>0.2</v>
      </c>
      <c r="I391" s="25">
        <v>0.19700000000000001</v>
      </c>
      <c r="J391" s="23">
        <v>0.51</v>
      </c>
      <c r="K391" s="25">
        <v>0.25369999999999998</v>
      </c>
      <c r="L391" s="2">
        <v>20</v>
      </c>
      <c r="M391" s="2">
        <v>190</v>
      </c>
      <c r="N391" s="2">
        <v>210</v>
      </c>
      <c r="O391" t="s">
        <v>29</v>
      </c>
      <c r="P391" t="s">
        <v>59</v>
      </c>
      <c r="Q391" t="s">
        <v>31</v>
      </c>
      <c r="R391" t="s">
        <v>42</v>
      </c>
      <c r="S391" t="s">
        <v>33</v>
      </c>
      <c r="T391" t="s">
        <v>49</v>
      </c>
      <c r="U391" t="s">
        <v>46</v>
      </c>
      <c r="V391" t="s">
        <v>36</v>
      </c>
      <c r="W391" t="s">
        <v>37</v>
      </c>
      <c r="X391" s="24">
        <v>9.5238095238095237</v>
      </c>
      <c r="Y391" s="24">
        <v>90.476190476190482</v>
      </c>
      <c r="Z391" t="s">
        <v>40</v>
      </c>
      <c r="AA391" t="s">
        <v>49</v>
      </c>
      <c r="AB391" t="s">
        <v>38</v>
      </c>
      <c r="AC391" s="24">
        <v>-3.0000000000000031E-3</v>
      </c>
    </row>
    <row r="392" spans="1:29" x14ac:dyDescent="0.3">
      <c r="A392" s="2">
        <v>161</v>
      </c>
      <c r="B392" s="1">
        <v>40550</v>
      </c>
      <c r="C392" s="2">
        <v>1</v>
      </c>
      <c r="D392" s="2">
        <v>23</v>
      </c>
      <c r="E392" t="b">
        <v>0</v>
      </c>
      <c r="F392" s="2">
        <v>5</v>
      </c>
      <c r="G392" s="2">
        <v>2</v>
      </c>
      <c r="H392" s="23">
        <v>0.18</v>
      </c>
      <c r="I392" s="25">
        <v>0.19700000000000001</v>
      </c>
      <c r="J392" s="23">
        <v>0.51</v>
      </c>
      <c r="K392" s="25">
        <v>0.16420000000000001</v>
      </c>
      <c r="L392" s="2">
        <v>1</v>
      </c>
      <c r="M392" s="2">
        <v>14</v>
      </c>
      <c r="N392" s="2">
        <v>15</v>
      </c>
      <c r="O392" t="s">
        <v>29</v>
      </c>
      <c r="P392" t="s">
        <v>59</v>
      </c>
      <c r="Q392" t="s">
        <v>41</v>
      </c>
      <c r="R392" t="s">
        <v>32</v>
      </c>
      <c r="S392" t="s">
        <v>33</v>
      </c>
      <c r="T392" t="s">
        <v>49</v>
      </c>
      <c r="U392" t="s">
        <v>46</v>
      </c>
      <c r="V392" t="s">
        <v>36</v>
      </c>
      <c r="W392" t="s">
        <v>37</v>
      </c>
      <c r="X392" s="24">
        <v>6.666666666666667</v>
      </c>
      <c r="Y392" s="24">
        <v>93.333333333333329</v>
      </c>
      <c r="Z392" t="s">
        <v>38</v>
      </c>
      <c r="AA392" t="s">
        <v>39</v>
      </c>
      <c r="AB392" t="s">
        <v>38</v>
      </c>
      <c r="AC392" s="24">
        <v>1.7000000000000019E-2</v>
      </c>
    </row>
    <row r="393" spans="1:29" x14ac:dyDescent="0.3">
      <c r="A393" s="2">
        <v>162</v>
      </c>
      <c r="B393" s="1">
        <v>40551</v>
      </c>
      <c r="C393" s="2">
        <v>1</v>
      </c>
      <c r="D393" s="2">
        <v>0</v>
      </c>
      <c r="E393" t="b">
        <v>0</v>
      </c>
      <c r="F393" s="2">
        <v>6</v>
      </c>
      <c r="G393" s="2">
        <v>2</v>
      </c>
      <c r="H393" s="23">
        <v>0.18</v>
      </c>
      <c r="I393" s="25">
        <v>0.19700000000000001</v>
      </c>
      <c r="J393" s="23">
        <v>0.51</v>
      </c>
      <c r="K393" s="25">
        <v>0.16420000000000001</v>
      </c>
      <c r="L393" s="2">
        <v>1</v>
      </c>
      <c r="M393" s="2">
        <v>24</v>
      </c>
      <c r="N393" s="2">
        <v>25</v>
      </c>
      <c r="O393" t="s">
        <v>29</v>
      </c>
      <c r="P393" t="s">
        <v>30</v>
      </c>
      <c r="Q393" t="s">
        <v>41</v>
      </c>
      <c r="R393" t="s">
        <v>32</v>
      </c>
      <c r="S393" t="s">
        <v>33</v>
      </c>
      <c r="T393" t="s">
        <v>49</v>
      </c>
      <c r="U393" t="s">
        <v>46</v>
      </c>
      <c r="V393" t="s">
        <v>36</v>
      </c>
      <c r="W393" t="s">
        <v>37</v>
      </c>
      <c r="X393" s="24">
        <v>4</v>
      </c>
      <c r="Y393" s="24">
        <v>96</v>
      </c>
      <c r="Z393" t="s">
        <v>38</v>
      </c>
      <c r="AA393" t="s">
        <v>39</v>
      </c>
      <c r="AB393" t="s">
        <v>40</v>
      </c>
      <c r="AC393" s="24">
        <v>1.7000000000000019E-2</v>
      </c>
    </row>
    <row r="394" spans="1:29" x14ac:dyDescent="0.3">
      <c r="A394" s="2">
        <v>393</v>
      </c>
      <c r="B394" s="1">
        <v>40560</v>
      </c>
      <c r="C394" s="2">
        <v>1</v>
      </c>
      <c r="D394" s="2">
        <v>20</v>
      </c>
      <c r="E394" t="b">
        <v>1</v>
      </c>
      <c r="F394" s="2">
        <v>1</v>
      </c>
      <c r="G394" s="2">
        <v>3</v>
      </c>
      <c r="H394" s="23">
        <v>0.16</v>
      </c>
      <c r="I394" s="25">
        <v>0.1515</v>
      </c>
      <c r="J394" s="23">
        <v>0.8</v>
      </c>
      <c r="K394" s="25">
        <v>0.19400000000000001</v>
      </c>
      <c r="L394" s="2">
        <v>4</v>
      </c>
      <c r="M394" s="2">
        <v>29</v>
      </c>
      <c r="N394" s="2">
        <v>33</v>
      </c>
      <c r="O394" t="s">
        <v>29</v>
      </c>
      <c r="P394" t="s">
        <v>54</v>
      </c>
      <c r="Q394" t="s">
        <v>51</v>
      </c>
      <c r="R394" t="s">
        <v>50</v>
      </c>
      <c r="S394" t="s">
        <v>33</v>
      </c>
      <c r="T394" t="s">
        <v>34</v>
      </c>
      <c r="U394" t="s">
        <v>46</v>
      </c>
      <c r="V394" t="s">
        <v>60</v>
      </c>
      <c r="W394" t="s">
        <v>37</v>
      </c>
      <c r="X394" s="24">
        <v>12.121212121212119</v>
      </c>
      <c r="Y394" s="24">
        <v>87.878787878787875</v>
      </c>
      <c r="Z394" t="s">
        <v>38</v>
      </c>
      <c r="AA394" t="s">
        <v>39</v>
      </c>
      <c r="AB394" t="s">
        <v>38</v>
      </c>
      <c r="AC394" s="24">
        <v>-8.5000000000000075E-3</v>
      </c>
    </row>
    <row r="395" spans="1:29" x14ac:dyDescent="0.3">
      <c r="A395" s="2">
        <v>394</v>
      </c>
      <c r="B395" s="1">
        <v>40560</v>
      </c>
      <c r="C395" s="2">
        <v>1</v>
      </c>
      <c r="D395" s="2">
        <v>21</v>
      </c>
      <c r="E395" t="b">
        <v>1</v>
      </c>
      <c r="F395" s="2">
        <v>1</v>
      </c>
      <c r="G395" s="2">
        <v>3</v>
      </c>
      <c r="H395" s="23">
        <v>0.16</v>
      </c>
      <c r="I395" s="25">
        <v>0.1515</v>
      </c>
      <c r="J395" s="23">
        <v>0.8</v>
      </c>
      <c r="K395" s="25">
        <v>0.19400000000000001</v>
      </c>
      <c r="L395" s="2">
        <v>3</v>
      </c>
      <c r="M395" s="2">
        <v>24</v>
      </c>
      <c r="N395" s="2">
        <v>27</v>
      </c>
      <c r="O395" t="s">
        <v>29</v>
      </c>
      <c r="P395" t="s">
        <v>54</v>
      </c>
      <c r="Q395" t="s">
        <v>51</v>
      </c>
      <c r="R395" t="s">
        <v>32</v>
      </c>
      <c r="S395" t="s">
        <v>33</v>
      </c>
      <c r="T395" t="s">
        <v>34</v>
      </c>
      <c r="U395" t="s">
        <v>46</v>
      </c>
      <c r="V395" t="s">
        <v>60</v>
      </c>
      <c r="W395" t="s">
        <v>37</v>
      </c>
      <c r="X395" s="24">
        <v>11.111111111111111</v>
      </c>
      <c r="Y395" s="24">
        <v>88.888888888888886</v>
      </c>
      <c r="Z395" t="s">
        <v>38</v>
      </c>
      <c r="AA395" t="s">
        <v>39</v>
      </c>
      <c r="AB395" t="s">
        <v>38</v>
      </c>
      <c r="AC395" s="24">
        <v>-8.5000000000000075E-3</v>
      </c>
    </row>
    <row r="396" spans="1:29" x14ac:dyDescent="0.3">
      <c r="A396" s="2">
        <v>395</v>
      </c>
      <c r="B396" s="1">
        <v>40560</v>
      </c>
      <c r="C396" s="2">
        <v>1</v>
      </c>
      <c r="D396" s="2">
        <v>22</v>
      </c>
      <c r="E396" t="b">
        <v>1</v>
      </c>
      <c r="F396" s="2">
        <v>1</v>
      </c>
      <c r="G396" s="2">
        <v>3</v>
      </c>
      <c r="H396" s="23">
        <v>0.14000000000000001</v>
      </c>
      <c r="I396" s="25">
        <v>0.1212</v>
      </c>
      <c r="J396" s="23">
        <v>0.93</v>
      </c>
      <c r="K396" s="25">
        <v>0.25369999999999998</v>
      </c>
      <c r="L396" s="2">
        <v>0</v>
      </c>
      <c r="M396" s="2">
        <v>13</v>
      </c>
      <c r="N396" s="2">
        <v>13</v>
      </c>
      <c r="O396" t="s">
        <v>29</v>
      </c>
      <c r="P396" t="s">
        <v>54</v>
      </c>
      <c r="Q396" t="s">
        <v>51</v>
      </c>
      <c r="R396" t="s">
        <v>32</v>
      </c>
      <c r="S396" t="s">
        <v>55</v>
      </c>
      <c r="T396" t="s">
        <v>34</v>
      </c>
      <c r="U396" t="s">
        <v>46</v>
      </c>
      <c r="V396" t="s">
        <v>60</v>
      </c>
      <c r="W396" t="s">
        <v>37</v>
      </c>
      <c r="X396" s="24">
        <v>0</v>
      </c>
      <c r="Y396" s="24">
        <v>100</v>
      </c>
      <c r="Z396" t="s">
        <v>38</v>
      </c>
      <c r="AA396" t="s">
        <v>39</v>
      </c>
      <c r="AB396" t="s">
        <v>38</v>
      </c>
      <c r="AC396" s="24">
        <v>-1.8800000000000011E-2</v>
      </c>
    </row>
    <row r="397" spans="1:29" x14ac:dyDescent="0.3">
      <c r="A397" s="2">
        <v>396</v>
      </c>
      <c r="B397" s="1">
        <v>40560</v>
      </c>
      <c r="C397" s="2">
        <v>1</v>
      </c>
      <c r="D397" s="2">
        <v>23</v>
      </c>
      <c r="E397" t="b">
        <v>1</v>
      </c>
      <c r="F397" s="2">
        <v>1</v>
      </c>
      <c r="G397" s="2">
        <v>3</v>
      </c>
      <c r="H397" s="23">
        <v>0.16</v>
      </c>
      <c r="I397" s="25">
        <v>0.13639999999999999</v>
      </c>
      <c r="J397" s="23">
        <v>0.86</v>
      </c>
      <c r="K397" s="25">
        <v>0.28360000000000002</v>
      </c>
      <c r="L397" s="2">
        <v>1</v>
      </c>
      <c r="M397" s="2">
        <v>3</v>
      </c>
      <c r="N397" s="2">
        <v>4</v>
      </c>
      <c r="O397" t="s">
        <v>29</v>
      </c>
      <c r="P397" t="s">
        <v>54</v>
      </c>
      <c r="Q397" t="s">
        <v>51</v>
      </c>
      <c r="R397" t="s">
        <v>32</v>
      </c>
      <c r="S397" t="s">
        <v>33</v>
      </c>
      <c r="T397" t="s">
        <v>34</v>
      </c>
      <c r="U397" t="s">
        <v>46</v>
      </c>
      <c r="V397" t="s">
        <v>60</v>
      </c>
      <c r="W397" t="s">
        <v>37</v>
      </c>
      <c r="X397" s="24">
        <v>25</v>
      </c>
      <c r="Y397" s="24">
        <v>75</v>
      </c>
      <c r="Z397" t="s">
        <v>38</v>
      </c>
      <c r="AA397" t="s">
        <v>39</v>
      </c>
      <c r="AB397" t="s">
        <v>38</v>
      </c>
      <c r="AC397" s="24">
        <v>-2.360000000000001E-2</v>
      </c>
    </row>
    <row r="398" spans="1:29" x14ac:dyDescent="0.3">
      <c r="A398" s="2">
        <v>397</v>
      </c>
      <c r="B398" s="1">
        <v>40561</v>
      </c>
      <c r="C398" s="2">
        <v>1</v>
      </c>
      <c r="D398" s="2">
        <v>12</v>
      </c>
      <c r="E398" t="b">
        <v>0</v>
      </c>
      <c r="F398" s="2">
        <v>2</v>
      </c>
      <c r="G398" s="2">
        <v>2</v>
      </c>
      <c r="H398" s="23">
        <v>0.2</v>
      </c>
      <c r="I398" s="25">
        <v>0.18179999999999999</v>
      </c>
      <c r="J398" s="23">
        <v>0.86</v>
      </c>
      <c r="K398" s="25">
        <v>0.32840000000000003</v>
      </c>
      <c r="L398" s="2">
        <v>0</v>
      </c>
      <c r="M398" s="2">
        <v>3</v>
      </c>
      <c r="N398" s="2">
        <v>3</v>
      </c>
      <c r="O398" t="s">
        <v>29</v>
      </c>
      <c r="P398" t="s">
        <v>56</v>
      </c>
      <c r="Q398" t="s">
        <v>41</v>
      </c>
      <c r="R398" t="s">
        <v>47</v>
      </c>
      <c r="S398" t="s">
        <v>33</v>
      </c>
      <c r="T398" t="s">
        <v>34</v>
      </c>
      <c r="U398" t="s">
        <v>53</v>
      </c>
      <c r="V398" t="s">
        <v>36</v>
      </c>
      <c r="W398" t="s">
        <v>37</v>
      </c>
      <c r="X398" s="24">
        <v>0</v>
      </c>
      <c r="Y398" s="24">
        <v>100</v>
      </c>
      <c r="Z398" t="s">
        <v>38</v>
      </c>
      <c r="AA398" t="s">
        <v>39</v>
      </c>
      <c r="AB398" t="s">
        <v>38</v>
      </c>
      <c r="AC398" s="24">
        <v>-1.8200000000000022E-2</v>
      </c>
    </row>
    <row r="399" spans="1:29" x14ac:dyDescent="0.3">
      <c r="A399" s="2">
        <v>398</v>
      </c>
      <c r="B399" s="1">
        <v>40561</v>
      </c>
      <c r="C399" s="2">
        <v>1</v>
      </c>
      <c r="D399" s="2">
        <v>13</v>
      </c>
      <c r="E399" t="b">
        <v>0</v>
      </c>
      <c r="F399" s="2">
        <v>2</v>
      </c>
      <c r="G399" s="2">
        <v>2</v>
      </c>
      <c r="H399" s="23">
        <v>0.2</v>
      </c>
      <c r="I399" s="25">
        <v>0.19700000000000001</v>
      </c>
      <c r="J399" s="23">
        <v>0.86</v>
      </c>
      <c r="K399" s="25">
        <v>0.22389999999999999</v>
      </c>
      <c r="L399" s="2">
        <v>0</v>
      </c>
      <c r="M399" s="2">
        <v>22</v>
      </c>
      <c r="N399" s="2">
        <v>22</v>
      </c>
      <c r="O399" t="s">
        <v>29</v>
      </c>
      <c r="P399" t="s">
        <v>56</v>
      </c>
      <c r="Q399" t="s">
        <v>41</v>
      </c>
      <c r="R399" t="s">
        <v>47</v>
      </c>
      <c r="S399" t="s">
        <v>33</v>
      </c>
      <c r="T399" t="s">
        <v>34</v>
      </c>
      <c r="U399" t="s">
        <v>46</v>
      </c>
      <c r="V399" t="s">
        <v>36</v>
      </c>
      <c r="W399" t="s">
        <v>37</v>
      </c>
      <c r="X399" s="24">
        <v>0</v>
      </c>
      <c r="Y399" s="24">
        <v>100</v>
      </c>
      <c r="Z399" t="s">
        <v>38</v>
      </c>
      <c r="AA399" t="s">
        <v>39</v>
      </c>
      <c r="AB399" t="s">
        <v>38</v>
      </c>
      <c r="AC399" s="24">
        <v>-3.0000000000000031E-3</v>
      </c>
    </row>
    <row r="400" spans="1:29" x14ac:dyDescent="0.3">
      <c r="A400" s="2">
        <v>399</v>
      </c>
      <c r="B400" s="1">
        <v>40561</v>
      </c>
      <c r="C400" s="2">
        <v>1</v>
      </c>
      <c r="D400" s="2">
        <v>14</v>
      </c>
      <c r="E400" t="b">
        <v>0</v>
      </c>
      <c r="F400" s="2">
        <v>2</v>
      </c>
      <c r="G400" s="2">
        <v>2</v>
      </c>
      <c r="H400" s="23">
        <v>0.22</v>
      </c>
      <c r="I400" s="25">
        <v>0.2273</v>
      </c>
      <c r="J400" s="23">
        <v>0.8</v>
      </c>
      <c r="K400" s="25">
        <v>0.16420000000000001</v>
      </c>
      <c r="L400" s="2">
        <v>2</v>
      </c>
      <c r="M400" s="2">
        <v>26</v>
      </c>
      <c r="N400" s="2">
        <v>28</v>
      </c>
      <c r="O400" t="s">
        <v>29</v>
      </c>
      <c r="P400" t="s">
        <v>56</v>
      </c>
      <c r="Q400" t="s">
        <v>41</v>
      </c>
      <c r="R400" t="s">
        <v>47</v>
      </c>
      <c r="S400" t="s">
        <v>33</v>
      </c>
      <c r="T400" t="s">
        <v>34</v>
      </c>
      <c r="U400" t="s">
        <v>46</v>
      </c>
      <c r="V400" t="s">
        <v>36</v>
      </c>
      <c r="W400" t="s">
        <v>37</v>
      </c>
      <c r="X400" s="24">
        <v>7.1428571428571423</v>
      </c>
      <c r="Y400" s="24">
        <v>92.857142857142861</v>
      </c>
      <c r="Z400" t="s">
        <v>38</v>
      </c>
      <c r="AA400" t="s">
        <v>39</v>
      </c>
      <c r="AB400" t="s">
        <v>38</v>
      </c>
      <c r="AC400" s="24">
        <v>7.3000000000000009E-3</v>
      </c>
    </row>
    <row r="401" spans="1:29" x14ac:dyDescent="0.3">
      <c r="A401" s="2">
        <v>400</v>
      </c>
      <c r="B401" s="1">
        <v>40561</v>
      </c>
      <c r="C401" s="2">
        <v>1</v>
      </c>
      <c r="D401" s="2">
        <v>15</v>
      </c>
      <c r="E401" t="b">
        <v>0</v>
      </c>
      <c r="F401" s="2">
        <v>2</v>
      </c>
      <c r="G401" s="2">
        <v>2</v>
      </c>
      <c r="H401" s="23">
        <v>0.22</v>
      </c>
      <c r="I401" s="25">
        <v>0.2273</v>
      </c>
      <c r="J401" s="23">
        <v>0.87</v>
      </c>
      <c r="K401" s="25">
        <v>0.16420000000000001</v>
      </c>
      <c r="L401" s="2">
        <v>3</v>
      </c>
      <c r="M401" s="2">
        <v>32</v>
      </c>
      <c r="N401" s="2">
        <v>35</v>
      </c>
      <c r="O401" t="s">
        <v>29</v>
      </c>
      <c r="P401" t="s">
        <v>56</v>
      </c>
      <c r="Q401" t="s">
        <v>41</v>
      </c>
      <c r="R401" t="s">
        <v>47</v>
      </c>
      <c r="S401" t="s">
        <v>33</v>
      </c>
      <c r="T401" t="s">
        <v>34</v>
      </c>
      <c r="U401" t="s">
        <v>46</v>
      </c>
      <c r="V401" t="s">
        <v>36</v>
      </c>
      <c r="W401" t="s">
        <v>37</v>
      </c>
      <c r="X401" s="24">
        <v>8.5714285714285712</v>
      </c>
      <c r="Y401" s="24">
        <v>91.428571428571431</v>
      </c>
      <c r="Z401" t="s">
        <v>38</v>
      </c>
      <c r="AA401" t="s">
        <v>39</v>
      </c>
      <c r="AB401" t="s">
        <v>38</v>
      </c>
      <c r="AC401" s="24">
        <v>7.3000000000000009E-3</v>
      </c>
    </row>
    <row r="402" spans="1:29" x14ac:dyDescent="0.3">
      <c r="A402" s="2">
        <v>401</v>
      </c>
      <c r="B402" s="1">
        <v>40561</v>
      </c>
      <c r="C402" s="2">
        <v>1</v>
      </c>
      <c r="D402" s="2">
        <v>16</v>
      </c>
      <c r="E402" t="b">
        <v>0</v>
      </c>
      <c r="F402" s="2">
        <v>2</v>
      </c>
      <c r="G402" s="2">
        <v>2</v>
      </c>
      <c r="H402" s="23">
        <v>0.22</v>
      </c>
      <c r="I402" s="25">
        <v>0.2273</v>
      </c>
      <c r="J402" s="23">
        <v>0.87</v>
      </c>
      <c r="K402" s="25">
        <v>0.19400000000000001</v>
      </c>
      <c r="L402" s="2">
        <v>0</v>
      </c>
      <c r="M402" s="2">
        <v>61</v>
      </c>
      <c r="N402" s="2">
        <v>61</v>
      </c>
      <c r="O402" t="s">
        <v>29</v>
      </c>
      <c r="P402" t="s">
        <v>56</v>
      </c>
      <c r="Q402" t="s">
        <v>41</v>
      </c>
      <c r="R402" t="s">
        <v>47</v>
      </c>
      <c r="S402" t="s">
        <v>33</v>
      </c>
      <c r="T402" t="s">
        <v>34</v>
      </c>
      <c r="U402" t="s">
        <v>46</v>
      </c>
      <c r="V402" t="s">
        <v>36</v>
      </c>
      <c r="W402" t="s">
        <v>37</v>
      </c>
      <c r="X402" s="24">
        <v>0</v>
      </c>
      <c r="Y402" s="24">
        <v>100</v>
      </c>
      <c r="Z402" t="s">
        <v>38</v>
      </c>
      <c r="AA402" t="s">
        <v>39</v>
      </c>
      <c r="AB402" t="s">
        <v>38</v>
      </c>
      <c r="AC402" s="24">
        <v>7.3000000000000009E-3</v>
      </c>
    </row>
    <row r="403" spans="1:29" x14ac:dyDescent="0.3">
      <c r="A403" s="2">
        <v>402</v>
      </c>
      <c r="B403" s="1">
        <v>40561</v>
      </c>
      <c r="C403" s="2">
        <v>1</v>
      </c>
      <c r="D403" s="2">
        <v>17</v>
      </c>
      <c r="E403" t="b">
        <v>0</v>
      </c>
      <c r="F403" s="2">
        <v>2</v>
      </c>
      <c r="G403" s="2">
        <v>2</v>
      </c>
      <c r="H403" s="23">
        <v>0.22</v>
      </c>
      <c r="I403" s="25">
        <v>0.2273</v>
      </c>
      <c r="J403" s="23">
        <v>0.82</v>
      </c>
      <c r="K403" s="25">
        <v>0.19400000000000001</v>
      </c>
      <c r="L403" s="2">
        <v>1</v>
      </c>
      <c r="M403" s="2">
        <v>124</v>
      </c>
      <c r="N403" s="2">
        <v>125</v>
      </c>
      <c r="O403" t="s">
        <v>29</v>
      </c>
      <c r="P403" t="s">
        <v>56</v>
      </c>
      <c r="Q403" t="s">
        <v>41</v>
      </c>
      <c r="R403" t="s">
        <v>50</v>
      </c>
      <c r="S403" t="s">
        <v>33</v>
      </c>
      <c r="T403" t="s">
        <v>34</v>
      </c>
      <c r="U403" t="s">
        <v>46</v>
      </c>
      <c r="V403" t="s">
        <v>36</v>
      </c>
      <c r="W403" t="s">
        <v>37</v>
      </c>
      <c r="X403" s="24">
        <v>0.8</v>
      </c>
      <c r="Y403" s="24">
        <v>99.2</v>
      </c>
      <c r="Z403" t="s">
        <v>40</v>
      </c>
      <c r="AA403" t="s">
        <v>49</v>
      </c>
      <c r="AB403" t="s">
        <v>38</v>
      </c>
      <c r="AC403" s="24">
        <v>7.3000000000000009E-3</v>
      </c>
    </row>
    <row r="404" spans="1:29" x14ac:dyDescent="0.3">
      <c r="A404" s="2">
        <v>403</v>
      </c>
      <c r="B404" s="1">
        <v>40561</v>
      </c>
      <c r="C404" s="2">
        <v>1</v>
      </c>
      <c r="D404" s="2">
        <v>18</v>
      </c>
      <c r="E404" t="b">
        <v>0</v>
      </c>
      <c r="F404" s="2">
        <v>2</v>
      </c>
      <c r="G404" s="2">
        <v>2</v>
      </c>
      <c r="H404" s="23">
        <v>0.22</v>
      </c>
      <c r="I404" s="25">
        <v>0.2273</v>
      </c>
      <c r="J404" s="23">
        <v>0.8</v>
      </c>
      <c r="K404" s="25">
        <v>0.16420000000000001</v>
      </c>
      <c r="L404" s="2">
        <v>1</v>
      </c>
      <c r="M404" s="2">
        <v>132</v>
      </c>
      <c r="N404" s="2">
        <v>133</v>
      </c>
      <c r="O404" t="s">
        <v>29</v>
      </c>
      <c r="P404" t="s">
        <v>56</v>
      </c>
      <c r="Q404" t="s">
        <v>41</v>
      </c>
      <c r="R404" t="s">
        <v>50</v>
      </c>
      <c r="S404" t="s">
        <v>33</v>
      </c>
      <c r="T404" t="s">
        <v>34</v>
      </c>
      <c r="U404" t="s">
        <v>46</v>
      </c>
      <c r="V404" t="s">
        <v>36</v>
      </c>
      <c r="W404" t="s">
        <v>37</v>
      </c>
      <c r="X404" s="24">
        <v>0.75187969924812026</v>
      </c>
      <c r="Y404" s="24">
        <v>99.248120300751879</v>
      </c>
      <c r="Z404" t="s">
        <v>40</v>
      </c>
      <c r="AA404" t="s">
        <v>49</v>
      </c>
      <c r="AB404" t="s">
        <v>38</v>
      </c>
      <c r="AC404" s="24">
        <v>7.3000000000000009E-3</v>
      </c>
    </row>
    <row r="405" spans="1:29" x14ac:dyDescent="0.3">
      <c r="A405" s="2">
        <v>404</v>
      </c>
      <c r="B405" s="1">
        <v>40561</v>
      </c>
      <c r="C405" s="2">
        <v>1</v>
      </c>
      <c r="D405" s="2">
        <v>19</v>
      </c>
      <c r="E405" t="b">
        <v>0</v>
      </c>
      <c r="F405" s="2">
        <v>2</v>
      </c>
      <c r="G405" s="2">
        <v>2</v>
      </c>
      <c r="H405" s="23">
        <v>0.22</v>
      </c>
      <c r="I405" s="25">
        <v>0.2273</v>
      </c>
      <c r="J405" s="23">
        <v>0.8</v>
      </c>
      <c r="K405" s="25">
        <v>0.1343</v>
      </c>
      <c r="L405" s="2">
        <v>1</v>
      </c>
      <c r="M405" s="2">
        <v>98</v>
      </c>
      <c r="N405" s="2">
        <v>99</v>
      </c>
      <c r="O405" t="s">
        <v>29</v>
      </c>
      <c r="P405" t="s">
        <v>56</v>
      </c>
      <c r="Q405" t="s">
        <v>41</v>
      </c>
      <c r="R405" t="s">
        <v>50</v>
      </c>
      <c r="S405" t="s">
        <v>33</v>
      </c>
      <c r="T405" t="s">
        <v>34</v>
      </c>
      <c r="U405" t="s">
        <v>35</v>
      </c>
      <c r="V405" t="s">
        <v>36</v>
      </c>
      <c r="W405" t="s">
        <v>37</v>
      </c>
      <c r="X405" s="24">
        <v>1.0101010101010099</v>
      </c>
      <c r="Y405" s="24">
        <v>98.98989898989899</v>
      </c>
      <c r="Z405" t="s">
        <v>40</v>
      </c>
      <c r="AA405" t="s">
        <v>39</v>
      </c>
      <c r="AB405" t="s">
        <v>38</v>
      </c>
      <c r="AC405" s="24">
        <v>7.3000000000000009E-3</v>
      </c>
    </row>
    <row r="406" spans="1:29" x14ac:dyDescent="0.3">
      <c r="A406" s="2">
        <v>405</v>
      </c>
      <c r="B406" s="1">
        <v>40561</v>
      </c>
      <c r="C406" s="2">
        <v>1</v>
      </c>
      <c r="D406" s="2">
        <v>20</v>
      </c>
      <c r="E406" t="b">
        <v>0</v>
      </c>
      <c r="F406" s="2">
        <v>2</v>
      </c>
      <c r="G406" s="2">
        <v>2</v>
      </c>
      <c r="H406" s="23">
        <v>0.22</v>
      </c>
      <c r="I406" s="25">
        <v>0.2727</v>
      </c>
      <c r="J406" s="23">
        <v>0.87</v>
      </c>
      <c r="K406" s="25">
        <v>0</v>
      </c>
      <c r="L406" s="2">
        <v>0</v>
      </c>
      <c r="M406" s="2">
        <v>83</v>
      </c>
      <c r="N406" s="2">
        <v>83</v>
      </c>
      <c r="O406" t="s">
        <v>29</v>
      </c>
      <c r="P406" t="s">
        <v>56</v>
      </c>
      <c r="Q406" t="s">
        <v>41</v>
      </c>
      <c r="R406" t="s">
        <v>50</v>
      </c>
      <c r="S406" t="s">
        <v>33</v>
      </c>
      <c r="T406" t="s">
        <v>34</v>
      </c>
      <c r="U406" t="s">
        <v>35</v>
      </c>
      <c r="V406" t="s">
        <v>36</v>
      </c>
      <c r="W406" t="s">
        <v>37</v>
      </c>
      <c r="X406" s="24">
        <v>0</v>
      </c>
      <c r="Y406" s="24">
        <v>100</v>
      </c>
      <c r="Z406" t="s">
        <v>38</v>
      </c>
      <c r="AA406" t="s">
        <v>39</v>
      </c>
      <c r="AB406" t="s">
        <v>38</v>
      </c>
      <c r="AC406" s="24">
        <v>5.2699999999999997E-2</v>
      </c>
    </row>
    <row r="407" spans="1:29" x14ac:dyDescent="0.3">
      <c r="A407" s="2">
        <v>406</v>
      </c>
      <c r="B407" s="1">
        <v>40561</v>
      </c>
      <c r="C407" s="2">
        <v>1</v>
      </c>
      <c r="D407" s="2">
        <v>21</v>
      </c>
      <c r="E407" t="b">
        <v>0</v>
      </c>
      <c r="F407" s="2">
        <v>2</v>
      </c>
      <c r="G407" s="2">
        <v>2</v>
      </c>
      <c r="H407" s="23">
        <v>0.22</v>
      </c>
      <c r="I407" s="25">
        <v>0.2424</v>
      </c>
      <c r="J407" s="23">
        <v>0.93</v>
      </c>
      <c r="K407" s="25">
        <v>0.1045</v>
      </c>
      <c r="L407" s="2">
        <v>0</v>
      </c>
      <c r="M407" s="2">
        <v>41</v>
      </c>
      <c r="N407" s="2">
        <v>41</v>
      </c>
      <c r="O407" t="s">
        <v>29</v>
      </c>
      <c r="P407" t="s">
        <v>56</v>
      </c>
      <c r="Q407" t="s">
        <v>41</v>
      </c>
      <c r="R407" t="s">
        <v>32</v>
      </c>
      <c r="S407" t="s">
        <v>33</v>
      </c>
      <c r="T407" t="s">
        <v>34</v>
      </c>
      <c r="U407" t="s">
        <v>35</v>
      </c>
      <c r="V407" t="s">
        <v>36</v>
      </c>
      <c r="W407" t="s">
        <v>37</v>
      </c>
      <c r="X407" s="24">
        <v>0</v>
      </c>
      <c r="Y407" s="24">
        <v>100</v>
      </c>
      <c r="Z407" t="s">
        <v>38</v>
      </c>
      <c r="AA407" t="s">
        <v>39</v>
      </c>
      <c r="AB407" t="s">
        <v>38</v>
      </c>
      <c r="AC407" s="24">
        <v>2.24E-2</v>
      </c>
    </row>
    <row r="408" spans="1:29" x14ac:dyDescent="0.3">
      <c r="A408" s="2">
        <v>407</v>
      </c>
      <c r="B408" s="1">
        <v>40561</v>
      </c>
      <c r="C408" s="2">
        <v>1</v>
      </c>
      <c r="D408" s="2">
        <v>22</v>
      </c>
      <c r="E408" t="b">
        <v>0</v>
      </c>
      <c r="F408" s="2">
        <v>2</v>
      </c>
      <c r="G408" s="2">
        <v>2</v>
      </c>
      <c r="H408" s="23">
        <v>0.22</v>
      </c>
      <c r="I408" s="25">
        <v>0.2576</v>
      </c>
      <c r="J408" s="23">
        <v>0.93</v>
      </c>
      <c r="K408" s="25">
        <v>8.9599999999999999E-2</v>
      </c>
      <c r="L408" s="2">
        <v>0</v>
      </c>
      <c r="M408" s="2">
        <v>33</v>
      </c>
      <c r="N408" s="2">
        <v>33</v>
      </c>
      <c r="O408" t="s">
        <v>29</v>
      </c>
      <c r="P408" t="s">
        <v>56</v>
      </c>
      <c r="Q408" t="s">
        <v>41</v>
      </c>
      <c r="R408" t="s">
        <v>32</v>
      </c>
      <c r="S408" t="s">
        <v>33</v>
      </c>
      <c r="T408" t="s">
        <v>34</v>
      </c>
      <c r="U408" t="s">
        <v>35</v>
      </c>
      <c r="V408" t="s">
        <v>36</v>
      </c>
      <c r="W408" t="s">
        <v>37</v>
      </c>
      <c r="X408" s="24">
        <v>0</v>
      </c>
      <c r="Y408" s="24">
        <v>100</v>
      </c>
      <c r="Z408" t="s">
        <v>38</v>
      </c>
      <c r="AA408" t="s">
        <v>39</v>
      </c>
      <c r="AB408" t="s">
        <v>38</v>
      </c>
      <c r="AC408" s="24">
        <v>3.7599999999999988E-2</v>
      </c>
    </row>
    <row r="409" spans="1:29" x14ac:dyDescent="0.3">
      <c r="A409" s="2">
        <v>408</v>
      </c>
      <c r="B409" s="1">
        <v>40561</v>
      </c>
      <c r="C409" s="2">
        <v>1</v>
      </c>
      <c r="D409" s="2">
        <v>23</v>
      </c>
      <c r="E409" t="b">
        <v>0</v>
      </c>
      <c r="F409" s="2">
        <v>2</v>
      </c>
      <c r="G409" s="2">
        <v>2</v>
      </c>
      <c r="H409" s="23">
        <v>0.22</v>
      </c>
      <c r="I409" s="25">
        <v>0.2727</v>
      </c>
      <c r="J409" s="23">
        <v>0.93</v>
      </c>
      <c r="K409" s="25">
        <v>0</v>
      </c>
      <c r="L409" s="2">
        <v>1</v>
      </c>
      <c r="M409" s="2">
        <v>19</v>
      </c>
      <c r="N409" s="2">
        <v>20</v>
      </c>
      <c r="O409" t="s">
        <v>29</v>
      </c>
      <c r="P409" t="s">
        <v>56</v>
      </c>
      <c r="Q409" t="s">
        <v>41</v>
      </c>
      <c r="R409" t="s">
        <v>32</v>
      </c>
      <c r="S409" t="s">
        <v>33</v>
      </c>
      <c r="T409" t="s">
        <v>34</v>
      </c>
      <c r="U409" t="s">
        <v>35</v>
      </c>
      <c r="V409" t="s">
        <v>36</v>
      </c>
      <c r="W409" t="s">
        <v>37</v>
      </c>
      <c r="X409" s="24">
        <v>5</v>
      </c>
      <c r="Y409" s="24">
        <v>95</v>
      </c>
      <c r="Z409" t="s">
        <v>38</v>
      </c>
      <c r="AA409" t="s">
        <v>39</v>
      </c>
      <c r="AB409" t="s">
        <v>38</v>
      </c>
      <c r="AC409" s="24">
        <v>5.2699999999999997E-2</v>
      </c>
    </row>
    <row r="410" spans="1:29" x14ac:dyDescent="0.3">
      <c r="A410" s="2">
        <v>409</v>
      </c>
      <c r="B410" s="1">
        <v>40562</v>
      </c>
      <c r="C410" s="2">
        <v>1</v>
      </c>
      <c r="D410" s="2">
        <v>0</v>
      </c>
      <c r="E410" t="b">
        <v>0</v>
      </c>
      <c r="F410" s="2">
        <v>3</v>
      </c>
      <c r="G410" s="2">
        <v>2</v>
      </c>
      <c r="H410" s="23">
        <v>0.22</v>
      </c>
      <c r="I410" s="25">
        <v>0.2727</v>
      </c>
      <c r="J410" s="23">
        <v>0.93</v>
      </c>
      <c r="K410" s="25">
        <v>0</v>
      </c>
      <c r="L410" s="2">
        <v>0</v>
      </c>
      <c r="M410" s="2">
        <v>3</v>
      </c>
      <c r="N410" s="2">
        <v>3</v>
      </c>
      <c r="O410" t="s">
        <v>29</v>
      </c>
      <c r="P410" t="s">
        <v>57</v>
      </c>
      <c r="Q410" t="s">
        <v>41</v>
      </c>
      <c r="R410" t="s">
        <v>32</v>
      </c>
      <c r="S410" t="s">
        <v>33</v>
      </c>
      <c r="T410" t="s">
        <v>34</v>
      </c>
      <c r="U410" t="s">
        <v>35</v>
      </c>
      <c r="V410" t="s">
        <v>36</v>
      </c>
      <c r="W410" t="s">
        <v>37</v>
      </c>
      <c r="X410" s="24">
        <v>0</v>
      </c>
      <c r="Y410" s="24">
        <v>100</v>
      </c>
      <c r="Z410" t="s">
        <v>38</v>
      </c>
      <c r="AA410" t="s">
        <v>39</v>
      </c>
      <c r="AB410" t="s">
        <v>38</v>
      </c>
      <c r="AC410" s="24">
        <v>5.2699999999999997E-2</v>
      </c>
    </row>
    <row r="411" spans="1:29" x14ac:dyDescent="0.3">
      <c r="A411" s="2">
        <v>410</v>
      </c>
      <c r="B411" s="1">
        <v>40562</v>
      </c>
      <c r="C411" s="2">
        <v>1</v>
      </c>
      <c r="D411" s="2">
        <v>1</v>
      </c>
      <c r="E411" t="b">
        <v>0</v>
      </c>
      <c r="F411" s="2">
        <v>3</v>
      </c>
      <c r="G411" s="2">
        <v>3</v>
      </c>
      <c r="H411" s="23">
        <v>0.22</v>
      </c>
      <c r="I411" s="25">
        <v>0.2273</v>
      </c>
      <c r="J411" s="23">
        <v>0.93</v>
      </c>
      <c r="K411" s="25">
        <v>0.1343</v>
      </c>
      <c r="L411" s="2">
        <v>1</v>
      </c>
      <c r="M411" s="2">
        <v>6</v>
      </c>
      <c r="N411" s="2">
        <v>7</v>
      </c>
      <c r="O411" t="s">
        <v>29</v>
      </c>
      <c r="P411" t="s">
        <v>57</v>
      </c>
      <c r="Q411" t="s">
        <v>51</v>
      </c>
      <c r="R411" t="s">
        <v>32</v>
      </c>
      <c r="S411" t="s">
        <v>33</v>
      </c>
      <c r="T411" t="s">
        <v>34</v>
      </c>
      <c r="U411" t="s">
        <v>35</v>
      </c>
      <c r="V411" t="s">
        <v>36</v>
      </c>
      <c r="W411" t="s">
        <v>37</v>
      </c>
      <c r="X411" s="24">
        <v>14.285714285714279</v>
      </c>
      <c r="Y411" s="24">
        <v>85.714285714285708</v>
      </c>
      <c r="Z411" t="s">
        <v>38</v>
      </c>
      <c r="AA411" t="s">
        <v>39</v>
      </c>
      <c r="AB411" t="s">
        <v>38</v>
      </c>
      <c r="AC411" s="24">
        <v>7.3000000000000009E-3</v>
      </c>
    </row>
    <row r="412" spans="1:29" x14ac:dyDescent="0.3">
      <c r="A412" s="2">
        <v>411</v>
      </c>
      <c r="B412" s="1">
        <v>40562</v>
      </c>
      <c r="C412" s="2">
        <v>1</v>
      </c>
      <c r="D412" s="2">
        <v>2</v>
      </c>
      <c r="E412" t="b">
        <v>0</v>
      </c>
      <c r="F412" s="2">
        <v>3</v>
      </c>
      <c r="G412" s="2">
        <v>3</v>
      </c>
      <c r="H412" s="23">
        <v>0.22</v>
      </c>
      <c r="I412" s="25">
        <v>0.2273</v>
      </c>
      <c r="J412" s="23">
        <v>0.93</v>
      </c>
      <c r="K412" s="25">
        <v>0.1343</v>
      </c>
      <c r="L412" s="2">
        <v>0</v>
      </c>
      <c r="M412" s="2">
        <v>3</v>
      </c>
      <c r="N412" s="2">
        <v>3</v>
      </c>
      <c r="O412" t="s">
        <v>29</v>
      </c>
      <c r="P412" t="s">
        <v>57</v>
      </c>
      <c r="Q412" t="s">
        <v>51</v>
      </c>
      <c r="R412" t="s">
        <v>32</v>
      </c>
      <c r="S412" t="s">
        <v>33</v>
      </c>
      <c r="T412" t="s">
        <v>34</v>
      </c>
      <c r="U412" t="s">
        <v>35</v>
      </c>
      <c r="V412" t="s">
        <v>36</v>
      </c>
      <c r="W412" t="s">
        <v>37</v>
      </c>
      <c r="X412" s="24">
        <v>0</v>
      </c>
      <c r="Y412" s="24">
        <v>100</v>
      </c>
      <c r="Z412" t="s">
        <v>38</v>
      </c>
      <c r="AA412" t="s">
        <v>39</v>
      </c>
      <c r="AB412" t="s">
        <v>38</v>
      </c>
      <c r="AC412" s="24">
        <v>7.3000000000000009E-3</v>
      </c>
    </row>
    <row r="413" spans="1:29" x14ac:dyDescent="0.3">
      <c r="A413" s="2">
        <v>412</v>
      </c>
      <c r="B413" s="1">
        <v>40562</v>
      </c>
      <c r="C413" s="2">
        <v>1</v>
      </c>
      <c r="D413" s="2">
        <v>4</v>
      </c>
      <c r="E413" t="b">
        <v>0</v>
      </c>
      <c r="F413" s="2">
        <v>3</v>
      </c>
      <c r="G413" s="2">
        <v>3</v>
      </c>
      <c r="H413" s="23">
        <v>0.22</v>
      </c>
      <c r="I413" s="25">
        <v>0.2273</v>
      </c>
      <c r="J413" s="23">
        <v>0.93</v>
      </c>
      <c r="K413" s="25">
        <v>0.1343</v>
      </c>
      <c r="L413" s="2">
        <v>1</v>
      </c>
      <c r="M413" s="2">
        <v>1</v>
      </c>
      <c r="N413" s="2">
        <v>2</v>
      </c>
      <c r="O413" t="s">
        <v>29</v>
      </c>
      <c r="P413" t="s">
        <v>57</v>
      </c>
      <c r="Q413" t="s">
        <v>51</v>
      </c>
      <c r="R413" t="s">
        <v>32</v>
      </c>
      <c r="S413" t="s">
        <v>33</v>
      </c>
      <c r="T413" t="s">
        <v>34</v>
      </c>
      <c r="U413" t="s">
        <v>35</v>
      </c>
      <c r="V413" t="s">
        <v>36</v>
      </c>
      <c r="W413" t="s">
        <v>37</v>
      </c>
      <c r="X413" s="24">
        <v>50</v>
      </c>
      <c r="Y413" s="24">
        <v>50</v>
      </c>
      <c r="Z413" t="s">
        <v>38</v>
      </c>
      <c r="AA413" t="s">
        <v>39</v>
      </c>
      <c r="AB413" t="s">
        <v>38</v>
      </c>
      <c r="AC413" s="24">
        <v>7.3000000000000009E-3</v>
      </c>
    </row>
    <row r="414" spans="1:29" x14ac:dyDescent="0.3">
      <c r="A414" s="2">
        <v>413</v>
      </c>
      <c r="B414" s="1">
        <v>40562</v>
      </c>
      <c r="C414" s="2">
        <v>1</v>
      </c>
      <c r="D414" s="2">
        <v>5</v>
      </c>
      <c r="E414" t="b">
        <v>0</v>
      </c>
      <c r="F414" s="2">
        <v>3</v>
      </c>
      <c r="G414" s="2">
        <v>2</v>
      </c>
      <c r="H414" s="23">
        <v>0.22</v>
      </c>
      <c r="I414" s="25">
        <v>0.2576</v>
      </c>
      <c r="J414" s="23">
        <v>0.93</v>
      </c>
      <c r="K414" s="25">
        <v>8.9599999999999999E-2</v>
      </c>
      <c r="L414" s="2">
        <v>0</v>
      </c>
      <c r="M414" s="2">
        <v>7</v>
      </c>
      <c r="N414" s="2">
        <v>7</v>
      </c>
      <c r="O414" t="s">
        <v>29</v>
      </c>
      <c r="P414" t="s">
        <v>57</v>
      </c>
      <c r="Q414" t="s">
        <v>41</v>
      </c>
      <c r="R414" t="s">
        <v>32</v>
      </c>
      <c r="S414" t="s">
        <v>33</v>
      </c>
      <c r="T414" t="s">
        <v>34</v>
      </c>
      <c r="U414" t="s">
        <v>35</v>
      </c>
      <c r="V414" t="s">
        <v>36</v>
      </c>
      <c r="W414" t="s">
        <v>37</v>
      </c>
      <c r="X414" s="24">
        <v>0</v>
      </c>
      <c r="Y414" s="24">
        <v>100</v>
      </c>
      <c r="Z414" t="s">
        <v>38</v>
      </c>
      <c r="AA414" t="s">
        <v>39</v>
      </c>
      <c r="AB414" t="s">
        <v>38</v>
      </c>
      <c r="AC414" s="24">
        <v>3.7599999999999988E-2</v>
      </c>
    </row>
    <row r="415" spans="1:29" x14ac:dyDescent="0.3">
      <c r="A415" s="2">
        <v>414</v>
      </c>
      <c r="B415" s="1">
        <v>40562</v>
      </c>
      <c r="C415" s="2">
        <v>1</v>
      </c>
      <c r="D415" s="2">
        <v>6</v>
      </c>
      <c r="E415" t="b">
        <v>0</v>
      </c>
      <c r="F415" s="2">
        <v>3</v>
      </c>
      <c r="G415" s="2">
        <v>2</v>
      </c>
      <c r="H415" s="23">
        <v>0.22</v>
      </c>
      <c r="I415" s="25">
        <v>0.2576</v>
      </c>
      <c r="J415" s="23">
        <v>0.93</v>
      </c>
      <c r="K415" s="25">
        <v>8.9599999999999999E-2</v>
      </c>
      <c r="L415" s="2">
        <v>0</v>
      </c>
      <c r="M415" s="2">
        <v>32</v>
      </c>
      <c r="N415" s="2">
        <v>32</v>
      </c>
      <c r="O415" t="s">
        <v>29</v>
      </c>
      <c r="P415" t="s">
        <v>57</v>
      </c>
      <c r="Q415" t="s">
        <v>41</v>
      </c>
      <c r="R415" t="s">
        <v>42</v>
      </c>
      <c r="S415" t="s">
        <v>33</v>
      </c>
      <c r="T415" t="s">
        <v>34</v>
      </c>
      <c r="U415" t="s">
        <v>35</v>
      </c>
      <c r="V415" t="s">
        <v>36</v>
      </c>
      <c r="W415" t="s">
        <v>37</v>
      </c>
      <c r="X415" s="24">
        <v>0</v>
      </c>
      <c r="Y415" s="24">
        <v>100</v>
      </c>
      <c r="Z415" t="s">
        <v>38</v>
      </c>
      <c r="AA415" t="s">
        <v>39</v>
      </c>
      <c r="AB415" t="s">
        <v>38</v>
      </c>
      <c r="AC415" s="24">
        <v>3.7599999999999988E-2</v>
      </c>
    </row>
    <row r="416" spans="1:29" x14ac:dyDescent="0.3">
      <c r="A416" s="2">
        <v>415</v>
      </c>
      <c r="B416" s="1">
        <v>40562</v>
      </c>
      <c r="C416" s="2">
        <v>1</v>
      </c>
      <c r="D416" s="2">
        <v>7</v>
      </c>
      <c r="E416" t="b">
        <v>0</v>
      </c>
      <c r="F416" s="2">
        <v>3</v>
      </c>
      <c r="G416" s="2">
        <v>2</v>
      </c>
      <c r="H416" s="23">
        <v>0.24</v>
      </c>
      <c r="I416" s="25">
        <v>0.2576</v>
      </c>
      <c r="J416" s="23">
        <v>0.92</v>
      </c>
      <c r="K416" s="25">
        <v>0.1045</v>
      </c>
      <c r="L416" s="2">
        <v>1</v>
      </c>
      <c r="M416" s="2">
        <v>89</v>
      </c>
      <c r="N416" s="2">
        <v>90</v>
      </c>
      <c r="O416" t="s">
        <v>29</v>
      </c>
      <c r="P416" t="s">
        <v>57</v>
      </c>
      <c r="Q416" t="s">
        <v>41</v>
      </c>
      <c r="R416" t="s">
        <v>42</v>
      </c>
      <c r="S416" t="s">
        <v>33</v>
      </c>
      <c r="T416" t="s">
        <v>34</v>
      </c>
      <c r="U416" t="s">
        <v>35</v>
      </c>
      <c r="V416" t="s">
        <v>36</v>
      </c>
      <c r="W416" t="s">
        <v>37</v>
      </c>
      <c r="X416" s="24">
        <v>1.1111111111111109</v>
      </c>
      <c r="Y416" s="24">
        <v>98.888888888888886</v>
      </c>
      <c r="Z416" t="s">
        <v>40</v>
      </c>
      <c r="AA416" t="s">
        <v>39</v>
      </c>
      <c r="AB416" t="s">
        <v>38</v>
      </c>
      <c r="AC416" s="24">
        <v>1.7600000000000001E-2</v>
      </c>
    </row>
    <row r="417" spans="1:29" x14ac:dyDescent="0.3">
      <c r="A417" s="2">
        <v>416</v>
      </c>
      <c r="B417" s="1">
        <v>40562</v>
      </c>
      <c r="C417" s="2">
        <v>1</v>
      </c>
      <c r="D417" s="2">
        <v>8</v>
      </c>
      <c r="E417" t="b">
        <v>0</v>
      </c>
      <c r="F417" s="2">
        <v>3</v>
      </c>
      <c r="G417" s="2">
        <v>2</v>
      </c>
      <c r="H417" s="23">
        <v>0.24</v>
      </c>
      <c r="I417" s="25">
        <v>0.2576</v>
      </c>
      <c r="J417" s="23">
        <v>0.93</v>
      </c>
      <c r="K417" s="25">
        <v>0.1045</v>
      </c>
      <c r="L417" s="2">
        <v>1</v>
      </c>
      <c r="M417" s="2">
        <v>196</v>
      </c>
      <c r="N417" s="2">
        <v>197</v>
      </c>
      <c r="O417" t="s">
        <v>29</v>
      </c>
      <c r="P417" t="s">
        <v>57</v>
      </c>
      <c r="Q417" t="s">
        <v>41</v>
      </c>
      <c r="R417" t="s">
        <v>42</v>
      </c>
      <c r="S417" t="s">
        <v>33</v>
      </c>
      <c r="T417" t="s">
        <v>34</v>
      </c>
      <c r="U417" t="s">
        <v>35</v>
      </c>
      <c r="V417" t="s">
        <v>36</v>
      </c>
      <c r="W417" t="s">
        <v>37</v>
      </c>
      <c r="X417" s="24">
        <v>0.50761421319796951</v>
      </c>
      <c r="Y417" s="24">
        <v>99.492385786802032</v>
      </c>
      <c r="Z417" t="s">
        <v>40</v>
      </c>
      <c r="AA417" t="s">
        <v>49</v>
      </c>
      <c r="AB417" t="s">
        <v>38</v>
      </c>
      <c r="AC417" s="24">
        <v>1.7600000000000001E-2</v>
      </c>
    </row>
    <row r="418" spans="1:29" x14ac:dyDescent="0.3">
      <c r="A418" s="2">
        <v>417</v>
      </c>
      <c r="B418" s="1">
        <v>40562</v>
      </c>
      <c r="C418" s="2">
        <v>1</v>
      </c>
      <c r="D418" s="2">
        <v>9</v>
      </c>
      <c r="E418" t="b">
        <v>0</v>
      </c>
      <c r="F418" s="2">
        <v>3</v>
      </c>
      <c r="G418" s="2">
        <v>2</v>
      </c>
      <c r="H418" s="23">
        <v>0.24</v>
      </c>
      <c r="I418" s="25">
        <v>0.2576</v>
      </c>
      <c r="J418" s="23">
        <v>0.93</v>
      </c>
      <c r="K418" s="25">
        <v>0.1045</v>
      </c>
      <c r="L418" s="2">
        <v>2</v>
      </c>
      <c r="M418" s="2">
        <v>107</v>
      </c>
      <c r="N418" s="2">
        <v>109</v>
      </c>
      <c r="O418" t="s">
        <v>29</v>
      </c>
      <c r="P418" t="s">
        <v>57</v>
      </c>
      <c r="Q418" t="s">
        <v>41</v>
      </c>
      <c r="R418" t="s">
        <v>42</v>
      </c>
      <c r="S418" t="s">
        <v>33</v>
      </c>
      <c r="T418" t="s">
        <v>34</v>
      </c>
      <c r="U418" t="s">
        <v>35</v>
      </c>
      <c r="V418" t="s">
        <v>36</v>
      </c>
      <c r="W418" t="s">
        <v>37</v>
      </c>
      <c r="X418" s="24">
        <v>1.834862385321101</v>
      </c>
      <c r="Y418" s="24">
        <v>98.165137614678898</v>
      </c>
      <c r="Z418" t="s">
        <v>40</v>
      </c>
      <c r="AA418" t="s">
        <v>49</v>
      </c>
      <c r="AB418" t="s">
        <v>38</v>
      </c>
      <c r="AC418" s="24">
        <v>1.7600000000000001E-2</v>
      </c>
    </row>
    <row r="419" spans="1:29" x14ac:dyDescent="0.3">
      <c r="A419" s="2">
        <v>418</v>
      </c>
      <c r="B419" s="1">
        <v>40562</v>
      </c>
      <c r="C419" s="2">
        <v>1</v>
      </c>
      <c r="D419" s="2">
        <v>10</v>
      </c>
      <c r="E419" t="b">
        <v>0</v>
      </c>
      <c r="F419" s="2">
        <v>3</v>
      </c>
      <c r="G419" s="2">
        <v>2</v>
      </c>
      <c r="H419" s="23">
        <v>0.26</v>
      </c>
      <c r="I419" s="25">
        <v>0.2727</v>
      </c>
      <c r="J419" s="23">
        <v>0.93</v>
      </c>
      <c r="K419" s="25">
        <v>0.1343</v>
      </c>
      <c r="L419" s="2">
        <v>1</v>
      </c>
      <c r="M419" s="2">
        <v>46</v>
      </c>
      <c r="N419" s="2">
        <v>47</v>
      </c>
      <c r="O419" t="s">
        <v>29</v>
      </c>
      <c r="P419" t="s">
        <v>57</v>
      </c>
      <c r="Q419" t="s">
        <v>41</v>
      </c>
      <c r="R419" t="s">
        <v>42</v>
      </c>
      <c r="S419" t="s">
        <v>44</v>
      </c>
      <c r="T419" t="s">
        <v>34</v>
      </c>
      <c r="U419" t="s">
        <v>35</v>
      </c>
      <c r="V419" t="s">
        <v>36</v>
      </c>
      <c r="W419" t="s">
        <v>37</v>
      </c>
      <c r="X419" s="24">
        <v>2.1276595744680851</v>
      </c>
      <c r="Y419" s="24">
        <v>97.872340425531917</v>
      </c>
      <c r="Z419" t="s">
        <v>38</v>
      </c>
      <c r="AA419" t="s">
        <v>39</v>
      </c>
      <c r="AB419" t="s">
        <v>38</v>
      </c>
      <c r="AC419" s="24">
        <v>1.2699999999999991E-2</v>
      </c>
    </row>
    <row r="420" spans="1:29" x14ac:dyDescent="0.3">
      <c r="A420" s="2">
        <v>419</v>
      </c>
      <c r="B420" s="1">
        <v>40562</v>
      </c>
      <c r="C420" s="2">
        <v>1</v>
      </c>
      <c r="D420" s="2">
        <v>11</v>
      </c>
      <c r="E420" t="b">
        <v>0</v>
      </c>
      <c r="F420" s="2">
        <v>3</v>
      </c>
      <c r="G420" s="2">
        <v>2</v>
      </c>
      <c r="H420" s="23">
        <v>0.28000000000000003</v>
      </c>
      <c r="I420" s="25">
        <v>0.30299999999999999</v>
      </c>
      <c r="J420" s="23">
        <v>0.87</v>
      </c>
      <c r="K420" s="25">
        <v>8.9599999999999999E-2</v>
      </c>
      <c r="L420" s="2">
        <v>5</v>
      </c>
      <c r="M420" s="2">
        <v>47</v>
      </c>
      <c r="N420" s="2">
        <v>52</v>
      </c>
      <c r="O420" t="s">
        <v>29</v>
      </c>
      <c r="P420" t="s">
        <v>57</v>
      </c>
      <c r="Q420" t="s">
        <v>41</v>
      </c>
      <c r="R420" t="s">
        <v>42</v>
      </c>
      <c r="S420" t="s">
        <v>44</v>
      </c>
      <c r="T420" t="s">
        <v>34</v>
      </c>
      <c r="U420" t="s">
        <v>35</v>
      </c>
      <c r="V420" t="s">
        <v>36</v>
      </c>
      <c r="W420" t="s">
        <v>37</v>
      </c>
      <c r="X420" s="24">
        <v>9.6153846153846168</v>
      </c>
      <c r="Y420" s="24">
        <v>90.384615384615387</v>
      </c>
      <c r="Z420" t="s">
        <v>38</v>
      </c>
      <c r="AA420" t="s">
        <v>39</v>
      </c>
      <c r="AB420" t="s">
        <v>38</v>
      </c>
      <c r="AC420" s="24">
        <v>2.2999999999999961E-2</v>
      </c>
    </row>
    <row r="421" spans="1:29" x14ac:dyDescent="0.3">
      <c r="A421" s="2">
        <v>420</v>
      </c>
      <c r="B421" s="1">
        <v>40562</v>
      </c>
      <c r="C421" s="2">
        <v>1</v>
      </c>
      <c r="D421" s="2">
        <v>12</v>
      </c>
      <c r="E421" t="b">
        <v>0</v>
      </c>
      <c r="F421" s="2">
        <v>3</v>
      </c>
      <c r="G421" s="2">
        <v>2</v>
      </c>
      <c r="H421" s="23">
        <v>0.3</v>
      </c>
      <c r="I421" s="25">
        <v>0.31819999999999998</v>
      </c>
      <c r="J421" s="23">
        <v>0.81</v>
      </c>
      <c r="K421" s="25">
        <v>8.9599999999999999E-2</v>
      </c>
      <c r="L421" s="2">
        <v>5</v>
      </c>
      <c r="M421" s="2">
        <v>65</v>
      </c>
      <c r="N421" s="2">
        <v>70</v>
      </c>
      <c r="O421" t="s">
        <v>29</v>
      </c>
      <c r="P421" t="s">
        <v>57</v>
      </c>
      <c r="Q421" t="s">
        <v>41</v>
      </c>
      <c r="R421" t="s">
        <v>47</v>
      </c>
      <c r="S421" t="s">
        <v>44</v>
      </c>
      <c r="T421" t="s">
        <v>34</v>
      </c>
      <c r="U421" t="s">
        <v>35</v>
      </c>
      <c r="V421" t="s">
        <v>36</v>
      </c>
      <c r="W421" t="s">
        <v>37</v>
      </c>
      <c r="X421" s="24">
        <v>7.1428571428571423</v>
      </c>
      <c r="Y421" s="24">
        <v>92.857142857142861</v>
      </c>
      <c r="Z421" t="s">
        <v>38</v>
      </c>
      <c r="AA421" t="s">
        <v>39</v>
      </c>
      <c r="AB421" t="s">
        <v>38</v>
      </c>
      <c r="AC421" s="24">
        <v>1.819999999999999E-2</v>
      </c>
    </row>
    <row r="422" spans="1:29" x14ac:dyDescent="0.3">
      <c r="A422" s="2">
        <v>240</v>
      </c>
      <c r="B422" s="1">
        <v>40554</v>
      </c>
      <c r="C422" s="2">
        <v>1</v>
      </c>
      <c r="D422" s="2">
        <v>8</v>
      </c>
      <c r="E422" t="b">
        <v>0</v>
      </c>
      <c r="F422" s="2">
        <v>2</v>
      </c>
      <c r="G422" s="2">
        <v>2</v>
      </c>
      <c r="H422" s="23">
        <v>0.18</v>
      </c>
      <c r="I422" s="25">
        <v>0.21210000000000001</v>
      </c>
      <c r="J422" s="23">
        <v>0.51</v>
      </c>
      <c r="K422" s="25">
        <v>8.9599999999999999E-2</v>
      </c>
      <c r="L422" s="2">
        <v>3</v>
      </c>
      <c r="M422" s="2">
        <v>214</v>
      </c>
      <c r="N422" s="2">
        <v>217</v>
      </c>
      <c r="O422" t="s">
        <v>29</v>
      </c>
      <c r="P422" t="s">
        <v>56</v>
      </c>
      <c r="Q422" t="s">
        <v>41</v>
      </c>
      <c r="R422" t="s">
        <v>42</v>
      </c>
      <c r="S422" t="s">
        <v>33</v>
      </c>
      <c r="T422" t="s">
        <v>49</v>
      </c>
      <c r="U422" t="s">
        <v>35</v>
      </c>
      <c r="V422" t="s">
        <v>36</v>
      </c>
      <c r="W422" t="s">
        <v>37</v>
      </c>
      <c r="X422" s="24">
        <v>1.382488479262673</v>
      </c>
      <c r="Y422" s="24">
        <v>98.617511520737324</v>
      </c>
      <c r="Z422" t="s">
        <v>40</v>
      </c>
      <c r="AA422" t="s">
        <v>49</v>
      </c>
      <c r="AB422" t="s">
        <v>38</v>
      </c>
      <c r="AC422" s="24">
        <v>3.2100000000000017E-2</v>
      </c>
    </row>
    <row r="423" spans="1:29" x14ac:dyDescent="0.3">
      <c r="A423" s="2">
        <v>241</v>
      </c>
      <c r="B423" s="1">
        <v>40554</v>
      </c>
      <c r="C423" s="2">
        <v>1</v>
      </c>
      <c r="D423" s="2">
        <v>9</v>
      </c>
      <c r="E423" t="b">
        <v>0</v>
      </c>
      <c r="F423" s="2">
        <v>2</v>
      </c>
      <c r="G423" s="2">
        <v>2</v>
      </c>
      <c r="H423" s="23">
        <v>0.18</v>
      </c>
      <c r="I423" s="25">
        <v>0.19700000000000001</v>
      </c>
      <c r="J423" s="23">
        <v>0.51</v>
      </c>
      <c r="K423" s="25">
        <v>0.16420000000000001</v>
      </c>
      <c r="L423" s="2">
        <v>3</v>
      </c>
      <c r="M423" s="2">
        <v>127</v>
      </c>
      <c r="N423" s="2">
        <v>130</v>
      </c>
      <c r="O423" t="s">
        <v>29</v>
      </c>
      <c r="P423" t="s">
        <v>56</v>
      </c>
      <c r="Q423" t="s">
        <v>41</v>
      </c>
      <c r="R423" t="s">
        <v>42</v>
      </c>
      <c r="S423" t="s">
        <v>33</v>
      </c>
      <c r="T423" t="s">
        <v>49</v>
      </c>
      <c r="U423" t="s">
        <v>46</v>
      </c>
      <c r="V423" t="s">
        <v>36</v>
      </c>
      <c r="W423" t="s">
        <v>37</v>
      </c>
      <c r="X423" s="24">
        <v>2.3076923076923079</v>
      </c>
      <c r="Y423" s="24">
        <v>97.692307692307693</v>
      </c>
      <c r="Z423" t="s">
        <v>40</v>
      </c>
      <c r="AA423" t="s">
        <v>49</v>
      </c>
      <c r="AB423" t="s">
        <v>38</v>
      </c>
      <c r="AC423" s="24">
        <v>1.7000000000000019E-2</v>
      </c>
    </row>
    <row r="424" spans="1:29" x14ac:dyDescent="0.3">
      <c r="A424" s="2">
        <v>242</v>
      </c>
      <c r="B424" s="1">
        <v>40554</v>
      </c>
      <c r="C424" s="2">
        <v>1</v>
      </c>
      <c r="D424" s="2">
        <v>10</v>
      </c>
      <c r="E424" t="b">
        <v>0</v>
      </c>
      <c r="F424" s="2">
        <v>2</v>
      </c>
      <c r="G424" s="2">
        <v>2</v>
      </c>
      <c r="H424" s="23">
        <v>0.2</v>
      </c>
      <c r="I424" s="25">
        <v>0.21210000000000001</v>
      </c>
      <c r="J424" s="23">
        <v>0.51</v>
      </c>
      <c r="K424" s="25">
        <v>0.16420000000000001</v>
      </c>
      <c r="L424" s="2">
        <v>3</v>
      </c>
      <c r="M424" s="2">
        <v>51</v>
      </c>
      <c r="N424" s="2">
        <v>54</v>
      </c>
      <c r="O424" t="s">
        <v>29</v>
      </c>
      <c r="P424" t="s">
        <v>56</v>
      </c>
      <c r="Q424" t="s">
        <v>41</v>
      </c>
      <c r="R424" t="s">
        <v>42</v>
      </c>
      <c r="S424" t="s">
        <v>33</v>
      </c>
      <c r="T424" t="s">
        <v>49</v>
      </c>
      <c r="U424" t="s">
        <v>46</v>
      </c>
      <c r="V424" t="s">
        <v>36</v>
      </c>
      <c r="W424" t="s">
        <v>37</v>
      </c>
      <c r="X424" s="24">
        <v>5.5555555555555554</v>
      </c>
      <c r="Y424" s="24">
        <v>94.444444444444443</v>
      </c>
      <c r="Z424" t="s">
        <v>38</v>
      </c>
      <c r="AA424" t="s">
        <v>39</v>
      </c>
      <c r="AB424" t="s">
        <v>38</v>
      </c>
      <c r="AC424" s="24">
        <v>1.21E-2</v>
      </c>
    </row>
    <row r="425" spans="1:29" x14ac:dyDescent="0.3">
      <c r="A425" s="2">
        <v>244</v>
      </c>
      <c r="B425" s="1">
        <v>40554</v>
      </c>
      <c r="C425" s="2">
        <v>1</v>
      </c>
      <c r="D425" s="2">
        <v>12</v>
      </c>
      <c r="E425" t="b">
        <v>0</v>
      </c>
      <c r="F425" s="2">
        <v>2</v>
      </c>
      <c r="G425" s="2">
        <v>2</v>
      </c>
      <c r="H425" s="23">
        <v>0.2</v>
      </c>
      <c r="I425" s="25">
        <v>0.2273</v>
      </c>
      <c r="J425" s="23">
        <v>0.51</v>
      </c>
      <c r="K425" s="25">
        <v>0.1045</v>
      </c>
      <c r="L425" s="2">
        <v>2</v>
      </c>
      <c r="M425" s="2">
        <v>55</v>
      </c>
      <c r="N425" s="2">
        <v>57</v>
      </c>
      <c r="O425" t="s">
        <v>29</v>
      </c>
      <c r="P425" t="s">
        <v>56</v>
      </c>
      <c r="Q425" t="s">
        <v>41</v>
      </c>
      <c r="R425" t="s">
        <v>47</v>
      </c>
      <c r="S425" t="s">
        <v>33</v>
      </c>
      <c r="T425" t="s">
        <v>49</v>
      </c>
      <c r="U425" t="s">
        <v>35</v>
      </c>
      <c r="V425" t="s">
        <v>36</v>
      </c>
      <c r="W425" t="s">
        <v>37</v>
      </c>
      <c r="X425" s="24">
        <v>3.5087719298245612</v>
      </c>
      <c r="Y425" s="24">
        <v>96.491228070175438</v>
      </c>
      <c r="Z425" t="s">
        <v>38</v>
      </c>
      <c r="AA425" t="s">
        <v>39</v>
      </c>
      <c r="AB425" t="s">
        <v>38</v>
      </c>
      <c r="AC425" s="24">
        <v>2.7299999999999991E-2</v>
      </c>
    </row>
    <row r="426" spans="1:29" x14ac:dyDescent="0.3">
      <c r="A426" s="2">
        <v>265</v>
      </c>
      <c r="B426" s="1">
        <v>40555</v>
      </c>
      <c r="C426" s="2">
        <v>1</v>
      </c>
      <c r="D426" s="2">
        <v>11</v>
      </c>
      <c r="E426" t="b">
        <v>0</v>
      </c>
      <c r="F426" s="2">
        <v>3</v>
      </c>
      <c r="G426" s="2">
        <v>1</v>
      </c>
      <c r="H426" s="23">
        <v>0.2</v>
      </c>
      <c r="I426" s="25">
        <v>0.18179999999999999</v>
      </c>
      <c r="J426" s="23">
        <v>0.51</v>
      </c>
      <c r="K426" s="25">
        <v>0.3881</v>
      </c>
      <c r="L426" s="2">
        <v>3</v>
      </c>
      <c r="M426" s="2">
        <v>32</v>
      </c>
      <c r="N426" s="2">
        <v>35</v>
      </c>
      <c r="O426" t="s">
        <v>29</v>
      </c>
      <c r="P426" t="s">
        <v>57</v>
      </c>
      <c r="Q426" t="s">
        <v>31</v>
      </c>
      <c r="R426" t="s">
        <v>42</v>
      </c>
      <c r="S426" t="s">
        <v>33</v>
      </c>
      <c r="T426" t="s">
        <v>49</v>
      </c>
      <c r="U426" t="s">
        <v>53</v>
      </c>
      <c r="V426" t="s">
        <v>36</v>
      </c>
      <c r="W426" t="s">
        <v>37</v>
      </c>
      <c r="X426" s="24">
        <v>8.5714285714285712</v>
      </c>
      <c r="Y426" s="24">
        <v>91.428571428571431</v>
      </c>
      <c r="Z426" t="s">
        <v>38</v>
      </c>
      <c r="AA426" t="s">
        <v>39</v>
      </c>
      <c r="AB426" t="s">
        <v>38</v>
      </c>
      <c r="AC426" s="24">
        <v>-1.8200000000000022E-2</v>
      </c>
    </row>
    <row r="427" spans="1:29" x14ac:dyDescent="0.3">
      <c r="A427" s="2">
        <v>312</v>
      </c>
      <c r="B427" s="1">
        <v>40557</v>
      </c>
      <c r="C427" s="2">
        <v>1</v>
      </c>
      <c r="D427" s="2">
        <v>11</v>
      </c>
      <c r="E427" t="b">
        <v>0</v>
      </c>
      <c r="F427" s="2">
        <v>5</v>
      </c>
      <c r="G427" s="2">
        <v>1</v>
      </c>
      <c r="H427" s="23">
        <v>0.18</v>
      </c>
      <c r="I427" s="25">
        <v>0.16669999999999999</v>
      </c>
      <c r="J427" s="23">
        <v>0.51</v>
      </c>
      <c r="K427" s="25">
        <v>0.28360000000000002</v>
      </c>
      <c r="L427" s="2">
        <v>6</v>
      </c>
      <c r="M427" s="2">
        <v>47</v>
      </c>
      <c r="N427" s="2">
        <v>53</v>
      </c>
      <c r="O427" t="s">
        <v>29</v>
      </c>
      <c r="P427" t="s">
        <v>59</v>
      </c>
      <c r="Q427" t="s">
        <v>31</v>
      </c>
      <c r="R427" t="s">
        <v>42</v>
      </c>
      <c r="S427" t="s">
        <v>33</v>
      </c>
      <c r="T427" t="s">
        <v>49</v>
      </c>
      <c r="U427" t="s">
        <v>46</v>
      </c>
      <c r="V427" t="s">
        <v>36</v>
      </c>
      <c r="W427" t="s">
        <v>37</v>
      </c>
      <c r="X427" s="24">
        <v>11.32075471698113</v>
      </c>
      <c r="Y427" s="24">
        <v>88.679245283018872</v>
      </c>
      <c r="Z427" t="s">
        <v>38</v>
      </c>
      <c r="AA427" t="s">
        <v>39</v>
      </c>
      <c r="AB427" t="s">
        <v>38</v>
      </c>
      <c r="AC427" s="24">
        <v>-1.330000000000001E-2</v>
      </c>
    </row>
    <row r="428" spans="1:29" x14ac:dyDescent="0.3">
      <c r="A428" s="2">
        <v>358</v>
      </c>
      <c r="B428" s="1">
        <v>40559</v>
      </c>
      <c r="C428" s="2">
        <v>1</v>
      </c>
      <c r="D428" s="2">
        <v>9</v>
      </c>
      <c r="E428" t="b">
        <v>0</v>
      </c>
      <c r="F428" s="2">
        <v>0</v>
      </c>
      <c r="G428" s="2">
        <v>1</v>
      </c>
      <c r="H428" s="23">
        <v>0.22</v>
      </c>
      <c r="I428" s="25">
        <v>0.21210000000000001</v>
      </c>
      <c r="J428" s="23">
        <v>0.51</v>
      </c>
      <c r="K428" s="25">
        <v>0.25369999999999998</v>
      </c>
      <c r="L428" s="2">
        <v>3</v>
      </c>
      <c r="M428" s="2">
        <v>29</v>
      </c>
      <c r="N428" s="2">
        <v>32</v>
      </c>
      <c r="O428" t="s">
        <v>29</v>
      </c>
      <c r="P428" t="s">
        <v>52</v>
      </c>
      <c r="Q428" t="s">
        <v>31</v>
      </c>
      <c r="R428" t="s">
        <v>42</v>
      </c>
      <c r="S428" t="s">
        <v>33</v>
      </c>
      <c r="T428" t="s">
        <v>49</v>
      </c>
      <c r="U428" t="s">
        <v>46</v>
      </c>
      <c r="V428" t="s">
        <v>36</v>
      </c>
      <c r="W428" t="s">
        <v>37</v>
      </c>
      <c r="X428" s="24">
        <v>9.375</v>
      </c>
      <c r="Y428" s="24">
        <v>90.625</v>
      </c>
      <c r="Z428" t="s">
        <v>40</v>
      </c>
      <c r="AA428" t="s">
        <v>39</v>
      </c>
      <c r="AB428" t="s">
        <v>40</v>
      </c>
      <c r="AC428" s="24">
        <v>-7.8999999999999904E-3</v>
      </c>
    </row>
    <row r="429" spans="1:29" x14ac:dyDescent="0.3">
      <c r="A429" s="2">
        <v>359</v>
      </c>
      <c r="B429" s="1">
        <v>40559</v>
      </c>
      <c r="C429" s="2">
        <v>1</v>
      </c>
      <c r="D429" s="2">
        <v>10</v>
      </c>
      <c r="E429" t="b">
        <v>0</v>
      </c>
      <c r="F429" s="2">
        <v>0</v>
      </c>
      <c r="G429" s="2">
        <v>1</v>
      </c>
      <c r="H429" s="23">
        <v>0.22</v>
      </c>
      <c r="I429" s="25">
        <v>0.21210000000000001</v>
      </c>
      <c r="J429" s="23">
        <v>0.51</v>
      </c>
      <c r="K429" s="25">
        <v>0.28360000000000002</v>
      </c>
      <c r="L429" s="2">
        <v>8</v>
      </c>
      <c r="M429" s="2">
        <v>71</v>
      </c>
      <c r="N429" s="2">
        <v>79</v>
      </c>
      <c r="O429" t="s">
        <v>29</v>
      </c>
      <c r="P429" t="s">
        <v>52</v>
      </c>
      <c r="Q429" t="s">
        <v>31</v>
      </c>
      <c r="R429" t="s">
        <v>42</v>
      </c>
      <c r="S429" t="s">
        <v>33</v>
      </c>
      <c r="T429" t="s">
        <v>49</v>
      </c>
      <c r="U429" t="s">
        <v>46</v>
      </c>
      <c r="V429" t="s">
        <v>36</v>
      </c>
      <c r="W429" t="s">
        <v>37</v>
      </c>
      <c r="X429" s="24">
        <v>10.12658227848101</v>
      </c>
      <c r="Y429" s="24">
        <v>89.87341772151899</v>
      </c>
      <c r="Z429" t="s">
        <v>38</v>
      </c>
      <c r="AA429" t="s">
        <v>39</v>
      </c>
      <c r="AB429" t="s">
        <v>40</v>
      </c>
      <c r="AC429" s="24">
        <v>-7.8999999999999904E-3</v>
      </c>
    </row>
    <row r="430" spans="1:29" x14ac:dyDescent="0.3">
      <c r="A430" s="2">
        <v>370</v>
      </c>
      <c r="B430" s="1">
        <v>40559</v>
      </c>
      <c r="C430" s="2">
        <v>1</v>
      </c>
      <c r="D430" s="2">
        <v>21</v>
      </c>
      <c r="E430" t="b">
        <v>0</v>
      </c>
      <c r="F430" s="2">
        <v>0</v>
      </c>
      <c r="G430" s="2">
        <v>1</v>
      </c>
      <c r="H430" s="23">
        <v>0.18</v>
      </c>
      <c r="I430" s="25">
        <v>0.19700000000000001</v>
      </c>
      <c r="J430" s="23">
        <v>0.51</v>
      </c>
      <c r="K430" s="25">
        <v>0.16420000000000001</v>
      </c>
      <c r="L430" s="2">
        <v>6</v>
      </c>
      <c r="M430" s="2">
        <v>22</v>
      </c>
      <c r="N430" s="2">
        <v>28</v>
      </c>
      <c r="O430" t="s">
        <v>29</v>
      </c>
      <c r="P430" t="s">
        <v>52</v>
      </c>
      <c r="Q430" t="s">
        <v>31</v>
      </c>
      <c r="R430" t="s">
        <v>32</v>
      </c>
      <c r="S430" t="s">
        <v>33</v>
      </c>
      <c r="T430" t="s">
        <v>49</v>
      </c>
      <c r="U430" t="s">
        <v>46</v>
      </c>
      <c r="V430" t="s">
        <v>36</v>
      </c>
      <c r="W430" t="s">
        <v>37</v>
      </c>
      <c r="X430" s="24">
        <v>21.428571428571431</v>
      </c>
      <c r="Y430" s="24">
        <v>78.571428571428569</v>
      </c>
      <c r="Z430" t="s">
        <v>38</v>
      </c>
      <c r="AA430" t="s">
        <v>39</v>
      </c>
      <c r="AB430" t="s">
        <v>40</v>
      </c>
      <c r="AC430" s="24">
        <v>1.7000000000000019E-2</v>
      </c>
    </row>
    <row r="431" spans="1:29" x14ac:dyDescent="0.3">
      <c r="A431" s="2">
        <v>390</v>
      </c>
      <c r="B431" s="1">
        <v>40560</v>
      </c>
      <c r="C431" s="2">
        <v>1</v>
      </c>
      <c r="D431" s="2">
        <v>17</v>
      </c>
      <c r="E431" t="b">
        <v>1</v>
      </c>
      <c r="F431" s="2">
        <v>1</v>
      </c>
      <c r="G431" s="2">
        <v>1</v>
      </c>
      <c r="H431" s="23">
        <v>0.2</v>
      </c>
      <c r="I431" s="25">
        <v>0.19700000000000001</v>
      </c>
      <c r="J431" s="23">
        <v>0.51</v>
      </c>
      <c r="K431" s="25">
        <v>0.19400000000000001</v>
      </c>
      <c r="L431" s="2">
        <v>4</v>
      </c>
      <c r="M431" s="2">
        <v>67</v>
      </c>
      <c r="N431" s="2">
        <v>71</v>
      </c>
      <c r="O431" t="s">
        <v>29</v>
      </c>
      <c r="P431" t="s">
        <v>54</v>
      </c>
      <c r="Q431" t="s">
        <v>31</v>
      </c>
      <c r="R431" t="s">
        <v>50</v>
      </c>
      <c r="S431" t="s">
        <v>33</v>
      </c>
      <c r="T431" t="s">
        <v>49</v>
      </c>
      <c r="U431" t="s">
        <v>46</v>
      </c>
      <c r="V431" t="s">
        <v>60</v>
      </c>
      <c r="W431" t="s">
        <v>37</v>
      </c>
      <c r="X431" s="24">
        <v>5.6338028169014089</v>
      </c>
      <c r="Y431" s="24">
        <v>94.366197183098592</v>
      </c>
      <c r="Z431" t="s">
        <v>40</v>
      </c>
      <c r="AA431" t="s">
        <v>39</v>
      </c>
      <c r="AB431" t="s">
        <v>38</v>
      </c>
      <c r="AC431" s="24">
        <v>-3.0000000000000031E-3</v>
      </c>
    </row>
    <row r="432" spans="1:29" x14ac:dyDescent="0.3">
      <c r="A432" s="2">
        <v>463</v>
      </c>
      <c r="B432" s="1">
        <v>40564</v>
      </c>
      <c r="C432" s="2">
        <v>1</v>
      </c>
      <c r="D432" s="2">
        <v>7</v>
      </c>
      <c r="E432" t="b">
        <v>0</v>
      </c>
      <c r="F432" s="2">
        <v>5</v>
      </c>
      <c r="G432" s="2">
        <v>1</v>
      </c>
      <c r="H432" s="23">
        <v>0.2</v>
      </c>
      <c r="I432" s="25">
        <v>0.18179999999999999</v>
      </c>
      <c r="J432" s="23">
        <v>0.51</v>
      </c>
      <c r="K432" s="25">
        <v>0.28360000000000002</v>
      </c>
      <c r="L432" s="2">
        <v>2</v>
      </c>
      <c r="M432" s="2">
        <v>66</v>
      </c>
      <c r="N432" s="2">
        <v>68</v>
      </c>
      <c r="O432" t="s">
        <v>29</v>
      </c>
      <c r="P432" t="s">
        <v>59</v>
      </c>
      <c r="Q432" t="s">
        <v>31</v>
      </c>
      <c r="R432" t="s">
        <v>42</v>
      </c>
      <c r="S432" t="s">
        <v>33</v>
      </c>
      <c r="T432" t="s">
        <v>49</v>
      </c>
      <c r="U432" t="s">
        <v>46</v>
      </c>
      <c r="V432" t="s">
        <v>36</v>
      </c>
      <c r="W432" t="s">
        <v>37</v>
      </c>
      <c r="X432" s="24">
        <v>2.9411764705882351</v>
      </c>
      <c r="Y432" s="24">
        <v>97.058823529411768</v>
      </c>
      <c r="Z432" t="s">
        <v>40</v>
      </c>
      <c r="AA432" t="s">
        <v>39</v>
      </c>
      <c r="AB432" t="s">
        <v>38</v>
      </c>
      <c r="AC432" s="24">
        <v>-1.8200000000000022E-2</v>
      </c>
    </row>
    <row r="433" spans="1:29" x14ac:dyDescent="0.3">
      <c r="A433" s="2">
        <v>465</v>
      </c>
      <c r="B433" s="1">
        <v>40564</v>
      </c>
      <c r="C433" s="2">
        <v>1</v>
      </c>
      <c r="D433" s="2">
        <v>9</v>
      </c>
      <c r="E433" t="b">
        <v>0</v>
      </c>
      <c r="F433" s="2">
        <v>5</v>
      </c>
      <c r="G433" s="2">
        <v>1</v>
      </c>
      <c r="H433" s="23">
        <v>0.2</v>
      </c>
      <c r="I433" s="25">
        <v>0.18179999999999999</v>
      </c>
      <c r="J433" s="23">
        <v>0.51</v>
      </c>
      <c r="K433" s="25">
        <v>0.35820000000000002</v>
      </c>
      <c r="L433" s="2">
        <v>7</v>
      </c>
      <c r="M433" s="2">
        <v>159</v>
      </c>
      <c r="N433" s="2">
        <v>166</v>
      </c>
      <c r="O433" t="s">
        <v>29</v>
      </c>
      <c r="P433" t="s">
        <v>59</v>
      </c>
      <c r="Q433" t="s">
        <v>31</v>
      </c>
      <c r="R433" t="s">
        <v>42</v>
      </c>
      <c r="S433" t="s">
        <v>33</v>
      </c>
      <c r="T433" t="s">
        <v>49</v>
      </c>
      <c r="U433" t="s">
        <v>53</v>
      </c>
      <c r="V433" t="s">
        <v>36</v>
      </c>
      <c r="W433" t="s">
        <v>37</v>
      </c>
      <c r="X433" s="24">
        <v>4.2168674698795181</v>
      </c>
      <c r="Y433" s="24">
        <v>95.783132530120483</v>
      </c>
      <c r="Z433" t="s">
        <v>40</v>
      </c>
      <c r="AA433" t="s">
        <v>49</v>
      </c>
      <c r="AB433" t="s">
        <v>38</v>
      </c>
      <c r="AC433" s="24">
        <v>-1.8200000000000022E-2</v>
      </c>
    </row>
    <row r="434" spans="1:29" x14ac:dyDescent="0.3">
      <c r="A434" s="2">
        <v>757</v>
      </c>
      <c r="B434" s="1">
        <v>40577</v>
      </c>
      <c r="C434" s="2">
        <v>1</v>
      </c>
      <c r="D434" s="2">
        <v>22</v>
      </c>
      <c r="E434" t="b">
        <v>0</v>
      </c>
      <c r="F434" s="2">
        <v>4</v>
      </c>
      <c r="G434" s="2">
        <v>1</v>
      </c>
      <c r="H434" s="23">
        <v>0.18</v>
      </c>
      <c r="I434" s="25">
        <v>0.21210000000000001</v>
      </c>
      <c r="J434" s="23">
        <v>0.51</v>
      </c>
      <c r="K434" s="25">
        <v>8.9599999999999999E-2</v>
      </c>
      <c r="L434" s="2">
        <v>2</v>
      </c>
      <c r="M434" s="2">
        <v>39</v>
      </c>
      <c r="N434" s="2">
        <v>41</v>
      </c>
      <c r="O434" t="s">
        <v>29</v>
      </c>
      <c r="P434" t="s">
        <v>58</v>
      </c>
      <c r="Q434" t="s">
        <v>31</v>
      </c>
      <c r="R434" t="s">
        <v>32</v>
      </c>
      <c r="S434" t="s">
        <v>33</v>
      </c>
      <c r="T434" t="s">
        <v>49</v>
      </c>
      <c r="U434" t="s">
        <v>35</v>
      </c>
      <c r="V434" t="s">
        <v>36</v>
      </c>
      <c r="W434" t="s">
        <v>37</v>
      </c>
      <c r="X434" s="24">
        <v>4.8780487804878048</v>
      </c>
      <c r="Y434" s="24">
        <v>95.121951219512198</v>
      </c>
      <c r="Z434" t="s">
        <v>38</v>
      </c>
      <c r="AA434" t="s">
        <v>39</v>
      </c>
      <c r="AB434" t="s">
        <v>38</v>
      </c>
      <c r="AC434" s="24">
        <v>3.2100000000000017E-2</v>
      </c>
    </row>
    <row r="435" spans="1:29" x14ac:dyDescent="0.3">
      <c r="A435" s="2">
        <v>768</v>
      </c>
      <c r="B435" s="1">
        <v>40578</v>
      </c>
      <c r="C435" s="2">
        <v>1</v>
      </c>
      <c r="D435" s="2">
        <v>10</v>
      </c>
      <c r="E435" t="b">
        <v>0</v>
      </c>
      <c r="F435" s="2">
        <v>5</v>
      </c>
      <c r="G435" s="2">
        <v>2</v>
      </c>
      <c r="H435" s="23">
        <v>0.2</v>
      </c>
      <c r="I435" s="25">
        <v>0.21210000000000001</v>
      </c>
      <c r="J435" s="23">
        <v>0.51</v>
      </c>
      <c r="K435" s="25">
        <v>0.1343</v>
      </c>
      <c r="L435" s="2">
        <v>5</v>
      </c>
      <c r="M435" s="2">
        <v>46</v>
      </c>
      <c r="N435" s="2">
        <v>51</v>
      </c>
      <c r="O435" t="s">
        <v>29</v>
      </c>
      <c r="P435" t="s">
        <v>59</v>
      </c>
      <c r="Q435" t="s">
        <v>41</v>
      </c>
      <c r="R435" t="s">
        <v>42</v>
      </c>
      <c r="S435" t="s">
        <v>33</v>
      </c>
      <c r="T435" t="s">
        <v>49</v>
      </c>
      <c r="U435" t="s">
        <v>35</v>
      </c>
      <c r="V435" t="s">
        <v>36</v>
      </c>
      <c r="W435" t="s">
        <v>37</v>
      </c>
      <c r="X435" s="24">
        <v>9.8039215686274517</v>
      </c>
      <c r="Y435" s="24">
        <v>90.196078431372555</v>
      </c>
      <c r="Z435" t="s">
        <v>38</v>
      </c>
      <c r="AA435" t="s">
        <v>39</v>
      </c>
      <c r="AB435" t="s">
        <v>38</v>
      </c>
      <c r="AC435" s="24">
        <v>1.21E-2</v>
      </c>
    </row>
    <row r="436" spans="1:29" x14ac:dyDescent="0.3">
      <c r="A436" s="2">
        <v>769</v>
      </c>
      <c r="B436" s="1">
        <v>40578</v>
      </c>
      <c r="C436" s="2">
        <v>1</v>
      </c>
      <c r="D436" s="2">
        <v>11</v>
      </c>
      <c r="E436" t="b">
        <v>0</v>
      </c>
      <c r="F436" s="2">
        <v>5</v>
      </c>
      <c r="G436" s="2">
        <v>1</v>
      </c>
      <c r="H436" s="23">
        <v>0.22</v>
      </c>
      <c r="I436" s="25">
        <v>0.2273</v>
      </c>
      <c r="J436" s="23">
        <v>0.51</v>
      </c>
      <c r="K436" s="25">
        <v>0.16420000000000001</v>
      </c>
      <c r="L436" s="2">
        <v>3</v>
      </c>
      <c r="M436" s="2">
        <v>61</v>
      </c>
      <c r="N436" s="2">
        <v>64</v>
      </c>
      <c r="O436" t="s">
        <v>29</v>
      </c>
      <c r="P436" t="s">
        <v>59</v>
      </c>
      <c r="Q436" t="s">
        <v>31</v>
      </c>
      <c r="R436" t="s">
        <v>42</v>
      </c>
      <c r="S436" t="s">
        <v>33</v>
      </c>
      <c r="T436" t="s">
        <v>49</v>
      </c>
      <c r="U436" t="s">
        <v>46</v>
      </c>
      <c r="V436" t="s">
        <v>36</v>
      </c>
      <c r="W436" t="s">
        <v>37</v>
      </c>
      <c r="X436" s="24">
        <v>4.6875</v>
      </c>
      <c r="Y436" s="24">
        <v>95.3125</v>
      </c>
      <c r="Z436" t="s">
        <v>38</v>
      </c>
      <c r="AA436" t="s">
        <v>39</v>
      </c>
      <c r="AB436" t="s">
        <v>38</v>
      </c>
      <c r="AC436" s="24">
        <v>7.3000000000000009E-3</v>
      </c>
    </row>
    <row r="437" spans="1:29" x14ac:dyDescent="0.3">
      <c r="A437" s="2">
        <v>969</v>
      </c>
      <c r="B437" s="1">
        <v>40586</v>
      </c>
      <c r="C437" s="2">
        <v>1</v>
      </c>
      <c r="D437" s="2">
        <v>23</v>
      </c>
      <c r="E437" t="b">
        <v>0</v>
      </c>
      <c r="F437" s="2">
        <v>6</v>
      </c>
      <c r="G437" s="2">
        <v>1</v>
      </c>
      <c r="H437" s="23">
        <v>0.22</v>
      </c>
      <c r="I437" s="25">
        <v>0.2273</v>
      </c>
      <c r="J437" s="23">
        <v>0.51</v>
      </c>
      <c r="K437" s="25">
        <v>0.1343</v>
      </c>
      <c r="L437" s="2">
        <v>1</v>
      </c>
      <c r="M437" s="2">
        <v>31</v>
      </c>
      <c r="N437" s="2">
        <v>32</v>
      </c>
      <c r="O437" t="s">
        <v>29</v>
      </c>
      <c r="P437" t="s">
        <v>30</v>
      </c>
      <c r="Q437" t="s">
        <v>31</v>
      </c>
      <c r="R437" t="s">
        <v>32</v>
      </c>
      <c r="S437" t="s">
        <v>33</v>
      </c>
      <c r="T437" t="s">
        <v>49</v>
      </c>
      <c r="U437" t="s">
        <v>35</v>
      </c>
      <c r="V437" t="s">
        <v>36</v>
      </c>
      <c r="W437" t="s">
        <v>37</v>
      </c>
      <c r="X437" s="24">
        <v>3.125</v>
      </c>
      <c r="Y437" s="24">
        <v>96.875</v>
      </c>
      <c r="Z437" t="s">
        <v>38</v>
      </c>
      <c r="AA437" t="s">
        <v>39</v>
      </c>
      <c r="AB437" t="s">
        <v>40</v>
      </c>
      <c r="AC437" s="24">
        <v>7.3000000000000009E-3</v>
      </c>
    </row>
    <row r="438" spans="1:29" x14ac:dyDescent="0.3">
      <c r="A438" s="2">
        <v>83</v>
      </c>
      <c r="B438" s="1">
        <v>40547</v>
      </c>
      <c r="C438" s="2">
        <v>1</v>
      </c>
      <c r="D438" s="2">
        <v>14</v>
      </c>
      <c r="E438" t="b">
        <v>0</v>
      </c>
      <c r="F438" s="2">
        <v>2</v>
      </c>
      <c r="G438" s="2">
        <v>1</v>
      </c>
      <c r="H438" s="23">
        <v>0.26</v>
      </c>
      <c r="I438" s="25">
        <v>0.2576</v>
      </c>
      <c r="J438" s="23">
        <v>0.52</v>
      </c>
      <c r="K438" s="25">
        <v>0.22389999999999999</v>
      </c>
      <c r="L438" s="2">
        <v>9</v>
      </c>
      <c r="M438" s="2">
        <v>54</v>
      </c>
      <c r="N438" s="2">
        <v>63</v>
      </c>
      <c r="O438" t="s">
        <v>29</v>
      </c>
      <c r="P438" t="s">
        <v>56</v>
      </c>
      <c r="Q438" t="s">
        <v>31</v>
      </c>
      <c r="R438" t="s">
        <v>47</v>
      </c>
      <c r="S438" t="s">
        <v>44</v>
      </c>
      <c r="T438" t="s">
        <v>49</v>
      </c>
      <c r="U438" t="s">
        <v>46</v>
      </c>
      <c r="V438" t="s">
        <v>36</v>
      </c>
      <c r="W438" t="s">
        <v>37</v>
      </c>
      <c r="X438" s="24">
        <v>14.285714285714279</v>
      </c>
      <c r="Y438" s="24">
        <v>85.714285714285708</v>
      </c>
      <c r="Z438" t="s">
        <v>38</v>
      </c>
      <c r="AA438" t="s">
        <v>39</v>
      </c>
      <c r="AB438" t="s">
        <v>38</v>
      </c>
      <c r="AC438" s="24">
        <v>-2.4000000000000128E-3</v>
      </c>
    </row>
    <row r="439" spans="1:29" x14ac:dyDescent="0.3">
      <c r="A439" s="2">
        <v>84</v>
      </c>
      <c r="B439" s="1">
        <v>40547</v>
      </c>
      <c r="C439" s="2">
        <v>1</v>
      </c>
      <c r="D439" s="2">
        <v>15</v>
      </c>
      <c r="E439" t="b">
        <v>0</v>
      </c>
      <c r="F439" s="2">
        <v>2</v>
      </c>
      <c r="G439" s="2">
        <v>1</v>
      </c>
      <c r="H439" s="23">
        <v>0.28000000000000003</v>
      </c>
      <c r="I439" s="25">
        <v>0.2727</v>
      </c>
      <c r="J439" s="23">
        <v>0.52</v>
      </c>
      <c r="K439" s="25">
        <v>0.25369999999999998</v>
      </c>
      <c r="L439" s="2">
        <v>17</v>
      </c>
      <c r="M439" s="2">
        <v>48</v>
      </c>
      <c r="N439" s="2">
        <v>65</v>
      </c>
      <c r="O439" t="s">
        <v>29</v>
      </c>
      <c r="P439" t="s">
        <v>56</v>
      </c>
      <c r="Q439" t="s">
        <v>31</v>
      </c>
      <c r="R439" t="s">
        <v>47</v>
      </c>
      <c r="S439" t="s">
        <v>44</v>
      </c>
      <c r="T439" t="s">
        <v>49</v>
      </c>
      <c r="U439" t="s">
        <v>46</v>
      </c>
      <c r="V439" t="s">
        <v>36</v>
      </c>
      <c r="W439" t="s">
        <v>37</v>
      </c>
      <c r="X439" s="24">
        <v>26.15384615384616</v>
      </c>
      <c r="Y439" s="24">
        <v>73.846153846153854</v>
      </c>
      <c r="Z439" t="s">
        <v>38</v>
      </c>
      <c r="AA439" t="s">
        <v>39</v>
      </c>
      <c r="AB439" t="s">
        <v>38</v>
      </c>
      <c r="AC439" s="24">
        <v>-7.3000000000000287E-3</v>
      </c>
    </row>
    <row r="440" spans="1:29" x14ac:dyDescent="0.3">
      <c r="A440" s="2">
        <v>430</v>
      </c>
      <c r="B440" s="1">
        <v>40562</v>
      </c>
      <c r="C440" s="2">
        <v>1</v>
      </c>
      <c r="D440" s="2">
        <v>22</v>
      </c>
      <c r="E440" t="b">
        <v>0</v>
      </c>
      <c r="F440" s="2">
        <v>3</v>
      </c>
      <c r="G440" s="2">
        <v>1</v>
      </c>
      <c r="H440" s="23">
        <v>0.3</v>
      </c>
      <c r="I440" s="25">
        <v>0.30299999999999999</v>
      </c>
      <c r="J440" s="23">
        <v>0.52</v>
      </c>
      <c r="K440" s="25">
        <v>0.16420000000000001</v>
      </c>
      <c r="L440" s="2">
        <v>6</v>
      </c>
      <c r="M440" s="2">
        <v>53</v>
      </c>
      <c r="N440" s="2">
        <v>59</v>
      </c>
      <c r="O440" t="s">
        <v>29</v>
      </c>
      <c r="P440" t="s">
        <v>57</v>
      </c>
      <c r="Q440" t="s">
        <v>31</v>
      </c>
      <c r="R440" t="s">
        <v>32</v>
      </c>
      <c r="S440" t="s">
        <v>44</v>
      </c>
      <c r="T440" t="s">
        <v>49</v>
      </c>
      <c r="U440" t="s">
        <v>46</v>
      </c>
      <c r="V440" t="s">
        <v>36</v>
      </c>
      <c r="W440" t="s">
        <v>37</v>
      </c>
      <c r="X440" s="24">
        <v>10.16949152542373</v>
      </c>
      <c r="Y440" s="24">
        <v>89.830508474576277</v>
      </c>
      <c r="Z440" t="s">
        <v>38</v>
      </c>
      <c r="AA440" t="s">
        <v>39</v>
      </c>
      <c r="AB440" t="s">
        <v>38</v>
      </c>
      <c r="AC440" s="24">
        <v>3.0000000000000031E-3</v>
      </c>
    </row>
    <row r="441" spans="1:29" x14ac:dyDescent="0.3">
      <c r="A441" s="2">
        <v>431</v>
      </c>
      <c r="B441" s="1">
        <v>40562</v>
      </c>
      <c r="C441" s="2">
        <v>1</v>
      </c>
      <c r="D441" s="2">
        <v>23</v>
      </c>
      <c r="E441" t="b">
        <v>0</v>
      </c>
      <c r="F441" s="2">
        <v>3</v>
      </c>
      <c r="G441" s="2">
        <v>1</v>
      </c>
      <c r="H441" s="23">
        <v>0.3</v>
      </c>
      <c r="I441" s="25">
        <v>0.2727</v>
      </c>
      <c r="J441" s="23">
        <v>0.52</v>
      </c>
      <c r="K441" s="25">
        <v>0.4627</v>
      </c>
      <c r="L441" s="2">
        <v>1</v>
      </c>
      <c r="M441" s="2">
        <v>27</v>
      </c>
      <c r="N441" s="2">
        <v>28</v>
      </c>
      <c r="O441" t="s">
        <v>29</v>
      </c>
      <c r="P441" t="s">
        <v>57</v>
      </c>
      <c r="Q441" t="s">
        <v>31</v>
      </c>
      <c r="R441" t="s">
        <v>32</v>
      </c>
      <c r="S441" t="s">
        <v>44</v>
      </c>
      <c r="T441" t="s">
        <v>49</v>
      </c>
      <c r="U441" t="s">
        <v>53</v>
      </c>
      <c r="V441" t="s">
        <v>36</v>
      </c>
      <c r="W441" t="s">
        <v>37</v>
      </c>
      <c r="X441" s="24">
        <v>3.5714285714285712</v>
      </c>
      <c r="Y441" s="24">
        <v>96.428571428571431</v>
      </c>
      <c r="Z441" t="s">
        <v>38</v>
      </c>
      <c r="AA441" t="s">
        <v>39</v>
      </c>
      <c r="AB441" t="s">
        <v>38</v>
      </c>
      <c r="AC441" s="24">
        <v>-2.7299999999999991E-2</v>
      </c>
    </row>
    <row r="442" spans="1:29" x14ac:dyDescent="0.3">
      <c r="A442" s="2">
        <v>441</v>
      </c>
      <c r="B442" s="1">
        <v>40563</v>
      </c>
      <c r="C442" s="2">
        <v>1</v>
      </c>
      <c r="D442" s="2">
        <v>9</v>
      </c>
      <c r="E442" t="b">
        <v>0</v>
      </c>
      <c r="F442" s="2">
        <v>4</v>
      </c>
      <c r="G442" s="2">
        <v>2</v>
      </c>
      <c r="H442" s="23">
        <v>0.24</v>
      </c>
      <c r="I442" s="25">
        <v>0.2273</v>
      </c>
      <c r="J442" s="23">
        <v>0.52</v>
      </c>
      <c r="K442" s="25">
        <v>0.22389999999999999</v>
      </c>
      <c r="L442" s="2">
        <v>3</v>
      </c>
      <c r="M442" s="2">
        <v>140</v>
      </c>
      <c r="N442" s="2">
        <v>143</v>
      </c>
      <c r="O442" t="s">
        <v>29</v>
      </c>
      <c r="P442" t="s">
        <v>58</v>
      </c>
      <c r="Q442" t="s">
        <v>41</v>
      </c>
      <c r="R442" t="s">
        <v>42</v>
      </c>
      <c r="S442" t="s">
        <v>33</v>
      </c>
      <c r="T442" t="s">
        <v>49</v>
      </c>
      <c r="U442" t="s">
        <v>46</v>
      </c>
      <c r="V442" t="s">
        <v>36</v>
      </c>
      <c r="W442" t="s">
        <v>37</v>
      </c>
      <c r="X442" s="24">
        <v>2.0979020979020979</v>
      </c>
      <c r="Y442" s="24">
        <v>97.902097902097907</v>
      </c>
      <c r="Z442" t="s">
        <v>40</v>
      </c>
      <c r="AA442" t="s">
        <v>49</v>
      </c>
      <c r="AB442" t="s">
        <v>38</v>
      </c>
      <c r="AC442" s="24">
        <v>-1.2699999999999991E-2</v>
      </c>
    </row>
    <row r="443" spans="1:29" x14ac:dyDescent="0.3">
      <c r="A443" s="2">
        <v>653</v>
      </c>
      <c r="B443" s="1">
        <v>40573</v>
      </c>
      <c r="C443" s="2">
        <v>1</v>
      </c>
      <c r="D443" s="2">
        <v>12</v>
      </c>
      <c r="E443" t="b">
        <v>0</v>
      </c>
      <c r="F443" s="2">
        <v>0</v>
      </c>
      <c r="G443" s="2">
        <v>1</v>
      </c>
      <c r="H443" s="23">
        <v>0.3</v>
      </c>
      <c r="I443" s="25">
        <v>0.31819999999999998</v>
      </c>
      <c r="J443" s="23">
        <v>0.52</v>
      </c>
      <c r="K443" s="25">
        <v>0.1045</v>
      </c>
      <c r="L443" s="2">
        <v>10</v>
      </c>
      <c r="M443" s="2">
        <v>87</v>
      </c>
      <c r="N443" s="2">
        <v>97</v>
      </c>
      <c r="O443" t="s">
        <v>29</v>
      </c>
      <c r="P443" t="s">
        <v>52</v>
      </c>
      <c r="Q443" t="s">
        <v>31</v>
      </c>
      <c r="R443" t="s">
        <v>47</v>
      </c>
      <c r="S443" t="s">
        <v>44</v>
      </c>
      <c r="T443" t="s">
        <v>49</v>
      </c>
      <c r="U443" t="s">
        <v>35</v>
      </c>
      <c r="V443" t="s">
        <v>36</v>
      </c>
      <c r="W443" t="s">
        <v>37</v>
      </c>
      <c r="X443" s="24">
        <v>10.309278350515459</v>
      </c>
      <c r="Y443" s="24">
        <v>89.690721649484544</v>
      </c>
      <c r="Z443" t="s">
        <v>38</v>
      </c>
      <c r="AA443" t="s">
        <v>39</v>
      </c>
      <c r="AB443" t="s">
        <v>40</v>
      </c>
      <c r="AC443" s="24">
        <v>1.819999999999999E-2</v>
      </c>
    </row>
    <row r="444" spans="1:29" x14ac:dyDescent="0.3">
      <c r="A444" s="2">
        <v>816</v>
      </c>
      <c r="B444" s="1">
        <v>40580</v>
      </c>
      <c r="C444" s="2">
        <v>1</v>
      </c>
      <c r="D444" s="2">
        <v>10</v>
      </c>
      <c r="E444" t="b">
        <v>0</v>
      </c>
      <c r="F444" s="2">
        <v>0</v>
      </c>
      <c r="G444" s="2">
        <v>1</v>
      </c>
      <c r="H444" s="23">
        <v>0.3</v>
      </c>
      <c r="I444" s="25">
        <v>0.28789999999999999</v>
      </c>
      <c r="J444" s="23">
        <v>0.52</v>
      </c>
      <c r="K444" s="25">
        <v>0.25369999999999998</v>
      </c>
      <c r="L444" s="2">
        <v>15</v>
      </c>
      <c r="M444" s="2">
        <v>74</v>
      </c>
      <c r="N444" s="2">
        <v>89</v>
      </c>
      <c r="O444" t="s">
        <v>29</v>
      </c>
      <c r="P444" t="s">
        <v>52</v>
      </c>
      <c r="Q444" t="s">
        <v>31</v>
      </c>
      <c r="R444" t="s">
        <v>42</v>
      </c>
      <c r="S444" t="s">
        <v>44</v>
      </c>
      <c r="T444" t="s">
        <v>49</v>
      </c>
      <c r="U444" t="s">
        <v>46</v>
      </c>
      <c r="V444" t="s">
        <v>36</v>
      </c>
      <c r="W444" t="s">
        <v>37</v>
      </c>
      <c r="X444" s="24">
        <v>16.853932584269661</v>
      </c>
      <c r="Y444" s="24">
        <v>83.146067415730343</v>
      </c>
      <c r="Z444" t="s">
        <v>38</v>
      </c>
      <c r="AA444" t="s">
        <v>39</v>
      </c>
      <c r="AB444" t="s">
        <v>40</v>
      </c>
      <c r="AC444" s="24">
        <v>-1.21E-2</v>
      </c>
    </row>
    <row r="445" spans="1:29" x14ac:dyDescent="0.3">
      <c r="A445" s="2">
        <v>863</v>
      </c>
      <c r="B445" s="1">
        <v>40582</v>
      </c>
      <c r="C445" s="2">
        <v>1</v>
      </c>
      <c r="D445" s="2">
        <v>9</v>
      </c>
      <c r="E445" t="b">
        <v>0</v>
      </c>
      <c r="F445" s="2">
        <v>2</v>
      </c>
      <c r="G445" s="2">
        <v>1</v>
      </c>
      <c r="H445" s="23">
        <v>0.24</v>
      </c>
      <c r="I445" s="25">
        <v>0.19700000000000001</v>
      </c>
      <c r="J445" s="23">
        <v>0.52</v>
      </c>
      <c r="K445" s="25">
        <v>0.49249999999999999</v>
      </c>
      <c r="L445" s="2">
        <v>7</v>
      </c>
      <c r="M445" s="2">
        <v>128</v>
      </c>
      <c r="N445" s="2">
        <v>135</v>
      </c>
      <c r="O445" t="s">
        <v>29</v>
      </c>
      <c r="P445" t="s">
        <v>56</v>
      </c>
      <c r="Q445" t="s">
        <v>31</v>
      </c>
      <c r="R445" t="s">
        <v>42</v>
      </c>
      <c r="S445" t="s">
        <v>33</v>
      </c>
      <c r="T445" t="s">
        <v>49</v>
      </c>
      <c r="U445" t="s">
        <v>53</v>
      </c>
      <c r="V445" t="s">
        <v>36</v>
      </c>
      <c r="W445" t="s">
        <v>37</v>
      </c>
      <c r="X445" s="24">
        <v>5.1851851851851851</v>
      </c>
      <c r="Y445" s="24">
        <v>94.814814814814824</v>
      </c>
      <c r="Z445" t="s">
        <v>40</v>
      </c>
      <c r="AA445" t="s">
        <v>49</v>
      </c>
      <c r="AB445" t="s">
        <v>38</v>
      </c>
      <c r="AC445" s="24">
        <v>-4.2999999999999983E-2</v>
      </c>
    </row>
    <row r="446" spans="1:29" x14ac:dyDescent="0.3">
      <c r="A446" s="2">
        <v>190</v>
      </c>
      <c r="B446" s="1">
        <v>40552</v>
      </c>
      <c r="C446" s="2">
        <v>1</v>
      </c>
      <c r="D446" s="2">
        <v>4</v>
      </c>
      <c r="E446" t="b">
        <v>0</v>
      </c>
      <c r="F446" s="2">
        <v>0</v>
      </c>
      <c r="G446" s="2">
        <v>1</v>
      </c>
      <c r="H446" s="23">
        <v>0.08</v>
      </c>
      <c r="I446" s="25">
        <v>9.0899999999999995E-2</v>
      </c>
      <c r="J446" s="23">
        <v>0.53</v>
      </c>
      <c r="K446" s="25">
        <v>0.19400000000000001</v>
      </c>
      <c r="L446" s="2">
        <v>0</v>
      </c>
      <c r="M446" s="2">
        <v>1</v>
      </c>
      <c r="N446" s="2">
        <v>1</v>
      </c>
      <c r="O446" t="s">
        <v>29</v>
      </c>
      <c r="P446" t="s">
        <v>52</v>
      </c>
      <c r="Q446" t="s">
        <v>31</v>
      </c>
      <c r="R446" t="s">
        <v>32</v>
      </c>
      <c r="S446" t="s">
        <v>55</v>
      </c>
      <c r="T446" t="s">
        <v>49</v>
      </c>
      <c r="U446" t="s">
        <v>46</v>
      </c>
      <c r="V446" t="s">
        <v>36</v>
      </c>
      <c r="W446" t="s">
        <v>37</v>
      </c>
      <c r="X446" s="24">
        <v>0</v>
      </c>
      <c r="Y446" s="24">
        <v>100</v>
      </c>
      <c r="Z446" t="s">
        <v>38</v>
      </c>
      <c r="AA446" t="s">
        <v>39</v>
      </c>
      <c r="AB446" t="s">
        <v>40</v>
      </c>
      <c r="AC446" s="24">
        <v>1.089999999999999E-2</v>
      </c>
    </row>
    <row r="447" spans="1:29" x14ac:dyDescent="0.3">
      <c r="A447" s="2">
        <v>191</v>
      </c>
      <c r="B447" s="1">
        <v>40552</v>
      </c>
      <c r="C447" s="2">
        <v>1</v>
      </c>
      <c r="D447" s="2">
        <v>5</v>
      </c>
      <c r="E447" t="b">
        <v>0</v>
      </c>
      <c r="F447" s="2">
        <v>0</v>
      </c>
      <c r="G447" s="2">
        <v>1</v>
      </c>
      <c r="H447" s="23">
        <v>0.08</v>
      </c>
      <c r="I447" s="25">
        <v>9.0899999999999995E-2</v>
      </c>
      <c r="J447" s="23">
        <v>0.53</v>
      </c>
      <c r="K447" s="25">
        <v>0.19400000000000001</v>
      </c>
      <c r="L447" s="2">
        <v>0</v>
      </c>
      <c r="M447" s="2">
        <v>1</v>
      </c>
      <c r="N447" s="2">
        <v>1</v>
      </c>
      <c r="O447" t="s">
        <v>29</v>
      </c>
      <c r="P447" t="s">
        <v>52</v>
      </c>
      <c r="Q447" t="s">
        <v>31</v>
      </c>
      <c r="R447" t="s">
        <v>32</v>
      </c>
      <c r="S447" t="s">
        <v>55</v>
      </c>
      <c r="T447" t="s">
        <v>49</v>
      </c>
      <c r="U447" t="s">
        <v>46</v>
      </c>
      <c r="V447" t="s">
        <v>36</v>
      </c>
      <c r="W447" t="s">
        <v>37</v>
      </c>
      <c r="X447" s="24">
        <v>0</v>
      </c>
      <c r="Y447" s="24">
        <v>100</v>
      </c>
      <c r="Z447" t="s">
        <v>38</v>
      </c>
      <c r="AA447" t="s">
        <v>39</v>
      </c>
      <c r="AB447" t="s">
        <v>40</v>
      </c>
      <c r="AC447" s="24">
        <v>1.089999999999999E-2</v>
      </c>
    </row>
    <row r="448" spans="1:29" x14ac:dyDescent="0.3">
      <c r="A448" s="2">
        <v>193</v>
      </c>
      <c r="B448" s="1">
        <v>40552</v>
      </c>
      <c r="C448" s="2">
        <v>1</v>
      </c>
      <c r="D448" s="2">
        <v>7</v>
      </c>
      <c r="E448" t="b">
        <v>0</v>
      </c>
      <c r="F448" s="2">
        <v>0</v>
      </c>
      <c r="G448" s="2">
        <v>1</v>
      </c>
      <c r="H448" s="23">
        <v>0.08</v>
      </c>
      <c r="I448" s="25">
        <v>9.0899999999999995E-2</v>
      </c>
      <c r="J448" s="23">
        <v>0.53</v>
      </c>
      <c r="K448" s="25">
        <v>0.19400000000000001</v>
      </c>
      <c r="L448" s="2">
        <v>1</v>
      </c>
      <c r="M448" s="2">
        <v>5</v>
      </c>
      <c r="N448" s="2">
        <v>6</v>
      </c>
      <c r="O448" t="s">
        <v>29</v>
      </c>
      <c r="P448" t="s">
        <v>52</v>
      </c>
      <c r="Q448" t="s">
        <v>31</v>
      </c>
      <c r="R448" t="s">
        <v>42</v>
      </c>
      <c r="S448" t="s">
        <v>55</v>
      </c>
      <c r="T448" t="s">
        <v>49</v>
      </c>
      <c r="U448" t="s">
        <v>46</v>
      </c>
      <c r="V448" t="s">
        <v>36</v>
      </c>
      <c r="W448" t="s">
        <v>37</v>
      </c>
      <c r="X448" s="24">
        <v>16.666666666666661</v>
      </c>
      <c r="Y448" s="24">
        <v>83.333333333333343</v>
      </c>
      <c r="Z448" t="s">
        <v>40</v>
      </c>
      <c r="AA448" t="s">
        <v>39</v>
      </c>
      <c r="AB448" t="s">
        <v>40</v>
      </c>
      <c r="AC448" s="24">
        <v>1.089999999999999E-2</v>
      </c>
    </row>
    <row r="449" spans="1:29" x14ac:dyDescent="0.3">
      <c r="A449" s="2">
        <v>729</v>
      </c>
      <c r="B449" s="1">
        <v>40576</v>
      </c>
      <c r="C449" s="2">
        <v>1</v>
      </c>
      <c r="D449" s="2">
        <v>17</v>
      </c>
      <c r="E449" t="b">
        <v>0</v>
      </c>
      <c r="F449" s="2">
        <v>3</v>
      </c>
      <c r="G449" s="2">
        <v>1</v>
      </c>
      <c r="H449" s="23">
        <v>0.36</v>
      </c>
      <c r="I449" s="25">
        <v>0.31819999999999998</v>
      </c>
      <c r="J449" s="23">
        <v>0.53</v>
      </c>
      <c r="K449" s="25">
        <v>0.52239999999999998</v>
      </c>
      <c r="L449" s="2">
        <v>7</v>
      </c>
      <c r="M449" s="2">
        <v>183</v>
      </c>
      <c r="N449" s="2">
        <v>190</v>
      </c>
      <c r="O449" t="s">
        <v>29</v>
      </c>
      <c r="P449" t="s">
        <v>57</v>
      </c>
      <c r="Q449" t="s">
        <v>31</v>
      </c>
      <c r="R449" t="s">
        <v>50</v>
      </c>
      <c r="S449" t="s">
        <v>45</v>
      </c>
      <c r="T449" t="s">
        <v>49</v>
      </c>
      <c r="U449" t="s">
        <v>53</v>
      </c>
      <c r="V449" t="s">
        <v>36</v>
      </c>
      <c r="W449" t="s">
        <v>37</v>
      </c>
      <c r="X449" s="24">
        <v>3.6842105263157889</v>
      </c>
      <c r="Y449" s="24">
        <v>96.315789473684205</v>
      </c>
      <c r="Z449" t="s">
        <v>40</v>
      </c>
      <c r="AA449" t="s">
        <v>49</v>
      </c>
      <c r="AB449" t="s">
        <v>38</v>
      </c>
      <c r="AC449" s="24">
        <v>-4.1799999999999997E-2</v>
      </c>
    </row>
    <row r="450" spans="1:29" x14ac:dyDescent="0.3">
      <c r="A450" s="2">
        <v>997</v>
      </c>
      <c r="B450" s="1">
        <v>40588</v>
      </c>
      <c r="C450" s="2">
        <v>1</v>
      </c>
      <c r="D450" s="2">
        <v>4</v>
      </c>
      <c r="E450" t="b">
        <v>0</v>
      </c>
      <c r="F450" s="2">
        <v>1</v>
      </c>
      <c r="G450" s="2">
        <v>1</v>
      </c>
      <c r="H450" s="23">
        <v>0.32</v>
      </c>
      <c r="I450" s="25">
        <v>0.30299999999999999</v>
      </c>
      <c r="J450" s="23">
        <v>0.53</v>
      </c>
      <c r="K450" s="25">
        <v>0.28360000000000002</v>
      </c>
      <c r="L450" s="2">
        <v>0</v>
      </c>
      <c r="M450" s="2">
        <v>2</v>
      </c>
      <c r="N450" s="2">
        <v>2</v>
      </c>
      <c r="O450" t="s">
        <v>29</v>
      </c>
      <c r="P450" t="s">
        <v>54</v>
      </c>
      <c r="Q450" t="s">
        <v>31</v>
      </c>
      <c r="R450" t="s">
        <v>32</v>
      </c>
      <c r="S450" t="s">
        <v>44</v>
      </c>
      <c r="T450" t="s">
        <v>49</v>
      </c>
      <c r="U450" t="s">
        <v>46</v>
      </c>
      <c r="V450" t="s">
        <v>36</v>
      </c>
      <c r="W450" t="s">
        <v>37</v>
      </c>
      <c r="X450" s="24">
        <v>0</v>
      </c>
      <c r="Y450" s="24">
        <v>100</v>
      </c>
      <c r="Z450" t="s">
        <v>38</v>
      </c>
      <c r="AA450" t="s">
        <v>39</v>
      </c>
      <c r="AB450" t="s">
        <v>38</v>
      </c>
      <c r="AC450" s="24">
        <v>-1.7000000000000019E-2</v>
      </c>
    </row>
    <row r="451" spans="1:29" x14ac:dyDescent="0.3">
      <c r="A451" s="2">
        <v>998</v>
      </c>
      <c r="B451" s="1">
        <v>40588</v>
      </c>
      <c r="C451" s="2">
        <v>1</v>
      </c>
      <c r="D451" s="2">
        <v>5</v>
      </c>
      <c r="E451" t="b">
        <v>0</v>
      </c>
      <c r="F451" s="2">
        <v>1</v>
      </c>
      <c r="G451" s="2">
        <v>1</v>
      </c>
      <c r="H451" s="23">
        <v>0.32</v>
      </c>
      <c r="I451" s="25">
        <v>0.30299999999999999</v>
      </c>
      <c r="J451" s="23">
        <v>0.53</v>
      </c>
      <c r="K451" s="25">
        <v>0.28360000000000002</v>
      </c>
      <c r="L451" s="2">
        <v>0</v>
      </c>
      <c r="M451" s="2">
        <v>3</v>
      </c>
      <c r="N451" s="2">
        <v>3</v>
      </c>
      <c r="O451" t="s">
        <v>29</v>
      </c>
      <c r="P451" t="s">
        <v>54</v>
      </c>
      <c r="Q451" t="s">
        <v>31</v>
      </c>
      <c r="R451" t="s">
        <v>32</v>
      </c>
      <c r="S451" t="s">
        <v>44</v>
      </c>
      <c r="T451" t="s">
        <v>49</v>
      </c>
      <c r="U451" t="s">
        <v>46</v>
      </c>
      <c r="V451" t="s">
        <v>36</v>
      </c>
      <c r="W451" t="s">
        <v>37</v>
      </c>
      <c r="X451" s="24">
        <v>0</v>
      </c>
      <c r="Y451" s="24">
        <v>100</v>
      </c>
      <c r="Z451" t="s">
        <v>38</v>
      </c>
      <c r="AA451" t="s">
        <v>39</v>
      </c>
      <c r="AB451" t="s">
        <v>38</v>
      </c>
      <c r="AC451" s="24">
        <v>-1.7000000000000019E-2</v>
      </c>
    </row>
    <row r="452" spans="1:29" x14ac:dyDescent="0.3">
      <c r="A452" s="2">
        <v>214</v>
      </c>
      <c r="B452" s="1">
        <v>40553</v>
      </c>
      <c r="C452" s="2">
        <v>1</v>
      </c>
      <c r="D452" s="2">
        <v>4</v>
      </c>
      <c r="E452" t="b">
        <v>0</v>
      </c>
      <c r="F452" s="2">
        <v>1</v>
      </c>
      <c r="G452" s="2">
        <v>1</v>
      </c>
      <c r="H452" s="23">
        <v>0.1</v>
      </c>
      <c r="I452" s="25">
        <v>0.1212</v>
      </c>
      <c r="J452" s="23">
        <v>0.54</v>
      </c>
      <c r="K452" s="25">
        <v>0.1343</v>
      </c>
      <c r="L452" s="2">
        <v>1</v>
      </c>
      <c r="M452" s="2">
        <v>2</v>
      </c>
      <c r="N452" s="2">
        <v>3</v>
      </c>
      <c r="O452" t="s">
        <v>29</v>
      </c>
      <c r="P452" t="s">
        <v>54</v>
      </c>
      <c r="Q452" t="s">
        <v>31</v>
      </c>
      <c r="R452" t="s">
        <v>32</v>
      </c>
      <c r="S452" t="s">
        <v>55</v>
      </c>
      <c r="T452" t="s">
        <v>49</v>
      </c>
      <c r="U452" t="s">
        <v>35</v>
      </c>
      <c r="V452" t="s">
        <v>36</v>
      </c>
      <c r="W452" t="s">
        <v>37</v>
      </c>
      <c r="X452" s="24">
        <v>33.333333333333329</v>
      </c>
      <c r="Y452" s="24">
        <v>66.666666666666657</v>
      </c>
      <c r="Z452" t="s">
        <v>38</v>
      </c>
      <c r="AA452" t="s">
        <v>39</v>
      </c>
      <c r="AB452" t="s">
        <v>38</v>
      </c>
      <c r="AC452" s="24">
        <v>2.12E-2</v>
      </c>
    </row>
    <row r="453" spans="1:29" x14ac:dyDescent="0.3">
      <c r="A453" s="2">
        <v>215</v>
      </c>
      <c r="B453" s="1">
        <v>40553</v>
      </c>
      <c r="C453" s="2">
        <v>1</v>
      </c>
      <c r="D453" s="2">
        <v>5</v>
      </c>
      <c r="E453" t="b">
        <v>0</v>
      </c>
      <c r="F453" s="2">
        <v>1</v>
      </c>
      <c r="G453" s="2">
        <v>1</v>
      </c>
      <c r="H453" s="23">
        <v>0.1</v>
      </c>
      <c r="I453" s="25">
        <v>0.1061</v>
      </c>
      <c r="J453" s="23">
        <v>0.54</v>
      </c>
      <c r="K453" s="25">
        <v>0.25369999999999998</v>
      </c>
      <c r="L453" s="2">
        <v>0</v>
      </c>
      <c r="M453" s="2">
        <v>3</v>
      </c>
      <c r="N453" s="2">
        <v>3</v>
      </c>
      <c r="O453" t="s">
        <v>29</v>
      </c>
      <c r="P453" t="s">
        <v>54</v>
      </c>
      <c r="Q453" t="s">
        <v>31</v>
      </c>
      <c r="R453" t="s">
        <v>32</v>
      </c>
      <c r="S453" t="s">
        <v>55</v>
      </c>
      <c r="T453" t="s">
        <v>49</v>
      </c>
      <c r="U453" t="s">
        <v>46</v>
      </c>
      <c r="V453" t="s">
        <v>36</v>
      </c>
      <c r="W453" t="s">
        <v>37</v>
      </c>
      <c r="X453" s="24">
        <v>0</v>
      </c>
      <c r="Y453" s="24">
        <v>100</v>
      </c>
      <c r="Z453" t="s">
        <v>38</v>
      </c>
      <c r="AA453" t="s">
        <v>39</v>
      </c>
      <c r="AB453" t="s">
        <v>38</v>
      </c>
      <c r="AC453" s="24">
        <v>6.0999999999999943E-3</v>
      </c>
    </row>
    <row r="454" spans="1:29" x14ac:dyDescent="0.3">
      <c r="A454" s="2">
        <v>284</v>
      </c>
      <c r="B454" s="1">
        <v>40556</v>
      </c>
      <c r="C454" s="2">
        <v>1</v>
      </c>
      <c r="D454" s="2">
        <v>6</v>
      </c>
      <c r="E454" t="b">
        <v>0</v>
      </c>
      <c r="F454" s="2">
        <v>4</v>
      </c>
      <c r="G454" s="2">
        <v>1</v>
      </c>
      <c r="H454" s="23">
        <v>0.12</v>
      </c>
      <c r="I454" s="25">
        <v>0.1515</v>
      </c>
      <c r="J454" s="23">
        <v>0.54</v>
      </c>
      <c r="K454" s="25">
        <v>0.1343</v>
      </c>
      <c r="L454" s="2">
        <v>0</v>
      </c>
      <c r="M454" s="2">
        <v>28</v>
      </c>
      <c r="N454" s="2">
        <v>28</v>
      </c>
      <c r="O454" t="s">
        <v>29</v>
      </c>
      <c r="P454" t="s">
        <v>58</v>
      </c>
      <c r="Q454" t="s">
        <v>31</v>
      </c>
      <c r="R454" t="s">
        <v>42</v>
      </c>
      <c r="S454" t="s">
        <v>55</v>
      </c>
      <c r="T454" t="s">
        <v>49</v>
      </c>
      <c r="U454" t="s">
        <v>35</v>
      </c>
      <c r="V454" t="s">
        <v>36</v>
      </c>
      <c r="W454" t="s">
        <v>37</v>
      </c>
      <c r="X454" s="24">
        <v>0</v>
      </c>
      <c r="Y454" s="24">
        <v>100</v>
      </c>
      <c r="Z454" t="s">
        <v>38</v>
      </c>
      <c r="AA454" t="s">
        <v>39</v>
      </c>
      <c r="AB454" t="s">
        <v>38</v>
      </c>
      <c r="AC454" s="24">
        <v>3.15E-2</v>
      </c>
    </row>
    <row r="455" spans="1:29" x14ac:dyDescent="0.3">
      <c r="A455" s="2">
        <v>285</v>
      </c>
      <c r="B455" s="1">
        <v>40556</v>
      </c>
      <c r="C455" s="2">
        <v>1</v>
      </c>
      <c r="D455" s="2">
        <v>7</v>
      </c>
      <c r="E455" t="b">
        <v>0</v>
      </c>
      <c r="F455" s="2">
        <v>4</v>
      </c>
      <c r="G455" s="2">
        <v>1</v>
      </c>
      <c r="H455" s="23">
        <v>0.12</v>
      </c>
      <c r="I455" s="25">
        <v>0.1515</v>
      </c>
      <c r="J455" s="23">
        <v>0.54</v>
      </c>
      <c r="K455" s="25">
        <v>0.1343</v>
      </c>
      <c r="L455" s="2">
        <v>0</v>
      </c>
      <c r="M455" s="2">
        <v>72</v>
      </c>
      <c r="N455" s="2">
        <v>72</v>
      </c>
      <c r="O455" t="s">
        <v>29</v>
      </c>
      <c r="P455" t="s">
        <v>58</v>
      </c>
      <c r="Q455" t="s">
        <v>31</v>
      </c>
      <c r="R455" t="s">
        <v>42</v>
      </c>
      <c r="S455" t="s">
        <v>55</v>
      </c>
      <c r="T455" t="s">
        <v>49</v>
      </c>
      <c r="U455" t="s">
        <v>35</v>
      </c>
      <c r="V455" t="s">
        <v>36</v>
      </c>
      <c r="W455" t="s">
        <v>37</v>
      </c>
      <c r="X455" s="24">
        <v>0</v>
      </c>
      <c r="Y455" s="24">
        <v>100</v>
      </c>
      <c r="Z455" t="s">
        <v>40</v>
      </c>
      <c r="AA455" t="s">
        <v>39</v>
      </c>
      <c r="AB455" t="s">
        <v>38</v>
      </c>
      <c r="AC455" s="24">
        <v>3.15E-2</v>
      </c>
    </row>
    <row r="456" spans="1:29" x14ac:dyDescent="0.3">
      <c r="A456" s="2">
        <v>303</v>
      </c>
      <c r="B456" s="1">
        <v>40557</v>
      </c>
      <c r="C456" s="2">
        <v>1</v>
      </c>
      <c r="D456" s="2">
        <v>1</v>
      </c>
      <c r="E456" t="b">
        <v>0</v>
      </c>
      <c r="F456" s="2">
        <v>5</v>
      </c>
      <c r="G456" s="2">
        <v>1</v>
      </c>
      <c r="H456" s="23">
        <v>0.1</v>
      </c>
      <c r="I456" s="25">
        <v>0.1212</v>
      </c>
      <c r="J456" s="23">
        <v>0.54</v>
      </c>
      <c r="K456" s="25">
        <v>0.16420000000000001</v>
      </c>
      <c r="L456" s="2">
        <v>0</v>
      </c>
      <c r="M456" s="2">
        <v>5</v>
      </c>
      <c r="N456" s="2">
        <v>5</v>
      </c>
      <c r="O456" t="s">
        <v>29</v>
      </c>
      <c r="P456" t="s">
        <v>59</v>
      </c>
      <c r="Q456" t="s">
        <v>31</v>
      </c>
      <c r="R456" t="s">
        <v>32</v>
      </c>
      <c r="S456" t="s">
        <v>55</v>
      </c>
      <c r="T456" t="s">
        <v>49</v>
      </c>
      <c r="U456" t="s">
        <v>46</v>
      </c>
      <c r="V456" t="s">
        <v>36</v>
      </c>
      <c r="W456" t="s">
        <v>37</v>
      </c>
      <c r="X456" s="24">
        <v>0</v>
      </c>
      <c r="Y456" s="24">
        <v>100</v>
      </c>
      <c r="Z456" t="s">
        <v>38</v>
      </c>
      <c r="AA456" t="s">
        <v>39</v>
      </c>
      <c r="AB456" t="s">
        <v>38</v>
      </c>
      <c r="AC456" s="24">
        <v>2.12E-2</v>
      </c>
    </row>
    <row r="457" spans="1:29" x14ac:dyDescent="0.3">
      <c r="A457" s="2">
        <v>456</v>
      </c>
      <c r="B457" s="1">
        <v>40564</v>
      </c>
      <c r="C457" s="2">
        <v>1</v>
      </c>
      <c r="D457" s="2">
        <v>0</v>
      </c>
      <c r="E457" t="b">
        <v>0</v>
      </c>
      <c r="F457" s="2">
        <v>5</v>
      </c>
      <c r="G457" s="2">
        <v>2</v>
      </c>
      <c r="H457" s="23">
        <v>0.24</v>
      </c>
      <c r="I457" s="25">
        <v>0.2273</v>
      </c>
      <c r="J457" s="23">
        <v>0.7</v>
      </c>
      <c r="K457" s="25">
        <v>0.25369999999999998</v>
      </c>
      <c r="L457" s="2">
        <v>1</v>
      </c>
      <c r="M457" s="2">
        <v>20</v>
      </c>
      <c r="N457" s="2">
        <v>21</v>
      </c>
      <c r="O457" t="s">
        <v>29</v>
      </c>
      <c r="P457" t="s">
        <v>59</v>
      </c>
      <c r="Q457" t="s">
        <v>41</v>
      </c>
      <c r="R457" t="s">
        <v>32</v>
      </c>
      <c r="S457" t="s">
        <v>33</v>
      </c>
      <c r="T457" t="s">
        <v>34</v>
      </c>
      <c r="U457" t="s">
        <v>46</v>
      </c>
      <c r="V457" t="s">
        <v>36</v>
      </c>
      <c r="W457" t="s">
        <v>37</v>
      </c>
      <c r="X457" s="24">
        <v>4.7619047619047619</v>
      </c>
      <c r="Y457" s="24">
        <v>95.238095238095227</v>
      </c>
      <c r="Z457" t="s">
        <v>38</v>
      </c>
      <c r="AA457" t="s">
        <v>39</v>
      </c>
      <c r="AB457" t="s">
        <v>38</v>
      </c>
      <c r="AC457" s="24">
        <v>-1.2699999999999991E-2</v>
      </c>
    </row>
    <row r="458" spans="1:29" x14ac:dyDescent="0.3">
      <c r="A458" s="2">
        <v>457</v>
      </c>
      <c r="B458" s="1">
        <v>40564</v>
      </c>
      <c r="C458" s="2">
        <v>1</v>
      </c>
      <c r="D458" s="2">
        <v>1</v>
      </c>
      <c r="E458" t="b">
        <v>0</v>
      </c>
      <c r="F458" s="2">
        <v>5</v>
      </c>
      <c r="G458" s="2">
        <v>2</v>
      </c>
      <c r="H458" s="23">
        <v>0.24</v>
      </c>
      <c r="I458" s="25">
        <v>0.2273</v>
      </c>
      <c r="J458" s="23">
        <v>0.7</v>
      </c>
      <c r="K458" s="25">
        <v>0.25369999999999998</v>
      </c>
      <c r="L458" s="2">
        <v>0</v>
      </c>
      <c r="M458" s="2">
        <v>6</v>
      </c>
      <c r="N458" s="2">
        <v>6</v>
      </c>
      <c r="O458" t="s">
        <v>29</v>
      </c>
      <c r="P458" t="s">
        <v>59</v>
      </c>
      <c r="Q458" t="s">
        <v>41</v>
      </c>
      <c r="R458" t="s">
        <v>32</v>
      </c>
      <c r="S458" t="s">
        <v>33</v>
      </c>
      <c r="T458" t="s">
        <v>34</v>
      </c>
      <c r="U458" t="s">
        <v>46</v>
      </c>
      <c r="V458" t="s">
        <v>36</v>
      </c>
      <c r="W458" t="s">
        <v>37</v>
      </c>
      <c r="X458" s="24">
        <v>0</v>
      </c>
      <c r="Y458" s="24">
        <v>100</v>
      </c>
      <c r="Z458" t="s">
        <v>38</v>
      </c>
      <c r="AA458" t="s">
        <v>39</v>
      </c>
      <c r="AB458" t="s">
        <v>38</v>
      </c>
      <c r="AC458" s="24">
        <v>-1.2699999999999991E-2</v>
      </c>
    </row>
    <row r="459" spans="1:29" x14ac:dyDescent="0.3">
      <c r="A459" s="2">
        <v>458</v>
      </c>
      <c r="B459" s="1">
        <v>40564</v>
      </c>
      <c r="C459" s="2">
        <v>1</v>
      </c>
      <c r="D459" s="2">
        <v>2</v>
      </c>
      <c r="E459" t="b">
        <v>0</v>
      </c>
      <c r="F459" s="2">
        <v>5</v>
      </c>
      <c r="G459" s="2">
        <v>3</v>
      </c>
      <c r="H459" s="23">
        <v>0.24</v>
      </c>
      <c r="I459" s="25">
        <v>0.2424</v>
      </c>
      <c r="J459" s="23">
        <v>0.75</v>
      </c>
      <c r="K459" s="25">
        <v>0.16420000000000001</v>
      </c>
      <c r="L459" s="2">
        <v>0</v>
      </c>
      <c r="M459" s="2">
        <v>2</v>
      </c>
      <c r="N459" s="2">
        <v>2</v>
      </c>
      <c r="O459" t="s">
        <v>29</v>
      </c>
      <c r="P459" t="s">
        <v>59</v>
      </c>
      <c r="Q459" t="s">
        <v>51</v>
      </c>
      <c r="R459" t="s">
        <v>32</v>
      </c>
      <c r="S459" t="s">
        <v>33</v>
      </c>
      <c r="T459" t="s">
        <v>34</v>
      </c>
      <c r="U459" t="s">
        <v>46</v>
      </c>
      <c r="V459" t="s">
        <v>36</v>
      </c>
      <c r="W459" t="s">
        <v>37</v>
      </c>
      <c r="X459" s="24">
        <v>0</v>
      </c>
      <c r="Y459" s="24">
        <v>100</v>
      </c>
      <c r="Z459" t="s">
        <v>38</v>
      </c>
      <c r="AA459" t="s">
        <v>39</v>
      </c>
      <c r="AB459" t="s">
        <v>38</v>
      </c>
      <c r="AC459" s="24">
        <v>2.4000000000000128E-3</v>
      </c>
    </row>
    <row r="460" spans="1:29" x14ac:dyDescent="0.3">
      <c r="A460" s="2">
        <v>459</v>
      </c>
      <c r="B460" s="1">
        <v>40564</v>
      </c>
      <c r="C460" s="2">
        <v>1</v>
      </c>
      <c r="D460" s="2">
        <v>3</v>
      </c>
      <c r="E460" t="b">
        <v>0</v>
      </c>
      <c r="F460" s="2">
        <v>5</v>
      </c>
      <c r="G460" s="2">
        <v>3</v>
      </c>
      <c r="H460" s="23">
        <v>0.22</v>
      </c>
      <c r="I460" s="25">
        <v>0.21210000000000001</v>
      </c>
      <c r="J460" s="23">
        <v>0.8</v>
      </c>
      <c r="K460" s="25">
        <v>0.29849999999999999</v>
      </c>
      <c r="L460" s="2">
        <v>0</v>
      </c>
      <c r="M460" s="2">
        <v>1</v>
      </c>
      <c r="N460" s="2">
        <v>1</v>
      </c>
      <c r="O460" t="s">
        <v>29</v>
      </c>
      <c r="P460" t="s">
        <v>59</v>
      </c>
      <c r="Q460" t="s">
        <v>51</v>
      </c>
      <c r="R460" t="s">
        <v>32</v>
      </c>
      <c r="S460" t="s">
        <v>33</v>
      </c>
      <c r="T460" t="s">
        <v>34</v>
      </c>
      <c r="U460" t="s">
        <v>46</v>
      </c>
      <c r="V460" t="s">
        <v>36</v>
      </c>
      <c r="W460" t="s">
        <v>37</v>
      </c>
      <c r="X460" s="24">
        <v>0</v>
      </c>
      <c r="Y460" s="24">
        <v>100</v>
      </c>
      <c r="Z460" t="s">
        <v>38</v>
      </c>
      <c r="AA460" t="s">
        <v>39</v>
      </c>
      <c r="AB460" t="s">
        <v>38</v>
      </c>
      <c r="AC460" s="24">
        <v>-7.8999999999999904E-3</v>
      </c>
    </row>
    <row r="461" spans="1:29" x14ac:dyDescent="0.3">
      <c r="A461" s="2">
        <v>460</v>
      </c>
      <c r="B461" s="1">
        <v>40564</v>
      </c>
      <c r="C461" s="2">
        <v>1</v>
      </c>
      <c r="D461" s="2">
        <v>4</v>
      </c>
      <c r="E461" t="b">
        <v>0</v>
      </c>
      <c r="F461" s="2">
        <v>5</v>
      </c>
      <c r="G461" s="2">
        <v>2</v>
      </c>
      <c r="H461" s="23">
        <v>0.22</v>
      </c>
      <c r="I461" s="25">
        <v>0.2576</v>
      </c>
      <c r="J461" s="23">
        <v>0.87</v>
      </c>
      <c r="K461" s="25">
        <v>8.9599999999999999E-2</v>
      </c>
      <c r="L461" s="2">
        <v>0</v>
      </c>
      <c r="M461" s="2">
        <v>1</v>
      </c>
      <c r="N461" s="2">
        <v>1</v>
      </c>
      <c r="O461" t="s">
        <v>29</v>
      </c>
      <c r="P461" t="s">
        <v>59</v>
      </c>
      <c r="Q461" t="s">
        <v>41</v>
      </c>
      <c r="R461" t="s">
        <v>32</v>
      </c>
      <c r="S461" t="s">
        <v>33</v>
      </c>
      <c r="T461" t="s">
        <v>34</v>
      </c>
      <c r="U461" t="s">
        <v>35</v>
      </c>
      <c r="V461" t="s">
        <v>36</v>
      </c>
      <c r="W461" t="s">
        <v>37</v>
      </c>
      <c r="X461" s="24">
        <v>0</v>
      </c>
      <c r="Y461" s="24">
        <v>100</v>
      </c>
      <c r="Z461" t="s">
        <v>38</v>
      </c>
      <c r="AA461" t="s">
        <v>39</v>
      </c>
      <c r="AB461" t="s">
        <v>38</v>
      </c>
      <c r="AC461" s="24">
        <v>3.7599999999999988E-2</v>
      </c>
    </row>
    <row r="462" spans="1:29" x14ac:dyDescent="0.3">
      <c r="A462" s="2">
        <v>304</v>
      </c>
      <c r="B462" s="1">
        <v>40557</v>
      </c>
      <c r="C462" s="2">
        <v>1</v>
      </c>
      <c r="D462" s="2">
        <v>2</v>
      </c>
      <c r="E462" t="b">
        <v>0</v>
      </c>
      <c r="F462" s="2">
        <v>5</v>
      </c>
      <c r="G462" s="2">
        <v>1</v>
      </c>
      <c r="H462" s="23">
        <v>0.1</v>
      </c>
      <c r="I462" s="25">
        <v>0.1212</v>
      </c>
      <c r="J462" s="23">
        <v>0.54</v>
      </c>
      <c r="K462" s="25">
        <v>0.1343</v>
      </c>
      <c r="L462" s="2">
        <v>0</v>
      </c>
      <c r="M462" s="2">
        <v>1</v>
      </c>
      <c r="N462" s="2">
        <v>1</v>
      </c>
      <c r="O462" t="s">
        <v>29</v>
      </c>
      <c r="P462" t="s">
        <v>59</v>
      </c>
      <c r="Q462" t="s">
        <v>31</v>
      </c>
      <c r="R462" t="s">
        <v>32</v>
      </c>
      <c r="S462" t="s">
        <v>55</v>
      </c>
      <c r="T462" t="s">
        <v>49</v>
      </c>
      <c r="U462" t="s">
        <v>35</v>
      </c>
      <c r="V462" t="s">
        <v>36</v>
      </c>
      <c r="W462" t="s">
        <v>37</v>
      </c>
      <c r="X462" s="24">
        <v>0</v>
      </c>
      <c r="Y462" s="24">
        <v>100</v>
      </c>
      <c r="Z462" t="s">
        <v>38</v>
      </c>
      <c r="AA462" t="s">
        <v>39</v>
      </c>
      <c r="AB462" t="s">
        <v>38</v>
      </c>
      <c r="AC462" s="24">
        <v>2.12E-2</v>
      </c>
    </row>
    <row r="463" spans="1:29" x14ac:dyDescent="0.3">
      <c r="A463" s="2">
        <v>305</v>
      </c>
      <c r="B463" s="1">
        <v>40557</v>
      </c>
      <c r="C463" s="2">
        <v>1</v>
      </c>
      <c r="D463" s="2">
        <v>3</v>
      </c>
      <c r="E463" t="b">
        <v>0</v>
      </c>
      <c r="F463" s="2">
        <v>5</v>
      </c>
      <c r="G463" s="2">
        <v>1</v>
      </c>
      <c r="H463" s="23">
        <v>0.1</v>
      </c>
      <c r="I463" s="25">
        <v>0.13639999999999999</v>
      </c>
      <c r="J463" s="23">
        <v>0.54</v>
      </c>
      <c r="K463" s="25">
        <v>0.1045</v>
      </c>
      <c r="L463" s="2">
        <v>0</v>
      </c>
      <c r="M463" s="2">
        <v>1</v>
      </c>
      <c r="N463" s="2">
        <v>1</v>
      </c>
      <c r="O463" t="s">
        <v>29</v>
      </c>
      <c r="P463" t="s">
        <v>59</v>
      </c>
      <c r="Q463" t="s">
        <v>31</v>
      </c>
      <c r="R463" t="s">
        <v>32</v>
      </c>
      <c r="S463" t="s">
        <v>55</v>
      </c>
      <c r="T463" t="s">
        <v>49</v>
      </c>
      <c r="U463" t="s">
        <v>35</v>
      </c>
      <c r="V463" t="s">
        <v>36</v>
      </c>
      <c r="W463" t="s">
        <v>37</v>
      </c>
      <c r="X463" s="24">
        <v>0</v>
      </c>
      <c r="Y463" s="24">
        <v>100</v>
      </c>
      <c r="Z463" t="s">
        <v>38</v>
      </c>
      <c r="AA463" t="s">
        <v>39</v>
      </c>
      <c r="AB463" t="s">
        <v>38</v>
      </c>
      <c r="AC463" s="24">
        <v>3.6399999999999988E-2</v>
      </c>
    </row>
    <row r="464" spans="1:29" x14ac:dyDescent="0.3">
      <c r="A464" s="2">
        <v>306</v>
      </c>
      <c r="B464" s="1">
        <v>40557</v>
      </c>
      <c r="C464" s="2">
        <v>1</v>
      </c>
      <c r="D464" s="2">
        <v>5</v>
      </c>
      <c r="E464" t="b">
        <v>0</v>
      </c>
      <c r="F464" s="2">
        <v>5</v>
      </c>
      <c r="G464" s="2">
        <v>1</v>
      </c>
      <c r="H464" s="23">
        <v>0.1</v>
      </c>
      <c r="I464" s="25">
        <v>0.13639999999999999</v>
      </c>
      <c r="J464" s="23">
        <v>0.54</v>
      </c>
      <c r="K464" s="25">
        <v>8.9599999999999999E-2</v>
      </c>
      <c r="L464" s="2">
        <v>0</v>
      </c>
      <c r="M464" s="2">
        <v>8</v>
      </c>
      <c r="N464" s="2">
        <v>8</v>
      </c>
      <c r="O464" t="s">
        <v>29</v>
      </c>
      <c r="P464" t="s">
        <v>59</v>
      </c>
      <c r="Q464" t="s">
        <v>31</v>
      </c>
      <c r="R464" t="s">
        <v>32</v>
      </c>
      <c r="S464" t="s">
        <v>55</v>
      </c>
      <c r="T464" t="s">
        <v>49</v>
      </c>
      <c r="U464" t="s">
        <v>35</v>
      </c>
      <c r="V464" t="s">
        <v>36</v>
      </c>
      <c r="W464" t="s">
        <v>37</v>
      </c>
      <c r="X464" s="24">
        <v>0</v>
      </c>
      <c r="Y464" s="24">
        <v>100</v>
      </c>
      <c r="Z464" t="s">
        <v>38</v>
      </c>
      <c r="AA464" t="s">
        <v>39</v>
      </c>
      <c r="AB464" t="s">
        <v>38</v>
      </c>
      <c r="AC464" s="24">
        <v>3.6399999999999988E-2</v>
      </c>
    </row>
    <row r="465" spans="1:29" x14ac:dyDescent="0.3">
      <c r="A465" s="2">
        <v>307</v>
      </c>
      <c r="B465" s="1">
        <v>40557</v>
      </c>
      <c r="C465" s="2">
        <v>1</v>
      </c>
      <c r="D465" s="2">
        <v>6</v>
      </c>
      <c r="E465" t="b">
        <v>0</v>
      </c>
      <c r="F465" s="2">
        <v>5</v>
      </c>
      <c r="G465" s="2">
        <v>1</v>
      </c>
      <c r="H465" s="23">
        <v>0.1</v>
      </c>
      <c r="I465" s="25">
        <v>0.18179999999999999</v>
      </c>
      <c r="J465" s="23">
        <v>0.54</v>
      </c>
      <c r="K465" s="25">
        <v>0</v>
      </c>
      <c r="L465" s="2">
        <v>0</v>
      </c>
      <c r="M465" s="2">
        <v>17</v>
      </c>
      <c r="N465" s="2">
        <v>17</v>
      </c>
      <c r="O465" t="s">
        <v>29</v>
      </c>
      <c r="P465" t="s">
        <v>59</v>
      </c>
      <c r="Q465" t="s">
        <v>31</v>
      </c>
      <c r="R465" t="s">
        <v>42</v>
      </c>
      <c r="S465" t="s">
        <v>55</v>
      </c>
      <c r="T465" t="s">
        <v>49</v>
      </c>
      <c r="U465" t="s">
        <v>35</v>
      </c>
      <c r="V465" t="s">
        <v>36</v>
      </c>
      <c r="W465" t="s">
        <v>37</v>
      </c>
      <c r="X465" s="24">
        <v>0</v>
      </c>
      <c r="Y465" s="24">
        <v>100</v>
      </c>
      <c r="Z465" t="s">
        <v>38</v>
      </c>
      <c r="AA465" t="s">
        <v>39</v>
      </c>
      <c r="AB465" t="s">
        <v>38</v>
      </c>
      <c r="AC465" s="24">
        <v>8.1799999999999984E-2</v>
      </c>
    </row>
    <row r="466" spans="1:29" x14ac:dyDescent="0.3">
      <c r="A466" s="2">
        <v>423</v>
      </c>
      <c r="B466" s="1">
        <v>40562</v>
      </c>
      <c r="C466" s="2">
        <v>1</v>
      </c>
      <c r="D466" s="2">
        <v>15</v>
      </c>
      <c r="E466" t="b">
        <v>0</v>
      </c>
      <c r="F466" s="2">
        <v>3</v>
      </c>
      <c r="G466" s="2">
        <v>1</v>
      </c>
      <c r="H466" s="23">
        <v>0.4</v>
      </c>
      <c r="I466" s="25">
        <v>0.40910000000000002</v>
      </c>
      <c r="J466" s="23">
        <v>0.54</v>
      </c>
      <c r="K466" s="25">
        <v>0.28360000000000002</v>
      </c>
      <c r="L466" s="2">
        <v>4</v>
      </c>
      <c r="M466" s="2">
        <v>78</v>
      </c>
      <c r="N466" s="2">
        <v>82</v>
      </c>
      <c r="O466" t="s">
        <v>29</v>
      </c>
      <c r="P466" t="s">
        <v>57</v>
      </c>
      <c r="Q466" t="s">
        <v>31</v>
      </c>
      <c r="R466" t="s">
        <v>47</v>
      </c>
      <c r="S466" t="s">
        <v>45</v>
      </c>
      <c r="T466" t="s">
        <v>49</v>
      </c>
      <c r="U466" t="s">
        <v>46</v>
      </c>
      <c r="V466" t="s">
        <v>36</v>
      </c>
      <c r="W466" t="s">
        <v>37</v>
      </c>
      <c r="X466" s="24">
        <v>4.8780487804878048</v>
      </c>
      <c r="Y466" s="24">
        <v>95.121951219512198</v>
      </c>
      <c r="Z466" t="s">
        <v>38</v>
      </c>
      <c r="AA466" t="s">
        <v>39</v>
      </c>
      <c r="AB466" t="s">
        <v>38</v>
      </c>
      <c r="AC466" s="24">
        <v>9.099999999999997E-3</v>
      </c>
    </row>
    <row r="467" spans="1:29" x14ac:dyDescent="0.3">
      <c r="A467" s="2">
        <v>511</v>
      </c>
      <c r="B467" s="1">
        <v>40566</v>
      </c>
      <c r="C467" s="2">
        <v>1</v>
      </c>
      <c r="D467" s="2">
        <v>9</v>
      </c>
      <c r="E467" t="b">
        <v>0</v>
      </c>
      <c r="F467" s="2">
        <v>0</v>
      </c>
      <c r="G467" s="2">
        <v>1</v>
      </c>
      <c r="H467" s="23">
        <v>0.1</v>
      </c>
      <c r="I467" s="25">
        <v>7.5800000000000006E-2</v>
      </c>
      <c r="J467" s="23">
        <v>0.54</v>
      </c>
      <c r="K467" s="25">
        <v>0.35820000000000002</v>
      </c>
      <c r="L467" s="2">
        <v>3</v>
      </c>
      <c r="M467" s="2">
        <v>25</v>
      </c>
      <c r="N467" s="2">
        <v>28</v>
      </c>
      <c r="O467" t="s">
        <v>29</v>
      </c>
      <c r="P467" t="s">
        <v>52</v>
      </c>
      <c r="Q467" t="s">
        <v>31</v>
      </c>
      <c r="R467" t="s">
        <v>42</v>
      </c>
      <c r="S467" t="s">
        <v>55</v>
      </c>
      <c r="T467" t="s">
        <v>49</v>
      </c>
      <c r="U467" t="s">
        <v>53</v>
      </c>
      <c r="V467" t="s">
        <v>36</v>
      </c>
      <c r="W467" t="s">
        <v>37</v>
      </c>
      <c r="X467" s="24">
        <v>10.71428571428571</v>
      </c>
      <c r="Y467" s="24">
        <v>89.285714285714292</v>
      </c>
      <c r="Z467" t="s">
        <v>40</v>
      </c>
      <c r="AA467" t="s">
        <v>39</v>
      </c>
      <c r="AB467" t="s">
        <v>40</v>
      </c>
      <c r="AC467" s="24">
        <v>-2.4199999999999999E-2</v>
      </c>
    </row>
    <row r="468" spans="1:29" x14ac:dyDescent="0.3">
      <c r="A468" s="2">
        <v>544</v>
      </c>
      <c r="B468" s="1">
        <v>40567</v>
      </c>
      <c r="C468" s="2">
        <v>1</v>
      </c>
      <c r="D468" s="2">
        <v>19</v>
      </c>
      <c r="E468" t="b">
        <v>0</v>
      </c>
      <c r="F468" s="2">
        <v>1</v>
      </c>
      <c r="G468" s="2">
        <v>1</v>
      </c>
      <c r="H468" s="23">
        <v>0.14000000000000001</v>
      </c>
      <c r="I468" s="25">
        <v>0.1515</v>
      </c>
      <c r="J468" s="23">
        <v>0.54</v>
      </c>
      <c r="K468" s="25">
        <v>0.16420000000000001</v>
      </c>
      <c r="L468" s="2">
        <v>5</v>
      </c>
      <c r="M468" s="2">
        <v>101</v>
      </c>
      <c r="N468" s="2">
        <v>106</v>
      </c>
      <c r="O468" t="s">
        <v>29</v>
      </c>
      <c r="P468" t="s">
        <v>54</v>
      </c>
      <c r="Q468" t="s">
        <v>31</v>
      </c>
      <c r="R468" t="s">
        <v>50</v>
      </c>
      <c r="S468" t="s">
        <v>55</v>
      </c>
      <c r="T468" t="s">
        <v>49</v>
      </c>
      <c r="U468" t="s">
        <v>46</v>
      </c>
      <c r="V468" t="s">
        <v>36</v>
      </c>
      <c r="W468" t="s">
        <v>37</v>
      </c>
      <c r="X468" s="24">
        <v>4.716981132075472</v>
      </c>
      <c r="Y468" s="24">
        <v>95.283018867924525</v>
      </c>
      <c r="Z468" t="s">
        <v>40</v>
      </c>
      <c r="AA468" t="s">
        <v>49</v>
      </c>
      <c r="AB468" t="s">
        <v>38</v>
      </c>
      <c r="AC468" s="24">
        <v>1.1499999999999981E-2</v>
      </c>
    </row>
    <row r="469" spans="1:29" x14ac:dyDescent="0.3">
      <c r="A469" s="2">
        <v>468</v>
      </c>
      <c r="B469" s="1">
        <v>40564</v>
      </c>
      <c r="C469" s="2">
        <v>1</v>
      </c>
      <c r="D469" s="2">
        <v>12</v>
      </c>
      <c r="E469" t="b">
        <v>0</v>
      </c>
      <c r="F469" s="2">
        <v>5</v>
      </c>
      <c r="G469" s="2">
        <v>1</v>
      </c>
      <c r="H469" s="23">
        <v>0.22</v>
      </c>
      <c r="I469" s="25">
        <v>0.18179999999999999</v>
      </c>
      <c r="J469" s="23">
        <v>0.27</v>
      </c>
      <c r="K469" s="25">
        <v>0.58209999999999995</v>
      </c>
      <c r="L469" s="2">
        <v>11</v>
      </c>
      <c r="M469" s="2">
        <v>67</v>
      </c>
      <c r="N469" s="2">
        <v>78</v>
      </c>
      <c r="O469" t="s">
        <v>29</v>
      </c>
      <c r="P469" t="s">
        <v>59</v>
      </c>
      <c r="Q469" t="s">
        <v>31</v>
      </c>
      <c r="R469" t="s">
        <v>47</v>
      </c>
      <c r="S469" t="s">
        <v>33</v>
      </c>
      <c r="T469" t="s">
        <v>39</v>
      </c>
      <c r="U469" t="s">
        <v>53</v>
      </c>
      <c r="V469" t="s">
        <v>36</v>
      </c>
      <c r="W469" t="s">
        <v>37</v>
      </c>
      <c r="X469" s="24">
        <v>14.1025641025641</v>
      </c>
      <c r="Y469" s="24">
        <v>85.897435897435898</v>
      </c>
      <c r="Z469" t="s">
        <v>38</v>
      </c>
      <c r="AA469" t="s">
        <v>39</v>
      </c>
      <c r="AB469" t="s">
        <v>38</v>
      </c>
      <c r="AC469" s="24">
        <v>-3.8200000000000012E-2</v>
      </c>
    </row>
    <row r="470" spans="1:29" x14ac:dyDescent="0.3">
      <c r="A470" s="2">
        <v>469</v>
      </c>
      <c r="B470" s="1">
        <v>40564</v>
      </c>
      <c r="C470" s="2">
        <v>1</v>
      </c>
      <c r="D470" s="2">
        <v>13</v>
      </c>
      <c r="E470" t="b">
        <v>0</v>
      </c>
      <c r="F470" s="2">
        <v>5</v>
      </c>
      <c r="G470" s="2">
        <v>1</v>
      </c>
      <c r="H470" s="23">
        <v>0.2</v>
      </c>
      <c r="I470" s="25">
        <v>0.1515</v>
      </c>
      <c r="J470" s="23">
        <v>0.21</v>
      </c>
      <c r="K470" s="25">
        <v>0.58209999999999995</v>
      </c>
      <c r="L470" s="2">
        <v>8</v>
      </c>
      <c r="M470" s="2">
        <v>65</v>
      </c>
      <c r="N470" s="2">
        <v>73</v>
      </c>
      <c r="O470" t="s">
        <v>29</v>
      </c>
      <c r="P470" t="s">
        <v>59</v>
      </c>
      <c r="Q470" t="s">
        <v>31</v>
      </c>
      <c r="R470" t="s">
        <v>47</v>
      </c>
      <c r="S470" t="s">
        <v>33</v>
      </c>
      <c r="T470" t="s">
        <v>39</v>
      </c>
      <c r="U470" t="s">
        <v>53</v>
      </c>
      <c r="V470" t="s">
        <v>36</v>
      </c>
      <c r="W470" t="s">
        <v>37</v>
      </c>
      <c r="X470" s="24">
        <v>10.95890410958904</v>
      </c>
      <c r="Y470" s="24">
        <v>89.041095890410958</v>
      </c>
      <c r="Z470" t="s">
        <v>38</v>
      </c>
      <c r="AA470" t="s">
        <v>39</v>
      </c>
      <c r="AB470" t="s">
        <v>38</v>
      </c>
      <c r="AC470" s="24">
        <v>-4.8500000000000022E-2</v>
      </c>
    </row>
    <row r="471" spans="1:29" x14ac:dyDescent="0.3">
      <c r="A471" s="2">
        <v>470</v>
      </c>
      <c r="B471" s="1">
        <v>40564</v>
      </c>
      <c r="C471" s="2">
        <v>1</v>
      </c>
      <c r="D471" s="2">
        <v>14</v>
      </c>
      <c r="E471" t="b">
        <v>0</v>
      </c>
      <c r="F471" s="2">
        <v>5</v>
      </c>
      <c r="G471" s="2">
        <v>1</v>
      </c>
      <c r="H471" s="23">
        <v>0.2</v>
      </c>
      <c r="I471" s="25">
        <v>0.1515</v>
      </c>
      <c r="J471" s="23">
        <v>0.25</v>
      </c>
      <c r="K471" s="25">
        <v>0.52239999999999998</v>
      </c>
      <c r="L471" s="2">
        <v>6</v>
      </c>
      <c r="M471" s="2">
        <v>56</v>
      </c>
      <c r="N471" s="2">
        <v>62</v>
      </c>
      <c r="O471" t="s">
        <v>29</v>
      </c>
      <c r="P471" t="s">
        <v>59</v>
      </c>
      <c r="Q471" t="s">
        <v>31</v>
      </c>
      <c r="R471" t="s">
        <v>47</v>
      </c>
      <c r="S471" t="s">
        <v>33</v>
      </c>
      <c r="T471" t="s">
        <v>39</v>
      </c>
      <c r="U471" t="s">
        <v>53</v>
      </c>
      <c r="V471" t="s">
        <v>36</v>
      </c>
      <c r="W471" t="s">
        <v>37</v>
      </c>
      <c r="X471" s="24">
        <v>9.67741935483871</v>
      </c>
      <c r="Y471" s="24">
        <v>90.322580645161281</v>
      </c>
      <c r="Z471" t="s">
        <v>38</v>
      </c>
      <c r="AA471" t="s">
        <v>39</v>
      </c>
      <c r="AB471" t="s">
        <v>38</v>
      </c>
      <c r="AC471" s="24">
        <v>-4.8500000000000022E-2</v>
      </c>
    </row>
    <row r="472" spans="1:29" x14ac:dyDescent="0.3">
      <c r="A472" s="2">
        <v>471</v>
      </c>
      <c r="B472" s="1">
        <v>40564</v>
      </c>
      <c r="C472" s="2">
        <v>1</v>
      </c>
      <c r="D472" s="2">
        <v>15</v>
      </c>
      <c r="E472" t="b">
        <v>0</v>
      </c>
      <c r="F472" s="2">
        <v>5</v>
      </c>
      <c r="G472" s="2">
        <v>1</v>
      </c>
      <c r="H472" s="23">
        <v>0.16</v>
      </c>
      <c r="I472" s="25">
        <v>0.1212</v>
      </c>
      <c r="J472" s="23">
        <v>0.26</v>
      </c>
      <c r="K472" s="25">
        <v>0.44779999999999998</v>
      </c>
      <c r="L472" s="2">
        <v>4</v>
      </c>
      <c r="M472" s="2">
        <v>61</v>
      </c>
      <c r="N472" s="2">
        <v>65</v>
      </c>
      <c r="O472" t="s">
        <v>29</v>
      </c>
      <c r="P472" t="s">
        <v>59</v>
      </c>
      <c r="Q472" t="s">
        <v>31</v>
      </c>
      <c r="R472" t="s">
        <v>47</v>
      </c>
      <c r="S472" t="s">
        <v>33</v>
      </c>
      <c r="T472" t="s">
        <v>39</v>
      </c>
      <c r="U472" t="s">
        <v>53</v>
      </c>
      <c r="V472" t="s">
        <v>36</v>
      </c>
      <c r="W472" t="s">
        <v>37</v>
      </c>
      <c r="X472" s="24">
        <v>6.1538461538461542</v>
      </c>
      <c r="Y472" s="24">
        <v>93.84615384615384</v>
      </c>
      <c r="Z472" t="s">
        <v>38</v>
      </c>
      <c r="AA472" t="s">
        <v>39</v>
      </c>
      <c r="AB472" t="s">
        <v>38</v>
      </c>
      <c r="AC472" s="24">
        <v>-3.8800000000000001E-2</v>
      </c>
    </row>
    <row r="473" spans="1:29" x14ac:dyDescent="0.3">
      <c r="A473" s="2">
        <v>472</v>
      </c>
      <c r="B473" s="1">
        <v>40564</v>
      </c>
      <c r="C473" s="2">
        <v>1</v>
      </c>
      <c r="D473" s="2">
        <v>16</v>
      </c>
      <c r="E473" t="b">
        <v>0</v>
      </c>
      <c r="F473" s="2">
        <v>5</v>
      </c>
      <c r="G473" s="2">
        <v>1</v>
      </c>
      <c r="H473" s="23">
        <v>0.16</v>
      </c>
      <c r="I473" s="25">
        <v>0.13639999999999999</v>
      </c>
      <c r="J473" s="23">
        <v>0.26</v>
      </c>
      <c r="K473" s="25">
        <v>0.35820000000000002</v>
      </c>
      <c r="L473" s="2">
        <v>0</v>
      </c>
      <c r="M473" s="2">
        <v>97</v>
      </c>
      <c r="N473" s="2">
        <v>97</v>
      </c>
      <c r="O473" t="s">
        <v>29</v>
      </c>
      <c r="P473" t="s">
        <v>59</v>
      </c>
      <c r="Q473" t="s">
        <v>31</v>
      </c>
      <c r="R473" t="s">
        <v>47</v>
      </c>
      <c r="S473" t="s">
        <v>33</v>
      </c>
      <c r="T473" t="s">
        <v>39</v>
      </c>
      <c r="U473" t="s">
        <v>53</v>
      </c>
      <c r="V473" t="s">
        <v>36</v>
      </c>
      <c r="W473" t="s">
        <v>37</v>
      </c>
      <c r="X473" s="24">
        <v>0</v>
      </c>
      <c r="Y473" s="24">
        <v>100</v>
      </c>
      <c r="Z473" t="s">
        <v>38</v>
      </c>
      <c r="AA473" t="s">
        <v>39</v>
      </c>
      <c r="AB473" t="s">
        <v>38</v>
      </c>
      <c r="AC473" s="24">
        <v>-2.360000000000001E-2</v>
      </c>
    </row>
    <row r="474" spans="1:29" x14ac:dyDescent="0.3">
      <c r="A474" s="2">
        <v>473</v>
      </c>
      <c r="B474" s="1">
        <v>40564</v>
      </c>
      <c r="C474" s="2">
        <v>1</v>
      </c>
      <c r="D474" s="2">
        <v>17</v>
      </c>
      <c r="E474" t="b">
        <v>0</v>
      </c>
      <c r="F474" s="2">
        <v>5</v>
      </c>
      <c r="G474" s="2">
        <v>1</v>
      </c>
      <c r="H474" s="23">
        <v>0.14000000000000001</v>
      </c>
      <c r="I474" s="25">
        <v>0.1212</v>
      </c>
      <c r="J474" s="23">
        <v>0.28000000000000003</v>
      </c>
      <c r="K474" s="25">
        <v>0.35820000000000002</v>
      </c>
      <c r="L474" s="2">
        <v>10</v>
      </c>
      <c r="M474" s="2">
        <v>151</v>
      </c>
      <c r="N474" s="2">
        <v>161</v>
      </c>
      <c r="O474" t="s">
        <v>29</v>
      </c>
      <c r="P474" t="s">
        <v>59</v>
      </c>
      <c r="Q474" t="s">
        <v>31</v>
      </c>
      <c r="R474" t="s">
        <v>50</v>
      </c>
      <c r="S474" t="s">
        <v>55</v>
      </c>
      <c r="T474" t="s">
        <v>39</v>
      </c>
      <c r="U474" t="s">
        <v>53</v>
      </c>
      <c r="V474" t="s">
        <v>36</v>
      </c>
      <c r="W474" t="s">
        <v>37</v>
      </c>
      <c r="X474" s="24">
        <v>6.2111801242236027</v>
      </c>
      <c r="Y474" s="24">
        <v>93.788819875776397</v>
      </c>
      <c r="Z474" t="s">
        <v>40</v>
      </c>
      <c r="AA474" t="s">
        <v>49</v>
      </c>
      <c r="AB474" t="s">
        <v>38</v>
      </c>
      <c r="AC474" s="24">
        <v>-1.8800000000000011E-2</v>
      </c>
    </row>
    <row r="475" spans="1:29" x14ac:dyDescent="0.3">
      <c r="A475" s="2">
        <v>474</v>
      </c>
      <c r="B475" s="1">
        <v>40564</v>
      </c>
      <c r="C475" s="2">
        <v>1</v>
      </c>
      <c r="D475" s="2">
        <v>18</v>
      </c>
      <c r="E475" t="b">
        <v>0</v>
      </c>
      <c r="F475" s="2">
        <v>5</v>
      </c>
      <c r="G475" s="2">
        <v>1</v>
      </c>
      <c r="H475" s="23">
        <v>0.12</v>
      </c>
      <c r="I475" s="25">
        <v>0.1212</v>
      </c>
      <c r="J475" s="23">
        <v>0.3</v>
      </c>
      <c r="K475" s="25">
        <v>0.25369999999999998</v>
      </c>
      <c r="L475" s="2">
        <v>1</v>
      </c>
      <c r="M475" s="2">
        <v>119</v>
      </c>
      <c r="N475" s="2">
        <v>120</v>
      </c>
      <c r="O475" t="s">
        <v>29</v>
      </c>
      <c r="P475" t="s">
        <v>59</v>
      </c>
      <c r="Q475" t="s">
        <v>31</v>
      </c>
      <c r="R475" t="s">
        <v>50</v>
      </c>
      <c r="S475" t="s">
        <v>55</v>
      </c>
      <c r="T475" t="s">
        <v>39</v>
      </c>
      <c r="U475" t="s">
        <v>46</v>
      </c>
      <c r="V475" t="s">
        <v>36</v>
      </c>
      <c r="W475" t="s">
        <v>37</v>
      </c>
      <c r="X475" s="24">
        <v>0.83333333333333337</v>
      </c>
      <c r="Y475" s="24">
        <v>99.166666666666671</v>
      </c>
      <c r="Z475" t="s">
        <v>40</v>
      </c>
      <c r="AA475" t="s">
        <v>49</v>
      </c>
      <c r="AB475" t="s">
        <v>38</v>
      </c>
      <c r="AC475" s="24">
        <v>1.2000000000000071E-3</v>
      </c>
    </row>
    <row r="476" spans="1:29" x14ac:dyDescent="0.3">
      <c r="A476" s="2">
        <v>475</v>
      </c>
      <c r="B476" s="1">
        <v>40564</v>
      </c>
      <c r="C476" s="2">
        <v>1</v>
      </c>
      <c r="D476" s="2">
        <v>19</v>
      </c>
      <c r="E476" t="b">
        <v>0</v>
      </c>
      <c r="F476" s="2">
        <v>5</v>
      </c>
      <c r="G476" s="2">
        <v>1</v>
      </c>
      <c r="H476" s="23">
        <v>0.12</v>
      </c>
      <c r="I476" s="25">
        <v>0.1061</v>
      </c>
      <c r="J476" s="23">
        <v>0.3</v>
      </c>
      <c r="K476" s="25">
        <v>0.32840000000000003</v>
      </c>
      <c r="L476" s="2">
        <v>3</v>
      </c>
      <c r="M476" s="2">
        <v>93</v>
      </c>
      <c r="N476" s="2">
        <v>96</v>
      </c>
      <c r="O476" t="s">
        <v>29</v>
      </c>
      <c r="P476" t="s">
        <v>59</v>
      </c>
      <c r="Q476" t="s">
        <v>31</v>
      </c>
      <c r="R476" t="s">
        <v>50</v>
      </c>
      <c r="S476" t="s">
        <v>55</v>
      </c>
      <c r="T476" t="s">
        <v>39</v>
      </c>
      <c r="U476" t="s">
        <v>53</v>
      </c>
      <c r="V476" t="s">
        <v>36</v>
      </c>
      <c r="W476" t="s">
        <v>37</v>
      </c>
      <c r="X476" s="24">
        <v>3.125</v>
      </c>
      <c r="Y476" s="24">
        <v>96.875</v>
      </c>
      <c r="Z476" t="s">
        <v>40</v>
      </c>
      <c r="AA476" t="s">
        <v>39</v>
      </c>
      <c r="AB476" t="s">
        <v>38</v>
      </c>
      <c r="AC476" s="24">
        <v>-1.3899999999999999E-2</v>
      </c>
    </row>
    <row r="477" spans="1:29" x14ac:dyDescent="0.3">
      <c r="A477" s="2">
        <v>476</v>
      </c>
      <c r="B477" s="1">
        <v>40564</v>
      </c>
      <c r="C477" s="2">
        <v>1</v>
      </c>
      <c r="D477" s="2">
        <v>20</v>
      </c>
      <c r="E477" t="b">
        <v>0</v>
      </c>
      <c r="F477" s="2">
        <v>5</v>
      </c>
      <c r="G477" s="2">
        <v>1</v>
      </c>
      <c r="H477" s="23">
        <v>0.1</v>
      </c>
      <c r="I477" s="25">
        <v>7.5800000000000006E-2</v>
      </c>
      <c r="J477" s="23">
        <v>0.33</v>
      </c>
      <c r="K477" s="25">
        <v>0.41789999999999999</v>
      </c>
      <c r="L477" s="2">
        <v>1</v>
      </c>
      <c r="M477" s="2">
        <v>52</v>
      </c>
      <c r="N477" s="2">
        <v>53</v>
      </c>
      <c r="O477" t="s">
        <v>29</v>
      </c>
      <c r="P477" t="s">
        <v>59</v>
      </c>
      <c r="Q477" t="s">
        <v>31</v>
      </c>
      <c r="R477" t="s">
        <v>50</v>
      </c>
      <c r="S477" t="s">
        <v>55</v>
      </c>
      <c r="T477" t="s">
        <v>39</v>
      </c>
      <c r="U477" t="s">
        <v>53</v>
      </c>
      <c r="V477" t="s">
        <v>36</v>
      </c>
      <c r="W477" t="s">
        <v>37</v>
      </c>
      <c r="X477" s="24">
        <v>1.8867924528301889</v>
      </c>
      <c r="Y477" s="24">
        <v>98.113207547169807</v>
      </c>
      <c r="Z477" t="s">
        <v>38</v>
      </c>
      <c r="AA477" t="s">
        <v>39</v>
      </c>
      <c r="AB477" t="s">
        <v>38</v>
      </c>
      <c r="AC477" s="24">
        <v>-2.4199999999999999E-2</v>
      </c>
    </row>
    <row r="478" spans="1:29" x14ac:dyDescent="0.3">
      <c r="A478" s="2">
        <v>477</v>
      </c>
      <c r="B478" s="1">
        <v>40564</v>
      </c>
      <c r="C478" s="2">
        <v>1</v>
      </c>
      <c r="D478" s="2">
        <v>21</v>
      </c>
      <c r="E478" t="b">
        <v>0</v>
      </c>
      <c r="F478" s="2">
        <v>5</v>
      </c>
      <c r="G478" s="2">
        <v>1</v>
      </c>
      <c r="H478" s="23">
        <v>0.08</v>
      </c>
      <c r="I478" s="25">
        <v>7.5800000000000006E-2</v>
      </c>
      <c r="J478" s="23">
        <v>0.38</v>
      </c>
      <c r="K478" s="25">
        <v>0.28360000000000002</v>
      </c>
      <c r="L478" s="2">
        <v>0</v>
      </c>
      <c r="M478" s="2">
        <v>41</v>
      </c>
      <c r="N478" s="2">
        <v>41</v>
      </c>
      <c r="O478" t="s">
        <v>29</v>
      </c>
      <c r="P478" t="s">
        <v>59</v>
      </c>
      <c r="Q478" t="s">
        <v>31</v>
      </c>
      <c r="R478" t="s">
        <v>32</v>
      </c>
      <c r="S478" t="s">
        <v>55</v>
      </c>
      <c r="T478" t="s">
        <v>39</v>
      </c>
      <c r="U478" t="s">
        <v>46</v>
      </c>
      <c r="V478" t="s">
        <v>36</v>
      </c>
      <c r="W478" t="s">
        <v>37</v>
      </c>
      <c r="X478" s="24">
        <v>0</v>
      </c>
      <c r="Y478" s="24">
        <v>100</v>
      </c>
      <c r="Z478" t="s">
        <v>38</v>
      </c>
      <c r="AA478" t="s">
        <v>39</v>
      </c>
      <c r="AB478" t="s">
        <v>38</v>
      </c>
      <c r="AC478" s="24">
        <v>-4.1999999999999954E-3</v>
      </c>
    </row>
    <row r="479" spans="1:29" x14ac:dyDescent="0.3">
      <c r="A479" s="2">
        <v>845</v>
      </c>
      <c r="B479" s="1">
        <v>40581</v>
      </c>
      <c r="C479" s="2">
        <v>1</v>
      </c>
      <c r="D479" s="2">
        <v>15</v>
      </c>
      <c r="E479" t="b">
        <v>0</v>
      </c>
      <c r="F479" s="2">
        <v>1</v>
      </c>
      <c r="G479" s="2">
        <v>2</v>
      </c>
      <c r="H479" s="23">
        <v>0.38</v>
      </c>
      <c r="I479" s="25">
        <v>0.39389999999999997</v>
      </c>
      <c r="J479" s="23">
        <v>0.54</v>
      </c>
      <c r="K479" s="25">
        <v>8.9599999999999999E-2</v>
      </c>
      <c r="L479" s="2">
        <v>4</v>
      </c>
      <c r="M479" s="2">
        <v>46</v>
      </c>
      <c r="N479" s="2">
        <v>50</v>
      </c>
      <c r="O479" t="s">
        <v>29</v>
      </c>
      <c r="P479" t="s">
        <v>54</v>
      </c>
      <c r="Q479" t="s">
        <v>41</v>
      </c>
      <c r="R479" t="s">
        <v>47</v>
      </c>
      <c r="S479" t="s">
        <v>45</v>
      </c>
      <c r="T479" t="s">
        <v>49</v>
      </c>
      <c r="U479" t="s">
        <v>35</v>
      </c>
      <c r="V479" t="s">
        <v>36</v>
      </c>
      <c r="W479" t="s">
        <v>37</v>
      </c>
      <c r="X479" s="24">
        <v>8</v>
      </c>
      <c r="Y479" s="24">
        <v>92</v>
      </c>
      <c r="Z479" t="s">
        <v>38</v>
      </c>
      <c r="AA479" t="s">
        <v>39</v>
      </c>
      <c r="AB479" t="s">
        <v>38</v>
      </c>
      <c r="AC479" s="24">
        <v>1.389999999999997E-2</v>
      </c>
    </row>
    <row r="480" spans="1:29" x14ac:dyDescent="0.3">
      <c r="A480" s="2">
        <v>479</v>
      </c>
      <c r="B480" s="1">
        <v>40564</v>
      </c>
      <c r="C480" s="2">
        <v>1</v>
      </c>
      <c r="D480" s="2">
        <v>23</v>
      </c>
      <c r="E480" t="b">
        <v>0</v>
      </c>
      <c r="F480" s="2">
        <v>5</v>
      </c>
      <c r="G480" s="2">
        <v>1</v>
      </c>
      <c r="H480" s="23">
        <v>0.06</v>
      </c>
      <c r="I480" s="25">
        <v>4.5499999999999999E-2</v>
      </c>
      <c r="J480" s="23">
        <v>0.38</v>
      </c>
      <c r="K480" s="25">
        <v>0.32840000000000003</v>
      </c>
      <c r="L480" s="2">
        <v>0</v>
      </c>
      <c r="M480" s="2">
        <v>27</v>
      </c>
      <c r="N480" s="2">
        <v>27</v>
      </c>
      <c r="O480" t="s">
        <v>29</v>
      </c>
      <c r="P480" t="s">
        <v>59</v>
      </c>
      <c r="Q480" t="s">
        <v>31</v>
      </c>
      <c r="R480" t="s">
        <v>32</v>
      </c>
      <c r="S480" t="s">
        <v>55</v>
      </c>
      <c r="T480" t="s">
        <v>39</v>
      </c>
      <c r="U480" t="s">
        <v>53</v>
      </c>
      <c r="V480" t="s">
        <v>36</v>
      </c>
      <c r="W480" t="s">
        <v>37</v>
      </c>
      <c r="X480" s="24">
        <v>0</v>
      </c>
      <c r="Y480" s="24">
        <v>100</v>
      </c>
      <c r="Z480" t="s">
        <v>38</v>
      </c>
      <c r="AA480" t="s">
        <v>39</v>
      </c>
      <c r="AB480" t="s">
        <v>38</v>
      </c>
      <c r="AC480" s="24">
        <v>-1.4500000000000001E-2</v>
      </c>
    </row>
    <row r="481" spans="1:29" x14ac:dyDescent="0.3">
      <c r="A481" s="2">
        <v>906</v>
      </c>
      <c r="B481" s="1">
        <v>40584</v>
      </c>
      <c r="C481" s="2">
        <v>1</v>
      </c>
      <c r="D481" s="2">
        <v>6</v>
      </c>
      <c r="E481" t="b">
        <v>0</v>
      </c>
      <c r="F481" s="2">
        <v>4</v>
      </c>
      <c r="G481" s="2">
        <v>2</v>
      </c>
      <c r="H481" s="23">
        <v>0.12</v>
      </c>
      <c r="I481" s="25">
        <v>0.1212</v>
      </c>
      <c r="J481" s="23">
        <v>0.54</v>
      </c>
      <c r="K481" s="25">
        <v>0.28360000000000002</v>
      </c>
      <c r="L481" s="2">
        <v>0</v>
      </c>
      <c r="M481" s="2">
        <v>26</v>
      </c>
      <c r="N481" s="2">
        <v>26</v>
      </c>
      <c r="O481" t="s">
        <v>29</v>
      </c>
      <c r="P481" t="s">
        <v>58</v>
      </c>
      <c r="Q481" t="s">
        <v>41</v>
      </c>
      <c r="R481" t="s">
        <v>42</v>
      </c>
      <c r="S481" t="s">
        <v>55</v>
      </c>
      <c r="T481" t="s">
        <v>49</v>
      </c>
      <c r="U481" t="s">
        <v>46</v>
      </c>
      <c r="V481" t="s">
        <v>36</v>
      </c>
      <c r="W481" t="s">
        <v>37</v>
      </c>
      <c r="X481" s="24">
        <v>0</v>
      </c>
      <c r="Y481" s="24">
        <v>100</v>
      </c>
      <c r="Z481" t="s">
        <v>38</v>
      </c>
      <c r="AA481" t="s">
        <v>39</v>
      </c>
      <c r="AB481" t="s">
        <v>38</v>
      </c>
      <c r="AC481" s="24">
        <v>1.2000000000000071E-3</v>
      </c>
    </row>
    <row r="482" spans="1:29" x14ac:dyDescent="0.3">
      <c r="A482" s="2">
        <v>925</v>
      </c>
      <c r="B482" s="1">
        <v>40585</v>
      </c>
      <c r="C482" s="2">
        <v>1</v>
      </c>
      <c r="D482" s="2">
        <v>1</v>
      </c>
      <c r="E482" t="b">
        <v>0</v>
      </c>
      <c r="F482" s="2">
        <v>5</v>
      </c>
      <c r="G482" s="2">
        <v>1</v>
      </c>
      <c r="H482" s="23">
        <v>0.1</v>
      </c>
      <c r="I482" s="25">
        <v>0.13639999999999999</v>
      </c>
      <c r="J482" s="23">
        <v>0.54</v>
      </c>
      <c r="K482" s="25">
        <v>8.9599999999999999E-2</v>
      </c>
      <c r="L482" s="2">
        <v>1</v>
      </c>
      <c r="M482" s="2">
        <v>6</v>
      </c>
      <c r="N482" s="2">
        <v>7</v>
      </c>
      <c r="O482" t="s">
        <v>29</v>
      </c>
      <c r="P482" t="s">
        <v>59</v>
      </c>
      <c r="Q482" t="s">
        <v>31</v>
      </c>
      <c r="R482" t="s">
        <v>32</v>
      </c>
      <c r="S482" t="s">
        <v>55</v>
      </c>
      <c r="T482" t="s">
        <v>49</v>
      </c>
      <c r="U482" t="s">
        <v>35</v>
      </c>
      <c r="V482" t="s">
        <v>36</v>
      </c>
      <c r="W482" t="s">
        <v>37</v>
      </c>
      <c r="X482" s="24">
        <v>14.285714285714279</v>
      </c>
      <c r="Y482" s="24">
        <v>85.714285714285708</v>
      </c>
      <c r="Z482" t="s">
        <v>38</v>
      </c>
      <c r="AA482" t="s">
        <v>39</v>
      </c>
      <c r="AB482" t="s">
        <v>38</v>
      </c>
      <c r="AC482" s="24">
        <v>3.6399999999999988E-2</v>
      </c>
    </row>
    <row r="483" spans="1:29" x14ac:dyDescent="0.3">
      <c r="A483" s="2">
        <v>926</v>
      </c>
      <c r="B483" s="1">
        <v>40585</v>
      </c>
      <c r="C483" s="2">
        <v>1</v>
      </c>
      <c r="D483" s="2">
        <v>2</v>
      </c>
      <c r="E483" t="b">
        <v>0</v>
      </c>
      <c r="F483" s="2">
        <v>5</v>
      </c>
      <c r="G483" s="2">
        <v>1</v>
      </c>
      <c r="H483" s="23">
        <v>0.1</v>
      </c>
      <c r="I483" s="25">
        <v>0.13639999999999999</v>
      </c>
      <c r="J483" s="23">
        <v>0.54</v>
      </c>
      <c r="K483" s="25">
        <v>8.9599999999999999E-2</v>
      </c>
      <c r="L483" s="2">
        <v>0</v>
      </c>
      <c r="M483" s="2">
        <v>3</v>
      </c>
      <c r="N483" s="2">
        <v>3</v>
      </c>
      <c r="O483" t="s">
        <v>29</v>
      </c>
      <c r="P483" t="s">
        <v>59</v>
      </c>
      <c r="Q483" t="s">
        <v>31</v>
      </c>
      <c r="R483" t="s">
        <v>32</v>
      </c>
      <c r="S483" t="s">
        <v>55</v>
      </c>
      <c r="T483" t="s">
        <v>49</v>
      </c>
      <c r="U483" t="s">
        <v>35</v>
      </c>
      <c r="V483" t="s">
        <v>36</v>
      </c>
      <c r="W483" t="s">
        <v>37</v>
      </c>
      <c r="X483" s="24">
        <v>0</v>
      </c>
      <c r="Y483" s="24">
        <v>100</v>
      </c>
      <c r="Z483" t="s">
        <v>38</v>
      </c>
      <c r="AA483" t="s">
        <v>39</v>
      </c>
      <c r="AB483" t="s">
        <v>38</v>
      </c>
      <c r="AC483" s="24">
        <v>3.6399999999999988E-2</v>
      </c>
    </row>
    <row r="484" spans="1:29" x14ac:dyDescent="0.3">
      <c r="A484" s="2">
        <v>69</v>
      </c>
      <c r="B484" s="1">
        <v>40546</v>
      </c>
      <c r="C484" s="2">
        <v>1</v>
      </c>
      <c r="D484" s="2">
        <v>23</v>
      </c>
      <c r="E484" t="b">
        <v>0</v>
      </c>
      <c r="F484" s="2">
        <v>1</v>
      </c>
      <c r="G484" s="2">
        <v>1</v>
      </c>
      <c r="H484" s="23">
        <v>0.18</v>
      </c>
      <c r="I484" s="25">
        <v>0.21210000000000001</v>
      </c>
      <c r="J484" s="23">
        <v>0.55000000000000004</v>
      </c>
      <c r="K484" s="25">
        <v>0.1045</v>
      </c>
      <c r="L484" s="2">
        <v>1</v>
      </c>
      <c r="M484" s="2">
        <v>11</v>
      </c>
      <c r="N484" s="2">
        <v>12</v>
      </c>
      <c r="O484" t="s">
        <v>29</v>
      </c>
      <c r="P484" t="s">
        <v>54</v>
      </c>
      <c r="Q484" t="s">
        <v>31</v>
      </c>
      <c r="R484" t="s">
        <v>32</v>
      </c>
      <c r="S484" t="s">
        <v>33</v>
      </c>
      <c r="T484" t="s">
        <v>49</v>
      </c>
      <c r="U484" t="s">
        <v>35</v>
      </c>
      <c r="V484" t="s">
        <v>36</v>
      </c>
      <c r="W484" t="s">
        <v>37</v>
      </c>
      <c r="X484" s="24">
        <v>8.3333333333333321</v>
      </c>
      <c r="Y484" s="24">
        <v>91.666666666666657</v>
      </c>
      <c r="Z484" t="s">
        <v>38</v>
      </c>
      <c r="AA484" t="s">
        <v>39</v>
      </c>
      <c r="AB484" t="s">
        <v>38</v>
      </c>
      <c r="AC484" s="24">
        <v>3.2100000000000017E-2</v>
      </c>
    </row>
    <row r="485" spans="1:29" x14ac:dyDescent="0.3">
      <c r="A485" s="2">
        <v>70</v>
      </c>
      <c r="B485" s="1">
        <v>40547</v>
      </c>
      <c r="C485" s="2">
        <v>1</v>
      </c>
      <c r="D485" s="2">
        <v>0</v>
      </c>
      <c r="E485" t="b">
        <v>0</v>
      </c>
      <c r="F485" s="2">
        <v>2</v>
      </c>
      <c r="G485" s="2">
        <v>1</v>
      </c>
      <c r="H485" s="23">
        <v>0.16</v>
      </c>
      <c r="I485" s="25">
        <v>0.21210000000000001</v>
      </c>
      <c r="J485" s="23">
        <v>0.55000000000000004</v>
      </c>
      <c r="K485" s="25">
        <v>0.1045</v>
      </c>
      <c r="L485" s="2">
        <v>0</v>
      </c>
      <c r="M485" s="2">
        <v>5</v>
      </c>
      <c r="N485" s="2">
        <v>5</v>
      </c>
      <c r="O485" t="s">
        <v>29</v>
      </c>
      <c r="P485" t="s">
        <v>56</v>
      </c>
      <c r="Q485" t="s">
        <v>31</v>
      </c>
      <c r="R485" t="s">
        <v>32</v>
      </c>
      <c r="S485" t="s">
        <v>33</v>
      </c>
      <c r="T485" t="s">
        <v>49</v>
      </c>
      <c r="U485" t="s">
        <v>35</v>
      </c>
      <c r="V485" t="s">
        <v>36</v>
      </c>
      <c r="W485" t="s">
        <v>37</v>
      </c>
      <c r="X485" s="24">
        <v>0</v>
      </c>
      <c r="Y485" s="24">
        <v>100</v>
      </c>
      <c r="Z485" t="s">
        <v>38</v>
      </c>
      <c r="AA485" t="s">
        <v>39</v>
      </c>
      <c r="AB485" t="s">
        <v>38</v>
      </c>
      <c r="AC485" s="24">
        <v>5.2100000000000007E-2</v>
      </c>
    </row>
    <row r="486" spans="1:29" x14ac:dyDescent="0.3">
      <c r="A486" s="2">
        <v>114</v>
      </c>
      <c r="B486" s="1">
        <v>40548</v>
      </c>
      <c r="C486" s="2">
        <v>1</v>
      </c>
      <c r="D486" s="2">
        <v>22</v>
      </c>
      <c r="E486" t="b">
        <v>0</v>
      </c>
      <c r="F486" s="2">
        <v>3</v>
      </c>
      <c r="G486" s="2">
        <v>1</v>
      </c>
      <c r="H486" s="23">
        <v>0.18</v>
      </c>
      <c r="I486" s="25">
        <v>0.19700000000000001</v>
      </c>
      <c r="J486" s="23">
        <v>0.55000000000000004</v>
      </c>
      <c r="K486" s="25">
        <v>0.1343</v>
      </c>
      <c r="L486" s="2">
        <v>1</v>
      </c>
      <c r="M486" s="2">
        <v>41</v>
      </c>
      <c r="N486" s="2">
        <v>42</v>
      </c>
      <c r="O486" t="s">
        <v>29</v>
      </c>
      <c r="P486" t="s">
        <v>57</v>
      </c>
      <c r="Q486" t="s">
        <v>31</v>
      </c>
      <c r="R486" t="s">
        <v>32</v>
      </c>
      <c r="S486" t="s">
        <v>33</v>
      </c>
      <c r="T486" t="s">
        <v>49</v>
      </c>
      <c r="U486" t="s">
        <v>35</v>
      </c>
      <c r="V486" t="s">
        <v>36</v>
      </c>
      <c r="W486" t="s">
        <v>37</v>
      </c>
      <c r="X486" s="24">
        <v>2.3809523809523809</v>
      </c>
      <c r="Y486" s="24">
        <v>97.61904761904762</v>
      </c>
      <c r="Z486" t="s">
        <v>38</v>
      </c>
      <c r="AA486" t="s">
        <v>39</v>
      </c>
      <c r="AB486" t="s">
        <v>38</v>
      </c>
      <c r="AC486" s="24">
        <v>1.7000000000000019E-2</v>
      </c>
    </row>
    <row r="487" spans="1:29" x14ac:dyDescent="0.3">
      <c r="A487" s="2">
        <v>116</v>
      </c>
      <c r="B487" s="1">
        <v>40549</v>
      </c>
      <c r="C487" s="2">
        <v>1</v>
      </c>
      <c r="D487" s="2">
        <v>0</v>
      </c>
      <c r="E487" t="b">
        <v>0</v>
      </c>
      <c r="F487" s="2">
        <v>4</v>
      </c>
      <c r="G487" s="2">
        <v>1</v>
      </c>
      <c r="H487" s="23">
        <v>0.18</v>
      </c>
      <c r="I487" s="25">
        <v>0.2424</v>
      </c>
      <c r="J487" s="23">
        <v>0.55000000000000004</v>
      </c>
      <c r="K487" s="25">
        <v>0</v>
      </c>
      <c r="L487" s="2">
        <v>0</v>
      </c>
      <c r="M487" s="2">
        <v>11</v>
      </c>
      <c r="N487" s="2">
        <v>11</v>
      </c>
      <c r="O487" t="s">
        <v>29</v>
      </c>
      <c r="P487" t="s">
        <v>58</v>
      </c>
      <c r="Q487" t="s">
        <v>31</v>
      </c>
      <c r="R487" t="s">
        <v>32</v>
      </c>
      <c r="S487" t="s">
        <v>33</v>
      </c>
      <c r="T487" t="s">
        <v>49</v>
      </c>
      <c r="U487" t="s">
        <v>35</v>
      </c>
      <c r="V487" t="s">
        <v>36</v>
      </c>
      <c r="W487" t="s">
        <v>37</v>
      </c>
      <c r="X487" s="24">
        <v>0</v>
      </c>
      <c r="Y487" s="24">
        <v>100</v>
      </c>
      <c r="Z487" t="s">
        <v>38</v>
      </c>
      <c r="AA487" t="s">
        <v>39</v>
      </c>
      <c r="AB487" t="s">
        <v>38</v>
      </c>
      <c r="AC487" s="24">
        <v>6.2400000000000011E-2</v>
      </c>
    </row>
    <row r="488" spans="1:29" x14ac:dyDescent="0.3">
      <c r="A488" s="2">
        <v>134</v>
      </c>
      <c r="B488" s="1">
        <v>40549</v>
      </c>
      <c r="C488" s="2">
        <v>1</v>
      </c>
      <c r="D488" s="2">
        <v>19</v>
      </c>
      <c r="E488" t="b">
        <v>0</v>
      </c>
      <c r="F488" s="2">
        <v>4</v>
      </c>
      <c r="G488" s="2">
        <v>1</v>
      </c>
      <c r="H488" s="23">
        <v>0.22</v>
      </c>
      <c r="I488" s="25">
        <v>0.2576</v>
      </c>
      <c r="J488" s="23">
        <v>0.55000000000000004</v>
      </c>
      <c r="K488" s="25">
        <v>8.9599999999999999E-2</v>
      </c>
      <c r="L488" s="2">
        <v>3</v>
      </c>
      <c r="M488" s="2">
        <v>109</v>
      </c>
      <c r="N488" s="2">
        <v>112</v>
      </c>
      <c r="O488" t="s">
        <v>29</v>
      </c>
      <c r="P488" t="s">
        <v>58</v>
      </c>
      <c r="Q488" t="s">
        <v>31</v>
      </c>
      <c r="R488" t="s">
        <v>50</v>
      </c>
      <c r="S488" t="s">
        <v>33</v>
      </c>
      <c r="T488" t="s">
        <v>49</v>
      </c>
      <c r="U488" t="s">
        <v>35</v>
      </c>
      <c r="V488" t="s">
        <v>36</v>
      </c>
      <c r="W488" t="s">
        <v>37</v>
      </c>
      <c r="X488" s="24">
        <v>2.6785714285714279</v>
      </c>
      <c r="Y488" s="24">
        <v>97.321428571428569</v>
      </c>
      <c r="Z488" t="s">
        <v>40</v>
      </c>
      <c r="AA488" t="s">
        <v>49</v>
      </c>
      <c r="AB488" t="s">
        <v>38</v>
      </c>
      <c r="AC488" s="24">
        <v>3.7599999999999988E-2</v>
      </c>
    </row>
    <row r="489" spans="1:29" x14ac:dyDescent="0.3">
      <c r="A489" s="2">
        <v>136</v>
      </c>
      <c r="B489" s="1">
        <v>40549</v>
      </c>
      <c r="C489" s="2">
        <v>1</v>
      </c>
      <c r="D489" s="2">
        <v>21</v>
      </c>
      <c r="E489" t="b">
        <v>0</v>
      </c>
      <c r="F489" s="2">
        <v>4</v>
      </c>
      <c r="G489" s="2">
        <v>2</v>
      </c>
      <c r="H489" s="23">
        <v>0.22</v>
      </c>
      <c r="I489" s="25">
        <v>0.21210000000000001</v>
      </c>
      <c r="J489" s="23">
        <v>0.55000000000000004</v>
      </c>
      <c r="K489" s="25">
        <v>0.22389999999999999</v>
      </c>
      <c r="L489" s="2">
        <v>0</v>
      </c>
      <c r="M489" s="2">
        <v>48</v>
      </c>
      <c r="N489" s="2">
        <v>48</v>
      </c>
      <c r="O489" t="s">
        <v>29</v>
      </c>
      <c r="P489" t="s">
        <v>58</v>
      </c>
      <c r="Q489" t="s">
        <v>41</v>
      </c>
      <c r="R489" t="s">
        <v>32</v>
      </c>
      <c r="S489" t="s">
        <v>33</v>
      </c>
      <c r="T489" t="s">
        <v>49</v>
      </c>
      <c r="U489" t="s">
        <v>46</v>
      </c>
      <c r="V489" t="s">
        <v>36</v>
      </c>
      <c r="W489" t="s">
        <v>37</v>
      </c>
      <c r="X489" s="24">
        <v>0</v>
      </c>
      <c r="Y489" s="24">
        <v>100</v>
      </c>
      <c r="Z489" t="s">
        <v>38</v>
      </c>
      <c r="AA489" t="s">
        <v>39</v>
      </c>
      <c r="AB489" t="s">
        <v>38</v>
      </c>
      <c r="AC489" s="24">
        <v>-7.8999999999999904E-3</v>
      </c>
    </row>
    <row r="490" spans="1:29" x14ac:dyDescent="0.3">
      <c r="A490" s="2">
        <v>143</v>
      </c>
      <c r="B490" s="1">
        <v>40550</v>
      </c>
      <c r="C490" s="2">
        <v>1</v>
      </c>
      <c r="D490" s="2">
        <v>5</v>
      </c>
      <c r="E490" t="b">
        <v>0</v>
      </c>
      <c r="F490" s="2">
        <v>5</v>
      </c>
      <c r="G490" s="2">
        <v>3</v>
      </c>
      <c r="H490" s="23">
        <v>0.22</v>
      </c>
      <c r="I490" s="25">
        <v>0.2727</v>
      </c>
      <c r="J490" s="23">
        <v>0.55000000000000004</v>
      </c>
      <c r="K490" s="25">
        <v>0</v>
      </c>
      <c r="L490" s="2">
        <v>0</v>
      </c>
      <c r="M490" s="2">
        <v>5</v>
      </c>
      <c r="N490" s="2">
        <v>5</v>
      </c>
      <c r="O490" t="s">
        <v>29</v>
      </c>
      <c r="P490" t="s">
        <v>59</v>
      </c>
      <c r="Q490" t="s">
        <v>51</v>
      </c>
      <c r="R490" t="s">
        <v>32</v>
      </c>
      <c r="S490" t="s">
        <v>33</v>
      </c>
      <c r="T490" t="s">
        <v>49</v>
      </c>
      <c r="U490" t="s">
        <v>35</v>
      </c>
      <c r="V490" t="s">
        <v>36</v>
      </c>
      <c r="W490" t="s">
        <v>37</v>
      </c>
      <c r="X490" s="24">
        <v>0</v>
      </c>
      <c r="Y490" s="24">
        <v>100</v>
      </c>
      <c r="Z490" t="s">
        <v>38</v>
      </c>
      <c r="AA490" t="s">
        <v>39</v>
      </c>
      <c r="AB490" t="s">
        <v>38</v>
      </c>
      <c r="AC490" s="24">
        <v>5.2699999999999997E-2</v>
      </c>
    </row>
    <row r="491" spans="1:29" x14ac:dyDescent="0.3">
      <c r="A491" s="2">
        <v>490</v>
      </c>
      <c r="B491" s="1">
        <v>40565</v>
      </c>
      <c r="C491" s="2">
        <v>1</v>
      </c>
      <c r="D491" s="2">
        <v>11</v>
      </c>
      <c r="E491" t="b">
        <v>0</v>
      </c>
      <c r="F491" s="2">
        <v>6</v>
      </c>
      <c r="G491" s="2">
        <v>2</v>
      </c>
      <c r="H491" s="23">
        <v>0.06</v>
      </c>
      <c r="I491" s="25">
        <v>7.5800000000000006E-2</v>
      </c>
      <c r="J491" s="23">
        <v>0.38</v>
      </c>
      <c r="K491" s="25">
        <v>0.1343</v>
      </c>
      <c r="L491" s="2">
        <v>4</v>
      </c>
      <c r="M491" s="2">
        <v>59</v>
      </c>
      <c r="N491" s="2">
        <v>63</v>
      </c>
      <c r="O491" t="s">
        <v>29</v>
      </c>
      <c r="P491" t="s">
        <v>30</v>
      </c>
      <c r="Q491" t="s">
        <v>41</v>
      </c>
      <c r="R491" t="s">
        <v>42</v>
      </c>
      <c r="S491" t="s">
        <v>55</v>
      </c>
      <c r="T491" t="s">
        <v>39</v>
      </c>
      <c r="U491" t="s">
        <v>35</v>
      </c>
      <c r="V491" t="s">
        <v>36</v>
      </c>
      <c r="W491" t="s">
        <v>37</v>
      </c>
      <c r="X491" s="24">
        <v>6.3492063492063489</v>
      </c>
      <c r="Y491" s="24">
        <v>93.650793650793645</v>
      </c>
      <c r="Z491" t="s">
        <v>38</v>
      </c>
      <c r="AA491" t="s">
        <v>39</v>
      </c>
      <c r="AB491" t="s">
        <v>40</v>
      </c>
      <c r="AC491" s="24">
        <v>1.5800000000000008E-2</v>
      </c>
    </row>
    <row r="492" spans="1:29" x14ac:dyDescent="0.3">
      <c r="A492" s="2">
        <v>491</v>
      </c>
      <c r="B492" s="1">
        <v>40565</v>
      </c>
      <c r="C492" s="2">
        <v>1</v>
      </c>
      <c r="D492" s="2">
        <v>12</v>
      </c>
      <c r="E492" t="b">
        <v>0</v>
      </c>
      <c r="F492" s="2">
        <v>6</v>
      </c>
      <c r="G492" s="2">
        <v>2</v>
      </c>
      <c r="H492" s="23">
        <v>0.06</v>
      </c>
      <c r="I492" s="25">
        <v>0.1061</v>
      </c>
      <c r="J492" s="23">
        <v>0.38</v>
      </c>
      <c r="K492" s="25">
        <v>0.1045</v>
      </c>
      <c r="L492" s="2">
        <v>10</v>
      </c>
      <c r="M492" s="2">
        <v>60</v>
      </c>
      <c r="N492" s="2">
        <v>70</v>
      </c>
      <c r="O492" t="s">
        <v>29</v>
      </c>
      <c r="P492" t="s">
        <v>30</v>
      </c>
      <c r="Q492" t="s">
        <v>41</v>
      </c>
      <c r="R492" t="s">
        <v>47</v>
      </c>
      <c r="S492" t="s">
        <v>55</v>
      </c>
      <c r="T492" t="s">
        <v>39</v>
      </c>
      <c r="U492" t="s">
        <v>35</v>
      </c>
      <c r="V492" t="s">
        <v>36</v>
      </c>
      <c r="W492" t="s">
        <v>37</v>
      </c>
      <c r="X492" s="24">
        <v>14.285714285714279</v>
      </c>
      <c r="Y492" s="24">
        <v>85.714285714285708</v>
      </c>
      <c r="Z492" t="s">
        <v>38</v>
      </c>
      <c r="AA492" t="s">
        <v>39</v>
      </c>
      <c r="AB492" t="s">
        <v>40</v>
      </c>
      <c r="AC492" s="24">
        <v>4.6100000000000002E-2</v>
      </c>
    </row>
    <row r="493" spans="1:29" x14ac:dyDescent="0.3">
      <c r="A493" s="2">
        <v>492</v>
      </c>
      <c r="B493" s="1">
        <v>40565</v>
      </c>
      <c r="C493" s="2">
        <v>1</v>
      </c>
      <c r="D493" s="2">
        <v>13</v>
      </c>
      <c r="E493" t="b">
        <v>0</v>
      </c>
      <c r="F493" s="2">
        <v>6</v>
      </c>
      <c r="G493" s="2">
        <v>1</v>
      </c>
      <c r="H493" s="23">
        <v>0.08</v>
      </c>
      <c r="I493" s="25">
        <v>0.16669999999999999</v>
      </c>
      <c r="J493" s="23">
        <v>0.35</v>
      </c>
      <c r="K493" s="25">
        <v>0</v>
      </c>
      <c r="L493" s="2">
        <v>12</v>
      </c>
      <c r="M493" s="2">
        <v>72</v>
      </c>
      <c r="N493" s="2">
        <v>84</v>
      </c>
      <c r="O493" t="s">
        <v>29</v>
      </c>
      <c r="P493" t="s">
        <v>30</v>
      </c>
      <c r="Q493" t="s">
        <v>31</v>
      </c>
      <c r="R493" t="s">
        <v>47</v>
      </c>
      <c r="S493" t="s">
        <v>55</v>
      </c>
      <c r="T493" t="s">
        <v>39</v>
      </c>
      <c r="U493" t="s">
        <v>35</v>
      </c>
      <c r="V493" t="s">
        <v>36</v>
      </c>
      <c r="W493" t="s">
        <v>37</v>
      </c>
      <c r="X493" s="24">
        <v>14.285714285714279</v>
      </c>
      <c r="Y493" s="24">
        <v>85.714285714285708</v>
      </c>
      <c r="Z493" t="s">
        <v>38</v>
      </c>
      <c r="AA493" t="s">
        <v>39</v>
      </c>
      <c r="AB493" t="s">
        <v>40</v>
      </c>
      <c r="AC493" s="24">
        <v>8.6699999999999985E-2</v>
      </c>
    </row>
    <row r="494" spans="1:29" x14ac:dyDescent="0.3">
      <c r="A494" s="2">
        <v>493</v>
      </c>
      <c r="B494" s="1">
        <v>40565</v>
      </c>
      <c r="C494" s="2">
        <v>1</v>
      </c>
      <c r="D494" s="2">
        <v>14</v>
      </c>
      <c r="E494" t="b">
        <v>0</v>
      </c>
      <c r="F494" s="2">
        <v>6</v>
      </c>
      <c r="G494" s="2">
        <v>1</v>
      </c>
      <c r="H494" s="23">
        <v>0.1</v>
      </c>
      <c r="I494" s="25">
        <v>0.13639999999999999</v>
      </c>
      <c r="J494" s="23">
        <v>0.33</v>
      </c>
      <c r="K494" s="25">
        <v>0.1045</v>
      </c>
      <c r="L494" s="2">
        <v>11</v>
      </c>
      <c r="M494" s="2">
        <v>64</v>
      </c>
      <c r="N494" s="2">
        <v>75</v>
      </c>
      <c r="O494" t="s">
        <v>29</v>
      </c>
      <c r="P494" t="s">
        <v>30</v>
      </c>
      <c r="Q494" t="s">
        <v>31</v>
      </c>
      <c r="R494" t="s">
        <v>47</v>
      </c>
      <c r="S494" t="s">
        <v>55</v>
      </c>
      <c r="T494" t="s">
        <v>39</v>
      </c>
      <c r="U494" t="s">
        <v>35</v>
      </c>
      <c r="V494" t="s">
        <v>36</v>
      </c>
      <c r="W494" t="s">
        <v>37</v>
      </c>
      <c r="X494" s="24">
        <v>14.66666666666667</v>
      </c>
      <c r="Y494" s="24">
        <v>85.333333333333343</v>
      </c>
      <c r="Z494" t="s">
        <v>38</v>
      </c>
      <c r="AA494" t="s">
        <v>39</v>
      </c>
      <c r="AB494" t="s">
        <v>40</v>
      </c>
      <c r="AC494" s="24">
        <v>3.6399999999999988E-2</v>
      </c>
    </row>
    <row r="495" spans="1:29" x14ac:dyDescent="0.3">
      <c r="A495" s="2">
        <v>494</v>
      </c>
      <c r="B495" s="1">
        <v>40565</v>
      </c>
      <c r="C495" s="2">
        <v>1</v>
      </c>
      <c r="D495" s="2">
        <v>15</v>
      </c>
      <c r="E495" t="b">
        <v>0</v>
      </c>
      <c r="F495" s="2">
        <v>6</v>
      </c>
      <c r="G495" s="2">
        <v>1</v>
      </c>
      <c r="H495" s="23">
        <v>0.12</v>
      </c>
      <c r="I495" s="25">
        <v>0.1515</v>
      </c>
      <c r="J495" s="23">
        <v>0.28000000000000003</v>
      </c>
      <c r="K495" s="25">
        <v>0</v>
      </c>
      <c r="L495" s="2">
        <v>10</v>
      </c>
      <c r="M495" s="2">
        <v>93</v>
      </c>
      <c r="N495" s="2">
        <v>103</v>
      </c>
      <c r="O495" t="s">
        <v>29</v>
      </c>
      <c r="P495" t="s">
        <v>30</v>
      </c>
      <c r="Q495" t="s">
        <v>31</v>
      </c>
      <c r="R495" t="s">
        <v>47</v>
      </c>
      <c r="S495" t="s">
        <v>55</v>
      </c>
      <c r="T495" t="s">
        <v>39</v>
      </c>
      <c r="U495" t="s">
        <v>35</v>
      </c>
      <c r="V495" t="s">
        <v>36</v>
      </c>
      <c r="W495" t="s">
        <v>37</v>
      </c>
      <c r="X495" s="24">
        <v>9.7087378640776691</v>
      </c>
      <c r="Y495" s="24">
        <v>90.291262135922338</v>
      </c>
      <c r="Z495" t="s">
        <v>38</v>
      </c>
      <c r="AA495" t="s">
        <v>49</v>
      </c>
      <c r="AB495" t="s">
        <v>40</v>
      </c>
      <c r="AC495" s="24">
        <v>3.15E-2</v>
      </c>
    </row>
    <row r="496" spans="1:29" x14ac:dyDescent="0.3">
      <c r="A496" s="2">
        <v>495</v>
      </c>
      <c r="B496" s="1">
        <v>40565</v>
      </c>
      <c r="C496" s="2">
        <v>1</v>
      </c>
      <c r="D496" s="2">
        <v>16</v>
      </c>
      <c r="E496" t="b">
        <v>0</v>
      </c>
      <c r="F496" s="2">
        <v>6</v>
      </c>
      <c r="G496" s="2">
        <v>1</v>
      </c>
      <c r="H496" s="23">
        <v>0.12</v>
      </c>
      <c r="I496" s="25">
        <v>0.13639999999999999</v>
      </c>
      <c r="J496" s="23">
        <v>0.28000000000000003</v>
      </c>
      <c r="K496" s="25">
        <v>0.19400000000000001</v>
      </c>
      <c r="L496" s="2">
        <v>11</v>
      </c>
      <c r="M496" s="2">
        <v>72</v>
      </c>
      <c r="N496" s="2">
        <v>83</v>
      </c>
      <c r="O496" t="s">
        <v>29</v>
      </c>
      <c r="P496" t="s">
        <v>30</v>
      </c>
      <c r="Q496" t="s">
        <v>31</v>
      </c>
      <c r="R496" t="s">
        <v>47</v>
      </c>
      <c r="S496" t="s">
        <v>55</v>
      </c>
      <c r="T496" t="s">
        <v>39</v>
      </c>
      <c r="U496" t="s">
        <v>46</v>
      </c>
      <c r="V496" t="s">
        <v>36</v>
      </c>
      <c r="W496" t="s">
        <v>37</v>
      </c>
      <c r="X496" s="24">
        <v>13.253012048192771</v>
      </c>
      <c r="Y496" s="24">
        <v>86.746987951807228</v>
      </c>
      <c r="Z496" t="s">
        <v>38</v>
      </c>
      <c r="AA496" t="s">
        <v>39</v>
      </c>
      <c r="AB496" t="s">
        <v>40</v>
      </c>
      <c r="AC496" s="24">
        <v>1.6400000000000001E-2</v>
      </c>
    </row>
    <row r="497" spans="1:29" x14ac:dyDescent="0.3">
      <c r="A497" s="2">
        <v>496</v>
      </c>
      <c r="B497" s="1">
        <v>40565</v>
      </c>
      <c r="C497" s="2">
        <v>1</v>
      </c>
      <c r="D497" s="2">
        <v>17</v>
      </c>
      <c r="E497" t="b">
        <v>0</v>
      </c>
      <c r="F497" s="2">
        <v>6</v>
      </c>
      <c r="G497" s="2">
        <v>1</v>
      </c>
      <c r="H497" s="23">
        <v>0.12</v>
      </c>
      <c r="I497" s="25">
        <v>0.19700000000000001</v>
      </c>
      <c r="J497" s="23">
        <v>0.28000000000000003</v>
      </c>
      <c r="K497" s="25">
        <v>0</v>
      </c>
      <c r="L497" s="2">
        <v>8</v>
      </c>
      <c r="M497" s="2">
        <v>59</v>
      </c>
      <c r="N497" s="2">
        <v>67</v>
      </c>
      <c r="O497" t="s">
        <v>29</v>
      </c>
      <c r="P497" t="s">
        <v>30</v>
      </c>
      <c r="Q497" t="s">
        <v>31</v>
      </c>
      <c r="R497" t="s">
        <v>50</v>
      </c>
      <c r="S497" t="s">
        <v>55</v>
      </c>
      <c r="T497" t="s">
        <v>39</v>
      </c>
      <c r="U497" t="s">
        <v>35</v>
      </c>
      <c r="V497" t="s">
        <v>36</v>
      </c>
      <c r="W497" t="s">
        <v>37</v>
      </c>
      <c r="X497" s="24">
        <v>11.940298507462691</v>
      </c>
      <c r="Y497" s="24">
        <v>88.059701492537314</v>
      </c>
      <c r="Z497" t="s">
        <v>40</v>
      </c>
      <c r="AA497" t="s">
        <v>39</v>
      </c>
      <c r="AB497" t="s">
        <v>40</v>
      </c>
      <c r="AC497" s="24">
        <v>7.7000000000000013E-2</v>
      </c>
    </row>
    <row r="498" spans="1:29" x14ac:dyDescent="0.3">
      <c r="A498" s="2">
        <v>497</v>
      </c>
      <c r="B498" s="1">
        <v>40565</v>
      </c>
      <c r="C498" s="2">
        <v>1</v>
      </c>
      <c r="D498" s="2">
        <v>18</v>
      </c>
      <c r="E498" t="b">
        <v>0</v>
      </c>
      <c r="F498" s="2">
        <v>6</v>
      </c>
      <c r="G498" s="2">
        <v>1</v>
      </c>
      <c r="H498" s="23">
        <v>0.08</v>
      </c>
      <c r="I498" s="25">
        <v>9.0899999999999995E-2</v>
      </c>
      <c r="J498" s="23">
        <v>0.35</v>
      </c>
      <c r="K498" s="25">
        <v>0.19400000000000001</v>
      </c>
      <c r="L498" s="2">
        <v>0</v>
      </c>
      <c r="M498" s="2">
        <v>54</v>
      </c>
      <c r="N498" s="2">
        <v>54</v>
      </c>
      <c r="O498" t="s">
        <v>29</v>
      </c>
      <c r="P498" t="s">
        <v>30</v>
      </c>
      <c r="Q498" t="s">
        <v>31</v>
      </c>
      <c r="R498" t="s">
        <v>50</v>
      </c>
      <c r="S498" t="s">
        <v>55</v>
      </c>
      <c r="T498" t="s">
        <v>39</v>
      </c>
      <c r="U498" t="s">
        <v>46</v>
      </c>
      <c r="V498" t="s">
        <v>36</v>
      </c>
      <c r="W498" t="s">
        <v>37</v>
      </c>
      <c r="X498" s="24">
        <v>0</v>
      </c>
      <c r="Y498" s="24">
        <v>100</v>
      </c>
      <c r="Z498" t="s">
        <v>40</v>
      </c>
      <c r="AA498" t="s">
        <v>39</v>
      </c>
      <c r="AB498" t="s">
        <v>40</v>
      </c>
      <c r="AC498" s="24">
        <v>1.089999999999999E-2</v>
      </c>
    </row>
    <row r="499" spans="1:29" x14ac:dyDescent="0.3">
      <c r="A499" s="2">
        <v>498</v>
      </c>
      <c r="B499" s="1">
        <v>40565</v>
      </c>
      <c r="C499" s="2">
        <v>1</v>
      </c>
      <c r="D499" s="2">
        <v>19</v>
      </c>
      <c r="E499" t="b">
        <v>0</v>
      </c>
      <c r="F499" s="2">
        <v>6</v>
      </c>
      <c r="G499" s="2">
        <v>1</v>
      </c>
      <c r="H499" s="23">
        <v>0.08</v>
      </c>
      <c r="I499" s="25">
        <v>0.1061</v>
      </c>
      <c r="J499" s="23">
        <v>0.35</v>
      </c>
      <c r="K499" s="25">
        <v>0.1343</v>
      </c>
      <c r="L499" s="2">
        <v>6</v>
      </c>
      <c r="M499" s="2">
        <v>53</v>
      </c>
      <c r="N499" s="2">
        <v>59</v>
      </c>
      <c r="O499" t="s">
        <v>29</v>
      </c>
      <c r="P499" t="s">
        <v>30</v>
      </c>
      <c r="Q499" t="s">
        <v>31</v>
      </c>
      <c r="R499" t="s">
        <v>50</v>
      </c>
      <c r="S499" t="s">
        <v>55</v>
      </c>
      <c r="T499" t="s">
        <v>39</v>
      </c>
      <c r="U499" t="s">
        <v>35</v>
      </c>
      <c r="V499" t="s">
        <v>36</v>
      </c>
      <c r="W499" t="s">
        <v>37</v>
      </c>
      <c r="X499" s="24">
        <v>10.16949152542373</v>
      </c>
      <c r="Y499" s="24">
        <v>89.830508474576277</v>
      </c>
      <c r="Z499" t="s">
        <v>40</v>
      </c>
      <c r="AA499" t="s">
        <v>39</v>
      </c>
      <c r="AB499" t="s">
        <v>40</v>
      </c>
      <c r="AC499" s="24">
        <v>2.6100000000000002E-2</v>
      </c>
    </row>
    <row r="500" spans="1:29" x14ac:dyDescent="0.3">
      <c r="A500" s="2">
        <v>157</v>
      </c>
      <c r="B500" s="1">
        <v>40550</v>
      </c>
      <c r="C500" s="2">
        <v>1</v>
      </c>
      <c r="D500" s="2">
        <v>19</v>
      </c>
      <c r="E500" t="b">
        <v>0</v>
      </c>
      <c r="F500" s="2">
        <v>5</v>
      </c>
      <c r="G500" s="2">
        <v>1</v>
      </c>
      <c r="H500" s="23">
        <v>0.16</v>
      </c>
      <c r="I500" s="25">
        <v>0.19700000000000001</v>
      </c>
      <c r="J500" s="23">
        <v>0.55000000000000004</v>
      </c>
      <c r="K500" s="25">
        <v>8.9599999999999999E-2</v>
      </c>
      <c r="L500" s="2">
        <v>3</v>
      </c>
      <c r="M500" s="2">
        <v>92</v>
      </c>
      <c r="N500" s="2">
        <v>95</v>
      </c>
      <c r="O500" t="s">
        <v>29</v>
      </c>
      <c r="P500" t="s">
        <v>59</v>
      </c>
      <c r="Q500" t="s">
        <v>31</v>
      </c>
      <c r="R500" t="s">
        <v>50</v>
      </c>
      <c r="S500" t="s">
        <v>33</v>
      </c>
      <c r="T500" t="s">
        <v>49</v>
      </c>
      <c r="U500" t="s">
        <v>35</v>
      </c>
      <c r="V500" t="s">
        <v>36</v>
      </c>
      <c r="W500" t="s">
        <v>37</v>
      </c>
      <c r="X500" s="24">
        <v>3.1578947368421049</v>
      </c>
      <c r="Y500" s="24">
        <v>96.84210526315789</v>
      </c>
      <c r="Z500" t="s">
        <v>40</v>
      </c>
      <c r="AA500" t="s">
        <v>39</v>
      </c>
      <c r="AB500" t="s">
        <v>38</v>
      </c>
      <c r="AC500" s="24">
        <v>3.7000000000000012E-2</v>
      </c>
    </row>
    <row r="501" spans="1:29" x14ac:dyDescent="0.3">
      <c r="A501" s="2">
        <v>163</v>
      </c>
      <c r="B501" s="1">
        <v>40551</v>
      </c>
      <c r="C501" s="2">
        <v>1</v>
      </c>
      <c r="D501" s="2">
        <v>1</v>
      </c>
      <c r="E501" t="b">
        <v>0</v>
      </c>
      <c r="F501" s="2">
        <v>6</v>
      </c>
      <c r="G501" s="2">
        <v>2</v>
      </c>
      <c r="H501" s="23">
        <v>0.18</v>
      </c>
      <c r="I501" s="25">
        <v>0.21210000000000001</v>
      </c>
      <c r="J501" s="23">
        <v>0.55000000000000004</v>
      </c>
      <c r="K501" s="25">
        <v>8.9599999999999999E-2</v>
      </c>
      <c r="L501" s="2">
        <v>1</v>
      </c>
      <c r="M501" s="2">
        <v>15</v>
      </c>
      <c r="N501" s="2">
        <v>16</v>
      </c>
      <c r="O501" t="s">
        <v>29</v>
      </c>
      <c r="P501" t="s">
        <v>30</v>
      </c>
      <c r="Q501" t="s">
        <v>41</v>
      </c>
      <c r="R501" t="s">
        <v>32</v>
      </c>
      <c r="S501" t="s">
        <v>33</v>
      </c>
      <c r="T501" t="s">
        <v>49</v>
      </c>
      <c r="U501" t="s">
        <v>35</v>
      </c>
      <c r="V501" t="s">
        <v>36</v>
      </c>
      <c r="W501" t="s">
        <v>37</v>
      </c>
      <c r="X501" s="24">
        <v>6.25</v>
      </c>
      <c r="Y501" s="24">
        <v>93.75</v>
      </c>
      <c r="Z501" t="s">
        <v>38</v>
      </c>
      <c r="AA501" t="s">
        <v>39</v>
      </c>
      <c r="AB501" t="s">
        <v>40</v>
      </c>
      <c r="AC501" s="24">
        <v>3.2100000000000017E-2</v>
      </c>
    </row>
    <row r="502" spans="1:29" x14ac:dyDescent="0.3">
      <c r="A502" s="2">
        <v>164</v>
      </c>
      <c r="B502" s="1">
        <v>40551</v>
      </c>
      <c r="C502" s="2">
        <v>1</v>
      </c>
      <c r="D502" s="2">
        <v>2</v>
      </c>
      <c r="E502" t="b">
        <v>0</v>
      </c>
      <c r="F502" s="2">
        <v>6</v>
      </c>
      <c r="G502" s="2">
        <v>2</v>
      </c>
      <c r="H502" s="23">
        <v>0.18</v>
      </c>
      <c r="I502" s="25">
        <v>0.2424</v>
      </c>
      <c r="J502" s="23">
        <v>0.55000000000000004</v>
      </c>
      <c r="K502" s="25">
        <v>0</v>
      </c>
      <c r="L502" s="2">
        <v>3</v>
      </c>
      <c r="M502" s="2">
        <v>13</v>
      </c>
      <c r="N502" s="2">
        <v>16</v>
      </c>
      <c r="O502" t="s">
        <v>29</v>
      </c>
      <c r="P502" t="s">
        <v>30</v>
      </c>
      <c r="Q502" t="s">
        <v>41</v>
      </c>
      <c r="R502" t="s">
        <v>32</v>
      </c>
      <c r="S502" t="s">
        <v>33</v>
      </c>
      <c r="T502" t="s">
        <v>49</v>
      </c>
      <c r="U502" t="s">
        <v>35</v>
      </c>
      <c r="V502" t="s">
        <v>36</v>
      </c>
      <c r="W502" t="s">
        <v>37</v>
      </c>
      <c r="X502" s="24">
        <v>18.75</v>
      </c>
      <c r="Y502" s="24">
        <v>81.25</v>
      </c>
      <c r="Z502" t="s">
        <v>38</v>
      </c>
      <c r="AA502" t="s">
        <v>39</v>
      </c>
      <c r="AB502" t="s">
        <v>40</v>
      </c>
      <c r="AC502" s="24">
        <v>6.2400000000000011E-2</v>
      </c>
    </row>
    <row r="503" spans="1:29" x14ac:dyDescent="0.3">
      <c r="A503" s="2">
        <v>165</v>
      </c>
      <c r="B503" s="1">
        <v>40551</v>
      </c>
      <c r="C503" s="2">
        <v>1</v>
      </c>
      <c r="D503" s="2">
        <v>3</v>
      </c>
      <c r="E503" t="b">
        <v>0</v>
      </c>
      <c r="F503" s="2">
        <v>6</v>
      </c>
      <c r="G503" s="2">
        <v>3</v>
      </c>
      <c r="H503" s="23">
        <v>0.18</v>
      </c>
      <c r="I503" s="25">
        <v>0.19700000000000001</v>
      </c>
      <c r="J503" s="23">
        <v>0.55000000000000004</v>
      </c>
      <c r="K503" s="25">
        <v>0.16420000000000001</v>
      </c>
      <c r="L503" s="2">
        <v>0</v>
      </c>
      <c r="M503" s="2">
        <v>7</v>
      </c>
      <c r="N503" s="2">
        <v>7</v>
      </c>
      <c r="O503" t="s">
        <v>29</v>
      </c>
      <c r="P503" t="s">
        <v>30</v>
      </c>
      <c r="Q503" t="s">
        <v>51</v>
      </c>
      <c r="R503" t="s">
        <v>32</v>
      </c>
      <c r="S503" t="s">
        <v>33</v>
      </c>
      <c r="T503" t="s">
        <v>49</v>
      </c>
      <c r="U503" t="s">
        <v>46</v>
      </c>
      <c r="V503" t="s">
        <v>36</v>
      </c>
      <c r="W503" t="s">
        <v>37</v>
      </c>
      <c r="X503" s="24">
        <v>0</v>
      </c>
      <c r="Y503" s="24">
        <v>100</v>
      </c>
      <c r="Z503" t="s">
        <v>38</v>
      </c>
      <c r="AA503" t="s">
        <v>39</v>
      </c>
      <c r="AB503" t="s">
        <v>40</v>
      </c>
      <c r="AC503" s="24">
        <v>1.7000000000000019E-2</v>
      </c>
    </row>
    <row r="504" spans="1:29" x14ac:dyDescent="0.3">
      <c r="A504" s="2">
        <v>166</v>
      </c>
      <c r="B504" s="1">
        <v>40551</v>
      </c>
      <c r="C504" s="2">
        <v>1</v>
      </c>
      <c r="D504" s="2">
        <v>4</v>
      </c>
      <c r="E504" t="b">
        <v>0</v>
      </c>
      <c r="F504" s="2">
        <v>6</v>
      </c>
      <c r="G504" s="2">
        <v>3</v>
      </c>
      <c r="H504" s="23">
        <v>0.18</v>
      </c>
      <c r="I504" s="25">
        <v>0.19700000000000001</v>
      </c>
      <c r="J504" s="23">
        <v>0.55000000000000004</v>
      </c>
      <c r="K504" s="25">
        <v>0.16420000000000001</v>
      </c>
      <c r="L504" s="2">
        <v>0</v>
      </c>
      <c r="M504" s="2">
        <v>1</v>
      </c>
      <c r="N504" s="2">
        <v>1</v>
      </c>
      <c r="O504" t="s">
        <v>29</v>
      </c>
      <c r="P504" t="s">
        <v>30</v>
      </c>
      <c r="Q504" t="s">
        <v>51</v>
      </c>
      <c r="R504" t="s">
        <v>32</v>
      </c>
      <c r="S504" t="s">
        <v>33</v>
      </c>
      <c r="T504" t="s">
        <v>49</v>
      </c>
      <c r="U504" t="s">
        <v>46</v>
      </c>
      <c r="V504" t="s">
        <v>36</v>
      </c>
      <c r="W504" t="s">
        <v>37</v>
      </c>
      <c r="X504" s="24">
        <v>0</v>
      </c>
      <c r="Y504" s="24">
        <v>100</v>
      </c>
      <c r="Z504" t="s">
        <v>38</v>
      </c>
      <c r="AA504" t="s">
        <v>39</v>
      </c>
      <c r="AB504" t="s">
        <v>40</v>
      </c>
      <c r="AC504" s="24">
        <v>1.7000000000000019E-2</v>
      </c>
    </row>
    <row r="505" spans="1:29" x14ac:dyDescent="0.3">
      <c r="A505" s="2">
        <v>236</v>
      </c>
      <c r="B505" s="1">
        <v>40554</v>
      </c>
      <c r="C505" s="2">
        <v>1</v>
      </c>
      <c r="D505" s="2">
        <v>2</v>
      </c>
      <c r="E505" t="b">
        <v>0</v>
      </c>
      <c r="F505" s="2">
        <v>2</v>
      </c>
      <c r="G505" s="2">
        <v>2</v>
      </c>
      <c r="H505" s="23">
        <v>0.16</v>
      </c>
      <c r="I505" s="25">
        <v>0.1515</v>
      </c>
      <c r="J505" s="23">
        <v>0.55000000000000004</v>
      </c>
      <c r="K505" s="25">
        <v>0.19400000000000001</v>
      </c>
      <c r="L505" s="2">
        <v>0</v>
      </c>
      <c r="M505" s="2">
        <v>3</v>
      </c>
      <c r="N505" s="2">
        <v>3</v>
      </c>
      <c r="O505" t="s">
        <v>29</v>
      </c>
      <c r="P505" t="s">
        <v>56</v>
      </c>
      <c r="Q505" t="s">
        <v>41</v>
      </c>
      <c r="R505" t="s">
        <v>32</v>
      </c>
      <c r="S505" t="s">
        <v>33</v>
      </c>
      <c r="T505" t="s">
        <v>49</v>
      </c>
      <c r="U505" t="s">
        <v>46</v>
      </c>
      <c r="V505" t="s">
        <v>36</v>
      </c>
      <c r="W505" t="s">
        <v>37</v>
      </c>
      <c r="X505" s="24">
        <v>0</v>
      </c>
      <c r="Y505" s="24">
        <v>100</v>
      </c>
      <c r="Z505" t="s">
        <v>38</v>
      </c>
      <c r="AA505" t="s">
        <v>39</v>
      </c>
      <c r="AB505" t="s">
        <v>38</v>
      </c>
      <c r="AC505" s="24">
        <v>-8.5000000000000075E-3</v>
      </c>
    </row>
    <row r="506" spans="1:29" x14ac:dyDescent="0.3">
      <c r="A506" s="2">
        <v>237</v>
      </c>
      <c r="B506" s="1">
        <v>40554</v>
      </c>
      <c r="C506" s="2">
        <v>1</v>
      </c>
      <c r="D506" s="2">
        <v>5</v>
      </c>
      <c r="E506" t="b">
        <v>0</v>
      </c>
      <c r="F506" s="2">
        <v>2</v>
      </c>
      <c r="G506" s="2">
        <v>2</v>
      </c>
      <c r="H506" s="23">
        <v>0.16</v>
      </c>
      <c r="I506" s="25">
        <v>0.18179999999999999</v>
      </c>
      <c r="J506" s="23">
        <v>0.55000000000000004</v>
      </c>
      <c r="K506" s="25">
        <v>0.1343</v>
      </c>
      <c r="L506" s="2">
        <v>0</v>
      </c>
      <c r="M506" s="2">
        <v>6</v>
      </c>
      <c r="N506" s="2">
        <v>6</v>
      </c>
      <c r="O506" t="s">
        <v>29</v>
      </c>
      <c r="P506" t="s">
        <v>56</v>
      </c>
      <c r="Q506" t="s">
        <v>41</v>
      </c>
      <c r="R506" t="s">
        <v>32</v>
      </c>
      <c r="S506" t="s">
        <v>33</v>
      </c>
      <c r="T506" t="s">
        <v>49</v>
      </c>
      <c r="U506" t="s">
        <v>35</v>
      </c>
      <c r="V506" t="s">
        <v>36</v>
      </c>
      <c r="W506" t="s">
        <v>37</v>
      </c>
      <c r="X506" s="24">
        <v>0</v>
      </c>
      <c r="Y506" s="24">
        <v>100</v>
      </c>
      <c r="Z506" t="s">
        <v>38</v>
      </c>
      <c r="AA506" t="s">
        <v>39</v>
      </c>
      <c r="AB506" t="s">
        <v>38</v>
      </c>
      <c r="AC506" s="24">
        <v>2.179999999999999E-2</v>
      </c>
    </row>
    <row r="507" spans="1:29" x14ac:dyDescent="0.3">
      <c r="A507" s="2">
        <v>238</v>
      </c>
      <c r="B507" s="1">
        <v>40554</v>
      </c>
      <c r="C507" s="2">
        <v>1</v>
      </c>
      <c r="D507" s="2">
        <v>6</v>
      </c>
      <c r="E507" t="b">
        <v>0</v>
      </c>
      <c r="F507" s="2">
        <v>2</v>
      </c>
      <c r="G507" s="2">
        <v>2</v>
      </c>
      <c r="H507" s="23">
        <v>0.16</v>
      </c>
      <c r="I507" s="25">
        <v>0.18179999999999999</v>
      </c>
      <c r="J507" s="23">
        <v>0.55000000000000004</v>
      </c>
      <c r="K507" s="25">
        <v>0.1343</v>
      </c>
      <c r="L507" s="2">
        <v>0</v>
      </c>
      <c r="M507" s="2">
        <v>27</v>
      </c>
      <c r="N507" s="2">
        <v>27</v>
      </c>
      <c r="O507" t="s">
        <v>29</v>
      </c>
      <c r="P507" t="s">
        <v>56</v>
      </c>
      <c r="Q507" t="s">
        <v>41</v>
      </c>
      <c r="R507" t="s">
        <v>42</v>
      </c>
      <c r="S507" t="s">
        <v>33</v>
      </c>
      <c r="T507" t="s">
        <v>49</v>
      </c>
      <c r="U507" t="s">
        <v>35</v>
      </c>
      <c r="V507" t="s">
        <v>36</v>
      </c>
      <c r="W507" t="s">
        <v>37</v>
      </c>
      <c r="X507" s="24">
        <v>0</v>
      </c>
      <c r="Y507" s="24">
        <v>100</v>
      </c>
      <c r="Z507" t="s">
        <v>38</v>
      </c>
      <c r="AA507" t="s">
        <v>39</v>
      </c>
      <c r="AB507" t="s">
        <v>38</v>
      </c>
      <c r="AC507" s="24">
        <v>2.179999999999999E-2</v>
      </c>
    </row>
    <row r="508" spans="1:29" x14ac:dyDescent="0.3">
      <c r="A508" s="2">
        <v>239</v>
      </c>
      <c r="B508" s="1">
        <v>40554</v>
      </c>
      <c r="C508" s="2">
        <v>1</v>
      </c>
      <c r="D508" s="2">
        <v>7</v>
      </c>
      <c r="E508" t="b">
        <v>0</v>
      </c>
      <c r="F508" s="2">
        <v>2</v>
      </c>
      <c r="G508" s="2">
        <v>2</v>
      </c>
      <c r="H508" s="23">
        <v>0.16</v>
      </c>
      <c r="I508" s="25">
        <v>0.2273</v>
      </c>
      <c r="J508" s="23">
        <v>0.55000000000000004</v>
      </c>
      <c r="K508" s="25">
        <v>0</v>
      </c>
      <c r="L508" s="2">
        <v>2</v>
      </c>
      <c r="M508" s="2">
        <v>97</v>
      </c>
      <c r="N508" s="2">
        <v>99</v>
      </c>
      <c r="O508" t="s">
        <v>29</v>
      </c>
      <c r="P508" t="s">
        <v>56</v>
      </c>
      <c r="Q508" t="s">
        <v>41</v>
      </c>
      <c r="R508" t="s">
        <v>42</v>
      </c>
      <c r="S508" t="s">
        <v>33</v>
      </c>
      <c r="T508" t="s">
        <v>49</v>
      </c>
      <c r="U508" t="s">
        <v>35</v>
      </c>
      <c r="V508" t="s">
        <v>36</v>
      </c>
      <c r="W508" t="s">
        <v>37</v>
      </c>
      <c r="X508" s="24">
        <v>2.0202020202020199</v>
      </c>
      <c r="Y508" s="24">
        <v>97.979797979797979</v>
      </c>
      <c r="Z508" t="s">
        <v>40</v>
      </c>
      <c r="AA508" t="s">
        <v>39</v>
      </c>
      <c r="AB508" t="s">
        <v>38</v>
      </c>
      <c r="AC508" s="24">
        <v>6.7299999999999999E-2</v>
      </c>
    </row>
    <row r="509" spans="1:29" x14ac:dyDescent="0.3">
      <c r="A509" s="2">
        <v>264</v>
      </c>
      <c r="B509" s="1">
        <v>40555</v>
      </c>
      <c r="C509" s="2">
        <v>1</v>
      </c>
      <c r="D509" s="2">
        <v>10</v>
      </c>
      <c r="E509" t="b">
        <v>0</v>
      </c>
      <c r="F509" s="2">
        <v>3</v>
      </c>
      <c r="G509" s="2">
        <v>1</v>
      </c>
      <c r="H509" s="23">
        <v>0.18</v>
      </c>
      <c r="I509" s="25">
        <v>0.18179999999999999</v>
      </c>
      <c r="J509" s="23">
        <v>0.55000000000000004</v>
      </c>
      <c r="K509" s="25">
        <v>0.22389999999999999</v>
      </c>
      <c r="L509" s="2">
        <v>0</v>
      </c>
      <c r="M509" s="2">
        <v>39</v>
      </c>
      <c r="N509" s="2">
        <v>39</v>
      </c>
      <c r="O509" t="s">
        <v>29</v>
      </c>
      <c r="P509" t="s">
        <v>57</v>
      </c>
      <c r="Q509" t="s">
        <v>31</v>
      </c>
      <c r="R509" t="s">
        <v>42</v>
      </c>
      <c r="S509" t="s">
        <v>33</v>
      </c>
      <c r="T509" t="s">
        <v>49</v>
      </c>
      <c r="U509" t="s">
        <v>46</v>
      </c>
      <c r="V509" t="s">
        <v>36</v>
      </c>
      <c r="W509" t="s">
        <v>37</v>
      </c>
      <c r="X509" s="24">
        <v>0</v>
      </c>
      <c r="Y509" s="24">
        <v>100</v>
      </c>
      <c r="Z509" t="s">
        <v>38</v>
      </c>
      <c r="AA509" t="s">
        <v>39</v>
      </c>
      <c r="AB509" t="s">
        <v>38</v>
      </c>
      <c r="AC509" s="24">
        <v>1.799999999999996E-3</v>
      </c>
    </row>
    <row r="510" spans="1:29" x14ac:dyDescent="0.3">
      <c r="A510" s="2">
        <v>275</v>
      </c>
      <c r="B510" s="1">
        <v>40555</v>
      </c>
      <c r="C510" s="2">
        <v>1</v>
      </c>
      <c r="D510" s="2">
        <v>21</v>
      </c>
      <c r="E510" t="b">
        <v>0</v>
      </c>
      <c r="F510" s="2">
        <v>3</v>
      </c>
      <c r="G510" s="2">
        <v>1</v>
      </c>
      <c r="H510" s="23">
        <v>0.16</v>
      </c>
      <c r="I510" s="25">
        <v>0.13639999999999999</v>
      </c>
      <c r="J510" s="23">
        <v>0.55000000000000004</v>
      </c>
      <c r="K510" s="25">
        <v>0.32840000000000003</v>
      </c>
      <c r="L510" s="2">
        <v>0</v>
      </c>
      <c r="M510" s="2">
        <v>57</v>
      </c>
      <c r="N510" s="2">
        <v>57</v>
      </c>
      <c r="O510" t="s">
        <v>29</v>
      </c>
      <c r="P510" t="s">
        <v>57</v>
      </c>
      <c r="Q510" t="s">
        <v>31</v>
      </c>
      <c r="R510" t="s">
        <v>32</v>
      </c>
      <c r="S510" t="s">
        <v>33</v>
      </c>
      <c r="T510" t="s">
        <v>49</v>
      </c>
      <c r="U510" t="s">
        <v>53</v>
      </c>
      <c r="V510" t="s">
        <v>36</v>
      </c>
      <c r="W510" t="s">
        <v>37</v>
      </c>
      <c r="X510" s="24">
        <v>0</v>
      </c>
      <c r="Y510" s="24">
        <v>100</v>
      </c>
      <c r="Z510" t="s">
        <v>38</v>
      </c>
      <c r="AA510" t="s">
        <v>39</v>
      </c>
      <c r="AB510" t="s">
        <v>38</v>
      </c>
      <c r="AC510" s="24">
        <v>-2.360000000000001E-2</v>
      </c>
    </row>
    <row r="511" spans="1:29" x14ac:dyDescent="0.3">
      <c r="A511" s="2">
        <v>276</v>
      </c>
      <c r="B511" s="1">
        <v>40555</v>
      </c>
      <c r="C511" s="2">
        <v>1</v>
      </c>
      <c r="D511" s="2">
        <v>22</v>
      </c>
      <c r="E511" t="b">
        <v>0</v>
      </c>
      <c r="F511" s="2">
        <v>3</v>
      </c>
      <c r="G511" s="2">
        <v>1</v>
      </c>
      <c r="H511" s="23">
        <v>0.16</v>
      </c>
      <c r="I511" s="25">
        <v>0.1212</v>
      </c>
      <c r="J511" s="23">
        <v>0.55000000000000004</v>
      </c>
      <c r="K511" s="25">
        <v>0.44779999999999998</v>
      </c>
      <c r="L511" s="2">
        <v>1</v>
      </c>
      <c r="M511" s="2">
        <v>32</v>
      </c>
      <c r="N511" s="2">
        <v>33</v>
      </c>
      <c r="O511" t="s">
        <v>29</v>
      </c>
      <c r="P511" t="s">
        <v>57</v>
      </c>
      <c r="Q511" t="s">
        <v>31</v>
      </c>
      <c r="R511" t="s">
        <v>32</v>
      </c>
      <c r="S511" t="s">
        <v>33</v>
      </c>
      <c r="T511" t="s">
        <v>49</v>
      </c>
      <c r="U511" t="s">
        <v>53</v>
      </c>
      <c r="V511" t="s">
        <v>36</v>
      </c>
      <c r="W511" t="s">
        <v>37</v>
      </c>
      <c r="X511" s="24">
        <v>3.0303030303030298</v>
      </c>
      <c r="Y511" s="24">
        <v>96.969696969696969</v>
      </c>
      <c r="Z511" t="s">
        <v>38</v>
      </c>
      <c r="AA511" t="s">
        <v>39</v>
      </c>
      <c r="AB511" t="s">
        <v>38</v>
      </c>
      <c r="AC511" s="24">
        <v>-3.8800000000000001E-2</v>
      </c>
    </row>
    <row r="512" spans="1:29" x14ac:dyDescent="0.3">
      <c r="A512" s="2">
        <v>311</v>
      </c>
      <c r="B512" s="1">
        <v>40557</v>
      </c>
      <c r="C512" s="2">
        <v>1</v>
      </c>
      <c r="D512" s="2">
        <v>10</v>
      </c>
      <c r="E512" t="b">
        <v>0</v>
      </c>
      <c r="F512" s="2">
        <v>5</v>
      </c>
      <c r="G512" s="2">
        <v>1</v>
      </c>
      <c r="H512" s="23">
        <v>0.18</v>
      </c>
      <c r="I512" s="25">
        <v>0.18179999999999999</v>
      </c>
      <c r="J512" s="23">
        <v>0.55000000000000004</v>
      </c>
      <c r="K512" s="25">
        <v>0.19400000000000001</v>
      </c>
      <c r="L512" s="2">
        <v>4</v>
      </c>
      <c r="M512" s="2">
        <v>40</v>
      </c>
      <c r="N512" s="2">
        <v>44</v>
      </c>
      <c r="O512" t="s">
        <v>29</v>
      </c>
      <c r="P512" t="s">
        <v>59</v>
      </c>
      <c r="Q512" t="s">
        <v>31</v>
      </c>
      <c r="R512" t="s">
        <v>42</v>
      </c>
      <c r="S512" t="s">
        <v>33</v>
      </c>
      <c r="T512" t="s">
        <v>49</v>
      </c>
      <c r="U512" t="s">
        <v>46</v>
      </c>
      <c r="V512" t="s">
        <v>36</v>
      </c>
      <c r="W512" t="s">
        <v>37</v>
      </c>
      <c r="X512" s="24">
        <v>9.0909090909090917</v>
      </c>
      <c r="Y512" s="24">
        <v>90.909090909090907</v>
      </c>
      <c r="Z512" t="s">
        <v>38</v>
      </c>
      <c r="AA512" t="s">
        <v>39</v>
      </c>
      <c r="AB512" t="s">
        <v>38</v>
      </c>
      <c r="AC512" s="24">
        <v>1.799999999999996E-3</v>
      </c>
    </row>
    <row r="513" spans="1:29" x14ac:dyDescent="0.3">
      <c r="A513" s="2">
        <v>324</v>
      </c>
      <c r="B513" s="1">
        <v>40557</v>
      </c>
      <c r="C513" s="2">
        <v>1</v>
      </c>
      <c r="D513" s="2">
        <v>23</v>
      </c>
      <c r="E513" t="b">
        <v>0</v>
      </c>
      <c r="F513" s="2">
        <v>5</v>
      </c>
      <c r="G513" s="2">
        <v>2</v>
      </c>
      <c r="H513" s="23">
        <v>0.18</v>
      </c>
      <c r="I513" s="25">
        <v>0.2424</v>
      </c>
      <c r="J513" s="23">
        <v>0.55000000000000004</v>
      </c>
      <c r="K513" s="25">
        <v>0</v>
      </c>
      <c r="L513" s="2">
        <v>1</v>
      </c>
      <c r="M513" s="2">
        <v>26</v>
      </c>
      <c r="N513" s="2">
        <v>27</v>
      </c>
      <c r="O513" t="s">
        <v>29</v>
      </c>
      <c r="P513" t="s">
        <v>59</v>
      </c>
      <c r="Q513" t="s">
        <v>41</v>
      </c>
      <c r="R513" t="s">
        <v>32</v>
      </c>
      <c r="S513" t="s">
        <v>33</v>
      </c>
      <c r="T513" t="s">
        <v>49</v>
      </c>
      <c r="U513" t="s">
        <v>35</v>
      </c>
      <c r="V513" t="s">
        <v>36</v>
      </c>
      <c r="W513" t="s">
        <v>37</v>
      </c>
      <c r="X513" s="24">
        <v>3.7037037037037028</v>
      </c>
      <c r="Y513" s="24">
        <v>96.296296296296291</v>
      </c>
      <c r="Z513" t="s">
        <v>38</v>
      </c>
      <c r="AA513" t="s">
        <v>39</v>
      </c>
      <c r="AB513" t="s">
        <v>38</v>
      </c>
      <c r="AC513" s="24">
        <v>6.2400000000000011E-2</v>
      </c>
    </row>
    <row r="514" spans="1:29" x14ac:dyDescent="0.3">
      <c r="A514" s="2">
        <v>325</v>
      </c>
      <c r="B514" s="1">
        <v>40558</v>
      </c>
      <c r="C514" s="2">
        <v>1</v>
      </c>
      <c r="D514" s="2">
        <v>0</v>
      </c>
      <c r="E514" t="b">
        <v>0</v>
      </c>
      <c r="F514" s="2">
        <v>6</v>
      </c>
      <c r="G514" s="2">
        <v>1</v>
      </c>
      <c r="H514" s="23">
        <v>0.18</v>
      </c>
      <c r="I514" s="25">
        <v>0.2424</v>
      </c>
      <c r="J514" s="23">
        <v>0.55000000000000004</v>
      </c>
      <c r="K514" s="25">
        <v>0</v>
      </c>
      <c r="L514" s="2">
        <v>3</v>
      </c>
      <c r="M514" s="2">
        <v>25</v>
      </c>
      <c r="N514" s="2">
        <v>28</v>
      </c>
      <c r="O514" t="s">
        <v>29</v>
      </c>
      <c r="P514" t="s">
        <v>30</v>
      </c>
      <c r="Q514" t="s">
        <v>31</v>
      </c>
      <c r="R514" t="s">
        <v>32</v>
      </c>
      <c r="S514" t="s">
        <v>33</v>
      </c>
      <c r="T514" t="s">
        <v>49</v>
      </c>
      <c r="U514" t="s">
        <v>35</v>
      </c>
      <c r="V514" t="s">
        <v>36</v>
      </c>
      <c r="W514" t="s">
        <v>37</v>
      </c>
      <c r="X514" s="24">
        <v>10.71428571428571</v>
      </c>
      <c r="Y514" s="24">
        <v>89.285714285714292</v>
      </c>
      <c r="Z514" t="s">
        <v>38</v>
      </c>
      <c r="AA514" t="s">
        <v>39</v>
      </c>
      <c r="AB514" t="s">
        <v>40</v>
      </c>
      <c r="AC514" s="24">
        <v>6.2400000000000011E-2</v>
      </c>
    </row>
    <row r="515" spans="1:29" x14ac:dyDescent="0.3">
      <c r="A515" s="2">
        <v>514</v>
      </c>
      <c r="B515" s="1">
        <v>40566</v>
      </c>
      <c r="C515" s="2">
        <v>1</v>
      </c>
      <c r="D515" s="2">
        <v>12</v>
      </c>
      <c r="E515" t="b">
        <v>0</v>
      </c>
      <c r="F515" s="2">
        <v>0</v>
      </c>
      <c r="G515" s="2">
        <v>1</v>
      </c>
      <c r="H515" s="23">
        <v>0.16</v>
      </c>
      <c r="I515" s="25">
        <v>0.1212</v>
      </c>
      <c r="J515" s="23">
        <v>0.37</v>
      </c>
      <c r="K515" s="25">
        <v>0.4627</v>
      </c>
      <c r="L515" s="2">
        <v>24</v>
      </c>
      <c r="M515" s="2">
        <v>92</v>
      </c>
      <c r="N515" s="2">
        <v>116</v>
      </c>
      <c r="O515" t="s">
        <v>29</v>
      </c>
      <c r="P515" t="s">
        <v>52</v>
      </c>
      <c r="Q515" t="s">
        <v>31</v>
      </c>
      <c r="R515" t="s">
        <v>47</v>
      </c>
      <c r="S515" t="s">
        <v>33</v>
      </c>
      <c r="T515" t="s">
        <v>39</v>
      </c>
      <c r="U515" t="s">
        <v>53</v>
      </c>
      <c r="V515" t="s">
        <v>36</v>
      </c>
      <c r="W515" t="s">
        <v>37</v>
      </c>
      <c r="X515" s="24">
        <v>20.68965517241379</v>
      </c>
      <c r="Y515" s="24">
        <v>79.310344827586206</v>
      </c>
      <c r="Z515" t="s">
        <v>38</v>
      </c>
      <c r="AA515" t="s">
        <v>49</v>
      </c>
      <c r="AB515" t="s">
        <v>40</v>
      </c>
      <c r="AC515" s="24">
        <v>-3.8800000000000001E-2</v>
      </c>
    </row>
    <row r="516" spans="1:29" x14ac:dyDescent="0.3">
      <c r="A516" s="2">
        <v>515</v>
      </c>
      <c r="B516" s="1">
        <v>40566</v>
      </c>
      <c r="C516" s="2">
        <v>1</v>
      </c>
      <c r="D516" s="2">
        <v>13</v>
      </c>
      <c r="E516" t="b">
        <v>0</v>
      </c>
      <c r="F516" s="2">
        <v>0</v>
      </c>
      <c r="G516" s="2">
        <v>1</v>
      </c>
      <c r="H516" s="23">
        <v>0.14000000000000001</v>
      </c>
      <c r="I516" s="25">
        <v>0.1061</v>
      </c>
      <c r="J516" s="23">
        <v>0.33</v>
      </c>
      <c r="K516" s="25">
        <v>0.3881</v>
      </c>
      <c r="L516" s="2">
        <v>12</v>
      </c>
      <c r="M516" s="2">
        <v>75</v>
      </c>
      <c r="N516" s="2">
        <v>87</v>
      </c>
      <c r="O516" t="s">
        <v>29</v>
      </c>
      <c r="P516" t="s">
        <v>52</v>
      </c>
      <c r="Q516" t="s">
        <v>31</v>
      </c>
      <c r="R516" t="s">
        <v>47</v>
      </c>
      <c r="S516" t="s">
        <v>55</v>
      </c>
      <c r="T516" t="s">
        <v>39</v>
      </c>
      <c r="U516" t="s">
        <v>53</v>
      </c>
      <c r="V516" t="s">
        <v>36</v>
      </c>
      <c r="W516" t="s">
        <v>37</v>
      </c>
      <c r="X516" s="24">
        <v>13.793103448275859</v>
      </c>
      <c r="Y516" s="24">
        <v>86.206896551724128</v>
      </c>
      <c r="Z516" t="s">
        <v>38</v>
      </c>
      <c r="AA516" t="s">
        <v>39</v>
      </c>
      <c r="AB516" t="s">
        <v>40</v>
      </c>
      <c r="AC516" s="24">
        <v>-3.3900000000000013E-2</v>
      </c>
    </row>
    <row r="517" spans="1:29" x14ac:dyDescent="0.3">
      <c r="A517" s="2">
        <v>516</v>
      </c>
      <c r="B517" s="1">
        <v>40566</v>
      </c>
      <c r="C517" s="2">
        <v>1</v>
      </c>
      <c r="D517" s="2">
        <v>14</v>
      </c>
      <c r="E517" t="b">
        <v>0</v>
      </c>
      <c r="F517" s="2">
        <v>0</v>
      </c>
      <c r="G517" s="2">
        <v>1</v>
      </c>
      <c r="H517" s="23">
        <v>0.16</v>
      </c>
      <c r="I517" s="25">
        <v>0.13639999999999999</v>
      </c>
      <c r="J517" s="23">
        <v>0.28000000000000003</v>
      </c>
      <c r="K517" s="25">
        <v>0.35820000000000002</v>
      </c>
      <c r="L517" s="2">
        <v>17</v>
      </c>
      <c r="M517" s="2">
        <v>93</v>
      </c>
      <c r="N517" s="2">
        <v>110</v>
      </c>
      <c r="O517" t="s">
        <v>29</v>
      </c>
      <c r="P517" t="s">
        <v>52</v>
      </c>
      <c r="Q517" t="s">
        <v>31</v>
      </c>
      <c r="R517" t="s">
        <v>47</v>
      </c>
      <c r="S517" t="s">
        <v>33</v>
      </c>
      <c r="T517" t="s">
        <v>39</v>
      </c>
      <c r="U517" t="s">
        <v>53</v>
      </c>
      <c r="V517" t="s">
        <v>36</v>
      </c>
      <c r="W517" t="s">
        <v>37</v>
      </c>
      <c r="X517" s="24">
        <v>15.45454545454545</v>
      </c>
      <c r="Y517" s="24">
        <v>84.545454545454547</v>
      </c>
      <c r="Z517" t="s">
        <v>38</v>
      </c>
      <c r="AA517" t="s">
        <v>49</v>
      </c>
      <c r="AB517" t="s">
        <v>40</v>
      </c>
      <c r="AC517" s="24">
        <v>-2.360000000000001E-2</v>
      </c>
    </row>
    <row r="518" spans="1:29" x14ac:dyDescent="0.3">
      <c r="A518" s="2">
        <v>517</v>
      </c>
      <c r="B518" s="1">
        <v>40566</v>
      </c>
      <c r="C518" s="2">
        <v>1</v>
      </c>
      <c r="D518" s="2">
        <v>15</v>
      </c>
      <c r="E518" t="b">
        <v>0</v>
      </c>
      <c r="F518" s="2">
        <v>0</v>
      </c>
      <c r="G518" s="2">
        <v>1</v>
      </c>
      <c r="H518" s="23">
        <v>0.16</v>
      </c>
      <c r="I518" s="25">
        <v>0.13639999999999999</v>
      </c>
      <c r="J518" s="23">
        <v>0.28000000000000003</v>
      </c>
      <c r="K518" s="25">
        <v>0.35820000000000002</v>
      </c>
      <c r="L518" s="2">
        <v>13</v>
      </c>
      <c r="M518" s="2">
        <v>64</v>
      </c>
      <c r="N518" s="2">
        <v>77</v>
      </c>
      <c r="O518" t="s">
        <v>29</v>
      </c>
      <c r="P518" t="s">
        <v>52</v>
      </c>
      <c r="Q518" t="s">
        <v>31</v>
      </c>
      <c r="R518" t="s">
        <v>47</v>
      </c>
      <c r="S518" t="s">
        <v>33</v>
      </c>
      <c r="T518" t="s">
        <v>39</v>
      </c>
      <c r="U518" t="s">
        <v>53</v>
      </c>
      <c r="V518" t="s">
        <v>36</v>
      </c>
      <c r="W518" t="s">
        <v>37</v>
      </c>
      <c r="X518" s="24">
        <v>16.88311688311688</v>
      </c>
      <c r="Y518" s="24">
        <v>83.116883116883116</v>
      </c>
      <c r="Z518" t="s">
        <v>38</v>
      </c>
      <c r="AA518" t="s">
        <v>39</v>
      </c>
      <c r="AB518" t="s">
        <v>40</v>
      </c>
      <c r="AC518" s="24">
        <v>-2.360000000000001E-2</v>
      </c>
    </row>
    <row r="519" spans="1:29" x14ac:dyDescent="0.3">
      <c r="A519" s="2">
        <v>518</v>
      </c>
      <c r="B519" s="1">
        <v>40566</v>
      </c>
      <c r="C519" s="2">
        <v>1</v>
      </c>
      <c r="D519" s="2">
        <v>16</v>
      </c>
      <c r="E519" t="b">
        <v>0</v>
      </c>
      <c r="F519" s="2">
        <v>0</v>
      </c>
      <c r="G519" s="2">
        <v>1</v>
      </c>
      <c r="H519" s="23">
        <v>0.16</v>
      </c>
      <c r="I519" s="25">
        <v>0.13639999999999999</v>
      </c>
      <c r="J519" s="23">
        <v>0.26</v>
      </c>
      <c r="K519" s="25">
        <v>0.32840000000000003</v>
      </c>
      <c r="L519" s="2">
        <v>9</v>
      </c>
      <c r="M519" s="2">
        <v>56</v>
      </c>
      <c r="N519" s="2">
        <v>65</v>
      </c>
      <c r="O519" t="s">
        <v>29</v>
      </c>
      <c r="P519" t="s">
        <v>52</v>
      </c>
      <c r="Q519" t="s">
        <v>31</v>
      </c>
      <c r="R519" t="s">
        <v>47</v>
      </c>
      <c r="S519" t="s">
        <v>33</v>
      </c>
      <c r="T519" t="s">
        <v>39</v>
      </c>
      <c r="U519" t="s">
        <v>53</v>
      </c>
      <c r="V519" t="s">
        <v>36</v>
      </c>
      <c r="W519" t="s">
        <v>37</v>
      </c>
      <c r="X519" s="24">
        <v>13.84615384615385</v>
      </c>
      <c r="Y519" s="24">
        <v>86.15384615384616</v>
      </c>
      <c r="Z519" t="s">
        <v>38</v>
      </c>
      <c r="AA519" t="s">
        <v>39</v>
      </c>
      <c r="AB519" t="s">
        <v>40</v>
      </c>
      <c r="AC519" s="24">
        <v>-2.360000000000001E-2</v>
      </c>
    </row>
    <row r="520" spans="1:29" x14ac:dyDescent="0.3">
      <c r="A520" s="2">
        <v>519</v>
      </c>
      <c r="B520" s="1">
        <v>40566</v>
      </c>
      <c r="C520" s="2">
        <v>1</v>
      </c>
      <c r="D520" s="2">
        <v>17</v>
      </c>
      <c r="E520" t="b">
        <v>0</v>
      </c>
      <c r="F520" s="2">
        <v>0</v>
      </c>
      <c r="G520" s="2">
        <v>1</v>
      </c>
      <c r="H520" s="23">
        <v>0.14000000000000001</v>
      </c>
      <c r="I520" s="25">
        <v>0.1061</v>
      </c>
      <c r="J520" s="23">
        <v>0.26</v>
      </c>
      <c r="K520" s="25">
        <v>0.3881</v>
      </c>
      <c r="L520" s="2">
        <v>5</v>
      </c>
      <c r="M520" s="2">
        <v>50</v>
      </c>
      <c r="N520" s="2">
        <v>55</v>
      </c>
      <c r="O520" t="s">
        <v>29</v>
      </c>
      <c r="P520" t="s">
        <v>52</v>
      </c>
      <c r="Q520" t="s">
        <v>31</v>
      </c>
      <c r="R520" t="s">
        <v>50</v>
      </c>
      <c r="S520" t="s">
        <v>55</v>
      </c>
      <c r="T520" t="s">
        <v>39</v>
      </c>
      <c r="U520" t="s">
        <v>53</v>
      </c>
      <c r="V520" t="s">
        <v>36</v>
      </c>
      <c r="W520" t="s">
        <v>37</v>
      </c>
      <c r="X520" s="24">
        <v>9.0909090909090917</v>
      </c>
      <c r="Y520" s="24">
        <v>90.909090909090907</v>
      </c>
      <c r="Z520" t="s">
        <v>40</v>
      </c>
      <c r="AA520" t="s">
        <v>39</v>
      </c>
      <c r="AB520" t="s">
        <v>40</v>
      </c>
      <c r="AC520" s="24">
        <v>-3.3900000000000013E-2</v>
      </c>
    </row>
    <row r="521" spans="1:29" x14ac:dyDescent="0.3">
      <c r="A521" s="2">
        <v>520</v>
      </c>
      <c r="B521" s="1">
        <v>40566</v>
      </c>
      <c r="C521" s="2">
        <v>1</v>
      </c>
      <c r="D521" s="2">
        <v>18</v>
      </c>
      <c r="E521" t="b">
        <v>0</v>
      </c>
      <c r="F521" s="2">
        <v>0</v>
      </c>
      <c r="G521" s="2">
        <v>1</v>
      </c>
      <c r="H521" s="23">
        <v>0.12</v>
      </c>
      <c r="I521" s="25">
        <v>0.1212</v>
      </c>
      <c r="J521" s="23">
        <v>0.3</v>
      </c>
      <c r="K521" s="25">
        <v>0.25369999999999998</v>
      </c>
      <c r="L521" s="2">
        <v>5</v>
      </c>
      <c r="M521" s="2">
        <v>44</v>
      </c>
      <c r="N521" s="2">
        <v>49</v>
      </c>
      <c r="O521" t="s">
        <v>29</v>
      </c>
      <c r="P521" t="s">
        <v>52</v>
      </c>
      <c r="Q521" t="s">
        <v>31</v>
      </c>
      <c r="R521" t="s">
        <v>50</v>
      </c>
      <c r="S521" t="s">
        <v>55</v>
      </c>
      <c r="T521" t="s">
        <v>39</v>
      </c>
      <c r="U521" t="s">
        <v>46</v>
      </c>
      <c r="V521" t="s">
        <v>36</v>
      </c>
      <c r="W521" t="s">
        <v>37</v>
      </c>
      <c r="X521" s="24">
        <v>10.204081632653059</v>
      </c>
      <c r="Y521" s="24">
        <v>89.795918367346943</v>
      </c>
      <c r="Z521" t="s">
        <v>40</v>
      </c>
      <c r="AA521" t="s">
        <v>39</v>
      </c>
      <c r="AB521" t="s">
        <v>40</v>
      </c>
      <c r="AC521" s="24">
        <v>1.2000000000000071E-3</v>
      </c>
    </row>
    <row r="522" spans="1:29" x14ac:dyDescent="0.3">
      <c r="A522" s="2">
        <v>521</v>
      </c>
      <c r="B522" s="1">
        <v>40566</v>
      </c>
      <c r="C522" s="2">
        <v>1</v>
      </c>
      <c r="D522" s="2">
        <v>19</v>
      </c>
      <c r="E522" t="b">
        <v>0</v>
      </c>
      <c r="F522" s="2">
        <v>0</v>
      </c>
      <c r="G522" s="2">
        <v>1</v>
      </c>
      <c r="H522" s="23">
        <v>0.12</v>
      </c>
      <c r="I522" s="25">
        <v>0.1212</v>
      </c>
      <c r="J522" s="23">
        <v>0.3</v>
      </c>
      <c r="K522" s="25">
        <v>0.28360000000000002</v>
      </c>
      <c r="L522" s="2">
        <v>5</v>
      </c>
      <c r="M522" s="2">
        <v>45</v>
      </c>
      <c r="N522" s="2">
        <v>50</v>
      </c>
      <c r="O522" t="s">
        <v>29</v>
      </c>
      <c r="P522" t="s">
        <v>52</v>
      </c>
      <c r="Q522" t="s">
        <v>31</v>
      </c>
      <c r="R522" t="s">
        <v>50</v>
      </c>
      <c r="S522" t="s">
        <v>55</v>
      </c>
      <c r="T522" t="s">
        <v>39</v>
      </c>
      <c r="U522" t="s">
        <v>46</v>
      </c>
      <c r="V522" t="s">
        <v>36</v>
      </c>
      <c r="W522" t="s">
        <v>37</v>
      </c>
      <c r="X522" s="24">
        <v>10</v>
      </c>
      <c r="Y522" s="24">
        <v>90</v>
      </c>
      <c r="Z522" t="s">
        <v>40</v>
      </c>
      <c r="AA522" t="s">
        <v>39</v>
      </c>
      <c r="AB522" t="s">
        <v>40</v>
      </c>
      <c r="AC522" s="24">
        <v>1.2000000000000071E-3</v>
      </c>
    </row>
    <row r="523" spans="1:29" x14ac:dyDescent="0.3">
      <c r="A523" s="2">
        <v>522</v>
      </c>
      <c r="B523" s="1">
        <v>40566</v>
      </c>
      <c r="C523" s="2">
        <v>1</v>
      </c>
      <c r="D523" s="2">
        <v>20</v>
      </c>
      <c r="E523" t="b">
        <v>0</v>
      </c>
      <c r="F523" s="2">
        <v>0</v>
      </c>
      <c r="G523" s="2">
        <v>1</v>
      </c>
      <c r="H523" s="23">
        <v>0.1</v>
      </c>
      <c r="I523" s="25">
        <v>0.1061</v>
      </c>
      <c r="J523" s="23">
        <v>0.36</v>
      </c>
      <c r="K523" s="25">
        <v>0.25369999999999998</v>
      </c>
      <c r="L523" s="2">
        <v>4</v>
      </c>
      <c r="M523" s="2">
        <v>31</v>
      </c>
      <c r="N523" s="2">
        <v>35</v>
      </c>
      <c r="O523" t="s">
        <v>29</v>
      </c>
      <c r="P523" t="s">
        <v>52</v>
      </c>
      <c r="Q523" t="s">
        <v>31</v>
      </c>
      <c r="R523" t="s">
        <v>50</v>
      </c>
      <c r="S523" t="s">
        <v>55</v>
      </c>
      <c r="T523" t="s">
        <v>39</v>
      </c>
      <c r="U523" t="s">
        <v>46</v>
      </c>
      <c r="V523" t="s">
        <v>36</v>
      </c>
      <c r="W523" t="s">
        <v>37</v>
      </c>
      <c r="X523" s="24">
        <v>11.428571428571431</v>
      </c>
      <c r="Y523" s="24">
        <v>88.571428571428569</v>
      </c>
      <c r="Z523" t="s">
        <v>38</v>
      </c>
      <c r="AA523" t="s">
        <v>39</v>
      </c>
      <c r="AB523" t="s">
        <v>40</v>
      </c>
      <c r="AC523" s="24">
        <v>6.0999999999999943E-3</v>
      </c>
    </row>
    <row r="524" spans="1:29" x14ac:dyDescent="0.3">
      <c r="A524" s="2">
        <v>523</v>
      </c>
      <c r="B524" s="1">
        <v>40566</v>
      </c>
      <c r="C524" s="2">
        <v>1</v>
      </c>
      <c r="D524" s="2">
        <v>21</v>
      </c>
      <c r="E524" t="b">
        <v>0</v>
      </c>
      <c r="F524" s="2">
        <v>0</v>
      </c>
      <c r="G524" s="2">
        <v>1</v>
      </c>
      <c r="H524" s="23">
        <v>0.1</v>
      </c>
      <c r="I524" s="25">
        <v>0.1061</v>
      </c>
      <c r="J524" s="23">
        <v>0.36</v>
      </c>
      <c r="K524" s="25">
        <v>0.19400000000000001</v>
      </c>
      <c r="L524" s="2">
        <v>5</v>
      </c>
      <c r="M524" s="2">
        <v>20</v>
      </c>
      <c r="N524" s="2">
        <v>25</v>
      </c>
      <c r="O524" t="s">
        <v>29</v>
      </c>
      <c r="P524" t="s">
        <v>52</v>
      </c>
      <c r="Q524" t="s">
        <v>31</v>
      </c>
      <c r="R524" t="s">
        <v>32</v>
      </c>
      <c r="S524" t="s">
        <v>55</v>
      </c>
      <c r="T524" t="s">
        <v>39</v>
      </c>
      <c r="U524" t="s">
        <v>46</v>
      </c>
      <c r="V524" t="s">
        <v>36</v>
      </c>
      <c r="W524" t="s">
        <v>37</v>
      </c>
      <c r="X524" s="24">
        <v>20</v>
      </c>
      <c r="Y524" s="24">
        <v>80</v>
      </c>
      <c r="Z524" t="s">
        <v>38</v>
      </c>
      <c r="AA524" t="s">
        <v>39</v>
      </c>
      <c r="AB524" t="s">
        <v>40</v>
      </c>
      <c r="AC524" s="24">
        <v>6.0999999999999943E-3</v>
      </c>
    </row>
    <row r="525" spans="1:29" x14ac:dyDescent="0.3">
      <c r="A525" s="2">
        <v>524</v>
      </c>
      <c r="B525" s="1">
        <v>40566</v>
      </c>
      <c r="C525" s="2">
        <v>1</v>
      </c>
      <c r="D525" s="2">
        <v>22</v>
      </c>
      <c r="E525" t="b">
        <v>0</v>
      </c>
      <c r="F525" s="2">
        <v>0</v>
      </c>
      <c r="G525" s="2">
        <v>1</v>
      </c>
      <c r="H525" s="23">
        <v>0.08</v>
      </c>
      <c r="I525" s="25">
        <v>9.0899999999999995E-2</v>
      </c>
      <c r="J525" s="23">
        <v>0.38</v>
      </c>
      <c r="K525" s="25">
        <v>0.19400000000000001</v>
      </c>
      <c r="L525" s="2">
        <v>5</v>
      </c>
      <c r="M525" s="2">
        <v>23</v>
      </c>
      <c r="N525" s="2">
        <v>28</v>
      </c>
      <c r="O525" t="s">
        <v>29</v>
      </c>
      <c r="P525" t="s">
        <v>52</v>
      </c>
      <c r="Q525" t="s">
        <v>31</v>
      </c>
      <c r="R525" t="s">
        <v>32</v>
      </c>
      <c r="S525" t="s">
        <v>55</v>
      </c>
      <c r="T525" t="s">
        <v>39</v>
      </c>
      <c r="U525" t="s">
        <v>46</v>
      </c>
      <c r="V525" t="s">
        <v>36</v>
      </c>
      <c r="W525" t="s">
        <v>37</v>
      </c>
      <c r="X525" s="24">
        <v>17.857142857142861</v>
      </c>
      <c r="Y525" s="24">
        <v>82.142857142857139</v>
      </c>
      <c r="Z525" t="s">
        <v>38</v>
      </c>
      <c r="AA525" t="s">
        <v>39</v>
      </c>
      <c r="AB525" t="s">
        <v>40</v>
      </c>
      <c r="AC525" s="24">
        <v>1.089999999999999E-2</v>
      </c>
    </row>
    <row r="526" spans="1:29" x14ac:dyDescent="0.3">
      <c r="A526" s="2">
        <v>336</v>
      </c>
      <c r="B526" s="1">
        <v>40558</v>
      </c>
      <c r="C526" s="2">
        <v>1</v>
      </c>
      <c r="D526" s="2">
        <v>11</v>
      </c>
      <c r="E526" t="b">
        <v>0</v>
      </c>
      <c r="F526" s="2">
        <v>6</v>
      </c>
      <c r="G526" s="2">
        <v>1</v>
      </c>
      <c r="H526" s="23">
        <v>0.2</v>
      </c>
      <c r="I526" s="25">
        <v>0.19700000000000001</v>
      </c>
      <c r="J526" s="23">
        <v>0.55000000000000004</v>
      </c>
      <c r="K526" s="25">
        <v>0.22389999999999999</v>
      </c>
      <c r="L526" s="2">
        <v>18</v>
      </c>
      <c r="M526" s="2">
        <v>54</v>
      </c>
      <c r="N526" s="2">
        <v>72</v>
      </c>
      <c r="O526" t="s">
        <v>29</v>
      </c>
      <c r="P526" t="s">
        <v>30</v>
      </c>
      <c r="Q526" t="s">
        <v>31</v>
      </c>
      <c r="R526" t="s">
        <v>42</v>
      </c>
      <c r="S526" t="s">
        <v>33</v>
      </c>
      <c r="T526" t="s">
        <v>49</v>
      </c>
      <c r="U526" t="s">
        <v>46</v>
      </c>
      <c r="V526" t="s">
        <v>36</v>
      </c>
      <c r="W526" t="s">
        <v>37</v>
      </c>
      <c r="X526" s="24">
        <v>25</v>
      </c>
      <c r="Y526" s="24">
        <v>75</v>
      </c>
      <c r="Z526" t="s">
        <v>38</v>
      </c>
      <c r="AA526" t="s">
        <v>39</v>
      </c>
      <c r="AB526" t="s">
        <v>40</v>
      </c>
      <c r="AC526" s="24">
        <v>-3.0000000000000031E-3</v>
      </c>
    </row>
    <row r="527" spans="1:29" x14ac:dyDescent="0.3">
      <c r="A527" s="2">
        <v>357</v>
      </c>
      <c r="B527" s="1">
        <v>40559</v>
      </c>
      <c r="C527" s="2">
        <v>1</v>
      </c>
      <c r="D527" s="2">
        <v>8</v>
      </c>
      <c r="E527" t="b">
        <v>0</v>
      </c>
      <c r="F527" s="2">
        <v>0</v>
      </c>
      <c r="G527" s="2">
        <v>1</v>
      </c>
      <c r="H527" s="23">
        <v>0.22</v>
      </c>
      <c r="I527" s="25">
        <v>0.21210000000000001</v>
      </c>
      <c r="J527" s="23">
        <v>0.55000000000000004</v>
      </c>
      <c r="K527" s="25">
        <v>0.28360000000000002</v>
      </c>
      <c r="L527" s="2">
        <v>0</v>
      </c>
      <c r="M527" s="2">
        <v>18</v>
      </c>
      <c r="N527" s="2">
        <v>18</v>
      </c>
      <c r="O527" t="s">
        <v>29</v>
      </c>
      <c r="P527" t="s">
        <v>52</v>
      </c>
      <c r="Q527" t="s">
        <v>31</v>
      </c>
      <c r="R527" t="s">
        <v>42</v>
      </c>
      <c r="S527" t="s">
        <v>33</v>
      </c>
      <c r="T527" t="s">
        <v>49</v>
      </c>
      <c r="U527" t="s">
        <v>46</v>
      </c>
      <c r="V527" t="s">
        <v>36</v>
      </c>
      <c r="W527" t="s">
        <v>37</v>
      </c>
      <c r="X527" s="24">
        <v>0</v>
      </c>
      <c r="Y527" s="24">
        <v>100</v>
      </c>
      <c r="Z527" t="s">
        <v>40</v>
      </c>
      <c r="AA527" t="s">
        <v>39</v>
      </c>
      <c r="AB527" t="s">
        <v>40</v>
      </c>
      <c r="AC527" s="24">
        <v>-7.8999999999999904E-3</v>
      </c>
    </row>
    <row r="528" spans="1:29" x14ac:dyDescent="0.3">
      <c r="A528" s="2">
        <v>384</v>
      </c>
      <c r="B528" s="1">
        <v>40560</v>
      </c>
      <c r="C528" s="2">
        <v>1</v>
      </c>
      <c r="D528" s="2">
        <v>11</v>
      </c>
      <c r="E528" t="b">
        <v>1</v>
      </c>
      <c r="F528" s="2">
        <v>1</v>
      </c>
      <c r="G528" s="2">
        <v>2</v>
      </c>
      <c r="H528" s="23">
        <v>0.16</v>
      </c>
      <c r="I528" s="25">
        <v>0.1515</v>
      </c>
      <c r="J528" s="23">
        <v>0.55000000000000004</v>
      </c>
      <c r="K528" s="25">
        <v>0.19400000000000001</v>
      </c>
      <c r="L528" s="2">
        <v>9</v>
      </c>
      <c r="M528" s="2">
        <v>55</v>
      </c>
      <c r="N528" s="2">
        <v>64</v>
      </c>
      <c r="O528" t="s">
        <v>29</v>
      </c>
      <c r="P528" t="s">
        <v>54</v>
      </c>
      <c r="Q528" t="s">
        <v>41</v>
      </c>
      <c r="R528" t="s">
        <v>42</v>
      </c>
      <c r="S528" t="s">
        <v>33</v>
      </c>
      <c r="T528" t="s">
        <v>49</v>
      </c>
      <c r="U528" t="s">
        <v>46</v>
      </c>
      <c r="V528" t="s">
        <v>60</v>
      </c>
      <c r="W528" t="s">
        <v>37</v>
      </c>
      <c r="X528" s="24">
        <v>14.0625</v>
      </c>
      <c r="Y528" s="24">
        <v>85.9375</v>
      </c>
      <c r="Z528" t="s">
        <v>38</v>
      </c>
      <c r="AA528" t="s">
        <v>39</v>
      </c>
      <c r="AB528" t="s">
        <v>38</v>
      </c>
      <c r="AC528" s="24">
        <v>-8.5000000000000075E-3</v>
      </c>
    </row>
    <row r="529" spans="1:29" x14ac:dyDescent="0.3">
      <c r="A529" s="2">
        <v>391</v>
      </c>
      <c r="B529" s="1">
        <v>40560</v>
      </c>
      <c r="C529" s="2">
        <v>1</v>
      </c>
      <c r="D529" s="2">
        <v>18</v>
      </c>
      <c r="E529" t="b">
        <v>1</v>
      </c>
      <c r="F529" s="2">
        <v>1</v>
      </c>
      <c r="G529" s="2">
        <v>2</v>
      </c>
      <c r="H529" s="23">
        <v>0.18</v>
      </c>
      <c r="I529" s="25">
        <v>0.16669999999999999</v>
      </c>
      <c r="J529" s="23">
        <v>0.55000000000000004</v>
      </c>
      <c r="K529" s="25">
        <v>0.25369999999999998</v>
      </c>
      <c r="L529" s="2">
        <v>7</v>
      </c>
      <c r="M529" s="2">
        <v>85</v>
      </c>
      <c r="N529" s="2">
        <v>92</v>
      </c>
      <c r="O529" t="s">
        <v>29</v>
      </c>
      <c r="P529" t="s">
        <v>54</v>
      </c>
      <c r="Q529" t="s">
        <v>41</v>
      </c>
      <c r="R529" t="s">
        <v>50</v>
      </c>
      <c r="S529" t="s">
        <v>33</v>
      </c>
      <c r="T529" t="s">
        <v>49</v>
      </c>
      <c r="U529" t="s">
        <v>46</v>
      </c>
      <c r="V529" t="s">
        <v>60</v>
      </c>
      <c r="W529" t="s">
        <v>37</v>
      </c>
      <c r="X529" s="24">
        <v>7.608695652173914</v>
      </c>
      <c r="Y529" s="24">
        <v>92.391304347826093</v>
      </c>
      <c r="Z529" t="s">
        <v>40</v>
      </c>
      <c r="AA529" t="s">
        <v>39</v>
      </c>
      <c r="AB529" t="s">
        <v>38</v>
      </c>
      <c r="AC529" s="24">
        <v>-1.330000000000001E-2</v>
      </c>
    </row>
    <row r="530" spans="1:29" x14ac:dyDescent="0.3">
      <c r="A530" s="2">
        <v>439</v>
      </c>
      <c r="B530" s="1">
        <v>40563</v>
      </c>
      <c r="C530" s="2">
        <v>1</v>
      </c>
      <c r="D530" s="2">
        <v>7</v>
      </c>
      <c r="E530" t="b">
        <v>0</v>
      </c>
      <c r="F530" s="2">
        <v>4</v>
      </c>
      <c r="G530" s="2">
        <v>1</v>
      </c>
      <c r="H530" s="23">
        <v>0.22</v>
      </c>
      <c r="I530" s="25">
        <v>0.21210000000000001</v>
      </c>
      <c r="J530" s="23">
        <v>0.55000000000000004</v>
      </c>
      <c r="K530" s="25">
        <v>0.22389999999999999</v>
      </c>
      <c r="L530" s="2">
        <v>1</v>
      </c>
      <c r="M530" s="2">
        <v>100</v>
      </c>
      <c r="N530" s="2">
        <v>101</v>
      </c>
      <c r="O530" t="s">
        <v>29</v>
      </c>
      <c r="P530" t="s">
        <v>58</v>
      </c>
      <c r="Q530" t="s">
        <v>31</v>
      </c>
      <c r="R530" t="s">
        <v>42</v>
      </c>
      <c r="S530" t="s">
        <v>33</v>
      </c>
      <c r="T530" t="s">
        <v>49</v>
      </c>
      <c r="U530" t="s">
        <v>46</v>
      </c>
      <c r="V530" t="s">
        <v>36</v>
      </c>
      <c r="W530" t="s">
        <v>37</v>
      </c>
      <c r="X530" s="24">
        <v>0.99009900990099009</v>
      </c>
      <c r="Y530" s="24">
        <v>99.009900990099013</v>
      </c>
      <c r="Z530" t="s">
        <v>40</v>
      </c>
      <c r="AA530" t="s">
        <v>49</v>
      </c>
      <c r="AB530" t="s">
        <v>38</v>
      </c>
      <c r="AC530" s="24">
        <v>-7.8999999999999904E-3</v>
      </c>
    </row>
    <row r="531" spans="1:29" x14ac:dyDescent="0.3">
      <c r="A531" s="2">
        <v>440</v>
      </c>
      <c r="B531" s="1">
        <v>40563</v>
      </c>
      <c r="C531" s="2">
        <v>1</v>
      </c>
      <c r="D531" s="2">
        <v>8</v>
      </c>
      <c r="E531" t="b">
        <v>0</v>
      </c>
      <c r="F531" s="2">
        <v>4</v>
      </c>
      <c r="G531" s="2">
        <v>1</v>
      </c>
      <c r="H531" s="23">
        <v>0.22</v>
      </c>
      <c r="I531" s="25">
        <v>0.21210000000000001</v>
      </c>
      <c r="J531" s="23">
        <v>0.55000000000000004</v>
      </c>
      <c r="K531" s="25">
        <v>0.28360000000000002</v>
      </c>
      <c r="L531" s="2">
        <v>2</v>
      </c>
      <c r="M531" s="2">
        <v>247</v>
      </c>
      <c r="N531" s="2">
        <v>249</v>
      </c>
      <c r="O531" t="s">
        <v>29</v>
      </c>
      <c r="P531" t="s">
        <v>58</v>
      </c>
      <c r="Q531" t="s">
        <v>31</v>
      </c>
      <c r="R531" t="s">
        <v>42</v>
      </c>
      <c r="S531" t="s">
        <v>33</v>
      </c>
      <c r="T531" t="s">
        <v>49</v>
      </c>
      <c r="U531" t="s">
        <v>46</v>
      </c>
      <c r="V531" t="s">
        <v>36</v>
      </c>
      <c r="W531" t="s">
        <v>37</v>
      </c>
      <c r="X531" s="24">
        <v>0.80321285140562237</v>
      </c>
      <c r="Y531" s="24">
        <v>99.196787148594382</v>
      </c>
      <c r="Z531" t="s">
        <v>40</v>
      </c>
      <c r="AA531" t="s">
        <v>49</v>
      </c>
      <c r="AB531" t="s">
        <v>38</v>
      </c>
      <c r="AC531" s="24">
        <v>-7.8999999999999904E-3</v>
      </c>
    </row>
    <row r="532" spans="1:29" x14ac:dyDescent="0.3">
      <c r="A532" s="2">
        <v>462</v>
      </c>
      <c r="B532" s="1">
        <v>40564</v>
      </c>
      <c r="C532" s="2">
        <v>1</v>
      </c>
      <c r="D532" s="2">
        <v>6</v>
      </c>
      <c r="E532" t="b">
        <v>0</v>
      </c>
      <c r="F532" s="2">
        <v>5</v>
      </c>
      <c r="G532" s="2">
        <v>1</v>
      </c>
      <c r="H532" s="23">
        <v>0.22</v>
      </c>
      <c r="I532" s="25">
        <v>0.21210000000000001</v>
      </c>
      <c r="J532" s="23">
        <v>0.55000000000000004</v>
      </c>
      <c r="K532" s="25">
        <v>0.25369999999999998</v>
      </c>
      <c r="L532" s="2">
        <v>0</v>
      </c>
      <c r="M532" s="2">
        <v>27</v>
      </c>
      <c r="N532" s="2">
        <v>27</v>
      </c>
      <c r="O532" t="s">
        <v>29</v>
      </c>
      <c r="P532" t="s">
        <v>59</v>
      </c>
      <c r="Q532" t="s">
        <v>31</v>
      </c>
      <c r="R532" t="s">
        <v>42</v>
      </c>
      <c r="S532" t="s">
        <v>33</v>
      </c>
      <c r="T532" t="s">
        <v>49</v>
      </c>
      <c r="U532" t="s">
        <v>46</v>
      </c>
      <c r="V532" t="s">
        <v>36</v>
      </c>
      <c r="W532" t="s">
        <v>37</v>
      </c>
      <c r="X532" s="24">
        <v>0</v>
      </c>
      <c r="Y532" s="24">
        <v>100</v>
      </c>
      <c r="Z532" t="s">
        <v>38</v>
      </c>
      <c r="AA532" t="s">
        <v>39</v>
      </c>
      <c r="AB532" t="s">
        <v>38</v>
      </c>
      <c r="AC532" s="24">
        <v>-7.8999999999999904E-3</v>
      </c>
    </row>
    <row r="533" spans="1:29" x14ac:dyDescent="0.3">
      <c r="A533" s="2">
        <v>588</v>
      </c>
      <c r="B533" s="1">
        <v>40570</v>
      </c>
      <c r="C533" s="2">
        <v>1</v>
      </c>
      <c r="D533" s="2">
        <v>16</v>
      </c>
      <c r="E533" t="b">
        <v>0</v>
      </c>
      <c r="F533" s="2">
        <v>4</v>
      </c>
      <c r="G533" s="2">
        <v>1</v>
      </c>
      <c r="H533" s="23">
        <v>0.22</v>
      </c>
      <c r="I533" s="25">
        <v>0.2273</v>
      </c>
      <c r="J533" s="23">
        <v>0.55000000000000004</v>
      </c>
      <c r="K533" s="25">
        <v>0.19400000000000001</v>
      </c>
      <c r="L533" s="2">
        <v>1</v>
      </c>
      <c r="M533" s="2">
        <v>23</v>
      </c>
      <c r="N533" s="2">
        <v>24</v>
      </c>
      <c r="O533" t="s">
        <v>29</v>
      </c>
      <c r="P533" t="s">
        <v>58</v>
      </c>
      <c r="Q533" t="s">
        <v>31</v>
      </c>
      <c r="R533" t="s">
        <v>47</v>
      </c>
      <c r="S533" t="s">
        <v>33</v>
      </c>
      <c r="T533" t="s">
        <v>49</v>
      </c>
      <c r="U533" t="s">
        <v>46</v>
      </c>
      <c r="V533" t="s">
        <v>36</v>
      </c>
      <c r="W533" t="s">
        <v>37</v>
      </c>
      <c r="X533" s="24">
        <v>4.1666666666666661</v>
      </c>
      <c r="Y533" s="24">
        <v>95.833333333333343</v>
      </c>
      <c r="Z533" t="s">
        <v>38</v>
      </c>
      <c r="AA533" t="s">
        <v>39</v>
      </c>
      <c r="AB533" t="s">
        <v>38</v>
      </c>
      <c r="AC533" s="24">
        <v>7.3000000000000009E-3</v>
      </c>
    </row>
    <row r="534" spans="1:29" x14ac:dyDescent="0.3">
      <c r="A534" s="2">
        <v>589</v>
      </c>
      <c r="B534" s="1">
        <v>40570</v>
      </c>
      <c r="C534" s="2">
        <v>1</v>
      </c>
      <c r="D534" s="2">
        <v>17</v>
      </c>
      <c r="E534" t="b">
        <v>0</v>
      </c>
      <c r="F534" s="2">
        <v>4</v>
      </c>
      <c r="G534" s="2">
        <v>1</v>
      </c>
      <c r="H534" s="23">
        <v>0.22</v>
      </c>
      <c r="I534" s="25">
        <v>0.2424</v>
      </c>
      <c r="J534" s="23">
        <v>0.55000000000000004</v>
      </c>
      <c r="K534" s="25">
        <v>0.1045</v>
      </c>
      <c r="L534" s="2">
        <v>2</v>
      </c>
      <c r="M534" s="2">
        <v>82</v>
      </c>
      <c r="N534" s="2">
        <v>84</v>
      </c>
      <c r="O534" t="s">
        <v>29</v>
      </c>
      <c r="P534" t="s">
        <v>58</v>
      </c>
      <c r="Q534" t="s">
        <v>31</v>
      </c>
      <c r="R534" t="s">
        <v>50</v>
      </c>
      <c r="S534" t="s">
        <v>33</v>
      </c>
      <c r="T534" t="s">
        <v>49</v>
      </c>
      <c r="U534" t="s">
        <v>35</v>
      </c>
      <c r="V534" t="s">
        <v>36</v>
      </c>
      <c r="W534" t="s">
        <v>37</v>
      </c>
      <c r="X534" s="24">
        <v>2.3809523809523809</v>
      </c>
      <c r="Y534" s="24">
        <v>97.61904761904762</v>
      </c>
      <c r="Z534" t="s">
        <v>40</v>
      </c>
      <c r="AA534" t="s">
        <v>39</v>
      </c>
      <c r="AB534" t="s">
        <v>38</v>
      </c>
      <c r="AC534" s="24">
        <v>2.24E-2</v>
      </c>
    </row>
    <row r="535" spans="1:29" x14ac:dyDescent="0.3">
      <c r="A535" s="2">
        <v>626</v>
      </c>
      <c r="B535" s="1">
        <v>40572</v>
      </c>
      <c r="C535" s="2">
        <v>1</v>
      </c>
      <c r="D535" s="2">
        <v>8</v>
      </c>
      <c r="E535" t="b">
        <v>0</v>
      </c>
      <c r="F535" s="2">
        <v>6</v>
      </c>
      <c r="G535" s="2">
        <v>1</v>
      </c>
      <c r="H535" s="23">
        <v>0.18</v>
      </c>
      <c r="I535" s="25">
        <v>0.19700000000000001</v>
      </c>
      <c r="J535" s="23">
        <v>0.55000000000000004</v>
      </c>
      <c r="K535" s="25">
        <v>0.16420000000000001</v>
      </c>
      <c r="L535" s="2">
        <v>3</v>
      </c>
      <c r="M535" s="2">
        <v>31</v>
      </c>
      <c r="N535" s="2">
        <v>34</v>
      </c>
      <c r="O535" t="s">
        <v>29</v>
      </c>
      <c r="P535" t="s">
        <v>30</v>
      </c>
      <c r="Q535" t="s">
        <v>31</v>
      </c>
      <c r="R535" t="s">
        <v>42</v>
      </c>
      <c r="S535" t="s">
        <v>33</v>
      </c>
      <c r="T535" t="s">
        <v>49</v>
      </c>
      <c r="U535" t="s">
        <v>46</v>
      </c>
      <c r="V535" t="s">
        <v>36</v>
      </c>
      <c r="W535" t="s">
        <v>37</v>
      </c>
      <c r="X535" s="24">
        <v>8.8235294117647065</v>
      </c>
      <c r="Y535" s="24">
        <v>91.17647058823529</v>
      </c>
      <c r="Z535" t="s">
        <v>40</v>
      </c>
      <c r="AA535" t="s">
        <v>39</v>
      </c>
      <c r="AB535" t="s">
        <v>40</v>
      </c>
      <c r="AC535" s="24">
        <v>1.7000000000000019E-2</v>
      </c>
    </row>
    <row r="536" spans="1:29" x14ac:dyDescent="0.3">
      <c r="A536" s="2">
        <v>631</v>
      </c>
      <c r="B536" s="1">
        <v>40572</v>
      </c>
      <c r="C536" s="2">
        <v>1</v>
      </c>
      <c r="D536" s="2">
        <v>13</v>
      </c>
      <c r="E536" t="b">
        <v>0</v>
      </c>
      <c r="F536" s="2">
        <v>6</v>
      </c>
      <c r="G536" s="2">
        <v>2</v>
      </c>
      <c r="H536" s="23">
        <v>0.22</v>
      </c>
      <c r="I536" s="25">
        <v>0.2273</v>
      </c>
      <c r="J536" s="23">
        <v>0.55000000000000004</v>
      </c>
      <c r="K536" s="25">
        <v>0.16420000000000001</v>
      </c>
      <c r="L536" s="2">
        <v>9</v>
      </c>
      <c r="M536" s="2">
        <v>56</v>
      </c>
      <c r="N536" s="2">
        <v>65</v>
      </c>
      <c r="O536" t="s">
        <v>29</v>
      </c>
      <c r="P536" t="s">
        <v>30</v>
      </c>
      <c r="Q536" t="s">
        <v>41</v>
      </c>
      <c r="R536" t="s">
        <v>47</v>
      </c>
      <c r="S536" t="s">
        <v>33</v>
      </c>
      <c r="T536" t="s">
        <v>49</v>
      </c>
      <c r="U536" t="s">
        <v>46</v>
      </c>
      <c r="V536" t="s">
        <v>36</v>
      </c>
      <c r="W536" t="s">
        <v>37</v>
      </c>
      <c r="X536" s="24">
        <v>13.84615384615385</v>
      </c>
      <c r="Y536" s="24">
        <v>86.15384615384616</v>
      </c>
      <c r="Z536" t="s">
        <v>38</v>
      </c>
      <c r="AA536" t="s">
        <v>39</v>
      </c>
      <c r="AB536" t="s">
        <v>40</v>
      </c>
      <c r="AC536" s="24">
        <v>7.3000000000000009E-3</v>
      </c>
    </row>
    <row r="537" spans="1:29" x14ac:dyDescent="0.3">
      <c r="A537" s="2">
        <v>677</v>
      </c>
      <c r="B537" s="1">
        <v>40574</v>
      </c>
      <c r="C537" s="2">
        <v>1</v>
      </c>
      <c r="D537" s="2">
        <v>12</v>
      </c>
      <c r="E537" t="b">
        <v>0</v>
      </c>
      <c r="F537" s="2">
        <v>1</v>
      </c>
      <c r="G537" s="2">
        <v>2</v>
      </c>
      <c r="H537" s="23">
        <v>0.18</v>
      </c>
      <c r="I537" s="25">
        <v>0.21210000000000001</v>
      </c>
      <c r="J537" s="23">
        <v>0.55000000000000004</v>
      </c>
      <c r="K537" s="25">
        <v>0.1045</v>
      </c>
      <c r="L537" s="2">
        <v>6</v>
      </c>
      <c r="M537" s="2">
        <v>62</v>
      </c>
      <c r="N537" s="2">
        <v>68</v>
      </c>
      <c r="O537" t="s">
        <v>29</v>
      </c>
      <c r="P537" t="s">
        <v>54</v>
      </c>
      <c r="Q537" t="s">
        <v>41</v>
      </c>
      <c r="R537" t="s">
        <v>47</v>
      </c>
      <c r="S537" t="s">
        <v>33</v>
      </c>
      <c r="T537" t="s">
        <v>49</v>
      </c>
      <c r="U537" t="s">
        <v>35</v>
      </c>
      <c r="V537" t="s">
        <v>36</v>
      </c>
      <c r="W537" t="s">
        <v>37</v>
      </c>
      <c r="X537" s="24">
        <v>8.8235294117647065</v>
      </c>
      <c r="Y537" s="24">
        <v>91.17647058823529</v>
      </c>
      <c r="Z537" t="s">
        <v>38</v>
      </c>
      <c r="AA537" t="s">
        <v>39</v>
      </c>
      <c r="AB537" t="s">
        <v>38</v>
      </c>
      <c r="AC537" s="24">
        <v>3.2100000000000017E-2</v>
      </c>
    </row>
    <row r="538" spans="1:29" x14ac:dyDescent="0.3">
      <c r="A538" s="2">
        <v>679</v>
      </c>
      <c r="B538" s="1">
        <v>40574</v>
      </c>
      <c r="C538" s="2">
        <v>1</v>
      </c>
      <c r="D538" s="2">
        <v>14</v>
      </c>
      <c r="E538" t="b">
        <v>0</v>
      </c>
      <c r="F538" s="2">
        <v>1</v>
      </c>
      <c r="G538" s="2">
        <v>2</v>
      </c>
      <c r="H538" s="23">
        <v>0.18</v>
      </c>
      <c r="I538" s="25">
        <v>0.19700000000000001</v>
      </c>
      <c r="J538" s="23">
        <v>0.55000000000000004</v>
      </c>
      <c r="K538" s="25">
        <v>0.1343</v>
      </c>
      <c r="L538" s="2">
        <v>1</v>
      </c>
      <c r="M538" s="2">
        <v>85</v>
      </c>
      <c r="N538" s="2">
        <v>86</v>
      </c>
      <c r="O538" t="s">
        <v>29</v>
      </c>
      <c r="P538" t="s">
        <v>54</v>
      </c>
      <c r="Q538" t="s">
        <v>41</v>
      </c>
      <c r="R538" t="s">
        <v>47</v>
      </c>
      <c r="S538" t="s">
        <v>33</v>
      </c>
      <c r="T538" t="s">
        <v>49</v>
      </c>
      <c r="U538" t="s">
        <v>35</v>
      </c>
      <c r="V538" t="s">
        <v>36</v>
      </c>
      <c r="W538" t="s">
        <v>37</v>
      </c>
      <c r="X538" s="24">
        <v>1.1627906976744189</v>
      </c>
      <c r="Y538" s="24">
        <v>98.837209302325576</v>
      </c>
      <c r="Z538" t="s">
        <v>38</v>
      </c>
      <c r="AA538" t="s">
        <v>39</v>
      </c>
      <c r="AB538" t="s">
        <v>38</v>
      </c>
      <c r="AC538" s="24">
        <v>1.7000000000000019E-2</v>
      </c>
    </row>
    <row r="539" spans="1:29" x14ac:dyDescent="0.3">
      <c r="A539" s="2">
        <v>683</v>
      </c>
      <c r="B539" s="1">
        <v>40574</v>
      </c>
      <c r="C539" s="2">
        <v>1</v>
      </c>
      <c r="D539" s="2">
        <v>18</v>
      </c>
      <c r="E539" t="b">
        <v>0</v>
      </c>
      <c r="F539" s="2">
        <v>1</v>
      </c>
      <c r="G539" s="2">
        <v>2</v>
      </c>
      <c r="H539" s="23">
        <v>0.16</v>
      </c>
      <c r="I539" s="25">
        <v>0.1515</v>
      </c>
      <c r="J539" s="23">
        <v>0.55000000000000004</v>
      </c>
      <c r="K539" s="25">
        <v>0.22389999999999999</v>
      </c>
      <c r="L539" s="2">
        <v>3</v>
      </c>
      <c r="M539" s="2">
        <v>153</v>
      </c>
      <c r="N539" s="2">
        <v>156</v>
      </c>
      <c r="O539" t="s">
        <v>29</v>
      </c>
      <c r="P539" t="s">
        <v>54</v>
      </c>
      <c r="Q539" t="s">
        <v>41</v>
      </c>
      <c r="R539" t="s">
        <v>50</v>
      </c>
      <c r="S539" t="s">
        <v>33</v>
      </c>
      <c r="T539" t="s">
        <v>49</v>
      </c>
      <c r="U539" t="s">
        <v>46</v>
      </c>
      <c r="V539" t="s">
        <v>36</v>
      </c>
      <c r="W539" t="s">
        <v>37</v>
      </c>
      <c r="X539" s="24">
        <v>1.9230769230769229</v>
      </c>
      <c r="Y539" s="24">
        <v>98.076923076923066</v>
      </c>
      <c r="Z539" t="s">
        <v>40</v>
      </c>
      <c r="AA539" t="s">
        <v>49</v>
      </c>
      <c r="AB539" t="s">
        <v>38</v>
      </c>
      <c r="AC539" s="24">
        <v>-8.5000000000000075E-3</v>
      </c>
    </row>
    <row r="540" spans="1:29" x14ac:dyDescent="0.3">
      <c r="A540" s="2">
        <v>756</v>
      </c>
      <c r="B540" s="1">
        <v>40577</v>
      </c>
      <c r="C540" s="2">
        <v>1</v>
      </c>
      <c r="D540" s="2">
        <v>21</v>
      </c>
      <c r="E540" t="b">
        <v>0</v>
      </c>
      <c r="F540" s="2">
        <v>4</v>
      </c>
      <c r="G540" s="2">
        <v>1</v>
      </c>
      <c r="H540" s="23">
        <v>0.18</v>
      </c>
      <c r="I540" s="25">
        <v>0.21210000000000001</v>
      </c>
      <c r="J540" s="23">
        <v>0.55000000000000004</v>
      </c>
      <c r="K540" s="25">
        <v>0.1045</v>
      </c>
      <c r="L540" s="2">
        <v>1</v>
      </c>
      <c r="M540" s="2">
        <v>53</v>
      </c>
      <c r="N540" s="2">
        <v>54</v>
      </c>
      <c r="O540" t="s">
        <v>29</v>
      </c>
      <c r="P540" t="s">
        <v>58</v>
      </c>
      <c r="Q540" t="s">
        <v>31</v>
      </c>
      <c r="R540" t="s">
        <v>32</v>
      </c>
      <c r="S540" t="s">
        <v>33</v>
      </c>
      <c r="T540" t="s">
        <v>49</v>
      </c>
      <c r="U540" t="s">
        <v>35</v>
      </c>
      <c r="V540" t="s">
        <v>36</v>
      </c>
      <c r="W540" t="s">
        <v>37</v>
      </c>
      <c r="X540" s="24">
        <v>1.8518518518518521</v>
      </c>
      <c r="Y540" s="24">
        <v>98.148148148148152</v>
      </c>
      <c r="Z540" t="s">
        <v>38</v>
      </c>
      <c r="AA540" t="s">
        <v>39</v>
      </c>
      <c r="AB540" t="s">
        <v>38</v>
      </c>
      <c r="AC540" s="24">
        <v>3.2100000000000017E-2</v>
      </c>
    </row>
    <row r="541" spans="1:29" x14ac:dyDescent="0.3">
      <c r="A541" s="2">
        <v>764</v>
      </c>
      <c r="B541" s="1">
        <v>40578</v>
      </c>
      <c r="C541" s="2">
        <v>1</v>
      </c>
      <c r="D541" s="2">
        <v>6</v>
      </c>
      <c r="E541" t="b">
        <v>0</v>
      </c>
      <c r="F541" s="2">
        <v>5</v>
      </c>
      <c r="G541" s="2">
        <v>2</v>
      </c>
      <c r="H541" s="23">
        <v>0.16</v>
      </c>
      <c r="I541" s="25">
        <v>0.2273</v>
      </c>
      <c r="J541" s="23">
        <v>0.55000000000000004</v>
      </c>
      <c r="K541" s="25">
        <v>0</v>
      </c>
      <c r="L541" s="2">
        <v>2</v>
      </c>
      <c r="M541" s="2">
        <v>26</v>
      </c>
      <c r="N541" s="2">
        <v>28</v>
      </c>
      <c r="O541" t="s">
        <v>29</v>
      </c>
      <c r="P541" t="s">
        <v>59</v>
      </c>
      <c r="Q541" t="s">
        <v>41</v>
      </c>
      <c r="R541" t="s">
        <v>42</v>
      </c>
      <c r="S541" t="s">
        <v>33</v>
      </c>
      <c r="T541" t="s">
        <v>49</v>
      </c>
      <c r="U541" t="s">
        <v>35</v>
      </c>
      <c r="V541" t="s">
        <v>36</v>
      </c>
      <c r="W541" t="s">
        <v>37</v>
      </c>
      <c r="X541" s="24">
        <v>7.1428571428571423</v>
      </c>
      <c r="Y541" s="24">
        <v>92.857142857142861</v>
      </c>
      <c r="Z541" t="s">
        <v>38</v>
      </c>
      <c r="AA541" t="s">
        <v>39</v>
      </c>
      <c r="AB541" t="s">
        <v>38</v>
      </c>
      <c r="AC541" s="24">
        <v>6.7299999999999999E-2</v>
      </c>
    </row>
    <row r="542" spans="1:29" x14ac:dyDescent="0.3">
      <c r="A542" s="2">
        <v>942</v>
      </c>
      <c r="B542" s="1">
        <v>40585</v>
      </c>
      <c r="C542" s="2">
        <v>1</v>
      </c>
      <c r="D542" s="2">
        <v>20</v>
      </c>
      <c r="E542" t="b">
        <v>0</v>
      </c>
      <c r="F542" s="2">
        <v>5</v>
      </c>
      <c r="G542" s="2">
        <v>1</v>
      </c>
      <c r="H542" s="23">
        <v>0.22</v>
      </c>
      <c r="I542" s="25">
        <v>0.2273</v>
      </c>
      <c r="J542" s="23">
        <v>0.55000000000000004</v>
      </c>
      <c r="K542" s="25">
        <v>0.1343</v>
      </c>
      <c r="L542" s="2">
        <v>2</v>
      </c>
      <c r="M542" s="2">
        <v>61</v>
      </c>
      <c r="N542" s="2">
        <v>63</v>
      </c>
      <c r="O542" t="s">
        <v>29</v>
      </c>
      <c r="P542" t="s">
        <v>59</v>
      </c>
      <c r="Q542" t="s">
        <v>31</v>
      </c>
      <c r="R542" t="s">
        <v>50</v>
      </c>
      <c r="S542" t="s">
        <v>33</v>
      </c>
      <c r="T542" t="s">
        <v>49</v>
      </c>
      <c r="U542" t="s">
        <v>35</v>
      </c>
      <c r="V542" t="s">
        <v>36</v>
      </c>
      <c r="W542" t="s">
        <v>37</v>
      </c>
      <c r="X542" s="24">
        <v>3.174603174603174</v>
      </c>
      <c r="Y542" s="24">
        <v>96.825396825396822</v>
      </c>
      <c r="Z542" t="s">
        <v>38</v>
      </c>
      <c r="AA542" t="s">
        <v>39</v>
      </c>
      <c r="AB542" t="s">
        <v>38</v>
      </c>
      <c r="AC542" s="24">
        <v>7.3000000000000009E-3</v>
      </c>
    </row>
    <row r="543" spans="1:29" x14ac:dyDescent="0.3">
      <c r="A543" s="2">
        <v>976</v>
      </c>
      <c r="B543" s="1">
        <v>40587</v>
      </c>
      <c r="C543" s="2">
        <v>1</v>
      </c>
      <c r="D543" s="2">
        <v>7</v>
      </c>
      <c r="E543" t="b">
        <v>0</v>
      </c>
      <c r="F543" s="2">
        <v>0</v>
      </c>
      <c r="G543" s="2">
        <v>2</v>
      </c>
      <c r="H543" s="23">
        <v>0.22</v>
      </c>
      <c r="I543" s="25">
        <v>0.2727</v>
      </c>
      <c r="J543" s="23">
        <v>0.55000000000000004</v>
      </c>
      <c r="K543" s="25">
        <v>0</v>
      </c>
      <c r="L543" s="2">
        <v>0</v>
      </c>
      <c r="M543" s="2">
        <v>3</v>
      </c>
      <c r="N543" s="2">
        <v>3</v>
      </c>
      <c r="O543" t="s">
        <v>29</v>
      </c>
      <c r="P543" t="s">
        <v>52</v>
      </c>
      <c r="Q543" t="s">
        <v>41</v>
      </c>
      <c r="R543" t="s">
        <v>42</v>
      </c>
      <c r="S543" t="s">
        <v>33</v>
      </c>
      <c r="T543" t="s">
        <v>49</v>
      </c>
      <c r="U543" t="s">
        <v>35</v>
      </c>
      <c r="V543" t="s">
        <v>36</v>
      </c>
      <c r="W543" t="s">
        <v>37</v>
      </c>
      <c r="X543" s="24">
        <v>0</v>
      </c>
      <c r="Y543" s="24">
        <v>100</v>
      </c>
      <c r="Z543" t="s">
        <v>40</v>
      </c>
      <c r="AA543" t="s">
        <v>39</v>
      </c>
      <c r="AB543" t="s">
        <v>40</v>
      </c>
      <c r="AC543" s="24">
        <v>5.2699999999999997E-2</v>
      </c>
    </row>
    <row r="544" spans="1:29" x14ac:dyDescent="0.3">
      <c r="A544" s="2">
        <v>82</v>
      </c>
      <c r="B544" s="1">
        <v>40547</v>
      </c>
      <c r="C544" s="2">
        <v>1</v>
      </c>
      <c r="D544" s="2">
        <v>13</v>
      </c>
      <c r="E544" t="b">
        <v>0</v>
      </c>
      <c r="F544" s="2">
        <v>2</v>
      </c>
      <c r="G544" s="2">
        <v>1</v>
      </c>
      <c r="H544" s="23">
        <v>0.24</v>
      </c>
      <c r="I544" s="25">
        <v>0.2273</v>
      </c>
      <c r="J544" s="23">
        <v>0.56000000000000005</v>
      </c>
      <c r="K544" s="25">
        <v>0.19400000000000001</v>
      </c>
      <c r="L544" s="2">
        <v>18</v>
      </c>
      <c r="M544" s="2">
        <v>79</v>
      </c>
      <c r="N544" s="2">
        <v>97</v>
      </c>
      <c r="O544" t="s">
        <v>29</v>
      </c>
      <c r="P544" t="s">
        <v>56</v>
      </c>
      <c r="Q544" t="s">
        <v>31</v>
      </c>
      <c r="R544" t="s">
        <v>47</v>
      </c>
      <c r="S544" t="s">
        <v>33</v>
      </c>
      <c r="T544" t="s">
        <v>49</v>
      </c>
      <c r="U544" t="s">
        <v>46</v>
      </c>
      <c r="V544" t="s">
        <v>36</v>
      </c>
      <c r="W544" t="s">
        <v>37</v>
      </c>
      <c r="X544" s="24">
        <v>18.55670103092784</v>
      </c>
      <c r="Y544" s="24">
        <v>81.44329896907216</v>
      </c>
      <c r="Z544" t="s">
        <v>38</v>
      </c>
      <c r="AA544" t="s">
        <v>39</v>
      </c>
      <c r="AB544" t="s">
        <v>38</v>
      </c>
      <c r="AC544" s="24">
        <v>-1.2699999999999991E-2</v>
      </c>
    </row>
    <row r="545" spans="1:29" x14ac:dyDescent="0.3">
      <c r="A545" s="2">
        <v>349</v>
      </c>
      <c r="B545" s="1">
        <v>40559</v>
      </c>
      <c r="C545" s="2">
        <v>1</v>
      </c>
      <c r="D545" s="2">
        <v>0</v>
      </c>
      <c r="E545" t="b">
        <v>0</v>
      </c>
      <c r="F545" s="2">
        <v>0</v>
      </c>
      <c r="G545" s="2">
        <v>1</v>
      </c>
      <c r="H545" s="23">
        <v>0.26</v>
      </c>
      <c r="I545" s="25">
        <v>0.30299999999999999</v>
      </c>
      <c r="J545" s="23">
        <v>0.56000000000000005</v>
      </c>
      <c r="K545" s="25">
        <v>0</v>
      </c>
      <c r="L545" s="2">
        <v>6</v>
      </c>
      <c r="M545" s="2">
        <v>33</v>
      </c>
      <c r="N545" s="2">
        <v>39</v>
      </c>
      <c r="O545" t="s">
        <v>29</v>
      </c>
      <c r="P545" t="s">
        <v>52</v>
      </c>
      <c r="Q545" t="s">
        <v>31</v>
      </c>
      <c r="R545" t="s">
        <v>32</v>
      </c>
      <c r="S545" t="s">
        <v>44</v>
      </c>
      <c r="T545" t="s">
        <v>49</v>
      </c>
      <c r="U545" t="s">
        <v>35</v>
      </c>
      <c r="V545" t="s">
        <v>36</v>
      </c>
      <c r="W545" t="s">
        <v>37</v>
      </c>
      <c r="X545" s="24">
        <v>15.38461538461539</v>
      </c>
      <c r="Y545" s="24">
        <v>84.615384615384613</v>
      </c>
      <c r="Z545" t="s">
        <v>38</v>
      </c>
      <c r="AA545" t="s">
        <v>39</v>
      </c>
      <c r="AB545" t="s">
        <v>40</v>
      </c>
      <c r="AC545" s="24">
        <v>4.2999999999999983E-2</v>
      </c>
    </row>
    <row r="546" spans="1:29" x14ac:dyDescent="0.3">
      <c r="A546" s="2">
        <v>350</v>
      </c>
      <c r="B546" s="1">
        <v>40559</v>
      </c>
      <c r="C546" s="2">
        <v>1</v>
      </c>
      <c r="D546" s="2">
        <v>1</v>
      </c>
      <c r="E546" t="b">
        <v>0</v>
      </c>
      <c r="F546" s="2">
        <v>0</v>
      </c>
      <c r="G546" s="2">
        <v>1</v>
      </c>
      <c r="H546" s="23">
        <v>0.26</v>
      </c>
      <c r="I546" s="25">
        <v>0.2727</v>
      </c>
      <c r="J546" s="23">
        <v>0.56000000000000005</v>
      </c>
      <c r="K546" s="25">
        <v>0.1343</v>
      </c>
      <c r="L546" s="2">
        <v>4</v>
      </c>
      <c r="M546" s="2">
        <v>19</v>
      </c>
      <c r="N546" s="2">
        <v>23</v>
      </c>
      <c r="O546" t="s">
        <v>29</v>
      </c>
      <c r="P546" t="s">
        <v>52</v>
      </c>
      <c r="Q546" t="s">
        <v>31</v>
      </c>
      <c r="R546" t="s">
        <v>32</v>
      </c>
      <c r="S546" t="s">
        <v>44</v>
      </c>
      <c r="T546" t="s">
        <v>49</v>
      </c>
      <c r="U546" t="s">
        <v>35</v>
      </c>
      <c r="V546" t="s">
        <v>36</v>
      </c>
      <c r="W546" t="s">
        <v>37</v>
      </c>
      <c r="X546" s="24">
        <v>17.39130434782609</v>
      </c>
      <c r="Y546" s="24">
        <v>82.608695652173907</v>
      </c>
      <c r="Z546" t="s">
        <v>38</v>
      </c>
      <c r="AA546" t="s">
        <v>39</v>
      </c>
      <c r="AB546" t="s">
        <v>40</v>
      </c>
      <c r="AC546" s="24">
        <v>1.2699999999999991E-2</v>
      </c>
    </row>
    <row r="547" spans="1:29" x14ac:dyDescent="0.3">
      <c r="A547" s="2">
        <v>351</v>
      </c>
      <c r="B547" s="1">
        <v>40559</v>
      </c>
      <c r="C547" s="2">
        <v>1</v>
      </c>
      <c r="D547" s="2">
        <v>2</v>
      </c>
      <c r="E547" t="b">
        <v>0</v>
      </c>
      <c r="F547" s="2">
        <v>0</v>
      </c>
      <c r="G547" s="2">
        <v>1</v>
      </c>
      <c r="H547" s="23">
        <v>0.26</v>
      </c>
      <c r="I547" s="25">
        <v>0.28789999999999999</v>
      </c>
      <c r="J547" s="23">
        <v>0.56000000000000005</v>
      </c>
      <c r="K547" s="25">
        <v>8.9599999999999999E-2</v>
      </c>
      <c r="L547" s="2">
        <v>3</v>
      </c>
      <c r="M547" s="2">
        <v>13</v>
      </c>
      <c r="N547" s="2">
        <v>16</v>
      </c>
      <c r="O547" t="s">
        <v>29</v>
      </c>
      <c r="P547" t="s">
        <v>52</v>
      </c>
      <c r="Q547" t="s">
        <v>31</v>
      </c>
      <c r="R547" t="s">
        <v>32</v>
      </c>
      <c r="S547" t="s">
        <v>44</v>
      </c>
      <c r="T547" t="s">
        <v>49</v>
      </c>
      <c r="U547" t="s">
        <v>35</v>
      </c>
      <c r="V547" t="s">
        <v>36</v>
      </c>
      <c r="W547" t="s">
        <v>37</v>
      </c>
      <c r="X547" s="24">
        <v>18.75</v>
      </c>
      <c r="Y547" s="24">
        <v>81.25</v>
      </c>
      <c r="Z547" t="s">
        <v>38</v>
      </c>
      <c r="AA547" t="s">
        <v>39</v>
      </c>
      <c r="AB547" t="s">
        <v>40</v>
      </c>
      <c r="AC547" s="24">
        <v>2.789999999999998E-2</v>
      </c>
    </row>
    <row r="548" spans="1:29" x14ac:dyDescent="0.3">
      <c r="A548" s="2">
        <v>353</v>
      </c>
      <c r="B548" s="1">
        <v>40559</v>
      </c>
      <c r="C548" s="2">
        <v>1</v>
      </c>
      <c r="D548" s="2">
        <v>4</v>
      </c>
      <c r="E548" t="b">
        <v>0</v>
      </c>
      <c r="F548" s="2">
        <v>0</v>
      </c>
      <c r="G548" s="2">
        <v>1</v>
      </c>
      <c r="H548" s="23">
        <v>0.26</v>
      </c>
      <c r="I548" s="25">
        <v>0.2576</v>
      </c>
      <c r="J548" s="23">
        <v>0.56000000000000005</v>
      </c>
      <c r="K548" s="25">
        <v>0.16420000000000001</v>
      </c>
      <c r="L548" s="2">
        <v>0</v>
      </c>
      <c r="M548" s="2">
        <v>1</v>
      </c>
      <c r="N548" s="2">
        <v>1</v>
      </c>
      <c r="O548" t="s">
        <v>29</v>
      </c>
      <c r="P548" t="s">
        <v>52</v>
      </c>
      <c r="Q548" t="s">
        <v>31</v>
      </c>
      <c r="R548" t="s">
        <v>32</v>
      </c>
      <c r="S548" t="s">
        <v>44</v>
      </c>
      <c r="T548" t="s">
        <v>49</v>
      </c>
      <c r="U548" t="s">
        <v>46</v>
      </c>
      <c r="V548" t="s">
        <v>36</v>
      </c>
      <c r="W548" t="s">
        <v>37</v>
      </c>
      <c r="X548" s="24">
        <v>0</v>
      </c>
      <c r="Y548" s="24">
        <v>100</v>
      </c>
      <c r="Z548" t="s">
        <v>38</v>
      </c>
      <c r="AA548" t="s">
        <v>39</v>
      </c>
      <c r="AB548" t="s">
        <v>40</v>
      </c>
      <c r="AC548" s="24">
        <v>-2.4000000000000128E-3</v>
      </c>
    </row>
    <row r="549" spans="1:29" x14ac:dyDescent="0.3">
      <c r="A549" s="2">
        <v>354</v>
      </c>
      <c r="B549" s="1">
        <v>40559</v>
      </c>
      <c r="C549" s="2">
        <v>1</v>
      </c>
      <c r="D549" s="2">
        <v>5</v>
      </c>
      <c r="E549" t="b">
        <v>0</v>
      </c>
      <c r="F549" s="2">
        <v>0</v>
      </c>
      <c r="G549" s="2">
        <v>2</v>
      </c>
      <c r="H549" s="23">
        <v>0.26</v>
      </c>
      <c r="I549" s="25">
        <v>0.2576</v>
      </c>
      <c r="J549" s="23">
        <v>0.56000000000000005</v>
      </c>
      <c r="K549" s="25">
        <v>0.16420000000000001</v>
      </c>
      <c r="L549" s="2">
        <v>1</v>
      </c>
      <c r="M549" s="2">
        <v>1</v>
      </c>
      <c r="N549" s="2">
        <v>2</v>
      </c>
      <c r="O549" t="s">
        <v>29</v>
      </c>
      <c r="P549" t="s">
        <v>52</v>
      </c>
      <c r="Q549" t="s">
        <v>41</v>
      </c>
      <c r="R549" t="s">
        <v>32</v>
      </c>
      <c r="S549" t="s">
        <v>44</v>
      </c>
      <c r="T549" t="s">
        <v>49</v>
      </c>
      <c r="U549" t="s">
        <v>46</v>
      </c>
      <c r="V549" t="s">
        <v>36</v>
      </c>
      <c r="W549" t="s">
        <v>37</v>
      </c>
      <c r="X549" s="24">
        <v>50</v>
      </c>
      <c r="Y549" s="24">
        <v>50</v>
      </c>
      <c r="Z549" t="s">
        <v>38</v>
      </c>
      <c r="AA549" t="s">
        <v>39</v>
      </c>
      <c r="AB549" t="s">
        <v>40</v>
      </c>
      <c r="AC549" s="24">
        <v>-2.4000000000000128E-3</v>
      </c>
    </row>
    <row r="550" spans="1:29" x14ac:dyDescent="0.3">
      <c r="A550" s="2">
        <v>355</v>
      </c>
      <c r="B550" s="1">
        <v>40559</v>
      </c>
      <c r="C550" s="2">
        <v>1</v>
      </c>
      <c r="D550" s="2">
        <v>6</v>
      </c>
      <c r="E550" t="b">
        <v>0</v>
      </c>
      <c r="F550" s="2">
        <v>0</v>
      </c>
      <c r="G550" s="2">
        <v>2</v>
      </c>
      <c r="H550" s="23">
        <v>0.26</v>
      </c>
      <c r="I550" s="25">
        <v>0.2576</v>
      </c>
      <c r="J550" s="23">
        <v>0.56000000000000005</v>
      </c>
      <c r="K550" s="25">
        <v>0.16420000000000001</v>
      </c>
      <c r="L550" s="2">
        <v>0</v>
      </c>
      <c r="M550" s="2">
        <v>1</v>
      </c>
      <c r="N550" s="2">
        <v>1</v>
      </c>
      <c r="O550" t="s">
        <v>29</v>
      </c>
      <c r="P550" t="s">
        <v>52</v>
      </c>
      <c r="Q550" t="s">
        <v>41</v>
      </c>
      <c r="R550" t="s">
        <v>42</v>
      </c>
      <c r="S550" t="s">
        <v>44</v>
      </c>
      <c r="T550" t="s">
        <v>49</v>
      </c>
      <c r="U550" t="s">
        <v>46</v>
      </c>
      <c r="V550" t="s">
        <v>36</v>
      </c>
      <c r="W550" t="s">
        <v>37</v>
      </c>
      <c r="X550" s="24">
        <v>0</v>
      </c>
      <c r="Y550" s="24">
        <v>100</v>
      </c>
      <c r="Z550" t="s">
        <v>38</v>
      </c>
      <c r="AA550" t="s">
        <v>39</v>
      </c>
      <c r="AB550" t="s">
        <v>40</v>
      </c>
      <c r="AC550" s="24">
        <v>-2.4000000000000128E-3</v>
      </c>
    </row>
    <row r="551" spans="1:29" x14ac:dyDescent="0.3">
      <c r="A551" s="2">
        <v>356</v>
      </c>
      <c r="B551" s="1">
        <v>40559</v>
      </c>
      <c r="C551" s="2">
        <v>1</v>
      </c>
      <c r="D551" s="2">
        <v>7</v>
      </c>
      <c r="E551" t="b">
        <v>0</v>
      </c>
      <c r="F551" s="2">
        <v>0</v>
      </c>
      <c r="G551" s="2">
        <v>2</v>
      </c>
      <c r="H551" s="23">
        <v>0.24</v>
      </c>
      <c r="I551" s="25">
        <v>0.21210000000000001</v>
      </c>
      <c r="J551" s="23">
        <v>0.56000000000000005</v>
      </c>
      <c r="K551" s="25">
        <v>0.29849999999999999</v>
      </c>
      <c r="L551" s="2">
        <v>0</v>
      </c>
      <c r="M551" s="2">
        <v>3</v>
      </c>
      <c r="N551" s="2">
        <v>3</v>
      </c>
      <c r="O551" t="s">
        <v>29</v>
      </c>
      <c r="P551" t="s">
        <v>52</v>
      </c>
      <c r="Q551" t="s">
        <v>41</v>
      </c>
      <c r="R551" t="s">
        <v>42</v>
      </c>
      <c r="S551" t="s">
        <v>33</v>
      </c>
      <c r="T551" t="s">
        <v>49</v>
      </c>
      <c r="U551" t="s">
        <v>46</v>
      </c>
      <c r="V551" t="s">
        <v>36</v>
      </c>
      <c r="W551" t="s">
        <v>37</v>
      </c>
      <c r="X551" s="24">
        <v>0</v>
      </c>
      <c r="Y551" s="24">
        <v>100</v>
      </c>
      <c r="Z551" t="s">
        <v>40</v>
      </c>
      <c r="AA551" t="s">
        <v>39</v>
      </c>
      <c r="AB551" t="s">
        <v>40</v>
      </c>
      <c r="AC551" s="24">
        <v>-2.789999999999998E-2</v>
      </c>
    </row>
    <row r="552" spans="1:29" x14ac:dyDescent="0.3">
      <c r="A552" s="2">
        <v>432</v>
      </c>
      <c r="B552" s="1">
        <v>40563</v>
      </c>
      <c r="C552" s="2">
        <v>1</v>
      </c>
      <c r="D552" s="2">
        <v>0</v>
      </c>
      <c r="E552" t="b">
        <v>0</v>
      </c>
      <c r="F552" s="2">
        <v>4</v>
      </c>
      <c r="G552" s="2">
        <v>1</v>
      </c>
      <c r="H552" s="23">
        <v>0.26</v>
      </c>
      <c r="I552" s="25">
        <v>0.2273</v>
      </c>
      <c r="J552" s="23">
        <v>0.56000000000000005</v>
      </c>
      <c r="K552" s="25">
        <v>0.3881</v>
      </c>
      <c r="L552" s="2">
        <v>5</v>
      </c>
      <c r="M552" s="2">
        <v>8</v>
      </c>
      <c r="N552" s="2">
        <v>13</v>
      </c>
      <c r="O552" t="s">
        <v>29</v>
      </c>
      <c r="P552" t="s">
        <v>58</v>
      </c>
      <c r="Q552" t="s">
        <v>31</v>
      </c>
      <c r="R552" t="s">
        <v>32</v>
      </c>
      <c r="S552" t="s">
        <v>44</v>
      </c>
      <c r="T552" t="s">
        <v>49</v>
      </c>
      <c r="U552" t="s">
        <v>53</v>
      </c>
      <c r="V552" t="s">
        <v>36</v>
      </c>
      <c r="W552" t="s">
        <v>37</v>
      </c>
      <c r="X552" s="24">
        <v>38.461538461538467</v>
      </c>
      <c r="Y552" s="24">
        <v>61.53846153846154</v>
      </c>
      <c r="Z552" t="s">
        <v>38</v>
      </c>
      <c r="AA552" t="s">
        <v>39</v>
      </c>
      <c r="AB552" t="s">
        <v>38</v>
      </c>
      <c r="AC552" s="24">
        <v>-3.2700000000000007E-2</v>
      </c>
    </row>
    <row r="553" spans="1:29" x14ac:dyDescent="0.3">
      <c r="A553" s="2">
        <v>552</v>
      </c>
      <c r="B553" s="1">
        <v>40568</v>
      </c>
      <c r="C553" s="2">
        <v>1</v>
      </c>
      <c r="D553" s="2">
        <v>4</v>
      </c>
      <c r="E553" t="b">
        <v>0</v>
      </c>
      <c r="F553" s="2">
        <v>2</v>
      </c>
      <c r="G553" s="2">
        <v>1</v>
      </c>
      <c r="H553" s="23">
        <v>0.14000000000000001</v>
      </c>
      <c r="I553" s="25">
        <v>0.16669999999999999</v>
      </c>
      <c r="J553" s="23">
        <v>0.74</v>
      </c>
      <c r="K553" s="25">
        <v>0.1045</v>
      </c>
      <c r="L553" s="2">
        <v>0</v>
      </c>
      <c r="M553" s="2">
        <v>1</v>
      </c>
      <c r="N553" s="2">
        <v>1</v>
      </c>
      <c r="O553" t="s">
        <v>29</v>
      </c>
      <c r="P553" t="s">
        <v>56</v>
      </c>
      <c r="Q553" t="s">
        <v>31</v>
      </c>
      <c r="R553" t="s">
        <v>32</v>
      </c>
      <c r="S553" t="s">
        <v>55</v>
      </c>
      <c r="T553" t="s">
        <v>34</v>
      </c>
      <c r="U553" t="s">
        <v>35</v>
      </c>
      <c r="V553" t="s">
        <v>36</v>
      </c>
      <c r="W553" t="s">
        <v>37</v>
      </c>
      <c r="X553" s="24">
        <v>0</v>
      </c>
      <c r="Y553" s="24">
        <v>100</v>
      </c>
      <c r="Z553" t="s">
        <v>38</v>
      </c>
      <c r="AA553" t="s">
        <v>39</v>
      </c>
      <c r="AB553" t="s">
        <v>38</v>
      </c>
      <c r="AC553" s="24">
        <v>2.669999999999997E-2</v>
      </c>
    </row>
    <row r="554" spans="1:29" x14ac:dyDescent="0.3">
      <c r="A554" s="2">
        <v>553</v>
      </c>
      <c r="B554" s="1">
        <v>40568</v>
      </c>
      <c r="C554" s="2">
        <v>1</v>
      </c>
      <c r="D554" s="2">
        <v>5</v>
      </c>
      <c r="E554" t="b">
        <v>0</v>
      </c>
      <c r="F554" s="2">
        <v>2</v>
      </c>
      <c r="G554" s="2">
        <v>1</v>
      </c>
      <c r="H554" s="23">
        <v>0.14000000000000001</v>
      </c>
      <c r="I554" s="25">
        <v>0.13639999999999999</v>
      </c>
      <c r="J554" s="23">
        <v>0.74</v>
      </c>
      <c r="K554" s="25">
        <v>0.22389999999999999</v>
      </c>
      <c r="L554" s="2">
        <v>0</v>
      </c>
      <c r="M554" s="2">
        <v>9</v>
      </c>
      <c r="N554" s="2">
        <v>9</v>
      </c>
      <c r="O554" t="s">
        <v>29</v>
      </c>
      <c r="P554" t="s">
        <v>56</v>
      </c>
      <c r="Q554" t="s">
        <v>31</v>
      </c>
      <c r="R554" t="s">
        <v>32</v>
      </c>
      <c r="S554" t="s">
        <v>55</v>
      </c>
      <c r="T554" t="s">
        <v>34</v>
      </c>
      <c r="U554" t="s">
        <v>46</v>
      </c>
      <c r="V554" t="s">
        <v>36</v>
      </c>
      <c r="W554" t="s">
        <v>37</v>
      </c>
      <c r="X554" s="24">
        <v>0</v>
      </c>
      <c r="Y554" s="24">
        <v>100</v>
      </c>
      <c r="Z554" t="s">
        <v>38</v>
      </c>
      <c r="AA554" t="s">
        <v>39</v>
      </c>
      <c r="AB554" t="s">
        <v>38</v>
      </c>
      <c r="AC554" s="24">
        <v>-3.6000000000000199E-3</v>
      </c>
    </row>
    <row r="555" spans="1:29" x14ac:dyDescent="0.3">
      <c r="A555" s="2">
        <v>554</v>
      </c>
      <c r="B555" s="1">
        <v>40568</v>
      </c>
      <c r="C555" s="2">
        <v>1</v>
      </c>
      <c r="D555" s="2">
        <v>6</v>
      </c>
      <c r="E555" t="b">
        <v>0</v>
      </c>
      <c r="F555" s="2">
        <v>2</v>
      </c>
      <c r="G555" s="2">
        <v>1</v>
      </c>
      <c r="H555" s="23">
        <v>0.16</v>
      </c>
      <c r="I555" s="25">
        <v>0.18179999999999999</v>
      </c>
      <c r="J555" s="23">
        <v>0.74</v>
      </c>
      <c r="K555" s="25">
        <v>0.1045</v>
      </c>
      <c r="L555" s="2">
        <v>1</v>
      </c>
      <c r="M555" s="2">
        <v>35</v>
      </c>
      <c r="N555" s="2">
        <v>36</v>
      </c>
      <c r="O555" t="s">
        <v>29</v>
      </c>
      <c r="P555" t="s">
        <v>56</v>
      </c>
      <c r="Q555" t="s">
        <v>31</v>
      </c>
      <c r="R555" t="s">
        <v>42</v>
      </c>
      <c r="S555" t="s">
        <v>33</v>
      </c>
      <c r="T555" t="s">
        <v>34</v>
      </c>
      <c r="U555" t="s">
        <v>35</v>
      </c>
      <c r="V555" t="s">
        <v>36</v>
      </c>
      <c r="W555" t="s">
        <v>37</v>
      </c>
      <c r="X555" s="24">
        <v>2.7777777777777781</v>
      </c>
      <c r="Y555" s="24">
        <v>97.222222222222214</v>
      </c>
      <c r="Z555" t="s">
        <v>38</v>
      </c>
      <c r="AA555" t="s">
        <v>39</v>
      </c>
      <c r="AB555" t="s">
        <v>38</v>
      </c>
      <c r="AC555" s="24">
        <v>2.179999999999999E-2</v>
      </c>
    </row>
    <row r="556" spans="1:29" x14ac:dyDescent="0.3">
      <c r="A556" s="2">
        <v>555</v>
      </c>
      <c r="B556" s="1">
        <v>40568</v>
      </c>
      <c r="C556" s="2">
        <v>1</v>
      </c>
      <c r="D556" s="2">
        <v>7</v>
      </c>
      <c r="E556" t="b">
        <v>0</v>
      </c>
      <c r="F556" s="2">
        <v>2</v>
      </c>
      <c r="G556" s="2">
        <v>1</v>
      </c>
      <c r="H556" s="23">
        <v>0.16</v>
      </c>
      <c r="I556" s="25">
        <v>0.1515</v>
      </c>
      <c r="J556" s="23">
        <v>0.74</v>
      </c>
      <c r="K556" s="25">
        <v>0.22389999999999999</v>
      </c>
      <c r="L556" s="2">
        <v>5</v>
      </c>
      <c r="M556" s="2">
        <v>103</v>
      </c>
      <c r="N556" s="2">
        <v>108</v>
      </c>
      <c r="O556" t="s">
        <v>29</v>
      </c>
      <c r="P556" t="s">
        <v>56</v>
      </c>
      <c r="Q556" t="s">
        <v>31</v>
      </c>
      <c r="R556" t="s">
        <v>42</v>
      </c>
      <c r="S556" t="s">
        <v>33</v>
      </c>
      <c r="T556" t="s">
        <v>34</v>
      </c>
      <c r="U556" t="s">
        <v>46</v>
      </c>
      <c r="V556" t="s">
        <v>36</v>
      </c>
      <c r="W556" t="s">
        <v>37</v>
      </c>
      <c r="X556" s="24">
        <v>4.6296296296296298</v>
      </c>
      <c r="Y556" s="24">
        <v>95.370370370370367</v>
      </c>
      <c r="Z556" t="s">
        <v>40</v>
      </c>
      <c r="AA556" t="s">
        <v>49</v>
      </c>
      <c r="AB556" t="s">
        <v>38</v>
      </c>
      <c r="AC556" s="24">
        <v>-8.5000000000000075E-3</v>
      </c>
    </row>
    <row r="557" spans="1:29" x14ac:dyDescent="0.3">
      <c r="A557" s="2">
        <v>556</v>
      </c>
      <c r="B557" s="1">
        <v>40568</v>
      </c>
      <c r="C557" s="2">
        <v>1</v>
      </c>
      <c r="D557" s="2">
        <v>8</v>
      </c>
      <c r="E557" t="b">
        <v>0</v>
      </c>
      <c r="F557" s="2">
        <v>2</v>
      </c>
      <c r="G557" s="2">
        <v>2</v>
      </c>
      <c r="H557" s="23">
        <v>0.16</v>
      </c>
      <c r="I557" s="25">
        <v>0.18179999999999999</v>
      </c>
      <c r="J557" s="23">
        <v>0.74</v>
      </c>
      <c r="K557" s="25">
        <v>0.1343</v>
      </c>
      <c r="L557" s="2">
        <v>5</v>
      </c>
      <c r="M557" s="2">
        <v>233</v>
      </c>
      <c r="N557" s="2">
        <v>238</v>
      </c>
      <c r="O557" t="s">
        <v>29</v>
      </c>
      <c r="P557" t="s">
        <v>56</v>
      </c>
      <c r="Q557" t="s">
        <v>41</v>
      </c>
      <c r="R557" t="s">
        <v>42</v>
      </c>
      <c r="S557" t="s">
        <v>33</v>
      </c>
      <c r="T557" t="s">
        <v>34</v>
      </c>
      <c r="U557" t="s">
        <v>35</v>
      </c>
      <c r="V557" t="s">
        <v>36</v>
      </c>
      <c r="W557" t="s">
        <v>37</v>
      </c>
      <c r="X557" s="24">
        <v>2.1008403361344539</v>
      </c>
      <c r="Y557" s="24">
        <v>97.899159663865547</v>
      </c>
      <c r="Z557" t="s">
        <v>40</v>
      </c>
      <c r="AA557" t="s">
        <v>49</v>
      </c>
      <c r="AB557" t="s">
        <v>38</v>
      </c>
      <c r="AC557" s="24">
        <v>2.179999999999999E-2</v>
      </c>
    </row>
    <row r="558" spans="1:29" x14ac:dyDescent="0.3">
      <c r="A558" s="2">
        <v>433</v>
      </c>
      <c r="B558" s="1">
        <v>40563</v>
      </c>
      <c r="C558" s="2">
        <v>1</v>
      </c>
      <c r="D558" s="2">
        <v>1</v>
      </c>
      <c r="E558" t="b">
        <v>0</v>
      </c>
      <c r="F558" s="2">
        <v>4</v>
      </c>
      <c r="G558" s="2">
        <v>1</v>
      </c>
      <c r="H558" s="23">
        <v>0.26</v>
      </c>
      <c r="I558" s="25">
        <v>0.2727</v>
      </c>
      <c r="J558" s="23">
        <v>0.56000000000000005</v>
      </c>
      <c r="K558" s="25">
        <v>0</v>
      </c>
      <c r="L558" s="2">
        <v>2</v>
      </c>
      <c r="M558" s="2">
        <v>3</v>
      </c>
      <c r="N558" s="2">
        <v>5</v>
      </c>
      <c r="O558" t="s">
        <v>29</v>
      </c>
      <c r="P558" t="s">
        <v>58</v>
      </c>
      <c r="Q558" t="s">
        <v>31</v>
      </c>
      <c r="R558" t="s">
        <v>32</v>
      </c>
      <c r="S558" t="s">
        <v>44</v>
      </c>
      <c r="T558" t="s">
        <v>49</v>
      </c>
      <c r="U558" t="s">
        <v>35</v>
      </c>
      <c r="V558" t="s">
        <v>36</v>
      </c>
      <c r="W558" t="s">
        <v>37</v>
      </c>
      <c r="X558" s="24">
        <v>40</v>
      </c>
      <c r="Y558" s="24">
        <v>60</v>
      </c>
      <c r="Z558" t="s">
        <v>38</v>
      </c>
      <c r="AA558" t="s">
        <v>39</v>
      </c>
      <c r="AB558" t="s">
        <v>38</v>
      </c>
      <c r="AC558" s="24">
        <v>1.2699999999999991E-2</v>
      </c>
    </row>
    <row r="559" spans="1:29" x14ac:dyDescent="0.3">
      <c r="A559" s="2">
        <v>434</v>
      </c>
      <c r="B559" s="1">
        <v>40563</v>
      </c>
      <c r="C559" s="2">
        <v>1</v>
      </c>
      <c r="D559" s="2">
        <v>2</v>
      </c>
      <c r="E559" t="b">
        <v>0</v>
      </c>
      <c r="F559" s="2">
        <v>4</v>
      </c>
      <c r="G559" s="2">
        <v>1</v>
      </c>
      <c r="H559" s="23">
        <v>0.26</v>
      </c>
      <c r="I559" s="25">
        <v>0.2727</v>
      </c>
      <c r="J559" s="23">
        <v>0.56000000000000005</v>
      </c>
      <c r="K559" s="25">
        <v>0</v>
      </c>
      <c r="L559" s="2">
        <v>0</v>
      </c>
      <c r="M559" s="2">
        <v>2</v>
      </c>
      <c r="N559" s="2">
        <v>2</v>
      </c>
      <c r="O559" t="s">
        <v>29</v>
      </c>
      <c r="P559" t="s">
        <v>58</v>
      </c>
      <c r="Q559" t="s">
        <v>31</v>
      </c>
      <c r="R559" t="s">
        <v>32</v>
      </c>
      <c r="S559" t="s">
        <v>44</v>
      </c>
      <c r="T559" t="s">
        <v>49</v>
      </c>
      <c r="U559" t="s">
        <v>35</v>
      </c>
      <c r="V559" t="s">
        <v>36</v>
      </c>
      <c r="W559" t="s">
        <v>37</v>
      </c>
      <c r="X559" s="24">
        <v>0</v>
      </c>
      <c r="Y559" s="24">
        <v>100</v>
      </c>
      <c r="Z559" t="s">
        <v>38</v>
      </c>
      <c r="AA559" t="s">
        <v>39</v>
      </c>
      <c r="AB559" t="s">
        <v>38</v>
      </c>
      <c r="AC559" s="24">
        <v>1.2699999999999991E-2</v>
      </c>
    </row>
    <row r="560" spans="1:29" x14ac:dyDescent="0.3">
      <c r="A560" s="2">
        <v>435</v>
      </c>
      <c r="B560" s="1">
        <v>40563</v>
      </c>
      <c r="C560" s="2">
        <v>1</v>
      </c>
      <c r="D560" s="2">
        <v>3</v>
      </c>
      <c r="E560" t="b">
        <v>0</v>
      </c>
      <c r="F560" s="2">
        <v>4</v>
      </c>
      <c r="G560" s="2">
        <v>1</v>
      </c>
      <c r="H560" s="23">
        <v>0.26</v>
      </c>
      <c r="I560" s="25">
        <v>0.2576</v>
      </c>
      <c r="J560" s="23">
        <v>0.56000000000000005</v>
      </c>
      <c r="K560" s="25">
        <v>0.16420000000000001</v>
      </c>
      <c r="L560" s="2">
        <v>0</v>
      </c>
      <c r="M560" s="2">
        <v>1</v>
      </c>
      <c r="N560" s="2">
        <v>1</v>
      </c>
      <c r="O560" t="s">
        <v>29</v>
      </c>
      <c r="P560" t="s">
        <v>58</v>
      </c>
      <c r="Q560" t="s">
        <v>31</v>
      </c>
      <c r="R560" t="s">
        <v>32</v>
      </c>
      <c r="S560" t="s">
        <v>44</v>
      </c>
      <c r="T560" t="s">
        <v>49</v>
      </c>
      <c r="U560" t="s">
        <v>46</v>
      </c>
      <c r="V560" t="s">
        <v>36</v>
      </c>
      <c r="W560" t="s">
        <v>37</v>
      </c>
      <c r="X560" s="24">
        <v>0</v>
      </c>
      <c r="Y560" s="24">
        <v>100</v>
      </c>
      <c r="Z560" t="s">
        <v>38</v>
      </c>
      <c r="AA560" t="s">
        <v>39</v>
      </c>
      <c r="AB560" t="s">
        <v>38</v>
      </c>
      <c r="AC560" s="24">
        <v>-2.4000000000000128E-3</v>
      </c>
    </row>
    <row r="561" spans="1:29" x14ac:dyDescent="0.3">
      <c r="A561" s="2">
        <v>436</v>
      </c>
      <c r="B561" s="1">
        <v>40563</v>
      </c>
      <c r="C561" s="2">
        <v>1</v>
      </c>
      <c r="D561" s="2">
        <v>4</v>
      </c>
      <c r="E561" t="b">
        <v>0</v>
      </c>
      <c r="F561" s="2">
        <v>4</v>
      </c>
      <c r="G561" s="2">
        <v>1</v>
      </c>
      <c r="H561" s="23">
        <v>0.26</v>
      </c>
      <c r="I561" s="25">
        <v>0.2576</v>
      </c>
      <c r="J561" s="23">
        <v>0.56000000000000005</v>
      </c>
      <c r="K561" s="25">
        <v>0.16420000000000001</v>
      </c>
      <c r="L561" s="2">
        <v>0</v>
      </c>
      <c r="M561" s="2">
        <v>1</v>
      </c>
      <c r="N561" s="2">
        <v>1</v>
      </c>
      <c r="O561" t="s">
        <v>29</v>
      </c>
      <c r="P561" t="s">
        <v>58</v>
      </c>
      <c r="Q561" t="s">
        <v>31</v>
      </c>
      <c r="R561" t="s">
        <v>32</v>
      </c>
      <c r="S561" t="s">
        <v>44</v>
      </c>
      <c r="T561" t="s">
        <v>49</v>
      </c>
      <c r="U561" t="s">
        <v>46</v>
      </c>
      <c r="V561" t="s">
        <v>36</v>
      </c>
      <c r="W561" t="s">
        <v>37</v>
      </c>
      <c r="X561" s="24">
        <v>0</v>
      </c>
      <c r="Y561" s="24">
        <v>100</v>
      </c>
      <c r="Z561" t="s">
        <v>38</v>
      </c>
      <c r="AA561" t="s">
        <v>39</v>
      </c>
      <c r="AB561" t="s">
        <v>38</v>
      </c>
      <c r="AC561" s="24">
        <v>-2.4000000000000128E-3</v>
      </c>
    </row>
    <row r="562" spans="1:29" x14ac:dyDescent="0.3">
      <c r="A562" s="2">
        <v>450</v>
      </c>
      <c r="B562" s="1">
        <v>40563</v>
      </c>
      <c r="C562" s="2">
        <v>1</v>
      </c>
      <c r="D562" s="2">
        <v>18</v>
      </c>
      <c r="E562" t="b">
        <v>0</v>
      </c>
      <c r="F562" s="2">
        <v>4</v>
      </c>
      <c r="G562" s="2">
        <v>2</v>
      </c>
      <c r="H562" s="23">
        <v>0.26</v>
      </c>
      <c r="I562" s="25">
        <v>0.2576</v>
      </c>
      <c r="J562" s="23">
        <v>0.56000000000000005</v>
      </c>
      <c r="K562" s="25">
        <v>0.19400000000000001</v>
      </c>
      <c r="L562" s="2">
        <v>1</v>
      </c>
      <c r="M562" s="2">
        <v>184</v>
      </c>
      <c r="N562" s="2">
        <v>185</v>
      </c>
      <c r="O562" t="s">
        <v>29</v>
      </c>
      <c r="P562" t="s">
        <v>58</v>
      </c>
      <c r="Q562" t="s">
        <v>41</v>
      </c>
      <c r="R562" t="s">
        <v>50</v>
      </c>
      <c r="S562" t="s">
        <v>44</v>
      </c>
      <c r="T562" t="s">
        <v>49</v>
      </c>
      <c r="U562" t="s">
        <v>46</v>
      </c>
      <c r="V562" t="s">
        <v>36</v>
      </c>
      <c r="W562" t="s">
        <v>37</v>
      </c>
      <c r="X562" s="24">
        <v>0.54054054054054057</v>
      </c>
      <c r="Y562" s="24">
        <v>99.459459459459467</v>
      </c>
      <c r="Z562" t="s">
        <v>40</v>
      </c>
      <c r="AA562" t="s">
        <v>49</v>
      </c>
      <c r="AB562" t="s">
        <v>38</v>
      </c>
      <c r="AC562" s="24">
        <v>-2.4000000000000128E-3</v>
      </c>
    </row>
    <row r="563" spans="1:29" x14ac:dyDescent="0.3">
      <c r="A563" s="2">
        <v>451</v>
      </c>
      <c r="B563" s="1">
        <v>40563</v>
      </c>
      <c r="C563" s="2">
        <v>1</v>
      </c>
      <c r="D563" s="2">
        <v>19</v>
      </c>
      <c r="E563" t="b">
        <v>0</v>
      </c>
      <c r="F563" s="2">
        <v>4</v>
      </c>
      <c r="G563" s="2">
        <v>1</v>
      </c>
      <c r="H563" s="23">
        <v>0.26</v>
      </c>
      <c r="I563" s="25">
        <v>0.2273</v>
      </c>
      <c r="J563" s="23">
        <v>0.56000000000000005</v>
      </c>
      <c r="K563" s="25">
        <v>0.32840000000000003</v>
      </c>
      <c r="L563" s="2">
        <v>6</v>
      </c>
      <c r="M563" s="2">
        <v>146</v>
      </c>
      <c r="N563" s="2">
        <v>152</v>
      </c>
      <c r="O563" t="s">
        <v>29</v>
      </c>
      <c r="P563" t="s">
        <v>58</v>
      </c>
      <c r="Q563" t="s">
        <v>31</v>
      </c>
      <c r="R563" t="s">
        <v>50</v>
      </c>
      <c r="S563" t="s">
        <v>44</v>
      </c>
      <c r="T563" t="s">
        <v>49</v>
      </c>
      <c r="U563" t="s">
        <v>53</v>
      </c>
      <c r="V563" t="s">
        <v>36</v>
      </c>
      <c r="W563" t="s">
        <v>37</v>
      </c>
      <c r="X563" s="24">
        <v>3.947368421052631</v>
      </c>
      <c r="Y563" s="24">
        <v>96.05263157894737</v>
      </c>
      <c r="Z563" t="s">
        <v>40</v>
      </c>
      <c r="AA563" t="s">
        <v>49</v>
      </c>
      <c r="AB563" t="s">
        <v>38</v>
      </c>
      <c r="AC563" s="24">
        <v>-3.2700000000000007E-2</v>
      </c>
    </row>
    <row r="564" spans="1:29" x14ac:dyDescent="0.3">
      <c r="A564" s="2">
        <v>560</v>
      </c>
      <c r="B564" s="1">
        <v>40568</v>
      </c>
      <c r="C564" s="2">
        <v>1</v>
      </c>
      <c r="D564" s="2">
        <v>12</v>
      </c>
      <c r="E564" t="b">
        <v>0</v>
      </c>
      <c r="F564" s="2">
        <v>2</v>
      </c>
      <c r="G564" s="2">
        <v>2</v>
      </c>
      <c r="H564" s="23">
        <v>0.26</v>
      </c>
      <c r="I564" s="25">
        <v>0.28789999999999999</v>
      </c>
      <c r="J564" s="23">
        <v>0.56000000000000005</v>
      </c>
      <c r="K564" s="25">
        <v>8.9599999999999999E-2</v>
      </c>
      <c r="L564" s="2">
        <v>21</v>
      </c>
      <c r="M564" s="2">
        <v>85</v>
      </c>
      <c r="N564" s="2">
        <v>106</v>
      </c>
      <c r="O564" t="s">
        <v>29</v>
      </c>
      <c r="P564" t="s">
        <v>56</v>
      </c>
      <c r="Q564" t="s">
        <v>41</v>
      </c>
      <c r="R564" t="s">
        <v>47</v>
      </c>
      <c r="S564" t="s">
        <v>44</v>
      </c>
      <c r="T564" t="s">
        <v>49</v>
      </c>
      <c r="U564" t="s">
        <v>35</v>
      </c>
      <c r="V564" t="s">
        <v>36</v>
      </c>
      <c r="W564" t="s">
        <v>37</v>
      </c>
      <c r="X564" s="24">
        <v>19.811320754716981</v>
      </c>
      <c r="Y564" s="24">
        <v>80.188679245283026</v>
      </c>
      <c r="Z564" t="s">
        <v>38</v>
      </c>
      <c r="AA564" t="s">
        <v>49</v>
      </c>
      <c r="AB564" t="s">
        <v>38</v>
      </c>
      <c r="AC564" s="24">
        <v>2.789999999999998E-2</v>
      </c>
    </row>
    <row r="565" spans="1:29" x14ac:dyDescent="0.3">
      <c r="A565" s="2">
        <v>561</v>
      </c>
      <c r="B565" s="1">
        <v>40568</v>
      </c>
      <c r="C565" s="2">
        <v>1</v>
      </c>
      <c r="D565" s="2">
        <v>13</v>
      </c>
      <c r="E565" t="b">
        <v>0</v>
      </c>
      <c r="F565" s="2">
        <v>2</v>
      </c>
      <c r="G565" s="2">
        <v>2</v>
      </c>
      <c r="H565" s="23">
        <v>0.26</v>
      </c>
      <c r="I565" s="25">
        <v>0.2727</v>
      </c>
      <c r="J565" s="23">
        <v>0.56000000000000005</v>
      </c>
      <c r="K565" s="25">
        <v>0.1343</v>
      </c>
      <c r="L565" s="2">
        <v>21</v>
      </c>
      <c r="M565" s="2">
        <v>72</v>
      </c>
      <c r="N565" s="2">
        <v>93</v>
      </c>
      <c r="O565" t="s">
        <v>29</v>
      </c>
      <c r="P565" t="s">
        <v>56</v>
      </c>
      <c r="Q565" t="s">
        <v>41</v>
      </c>
      <c r="R565" t="s">
        <v>47</v>
      </c>
      <c r="S565" t="s">
        <v>44</v>
      </c>
      <c r="T565" t="s">
        <v>49</v>
      </c>
      <c r="U565" t="s">
        <v>35</v>
      </c>
      <c r="V565" t="s">
        <v>36</v>
      </c>
      <c r="W565" t="s">
        <v>37</v>
      </c>
      <c r="X565" s="24">
        <v>22.58064516129032</v>
      </c>
      <c r="Y565" s="24">
        <v>77.41935483870968</v>
      </c>
      <c r="Z565" t="s">
        <v>38</v>
      </c>
      <c r="AA565" t="s">
        <v>39</v>
      </c>
      <c r="AB565" t="s">
        <v>38</v>
      </c>
      <c r="AC565" s="24">
        <v>1.2699999999999991E-2</v>
      </c>
    </row>
    <row r="566" spans="1:29" x14ac:dyDescent="0.3">
      <c r="A566" s="2">
        <v>656</v>
      </c>
      <c r="B566" s="1">
        <v>40573</v>
      </c>
      <c r="C566" s="2">
        <v>1</v>
      </c>
      <c r="D566" s="2">
        <v>15</v>
      </c>
      <c r="E566" t="b">
        <v>0</v>
      </c>
      <c r="F566" s="2">
        <v>0</v>
      </c>
      <c r="G566" s="2">
        <v>1</v>
      </c>
      <c r="H566" s="23">
        <v>0.3</v>
      </c>
      <c r="I566" s="25">
        <v>0.33329999999999999</v>
      </c>
      <c r="J566" s="23">
        <v>0.56000000000000005</v>
      </c>
      <c r="K566" s="25">
        <v>0</v>
      </c>
      <c r="L566" s="2">
        <v>14</v>
      </c>
      <c r="M566" s="2">
        <v>95</v>
      </c>
      <c r="N566" s="2">
        <v>109</v>
      </c>
      <c r="O566" t="s">
        <v>29</v>
      </c>
      <c r="P566" t="s">
        <v>52</v>
      </c>
      <c r="Q566" t="s">
        <v>31</v>
      </c>
      <c r="R566" t="s">
        <v>47</v>
      </c>
      <c r="S566" t="s">
        <v>44</v>
      </c>
      <c r="T566" t="s">
        <v>49</v>
      </c>
      <c r="U566" t="s">
        <v>35</v>
      </c>
      <c r="V566" t="s">
        <v>36</v>
      </c>
      <c r="W566" t="s">
        <v>37</v>
      </c>
      <c r="X566" s="24">
        <v>12.844036697247709</v>
      </c>
      <c r="Y566" s="24">
        <v>87.155963302752298</v>
      </c>
      <c r="Z566" t="s">
        <v>38</v>
      </c>
      <c r="AA566" t="s">
        <v>49</v>
      </c>
      <c r="AB566" t="s">
        <v>40</v>
      </c>
      <c r="AC566" s="24">
        <v>3.3300000000000003E-2</v>
      </c>
    </row>
    <row r="567" spans="1:29" x14ac:dyDescent="0.3">
      <c r="A567" s="2">
        <v>657</v>
      </c>
      <c r="B567" s="1">
        <v>40573</v>
      </c>
      <c r="C567" s="2">
        <v>1</v>
      </c>
      <c r="D567" s="2">
        <v>16</v>
      </c>
      <c r="E567" t="b">
        <v>0</v>
      </c>
      <c r="F567" s="2">
        <v>0</v>
      </c>
      <c r="G567" s="2">
        <v>1</v>
      </c>
      <c r="H567" s="23">
        <v>0.3</v>
      </c>
      <c r="I567" s="25">
        <v>0.33329999999999999</v>
      </c>
      <c r="J567" s="23">
        <v>0.56000000000000005</v>
      </c>
      <c r="K567" s="25">
        <v>0</v>
      </c>
      <c r="L567" s="2">
        <v>19</v>
      </c>
      <c r="M567" s="2">
        <v>104</v>
      </c>
      <c r="N567" s="2">
        <v>123</v>
      </c>
      <c r="O567" t="s">
        <v>29</v>
      </c>
      <c r="P567" t="s">
        <v>52</v>
      </c>
      <c r="Q567" t="s">
        <v>31</v>
      </c>
      <c r="R567" t="s">
        <v>47</v>
      </c>
      <c r="S567" t="s">
        <v>44</v>
      </c>
      <c r="T567" t="s">
        <v>49</v>
      </c>
      <c r="U567" t="s">
        <v>35</v>
      </c>
      <c r="V567" t="s">
        <v>36</v>
      </c>
      <c r="W567" t="s">
        <v>37</v>
      </c>
      <c r="X567" s="24">
        <v>15.447154471544721</v>
      </c>
      <c r="Y567" s="24">
        <v>84.552845528455293</v>
      </c>
      <c r="Z567" t="s">
        <v>38</v>
      </c>
      <c r="AA567" t="s">
        <v>49</v>
      </c>
      <c r="AB567" t="s">
        <v>40</v>
      </c>
      <c r="AC567" s="24">
        <v>3.3300000000000003E-2</v>
      </c>
    </row>
    <row r="568" spans="1:29" x14ac:dyDescent="0.3">
      <c r="A568" s="2">
        <v>658</v>
      </c>
      <c r="B568" s="1">
        <v>40573</v>
      </c>
      <c r="C568" s="2">
        <v>1</v>
      </c>
      <c r="D568" s="2">
        <v>17</v>
      </c>
      <c r="E568" t="b">
        <v>0</v>
      </c>
      <c r="F568" s="2">
        <v>0</v>
      </c>
      <c r="G568" s="2">
        <v>1</v>
      </c>
      <c r="H568" s="23">
        <v>0.3</v>
      </c>
      <c r="I568" s="25">
        <v>0.28789999999999999</v>
      </c>
      <c r="J568" s="23">
        <v>0.56000000000000005</v>
      </c>
      <c r="K568" s="25">
        <v>0.19400000000000001</v>
      </c>
      <c r="L568" s="2">
        <v>6</v>
      </c>
      <c r="M568" s="2">
        <v>71</v>
      </c>
      <c r="N568" s="2">
        <v>77</v>
      </c>
      <c r="O568" t="s">
        <v>29</v>
      </c>
      <c r="P568" t="s">
        <v>52</v>
      </c>
      <c r="Q568" t="s">
        <v>31</v>
      </c>
      <c r="R568" t="s">
        <v>50</v>
      </c>
      <c r="S568" t="s">
        <v>44</v>
      </c>
      <c r="T568" t="s">
        <v>49</v>
      </c>
      <c r="U568" t="s">
        <v>46</v>
      </c>
      <c r="V568" t="s">
        <v>36</v>
      </c>
      <c r="W568" t="s">
        <v>37</v>
      </c>
      <c r="X568" s="24">
        <v>7.7922077922077921</v>
      </c>
      <c r="Y568" s="24">
        <v>92.20779220779221</v>
      </c>
      <c r="Z568" t="s">
        <v>40</v>
      </c>
      <c r="AA568" t="s">
        <v>39</v>
      </c>
      <c r="AB568" t="s">
        <v>40</v>
      </c>
      <c r="AC568" s="24">
        <v>-1.21E-2</v>
      </c>
    </row>
    <row r="569" spans="1:29" x14ac:dyDescent="0.3">
      <c r="A569" s="2">
        <v>681</v>
      </c>
      <c r="B569" s="1">
        <v>40574</v>
      </c>
      <c r="C569" s="2">
        <v>1</v>
      </c>
      <c r="D569" s="2">
        <v>16</v>
      </c>
      <c r="E569" t="b">
        <v>0</v>
      </c>
      <c r="F569" s="2">
        <v>1</v>
      </c>
      <c r="G569" s="2">
        <v>2</v>
      </c>
      <c r="H569" s="23">
        <v>0.16</v>
      </c>
      <c r="I569" s="25">
        <v>0.18179999999999999</v>
      </c>
      <c r="J569" s="23">
        <v>0.56000000000000005</v>
      </c>
      <c r="K569" s="25">
        <v>0.19400000000000001</v>
      </c>
      <c r="L569" s="2">
        <v>3</v>
      </c>
      <c r="M569" s="2">
        <v>83</v>
      </c>
      <c r="N569" s="2">
        <v>86</v>
      </c>
      <c r="O569" t="s">
        <v>29</v>
      </c>
      <c r="P569" t="s">
        <v>54</v>
      </c>
      <c r="Q569" t="s">
        <v>41</v>
      </c>
      <c r="R569" t="s">
        <v>47</v>
      </c>
      <c r="S569" t="s">
        <v>33</v>
      </c>
      <c r="T569" t="s">
        <v>49</v>
      </c>
      <c r="U569" t="s">
        <v>46</v>
      </c>
      <c r="V569" t="s">
        <v>36</v>
      </c>
      <c r="W569" t="s">
        <v>37</v>
      </c>
      <c r="X569" s="24">
        <v>3.4883720930232558</v>
      </c>
      <c r="Y569" s="24">
        <v>96.511627906976756</v>
      </c>
      <c r="Z569" t="s">
        <v>38</v>
      </c>
      <c r="AA569" t="s">
        <v>39</v>
      </c>
      <c r="AB569" t="s">
        <v>38</v>
      </c>
      <c r="AC569" s="24">
        <v>2.179999999999999E-2</v>
      </c>
    </row>
    <row r="570" spans="1:29" x14ac:dyDescent="0.3">
      <c r="A570" s="2">
        <v>775</v>
      </c>
      <c r="B570" s="1">
        <v>40578</v>
      </c>
      <c r="C570" s="2">
        <v>1</v>
      </c>
      <c r="D570" s="2">
        <v>17</v>
      </c>
      <c r="E570" t="b">
        <v>0</v>
      </c>
      <c r="F570" s="2">
        <v>5</v>
      </c>
      <c r="G570" s="2">
        <v>2</v>
      </c>
      <c r="H570" s="23">
        <v>0.26</v>
      </c>
      <c r="I570" s="25">
        <v>0.2727</v>
      </c>
      <c r="J570" s="23">
        <v>0.56000000000000005</v>
      </c>
      <c r="K570" s="25">
        <v>0.1343</v>
      </c>
      <c r="L570" s="2">
        <v>10</v>
      </c>
      <c r="M570" s="2">
        <v>195</v>
      </c>
      <c r="N570" s="2">
        <v>205</v>
      </c>
      <c r="O570" t="s">
        <v>29</v>
      </c>
      <c r="P570" t="s">
        <v>59</v>
      </c>
      <c r="Q570" t="s">
        <v>41</v>
      </c>
      <c r="R570" t="s">
        <v>50</v>
      </c>
      <c r="S570" t="s">
        <v>44</v>
      </c>
      <c r="T570" t="s">
        <v>49</v>
      </c>
      <c r="U570" t="s">
        <v>35</v>
      </c>
      <c r="V570" t="s">
        <v>36</v>
      </c>
      <c r="W570" t="s">
        <v>37</v>
      </c>
      <c r="X570" s="24">
        <v>4.8780487804878048</v>
      </c>
      <c r="Y570" s="24">
        <v>95.121951219512198</v>
      </c>
      <c r="Z570" t="s">
        <v>40</v>
      </c>
      <c r="AA570" t="s">
        <v>49</v>
      </c>
      <c r="AB570" t="s">
        <v>38</v>
      </c>
      <c r="AC570" s="24">
        <v>1.2699999999999991E-2</v>
      </c>
    </row>
    <row r="571" spans="1:29" x14ac:dyDescent="0.3">
      <c r="A571" s="2">
        <v>815</v>
      </c>
      <c r="B571" s="1">
        <v>40580</v>
      </c>
      <c r="C571" s="2">
        <v>1</v>
      </c>
      <c r="D571" s="2">
        <v>9</v>
      </c>
      <c r="E571" t="b">
        <v>0</v>
      </c>
      <c r="F571" s="2">
        <v>0</v>
      </c>
      <c r="G571" s="2">
        <v>1</v>
      </c>
      <c r="H571" s="23">
        <v>0.28000000000000003</v>
      </c>
      <c r="I571" s="25">
        <v>0.28789999999999999</v>
      </c>
      <c r="J571" s="23">
        <v>0.56000000000000005</v>
      </c>
      <c r="K571" s="25">
        <v>0.1045</v>
      </c>
      <c r="L571" s="2">
        <v>7</v>
      </c>
      <c r="M571" s="2">
        <v>38</v>
      </c>
      <c r="N571" s="2">
        <v>45</v>
      </c>
      <c r="O571" t="s">
        <v>29</v>
      </c>
      <c r="P571" t="s">
        <v>52</v>
      </c>
      <c r="Q571" t="s">
        <v>31</v>
      </c>
      <c r="R571" t="s">
        <v>42</v>
      </c>
      <c r="S571" t="s">
        <v>44</v>
      </c>
      <c r="T571" t="s">
        <v>49</v>
      </c>
      <c r="U571" t="s">
        <v>35</v>
      </c>
      <c r="V571" t="s">
        <v>36</v>
      </c>
      <c r="W571" t="s">
        <v>37</v>
      </c>
      <c r="X571" s="24">
        <v>15.555555555555561</v>
      </c>
      <c r="Y571" s="24">
        <v>84.444444444444443</v>
      </c>
      <c r="Z571" t="s">
        <v>40</v>
      </c>
      <c r="AA571" t="s">
        <v>39</v>
      </c>
      <c r="AB571" t="s">
        <v>40</v>
      </c>
      <c r="AC571" s="24">
        <v>7.8999999999999626E-3</v>
      </c>
    </row>
    <row r="572" spans="1:29" x14ac:dyDescent="0.3">
      <c r="A572" s="2">
        <v>824</v>
      </c>
      <c r="B572" s="1">
        <v>40580</v>
      </c>
      <c r="C572" s="2">
        <v>1</v>
      </c>
      <c r="D572" s="2">
        <v>18</v>
      </c>
      <c r="E572" t="b">
        <v>0</v>
      </c>
      <c r="F572" s="2">
        <v>0</v>
      </c>
      <c r="G572" s="2">
        <v>1</v>
      </c>
      <c r="H572" s="23">
        <v>0.3</v>
      </c>
      <c r="I572" s="25">
        <v>0.30299999999999999</v>
      </c>
      <c r="J572" s="23">
        <v>0.56000000000000005</v>
      </c>
      <c r="K572" s="25">
        <v>0.16420000000000001</v>
      </c>
      <c r="L572" s="2">
        <v>13</v>
      </c>
      <c r="M572" s="2">
        <v>65</v>
      </c>
      <c r="N572" s="2">
        <v>78</v>
      </c>
      <c r="O572" t="s">
        <v>29</v>
      </c>
      <c r="P572" t="s">
        <v>52</v>
      </c>
      <c r="Q572" t="s">
        <v>31</v>
      </c>
      <c r="R572" t="s">
        <v>50</v>
      </c>
      <c r="S572" t="s">
        <v>44</v>
      </c>
      <c r="T572" t="s">
        <v>49</v>
      </c>
      <c r="U572" t="s">
        <v>46</v>
      </c>
      <c r="V572" t="s">
        <v>36</v>
      </c>
      <c r="W572" t="s">
        <v>37</v>
      </c>
      <c r="X572" s="24">
        <v>16.666666666666661</v>
      </c>
      <c r="Y572" s="24">
        <v>83.333333333333343</v>
      </c>
      <c r="Z572" t="s">
        <v>40</v>
      </c>
      <c r="AA572" t="s">
        <v>39</v>
      </c>
      <c r="AB572" t="s">
        <v>40</v>
      </c>
      <c r="AC572" s="24">
        <v>3.0000000000000031E-3</v>
      </c>
    </row>
    <row r="573" spans="1:29" x14ac:dyDescent="0.3">
      <c r="A573" s="2">
        <v>862</v>
      </c>
      <c r="B573" s="1">
        <v>40582</v>
      </c>
      <c r="C573" s="2">
        <v>1</v>
      </c>
      <c r="D573" s="2">
        <v>8</v>
      </c>
      <c r="E573" t="b">
        <v>0</v>
      </c>
      <c r="F573" s="2">
        <v>2</v>
      </c>
      <c r="G573" s="2">
        <v>1</v>
      </c>
      <c r="H573" s="23">
        <v>0.24</v>
      </c>
      <c r="I573" s="25">
        <v>0.19700000000000001</v>
      </c>
      <c r="J573" s="23">
        <v>0.56000000000000005</v>
      </c>
      <c r="K573" s="25">
        <v>0.49249999999999999</v>
      </c>
      <c r="L573" s="2">
        <v>7</v>
      </c>
      <c r="M573" s="2">
        <v>236</v>
      </c>
      <c r="N573" s="2">
        <v>243</v>
      </c>
      <c r="O573" t="s">
        <v>29</v>
      </c>
      <c r="P573" t="s">
        <v>56</v>
      </c>
      <c r="Q573" t="s">
        <v>31</v>
      </c>
      <c r="R573" t="s">
        <v>42</v>
      </c>
      <c r="S573" t="s">
        <v>33</v>
      </c>
      <c r="T573" t="s">
        <v>49</v>
      </c>
      <c r="U573" t="s">
        <v>53</v>
      </c>
      <c r="V573" t="s">
        <v>36</v>
      </c>
      <c r="W573" t="s">
        <v>37</v>
      </c>
      <c r="X573" s="24">
        <v>2.880658436213992</v>
      </c>
      <c r="Y573" s="24">
        <v>97.119341563786008</v>
      </c>
      <c r="Z573" t="s">
        <v>40</v>
      </c>
      <c r="AA573" t="s">
        <v>49</v>
      </c>
      <c r="AB573" t="s">
        <v>38</v>
      </c>
      <c r="AC573" s="24">
        <v>-4.2999999999999983E-2</v>
      </c>
    </row>
    <row r="574" spans="1:29" x14ac:dyDescent="0.3">
      <c r="A574" s="2">
        <v>41</v>
      </c>
      <c r="B574" s="1">
        <v>40545</v>
      </c>
      <c r="C574" s="2">
        <v>1</v>
      </c>
      <c r="D574" s="2">
        <v>17</v>
      </c>
      <c r="E574" t="b">
        <v>0</v>
      </c>
      <c r="F574" s="2">
        <v>0</v>
      </c>
      <c r="G574" s="2">
        <v>1</v>
      </c>
      <c r="H574" s="23">
        <v>0.34</v>
      </c>
      <c r="I574" s="25">
        <v>0.33329999999999999</v>
      </c>
      <c r="J574" s="23">
        <v>0.56999999999999995</v>
      </c>
      <c r="K574" s="25">
        <v>0.19400000000000001</v>
      </c>
      <c r="L574" s="2">
        <v>7</v>
      </c>
      <c r="M574" s="2">
        <v>58</v>
      </c>
      <c r="N574" s="2">
        <v>65</v>
      </c>
      <c r="O574" t="s">
        <v>29</v>
      </c>
      <c r="P574" t="s">
        <v>52</v>
      </c>
      <c r="Q574" t="s">
        <v>31</v>
      </c>
      <c r="R574" t="s">
        <v>50</v>
      </c>
      <c r="S574" t="s">
        <v>44</v>
      </c>
      <c r="T574" t="s">
        <v>49</v>
      </c>
      <c r="U574" t="s">
        <v>46</v>
      </c>
      <c r="V574" t="s">
        <v>36</v>
      </c>
      <c r="W574" t="s">
        <v>37</v>
      </c>
      <c r="X574" s="24">
        <v>10.76923076923077</v>
      </c>
      <c r="Y574" s="24">
        <v>89.230769230769241</v>
      </c>
      <c r="Z574" t="s">
        <v>40</v>
      </c>
      <c r="AA574" t="s">
        <v>39</v>
      </c>
      <c r="AB574" t="s">
        <v>40</v>
      </c>
      <c r="AC574" s="24">
        <v>-6.7000000000000393E-3</v>
      </c>
    </row>
    <row r="575" spans="1:29" x14ac:dyDescent="0.3">
      <c r="A575" s="2">
        <v>425</v>
      </c>
      <c r="B575" s="1">
        <v>40562</v>
      </c>
      <c r="C575" s="2">
        <v>1</v>
      </c>
      <c r="D575" s="2">
        <v>17</v>
      </c>
      <c r="E575" t="b">
        <v>0</v>
      </c>
      <c r="F575" s="2">
        <v>3</v>
      </c>
      <c r="G575" s="2">
        <v>1</v>
      </c>
      <c r="H575" s="23">
        <v>0.36</v>
      </c>
      <c r="I575" s="25">
        <v>0.33329999999999999</v>
      </c>
      <c r="J575" s="23">
        <v>0.56999999999999995</v>
      </c>
      <c r="K575" s="25">
        <v>0.32840000000000003</v>
      </c>
      <c r="L575" s="2">
        <v>7</v>
      </c>
      <c r="M575" s="2">
        <v>190</v>
      </c>
      <c r="N575" s="2">
        <v>197</v>
      </c>
      <c r="O575" t="s">
        <v>29</v>
      </c>
      <c r="P575" t="s">
        <v>57</v>
      </c>
      <c r="Q575" t="s">
        <v>31</v>
      </c>
      <c r="R575" t="s">
        <v>50</v>
      </c>
      <c r="S575" t="s">
        <v>45</v>
      </c>
      <c r="T575" t="s">
        <v>49</v>
      </c>
      <c r="U575" t="s">
        <v>53</v>
      </c>
      <c r="V575" t="s">
        <v>36</v>
      </c>
      <c r="W575" t="s">
        <v>37</v>
      </c>
      <c r="X575" s="24">
        <v>3.5532994923857868</v>
      </c>
      <c r="Y575" s="24">
        <v>96.44670050761421</v>
      </c>
      <c r="Z575" t="s">
        <v>40</v>
      </c>
      <c r="AA575" t="s">
        <v>49</v>
      </c>
      <c r="AB575" t="s">
        <v>38</v>
      </c>
      <c r="AC575" s="24">
        <v>-2.6700000000000002E-2</v>
      </c>
    </row>
    <row r="576" spans="1:29" x14ac:dyDescent="0.3">
      <c r="A576" s="2">
        <v>575</v>
      </c>
      <c r="B576" s="1">
        <v>40569</v>
      </c>
      <c r="C576" s="2">
        <v>1</v>
      </c>
      <c r="D576" s="2">
        <v>5</v>
      </c>
      <c r="E576" t="b">
        <v>0</v>
      </c>
      <c r="F576" s="2">
        <v>3</v>
      </c>
      <c r="G576" s="2">
        <v>3</v>
      </c>
      <c r="H576" s="23">
        <v>0.2</v>
      </c>
      <c r="I576" s="25">
        <v>0.18179999999999999</v>
      </c>
      <c r="J576" s="23">
        <v>0.86</v>
      </c>
      <c r="K576" s="25">
        <v>0.28360000000000002</v>
      </c>
      <c r="L576" s="2">
        <v>0</v>
      </c>
      <c r="M576" s="2">
        <v>1</v>
      </c>
      <c r="N576" s="2">
        <v>1</v>
      </c>
      <c r="O576" t="s">
        <v>29</v>
      </c>
      <c r="P576" t="s">
        <v>57</v>
      </c>
      <c r="Q576" t="s">
        <v>51</v>
      </c>
      <c r="R576" t="s">
        <v>32</v>
      </c>
      <c r="S576" t="s">
        <v>33</v>
      </c>
      <c r="T576" t="s">
        <v>34</v>
      </c>
      <c r="U576" t="s">
        <v>46</v>
      </c>
      <c r="V576" t="s">
        <v>36</v>
      </c>
      <c r="W576" t="s">
        <v>37</v>
      </c>
      <c r="X576" s="24">
        <v>0</v>
      </c>
      <c r="Y576" s="24">
        <v>100</v>
      </c>
      <c r="Z576" t="s">
        <v>38</v>
      </c>
      <c r="AA576" t="s">
        <v>39</v>
      </c>
      <c r="AB576" t="s">
        <v>38</v>
      </c>
      <c r="AC576" s="24">
        <v>-1.8200000000000022E-2</v>
      </c>
    </row>
    <row r="577" spans="1:29" x14ac:dyDescent="0.3">
      <c r="A577" s="2">
        <v>576</v>
      </c>
      <c r="B577" s="1">
        <v>40569</v>
      </c>
      <c r="C577" s="2">
        <v>1</v>
      </c>
      <c r="D577" s="2">
        <v>6</v>
      </c>
      <c r="E577" t="b">
        <v>0</v>
      </c>
      <c r="F577" s="2">
        <v>3</v>
      </c>
      <c r="G577" s="2">
        <v>3</v>
      </c>
      <c r="H577" s="23">
        <v>0.2</v>
      </c>
      <c r="I577" s="25">
        <v>0.18179999999999999</v>
      </c>
      <c r="J577" s="23">
        <v>0.86</v>
      </c>
      <c r="K577" s="25">
        <v>0.28360000000000002</v>
      </c>
      <c r="L577" s="2">
        <v>0</v>
      </c>
      <c r="M577" s="2">
        <v>8</v>
      </c>
      <c r="N577" s="2">
        <v>8</v>
      </c>
      <c r="O577" t="s">
        <v>29</v>
      </c>
      <c r="P577" t="s">
        <v>57</v>
      </c>
      <c r="Q577" t="s">
        <v>51</v>
      </c>
      <c r="R577" t="s">
        <v>42</v>
      </c>
      <c r="S577" t="s">
        <v>33</v>
      </c>
      <c r="T577" t="s">
        <v>34</v>
      </c>
      <c r="U577" t="s">
        <v>46</v>
      </c>
      <c r="V577" t="s">
        <v>36</v>
      </c>
      <c r="W577" t="s">
        <v>37</v>
      </c>
      <c r="X577" s="24">
        <v>0</v>
      </c>
      <c r="Y577" s="24">
        <v>100</v>
      </c>
      <c r="Z577" t="s">
        <v>38</v>
      </c>
      <c r="AA577" t="s">
        <v>39</v>
      </c>
      <c r="AB577" t="s">
        <v>38</v>
      </c>
      <c r="AC577" s="24">
        <v>-1.8200000000000022E-2</v>
      </c>
    </row>
    <row r="578" spans="1:29" x14ac:dyDescent="0.3">
      <c r="A578" s="2">
        <v>577</v>
      </c>
      <c r="B578" s="1">
        <v>40569</v>
      </c>
      <c r="C578" s="2">
        <v>1</v>
      </c>
      <c r="D578" s="2">
        <v>7</v>
      </c>
      <c r="E578" t="b">
        <v>0</v>
      </c>
      <c r="F578" s="2">
        <v>3</v>
      </c>
      <c r="G578" s="2">
        <v>3</v>
      </c>
      <c r="H578" s="23">
        <v>0.22</v>
      </c>
      <c r="I578" s="25">
        <v>0.21210000000000001</v>
      </c>
      <c r="J578" s="23">
        <v>0.87</v>
      </c>
      <c r="K578" s="25">
        <v>0.29849999999999999</v>
      </c>
      <c r="L578" s="2">
        <v>1</v>
      </c>
      <c r="M578" s="2">
        <v>29</v>
      </c>
      <c r="N578" s="2">
        <v>30</v>
      </c>
      <c r="O578" t="s">
        <v>29</v>
      </c>
      <c r="P578" t="s">
        <v>57</v>
      </c>
      <c r="Q578" t="s">
        <v>51</v>
      </c>
      <c r="R578" t="s">
        <v>42</v>
      </c>
      <c r="S578" t="s">
        <v>33</v>
      </c>
      <c r="T578" t="s">
        <v>34</v>
      </c>
      <c r="U578" t="s">
        <v>46</v>
      </c>
      <c r="V578" t="s">
        <v>36</v>
      </c>
      <c r="W578" t="s">
        <v>37</v>
      </c>
      <c r="X578" s="24">
        <v>3.333333333333333</v>
      </c>
      <c r="Y578" s="24">
        <v>96.666666666666671</v>
      </c>
      <c r="Z578" t="s">
        <v>40</v>
      </c>
      <c r="AA578" t="s">
        <v>39</v>
      </c>
      <c r="AB578" t="s">
        <v>38</v>
      </c>
      <c r="AC578" s="24">
        <v>-7.8999999999999904E-3</v>
      </c>
    </row>
    <row r="579" spans="1:29" x14ac:dyDescent="0.3">
      <c r="A579" s="2">
        <v>578</v>
      </c>
      <c r="B579" s="1">
        <v>40569</v>
      </c>
      <c r="C579" s="2">
        <v>1</v>
      </c>
      <c r="D579" s="2">
        <v>8</v>
      </c>
      <c r="E579" t="b">
        <v>0</v>
      </c>
      <c r="F579" s="2">
        <v>3</v>
      </c>
      <c r="G579" s="2">
        <v>3</v>
      </c>
      <c r="H579" s="23">
        <v>0.22</v>
      </c>
      <c r="I579" s="25">
        <v>0.21210000000000001</v>
      </c>
      <c r="J579" s="23">
        <v>0.87</v>
      </c>
      <c r="K579" s="25">
        <v>0.29849999999999999</v>
      </c>
      <c r="L579" s="2">
        <v>3</v>
      </c>
      <c r="M579" s="2">
        <v>69</v>
      </c>
      <c r="N579" s="2">
        <v>72</v>
      </c>
      <c r="O579" t="s">
        <v>29</v>
      </c>
      <c r="P579" t="s">
        <v>57</v>
      </c>
      <c r="Q579" t="s">
        <v>51</v>
      </c>
      <c r="R579" t="s">
        <v>42</v>
      </c>
      <c r="S579" t="s">
        <v>33</v>
      </c>
      <c r="T579" t="s">
        <v>34</v>
      </c>
      <c r="U579" t="s">
        <v>46</v>
      </c>
      <c r="V579" t="s">
        <v>36</v>
      </c>
      <c r="W579" t="s">
        <v>37</v>
      </c>
      <c r="X579" s="24">
        <v>4.1666666666666661</v>
      </c>
      <c r="Y579" s="24">
        <v>95.833333333333343</v>
      </c>
      <c r="Z579" t="s">
        <v>40</v>
      </c>
      <c r="AA579" t="s">
        <v>39</v>
      </c>
      <c r="AB579" t="s">
        <v>38</v>
      </c>
      <c r="AC579" s="24">
        <v>-7.8999999999999904E-3</v>
      </c>
    </row>
    <row r="580" spans="1:29" x14ac:dyDescent="0.3">
      <c r="A580" s="2">
        <v>579</v>
      </c>
      <c r="B580" s="1">
        <v>40569</v>
      </c>
      <c r="C580" s="2">
        <v>1</v>
      </c>
      <c r="D580" s="2">
        <v>9</v>
      </c>
      <c r="E580" t="b">
        <v>0</v>
      </c>
      <c r="F580" s="2">
        <v>3</v>
      </c>
      <c r="G580" s="2">
        <v>3</v>
      </c>
      <c r="H580" s="23">
        <v>0.22</v>
      </c>
      <c r="I580" s="25">
        <v>0.21210000000000001</v>
      </c>
      <c r="J580" s="23">
        <v>0.87</v>
      </c>
      <c r="K580" s="25">
        <v>0.29849999999999999</v>
      </c>
      <c r="L580" s="2">
        <v>3</v>
      </c>
      <c r="M580" s="2">
        <v>55</v>
      </c>
      <c r="N580" s="2">
        <v>58</v>
      </c>
      <c r="O580" t="s">
        <v>29</v>
      </c>
      <c r="P580" t="s">
        <v>57</v>
      </c>
      <c r="Q580" t="s">
        <v>51</v>
      </c>
      <c r="R580" t="s">
        <v>42</v>
      </c>
      <c r="S580" t="s">
        <v>33</v>
      </c>
      <c r="T580" t="s">
        <v>34</v>
      </c>
      <c r="U580" t="s">
        <v>46</v>
      </c>
      <c r="V580" t="s">
        <v>36</v>
      </c>
      <c r="W580" t="s">
        <v>37</v>
      </c>
      <c r="X580" s="24">
        <v>5.1724137931034484</v>
      </c>
      <c r="Y580" s="24">
        <v>94.827586206896555</v>
      </c>
      <c r="Z580" t="s">
        <v>40</v>
      </c>
      <c r="AA580" t="s">
        <v>39</v>
      </c>
      <c r="AB580" t="s">
        <v>38</v>
      </c>
      <c r="AC580" s="24">
        <v>-7.8999999999999904E-3</v>
      </c>
    </row>
    <row r="581" spans="1:29" x14ac:dyDescent="0.3">
      <c r="A581" s="2">
        <v>580</v>
      </c>
      <c r="B581" s="1">
        <v>40569</v>
      </c>
      <c r="C581" s="2">
        <v>1</v>
      </c>
      <c r="D581" s="2">
        <v>10</v>
      </c>
      <c r="E581" t="b">
        <v>0</v>
      </c>
      <c r="F581" s="2">
        <v>3</v>
      </c>
      <c r="G581" s="2">
        <v>3</v>
      </c>
      <c r="H581" s="23">
        <v>0.22</v>
      </c>
      <c r="I581" s="25">
        <v>0.21210000000000001</v>
      </c>
      <c r="J581" s="23">
        <v>0.93</v>
      </c>
      <c r="K581" s="25">
        <v>0.28360000000000002</v>
      </c>
      <c r="L581" s="2">
        <v>2</v>
      </c>
      <c r="M581" s="2">
        <v>26</v>
      </c>
      <c r="N581" s="2">
        <v>28</v>
      </c>
      <c r="O581" t="s">
        <v>29</v>
      </c>
      <c r="P581" t="s">
        <v>57</v>
      </c>
      <c r="Q581" t="s">
        <v>51</v>
      </c>
      <c r="R581" t="s">
        <v>42</v>
      </c>
      <c r="S581" t="s">
        <v>33</v>
      </c>
      <c r="T581" t="s">
        <v>34</v>
      </c>
      <c r="U581" t="s">
        <v>46</v>
      </c>
      <c r="V581" t="s">
        <v>36</v>
      </c>
      <c r="W581" t="s">
        <v>37</v>
      </c>
      <c r="X581" s="24">
        <v>7.1428571428571423</v>
      </c>
      <c r="Y581" s="24">
        <v>92.857142857142861</v>
      </c>
      <c r="Z581" t="s">
        <v>38</v>
      </c>
      <c r="AA581" t="s">
        <v>39</v>
      </c>
      <c r="AB581" t="s">
        <v>38</v>
      </c>
      <c r="AC581" s="24">
        <v>-7.8999999999999904E-3</v>
      </c>
    </row>
    <row r="582" spans="1:29" x14ac:dyDescent="0.3">
      <c r="A582" s="2">
        <v>581</v>
      </c>
      <c r="B582" s="1">
        <v>40569</v>
      </c>
      <c r="C582" s="2">
        <v>1</v>
      </c>
      <c r="D582" s="2">
        <v>11</v>
      </c>
      <c r="E582" t="b">
        <v>0</v>
      </c>
      <c r="F582" s="2">
        <v>3</v>
      </c>
      <c r="G582" s="2">
        <v>3</v>
      </c>
      <c r="H582" s="23">
        <v>0.22</v>
      </c>
      <c r="I582" s="25">
        <v>0.19700000000000001</v>
      </c>
      <c r="J582" s="23">
        <v>0.93</v>
      </c>
      <c r="K582" s="25">
        <v>0.32840000000000003</v>
      </c>
      <c r="L582" s="2">
        <v>6</v>
      </c>
      <c r="M582" s="2">
        <v>35</v>
      </c>
      <c r="N582" s="2">
        <v>41</v>
      </c>
      <c r="O582" t="s">
        <v>29</v>
      </c>
      <c r="P582" t="s">
        <v>57</v>
      </c>
      <c r="Q582" t="s">
        <v>51</v>
      </c>
      <c r="R582" t="s">
        <v>42</v>
      </c>
      <c r="S582" t="s">
        <v>33</v>
      </c>
      <c r="T582" t="s">
        <v>34</v>
      </c>
      <c r="U582" t="s">
        <v>53</v>
      </c>
      <c r="V582" t="s">
        <v>36</v>
      </c>
      <c r="W582" t="s">
        <v>37</v>
      </c>
      <c r="X582" s="24">
        <v>14.63414634146341</v>
      </c>
      <c r="Y582" s="24">
        <v>85.365853658536579</v>
      </c>
      <c r="Z582" t="s">
        <v>38</v>
      </c>
      <c r="AA582" t="s">
        <v>39</v>
      </c>
      <c r="AB582" t="s">
        <v>38</v>
      </c>
      <c r="AC582" s="24">
        <v>-2.2999999999999989E-2</v>
      </c>
    </row>
    <row r="583" spans="1:29" x14ac:dyDescent="0.3">
      <c r="A583" s="2">
        <v>582</v>
      </c>
      <c r="B583" s="1">
        <v>40569</v>
      </c>
      <c r="C583" s="2">
        <v>1</v>
      </c>
      <c r="D583" s="2">
        <v>12</v>
      </c>
      <c r="E583" t="b">
        <v>0</v>
      </c>
      <c r="F583" s="2">
        <v>3</v>
      </c>
      <c r="G583" s="2">
        <v>3</v>
      </c>
      <c r="H583" s="23">
        <v>0.22</v>
      </c>
      <c r="I583" s="25">
        <v>0.19700000000000001</v>
      </c>
      <c r="J583" s="23">
        <v>0.93</v>
      </c>
      <c r="K583" s="25">
        <v>0.32840000000000003</v>
      </c>
      <c r="L583" s="2">
        <v>7</v>
      </c>
      <c r="M583" s="2">
        <v>41</v>
      </c>
      <c r="N583" s="2">
        <v>48</v>
      </c>
      <c r="O583" t="s">
        <v>29</v>
      </c>
      <c r="P583" t="s">
        <v>57</v>
      </c>
      <c r="Q583" t="s">
        <v>51</v>
      </c>
      <c r="R583" t="s">
        <v>47</v>
      </c>
      <c r="S583" t="s">
        <v>33</v>
      </c>
      <c r="T583" t="s">
        <v>34</v>
      </c>
      <c r="U583" t="s">
        <v>53</v>
      </c>
      <c r="V583" t="s">
        <v>36</v>
      </c>
      <c r="W583" t="s">
        <v>37</v>
      </c>
      <c r="X583" s="24">
        <v>14.58333333333333</v>
      </c>
      <c r="Y583" s="24">
        <v>85.416666666666657</v>
      </c>
      <c r="Z583" t="s">
        <v>38</v>
      </c>
      <c r="AA583" t="s">
        <v>39</v>
      </c>
      <c r="AB583" t="s">
        <v>38</v>
      </c>
      <c r="AC583" s="24">
        <v>-2.2999999999999989E-2</v>
      </c>
    </row>
    <row r="584" spans="1:29" x14ac:dyDescent="0.3">
      <c r="A584" s="2">
        <v>583</v>
      </c>
      <c r="B584" s="1">
        <v>40569</v>
      </c>
      <c r="C584" s="2">
        <v>1</v>
      </c>
      <c r="D584" s="2">
        <v>13</v>
      </c>
      <c r="E584" t="b">
        <v>0</v>
      </c>
      <c r="F584" s="2">
        <v>3</v>
      </c>
      <c r="G584" s="2">
        <v>3</v>
      </c>
      <c r="H584" s="23">
        <v>0.22</v>
      </c>
      <c r="I584" s="25">
        <v>0.19700000000000001</v>
      </c>
      <c r="J584" s="23">
        <v>0.93</v>
      </c>
      <c r="K584" s="25">
        <v>0.32840000000000003</v>
      </c>
      <c r="L584" s="2">
        <v>4</v>
      </c>
      <c r="M584" s="2">
        <v>43</v>
      </c>
      <c r="N584" s="2">
        <v>47</v>
      </c>
      <c r="O584" t="s">
        <v>29</v>
      </c>
      <c r="P584" t="s">
        <v>57</v>
      </c>
      <c r="Q584" t="s">
        <v>51</v>
      </c>
      <c r="R584" t="s">
        <v>47</v>
      </c>
      <c r="S584" t="s">
        <v>33</v>
      </c>
      <c r="T584" t="s">
        <v>34</v>
      </c>
      <c r="U584" t="s">
        <v>53</v>
      </c>
      <c r="V584" t="s">
        <v>36</v>
      </c>
      <c r="W584" t="s">
        <v>37</v>
      </c>
      <c r="X584" s="24">
        <v>8.5106382978723403</v>
      </c>
      <c r="Y584" s="24">
        <v>91.489361702127653</v>
      </c>
      <c r="Z584" t="s">
        <v>38</v>
      </c>
      <c r="AA584" t="s">
        <v>39</v>
      </c>
      <c r="AB584" t="s">
        <v>38</v>
      </c>
      <c r="AC584" s="24">
        <v>-2.2999999999999989E-2</v>
      </c>
    </row>
    <row r="585" spans="1:29" x14ac:dyDescent="0.3">
      <c r="A585" s="2">
        <v>584</v>
      </c>
      <c r="B585" s="1">
        <v>40569</v>
      </c>
      <c r="C585" s="2">
        <v>1</v>
      </c>
      <c r="D585" s="2">
        <v>14</v>
      </c>
      <c r="E585" t="b">
        <v>0</v>
      </c>
      <c r="F585" s="2">
        <v>3</v>
      </c>
      <c r="G585" s="2">
        <v>3</v>
      </c>
      <c r="H585" s="23">
        <v>0.22</v>
      </c>
      <c r="I585" s="25">
        <v>0.19700000000000001</v>
      </c>
      <c r="J585" s="23">
        <v>0.93</v>
      </c>
      <c r="K585" s="25">
        <v>0.35820000000000002</v>
      </c>
      <c r="L585" s="2">
        <v>0</v>
      </c>
      <c r="M585" s="2">
        <v>36</v>
      </c>
      <c r="N585" s="2">
        <v>36</v>
      </c>
      <c r="O585" t="s">
        <v>29</v>
      </c>
      <c r="P585" t="s">
        <v>57</v>
      </c>
      <c r="Q585" t="s">
        <v>51</v>
      </c>
      <c r="R585" t="s">
        <v>47</v>
      </c>
      <c r="S585" t="s">
        <v>33</v>
      </c>
      <c r="T585" t="s">
        <v>34</v>
      </c>
      <c r="U585" t="s">
        <v>53</v>
      </c>
      <c r="V585" t="s">
        <v>36</v>
      </c>
      <c r="W585" t="s">
        <v>37</v>
      </c>
      <c r="X585" s="24">
        <v>0</v>
      </c>
      <c r="Y585" s="24">
        <v>100</v>
      </c>
      <c r="Z585" t="s">
        <v>38</v>
      </c>
      <c r="AA585" t="s">
        <v>39</v>
      </c>
      <c r="AB585" t="s">
        <v>38</v>
      </c>
      <c r="AC585" s="24">
        <v>-2.2999999999999989E-2</v>
      </c>
    </row>
    <row r="586" spans="1:29" x14ac:dyDescent="0.3">
      <c r="A586" s="2">
        <v>585</v>
      </c>
      <c r="B586" s="1">
        <v>40569</v>
      </c>
      <c r="C586" s="2">
        <v>1</v>
      </c>
      <c r="D586" s="2">
        <v>15</v>
      </c>
      <c r="E586" t="b">
        <v>0</v>
      </c>
      <c r="F586" s="2">
        <v>3</v>
      </c>
      <c r="G586" s="2">
        <v>3</v>
      </c>
      <c r="H586" s="23">
        <v>0.22</v>
      </c>
      <c r="I586" s="25">
        <v>0.18179999999999999</v>
      </c>
      <c r="J586" s="23">
        <v>0.93</v>
      </c>
      <c r="K586" s="25">
        <v>0.4627</v>
      </c>
      <c r="L586" s="2">
        <v>1</v>
      </c>
      <c r="M586" s="2">
        <v>42</v>
      </c>
      <c r="N586" s="2">
        <v>43</v>
      </c>
      <c r="O586" t="s">
        <v>29</v>
      </c>
      <c r="P586" t="s">
        <v>57</v>
      </c>
      <c r="Q586" t="s">
        <v>51</v>
      </c>
      <c r="R586" t="s">
        <v>47</v>
      </c>
      <c r="S586" t="s">
        <v>33</v>
      </c>
      <c r="T586" t="s">
        <v>34</v>
      </c>
      <c r="U586" t="s">
        <v>53</v>
      </c>
      <c r="V586" t="s">
        <v>36</v>
      </c>
      <c r="W586" t="s">
        <v>37</v>
      </c>
      <c r="X586" s="24">
        <v>2.3255813953488369</v>
      </c>
      <c r="Y586" s="24">
        <v>97.674418604651152</v>
      </c>
      <c r="Z586" t="s">
        <v>38</v>
      </c>
      <c r="AA586" t="s">
        <v>39</v>
      </c>
      <c r="AB586" t="s">
        <v>38</v>
      </c>
      <c r="AC586" s="24">
        <v>-3.8200000000000012E-2</v>
      </c>
    </row>
    <row r="587" spans="1:29" x14ac:dyDescent="0.3">
      <c r="A587" s="2">
        <v>586</v>
      </c>
      <c r="B587" s="1">
        <v>40569</v>
      </c>
      <c r="C587" s="2">
        <v>1</v>
      </c>
      <c r="D587" s="2">
        <v>16</v>
      </c>
      <c r="E587" t="b">
        <v>0</v>
      </c>
      <c r="F587" s="2">
        <v>3</v>
      </c>
      <c r="G587" s="2">
        <v>4</v>
      </c>
      <c r="H587" s="23">
        <v>0.22</v>
      </c>
      <c r="I587" s="25">
        <v>0.19700000000000001</v>
      </c>
      <c r="J587" s="23">
        <v>0.93</v>
      </c>
      <c r="K587" s="25">
        <v>0.32840000000000003</v>
      </c>
      <c r="L587" s="2">
        <v>1</v>
      </c>
      <c r="M587" s="2">
        <v>35</v>
      </c>
      <c r="N587" s="2">
        <v>36</v>
      </c>
      <c r="O587" t="s">
        <v>29</v>
      </c>
      <c r="P587" t="s">
        <v>57</v>
      </c>
      <c r="Q587" t="s">
        <v>61</v>
      </c>
      <c r="R587" t="s">
        <v>47</v>
      </c>
      <c r="S587" t="s">
        <v>33</v>
      </c>
      <c r="T587" t="s">
        <v>34</v>
      </c>
      <c r="U587" t="s">
        <v>53</v>
      </c>
      <c r="V587" t="s">
        <v>36</v>
      </c>
      <c r="W587" t="s">
        <v>37</v>
      </c>
      <c r="X587" s="24">
        <v>2.7777777777777781</v>
      </c>
      <c r="Y587" s="24">
        <v>97.222222222222214</v>
      </c>
      <c r="Z587" t="s">
        <v>38</v>
      </c>
      <c r="AA587" t="s">
        <v>39</v>
      </c>
      <c r="AB587" t="s">
        <v>38</v>
      </c>
      <c r="AC587" s="24">
        <v>-2.2999999999999989E-2</v>
      </c>
    </row>
    <row r="588" spans="1:29" x14ac:dyDescent="0.3">
      <c r="A588" s="2">
        <v>587</v>
      </c>
      <c r="B588" s="1">
        <v>40569</v>
      </c>
      <c r="C588" s="2">
        <v>1</v>
      </c>
      <c r="D588" s="2">
        <v>17</v>
      </c>
      <c r="E588" t="b">
        <v>0</v>
      </c>
      <c r="F588" s="2">
        <v>3</v>
      </c>
      <c r="G588" s="2">
        <v>3</v>
      </c>
      <c r="H588" s="23">
        <v>0.2</v>
      </c>
      <c r="I588" s="25">
        <v>0.18179999999999999</v>
      </c>
      <c r="J588" s="23">
        <v>0.93</v>
      </c>
      <c r="K588" s="25">
        <v>0.35820000000000002</v>
      </c>
      <c r="L588" s="2">
        <v>0</v>
      </c>
      <c r="M588" s="2">
        <v>26</v>
      </c>
      <c r="N588" s="2">
        <v>26</v>
      </c>
      <c r="O588" t="s">
        <v>29</v>
      </c>
      <c r="P588" t="s">
        <v>57</v>
      </c>
      <c r="Q588" t="s">
        <v>51</v>
      </c>
      <c r="R588" t="s">
        <v>50</v>
      </c>
      <c r="S588" t="s">
        <v>33</v>
      </c>
      <c r="T588" t="s">
        <v>34</v>
      </c>
      <c r="U588" t="s">
        <v>53</v>
      </c>
      <c r="V588" t="s">
        <v>36</v>
      </c>
      <c r="W588" t="s">
        <v>37</v>
      </c>
      <c r="X588" s="24">
        <v>0</v>
      </c>
      <c r="Y588" s="24">
        <v>100</v>
      </c>
      <c r="Z588" t="s">
        <v>40</v>
      </c>
      <c r="AA588" t="s">
        <v>39</v>
      </c>
      <c r="AB588" t="s">
        <v>38</v>
      </c>
      <c r="AC588" s="24">
        <v>-1.8200000000000022E-2</v>
      </c>
    </row>
    <row r="589" spans="1:29" x14ac:dyDescent="0.3">
      <c r="A589" s="2">
        <v>427</v>
      </c>
      <c r="B589" s="1">
        <v>40562</v>
      </c>
      <c r="C589" s="2">
        <v>1</v>
      </c>
      <c r="D589" s="2">
        <v>19</v>
      </c>
      <c r="E589" t="b">
        <v>0</v>
      </c>
      <c r="F589" s="2">
        <v>3</v>
      </c>
      <c r="G589" s="2">
        <v>1</v>
      </c>
      <c r="H589" s="23">
        <v>0.32</v>
      </c>
      <c r="I589" s="25">
        <v>0.28789999999999999</v>
      </c>
      <c r="J589" s="23">
        <v>0.56999999999999995</v>
      </c>
      <c r="K589" s="25">
        <v>0.41789999999999999</v>
      </c>
      <c r="L589" s="2">
        <v>4</v>
      </c>
      <c r="M589" s="2">
        <v>108</v>
      </c>
      <c r="N589" s="2">
        <v>112</v>
      </c>
      <c r="O589" t="s">
        <v>29</v>
      </c>
      <c r="P589" t="s">
        <v>57</v>
      </c>
      <c r="Q589" t="s">
        <v>31</v>
      </c>
      <c r="R589" t="s">
        <v>50</v>
      </c>
      <c r="S589" t="s">
        <v>44</v>
      </c>
      <c r="T589" t="s">
        <v>49</v>
      </c>
      <c r="U589" t="s">
        <v>53</v>
      </c>
      <c r="V589" t="s">
        <v>36</v>
      </c>
      <c r="W589" t="s">
        <v>37</v>
      </c>
      <c r="X589" s="24">
        <v>3.5714285714285712</v>
      </c>
      <c r="Y589" s="24">
        <v>96.428571428571431</v>
      </c>
      <c r="Z589" t="s">
        <v>40</v>
      </c>
      <c r="AA589" t="s">
        <v>49</v>
      </c>
      <c r="AB589" t="s">
        <v>38</v>
      </c>
      <c r="AC589" s="24">
        <v>-3.2100000000000017E-2</v>
      </c>
    </row>
    <row r="590" spans="1:29" x14ac:dyDescent="0.3">
      <c r="A590" s="2">
        <v>502</v>
      </c>
      <c r="B590" s="1">
        <v>40565</v>
      </c>
      <c r="C590" s="2">
        <v>1</v>
      </c>
      <c r="D590" s="2">
        <v>23</v>
      </c>
      <c r="E590" t="b">
        <v>0</v>
      </c>
      <c r="F590" s="2">
        <v>6</v>
      </c>
      <c r="G590" s="2">
        <v>1</v>
      </c>
      <c r="H590" s="23">
        <v>0.04</v>
      </c>
      <c r="I590" s="25">
        <v>7.5800000000000006E-2</v>
      </c>
      <c r="J590" s="23">
        <v>0.56999999999999995</v>
      </c>
      <c r="K590" s="25">
        <v>0.1045</v>
      </c>
      <c r="L590" s="2">
        <v>2</v>
      </c>
      <c r="M590" s="2">
        <v>31</v>
      </c>
      <c r="N590" s="2">
        <v>33</v>
      </c>
      <c r="O590" t="s">
        <v>29</v>
      </c>
      <c r="P590" t="s">
        <v>30</v>
      </c>
      <c r="Q590" t="s">
        <v>31</v>
      </c>
      <c r="R590" t="s">
        <v>32</v>
      </c>
      <c r="S590" t="s">
        <v>55</v>
      </c>
      <c r="T590" t="s">
        <v>49</v>
      </c>
      <c r="U590" t="s">
        <v>35</v>
      </c>
      <c r="V590" t="s">
        <v>36</v>
      </c>
      <c r="W590" t="s">
        <v>37</v>
      </c>
      <c r="X590" s="24">
        <v>6.0606060606060614</v>
      </c>
      <c r="Y590" s="24">
        <v>93.939393939393938</v>
      </c>
      <c r="Z590" t="s">
        <v>38</v>
      </c>
      <c r="AA590" t="s">
        <v>39</v>
      </c>
      <c r="AB590" t="s">
        <v>40</v>
      </c>
      <c r="AC590" s="24">
        <v>3.5800000000000012E-2</v>
      </c>
    </row>
    <row r="591" spans="1:29" x14ac:dyDescent="0.3">
      <c r="A591" s="2">
        <v>503</v>
      </c>
      <c r="B591" s="1">
        <v>40566</v>
      </c>
      <c r="C591" s="2">
        <v>1</v>
      </c>
      <c r="D591" s="2">
        <v>0</v>
      </c>
      <c r="E591" t="b">
        <v>0</v>
      </c>
      <c r="F591" s="2">
        <v>0</v>
      </c>
      <c r="G591" s="2">
        <v>1</v>
      </c>
      <c r="H591" s="23">
        <v>0.04</v>
      </c>
      <c r="I591" s="25">
        <v>7.5800000000000006E-2</v>
      </c>
      <c r="J591" s="23">
        <v>0.56999999999999995</v>
      </c>
      <c r="K591" s="25">
        <v>0.1045</v>
      </c>
      <c r="L591" s="2">
        <v>2</v>
      </c>
      <c r="M591" s="2">
        <v>20</v>
      </c>
      <c r="N591" s="2">
        <v>22</v>
      </c>
      <c r="O591" t="s">
        <v>29</v>
      </c>
      <c r="P591" t="s">
        <v>52</v>
      </c>
      <c r="Q591" t="s">
        <v>31</v>
      </c>
      <c r="R591" t="s">
        <v>32</v>
      </c>
      <c r="S591" t="s">
        <v>55</v>
      </c>
      <c r="T591" t="s">
        <v>49</v>
      </c>
      <c r="U591" t="s">
        <v>35</v>
      </c>
      <c r="V591" t="s">
        <v>36</v>
      </c>
      <c r="W591" t="s">
        <v>37</v>
      </c>
      <c r="X591" s="24">
        <v>9.0909090909090917</v>
      </c>
      <c r="Y591" s="24">
        <v>90.909090909090907</v>
      </c>
      <c r="Z591" t="s">
        <v>38</v>
      </c>
      <c r="AA591" t="s">
        <v>39</v>
      </c>
      <c r="AB591" t="s">
        <v>40</v>
      </c>
      <c r="AC591" s="24">
        <v>3.5800000000000012E-2</v>
      </c>
    </row>
    <row r="592" spans="1:29" x14ac:dyDescent="0.3">
      <c r="A592" s="2">
        <v>504</v>
      </c>
      <c r="B592" s="1">
        <v>40566</v>
      </c>
      <c r="C592" s="2">
        <v>1</v>
      </c>
      <c r="D592" s="2">
        <v>1</v>
      </c>
      <c r="E592" t="b">
        <v>0</v>
      </c>
      <c r="F592" s="2">
        <v>0</v>
      </c>
      <c r="G592" s="2">
        <v>1</v>
      </c>
      <c r="H592" s="23">
        <v>0.04</v>
      </c>
      <c r="I592" s="25">
        <v>7.5800000000000006E-2</v>
      </c>
      <c r="J592" s="23">
        <v>0.56999999999999995</v>
      </c>
      <c r="K592" s="25">
        <v>0.1045</v>
      </c>
      <c r="L592" s="2">
        <v>1</v>
      </c>
      <c r="M592" s="2">
        <v>12</v>
      </c>
      <c r="N592" s="2">
        <v>13</v>
      </c>
      <c r="O592" t="s">
        <v>29</v>
      </c>
      <c r="P592" t="s">
        <v>52</v>
      </c>
      <c r="Q592" t="s">
        <v>31</v>
      </c>
      <c r="R592" t="s">
        <v>32</v>
      </c>
      <c r="S592" t="s">
        <v>55</v>
      </c>
      <c r="T592" t="s">
        <v>49</v>
      </c>
      <c r="U592" t="s">
        <v>35</v>
      </c>
      <c r="V592" t="s">
        <v>36</v>
      </c>
      <c r="W592" t="s">
        <v>37</v>
      </c>
      <c r="X592" s="24">
        <v>7.6923076923076934</v>
      </c>
      <c r="Y592" s="24">
        <v>92.307692307692307</v>
      </c>
      <c r="Z592" t="s">
        <v>38</v>
      </c>
      <c r="AA592" t="s">
        <v>39</v>
      </c>
      <c r="AB592" t="s">
        <v>40</v>
      </c>
      <c r="AC592" s="24">
        <v>3.5800000000000012E-2</v>
      </c>
    </row>
    <row r="593" spans="1:29" x14ac:dyDescent="0.3">
      <c r="A593" s="2">
        <v>592</v>
      </c>
      <c r="B593" s="1">
        <v>40570</v>
      </c>
      <c r="C593" s="2">
        <v>1</v>
      </c>
      <c r="D593" s="2">
        <v>20</v>
      </c>
      <c r="E593" t="b">
        <v>0</v>
      </c>
      <c r="F593" s="2">
        <v>4</v>
      </c>
      <c r="G593" s="2">
        <v>1</v>
      </c>
      <c r="H593" s="23">
        <v>0.18</v>
      </c>
      <c r="I593" s="25">
        <v>0.21210000000000001</v>
      </c>
      <c r="J593" s="23">
        <v>0.74</v>
      </c>
      <c r="K593" s="25">
        <v>8.9599999999999999E-2</v>
      </c>
      <c r="L593" s="2">
        <v>4</v>
      </c>
      <c r="M593" s="2">
        <v>55</v>
      </c>
      <c r="N593" s="2">
        <v>59</v>
      </c>
      <c r="O593" t="s">
        <v>29</v>
      </c>
      <c r="P593" t="s">
        <v>58</v>
      </c>
      <c r="Q593" t="s">
        <v>31</v>
      </c>
      <c r="R593" t="s">
        <v>50</v>
      </c>
      <c r="S593" t="s">
        <v>33</v>
      </c>
      <c r="T593" t="s">
        <v>34</v>
      </c>
      <c r="U593" t="s">
        <v>35</v>
      </c>
      <c r="V593" t="s">
        <v>36</v>
      </c>
      <c r="W593" t="s">
        <v>37</v>
      </c>
      <c r="X593" s="24">
        <v>6.7796610169491522</v>
      </c>
      <c r="Y593" s="24">
        <v>93.220338983050837</v>
      </c>
      <c r="Z593" t="s">
        <v>38</v>
      </c>
      <c r="AA593" t="s">
        <v>39</v>
      </c>
      <c r="AB593" t="s">
        <v>38</v>
      </c>
      <c r="AC593" s="24">
        <v>3.2100000000000017E-2</v>
      </c>
    </row>
    <row r="594" spans="1:29" x14ac:dyDescent="0.3">
      <c r="A594" s="2">
        <v>593</v>
      </c>
      <c r="B594" s="1">
        <v>40570</v>
      </c>
      <c r="C594" s="2">
        <v>1</v>
      </c>
      <c r="D594" s="2">
        <v>21</v>
      </c>
      <c r="E594" t="b">
        <v>0</v>
      </c>
      <c r="F594" s="2">
        <v>4</v>
      </c>
      <c r="G594" s="2">
        <v>1</v>
      </c>
      <c r="H594" s="23">
        <v>0.18</v>
      </c>
      <c r="I594" s="25">
        <v>0.21210000000000001</v>
      </c>
      <c r="J594" s="23">
        <v>0.74</v>
      </c>
      <c r="K594" s="25">
        <v>8.9599999999999999E-2</v>
      </c>
      <c r="L594" s="2">
        <v>2</v>
      </c>
      <c r="M594" s="2">
        <v>36</v>
      </c>
      <c r="N594" s="2">
        <v>38</v>
      </c>
      <c r="O594" t="s">
        <v>29</v>
      </c>
      <c r="P594" t="s">
        <v>58</v>
      </c>
      <c r="Q594" t="s">
        <v>31</v>
      </c>
      <c r="R594" t="s">
        <v>32</v>
      </c>
      <c r="S594" t="s">
        <v>33</v>
      </c>
      <c r="T594" t="s">
        <v>34</v>
      </c>
      <c r="U594" t="s">
        <v>35</v>
      </c>
      <c r="V594" t="s">
        <v>36</v>
      </c>
      <c r="W594" t="s">
        <v>37</v>
      </c>
      <c r="X594" s="24">
        <v>5.2631578947368416</v>
      </c>
      <c r="Y594" s="24">
        <v>94.73684210526315</v>
      </c>
      <c r="Z594" t="s">
        <v>38</v>
      </c>
      <c r="AA594" t="s">
        <v>39</v>
      </c>
      <c r="AB594" t="s">
        <v>38</v>
      </c>
      <c r="AC594" s="24">
        <v>3.2100000000000017E-2</v>
      </c>
    </row>
    <row r="595" spans="1:29" x14ac:dyDescent="0.3">
      <c r="A595" s="2">
        <v>594</v>
      </c>
      <c r="B595" s="1">
        <v>40570</v>
      </c>
      <c r="C595" s="2">
        <v>1</v>
      </c>
      <c r="D595" s="2">
        <v>22</v>
      </c>
      <c r="E595" t="b">
        <v>0</v>
      </c>
      <c r="F595" s="2">
        <v>4</v>
      </c>
      <c r="G595" s="2">
        <v>1</v>
      </c>
      <c r="H595" s="23">
        <v>0.18</v>
      </c>
      <c r="I595" s="25">
        <v>0.21210000000000001</v>
      </c>
      <c r="J595" s="23">
        <v>0.74</v>
      </c>
      <c r="K595" s="25">
        <v>8.9599999999999999E-2</v>
      </c>
      <c r="L595" s="2">
        <v>0</v>
      </c>
      <c r="M595" s="2">
        <v>27</v>
      </c>
      <c r="N595" s="2">
        <v>27</v>
      </c>
      <c r="O595" t="s">
        <v>29</v>
      </c>
      <c r="P595" t="s">
        <v>58</v>
      </c>
      <c r="Q595" t="s">
        <v>31</v>
      </c>
      <c r="R595" t="s">
        <v>32</v>
      </c>
      <c r="S595" t="s">
        <v>33</v>
      </c>
      <c r="T595" t="s">
        <v>34</v>
      </c>
      <c r="U595" t="s">
        <v>35</v>
      </c>
      <c r="V595" t="s">
        <v>36</v>
      </c>
      <c r="W595" t="s">
        <v>37</v>
      </c>
      <c r="X595" s="24">
        <v>0</v>
      </c>
      <c r="Y595" s="24">
        <v>100</v>
      </c>
      <c r="Z595" t="s">
        <v>38</v>
      </c>
      <c r="AA595" t="s">
        <v>39</v>
      </c>
      <c r="AB595" t="s">
        <v>38</v>
      </c>
      <c r="AC595" s="24">
        <v>3.2100000000000017E-2</v>
      </c>
    </row>
    <row r="596" spans="1:29" x14ac:dyDescent="0.3">
      <c r="A596" s="2">
        <v>595</v>
      </c>
      <c r="B596" s="1">
        <v>40570</v>
      </c>
      <c r="C596" s="2">
        <v>1</v>
      </c>
      <c r="D596" s="2">
        <v>23</v>
      </c>
      <c r="E596" t="b">
        <v>0</v>
      </c>
      <c r="F596" s="2">
        <v>4</v>
      </c>
      <c r="G596" s="2">
        <v>1</v>
      </c>
      <c r="H596" s="23">
        <v>0.18</v>
      </c>
      <c r="I596" s="25">
        <v>0.19700000000000001</v>
      </c>
      <c r="J596" s="23">
        <v>0.8</v>
      </c>
      <c r="K596" s="25">
        <v>0.16420000000000001</v>
      </c>
      <c r="L596" s="2">
        <v>0</v>
      </c>
      <c r="M596" s="2">
        <v>16</v>
      </c>
      <c r="N596" s="2">
        <v>16</v>
      </c>
      <c r="O596" t="s">
        <v>29</v>
      </c>
      <c r="P596" t="s">
        <v>58</v>
      </c>
      <c r="Q596" t="s">
        <v>31</v>
      </c>
      <c r="R596" t="s">
        <v>32</v>
      </c>
      <c r="S596" t="s">
        <v>33</v>
      </c>
      <c r="T596" t="s">
        <v>34</v>
      </c>
      <c r="U596" t="s">
        <v>46</v>
      </c>
      <c r="V596" t="s">
        <v>36</v>
      </c>
      <c r="W596" t="s">
        <v>37</v>
      </c>
      <c r="X596" s="24">
        <v>0</v>
      </c>
      <c r="Y596" s="24">
        <v>100</v>
      </c>
      <c r="Z596" t="s">
        <v>38</v>
      </c>
      <c r="AA596" t="s">
        <v>39</v>
      </c>
      <c r="AB596" t="s">
        <v>38</v>
      </c>
      <c r="AC596" s="24">
        <v>1.7000000000000019E-2</v>
      </c>
    </row>
    <row r="597" spans="1:29" x14ac:dyDescent="0.3">
      <c r="A597" s="2">
        <v>596</v>
      </c>
      <c r="B597" s="1">
        <v>40571</v>
      </c>
      <c r="C597" s="2">
        <v>1</v>
      </c>
      <c r="D597" s="2">
        <v>0</v>
      </c>
      <c r="E597" t="b">
        <v>0</v>
      </c>
      <c r="F597" s="2">
        <v>5</v>
      </c>
      <c r="G597" s="2">
        <v>2</v>
      </c>
      <c r="H597" s="23">
        <v>0.2</v>
      </c>
      <c r="I597" s="25">
        <v>0.21210000000000001</v>
      </c>
      <c r="J597" s="23">
        <v>0.75</v>
      </c>
      <c r="K597" s="25">
        <v>0.1343</v>
      </c>
      <c r="L597" s="2">
        <v>0</v>
      </c>
      <c r="M597" s="2">
        <v>9</v>
      </c>
      <c r="N597" s="2">
        <v>9</v>
      </c>
      <c r="O597" t="s">
        <v>29</v>
      </c>
      <c r="P597" t="s">
        <v>59</v>
      </c>
      <c r="Q597" t="s">
        <v>41</v>
      </c>
      <c r="R597" t="s">
        <v>32</v>
      </c>
      <c r="S597" t="s">
        <v>33</v>
      </c>
      <c r="T597" t="s">
        <v>34</v>
      </c>
      <c r="U597" t="s">
        <v>35</v>
      </c>
      <c r="V597" t="s">
        <v>36</v>
      </c>
      <c r="W597" t="s">
        <v>37</v>
      </c>
      <c r="X597" s="24">
        <v>0</v>
      </c>
      <c r="Y597" s="24">
        <v>100</v>
      </c>
      <c r="Z597" t="s">
        <v>38</v>
      </c>
      <c r="AA597" t="s">
        <v>39</v>
      </c>
      <c r="AB597" t="s">
        <v>38</v>
      </c>
      <c r="AC597" s="24">
        <v>1.21E-2</v>
      </c>
    </row>
    <row r="598" spans="1:29" x14ac:dyDescent="0.3">
      <c r="A598" s="2">
        <v>597</v>
      </c>
      <c r="B598" s="1">
        <v>40571</v>
      </c>
      <c r="C598" s="2">
        <v>1</v>
      </c>
      <c r="D598" s="2">
        <v>1</v>
      </c>
      <c r="E598" t="b">
        <v>0</v>
      </c>
      <c r="F598" s="2">
        <v>5</v>
      </c>
      <c r="G598" s="2">
        <v>2</v>
      </c>
      <c r="H598" s="23">
        <v>0.2</v>
      </c>
      <c r="I598" s="25">
        <v>0.21210000000000001</v>
      </c>
      <c r="J598" s="23">
        <v>0.75</v>
      </c>
      <c r="K598" s="25">
        <v>0.1343</v>
      </c>
      <c r="L598" s="2">
        <v>1</v>
      </c>
      <c r="M598" s="2">
        <v>2</v>
      </c>
      <c r="N598" s="2">
        <v>3</v>
      </c>
      <c r="O598" t="s">
        <v>29</v>
      </c>
      <c r="P598" t="s">
        <v>59</v>
      </c>
      <c r="Q598" t="s">
        <v>41</v>
      </c>
      <c r="R598" t="s">
        <v>32</v>
      </c>
      <c r="S598" t="s">
        <v>33</v>
      </c>
      <c r="T598" t="s">
        <v>34</v>
      </c>
      <c r="U598" t="s">
        <v>35</v>
      </c>
      <c r="V598" t="s">
        <v>36</v>
      </c>
      <c r="W598" t="s">
        <v>37</v>
      </c>
      <c r="X598" s="24">
        <v>33.333333333333329</v>
      </c>
      <c r="Y598" s="24">
        <v>66.666666666666657</v>
      </c>
      <c r="Z598" t="s">
        <v>38</v>
      </c>
      <c r="AA598" t="s">
        <v>39</v>
      </c>
      <c r="AB598" t="s">
        <v>38</v>
      </c>
      <c r="AC598" s="24">
        <v>1.21E-2</v>
      </c>
    </row>
    <row r="599" spans="1:29" x14ac:dyDescent="0.3">
      <c r="A599" s="2">
        <v>598</v>
      </c>
      <c r="B599" s="1">
        <v>40571</v>
      </c>
      <c r="C599" s="2">
        <v>1</v>
      </c>
      <c r="D599" s="2">
        <v>2</v>
      </c>
      <c r="E599" t="b">
        <v>0</v>
      </c>
      <c r="F599" s="2">
        <v>5</v>
      </c>
      <c r="G599" s="2">
        <v>2</v>
      </c>
      <c r="H599" s="23">
        <v>0.2</v>
      </c>
      <c r="I599" s="25">
        <v>0.21210000000000001</v>
      </c>
      <c r="J599" s="23">
        <v>0.75</v>
      </c>
      <c r="K599" s="25">
        <v>0.16420000000000001</v>
      </c>
      <c r="L599" s="2">
        <v>0</v>
      </c>
      <c r="M599" s="2">
        <v>2</v>
      </c>
      <c r="N599" s="2">
        <v>2</v>
      </c>
      <c r="O599" t="s">
        <v>29</v>
      </c>
      <c r="P599" t="s">
        <v>59</v>
      </c>
      <c r="Q599" t="s">
        <v>41</v>
      </c>
      <c r="R599" t="s">
        <v>32</v>
      </c>
      <c r="S599" t="s">
        <v>33</v>
      </c>
      <c r="T599" t="s">
        <v>34</v>
      </c>
      <c r="U599" t="s">
        <v>46</v>
      </c>
      <c r="V599" t="s">
        <v>36</v>
      </c>
      <c r="W599" t="s">
        <v>37</v>
      </c>
      <c r="X599" s="24">
        <v>0</v>
      </c>
      <c r="Y599" s="24">
        <v>100</v>
      </c>
      <c r="Z599" t="s">
        <v>38</v>
      </c>
      <c r="AA599" t="s">
        <v>39</v>
      </c>
      <c r="AB599" t="s">
        <v>38</v>
      </c>
      <c r="AC599" s="24">
        <v>1.21E-2</v>
      </c>
    </row>
    <row r="600" spans="1:29" x14ac:dyDescent="0.3">
      <c r="A600" s="2">
        <v>599</v>
      </c>
      <c r="B600" s="1">
        <v>40571</v>
      </c>
      <c r="C600" s="2">
        <v>1</v>
      </c>
      <c r="D600" s="2">
        <v>3</v>
      </c>
      <c r="E600" t="b">
        <v>0</v>
      </c>
      <c r="F600" s="2">
        <v>5</v>
      </c>
      <c r="G600" s="2">
        <v>2</v>
      </c>
      <c r="H600" s="23">
        <v>0.2</v>
      </c>
      <c r="I600" s="25">
        <v>0.2273</v>
      </c>
      <c r="J600" s="23">
        <v>0.75</v>
      </c>
      <c r="K600" s="25">
        <v>0.1045</v>
      </c>
      <c r="L600" s="2">
        <v>1</v>
      </c>
      <c r="M600" s="2">
        <v>0</v>
      </c>
      <c r="N600" s="2">
        <v>1</v>
      </c>
      <c r="O600" t="s">
        <v>29</v>
      </c>
      <c r="P600" t="s">
        <v>59</v>
      </c>
      <c r="Q600" t="s">
        <v>41</v>
      </c>
      <c r="R600" t="s">
        <v>32</v>
      </c>
      <c r="S600" t="s">
        <v>33</v>
      </c>
      <c r="T600" t="s">
        <v>34</v>
      </c>
      <c r="U600" t="s">
        <v>35</v>
      </c>
      <c r="V600" t="s">
        <v>36</v>
      </c>
      <c r="W600" t="s">
        <v>43</v>
      </c>
      <c r="X600" s="24">
        <v>100</v>
      </c>
      <c r="Y600" s="24">
        <v>0</v>
      </c>
      <c r="Z600" t="s">
        <v>38</v>
      </c>
      <c r="AA600" t="s">
        <v>39</v>
      </c>
      <c r="AB600" t="s">
        <v>38</v>
      </c>
      <c r="AC600" s="24">
        <v>2.7299999999999991E-2</v>
      </c>
    </row>
    <row r="601" spans="1:29" x14ac:dyDescent="0.3">
      <c r="A601" s="2">
        <v>600</v>
      </c>
      <c r="B601" s="1">
        <v>40571</v>
      </c>
      <c r="C601" s="2">
        <v>1</v>
      </c>
      <c r="D601" s="2">
        <v>5</v>
      </c>
      <c r="E601" t="b">
        <v>0</v>
      </c>
      <c r="F601" s="2">
        <v>5</v>
      </c>
      <c r="G601" s="2">
        <v>2</v>
      </c>
      <c r="H601" s="23">
        <v>0.18</v>
      </c>
      <c r="I601" s="25">
        <v>0.21210000000000001</v>
      </c>
      <c r="J601" s="23">
        <v>0.8</v>
      </c>
      <c r="K601" s="25">
        <v>0.1045</v>
      </c>
      <c r="L601" s="2">
        <v>0</v>
      </c>
      <c r="M601" s="2">
        <v>4</v>
      </c>
      <c r="N601" s="2">
        <v>4</v>
      </c>
      <c r="O601" t="s">
        <v>29</v>
      </c>
      <c r="P601" t="s">
        <v>59</v>
      </c>
      <c r="Q601" t="s">
        <v>41</v>
      </c>
      <c r="R601" t="s">
        <v>32</v>
      </c>
      <c r="S601" t="s">
        <v>33</v>
      </c>
      <c r="T601" t="s">
        <v>34</v>
      </c>
      <c r="U601" t="s">
        <v>35</v>
      </c>
      <c r="V601" t="s">
        <v>36</v>
      </c>
      <c r="W601" t="s">
        <v>37</v>
      </c>
      <c r="X601" s="24">
        <v>0</v>
      </c>
      <c r="Y601" s="24">
        <v>100</v>
      </c>
      <c r="Z601" t="s">
        <v>38</v>
      </c>
      <c r="AA601" t="s">
        <v>39</v>
      </c>
      <c r="AB601" t="s">
        <v>38</v>
      </c>
      <c r="AC601" s="24">
        <v>3.2100000000000017E-2</v>
      </c>
    </row>
    <row r="602" spans="1:29" x14ac:dyDescent="0.3">
      <c r="A602" s="2">
        <v>601</v>
      </c>
      <c r="B602" s="1">
        <v>40571</v>
      </c>
      <c r="C602" s="2">
        <v>1</v>
      </c>
      <c r="D602" s="2">
        <v>6</v>
      </c>
      <c r="E602" t="b">
        <v>0</v>
      </c>
      <c r="F602" s="2">
        <v>5</v>
      </c>
      <c r="G602" s="2">
        <v>2</v>
      </c>
      <c r="H602" s="23">
        <v>0.18</v>
      </c>
      <c r="I602" s="25">
        <v>0.19700000000000001</v>
      </c>
      <c r="J602" s="23">
        <v>0.8</v>
      </c>
      <c r="K602" s="25">
        <v>0.1343</v>
      </c>
      <c r="L602" s="2">
        <v>0</v>
      </c>
      <c r="M602" s="2">
        <v>16</v>
      </c>
      <c r="N602" s="2">
        <v>16</v>
      </c>
      <c r="O602" t="s">
        <v>29</v>
      </c>
      <c r="P602" t="s">
        <v>59</v>
      </c>
      <c r="Q602" t="s">
        <v>41</v>
      </c>
      <c r="R602" t="s">
        <v>42</v>
      </c>
      <c r="S602" t="s">
        <v>33</v>
      </c>
      <c r="T602" t="s">
        <v>34</v>
      </c>
      <c r="U602" t="s">
        <v>35</v>
      </c>
      <c r="V602" t="s">
        <v>36</v>
      </c>
      <c r="W602" t="s">
        <v>37</v>
      </c>
      <c r="X602" s="24">
        <v>0</v>
      </c>
      <c r="Y602" s="24">
        <v>100</v>
      </c>
      <c r="Z602" t="s">
        <v>38</v>
      </c>
      <c r="AA602" t="s">
        <v>39</v>
      </c>
      <c r="AB602" t="s">
        <v>38</v>
      </c>
      <c r="AC602" s="24">
        <v>1.7000000000000019E-2</v>
      </c>
    </row>
    <row r="603" spans="1:29" x14ac:dyDescent="0.3">
      <c r="A603" s="2">
        <v>602</v>
      </c>
      <c r="B603" s="1">
        <v>40571</v>
      </c>
      <c r="C603" s="2">
        <v>1</v>
      </c>
      <c r="D603" s="2">
        <v>7</v>
      </c>
      <c r="E603" t="b">
        <v>0</v>
      </c>
      <c r="F603" s="2">
        <v>5</v>
      </c>
      <c r="G603" s="2">
        <v>2</v>
      </c>
      <c r="H603" s="23">
        <v>0.16</v>
      </c>
      <c r="I603" s="25">
        <v>0.19700000000000001</v>
      </c>
      <c r="J603" s="23">
        <v>0.86</v>
      </c>
      <c r="K603" s="25">
        <v>8.9599999999999999E-2</v>
      </c>
      <c r="L603" s="2">
        <v>2</v>
      </c>
      <c r="M603" s="2">
        <v>58</v>
      </c>
      <c r="N603" s="2">
        <v>60</v>
      </c>
      <c r="O603" t="s">
        <v>29</v>
      </c>
      <c r="P603" t="s">
        <v>59</v>
      </c>
      <c r="Q603" t="s">
        <v>41</v>
      </c>
      <c r="R603" t="s">
        <v>42</v>
      </c>
      <c r="S603" t="s">
        <v>33</v>
      </c>
      <c r="T603" t="s">
        <v>34</v>
      </c>
      <c r="U603" t="s">
        <v>35</v>
      </c>
      <c r="V603" t="s">
        <v>36</v>
      </c>
      <c r="W603" t="s">
        <v>37</v>
      </c>
      <c r="X603" s="24">
        <v>3.333333333333333</v>
      </c>
      <c r="Y603" s="24">
        <v>96.666666666666671</v>
      </c>
      <c r="Z603" t="s">
        <v>40</v>
      </c>
      <c r="AA603" t="s">
        <v>39</v>
      </c>
      <c r="AB603" t="s">
        <v>38</v>
      </c>
      <c r="AC603" s="24">
        <v>3.7000000000000012E-2</v>
      </c>
    </row>
    <row r="604" spans="1:29" x14ac:dyDescent="0.3">
      <c r="A604" s="2">
        <v>603</v>
      </c>
      <c r="B604" s="1">
        <v>40571</v>
      </c>
      <c r="C604" s="2">
        <v>1</v>
      </c>
      <c r="D604" s="2">
        <v>8</v>
      </c>
      <c r="E604" t="b">
        <v>0</v>
      </c>
      <c r="F604" s="2">
        <v>5</v>
      </c>
      <c r="G604" s="2">
        <v>2</v>
      </c>
      <c r="H604" s="23">
        <v>0.16</v>
      </c>
      <c r="I604" s="25">
        <v>0.19700000000000001</v>
      </c>
      <c r="J604" s="23">
        <v>0.86</v>
      </c>
      <c r="K604" s="25">
        <v>8.9599999999999999E-2</v>
      </c>
      <c r="L604" s="2">
        <v>2</v>
      </c>
      <c r="M604" s="2">
        <v>155</v>
      </c>
      <c r="N604" s="2">
        <v>157</v>
      </c>
      <c r="O604" t="s">
        <v>29</v>
      </c>
      <c r="P604" t="s">
        <v>59</v>
      </c>
      <c r="Q604" t="s">
        <v>41</v>
      </c>
      <c r="R604" t="s">
        <v>42</v>
      </c>
      <c r="S604" t="s">
        <v>33</v>
      </c>
      <c r="T604" t="s">
        <v>34</v>
      </c>
      <c r="U604" t="s">
        <v>35</v>
      </c>
      <c r="V604" t="s">
        <v>36</v>
      </c>
      <c r="W604" t="s">
        <v>37</v>
      </c>
      <c r="X604" s="24">
        <v>1.2738853503184711</v>
      </c>
      <c r="Y604" s="24">
        <v>98.726114649681534</v>
      </c>
      <c r="Z604" t="s">
        <v>40</v>
      </c>
      <c r="AA604" t="s">
        <v>49</v>
      </c>
      <c r="AB604" t="s">
        <v>38</v>
      </c>
      <c r="AC604" s="24">
        <v>3.7000000000000012E-2</v>
      </c>
    </row>
    <row r="605" spans="1:29" x14ac:dyDescent="0.3">
      <c r="A605" s="2">
        <v>604</v>
      </c>
      <c r="B605" s="1">
        <v>40571</v>
      </c>
      <c r="C605" s="2">
        <v>1</v>
      </c>
      <c r="D605" s="2">
        <v>9</v>
      </c>
      <c r="E605" t="b">
        <v>0</v>
      </c>
      <c r="F605" s="2">
        <v>5</v>
      </c>
      <c r="G605" s="2">
        <v>3</v>
      </c>
      <c r="H605" s="23">
        <v>0.18</v>
      </c>
      <c r="I605" s="25">
        <v>0.21210000000000001</v>
      </c>
      <c r="J605" s="23">
        <v>0.86</v>
      </c>
      <c r="K605" s="25">
        <v>8.9599999999999999E-2</v>
      </c>
      <c r="L605" s="2">
        <v>6</v>
      </c>
      <c r="M605" s="2">
        <v>95</v>
      </c>
      <c r="N605" s="2">
        <v>101</v>
      </c>
      <c r="O605" t="s">
        <v>29</v>
      </c>
      <c r="P605" t="s">
        <v>59</v>
      </c>
      <c r="Q605" t="s">
        <v>51</v>
      </c>
      <c r="R605" t="s">
        <v>42</v>
      </c>
      <c r="S605" t="s">
        <v>33</v>
      </c>
      <c r="T605" t="s">
        <v>34</v>
      </c>
      <c r="U605" t="s">
        <v>35</v>
      </c>
      <c r="V605" t="s">
        <v>36</v>
      </c>
      <c r="W605" t="s">
        <v>37</v>
      </c>
      <c r="X605" s="24">
        <v>5.9405940594059414</v>
      </c>
      <c r="Y605" s="24">
        <v>94.059405940594047</v>
      </c>
      <c r="Z605" t="s">
        <v>40</v>
      </c>
      <c r="AA605" t="s">
        <v>49</v>
      </c>
      <c r="AB605" t="s">
        <v>38</v>
      </c>
      <c r="AC605" s="24">
        <v>3.2100000000000017E-2</v>
      </c>
    </row>
    <row r="606" spans="1:29" x14ac:dyDescent="0.3">
      <c r="A606" s="2">
        <v>605</v>
      </c>
      <c r="B606" s="1">
        <v>40571</v>
      </c>
      <c r="C606" s="2">
        <v>1</v>
      </c>
      <c r="D606" s="2">
        <v>10</v>
      </c>
      <c r="E606" t="b">
        <v>0</v>
      </c>
      <c r="F606" s="2">
        <v>5</v>
      </c>
      <c r="G606" s="2">
        <v>3</v>
      </c>
      <c r="H606" s="23">
        <v>0.18</v>
      </c>
      <c r="I606" s="25">
        <v>0.21210000000000001</v>
      </c>
      <c r="J606" s="23">
        <v>0.86</v>
      </c>
      <c r="K606" s="25">
        <v>0.1045</v>
      </c>
      <c r="L606" s="2">
        <v>0</v>
      </c>
      <c r="M606" s="2">
        <v>49</v>
      </c>
      <c r="N606" s="2">
        <v>49</v>
      </c>
      <c r="O606" t="s">
        <v>29</v>
      </c>
      <c r="P606" t="s">
        <v>59</v>
      </c>
      <c r="Q606" t="s">
        <v>51</v>
      </c>
      <c r="R606" t="s">
        <v>42</v>
      </c>
      <c r="S606" t="s">
        <v>33</v>
      </c>
      <c r="T606" t="s">
        <v>34</v>
      </c>
      <c r="U606" t="s">
        <v>35</v>
      </c>
      <c r="V606" t="s">
        <v>36</v>
      </c>
      <c r="W606" t="s">
        <v>37</v>
      </c>
      <c r="X606" s="24">
        <v>0</v>
      </c>
      <c r="Y606" s="24">
        <v>100</v>
      </c>
      <c r="Z606" t="s">
        <v>38</v>
      </c>
      <c r="AA606" t="s">
        <v>39</v>
      </c>
      <c r="AB606" t="s">
        <v>38</v>
      </c>
      <c r="AC606" s="24">
        <v>3.2100000000000017E-2</v>
      </c>
    </row>
    <row r="607" spans="1:29" x14ac:dyDescent="0.3">
      <c r="A607" s="2">
        <v>606</v>
      </c>
      <c r="B607" s="1">
        <v>40571</v>
      </c>
      <c r="C607" s="2">
        <v>1</v>
      </c>
      <c r="D607" s="2">
        <v>11</v>
      </c>
      <c r="E607" t="b">
        <v>0</v>
      </c>
      <c r="F607" s="2">
        <v>5</v>
      </c>
      <c r="G607" s="2">
        <v>3</v>
      </c>
      <c r="H607" s="23">
        <v>0.18</v>
      </c>
      <c r="I607" s="25">
        <v>0.21210000000000001</v>
      </c>
      <c r="J607" s="23">
        <v>0.93</v>
      </c>
      <c r="K607" s="25">
        <v>0.1045</v>
      </c>
      <c r="L607" s="2">
        <v>0</v>
      </c>
      <c r="M607" s="2">
        <v>30</v>
      </c>
      <c r="N607" s="2">
        <v>30</v>
      </c>
      <c r="O607" t="s">
        <v>29</v>
      </c>
      <c r="P607" t="s">
        <v>59</v>
      </c>
      <c r="Q607" t="s">
        <v>51</v>
      </c>
      <c r="R607" t="s">
        <v>42</v>
      </c>
      <c r="S607" t="s">
        <v>33</v>
      </c>
      <c r="T607" t="s">
        <v>34</v>
      </c>
      <c r="U607" t="s">
        <v>35</v>
      </c>
      <c r="V607" t="s">
        <v>36</v>
      </c>
      <c r="W607" t="s">
        <v>37</v>
      </c>
      <c r="X607" s="24">
        <v>0</v>
      </c>
      <c r="Y607" s="24">
        <v>100</v>
      </c>
      <c r="Z607" t="s">
        <v>38</v>
      </c>
      <c r="AA607" t="s">
        <v>39</v>
      </c>
      <c r="AB607" t="s">
        <v>38</v>
      </c>
      <c r="AC607" s="24">
        <v>3.2100000000000017E-2</v>
      </c>
    </row>
    <row r="608" spans="1:29" x14ac:dyDescent="0.3">
      <c r="A608" s="2">
        <v>607</v>
      </c>
      <c r="B608" s="1">
        <v>40571</v>
      </c>
      <c r="C608" s="2">
        <v>1</v>
      </c>
      <c r="D608" s="2">
        <v>12</v>
      </c>
      <c r="E608" t="b">
        <v>0</v>
      </c>
      <c r="F608" s="2">
        <v>5</v>
      </c>
      <c r="G608" s="2">
        <v>3</v>
      </c>
      <c r="H608" s="23">
        <v>0.18</v>
      </c>
      <c r="I608" s="25">
        <v>0.21210000000000001</v>
      </c>
      <c r="J608" s="23">
        <v>0.93</v>
      </c>
      <c r="K608" s="25">
        <v>0.1045</v>
      </c>
      <c r="L608" s="2">
        <v>1</v>
      </c>
      <c r="M608" s="2">
        <v>28</v>
      </c>
      <c r="N608" s="2">
        <v>29</v>
      </c>
      <c r="O608" t="s">
        <v>29</v>
      </c>
      <c r="P608" t="s">
        <v>59</v>
      </c>
      <c r="Q608" t="s">
        <v>51</v>
      </c>
      <c r="R608" t="s">
        <v>47</v>
      </c>
      <c r="S608" t="s">
        <v>33</v>
      </c>
      <c r="T608" t="s">
        <v>34</v>
      </c>
      <c r="U608" t="s">
        <v>35</v>
      </c>
      <c r="V608" t="s">
        <v>36</v>
      </c>
      <c r="W608" t="s">
        <v>37</v>
      </c>
      <c r="X608" s="24">
        <v>3.4482758620689649</v>
      </c>
      <c r="Y608" s="24">
        <v>96.551724137931032</v>
      </c>
      <c r="Z608" t="s">
        <v>38</v>
      </c>
      <c r="AA608" t="s">
        <v>39</v>
      </c>
      <c r="AB608" t="s">
        <v>38</v>
      </c>
      <c r="AC608" s="24">
        <v>3.2100000000000017E-2</v>
      </c>
    </row>
    <row r="609" spans="1:29" x14ac:dyDescent="0.3">
      <c r="A609" s="2">
        <v>608</v>
      </c>
      <c r="B609" s="1">
        <v>40571</v>
      </c>
      <c r="C609" s="2">
        <v>1</v>
      </c>
      <c r="D609" s="2">
        <v>13</v>
      </c>
      <c r="E609" t="b">
        <v>0</v>
      </c>
      <c r="F609" s="2">
        <v>5</v>
      </c>
      <c r="G609" s="2">
        <v>3</v>
      </c>
      <c r="H609" s="23">
        <v>0.18</v>
      </c>
      <c r="I609" s="25">
        <v>0.21210000000000001</v>
      </c>
      <c r="J609" s="23">
        <v>0.93</v>
      </c>
      <c r="K609" s="25">
        <v>0.1045</v>
      </c>
      <c r="L609" s="2">
        <v>0</v>
      </c>
      <c r="M609" s="2">
        <v>31</v>
      </c>
      <c r="N609" s="2">
        <v>31</v>
      </c>
      <c r="O609" t="s">
        <v>29</v>
      </c>
      <c r="P609" t="s">
        <v>59</v>
      </c>
      <c r="Q609" t="s">
        <v>51</v>
      </c>
      <c r="R609" t="s">
        <v>47</v>
      </c>
      <c r="S609" t="s">
        <v>33</v>
      </c>
      <c r="T609" t="s">
        <v>34</v>
      </c>
      <c r="U609" t="s">
        <v>35</v>
      </c>
      <c r="V609" t="s">
        <v>36</v>
      </c>
      <c r="W609" t="s">
        <v>37</v>
      </c>
      <c r="X609" s="24">
        <v>0</v>
      </c>
      <c r="Y609" s="24">
        <v>100</v>
      </c>
      <c r="Z609" t="s">
        <v>38</v>
      </c>
      <c r="AA609" t="s">
        <v>39</v>
      </c>
      <c r="AB609" t="s">
        <v>38</v>
      </c>
      <c r="AC609" s="24">
        <v>3.2100000000000017E-2</v>
      </c>
    </row>
    <row r="610" spans="1:29" x14ac:dyDescent="0.3">
      <c r="A610" s="2">
        <v>609</v>
      </c>
      <c r="B610" s="1">
        <v>40571</v>
      </c>
      <c r="C610" s="2">
        <v>1</v>
      </c>
      <c r="D610" s="2">
        <v>14</v>
      </c>
      <c r="E610" t="b">
        <v>0</v>
      </c>
      <c r="F610" s="2">
        <v>5</v>
      </c>
      <c r="G610" s="2">
        <v>3</v>
      </c>
      <c r="H610" s="23">
        <v>0.22</v>
      </c>
      <c r="I610" s="25">
        <v>0.2727</v>
      </c>
      <c r="J610" s="23">
        <v>0.8</v>
      </c>
      <c r="K610" s="25">
        <v>0</v>
      </c>
      <c r="L610" s="2">
        <v>2</v>
      </c>
      <c r="M610" s="2">
        <v>36</v>
      </c>
      <c r="N610" s="2">
        <v>38</v>
      </c>
      <c r="O610" t="s">
        <v>29</v>
      </c>
      <c r="P610" t="s">
        <v>59</v>
      </c>
      <c r="Q610" t="s">
        <v>51</v>
      </c>
      <c r="R610" t="s">
        <v>47</v>
      </c>
      <c r="S610" t="s">
        <v>33</v>
      </c>
      <c r="T610" t="s">
        <v>34</v>
      </c>
      <c r="U610" t="s">
        <v>35</v>
      </c>
      <c r="V610" t="s">
        <v>36</v>
      </c>
      <c r="W610" t="s">
        <v>37</v>
      </c>
      <c r="X610" s="24">
        <v>5.2631578947368416</v>
      </c>
      <c r="Y610" s="24">
        <v>94.73684210526315</v>
      </c>
      <c r="Z610" t="s">
        <v>38</v>
      </c>
      <c r="AA610" t="s">
        <v>39</v>
      </c>
      <c r="AB610" t="s">
        <v>38</v>
      </c>
      <c r="AC610" s="24">
        <v>5.2699999999999997E-2</v>
      </c>
    </row>
    <row r="611" spans="1:29" x14ac:dyDescent="0.3">
      <c r="A611" s="2">
        <v>610</v>
      </c>
      <c r="B611" s="1">
        <v>40571</v>
      </c>
      <c r="C611" s="2">
        <v>1</v>
      </c>
      <c r="D611" s="2">
        <v>15</v>
      </c>
      <c r="E611" t="b">
        <v>0</v>
      </c>
      <c r="F611" s="2">
        <v>5</v>
      </c>
      <c r="G611" s="2">
        <v>2</v>
      </c>
      <c r="H611" s="23">
        <v>0.2</v>
      </c>
      <c r="I611" s="25">
        <v>0.2576</v>
      </c>
      <c r="J611" s="23">
        <v>0.86</v>
      </c>
      <c r="K611" s="25">
        <v>0</v>
      </c>
      <c r="L611" s="2">
        <v>1</v>
      </c>
      <c r="M611" s="2">
        <v>40</v>
      </c>
      <c r="N611" s="2">
        <v>41</v>
      </c>
      <c r="O611" t="s">
        <v>29</v>
      </c>
      <c r="P611" t="s">
        <v>59</v>
      </c>
      <c r="Q611" t="s">
        <v>41</v>
      </c>
      <c r="R611" t="s">
        <v>47</v>
      </c>
      <c r="S611" t="s">
        <v>33</v>
      </c>
      <c r="T611" t="s">
        <v>34</v>
      </c>
      <c r="U611" t="s">
        <v>35</v>
      </c>
      <c r="V611" t="s">
        <v>36</v>
      </c>
      <c r="W611" t="s">
        <v>37</v>
      </c>
      <c r="X611" s="24">
        <v>2.4390243902439019</v>
      </c>
      <c r="Y611" s="24">
        <v>97.560975609756099</v>
      </c>
      <c r="Z611" t="s">
        <v>38</v>
      </c>
      <c r="AA611" t="s">
        <v>39</v>
      </c>
      <c r="AB611" t="s">
        <v>38</v>
      </c>
      <c r="AC611" s="24">
        <v>5.7599999999999978E-2</v>
      </c>
    </row>
    <row r="612" spans="1:29" x14ac:dyDescent="0.3">
      <c r="A612" s="2">
        <v>611</v>
      </c>
      <c r="B612" s="1">
        <v>40571</v>
      </c>
      <c r="C612" s="2">
        <v>1</v>
      </c>
      <c r="D612" s="2">
        <v>16</v>
      </c>
      <c r="E612" t="b">
        <v>0</v>
      </c>
      <c r="F612" s="2">
        <v>5</v>
      </c>
      <c r="G612" s="2">
        <v>1</v>
      </c>
      <c r="H612" s="23">
        <v>0.22</v>
      </c>
      <c r="I612" s="25">
        <v>0.2727</v>
      </c>
      <c r="J612" s="23">
        <v>0.8</v>
      </c>
      <c r="K612" s="25">
        <v>0</v>
      </c>
      <c r="L612" s="2">
        <v>10</v>
      </c>
      <c r="M612" s="2">
        <v>70</v>
      </c>
      <c r="N612" s="2">
        <v>80</v>
      </c>
      <c r="O612" t="s">
        <v>29</v>
      </c>
      <c r="P612" t="s">
        <v>59</v>
      </c>
      <c r="Q612" t="s">
        <v>31</v>
      </c>
      <c r="R612" t="s">
        <v>47</v>
      </c>
      <c r="S612" t="s">
        <v>33</v>
      </c>
      <c r="T612" t="s">
        <v>34</v>
      </c>
      <c r="U612" t="s">
        <v>35</v>
      </c>
      <c r="V612" t="s">
        <v>36</v>
      </c>
      <c r="W612" t="s">
        <v>37</v>
      </c>
      <c r="X612" s="24">
        <v>12.5</v>
      </c>
      <c r="Y612" s="24">
        <v>87.5</v>
      </c>
      <c r="Z612" t="s">
        <v>38</v>
      </c>
      <c r="AA612" t="s">
        <v>39</v>
      </c>
      <c r="AB612" t="s">
        <v>38</v>
      </c>
      <c r="AC612" s="24">
        <v>5.2699999999999997E-2</v>
      </c>
    </row>
    <row r="613" spans="1:29" x14ac:dyDescent="0.3">
      <c r="A613" s="2">
        <v>612</v>
      </c>
      <c r="B613" s="1">
        <v>40571</v>
      </c>
      <c r="C613" s="2">
        <v>1</v>
      </c>
      <c r="D613" s="2">
        <v>17</v>
      </c>
      <c r="E613" t="b">
        <v>0</v>
      </c>
      <c r="F613" s="2">
        <v>5</v>
      </c>
      <c r="G613" s="2">
        <v>1</v>
      </c>
      <c r="H613" s="23">
        <v>0.24</v>
      </c>
      <c r="I613" s="25">
        <v>0.2424</v>
      </c>
      <c r="J613" s="23">
        <v>0.75</v>
      </c>
      <c r="K613" s="25">
        <v>0.1343</v>
      </c>
      <c r="L613" s="2">
        <v>2</v>
      </c>
      <c r="M613" s="2">
        <v>147</v>
      </c>
      <c r="N613" s="2">
        <v>149</v>
      </c>
      <c r="O613" t="s">
        <v>29</v>
      </c>
      <c r="P613" t="s">
        <v>59</v>
      </c>
      <c r="Q613" t="s">
        <v>31</v>
      </c>
      <c r="R613" t="s">
        <v>50</v>
      </c>
      <c r="S613" t="s">
        <v>33</v>
      </c>
      <c r="T613" t="s">
        <v>34</v>
      </c>
      <c r="U613" t="s">
        <v>35</v>
      </c>
      <c r="V613" t="s">
        <v>36</v>
      </c>
      <c r="W613" t="s">
        <v>37</v>
      </c>
      <c r="X613" s="24">
        <v>1.3422818791946309</v>
      </c>
      <c r="Y613" s="24">
        <v>98.65771812080537</v>
      </c>
      <c r="Z613" t="s">
        <v>40</v>
      </c>
      <c r="AA613" t="s">
        <v>49</v>
      </c>
      <c r="AB613" t="s">
        <v>38</v>
      </c>
      <c r="AC613" s="24">
        <v>2.4000000000000128E-3</v>
      </c>
    </row>
    <row r="614" spans="1:29" x14ac:dyDescent="0.3">
      <c r="A614" s="2">
        <v>613</v>
      </c>
      <c r="B614" s="1">
        <v>40571</v>
      </c>
      <c r="C614" s="2">
        <v>1</v>
      </c>
      <c r="D614" s="2">
        <v>18</v>
      </c>
      <c r="E614" t="b">
        <v>0</v>
      </c>
      <c r="F614" s="2">
        <v>5</v>
      </c>
      <c r="G614" s="2">
        <v>1</v>
      </c>
      <c r="H614" s="23">
        <v>0.24</v>
      </c>
      <c r="I614" s="25">
        <v>0.2273</v>
      </c>
      <c r="J614" s="23">
        <v>0.75</v>
      </c>
      <c r="K614" s="25">
        <v>0.19400000000000001</v>
      </c>
      <c r="L614" s="2">
        <v>2</v>
      </c>
      <c r="M614" s="2">
        <v>107</v>
      </c>
      <c r="N614" s="2">
        <v>109</v>
      </c>
      <c r="O614" t="s">
        <v>29</v>
      </c>
      <c r="P614" t="s">
        <v>59</v>
      </c>
      <c r="Q614" t="s">
        <v>31</v>
      </c>
      <c r="R614" t="s">
        <v>50</v>
      </c>
      <c r="S614" t="s">
        <v>33</v>
      </c>
      <c r="T614" t="s">
        <v>34</v>
      </c>
      <c r="U614" t="s">
        <v>46</v>
      </c>
      <c r="V614" t="s">
        <v>36</v>
      </c>
      <c r="W614" t="s">
        <v>37</v>
      </c>
      <c r="X614" s="24">
        <v>1.834862385321101</v>
      </c>
      <c r="Y614" s="24">
        <v>98.165137614678898</v>
      </c>
      <c r="Z614" t="s">
        <v>40</v>
      </c>
      <c r="AA614" t="s">
        <v>49</v>
      </c>
      <c r="AB614" t="s">
        <v>38</v>
      </c>
      <c r="AC614" s="24">
        <v>-1.2699999999999991E-2</v>
      </c>
    </row>
    <row r="615" spans="1:29" x14ac:dyDescent="0.3">
      <c r="A615" s="2">
        <v>614</v>
      </c>
      <c r="B615" s="1">
        <v>40571</v>
      </c>
      <c r="C615" s="2">
        <v>1</v>
      </c>
      <c r="D615" s="2">
        <v>19</v>
      </c>
      <c r="E615" t="b">
        <v>0</v>
      </c>
      <c r="F615" s="2">
        <v>5</v>
      </c>
      <c r="G615" s="2">
        <v>2</v>
      </c>
      <c r="H615" s="23">
        <v>0.24</v>
      </c>
      <c r="I615" s="25">
        <v>0.2424</v>
      </c>
      <c r="J615" s="23">
        <v>0.75</v>
      </c>
      <c r="K615" s="25">
        <v>0.1343</v>
      </c>
      <c r="L615" s="2">
        <v>5</v>
      </c>
      <c r="M615" s="2">
        <v>84</v>
      </c>
      <c r="N615" s="2">
        <v>89</v>
      </c>
      <c r="O615" t="s">
        <v>29</v>
      </c>
      <c r="P615" t="s">
        <v>59</v>
      </c>
      <c r="Q615" t="s">
        <v>41</v>
      </c>
      <c r="R615" t="s">
        <v>50</v>
      </c>
      <c r="S615" t="s">
        <v>33</v>
      </c>
      <c r="T615" t="s">
        <v>34</v>
      </c>
      <c r="U615" t="s">
        <v>35</v>
      </c>
      <c r="V615" t="s">
        <v>36</v>
      </c>
      <c r="W615" t="s">
        <v>37</v>
      </c>
      <c r="X615" s="24">
        <v>5.6179775280898872</v>
      </c>
      <c r="Y615" s="24">
        <v>94.382022471910105</v>
      </c>
      <c r="Z615" t="s">
        <v>40</v>
      </c>
      <c r="AA615" t="s">
        <v>39</v>
      </c>
      <c r="AB615" t="s">
        <v>38</v>
      </c>
      <c r="AC615" s="24">
        <v>2.4000000000000128E-3</v>
      </c>
    </row>
    <row r="616" spans="1:29" x14ac:dyDescent="0.3">
      <c r="A616" s="2">
        <v>615</v>
      </c>
      <c r="B616" s="1">
        <v>40571</v>
      </c>
      <c r="C616" s="2">
        <v>1</v>
      </c>
      <c r="D616" s="2">
        <v>20</v>
      </c>
      <c r="E616" t="b">
        <v>0</v>
      </c>
      <c r="F616" s="2">
        <v>5</v>
      </c>
      <c r="G616" s="2">
        <v>2</v>
      </c>
      <c r="H616" s="23">
        <v>0.24</v>
      </c>
      <c r="I616" s="25">
        <v>0.2273</v>
      </c>
      <c r="J616" s="23">
        <v>0.7</v>
      </c>
      <c r="K616" s="25">
        <v>0.19400000000000001</v>
      </c>
      <c r="L616" s="2">
        <v>1</v>
      </c>
      <c r="M616" s="2">
        <v>61</v>
      </c>
      <c r="N616" s="2">
        <v>62</v>
      </c>
      <c r="O616" t="s">
        <v>29</v>
      </c>
      <c r="P616" t="s">
        <v>59</v>
      </c>
      <c r="Q616" t="s">
        <v>41</v>
      </c>
      <c r="R616" t="s">
        <v>50</v>
      </c>
      <c r="S616" t="s">
        <v>33</v>
      </c>
      <c r="T616" t="s">
        <v>34</v>
      </c>
      <c r="U616" t="s">
        <v>46</v>
      </c>
      <c r="V616" t="s">
        <v>36</v>
      </c>
      <c r="W616" t="s">
        <v>37</v>
      </c>
      <c r="X616" s="24">
        <v>1.612903225806452</v>
      </c>
      <c r="Y616" s="24">
        <v>98.387096774193552</v>
      </c>
      <c r="Z616" t="s">
        <v>38</v>
      </c>
      <c r="AA616" t="s">
        <v>39</v>
      </c>
      <c r="AB616" t="s">
        <v>38</v>
      </c>
      <c r="AC616" s="24">
        <v>-1.2699999999999991E-2</v>
      </c>
    </row>
    <row r="617" spans="1:29" x14ac:dyDescent="0.3">
      <c r="A617" s="2">
        <v>616</v>
      </c>
      <c r="B617" s="1">
        <v>40571</v>
      </c>
      <c r="C617" s="2">
        <v>1</v>
      </c>
      <c r="D617" s="2">
        <v>21</v>
      </c>
      <c r="E617" t="b">
        <v>0</v>
      </c>
      <c r="F617" s="2">
        <v>5</v>
      </c>
      <c r="G617" s="2">
        <v>2</v>
      </c>
      <c r="H617" s="23">
        <v>0.22</v>
      </c>
      <c r="I617" s="25">
        <v>0.2273</v>
      </c>
      <c r="J617" s="23">
        <v>0.75</v>
      </c>
      <c r="K617" s="25">
        <v>0.1343</v>
      </c>
      <c r="L617" s="2">
        <v>1</v>
      </c>
      <c r="M617" s="2">
        <v>57</v>
      </c>
      <c r="N617" s="2">
        <v>58</v>
      </c>
      <c r="O617" t="s">
        <v>29</v>
      </c>
      <c r="P617" t="s">
        <v>59</v>
      </c>
      <c r="Q617" t="s">
        <v>41</v>
      </c>
      <c r="R617" t="s">
        <v>32</v>
      </c>
      <c r="S617" t="s">
        <v>33</v>
      </c>
      <c r="T617" t="s">
        <v>34</v>
      </c>
      <c r="U617" t="s">
        <v>35</v>
      </c>
      <c r="V617" t="s">
        <v>36</v>
      </c>
      <c r="W617" t="s">
        <v>37</v>
      </c>
      <c r="X617" s="24">
        <v>1.7241379310344831</v>
      </c>
      <c r="Y617" s="24">
        <v>98.275862068965509</v>
      </c>
      <c r="Z617" t="s">
        <v>38</v>
      </c>
      <c r="AA617" t="s">
        <v>39</v>
      </c>
      <c r="AB617" t="s">
        <v>38</v>
      </c>
      <c r="AC617" s="24">
        <v>7.3000000000000009E-3</v>
      </c>
    </row>
    <row r="618" spans="1:29" x14ac:dyDescent="0.3">
      <c r="A618" s="2">
        <v>507</v>
      </c>
      <c r="B618" s="1">
        <v>40566</v>
      </c>
      <c r="C618" s="2">
        <v>1</v>
      </c>
      <c r="D618" s="2">
        <v>5</v>
      </c>
      <c r="E618" t="b">
        <v>0</v>
      </c>
      <c r="F618" s="2">
        <v>0</v>
      </c>
      <c r="G618" s="2">
        <v>2</v>
      </c>
      <c r="H618" s="23">
        <v>0.04</v>
      </c>
      <c r="I618" s="25">
        <v>7.5800000000000006E-2</v>
      </c>
      <c r="J618" s="23">
        <v>0.56999999999999995</v>
      </c>
      <c r="K618" s="25">
        <v>0.1045</v>
      </c>
      <c r="L618" s="2">
        <v>0</v>
      </c>
      <c r="M618" s="2">
        <v>3</v>
      </c>
      <c r="N618" s="2">
        <v>3</v>
      </c>
      <c r="O618" t="s">
        <v>29</v>
      </c>
      <c r="P618" t="s">
        <v>52</v>
      </c>
      <c r="Q618" t="s">
        <v>41</v>
      </c>
      <c r="R618" t="s">
        <v>32</v>
      </c>
      <c r="S618" t="s">
        <v>55</v>
      </c>
      <c r="T618" t="s">
        <v>49</v>
      </c>
      <c r="U618" t="s">
        <v>35</v>
      </c>
      <c r="V618" t="s">
        <v>36</v>
      </c>
      <c r="W618" t="s">
        <v>37</v>
      </c>
      <c r="X618" s="24">
        <v>0</v>
      </c>
      <c r="Y618" s="24">
        <v>100</v>
      </c>
      <c r="Z618" t="s">
        <v>38</v>
      </c>
      <c r="AA618" t="s">
        <v>39</v>
      </c>
      <c r="AB618" t="s">
        <v>40</v>
      </c>
      <c r="AC618" s="24">
        <v>3.5800000000000012E-2</v>
      </c>
    </row>
    <row r="619" spans="1:29" x14ac:dyDescent="0.3">
      <c r="A619" s="2">
        <v>508</v>
      </c>
      <c r="B619" s="1">
        <v>40566</v>
      </c>
      <c r="C619" s="2">
        <v>1</v>
      </c>
      <c r="D619" s="2">
        <v>6</v>
      </c>
      <c r="E619" t="b">
        <v>0</v>
      </c>
      <c r="F619" s="2">
        <v>0</v>
      </c>
      <c r="G619" s="2">
        <v>2</v>
      </c>
      <c r="H619" s="23">
        <v>0.04</v>
      </c>
      <c r="I619" s="25">
        <v>7.5800000000000006E-2</v>
      </c>
      <c r="J619" s="23">
        <v>0.56999999999999995</v>
      </c>
      <c r="K619" s="25">
        <v>0.1045</v>
      </c>
      <c r="L619" s="2">
        <v>0</v>
      </c>
      <c r="M619" s="2">
        <v>1</v>
      </c>
      <c r="N619" s="2">
        <v>1</v>
      </c>
      <c r="O619" t="s">
        <v>29</v>
      </c>
      <c r="P619" t="s">
        <v>52</v>
      </c>
      <c r="Q619" t="s">
        <v>41</v>
      </c>
      <c r="R619" t="s">
        <v>42</v>
      </c>
      <c r="S619" t="s">
        <v>55</v>
      </c>
      <c r="T619" t="s">
        <v>49</v>
      </c>
      <c r="U619" t="s">
        <v>35</v>
      </c>
      <c r="V619" t="s">
        <v>36</v>
      </c>
      <c r="W619" t="s">
        <v>37</v>
      </c>
      <c r="X619" s="24">
        <v>0</v>
      </c>
      <c r="Y619" s="24">
        <v>100</v>
      </c>
      <c r="Z619" t="s">
        <v>38</v>
      </c>
      <c r="AA619" t="s">
        <v>39</v>
      </c>
      <c r="AB619" t="s">
        <v>40</v>
      </c>
      <c r="AC619" s="24">
        <v>3.5800000000000012E-2</v>
      </c>
    </row>
    <row r="620" spans="1:29" x14ac:dyDescent="0.3">
      <c r="A620" s="2">
        <v>843</v>
      </c>
      <c r="B620" s="1">
        <v>40581</v>
      </c>
      <c r="C620" s="2">
        <v>1</v>
      </c>
      <c r="D620" s="2">
        <v>13</v>
      </c>
      <c r="E620" t="b">
        <v>0</v>
      </c>
      <c r="F620" s="2">
        <v>1</v>
      </c>
      <c r="G620" s="2">
        <v>2</v>
      </c>
      <c r="H620" s="23">
        <v>0.36</v>
      </c>
      <c r="I620" s="25">
        <v>0.36359999999999998</v>
      </c>
      <c r="J620" s="23">
        <v>0.56999999999999995</v>
      </c>
      <c r="K620" s="25">
        <v>8.9599999999999999E-2</v>
      </c>
      <c r="L620" s="2">
        <v>10</v>
      </c>
      <c r="M620" s="2">
        <v>54</v>
      </c>
      <c r="N620" s="2">
        <v>64</v>
      </c>
      <c r="O620" t="s">
        <v>29</v>
      </c>
      <c r="P620" t="s">
        <v>54</v>
      </c>
      <c r="Q620" t="s">
        <v>41</v>
      </c>
      <c r="R620" t="s">
        <v>47</v>
      </c>
      <c r="S620" t="s">
        <v>45</v>
      </c>
      <c r="T620" t="s">
        <v>49</v>
      </c>
      <c r="U620" t="s">
        <v>35</v>
      </c>
      <c r="V620" t="s">
        <v>36</v>
      </c>
      <c r="W620" t="s">
        <v>37</v>
      </c>
      <c r="X620" s="24">
        <v>15.625</v>
      </c>
      <c r="Y620" s="24">
        <v>84.375</v>
      </c>
      <c r="Z620" t="s">
        <v>38</v>
      </c>
      <c r="AA620" t="s">
        <v>39</v>
      </c>
      <c r="AB620" t="s">
        <v>38</v>
      </c>
      <c r="AC620" s="24">
        <v>3.5999999999999921E-3</v>
      </c>
    </row>
    <row r="621" spans="1:29" x14ac:dyDescent="0.3">
      <c r="A621" s="2">
        <v>844</v>
      </c>
      <c r="B621" s="1">
        <v>40581</v>
      </c>
      <c r="C621" s="2">
        <v>1</v>
      </c>
      <c r="D621" s="2">
        <v>14</v>
      </c>
      <c r="E621" t="b">
        <v>0</v>
      </c>
      <c r="F621" s="2">
        <v>1</v>
      </c>
      <c r="G621" s="2">
        <v>2</v>
      </c>
      <c r="H621" s="23">
        <v>0.36</v>
      </c>
      <c r="I621" s="25">
        <v>0.36359999999999998</v>
      </c>
      <c r="J621" s="23">
        <v>0.56999999999999995</v>
      </c>
      <c r="K621" s="25">
        <v>8.9599999999999999E-2</v>
      </c>
      <c r="L621" s="2">
        <v>8</v>
      </c>
      <c r="M621" s="2">
        <v>52</v>
      </c>
      <c r="N621" s="2">
        <v>60</v>
      </c>
      <c r="O621" t="s">
        <v>29</v>
      </c>
      <c r="P621" t="s">
        <v>54</v>
      </c>
      <c r="Q621" t="s">
        <v>41</v>
      </c>
      <c r="R621" t="s">
        <v>47</v>
      </c>
      <c r="S621" t="s">
        <v>45</v>
      </c>
      <c r="T621" t="s">
        <v>49</v>
      </c>
      <c r="U621" t="s">
        <v>35</v>
      </c>
      <c r="V621" t="s">
        <v>36</v>
      </c>
      <c r="W621" t="s">
        <v>37</v>
      </c>
      <c r="X621" s="24">
        <v>13.33333333333333</v>
      </c>
      <c r="Y621" s="24">
        <v>86.666666666666671</v>
      </c>
      <c r="Z621" t="s">
        <v>38</v>
      </c>
      <c r="AA621" t="s">
        <v>39</v>
      </c>
      <c r="AB621" t="s">
        <v>38</v>
      </c>
      <c r="AC621" s="24">
        <v>3.5999999999999921E-3</v>
      </c>
    </row>
    <row r="622" spans="1:29" x14ac:dyDescent="0.3">
      <c r="A622" s="2">
        <v>846</v>
      </c>
      <c r="B622" s="1">
        <v>40581</v>
      </c>
      <c r="C622" s="2">
        <v>1</v>
      </c>
      <c r="D622" s="2">
        <v>16</v>
      </c>
      <c r="E622" t="b">
        <v>0</v>
      </c>
      <c r="F622" s="2">
        <v>1</v>
      </c>
      <c r="G622" s="2">
        <v>2</v>
      </c>
      <c r="H622" s="23">
        <v>0.36</v>
      </c>
      <c r="I622" s="25">
        <v>0.34849999999999998</v>
      </c>
      <c r="J622" s="23">
        <v>0.56999999999999995</v>
      </c>
      <c r="K622" s="25">
        <v>0.1343</v>
      </c>
      <c r="L622" s="2">
        <v>16</v>
      </c>
      <c r="M622" s="2">
        <v>98</v>
      </c>
      <c r="N622" s="2">
        <v>114</v>
      </c>
      <c r="O622" t="s">
        <v>29</v>
      </c>
      <c r="P622" t="s">
        <v>54</v>
      </c>
      <c r="Q622" t="s">
        <v>41</v>
      </c>
      <c r="R622" t="s">
        <v>47</v>
      </c>
      <c r="S622" t="s">
        <v>45</v>
      </c>
      <c r="T622" t="s">
        <v>49</v>
      </c>
      <c r="U622" t="s">
        <v>35</v>
      </c>
      <c r="V622" t="s">
        <v>36</v>
      </c>
      <c r="W622" t="s">
        <v>37</v>
      </c>
      <c r="X622" s="24">
        <v>14.03508771929824</v>
      </c>
      <c r="Y622" s="24">
        <v>85.964912280701753</v>
      </c>
      <c r="Z622" t="s">
        <v>38</v>
      </c>
      <c r="AA622" t="s">
        <v>49</v>
      </c>
      <c r="AB622" t="s">
        <v>38</v>
      </c>
      <c r="AC622" s="24">
        <v>-1.150000000000001E-2</v>
      </c>
    </row>
    <row r="623" spans="1:29" x14ac:dyDescent="0.3">
      <c r="A623" s="2">
        <v>422</v>
      </c>
      <c r="B623" s="1">
        <v>40562</v>
      </c>
      <c r="C623" s="2">
        <v>1</v>
      </c>
      <c r="D623" s="2">
        <v>14</v>
      </c>
      <c r="E623" t="b">
        <v>0</v>
      </c>
      <c r="F623" s="2">
        <v>3</v>
      </c>
      <c r="G623" s="2">
        <v>1</v>
      </c>
      <c r="H623" s="23">
        <v>0.4</v>
      </c>
      <c r="I623" s="25">
        <v>0.40910000000000002</v>
      </c>
      <c r="J623" s="23">
        <v>0.57999999999999996</v>
      </c>
      <c r="K623" s="25">
        <v>0.25369999999999998</v>
      </c>
      <c r="L623" s="2">
        <v>7</v>
      </c>
      <c r="M623" s="2">
        <v>68</v>
      </c>
      <c r="N623" s="2">
        <v>75</v>
      </c>
      <c r="O623" t="s">
        <v>29</v>
      </c>
      <c r="P623" t="s">
        <v>57</v>
      </c>
      <c r="Q623" t="s">
        <v>31</v>
      </c>
      <c r="R623" t="s">
        <v>47</v>
      </c>
      <c r="S623" t="s">
        <v>45</v>
      </c>
      <c r="T623" t="s">
        <v>49</v>
      </c>
      <c r="U623" t="s">
        <v>46</v>
      </c>
      <c r="V623" t="s">
        <v>36</v>
      </c>
      <c r="W623" t="s">
        <v>37</v>
      </c>
      <c r="X623" s="24">
        <v>9.3333333333333339</v>
      </c>
      <c r="Y623" s="24">
        <v>90.666666666666657</v>
      </c>
      <c r="Z623" t="s">
        <v>38</v>
      </c>
      <c r="AA623" t="s">
        <v>39</v>
      </c>
      <c r="AB623" t="s">
        <v>38</v>
      </c>
      <c r="AC623" s="24">
        <v>9.099999999999997E-3</v>
      </c>
    </row>
    <row r="624" spans="1:29" x14ac:dyDescent="0.3">
      <c r="A624" s="2">
        <v>424</v>
      </c>
      <c r="B624" s="1">
        <v>40562</v>
      </c>
      <c r="C624" s="2">
        <v>1</v>
      </c>
      <c r="D624" s="2">
        <v>16</v>
      </c>
      <c r="E624" t="b">
        <v>0</v>
      </c>
      <c r="F624" s="2">
        <v>3</v>
      </c>
      <c r="G624" s="2">
        <v>1</v>
      </c>
      <c r="H624" s="23">
        <v>0.38</v>
      </c>
      <c r="I624" s="25">
        <v>0.39389999999999997</v>
      </c>
      <c r="J624" s="23">
        <v>0.57999999999999996</v>
      </c>
      <c r="K624" s="25">
        <v>0.3881</v>
      </c>
      <c r="L624" s="2">
        <v>10</v>
      </c>
      <c r="M624" s="2">
        <v>94</v>
      </c>
      <c r="N624" s="2">
        <v>104</v>
      </c>
      <c r="O624" t="s">
        <v>29</v>
      </c>
      <c r="P624" t="s">
        <v>57</v>
      </c>
      <c r="Q624" t="s">
        <v>31</v>
      </c>
      <c r="R624" t="s">
        <v>47</v>
      </c>
      <c r="S624" t="s">
        <v>45</v>
      </c>
      <c r="T624" t="s">
        <v>49</v>
      </c>
      <c r="U624" t="s">
        <v>53</v>
      </c>
      <c r="V624" t="s">
        <v>36</v>
      </c>
      <c r="W624" t="s">
        <v>37</v>
      </c>
      <c r="X624" s="24">
        <v>9.6153846153846168</v>
      </c>
      <c r="Y624" s="24">
        <v>90.384615384615387</v>
      </c>
      <c r="Z624" t="s">
        <v>38</v>
      </c>
      <c r="AA624" t="s">
        <v>49</v>
      </c>
      <c r="AB624" t="s">
        <v>38</v>
      </c>
      <c r="AC624" s="24">
        <v>1.389999999999997E-2</v>
      </c>
    </row>
    <row r="625" spans="1:29" x14ac:dyDescent="0.3">
      <c r="A625" s="2">
        <v>509</v>
      </c>
      <c r="B625" s="1">
        <v>40566</v>
      </c>
      <c r="C625" s="2">
        <v>1</v>
      </c>
      <c r="D625" s="2">
        <v>7</v>
      </c>
      <c r="E625" t="b">
        <v>0</v>
      </c>
      <c r="F625" s="2">
        <v>0</v>
      </c>
      <c r="G625" s="2">
        <v>1</v>
      </c>
      <c r="H625" s="23">
        <v>0.08</v>
      </c>
      <c r="I625" s="25">
        <v>0.1061</v>
      </c>
      <c r="J625" s="23">
        <v>0.57999999999999996</v>
      </c>
      <c r="K625" s="25">
        <v>0.16420000000000001</v>
      </c>
      <c r="L625" s="2">
        <v>1</v>
      </c>
      <c r="M625" s="2">
        <v>1</v>
      </c>
      <c r="N625" s="2">
        <v>2</v>
      </c>
      <c r="O625" t="s">
        <v>29</v>
      </c>
      <c r="P625" t="s">
        <v>52</v>
      </c>
      <c r="Q625" t="s">
        <v>31</v>
      </c>
      <c r="R625" t="s">
        <v>42</v>
      </c>
      <c r="S625" t="s">
        <v>55</v>
      </c>
      <c r="T625" t="s">
        <v>49</v>
      </c>
      <c r="U625" t="s">
        <v>46</v>
      </c>
      <c r="V625" t="s">
        <v>36</v>
      </c>
      <c r="W625" t="s">
        <v>37</v>
      </c>
      <c r="X625" s="24">
        <v>50</v>
      </c>
      <c r="Y625" s="24">
        <v>50</v>
      </c>
      <c r="Z625" t="s">
        <v>40</v>
      </c>
      <c r="AA625" t="s">
        <v>39</v>
      </c>
      <c r="AB625" t="s">
        <v>40</v>
      </c>
      <c r="AC625" s="24">
        <v>2.6100000000000002E-2</v>
      </c>
    </row>
    <row r="626" spans="1:29" x14ac:dyDescent="0.3">
      <c r="A626" s="2">
        <v>71</v>
      </c>
      <c r="B626" s="1">
        <v>40547</v>
      </c>
      <c r="C626" s="2">
        <v>1</v>
      </c>
      <c r="D626" s="2">
        <v>1</v>
      </c>
      <c r="E626" t="b">
        <v>0</v>
      </c>
      <c r="F626" s="2">
        <v>2</v>
      </c>
      <c r="G626" s="2">
        <v>1</v>
      </c>
      <c r="H626" s="23">
        <v>0.16</v>
      </c>
      <c r="I626" s="25">
        <v>0.18179999999999999</v>
      </c>
      <c r="J626" s="23">
        <v>0.59</v>
      </c>
      <c r="K626" s="25">
        <v>0.1045</v>
      </c>
      <c r="L626" s="2">
        <v>0</v>
      </c>
      <c r="M626" s="2">
        <v>2</v>
      </c>
      <c r="N626" s="2">
        <v>2</v>
      </c>
      <c r="O626" t="s">
        <v>29</v>
      </c>
      <c r="P626" t="s">
        <v>56</v>
      </c>
      <c r="Q626" t="s">
        <v>31</v>
      </c>
      <c r="R626" t="s">
        <v>32</v>
      </c>
      <c r="S626" t="s">
        <v>33</v>
      </c>
      <c r="T626" t="s">
        <v>49</v>
      </c>
      <c r="U626" t="s">
        <v>35</v>
      </c>
      <c r="V626" t="s">
        <v>36</v>
      </c>
      <c r="W626" t="s">
        <v>37</v>
      </c>
      <c r="X626" s="24">
        <v>0</v>
      </c>
      <c r="Y626" s="24">
        <v>100</v>
      </c>
      <c r="Z626" t="s">
        <v>38</v>
      </c>
      <c r="AA626" t="s">
        <v>39</v>
      </c>
      <c r="AB626" t="s">
        <v>38</v>
      </c>
      <c r="AC626" s="24">
        <v>2.179999999999999E-2</v>
      </c>
    </row>
    <row r="627" spans="1:29" x14ac:dyDescent="0.3">
      <c r="A627" s="2">
        <v>122</v>
      </c>
      <c r="B627" s="1">
        <v>40549</v>
      </c>
      <c r="C627" s="2">
        <v>1</v>
      </c>
      <c r="D627" s="2">
        <v>7</v>
      </c>
      <c r="E627" t="b">
        <v>0</v>
      </c>
      <c r="F627" s="2">
        <v>4</v>
      </c>
      <c r="G627" s="2">
        <v>2</v>
      </c>
      <c r="H627" s="23">
        <v>0.16</v>
      </c>
      <c r="I627" s="25">
        <v>0.2273</v>
      </c>
      <c r="J627" s="23">
        <v>0.59</v>
      </c>
      <c r="K627" s="25">
        <v>0</v>
      </c>
      <c r="L627" s="2">
        <v>0</v>
      </c>
      <c r="M627" s="2">
        <v>95</v>
      </c>
      <c r="N627" s="2">
        <v>95</v>
      </c>
      <c r="O627" t="s">
        <v>29</v>
      </c>
      <c r="P627" t="s">
        <v>58</v>
      </c>
      <c r="Q627" t="s">
        <v>41</v>
      </c>
      <c r="R627" t="s">
        <v>42</v>
      </c>
      <c r="S627" t="s">
        <v>33</v>
      </c>
      <c r="T627" t="s">
        <v>49</v>
      </c>
      <c r="U627" t="s">
        <v>35</v>
      </c>
      <c r="V627" t="s">
        <v>36</v>
      </c>
      <c r="W627" t="s">
        <v>37</v>
      </c>
      <c r="X627" s="24">
        <v>0</v>
      </c>
      <c r="Y627" s="24">
        <v>100</v>
      </c>
      <c r="Z627" t="s">
        <v>40</v>
      </c>
      <c r="AA627" t="s">
        <v>39</v>
      </c>
      <c r="AB627" t="s">
        <v>38</v>
      </c>
      <c r="AC627" s="24">
        <v>6.7299999999999999E-2</v>
      </c>
    </row>
    <row r="628" spans="1:29" x14ac:dyDescent="0.3">
      <c r="A628" s="2">
        <v>123</v>
      </c>
      <c r="B628" s="1">
        <v>40549</v>
      </c>
      <c r="C628" s="2">
        <v>1</v>
      </c>
      <c r="D628" s="2">
        <v>8</v>
      </c>
      <c r="E628" t="b">
        <v>0</v>
      </c>
      <c r="F628" s="2">
        <v>4</v>
      </c>
      <c r="G628" s="2">
        <v>1</v>
      </c>
      <c r="H628" s="23">
        <v>0.16</v>
      </c>
      <c r="I628" s="25">
        <v>0.2273</v>
      </c>
      <c r="J628" s="23">
        <v>0.59</v>
      </c>
      <c r="K628" s="25">
        <v>0</v>
      </c>
      <c r="L628" s="2">
        <v>3</v>
      </c>
      <c r="M628" s="2">
        <v>216</v>
      </c>
      <c r="N628" s="2">
        <v>219</v>
      </c>
      <c r="O628" t="s">
        <v>29</v>
      </c>
      <c r="P628" t="s">
        <v>58</v>
      </c>
      <c r="Q628" t="s">
        <v>31</v>
      </c>
      <c r="R628" t="s">
        <v>42</v>
      </c>
      <c r="S628" t="s">
        <v>33</v>
      </c>
      <c r="T628" t="s">
        <v>49</v>
      </c>
      <c r="U628" t="s">
        <v>35</v>
      </c>
      <c r="V628" t="s">
        <v>36</v>
      </c>
      <c r="W628" t="s">
        <v>37</v>
      </c>
      <c r="X628" s="24">
        <v>1.3698630136986301</v>
      </c>
      <c r="Y628" s="24">
        <v>98.630136986301366</v>
      </c>
      <c r="Z628" t="s">
        <v>40</v>
      </c>
      <c r="AA628" t="s">
        <v>49</v>
      </c>
      <c r="AB628" t="s">
        <v>38</v>
      </c>
      <c r="AC628" s="24">
        <v>6.7299999999999999E-2</v>
      </c>
    </row>
    <row r="629" spans="1:29" x14ac:dyDescent="0.3">
      <c r="A629" s="2">
        <v>138</v>
      </c>
      <c r="B629" s="1">
        <v>40549</v>
      </c>
      <c r="C629" s="2">
        <v>1</v>
      </c>
      <c r="D629" s="2">
        <v>23</v>
      </c>
      <c r="E629" t="b">
        <v>0</v>
      </c>
      <c r="F629" s="2">
        <v>4</v>
      </c>
      <c r="G629" s="2">
        <v>2</v>
      </c>
      <c r="H629" s="23">
        <v>0.2</v>
      </c>
      <c r="I629" s="25">
        <v>0.19700000000000001</v>
      </c>
      <c r="J629" s="23">
        <v>0.59</v>
      </c>
      <c r="K629" s="25">
        <v>0.19400000000000001</v>
      </c>
      <c r="L629" s="2">
        <v>4</v>
      </c>
      <c r="M629" s="2">
        <v>19</v>
      </c>
      <c r="N629" s="2">
        <v>23</v>
      </c>
      <c r="O629" t="s">
        <v>29</v>
      </c>
      <c r="P629" t="s">
        <v>58</v>
      </c>
      <c r="Q629" t="s">
        <v>41</v>
      </c>
      <c r="R629" t="s">
        <v>32</v>
      </c>
      <c r="S629" t="s">
        <v>33</v>
      </c>
      <c r="T629" t="s">
        <v>49</v>
      </c>
      <c r="U629" t="s">
        <v>46</v>
      </c>
      <c r="V629" t="s">
        <v>36</v>
      </c>
      <c r="W629" t="s">
        <v>37</v>
      </c>
      <c r="X629" s="24">
        <v>17.39130434782609</v>
      </c>
      <c r="Y629" s="24">
        <v>82.608695652173907</v>
      </c>
      <c r="Z629" t="s">
        <v>38</v>
      </c>
      <c r="AA629" t="s">
        <v>39</v>
      </c>
      <c r="AB629" t="s">
        <v>38</v>
      </c>
      <c r="AC629" s="24">
        <v>-3.0000000000000031E-3</v>
      </c>
    </row>
    <row r="630" spans="1:29" x14ac:dyDescent="0.3">
      <c r="A630" s="2">
        <v>174</v>
      </c>
      <c r="B630" s="1">
        <v>40551</v>
      </c>
      <c r="C630" s="2">
        <v>1</v>
      </c>
      <c r="D630" s="2">
        <v>12</v>
      </c>
      <c r="E630" t="b">
        <v>0</v>
      </c>
      <c r="F630" s="2">
        <v>6</v>
      </c>
      <c r="G630" s="2">
        <v>2</v>
      </c>
      <c r="H630" s="23">
        <v>0.2</v>
      </c>
      <c r="I630" s="25">
        <v>0.18179999999999999</v>
      </c>
      <c r="J630" s="23">
        <v>0.59</v>
      </c>
      <c r="K630" s="25">
        <v>0.35820000000000002</v>
      </c>
      <c r="L630" s="2">
        <v>8</v>
      </c>
      <c r="M630" s="2">
        <v>90</v>
      </c>
      <c r="N630" s="2">
        <v>98</v>
      </c>
      <c r="O630" t="s">
        <v>29</v>
      </c>
      <c r="P630" t="s">
        <v>30</v>
      </c>
      <c r="Q630" t="s">
        <v>41</v>
      </c>
      <c r="R630" t="s">
        <v>47</v>
      </c>
      <c r="S630" t="s">
        <v>33</v>
      </c>
      <c r="T630" t="s">
        <v>49</v>
      </c>
      <c r="U630" t="s">
        <v>53</v>
      </c>
      <c r="V630" t="s">
        <v>36</v>
      </c>
      <c r="W630" t="s">
        <v>37</v>
      </c>
      <c r="X630" s="24">
        <v>8.1632653061224492</v>
      </c>
      <c r="Y630" s="24">
        <v>91.83673469387756</v>
      </c>
      <c r="Z630" t="s">
        <v>38</v>
      </c>
      <c r="AA630" t="s">
        <v>39</v>
      </c>
      <c r="AB630" t="s">
        <v>40</v>
      </c>
      <c r="AC630" s="24">
        <v>-1.8200000000000022E-2</v>
      </c>
    </row>
    <row r="631" spans="1:29" x14ac:dyDescent="0.3">
      <c r="A631" s="2">
        <v>231</v>
      </c>
      <c r="B631" s="1">
        <v>40553</v>
      </c>
      <c r="C631" s="2">
        <v>1</v>
      </c>
      <c r="D631" s="2">
        <v>21</v>
      </c>
      <c r="E631" t="b">
        <v>0</v>
      </c>
      <c r="F631" s="2">
        <v>1</v>
      </c>
      <c r="G631" s="2">
        <v>1</v>
      </c>
      <c r="H631" s="23">
        <v>0.14000000000000001</v>
      </c>
      <c r="I631" s="25">
        <v>0.13639999999999999</v>
      </c>
      <c r="J631" s="23">
        <v>0.59</v>
      </c>
      <c r="K631" s="25">
        <v>0.19400000000000001</v>
      </c>
      <c r="L631" s="2">
        <v>1</v>
      </c>
      <c r="M631" s="2">
        <v>37</v>
      </c>
      <c r="N631" s="2">
        <v>38</v>
      </c>
      <c r="O631" t="s">
        <v>29</v>
      </c>
      <c r="P631" t="s">
        <v>54</v>
      </c>
      <c r="Q631" t="s">
        <v>31</v>
      </c>
      <c r="R631" t="s">
        <v>32</v>
      </c>
      <c r="S631" t="s">
        <v>55</v>
      </c>
      <c r="T631" t="s">
        <v>49</v>
      </c>
      <c r="U631" t="s">
        <v>46</v>
      </c>
      <c r="V631" t="s">
        <v>36</v>
      </c>
      <c r="W631" t="s">
        <v>37</v>
      </c>
      <c r="X631" s="24">
        <v>2.6315789473684208</v>
      </c>
      <c r="Y631" s="24">
        <v>97.368421052631575</v>
      </c>
      <c r="Z631" t="s">
        <v>38</v>
      </c>
      <c r="AA631" t="s">
        <v>39</v>
      </c>
      <c r="AB631" t="s">
        <v>38</v>
      </c>
      <c r="AC631" s="24">
        <v>-3.6000000000000199E-3</v>
      </c>
    </row>
    <row r="632" spans="1:29" x14ac:dyDescent="0.3">
      <c r="A632" s="2">
        <v>232</v>
      </c>
      <c r="B632" s="1">
        <v>40553</v>
      </c>
      <c r="C632" s="2">
        <v>1</v>
      </c>
      <c r="D632" s="2">
        <v>22</v>
      </c>
      <c r="E632" t="b">
        <v>0</v>
      </c>
      <c r="F632" s="2">
        <v>1</v>
      </c>
      <c r="G632" s="2">
        <v>1</v>
      </c>
      <c r="H632" s="23">
        <v>0.14000000000000001</v>
      </c>
      <c r="I632" s="25">
        <v>0.1515</v>
      </c>
      <c r="J632" s="23">
        <v>0.59</v>
      </c>
      <c r="K632" s="25">
        <v>0.16420000000000001</v>
      </c>
      <c r="L632" s="2">
        <v>2</v>
      </c>
      <c r="M632" s="2">
        <v>22</v>
      </c>
      <c r="N632" s="2">
        <v>24</v>
      </c>
      <c r="O632" t="s">
        <v>29</v>
      </c>
      <c r="P632" t="s">
        <v>54</v>
      </c>
      <c r="Q632" t="s">
        <v>31</v>
      </c>
      <c r="R632" t="s">
        <v>32</v>
      </c>
      <c r="S632" t="s">
        <v>55</v>
      </c>
      <c r="T632" t="s">
        <v>49</v>
      </c>
      <c r="U632" t="s">
        <v>46</v>
      </c>
      <c r="V632" t="s">
        <v>36</v>
      </c>
      <c r="W632" t="s">
        <v>37</v>
      </c>
      <c r="X632" s="24">
        <v>8.3333333333333321</v>
      </c>
      <c r="Y632" s="24">
        <v>91.666666666666657</v>
      </c>
      <c r="Z632" t="s">
        <v>38</v>
      </c>
      <c r="AA632" t="s">
        <v>39</v>
      </c>
      <c r="AB632" t="s">
        <v>38</v>
      </c>
      <c r="AC632" s="24">
        <v>1.1499999999999981E-2</v>
      </c>
    </row>
    <row r="633" spans="1:29" x14ac:dyDescent="0.3">
      <c r="A633" s="2">
        <v>233</v>
      </c>
      <c r="B633" s="1">
        <v>40553</v>
      </c>
      <c r="C633" s="2">
        <v>1</v>
      </c>
      <c r="D633" s="2">
        <v>23</v>
      </c>
      <c r="E633" t="b">
        <v>0</v>
      </c>
      <c r="F633" s="2">
        <v>1</v>
      </c>
      <c r="G633" s="2">
        <v>1</v>
      </c>
      <c r="H633" s="23">
        <v>0.14000000000000001</v>
      </c>
      <c r="I633" s="25">
        <v>0.1515</v>
      </c>
      <c r="J633" s="23">
        <v>0.59</v>
      </c>
      <c r="K633" s="25">
        <v>0.16420000000000001</v>
      </c>
      <c r="L633" s="2">
        <v>0</v>
      </c>
      <c r="M633" s="2">
        <v>18</v>
      </c>
      <c r="N633" s="2">
        <v>18</v>
      </c>
      <c r="O633" t="s">
        <v>29</v>
      </c>
      <c r="P633" t="s">
        <v>54</v>
      </c>
      <c r="Q633" t="s">
        <v>31</v>
      </c>
      <c r="R633" t="s">
        <v>32</v>
      </c>
      <c r="S633" t="s">
        <v>55</v>
      </c>
      <c r="T633" t="s">
        <v>49</v>
      </c>
      <c r="U633" t="s">
        <v>46</v>
      </c>
      <c r="V633" t="s">
        <v>36</v>
      </c>
      <c r="W633" t="s">
        <v>37</v>
      </c>
      <c r="X633" s="24">
        <v>0</v>
      </c>
      <c r="Y633" s="24">
        <v>100</v>
      </c>
      <c r="Z633" t="s">
        <v>38</v>
      </c>
      <c r="AA633" t="s">
        <v>39</v>
      </c>
      <c r="AB633" t="s">
        <v>38</v>
      </c>
      <c r="AC633" s="24">
        <v>1.1499999999999981E-2</v>
      </c>
    </row>
    <row r="634" spans="1:29" x14ac:dyDescent="0.3">
      <c r="A634" s="2">
        <v>234</v>
      </c>
      <c r="B634" s="1">
        <v>40554</v>
      </c>
      <c r="C634" s="2">
        <v>1</v>
      </c>
      <c r="D634" s="2">
        <v>0</v>
      </c>
      <c r="E634" t="b">
        <v>0</v>
      </c>
      <c r="F634" s="2">
        <v>2</v>
      </c>
      <c r="G634" s="2">
        <v>1</v>
      </c>
      <c r="H634" s="23">
        <v>0.14000000000000001</v>
      </c>
      <c r="I634" s="25">
        <v>0.16669999999999999</v>
      </c>
      <c r="J634" s="23">
        <v>0.59</v>
      </c>
      <c r="K634" s="25">
        <v>0.1045</v>
      </c>
      <c r="L634" s="2">
        <v>2</v>
      </c>
      <c r="M634" s="2">
        <v>10</v>
      </c>
      <c r="N634" s="2">
        <v>12</v>
      </c>
      <c r="O634" t="s">
        <v>29</v>
      </c>
      <c r="P634" t="s">
        <v>56</v>
      </c>
      <c r="Q634" t="s">
        <v>31</v>
      </c>
      <c r="R634" t="s">
        <v>32</v>
      </c>
      <c r="S634" t="s">
        <v>55</v>
      </c>
      <c r="T634" t="s">
        <v>49</v>
      </c>
      <c r="U634" t="s">
        <v>35</v>
      </c>
      <c r="V634" t="s">
        <v>36</v>
      </c>
      <c r="W634" t="s">
        <v>37</v>
      </c>
      <c r="X634" s="24">
        <v>16.666666666666661</v>
      </c>
      <c r="Y634" s="24">
        <v>83.333333333333343</v>
      </c>
      <c r="Z634" t="s">
        <v>38</v>
      </c>
      <c r="AA634" t="s">
        <v>39</v>
      </c>
      <c r="AB634" t="s">
        <v>38</v>
      </c>
      <c r="AC634" s="24">
        <v>2.669999999999997E-2</v>
      </c>
    </row>
    <row r="635" spans="1:29" x14ac:dyDescent="0.3">
      <c r="A635" s="2">
        <v>235</v>
      </c>
      <c r="B635" s="1">
        <v>40554</v>
      </c>
      <c r="C635" s="2">
        <v>1</v>
      </c>
      <c r="D635" s="2">
        <v>1</v>
      </c>
      <c r="E635" t="b">
        <v>0</v>
      </c>
      <c r="F635" s="2">
        <v>2</v>
      </c>
      <c r="G635" s="2">
        <v>1</v>
      </c>
      <c r="H635" s="23">
        <v>0.14000000000000001</v>
      </c>
      <c r="I635" s="25">
        <v>0.1515</v>
      </c>
      <c r="J635" s="23">
        <v>0.59</v>
      </c>
      <c r="K635" s="25">
        <v>0.16420000000000001</v>
      </c>
      <c r="L635" s="2">
        <v>0</v>
      </c>
      <c r="M635" s="2">
        <v>3</v>
      </c>
      <c r="N635" s="2">
        <v>3</v>
      </c>
      <c r="O635" t="s">
        <v>29</v>
      </c>
      <c r="P635" t="s">
        <v>56</v>
      </c>
      <c r="Q635" t="s">
        <v>31</v>
      </c>
      <c r="R635" t="s">
        <v>32</v>
      </c>
      <c r="S635" t="s">
        <v>55</v>
      </c>
      <c r="T635" t="s">
        <v>49</v>
      </c>
      <c r="U635" t="s">
        <v>46</v>
      </c>
      <c r="V635" t="s">
        <v>36</v>
      </c>
      <c r="W635" t="s">
        <v>37</v>
      </c>
      <c r="X635" s="24">
        <v>0</v>
      </c>
      <c r="Y635" s="24">
        <v>100</v>
      </c>
      <c r="Z635" t="s">
        <v>38</v>
      </c>
      <c r="AA635" t="s">
        <v>39</v>
      </c>
      <c r="AB635" t="s">
        <v>38</v>
      </c>
      <c r="AC635" s="24">
        <v>1.1499999999999981E-2</v>
      </c>
    </row>
    <row r="636" spans="1:29" x14ac:dyDescent="0.3">
      <c r="A636" s="2">
        <v>245</v>
      </c>
      <c r="B636" s="1">
        <v>40554</v>
      </c>
      <c r="C636" s="2">
        <v>1</v>
      </c>
      <c r="D636" s="2">
        <v>13</v>
      </c>
      <c r="E636" t="b">
        <v>0</v>
      </c>
      <c r="F636" s="2">
        <v>2</v>
      </c>
      <c r="G636" s="2">
        <v>2</v>
      </c>
      <c r="H636" s="23">
        <v>0.2</v>
      </c>
      <c r="I636" s="25">
        <v>0.2273</v>
      </c>
      <c r="J636" s="23">
        <v>0.59</v>
      </c>
      <c r="K636" s="25">
        <v>8.9599999999999999E-2</v>
      </c>
      <c r="L636" s="2">
        <v>6</v>
      </c>
      <c r="M636" s="2">
        <v>46</v>
      </c>
      <c r="N636" s="2">
        <v>52</v>
      </c>
      <c r="O636" t="s">
        <v>29</v>
      </c>
      <c r="P636" t="s">
        <v>56</v>
      </c>
      <c r="Q636" t="s">
        <v>41</v>
      </c>
      <c r="R636" t="s">
        <v>47</v>
      </c>
      <c r="S636" t="s">
        <v>33</v>
      </c>
      <c r="T636" t="s">
        <v>49</v>
      </c>
      <c r="U636" t="s">
        <v>35</v>
      </c>
      <c r="V636" t="s">
        <v>36</v>
      </c>
      <c r="W636" t="s">
        <v>37</v>
      </c>
      <c r="X636" s="24">
        <v>11.53846153846154</v>
      </c>
      <c r="Y636" s="24">
        <v>88.461538461538453</v>
      </c>
      <c r="Z636" t="s">
        <v>38</v>
      </c>
      <c r="AA636" t="s">
        <v>39</v>
      </c>
      <c r="AB636" t="s">
        <v>38</v>
      </c>
      <c r="AC636" s="24">
        <v>2.7299999999999991E-2</v>
      </c>
    </row>
    <row r="637" spans="1:29" x14ac:dyDescent="0.3">
      <c r="A637" s="2">
        <v>246</v>
      </c>
      <c r="B637" s="1">
        <v>40554</v>
      </c>
      <c r="C637" s="2">
        <v>1</v>
      </c>
      <c r="D637" s="2">
        <v>14</v>
      </c>
      <c r="E637" t="b">
        <v>0</v>
      </c>
      <c r="F637" s="2">
        <v>2</v>
      </c>
      <c r="G637" s="2">
        <v>2</v>
      </c>
      <c r="H637" s="23">
        <v>0.2</v>
      </c>
      <c r="I637" s="25">
        <v>0.2273</v>
      </c>
      <c r="J637" s="23">
        <v>0.59</v>
      </c>
      <c r="K637" s="25">
        <v>8.9599999999999999E-2</v>
      </c>
      <c r="L637" s="2">
        <v>3</v>
      </c>
      <c r="M637" s="2">
        <v>60</v>
      </c>
      <c r="N637" s="2">
        <v>63</v>
      </c>
      <c r="O637" t="s">
        <v>29</v>
      </c>
      <c r="P637" t="s">
        <v>56</v>
      </c>
      <c r="Q637" t="s">
        <v>41</v>
      </c>
      <c r="R637" t="s">
        <v>47</v>
      </c>
      <c r="S637" t="s">
        <v>33</v>
      </c>
      <c r="T637" t="s">
        <v>49</v>
      </c>
      <c r="U637" t="s">
        <v>35</v>
      </c>
      <c r="V637" t="s">
        <v>36</v>
      </c>
      <c r="W637" t="s">
        <v>37</v>
      </c>
      <c r="X637" s="24">
        <v>4.7619047619047619</v>
      </c>
      <c r="Y637" s="24">
        <v>95.238095238095227</v>
      </c>
      <c r="Z637" t="s">
        <v>38</v>
      </c>
      <c r="AA637" t="s">
        <v>39</v>
      </c>
      <c r="AB637" t="s">
        <v>38</v>
      </c>
      <c r="AC637" s="24">
        <v>2.7299999999999991E-2</v>
      </c>
    </row>
    <row r="638" spans="1:29" x14ac:dyDescent="0.3">
      <c r="A638" s="2">
        <v>262</v>
      </c>
      <c r="B638" s="1">
        <v>40555</v>
      </c>
      <c r="C638" s="2">
        <v>1</v>
      </c>
      <c r="D638" s="2">
        <v>8</v>
      </c>
      <c r="E638" t="b">
        <v>0</v>
      </c>
      <c r="F638" s="2">
        <v>3</v>
      </c>
      <c r="G638" s="2">
        <v>1</v>
      </c>
      <c r="H638" s="23">
        <v>0.16</v>
      </c>
      <c r="I638" s="25">
        <v>0.16669999999999999</v>
      </c>
      <c r="J638" s="23">
        <v>0.59</v>
      </c>
      <c r="K638" s="25">
        <v>0.16420000000000001</v>
      </c>
      <c r="L638" s="2">
        <v>3</v>
      </c>
      <c r="M638" s="2">
        <v>125</v>
      </c>
      <c r="N638" s="2">
        <v>128</v>
      </c>
      <c r="O638" t="s">
        <v>29</v>
      </c>
      <c r="P638" t="s">
        <v>57</v>
      </c>
      <c r="Q638" t="s">
        <v>31</v>
      </c>
      <c r="R638" t="s">
        <v>42</v>
      </c>
      <c r="S638" t="s">
        <v>33</v>
      </c>
      <c r="T638" t="s">
        <v>49</v>
      </c>
      <c r="U638" t="s">
        <v>46</v>
      </c>
      <c r="V638" t="s">
        <v>36</v>
      </c>
      <c r="W638" t="s">
        <v>37</v>
      </c>
      <c r="X638" s="24">
        <v>2.34375</v>
      </c>
      <c r="Y638" s="24">
        <v>97.65625</v>
      </c>
      <c r="Z638" t="s">
        <v>40</v>
      </c>
      <c r="AA638" t="s">
        <v>49</v>
      </c>
      <c r="AB638" t="s">
        <v>38</v>
      </c>
      <c r="AC638" s="24">
        <v>6.6999999999999837E-3</v>
      </c>
    </row>
    <row r="639" spans="1:29" x14ac:dyDescent="0.3">
      <c r="A639" s="2">
        <v>638</v>
      </c>
      <c r="B639" s="1">
        <v>40572</v>
      </c>
      <c r="C639" s="2">
        <v>1</v>
      </c>
      <c r="D639" s="2">
        <v>20</v>
      </c>
      <c r="E639" t="b">
        <v>0</v>
      </c>
      <c r="F639" s="2">
        <v>6</v>
      </c>
      <c r="G639" s="2">
        <v>1</v>
      </c>
      <c r="H639" s="23">
        <v>0.18</v>
      </c>
      <c r="I639" s="25">
        <v>0.21210000000000001</v>
      </c>
      <c r="J639" s="23">
        <v>0.74</v>
      </c>
      <c r="K639" s="25">
        <v>8.9599999999999999E-2</v>
      </c>
      <c r="L639" s="2">
        <v>1</v>
      </c>
      <c r="M639" s="2">
        <v>42</v>
      </c>
      <c r="N639" s="2">
        <v>43</v>
      </c>
      <c r="O639" t="s">
        <v>29</v>
      </c>
      <c r="P639" t="s">
        <v>30</v>
      </c>
      <c r="Q639" t="s">
        <v>31</v>
      </c>
      <c r="R639" t="s">
        <v>50</v>
      </c>
      <c r="S639" t="s">
        <v>33</v>
      </c>
      <c r="T639" t="s">
        <v>34</v>
      </c>
      <c r="U639" t="s">
        <v>35</v>
      </c>
      <c r="V639" t="s">
        <v>36</v>
      </c>
      <c r="W639" t="s">
        <v>37</v>
      </c>
      <c r="X639" s="24">
        <v>2.3255813953488369</v>
      </c>
      <c r="Y639" s="24">
        <v>97.674418604651152</v>
      </c>
      <c r="Z639" t="s">
        <v>38</v>
      </c>
      <c r="AA639" t="s">
        <v>39</v>
      </c>
      <c r="AB639" t="s">
        <v>40</v>
      </c>
      <c r="AC639" s="24">
        <v>3.2100000000000017E-2</v>
      </c>
    </row>
    <row r="640" spans="1:29" x14ac:dyDescent="0.3">
      <c r="A640" s="2">
        <v>639</v>
      </c>
      <c r="B640" s="1">
        <v>40572</v>
      </c>
      <c r="C640" s="2">
        <v>1</v>
      </c>
      <c r="D640" s="2">
        <v>21</v>
      </c>
      <c r="E640" t="b">
        <v>0</v>
      </c>
      <c r="F640" s="2">
        <v>6</v>
      </c>
      <c r="G640" s="2">
        <v>1</v>
      </c>
      <c r="H640" s="23">
        <v>0.18</v>
      </c>
      <c r="I640" s="25">
        <v>0.21210000000000001</v>
      </c>
      <c r="J640" s="23">
        <v>0.74</v>
      </c>
      <c r="K640" s="25">
        <v>8.9599999999999999E-2</v>
      </c>
      <c r="L640" s="2">
        <v>1</v>
      </c>
      <c r="M640" s="2">
        <v>35</v>
      </c>
      <c r="N640" s="2">
        <v>36</v>
      </c>
      <c r="O640" t="s">
        <v>29</v>
      </c>
      <c r="P640" t="s">
        <v>30</v>
      </c>
      <c r="Q640" t="s">
        <v>31</v>
      </c>
      <c r="R640" t="s">
        <v>32</v>
      </c>
      <c r="S640" t="s">
        <v>33</v>
      </c>
      <c r="T640" t="s">
        <v>34</v>
      </c>
      <c r="U640" t="s">
        <v>35</v>
      </c>
      <c r="V640" t="s">
        <v>36</v>
      </c>
      <c r="W640" t="s">
        <v>37</v>
      </c>
      <c r="X640" s="24">
        <v>2.7777777777777781</v>
      </c>
      <c r="Y640" s="24">
        <v>97.222222222222214</v>
      </c>
      <c r="Z640" t="s">
        <v>38</v>
      </c>
      <c r="AA640" t="s">
        <v>39</v>
      </c>
      <c r="AB640" t="s">
        <v>40</v>
      </c>
      <c r="AC640" s="24">
        <v>3.2100000000000017E-2</v>
      </c>
    </row>
    <row r="641" spans="1:29" x14ac:dyDescent="0.3">
      <c r="A641" s="2">
        <v>640</v>
      </c>
      <c r="B641" s="1">
        <v>40572</v>
      </c>
      <c r="C641" s="2">
        <v>1</v>
      </c>
      <c r="D641" s="2">
        <v>22</v>
      </c>
      <c r="E641" t="b">
        <v>0</v>
      </c>
      <c r="F641" s="2">
        <v>6</v>
      </c>
      <c r="G641" s="2">
        <v>1</v>
      </c>
      <c r="H641" s="23">
        <v>0.16</v>
      </c>
      <c r="I641" s="25">
        <v>0.19700000000000001</v>
      </c>
      <c r="J641" s="23">
        <v>0.8</v>
      </c>
      <c r="K641" s="25">
        <v>8.9599999999999999E-2</v>
      </c>
      <c r="L641" s="2">
        <v>4</v>
      </c>
      <c r="M641" s="2">
        <v>28</v>
      </c>
      <c r="N641" s="2">
        <v>32</v>
      </c>
      <c r="O641" t="s">
        <v>29</v>
      </c>
      <c r="P641" t="s">
        <v>30</v>
      </c>
      <c r="Q641" t="s">
        <v>31</v>
      </c>
      <c r="R641" t="s">
        <v>32</v>
      </c>
      <c r="S641" t="s">
        <v>33</v>
      </c>
      <c r="T641" t="s">
        <v>34</v>
      </c>
      <c r="U641" t="s">
        <v>35</v>
      </c>
      <c r="V641" t="s">
        <v>36</v>
      </c>
      <c r="W641" t="s">
        <v>37</v>
      </c>
      <c r="X641" s="24">
        <v>12.5</v>
      </c>
      <c r="Y641" s="24">
        <v>87.5</v>
      </c>
      <c r="Z641" t="s">
        <v>38</v>
      </c>
      <c r="AA641" t="s">
        <v>39</v>
      </c>
      <c r="AB641" t="s">
        <v>40</v>
      </c>
      <c r="AC641" s="24">
        <v>3.7000000000000012E-2</v>
      </c>
    </row>
    <row r="642" spans="1:29" x14ac:dyDescent="0.3">
      <c r="A642" s="2">
        <v>641</v>
      </c>
      <c r="B642" s="1">
        <v>40572</v>
      </c>
      <c r="C642" s="2">
        <v>1</v>
      </c>
      <c r="D642" s="2">
        <v>23</v>
      </c>
      <c r="E642" t="b">
        <v>0</v>
      </c>
      <c r="F642" s="2">
        <v>6</v>
      </c>
      <c r="G642" s="2">
        <v>1</v>
      </c>
      <c r="H642" s="23">
        <v>0.16</v>
      </c>
      <c r="I642" s="25">
        <v>0.19700000000000001</v>
      </c>
      <c r="J642" s="23">
        <v>0.8</v>
      </c>
      <c r="K642" s="25">
        <v>8.9599999999999999E-2</v>
      </c>
      <c r="L642" s="2">
        <v>3</v>
      </c>
      <c r="M642" s="2">
        <v>30</v>
      </c>
      <c r="N642" s="2">
        <v>33</v>
      </c>
      <c r="O642" t="s">
        <v>29</v>
      </c>
      <c r="P642" t="s">
        <v>30</v>
      </c>
      <c r="Q642" t="s">
        <v>31</v>
      </c>
      <c r="R642" t="s">
        <v>32</v>
      </c>
      <c r="S642" t="s">
        <v>33</v>
      </c>
      <c r="T642" t="s">
        <v>34</v>
      </c>
      <c r="U642" t="s">
        <v>35</v>
      </c>
      <c r="V642" t="s">
        <v>36</v>
      </c>
      <c r="W642" t="s">
        <v>37</v>
      </c>
      <c r="X642" s="24">
        <v>9.0909090909090917</v>
      </c>
      <c r="Y642" s="24">
        <v>90.909090909090907</v>
      </c>
      <c r="Z642" t="s">
        <v>38</v>
      </c>
      <c r="AA642" t="s">
        <v>39</v>
      </c>
      <c r="AB642" t="s">
        <v>40</v>
      </c>
      <c r="AC642" s="24">
        <v>3.7000000000000012E-2</v>
      </c>
    </row>
    <row r="643" spans="1:29" x14ac:dyDescent="0.3">
      <c r="A643" s="2">
        <v>642</v>
      </c>
      <c r="B643" s="1">
        <v>40573</v>
      </c>
      <c r="C643" s="2">
        <v>1</v>
      </c>
      <c r="D643" s="2">
        <v>0</v>
      </c>
      <c r="E643" t="b">
        <v>0</v>
      </c>
      <c r="F643" s="2">
        <v>0</v>
      </c>
      <c r="G643" s="2">
        <v>1</v>
      </c>
      <c r="H643" s="23">
        <v>0.16</v>
      </c>
      <c r="I643" s="25">
        <v>0.18179999999999999</v>
      </c>
      <c r="J643" s="23">
        <v>0.8</v>
      </c>
      <c r="K643" s="25">
        <v>0.1045</v>
      </c>
      <c r="L643" s="2">
        <v>0</v>
      </c>
      <c r="M643" s="2">
        <v>33</v>
      </c>
      <c r="N643" s="2">
        <v>33</v>
      </c>
      <c r="O643" t="s">
        <v>29</v>
      </c>
      <c r="P643" t="s">
        <v>52</v>
      </c>
      <c r="Q643" t="s">
        <v>31</v>
      </c>
      <c r="R643" t="s">
        <v>32</v>
      </c>
      <c r="S643" t="s">
        <v>33</v>
      </c>
      <c r="T643" t="s">
        <v>34</v>
      </c>
      <c r="U643" t="s">
        <v>35</v>
      </c>
      <c r="V643" t="s">
        <v>36</v>
      </c>
      <c r="W643" t="s">
        <v>37</v>
      </c>
      <c r="X643" s="24">
        <v>0</v>
      </c>
      <c r="Y643" s="24">
        <v>100</v>
      </c>
      <c r="Z643" t="s">
        <v>38</v>
      </c>
      <c r="AA643" t="s">
        <v>39</v>
      </c>
      <c r="AB643" t="s">
        <v>40</v>
      </c>
      <c r="AC643" s="24">
        <v>2.179999999999999E-2</v>
      </c>
    </row>
    <row r="644" spans="1:29" x14ac:dyDescent="0.3">
      <c r="A644" s="2">
        <v>643</v>
      </c>
      <c r="B644" s="1">
        <v>40573</v>
      </c>
      <c r="C644" s="2">
        <v>1</v>
      </c>
      <c r="D644" s="2">
        <v>1</v>
      </c>
      <c r="E644" t="b">
        <v>0</v>
      </c>
      <c r="F644" s="2">
        <v>0</v>
      </c>
      <c r="G644" s="2">
        <v>1</v>
      </c>
      <c r="H644" s="23">
        <v>0.14000000000000001</v>
      </c>
      <c r="I644" s="25">
        <v>0.21210000000000001</v>
      </c>
      <c r="J644" s="23">
        <v>0.8</v>
      </c>
      <c r="K644" s="25">
        <v>0</v>
      </c>
      <c r="L644" s="2">
        <v>7</v>
      </c>
      <c r="M644" s="2">
        <v>22</v>
      </c>
      <c r="N644" s="2">
        <v>29</v>
      </c>
      <c r="O644" t="s">
        <v>29</v>
      </c>
      <c r="P644" t="s">
        <v>52</v>
      </c>
      <c r="Q644" t="s">
        <v>31</v>
      </c>
      <c r="R644" t="s">
        <v>32</v>
      </c>
      <c r="S644" t="s">
        <v>55</v>
      </c>
      <c r="T644" t="s">
        <v>34</v>
      </c>
      <c r="U644" t="s">
        <v>35</v>
      </c>
      <c r="V644" t="s">
        <v>36</v>
      </c>
      <c r="W644" t="s">
        <v>37</v>
      </c>
      <c r="X644" s="24">
        <v>24.137931034482762</v>
      </c>
      <c r="Y644" s="24">
        <v>75.862068965517238</v>
      </c>
      <c r="Z644" t="s">
        <v>38</v>
      </c>
      <c r="AA644" t="s">
        <v>39</v>
      </c>
      <c r="AB644" t="s">
        <v>40</v>
      </c>
      <c r="AC644" s="24">
        <v>7.2099999999999997E-2</v>
      </c>
    </row>
    <row r="645" spans="1:29" x14ac:dyDescent="0.3">
      <c r="A645" s="2">
        <v>644</v>
      </c>
      <c r="B645" s="1">
        <v>40573</v>
      </c>
      <c r="C645" s="2">
        <v>1</v>
      </c>
      <c r="D645" s="2">
        <v>2</v>
      </c>
      <c r="E645" t="b">
        <v>0</v>
      </c>
      <c r="F645" s="2">
        <v>0</v>
      </c>
      <c r="G645" s="2">
        <v>1</v>
      </c>
      <c r="H645" s="23">
        <v>0.16</v>
      </c>
      <c r="I645" s="25">
        <v>0.2273</v>
      </c>
      <c r="J645" s="23">
        <v>0.8</v>
      </c>
      <c r="K645" s="25">
        <v>0</v>
      </c>
      <c r="L645" s="2">
        <v>1</v>
      </c>
      <c r="M645" s="2">
        <v>10</v>
      </c>
      <c r="N645" s="2">
        <v>11</v>
      </c>
      <c r="O645" t="s">
        <v>29</v>
      </c>
      <c r="P645" t="s">
        <v>52</v>
      </c>
      <c r="Q645" t="s">
        <v>31</v>
      </c>
      <c r="R645" t="s">
        <v>32</v>
      </c>
      <c r="S645" t="s">
        <v>33</v>
      </c>
      <c r="T645" t="s">
        <v>34</v>
      </c>
      <c r="U645" t="s">
        <v>35</v>
      </c>
      <c r="V645" t="s">
        <v>36</v>
      </c>
      <c r="W645" t="s">
        <v>37</v>
      </c>
      <c r="X645" s="24">
        <v>9.0909090909090917</v>
      </c>
      <c r="Y645" s="24">
        <v>90.909090909090907</v>
      </c>
      <c r="Z645" t="s">
        <v>38</v>
      </c>
      <c r="AA645" t="s">
        <v>39</v>
      </c>
      <c r="AB645" t="s">
        <v>40</v>
      </c>
      <c r="AC645" s="24">
        <v>6.7299999999999999E-2</v>
      </c>
    </row>
    <row r="646" spans="1:29" x14ac:dyDescent="0.3">
      <c r="A646" s="2">
        <v>645</v>
      </c>
      <c r="B646" s="1">
        <v>40573</v>
      </c>
      <c r="C646" s="2">
        <v>1</v>
      </c>
      <c r="D646" s="2">
        <v>3</v>
      </c>
      <c r="E646" t="b">
        <v>0</v>
      </c>
      <c r="F646" s="2">
        <v>0</v>
      </c>
      <c r="G646" s="2">
        <v>1</v>
      </c>
      <c r="H646" s="23">
        <v>0.14000000000000001</v>
      </c>
      <c r="I646" s="25">
        <v>0.21210000000000001</v>
      </c>
      <c r="J646" s="23">
        <v>0.93</v>
      </c>
      <c r="K646" s="25">
        <v>0</v>
      </c>
      <c r="L646" s="2">
        <v>1</v>
      </c>
      <c r="M646" s="2">
        <v>7</v>
      </c>
      <c r="N646" s="2">
        <v>8</v>
      </c>
      <c r="O646" t="s">
        <v>29</v>
      </c>
      <c r="P646" t="s">
        <v>52</v>
      </c>
      <c r="Q646" t="s">
        <v>31</v>
      </c>
      <c r="R646" t="s">
        <v>32</v>
      </c>
      <c r="S646" t="s">
        <v>55</v>
      </c>
      <c r="T646" t="s">
        <v>34</v>
      </c>
      <c r="U646" t="s">
        <v>35</v>
      </c>
      <c r="V646" t="s">
        <v>36</v>
      </c>
      <c r="W646" t="s">
        <v>37</v>
      </c>
      <c r="X646" s="24">
        <v>12.5</v>
      </c>
      <c r="Y646" s="24">
        <v>87.5</v>
      </c>
      <c r="Z646" t="s">
        <v>38</v>
      </c>
      <c r="AA646" t="s">
        <v>39</v>
      </c>
      <c r="AB646" t="s">
        <v>40</v>
      </c>
      <c r="AC646" s="24">
        <v>7.2099999999999997E-2</v>
      </c>
    </row>
    <row r="647" spans="1:29" x14ac:dyDescent="0.3">
      <c r="A647" s="2">
        <v>646</v>
      </c>
      <c r="B647" s="1">
        <v>40573</v>
      </c>
      <c r="C647" s="2">
        <v>1</v>
      </c>
      <c r="D647" s="2">
        <v>4</v>
      </c>
      <c r="E647" t="b">
        <v>0</v>
      </c>
      <c r="F647" s="2">
        <v>0</v>
      </c>
      <c r="G647" s="2">
        <v>1</v>
      </c>
      <c r="H647" s="23">
        <v>0.14000000000000001</v>
      </c>
      <c r="I647" s="25">
        <v>0.21210000000000001</v>
      </c>
      <c r="J647" s="23">
        <v>0.93</v>
      </c>
      <c r="K647" s="25">
        <v>0</v>
      </c>
      <c r="L647" s="2">
        <v>0</v>
      </c>
      <c r="M647" s="2">
        <v>1</v>
      </c>
      <c r="N647" s="2">
        <v>1</v>
      </c>
      <c r="O647" t="s">
        <v>29</v>
      </c>
      <c r="P647" t="s">
        <v>52</v>
      </c>
      <c r="Q647" t="s">
        <v>31</v>
      </c>
      <c r="R647" t="s">
        <v>32</v>
      </c>
      <c r="S647" t="s">
        <v>55</v>
      </c>
      <c r="T647" t="s">
        <v>34</v>
      </c>
      <c r="U647" t="s">
        <v>35</v>
      </c>
      <c r="V647" t="s">
        <v>36</v>
      </c>
      <c r="W647" t="s">
        <v>37</v>
      </c>
      <c r="X647" s="24">
        <v>0</v>
      </c>
      <c r="Y647" s="24">
        <v>100</v>
      </c>
      <c r="Z647" t="s">
        <v>38</v>
      </c>
      <c r="AA647" t="s">
        <v>39</v>
      </c>
      <c r="AB647" t="s">
        <v>40</v>
      </c>
      <c r="AC647" s="24">
        <v>7.2099999999999997E-2</v>
      </c>
    </row>
    <row r="648" spans="1:29" x14ac:dyDescent="0.3">
      <c r="A648" s="2">
        <v>647</v>
      </c>
      <c r="B648" s="1">
        <v>40573</v>
      </c>
      <c r="C648" s="2">
        <v>1</v>
      </c>
      <c r="D648" s="2">
        <v>5</v>
      </c>
      <c r="E648" t="b">
        <v>0</v>
      </c>
      <c r="F648" s="2">
        <v>0</v>
      </c>
      <c r="G648" s="2">
        <v>1</v>
      </c>
      <c r="H648" s="23">
        <v>0.14000000000000001</v>
      </c>
      <c r="I648" s="25">
        <v>0.21210000000000001</v>
      </c>
      <c r="J648" s="23">
        <v>0.86</v>
      </c>
      <c r="K648" s="25">
        <v>0</v>
      </c>
      <c r="L648" s="2">
        <v>0</v>
      </c>
      <c r="M648" s="2">
        <v>3</v>
      </c>
      <c r="N648" s="2">
        <v>3</v>
      </c>
      <c r="O648" t="s">
        <v>29</v>
      </c>
      <c r="P648" t="s">
        <v>52</v>
      </c>
      <c r="Q648" t="s">
        <v>31</v>
      </c>
      <c r="R648" t="s">
        <v>32</v>
      </c>
      <c r="S648" t="s">
        <v>55</v>
      </c>
      <c r="T648" t="s">
        <v>34</v>
      </c>
      <c r="U648" t="s">
        <v>35</v>
      </c>
      <c r="V648" t="s">
        <v>36</v>
      </c>
      <c r="W648" t="s">
        <v>37</v>
      </c>
      <c r="X648" s="24">
        <v>0</v>
      </c>
      <c r="Y648" s="24">
        <v>100</v>
      </c>
      <c r="Z648" t="s">
        <v>38</v>
      </c>
      <c r="AA648" t="s">
        <v>39</v>
      </c>
      <c r="AB648" t="s">
        <v>40</v>
      </c>
      <c r="AC648" s="24">
        <v>7.2099999999999997E-2</v>
      </c>
    </row>
    <row r="649" spans="1:29" x14ac:dyDescent="0.3">
      <c r="A649" s="2">
        <v>648</v>
      </c>
      <c r="B649" s="1">
        <v>40573</v>
      </c>
      <c r="C649" s="2">
        <v>1</v>
      </c>
      <c r="D649" s="2">
        <v>7</v>
      </c>
      <c r="E649" t="b">
        <v>0</v>
      </c>
      <c r="F649" s="2">
        <v>0</v>
      </c>
      <c r="G649" s="2">
        <v>1</v>
      </c>
      <c r="H649" s="23">
        <v>0.14000000000000001</v>
      </c>
      <c r="I649" s="25">
        <v>0.21210000000000001</v>
      </c>
      <c r="J649" s="23">
        <v>0.86</v>
      </c>
      <c r="K649" s="25">
        <v>0</v>
      </c>
      <c r="L649" s="2">
        <v>0</v>
      </c>
      <c r="M649" s="2">
        <v>3</v>
      </c>
      <c r="N649" s="2">
        <v>3</v>
      </c>
      <c r="O649" t="s">
        <v>29</v>
      </c>
      <c r="P649" t="s">
        <v>52</v>
      </c>
      <c r="Q649" t="s">
        <v>31</v>
      </c>
      <c r="R649" t="s">
        <v>42</v>
      </c>
      <c r="S649" t="s">
        <v>55</v>
      </c>
      <c r="T649" t="s">
        <v>34</v>
      </c>
      <c r="U649" t="s">
        <v>35</v>
      </c>
      <c r="V649" t="s">
        <v>36</v>
      </c>
      <c r="W649" t="s">
        <v>37</v>
      </c>
      <c r="X649" s="24">
        <v>0</v>
      </c>
      <c r="Y649" s="24">
        <v>100</v>
      </c>
      <c r="Z649" t="s">
        <v>40</v>
      </c>
      <c r="AA649" t="s">
        <v>39</v>
      </c>
      <c r="AB649" t="s">
        <v>40</v>
      </c>
      <c r="AC649" s="24">
        <v>7.2099999999999997E-2</v>
      </c>
    </row>
    <row r="650" spans="1:29" x14ac:dyDescent="0.3">
      <c r="A650" s="2">
        <v>649</v>
      </c>
      <c r="B650" s="1">
        <v>40573</v>
      </c>
      <c r="C650" s="2">
        <v>1</v>
      </c>
      <c r="D650" s="2">
        <v>8</v>
      </c>
      <c r="E650" t="b">
        <v>0</v>
      </c>
      <c r="F650" s="2">
        <v>0</v>
      </c>
      <c r="G650" s="2">
        <v>2</v>
      </c>
      <c r="H650" s="23">
        <v>0.14000000000000001</v>
      </c>
      <c r="I650" s="25">
        <v>0.21210000000000001</v>
      </c>
      <c r="J650" s="23">
        <v>0.86</v>
      </c>
      <c r="K650" s="25">
        <v>0</v>
      </c>
      <c r="L650" s="2">
        <v>1</v>
      </c>
      <c r="M650" s="2">
        <v>11</v>
      </c>
      <c r="N650" s="2">
        <v>12</v>
      </c>
      <c r="O650" t="s">
        <v>29</v>
      </c>
      <c r="P650" t="s">
        <v>52</v>
      </c>
      <c r="Q650" t="s">
        <v>41</v>
      </c>
      <c r="R650" t="s">
        <v>42</v>
      </c>
      <c r="S650" t="s">
        <v>55</v>
      </c>
      <c r="T650" t="s">
        <v>34</v>
      </c>
      <c r="U650" t="s">
        <v>35</v>
      </c>
      <c r="V650" t="s">
        <v>36</v>
      </c>
      <c r="W650" t="s">
        <v>37</v>
      </c>
      <c r="X650" s="24">
        <v>8.3333333333333321</v>
      </c>
      <c r="Y650" s="24">
        <v>91.666666666666657</v>
      </c>
      <c r="Z650" t="s">
        <v>40</v>
      </c>
      <c r="AA650" t="s">
        <v>39</v>
      </c>
      <c r="AB650" t="s">
        <v>40</v>
      </c>
      <c r="AC650" s="24">
        <v>7.2099999999999997E-2</v>
      </c>
    </row>
    <row r="651" spans="1:29" x14ac:dyDescent="0.3">
      <c r="A651" s="2">
        <v>650</v>
      </c>
      <c r="B651" s="1">
        <v>40573</v>
      </c>
      <c r="C651" s="2">
        <v>1</v>
      </c>
      <c r="D651" s="2">
        <v>9</v>
      </c>
      <c r="E651" t="b">
        <v>0</v>
      </c>
      <c r="F651" s="2">
        <v>0</v>
      </c>
      <c r="G651" s="2">
        <v>2</v>
      </c>
      <c r="H651" s="23">
        <v>0.16</v>
      </c>
      <c r="I651" s="25">
        <v>0.2273</v>
      </c>
      <c r="J651" s="23">
        <v>0.8</v>
      </c>
      <c r="K651" s="25">
        <v>0</v>
      </c>
      <c r="L651" s="2">
        <v>4</v>
      </c>
      <c r="M651" s="2">
        <v>34</v>
      </c>
      <c r="N651" s="2">
        <v>38</v>
      </c>
      <c r="O651" t="s">
        <v>29</v>
      </c>
      <c r="P651" t="s">
        <v>52</v>
      </c>
      <c r="Q651" t="s">
        <v>41</v>
      </c>
      <c r="R651" t="s">
        <v>42</v>
      </c>
      <c r="S651" t="s">
        <v>33</v>
      </c>
      <c r="T651" t="s">
        <v>34</v>
      </c>
      <c r="U651" t="s">
        <v>35</v>
      </c>
      <c r="V651" t="s">
        <v>36</v>
      </c>
      <c r="W651" t="s">
        <v>37</v>
      </c>
      <c r="X651" s="24">
        <v>10.52631578947368</v>
      </c>
      <c r="Y651" s="24">
        <v>89.473684210526315</v>
      </c>
      <c r="Z651" t="s">
        <v>40</v>
      </c>
      <c r="AA651" t="s">
        <v>39</v>
      </c>
      <c r="AB651" t="s">
        <v>40</v>
      </c>
      <c r="AC651" s="24">
        <v>6.7299999999999999E-2</v>
      </c>
    </row>
    <row r="652" spans="1:29" x14ac:dyDescent="0.3">
      <c r="A652" s="2">
        <v>651</v>
      </c>
      <c r="B652" s="1">
        <v>40573</v>
      </c>
      <c r="C652" s="2">
        <v>1</v>
      </c>
      <c r="D652" s="2">
        <v>10</v>
      </c>
      <c r="E652" t="b">
        <v>0</v>
      </c>
      <c r="F652" s="2">
        <v>0</v>
      </c>
      <c r="G652" s="2">
        <v>2</v>
      </c>
      <c r="H652" s="23">
        <v>0.18</v>
      </c>
      <c r="I652" s="25">
        <v>0.2424</v>
      </c>
      <c r="J652" s="23">
        <v>0.8</v>
      </c>
      <c r="K652" s="25">
        <v>0</v>
      </c>
      <c r="L652" s="2">
        <v>7</v>
      </c>
      <c r="M652" s="2">
        <v>57</v>
      </c>
      <c r="N652" s="2">
        <v>64</v>
      </c>
      <c r="O652" t="s">
        <v>29</v>
      </c>
      <c r="P652" t="s">
        <v>52</v>
      </c>
      <c r="Q652" t="s">
        <v>41</v>
      </c>
      <c r="R652" t="s">
        <v>42</v>
      </c>
      <c r="S652" t="s">
        <v>33</v>
      </c>
      <c r="T652" t="s">
        <v>34</v>
      </c>
      <c r="U652" t="s">
        <v>35</v>
      </c>
      <c r="V652" t="s">
        <v>36</v>
      </c>
      <c r="W652" t="s">
        <v>37</v>
      </c>
      <c r="X652" s="24">
        <v>10.9375</v>
      </c>
      <c r="Y652" s="24">
        <v>89.0625</v>
      </c>
      <c r="Z652" t="s">
        <v>38</v>
      </c>
      <c r="AA652" t="s">
        <v>39</v>
      </c>
      <c r="AB652" t="s">
        <v>40</v>
      </c>
      <c r="AC652" s="24">
        <v>6.2400000000000011E-2</v>
      </c>
    </row>
    <row r="653" spans="1:29" x14ac:dyDescent="0.3">
      <c r="A653" s="2">
        <v>652</v>
      </c>
      <c r="B653" s="1">
        <v>40573</v>
      </c>
      <c r="C653" s="2">
        <v>1</v>
      </c>
      <c r="D653" s="2">
        <v>11</v>
      </c>
      <c r="E653" t="b">
        <v>0</v>
      </c>
      <c r="F653" s="2">
        <v>0</v>
      </c>
      <c r="G653" s="2">
        <v>1</v>
      </c>
      <c r="H653" s="23">
        <v>0.22</v>
      </c>
      <c r="I653" s="25">
        <v>0.2727</v>
      </c>
      <c r="J653" s="23">
        <v>0.75</v>
      </c>
      <c r="K653" s="25">
        <v>0</v>
      </c>
      <c r="L653" s="2">
        <v>9</v>
      </c>
      <c r="M653" s="2">
        <v>50</v>
      </c>
      <c r="N653" s="2">
        <v>59</v>
      </c>
      <c r="O653" t="s">
        <v>29</v>
      </c>
      <c r="P653" t="s">
        <v>52</v>
      </c>
      <c r="Q653" t="s">
        <v>31</v>
      </c>
      <c r="R653" t="s">
        <v>42</v>
      </c>
      <c r="S653" t="s">
        <v>33</v>
      </c>
      <c r="T653" t="s">
        <v>34</v>
      </c>
      <c r="U653" t="s">
        <v>35</v>
      </c>
      <c r="V653" t="s">
        <v>36</v>
      </c>
      <c r="W653" t="s">
        <v>37</v>
      </c>
      <c r="X653" s="24">
        <v>15.25423728813559</v>
      </c>
      <c r="Y653" s="24">
        <v>84.745762711864401</v>
      </c>
      <c r="Z653" t="s">
        <v>38</v>
      </c>
      <c r="AA653" t="s">
        <v>39</v>
      </c>
      <c r="AB653" t="s">
        <v>40</v>
      </c>
      <c r="AC653" s="24">
        <v>5.2699999999999997E-2</v>
      </c>
    </row>
    <row r="654" spans="1:29" x14ac:dyDescent="0.3">
      <c r="A654" s="2">
        <v>263</v>
      </c>
      <c r="B654" s="1">
        <v>40555</v>
      </c>
      <c r="C654" s="2">
        <v>1</v>
      </c>
      <c r="D654" s="2">
        <v>9</v>
      </c>
      <c r="E654" t="b">
        <v>0</v>
      </c>
      <c r="F654" s="2">
        <v>3</v>
      </c>
      <c r="G654" s="2">
        <v>1</v>
      </c>
      <c r="H654" s="23">
        <v>0.16</v>
      </c>
      <c r="I654" s="25">
        <v>0.13639999999999999</v>
      </c>
      <c r="J654" s="23">
        <v>0.59</v>
      </c>
      <c r="K654" s="25">
        <v>0.32840000000000003</v>
      </c>
      <c r="L654" s="2">
        <v>3</v>
      </c>
      <c r="M654" s="2">
        <v>78</v>
      </c>
      <c r="N654" s="2">
        <v>81</v>
      </c>
      <c r="O654" t="s">
        <v>29</v>
      </c>
      <c r="P654" t="s">
        <v>57</v>
      </c>
      <c r="Q654" t="s">
        <v>31</v>
      </c>
      <c r="R654" t="s">
        <v>42</v>
      </c>
      <c r="S654" t="s">
        <v>33</v>
      </c>
      <c r="T654" t="s">
        <v>49</v>
      </c>
      <c r="U654" t="s">
        <v>53</v>
      </c>
      <c r="V654" t="s">
        <v>36</v>
      </c>
      <c r="W654" t="s">
        <v>37</v>
      </c>
      <c r="X654" s="24">
        <v>3.7037037037037028</v>
      </c>
      <c r="Y654" s="24">
        <v>96.296296296296291</v>
      </c>
      <c r="Z654" t="s">
        <v>40</v>
      </c>
      <c r="AA654" t="s">
        <v>39</v>
      </c>
      <c r="AB654" t="s">
        <v>38</v>
      </c>
      <c r="AC654" s="24">
        <v>-2.360000000000001E-2</v>
      </c>
    </row>
    <row r="655" spans="1:29" x14ac:dyDescent="0.3">
      <c r="A655" s="2">
        <v>277</v>
      </c>
      <c r="B655" s="1">
        <v>40555</v>
      </c>
      <c r="C655" s="2">
        <v>1</v>
      </c>
      <c r="D655" s="2">
        <v>23</v>
      </c>
      <c r="E655" t="b">
        <v>0</v>
      </c>
      <c r="F655" s="2">
        <v>3</v>
      </c>
      <c r="G655" s="2">
        <v>1</v>
      </c>
      <c r="H655" s="23">
        <v>0.14000000000000001</v>
      </c>
      <c r="I655" s="25">
        <v>0.1061</v>
      </c>
      <c r="J655" s="23">
        <v>0.59</v>
      </c>
      <c r="K655" s="25">
        <v>0.41789999999999999</v>
      </c>
      <c r="L655" s="2">
        <v>1</v>
      </c>
      <c r="M655" s="2">
        <v>19</v>
      </c>
      <c r="N655" s="2">
        <v>20</v>
      </c>
      <c r="O655" t="s">
        <v>29</v>
      </c>
      <c r="P655" t="s">
        <v>57</v>
      </c>
      <c r="Q655" t="s">
        <v>31</v>
      </c>
      <c r="R655" t="s">
        <v>32</v>
      </c>
      <c r="S655" t="s">
        <v>55</v>
      </c>
      <c r="T655" t="s">
        <v>49</v>
      </c>
      <c r="U655" t="s">
        <v>53</v>
      </c>
      <c r="V655" t="s">
        <v>36</v>
      </c>
      <c r="W655" t="s">
        <v>37</v>
      </c>
      <c r="X655" s="24">
        <v>5</v>
      </c>
      <c r="Y655" s="24">
        <v>95</v>
      </c>
      <c r="Z655" t="s">
        <v>38</v>
      </c>
      <c r="AA655" t="s">
        <v>39</v>
      </c>
      <c r="AB655" t="s">
        <v>38</v>
      </c>
      <c r="AC655" s="24">
        <v>-3.3900000000000013E-2</v>
      </c>
    </row>
    <row r="656" spans="1:29" x14ac:dyDescent="0.3">
      <c r="A656" s="2">
        <v>278</v>
      </c>
      <c r="B656" s="1">
        <v>40556</v>
      </c>
      <c r="C656" s="2">
        <v>1</v>
      </c>
      <c r="D656" s="2">
        <v>0</v>
      </c>
      <c r="E656" t="b">
        <v>0</v>
      </c>
      <c r="F656" s="2">
        <v>4</v>
      </c>
      <c r="G656" s="2">
        <v>1</v>
      </c>
      <c r="H656" s="23">
        <v>0.14000000000000001</v>
      </c>
      <c r="I656" s="25">
        <v>0.1212</v>
      </c>
      <c r="J656" s="23">
        <v>0.59</v>
      </c>
      <c r="K656" s="25">
        <v>0.28360000000000002</v>
      </c>
      <c r="L656" s="2">
        <v>1</v>
      </c>
      <c r="M656" s="2">
        <v>6</v>
      </c>
      <c r="N656" s="2">
        <v>7</v>
      </c>
      <c r="O656" t="s">
        <v>29</v>
      </c>
      <c r="P656" t="s">
        <v>58</v>
      </c>
      <c r="Q656" t="s">
        <v>31</v>
      </c>
      <c r="R656" t="s">
        <v>32</v>
      </c>
      <c r="S656" t="s">
        <v>55</v>
      </c>
      <c r="T656" t="s">
        <v>49</v>
      </c>
      <c r="U656" t="s">
        <v>46</v>
      </c>
      <c r="V656" t="s">
        <v>36</v>
      </c>
      <c r="W656" t="s">
        <v>37</v>
      </c>
      <c r="X656" s="24">
        <v>14.285714285714279</v>
      </c>
      <c r="Y656" s="24">
        <v>85.714285714285708</v>
      </c>
      <c r="Z656" t="s">
        <v>38</v>
      </c>
      <c r="AA656" t="s">
        <v>39</v>
      </c>
      <c r="AB656" t="s">
        <v>38</v>
      </c>
      <c r="AC656" s="24">
        <v>-1.8800000000000011E-2</v>
      </c>
    </row>
    <row r="657" spans="1:29" x14ac:dyDescent="0.3">
      <c r="A657" s="2">
        <v>320</v>
      </c>
      <c r="B657" s="1">
        <v>40557</v>
      </c>
      <c r="C657" s="2">
        <v>1</v>
      </c>
      <c r="D657" s="2">
        <v>19</v>
      </c>
      <c r="E657" t="b">
        <v>0</v>
      </c>
      <c r="F657" s="2">
        <v>5</v>
      </c>
      <c r="G657" s="2">
        <v>1</v>
      </c>
      <c r="H657" s="23">
        <v>0.16</v>
      </c>
      <c r="I657" s="25">
        <v>0.19700000000000001</v>
      </c>
      <c r="J657" s="23">
        <v>0.59</v>
      </c>
      <c r="K657" s="25">
        <v>8.9599999999999999E-2</v>
      </c>
      <c r="L657" s="2">
        <v>3</v>
      </c>
      <c r="M657" s="2">
        <v>89</v>
      </c>
      <c r="N657" s="2">
        <v>92</v>
      </c>
      <c r="O657" t="s">
        <v>29</v>
      </c>
      <c r="P657" t="s">
        <v>59</v>
      </c>
      <c r="Q657" t="s">
        <v>31</v>
      </c>
      <c r="R657" t="s">
        <v>50</v>
      </c>
      <c r="S657" t="s">
        <v>33</v>
      </c>
      <c r="T657" t="s">
        <v>49</v>
      </c>
      <c r="U657" t="s">
        <v>35</v>
      </c>
      <c r="V657" t="s">
        <v>36</v>
      </c>
      <c r="W657" t="s">
        <v>37</v>
      </c>
      <c r="X657" s="24">
        <v>3.2608695652173911</v>
      </c>
      <c r="Y657" s="24">
        <v>96.739130434782609</v>
      </c>
      <c r="Z657" t="s">
        <v>40</v>
      </c>
      <c r="AA657" t="s">
        <v>39</v>
      </c>
      <c r="AB657" t="s">
        <v>38</v>
      </c>
      <c r="AC657" s="24">
        <v>3.7000000000000012E-2</v>
      </c>
    </row>
    <row r="658" spans="1:29" x14ac:dyDescent="0.3">
      <c r="A658" s="2">
        <v>321</v>
      </c>
      <c r="B658" s="1">
        <v>40557</v>
      </c>
      <c r="C658" s="2">
        <v>1</v>
      </c>
      <c r="D658" s="2">
        <v>20</v>
      </c>
      <c r="E658" t="b">
        <v>0</v>
      </c>
      <c r="F658" s="2">
        <v>5</v>
      </c>
      <c r="G658" s="2">
        <v>1</v>
      </c>
      <c r="H658" s="23">
        <v>0.18</v>
      </c>
      <c r="I658" s="25">
        <v>0.2424</v>
      </c>
      <c r="J658" s="23">
        <v>0.59</v>
      </c>
      <c r="K658" s="25">
        <v>0</v>
      </c>
      <c r="L658" s="2">
        <v>0</v>
      </c>
      <c r="M658" s="2">
        <v>68</v>
      </c>
      <c r="N658" s="2">
        <v>68</v>
      </c>
      <c r="O658" t="s">
        <v>29</v>
      </c>
      <c r="P658" t="s">
        <v>59</v>
      </c>
      <c r="Q658" t="s">
        <v>31</v>
      </c>
      <c r="R658" t="s">
        <v>50</v>
      </c>
      <c r="S658" t="s">
        <v>33</v>
      </c>
      <c r="T658" t="s">
        <v>49</v>
      </c>
      <c r="U658" t="s">
        <v>35</v>
      </c>
      <c r="V658" t="s">
        <v>36</v>
      </c>
      <c r="W658" t="s">
        <v>37</v>
      </c>
      <c r="X658" s="24">
        <v>0</v>
      </c>
      <c r="Y658" s="24">
        <v>100</v>
      </c>
      <c r="Z658" t="s">
        <v>38</v>
      </c>
      <c r="AA658" t="s">
        <v>39</v>
      </c>
      <c r="AB658" t="s">
        <v>38</v>
      </c>
      <c r="AC658" s="24">
        <v>6.2400000000000011E-2</v>
      </c>
    </row>
    <row r="659" spans="1:29" x14ac:dyDescent="0.3">
      <c r="A659" s="2">
        <v>326</v>
      </c>
      <c r="B659" s="1">
        <v>40558</v>
      </c>
      <c r="C659" s="2">
        <v>1</v>
      </c>
      <c r="D659" s="2">
        <v>1</v>
      </c>
      <c r="E659" t="b">
        <v>0</v>
      </c>
      <c r="F659" s="2">
        <v>6</v>
      </c>
      <c r="G659" s="2">
        <v>2</v>
      </c>
      <c r="H659" s="23">
        <v>0.16</v>
      </c>
      <c r="I659" s="25">
        <v>0.19700000000000001</v>
      </c>
      <c r="J659" s="23">
        <v>0.59</v>
      </c>
      <c r="K659" s="25">
        <v>8.9599999999999999E-2</v>
      </c>
      <c r="L659" s="2">
        <v>2</v>
      </c>
      <c r="M659" s="2">
        <v>18</v>
      </c>
      <c r="N659" s="2">
        <v>20</v>
      </c>
      <c r="O659" t="s">
        <v>29</v>
      </c>
      <c r="P659" t="s">
        <v>30</v>
      </c>
      <c r="Q659" t="s">
        <v>41</v>
      </c>
      <c r="R659" t="s">
        <v>32</v>
      </c>
      <c r="S659" t="s">
        <v>33</v>
      </c>
      <c r="T659" t="s">
        <v>49</v>
      </c>
      <c r="U659" t="s">
        <v>35</v>
      </c>
      <c r="V659" t="s">
        <v>36</v>
      </c>
      <c r="W659" t="s">
        <v>37</v>
      </c>
      <c r="X659" s="24">
        <v>10</v>
      </c>
      <c r="Y659" s="24">
        <v>90</v>
      </c>
      <c r="Z659" t="s">
        <v>38</v>
      </c>
      <c r="AA659" t="s">
        <v>39</v>
      </c>
      <c r="AB659" t="s">
        <v>40</v>
      </c>
      <c r="AC659" s="24">
        <v>3.7000000000000012E-2</v>
      </c>
    </row>
    <row r="660" spans="1:29" x14ac:dyDescent="0.3">
      <c r="A660" s="2">
        <v>327</v>
      </c>
      <c r="B660" s="1">
        <v>40558</v>
      </c>
      <c r="C660" s="2">
        <v>1</v>
      </c>
      <c r="D660" s="2">
        <v>2</v>
      </c>
      <c r="E660" t="b">
        <v>0</v>
      </c>
      <c r="F660" s="2">
        <v>6</v>
      </c>
      <c r="G660" s="2">
        <v>2</v>
      </c>
      <c r="H660" s="23">
        <v>0.16</v>
      </c>
      <c r="I660" s="25">
        <v>0.19700000000000001</v>
      </c>
      <c r="J660" s="23">
        <v>0.59</v>
      </c>
      <c r="K660" s="25">
        <v>8.9599999999999999E-2</v>
      </c>
      <c r="L660" s="2">
        <v>0</v>
      </c>
      <c r="M660" s="2">
        <v>12</v>
      </c>
      <c r="N660" s="2">
        <v>12</v>
      </c>
      <c r="O660" t="s">
        <v>29</v>
      </c>
      <c r="P660" t="s">
        <v>30</v>
      </c>
      <c r="Q660" t="s">
        <v>41</v>
      </c>
      <c r="R660" t="s">
        <v>32</v>
      </c>
      <c r="S660" t="s">
        <v>33</v>
      </c>
      <c r="T660" t="s">
        <v>49</v>
      </c>
      <c r="U660" t="s">
        <v>35</v>
      </c>
      <c r="V660" t="s">
        <v>36</v>
      </c>
      <c r="W660" t="s">
        <v>37</v>
      </c>
      <c r="X660" s="24">
        <v>0</v>
      </c>
      <c r="Y660" s="24">
        <v>100</v>
      </c>
      <c r="Z660" t="s">
        <v>38</v>
      </c>
      <c r="AA660" t="s">
        <v>39</v>
      </c>
      <c r="AB660" t="s">
        <v>40</v>
      </c>
      <c r="AC660" s="24">
        <v>3.7000000000000012E-2</v>
      </c>
    </row>
    <row r="661" spans="1:29" x14ac:dyDescent="0.3">
      <c r="A661" s="2">
        <v>328</v>
      </c>
      <c r="B661" s="1">
        <v>40558</v>
      </c>
      <c r="C661" s="2">
        <v>1</v>
      </c>
      <c r="D661" s="2">
        <v>3</v>
      </c>
      <c r="E661" t="b">
        <v>0</v>
      </c>
      <c r="F661" s="2">
        <v>6</v>
      </c>
      <c r="G661" s="2">
        <v>2</v>
      </c>
      <c r="H661" s="23">
        <v>0.16</v>
      </c>
      <c r="I661" s="25">
        <v>0.2273</v>
      </c>
      <c r="J661" s="23">
        <v>0.59</v>
      </c>
      <c r="K661" s="25">
        <v>0</v>
      </c>
      <c r="L661" s="2">
        <v>1</v>
      </c>
      <c r="M661" s="2">
        <v>7</v>
      </c>
      <c r="N661" s="2">
        <v>8</v>
      </c>
      <c r="O661" t="s">
        <v>29</v>
      </c>
      <c r="P661" t="s">
        <v>30</v>
      </c>
      <c r="Q661" t="s">
        <v>41</v>
      </c>
      <c r="R661" t="s">
        <v>32</v>
      </c>
      <c r="S661" t="s">
        <v>33</v>
      </c>
      <c r="T661" t="s">
        <v>49</v>
      </c>
      <c r="U661" t="s">
        <v>35</v>
      </c>
      <c r="V661" t="s">
        <v>36</v>
      </c>
      <c r="W661" t="s">
        <v>37</v>
      </c>
      <c r="X661" s="24">
        <v>12.5</v>
      </c>
      <c r="Y661" s="24">
        <v>87.5</v>
      </c>
      <c r="Z661" t="s">
        <v>38</v>
      </c>
      <c r="AA661" t="s">
        <v>39</v>
      </c>
      <c r="AB661" t="s">
        <v>40</v>
      </c>
      <c r="AC661" s="24">
        <v>6.7299999999999999E-2</v>
      </c>
    </row>
    <row r="662" spans="1:29" x14ac:dyDescent="0.3">
      <c r="A662" s="2">
        <v>329</v>
      </c>
      <c r="B662" s="1">
        <v>40558</v>
      </c>
      <c r="C662" s="2">
        <v>1</v>
      </c>
      <c r="D662" s="2">
        <v>4</v>
      </c>
      <c r="E662" t="b">
        <v>0</v>
      </c>
      <c r="F662" s="2">
        <v>6</v>
      </c>
      <c r="G662" s="2">
        <v>2</v>
      </c>
      <c r="H662" s="23">
        <v>0.16</v>
      </c>
      <c r="I662" s="25">
        <v>0.2273</v>
      </c>
      <c r="J662" s="23">
        <v>0.59</v>
      </c>
      <c r="K662" s="25">
        <v>0</v>
      </c>
      <c r="L662" s="2">
        <v>0</v>
      </c>
      <c r="M662" s="2">
        <v>5</v>
      </c>
      <c r="N662" s="2">
        <v>5</v>
      </c>
      <c r="O662" t="s">
        <v>29</v>
      </c>
      <c r="P662" t="s">
        <v>30</v>
      </c>
      <c r="Q662" t="s">
        <v>41</v>
      </c>
      <c r="R662" t="s">
        <v>32</v>
      </c>
      <c r="S662" t="s">
        <v>33</v>
      </c>
      <c r="T662" t="s">
        <v>49</v>
      </c>
      <c r="U662" t="s">
        <v>35</v>
      </c>
      <c r="V662" t="s">
        <v>36</v>
      </c>
      <c r="W662" t="s">
        <v>37</v>
      </c>
      <c r="X662" s="24">
        <v>0</v>
      </c>
      <c r="Y662" s="24">
        <v>100</v>
      </c>
      <c r="Z662" t="s">
        <v>38</v>
      </c>
      <c r="AA662" t="s">
        <v>39</v>
      </c>
      <c r="AB662" t="s">
        <v>40</v>
      </c>
      <c r="AC662" s="24">
        <v>6.7299999999999999E-2</v>
      </c>
    </row>
    <row r="663" spans="1:29" x14ac:dyDescent="0.3">
      <c r="A663" s="2">
        <v>662</v>
      </c>
      <c r="B663" s="1">
        <v>40573</v>
      </c>
      <c r="C663" s="2">
        <v>1</v>
      </c>
      <c r="D663" s="2">
        <v>21</v>
      </c>
      <c r="E663" t="b">
        <v>0</v>
      </c>
      <c r="F663" s="2">
        <v>0</v>
      </c>
      <c r="G663" s="2">
        <v>2</v>
      </c>
      <c r="H663" s="23">
        <v>0.24</v>
      </c>
      <c r="I663" s="25">
        <v>0.2424</v>
      </c>
      <c r="J663" s="23">
        <v>0.7</v>
      </c>
      <c r="K663" s="25">
        <v>0.16420000000000001</v>
      </c>
      <c r="L663" s="2">
        <v>3</v>
      </c>
      <c r="M663" s="2">
        <v>25</v>
      </c>
      <c r="N663" s="2">
        <v>28</v>
      </c>
      <c r="O663" t="s">
        <v>29</v>
      </c>
      <c r="P663" t="s">
        <v>52</v>
      </c>
      <c r="Q663" t="s">
        <v>41</v>
      </c>
      <c r="R663" t="s">
        <v>32</v>
      </c>
      <c r="S663" t="s">
        <v>33</v>
      </c>
      <c r="T663" t="s">
        <v>34</v>
      </c>
      <c r="U663" t="s">
        <v>46</v>
      </c>
      <c r="V663" t="s">
        <v>36</v>
      </c>
      <c r="W663" t="s">
        <v>37</v>
      </c>
      <c r="X663" s="24">
        <v>10.71428571428571</v>
      </c>
      <c r="Y663" s="24">
        <v>89.285714285714292</v>
      </c>
      <c r="Z663" t="s">
        <v>38</v>
      </c>
      <c r="AA663" t="s">
        <v>39</v>
      </c>
      <c r="AB663" t="s">
        <v>40</v>
      </c>
      <c r="AC663" s="24">
        <v>2.4000000000000128E-3</v>
      </c>
    </row>
    <row r="664" spans="1:29" x14ac:dyDescent="0.3">
      <c r="A664" s="2">
        <v>663</v>
      </c>
      <c r="B664" s="1">
        <v>40573</v>
      </c>
      <c r="C664" s="2">
        <v>1</v>
      </c>
      <c r="D664" s="2">
        <v>22</v>
      </c>
      <c r="E664" t="b">
        <v>0</v>
      </c>
      <c r="F664" s="2">
        <v>0</v>
      </c>
      <c r="G664" s="2">
        <v>2</v>
      </c>
      <c r="H664" s="23">
        <v>0.24</v>
      </c>
      <c r="I664" s="25">
        <v>0.2273</v>
      </c>
      <c r="J664" s="23">
        <v>0.7</v>
      </c>
      <c r="K664" s="25">
        <v>0.19400000000000001</v>
      </c>
      <c r="L664" s="2">
        <v>2</v>
      </c>
      <c r="M664" s="2">
        <v>19</v>
      </c>
      <c r="N664" s="2">
        <v>21</v>
      </c>
      <c r="O664" t="s">
        <v>29</v>
      </c>
      <c r="P664" t="s">
        <v>52</v>
      </c>
      <c r="Q664" t="s">
        <v>41</v>
      </c>
      <c r="R664" t="s">
        <v>32</v>
      </c>
      <c r="S664" t="s">
        <v>33</v>
      </c>
      <c r="T664" t="s">
        <v>34</v>
      </c>
      <c r="U664" t="s">
        <v>46</v>
      </c>
      <c r="V664" t="s">
        <v>36</v>
      </c>
      <c r="W664" t="s">
        <v>37</v>
      </c>
      <c r="X664" s="24">
        <v>9.5238095238095237</v>
      </c>
      <c r="Y664" s="24">
        <v>90.476190476190482</v>
      </c>
      <c r="Z664" t="s">
        <v>38</v>
      </c>
      <c r="AA664" t="s">
        <v>39</v>
      </c>
      <c r="AB664" t="s">
        <v>40</v>
      </c>
      <c r="AC664" s="24">
        <v>-1.2699999999999991E-2</v>
      </c>
    </row>
    <row r="665" spans="1:29" x14ac:dyDescent="0.3">
      <c r="A665" s="2">
        <v>330</v>
      </c>
      <c r="B665" s="1">
        <v>40558</v>
      </c>
      <c r="C665" s="2">
        <v>1</v>
      </c>
      <c r="D665" s="2">
        <v>5</v>
      </c>
      <c r="E665" t="b">
        <v>0</v>
      </c>
      <c r="F665" s="2">
        <v>6</v>
      </c>
      <c r="G665" s="2">
        <v>1</v>
      </c>
      <c r="H665" s="23">
        <v>0.16</v>
      </c>
      <c r="I665" s="25">
        <v>0.2273</v>
      </c>
      <c r="J665" s="23">
        <v>0.59</v>
      </c>
      <c r="K665" s="25">
        <v>0</v>
      </c>
      <c r="L665" s="2">
        <v>0</v>
      </c>
      <c r="M665" s="2">
        <v>1</v>
      </c>
      <c r="N665" s="2">
        <v>1</v>
      </c>
      <c r="O665" t="s">
        <v>29</v>
      </c>
      <c r="P665" t="s">
        <v>30</v>
      </c>
      <c r="Q665" t="s">
        <v>31</v>
      </c>
      <c r="R665" t="s">
        <v>32</v>
      </c>
      <c r="S665" t="s">
        <v>33</v>
      </c>
      <c r="T665" t="s">
        <v>49</v>
      </c>
      <c r="U665" t="s">
        <v>35</v>
      </c>
      <c r="V665" t="s">
        <v>36</v>
      </c>
      <c r="W665" t="s">
        <v>37</v>
      </c>
      <c r="X665" s="24">
        <v>0</v>
      </c>
      <c r="Y665" s="24">
        <v>100</v>
      </c>
      <c r="Z665" t="s">
        <v>38</v>
      </c>
      <c r="AA665" t="s">
        <v>39</v>
      </c>
      <c r="AB665" t="s">
        <v>40</v>
      </c>
      <c r="AC665" s="24">
        <v>6.7299999999999999E-2</v>
      </c>
    </row>
    <row r="666" spans="1:29" x14ac:dyDescent="0.3">
      <c r="A666" s="2">
        <v>335</v>
      </c>
      <c r="B666" s="1">
        <v>40558</v>
      </c>
      <c r="C666" s="2">
        <v>1</v>
      </c>
      <c r="D666" s="2">
        <v>10</v>
      </c>
      <c r="E666" t="b">
        <v>0</v>
      </c>
      <c r="F666" s="2">
        <v>6</v>
      </c>
      <c r="G666" s="2">
        <v>1</v>
      </c>
      <c r="H666" s="23">
        <v>0.18</v>
      </c>
      <c r="I666" s="25">
        <v>0.19700000000000001</v>
      </c>
      <c r="J666" s="23">
        <v>0.59</v>
      </c>
      <c r="K666" s="25">
        <v>0.16420000000000001</v>
      </c>
      <c r="L666" s="2">
        <v>2</v>
      </c>
      <c r="M666" s="2">
        <v>57</v>
      </c>
      <c r="N666" s="2">
        <v>59</v>
      </c>
      <c r="O666" t="s">
        <v>29</v>
      </c>
      <c r="P666" t="s">
        <v>30</v>
      </c>
      <c r="Q666" t="s">
        <v>31</v>
      </c>
      <c r="R666" t="s">
        <v>42</v>
      </c>
      <c r="S666" t="s">
        <v>33</v>
      </c>
      <c r="T666" t="s">
        <v>49</v>
      </c>
      <c r="U666" t="s">
        <v>46</v>
      </c>
      <c r="V666" t="s">
        <v>36</v>
      </c>
      <c r="W666" t="s">
        <v>37</v>
      </c>
      <c r="X666" s="24">
        <v>3.3898305084745761</v>
      </c>
      <c r="Y666" s="24">
        <v>96.610169491525426</v>
      </c>
      <c r="Z666" t="s">
        <v>38</v>
      </c>
      <c r="AA666" t="s">
        <v>39</v>
      </c>
      <c r="AB666" t="s">
        <v>40</v>
      </c>
      <c r="AC666" s="24">
        <v>1.7000000000000019E-2</v>
      </c>
    </row>
    <row r="667" spans="1:29" x14ac:dyDescent="0.3">
      <c r="A667" s="2">
        <v>392</v>
      </c>
      <c r="B667" s="1">
        <v>40560</v>
      </c>
      <c r="C667" s="2">
        <v>1</v>
      </c>
      <c r="D667" s="2">
        <v>19</v>
      </c>
      <c r="E667" t="b">
        <v>1</v>
      </c>
      <c r="F667" s="2">
        <v>1</v>
      </c>
      <c r="G667" s="2">
        <v>3</v>
      </c>
      <c r="H667" s="23">
        <v>0.18</v>
      </c>
      <c r="I667" s="25">
        <v>0.18179999999999999</v>
      </c>
      <c r="J667" s="23">
        <v>0.59</v>
      </c>
      <c r="K667" s="25">
        <v>0.19400000000000001</v>
      </c>
      <c r="L667" s="2">
        <v>2</v>
      </c>
      <c r="M667" s="2">
        <v>58</v>
      </c>
      <c r="N667" s="2">
        <v>60</v>
      </c>
      <c r="O667" t="s">
        <v>29</v>
      </c>
      <c r="P667" t="s">
        <v>54</v>
      </c>
      <c r="Q667" t="s">
        <v>51</v>
      </c>
      <c r="R667" t="s">
        <v>50</v>
      </c>
      <c r="S667" t="s">
        <v>33</v>
      </c>
      <c r="T667" t="s">
        <v>49</v>
      </c>
      <c r="U667" t="s">
        <v>46</v>
      </c>
      <c r="V667" t="s">
        <v>60</v>
      </c>
      <c r="W667" t="s">
        <v>37</v>
      </c>
      <c r="X667" s="24">
        <v>3.333333333333333</v>
      </c>
      <c r="Y667" s="24">
        <v>96.666666666666671</v>
      </c>
      <c r="Z667" t="s">
        <v>40</v>
      </c>
      <c r="AA667" t="s">
        <v>39</v>
      </c>
      <c r="AB667" t="s">
        <v>38</v>
      </c>
      <c r="AC667" s="24">
        <v>1.799999999999996E-3</v>
      </c>
    </row>
    <row r="668" spans="1:29" x14ac:dyDescent="0.3">
      <c r="A668" s="2">
        <v>543</v>
      </c>
      <c r="B668" s="1">
        <v>40567</v>
      </c>
      <c r="C668" s="2">
        <v>1</v>
      </c>
      <c r="D668" s="2">
        <v>18</v>
      </c>
      <c r="E668" t="b">
        <v>0</v>
      </c>
      <c r="F668" s="2">
        <v>1</v>
      </c>
      <c r="G668" s="2">
        <v>1</v>
      </c>
      <c r="H668" s="23">
        <v>0.14000000000000001</v>
      </c>
      <c r="I668" s="25">
        <v>0.13639999999999999</v>
      </c>
      <c r="J668" s="23">
        <v>0.59</v>
      </c>
      <c r="K668" s="25">
        <v>0.19400000000000001</v>
      </c>
      <c r="L668" s="2">
        <v>8</v>
      </c>
      <c r="M668" s="2">
        <v>145</v>
      </c>
      <c r="N668" s="2">
        <v>153</v>
      </c>
      <c r="O668" t="s">
        <v>29</v>
      </c>
      <c r="P668" t="s">
        <v>54</v>
      </c>
      <c r="Q668" t="s">
        <v>31</v>
      </c>
      <c r="R668" t="s">
        <v>50</v>
      </c>
      <c r="S668" t="s">
        <v>55</v>
      </c>
      <c r="T668" t="s">
        <v>49</v>
      </c>
      <c r="U668" t="s">
        <v>46</v>
      </c>
      <c r="V668" t="s">
        <v>36</v>
      </c>
      <c r="W668" t="s">
        <v>37</v>
      </c>
      <c r="X668" s="24">
        <v>5.2287581699346406</v>
      </c>
      <c r="Y668" s="24">
        <v>94.77124183006535</v>
      </c>
      <c r="Z668" t="s">
        <v>40</v>
      </c>
      <c r="AA668" t="s">
        <v>49</v>
      </c>
      <c r="AB668" t="s">
        <v>38</v>
      </c>
      <c r="AC668" s="24">
        <v>-3.6000000000000199E-3</v>
      </c>
    </row>
    <row r="669" spans="1:29" x14ac:dyDescent="0.3">
      <c r="A669" s="2">
        <v>545</v>
      </c>
      <c r="B669" s="1">
        <v>40567</v>
      </c>
      <c r="C669" s="2">
        <v>1</v>
      </c>
      <c r="D669" s="2">
        <v>20</v>
      </c>
      <c r="E669" t="b">
        <v>0</v>
      </c>
      <c r="F669" s="2">
        <v>1</v>
      </c>
      <c r="G669" s="2">
        <v>1</v>
      </c>
      <c r="H669" s="23">
        <v>0.14000000000000001</v>
      </c>
      <c r="I669" s="25">
        <v>0.13639999999999999</v>
      </c>
      <c r="J669" s="23">
        <v>0.59</v>
      </c>
      <c r="K669" s="25">
        <v>0.19400000000000001</v>
      </c>
      <c r="L669" s="2">
        <v>1</v>
      </c>
      <c r="M669" s="2">
        <v>80</v>
      </c>
      <c r="N669" s="2">
        <v>81</v>
      </c>
      <c r="O669" t="s">
        <v>29</v>
      </c>
      <c r="P669" t="s">
        <v>54</v>
      </c>
      <c r="Q669" t="s">
        <v>31</v>
      </c>
      <c r="R669" t="s">
        <v>50</v>
      </c>
      <c r="S669" t="s">
        <v>55</v>
      </c>
      <c r="T669" t="s">
        <v>49</v>
      </c>
      <c r="U669" t="s">
        <v>46</v>
      </c>
      <c r="V669" t="s">
        <v>36</v>
      </c>
      <c r="W669" t="s">
        <v>37</v>
      </c>
      <c r="X669" s="24">
        <v>1.2345679012345681</v>
      </c>
      <c r="Y669" s="24">
        <v>98.76543209876543</v>
      </c>
      <c r="Z669" t="s">
        <v>38</v>
      </c>
      <c r="AA669" t="s">
        <v>39</v>
      </c>
      <c r="AB669" t="s">
        <v>38</v>
      </c>
      <c r="AC669" s="24">
        <v>-3.6000000000000199E-3</v>
      </c>
    </row>
    <row r="670" spans="1:29" x14ac:dyDescent="0.3">
      <c r="A670" s="2">
        <v>625</v>
      </c>
      <c r="B670" s="1">
        <v>40572</v>
      </c>
      <c r="C670" s="2">
        <v>1</v>
      </c>
      <c r="D670" s="2">
        <v>7</v>
      </c>
      <c r="E670" t="b">
        <v>0</v>
      </c>
      <c r="F670" s="2">
        <v>6</v>
      </c>
      <c r="G670" s="2">
        <v>1</v>
      </c>
      <c r="H670" s="23">
        <v>0.16</v>
      </c>
      <c r="I670" s="25">
        <v>0.18179999999999999</v>
      </c>
      <c r="J670" s="23">
        <v>0.59</v>
      </c>
      <c r="K670" s="25">
        <v>0.1045</v>
      </c>
      <c r="L670" s="2">
        <v>1</v>
      </c>
      <c r="M670" s="2">
        <v>4</v>
      </c>
      <c r="N670" s="2">
        <v>5</v>
      </c>
      <c r="O670" t="s">
        <v>29</v>
      </c>
      <c r="P670" t="s">
        <v>30</v>
      </c>
      <c r="Q670" t="s">
        <v>31</v>
      </c>
      <c r="R670" t="s">
        <v>42</v>
      </c>
      <c r="S670" t="s">
        <v>33</v>
      </c>
      <c r="T670" t="s">
        <v>49</v>
      </c>
      <c r="U670" t="s">
        <v>35</v>
      </c>
      <c r="V670" t="s">
        <v>36</v>
      </c>
      <c r="W670" t="s">
        <v>37</v>
      </c>
      <c r="X670" s="24">
        <v>20</v>
      </c>
      <c r="Y670" s="24">
        <v>80</v>
      </c>
      <c r="Z670" t="s">
        <v>40</v>
      </c>
      <c r="AA670" t="s">
        <v>39</v>
      </c>
      <c r="AB670" t="s">
        <v>40</v>
      </c>
      <c r="AC670" s="24">
        <v>2.179999999999999E-2</v>
      </c>
    </row>
    <row r="671" spans="1:29" x14ac:dyDescent="0.3">
      <c r="A671" s="2">
        <v>627</v>
      </c>
      <c r="B671" s="1">
        <v>40572</v>
      </c>
      <c r="C671" s="2">
        <v>1</v>
      </c>
      <c r="D671" s="2">
        <v>9</v>
      </c>
      <c r="E671" t="b">
        <v>0</v>
      </c>
      <c r="F671" s="2">
        <v>6</v>
      </c>
      <c r="G671" s="2">
        <v>1</v>
      </c>
      <c r="H671" s="23">
        <v>0.18</v>
      </c>
      <c r="I671" s="25">
        <v>0.21210000000000001</v>
      </c>
      <c r="J671" s="23">
        <v>0.59</v>
      </c>
      <c r="K671" s="25">
        <v>8.9599999999999999E-2</v>
      </c>
      <c r="L671" s="2">
        <v>0</v>
      </c>
      <c r="M671" s="2">
        <v>34</v>
      </c>
      <c r="N671" s="2">
        <v>34</v>
      </c>
      <c r="O671" t="s">
        <v>29</v>
      </c>
      <c r="P671" t="s">
        <v>30</v>
      </c>
      <c r="Q671" t="s">
        <v>31</v>
      </c>
      <c r="R671" t="s">
        <v>42</v>
      </c>
      <c r="S671" t="s">
        <v>33</v>
      </c>
      <c r="T671" t="s">
        <v>49</v>
      </c>
      <c r="U671" t="s">
        <v>35</v>
      </c>
      <c r="V671" t="s">
        <v>36</v>
      </c>
      <c r="W671" t="s">
        <v>37</v>
      </c>
      <c r="X671" s="24">
        <v>0</v>
      </c>
      <c r="Y671" s="24">
        <v>100</v>
      </c>
      <c r="Z671" t="s">
        <v>40</v>
      </c>
      <c r="AA671" t="s">
        <v>39</v>
      </c>
      <c r="AB671" t="s">
        <v>40</v>
      </c>
      <c r="AC671" s="24">
        <v>3.2100000000000017E-2</v>
      </c>
    </row>
    <row r="672" spans="1:29" x14ac:dyDescent="0.3">
      <c r="A672" s="2">
        <v>630</v>
      </c>
      <c r="B672" s="1">
        <v>40572</v>
      </c>
      <c r="C672" s="2">
        <v>1</v>
      </c>
      <c r="D672" s="2">
        <v>12</v>
      </c>
      <c r="E672" t="b">
        <v>0</v>
      </c>
      <c r="F672" s="2">
        <v>6</v>
      </c>
      <c r="G672" s="2">
        <v>2</v>
      </c>
      <c r="H672" s="23">
        <v>0.2</v>
      </c>
      <c r="I672" s="25">
        <v>0.19700000000000001</v>
      </c>
      <c r="J672" s="23">
        <v>0.59</v>
      </c>
      <c r="K672" s="25">
        <v>0.19400000000000001</v>
      </c>
      <c r="L672" s="2">
        <v>12</v>
      </c>
      <c r="M672" s="2">
        <v>66</v>
      </c>
      <c r="N672" s="2">
        <v>78</v>
      </c>
      <c r="O672" t="s">
        <v>29</v>
      </c>
      <c r="P672" t="s">
        <v>30</v>
      </c>
      <c r="Q672" t="s">
        <v>41</v>
      </c>
      <c r="R672" t="s">
        <v>47</v>
      </c>
      <c r="S672" t="s">
        <v>33</v>
      </c>
      <c r="T672" t="s">
        <v>49</v>
      </c>
      <c r="U672" t="s">
        <v>46</v>
      </c>
      <c r="V672" t="s">
        <v>36</v>
      </c>
      <c r="W672" t="s">
        <v>37</v>
      </c>
      <c r="X672" s="24">
        <v>15.38461538461539</v>
      </c>
      <c r="Y672" s="24">
        <v>84.615384615384613</v>
      </c>
      <c r="Z672" t="s">
        <v>38</v>
      </c>
      <c r="AA672" t="s">
        <v>39</v>
      </c>
      <c r="AB672" t="s">
        <v>40</v>
      </c>
      <c r="AC672" s="24">
        <v>-3.0000000000000031E-3</v>
      </c>
    </row>
    <row r="673" spans="1:29" x14ac:dyDescent="0.3">
      <c r="A673" s="2">
        <v>669</v>
      </c>
      <c r="B673" s="1">
        <v>40574</v>
      </c>
      <c r="C673" s="2">
        <v>1</v>
      </c>
      <c r="D673" s="2">
        <v>4</v>
      </c>
      <c r="E673" t="b">
        <v>0</v>
      </c>
      <c r="F673" s="2">
        <v>1</v>
      </c>
      <c r="G673" s="2">
        <v>1</v>
      </c>
      <c r="H673" s="23">
        <v>0.2</v>
      </c>
      <c r="I673" s="25">
        <v>0.19700000000000001</v>
      </c>
      <c r="J673" s="23">
        <v>0.59</v>
      </c>
      <c r="K673" s="25">
        <v>0.22389999999999999</v>
      </c>
      <c r="L673" s="2">
        <v>0</v>
      </c>
      <c r="M673" s="2">
        <v>2</v>
      </c>
      <c r="N673" s="2">
        <v>2</v>
      </c>
      <c r="O673" t="s">
        <v>29</v>
      </c>
      <c r="P673" t="s">
        <v>54</v>
      </c>
      <c r="Q673" t="s">
        <v>31</v>
      </c>
      <c r="R673" t="s">
        <v>32</v>
      </c>
      <c r="S673" t="s">
        <v>33</v>
      </c>
      <c r="T673" t="s">
        <v>49</v>
      </c>
      <c r="U673" t="s">
        <v>46</v>
      </c>
      <c r="V673" t="s">
        <v>36</v>
      </c>
      <c r="W673" t="s">
        <v>37</v>
      </c>
      <c r="X673" s="24">
        <v>0</v>
      </c>
      <c r="Y673" s="24">
        <v>100</v>
      </c>
      <c r="Z673" t="s">
        <v>38</v>
      </c>
      <c r="AA673" t="s">
        <v>39</v>
      </c>
      <c r="AB673" t="s">
        <v>38</v>
      </c>
      <c r="AC673" s="24">
        <v>-3.0000000000000031E-3</v>
      </c>
    </row>
    <row r="674" spans="1:29" x14ac:dyDescent="0.3">
      <c r="A674" s="2">
        <v>673</v>
      </c>
      <c r="B674" s="1">
        <v>40574</v>
      </c>
      <c r="C674" s="2">
        <v>1</v>
      </c>
      <c r="D674" s="2">
        <v>8</v>
      </c>
      <c r="E674" t="b">
        <v>0</v>
      </c>
      <c r="F674" s="2">
        <v>1</v>
      </c>
      <c r="G674" s="2">
        <v>2</v>
      </c>
      <c r="H674" s="23">
        <v>0.16</v>
      </c>
      <c r="I674" s="25">
        <v>0.13639999999999999</v>
      </c>
      <c r="J674" s="23">
        <v>0.59</v>
      </c>
      <c r="K674" s="25">
        <v>0.28360000000000002</v>
      </c>
      <c r="L674" s="2">
        <v>3</v>
      </c>
      <c r="M674" s="2">
        <v>182</v>
      </c>
      <c r="N674" s="2">
        <v>185</v>
      </c>
      <c r="O674" t="s">
        <v>29</v>
      </c>
      <c r="P674" t="s">
        <v>54</v>
      </c>
      <c r="Q674" t="s">
        <v>41</v>
      </c>
      <c r="R674" t="s">
        <v>42</v>
      </c>
      <c r="S674" t="s">
        <v>33</v>
      </c>
      <c r="T674" t="s">
        <v>49</v>
      </c>
      <c r="U674" t="s">
        <v>46</v>
      </c>
      <c r="V674" t="s">
        <v>36</v>
      </c>
      <c r="W674" t="s">
        <v>37</v>
      </c>
      <c r="X674" s="24">
        <v>1.6216216216216219</v>
      </c>
      <c r="Y674" s="24">
        <v>98.378378378378386</v>
      </c>
      <c r="Z674" t="s">
        <v>40</v>
      </c>
      <c r="AA674" t="s">
        <v>49</v>
      </c>
      <c r="AB674" t="s">
        <v>38</v>
      </c>
      <c r="AC674" s="24">
        <v>-2.360000000000001E-2</v>
      </c>
    </row>
    <row r="675" spans="1:29" x14ac:dyDescent="0.3">
      <c r="A675" s="2">
        <v>674</v>
      </c>
      <c r="B675" s="1">
        <v>40574</v>
      </c>
      <c r="C675" s="2">
        <v>1</v>
      </c>
      <c r="D675" s="2">
        <v>9</v>
      </c>
      <c r="E675" t="b">
        <v>0</v>
      </c>
      <c r="F675" s="2">
        <v>1</v>
      </c>
      <c r="G675" s="2">
        <v>2</v>
      </c>
      <c r="H675" s="23">
        <v>0.16</v>
      </c>
      <c r="I675" s="25">
        <v>0.13639999999999999</v>
      </c>
      <c r="J675" s="23">
        <v>0.59</v>
      </c>
      <c r="K675" s="25">
        <v>0.29849999999999999</v>
      </c>
      <c r="L675" s="2">
        <v>0</v>
      </c>
      <c r="M675" s="2">
        <v>112</v>
      </c>
      <c r="N675" s="2">
        <v>112</v>
      </c>
      <c r="O675" t="s">
        <v>29</v>
      </c>
      <c r="P675" t="s">
        <v>54</v>
      </c>
      <c r="Q675" t="s">
        <v>41</v>
      </c>
      <c r="R675" t="s">
        <v>42</v>
      </c>
      <c r="S675" t="s">
        <v>33</v>
      </c>
      <c r="T675" t="s">
        <v>49</v>
      </c>
      <c r="U675" t="s">
        <v>46</v>
      </c>
      <c r="V675" t="s">
        <v>36</v>
      </c>
      <c r="W675" t="s">
        <v>37</v>
      </c>
      <c r="X675" s="24">
        <v>0</v>
      </c>
      <c r="Y675" s="24">
        <v>100</v>
      </c>
      <c r="Z675" t="s">
        <v>40</v>
      </c>
      <c r="AA675" t="s">
        <v>49</v>
      </c>
      <c r="AB675" t="s">
        <v>38</v>
      </c>
      <c r="AC675" s="24">
        <v>-2.360000000000001E-2</v>
      </c>
    </row>
    <row r="676" spans="1:29" x14ac:dyDescent="0.3">
      <c r="A676" s="2">
        <v>675</v>
      </c>
      <c r="B676" s="1">
        <v>40574</v>
      </c>
      <c r="C676" s="2">
        <v>1</v>
      </c>
      <c r="D676" s="2">
        <v>10</v>
      </c>
      <c r="E676" t="b">
        <v>0</v>
      </c>
      <c r="F676" s="2">
        <v>1</v>
      </c>
      <c r="G676" s="2">
        <v>2</v>
      </c>
      <c r="H676" s="23">
        <v>0.16</v>
      </c>
      <c r="I676" s="25">
        <v>0.1515</v>
      </c>
      <c r="J676" s="23">
        <v>0.59</v>
      </c>
      <c r="K676" s="25">
        <v>0.19400000000000001</v>
      </c>
      <c r="L676" s="2">
        <v>1</v>
      </c>
      <c r="M676" s="2">
        <v>68</v>
      </c>
      <c r="N676" s="2">
        <v>69</v>
      </c>
      <c r="O676" t="s">
        <v>29</v>
      </c>
      <c r="P676" t="s">
        <v>54</v>
      </c>
      <c r="Q676" t="s">
        <v>41</v>
      </c>
      <c r="R676" t="s">
        <v>42</v>
      </c>
      <c r="S676" t="s">
        <v>33</v>
      </c>
      <c r="T676" t="s">
        <v>49</v>
      </c>
      <c r="U676" t="s">
        <v>46</v>
      </c>
      <c r="V676" t="s">
        <v>36</v>
      </c>
      <c r="W676" t="s">
        <v>37</v>
      </c>
      <c r="X676" s="24">
        <v>1.449275362318841</v>
      </c>
      <c r="Y676" s="24">
        <v>98.550724637681171</v>
      </c>
      <c r="Z676" t="s">
        <v>38</v>
      </c>
      <c r="AA676" t="s">
        <v>39</v>
      </c>
      <c r="AB676" t="s">
        <v>38</v>
      </c>
      <c r="AC676" s="24">
        <v>-8.5000000000000075E-3</v>
      </c>
    </row>
    <row r="677" spans="1:29" x14ac:dyDescent="0.3">
      <c r="A677" s="2">
        <v>676</v>
      </c>
      <c r="B677" s="1">
        <v>40574</v>
      </c>
      <c r="C677" s="2">
        <v>1</v>
      </c>
      <c r="D677" s="2">
        <v>11</v>
      </c>
      <c r="E677" t="b">
        <v>0</v>
      </c>
      <c r="F677" s="2">
        <v>1</v>
      </c>
      <c r="G677" s="2">
        <v>2</v>
      </c>
      <c r="H677" s="23">
        <v>0.16</v>
      </c>
      <c r="I677" s="25">
        <v>0.1515</v>
      </c>
      <c r="J677" s="23">
        <v>0.59</v>
      </c>
      <c r="K677" s="25">
        <v>0.19400000000000001</v>
      </c>
      <c r="L677" s="2">
        <v>2</v>
      </c>
      <c r="M677" s="2">
        <v>46</v>
      </c>
      <c r="N677" s="2">
        <v>48</v>
      </c>
      <c r="O677" t="s">
        <v>29</v>
      </c>
      <c r="P677" t="s">
        <v>54</v>
      </c>
      <c r="Q677" t="s">
        <v>41</v>
      </c>
      <c r="R677" t="s">
        <v>42</v>
      </c>
      <c r="S677" t="s">
        <v>33</v>
      </c>
      <c r="T677" t="s">
        <v>49</v>
      </c>
      <c r="U677" t="s">
        <v>46</v>
      </c>
      <c r="V677" t="s">
        <v>36</v>
      </c>
      <c r="W677" t="s">
        <v>37</v>
      </c>
      <c r="X677" s="24">
        <v>4.1666666666666661</v>
      </c>
      <c r="Y677" s="24">
        <v>95.833333333333343</v>
      </c>
      <c r="Z677" t="s">
        <v>38</v>
      </c>
      <c r="AA677" t="s">
        <v>39</v>
      </c>
      <c r="AB677" t="s">
        <v>38</v>
      </c>
      <c r="AC677" s="24">
        <v>-8.5000000000000075E-3</v>
      </c>
    </row>
    <row r="678" spans="1:29" x14ac:dyDescent="0.3">
      <c r="A678" s="2">
        <v>678</v>
      </c>
      <c r="B678" s="1">
        <v>40574</v>
      </c>
      <c r="C678" s="2">
        <v>1</v>
      </c>
      <c r="D678" s="2">
        <v>13</v>
      </c>
      <c r="E678" t="b">
        <v>0</v>
      </c>
      <c r="F678" s="2">
        <v>1</v>
      </c>
      <c r="G678" s="2">
        <v>2</v>
      </c>
      <c r="H678" s="23">
        <v>0.16</v>
      </c>
      <c r="I678" s="25">
        <v>0.2273</v>
      </c>
      <c r="J678" s="23">
        <v>0.59</v>
      </c>
      <c r="K678" s="25">
        <v>0</v>
      </c>
      <c r="L678" s="2">
        <v>2</v>
      </c>
      <c r="M678" s="2">
        <v>52</v>
      </c>
      <c r="N678" s="2">
        <v>54</v>
      </c>
      <c r="O678" t="s">
        <v>29</v>
      </c>
      <c r="P678" t="s">
        <v>54</v>
      </c>
      <c r="Q678" t="s">
        <v>41</v>
      </c>
      <c r="R678" t="s">
        <v>47</v>
      </c>
      <c r="S678" t="s">
        <v>33</v>
      </c>
      <c r="T678" t="s">
        <v>49</v>
      </c>
      <c r="U678" t="s">
        <v>35</v>
      </c>
      <c r="V678" t="s">
        <v>36</v>
      </c>
      <c r="W678" t="s">
        <v>37</v>
      </c>
      <c r="X678" s="24">
        <v>3.7037037037037028</v>
      </c>
      <c r="Y678" s="24">
        <v>96.296296296296291</v>
      </c>
      <c r="Z678" t="s">
        <v>38</v>
      </c>
      <c r="AA678" t="s">
        <v>39</v>
      </c>
      <c r="AB678" t="s">
        <v>38</v>
      </c>
      <c r="AC678" s="24">
        <v>6.7299999999999999E-2</v>
      </c>
    </row>
    <row r="679" spans="1:29" x14ac:dyDescent="0.3">
      <c r="A679" s="2">
        <v>680</v>
      </c>
      <c r="B679" s="1">
        <v>40574</v>
      </c>
      <c r="C679" s="2">
        <v>1</v>
      </c>
      <c r="D679" s="2">
        <v>15</v>
      </c>
      <c r="E679" t="b">
        <v>0</v>
      </c>
      <c r="F679" s="2">
        <v>1</v>
      </c>
      <c r="G679" s="2">
        <v>2</v>
      </c>
      <c r="H679" s="23">
        <v>0.16</v>
      </c>
      <c r="I679" s="25">
        <v>0.18179999999999999</v>
      </c>
      <c r="J679" s="23">
        <v>0.59</v>
      </c>
      <c r="K679" s="25">
        <v>0.1343</v>
      </c>
      <c r="L679" s="2">
        <v>3</v>
      </c>
      <c r="M679" s="2">
        <v>41</v>
      </c>
      <c r="N679" s="2">
        <v>44</v>
      </c>
      <c r="O679" t="s">
        <v>29</v>
      </c>
      <c r="P679" t="s">
        <v>54</v>
      </c>
      <c r="Q679" t="s">
        <v>41</v>
      </c>
      <c r="R679" t="s">
        <v>47</v>
      </c>
      <c r="S679" t="s">
        <v>33</v>
      </c>
      <c r="T679" t="s">
        <v>49</v>
      </c>
      <c r="U679" t="s">
        <v>35</v>
      </c>
      <c r="V679" t="s">
        <v>36</v>
      </c>
      <c r="W679" t="s">
        <v>37</v>
      </c>
      <c r="X679" s="24">
        <v>6.8181818181818166</v>
      </c>
      <c r="Y679" s="24">
        <v>93.181818181818173</v>
      </c>
      <c r="Z679" t="s">
        <v>38</v>
      </c>
      <c r="AA679" t="s">
        <v>39</v>
      </c>
      <c r="AB679" t="s">
        <v>38</v>
      </c>
      <c r="AC679" s="24">
        <v>2.179999999999999E-2</v>
      </c>
    </row>
    <row r="680" spans="1:29" x14ac:dyDescent="0.3">
      <c r="A680" s="2">
        <v>682</v>
      </c>
      <c r="B680" s="1">
        <v>40574</v>
      </c>
      <c r="C680" s="2">
        <v>1</v>
      </c>
      <c r="D680" s="2">
        <v>17</v>
      </c>
      <c r="E680" t="b">
        <v>0</v>
      </c>
      <c r="F680" s="2">
        <v>1</v>
      </c>
      <c r="G680" s="2">
        <v>2</v>
      </c>
      <c r="H680" s="23">
        <v>0.16</v>
      </c>
      <c r="I680" s="25">
        <v>0.1515</v>
      </c>
      <c r="J680" s="23">
        <v>0.59</v>
      </c>
      <c r="K680" s="25">
        <v>0.19400000000000001</v>
      </c>
      <c r="L680" s="2">
        <v>6</v>
      </c>
      <c r="M680" s="2">
        <v>155</v>
      </c>
      <c r="N680" s="2">
        <v>161</v>
      </c>
      <c r="O680" t="s">
        <v>29</v>
      </c>
      <c r="P680" t="s">
        <v>54</v>
      </c>
      <c r="Q680" t="s">
        <v>41</v>
      </c>
      <c r="R680" t="s">
        <v>50</v>
      </c>
      <c r="S680" t="s">
        <v>33</v>
      </c>
      <c r="T680" t="s">
        <v>49</v>
      </c>
      <c r="U680" t="s">
        <v>46</v>
      </c>
      <c r="V680" t="s">
        <v>36</v>
      </c>
      <c r="W680" t="s">
        <v>37</v>
      </c>
      <c r="X680" s="24">
        <v>3.726708074534161</v>
      </c>
      <c r="Y680" s="24">
        <v>96.273291925465841</v>
      </c>
      <c r="Z680" t="s">
        <v>40</v>
      </c>
      <c r="AA680" t="s">
        <v>49</v>
      </c>
      <c r="AB680" t="s">
        <v>38</v>
      </c>
      <c r="AC680" s="24">
        <v>-8.5000000000000075E-3</v>
      </c>
    </row>
    <row r="681" spans="1:29" x14ac:dyDescent="0.3">
      <c r="A681" s="2">
        <v>685</v>
      </c>
      <c r="B681" s="1">
        <v>40574</v>
      </c>
      <c r="C681" s="2">
        <v>1</v>
      </c>
      <c r="D681" s="2">
        <v>20</v>
      </c>
      <c r="E681" t="b">
        <v>0</v>
      </c>
      <c r="F681" s="2">
        <v>1</v>
      </c>
      <c r="G681" s="2">
        <v>3</v>
      </c>
      <c r="H681" s="23">
        <v>0.16</v>
      </c>
      <c r="I681" s="25">
        <v>0.16669999999999999</v>
      </c>
      <c r="J681" s="23">
        <v>0.59</v>
      </c>
      <c r="K681" s="25">
        <v>0.16420000000000001</v>
      </c>
      <c r="L681" s="2">
        <v>0</v>
      </c>
      <c r="M681" s="2">
        <v>78</v>
      </c>
      <c r="N681" s="2">
        <v>78</v>
      </c>
      <c r="O681" t="s">
        <v>29</v>
      </c>
      <c r="P681" t="s">
        <v>54</v>
      </c>
      <c r="Q681" t="s">
        <v>51</v>
      </c>
      <c r="R681" t="s">
        <v>50</v>
      </c>
      <c r="S681" t="s">
        <v>33</v>
      </c>
      <c r="T681" t="s">
        <v>49</v>
      </c>
      <c r="U681" t="s">
        <v>46</v>
      </c>
      <c r="V681" t="s">
        <v>36</v>
      </c>
      <c r="W681" t="s">
        <v>37</v>
      </c>
      <c r="X681" s="24">
        <v>0</v>
      </c>
      <c r="Y681" s="24">
        <v>100</v>
      </c>
      <c r="Z681" t="s">
        <v>38</v>
      </c>
      <c r="AA681" t="s">
        <v>39</v>
      </c>
      <c r="AB681" t="s">
        <v>38</v>
      </c>
      <c r="AC681" s="24">
        <v>6.6999999999999837E-3</v>
      </c>
    </row>
    <row r="682" spans="1:29" x14ac:dyDescent="0.3">
      <c r="A682" s="2">
        <v>686</v>
      </c>
      <c r="B682" s="1">
        <v>40574</v>
      </c>
      <c r="C682" s="2">
        <v>1</v>
      </c>
      <c r="D682" s="2">
        <v>21</v>
      </c>
      <c r="E682" t="b">
        <v>0</v>
      </c>
      <c r="F682" s="2">
        <v>1</v>
      </c>
      <c r="G682" s="2">
        <v>3</v>
      </c>
      <c r="H682" s="23">
        <v>0.16</v>
      </c>
      <c r="I682" s="25">
        <v>0.19700000000000001</v>
      </c>
      <c r="J682" s="23">
        <v>0.59</v>
      </c>
      <c r="K682" s="25">
        <v>8.9599999999999999E-2</v>
      </c>
      <c r="L682" s="2">
        <v>3</v>
      </c>
      <c r="M682" s="2">
        <v>53</v>
      </c>
      <c r="N682" s="2">
        <v>56</v>
      </c>
      <c r="O682" t="s">
        <v>29</v>
      </c>
      <c r="P682" t="s">
        <v>54</v>
      </c>
      <c r="Q682" t="s">
        <v>51</v>
      </c>
      <c r="R682" t="s">
        <v>32</v>
      </c>
      <c r="S682" t="s">
        <v>33</v>
      </c>
      <c r="T682" t="s">
        <v>49</v>
      </c>
      <c r="U682" t="s">
        <v>35</v>
      </c>
      <c r="V682" t="s">
        <v>36</v>
      </c>
      <c r="W682" t="s">
        <v>37</v>
      </c>
      <c r="X682" s="24">
        <v>5.3571428571428568</v>
      </c>
      <c r="Y682" s="24">
        <v>94.642857142857139</v>
      </c>
      <c r="Z682" t="s">
        <v>38</v>
      </c>
      <c r="AA682" t="s">
        <v>39</v>
      </c>
      <c r="AB682" t="s">
        <v>38</v>
      </c>
      <c r="AC682" s="24">
        <v>3.7000000000000012E-2</v>
      </c>
    </row>
    <row r="683" spans="1:29" x14ac:dyDescent="0.3">
      <c r="A683" s="2">
        <v>687</v>
      </c>
      <c r="B683" s="1">
        <v>40574</v>
      </c>
      <c r="C683" s="2">
        <v>1</v>
      </c>
      <c r="D683" s="2">
        <v>22</v>
      </c>
      <c r="E683" t="b">
        <v>0</v>
      </c>
      <c r="F683" s="2">
        <v>1</v>
      </c>
      <c r="G683" s="2">
        <v>2</v>
      </c>
      <c r="H683" s="23">
        <v>0.16</v>
      </c>
      <c r="I683" s="25">
        <v>0.18179999999999999</v>
      </c>
      <c r="J683" s="23">
        <v>0.59</v>
      </c>
      <c r="K683" s="25">
        <v>0.1045</v>
      </c>
      <c r="L683" s="2">
        <v>0</v>
      </c>
      <c r="M683" s="2">
        <v>34</v>
      </c>
      <c r="N683" s="2">
        <v>34</v>
      </c>
      <c r="O683" t="s">
        <v>29</v>
      </c>
      <c r="P683" t="s">
        <v>54</v>
      </c>
      <c r="Q683" t="s">
        <v>41</v>
      </c>
      <c r="R683" t="s">
        <v>32</v>
      </c>
      <c r="S683" t="s">
        <v>33</v>
      </c>
      <c r="T683" t="s">
        <v>49</v>
      </c>
      <c r="U683" t="s">
        <v>35</v>
      </c>
      <c r="V683" t="s">
        <v>36</v>
      </c>
      <c r="W683" t="s">
        <v>37</v>
      </c>
      <c r="X683" s="24">
        <v>0</v>
      </c>
      <c r="Y683" s="24">
        <v>100</v>
      </c>
      <c r="Z683" t="s">
        <v>38</v>
      </c>
      <c r="AA683" t="s">
        <v>39</v>
      </c>
      <c r="AB683" t="s">
        <v>38</v>
      </c>
      <c r="AC683" s="24">
        <v>2.179999999999999E-2</v>
      </c>
    </row>
    <row r="684" spans="1:29" x14ac:dyDescent="0.3">
      <c r="A684" s="2">
        <v>760</v>
      </c>
      <c r="B684" s="1">
        <v>40578</v>
      </c>
      <c r="C684" s="2">
        <v>1</v>
      </c>
      <c r="D684" s="2">
        <v>1</v>
      </c>
      <c r="E684" t="b">
        <v>0</v>
      </c>
      <c r="F684" s="2">
        <v>5</v>
      </c>
      <c r="G684" s="2">
        <v>2</v>
      </c>
      <c r="H684" s="23">
        <v>0.16</v>
      </c>
      <c r="I684" s="25">
        <v>0.2273</v>
      </c>
      <c r="J684" s="23">
        <v>0.59</v>
      </c>
      <c r="K684" s="25">
        <v>0</v>
      </c>
      <c r="L684" s="2">
        <v>0</v>
      </c>
      <c r="M684" s="2">
        <v>7</v>
      </c>
      <c r="N684" s="2">
        <v>7</v>
      </c>
      <c r="O684" t="s">
        <v>29</v>
      </c>
      <c r="P684" t="s">
        <v>59</v>
      </c>
      <c r="Q684" t="s">
        <v>41</v>
      </c>
      <c r="R684" t="s">
        <v>32</v>
      </c>
      <c r="S684" t="s">
        <v>33</v>
      </c>
      <c r="T684" t="s">
        <v>49</v>
      </c>
      <c r="U684" t="s">
        <v>35</v>
      </c>
      <c r="V684" t="s">
        <v>36</v>
      </c>
      <c r="W684" t="s">
        <v>37</v>
      </c>
      <c r="X684" s="24">
        <v>0</v>
      </c>
      <c r="Y684" s="24">
        <v>100</v>
      </c>
      <c r="Z684" t="s">
        <v>38</v>
      </c>
      <c r="AA684" t="s">
        <v>39</v>
      </c>
      <c r="AB684" t="s">
        <v>38</v>
      </c>
      <c r="AC684" s="24">
        <v>6.7299999999999999E-2</v>
      </c>
    </row>
    <row r="685" spans="1:29" x14ac:dyDescent="0.3">
      <c r="A685" s="2">
        <v>765</v>
      </c>
      <c r="B685" s="1">
        <v>40578</v>
      </c>
      <c r="C685" s="2">
        <v>1</v>
      </c>
      <c r="D685" s="2">
        <v>7</v>
      </c>
      <c r="E685" t="b">
        <v>0</v>
      </c>
      <c r="F685" s="2">
        <v>5</v>
      </c>
      <c r="G685" s="2">
        <v>1</v>
      </c>
      <c r="H685" s="23">
        <v>0.14000000000000001</v>
      </c>
      <c r="I685" s="25">
        <v>0.21210000000000001</v>
      </c>
      <c r="J685" s="23">
        <v>0.59</v>
      </c>
      <c r="K685" s="25">
        <v>0</v>
      </c>
      <c r="L685" s="2">
        <v>0</v>
      </c>
      <c r="M685" s="2">
        <v>87</v>
      </c>
      <c r="N685" s="2">
        <v>87</v>
      </c>
      <c r="O685" t="s">
        <v>29</v>
      </c>
      <c r="P685" t="s">
        <v>59</v>
      </c>
      <c r="Q685" t="s">
        <v>31</v>
      </c>
      <c r="R685" t="s">
        <v>42</v>
      </c>
      <c r="S685" t="s">
        <v>55</v>
      </c>
      <c r="T685" t="s">
        <v>49</v>
      </c>
      <c r="U685" t="s">
        <v>35</v>
      </c>
      <c r="V685" t="s">
        <v>36</v>
      </c>
      <c r="W685" t="s">
        <v>37</v>
      </c>
      <c r="X685" s="24">
        <v>0</v>
      </c>
      <c r="Y685" s="24">
        <v>100</v>
      </c>
      <c r="Z685" t="s">
        <v>40</v>
      </c>
      <c r="AA685" t="s">
        <v>39</v>
      </c>
      <c r="AB685" t="s">
        <v>38</v>
      </c>
      <c r="AC685" s="24">
        <v>7.2099999999999997E-2</v>
      </c>
    </row>
    <row r="686" spans="1:29" x14ac:dyDescent="0.3">
      <c r="A686" s="2">
        <v>904</v>
      </c>
      <c r="B686" s="1">
        <v>40584</v>
      </c>
      <c r="C686" s="2">
        <v>1</v>
      </c>
      <c r="D686" s="2">
        <v>4</v>
      </c>
      <c r="E686" t="b">
        <v>0</v>
      </c>
      <c r="F686" s="2">
        <v>4</v>
      </c>
      <c r="G686" s="2">
        <v>2</v>
      </c>
      <c r="H686" s="23">
        <v>0.14000000000000001</v>
      </c>
      <c r="I686" s="25">
        <v>0.13639999999999999</v>
      </c>
      <c r="J686" s="23">
        <v>0.59</v>
      </c>
      <c r="K686" s="25">
        <v>0.22389999999999999</v>
      </c>
      <c r="L686" s="2">
        <v>0</v>
      </c>
      <c r="M686" s="2">
        <v>1</v>
      </c>
      <c r="N686" s="2">
        <v>1</v>
      </c>
      <c r="O686" t="s">
        <v>29</v>
      </c>
      <c r="P686" t="s">
        <v>58</v>
      </c>
      <c r="Q686" t="s">
        <v>41</v>
      </c>
      <c r="R686" t="s">
        <v>32</v>
      </c>
      <c r="S686" t="s">
        <v>55</v>
      </c>
      <c r="T686" t="s">
        <v>49</v>
      </c>
      <c r="U686" t="s">
        <v>46</v>
      </c>
      <c r="V686" t="s">
        <v>36</v>
      </c>
      <c r="W686" t="s">
        <v>37</v>
      </c>
      <c r="X686" s="24">
        <v>0</v>
      </c>
      <c r="Y686" s="24">
        <v>100</v>
      </c>
      <c r="Z686" t="s">
        <v>38</v>
      </c>
      <c r="AA686" t="s">
        <v>39</v>
      </c>
      <c r="AB686" t="s">
        <v>38</v>
      </c>
      <c r="AC686" s="24">
        <v>-3.6000000000000199E-3</v>
      </c>
    </row>
    <row r="687" spans="1:29" x14ac:dyDescent="0.3">
      <c r="A687" s="2">
        <v>943</v>
      </c>
      <c r="B687" s="1">
        <v>40585</v>
      </c>
      <c r="C687" s="2">
        <v>1</v>
      </c>
      <c r="D687" s="2">
        <v>21</v>
      </c>
      <c r="E687" t="b">
        <v>0</v>
      </c>
      <c r="F687" s="2">
        <v>5</v>
      </c>
      <c r="G687" s="2">
        <v>1</v>
      </c>
      <c r="H687" s="23">
        <v>0.2</v>
      </c>
      <c r="I687" s="25">
        <v>0.21210000000000001</v>
      </c>
      <c r="J687" s="23">
        <v>0.59</v>
      </c>
      <c r="K687" s="25">
        <v>0.1343</v>
      </c>
      <c r="L687" s="2">
        <v>1</v>
      </c>
      <c r="M687" s="2">
        <v>46</v>
      </c>
      <c r="N687" s="2">
        <v>47</v>
      </c>
      <c r="O687" t="s">
        <v>29</v>
      </c>
      <c r="P687" t="s">
        <v>59</v>
      </c>
      <c r="Q687" t="s">
        <v>31</v>
      </c>
      <c r="R687" t="s">
        <v>32</v>
      </c>
      <c r="S687" t="s">
        <v>33</v>
      </c>
      <c r="T687" t="s">
        <v>49</v>
      </c>
      <c r="U687" t="s">
        <v>35</v>
      </c>
      <c r="V687" t="s">
        <v>36</v>
      </c>
      <c r="W687" t="s">
        <v>37</v>
      </c>
      <c r="X687" s="24">
        <v>2.1276595744680851</v>
      </c>
      <c r="Y687" s="24">
        <v>97.872340425531917</v>
      </c>
      <c r="Z687" t="s">
        <v>38</v>
      </c>
      <c r="AA687" t="s">
        <v>39</v>
      </c>
      <c r="AB687" t="s">
        <v>38</v>
      </c>
      <c r="AC687" s="24">
        <v>1.21E-2</v>
      </c>
    </row>
    <row r="688" spans="1:29" x14ac:dyDescent="0.3">
      <c r="A688" s="2">
        <v>971</v>
      </c>
      <c r="B688" s="1">
        <v>40587</v>
      </c>
      <c r="C688" s="2">
        <v>1</v>
      </c>
      <c r="D688" s="2">
        <v>1</v>
      </c>
      <c r="E688" t="b">
        <v>0</v>
      </c>
      <c r="F688" s="2">
        <v>0</v>
      </c>
      <c r="G688" s="2">
        <v>1</v>
      </c>
      <c r="H688" s="23">
        <v>0.2</v>
      </c>
      <c r="I688" s="25">
        <v>0.2273</v>
      </c>
      <c r="J688" s="23">
        <v>0.59</v>
      </c>
      <c r="K688" s="25">
        <v>8.9599999999999999E-2</v>
      </c>
      <c r="L688" s="2">
        <v>1</v>
      </c>
      <c r="M688" s="2">
        <v>23</v>
      </c>
      <c r="N688" s="2">
        <v>24</v>
      </c>
      <c r="O688" t="s">
        <v>29</v>
      </c>
      <c r="P688" t="s">
        <v>52</v>
      </c>
      <c r="Q688" t="s">
        <v>31</v>
      </c>
      <c r="R688" t="s">
        <v>32</v>
      </c>
      <c r="S688" t="s">
        <v>33</v>
      </c>
      <c r="T688" t="s">
        <v>49</v>
      </c>
      <c r="U688" t="s">
        <v>35</v>
      </c>
      <c r="V688" t="s">
        <v>36</v>
      </c>
      <c r="W688" t="s">
        <v>37</v>
      </c>
      <c r="X688" s="24">
        <v>4.1666666666666661</v>
      </c>
      <c r="Y688" s="24">
        <v>95.833333333333343</v>
      </c>
      <c r="Z688" t="s">
        <v>38</v>
      </c>
      <c r="AA688" t="s">
        <v>39</v>
      </c>
      <c r="AB688" t="s">
        <v>40</v>
      </c>
      <c r="AC688" s="24">
        <v>2.7299999999999991E-2</v>
      </c>
    </row>
    <row r="689" spans="1:29" x14ac:dyDescent="0.3">
      <c r="A689" s="2">
        <v>437</v>
      </c>
      <c r="B689" s="1">
        <v>40563</v>
      </c>
      <c r="C689" s="2">
        <v>1</v>
      </c>
      <c r="D689" s="2">
        <v>5</v>
      </c>
      <c r="E689" t="b">
        <v>0</v>
      </c>
      <c r="F689" s="2">
        <v>4</v>
      </c>
      <c r="G689" s="2">
        <v>1</v>
      </c>
      <c r="H689" s="23">
        <v>0.24</v>
      </c>
      <c r="I689" s="25">
        <v>0.2273</v>
      </c>
      <c r="J689" s="23">
        <v>0.6</v>
      </c>
      <c r="K689" s="25">
        <v>0.22389999999999999</v>
      </c>
      <c r="L689" s="2">
        <v>0</v>
      </c>
      <c r="M689" s="2">
        <v>6</v>
      </c>
      <c r="N689" s="2">
        <v>6</v>
      </c>
      <c r="O689" t="s">
        <v>29</v>
      </c>
      <c r="P689" t="s">
        <v>58</v>
      </c>
      <c r="Q689" t="s">
        <v>31</v>
      </c>
      <c r="R689" t="s">
        <v>32</v>
      </c>
      <c r="S689" t="s">
        <v>33</v>
      </c>
      <c r="T689" t="s">
        <v>49</v>
      </c>
      <c r="U689" t="s">
        <v>46</v>
      </c>
      <c r="V689" t="s">
        <v>36</v>
      </c>
      <c r="W689" t="s">
        <v>37</v>
      </c>
      <c r="X689" s="24">
        <v>0</v>
      </c>
      <c r="Y689" s="24">
        <v>100</v>
      </c>
      <c r="Z689" t="s">
        <v>38</v>
      </c>
      <c r="AA689" t="s">
        <v>39</v>
      </c>
      <c r="AB689" t="s">
        <v>38</v>
      </c>
      <c r="AC689" s="24">
        <v>-1.2699999999999991E-2</v>
      </c>
    </row>
    <row r="690" spans="1:29" x14ac:dyDescent="0.3">
      <c r="A690" s="2">
        <v>438</v>
      </c>
      <c r="B690" s="1">
        <v>40563</v>
      </c>
      <c r="C690" s="2">
        <v>1</v>
      </c>
      <c r="D690" s="2">
        <v>6</v>
      </c>
      <c r="E690" t="b">
        <v>0</v>
      </c>
      <c r="F690" s="2">
        <v>4</v>
      </c>
      <c r="G690" s="2">
        <v>1</v>
      </c>
      <c r="H690" s="23">
        <v>0.22</v>
      </c>
      <c r="I690" s="25">
        <v>0.21210000000000001</v>
      </c>
      <c r="J690" s="23">
        <v>0.6</v>
      </c>
      <c r="K690" s="25">
        <v>0.22389999999999999</v>
      </c>
      <c r="L690" s="2">
        <v>0</v>
      </c>
      <c r="M690" s="2">
        <v>35</v>
      </c>
      <c r="N690" s="2">
        <v>35</v>
      </c>
      <c r="O690" t="s">
        <v>29</v>
      </c>
      <c r="P690" t="s">
        <v>58</v>
      </c>
      <c r="Q690" t="s">
        <v>31</v>
      </c>
      <c r="R690" t="s">
        <v>42</v>
      </c>
      <c r="S690" t="s">
        <v>33</v>
      </c>
      <c r="T690" t="s">
        <v>49</v>
      </c>
      <c r="U690" t="s">
        <v>46</v>
      </c>
      <c r="V690" t="s">
        <v>36</v>
      </c>
      <c r="W690" t="s">
        <v>37</v>
      </c>
      <c r="X690" s="24">
        <v>0</v>
      </c>
      <c r="Y690" s="24">
        <v>100</v>
      </c>
      <c r="Z690" t="s">
        <v>38</v>
      </c>
      <c r="AA690" t="s">
        <v>39</v>
      </c>
      <c r="AB690" t="s">
        <v>38</v>
      </c>
      <c r="AC690" s="24">
        <v>-7.8999999999999904E-3</v>
      </c>
    </row>
    <row r="691" spans="1:29" x14ac:dyDescent="0.3">
      <c r="A691" s="2">
        <v>452</v>
      </c>
      <c r="B691" s="1">
        <v>40563</v>
      </c>
      <c r="C691" s="2">
        <v>1</v>
      </c>
      <c r="D691" s="2">
        <v>20</v>
      </c>
      <c r="E691" t="b">
        <v>0</v>
      </c>
      <c r="F691" s="2">
        <v>4</v>
      </c>
      <c r="G691" s="2">
        <v>2</v>
      </c>
      <c r="H691" s="23">
        <v>0.26</v>
      </c>
      <c r="I691" s="25">
        <v>0.2424</v>
      </c>
      <c r="J691" s="23">
        <v>0.6</v>
      </c>
      <c r="K691" s="25">
        <v>0.28360000000000002</v>
      </c>
      <c r="L691" s="2">
        <v>2</v>
      </c>
      <c r="M691" s="2">
        <v>124</v>
      </c>
      <c r="N691" s="2">
        <v>126</v>
      </c>
      <c r="O691" t="s">
        <v>29</v>
      </c>
      <c r="P691" t="s">
        <v>58</v>
      </c>
      <c r="Q691" t="s">
        <v>41</v>
      </c>
      <c r="R691" t="s">
        <v>50</v>
      </c>
      <c r="S691" t="s">
        <v>44</v>
      </c>
      <c r="T691" t="s">
        <v>49</v>
      </c>
      <c r="U691" t="s">
        <v>46</v>
      </c>
      <c r="V691" t="s">
        <v>36</v>
      </c>
      <c r="W691" t="s">
        <v>37</v>
      </c>
      <c r="X691" s="24">
        <v>1.587301587301587</v>
      </c>
      <c r="Y691" s="24">
        <v>98.412698412698404</v>
      </c>
      <c r="Z691" t="s">
        <v>38</v>
      </c>
      <c r="AA691" t="s">
        <v>49</v>
      </c>
      <c r="AB691" t="s">
        <v>38</v>
      </c>
      <c r="AC691" s="24">
        <v>-1.7600000000000001E-2</v>
      </c>
    </row>
    <row r="692" spans="1:29" x14ac:dyDescent="0.3">
      <c r="A692" s="2">
        <v>453</v>
      </c>
      <c r="B692" s="1">
        <v>40563</v>
      </c>
      <c r="C692" s="2">
        <v>1</v>
      </c>
      <c r="D692" s="2">
        <v>21</v>
      </c>
      <c r="E692" t="b">
        <v>0</v>
      </c>
      <c r="F692" s="2">
        <v>4</v>
      </c>
      <c r="G692" s="2">
        <v>2</v>
      </c>
      <c r="H692" s="23">
        <v>0.24</v>
      </c>
      <c r="I692" s="25">
        <v>0.2273</v>
      </c>
      <c r="J692" s="23">
        <v>0.6</v>
      </c>
      <c r="K692" s="25">
        <v>0.25369999999999998</v>
      </c>
      <c r="L692" s="2">
        <v>3</v>
      </c>
      <c r="M692" s="2">
        <v>54</v>
      </c>
      <c r="N692" s="2">
        <v>57</v>
      </c>
      <c r="O692" t="s">
        <v>29</v>
      </c>
      <c r="P692" t="s">
        <v>58</v>
      </c>
      <c r="Q692" t="s">
        <v>41</v>
      </c>
      <c r="R692" t="s">
        <v>32</v>
      </c>
      <c r="S692" t="s">
        <v>33</v>
      </c>
      <c r="T692" t="s">
        <v>49</v>
      </c>
      <c r="U692" t="s">
        <v>46</v>
      </c>
      <c r="V692" t="s">
        <v>36</v>
      </c>
      <c r="W692" t="s">
        <v>37</v>
      </c>
      <c r="X692" s="24">
        <v>5.2631578947368416</v>
      </c>
      <c r="Y692" s="24">
        <v>94.73684210526315</v>
      </c>
      <c r="Z692" t="s">
        <v>38</v>
      </c>
      <c r="AA692" t="s">
        <v>39</v>
      </c>
      <c r="AB692" t="s">
        <v>38</v>
      </c>
      <c r="AC692" s="24">
        <v>-1.2699999999999991E-2</v>
      </c>
    </row>
    <row r="693" spans="1:29" x14ac:dyDescent="0.3">
      <c r="A693" s="2">
        <v>461</v>
      </c>
      <c r="B693" s="1">
        <v>40564</v>
      </c>
      <c r="C693" s="2">
        <v>1</v>
      </c>
      <c r="D693" s="2">
        <v>5</v>
      </c>
      <c r="E693" t="b">
        <v>0</v>
      </c>
      <c r="F693" s="2">
        <v>5</v>
      </c>
      <c r="G693" s="2">
        <v>1</v>
      </c>
      <c r="H693" s="23">
        <v>0.24</v>
      </c>
      <c r="I693" s="25">
        <v>0.19700000000000001</v>
      </c>
      <c r="J693" s="23">
        <v>0.6</v>
      </c>
      <c r="K693" s="25">
        <v>0.41789999999999999</v>
      </c>
      <c r="L693" s="2">
        <v>1</v>
      </c>
      <c r="M693" s="2">
        <v>4</v>
      </c>
      <c r="N693" s="2">
        <v>5</v>
      </c>
      <c r="O693" t="s">
        <v>29</v>
      </c>
      <c r="P693" t="s">
        <v>59</v>
      </c>
      <c r="Q693" t="s">
        <v>31</v>
      </c>
      <c r="R693" t="s">
        <v>32</v>
      </c>
      <c r="S693" t="s">
        <v>33</v>
      </c>
      <c r="T693" t="s">
        <v>49</v>
      </c>
      <c r="U693" t="s">
        <v>53</v>
      </c>
      <c r="V693" t="s">
        <v>36</v>
      </c>
      <c r="W693" t="s">
        <v>37</v>
      </c>
      <c r="X693" s="24">
        <v>20</v>
      </c>
      <c r="Y693" s="24">
        <v>80</v>
      </c>
      <c r="Z693" t="s">
        <v>38</v>
      </c>
      <c r="AA693" t="s">
        <v>39</v>
      </c>
      <c r="AB693" t="s">
        <v>38</v>
      </c>
      <c r="AC693" s="24">
        <v>-4.2999999999999983E-2</v>
      </c>
    </row>
    <row r="694" spans="1:29" x14ac:dyDescent="0.3">
      <c r="A694" s="2">
        <v>693</v>
      </c>
      <c r="B694" s="1">
        <v>40575</v>
      </c>
      <c r="C694" s="2">
        <v>1</v>
      </c>
      <c r="D694" s="2">
        <v>5</v>
      </c>
      <c r="E694" t="b">
        <v>0</v>
      </c>
      <c r="F694" s="2">
        <v>2</v>
      </c>
      <c r="G694" s="2">
        <v>3</v>
      </c>
      <c r="H694" s="23">
        <v>0.14000000000000001</v>
      </c>
      <c r="I694" s="25">
        <v>0.21210000000000001</v>
      </c>
      <c r="J694" s="23">
        <v>0.93</v>
      </c>
      <c r="K694" s="25">
        <v>0</v>
      </c>
      <c r="L694" s="2">
        <v>0</v>
      </c>
      <c r="M694" s="2">
        <v>3</v>
      </c>
      <c r="N694" s="2">
        <v>3</v>
      </c>
      <c r="O694" t="s">
        <v>29</v>
      </c>
      <c r="P694" t="s">
        <v>56</v>
      </c>
      <c r="Q694" t="s">
        <v>51</v>
      </c>
      <c r="R694" t="s">
        <v>32</v>
      </c>
      <c r="S694" t="s">
        <v>55</v>
      </c>
      <c r="T694" t="s">
        <v>34</v>
      </c>
      <c r="U694" t="s">
        <v>35</v>
      </c>
      <c r="V694" t="s">
        <v>36</v>
      </c>
      <c r="W694" t="s">
        <v>37</v>
      </c>
      <c r="X694" s="24">
        <v>0</v>
      </c>
      <c r="Y694" s="24">
        <v>100</v>
      </c>
      <c r="Z694" t="s">
        <v>38</v>
      </c>
      <c r="AA694" t="s">
        <v>39</v>
      </c>
      <c r="AB694" t="s">
        <v>38</v>
      </c>
      <c r="AC694" s="24">
        <v>7.2099999999999997E-2</v>
      </c>
    </row>
    <row r="695" spans="1:29" x14ac:dyDescent="0.3">
      <c r="A695" s="2">
        <v>694</v>
      </c>
      <c r="B695" s="1">
        <v>40575</v>
      </c>
      <c r="C695" s="2">
        <v>1</v>
      </c>
      <c r="D695" s="2">
        <v>6</v>
      </c>
      <c r="E695" t="b">
        <v>0</v>
      </c>
      <c r="F695" s="2">
        <v>2</v>
      </c>
      <c r="G695" s="2">
        <v>3</v>
      </c>
      <c r="H695" s="23">
        <v>0.14000000000000001</v>
      </c>
      <c r="I695" s="25">
        <v>0.21210000000000001</v>
      </c>
      <c r="J695" s="23">
        <v>0.93</v>
      </c>
      <c r="K695" s="25">
        <v>0</v>
      </c>
      <c r="L695" s="2">
        <v>0</v>
      </c>
      <c r="M695" s="2">
        <v>22</v>
      </c>
      <c r="N695" s="2">
        <v>22</v>
      </c>
      <c r="O695" t="s">
        <v>29</v>
      </c>
      <c r="P695" t="s">
        <v>56</v>
      </c>
      <c r="Q695" t="s">
        <v>51</v>
      </c>
      <c r="R695" t="s">
        <v>42</v>
      </c>
      <c r="S695" t="s">
        <v>55</v>
      </c>
      <c r="T695" t="s">
        <v>34</v>
      </c>
      <c r="U695" t="s">
        <v>35</v>
      </c>
      <c r="V695" t="s">
        <v>36</v>
      </c>
      <c r="W695" t="s">
        <v>37</v>
      </c>
      <c r="X695" s="24">
        <v>0</v>
      </c>
      <c r="Y695" s="24">
        <v>100</v>
      </c>
      <c r="Z695" t="s">
        <v>38</v>
      </c>
      <c r="AA695" t="s">
        <v>39</v>
      </c>
      <c r="AB695" t="s">
        <v>38</v>
      </c>
      <c r="AC695" s="24">
        <v>7.2099999999999997E-2</v>
      </c>
    </row>
    <row r="696" spans="1:29" x14ac:dyDescent="0.3">
      <c r="A696" s="2">
        <v>695</v>
      </c>
      <c r="B696" s="1">
        <v>40575</v>
      </c>
      <c r="C696" s="2">
        <v>1</v>
      </c>
      <c r="D696" s="2">
        <v>7</v>
      </c>
      <c r="E696" t="b">
        <v>0</v>
      </c>
      <c r="F696" s="2">
        <v>2</v>
      </c>
      <c r="G696" s="2">
        <v>3</v>
      </c>
      <c r="H696" s="23">
        <v>0.16</v>
      </c>
      <c r="I696" s="25">
        <v>0.2273</v>
      </c>
      <c r="J696" s="23">
        <v>0.93</v>
      </c>
      <c r="K696" s="25">
        <v>0</v>
      </c>
      <c r="L696" s="2">
        <v>0</v>
      </c>
      <c r="M696" s="2">
        <v>52</v>
      </c>
      <c r="N696" s="2">
        <v>52</v>
      </c>
      <c r="O696" t="s">
        <v>29</v>
      </c>
      <c r="P696" t="s">
        <v>56</v>
      </c>
      <c r="Q696" t="s">
        <v>51</v>
      </c>
      <c r="R696" t="s">
        <v>42</v>
      </c>
      <c r="S696" t="s">
        <v>33</v>
      </c>
      <c r="T696" t="s">
        <v>34</v>
      </c>
      <c r="U696" t="s">
        <v>35</v>
      </c>
      <c r="V696" t="s">
        <v>36</v>
      </c>
      <c r="W696" t="s">
        <v>37</v>
      </c>
      <c r="X696" s="24">
        <v>0</v>
      </c>
      <c r="Y696" s="24">
        <v>100</v>
      </c>
      <c r="Z696" t="s">
        <v>40</v>
      </c>
      <c r="AA696" t="s">
        <v>39</v>
      </c>
      <c r="AB696" t="s">
        <v>38</v>
      </c>
      <c r="AC696" s="24">
        <v>6.7299999999999999E-2</v>
      </c>
    </row>
    <row r="697" spans="1:29" x14ac:dyDescent="0.3">
      <c r="A697" s="2">
        <v>696</v>
      </c>
      <c r="B697" s="1">
        <v>40575</v>
      </c>
      <c r="C697" s="2">
        <v>1</v>
      </c>
      <c r="D697" s="2">
        <v>8</v>
      </c>
      <c r="E697" t="b">
        <v>0</v>
      </c>
      <c r="F697" s="2">
        <v>2</v>
      </c>
      <c r="G697" s="2">
        <v>3</v>
      </c>
      <c r="H697" s="23">
        <v>0.16</v>
      </c>
      <c r="I697" s="25">
        <v>0.2273</v>
      </c>
      <c r="J697" s="23">
        <v>0.93</v>
      </c>
      <c r="K697" s="25">
        <v>0</v>
      </c>
      <c r="L697" s="2">
        <v>3</v>
      </c>
      <c r="M697" s="2">
        <v>132</v>
      </c>
      <c r="N697" s="2">
        <v>135</v>
      </c>
      <c r="O697" t="s">
        <v>29</v>
      </c>
      <c r="P697" t="s">
        <v>56</v>
      </c>
      <c r="Q697" t="s">
        <v>51</v>
      </c>
      <c r="R697" t="s">
        <v>42</v>
      </c>
      <c r="S697" t="s">
        <v>33</v>
      </c>
      <c r="T697" t="s">
        <v>34</v>
      </c>
      <c r="U697" t="s">
        <v>35</v>
      </c>
      <c r="V697" t="s">
        <v>36</v>
      </c>
      <c r="W697" t="s">
        <v>37</v>
      </c>
      <c r="X697" s="24">
        <v>2.2222222222222219</v>
      </c>
      <c r="Y697" s="24">
        <v>97.777777777777771</v>
      </c>
      <c r="Z697" t="s">
        <v>40</v>
      </c>
      <c r="AA697" t="s">
        <v>49</v>
      </c>
      <c r="AB697" t="s">
        <v>38</v>
      </c>
      <c r="AC697" s="24">
        <v>6.7299999999999999E-2</v>
      </c>
    </row>
    <row r="698" spans="1:29" x14ac:dyDescent="0.3">
      <c r="A698" s="2">
        <v>697</v>
      </c>
      <c r="B698" s="1">
        <v>40575</v>
      </c>
      <c r="C698" s="2">
        <v>1</v>
      </c>
      <c r="D698" s="2">
        <v>9</v>
      </c>
      <c r="E698" t="b">
        <v>0</v>
      </c>
      <c r="F698" s="2">
        <v>2</v>
      </c>
      <c r="G698" s="2">
        <v>2</v>
      </c>
      <c r="H698" s="23">
        <v>0.16</v>
      </c>
      <c r="I698" s="25">
        <v>0.2273</v>
      </c>
      <c r="J698" s="23">
        <v>0.93</v>
      </c>
      <c r="K698" s="25">
        <v>0</v>
      </c>
      <c r="L698" s="2">
        <v>2</v>
      </c>
      <c r="M698" s="2">
        <v>114</v>
      </c>
      <c r="N698" s="2">
        <v>116</v>
      </c>
      <c r="O698" t="s">
        <v>29</v>
      </c>
      <c r="P698" t="s">
        <v>56</v>
      </c>
      <c r="Q698" t="s">
        <v>41</v>
      </c>
      <c r="R698" t="s">
        <v>42</v>
      </c>
      <c r="S698" t="s">
        <v>33</v>
      </c>
      <c r="T698" t="s">
        <v>34</v>
      </c>
      <c r="U698" t="s">
        <v>35</v>
      </c>
      <c r="V698" t="s">
        <v>36</v>
      </c>
      <c r="W698" t="s">
        <v>37</v>
      </c>
      <c r="X698" s="24">
        <v>1.7241379310344831</v>
      </c>
      <c r="Y698" s="24">
        <v>98.275862068965509</v>
      </c>
      <c r="Z698" t="s">
        <v>40</v>
      </c>
      <c r="AA698" t="s">
        <v>49</v>
      </c>
      <c r="AB698" t="s">
        <v>38</v>
      </c>
      <c r="AC698" s="24">
        <v>6.7299999999999999E-2</v>
      </c>
    </row>
    <row r="699" spans="1:29" x14ac:dyDescent="0.3">
      <c r="A699" s="2">
        <v>698</v>
      </c>
      <c r="B699" s="1">
        <v>40575</v>
      </c>
      <c r="C699" s="2">
        <v>1</v>
      </c>
      <c r="D699" s="2">
        <v>10</v>
      </c>
      <c r="E699" t="b">
        <v>0</v>
      </c>
      <c r="F699" s="2">
        <v>2</v>
      </c>
      <c r="G699" s="2">
        <v>2</v>
      </c>
      <c r="H699" s="23">
        <v>0.16</v>
      </c>
      <c r="I699" s="25">
        <v>0.2273</v>
      </c>
      <c r="J699" s="23">
        <v>0.93</v>
      </c>
      <c r="K699" s="25">
        <v>0</v>
      </c>
      <c r="L699" s="2">
        <v>0</v>
      </c>
      <c r="M699" s="2">
        <v>47</v>
      </c>
      <c r="N699" s="2">
        <v>47</v>
      </c>
      <c r="O699" t="s">
        <v>29</v>
      </c>
      <c r="P699" t="s">
        <v>56</v>
      </c>
      <c r="Q699" t="s">
        <v>41</v>
      </c>
      <c r="R699" t="s">
        <v>42</v>
      </c>
      <c r="S699" t="s">
        <v>33</v>
      </c>
      <c r="T699" t="s">
        <v>34</v>
      </c>
      <c r="U699" t="s">
        <v>35</v>
      </c>
      <c r="V699" t="s">
        <v>36</v>
      </c>
      <c r="W699" t="s">
        <v>37</v>
      </c>
      <c r="X699" s="24">
        <v>0</v>
      </c>
      <c r="Y699" s="24">
        <v>100</v>
      </c>
      <c r="Z699" t="s">
        <v>38</v>
      </c>
      <c r="AA699" t="s">
        <v>39</v>
      </c>
      <c r="AB699" t="s">
        <v>38</v>
      </c>
      <c r="AC699" s="24">
        <v>6.7299999999999999E-2</v>
      </c>
    </row>
    <row r="700" spans="1:29" x14ac:dyDescent="0.3">
      <c r="A700" s="2">
        <v>699</v>
      </c>
      <c r="B700" s="1">
        <v>40575</v>
      </c>
      <c r="C700" s="2">
        <v>1</v>
      </c>
      <c r="D700" s="2">
        <v>11</v>
      </c>
      <c r="E700" t="b">
        <v>0</v>
      </c>
      <c r="F700" s="2">
        <v>2</v>
      </c>
      <c r="G700" s="2">
        <v>2</v>
      </c>
      <c r="H700" s="23">
        <v>0.18</v>
      </c>
      <c r="I700" s="25">
        <v>0.2424</v>
      </c>
      <c r="J700" s="23">
        <v>0.86</v>
      </c>
      <c r="K700" s="25">
        <v>0</v>
      </c>
      <c r="L700" s="2">
        <v>2</v>
      </c>
      <c r="M700" s="2">
        <v>49</v>
      </c>
      <c r="N700" s="2">
        <v>51</v>
      </c>
      <c r="O700" t="s">
        <v>29</v>
      </c>
      <c r="P700" t="s">
        <v>56</v>
      </c>
      <c r="Q700" t="s">
        <v>41</v>
      </c>
      <c r="R700" t="s">
        <v>42</v>
      </c>
      <c r="S700" t="s">
        <v>33</v>
      </c>
      <c r="T700" t="s">
        <v>34</v>
      </c>
      <c r="U700" t="s">
        <v>35</v>
      </c>
      <c r="V700" t="s">
        <v>36</v>
      </c>
      <c r="W700" t="s">
        <v>37</v>
      </c>
      <c r="X700" s="24">
        <v>3.9215686274509798</v>
      </c>
      <c r="Y700" s="24">
        <v>96.078431372549019</v>
      </c>
      <c r="Z700" t="s">
        <v>38</v>
      </c>
      <c r="AA700" t="s">
        <v>39</v>
      </c>
      <c r="AB700" t="s">
        <v>38</v>
      </c>
      <c r="AC700" s="24">
        <v>6.2400000000000011E-2</v>
      </c>
    </row>
    <row r="701" spans="1:29" x14ac:dyDescent="0.3">
      <c r="A701" s="2">
        <v>700</v>
      </c>
      <c r="B701" s="1">
        <v>40575</v>
      </c>
      <c r="C701" s="2">
        <v>1</v>
      </c>
      <c r="D701" s="2">
        <v>12</v>
      </c>
      <c r="E701" t="b">
        <v>0</v>
      </c>
      <c r="F701" s="2">
        <v>2</v>
      </c>
      <c r="G701" s="2">
        <v>2</v>
      </c>
      <c r="H701" s="23">
        <v>0.2</v>
      </c>
      <c r="I701" s="25">
        <v>0.2576</v>
      </c>
      <c r="J701" s="23">
        <v>0.86</v>
      </c>
      <c r="K701" s="25">
        <v>0</v>
      </c>
      <c r="L701" s="2">
        <v>2</v>
      </c>
      <c r="M701" s="2">
        <v>53</v>
      </c>
      <c r="N701" s="2">
        <v>55</v>
      </c>
      <c r="O701" t="s">
        <v>29</v>
      </c>
      <c r="P701" t="s">
        <v>56</v>
      </c>
      <c r="Q701" t="s">
        <v>41</v>
      </c>
      <c r="R701" t="s">
        <v>47</v>
      </c>
      <c r="S701" t="s">
        <v>33</v>
      </c>
      <c r="T701" t="s">
        <v>34</v>
      </c>
      <c r="U701" t="s">
        <v>35</v>
      </c>
      <c r="V701" t="s">
        <v>36</v>
      </c>
      <c r="W701" t="s">
        <v>37</v>
      </c>
      <c r="X701" s="24">
        <v>3.6363636363636358</v>
      </c>
      <c r="Y701" s="24">
        <v>96.36363636363636</v>
      </c>
      <c r="Z701" t="s">
        <v>38</v>
      </c>
      <c r="AA701" t="s">
        <v>39</v>
      </c>
      <c r="AB701" t="s">
        <v>38</v>
      </c>
      <c r="AC701" s="24">
        <v>5.7599999999999978E-2</v>
      </c>
    </row>
    <row r="702" spans="1:29" x14ac:dyDescent="0.3">
      <c r="A702" s="2">
        <v>701</v>
      </c>
      <c r="B702" s="1">
        <v>40575</v>
      </c>
      <c r="C702" s="2">
        <v>1</v>
      </c>
      <c r="D702" s="2">
        <v>13</v>
      </c>
      <c r="E702" t="b">
        <v>0</v>
      </c>
      <c r="F702" s="2">
        <v>2</v>
      </c>
      <c r="G702" s="2">
        <v>2</v>
      </c>
      <c r="H702" s="23">
        <v>0.2</v>
      </c>
      <c r="I702" s="25">
        <v>0.2576</v>
      </c>
      <c r="J702" s="23">
        <v>0.86</v>
      </c>
      <c r="K702" s="25">
        <v>0</v>
      </c>
      <c r="L702" s="2">
        <v>3</v>
      </c>
      <c r="M702" s="2">
        <v>49</v>
      </c>
      <c r="N702" s="2">
        <v>52</v>
      </c>
      <c r="O702" t="s">
        <v>29</v>
      </c>
      <c r="P702" t="s">
        <v>56</v>
      </c>
      <c r="Q702" t="s">
        <v>41</v>
      </c>
      <c r="R702" t="s">
        <v>47</v>
      </c>
      <c r="S702" t="s">
        <v>33</v>
      </c>
      <c r="T702" t="s">
        <v>34</v>
      </c>
      <c r="U702" t="s">
        <v>35</v>
      </c>
      <c r="V702" t="s">
        <v>36</v>
      </c>
      <c r="W702" t="s">
        <v>37</v>
      </c>
      <c r="X702" s="24">
        <v>5.7692307692307692</v>
      </c>
      <c r="Y702" s="24">
        <v>94.230769230769226</v>
      </c>
      <c r="Z702" t="s">
        <v>38</v>
      </c>
      <c r="AA702" t="s">
        <v>39</v>
      </c>
      <c r="AB702" t="s">
        <v>38</v>
      </c>
      <c r="AC702" s="24">
        <v>5.7599999999999978E-2</v>
      </c>
    </row>
    <row r="703" spans="1:29" x14ac:dyDescent="0.3">
      <c r="A703" s="2">
        <v>702</v>
      </c>
      <c r="B703" s="1">
        <v>40575</v>
      </c>
      <c r="C703" s="2">
        <v>1</v>
      </c>
      <c r="D703" s="2">
        <v>14</v>
      </c>
      <c r="E703" t="b">
        <v>0</v>
      </c>
      <c r="F703" s="2">
        <v>2</v>
      </c>
      <c r="G703" s="2">
        <v>2</v>
      </c>
      <c r="H703" s="23">
        <v>0.22</v>
      </c>
      <c r="I703" s="25">
        <v>0.2576</v>
      </c>
      <c r="J703" s="23">
        <v>0.8</v>
      </c>
      <c r="K703" s="25">
        <v>8.9599999999999999E-2</v>
      </c>
      <c r="L703" s="2">
        <v>5</v>
      </c>
      <c r="M703" s="2">
        <v>49</v>
      </c>
      <c r="N703" s="2">
        <v>54</v>
      </c>
      <c r="O703" t="s">
        <v>29</v>
      </c>
      <c r="P703" t="s">
        <v>56</v>
      </c>
      <c r="Q703" t="s">
        <v>41</v>
      </c>
      <c r="R703" t="s">
        <v>47</v>
      </c>
      <c r="S703" t="s">
        <v>33</v>
      </c>
      <c r="T703" t="s">
        <v>34</v>
      </c>
      <c r="U703" t="s">
        <v>35</v>
      </c>
      <c r="V703" t="s">
        <v>36</v>
      </c>
      <c r="W703" t="s">
        <v>37</v>
      </c>
      <c r="X703" s="24">
        <v>9.2592592592592595</v>
      </c>
      <c r="Y703" s="24">
        <v>90.740740740740748</v>
      </c>
      <c r="Z703" t="s">
        <v>38</v>
      </c>
      <c r="AA703" t="s">
        <v>39</v>
      </c>
      <c r="AB703" t="s">
        <v>38</v>
      </c>
      <c r="AC703" s="24">
        <v>3.7599999999999988E-2</v>
      </c>
    </row>
    <row r="704" spans="1:29" x14ac:dyDescent="0.3">
      <c r="A704" s="2">
        <v>703</v>
      </c>
      <c r="B704" s="1">
        <v>40575</v>
      </c>
      <c r="C704" s="2">
        <v>1</v>
      </c>
      <c r="D704" s="2">
        <v>15</v>
      </c>
      <c r="E704" t="b">
        <v>0</v>
      </c>
      <c r="F704" s="2">
        <v>2</v>
      </c>
      <c r="G704" s="2">
        <v>2</v>
      </c>
      <c r="H704" s="23">
        <v>0.24</v>
      </c>
      <c r="I704" s="25">
        <v>0.28789999999999999</v>
      </c>
      <c r="J704" s="23">
        <v>0.75</v>
      </c>
      <c r="K704" s="25">
        <v>0</v>
      </c>
      <c r="L704" s="2">
        <v>7</v>
      </c>
      <c r="M704" s="2">
        <v>45</v>
      </c>
      <c r="N704" s="2">
        <v>52</v>
      </c>
      <c r="O704" t="s">
        <v>29</v>
      </c>
      <c r="P704" t="s">
        <v>56</v>
      </c>
      <c r="Q704" t="s">
        <v>41</v>
      </c>
      <c r="R704" t="s">
        <v>47</v>
      </c>
      <c r="S704" t="s">
        <v>33</v>
      </c>
      <c r="T704" t="s">
        <v>34</v>
      </c>
      <c r="U704" t="s">
        <v>35</v>
      </c>
      <c r="V704" t="s">
        <v>36</v>
      </c>
      <c r="W704" t="s">
        <v>37</v>
      </c>
      <c r="X704" s="24">
        <v>13.46153846153846</v>
      </c>
      <c r="Y704" s="24">
        <v>86.538461538461547</v>
      </c>
      <c r="Z704" t="s">
        <v>38</v>
      </c>
      <c r="AA704" t="s">
        <v>39</v>
      </c>
      <c r="AB704" t="s">
        <v>38</v>
      </c>
      <c r="AC704" s="24">
        <v>4.7899999999999998E-2</v>
      </c>
    </row>
    <row r="705" spans="1:29" x14ac:dyDescent="0.3">
      <c r="A705" s="2">
        <v>704</v>
      </c>
      <c r="B705" s="1">
        <v>40575</v>
      </c>
      <c r="C705" s="2">
        <v>1</v>
      </c>
      <c r="D705" s="2">
        <v>16</v>
      </c>
      <c r="E705" t="b">
        <v>0</v>
      </c>
      <c r="F705" s="2">
        <v>2</v>
      </c>
      <c r="G705" s="2">
        <v>2</v>
      </c>
      <c r="H705" s="23">
        <v>0.24</v>
      </c>
      <c r="I705" s="25">
        <v>0.2424</v>
      </c>
      <c r="J705" s="23">
        <v>0.75</v>
      </c>
      <c r="K705" s="25">
        <v>0.1343</v>
      </c>
      <c r="L705" s="2">
        <v>3</v>
      </c>
      <c r="M705" s="2">
        <v>61</v>
      </c>
      <c r="N705" s="2">
        <v>64</v>
      </c>
      <c r="O705" t="s">
        <v>29</v>
      </c>
      <c r="P705" t="s">
        <v>56</v>
      </c>
      <c r="Q705" t="s">
        <v>41</v>
      </c>
      <c r="R705" t="s">
        <v>47</v>
      </c>
      <c r="S705" t="s">
        <v>33</v>
      </c>
      <c r="T705" t="s">
        <v>34</v>
      </c>
      <c r="U705" t="s">
        <v>35</v>
      </c>
      <c r="V705" t="s">
        <v>36</v>
      </c>
      <c r="W705" t="s">
        <v>37</v>
      </c>
      <c r="X705" s="24">
        <v>4.6875</v>
      </c>
      <c r="Y705" s="24">
        <v>95.3125</v>
      </c>
      <c r="Z705" t="s">
        <v>38</v>
      </c>
      <c r="AA705" t="s">
        <v>39</v>
      </c>
      <c r="AB705" t="s">
        <v>38</v>
      </c>
      <c r="AC705" s="24">
        <v>2.4000000000000128E-3</v>
      </c>
    </row>
    <row r="706" spans="1:29" x14ac:dyDescent="0.3">
      <c r="A706" s="2">
        <v>705</v>
      </c>
      <c r="B706" s="1">
        <v>40575</v>
      </c>
      <c r="C706" s="2">
        <v>1</v>
      </c>
      <c r="D706" s="2">
        <v>17</v>
      </c>
      <c r="E706" t="b">
        <v>0</v>
      </c>
      <c r="F706" s="2">
        <v>2</v>
      </c>
      <c r="G706" s="2">
        <v>2</v>
      </c>
      <c r="H706" s="23">
        <v>0.24</v>
      </c>
      <c r="I706" s="25">
        <v>0.28789999999999999</v>
      </c>
      <c r="J706" s="23">
        <v>0.75</v>
      </c>
      <c r="K706" s="25">
        <v>0</v>
      </c>
      <c r="L706" s="2">
        <v>4</v>
      </c>
      <c r="M706" s="2">
        <v>172</v>
      </c>
      <c r="N706" s="2">
        <v>176</v>
      </c>
      <c r="O706" t="s">
        <v>29</v>
      </c>
      <c r="P706" t="s">
        <v>56</v>
      </c>
      <c r="Q706" t="s">
        <v>41</v>
      </c>
      <c r="R706" t="s">
        <v>50</v>
      </c>
      <c r="S706" t="s">
        <v>33</v>
      </c>
      <c r="T706" t="s">
        <v>34</v>
      </c>
      <c r="U706" t="s">
        <v>35</v>
      </c>
      <c r="V706" t="s">
        <v>36</v>
      </c>
      <c r="W706" t="s">
        <v>37</v>
      </c>
      <c r="X706" s="24">
        <v>2.2727272727272729</v>
      </c>
      <c r="Y706" s="24">
        <v>97.727272727272734</v>
      </c>
      <c r="Z706" t="s">
        <v>40</v>
      </c>
      <c r="AA706" t="s">
        <v>49</v>
      </c>
      <c r="AB706" t="s">
        <v>38</v>
      </c>
      <c r="AC706" s="24">
        <v>4.7899999999999998E-2</v>
      </c>
    </row>
    <row r="707" spans="1:29" x14ac:dyDescent="0.3">
      <c r="A707" s="2">
        <v>706</v>
      </c>
      <c r="B707" s="1">
        <v>40575</v>
      </c>
      <c r="C707" s="2">
        <v>1</v>
      </c>
      <c r="D707" s="2">
        <v>18</v>
      </c>
      <c r="E707" t="b">
        <v>0</v>
      </c>
      <c r="F707" s="2">
        <v>2</v>
      </c>
      <c r="G707" s="2">
        <v>2</v>
      </c>
      <c r="H707" s="23">
        <v>0.24</v>
      </c>
      <c r="I707" s="25">
        <v>0.2576</v>
      </c>
      <c r="J707" s="23">
        <v>0.81</v>
      </c>
      <c r="K707" s="25">
        <v>0.1045</v>
      </c>
      <c r="L707" s="2">
        <v>3</v>
      </c>
      <c r="M707" s="2">
        <v>165</v>
      </c>
      <c r="N707" s="2">
        <v>168</v>
      </c>
      <c r="O707" t="s">
        <v>29</v>
      </c>
      <c r="P707" t="s">
        <v>56</v>
      </c>
      <c r="Q707" t="s">
        <v>41</v>
      </c>
      <c r="R707" t="s">
        <v>50</v>
      </c>
      <c r="S707" t="s">
        <v>33</v>
      </c>
      <c r="T707" t="s">
        <v>34</v>
      </c>
      <c r="U707" t="s">
        <v>35</v>
      </c>
      <c r="V707" t="s">
        <v>36</v>
      </c>
      <c r="W707" t="s">
        <v>37</v>
      </c>
      <c r="X707" s="24">
        <v>1.785714285714286</v>
      </c>
      <c r="Y707" s="24">
        <v>98.214285714285708</v>
      </c>
      <c r="Z707" t="s">
        <v>40</v>
      </c>
      <c r="AA707" t="s">
        <v>49</v>
      </c>
      <c r="AB707" t="s">
        <v>38</v>
      </c>
      <c r="AC707" s="24">
        <v>1.7600000000000001E-2</v>
      </c>
    </row>
    <row r="708" spans="1:29" x14ac:dyDescent="0.3">
      <c r="A708" s="2">
        <v>707</v>
      </c>
      <c r="B708" s="1">
        <v>40575</v>
      </c>
      <c r="C708" s="2">
        <v>1</v>
      </c>
      <c r="D708" s="2">
        <v>19</v>
      </c>
      <c r="E708" t="b">
        <v>0</v>
      </c>
      <c r="F708" s="2">
        <v>2</v>
      </c>
      <c r="G708" s="2">
        <v>2</v>
      </c>
      <c r="H708" s="23">
        <v>0.24</v>
      </c>
      <c r="I708" s="25">
        <v>0.2424</v>
      </c>
      <c r="J708" s="23">
        <v>0.81</v>
      </c>
      <c r="K708" s="25">
        <v>0.1343</v>
      </c>
      <c r="L708" s="2">
        <v>3</v>
      </c>
      <c r="M708" s="2">
        <v>105</v>
      </c>
      <c r="N708" s="2">
        <v>108</v>
      </c>
      <c r="O708" t="s">
        <v>29</v>
      </c>
      <c r="P708" t="s">
        <v>56</v>
      </c>
      <c r="Q708" t="s">
        <v>41</v>
      </c>
      <c r="R708" t="s">
        <v>50</v>
      </c>
      <c r="S708" t="s">
        <v>33</v>
      </c>
      <c r="T708" t="s">
        <v>34</v>
      </c>
      <c r="U708" t="s">
        <v>35</v>
      </c>
      <c r="V708" t="s">
        <v>36</v>
      </c>
      <c r="W708" t="s">
        <v>37</v>
      </c>
      <c r="X708" s="24">
        <v>2.7777777777777781</v>
      </c>
      <c r="Y708" s="24">
        <v>97.222222222222214</v>
      </c>
      <c r="Z708" t="s">
        <v>40</v>
      </c>
      <c r="AA708" t="s">
        <v>49</v>
      </c>
      <c r="AB708" t="s">
        <v>38</v>
      </c>
      <c r="AC708" s="24">
        <v>2.4000000000000128E-3</v>
      </c>
    </row>
    <row r="709" spans="1:29" x14ac:dyDescent="0.3">
      <c r="A709" s="2">
        <v>708</v>
      </c>
      <c r="B709" s="1">
        <v>40575</v>
      </c>
      <c r="C709" s="2">
        <v>1</v>
      </c>
      <c r="D709" s="2">
        <v>20</v>
      </c>
      <c r="E709" t="b">
        <v>0</v>
      </c>
      <c r="F709" s="2">
        <v>2</v>
      </c>
      <c r="G709" s="2">
        <v>2</v>
      </c>
      <c r="H709" s="23">
        <v>0.22</v>
      </c>
      <c r="I709" s="25">
        <v>0.2273</v>
      </c>
      <c r="J709" s="23">
        <v>0.87</v>
      </c>
      <c r="K709" s="25">
        <v>0.1343</v>
      </c>
      <c r="L709" s="2">
        <v>5</v>
      </c>
      <c r="M709" s="2">
        <v>69</v>
      </c>
      <c r="N709" s="2">
        <v>74</v>
      </c>
      <c r="O709" t="s">
        <v>29</v>
      </c>
      <c r="P709" t="s">
        <v>56</v>
      </c>
      <c r="Q709" t="s">
        <v>41</v>
      </c>
      <c r="R709" t="s">
        <v>50</v>
      </c>
      <c r="S709" t="s">
        <v>33</v>
      </c>
      <c r="T709" t="s">
        <v>34</v>
      </c>
      <c r="U709" t="s">
        <v>35</v>
      </c>
      <c r="V709" t="s">
        <v>36</v>
      </c>
      <c r="W709" t="s">
        <v>37</v>
      </c>
      <c r="X709" s="24">
        <v>6.756756756756757</v>
      </c>
      <c r="Y709" s="24">
        <v>93.243243243243242</v>
      </c>
      <c r="Z709" t="s">
        <v>38</v>
      </c>
      <c r="AA709" t="s">
        <v>39</v>
      </c>
      <c r="AB709" t="s">
        <v>38</v>
      </c>
      <c r="AC709" s="24">
        <v>7.3000000000000009E-3</v>
      </c>
    </row>
    <row r="710" spans="1:29" x14ac:dyDescent="0.3">
      <c r="A710" s="2">
        <v>709</v>
      </c>
      <c r="B710" s="1">
        <v>40575</v>
      </c>
      <c r="C710" s="2">
        <v>1</v>
      </c>
      <c r="D710" s="2">
        <v>21</v>
      </c>
      <c r="E710" t="b">
        <v>0</v>
      </c>
      <c r="F710" s="2">
        <v>2</v>
      </c>
      <c r="G710" s="2">
        <v>2</v>
      </c>
      <c r="H710" s="23">
        <v>0.22</v>
      </c>
      <c r="I710" s="25">
        <v>0.2273</v>
      </c>
      <c r="J710" s="23">
        <v>0.87</v>
      </c>
      <c r="K710" s="25">
        <v>0.1343</v>
      </c>
      <c r="L710" s="2">
        <v>0</v>
      </c>
      <c r="M710" s="2">
        <v>64</v>
      </c>
      <c r="N710" s="2">
        <v>64</v>
      </c>
      <c r="O710" t="s">
        <v>29</v>
      </c>
      <c r="P710" t="s">
        <v>56</v>
      </c>
      <c r="Q710" t="s">
        <v>41</v>
      </c>
      <c r="R710" t="s">
        <v>32</v>
      </c>
      <c r="S710" t="s">
        <v>33</v>
      </c>
      <c r="T710" t="s">
        <v>34</v>
      </c>
      <c r="U710" t="s">
        <v>35</v>
      </c>
      <c r="V710" t="s">
        <v>36</v>
      </c>
      <c r="W710" t="s">
        <v>37</v>
      </c>
      <c r="X710" s="24">
        <v>0</v>
      </c>
      <c r="Y710" s="24">
        <v>100</v>
      </c>
      <c r="Z710" t="s">
        <v>38</v>
      </c>
      <c r="AA710" t="s">
        <v>39</v>
      </c>
      <c r="AB710" t="s">
        <v>38</v>
      </c>
      <c r="AC710" s="24">
        <v>7.3000000000000009E-3</v>
      </c>
    </row>
    <row r="711" spans="1:29" x14ac:dyDescent="0.3">
      <c r="A711" s="2">
        <v>710</v>
      </c>
      <c r="B711" s="1">
        <v>40575</v>
      </c>
      <c r="C711" s="2">
        <v>1</v>
      </c>
      <c r="D711" s="2">
        <v>22</v>
      </c>
      <c r="E711" t="b">
        <v>0</v>
      </c>
      <c r="F711" s="2">
        <v>2</v>
      </c>
      <c r="G711" s="2">
        <v>2</v>
      </c>
      <c r="H711" s="23">
        <v>0.22</v>
      </c>
      <c r="I711" s="25">
        <v>0.2576</v>
      </c>
      <c r="J711" s="23">
        <v>0.87</v>
      </c>
      <c r="K711" s="25">
        <v>8.9599999999999999E-2</v>
      </c>
      <c r="L711" s="2">
        <v>2</v>
      </c>
      <c r="M711" s="2">
        <v>34</v>
      </c>
      <c r="N711" s="2">
        <v>36</v>
      </c>
      <c r="O711" t="s">
        <v>29</v>
      </c>
      <c r="P711" t="s">
        <v>56</v>
      </c>
      <c r="Q711" t="s">
        <v>41</v>
      </c>
      <c r="R711" t="s">
        <v>32</v>
      </c>
      <c r="S711" t="s">
        <v>33</v>
      </c>
      <c r="T711" t="s">
        <v>34</v>
      </c>
      <c r="U711" t="s">
        <v>35</v>
      </c>
      <c r="V711" t="s">
        <v>36</v>
      </c>
      <c r="W711" t="s">
        <v>37</v>
      </c>
      <c r="X711" s="24">
        <v>5.5555555555555554</v>
      </c>
      <c r="Y711" s="24">
        <v>94.444444444444443</v>
      </c>
      <c r="Z711" t="s">
        <v>38</v>
      </c>
      <c r="AA711" t="s">
        <v>39</v>
      </c>
      <c r="AB711" t="s">
        <v>38</v>
      </c>
      <c r="AC711" s="24">
        <v>3.7599999999999988E-2</v>
      </c>
    </row>
    <row r="712" spans="1:29" x14ac:dyDescent="0.3">
      <c r="A712" s="2">
        <v>711</v>
      </c>
      <c r="B712" s="1">
        <v>40575</v>
      </c>
      <c r="C712" s="2">
        <v>1</v>
      </c>
      <c r="D712" s="2">
        <v>23</v>
      </c>
      <c r="E712" t="b">
        <v>0</v>
      </c>
      <c r="F712" s="2">
        <v>2</v>
      </c>
      <c r="G712" s="2">
        <v>3</v>
      </c>
      <c r="H712" s="23">
        <v>0.2</v>
      </c>
      <c r="I712" s="25">
        <v>0.19700000000000001</v>
      </c>
      <c r="J712" s="23">
        <v>0.93</v>
      </c>
      <c r="K712" s="25">
        <v>0.19400000000000001</v>
      </c>
      <c r="L712" s="2">
        <v>1</v>
      </c>
      <c r="M712" s="2">
        <v>15</v>
      </c>
      <c r="N712" s="2">
        <v>16</v>
      </c>
      <c r="O712" t="s">
        <v>29</v>
      </c>
      <c r="P712" t="s">
        <v>56</v>
      </c>
      <c r="Q712" t="s">
        <v>51</v>
      </c>
      <c r="R712" t="s">
        <v>32</v>
      </c>
      <c r="S712" t="s">
        <v>33</v>
      </c>
      <c r="T712" t="s">
        <v>34</v>
      </c>
      <c r="U712" t="s">
        <v>46</v>
      </c>
      <c r="V712" t="s">
        <v>36</v>
      </c>
      <c r="W712" t="s">
        <v>37</v>
      </c>
      <c r="X712" s="24">
        <v>6.25</v>
      </c>
      <c r="Y712" s="24">
        <v>93.75</v>
      </c>
      <c r="Z712" t="s">
        <v>38</v>
      </c>
      <c r="AA712" t="s">
        <v>39</v>
      </c>
      <c r="AB712" t="s">
        <v>38</v>
      </c>
      <c r="AC712" s="24">
        <v>-3.0000000000000031E-3</v>
      </c>
    </row>
    <row r="713" spans="1:29" x14ac:dyDescent="0.3">
      <c r="A713" s="2">
        <v>712</v>
      </c>
      <c r="B713" s="1">
        <v>40576</v>
      </c>
      <c r="C713" s="2">
        <v>1</v>
      </c>
      <c r="D713" s="2">
        <v>0</v>
      </c>
      <c r="E713" t="b">
        <v>0</v>
      </c>
      <c r="F713" s="2">
        <v>3</v>
      </c>
      <c r="G713" s="2">
        <v>3</v>
      </c>
      <c r="H713" s="23">
        <v>0.22</v>
      </c>
      <c r="I713" s="25">
        <v>0.2424</v>
      </c>
      <c r="J713" s="23">
        <v>0.93</v>
      </c>
      <c r="K713" s="25">
        <v>0.1045</v>
      </c>
      <c r="L713" s="2">
        <v>0</v>
      </c>
      <c r="M713" s="2">
        <v>2</v>
      </c>
      <c r="N713" s="2">
        <v>2</v>
      </c>
      <c r="O713" t="s">
        <v>29</v>
      </c>
      <c r="P713" t="s">
        <v>57</v>
      </c>
      <c r="Q713" t="s">
        <v>51</v>
      </c>
      <c r="R713" t="s">
        <v>32</v>
      </c>
      <c r="S713" t="s">
        <v>33</v>
      </c>
      <c r="T713" t="s">
        <v>34</v>
      </c>
      <c r="U713" t="s">
        <v>35</v>
      </c>
      <c r="V713" t="s">
        <v>36</v>
      </c>
      <c r="W713" t="s">
        <v>37</v>
      </c>
      <c r="X713" s="24">
        <v>0</v>
      </c>
      <c r="Y713" s="24">
        <v>100</v>
      </c>
      <c r="Z713" t="s">
        <v>38</v>
      </c>
      <c r="AA713" t="s">
        <v>39</v>
      </c>
      <c r="AB713" t="s">
        <v>38</v>
      </c>
      <c r="AC713" s="24">
        <v>2.24E-2</v>
      </c>
    </row>
    <row r="714" spans="1:29" x14ac:dyDescent="0.3">
      <c r="A714" s="2">
        <v>713</v>
      </c>
      <c r="B714" s="1">
        <v>40576</v>
      </c>
      <c r="C714" s="2">
        <v>1</v>
      </c>
      <c r="D714" s="2">
        <v>1</v>
      </c>
      <c r="E714" t="b">
        <v>0</v>
      </c>
      <c r="F714" s="2">
        <v>3</v>
      </c>
      <c r="G714" s="2">
        <v>3</v>
      </c>
      <c r="H714" s="23">
        <v>0.22</v>
      </c>
      <c r="I714" s="25">
        <v>0.2273</v>
      </c>
      <c r="J714" s="23">
        <v>0.93</v>
      </c>
      <c r="K714" s="25">
        <v>0.19400000000000001</v>
      </c>
      <c r="L714" s="2">
        <v>0</v>
      </c>
      <c r="M714" s="2">
        <v>3</v>
      </c>
      <c r="N714" s="2">
        <v>3</v>
      </c>
      <c r="O714" t="s">
        <v>29</v>
      </c>
      <c r="P714" t="s">
        <v>57</v>
      </c>
      <c r="Q714" t="s">
        <v>51</v>
      </c>
      <c r="R714" t="s">
        <v>32</v>
      </c>
      <c r="S714" t="s">
        <v>33</v>
      </c>
      <c r="T714" t="s">
        <v>34</v>
      </c>
      <c r="U714" t="s">
        <v>46</v>
      </c>
      <c r="V714" t="s">
        <v>36</v>
      </c>
      <c r="W714" t="s">
        <v>37</v>
      </c>
      <c r="X714" s="24">
        <v>0</v>
      </c>
      <c r="Y714" s="24">
        <v>100</v>
      </c>
      <c r="Z714" t="s">
        <v>38</v>
      </c>
      <c r="AA714" t="s">
        <v>39</v>
      </c>
      <c r="AB714" t="s">
        <v>38</v>
      </c>
      <c r="AC714" s="24">
        <v>7.3000000000000009E-3</v>
      </c>
    </row>
    <row r="715" spans="1:29" x14ac:dyDescent="0.3">
      <c r="A715" s="2">
        <v>714</v>
      </c>
      <c r="B715" s="1">
        <v>40576</v>
      </c>
      <c r="C715" s="2">
        <v>1</v>
      </c>
      <c r="D715" s="2">
        <v>2</v>
      </c>
      <c r="E715" t="b">
        <v>0</v>
      </c>
      <c r="F715" s="2">
        <v>3</v>
      </c>
      <c r="G715" s="2">
        <v>3</v>
      </c>
      <c r="H715" s="23">
        <v>0.22</v>
      </c>
      <c r="I715" s="25">
        <v>0.2273</v>
      </c>
      <c r="J715" s="23">
        <v>0.93</v>
      </c>
      <c r="K715" s="25">
        <v>0.1343</v>
      </c>
      <c r="L715" s="2">
        <v>4</v>
      </c>
      <c r="M715" s="2">
        <v>0</v>
      </c>
      <c r="N715" s="2">
        <v>4</v>
      </c>
      <c r="O715" t="s">
        <v>29</v>
      </c>
      <c r="P715" t="s">
        <v>57</v>
      </c>
      <c r="Q715" t="s">
        <v>51</v>
      </c>
      <c r="R715" t="s">
        <v>32</v>
      </c>
      <c r="S715" t="s">
        <v>33</v>
      </c>
      <c r="T715" t="s">
        <v>34</v>
      </c>
      <c r="U715" t="s">
        <v>35</v>
      </c>
      <c r="V715" t="s">
        <v>36</v>
      </c>
      <c r="W715" t="s">
        <v>43</v>
      </c>
      <c r="X715" s="24">
        <v>100</v>
      </c>
      <c r="Y715" s="24">
        <v>0</v>
      </c>
      <c r="Z715" t="s">
        <v>38</v>
      </c>
      <c r="AA715" t="s">
        <v>39</v>
      </c>
      <c r="AB715" t="s">
        <v>38</v>
      </c>
      <c r="AC715" s="24">
        <v>7.3000000000000009E-3</v>
      </c>
    </row>
    <row r="716" spans="1:29" x14ac:dyDescent="0.3">
      <c r="A716" s="2">
        <v>715</v>
      </c>
      <c r="B716" s="1">
        <v>40576</v>
      </c>
      <c r="C716" s="2">
        <v>1</v>
      </c>
      <c r="D716" s="2">
        <v>3</v>
      </c>
      <c r="E716" t="b">
        <v>0</v>
      </c>
      <c r="F716" s="2">
        <v>3</v>
      </c>
      <c r="G716" s="2">
        <v>3</v>
      </c>
      <c r="H716" s="23">
        <v>0.22</v>
      </c>
      <c r="I716" s="25">
        <v>0.2273</v>
      </c>
      <c r="J716" s="23">
        <v>0.93</v>
      </c>
      <c r="K716" s="25">
        <v>0.1343</v>
      </c>
      <c r="L716" s="2">
        <v>0</v>
      </c>
      <c r="M716" s="2">
        <v>1</v>
      </c>
      <c r="N716" s="2">
        <v>1</v>
      </c>
      <c r="O716" t="s">
        <v>29</v>
      </c>
      <c r="P716" t="s">
        <v>57</v>
      </c>
      <c r="Q716" t="s">
        <v>51</v>
      </c>
      <c r="R716" t="s">
        <v>32</v>
      </c>
      <c r="S716" t="s">
        <v>33</v>
      </c>
      <c r="T716" t="s">
        <v>34</v>
      </c>
      <c r="U716" t="s">
        <v>35</v>
      </c>
      <c r="V716" t="s">
        <v>36</v>
      </c>
      <c r="W716" t="s">
        <v>37</v>
      </c>
      <c r="X716" s="24">
        <v>0</v>
      </c>
      <c r="Y716" s="24">
        <v>100</v>
      </c>
      <c r="Z716" t="s">
        <v>38</v>
      </c>
      <c r="AA716" t="s">
        <v>39</v>
      </c>
      <c r="AB716" t="s">
        <v>38</v>
      </c>
      <c r="AC716" s="24">
        <v>7.3000000000000009E-3</v>
      </c>
    </row>
    <row r="717" spans="1:29" x14ac:dyDescent="0.3">
      <c r="A717" s="2">
        <v>716</v>
      </c>
      <c r="B717" s="1">
        <v>40576</v>
      </c>
      <c r="C717" s="2">
        <v>1</v>
      </c>
      <c r="D717" s="2">
        <v>4</v>
      </c>
      <c r="E717" t="b">
        <v>0</v>
      </c>
      <c r="F717" s="2">
        <v>3</v>
      </c>
      <c r="G717" s="2">
        <v>3</v>
      </c>
      <c r="H717" s="23">
        <v>0.22</v>
      </c>
      <c r="I717" s="25">
        <v>0.21210000000000001</v>
      </c>
      <c r="J717" s="23">
        <v>0.93</v>
      </c>
      <c r="K717" s="25">
        <v>0.28360000000000002</v>
      </c>
      <c r="L717" s="2">
        <v>0</v>
      </c>
      <c r="M717" s="2">
        <v>1</v>
      </c>
      <c r="N717" s="2">
        <v>1</v>
      </c>
      <c r="O717" t="s">
        <v>29</v>
      </c>
      <c r="P717" t="s">
        <v>57</v>
      </c>
      <c r="Q717" t="s">
        <v>51</v>
      </c>
      <c r="R717" t="s">
        <v>32</v>
      </c>
      <c r="S717" t="s">
        <v>33</v>
      </c>
      <c r="T717" t="s">
        <v>34</v>
      </c>
      <c r="U717" t="s">
        <v>46</v>
      </c>
      <c r="V717" t="s">
        <v>36</v>
      </c>
      <c r="W717" t="s">
        <v>37</v>
      </c>
      <c r="X717" s="24">
        <v>0</v>
      </c>
      <c r="Y717" s="24">
        <v>100</v>
      </c>
      <c r="Z717" t="s">
        <v>38</v>
      </c>
      <c r="AA717" t="s">
        <v>39</v>
      </c>
      <c r="AB717" t="s">
        <v>38</v>
      </c>
      <c r="AC717" s="24">
        <v>-7.8999999999999904E-3</v>
      </c>
    </row>
    <row r="718" spans="1:29" x14ac:dyDescent="0.3">
      <c r="A718" s="2">
        <v>717</v>
      </c>
      <c r="B718" s="1">
        <v>40576</v>
      </c>
      <c r="C718" s="2">
        <v>1</v>
      </c>
      <c r="D718" s="2">
        <v>5</v>
      </c>
      <c r="E718" t="b">
        <v>0</v>
      </c>
      <c r="F718" s="2">
        <v>3</v>
      </c>
      <c r="G718" s="2">
        <v>3</v>
      </c>
      <c r="H718" s="23">
        <v>0.22</v>
      </c>
      <c r="I718" s="25">
        <v>0.2424</v>
      </c>
      <c r="J718" s="23">
        <v>0.93</v>
      </c>
      <c r="K718" s="25">
        <v>0.1045</v>
      </c>
      <c r="L718" s="2">
        <v>0</v>
      </c>
      <c r="M718" s="2">
        <v>3</v>
      </c>
      <c r="N718" s="2">
        <v>3</v>
      </c>
      <c r="O718" t="s">
        <v>29</v>
      </c>
      <c r="P718" t="s">
        <v>57</v>
      </c>
      <c r="Q718" t="s">
        <v>51</v>
      </c>
      <c r="R718" t="s">
        <v>32</v>
      </c>
      <c r="S718" t="s">
        <v>33</v>
      </c>
      <c r="T718" t="s">
        <v>34</v>
      </c>
      <c r="U718" t="s">
        <v>35</v>
      </c>
      <c r="V718" t="s">
        <v>36</v>
      </c>
      <c r="W718" t="s">
        <v>37</v>
      </c>
      <c r="X718" s="24">
        <v>0</v>
      </c>
      <c r="Y718" s="24">
        <v>100</v>
      </c>
      <c r="Z718" t="s">
        <v>38</v>
      </c>
      <c r="AA718" t="s">
        <v>39</v>
      </c>
      <c r="AB718" t="s">
        <v>38</v>
      </c>
      <c r="AC718" s="24">
        <v>2.24E-2</v>
      </c>
    </row>
    <row r="719" spans="1:29" x14ac:dyDescent="0.3">
      <c r="A719" s="2">
        <v>718</v>
      </c>
      <c r="B719" s="1">
        <v>40576</v>
      </c>
      <c r="C719" s="2">
        <v>1</v>
      </c>
      <c r="D719" s="2">
        <v>6</v>
      </c>
      <c r="E719" t="b">
        <v>0</v>
      </c>
      <c r="F719" s="2">
        <v>3</v>
      </c>
      <c r="G719" s="2">
        <v>3</v>
      </c>
      <c r="H719" s="23">
        <v>0.22</v>
      </c>
      <c r="I719" s="25">
        <v>0.2424</v>
      </c>
      <c r="J719" s="23">
        <v>0.93</v>
      </c>
      <c r="K719" s="25">
        <v>0.1045</v>
      </c>
      <c r="L719" s="2">
        <v>1</v>
      </c>
      <c r="M719" s="2">
        <v>17</v>
      </c>
      <c r="N719" s="2">
        <v>18</v>
      </c>
      <c r="O719" t="s">
        <v>29</v>
      </c>
      <c r="P719" t="s">
        <v>57</v>
      </c>
      <c r="Q719" t="s">
        <v>51</v>
      </c>
      <c r="R719" t="s">
        <v>42</v>
      </c>
      <c r="S719" t="s">
        <v>33</v>
      </c>
      <c r="T719" t="s">
        <v>34</v>
      </c>
      <c r="U719" t="s">
        <v>35</v>
      </c>
      <c r="V719" t="s">
        <v>36</v>
      </c>
      <c r="W719" t="s">
        <v>37</v>
      </c>
      <c r="X719" s="24">
        <v>5.5555555555555554</v>
      </c>
      <c r="Y719" s="24">
        <v>94.444444444444443</v>
      </c>
      <c r="Z719" t="s">
        <v>38</v>
      </c>
      <c r="AA719" t="s">
        <v>39</v>
      </c>
      <c r="AB719" t="s">
        <v>38</v>
      </c>
      <c r="AC719" s="24">
        <v>2.24E-2</v>
      </c>
    </row>
    <row r="720" spans="1:29" x14ac:dyDescent="0.3">
      <c r="A720" s="2">
        <v>719</v>
      </c>
      <c r="B720" s="1">
        <v>40576</v>
      </c>
      <c r="C720" s="2">
        <v>1</v>
      </c>
      <c r="D720" s="2">
        <v>7</v>
      </c>
      <c r="E720" t="b">
        <v>0</v>
      </c>
      <c r="F720" s="2">
        <v>3</v>
      </c>
      <c r="G720" s="2">
        <v>3</v>
      </c>
      <c r="H720" s="23">
        <v>0.22</v>
      </c>
      <c r="I720" s="25">
        <v>0.21210000000000001</v>
      </c>
      <c r="J720" s="23">
        <v>0.93</v>
      </c>
      <c r="K720" s="25">
        <v>0.22389999999999999</v>
      </c>
      <c r="L720" s="2">
        <v>1</v>
      </c>
      <c r="M720" s="2">
        <v>48</v>
      </c>
      <c r="N720" s="2">
        <v>49</v>
      </c>
      <c r="O720" t="s">
        <v>29</v>
      </c>
      <c r="P720" t="s">
        <v>57</v>
      </c>
      <c r="Q720" t="s">
        <v>51</v>
      </c>
      <c r="R720" t="s">
        <v>42</v>
      </c>
      <c r="S720" t="s">
        <v>33</v>
      </c>
      <c r="T720" t="s">
        <v>34</v>
      </c>
      <c r="U720" t="s">
        <v>46</v>
      </c>
      <c r="V720" t="s">
        <v>36</v>
      </c>
      <c r="W720" t="s">
        <v>37</v>
      </c>
      <c r="X720" s="24">
        <v>2.0408163265306118</v>
      </c>
      <c r="Y720" s="24">
        <v>97.959183673469383</v>
      </c>
      <c r="Z720" t="s">
        <v>40</v>
      </c>
      <c r="AA720" t="s">
        <v>39</v>
      </c>
      <c r="AB720" t="s">
        <v>38</v>
      </c>
      <c r="AC720" s="24">
        <v>-7.8999999999999904E-3</v>
      </c>
    </row>
    <row r="721" spans="1:29" x14ac:dyDescent="0.3">
      <c r="A721" s="2">
        <v>720</v>
      </c>
      <c r="B721" s="1">
        <v>40576</v>
      </c>
      <c r="C721" s="2">
        <v>1</v>
      </c>
      <c r="D721" s="2">
        <v>8</v>
      </c>
      <c r="E721" t="b">
        <v>0</v>
      </c>
      <c r="F721" s="2">
        <v>3</v>
      </c>
      <c r="G721" s="2">
        <v>3</v>
      </c>
      <c r="H721" s="23">
        <v>0.22</v>
      </c>
      <c r="I721" s="25">
        <v>0.21210000000000001</v>
      </c>
      <c r="J721" s="23">
        <v>0.93</v>
      </c>
      <c r="K721" s="25">
        <v>0.22389999999999999</v>
      </c>
      <c r="L721" s="2">
        <v>1</v>
      </c>
      <c r="M721" s="2">
        <v>154</v>
      </c>
      <c r="N721" s="2">
        <v>155</v>
      </c>
      <c r="O721" t="s">
        <v>29</v>
      </c>
      <c r="P721" t="s">
        <v>57</v>
      </c>
      <c r="Q721" t="s">
        <v>51</v>
      </c>
      <c r="R721" t="s">
        <v>42</v>
      </c>
      <c r="S721" t="s">
        <v>33</v>
      </c>
      <c r="T721" t="s">
        <v>34</v>
      </c>
      <c r="U721" t="s">
        <v>46</v>
      </c>
      <c r="V721" t="s">
        <v>36</v>
      </c>
      <c r="W721" t="s">
        <v>37</v>
      </c>
      <c r="X721" s="24">
        <v>0.64516129032258063</v>
      </c>
      <c r="Y721" s="24">
        <v>99.354838709677423</v>
      </c>
      <c r="Z721" t="s">
        <v>40</v>
      </c>
      <c r="AA721" t="s">
        <v>49</v>
      </c>
      <c r="AB721" t="s">
        <v>38</v>
      </c>
      <c r="AC721" s="24">
        <v>-7.8999999999999904E-3</v>
      </c>
    </row>
    <row r="722" spans="1:29" x14ac:dyDescent="0.3">
      <c r="A722" s="2">
        <v>721</v>
      </c>
      <c r="B722" s="1">
        <v>40576</v>
      </c>
      <c r="C722" s="2">
        <v>1</v>
      </c>
      <c r="D722" s="2">
        <v>9</v>
      </c>
      <c r="E722" t="b">
        <v>0</v>
      </c>
      <c r="F722" s="2">
        <v>3</v>
      </c>
      <c r="G722" s="2">
        <v>2</v>
      </c>
      <c r="H722" s="23">
        <v>0.24</v>
      </c>
      <c r="I722" s="25">
        <v>0.2576</v>
      </c>
      <c r="J722" s="23">
        <v>0.93</v>
      </c>
      <c r="K722" s="25">
        <v>8.9599999999999999E-2</v>
      </c>
      <c r="L722" s="2">
        <v>4</v>
      </c>
      <c r="M722" s="2">
        <v>119</v>
      </c>
      <c r="N722" s="2">
        <v>123</v>
      </c>
      <c r="O722" t="s">
        <v>29</v>
      </c>
      <c r="P722" t="s">
        <v>57</v>
      </c>
      <c r="Q722" t="s">
        <v>41</v>
      </c>
      <c r="R722" t="s">
        <v>42</v>
      </c>
      <c r="S722" t="s">
        <v>33</v>
      </c>
      <c r="T722" t="s">
        <v>34</v>
      </c>
      <c r="U722" t="s">
        <v>35</v>
      </c>
      <c r="V722" t="s">
        <v>36</v>
      </c>
      <c r="W722" t="s">
        <v>37</v>
      </c>
      <c r="X722" s="24">
        <v>3.2520325203252041</v>
      </c>
      <c r="Y722" s="24">
        <v>96.747967479674799</v>
      </c>
      <c r="Z722" t="s">
        <v>40</v>
      </c>
      <c r="AA722" t="s">
        <v>49</v>
      </c>
      <c r="AB722" t="s">
        <v>38</v>
      </c>
      <c r="AC722" s="24">
        <v>1.7600000000000001E-2</v>
      </c>
    </row>
    <row r="723" spans="1:29" x14ac:dyDescent="0.3">
      <c r="A723" s="2">
        <v>722</v>
      </c>
      <c r="B723" s="1">
        <v>40576</v>
      </c>
      <c r="C723" s="2">
        <v>1</v>
      </c>
      <c r="D723" s="2">
        <v>10</v>
      </c>
      <c r="E723" t="b">
        <v>0</v>
      </c>
      <c r="F723" s="2">
        <v>3</v>
      </c>
      <c r="G723" s="2">
        <v>2</v>
      </c>
      <c r="H723" s="23">
        <v>0.22</v>
      </c>
      <c r="I723" s="25">
        <v>0.2727</v>
      </c>
      <c r="J723" s="23">
        <v>1</v>
      </c>
      <c r="K723" s="25">
        <v>0</v>
      </c>
      <c r="L723" s="2">
        <v>2</v>
      </c>
      <c r="M723" s="2">
        <v>59</v>
      </c>
      <c r="N723" s="2">
        <v>61</v>
      </c>
      <c r="O723" t="s">
        <v>29</v>
      </c>
      <c r="P723" t="s">
        <v>57</v>
      </c>
      <c r="Q723" t="s">
        <v>41</v>
      </c>
      <c r="R723" t="s">
        <v>42</v>
      </c>
      <c r="S723" t="s">
        <v>33</v>
      </c>
      <c r="T723" t="s">
        <v>34</v>
      </c>
      <c r="U723" t="s">
        <v>35</v>
      </c>
      <c r="V723" t="s">
        <v>36</v>
      </c>
      <c r="W723" t="s">
        <v>37</v>
      </c>
      <c r="X723" s="24">
        <v>3.278688524590164</v>
      </c>
      <c r="Y723" s="24">
        <v>96.721311475409834</v>
      </c>
      <c r="Z723" t="s">
        <v>38</v>
      </c>
      <c r="AA723" t="s">
        <v>39</v>
      </c>
      <c r="AB723" t="s">
        <v>38</v>
      </c>
      <c r="AC723" s="24">
        <v>5.2699999999999997E-2</v>
      </c>
    </row>
    <row r="724" spans="1:29" x14ac:dyDescent="0.3">
      <c r="A724" s="2">
        <v>723</v>
      </c>
      <c r="B724" s="1">
        <v>40576</v>
      </c>
      <c r="C724" s="2">
        <v>1</v>
      </c>
      <c r="D724" s="2">
        <v>11</v>
      </c>
      <c r="E724" t="b">
        <v>0</v>
      </c>
      <c r="F724" s="2">
        <v>3</v>
      </c>
      <c r="G724" s="2">
        <v>2</v>
      </c>
      <c r="H724" s="23">
        <v>0.24</v>
      </c>
      <c r="I724" s="25">
        <v>0.2273</v>
      </c>
      <c r="J724" s="23">
        <v>0.93</v>
      </c>
      <c r="K724" s="25">
        <v>0.19400000000000001</v>
      </c>
      <c r="L724" s="2">
        <v>5</v>
      </c>
      <c r="M724" s="2">
        <v>47</v>
      </c>
      <c r="N724" s="2">
        <v>52</v>
      </c>
      <c r="O724" t="s">
        <v>29</v>
      </c>
      <c r="P724" t="s">
        <v>57</v>
      </c>
      <c r="Q724" t="s">
        <v>41</v>
      </c>
      <c r="R724" t="s">
        <v>42</v>
      </c>
      <c r="S724" t="s">
        <v>33</v>
      </c>
      <c r="T724" t="s">
        <v>34</v>
      </c>
      <c r="U724" t="s">
        <v>46</v>
      </c>
      <c r="V724" t="s">
        <v>36</v>
      </c>
      <c r="W724" t="s">
        <v>37</v>
      </c>
      <c r="X724" s="24">
        <v>9.6153846153846168</v>
      </c>
      <c r="Y724" s="24">
        <v>90.384615384615387</v>
      </c>
      <c r="Z724" t="s">
        <v>38</v>
      </c>
      <c r="AA724" t="s">
        <v>39</v>
      </c>
      <c r="AB724" t="s">
        <v>38</v>
      </c>
      <c r="AC724" s="24">
        <v>-1.2699999999999991E-2</v>
      </c>
    </row>
    <row r="725" spans="1:29" x14ac:dyDescent="0.3">
      <c r="A725" s="2">
        <v>724</v>
      </c>
      <c r="B725" s="1">
        <v>40576</v>
      </c>
      <c r="C725" s="2">
        <v>1</v>
      </c>
      <c r="D725" s="2">
        <v>12</v>
      </c>
      <c r="E725" t="b">
        <v>0</v>
      </c>
      <c r="F725" s="2">
        <v>3</v>
      </c>
      <c r="G725" s="2">
        <v>2</v>
      </c>
      <c r="H725" s="23">
        <v>0.24</v>
      </c>
      <c r="I725" s="25">
        <v>0.2273</v>
      </c>
      <c r="J725" s="23">
        <v>0.93</v>
      </c>
      <c r="K725" s="25">
        <v>0.22389999999999999</v>
      </c>
      <c r="L725" s="2">
        <v>3</v>
      </c>
      <c r="M725" s="2">
        <v>61</v>
      </c>
      <c r="N725" s="2">
        <v>64</v>
      </c>
      <c r="O725" t="s">
        <v>29</v>
      </c>
      <c r="P725" t="s">
        <v>57</v>
      </c>
      <c r="Q725" t="s">
        <v>41</v>
      </c>
      <c r="R725" t="s">
        <v>47</v>
      </c>
      <c r="S725" t="s">
        <v>33</v>
      </c>
      <c r="T725" t="s">
        <v>34</v>
      </c>
      <c r="U725" t="s">
        <v>46</v>
      </c>
      <c r="V725" t="s">
        <v>36</v>
      </c>
      <c r="W725" t="s">
        <v>37</v>
      </c>
      <c r="X725" s="24">
        <v>4.6875</v>
      </c>
      <c r="Y725" s="24">
        <v>95.3125</v>
      </c>
      <c r="Z725" t="s">
        <v>38</v>
      </c>
      <c r="AA725" t="s">
        <v>39</v>
      </c>
      <c r="AB725" t="s">
        <v>38</v>
      </c>
      <c r="AC725" s="24">
        <v>-1.2699999999999991E-2</v>
      </c>
    </row>
    <row r="726" spans="1:29" x14ac:dyDescent="0.3">
      <c r="A726" s="2">
        <v>725</v>
      </c>
      <c r="B726" s="1">
        <v>40576</v>
      </c>
      <c r="C726" s="2">
        <v>1</v>
      </c>
      <c r="D726" s="2">
        <v>13</v>
      </c>
      <c r="E726" t="b">
        <v>0</v>
      </c>
      <c r="F726" s="2">
        <v>3</v>
      </c>
      <c r="G726" s="2">
        <v>1</v>
      </c>
      <c r="H726" s="23">
        <v>0.34</v>
      </c>
      <c r="I726" s="25">
        <v>0.33329999999999999</v>
      </c>
      <c r="J726" s="23">
        <v>0.93</v>
      </c>
      <c r="K726" s="25">
        <v>0.16420000000000001</v>
      </c>
      <c r="L726" s="2">
        <v>1</v>
      </c>
      <c r="M726" s="2">
        <v>74</v>
      </c>
      <c r="N726" s="2">
        <v>75</v>
      </c>
      <c r="O726" t="s">
        <v>29</v>
      </c>
      <c r="P726" t="s">
        <v>57</v>
      </c>
      <c r="Q726" t="s">
        <v>31</v>
      </c>
      <c r="R726" t="s">
        <v>47</v>
      </c>
      <c r="S726" t="s">
        <v>44</v>
      </c>
      <c r="T726" t="s">
        <v>34</v>
      </c>
      <c r="U726" t="s">
        <v>46</v>
      </c>
      <c r="V726" t="s">
        <v>36</v>
      </c>
      <c r="W726" t="s">
        <v>37</v>
      </c>
      <c r="X726" s="24">
        <v>1.333333333333333</v>
      </c>
      <c r="Y726" s="24">
        <v>98.666666666666671</v>
      </c>
      <c r="Z726" t="s">
        <v>38</v>
      </c>
      <c r="AA726" t="s">
        <v>39</v>
      </c>
      <c r="AB726" t="s">
        <v>38</v>
      </c>
      <c r="AC726" s="24">
        <v>-6.7000000000000393E-3</v>
      </c>
    </row>
    <row r="727" spans="1:29" x14ac:dyDescent="0.3">
      <c r="A727" s="2">
        <v>726</v>
      </c>
      <c r="B727" s="1">
        <v>40576</v>
      </c>
      <c r="C727" s="2">
        <v>1</v>
      </c>
      <c r="D727" s="2">
        <v>14</v>
      </c>
      <c r="E727" t="b">
        <v>0</v>
      </c>
      <c r="F727" s="2">
        <v>3</v>
      </c>
      <c r="G727" s="2">
        <v>1</v>
      </c>
      <c r="H727" s="23">
        <v>0.38</v>
      </c>
      <c r="I727" s="25">
        <v>0.39389999999999997</v>
      </c>
      <c r="J727" s="23">
        <v>0.82</v>
      </c>
      <c r="K727" s="25">
        <v>0.3881</v>
      </c>
      <c r="L727" s="2">
        <v>2</v>
      </c>
      <c r="M727" s="2">
        <v>61</v>
      </c>
      <c r="N727" s="2">
        <v>63</v>
      </c>
      <c r="O727" t="s">
        <v>29</v>
      </c>
      <c r="P727" t="s">
        <v>57</v>
      </c>
      <c r="Q727" t="s">
        <v>31</v>
      </c>
      <c r="R727" t="s">
        <v>47</v>
      </c>
      <c r="S727" t="s">
        <v>45</v>
      </c>
      <c r="T727" t="s">
        <v>34</v>
      </c>
      <c r="U727" t="s">
        <v>53</v>
      </c>
      <c r="V727" t="s">
        <v>36</v>
      </c>
      <c r="W727" t="s">
        <v>37</v>
      </c>
      <c r="X727" s="24">
        <v>3.174603174603174</v>
      </c>
      <c r="Y727" s="24">
        <v>96.825396825396822</v>
      </c>
      <c r="Z727" t="s">
        <v>38</v>
      </c>
      <c r="AA727" t="s">
        <v>39</v>
      </c>
      <c r="AB727" t="s">
        <v>38</v>
      </c>
      <c r="AC727" s="24">
        <v>1.389999999999997E-2</v>
      </c>
    </row>
    <row r="728" spans="1:29" x14ac:dyDescent="0.3">
      <c r="A728" s="2">
        <v>727</v>
      </c>
      <c r="B728" s="1">
        <v>40576</v>
      </c>
      <c r="C728" s="2">
        <v>1</v>
      </c>
      <c r="D728" s="2">
        <v>15</v>
      </c>
      <c r="E728" t="b">
        <v>0</v>
      </c>
      <c r="F728" s="2">
        <v>3</v>
      </c>
      <c r="G728" s="2">
        <v>1</v>
      </c>
      <c r="H728" s="23">
        <v>0.38</v>
      </c>
      <c r="I728" s="25">
        <v>0.39389999999999997</v>
      </c>
      <c r="J728" s="23">
        <v>0.76</v>
      </c>
      <c r="K728" s="25">
        <v>0.32840000000000003</v>
      </c>
      <c r="L728" s="2">
        <v>10</v>
      </c>
      <c r="M728" s="2">
        <v>66</v>
      </c>
      <c r="N728" s="2">
        <v>76</v>
      </c>
      <c r="O728" t="s">
        <v>29</v>
      </c>
      <c r="P728" t="s">
        <v>57</v>
      </c>
      <c r="Q728" t="s">
        <v>31</v>
      </c>
      <c r="R728" t="s">
        <v>47</v>
      </c>
      <c r="S728" t="s">
        <v>45</v>
      </c>
      <c r="T728" t="s">
        <v>34</v>
      </c>
      <c r="U728" t="s">
        <v>53</v>
      </c>
      <c r="V728" t="s">
        <v>36</v>
      </c>
      <c r="W728" t="s">
        <v>37</v>
      </c>
      <c r="X728" s="24">
        <v>13.157894736842101</v>
      </c>
      <c r="Y728" s="24">
        <v>86.842105263157904</v>
      </c>
      <c r="Z728" t="s">
        <v>38</v>
      </c>
      <c r="AA728" t="s">
        <v>39</v>
      </c>
      <c r="AB728" t="s">
        <v>38</v>
      </c>
      <c r="AC728" s="24">
        <v>1.389999999999997E-2</v>
      </c>
    </row>
    <row r="729" spans="1:29" x14ac:dyDescent="0.3">
      <c r="A729" s="2">
        <v>728</v>
      </c>
      <c r="B729" s="1">
        <v>40576</v>
      </c>
      <c r="C729" s="2">
        <v>1</v>
      </c>
      <c r="D729" s="2">
        <v>16</v>
      </c>
      <c r="E729" t="b">
        <v>0</v>
      </c>
      <c r="F729" s="2">
        <v>3</v>
      </c>
      <c r="G729" s="2">
        <v>1</v>
      </c>
      <c r="H729" s="23">
        <v>0.36</v>
      </c>
      <c r="I729" s="25">
        <v>0.33329999999999999</v>
      </c>
      <c r="J729" s="23">
        <v>0.71</v>
      </c>
      <c r="K729" s="25">
        <v>0.29849999999999999</v>
      </c>
      <c r="L729" s="2">
        <v>8</v>
      </c>
      <c r="M729" s="2">
        <v>95</v>
      </c>
      <c r="N729" s="2">
        <v>103</v>
      </c>
      <c r="O729" t="s">
        <v>29</v>
      </c>
      <c r="P729" t="s">
        <v>57</v>
      </c>
      <c r="Q729" t="s">
        <v>31</v>
      </c>
      <c r="R729" t="s">
        <v>47</v>
      </c>
      <c r="S729" t="s">
        <v>45</v>
      </c>
      <c r="T729" t="s">
        <v>34</v>
      </c>
      <c r="U729" t="s">
        <v>46</v>
      </c>
      <c r="V729" t="s">
        <v>36</v>
      </c>
      <c r="W729" t="s">
        <v>37</v>
      </c>
      <c r="X729" s="24">
        <v>7.7669902912621351</v>
      </c>
      <c r="Y729" s="24">
        <v>92.233009708737868</v>
      </c>
      <c r="Z729" t="s">
        <v>38</v>
      </c>
      <c r="AA729" t="s">
        <v>49</v>
      </c>
      <c r="AB729" t="s">
        <v>38</v>
      </c>
      <c r="AC729" s="24">
        <v>-2.6700000000000002E-2</v>
      </c>
    </row>
    <row r="730" spans="1:29" x14ac:dyDescent="0.3">
      <c r="A730" s="2">
        <v>558</v>
      </c>
      <c r="B730" s="1">
        <v>40568</v>
      </c>
      <c r="C730" s="2">
        <v>1</v>
      </c>
      <c r="D730" s="2">
        <v>10</v>
      </c>
      <c r="E730" t="b">
        <v>0</v>
      </c>
      <c r="F730" s="2">
        <v>2</v>
      </c>
      <c r="G730" s="2">
        <v>2</v>
      </c>
      <c r="H730" s="23">
        <v>0.22</v>
      </c>
      <c r="I730" s="25">
        <v>0.2424</v>
      </c>
      <c r="J730" s="23">
        <v>0.6</v>
      </c>
      <c r="K730" s="25">
        <v>0.1045</v>
      </c>
      <c r="L730" s="2">
        <v>6</v>
      </c>
      <c r="M730" s="2">
        <v>49</v>
      </c>
      <c r="N730" s="2">
        <v>55</v>
      </c>
      <c r="O730" t="s">
        <v>29</v>
      </c>
      <c r="P730" t="s">
        <v>56</v>
      </c>
      <c r="Q730" t="s">
        <v>41</v>
      </c>
      <c r="R730" t="s">
        <v>42</v>
      </c>
      <c r="S730" t="s">
        <v>33</v>
      </c>
      <c r="T730" t="s">
        <v>49</v>
      </c>
      <c r="U730" t="s">
        <v>35</v>
      </c>
      <c r="V730" t="s">
        <v>36</v>
      </c>
      <c r="W730" t="s">
        <v>37</v>
      </c>
      <c r="X730" s="24">
        <v>10.90909090909091</v>
      </c>
      <c r="Y730" s="24">
        <v>89.090909090909093</v>
      </c>
      <c r="Z730" t="s">
        <v>38</v>
      </c>
      <c r="AA730" t="s">
        <v>39</v>
      </c>
      <c r="AB730" t="s">
        <v>38</v>
      </c>
      <c r="AC730" s="24">
        <v>2.24E-2</v>
      </c>
    </row>
    <row r="731" spans="1:29" x14ac:dyDescent="0.3">
      <c r="A731" s="2">
        <v>559</v>
      </c>
      <c r="B731" s="1">
        <v>40568</v>
      </c>
      <c r="C731" s="2">
        <v>1</v>
      </c>
      <c r="D731" s="2">
        <v>11</v>
      </c>
      <c r="E731" t="b">
        <v>0</v>
      </c>
      <c r="F731" s="2">
        <v>2</v>
      </c>
      <c r="G731" s="2">
        <v>2</v>
      </c>
      <c r="H731" s="23">
        <v>0.24</v>
      </c>
      <c r="I731" s="25">
        <v>0.2424</v>
      </c>
      <c r="J731" s="23">
        <v>0.6</v>
      </c>
      <c r="K731" s="25">
        <v>0.1343</v>
      </c>
      <c r="L731" s="2">
        <v>6</v>
      </c>
      <c r="M731" s="2">
        <v>55</v>
      </c>
      <c r="N731" s="2">
        <v>61</v>
      </c>
      <c r="O731" t="s">
        <v>29</v>
      </c>
      <c r="P731" t="s">
        <v>56</v>
      </c>
      <c r="Q731" t="s">
        <v>41</v>
      </c>
      <c r="R731" t="s">
        <v>42</v>
      </c>
      <c r="S731" t="s">
        <v>33</v>
      </c>
      <c r="T731" t="s">
        <v>49</v>
      </c>
      <c r="U731" t="s">
        <v>35</v>
      </c>
      <c r="V731" t="s">
        <v>36</v>
      </c>
      <c r="W731" t="s">
        <v>37</v>
      </c>
      <c r="X731" s="24">
        <v>9.8360655737704921</v>
      </c>
      <c r="Y731" s="24">
        <v>90.163934426229503</v>
      </c>
      <c r="Z731" t="s">
        <v>38</v>
      </c>
      <c r="AA731" t="s">
        <v>39</v>
      </c>
      <c r="AB731" t="s">
        <v>38</v>
      </c>
      <c r="AC731" s="24">
        <v>2.4000000000000128E-3</v>
      </c>
    </row>
    <row r="732" spans="1:29" x14ac:dyDescent="0.3">
      <c r="A732" s="2">
        <v>618</v>
      </c>
      <c r="B732" s="1">
        <v>40571</v>
      </c>
      <c r="C732" s="2">
        <v>1</v>
      </c>
      <c r="D732" s="2">
        <v>23</v>
      </c>
      <c r="E732" t="b">
        <v>0</v>
      </c>
      <c r="F732" s="2">
        <v>5</v>
      </c>
      <c r="G732" s="2">
        <v>1</v>
      </c>
      <c r="H732" s="23">
        <v>0.24</v>
      </c>
      <c r="I732" s="25">
        <v>0.2273</v>
      </c>
      <c r="J732" s="23">
        <v>0.6</v>
      </c>
      <c r="K732" s="25">
        <v>0.22389999999999999</v>
      </c>
      <c r="L732" s="2">
        <v>1</v>
      </c>
      <c r="M732" s="2">
        <v>22</v>
      </c>
      <c r="N732" s="2">
        <v>23</v>
      </c>
      <c r="O732" t="s">
        <v>29</v>
      </c>
      <c r="P732" t="s">
        <v>59</v>
      </c>
      <c r="Q732" t="s">
        <v>31</v>
      </c>
      <c r="R732" t="s">
        <v>32</v>
      </c>
      <c r="S732" t="s">
        <v>33</v>
      </c>
      <c r="T732" t="s">
        <v>49</v>
      </c>
      <c r="U732" t="s">
        <v>46</v>
      </c>
      <c r="V732" t="s">
        <v>36</v>
      </c>
      <c r="W732" t="s">
        <v>37</v>
      </c>
      <c r="X732" s="24">
        <v>4.3478260869565224</v>
      </c>
      <c r="Y732" s="24">
        <v>95.652173913043484</v>
      </c>
      <c r="Z732" t="s">
        <v>38</v>
      </c>
      <c r="AA732" t="s">
        <v>39</v>
      </c>
      <c r="AB732" t="s">
        <v>38</v>
      </c>
      <c r="AC732" s="24">
        <v>-1.2699999999999991E-2</v>
      </c>
    </row>
    <row r="733" spans="1:29" x14ac:dyDescent="0.3">
      <c r="A733" s="2">
        <v>632</v>
      </c>
      <c r="B733" s="1">
        <v>40572</v>
      </c>
      <c r="C733" s="2">
        <v>1</v>
      </c>
      <c r="D733" s="2">
        <v>14</v>
      </c>
      <c r="E733" t="b">
        <v>0</v>
      </c>
      <c r="F733" s="2">
        <v>6</v>
      </c>
      <c r="G733" s="2">
        <v>2</v>
      </c>
      <c r="H733" s="23">
        <v>0.22</v>
      </c>
      <c r="I733" s="25">
        <v>0.2273</v>
      </c>
      <c r="J733" s="23">
        <v>0.6</v>
      </c>
      <c r="K733" s="25">
        <v>0.1343</v>
      </c>
      <c r="L733" s="2">
        <v>10</v>
      </c>
      <c r="M733" s="2">
        <v>89</v>
      </c>
      <c r="N733" s="2">
        <v>99</v>
      </c>
      <c r="O733" t="s">
        <v>29</v>
      </c>
      <c r="P733" t="s">
        <v>30</v>
      </c>
      <c r="Q733" t="s">
        <v>41</v>
      </c>
      <c r="R733" t="s">
        <v>47</v>
      </c>
      <c r="S733" t="s">
        <v>33</v>
      </c>
      <c r="T733" t="s">
        <v>49</v>
      </c>
      <c r="U733" t="s">
        <v>35</v>
      </c>
      <c r="V733" t="s">
        <v>36</v>
      </c>
      <c r="W733" t="s">
        <v>37</v>
      </c>
      <c r="X733" s="24">
        <v>10.1010101010101</v>
      </c>
      <c r="Y733" s="24">
        <v>89.898989898989896</v>
      </c>
      <c r="Z733" t="s">
        <v>38</v>
      </c>
      <c r="AA733" t="s">
        <v>39</v>
      </c>
      <c r="AB733" t="s">
        <v>40</v>
      </c>
      <c r="AC733" s="24">
        <v>7.3000000000000009E-3</v>
      </c>
    </row>
    <row r="734" spans="1:29" x14ac:dyDescent="0.3">
      <c r="A734" s="2">
        <v>634</v>
      </c>
      <c r="B734" s="1">
        <v>40572</v>
      </c>
      <c r="C734" s="2">
        <v>1</v>
      </c>
      <c r="D734" s="2">
        <v>16</v>
      </c>
      <c r="E734" t="b">
        <v>0</v>
      </c>
      <c r="F734" s="2">
        <v>6</v>
      </c>
      <c r="G734" s="2">
        <v>1</v>
      </c>
      <c r="H734" s="23">
        <v>0.24</v>
      </c>
      <c r="I734" s="25">
        <v>0.2424</v>
      </c>
      <c r="J734" s="23">
        <v>0.6</v>
      </c>
      <c r="K734" s="25">
        <v>0.16420000000000001</v>
      </c>
      <c r="L734" s="2">
        <v>19</v>
      </c>
      <c r="M734" s="2">
        <v>88</v>
      </c>
      <c r="N734" s="2">
        <v>107</v>
      </c>
      <c r="O734" t="s">
        <v>29</v>
      </c>
      <c r="P734" t="s">
        <v>30</v>
      </c>
      <c r="Q734" t="s">
        <v>31</v>
      </c>
      <c r="R734" t="s">
        <v>47</v>
      </c>
      <c r="S734" t="s">
        <v>33</v>
      </c>
      <c r="T734" t="s">
        <v>49</v>
      </c>
      <c r="U734" t="s">
        <v>46</v>
      </c>
      <c r="V734" t="s">
        <v>36</v>
      </c>
      <c r="W734" t="s">
        <v>37</v>
      </c>
      <c r="X734" s="24">
        <v>17.75700934579439</v>
      </c>
      <c r="Y734" s="24">
        <v>82.242990654205599</v>
      </c>
      <c r="Z734" t="s">
        <v>38</v>
      </c>
      <c r="AA734" t="s">
        <v>49</v>
      </c>
      <c r="AB734" t="s">
        <v>40</v>
      </c>
      <c r="AC734" s="24">
        <v>2.4000000000000128E-3</v>
      </c>
    </row>
    <row r="735" spans="1:29" x14ac:dyDescent="0.3">
      <c r="A735" s="2">
        <v>635</v>
      </c>
      <c r="B735" s="1">
        <v>40572</v>
      </c>
      <c r="C735" s="2">
        <v>1</v>
      </c>
      <c r="D735" s="2">
        <v>17</v>
      </c>
      <c r="E735" t="b">
        <v>0</v>
      </c>
      <c r="F735" s="2">
        <v>6</v>
      </c>
      <c r="G735" s="2">
        <v>1</v>
      </c>
      <c r="H735" s="23">
        <v>0.24</v>
      </c>
      <c r="I735" s="25">
        <v>0.28789999999999999</v>
      </c>
      <c r="J735" s="23">
        <v>0.6</v>
      </c>
      <c r="K735" s="25">
        <v>0</v>
      </c>
      <c r="L735" s="2">
        <v>9</v>
      </c>
      <c r="M735" s="2">
        <v>82</v>
      </c>
      <c r="N735" s="2">
        <v>91</v>
      </c>
      <c r="O735" t="s">
        <v>29</v>
      </c>
      <c r="P735" t="s">
        <v>30</v>
      </c>
      <c r="Q735" t="s">
        <v>31</v>
      </c>
      <c r="R735" t="s">
        <v>50</v>
      </c>
      <c r="S735" t="s">
        <v>33</v>
      </c>
      <c r="T735" t="s">
        <v>49</v>
      </c>
      <c r="U735" t="s">
        <v>35</v>
      </c>
      <c r="V735" t="s">
        <v>36</v>
      </c>
      <c r="W735" t="s">
        <v>37</v>
      </c>
      <c r="X735" s="24">
        <v>9.8901098901098905</v>
      </c>
      <c r="Y735" s="24">
        <v>90.109890109890117</v>
      </c>
      <c r="Z735" t="s">
        <v>40</v>
      </c>
      <c r="AA735" t="s">
        <v>39</v>
      </c>
      <c r="AB735" t="s">
        <v>40</v>
      </c>
      <c r="AC735" s="24">
        <v>4.7899999999999998E-2</v>
      </c>
    </row>
    <row r="736" spans="1:29" x14ac:dyDescent="0.3">
      <c r="A736" s="2">
        <v>776</v>
      </c>
      <c r="B736" s="1">
        <v>40578</v>
      </c>
      <c r="C736" s="2">
        <v>1</v>
      </c>
      <c r="D736" s="2">
        <v>18</v>
      </c>
      <c r="E736" t="b">
        <v>0</v>
      </c>
      <c r="F736" s="2">
        <v>5</v>
      </c>
      <c r="G736" s="2">
        <v>2</v>
      </c>
      <c r="H736" s="23">
        <v>0.24</v>
      </c>
      <c r="I736" s="25">
        <v>0.2576</v>
      </c>
      <c r="J736" s="23">
        <v>0.6</v>
      </c>
      <c r="K736" s="25">
        <v>0.1045</v>
      </c>
      <c r="L736" s="2">
        <v>3</v>
      </c>
      <c r="M736" s="2">
        <v>152</v>
      </c>
      <c r="N736" s="2">
        <v>155</v>
      </c>
      <c r="O736" t="s">
        <v>29</v>
      </c>
      <c r="P736" t="s">
        <v>59</v>
      </c>
      <c r="Q736" t="s">
        <v>41</v>
      </c>
      <c r="R736" t="s">
        <v>50</v>
      </c>
      <c r="S736" t="s">
        <v>33</v>
      </c>
      <c r="T736" t="s">
        <v>49</v>
      </c>
      <c r="U736" t="s">
        <v>35</v>
      </c>
      <c r="V736" t="s">
        <v>36</v>
      </c>
      <c r="W736" t="s">
        <v>37</v>
      </c>
      <c r="X736" s="24">
        <v>1.935483870967742</v>
      </c>
      <c r="Y736" s="24">
        <v>98.064516129032256</v>
      </c>
      <c r="Z736" t="s">
        <v>40</v>
      </c>
      <c r="AA736" t="s">
        <v>49</v>
      </c>
      <c r="AB736" t="s">
        <v>38</v>
      </c>
      <c r="AC736" s="24">
        <v>1.7600000000000001E-2</v>
      </c>
    </row>
    <row r="737" spans="1:29" x14ac:dyDescent="0.3">
      <c r="A737" s="2">
        <v>808</v>
      </c>
      <c r="B737" s="1">
        <v>40580</v>
      </c>
      <c r="C737" s="2">
        <v>1</v>
      </c>
      <c r="D737" s="2">
        <v>2</v>
      </c>
      <c r="E737" t="b">
        <v>0</v>
      </c>
      <c r="F737" s="2">
        <v>0</v>
      </c>
      <c r="G737" s="2">
        <v>1</v>
      </c>
      <c r="H737" s="23">
        <v>0.26</v>
      </c>
      <c r="I737" s="25">
        <v>0.2273</v>
      </c>
      <c r="J737" s="23">
        <v>0.6</v>
      </c>
      <c r="K737" s="25">
        <v>0.32840000000000003</v>
      </c>
      <c r="L737" s="2">
        <v>0</v>
      </c>
      <c r="M737" s="2">
        <v>20</v>
      </c>
      <c r="N737" s="2">
        <v>20</v>
      </c>
      <c r="O737" t="s">
        <v>29</v>
      </c>
      <c r="P737" t="s">
        <v>52</v>
      </c>
      <c r="Q737" t="s">
        <v>31</v>
      </c>
      <c r="R737" t="s">
        <v>32</v>
      </c>
      <c r="S737" t="s">
        <v>44</v>
      </c>
      <c r="T737" t="s">
        <v>49</v>
      </c>
      <c r="U737" t="s">
        <v>53</v>
      </c>
      <c r="V737" t="s">
        <v>36</v>
      </c>
      <c r="W737" t="s">
        <v>37</v>
      </c>
      <c r="X737" s="24">
        <v>0</v>
      </c>
      <c r="Y737" s="24">
        <v>100</v>
      </c>
      <c r="Z737" t="s">
        <v>38</v>
      </c>
      <c r="AA737" t="s">
        <v>39</v>
      </c>
      <c r="AB737" t="s">
        <v>40</v>
      </c>
      <c r="AC737" s="24">
        <v>-3.2700000000000007E-2</v>
      </c>
    </row>
    <row r="738" spans="1:29" x14ac:dyDescent="0.3">
      <c r="A738" s="2">
        <v>809</v>
      </c>
      <c r="B738" s="1">
        <v>40580</v>
      </c>
      <c r="C738" s="2">
        <v>1</v>
      </c>
      <c r="D738" s="2">
        <v>3</v>
      </c>
      <c r="E738" t="b">
        <v>0</v>
      </c>
      <c r="F738" s="2">
        <v>0</v>
      </c>
      <c r="G738" s="2">
        <v>1</v>
      </c>
      <c r="H738" s="23">
        <v>0.26</v>
      </c>
      <c r="I738" s="25">
        <v>0.28789999999999999</v>
      </c>
      <c r="J738" s="23">
        <v>0.6</v>
      </c>
      <c r="K738" s="25">
        <v>8.9599999999999999E-2</v>
      </c>
      <c r="L738" s="2">
        <v>3</v>
      </c>
      <c r="M738" s="2">
        <v>10</v>
      </c>
      <c r="N738" s="2">
        <v>13</v>
      </c>
      <c r="O738" t="s">
        <v>29</v>
      </c>
      <c r="P738" t="s">
        <v>52</v>
      </c>
      <c r="Q738" t="s">
        <v>31</v>
      </c>
      <c r="R738" t="s">
        <v>32</v>
      </c>
      <c r="S738" t="s">
        <v>44</v>
      </c>
      <c r="T738" t="s">
        <v>49</v>
      </c>
      <c r="U738" t="s">
        <v>35</v>
      </c>
      <c r="V738" t="s">
        <v>36</v>
      </c>
      <c r="W738" t="s">
        <v>37</v>
      </c>
      <c r="X738" s="24">
        <v>23.07692307692308</v>
      </c>
      <c r="Y738" s="24">
        <v>76.923076923076934</v>
      </c>
      <c r="Z738" t="s">
        <v>38</v>
      </c>
      <c r="AA738" t="s">
        <v>39</v>
      </c>
      <c r="AB738" t="s">
        <v>40</v>
      </c>
      <c r="AC738" s="24">
        <v>2.789999999999998E-2</v>
      </c>
    </row>
    <row r="739" spans="1:29" x14ac:dyDescent="0.3">
      <c r="A739" s="2">
        <v>810</v>
      </c>
      <c r="B739" s="1">
        <v>40580</v>
      </c>
      <c r="C739" s="2">
        <v>1</v>
      </c>
      <c r="D739" s="2">
        <v>4</v>
      </c>
      <c r="E739" t="b">
        <v>0</v>
      </c>
      <c r="F739" s="2">
        <v>0</v>
      </c>
      <c r="G739" s="2">
        <v>1</v>
      </c>
      <c r="H739" s="23">
        <v>0.26</v>
      </c>
      <c r="I739" s="25">
        <v>0.2273</v>
      </c>
      <c r="J739" s="23">
        <v>0.6</v>
      </c>
      <c r="K739" s="25">
        <v>0.35820000000000002</v>
      </c>
      <c r="L739" s="2">
        <v>0</v>
      </c>
      <c r="M739" s="2">
        <v>2</v>
      </c>
      <c r="N739" s="2">
        <v>2</v>
      </c>
      <c r="O739" t="s">
        <v>29</v>
      </c>
      <c r="P739" t="s">
        <v>52</v>
      </c>
      <c r="Q739" t="s">
        <v>31</v>
      </c>
      <c r="R739" t="s">
        <v>32</v>
      </c>
      <c r="S739" t="s">
        <v>44</v>
      </c>
      <c r="T739" t="s">
        <v>49</v>
      </c>
      <c r="U739" t="s">
        <v>53</v>
      </c>
      <c r="V739" t="s">
        <v>36</v>
      </c>
      <c r="W739" t="s">
        <v>37</v>
      </c>
      <c r="X739" s="24">
        <v>0</v>
      </c>
      <c r="Y739" s="24">
        <v>100</v>
      </c>
      <c r="Z739" t="s">
        <v>38</v>
      </c>
      <c r="AA739" t="s">
        <v>39</v>
      </c>
      <c r="AB739" t="s">
        <v>40</v>
      </c>
      <c r="AC739" s="24">
        <v>-3.2700000000000007E-2</v>
      </c>
    </row>
    <row r="740" spans="1:29" x14ac:dyDescent="0.3">
      <c r="A740" s="2">
        <v>811</v>
      </c>
      <c r="B740" s="1">
        <v>40580</v>
      </c>
      <c r="C740" s="2">
        <v>1</v>
      </c>
      <c r="D740" s="2">
        <v>5</v>
      </c>
      <c r="E740" t="b">
        <v>0</v>
      </c>
      <c r="F740" s="2">
        <v>0</v>
      </c>
      <c r="G740" s="2">
        <v>1</v>
      </c>
      <c r="H740" s="23">
        <v>0.26</v>
      </c>
      <c r="I740" s="25">
        <v>0.2576</v>
      </c>
      <c r="J740" s="23">
        <v>0.6</v>
      </c>
      <c r="K740" s="25">
        <v>0.22389999999999999</v>
      </c>
      <c r="L740" s="2">
        <v>0</v>
      </c>
      <c r="M740" s="2">
        <v>1</v>
      </c>
      <c r="N740" s="2">
        <v>1</v>
      </c>
      <c r="O740" t="s">
        <v>29</v>
      </c>
      <c r="P740" t="s">
        <v>52</v>
      </c>
      <c r="Q740" t="s">
        <v>31</v>
      </c>
      <c r="R740" t="s">
        <v>32</v>
      </c>
      <c r="S740" t="s">
        <v>44</v>
      </c>
      <c r="T740" t="s">
        <v>49</v>
      </c>
      <c r="U740" t="s">
        <v>46</v>
      </c>
      <c r="V740" t="s">
        <v>36</v>
      </c>
      <c r="W740" t="s">
        <v>37</v>
      </c>
      <c r="X740" s="24">
        <v>0</v>
      </c>
      <c r="Y740" s="24">
        <v>100</v>
      </c>
      <c r="Z740" t="s">
        <v>38</v>
      </c>
      <c r="AA740" t="s">
        <v>39</v>
      </c>
      <c r="AB740" t="s">
        <v>40</v>
      </c>
      <c r="AC740" s="24">
        <v>-2.4000000000000128E-3</v>
      </c>
    </row>
    <row r="741" spans="1:29" x14ac:dyDescent="0.3">
      <c r="A741" s="2">
        <v>812</v>
      </c>
      <c r="B741" s="1">
        <v>40580</v>
      </c>
      <c r="C741" s="2">
        <v>1</v>
      </c>
      <c r="D741" s="2">
        <v>6</v>
      </c>
      <c r="E741" t="b">
        <v>0</v>
      </c>
      <c r="F741" s="2">
        <v>0</v>
      </c>
      <c r="G741" s="2">
        <v>1</v>
      </c>
      <c r="H741" s="23">
        <v>0.26</v>
      </c>
      <c r="I741" s="25">
        <v>0.2576</v>
      </c>
      <c r="J741" s="23">
        <v>0.6</v>
      </c>
      <c r="K741" s="25">
        <v>0.22389999999999999</v>
      </c>
      <c r="L741" s="2">
        <v>0</v>
      </c>
      <c r="M741" s="2">
        <v>1</v>
      </c>
      <c r="N741" s="2">
        <v>1</v>
      </c>
      <c r="O741" t="s">
        <v>29</v>
      </c>
      <c r="P741" t="s">
        <v>52</v>
      </c>
      <c r="Q741" t="s">
        <v>31</v>
      </c>
      <c r="R741" t="s">
        <v>42</v>
      </c>
      <c r="S741" t="s">
        <v>44</v>
      </c>
      <c r="T741" t="s">
        <v>49</v>
      </c>
      <c r="U741" t="s">
        <v>46</v>
      </c>
      <c r="V741" t="s">
        <v>36</v>
      </c>
      <c r="W741" t="s">
        <v>37</v>
      </c>
      <c r="X741" s="24">
        <v>0</v>
      </c>
      <c r="Y741" s="24">
        <v>100</v>
      </c>
      <c r="Z741" t="s">
        <v>38</v>
      </c>
      <c r="AA741" t="s">
        <v>39</v>
      </c>
      <c r="AB741" t="s">
        <v>40</v>
      </c>
      <c r="AC741" s="24">
        <v>-2.4000000000000128E-3</v>
      </c>
    </row>
    <row r="742" spans="1:29" x14ac:dyDescent="0.3">
      <c r="A742" s="2">
        <v>827</v>
      </c>
      <c r="B742" s="1">
        <v>40580</v>
      </c>
      <c r="C742" s="2">
        <v>1</v>
      </c>
      <c r="D742" s="2">
        <v>21</v>
      </c>
      <c r="E742" t="b">
        <v>0</v>
      </c>
      <c r="F742" s="2">
        <v>0</v>
      </c>
      <c r="G742" s="2">
        <v>1</v>
      </c>
      <c r="H742" s="23">
        <v>0.26</v>
      </c>
      <c r="I742" s="25">
        <v>0.30299999999999999</v>
      </c>
      <c r="J742" s="23">
        <v>0.6</v>
      </c>
      <c r="K742" s="25">
        <v>0</v>
      </c>
      <c r="L742" s="2">
        <v>5</v>
      </c>
      <c r="M742" s="2">
        <v>22</v>
      </c>
      <c r="N742" s="2">
        <v>27</v>
      </c>
      <c r="O742" t="s">
        <v>29</v>
      </c>
      <c r="P742" t="s">
        <v>52</v>
      </c>
      <c r="Q742" t="s">
        <v>31</v>
      </c>
      <c r="R742" t="s">
        <v>32</v>
      </c>
      <c r="S742" t="s">
        <v>44</v>
      </c>
      <c r="T742" t="s">
        <v>49</v>
      </c>
      <c r="U742" t="s">
        <v>35</v>
      </c>
      <c r="V742" t="s">
        <v>36</v>
      </c>
      <c r="W742" t="s">
        <v>37</v>
      </c>
      <c r="X742" s="24">
        <v>18.518518518518519</v>
      </c>
      <c r="Y742" s="24">
        <v>81.481481481481481</v>
      </c>
      <c r="Z742" t="s">
        <v>38</v>
      </c>
      <c r="AA742" t="s">
        <v>39</v>
      </c>
      <c r="AB742" t="s">
        <v>40</v>
      </c>
      <c r="AC742" s="24">
        <v>4.2999999999999983E-2</v>
      </c>
    </row>
    <row r="743" spans="1:29" x14ac:dyDescent="0.3">
      <c r="A743" s="2">
        <v>828</v>
      </c>
      <c r="B743" s="1">
        <v>40580</v>
      </c>
      <c r="C743" s="2">
        <v>1</v>
      </c>
      <c r="D743" s="2">
        <v>22</v>
      </c>
      <c r="E743" t="b">
        <v>0</v>
      </c>
      <c r="F743" s="2">
        <v>0</v>
      </c>
      <c r="G743" s="2">
        <v>1</v>
      </c>
      <c r="H743" s="23">
        <v>0.26</v>
      </c>
      <c r="I743" s="25">
        <v>0.30299999999999999</v>
      </c>
      <c r="J743" s="23">
        <v>0.6</v>
      </c>
      <c r="K743" s="25">
        <v>0</v>
      </c>
      <c r="L743" s="2">
        <v>5</v>
      </c>
      <c r="M743" s="2">
        <v>57</v>
      </c>
      <c r="N743" s="2">
        <v>62</v>
      </c>
      <c r="O743" t="s">
        <v>29</v>
      </c>
      <c r="P743" t="s">
        <v>52</v>
      </c>
      <c r="Q743" t="s">
        <v>31</v>
      </c>
      <c r="R743" t="s">
        <v>32</v>
      </c>
      <c r="S743" t="s">
        <v>44</v>
      </c>
      <c r="T743" t="s">
        <v>49</v>
      </c>
      <c r="U743" t="s">
        <v>35</v>
      </c>
      <c r="V743" t="s">
        <v>36</v>
      </c>
      <c r="W743" t="s">
        <v>37</v>
      </c>
      <c r="X743" s="24">
        <v>8.064516129032258</v>
      </c>
      <c r="Y743" s="24">
        <v>91.935483870967744</v>
      </c>
      <c r="Z743" t="s">
        <v>38</v>
      </c>
      <c r="AA743" t="s">
        <v>39</v>
      </c>
      <c r="AB743" t="s">
        <v>40</v>
      </c>
      <c r="AC743" s="24">
        <v>4.2999999999999983E-2</v>
      </c>
    </row>
    <row r="744" spans="1:29" x14ac:dyDescent="0.3">
      <c r="A744" s="2">
        <v>978</v>
      </c>
      <c r="B744" s="1">
        <v>40587</v>
      </c>
      <c r="C744" s="2">
        <v>1</v>
      </c>
      <c r="D744" s="2">
        <v>9</v>
      </c>
      <c r="E744" t="b">
        <v>0</v>
      </c>
      <c r="F744" s="2">
        <v>0</v>
      </c>
      <c r="G744" s="2">
        <v>2</v>
      </c>
      <c r="H744" s="23">
        <v>0.24</v>
      </c>
      <c r="I744" s="25">
        <v>0.2273</v>
      </c>
      <c r="J744" s="23">
        <v>0.6</v>
      </c>
      <c r="K744" s="25">
        <v>0.22389999999999999</v>
      </c>
      <c r="L744" s="2">
        <v>12</v>
      </c>
      <c r="M744" s="2">
        <v>35</v>
      </c>
      <c r="N744" s="2">
        <v>47</v>
      </c>
      <c r="O744" t="s">
        <v>29</v>
      </c>
      <c r="P744" t="s">
        <v>52</v>
      </c>
      <c r="Q744" t="s">
        <v>41</v>
      </c>
      <c r="R744" t="s">
        <v>42</v>
      </c>
      <c r="S744" t="s">
        <v>33</v>
      </c>
      <c r="T744" t="s">
        <v>49</v>
      </c>
      <c r="U744" t="s">
        <v>46</v>
      </c>
      <c r="V744" t="s">
        <v>36</v>
      </c>
      <c r="W744" t="s">
        <v>37</v>
      </c>
      <c r="X744" s="24">
        <v>25.531914893617021</v>
      </c>
      <c r="Y744" s="24">
        <v>74.468085106382972</v>
      </c>
      <c r="Z744" t="s">
        <v>40</v>
      </c>
      <c r="AA744" t="s">
        <v>39</v>
      </c>
      <c r="AB744" t="s">
        <v>40</v>
      </c>
      <c r="AC744" s="24">
        <v>-1.2699999999999991E-2</v>
      </c>
    </row>
    <row r="745" spans="1:29" x14ac:dyDescent="0.3">
      <c r="A745" s="2">
        <v>426</v>
      </c>
      <c r="B745" s="1">
        <v>40562</v>
      </c>
      <c r="C745" s="2">
        <v>1</v>
      </c>
      <c r="D745" s="2">
        <v>18</v>
      </c>
      <c r="E745" t="b">
        <v>0</v>
      </c>
      <c r="F745" s="2">
        <v>3</v>
      </c>
      <c r="G745" s="2">
        <v>1</v>
      </c>
      <c r="H745" s="23">
        <v>0.34</v>
      </c>
      <c r="I745" s="25">
        <v>0.31819999999999998</v>
      </c>
      <c r="J745" s="23">
        <v>0.61</v>
      </c>
      <c r="K745" s="25">
        <v>0.28360000000000002</v>
      </c>
      <c r="L745" s="2">
        <v>5</v>
      </c>
      <c r="M745" s="2">
        <v>156</v>
      </c>
      <c r="N745" s="2">
        <v>161</v>
      </c>
      <c r="O745" t="s">
        <v>29</v>
      </c>
      <c r="P745" t="s">
        <v>57</v>
      </c>
      <c r="Q745" t="s">
        <v>31</v>
      </c>
      <c r="R745" t="s">
        <v>50</v>
      </c>
      <c r="S745" t="s">
        <v>44</v>
      </c>
      <c r="T745" t="s">
        <v>49</v>
      </c>
      <c r="U745" t="s">
        <v>46</v>
      </c>
      <c r="V745" t="s">
        <v>36</v>
      </c>
      <c r="W745" t="s">
        <v>37</v>
      </c>
      <c r="X745" s="24">
        <v>3.1055900621118009</v>
      </c>
      <c r="Y745" s="24">
        <v>96.894409937888199</v>
      </c>
      <c r="Z745" t="s">
        <v>40</v>
      </c>
      <c r="AA745" t="s">
        <v>49</v>
      </c>
      <c r="AB745" t="s">
        <v>38</v>
      </c>
      <c r="AC745" s="24">
        <v>-2.1800000000000042E-2</v>
      </c>
    </row>
    <row r="746" spans="1:29" x14ac:dyDescent="0.3">
      <c r="A746" s="2">
        <v>654</v>
      </c>
      <c r="B746" s="1">
        <v>40573</v>
      </c>
      <c r="C746" s="2">
        <v>1</v>
      </c>
      <c r="D746" s="2">
        <v>13</v>
      </c>
      <c r="E746" t="b">
        <v>0</v>
      </c>
      <c r="F746" s="2">
        <v>0</v>
      </c>
      <c r="G746" s="2">
        <v>1</v>
      </c>
      <c r="H746" s="23">
        <v>0.28000000000000003</v>
      </c>
      <c r="I746" s="25">
        <v>0.28789999999999999</v>
      </c>
      <c r="J746" s="23">
        <v>0.61</v>
      </c>
      <c r="K746" s="25">
        <v>0.1045</v>
      </c>
      <c r="L746" s="2">
        <v>13</v>
      </c>
      <c r="M746" s="2">
        <v>71</v>
      </c>
      <c r="N746" s="2">
        <v>84</v>
      </c>
      <c r="O746" t="s">
        <v>29</v>
      </c>
      <c r="P746" t="s">
        <v>52</v>
      </c>
      <c r="Q746" t="s">
        <v>31</v>
      </c>
      <c r="R746" t="s">
        <v>47</v>
      </c>
      <c r="S746" t="s">
        <v>44</v>
      </c>
      <c r="T746" t="s">
        <v>49</v>
      </c>
      <c r="U746" t="s">
        <v>35</v>
      </c>
      <c r="V746" t="s">
        <v>36</v>
      </c>
      <c r="W746" t="s">
        <v>37</v>
      </c>
      <c r="X746" s="24">
        <v>15.47619047619048</v>
      </c>
      <c r="Y746" s="24">
        <v>84.523809523809518</v>
      </c>
      <c r="Z746" t="s">
        <v>38</v>
      </c>
      <c r="AA746" t="s">
        <v>39</v>
      </c>
      <c r="AB746" t="s">
        <v>40</v>
      </c>
      <c r="AC746" s="24">
        <v>7.8999999999999626E-3</v>
      </c>
    </row>
    <row r="747" spans="1:29" x14ac:dyDescent="0.3">
      <c r="A747" s="2">
        <v>655</v>
      </c>
      <c r="B747" s="1">
        <v>40573</v>
      </c>
      <c r="C747" s="2">
        <v>1</v>
      </c>
      <c r="D747" s="2">
        <v>14</v>
      </c>
      <c r="E747" t="b">
        <v>0</v>
      </c>
      <c r="F747" s="2">
        <v>0</v>
      </c>
      <c r="G747" s="2">
        <v>1</v>
      </c>
      <c r="H747" s="23">
        <v>0.28000000000000003</v>
      </c>
      <c r="I747" s="25">
        <v>0.30299999999999999</v>
      </c>
      <c r="J747" s="23">
        <v>0.61</v>
      </c>
      <c r="K747" s="25">
        <v>8.9599999999999999E-2</v>
      </c>
      <c r="L747" s="2">
        <v>18</v>
      </c>
      <c r="M747" s="2">
        <v>104</v>
      </c>
      <c r="N747" s="2">
        <v>122</v>
      </c>
      <c r="O747" t="s">
        <v>29</v>
      </c>
      <c r="P747" t="s">
        <v>52</v>
      </c>
      <c r="Q747" t="s">
        <v>31</v>
      </c>
      <c r="R747" t="s">
        <v>47</v>
      </c>
      <c r="S747" t="s">
        <v>44</v>
      </c>
      <c r="T747" t="s">
        <v>49</v>
      </c>
      <c r="U747" t="s">
        <v>35</v>
      </c>
      <c r="V747" t="s">
        <v>36</v>
      </c>
      <c r="W747" t="s">
        <v>37</v>
      </c>
      <c r="X747" s="24">
        <v>14.754098360655741</v>
      </c>
      <c r="Y747" s="24">
        <v>85.245901639344254</v>
      </c>
      <c r="Z747" t="s">
        <v>38</v>
      </c>
      <c r="AA747" t="s">
        <v>49</v>
      </c>
      <c r="AB747" t="s">
        <v>40</v>
      </c>
      <c r="AC747" s="24">
        <v>2.2999999999999961E-2</v>
      </c>
    </row>
    <row r="748" spans="1:29" x14ac:dyDescent="0.3">
      <c r="A748" s="2">
        <v>684</v>
      </c>
      <c r="B748" s="1">
        <v>40574</v>
      </c>
      <c r="C748" s="2">
        <v>1</v>
      </c>
      <c r="D748" s="2">
        <v>19</v>
      </c>
      <c r="E748" t="b">
        <v>0</v>
      </c>
      <c r="F748" s="2">
        <v>1</v>
      </c>
      <c r="G748" s="2">
        <v>1</v>
      </c>
      <c r="H748" s="23">
        <v>0.3</v>
      </c>
      <c r="I748" s="25">
        <v>0.31819999999999998</v>
      </c>
      <c r="J748" s="23">
        <v>0.61</v>
      </c>
      <c r="K748" s="25">
        <v>0.1045</v>
      </c>
      <c r="L748" s="2">
        <v>3</v>
      </c>
      <c r="M748" s="2">
        <v>108</v>
      </c>
      <c r="N748" s="2">
        <v>111</v>
      </c>
      <c r="O748" t="s">
        <v>29</v>
      </c>
      <c r="P748" t="s">
        <v>54</v>
      </c>
      <c r="Q748" t="s">
        <v>31</v>
      </c>
      <c r="R748" t="s">
        <v>50</v>
      </c>
      <c r="S748" t="s">
        <v>44</v>
      </c>
      <c r="T748" t="s">
        <v>49</v>
      </c>
      <c r="U748" t="s">
        <v>35</v>
      </c>
      <c r="V748" t="s">
        <v>36</v>
      </c>
      <c r="W748" t="s">
        <v>37</v>
      </c>
      <c r="X748" s="24">
        <v>2.7027027027027031</v>
      </c>
      <c r="Y748" s="24">
        <v>97.297297297297305</v>
      </c>
      <c r="Z748" t="s">
        <v>40</v>
      </c>
      <c r="AA748" t="s">
        <v>49</v>
      </c>
      <c r="AB748" t="s">
        <v>38</v>
      </c>
      <c r="AC748" s="24">
        <v>1.819999999999999E-2</v>
      </c>
    </row>
    <row r="749" spans="1:29" x14ac:dyDescent="0.3">
      <c r="A749" s="2">
        <v>825</v>
      </c>
      <c r="B749" s="1">
        <v>40580</v>
      </c>
      <c r="C749" s="2">
        <v>1</v>
      </c>
      <c r="D749" s="2">
        <v>19</v>
      </c>
      <c r="E749" t="b">
        <v>0</v>
      </c>
      <c r="F749" s="2">
        <v>0</v>
      </c>
      <c r="G749" s="2">
        <v>1</v>
      </c>
      <c r="H749" s="23">
        <v>0.28000000000000003</v>
      </c>
      <c r="I749" s="25">
        <v>0.28789999999999999</v>
      </c>
      <c r="J749" s="23">
        <v>0.61</v>
      </c>
      <c r="K749" s="25">
        <v>0.1343</v>
      </c>
      <c r="L749" s="2">
        <v>1</v>
      </c>
      <c r="M749" s="2">
        <v>20</v>
      </c>
      <c r="N749" s="2">
        <v>21</v>
      </c>
      <c r="O749" t="s">
        <v>29</v>
      </c>
      <c r="P749" t="s">
        <v>52</v>
      </c>
      <c r="Q749" t="s">
        <v>31</v>
      </c>
      <c r="R749" t="s">
        <v>50</v>
      </c>
      <c r="S749" t="s">
        <v>44</v>
      </c>
      <c r="T749" t="s">
        <v>49</v>
      </c>
      <c r="U749" t="s">
        <v>35</v>
      </c>
      <c r="V749" t="s">
        <v>36</v>
      </c>
      <c r="W749" t="s">
        <v>37</v>
      </c>
      <c r="X749" s="24">
        <v>4.7619047619047619</v>
      </c>
      <c r="Y749" s="24">
        <v>95.238095238095227</v>
      </c>
      <c r="Z749" t="s">
        <v>40</v>
      </c>
      <c r="AA749" t="s">
        <v>39</v>
      </c>
      <c r="AB749" t="s">
        <v>40</v>
      </c>
      <c r="AC749" s="24">
        <v>7.8999999999999626E-3</v>
      </c>
    </row>
    <row r="750" spans="1:29" x14ac:dyDescent="0.3">
      <c r="A750" s="2">
        <v>749</v>
      </c>
      <c r="B750" s="1">
        <v>40577</v>
      </c>
      <c r="C750" s="2">
        <v>1</v>
      </c>
      <c r="D750" s="2">
        <v>14</v>
      </c>
      <c r="E750" t="b">
        <v>0</v>
      </c>
      <c r="F750" s="2">
        <v>4</v>
      </c>
      <c r="G750" s="2">
        <v>1</v>
      </c>
      <c r="H750" s="23">
        <v>0.22</v>
      </c>
      <c r="I750" s="25">
        <v>0.19700000000000001</v>
      </c>
      <c r="J750" s="23">
        <v>0.37</v>
      </c>
      <c r="K750" s="25">
        <v>0.3881</v>
      </c>
      <c r="L750" s="2">
        <v>4</v>
      </c>
      <c r="M750" s="2">
        <v>43</v>
      </c>
      <c r="N750" s="2">
        <v>47</v>
      </c>
      <c r="O750" t="s">
        <v>29</v>
      </c>
      <c r="P750" t="s">
        <v>58</v>
      </c>
      <c r="Q750" t="s">
        <v>31</v>
      </c>
      <c r="R750" t="s">
        <v>47</v>
      </c>
      <c r="S750" t="s">
        <v>33</v>
      </c>
      <c r="T750" t="s">
        <v>39</v>
      </c>
      <c r="U750" t="s">
        <v>53</v>
      </c>
      <c r="V750" t="s">
        <v>36</v>
      </c>
      <c r="W750" t="s">
        <v>37</v>
      </c>
      <c r="X750" s="24">
        <v>8.5106382978723403</v>
      </c>
      <c r="Y750" s="24">
        <v>91.489361702127653</v>
      </c>
      <c r="Z750" t="s">
        <v>38</v>
      </c>
      <c r="AA750" t="s">
        <v>39</v>
      </c>
      <c r="AB750" t="s">
        <v>38</v>
      </c>
      <c r="AC750" s="24">
        <v>-2.2999999999999989E-2</v>
      </c>
    </row>
    <row r="751" spans="1:29" x14ac:dyDescent="0.3">
      <c r="A751" s="2">
        <v>750</v>
      </c>
      <c r="B751" s="1">
        <v>40577</v>
      </c>
      <c r="C751" s="2">
        <v>1</v>
      </c>
      <c r="D751" s="2">
        <v>15</v>
      </c>
      <c r="E751" t="b">
        <v>0</v>
      </c>
      <c r="F751" s="2">
        <v>4</v>
      </c>
      <c r="G751" s="2">
        <v>1</v>
      </c>
      <c r="H751" s="23">
        <v>0.22</v>
      </c>
      <c r="I751" s="25">
        <v>0.19700000000000001</v>
      </c>
      <c r="J751" s="23">
        <v>0.37</v>
      </c>
      <c r="K751" s="25">
        <v>0.32840000000000003</v>
      </c>
      <c r="L751" s="2">
        <v>4</v>
      </c>
      <c r="M751" s="2">
        <v>56</v>
      </c>
      <c r="N751" s="2">
        <v>60</v>
      </c>
      <c r="O751" t="s">
        <v>29</v>
      </c>
      <c r="P751" t="s">
        <v>58</v>
      </c>
      <c r="Q751" t="s">
        <v>31</v>
      </c>
      <c r="R751" t="s">
        <v>47</v>
      </c>
      <c r="S751" t="s">
        <v>33</v>
      </c>
      <c r="T751" t="s">
        <v>39</v>
      </c>
      <c r="U751" t="s">
        <v>53</v>
      </c>
      <c r="V751" t="s">
        <v>36</v>
      </c>
      <c r="W751" t="s">
        <v>37</v>
      </c>
      <c r="X751" s="24">
        <v>6.666666666666667</v>
      </c>
      <c r="Y751" s="24">
        <v>93.333333333333329</v>
      </c>
      <c r="Z751" t="s">
        <v>38</v>
      </c>
      <c r="AA751" t="s">
        <v>39</v>
      </c>
      <c r="AB751" t="s">
        <v>38</v>
      </c>
      <c r="AC751" s="24">
        <v>-2.2999999999999989E-2</v>
      </c>
    </row>
    <row r="752" spans="1:29" x14ac:dyDescent="0.3">
      <c r="A752" s="2">
        <v>751</v>
      </c>
      <c r="B752" s="1">
        <v>40577</v>
      </c>
      <c r="C752" s="2">
        <v>1</v>
      </c>
      <c r="D752" s="2">
        <v>16</v>
      </c>
      <c r="E752" t="b">
        <v>0</v>
      </c>
      <c r="F752" s="2">
        <v>4</v>
      </c>
      <c r="G752" s="2">
        <v>1</v>
      </c>
      <c r="H752" s="23">
        <v>0.22</v>
      </c>
      <c r="I752" s="25">
        <v>0.21210000000000001</v>
      </c>
      <c r="J752" s="23">
        <v>0.37</v>
      </c>
      <c r="K752" s="25">
        <v>0.25369999999999998</v>
      </c>
      <c r="L752" s="2">
        <v>5</v>
      </c>
      <c r="M752" s="2">
        <v>73</v>
      </c>
      <c r="N752" s="2">
        <v>78</v>
      </c>
      <c r="O752" t="s">
        <v>29</v>
      </c>
      <c r="P752" t="s">
        <v>58</v>
      </c>
      <c r="Q752" t="s">
        <v>31</v>
      </c>
      <c r="R752" t="s">
        <v>47</v>
      </c>
      <c r="S752" t="s">
        <v>33</v>
      </c>
      <c r="T752" t="s">
        <v>39</v>
      </c>
      <c r="U752" t="s">
        <v>46</v>
      </c>
      <c r="V752" t="s">
        <v>36</v>
      </c>
      <c r="W752" t="s">
        <v>37</v>
      </c>
      <c r="X752" s="24">
        <v>6.4102564102564097</v>
      </c>
      <c r="Y752" s="24">
        <v>93.589743589743591</v>
      </c>
      <c r="Z752" t="s">
        <v>38</v>
      </c>
      <c r="AA752" t="s">
        <v>39</v>
      </c>
      <c r="AB752" t="s">
        <v>38</v>
      </c>
      <c r="AC752" s="24">
        <v>-7.8999999999999904E-3</v>
      </c>
    </row>
    <row r="753" spans="1:29" x14ac:dyDescent="0.3">
      <c r="A753" s="2">
        <v>826</v>
      </c>
      <c r="B753" s="1">
        <v>40580</v>
      </c>
      <c r="C753" s="2">
        <v>1</v>
      </c>
      <c r="D753" s="2">
        <v>20</v>
      </c>
      <c r="E753" t="b">
        <v>0</v>
      </c>
      <c r="F753" s="2">
        <v>0</v>
      </c>
      <c r="G753" s="2">
        <v>1</v>
      </c>
      <c r="H753" s="23">
        <v>0.28000000000000003</v>
      </c>
      <c r="I753" s="25">
        <v>0.28789999999999999</v>
      </c>
      <c r="J753" s="23">
        <v>0.61</v>
      </c>
      <c r="K753" s="25">
        <v>0.1045</v>
      </c>
      <c r="L753" s="2">
        <v>5</v>
      </c>
      <c r="M753" s="2">
        <v>21</v>
      </c>
      <c r="N753" s="2">
        <v>26</v>
      </c>
      <c r="O753" t="s">
        <v>29</v>
      </c>
      <c r="P753" t="s">
        <v>52</v>
      </c>
      <c r="Q753" t="s">
        <v>31</v>
      </c>
      <c r="R753" t="s">
        <v>50</v>
      </c>
      <c r="S753" t="s">
        <v>44</v>
      </c>
      <c r="T753" t="s">
        <v>49</v>
      </c>
      <c r="U753" t="s">
        <v>35</v>
      </c>
      <c r="V753" t="s">
        <v>36</v>
      </c>
      <c r="W753" t="s">
        <v>37</v>
      </c>
      <c r="X753" s="24">
        <v>19.23076923076923</v>
      </c>
      <c r="Y753" s="24">
        <v>80.769230769230774</v>
      </c>
      <c r="Z753" t="s">
        <v>38</v>
      </c>
      <c r="AA753" t="s">
        <v>39</v>
      </c>
      <c r="AB753" t="s">
        <v>40</v>
      </c>
      <c r="AC753" s="24">
        <v>7.8999999999999626E-3</v>
      </c>
    </row>
    <row r="754" spans="1:29" x14ac:dyDescent="0.3">
      <c r="A754" s="2">
        <v>421</v>
      </c>
      <c r="B754" s="1">
        <v>40562</v>
      </c>
      <c r="C754" s="2">
        <v>1</v>
      </c>
      <c r="D754" s="2">
        <v>13</v>
      </c>
      <c r="E754" t="b">
        <v>0</v>
      </c>
      <c r="F754" s="2">
        <v>3</v>
      </c>
      <c r="G754" s="2">
        <v>1</v>
      </c>
      <c r="H754" s="23">
        <v>0.4</v>
      </c>
      <c r="I754" s="25">
        <v>0.40910000000000002</v>
      </c>
      <c r="J754" s="23">
        <v>0.62</v>
      </c>
      <c r="K754" s="25">
        <v>0.28360000000000002</v>
      </c>
      <c r="L754" s="2">
        <v>11</v>
      </c>
      <c r="M754" s="2">
        <v>67</v>
      </c>
      <c r="N754" s="2">
        <v>78</v>
      </c>
      <c r="O754" t="s">
        <v>29</v>
      </c>
      <c r="P754" t="s">
        <v>57</v>
      </c>
      <c r="Q754" t="s">
        <v>31</v>
      </c>
      <c r="R754" t="s">
        <v>47</v>
      </c>
      <c r="S754" t="s">
        <v>45</v>
      </c>
      <c r="T754" t="s">
        <v>49</v>
      </c>
      <c r="U754" t="s">
        <v>46</v>
      </c>
      <c r="V754" t="s">
        <v>36</v>
      </c>
      <c r="W754" t="s">
        <v>37</v>
      </c>
      <c r="X754" s="24">
        <v>14.1025641025641</v>
      </c>
      <c r="Y754" s="24">
        <v>85.897435897435898</v>
      </c>
      <c r="Z754" t="s">
        <v>38</v>
      </c>
      <c r="AA754" t="s">
        <v>39</v>
      </c>
      <c r="AB754" t="s">
        <v>38</v>
      </c>
      <c r="AC754" s="24">
        <v>9.099999999999997E-3</v>
      </c>
    </row>
    <row r="755" spans="1:29" x14ac:dyDescent="0.3">
      <c r="A755" s="2">
        <v>505</v>
      </c>
      <c r="B755" s="1">
        <v>40566</v>
      </c>
      <c r="C755" s="2">
        <v>1</v>
      </c>
      <c r="D755" s="2">
        <v>2</v>
      </c>
      <c r="E755" t="b">
        <v>0</v>
      </c>
      <c r="F755" s="2">
        <v>0</v>
      </c>
      <c r="G755" s="2">
        <v>1</v>
      </c>
      <c r="H755" s="23">
        <v>0.02</v>
      </c>
      <c r="I755" s="25">
        <v>6.0600000000000001E-2</v>
      </c>
      <c r="J755" s="23">
        <v>0.62</v>
      </c>
      <c r="K755" s="25">
        <v>0.1343</v>
      </c>
      <c r="L755" s="2">
        <v>3</v>
      </c>
      <c r="M755" s="2">
        <v>15</v>
      </c>
      <c r="N755" s="2">
        <v>18</v>
      </c>
      <c r="O755" t="s">
        <v>29</v>
      </c>
      <c r="P755" t="s">
        <v>52</v>
      </c>
      <c r="Q755" t="s">
        <v>31</v>
      </c>
      <c r="R755" t="s">
        <v>32</v>
      </c>
      <c r="S755" t="s">
        <v>55</v>
      </c>
      <c r="T755" t="s">
        <v>49</v>
      </c>
      <c r="U755" t="s">
        <v>35</v>
      </c>
      <c r="V755" t="s">
        <v>36</v>
      </c>
      <c r="W755" t="s">
        <v>37</v>
      </c>
      <c r="X755" s="24">
        <v>16.666666666666661</v>
      </c>
      <c r="Y755" s="24">
        <v>83.333333333333343</v>
      </c>
      <c r="Z755" t="s">
        <v>38</v>
      </c>
      <c r="AA755" t="s">
        <v>39</v>
      </c>
      <c r="AB755" t="s">
        <v>40</v>
      </c>
      <c r="AC755" s="24">
        <v>4.0599999999999997E-2</v>
      </c>
    </row>
    <row r="756" spans="1:29" x14ac:dyDescent="0.3">
      <c r="A756" s="2">
        <v>506</v>
      </c>
      <c r="B756" s="1">
        <v>40566</v>
      </c>
      <c r="C756" s="2">
        <v>1</v>
      </c>
      <c r="D756" s="2">
        <v>3</v>
      </c>
      <c r="E756" t="b">
        <v>0</v>
      </c>
      <c r="F756" s="2">
        <v>0</v>
      </c>
      <c r="G756" s="2">
        <v>1</v>
      </c>
      <c r="H756" s="23">
        <v>0.02</v>
      </c>
      <c r="I756" s="25">
        <v>6.0600000000000001E-2</v>
      </c>
      <c r="J756" s="23">
        <v>0.62</v>
      </c>
      <c r="K756" s="25">
        <v>0.1343</v>
      </c>
      <c r="L756" s="2">
        <v>1</v>
      </c>
      <c r="M756" s="2">
        <v>4</v>
      </c>
      <c r="N756" s="2">
        <v>5</v>
      </c>
      <c r="O756" t="s">
        <v>29</v>
      </c>
      <c r="P756" t="s">
        <v>52</v>
      </c>
      <c r="Q756" t="s">
        <v>31</v>
      </c>
      <c r="R756" t="s">
        <v>32</v>
      </c>
      <c r="S756" t="s">
        <v>55</v>
      </c>
      <c r="T756" t="s">
        <v>49</v>
      </c>
      <c r="U756" t="s">
        <v>35</v>
      </c>
      <c r="V756" t="s">
        <v>36</v>
      </c>
      <c r="W756" t="s">
        <v>37</v>
      </c>
      <c r="X756" s="24">
        <v>20</v>
      </c>
      <c r="Y756" s="24">
        <v>80</v>
      </c>
      <c r="Z756" t="s">
        <v>38</v>
      </c>
      <c r="AA756" t="s">
        <v>39</v>
      </c>
      <c r="AB756" t="s">
        <v>40</v>
      </c>
      <c r="AC756" s="24">
        <v>4.0599999999999997E-2</v>
      </c>
    </row>
    <row r="757" spans="1:29" x14ac:dyDescent="0.3">
      <c r="A757" s="2">
        <v>510</v>
      </c>
      <c r="B757" s="1">
        <v>40566</v>
      </c>
      <c r="C757" s="2">
        <v>1</v>
      </c>
      <c r="D757" s="2">
        <v>8</v>
      </c>
      <c r="E757" t="b">
        <v>0</v>
      </c>
      <c r="F757" s="2">
        <v>0</v>
      </c>
      <c r="G757" s="2">
        <v>1</v>
      </c>
      <c r="H757" s="23">
        <v>0.06</v>
      </c>
      <c r="I757" s="25">
        <v>7.5800000000000006E-2</v>
      </c>
      <c r="J757" s="23">
        <v>0.62</v>
      </c>
      <c r="K757" s="25">
        <v>0.16420000000000001</v>
      </c>
      <c r="L757" s="2">
        <v>2</v>
      </c>
      <c r="M757" s="2">
        <v>17</v>
      </c>
      <c r="N757" s="2">
        <v>19</v>
      </c>
      <c r="O757" t="s">
        <v>29</v>
      </c>
      <c r="P757" t="s">
        <v>52</v>
      </c>
      <c r="Q757" t="s">
        <v>31</v>
      </c>
      <c r="R757" t="s">
        <v>42</v>
      </c>
      <c r="S757" t="s">
        <v>55</v>
      </c>
      <c r="T757" t="s">
        <v>49</v>
      </c>
      <c r="U757" t="s">
        <v>46</v>
      </c>
      <c r="V757" t="s">
        <v>36</v>
      </c>
      <c r="W757" t="s">
        <v>37</v>
      </c>
      <c r="X757" s="24">
        <v>10.52631578947368</v>
      </c>
      <c r="Y757" s="24">
        <v>89.473684210526315</v>
      </c>
      <c r="Z757" t="s">
        <v>40</v>
      </c>
      <c r="AA757" t="s">
        <v>39</v>
      </c>
      <c r="AB757" t="s">
        <v>40</v>
      </c>
      <c r="AC757" s="24">
        <v>1.5800000000000008E-2</v>
      </c>
    </row>
    <row r="758" spans="1:29" x14ac:dyDescent="0.3">
      <c r="A758" s="2">
        <v>842</v>
      </c>
      <c r="B758" s="1">
        <v>40581</v>
      </c>
      <c r="C758" s="2">
        <v>1</v>
      </c>
      <c r="D758" s="2">
        <v>12</v>
      </c>
      <c r="E758" t="b">
        <v>0</v>
      </c>
      <c r="F758" s="2">
        <v>1</v>
      </c>
      <c r="G758" s="2">
        <v>2</v>
      </c>
      <c r="H758" s="23">
        <v>0.32</v>
      </c>
      <c r="I758" s="25">
        <v>0.34849999999999998</v>
      </c>
      <c r="J758" s="23">
        <v>0.62</v>
      </c>
      <c r="K758" s="25">
        <v>0</v>
      </c>
      <c r="L758" s="2">
        <v>7</v>
      </c>
      <c r="M758" s="2">
        <v>59</v>
      </c>
      <c r="N758" s="2">
        <v>66</v>
      </c>
      <c r="O758" t="s">
        <v>29</v>
      </c>
      <c r="P758" t="s">
        <v>54</v>
      </c>
      <c r="Q758" t="s">
        <v>41</v>
      </c>
      <c r="R758" t="s">
        <v>47</v>
      </c>
      <c r="S758" t="s">
        <v>44</v>
      </c>
      <c r="T758" t="s">
        <v>49</v>
      </c>
      <c r="U758" t="s">
        <v>35</v>
      </c>
      <c r="V758" t="s">
        <v>36</v>
      </c>
      <c r="W758" t="s">
        <v>37</v>
      </c>
      <c r="X758" s="24">
        <v>10.606060606060611</v>
      </c>
      <c r="Y758" s="24">
        <v>89.393939393939391</v>
      </c>
      <c r="Z758" t="s">
        <v>38</v>
      </c>
      <c r="AA758" t="s">
        <v>39</v>
      </c>
      <c r="AB758" t="s">
        <v>38</v>
      </c>
      <c r="AC758" s="24">
        <v>2.849999999999997E-2</v>
      </c>
    </row>
    <row r="759" spans="1:29" x14ac:dyDescent="0.3">
      <c r="A759" s="2">
        <v>72</v>
      </c>
      <c r="B759" s="1">
        <v>40547</v>
      </c>
      <c r="C759" s="2">
        <v>1</v>
      </c>
      <c r="D759" s="2">
        <v>2</v>
      </c>
      <c r="E759" t="b">
        <v>0</v>
      </c>
      <c r="F759" s="2">
        <v>2</v>
      </c>
      <c r="G759" s="2">
        <v>1</v>
      </c>
      <c r="H759" s="23">
        <v>0.14000000000000001</v>
      </c>
      <c r="I759" s="25">
        <v>0.1515</v>
      </c>
      <c r="J759" s="23">
        <v>0.63</v>
      </c>
      <c r="K759" s="25">
        <v>0.1343</v>
      </c>
      <c r="L759" s="2">
        <v>0</v>
      </c>
      <c r="M759" s="2">
        <v>1</v>
      </c>
      <c r="N759" s="2">
        <v>1</v>
      </c>
      <c r="O759" t="s">
        <v>29</v>
      </c>
      <c r="P759" t="s">
        <v>56</v>
      </c>
      <c r="Q759" t="s">
        <v>31</v>
      </c>
      <c r="R759" t="s">
        <v>32</v>
      </c>
      <c r="S759" t="s">
        <v>55</v>
      </c>
      <c r="T759" t="s">
        <v>49</v>
      </c>
      <c r="U759" t="s">
        <v>35</v>
      </c>
      <c r="V759" t="s">
        <v>36</v>
      </c>
      <c r="W759" t="s">
        <v>37</v>
      </c>
      <c r="X759" s="24">
        <v>0</v>
      </c>
      <c r="Y759" s="24">
        <v>100</v>
      </c>
      <c r="Z759" t="s">
        <v>38</v>
      </c>
      <c r="AA759" t="s">
        <v>39</v>
      </c>
      <c r="AB759" t="s">
        <v>38</v>
      </c>
      <c r="AC759" s="24">
        <v>1.1499999999999981E-2</v>
      </c>
    </row>
    <row r="760" spans="1:29" x14ac:dyDescent="0.3">
      <c r="A760" s="2">
        <v>73</v>
      </c>
      <c r="B760" s="1">
        <v>40547</v>
      </c>
      <c r="C760" s="2">
        <v>1</v>
      </c>
      <c r="D760" s="2">
        <v>4</v>
      </c>
      <c r="E760" t="b">
        <v>0</v>
      </c>
      <c r="F760" s="2">
        <v>2</v>
      </c>
      <c r="G760" s="2">
        <v>1</v>
      </c>
      <c r="H760" s="23">
        <v>0.14000000000000001</v>
      </c>
      <c r="I760" s="25">
        <v>0.18179999999999999</v>
      </c>
      <c r="J760" s="23">
        <v>0.63</v>
      </c>
      <c r="K760" s="25">
        <v>8.9599999999999999E-2</v>
      </c>
      <c r="L760" s="2">
        <v>0</v>
      </c>
      <c r="M760" s="2">
        <v>2</v>
      </c>
      <c r="N760" s="2">
        <v>2</v>
      </c>
      <c r="O760" t="s">
        <v>29</v>
      </c>
      <c r="P760" t="s">
        <v>56</v>
      </c>
      <c r="Q760" t="s">
        <v>31</v>
      </c>
      <c r="R760" t="s">
        <v>32</v>
      </c>
      <c r="S760" t="s">
        <v>55</v>
      </c>
      <c r="T760" t="s">
        <v>49</v>
      </c>
      <c r="U760" t="s">
        <v>35</v>
      </c>
      <c r="V760" t="s">
        <v>36</v>
      </c>
      <c r="W760" t="s">
        <v>37</v>
      </c>
      <c r="X760" s="24">
        <v>0</v>
      </c>
      <c r="Y760" s="24">
        <v>100</v>
      </c>
      <c r="Z760" t="s">
        <v>38</v>
      </c>
      <c r="AA760" t="s">
        <v>39</v>
      </c>
      <c r="AB760" t="s">
        <v>38</v>
      </c>
      <c r="AC760" s="24">
        <v>4.1799999999999983E-2</v>
      </c>
    </row>
    <row r="761" spans="1:29" x14ac:dyDescent="0.3">
      <c r="A761" s="2">
        <v>121</v>
      </c>
      <c r="B761" s="1">
        <v>40549</v>
      </c>
      <c r="C761" s="2">
        <v>1</v>
      </c>
      <c r="D761" s="2">
        <v>6</v>
      </c>
      <c r="E761" t="b">
        <v>0</v>
      </c>
      <c r="F761" s="2">
        <v>4</v>
      </c>
      <c r="G761" s="2">
        <v>2</v>
      </c>
      <c r="H761" s="23">
        <v>0.14000000000000001</v>
      </c>
      <c r="I761" s="25">
        <v>0.16669999999999999</v>
      </c>
      <c r="J761" s="23">
        <v>0.63</v>
      </c>
      <c r="K761" s="25">
        <v>0.1045</v>
      </c>
      <c r="L761" s="2">
        <v>0</v>
      </c>
      <c r="M761" s="2">
        <v>36</v>
      </c>
      <c r="N761" s="2">
        <v>36</v>
      </c>
      <c r="O761" t="s">
        <v>29</v>
      </c>
      <c r="P761" t="s">
        <v>58</v>
      </c>
      <c r="Q761" t="s">
        <v>41</v>
      </c>
      <c r="R761" t="s">
        <v>42</v>
      </c>
      <c r="S761" t="s">
        <v>55</v>
      </c>
      <c r="T761" t="s">
        <v>49</v>
      </c>
      <c r="U761" t="s">
        <v>35</v>
      </c>
      <c r="V761" t="s">
        <v>36</v>
      </c>
      <c r="W761" t="s">
        <v>37</v>
      </c>
      <c r="X761" s="24">
        <v>0</v>
      </c>
      <c r="Y761" s="24">
        <v>100</v>
      </c>
      <c r="Z761" t="s">
        <v>38</v>
      </c>
      <c r="AA761" t="s">
        <v>39</v>
      </c>
      <c r="AB761" t="s">
        <v>38</v>
      </c>
      <c r="AC761" s="24">
        <v>2.669999999999997E-2</v>
      </c>
    </row>
    <row r="762" spans="1:29" x14ac:dyDescent="0.3">
      <c r="A762" s="2">
        <v>331</v>
      </c>
      <c r="B762" s="1">
        <v>40558</v>
      </c>
      <c r="C762" s="2">
        <v>1</v>
      </c>
      <c r="D762" s="2">
        <v>6</v>
      </c>
      <c r="E762" t="b">
        <v>0</v>
      </c>
      <c r="F762" s="2">
        <v>6</v>
      </c>
      <c r="G762" s="2">
        <v>1</v>
      </c>
      <c r="H762" s="23">
        <v>0.14000000000000001</v>
      </c>
      <c r="I762" s="25">
        <v>0.16669999999999999</v>
      </c>
      <c r="J762" s="23">
        <v>0.63</v>
      </c>
      <c r="K762" s="25">
        <v>0.1045</v>
      </c>
      <c r="L762" s="2">
        <v>1</v>
      </c>
      <c r="M762" s="2">
        <v>2</v>
      </c>
      <c r="N762" s="2">
        <v>3</v>
      </c>
      <c r="O762" t="s">
        <v>29</v>
      </c>
      <c r="P762" t="s">
        <v>30</v>
      </c>
      <c r="Q762" t="s">
        <v>31</v>
      </c>
      <c r="R762" t="s">
        <v>42</v>
      </c>
      <c r="S762" t="s">
        <v>55</v>
      </c>
      <c r="T762" t="s">
        <v>49</v>
      </c>
      <c r="U762" t="s">
        <v>35</v>
      </c>
      <c r="V762" t="s">
        <v>36</v>
      </c>
      <c r="W762" t="s">
        <v>37</v>
      </c>
      <c r="X762" s="24">
        <v>33.333333333333329</v>
      </c>
      <c r="Y762" s="24">
        <v>66.666666666666657</v>
      </c>
      <c r="Z762" t="s">
        <v>38</v>
      </c>
      <c r="AA762" t="s">
        <v>39</v>
      </c>
      <c r="AB762" t="s">
        <v>40</v>
      </c>
      <c r="AC762" s="24">
        <v>2.669999999999997E-2</v>
      </c>
    </row>
    <row r="763" spans="1:29" x14ac:dyDescent="0.3">
      <c r="A763" s="2">
        <v>332</v>
      </c>
      <c r="B763" s="1">
        <v>40558</v>
      </c>
      <c r="C763" s="2">
        <v>1</v>
      </c>
      <c r="D763" s="2">
        <v>7</v>
      </c>
      <c r="E763" t="b">
        <v>0</v>
      </c>
      <c r="F763" s="2">
        <v>6</v>
      </c>
      <c r="G763" s="2">
        <v>1</v>
      </c>
      <c r="H763" s="23">
        <v>0.14000000000000001</v>
      </c>
      <c r="I763" s="25">
        <v>0.21210000000000001</v>
      </c>
      <c r="J763" s="23">
        <v>0.63</v>
      </c>
      <c r="K763" s="25">
        <v>0</v>
      </c>
      <c r="L763" s="2">
        <v>1</v>
      </c>
      <c r="M763" s="2">
        <v>9</v>
      </c>
      <c r="N763" s="2">
        <v>10</v>
      </c>
      <c r="O763" t="s">
        <v>29</v>
      </c>
      <c r="P763" t="s">
        <v>30</v>
      </c>
      <c r="Q763" t="s">
        <v>31</v>
      </c>
      <c r="R763" t="s">
        <v>42</v>
      </c>
      <c r="S763" t="s">
        <v>55</v>
      </c>
      <c r="T763" t="s">
        <v>49</v>
      </c>
      <c r="U763" t="s">
        <v>35</v>
      </c>
      <c r="V763" t="s">
        <v>36</v>
      </c>
      <c r="W763" t="s">
        <v>37</v>
      </c>
      <c r="X763" s="24">
        <v>10</v>
      </c>
      <c r="Y763" s="24">
        <v>90</v>
      </c>
      <c r="Z763" t="s">
        <v>40</v>
      </c>
      <c r="AA763" t="s">
        <v>39</v>
      </c>
      <c r="AB763" t="s">
        <v>40</v>
      </c>
      <c r="AC763" s="24">
        <v>7.2099999999999997E-2</v>
      </c>
    </row>
    <row r="764" spans="1:29" x14ac:dyDescent="0.3">
      <c r="A764" s="2">
        <v>333</v>
      </c>
      <c r="B764" s="1">
        <v>40558</v>
      </c>
      <c r="C764" s="2">
        <v>1</v>
      </c>
      <c r="D764" s="2">
        <v>8</v>
      </c>
      <c r="E764" t="b">
        <v>0</v>
      </c>
      <c r="F764" s="2">
        <v>6</v>
      </c>
      <c r="G764" s="2">
        <v>1</v>
      </c>
      <c r="H764" s="23">
        <v>0.14000000000000001</v>
      </c>
      <c r="I764" s="25">
        <v>0.1515</v>
      </c>
      <c r="J764" s="23">
        <v>0.63</v>
      </c>
      <c r="K764" s="25">
        <v>0.1343</v>
      </c>
      <c r="L764" s="2">
        <v>1</v>
      </c>
      <c r="M764" s="2">
        <v>22</v>
      </c>
      <c r="N764" s="2">
        <v>23</v>
      </c>
      <c r="O764" t="s">
        <v>29</v>
      </c>
      <c r="P764" t="s">
        <v>30</v>
      </c>
      <c r="Q764" t="s">
        <v>31</v>
      </c>
      <c r="R764" t="s">
        <v>42</v>
      </c>
      <c r="S764" t="s">
        <v>55</v>
      </c>
      <c r="T764" t="s">
        <v>49</v>
      </c>
      <c r="U764" t="s">
        <v>35</v>
      </c>
      <c r="V764" t="s">
        <v>36</v>
      </c>
      <c r="W764" t="s">
        <v>37</v>
      </c>
      <c r="X764" s="24">
        <v>4.3478260869565224</v>
      </c>
      <c r="Y764" s="24">
        <v>95.652173913043484</v>
      </c>
      <c r="Z764" t="s">
        <v>40</v>
      </c>
      <c r="AA764" t="s">
        <v>39</v>
      </c>
      <c r="AB764" t="s">
        <v>40</v>
      </c>
      <c r="AC764" s="24">
        <v>1.1499999999999981E-2</v>
      </c>
    </row>
    <row r="765" spans="1:29" x14ac:dyDescent="0.3">
      <c r="A765" s="2">
        <v>546</v>
      </c>
      <c r="B765" s="1">
        <v>40567</v>
      </c>
      <c r="C765" s="2">
        <v>1</v>
      </c>
      <c r="D765" s="2">
        <v>21</v>
      </c>
      <c r="E765" t="b">
        <v>0</v>
      </c>
      <c r="F765" s="2">
        <v>1</v>
      </c>
      <c r="G765" s="2">
        <v>1</v>
      </c>
      <c r="H765" s="23">
        <v>0.14000000000000001</v>
      </c>
      <c r="I765" s="25">
        <v>0.1515</v>
      </c>
      <c r="J765" s="23">
        <v>0.63</v>
      </c>
      <c r="K765" s="25">
        <v>0.16420000000000001</v>
      </c>
      <c r="L765" s="2">
        <v>6</v>
      </c>
      <c r="M765" s="2">
        <v>53</v>
      </c>
      <c r="N765" s="2">
        <v>59</v>
      </c>
      <c r="O765" t="s">
        <v>29</v>
      </c>
      <c r="P765" t="s">
        <v>54</v>
      </c>
      <c r="Q765" t="s">
        <v>31</v>
      </c>
      <c r="R765" t="s">
        <v>32</v>
      </c>
      <c r="S765" t="s">
        <v>55</v>
      </c>
      <c r="T765" t="s">
        <v>49</v>
      </c>
      <c r="U765" t="s">
        <v>46</v>
      </c>
      <c r="V765" t="s">
        <v>36</v>
      </c>
      <c r="W765" t="s">
        <v>37</v>
      </c>
      <c r="X765" s="24">
        <v>10.16949152542373</v>
      </c>
      <c r="Y765" s="24">
        <v>89.830508474576277</v>
      </c>
      <c r="Z765" t="s">
        <v>38</v>
      </c>
      <c r="AA765" t="s">
        <v>39</v>
      </c>
      <c r="AB765" t="s">
        <v>38</v>
      </c>
      <c r="AC765" s="24">
        <v>1.1499999999999981E-2</v>
      </c>
    </row>
    <row r="766" spans="1:29" x14ac:dyDescent="0.3">
      <c r="A766" s="2">
        <v>547</v>
      </c>
      <c r="B766" s="1">
        <v>40567</v>
      </c>
      <c r="C766" s="2">
        <v>1</v>
      </c>
      <c r="D766" s="2">
        <v>22</v>
      </c>
      <c r="E766" t="b">
        <v>0</v>
      </c>
      <c r="F766" s="2">
        <v>1</v>
      </c>
      <c r="G766" s="2">
        <v>2</v>
      </c>
      <c r="H766" s="23">
        <v>0.14000000000000001</v>
      </c>
      <c r="I766" s="25">
        <v>0.13639999999999999</v>
      </c>
      <c r="J766" s="23">
        <v>0.63</v>
      </c>
      <c r="K766" s="25">
        <v>0.22389999999999999</v>
      </c>
      <c r="L766" s="2">
        <v>3</v>
      </c>
      <c r="M766" s="2">
        <v>32</v>
      </c>
      <c r="N766" s="2">
        <v>35</v>
      </c>
      <c r="O766" t="s">
        <v>29</v>
      </c>
      <c r="P766" t="s">
        <v>54</v>
      </c>
      <c r="Q766" t="s">
        <v>41</v>
      </c>
      <c r="R766" t="s">
        <v>32</v>
      </c>
      <c r="S766" t="s">
        <v>55</v>
      </c>
      <c r="T766" t="s">
        <v>49</v>
      </c>
      <c r="U766" t="s">
        <v>46</v>
      </c>
      <c r="V766" t="s">
        <v>36</v>
      </c>
      <c r="W766" t="s">
        <v>37</v>
      </c>
      <c r="X766" s="24">
        <v>8.5714285714285712</v>
      </c>
      <c r="Y766" s="24">
        <v>91.428571428571431</v>
      </c>
      <c r="Z766" t="s">
        <v>38</v>
      </c>
      <c r="AA766" t="s">
        <v>39</v>
      </c>
      <c r="AB766" t="s">
        <v>38</v>
      </c>
      <c r="AC766" s="24">
        <v>-3.6000000000000199E-3</v>
      </c>
    </row>
    <row r="767" spans="1:29" x14ac:dyDescent="0.3">
      <c r="A767" s="2">
        <v>766</v>
      </c>
      <c r="B767" s="1">
        <v>40578</v>
      </c>
      <c r="C767" s="2">
        <v>1</v>
      </c>
      <c r="D767" s="2">
        <v>8</v>
      </c>
      <c r="E767" t="b">
        <v>0</v>
      </c>
      <c r="F767" s="2">
        <v>5</v>
      </c>
      <c r="G767" s="2">
        <v>1</v>
      </c>
      <c r="H767" s="23">
        <v>0.14000000000000001</v>
      </c>
      <c r="I767" s="25">
        <v>0.1515</v>
      </c>
      <c r="J767" s="23">
        <v>0.74</v>
      </c>
      <c r="K767" s="25">
        <v>0.1343</v>
      </c>
      <c r="L767" s="2">
        <v>3</v>
      </c>
      <c r="M767" s="2">
        <v>217</v>
      </c>
      <c r="N767" s="2">
        <v>220</v>
      </c>
      <c r="O767" t="s">
        <v>29</v>
      </c>
      <c r="P767" t="s">
        <v>59</v>
      </c>
      <c r="Q767" t="s">
        <v>31</v>
      </c>
      <c r="R767" t="s">
        <v>42</v>
      </c>
      <c r="S767" t="s">
        <v>55</v>
      </c>
      <c r="T767" t="s">
        <v>34</v>
      </c>
      <c r="U767" t="s">
        <v>35</v>
      </c>
      <c r="V767" t="s">
        <v>36</v>
      </c>
      <c r="W767" t="s">
        <v>37</v>
      </c>
      <c r="X767" s="24">
        <v>1.363636363636364</v>
      </c>
      <c r="Y767" s="24">
        <v>98.636363636363626</v>
      </c>
      <c r="Z767" t="s">
        <v>40</v>
      </c>
      <c r="AA767" t="s">
        <v>49</v>
      </c>
      <c r="AB767" t="s">
        <v>38</v>
      </c>
      <c r="AC767" s="24">
        <v>1.1499999999999981E-2</v>
      </c>
    </row>
    <row r="768" spans="1:29" x14ac:dyDescent="0.3">
      <c r="A768" s="2">
        <v>767</v>
      </c>
      <c r="B768" s="1">
        <v>40578</v>
      </c>
      <c r="C768" s="2">
        <v>1</v>
      </c>
      <c r="D768" s="2">
        <v>9</v>
      </c>
      <c r="E768" t="b">
        <v>0</v>
      </c>
      <c r="F768" s="2">
        <v>5</v>
      </c>
      <c r="G768" s="2">
        <v>2</v>
      </c>
      <c r="H768" s="23">
        <v>0.16</v>
      </c>
      <c r="I768" s="25">
        <v>0.18179999999999999</v>
      </c>
      <c r="J768" s="23">
        <v>0.8</v>
      </c>
      <c r="K768" s="25">
        <v>0.1343</v>
      </c>
      <c r="L768" s="2">
        <v>3</v>
      </c>
      <c r="M768" s="2">
        <v>124</v>
      </c>
      <c r="N768" s="2">
        <v>127</v>
      </c>
      <c r="O768" t="s">
        <v>29</v>
      </c>
      <c r="P768" t="s">
        <v>59</v>
      </c>
      <c r="Q768" t="s">
        <v>41</v>
      </c>
      <c r="R768" t="s">
        <v>42</v>
      </c>
      <c r="S768" t="s">
        <v>33</v>
      </c>
      <c r="T768" t="s">
        <v>34</v>
      </c>
      <c r="U768" t="s">
        <v>35</v>
      </c>
      <c r="V768" t="s">
        <v>36</v>
      </c>
      <c r="W768" t="s">
        <v>37</v>
      </c>
      <c r="X768" s="24">
        <v>2.3622047244094491</v>
      </c>
      <c r="Y768" s="24">
        <v>97.637795275590548</v>
      </c>
      <c r="Z768" t="s">
        <v>40</v>
      </c>
      <c r="AA768" t="s">
        <v>49</v>
      </c>
      <c r="AB768" t="s">
        <v>38</v>
      </c>
      <c r="AC768" s="24">
        <v>2.179999999999999E-2</v>
      </c>
    </row>
    <row r="769" spans="1:29" x14ac:dyDescent="0.3">
      <c r="A769" s="2">
        <v>761</v>
      </c>
      <c r="B769" s="1">
        <v>40578</v>
      </c>
      <c r="C769" s="2">
        <v>1</v>
      </c>
      <c r="D769" s="2">
        <v>2</v>
      </c>
      <c r="E769" t="b">
        <v>0</v>
      </c>
      <c r="F769" s="2">
        <v>5</v>
      </c>
      <c r="G769" s="2">
        <v>2</v>
      </c>
      <c r="H769" s="23">
        <v>0.14000000000000001</v>
      </c>
      <c r="I769" s="25">
        <v>0.16669999999999999</v>
      </c>
      <c r="J769" s="23">
        <v>0.63</v>
      </c>
      <c r="K769" s="25">
        <v>0.1045</v>
      </c>
      <c r="L769" s="2">
        <v>0</v>
      </c>
      <c r="M769" s="2">
        <v>1</v>
      </c>
      <c r="N769" s="2">
        <v>1</v>
      </c>
      <c r="O769" t="s">
        <v>29</v>
      </c>
      <c r="P769" t="s">
        <v>59</v>
      </c>
      <c r="Q769" t="s">
        <v>41</v>
      </c>
      <c r="R769" t="s">
        <v>32</v>
      </c>
      <c r="S769" t="s">
        <v>55</v>
      </c>
      <c r="T769" t="s">
        <v>49</v>
      </c>
      <c r="U769" t="s">
        <v>35</v>
      </c>
      <c r="V769" t="s">
        <v>36</v>
      </c>
      <c r="W769" t="s">
        <v>37</v>
      </c>
      <c r="X769" s="24">
        <v>0</v>
      </c>
      <c r="Y769" s="24">
        <v>100</v>
      </c>
      <c r="Z769" t="s">
        <v>38</v>
      </c>
      <c r="AA769" t="s">
        <v>39</v>
      </c>
      <c r="AB769" t="s">
        <v>38</v>
      </c>
      <c r="AC769" s="24">
        <v>2.669999999999997E-2</v>
      </c>
    </row>
    <row r="770" spans="1:29" x14ac:dyDescent="0.3">
      <c r="A770" s="2">
        <v>762</v>
      </c>
      <c r="B770" s="1">
        <v>40578</v>
      </c>
      <c r="C770" s="2">
        <v>1</v>
      </c>
      <c r="D770" s="2">
        <v>3</v>
      </c>
      <c r="E770" t="b">
        <v>0</v>
      </c>
      <c r="F770" s="2">
        <v>5</v>
      </c>
      <c r="G770" s="2">
        <v>2</v>
      </c>
      <c r="H770" s="23">
        <v>0.14000000000000001</v>
      </c>
      <c r="I770" s="25">
        <v>0.16669999999999999</v>
      </c>
      <c r="J770" s="23">
        <v>0.63</v>
      </c>
      <c r="K770" s="25">
        <v>0.1045</v>
      </c>
      <c r="L770" s="2">
        <v>0</v>
      </c>
      <c r="M770" s="2">
        <v>1</v>
      </c>
      <c r="N770" s="2">
        <v>1</v>
      </c>
      <c r="O770" t="s">
        <v>29</v>
      </c>
      <c r="P770" t="s">
        <v>59</v>
      </c>
      <c r="Q770" t="s">
        <v>41</v>
      </c>
      <c r="R770" t="s">
        <v>32</v>
      </c>
      <c r="S770" t="s">
        <v>55</v>
      </c>
      <c r="T770" t="s">
        <v>49</v>
      </c>
      <c r="U770" t="s">
        <v>35</v>
      </c>
      <c r="V770" t="s">
        <v>36</v>
      </c>
      <c r="W770" t="s">
        <v>37</v>
      </c>
      <c r="X770" s="24">
        <v>0</v>
      </c>
      <c r="Y770" s="24">
        <v>100</v>
      </c>
      <c r="Z770" t="s">
        <v>38</v>
      </c>
      <c r="AA770" t="s">
        <v>39</v>
      </c>
      <c r="AB770" t="s">
        <v>38</v>
      </c>
      <c r="AC770" s="24">
        <v>2.669999999999997E-2</v>
      </c>
    </row>
    <row r="771" spans="1:29" x14ac:dyDescent="0.3">
      <c r="A771" s="2">
        <v>763</v>
      </c>
      <c r="B771" s="1">
        <v>40578</v>
      </c>
      <c r="C771" s="2">
        <v>1</v>
      </c>
      <c r="D771" s="2">
        <v>5</v>
      </c>
      <c r="E771" t="b">
        <v>0</v>
      </c>
      <c r="F771" s="2">
        <v>5</v>
      </c>
      <c r="G771" s="2">
        <v>2</v>
      </c>
      <c r="H771" s="23">
        <v>0.14000000000000001</v>
      </c>
      <c r="I771" s="25">
        <v>0.1515</v>
      </c>
      <c r="J771" s="23">
        <v>0.63</v>
      </c>
      <c r="K771" s="25">
        <v>0.1343</v>
      </c>
      <c r="L771" s="2">
        <v>0</v>
      </c>
      <c r="M771" s="2">
        <v>7</v>
      </c>
      <c r="N771" s="2">
        <v>7</v>
      </c>
      <c r="O771" t="s">
        <v>29</v>
      </c>
      <c r="P771" t="s">
        <v>59</v>
      </c>
      <c r="Q771" t="s">
        <v>41</v>
      </c>
      <c r="R771" t="s">
        <v>32</v>
      </c>
      <c r="S771" t="s">
        <v>55</v>
      </c>
      <c r="T771" t="s">
        <v>49</v>
      </c>
      <c r="U771" t="s">
        <v>35</v>
      </c>
      <c r="V771" t="s">
        <v>36</v>
      </c>
      <c r="W771" t="s">
        <v>37</v>
      </c>
      <c r="X771" s="24">
        <v>0</v>
      </c>
      <c r="Y771" s="24">
        <v>100</v>
      </c>
      <c r="Z771" t="s">
        <v>38</v>
      </c>
      <c r="AA771" t="s">
        <v>39</v>
      </c>
      <c r="AB771" t="s">
        <v>38</v>
      </c>
      <c r="AC771" s="24">
        <v>1.1499999999999981E-2</v>
      </c>
    </row>
    <row r="772" spans="1:29" x14ac:dyDescent="0.3">
      <c r="A772" s="2">
        <v>927</v>
      </c>
      <c r="B772" s="1">
        <v>40585</v>
      </c>
      <c r="C772" s="2">
        <v>1</v>
      </c>
      <c r="D772" s="2">
        <v>5</v>
      </c>
      <c r="E772" t="b">
        <v>0</v>
      </c>
      <c r="F772" s="2">
        <v>5</v>
      </c>
      <c r="G772" s="2">
        <v>1</v>
      </c>
      <c r="H772" s="23">
        <v>0.08</v>
      </c>
      <c r="I772" s="25">
        <v>0.1212</v>
      </c>
      <c r="J772" s="23">
        <v>0.63</v>
      </c>
      <c r="K772" s="25">
        <v>8.9599999999999999E-2</v>
      </c>
      <c r="L772" s="2">
        <v>0</v>
      </c>
      <c r="M772" s="2">
        <v>4</v>
      </c>
      <c r="N772" s="2">
        <v>4</v>
      </c>
      <c r="O772" t="s">
        <v>29</v>
      </c>
      <c r="P772" t="s">
        <v>59</v>
      </c>
      <c r="Q772" t="s">
        <v>31</v>
      </c>
      <c r="R772" t="s">
        <v>32</v>
      </c>
      <c r="S772" t="s">
        <v>55</v>
      </c>
      <c r="T772" t="s">
        <v>49</v>
      </c>
      <c r="U772" t="s">
        <v>35</v>
      </c>
      <c r="V772" t="s">
        <v>36</v>
      </c>
      <c r="W772" t="s">
        <v>37</v>
      </c>
      <c r="X772" s="24">
        <v>0</v>
      </c>
      <c r="Y772" s="24">
        <v>100</v>
      </c>
      <c r="Z772" t="s">
        <v>38</v>
      </c>
      <c r="AA772" t="s">
        <v>39</v>
      </c>
      <c r="AB772" t="s">
        <v>38</v>
      </c>
      <c r="AC772" s="24">
        <v>4.1200000000000001E-2</v>
      </c>
    </row>
    <row r="773" spans="1:29" x14ac:dyDescent="0.3">
      <c r="A773" s="2">
        <v>67</v>
      </c>
      <c r="B773" s="1">
        <v>40546</v>
      </c>
      <c r="C773" s="2">
        <v>1</v>
      </c>
      <c r="D773" s="2">
        <v>21</v>
      </c>
      <c r="E773" t="b">
        <v>0</v>
      </c>
      <c r="F773" s="2">
        <v>1</v>
      </c>
      <c r="G773" s="2">
        <v>1</v>
      </c>
      <c r="H773" s="23">
        <v>0.18</v>
      </c>
      <c r="I773" s="25">
        <v>0.19700000000000001</v>
      </c>
      <c r="J773" s="23">
        <v>0.64</v>
      </c>
      <c r="K773" s="25">
        <v>0.1343</v>
      </c>
      <c r="L773" s="2">
        <v>3</v>
      </c>
      <c r="M773" s="2">
        <v>49</v>
      </c>
      <c r="N773" s="2">
        <v>52</v>
      </c>
      <c r="O773" t="s">
        <v>29</v>
      </c>
      <c r="P773" t="s">
        <v>54</v>
      </c>
      <c r="Q773" t="s">
        <v>31</v>
      </c>
      <c r="R773" t="s">
        <v>32</v>
      </c>
      <c r="S773" t="s">
        <v>33</v>
      </c>
      <c r="T773" t="s">
        <v>49</v>
      </c>
      <c r="U773" t="s">
        <v>35</v>
      </c>
      <c r="V773" t="s">
        <v>36</v>
      </c>
      <c r="W773" t="s">
        <v>37</v>
      </c>
      <c r="X773" s="24">
        <v>5.7692307692307692</v>
      </c>
      <c r="Y773" s="24">
        <v>94.230769230769226</v>
      </c>
      <c r="Z773" t="s">
        <v>38</v>
      </c>
      <c r="AA773" t="s">
        <v>39</v>
      </c>
      <c r="AB773" t="s">
        <v>38</v>
      </c>
      <c r="AC773" s="24">
        <v>1.7000000000000019E-2</v>
      </c>
    </row>
    <row r="774" spans="1:29" x14ac:dyDescent="0.3">
      <c r="A774" s="2">
        <v>78</v>
      </c>
      <c r="B774" s="1">
        <v>40547</v>
      </c>
      <c r="C774" s="2">
        <v>1</v>
      </c>
      <c r="D774" s="2">
        <v>9</v>
      </c>
      <c r="E774" t="b">
        <v>0</v>
      </c>
      <c r="F774" s="2">
        <v>2</v>
      </c>
      <c r="G774" s="2">
        <v>1</v>
      </c>
      <c r="H774" s="23">
        <v>0.16</v>
      </c>
      <c r="I774" s="25">
        <v>0.1515</v>
      </c>
      <c r="J774" s="23">
        <v>0.64</v>
      </c>
      <c r="K774" s="25">
        <v>0.22389999999999999</v>
      </c>
      <c r="L774" s="2">
        <v>2</v>
      </c>
      <c r="M774" s="2">
        <v>98</v>
      </c>
      <c r="N774" s="2">
        <v>100</v>
      </c>
      <c r="O774" t="s">
        <v>29</v>
      </c>
      <c r="P774" t="s">
        <v>56</v>
      </c>
      <c r="Q774" t="s">
        <v>31</v>
      </c>
      <c r="R774" t="s">
        <v>42</v>
      </c>
      <c r="S774" t="s">
        <v>33</v>
      </c>
      <c r="T774" t="s">
        <v>49</v>
      </c>
      <c r="U774" t="s">
        <v>46</v>
      </c>
      <c r="V774" t="s">
        <v>36</v>
      </c>
      <c r="W774" t="s">
        <v>37</v>
      </c>
      <c r="X774" s="24">
        <v>2</v>
      </c>
      <c r="Y774" s="24">
        <v>98</v>
      </c>
      <c r="Z774" t="s">
        <v>40</v>
      </c>
      <c r="AA774" t="s">
        <v>49</v>
      </c>
      <c r="AB774" t="s">
        <v>38</v>
      </c>
      <c r="AC774" s="24">
        <v>-8.5000000000000075E-3</v>
      </c>
    </row>
    <row r="775" spans="1:29" x14ac:dyDescent="0.3">
      <c r="A775" s="2">
        <v>90</v>
      </c>
      <c r="B775" s="1">
        <v>40547</v>
      </c>
      <c r="C775" s="2">
        <v>1</v>
      </c>
      <c r="D775" s="2">
        <v>21</v>
      </c>
      <c r="E775" t="b">
        <v>0</v>
      </c>
      <c r="F775" s="2">
        <v>2</v>
      </c>
      <c r="G775" s="2">
        <v>1</v>
      </c>
      <c r="H775" s="23">
        <v>0.22</v>
      </c>
      <c r="I775" s="25">
        <v>0.2727</v>
      </c>
      <c r="J775" s="23">
        <v>0.64</v>
      </c>
      <c r="K775" s="25">
        <v>0</v>
      </c>
      <c r="L775" s="2">
        <v>0</v>
      </c>
      <c r="M775" s="2">
        <v>48</v>
      </c>
      <c r="N775" s="2">
        <v>48</v>
      </c>
      <c r="O775" t="s">
        <v>29</v>
      </c>
      <c r="P775" t="s">
        <v>56</v>
      </c>
      <c r="Q775" t="s">
        <v>31</v>
      </c>
      <c r="R775" t="s">
        <v>32</v>
      </c>
      <c r="S775" t="s">
        <v>33</v>
      </c>
      <c r="T775" t="s">
        <v>49</v>
      </c>
      <c r="U775" t="s">
        <v>35</v>
      </c>
      <c r="V775" t="s">
        <v>36</v>
      </c>
      <c r="W775" t="s">
        <v>37</v>
      </c>
      <c r="X775" s="24">
        <v>0</v>
      </c>
      <c r="Y775" s="24">
        <v>100</v>
      </c>
      <c r="Z775" t="s">
        <v>38</v>
      </c>
      <c r="AA775" t="s">
        <v>39</v>
      </c>
      <c r="AB775" t="s">
        <v>38</v>
      </c>
      <c r="AC775" s="24">
        <v>5.2699999999999997E-2</v>
      </c>
    </row>
    <row r="776" spans="1:29" x14ac:dyDescent="0.3">
      <c r="A776" s="2">
        <v>91</v>
      </c>
      <c r="B776" s="1">
        <v>40547</v>
      </c>
      <c r="C776" s="2">
        <v>1</v>
      </c>
      <c r="D776" s="2">
        <v>22</v>
      </c>
      <c r="E776" t="b">
        <v>0</v>
      </c>
      <c r="F776" s="2">
        <v>2</v>
      </c>
      <c r="G776" s="2">
        <v>1</v>
      </c>
      <c r="H776" s="23">
        <v>0.22</v>
      </c>
      <c r="I776" s="25">
        <v>0.2576</v>
      </c>
      <c r="J776" s="23">
        <v>0.64</v>
      </c>
      <c r="K776" s="25">
        <v>8.9599999999999999E-2</v>
      </c>
      <c r="L776" s="2">
        <v>1</v>
      </c>
      <c r="M776" s="2">
        <v>34</v>
      </c>
      <c r="N776" s="2">
        <v>35</v>
      </c>
      <c r="O776" t="s">
        <v>29</v>
      </c>
      <c r="P776" t="s">
        <v>56</v>
      </c>
      <c r="Q776" t="s">
        <v>31</v>
      </c>
      <c r="R776" t="s">
        <v>32</v>
      </c>
      <c r="S776" t="s">
        <v>33</v>
      </c>
      <c r="T776" t="s">
        <v>49</v>
      </c>
      <c r="U776" t="s">
        <v>35</v>
      </c>
      <c r="V776" t="s">
        <v>36</v>
      </c>
      <c r="W776" t="s">
        <v>37</v>
      </c>
      <c r="X776" s="24">
        <v>2.8571428571428572</v>
      </c>
      <c r="Y776" s="24">
        <v>97.142857142857139</v>
      </c>
      <c r="Z776" t="s">
        <v>38</v>
      </c>
      <c r="AA776" t="s">
        <v>39</v>
      </c>
      <c r="AB776" t="s">
        <v>38</v>
      </c>
      <c r="AC776" s="24">
        <v>3.7599999999999988E-2</v>
      </c>
    </row>
    <row r="777" spans="1:29" x14ac:dyDescent="0.3">
      <c r="A777" s="2">
        <v>93</v>
      </c>
      <c r="B777" s="1">
        <v>40548</v>
      </c>
      <c r="C777" s="2">
        <v>1</v>
      </c>
      <c r="D777" s="2">
        <v>0</v>
      </c>
      <c r="E777" t="b">
        <v>0</v>
      </c>
      <c r="F777" s="2">
        <v>3</v>
      </c>
      <c r="G777" s="2">
        <v>1</v>
      </c>
      <c r="H777" s="23">
        <v>0.2</v>
      </c>
      <c r="I777" s="25">
        <v>0.2576</v>
      </c>
      <c r="J777" s="23">
        <v>0.64</v>
      </c>
      <c r="K777" s="25">
        <v>0</v>
      </c>
      <c r="L777" s="2">
        <v>0</v>
      </c>
      <c r="M777" s="2">
        <v>6</v>
      </c>
      <c r="N777" s="2">
        <v>6</v>
      </c>
      <c r="O777" t="s">
        <v>29</v>
      </c>
      <c r="P777" t="s">
        <v>57</v>
      </c>
      <c r="Q777" t="s">
        <v>31</v>
      </c>
      <c r="R777" t="s">
        <v>32</v>
      </c>
      <c r="S777" t="s">
        <v>33</v>
      </c>
      <c r="T777" t="s">
        <v>49</v>
      </c>
      <c r="U777" t="s">
        <v>35</v>
      </c>
      <c r="V777" t="s">
        <v>36</v>
      </c>
      <c r="W777" t="s">
        <v>37</v>
      </c>
      <c r="X777" s="24">
        <v>0</v>
      </c>
      <c r="Y777" s="24">
        <v>100</v>
      </c>
      <c r="Z777" t="s">
        <v>38</v>
      </c>
      <c r="AA777" t="s">
        <v>39</v>
      </c>
      <c r="AB777" t="s">
        <v>38</v>
      </c>
      <c r="AC777" s="24">
        <v>5.7599999999999978E-2</v>
      </c>
    </row>
    <row r="778" spans="1:29" x14ac:dyDescent="0.3">
      <c r="A778" s="2">
        <v>117</v>
      </c>
      <c r="B778" s="1">
        <v>40549</v>
      </c>
      <c r="C778" s="2">
        <v>1</v>
      </c>
      <c r="D778" s="2">
        <v>1</v>
      </c>
      <c r="E778" t="b">
        <v>0</v>
      </c>
      <c r="F778" s="2">
        <v>4</v>
      </c>
      <c r="G778" s="2">
        <v>1</v>
      </c>
      <c r="H778" s="23">
        <v>0.16</v>
      </c>
      <c r="I778" s="25">
        <v>0.2273</v>
      </c>
      <c r="J778" s="23">
        <v>0.64</v>
      </c>
      <c r="K778" s="25">
        <v>0</v>
      </c>
      <c r="L778" s="2">
        <v>0</v>
      </c>
      <c r="M778" s="2">
        <v>4</v>
      </c>
      <c r="N778" s="2">
        <v>4</v>
      </c>
      <c r="O778" t="s">
        <v>29</v>
      </c>
      <c r="P778" t="s">
        <v>58</v>
      </c>
      <c r="Q778" t="s">
        <v>31</v>
      </c>
      <c r="R778" t="s">
        <v>32</v>
      </c>
      <c r="S778" t="s">
        <v>33</v>
      </c>
      <c r="T778" t="s">
        <v>49</v>
      </c>
      <c r="U778" t="s">
        <v>35</v>
      </c>
      <c r="V778" t="s">
        <v>36</v>
      </c>
      <c r="W778" t="s">
        <v>37</v>
      </c>
      <c r="X778" s="24">
        <v>0</v>
      </c>
      <c r="Y778" s="24">
        <v>100</v>
      </c>
      <c r="Z778" t="s">
        <v>38</v>
      </c>
      <c r="AA778" t="s">
        <v>39</v>
      </c>
      <c r="AB778" t="s">
        <v>38</v>
      </c>
      <c r="AC778" s="24">
        <v>6.7299999999999999E-2</v>
      </c>
    </row>
    <row r="779" spans="1:29" x14ac:dyDescent="0.3">
      <c r="A779" s="2">
        <v>118</v>
      </c>
      <c r="B779" s="1">
        <v>40549</v>
      </c>
      <c r="C779" s="2">
        <v>1</v>
      </c>
      <c r="D779" s="2">
        <v>2</v>
      </c>
      <c r="E779" t="b">
        <v>0</v>
      </c>
      <c r="F779" s="2">
        <v>4</v>
      </c>
      <c r="G779" s="2">
        <v>1</v>
      </c>
      <c r="H779" s="23">
        <v>0.16</v>
      </c>
      <c r="I779" s="25">
        <v>0.2273</v>
      </c>
      <c r="J779" s="23">
        <v>0.64</v>
      </c>
      <c r="K779" s="25">
        <v>0</v>
      </c>
      <c r="L779" s="2">
        <v>0</v>
      </c>
      <c r="M779" s="2">
        <v>2</v>
      </c>
      <c r="N779" s="2">
        <v>2</v>
      </c>
      <c r="O779" t="s">
        <v>29</v>
      </c>
      <c r="P779" t="s">
        <v>58</v>
      </c>
      <c r="Q779" t="s">
        <v>31</v>
      </c>
      <c r="R779" t="s">
        <v>32</v>
      </c>
      <c r="S779" t="s">
        <v>33</v>
      </c>
      <c r="T779" t="s">
        <v>49</v>
      </c>
      <c r="U779" t="s">
        <v>35</v>
      </c>
      <c r="V779" t="s">
        <v>36</v>
      </c>
      <c r="W779" t="s">
        <v>37</v>
      </c>
      <c r="X779" s="24">
        <v>0</v>
      </c>
      <c r="Y779" s="24">
        <v>100</v>
      </c>
      <c r="Z779" t="s">
        <v>38</v>
      </c>
      <c r="AA779" t="s">
        <v>39</v>
      </c>
      <c r="AB779" t="s">
        <v>38</v>
      </c>
      <c r="AC779" s="24">
        <v>6.7299999999999999E-2</v>
      </c>
    </row>
    <row r="780" spans="1:29" x14ac:dyDescent="0.3">
      <c r="A780" s="2">
        <v>779</v>
      </c>
      <c r="B780" s="1">
        <v>40578</v>
      </c>
      <c r="C780" s="2">
        <v>1</v>
      </c>
      <c r="D780" s="2">
        <v>21</v>
      </c>
      <c r="E780" t="b">
        <v>0</v>
      </c>
      <c r="F780" s="2">
        <v>5</v>
      </c>
      <c r="G780" s="2">
        <v>2</v>
      </c>
      <c r="H780" s="23">
        <v>0.24</v>
      </c>
      <c r="I780" s="25">
        <v>0.2424</v>
      </c>
      <c r="J780" s="23">
        <v>0.7</v>
      </c>
      <c r="K780" s="25">
        <v>0.16420000000000001</v>
      </c>
      <c r="L780" s="2">
        <v>2</v>
      </c>
      <c r="M780" s="2">
        <v>41</v>
      </c>
      <c r="N780" s="2">
        <v>43</v>
      </c>
      <c r="O780" t="s">
        <v>29</v>
      </c>
      <c r="P780" t="s">
        <v>59</v>
      </c>
      <c r="Q780" t="s">
        <v>41</v>
      </c>
      <c r="R780" t="s">
        <v>32</v>
      </c>
      <c r="S780" t="s">
        <v>33</v>
      </c>
      <c r="T780" t="s">
        <v>34</v>
      </c>
      <c r="U780" t="s">
        <v>46</v>
      </c>
      <c r="V780" t="s">
        <v>36</v>
      </c>
      <c r="W780" t="s">
        <v>37</v>
      </c>
      <c r="X780" s="24">
        <v>4.6511627906976747</v>
      </c>
      <c r="Y780" s="24">
        <v>95.348837209302332</v>
      </c>
      <c r="Z780" t="s">
        <v>38</v>
      </c>
      <c r="AA780" t="s">
        <v>39</v>
      </c>
      <c r="AB780" t="s">
        <v>38</v>
      </c>
      <c r="AC780" s="24">
        <v>2.4000000000000128E-3</v>
      </c>
    </row>
    <row r="781" spans="1:29" x14ac:dyDescent="0.3">
      <c r="A781" s="2">
        <v>119</v>
      </c>
      <c r="B781" s="1">
        <v>40549</v>
      </c>
      <c r="C781" s="2">
        <v>1</v>
      </c>
      <c r="D781" s="2">
        <v>4</v>
      </c>
      <c r="E781" t="b">
        <v>0</v>
      </c>
      <c r="F781" s="2">
        <v>4</v>
      </c>
      <c r="G781" s="2">
        <v>2</v>
      </c>
      <c r="H781" s="23">
        <v>0.16</v>
      </c>
      <c r="I781" s="25">
        <v>0.19700000000000001</v>
      </c>
      <c r="J781" s="23">
        <v>0.64</v>
      </c>
      <c r="K781" s="25">
        <v>8.9599999999999999E-2</v>
      </c>
      <c r="L781" s="2">
        <v>0</v>
      </c>
      <c r="M781" s="2">
        <v>1</v>
      </c>
      <c r="N781" s="2">
        <v>1</v>
      </c>
      <c r="O781" t="s">
        <v>29</v>
      </c>
      <c r="P781" t="s">
        <v>58</v>
      </c>
      <c r="Q781" t="s">
        <v>41</v>
      </c>
      <c r="R781" t="s">
        <v>32</v>
      </c>
      <c r="S781" t="s">
        <v>33</v>
      </c>
      <c r="T781" t="s">
        <v>49</v>
      </c>
      <c r="U781" t="s">
        <v>35</v>
      </c>
      <c r="V781" t="s">
        <v>36</v>
      </c>
      <c r="W781" t="s">
        <v>37</v>
      </c>
      <c r="X781" s="24">
        <v>0</v>
      </c>
      <c r="Y781" s="24">
        <v>100</v>
      </c>
      <c r="Z781" t="s">
        <v>38</v>
      </c>
      <c r="AA781" t="s">
        <v>39</v>
      </c>
      <c r="AB781" t="s">
        <v>38</v>
      </c>
      <c r="AC781" s="24">
        <v>3.7000000000000012E-2</v>
      </c>
    </row>
    <row r="782" spans="1:29" x14ac:dyDescent="0.3">
      <c r="A782" s="2">
        <v>781</v>
      </c>
      <c r="B782" s="1">
        <v>40578</v>
      </c>
      <c r="C782" s="2">
        <v>1</v>
      </c>
      <c r="D782" s="2">
        <v>23</v>
      </c>
      <c r="E782" t="b">
        <v>0</v>
      </c>
      <c r="F782" s="2">
        <v>5</v>
      </c>
      <c r="G782" s="2">
        <v>2</v>
      </c>
      <c r="H782" s="23">
        <v>0.24</v>
      </c>
      <c r="I782" s="25">
        <v>0.2424</v>
      </c>
      <c r="J782" s="23">
        <v>0.7</v>
      </c>
      <c r="K782" s="25">
        <v>0.1343</v>
      </c>
      <c r="L782" s="2">
        <v>1</v>
      </c>
      <c r="M782" s="2">
        <v>30</v>
      </c>
      <c r="N782" s="2">
        <v>31</v>
      </c>
      <c r="O782" t="s">
        <v>29</v>
      </c>
      <c r="P782" t="s">
        <v>59</v>
      </c>
      <c r="Q782" t="s">
        <v>41</v>
      </c>
      <c r="R782" t="s">
        <v>32</v>
      </c>
      <c r="S782" t="s">
        <v>33</v>
      </c>
      <c r="T782" t="s">
        <v>34</v>
      </c>
      <c r="U782" t="s">
        <v>35</v>
      </c>
      <c r="V782" t="s">
        <v>36</v>
      </c>
      <c r="W782" t="s">
        <v>37</v>
      </c>
      <c r="X782" s="24">
        <v>3.225806451612903</v>
      </c>
      <c r="Y782" s="24">
        <v>96.774193548387103</v>
      </c>
      <c r="Z782" t="s">
        <v>38</v>
      </c>
      <c r="AA782" t="s">
        <v>39</v>
      </c>
      <c r="AB782" t="s">
        <v>38</v>
      </c>
      <c r="AC782" s="24">
        <v>2.4000000000000128E-3</v>
      </c>
    </row>
    <row r="783" spans="1:29" x14ac:dyDescent="0.3">
      <c r="A783" s="2">
        <v>782</v>
      </c>
      <c r="B783" s="1">
        <v>40579</v>
      </c>
      <c r="C783" s="2">
        <v>1</v>
      </c>
      <c r="D783" s="2">
        <v>0</v>
      </c>
      <c r="E783" t="b">
        <v>0</v>
      </c>
      <c r="F783" s="2">
        <v>6</v>
      </c>
      <c r="G783" s="2">
        <v>2</v>
      </c>
      <c r="H783" s="23">
        <v>0.24</v>
      </c>
      <c r="I783" s="25">
        <v>0.2424</v>
      </c>
      <c r="J783" s="23">
        <v>0.7</v>
      </c>
      <c r="K783" s="25">
        <v>0.16420000000000001</v>
      </c>
      <c r="L783" s="2">
        <v>3</v>
      </c>
      <c r="M783" s="2">
        <v>36</v>
      </c>
      <c r="N783" s="2">
        <v>39</v>
      </c>
      <c r="O783" t="s">
        <v>29</v>
      </c>
      <c r="P783" t="s">
        <v>30</v>
      </c>
      <c r="Q783" t="s">
        <v>41</v>
      </c>
      <c r="R783" t="s">
        <v>32</v>
      </c>
      <c r="S783" t="s">
        <v>33</v>
      </c>
      <c r="T783" t="s">
        <v>34</v>
      </c>
      <c r="U783" t="s">
        <v>46</v>
      </c>
      <c r="V783" t="s">
        <v>36</v>
      </c>
      <c r="W783" t="s">
        <v>37</v>
      </c>
      <c r="X783" s="24">
        <v>7.6923076923076934</v>
      </c>
      <c r="Y783" s="24">
        <v>92.307692307692307</v>
      </c>
      <c r="Z783" t="s">
        <v>38</v>
      </c>
      <c r="AA783" t="s">
        <v>39</v>
      </c>
      <c r="AB783" t="s">
        <v>40</v>
      </c>
      <c r="AC783" s="24">
        <v>2.4000000000000128E-3</v>
      </c>
    </row>
    <row r="784" spans="1:29" x14ac:dyDescent="0.3">
      <c r="A784" s="2">
        <v>139</v>
      </c>
      <c r="B784" s="1">
        <v>40550</v>
      </c>
      <c r="C784" s="2">
        <v>1</v>
      </c>
      <c r="D784" s="2">
        <v>0</v>
      </c>
      <c r="E784" t="b">
        <v>0</v>
      </c>
      <c r="F784" s="2">
        <v>5</v>
      </c>
      <c r="G784" s="2">
        <v>2</v>
      </c>
      <c r="H784" s="23">
        <v>0.2</v>
      </c>
      <c r="I784" s="25">
        <v>0.19700000000000001</v>
      </c>
      <c r="J784" s="23">
        <v>0.64</v>
      </c>
      <c r="K784" s="25">
        <v>0.19400000000000001</v>
      </c>
      <c r="L784" s="2">
        <v>4</v>
      </c>
      <c r="M784" s="2">
        <v>13</v>
      </c>
      <c r="N784" s="2">
        <v>17</v>
      </c>
      <c r="O784" t="s">
        <v>29</v>
      </c>
      <c r="P784" t="s">
        <v>59</v>
      </c>
      <c r="Q784" t="s">
        <v>41</v>
      </c>
      <c r="R784" t="s">
        <v>32</v>
      </c>
      <c r="S784" t="s">
        <v>33</v>
      </c>
      <c r="T784" t="s">
        <v>49</v>
      </c>
      <c r="U784" t="s">
        <v>46</v>
      </c>
      <c r="V784" t="s">
        <v>36</v>
      </c>
      <c r="W784" t="s">
        <v>37</v>
      </c>
      <c r="X784" s="24">
        <v>23.52941176470588</v>
      </c>
      <c r="Y784" s="24">
        <v>76.470588235294116</v>
      </c>
      <c r="Z784" t="s">
        <v>38</v>
      </c>
      <c r="AA784" t="s">
        <v>39</v>
      </c>
      <c r="AB784" t="s">
        <v>38</v>
      </c>
      <c r="AC784" s="24">
        <v>-3.0000000000000031E-3</v>
      </c>
    </row>
    <row r="785" spans="1:29" x14ac:dyDescent="0.3">
      <c r="A785" s="2">
        <v>784</v>
      </c>
      <c r="B785" s="1">
        <v>40579</v>
      </c>
      <c r="C785" s="2">
        <v>1</v>
      </c>
      <c r="D785" s="2">
        <v>2</v>
      </c>
      <c r="E785" t="b">
        <v>0</v>
      </c>
      <c r="F785" s="2">
        <v>6</v>
      </c>
      <c r="G785" s="2">
        <v>2</v>
      </c>
      <c r="H785" s="23">
        <v>0.24</v>
      </c>
      <c r="I785" s="25">
        <v>0.2424</v>
      </c>
      <c r="J785" s="23">
        <v>0.75</v>
      </c>
      <c r="K785" s="25">
        <v>0.16420000000000001</v>
      </c>
      <c r="L785" s="2">
        <v>5</v>
      </c>
      <c r="M785" s="2">
        <v>12</v>
      </c>
      <c r="N785" s="2">
        <v>17</v>
      </c>
      <c r="O785" t="s">
        <v>29</v>
      </c>
      <c r="P785" t="s">
        <v>30</v>
      </c>
      <c r="Q785" t="s">
        <v>41</v>
      </c>
      <c r="R785" t="s">
        <v>32</v>
      </c>
      <c r="S785" t="s">
        <v>33</v>
      </c>
      <c r="T785" t="s">
        <v>34</v>
      </c>
      <c r="U785" t="s">
        <v>46</v>
      </c>
      <c r="V785" t="s">
        <v>36</v>
      </c>
      <c r="W785" t="s">
        <v>37</v>
      </c>
      <c r="X785" s="24">
        <v>29.411764705882359</v>
      </c>
      <c r="Y785" s="24">
        <v>70.588235294117652</v>
      </c>
      <c r="Z785" t="s">
        <v>38</v>
      </c>
      <c r="AA785" t="s">
        <v>39</v>
      </c>
      <c r="AB785" t="s">
        <v>40</v>
      </c>
      <c r="AC785" s="24">
        <v>2.4000000000000128E-3</v>
      </c>
    </row>
    <row r="786" spans="1:29" x14ac:dyDescent="0.3">
      <c r="A786" s="2">
        <v>785</v>
      </c>
      <c r="B786" s="1">
        <v>40579</v>
      </c>
      <c r="C786" s="2">
        <v>1</v>
      </c>
      <c r="D786" s="2">
        <v>3</v>
      </c>
      <c r="E786" t="b">
        <v>0</v>
      </c>
      <c r="F786" s="2">
        <v>6</v>
      </c>
      <c r="G786" s="2">
        <v>2</v>
      </c>
      <c r="H786" s="23">
        <v>0.24</v>
      </c>
      <c r="I786" s="25">
        <v>0.2424</v>
      </c>
      <c r="J786" s="23">
        <v>0.75</v>
      </c>
      <c r="K786" s="25">
        <v>0.16420000000000001</v>
      </c>
      <c r="L786" s="2">
        <v>1</v>
      </c>
      <c r="M786" s="2">
        <v>10</v>
      </c>
      <c r="N786" s="2">
        <v>11</v>
      </c>
      <c r="O786" t="s">
        <v>29</v>
      </c>
      <c r="P786" t="s">
        <v>30</v>
      </c>
      <c r="Q786" t="s">
        <v>41</v>
      </c>
      <c r="R786" t="s">
        <v>32</v>
      </c>
      <c r="S786" t="s">
        <v>33</v>
      </c>
      <c r="T786" t="s">
        <v>34</v>
      </c>
      <c r="U786" t="s">
        <v>46</v>
      </c>
      <c r="V786" t="s">
        <v>36</v>
      </c>
      <c r="W786" t="s">
        <v>37</v>
      </c>
      <c r="X786" s="24">
        <v>9.0909090909090917</v>
      </c>
      <c r="Y786" s="24">
        <v>90.909090909090907</v>
      </c>
      <c r="Z786" t="s">
        <v>38</v>
      </c>
      <c r="AA786" t="s">
        <v>39</v>
      </c>
      <c r="AB786" t="s">
        <v>40</v>
      </c>
      <c r="AC786" s="24">
        <v>2.4000000000000128E-3</v>
      </c>
    </row>
    <row r="787" spans="1:29" x14ac:dyDescent="0.3">
      <c r="A787" s="2">
        <v>786</v>
      </c>
      <c r="B787" s="1">
        <v>40579</v>
      </c>
      <c r="C787" s="2">
        <v>1</v>
      </c>
      <c r="D787" s="2">
        <v>4</v>
      </c>
      <c r="E787" t="b">
        <v>0</v>
      </c>
      <c r="F787" s="2">
        <v>6</v>
      </c>
      <c r="G787" s="2">
        <v>3</v>
      </c>
      <c r="H787" s="23">
        <v>0.22</v>
      </c>
      <c r="I787" s="25">
        <v>0.2273</v>
      </c>
      <c r="J787" s="23">
        <v>0.93</v>
      </c>
      <c r="K787" s="25">
        <v>0.1343</v>
      </c>
      <c r="L787" s="2">
        <v>0</v>
      </c>
      <c r="M787" s="2">
        <v>8</v>
      </c>
      <c r="N787" s="2">
        <v>8</v>
      </c>
      <c r="O787" t="s">
        <v>29</v>
      </c>
      <c r="P787" t="s">
        <v>30</v>
      </c>
      <c r="Q787" t="s">
        <v>51</v>
      </c>
      <c r="R787" t="s">
        <v>32</v>
      </c>
      <c r="S787" t="s">
        <v>33</v>
      </c>
      <c r="T787" t="s">
        <v>34</v>
      </c>
      <c r="U787" t="s">
        <v>35</v>
      </c>
      <c r="V787" t="s">
        <v>36</v>
      </c>
      <c r="W787" t="s">
        <v>37</v>
      </c>
      <c r="X787" s="24">
        <v>0</v>
      </c>
      <c r="Y787" s="24">
        <v>100</v>
      </c>
      <c r="Z787" t="s">
        <v>38</v>
      </c>
      <c r="AA787" t="s">
        <v>39</v>
      </c>
      <c r="AB787" t="s">
        <v>40</v>
      </c>
      <c r="AC787" s="24">
        <v>7.3000000000000009E-3</v>
      </c>
    </row>
    <row r="788" spans="1:29" x14ac:dyDescent="0.3">
      <c r="A788" s="2">
        <v>787</v>
      </c>
      <c r="B788" s="1">
        <v>40579</v>
      </c>
      <c r="C788" s="2">
        <v>1</v>
      </c>
      <c r="D788" s="2">
        <v>5</v>
      </c>
      <c r="E788" t="b">
        <v>0</v>
      </c>
      <c r="F788" s="2">
        <v>6</v>
      </c>
      <c r="G788" s="2">
        <v>3</v>
      </c>
      <c r="H788" s="23">
        <v>0.2</v>
      </c>
      <c r="I788" s="25">
        <v>0.2273</v>
      </c>
      <c r="J788" s="23">
        <v>1</v>
      </c>
      <c r="K788" s="25">
        <v>8.9599999999999999E-2</v>
      </c>
      <c r="L788" s="2">
        <v>0</v>
      </c>
      <c r="M788" s="2">
        <v>9</v>
      </c>
      <c r="N788" s="2">
        <v>9</v>
      </c>
      <c r="O788" t="s">
        <v>29</v>
      </c>
      <c r="P788" t="s">
        <v>30</v>
      </c>
      <c r="Q788" t="s">
        <v>51</v>
      </c>
      <c r="R788" t="s">
        <v>32</v>
      </c>
      <c r="S788" t="s">
        <v>33</v>
      </c>
      <c r="T788" t="s">
        <v>34</v>
      </c>
      <c r="U788" t="s">
        <v>35</v>
      </c>
      <c r="V788" t="s">
        <v>36</v>
      </c>
      <c r="W788" t="s">
        <v>37</v>
      </c>
      <c r="X788" s="24">
        <v>0</v>
      </c>
      <c r="Y788" s="24">
        <v>100</v>
      </c>
      <c r="Z788" t="s">
        <v>38</v>
      </c>
      <c r="AA788" t="s">
        <v>39</v>
      </c>
      <c r="AB788" t="s">
        <v>40</v>
      </c>
      <c r="AC788" s="24">
        <v>2.7299999999999991E-2</v>
      </c>
    </row>
    <row r="789" spans="1:29" x14ac:dyDescent="0.3">
      <c r="A789" s="2">
        <v>788</v>
      </c>
      <c r="B789" s="1">
        <v>40579</v>
      </c>
      <c r="C789" s="2">
        <v>1</v>
      </c>
      <c r="D789" s="2">
        <v>6</v>
      </c>
      <c r="E789" t="b">
        <v>0</v>
      </c>
      <c r="F789" s="2">
        <v>6</v>
      </c>
      <c r="G789" s="2">
        <v>3</v>
      </c>
      <c r="H789" s="23">
        <v>0.2</v>
      </c>
      <c r="I789" s="25">
        <v>0.2576</v>
      </c>
      <c r="J789" s="23">
        <v>1</v>
      </c>
      <c r="K789" s="25">
        <v>0</v>
      </c>
      <c r="L789" s="2">
        <v>0</v>
      </c>
      <c r="M789" s="2">
        <v>4</v>
      </c>
      <c r="N789" s="2">
        <v>4</v>
      </c>
      <c r="O789" t="s">
        <v>29</v>
      </c>
      <c r="P789" t="s">
        <v>30</v>
      </c>
      <c r="Q789" t="s">
        <v>51</v>
      </c>
      <c r="R789" t="s">
        <v>42</v>
      </c>
      <c r="S789" t="s">
        <v>33</v>
      </c>
      <c r="T789" t="s">
        <v>34</v>
      </c>
      <c r="U789" t="s">
        <v>35</v>
      </c>
      <c r="V789" t="s">
        <v>36</v>
      </c>
      <c r="W789" t="s">
        <v>37</v>
      </c>
      <c r="X789" s="24">
        <v>0</v>
      </c>
      <c r="Y789" s="24">
        <v>100</v>
      </c>
      <c r="Z789" t="s">
        <v>38</v>
      </c>
      <c r="AA789" t="s">
        <v>39</v>
      </c>
      <c r="AB789" t="s">
        <v>40</v>
      </c>
      <c r="AC789" s="24">
        <v>5.7599999999999978E-2</v>
      </c>
    </row>
    <row r="790" spans="1:29" x14ac:dyDescent="0.3">
      <c r="A790" s="2">
        <v>789</v>
      </c>
      <c r="B790" s="1">
        <v>40579</v>
      </c>
      <c r="C790" s="2">
        <v>1</v>
      </c>
      <c r="D790" s="2">
        <v>7</v>
      </c>
      <c r="E790" t="b">
        <v>0</v>
      </c>
      <c r="F790" s="2">
        <v>6</v>
      </c>
      <c r="G790" s="2">
        <v>3</v>
      </c>
      <c r="H790" s="23">
        <v>0.22</v>
      </c>
      <c r="I790" s="25">
        <v>0.2576</v>
      </c>
      <c r="J790" s="23">
        <v>0.93</v>
      </c>
      <c r="K790" s="25">
        <v>8.9599999999999999E-2</v>
      </c>
      <c r="L790" s="2">
        <v>0</v>
      </c>
      <c r="M790" s="2">
        <v>4</v>
      </c>
      <c r="N790" s="2">
        <v>4</v>
      </c>
      <c r="O790" t="s">
        <v>29</v>
      </c>
      <c r="P790" t="s">
        <v>30</v>
      </c>
      <c r="Q790" t="s">
        <v>51</v>
      </c>
      <c r="R790" t="s">
        <v>42</v>
      </c>
      <c r="S790" t="s">
        <v>33</v>
      </c>
      <c r="T790" t="s">
        <v>34</v>
      </c>
      <c r="U790" t="s">
        <v>35</v>
      </c>
      <c r="V790" t="s">
        <v>36</v>
      </c>
      <c r="W790" t="s">
        <v>37</v>
      </c>
      <c r="X790" s="24">
        <v>0</v>
      </c>
      <c r="Y790" s="24">
        <v>100</v>
      </c>
      <c r="Z790" t="s">
        <v>40</v>
      </c>
      <c r="AA790" t="s">
        <v>39</v>
      </c>
      <c r="AB790" t="s">
        <v>40</v>
      </c>
      <c r="AC790" s="24">
        <v>3.7599999999999988E-2</v>
      </c>
    </row>
    <row r="791" spans="1:29" x14ac:dyDescent="0.3">
      <c r="A791" s="2">
        <v>790</v>
      </c>
      <c r="B791" s="1">
        <v>40579</v>
      </c>
      <c r="C791" s="2">
        <v>1</v>
      </c>
      <c r="D791" s="2">
        <v>8</v>
      </c>
      <c r="E791" t="b">
        <v>0</v>
      </c>
      <c r="F791" s="2">
        <v>6</v>
      </c>
      <c r="G791" s="2">
        <v>3</v>
      </c>
      <c r="H791" s="23">
        <v>0.2</v>
      </c>
      <c r="I791" s="25">
        <v>0.2273</v>
      </c>
      <c r="J791" s="23">
        <v>1</v>
      </c>
      <c r="K791" s="25">
        <v>8.9599999999999999E-2</v>
      </c>
      <c r="L791" s="2">
        <v>0</v>
      </c>
      <c r="M791" s="2">
        <v>10</v>
      </c>
      <c r="N791" s="2">
        <v>10</v>
      </c>
      <c r="O791" t="s">
        <v>29</v>
      </c>
      <c r="P791" t="s">
        <v>30</v>
      </c>
      <c r="Q791" t="s">
        <v>51</v>
      </c>
      <c r="R791" t="s">
        <v>42</v>
      </c>
      <c r="S791" t="s">
        <v>33</v>
      </c>
      <c r="T791" t="s">
        <v>34</v>
      </c>
      <c r="U791" t="s">
        <v>35</v>
      </c>
      <c r="V791" t="s">
        <v>36</v>
      </c>
      <c r="W791" t="s">
        <v>37</v>
      </c>
      <c r="X791" s="24">
        <v>0</v>
      </c>
      <c r="Y791" s="24">
        <v>100</v>
      </c>
      <c r="Z791" t="s">
        <v>40</v>
      </c>
      <c r="AA791" t="s">
        <v>39</v>
      </c>
      <c r="AB791" t="s">
        <v>40</v>
      </c>
      <c r="AC791" s="24">
        <v>2.7299999999999991E-2</v>
      </c>
    </row>
    <row r="792" spans="1:29" x14ac:dyDescent="0.3">
      <c r="A792" s="2">
        <v>791</v>
      </c>
      <c r="B792" s="1">
        <v>40579</v>
      </c>
      <c r="C792" s="2">
        <v>1</v>
      </c>
      <c r="D792" s="2">
        <v>9</v>
      </c>
      <c r="E792" t="b">
        <v>0</v>
      </c>
      <c r="F792" s="2">
        <v>6</v>
      </c>
      <c r="G792" s="2">
        <v>3</v>
      </c>
      <c r="H792" s="23">
        <v>0.2</v>
      </c>
      <c r="I792" s="25">
        <v>0.2273</v>
      </c>
      <c r="J792" s="23">
        <v>1</v>
      </c>
      <c r="K792" s="25">
        <v>8.9599999999999999E-2</v>
      </c>
      <c r="L792" s="2">
        <v>3</v>
      </c>
      <c r="M792" s="2">
        <v>17</v>
      </c>
      <c r="N792" s="2">
        <v>20</v>
      </c>
      <c r="O792" t="s">
        <v>29</v>
      </c>
      <c r="P792" t="s">
        <v>30</v>
      </c>
      <c r="Q792" t="s">
        <v>51</v>
      </c>
      <c r="R792" t="s">
        <v>42</v>
      </c>
      <c r="S792" t="s">
        <v>33</v>
      </c>
      <c r="T792" t="s">
        <v>34</v>
      </c>
      <c r="U792" t="s">
        <v>35</v>
      </c>
      <c r="V792" t="s">
        <v>36</v>
      </c>
      <c r="W792" t="s">
        <v>37</v>
      </c>
      <c r="X792" s="24">
        <v>15</v>
      </c>
      <c r="Y792" s="24">
        <v>85</v>
      </c>
      <c r="Z792" t="s">
        <v>40</v>
      </c>
      <c r="AA792" t="s">
        <v>39</v>
      </c>
      <c r="AB792" t="s">
        <v>40</v>
      </c>
      <c r="AC792" s="24">
        <v>2.7299999999999991E-2</v>
      </c>
    </row>
    <row r="793" spans="1:29" x14ac:dyDescent="0.3">
      <c r="A793" s="2">
        <v>792</v>
      </c>
      <c r="B793" s="1">
        <v>40579</v>
      </c>
      <c r="C793" s="2">
        <v>1</v>
      </c>
      <c r="D793" s="2">
        <v>10</v>
      </c>
      <c r="E793" t="b">
        <v>0</v>
      </c>
      <c r="F793" s="2">
        <v>6</v>
      </c>
      <c r="G793" s="2">
        <v>3</v>
      </c>
      <c r="H793" s="23">
        <v>0.2</v>
      </c>
      <c r="I793" s="25">
        <v>0.21210000000000001</v>
      </c>
      <c r="J793" s="23">
        <v>1</v>
      </c>
      <c r="K793" s="25">
        <v>0.1343</v>
      </c>
      <c r="L793" s="2">
        <v>3</v>
      </c>
      <c r="M793" s="2">
        <v>31</v>
      </c>
      <c r="N793" s="2">
        <v>34</v>
      </c>
      <c r="O793" t="s">
        <v>29</v>
      </c>
      <c r="P793" t="s">
        <v>30</v>
      </c>
      <c r="Q793" t="s">
        <v>51</v>
      </c>
      <c r="R793" t="s">
        <v>42</v>
      </c>
      <c r="S793" t="s">
        <v>33</v>
      </c>
      <c r="T793" t="s">
        <v>34</v>
      </c>
      <c r="U793" t="s">
        <v>35</v>
      </c>
      <c r="V793" t="s">
        <v>36</v>
      </c>
      <c r="W793" t="s">
        <v>37</v>
      </c>
      <c r="X793" s="24">
        <v>8.8235294117647065</v>
      </c>
      <c r="Y793" s="24">
        <v>91.17647058823529</v>
      </c>
      <c r="Z793" t="s">
        <v>38</v>
      </c>
      <c r="AA793" t="s">
        <v>39</v>
      </c>
      <c r="AB793" t="s">
        <v>40</v>
      </c>
      <c r="AC793" s="24">
        <v>1.21E-2</v>
      </c>
    </row>
    <row r="794" spans="1:29" x14ac:dyDescent="0.3">
      <c r="A794" s="2">
        <v>793</v>
      </c>
      <c r="B794" s="1">
        <v>40579</v>
      </c>
      <c r="C794" s="2">
        <v>1</v>
      </c>
      <c r="D794" s="2">
        <v>11</v>
      </c>
      <c r="E794" t="b">
        <v>0</v>
      </c>
      <c r="F794" s="2">
        <v>6</v>
      </c>
      <c r="G794" s="2">
        <v>3</v>
      </c>
      <c r="H794" s="23">
        <v>0.22</v>
      </c>
      <c r="I794" s="25">
        <v>0.2273</v>
      </c>
      <c r="J794" s="23">
        <v>1</v>
      </c>
      <c r="K794" s="25">
        <v>0.1343</v>
      </c>
      <c r="L794" s="2">
        <v>1</v>
      </c>
      <c r="M794" s="2">
        <v>46</v>
      </c>
      <c r="N794" s="2">
        <v>47</v>
      </c>
      <c r="O794" t="s">
        <v>29</v>
      </c>
      <c r="P794" t="s">
        <v>30</v>
      </c>
      <c r="Q794" t="s">
        <v>51</v>
      </c>
      <c r="R794" t="s">
        <v>42</v>
      </c>
      <c r="S794" t="s">
        <v>33</v>
      </c>
      <c r="T794" t="s">
        <v>34</v>
      </c>
      <c r="U794" t="s">
        <v>35</v>
      </c>
      <c r="V794" t="s">
        <v>36</v>
      </c>
      <c r="W794" t="s">
        <v>37</v>
      </c>
      <c r="X794" s="24">
        <v>2.1276595744680851</v>
      </c>
      <c r="Y794" s="24">
        <v>97.872340425531917</v>
      </c>
      <c r="Z794" t="s">
        <v>38</v>
      </c>
      <c r="AA794" t="s">
        <v>39</v>
      </c>
      <c r="AB794" t="s">
        <v>40</v>
      </c>
      <c r="AC794" s="24">
        <v>7.3000000000000009E-3</v>
      </c>
    </row>
    <row r="795" spans="1:29" x14ac:dyDescent="0.3">
      <c r="A795" s="2">
        <v>794</v>
      </c>
      <c r="B795" s="1">
        <v>40579</v>
      </c>
      <c r="C795" s="2">
        <v>1</v>
      </c>
      <c r="D795" s="2">
        <v>12</v>
      </c>
      <c r="E795" t="b">
        <v>0</v>
      </c>
      <c r="F795" s="2">
        <v>6</v>
      </c>
      <c r="G795" s="2">
        <v>3</v>
      </c>
      <c r="H795" s="23">
        <v>0.22</v>
      </c>
      <c r="I795" s="25">
        <v>0.2273</v>
      </c>
      <c r="J795" s="23">
        <v>1</v>
      </c>
      <c r="K795" s="25">
        <v>0.16420000000000001</v>
      </c>
      <c r="L795" s="2">
        <v>10</v>
      </c>
      <c r="M795" s="2">
        <v>42</v>
      </c>
      <c r="N795" s="2">
        <v>52</v>
      </c>
      <c r="O795" t="s">
        <v>29</v>
      </c>
      <c r="P795" t="s">
        <v>30</v>
      </c>
      <c r="Q795" t="s">
        <v>51</v>
      </c>
      <c r="R795" t="s">
        <v>47</v>
      </c>
      <c r="S795" t="s">
        <v>33</v>
      </c>
      <c r="T795" t="s">
        <v>34</v>
      </c>
      <c r="U795" t="s">
        <v>46</v>
      </c>
      <c r="V795" t="s">
        <v>36</v>
      </c>
      <c r="W795" t="s">
        <v>37</v>
      </c>
      <c r="X795" s="24">
        <v>19.23076923076923</v>
      </c>
      <c r="Y795" s="24">
        <v>80.769230769230774</v>
      </c>
      <c r="Z795" t="s">
        <v>38</v>
      </c>
      <c r="AA795" t="s">
        <v>39</v>
      </c>
      <c r="AB795" t="s">
        <v>40</v>
      </c>
      <c r="AC795" s="24">
        <v>7.3000000000000009E-3</v>
      </c>
    </row>
    <row r="796" spans="1:29" x14ac:dyDescent="0.3">
      <c r="A796" s="2">
        <v>795</v>
      </c>
      <c r="B796" s="1">
        <v>40579</v>
      </c>
      <c r="C796" s="2">
        <v>1</v>
      </c>
      <c r="D796" s="2">
        <v>13</v>
      </c>
      <c r="E796" t="b">
        <v>0</v>
      </c>
      <c r="F796" s="2">
        <v>6</v>
      </c>
      <c r="G796" s="2">
        <v>3</v>
      </c>
      <c r="H796" s="23">
        <v>0.22</v>
      </c>
      <c r="I796" s="25">
        <v>0.2273</v>
      </c>
      <c r="J796" s="23">
        <v>1</v>
      </c>
      <c r="K796" s="25">
        <v>0.16420000000000001</v>
      </c>
      <c r="L796" s="2">
        <v>10</v>
      </c>
      <c r="M796" s="2">
        <v>62</v>
      </c>
      <c r="N796" s="2">
        <v>72</v>
      </c>
      <c r="O796" t="s">
        <v>29</v>
      </c>
      <c r="P796" t="s">
        <v>30</v>
      </c>
      <c r="Q796" t="s">
        <v>51</v>
      </c>
      <c r="R796" t="s">
        <v>47</v>
      </c>
      <c r="S796" t="s">
        <v>33</v>
      </c>
      <c r="T796" t="s">
        <v>34</v>
      </c>
      <c r="U796" t="s">
        <v>46</v>
      </c>
      <c r="V796" t="s">
        <v>36</v>
      </c>
      <c r="W796" t="s">
        <v>37</v>
      </c>
      <c r="X796" s="24">
        <v>13.888888888888889</v>
      </c>
      <c r="Y796" s="24">
        <v>86.111111111111114</v>
      </c>
      <c r="Z796" t="s">
        <v>38</v>
      </c>
      <c r="AA796" t="s">
        <v>39</v>
      </c>
      <c r="AB796" t="s">
        <v>40</v>
      </c>
      <c r="AC796" s="24">
        <v>7.3000000000000009E-3</v>
      </c>
    </row>
    <row r="797" spans="1:29" x14ac:dyDescent="0.3">
      <c r="A797" s="2">
        <v>796</v>
      </c>
      <c r="B797" s="1">
        <v>40579</v>
      </c>
      <c r="C797" s="2">
        <v>1</v>
      </c>
      <c r="D797" s="2">
        <v>14</v>
      </c>
      <c r="E797" t="b">
        <v>0</v>
      </c>
      <c r="F797" s="2">
        <v>6</v>
      </c>
      <c r="G797" s="2">
        <v>3</v>
      </c>
      <c r="H797" s="23">
        <v>0.22</v>
      </c>
      <c r="I797" s="25">
        <v>0.2727</v>
      </c>
      <c r="J797" s="23">
        <v>1</v>
      </c>
      <c r="K797" s="25">
        <v>0</v>
      </c>
      <c r="L797" s="2">
        <v>5</v>
      </c>
      <c r="M797" s="2">
        <v>50</v>
      </c>
      <c r="N797" s="2">
        <v>55</v>
      </c>
      <c r="O797" t="s">
        <v>29</v>
      </c>
      <c r="P797" t="s">
        <v>30</v>
      </c>
      <c r="Q797" t="s">
        <v>51</v>
      </c>
      <c r="R797" t="s">
        <v>47</v>
      </c>
      <c r="S797" t="s">
        <v>33</v>
      </c>
      <c r="T797" t="s">
        <v>34</v>
      </c>
      <c r="U797" t="s">
        <v>35</v>
      </c>
      <c r="V797" t="s">
        <v>36</v>
      </c>
      <c r="W797" t="s">
        <v>37</v>
      </c>
      <c r="X797" s="24">
        <v>9.0909090909090917</v>
      </c>
      <c r="Y797" s="24">
        <v>90.909090909090907</v>
      </c>
      <c r="Z797" t="s">
        <v>38</v>
      </c>
      <c r="AA797" t="s">
        <v>39</v>
      </c>
      <c r="AB797" t="s">
        <v>40</v>
      </c>
      <c r="AC797" s="24">
        <v>5.2699999999999997E-2</v>
      </c>
    </row>
    <row r="798" spans="1:29" x14ac:dyDescent="0.3">
      <c r="A798" s="2">
        <v>797</v>
      </c>
      <c r="B798" s="1">
        <v>40579</v>
      </c>
      <c r="C798" s="2">
        <v>1</v>
      </c>
      <c r="D798" s="2">
        <v>15</v>
      </c>
      <c r="E798" t="b">
        <v>0</v>
      </c>
      <c r="F798" s="2">
        <v>6</v>
      </c>
      <c r="G798" s="2">
        <v>3</v>
      </c>
      <c r="H798" s="23">
        <v>0.22</v>
      </c>
      <c r="I798" s="25">
        <v>0.2727</v>
      </c>
      <c r="J798" s="23">
        <v>1</v>
      </c>
      <c r="K798" s="25">
        <v>0</v>
      </c>
      <c r="L798" s="2">
        <v>11</v>
      </c>
      <c r="M798" s="2">
        <v>49</v>
      </c>
      <c r="N798" s="2">
        <v>60</v>
      </c>
      <c r="O798" t="s">
        <v>29</v>
      </c>
      <c r="P798" t="s">
        <v>30</v>
      </c>
      <c r="Q798" t="s">
        <v>51</v>
      </c>
      <c r="R798" t="s">
        <v>47</v>
      </c>
      <c r="S798" t="s">
        <v>33</v>
      </c>
      <c r="T798" t="s">
        <v>34</v>
      </c>
      <c r="U798" t="s">
        <v>35</v>
      </c>
      <c r="V798" t="s">
        <v>36</v>
      </c>
      <c r="W798" t="s">
        <v>37</v>
      </c>
      <c r="X798" s="24">
        <v>18.333333333333329</v>
      </c>
      <c r="Y798" s="24">
        <v>81.666666666666671</v>
      </c>
      <c r="Z798" t="s">
        <v>38</v>
      </c>
      <c r="AA798" t="s">
        <v>39</v>
      </c>
      <c r="AB798" t="s">
        <v>40</v>
      </c>
      <c r="AC798" s="24">
        <v>5.2699999999999997E-2</v>
      </c>
    </row>
    <row r="799" spans="1:29" x14ac:dyDescent="0.3">
      <c r="A799" s="2">
        <v>798</v>
      </c>
      <c r="B799" s="1">
        <v>40579</v>
      </c>
      <c r="C799" s="2">
        <v>1</v>
      </c>
      <c r="D799" s="2">
        <v>16</v>
      </c>
      <c r="E799" t="b">
        <v>0</v>
      </c>
      <c r="F799" s="2">
        <v>6</v>
      </c>
      <c r="G799" s="2">
        <v>3</v>
      </c>
      <c r="H799" s="23">
        <v>0.22</v>
      </c>
      <c r="I799" s="25">
        <v>0.2273</v>
      </c>
      <c r="J799" s="23">
        <v>1</v>
      </c>
      <c r="K799" s="25">
        <v>0.1343</v>
      </c>
      <c r="L799" s="2">
        <v>8</v>
      </c>
      <c r="M799" s="2">
        <v>63</v>
      </c>
      <c r="N799" s="2">
        <v>71</v>
      </c>
      <c r="O799" t="s">
        <v>29</v>
      </c>
      <c r="P799" t="s">
        <v>30</v>
      </c>
      <c r="Q799" t="s">
        <v>51</v>
      </c>
      <c r="R799" t="s">
        <v>47</v>
      </c>
      <c r="S799" t="s">
        <v>33</v>
      </c>
      <c r="T799" t="s">
        <v>34</v>
      </c>
      <c r="U799" t="s">
        <v>35</v>
      </c>
      <c r="V799" t="s">
        <v>36</v>
      </c>
      <c r="W799" t="s">
        <v>37</v>
      </c>
      <c r="X799" s="24">
        <v>11.26760563380282</v>
      </c>
      <c r="Y799" s="24">
        <v>88.732394366197184</v>
      </c>
      <c r="Z799" t="s">
        <v>38</v>
      </c>
      <c r="AA799" t="s">
        <v>39</v>
      </c>
      <c r="AB799" t="s">
        <v>40</v>
      </c>
      <c r="AC799" s="24">
        <v>7.3000000000000009E-3</v>
      </c>
    </row>
    <row r="800" spans="1:29" x14ac:dyDescent="0.3">
      <c r="A800" s="2">
        <v>799</v>
      </c>
      <c r="B800" s="1">
        <v>40579</v>
      </c>
      <c r="C800" s="2">
        <v>1</v>
      </c>
      <c r="D800" s="2">
        <v>17</v>
      </c>
      <c r="E800" t="b">
        <v>0</v>
      </c>
      <c r="F800" s="2">
        <v>6</v>
      </c>
      <c r="G800" s="2">
        <v>2</v>
      </c>
      <c r="H800" s="23">
        <v>0.24</v>
      </c>
      <c r="I800" s="25">
        <v>0.21210000000000001</v>
      </c>
      <c r="J800" s="23">
        <v>1</v>
      </c>
      <c r="K800" s="25">
        <v>0.28360000000000002</v>
      </c>
      <c r="L800" s="2">
        <v>14</v>
      </c>
      <c r="M800" s="2">
        <v>64</v>
      </c>
      <c r="N800" s="2">
        <v>78</v>
      </c>
      <c r="O800" t="s">
        <v>29</v>
      </c>
      <c r="P800" t="s">
        <v>30</v>
      </c>
      <c r="Q800" t="s">
        <v>41</v>
      </c>
      <c r="R800" t="s">
        <v>50</v>
      </c>
      <c r="S800" t="s">
        <v>33</v>
      </c>
      <c r="T800" t="s">
        <v>34</v>
      </c>
      <c r="U800" t="s">
        <v>46</v>
      </c>
      <c r="V800" t="s">
        <v>36</v>
      </c>
      <c r="W800" t="s">
        <v>37</v>
      </c>
      <c r="X800" s="24">
        <v>17.948717948717949</v>
      </c>
      <c r="Y800" s="24">
        <v>82.051282051282044</v>
      </c>
      <c r="Z800" t="s">
        <v>40</v>
      </c>
      <c r="AA800" t="s">
        <v>39</v>
      </c>
      <c r="AB800" t="s">
        <v>40</v>
      </c>
      <c r="AC800" s="24">
        <v>-2.789999999999998E-2</v>
      </c>
    </row>
    <row r="801" spans="1:29" x14ac:dyDescent="0.3">
      <c r="A801" s="2">
        <v>800</v>
      </c>
      <c r="B801" s="1">
        <v>40579</v>
      </c>
      <c r="C801" s="2">
        <v>1</v>
      </c>
      <c r="D801" s="2">
        <v>18</v>
      </c>
      <c r="E801" t="b">
        <v>0</v>
      </c>
      <c r="F801" s="2">
        <v>6</v>
      </c>
      <c r="G801" s="2">
        <v>2</v>
      </c>
      <c r="H801" s="23">
        <v>0.28000000000000003</v>
      </c>
      <c r="I801" s="25">
        <v>0.2424</v>
      </c>
      <c r="J801" s="23">
        <v>0.93</v>
      </c>
      <c r="K801" s="25">
        <v>0.44779999999999998</v>
      </c>
      <c r="L801" s="2">
        <v>2</v>
      </c>
      <c r="M801" s="2">
        <v>81</v>
      </c>
      <c r="N801" s="2">
        <v>83</v>
      </c>
      <c r="O801" t="s">
        <v>29</v>
      </c>
      <c r="P801" t="s">
        <v>30</v>
      </c>
      <c r="Q801" t="s">
        <v>41</v>
      </c>
      <c r="R801" t="s">
        <v>50</v>
      </c>
      <c r="S801" t="s">
        <v>44</v>
      </c>
      <c r="T801" t="s">
        <v>34</v>
      </c>
      <c r="U801" t="s">
        <v>53</v>
      </c>
      <c r="V801" t="s">
        <v>36</v>
      </c>
      <c r="W801" t="s">
        <v>37</v>
      </c>
      <c r="X801" s="24">
        <v>2.4096385542168681</v>
      </c>
      <c r="Y801" s="24">
        <v>97.590361445783131</v>
      </c>
      <c r="Z801" t="s">
        <v>40</v>
      </c>
      <c r="AA801" t="s">
        <v>39</v>
      </c>
      <c r="AB801" t="s">
        <v>40</v>
      </c>
      <c r="AC801" s="24">
        <v>-3.7600000000000022E-2</v>
      </c>
    </row>
    <row r="802" spans="1:29" x14ac:dyDescent="0.3">
      <c r="A802" s="2">
        <v>801</v>
      </c>
      <c r="B802" s="1">
        <v>40579</v>
      </c>
      <c r="C802" s="2">
        <v>1</v>
      </c>
      <c r="D802" s="2">
        <v>19</v>
      </c>
      <c r="E802" t="b">
        <v>0</v>
      </c>
      <c r="F802" s="2">
        <v>6</v>
      </c>
      <c r="G802" s="2">
        <v>2</v>
      </c>
      <c r="H802" s="23">
        <v>0.28000000000000003</v>
      </c>
      <c r="I802" s="25">
        <v>0.2424</v>
      </c>
      <c r="J802" s="23">
        <v>0.93</v>
      </c>
      <c r="K802" s="25">
        <v>0.44779999999999998</v>
      </c>
      <c r="L802" s="2">
        <v>6</v>
      </c>
      <c r="M802" s="2">
        <v>78</v>
      </c>
      <c r="N802" s="2">
        <v>84</v>
      </c>
      <c r="O802" t="s">
        <v>29</v>
      </c>
      <c r="P802" t="s">
        <v>30</v>
      </c>
      <c r="Q802" t="s">
        <v>41</v>
      </c>
      <c r="R802" t="s">
        <v>50</v>
      </c>
      <c r="S802" t="s">
        <v>44</v>
      </c>
      <c r="T802" t="s">
        <v>34</v>
      </c>
      <c r="U802" t="s">
        <v>53</v>
      </c>
      <c r="V802" t="s">
        <v>36</v>
      </c>
      <c r="W802" t="s">
        <v>37</v>
      </c>
      <c r="X802" s="24">
        <v>7.1428571428571423</v>
      </c>
      <c r="Y802" s="24">
        <v>92.857142857142861</v>
      </c>
      <c r="Z802" t="s">
        <v>40</v>
      </c>
      <c r="AA802" t="s">
        <v>39</v>
      </c>
      <c r="AB802" t="s">
        <v>40</v>
      </c>
      <c r="AC802" s="24">
        <v>-3.7600000000000022E-2</v>
      </c>
    </row>
    <row r="803" spans="1:29" x14ac:dyDescent="0.3">
      <c r="A803" s="2">
        <v>802</v>
      </c>
      <c r="B803" s="1">
        <v>40579</v>
      </c>
      <c r="C803" s="2">
        <v>1</v>
      </c>
      <c r="D803" s="2">
        <v>20</v>
      </c>
      <c r="E803" t="b">
        <v>0</v>
      </c>
      <c r="F803" s="2">
        <v>6</v>
      </c>
      <c r="G803" s="2">
        <v>1</v>
      </c>
      <c r="H803" s="23">
        <v>0.3</v>
      </c>
      <c r="I803" s="25">
        <v>0.28789999999999999</v>
      </c>
      <c r="J803" s="23">
        <v>0.87</v>
      </c>
      <c r="K803" s="25">
        <v>0.25369999999999998</v>
      </c>
      <c r="L803" s="2">
        <v>5</v>
      </c>
      <c r="M803" s="2">
        <v>64</v>
      </c>
      <c r="N803" s="2">
        <v>69</v>
      </c>
      <c r="O803" t="s">
        <v>29</v>
      </c>
      <c r="P803" t="s">
        <v>30</v>
      </c>
      <c r="Q803" t="s">
        <v>31</v>
      </c>
      <c r="R803" t="s">
        <v>50</v>
      </c>
      <c r="S803" t="s">
        <v>44</v>
      </c>
      <c r="T803" t="s">
        <v>34</v>
      </c>
      <c r="U803" t="s">
        <v>46</v>
      </c>
      <c r="V803" t="s">
        <v>36</v>
      </c>
      <c r="W803" t="s">
        <v>37</v>
      </c>
      <c r="X803" s="24">
        <v>7.2463768115942031</v>
      </c>
      <c r="Y803" s="24">
        <v>92.753623188405797</v>
      </c>
      <c r="Z803" t="s">
        <v>38</v>
      </c>
      <c r="AA803" t="s">
        <v>39</v>
      </c>
      <c r="AB803" t="s">
        <v>40</v>
      </c>
      <c r="AC803" s="24">
        <v>-1.21E-2</v>
      </c>
    </row>
    <row r="804" spans="1:29" x14ac:dyDescent="0.3">
      <c r="A804" s="2">
        <v>803</v>
      </c>
      <c r="B804" s="1">
        <v>40579</v>
      </c>
      <c r="C804" s="2">
        <v>1</v>
      </c>
      <c r="D804" s="2">
        <v>21</v>
      </c>
      <c r="E804" t="b">
        <v>0</v>
      </c>
      <c r="F804" s="2">
        <v>6</v>
      </c>
      <c r="G804" s="2">
        <v>1</v>
      </c>
      <c r="H804" s="23">
        <v>0.26</v>
      </c>
      <c r="I804" s="25">
        <v>0.2576</v>
      </c>
      <c r="J804" s="23">
        <v>1</v>
      </c>
      <c r="K804" s="25">
        <v>0.19400000000000001</v>
      </c>
      <c r="L804" s="2">
        <v>3</v>
      </c>
      <c r="M804" s="2">
        <v>53</v>
      </c>
      <c r="N804" s="2">
        <v>56</v>
      </c>
      <c r="O804" t="s">
        <v>29</v>
      </c>
      <c r="P804" t="s">
        <v>30</v>
      </c>
      <c r="Q804" t="s">
        <v>31</v>
      </c>
      <c r="R804" t="s">
        <v>32</v>
      </c>
      <c r="S804" t="s">
        <v>44</v>
      </c>
      <c r="T804" t="s">
        <v>34</v>
      </c>
      <c r="U804" t="s">
        <v>46</v>
      </c>
      <c r="V804" t="s">
        <v>36</v>
      </c>
      <c r="W804" t="s">
        <v>37</v>
      </c>
      <c r="X804" s="24">
        <v>5.3571428571428568</v>
      </c>
      <c r="Y804" s="24">
        <v>94.642857142857139</v>
      </c>
      <c r="Z804" t="s">
        <v>38</v>
      </c>
      <c r="AA804" t="s">
        <v>39</v>
      </c>
      <c r="AB804" t="s">
        <v>40</v>
      </c>
      <c r="AC804" s="24">
        <v>-2.4000000000000128E-3</v>
      </c>
    </row>
    <row r="805" spans="1:29" x14ac:dyDescent="0.3">
      <c r="A805" s="2">
        <v>804</v>
      </c>
      <c r="B805" s="1">
        <v>40579</v>
      </c>
      <c r="C805" s="2">
        <v>1</v>
      </c>
      <c r="D805" s="2">
        <v>22</v>
      </c>
      <c r="E805" t="b">
        <v>0</v>
      </c>
      <c r="F805" s="2">
        <v>6</v>
      </c>
      <c r="G805" s="2">
        <v>1</v>
      </c>
      <c r="H805" s="23">
        <v>0.26</v>
      </c>
      <c r="I805" s="25">
        <v>0.2727</v>
      </c>
      <c r="J805" s="23">
        <v>0.93</v>
      </c>
      <c r="K805" s="25">
        <v>0.1343</v>
      </c>
      <c r="L805" s="2">
        <v>2</v>
      </c>
      <c r="M805" s="2">
        <v>43</v>
      </c>
      <c r="N805" s="2">
        <v>45</v>
      </c>
      <c r="O805" t="s">
        <v>29</v>
      </c>
      <c r="P805" t="s">
        <v>30</v>
      </c>
      <c r="Q805" t="s">
        <v>31</v>
      </c>
      <c r="R805" t="s">
        <v>32</v>
      </c>
      <c r="S805" t="s">
        <v>44</v>
      </c>
      <c r="T805" t="s">
        <v>34</v>
      </c>
      <c r="U805" t="s">
        <v>35</v>
      </c>
      <c r="V805" t="s">
        <v>36</v>
      </c>
      <c r="W805" t="s">
        <v>37</v>
      </c>
      <c r="X805" s="24">
        <v>4.4444444444444446</v>
      </c>
      <c r="Y805" s="24">
        <v>95.555555555555557</v>
      </c>
      <c r="Z805" t="s">
        <v>38</v>
      </c>
      <c r="AA805" t="s">
        <v>39</v>
      </c>
      <c r="AB805" t="s">
        <v>40</v>
      </c>
      <c r="AC805" s="24">
        <v>1.2699999999999991E-2</v>
      </c>
    </row>
    <row r="806" spans="1:29" x14ac:dyDescent="0.3">
      <c r="A806" s="2">
        <v>805</v>
      </c>
      <c r="B806" s="1">
        <v>40579</v>
      </c>
      <c r="C806" s="2">
        <v>1</v>
      </c>
      <c r="D806" s="2">
        <v>23</v>
      </c>
      <c r="E806" t="b">
        <v>0</v>
      </c>
      <c r="F806" s="2">
        <v>6</v>
      </c>
      <c r="G806" s="2">
        <v>1</v>
      </c>
      <c r="H806" s="23">
        <v>0.26</v>
      </c>
      <c r="I806" s="25">
        <v>0.2576</v>
      </c>
      <c r="J806" s="23">
        <v>0.93</v>
      </c>
      <c r="K806" s="25">
        <v>0.22389999999999999</v>
      </c>
      <c r="L806" s="2">
        <v>7</v>
      </c>
      <c r="M806" s="2">
        <v>52</v>
      </c>
      <c r="N806" s="2">
        <v>59</v>
      </c>
      <c r="O806" t="s">
        <v>29</v>
      </c>
      <c r="P806" t="s">
        <v>30</v>
      </c>
      <c r="Q806" t="s">
        <v>31</v>
      </c>
      <c r="R806" t="s">
        <v>32</v>
      </c>
      <c r="S806" t="s">
        <v>44</v>
      </c>
      <c r="T806" t="s">
        <v>34</v>
      </c>
      <c r="U806" t="s">
        <v>46</v>
      </c>
      <c r="V806" t="s">
        <v>36</v>
      </c>
      <c r="W806" t="s">
        <v>37</v>
      </c>
      <c r="X806" s="24">
        <v>11.864406779661021</v>
      </c>
      <c r="Y806" s="24">
        <v>88.135593220338976</v>
      </c>
      <c r="Z806" t="s">
        <v>38</v>
      </c>
      <c r="AA806" t="s">
        <v>39</v>
      </c>
      <c r="AB806" t="s">
        <v>40</v>
      </c>
      <c r="AC806" s="24">
        <v>-2.4000000000000128E-3</v>
      </c>
    </row>
    <row r="807" spans="1:29" x14ac:dyDescent="0.3">
      <c r="A807" s="2">
        <v>806</v>
      </c>
      <c r="B807" s="1">
        <v>40580</v>
      </c>
      <c r="C807" s="2">
        <v>1</v>
      </c>
      <c r="D807" s="2">
        <v>0</v>
      </c>
      <c r="E807" t="b">
        <v>0</v>
      </c>
      <c r="F807" s="2">
        <v>0</v>
      </c>
      <c r="G807" s="2">
        <v>1</v>
      </c>
      <c r="H807" s="23">
        <v>0.26</v>
      </c>
      <c r="I807" s="25">
        <v>0.2576</v>
      </c>
      <c r="J807" s="23">
        <v>0.7</v>
      </c>
      <c r="K807" s="25">
        <v>0.19400000000000001</v>
      </c>
      <c r="L807" s="2">
        <v>2</v>
      </c>
      <c r="M807" s="2">
        <v>37</v>
      </c>
      <c r="N807" s="2">
        <v>39</v>
      </c>
      <c r="O807" t="s">
        <v>29</v>
      </c>
      <c r="P807" t="s">
        <v>52</v>
      </c>
      <c r="Q807" t="s">
        <v>31</v>
      </c>
      <c r="R807" t="s">
        <v>32</v>
      </c>
      <c r="S807" t="s">
        <v>44</v>
      </c>
      <c r="T807" t="s">
        <v>34</v>
      </c>
      <c r="U807" t="s">
        <v>46</v>
      </c>
      <c r="V807" t="s">
        <v>36</v>
      </c>
      <c r="W807" t="s">
        <v>37</v>
      </c>
      <c r="X807" s="24">
        <v>5.1282051282051277</v>
      </c>
      <c r="Y807" s="24">
        <v>94.871794871794862</v>
      </c>
      <c r="Z807" t="s">
        <v>38</v>
      </c>
      <c r="AA807" t="s">
        <v>39</v>
      </c>
      <c r="AB807" t="s">
        <v>40</v>
      </c>
      <c r="AC807" s="24">
        <v>-2.4000000000000128E-3</v>
      </c>
    </row>
    <row r="808" spans="1:29" x14ac:dyDescent="0.3">
      <c r="A808" s="2">
        <v>334</v>
      </c>
      <c r="B808" s="1">
        <v>40558</v>
      </c>
      <c r="C808" s="2">
        <v>1</v>
      </c>
      <c r="D808" s="2">
        <v>9</v>
      </c>
      <c r="E808" t="b">
        <v>0</v>
      </c>
      <c r="F808" s="2">
        <v>6</v>
      </c>
      <c r="G808" s="2">
        <v>1</v>
      </c>
      <c r="H808" s="23">
        <v>0.16</v>
      </c>
      <c r="I808" s="25">
        <v>0.18179999999999999</v>
      </c>
      <c r="J808" s="23">
        <v>0.64</v>
      </c>
      <c r="K808" s="25">
        <v>0.1343</v>
      </c>
      <c r="L808" s="2">
        <v>2</v>
      </c>
      <c r="M808" s="2">
        <v>31</v>
      </c>
      <c r="N808" s="2">
        <v>33</v>
      </c>
      <c r="O808" t="s">
        <v>29</v>
      </c>
      <c r="P808" t="s">
        <v>30</v>
      </c>
      <c r="Q808" t="s">
        <v>31</v>
      </c>
      <c r="R808" t="s">
        <v>42</v>
      </c>
      <c r="S808" t="s">
        <v>33</v>
      </c>
      <c r="T808" t="s">
        <v>49</v>
      </c>
      <c r="U808" t="s">
        <v>35</v>
      </c>
      <c r="V808" t="s">
        <v>36</v>
      </c>
      <c r="W808" t="s">
        <v>37</v>
      </c>
      <c r="X808" s="24">
        <v>6.0606060606060614</v>
      </c>
      <c r="Y808" s="24">
        <v>93.939393939393938</v>
      </c>
      <c r="Z808" t="s">
        <v>40</v>
      </c>
      <c r="AA808" t="s">
        <v>39</v>
      </c>
      <c r="AB808" t="s">
        <v>40</v>
      </c>
      <c r="AC808" s="24">
        <v>2.179999999999999E-2</v>
      </c>
    </row>
    <row r="809" spans="1:29" x14ac:dyDescent="0.3">
      <c r="A809" s="2">
        <v>548</v>
      </c>
      <c r="B809" s="1">
        <v>40567</v>
      </c>
      <c r="C809" s="2">
        <v>1</v>
      </c>
      <c r="D809" s="2">
        <v>23</v>
      </c>
      <c r="E809" t="b">
        <v>0</v>
      </c>
      <c r="F809" s="2">
        <v>1</v>
      </c>
      <c r="G809" s="2">
        <v>2</v>
      </c>
      <c r="H809" s="23">
        <v>0.16</v>
      </c>
      <c r="I809" s="25">
        <v>0.1515</v>
      </c>
      <c r="J809" s="23">
        <v>0.64</v>
      </c>
      <c r="K809" s="25">
        <v>0.25369999999999998</v>
      </c>
      <c r="L809" s="2">
        <v>3</v>
      </c>
      <c r="M809" s="2">
        <v>21</v>
      </c>
      <c r="N809" s="2">
        <v>24</v>
      </c>
      <c r="O809" t="s">
        <v>29</v>
      </c>
      <c r="P809" t="s">
        <v>54</v>
      </c>
      <c r="Q809" t="s">
        <v>41</v>
      </c>
      <c r="R809" t="s">
        <v>32</v>
      </c>
      <c r="S809" t="s">
        <v>33</v>
      </c>
      <c r="T809" t="s">
        <v>49</v>
      </c>
      <c r="U809" t="s">
        <v>46</v>
      </c>
      <c r="V809" t="s">
        <v>36</v>
      </c>
      <c r="W809" t="s">
        <v>37</v>
      </c>
      <c r="X809" s="24">
        <v>12.5</v>
      </c>
      <c r="Y809" s="24">
        <v>87.5</v>
      </c>
      <c r="Z809" t="s">
        <v>38</v>
      </c>
      <c r="AA809" t="s">
        <v>39</v>
      </c>
      <c r="AB809" t="s">
        <v>38</v>
      </c>
      <c r="AC809" s="24">
        <v>-8.5000000000000075E-3</v>
      </c>
    </row>
    <row r="810" spans="1:29" x14ac:dyDescent="0.3">
      <c r="A810" s="2">
        <v>557</v>
      </c>
      <c r="B810" s="1">
        <v>40568</v>
      </c>
      <c r="C810" s="2">
        <v>1</v>
      </c>
      <c r="D810" s="2">
        <v>9</v>
      </c>
      <c r="E810" t="b">
        <v>0</v>
      </c>
      <c r="F810" s="2">
        <v>2</v>
      </c>
      <c r="G810" s="2">
        <v>2</v>
      </c>
      <c r="H810" s="23">
        <v>0.2</v>
      </c>
      <c r="I810" s="25">
        <v>0.2273</v>
      </c>
      <c r="J810" s="23">
        <v>0.64</v>
      </c>
      <c r="K810" s="25">
        <v>8.9599999999999999E-2</v>
      </c>
      <c r="L810" s="2">
        <v>10</v>
      </c>
      <c r="M810" s="2">
        <v>134</v>
      </c>
      <c r="N810" s="2">
        <v>144</v>
      </c>
      <c r="O810" t="s">
        <v>29</v>
      </c>
      <c r="P810" t="s">
        <v>56</v>
      </c>
      <c r="Q810" t="s">
        <v>41</v>
      </c>
      <c r="R810" t="s">
        <v>42</v>
      </c>
      <c r="S810" t="s">
        <v>33</v>
      </c>
      <c r="T810" t="s">
        <v>49</v>
      </c>
      <c r="U810" t="s">
        <v>35</v>
      </c>
      <c r="V810" t="s">
        <v>36</v>
      </c>
      <c r="W810" t="s">
        <v>37</v>
      </c>
      <c r="X810" s="24">
        <v>6.9444444444444446</v>
      </c>
      <c r="Y810" s="24">
        <v>93.055555555555557</v>
      </c>
      <c r="Z810" t="s">
        <v>40</v>
      </c>
      <c r="AA810" t="s">
        <v>49</v>
      </c>
      <c r="AB810" t="s">
        <v>38</v>
      </c>
      <c r="AC810" s="24">
        <v>2.7299999999999991E-2</v>
      </c>
    </row>
    <row r="811" spans="1:29" x14ac:dyDescent="0.3">
      <c r="A811" s="2">
        <v>570</v>
      </c>
      <c r="B811" s="1">
        <v>40568</v>
      </c>
      <c r="C811" s="2">
        <v>1</v>
      </c>
      <c r="D811" s="2">
        <v>22</v>
      </c>
      <c r="E811" t="b">
        <v>0</v>
      </c>
      <c r="F811" s="2">
        <v>2</v>
      </c>
      <c r="G811" s="2">
        <v>1</v>
      </c>
      <c r="H811" s="23">
        <v>0.22</v>
      </c>
      <c r="I811" s="25">
        <v>0.2273</v>
      </c>
      <c r="J811" s="23">
        <v>0.64</v>
      </c>
      <c r="K811" s="25">
        <v>0.16420000000000001</v>
      </c>
      <c r="L811" s="2">
        <v>4</v>
      </c>
      <c r="M811" s="2">
        <v>49</v>
      </c>
      <c r="N811" s="2">
        <v>53</v>
      </c>
      <c r="O811" t="s">
        <v>29</v>
      </c>
      <c r="P811" t="s">
        <v>56</v>
      </c>
      <c r="Q811" t="s">
        <v>31</v>
      </c>
      <c r="R811" t="s">
        <v>32</v>
      </c>
      <c r="S811" t="s">
        <v>33</v>
      </c>
      <c r="T811" t="s">
        <v>49</v>
      </c>
      <c r="U811" t="s">
        <v>46</v>
      </c>
      <c r="V811" t="s">
        <v>36</v>
      </c>
      <c r="W811" t="s">
        <v>37</v>
      </c>
      <c r="X811" s="24">
        <v>7.5471698113207548</v>
      </c>
      <c r="Y811" s="24">
        <v>92.452830188679243</v>
      </c>
      <c r="Z811" t="s">
        <v>38</v>
      </c>
      <c r="AA811" t="s">
        <v>39</v>
      </c>
      <c r="AB811" t="s">
        <v>38</v>
      </c>
      <c r="AC811" s="24">
        <v>7.3000000000000009E-3</v>
      </c>
    </row>
    <row r="812" spans="1:29" x14ac:dyDescent="0.3">
      <c r="A812" s="2">
        <v>571</v>
      </c>
      <c r="B812" s="1">
        <v>40568</v>
      </c>
      <c r="C812" s="2">
        <v>1</v>
      </c>
      <c r="D812" s="2">
        <v>23</v>
      </c>
      <c r="E812" t="b">
        <v>0</v>
      </c>
      <c r="F812" s="2">
        <v>2</v>
      </c>
      <c r="G812" s="2">
        <v>2</v>
      </c>
      <c r="H812" s="23">
        <v>0.22</v>
      </c>
      <c r="I812" s="25">
        <v>0.2273</v>
      </c>
      <c r="J812" s="23">
        <v>0.64</v>
      </c>
      <c r="K812" s="25">
        <v>0.16420000000000001</v>
      </c>
      <c r="L812" s="2">
        <v>3</v>
      </c>
      <c r="M812" s="2">
        <v>37</v>
      </c>
      <c r="N812" s="2">
        <v>40</v>
      </c>
      <c r="O812" t="s">
        <v>29</v>
      </c>
      <c r="P812" t="s">
        <v>56</v>
      </c>
      <c r="Q812" t="s">
        <v>41</v>
      </c>
      <c r="R812" t="s">
        <v>32</v>
      </c>
      <c r="S812" t="s">
        <v>33</v>
      </c>
      <c r="T812" t="s">
        <v>49</v>
      </c>
      <c r="U812" t="s">
        <v>46</v>
      </c>
      <c r="V812" t="s">
        <v>36</v>
      </c>
      <c r="W812" t="s">
        <v>37</v>
      </c>
      <c r="X812" s="24">
        <v>7.5</v>
      </c>
      <c r="Y812" s="24">
        <v>92.5</v>
      </c>
      <c r="Z812" t="s">
        <v>38</v>
      </c>
      <c r="AA812" t="s">
        <v>39</v>
      </c>
      <c r="AB812" t="s">
        <v>38</v>
      </c>
      <c r="AC812" s="24">
        <v>7.3000000000000009E-3</v>
      </c>
    </row>
    <row r="813" spans="1:29" x14ac:dyDescent="0.3">
      <c r="A813" s="2">
        <v>619</v>
      </c>
      <c r="B813" s="1">
        <v>40572</v>
      </c>
      <c r="C813" s="2">
        <v>1</v>
      </c>
      <c r="D813" s="2">
        <v>0</v>
      </c>
      <c r="E813" t="b">
        <v>0</v>
      </c>
      <c r="F813" s="2">
        <v>6</v>
      </c>
      <c r="G813" s="2">
        <v>1</v>
      </c>
      <c r="H813" s="23">
        <v>0.22</v>
      </c>
      <c r="I813" s="25">
        <v>0.19700000000000001</v>
      </c>
      <c r="J813" s="23">
        <v>0.64</v>
      </c>
      <c r="K813" s="25">
        <v>0.35820000000000002</v>
      </c>
      <c r="L813" s="2">
        <v>2</v>
      </c>
      <c r="M813" s="2">
        <v>26</v>
      </c>
      <c r="N813" s="2">
        <v>28</v>
      </c>
      <c r="O813" t="s">
        <v>29</v>
      </c>
      <c r="P813" t="s">
        <v>30</v>
      </c>
      <c r="Q813" t="s">
        <v>31</v>
      </c>
      <c r="R813" t="s">
        <v>32</v>
      </c>
      <c r="S813" t="s">
        <v>33</v>
      </c>
      <c r="T813" t="s">
        <v>49</v>
      </c>
      <c r="U813" t="s">
        <v>53</v>
      </c>
      <c r="V813" t="s">
        <v>36</v>
      </c>
      <c r="W813" t="s">
        <v>37</v>
      </c>
      <c r="X813" s="24">
        <v>7.1428571428571423</v>
      </c>
      <c r="Y813" s="24">
        <v>92.857142857142861</v>
      </c>
      <c r="Z813" t="s">
        <v>38</v>
      </c>
      <c r="AA813" t="s">
        <v>39</v>
      </c>
      <c r="AB813" t="s">
        <v>40</v>
      </c>
      <c r="AC813" s="24">
        <v>-2.2999999999999989E-2</v>
      </c>
    </row>
    <row r="814" spans="1:29" x14ac:dyDescent="0.3">
      <c r="A814" s="2">
        <v>620</v>
      </c>
      <c r="B814" s="1">
        <v>40572</v>
      </c>
      <c r="C814" s="2">
        <v>1</v>
      </c>
      <c r="D814" s="2">
        <v>1</v>
      </c>
      <c r="E814" t="b">
        <v>0</v>
      </c>
      <c r="F814" s="2">
        <v>6</v>
      </c>
      <c r="G814" s="2">
        <v>1</v>
      </c>
      <c r="H814" s="23">
        <v>0.22</v>
      </c>
      <c r="I814" s="25">
        <v>0.2273</v>
      </c>
      <c r="J814" s="23">
        <v>0.64</v>
      </c>
      <c r="K814" s="25">
        <v>0.19400000000000001</v>
      </c>
      <c r="L814" s="2">
        <v>0</v>
      </c>
      <c r="M814" s="2">
        <v>20</v>
      </c>
      <c r="N814" s="2">
        <v>20</v>
      </c>
      <c r="O814" t="s">
        <v>29</v>
      </c>
      <c r="P814" t="s">
        <v>30</v>
      </c>
      <c r="Q814" t="s">
        <v>31</v>
      </c>
      <c r="R814" t="s">
        <v>32</v>
      </c>
      <c r="S814" t="s">
        <v>33</v>
      </c>
      <c r="T814" t="s">
        <v>49</v>
      </c>
      <c r="U814" t="s">
        <v>46</v>
      </c>
      <c r="V814" t="s">
        <v>36</v>
      </c>
      <c r="W814" t="s">
        <v>37</v>
      </c>
      <c r="X814" s="24">
        <v>0</v>
      </c>
      <c r="Y814" s="24">
        <v>100</v>
      </c>
      <c r="Z814" t="s">
        <v>38</v>
      </c>
      <c r="AA814" t="s">
        <v>39</v>
      </c>
      <c r="AB814" t="s">
        <v>40</v>
      </c>
      <c r="AC814" s="24">
        <v>7.3000000000000009E-3</v>
      </c>
    </row>
    <row r="815" spans="1:29" x14ac:dyDescent="0.3">
      <c r="A815" s="2">
        <v>621</v>
      </c>
      <c r="B815" s="1">
        <v>40572</v>
      </c>
      <c r="C815" s="2">
        <v>1</v>
      </c>
      <c r="D815" s="2">
        <v>2</v>
      </c>
      <c r="E815" t="b">
        <v>0</v>
      </c>
      <c r="F815" s="2">
        <v>6</v>
      </c>
      <c r="G815" s="2">
        <v>1</v>
      </c>
      <c r="H815" s="23">
        <v>0.22</v>
      </c>
      <c r="I815" s="25">
        <v>0.2273</v>
      </c>
      <c r="J815" s="23">
        <v>0.64</v>
      </c>
      <c r="K815" s="25">
        <v>0.16420000000000001</v>
      </c>
      <c r="L815" s="2">
        <v>0</v>
      </c>
      <c r="M815" s="2">
        <v>15</v>
      </c>
      <c r="N815" s="2">
        <v>15</v>
      </c>
      <c r="O815" t="s">
        <v>29</v>
      </c>
      <c r="P815" t="s">
        <v>30</v>
      </c>
      <c r="Q815" t="s">
        <v>31</v>
      </c>
      <c r="R815" t="s">
        <v>32</v>
      </c>
      <c r="S815" t="s">
        <v>33</v>
      </c>
      <c r="T815" t="s">
        <v>49</v>
      </c>
      <c r="U815" t="s">
        <v>46</v>
      </c>
      <c r="V815" t="s">
        <v>36</v>
      </c>
      <c r="W815" t="s">
        <v>37</v>
      </c>
      <c r="X815" s="24">
        <v>0</v>
      </c>
      <c r="Y815" s="24">
        <v>100</v>
      </c>
      <c r="Z815" t="s">
        <v>38</v>
      </c>
      <c r="AA815" t="s">
        <v>39</v>
      </c>
      <c r="AB815" t="s">
        <v>40</v>
      </c>
      <c r="AC815" s="24">
        <v>7.3000000000000009E-3</v>
      </c>
    </row>
    <row r="816" spans="1:29" x14ac:dyDescent="0.3">
      <c r="A816" s="2">
        <v>622</v>
      </c>
      <c r="B816" s="1">
        <v>40572</v>
      </c>
      <c r="C816" s="2">
        <v>1</v>
      </c>
      <c r="D816" s="2">
        <v>3</v>
      </c>
      <c r="E816" t="b">
        <v>0</v>
      </c>
      <c r="F816" s="2">
        <v>6</v>
      </c>
      <c r="G816" s="2">
        <v>1</v>
      </c>
      <c r="H816" s="23">
        <v>0.2</v>
      </c>
      <c r="I816" s="25">
        <v>0.21210000000000001</v>
      </c>
      <c r="J816" s="23">
        <v>0.64</v>
      </c>
      <c r="K816" s="25">
        <v>0.1343</v>
      </c>
      <c r="L816" s="2">
        <v>3</v>
      </c>
      <c r="M816" s="2">
        <v>5</v>
      </c>
      <c r="N816" s="2">
        <v>8</v>
      </c>
      <c r="O816" t="s">
        <v>29</v>
      </c>
      <c r="P816" t="s">
        <v>30</v>
      </c>
      <c r="Q816" t="s">
        <v>31</v>
      </c>
      <c r="R816" t="s">
        <v>32</v>
      </c>
      <c r="S816" t="s">
        <v>33</v>
      </c>
      <c r="T816" t="s">
        <v>49</v>
      </c>
      <c r="U816" t="s">
        <v>35</v>
      </c>
      <c r="V816" t="s">
        <v>36</v>
      </c>
      <c r="W816" t="s">
        <v>37</v>
      </c>
      <c r="X816" s="24">
        <v>37.5</v>
      </c>
      <c r="Y816" s="24">
        <v>62.5</v>
      </c>
      <c r="Z816" t="s">
        <v>38</v>
      </c>
      <c r="AA816" t="s">
        <v>39</v>
      </c>
      <c r="AB816" t="s">
        <v>40</v>
      </c>
      <c r="AC816" s="24">
        <v>1.21E-2</v>
      </c>
    </row>
    <row r="817" spans="1:29" x14ac:dyDescent="0.3">
      <c r="A817" s="2">
        <v>624</v>
      </c>
      <c r="B817" s="1">
        <v>40572</v>
      </c>
      <c r="C817" s="2">
        <v>1</v>
      </c>
      <c r="D817" s="2">
        <v>6</v>
      </c>
      <c r="E817" t="b">
        <v>0</v>
      </c>
      <c r="F817" s="2">
        <v>6</v>
      </c>
      <c r="G817" s="2">
        <v>1</v>
      </c>
      <c r="H817" s="23">
        <v>0.16</v>
      </c>
      <c r="I817" s="25">
        <v>0.18179999999999999</v>
      </c>
      <c r="J817" s="23">
        <v>0.64</v>
      </c>
      <c r="K817" s="25">
        <v>0.1343</v>
      </c>
      <c r="L817" s="2">
        <v>0</v>
      </c>
      <c r="M817" s="2">
        <v>2</v>
      </c>
      <c r="N817" s="2">
        <v>2</v>
      </c>
      <c r="O817" t="s">
        <v>29</v>
      </c>
      <c r="P817" t="s">
        <v>30</v>
      </c>
      <c r="Q817" t="s">
        <v>31</v>
      </c>
      <c r="R817" t="s">
        <v>42</v>
      </c>
      <c r="S817" t="s">
        <v>33</v>
      </c>
      <c r="T817" t="s">
        <v>49</v>
      </c>
      <c r="U817" t="s">
        <v>35</v>
      </c>
      <c r="V817" t="s">
        <v>36</v>
      </c>
      <c r="W817" t="s">
        <v>37</v>
      </c>
      <c r="X817" s="24">
        <v>0</v>
      </c>
      <c r="Y817" s="24">
        <v>100</v>
      </c>
      <c r="Z817" t="s">
        <v>38</v>
      </c>
      <c r="AA817" t="s">
        <v>39</v>
      </c>
      <c r="AB817" t="s">
        <v>40</v>
      </c>
      <c r="AC817" s="24">
        <v>2.179999999999999E-2</v>
      </c>
    </row>
    <row r="818" spans="1:29" x14ac:dyDescent="0.3">
      <c r="A818" s="2">
        <v>628</v>
      </c>
      <c r="B818" s="1">
        <v>40572</v>
      </c>
      <c r="C818" s="2">
        <v>1</v>
      </c>
      <c r="D818" s="2">
        <v>10</v>
      </c>
      <c r="E818" t="b">
        <v>0</v>
      </c>
      <c r="F818" s="2">
        <v>6</v>
      </c>
      <c r="G818" s="2">
        <v>2</v>
      </c>
      <c r="H818" s="23">
        <v>0.18</v>
      </c>
      <c r="I818" s="25">
        <v>0.21210000000000001</v>
      </c>
      <c r="J818" s="23">
        <v>0.64</v>
      </c>
      <c r="K818" s="25">
        <v>0.1045</v>
      </c>
      <c r="L818" s="2">
        <v>4</v>
      </c>
      <c r="M818" s="2">
        <v>51</v>
      </c>
      <c r="N818" s="2">
        <v>55</v>
      </c>
      <c r="O818" t="s">
        <v>29</v>
      </c>
      <c r="P818" t="s">
        <v>30</v>
      </c>
      <c r="Q818" t="s">
        <v>41</v>
      </c>
      <c r="R818" t="s">
        <v>42</v>
      </c>
      <c r="S818" t="s">
        <v>33</v>
      </c>
      <c r="T818" t="s">
        <v>49</v>
      </c>
      <c r="U818" t="s">
        <v>35</v>
      </c>
      <c r="V818" t="s">
        <v>36</v>
      </c>
      <c r="W818" t="s">
        <v>37</v>
      </c>
      <c r="X818" s="24">
        <v>7.2727272727272716</v>
      </c>
      <c r="Y818" s="24">
        <v>92.72727272727272</v>
      </c>
      <c r="Z818" t="s">
        <v>38</v>
      </c>
      <c r="AA818" t="s">
        <v>39</v>
      </c>
      <c r="AB818" t="s">
        <v>40</v>
      </c>
      <c r="AC818" s="24">
        <v>3.2100000000000017E-2</v>
      </c>
    </row>
    <row r="819" spans="1:29" x14ac:dyDescent="0.3">
      <c r="A819" s="2">
        <v>629</v>
      </c>
      <c r="B819" s="1">
        <v>40572</v>
      </c>
      <c r="C819" s="2">
        <v>1</v>
      </c>
      <c r="D819" s="2">
        <v>11</v>
      </c>
      <c r="E819" t="b">
        <v>0</v>
      </c>
      <c r="F819" s="2">
        <v>6</v>
      </c>
      <c r="G819" s="2">
        <v>2</v>
      </c>
      <c r="H819" s="23">
        <v>0.18</v>
      </c>
      <c r="I819" s="25">
        <v>0.19700000000000001</v>
      </c>
      <c r="J819" s="23">
        <v>0.64</v>
      </c>
      <c r="K819" s="25">
        <v>0.1343</v>
      </c>
      <c r="L819" s="2">
        <v>4</v>
      </c>
      <c r="M819" s="2">
        <v>60</v>
      </c>
      <c r="N819" s="2">
        <v>64</v>
      </c>
      <c r="O819" t="s">
        <v>29</v>
      </c>
      <c r="P819" t="s">
        <v>30</v>
      </c>
      <c r="Q819" t="s">
        <v>41</v>
      </c>
      <c r="R819" t="s">
        <v>42</v>
      </c>
      <c r="S819" t="s">
        <v>33</v>
      </c>
      <c r="T819" t="s">
        <v>49</v>
      </c>
      <c r="U819" t="s">
        <v>35</v>
      </c>
      <c r="V819" t="s">
        <v>36</v>
      </c>
      <c r="W819" t="s">
        <v>37</v>
      </c>
      <c r="X819" s="24">
        <v>6.25</v>
      </c>
      <c r="Y819" s="24">
        <v>93.75</v>
      </c>
      <c r="Z819" t="s">
        <v>38</v>
      </c>
      <c r="AA819" t="s">
        <v>39</v>
      </c>
      <c r="AB819" t="s">
        <v>40</v>
      </c>
      <c r="AC819" s="24">
        <v>1.7000000000000019E-2</v>
      </c>
    </row>
    <row r="820" spans="1:29" x14ac:dyDescent="0.3">
      <c r="A820" s="2">
        <v>666</v>
      </c>
      <c r="B820" s="1">
        <v>40574</v>
      </c>
      <c r="C820" s="2">
        <v>1</v>
      </c>
      <c r="D820" s="2">
        <v>1</v>
      </c>
      <c r="E820" t="b">
        <v>0</v>
      </c>
      <c r="F820" s="2">
        <v>1</v>
      </c>
      <c r="G820" s="2">
        <v>1</v>
      </c>
      <c r="H820" s="23">
        <v>0.22</v>
      </c>
      <c r="I820" s="25">
        <v>0.21210000000000001</v>
      </c>
      <c r="J820" s="23">
        <v>0.64</v>
      </c>
      <c r="K820" s="25">
        <v>0.25369999999999998</v>
      </c>
      <c r="L820" s="2">
        <v>2</v>
      </c>
      <c r="M820" s="2">
        <v>5</v>
      </c>
      <c r="N820" s="2">
        <v>7</v>
      </c>
      <c r="O820" t="s">
        <v>29</v>
      </c>
      <c r="P820" t="s">
        <v>54</v>
      </c>
      <c r="Q820" t="s">
        <v>31</v>
      </c>
      <c r="R820" t="s">
        <v>32</v>
      </c>
      <c r="S820" t="s">
        <v>33</v>
      </c>
      <c r="T820" t="s">
        <v>49</v>
      </c>
      <c r="U820" t="s">
        <v>46</v>
      </c>
      <c r="V820" t="s">
        <v>36</v>
      </c>
      <c r="W820" t="s">
        <v>37</v>
      </c>
      <c r="X820" s="24">
        <v>28.571428571428569</v>
      </c>
      <c r="Y820" s="24">
        <v>71.428571428571431</v>
      </c>
      <c r="Z820" t="s">
        <v>38</v>
      </c>
      <c r="AA820" t="s">
        <v>39</v>
      </c>
      <c r="AB820" t="s">
        <v>38</v>
      </c>
      <c r="AC820" s="24">
        <v>-7.8999999999999904E-3</v>
      </c>
    </row>
    <row r="821" spans="1:29" x14ac:dyDescent="0.3">
      <c r="A821" s="2">
        <v>667</v>
      </c>
      <c r="B821" s="1">
        <v>40574</v>
      </c>
      <c r="C821" s="2">
        <v>1</v>
      </c>
      <c r="D821" s="2">
        <v>2</v>
      </c>
      <c r="E821" t="b">
        <v>0</v>
      </c>
      <c r="F821" s="2">
        <v>1</v>
      </c>
      <c r="G821" s="2">
        <v>1</v>
      </c>
      <c r="H821" s="23">
        <v>0.22</v>
      </c>
      <c r="I821" s="25">
        <v>0.2273</v>
      </c>
      <c r="J821" s="23">
        <v>0.64</v>
      </c>
      <c r="K821" s="25">
        <v>0.19400000000000001</v>
      </c>
      <c r="L821" s="2">
        <v>0</v>
      </c>
      <c r="M821" s="2">
        <v>1</v>
      </c>
      <c r="N821" s="2">
        <v>1</v>
      </c>
      <c r="O821" t="s">
        <v>29</v>
      </c>
      <c r="P821" t="s">
        <v>54</v>
      </c>
      <c r="Q821" t="s">
        <v>31</v>
      </c>
      <c r="R821" t="s">
        <v>32</v>
      </c>
      <c r="S821" t="s">
        <v>33</v>
      </c>
      <c r="T821" t="s">
        <v>49</v>
      </c>
      <c r="U821" t="s">
        <v>46</v>
      </c>
      <c r="V821" t="s">
        <v>36</v>
      </c>
      <c r="W821" t="s">
        <v>37</v>
      </c>
      <c r="X821" s="24">
        <v>0</v>
      </c>
      <c r="Y821" s="24">
        <v>100</v>
      </c>
      <c r="Z821" t="s">
        <v>38</v>
      </c>
      <c r="AA821" t="s">
        <v>39</v>
      </c>
      <c r="AB821" t="s">
        <v>38</v>
      </c>
      <c r="AC821" s="24">
        <v>7.3000000000000009E-3</v>
      </c>
    </row>
    <row r="822" spans="1:29" x14ac:dyDescent="0.3">
      <c r="A822" s="2">
        <v>668</v>
      </c>
      <c r="B822" s="1">
        <v>40574</v>
      </c>
      <c r="C822" s="2">
        <v>1</v>
      </c>
      <c r="D822" s="2">
        <v>3</v>
      </c>
      <c r="E822" t="b">
        <v>0</v>
      </c>
      <c r="F822" s="2">
        <v>1</v>
      </c>
      <c r="G822" s="2">
        <v>1</v>
      </c>
      <c r="H822" s="23">
        <v>0.22</v>
      </c>
      <c r="I822" s="25">
        <v>0.2273</v>
      </c>
      <c r="J822" s="23">
        <v>0.64</v>
      </c>
      <c r="K822" s="25">
        <v>0.19400000000000001</v>
      </c>
      <c r="L822" s="2">
        <v>0</v>
      </c>
      <c r="M822" s="2">
        <v>2</v>
      </c>
      <c r="N822" s="2">
        <v>2</v>
      </c>
      <c r="O822" t="s">
        <v>29</v>
      </c>
      <c r="P822" t="s">
        <v>54</v>
      </c>
      <c r="Q822" t="s">
        <v>31</v>
      </c>
      <c r="R822" t="s">
        <v>32</v>
      </c>
      <c r="S822" t="s">
        <v>33</v>
      </c>
      <c r="T822" t="s">
        <v>49</v>
      </c>
      <c r="U822" t="s">
        <v>46</v>
      </c>
      <c r="V822" t="s">
        <v>36</v>
      </c>
      <c r="W822" t="s">
        <v>37</v>
      </c>
      <c r="X822" s="24">
        <v>0</v>
      </c>
      <c r="Y822" s="24">
        <v>100</v>
      </c>
      <c r="Z822" t="s">
        <v>38</v>
      </c>
      <c r="AA822" t="s">
        <v>39</v>
      </c>
      <c r="AB822" t="s">
        <v>38</v>
      </c>
      <c r="AC822" s="24">
        <v>7.3000000000000009E-3</v>
      </c>
    </row>
    <row r="823" spans="1:29" x14ac:dyDescent="0.3">
      <c r="A823" s="2">
        <v>670</v>
      </c>
      <c r="B823" s="1">
        <v>40574</v>
      </c>
      <c r="C823" s="2">
        <v>1</v>
      </c>
      <c r="D823" s="2">
        <v>5</v>
      </c>
      <c r="E823" t="b">
        <v>0</v>
      </c>
      <c r="F823" s="2">
        <v>1</v>
      </c>
      <c r="G823" s="2">
        <v>1</v>
      </c>
      <c r="H823" s="23">
        <v>0.18</v>
      </c>
      <c r="I823" s="25">
        <v>0.16669999999999999</v>
      </c>
      <c r="J823" s="23">
        <v>0.64</v>
      </c>
      <c r="K823" s="25">
        <v>0.28360000000000002</v>
      </c>
      <c r="L823" s="2">
        <v>0</v>
      </c>
      <c r="M823" s="2">
        <v>8</v>
      </c>
      <c r="N823" s="2">
        <v>8</v>
      </c>
      <c r="O823" t="s">
        <v>29</v>
      </c>
      <c r="P823" t="s">
        <v>54</v>
      </c>
      <c r="Q823" t="s">
        <v>31</v>
      </c>
      <c r="R823" t="s">
        <v>32</v>
      </c>
      <c r="S823" t="s">
        <v>33</v>
      </c>
      <c r="T823" t="s">
        <v>49</v>
      </c>
      <c r="U823" t="s">
        <v>46</v>
      </c>
      <c r="V823" t="s">
        <v>36</v>
      </c>
      <c r="W823" t="s">
        <v>37</v>
      </c>
      <c r="X823" s="24">
        <v>0</v>
      </c>
      <c r="Y823" s="24">
        <v>100</v>
      </c>
      <c r="Z823" t="s">
        <v>38</v>
      </c>
      <c r="AA823" t="s">
        <v>39</v>
      </c>
      <c r="AB823" t="s">
        <v>38</v>
      </c>
      <c r="AC823" s="24">
        <v>-1.330000000000001E-2</v>
      </c>
    </row>
    <row r="824" spans="1:29" x14ac:dyDescent="0.3">
      <c r="A824" s="2">
        <v>672</v>
      </c>
      <c r="B824" s="1">
        <v>40574</v>
      </c>
      <c r="C824" s="2">
        <v>1</v>
      </c>
      <c r="D824" s="2">
        <v>7</v>
      </c>
      <c r="E824" t="b">
        <v>0</v>
      </c>
      <c r="F824" s="2">
        <v>1</v>
      </c>
      <c r="G824" s="2">
        <v>2</v>
      </c>
      <c r="H824" s="23">
        <v>0.16</v>
      </c>
      <c r="I824" s="25">
        <v>0.13639999999999999</v>
      </c>
      <c r="J824" s="23">
        <v>0.64</v>
      </c>
      <c r="K824" s="25">
        <v>0.28360000000000002</v>
      </c>
      <c r="L824" s="2">
        <v>1</v>
      </c>
      <c r="M824" s="2">
        <v>71</v>
      </c>
      <c r="N824" s="2">
        <v>72</v>
      </c>
      <c r="O824" t="s">
        <v>29</v>
      </c>
      <c r="P824" t="s">
        <v>54</v>
      </c>
      <c r="Q824" t="s">
        <v>41</v>
      </c>
      <c r="R824" t="s">
        <v>42</v>
      </c>
      <c r="S824" t="s">
        <v>33</v>
      </c>
      <c r="T824" t="s">
        <v>49</v>
      </c>
      <c r="U824" t="s">
        <v>46</v>
      </c>
      <c r="V824" t="s">
        <v>36</v>
      </c>
      <c r="W824" t="s">
        <v>37</v>
      </c>
      <c r="X824" s="24">
        <v>1.3888888888888891</v>
      </c>
      <c r="Y824" s="24">
        <v>98.611111111111114</v>
      </c>
      <c r="Z824" t="s">
        <v>40</v>
      </c>
      <c r="AA824" t="s">
        <v>39</v>
      </c>
      <c r="AB824" t="s">
        <v>38</v>
      </c>
      <c r="AC824" s="24">
        <v>-2.360000000000001E-2</v>
      </c>
    </row>
    <row r="825" spans="1:29" x14ac:dyDescent="0.3">
      <c r="A825" s="2">
        <v>688</v>
      </c>
      <c r="B825" s="1">
        <v>40574</v>
      </c>
      <c r="C825" s="2">
        <v>1</v>
      </c>
      <c r="D825" s="2">
        <v>23</v>
      </c>
      <c r="E825" t="b">
        <v>0</v>
      </c>
      <c r="F825" s="2">
        <v>1</v>
      </c>
      <c r="G825" s="2">
        <v>2</v>
      </c>
      <c r="H825" s="23">
        <v>0.16</v>
      </c>
      <c r="I825" s="25">
        <v>0.19700000000000001</v>
      </c>
      <c r="J825" s="23">
        <v>0.64</v>
      </c>
      <c r="K825" s="25">
        <v>8.9599999999999999E-2</v>
      </c>
      <c r="L825" s="2">
        <v>2</v>
      </c>
      <c r="M825" s="2">
        <v>15</v>
      </c>
      <c r="N825" s="2">
        <v>17</v>
      </c>
      <c r="O825" t="s">
        <v>29</v>
      </c>
      <c r="P825" t="s">
        <v>54</v>
      </c>
      <c r="Q825" t="s">
        <v>41</v>
      </c>
      <c r="R825" t="s">
        <v>32</v>
      </c>
      <c r="S825" t="s">
        <v>33</v>
      </c>
      <c r="T825" t="s">
        <v>49</v>
      </c>
      <c r="U825" t="s">
        <v>35</v>
      </c>
      <c r="V825" t="s">
        <v>36</v>
      </c>
      <c r="W825" t="s">
        <v>37</v>
      </c>
      <c r="X825" s="24">
        <v>11.76470588235294</v>
      </c>
      <c r="Y825" s="24">
        <v>88.235294117647058</v>
      </c>
      <c r="Z825" t="s">
        <v>38</v>
      </c>
      <c r="AA825" t="s">
        <v>39</v>
      </c>
      <c r="AB825" t="s">
        <v>38</v>
      </c>
      <c r="AC825" s="24">
        <v>3.7000000000000012E-2</v>
      </c>
    </row>
    <row r="826" spans="1:29" x14ac:dyDescent="0.3">
      <c r="A826" s="2">
        <v>689</v>
      </c>
      <c r="B826" s="1">
        <v>40575</v>
      </c>
      <c r="C826" s="2">
        <v>1</v>
      </c>
      <c r="D826" s="2">
        <v>0</v>
      </c>
      <c r="E826" t="b">
        <v>0</v>
      </c>
      <c r="F826" s="2">
        <v>2</v>
      </c>
      <c r="G826" s="2">
        <v>2</v>
      </c>
      <c r="H826" s="23">
        <v>0.16</v>
      </c>
      <c r="I826" s="25">
        <v>0.18179999999999999</v>
      </c>
      <c r="J826" s="23">
        <v>0.64</v>
      </c>
      <c r="K826" s="25">
        <v>0.1045</v>
      </c>
      <c r="L826" s="2">
        <v>2</v>
      </c>
      <c r="M826" s="2">
        <v>6</v>
      </c>
      <c r="N826" s="2">
        <v>8</v>
      </c>
      <c r="O826" t="s">
        <v>29</v>
      </c>
      <c r="P826" t="s">
        <v>56</v>
      </c>
      <c r="Q826" t="s">
        <v>41</v>
      </c>
      <c r="R826" t="s">
        <v>32</v>
      </c>
      <c r="S826" t="s">
        <v>33</v>
      </c>
      <c r="T826" t="s">
        <v>49</v>
      </c>
      <c r="U826" t="s">
        <v>35</v>
      </c>
      <c r="V826" t="s">
        <v>36</v>
      </c>
      <c r="W826" t="s">
        <v>37</v>
      </c>
      <c r="X826" s="24">
        <v>25</v>
      </c>
      <c r="Y826" s="24">
        <v>75</v>
      </c>
      <c r="Z826" t="s">
        <v>38</v>
      </c>
      <c r="AA826" t="s">
        <v>39</v>
      </c>
      <c r="AB826" t="s">
        <v>38</v>
      </c>
      <c r="AC826" s="24">
        <v>2.179999999999999E-2</v>
      </c>
    </row>
    <row r="827" spans="1:29" x14ac:dyDescent="0.3">
      <c r="A827" s="2">
        <v>944</v>
      </c>
      <c r="B827" s="1">
        <v>40585</v>
      </c>
      <c r="C827" s="2">
        <v>1</v>
      </c>
      <c r="D827" s="2">
        <v>22</v>
      </c>
      <c r="E827" t="b">
        <v>0</v>
      </c>
      <c r="F827" s="2">
        <v>5</v>
      </c>
      <c r="G827" s="2">
        <v>1</v>
      </c>
      <c r="H827" s="23">
        <v>0.2</v>
      </c>
      <c r="I827" s="25">
        <v>0.2273</v>
      </c>
      <c r="J827" s="23">
        <v>0.64</v>
      </c>
      <c r="K827" s="25">
        <v>8.9599999999999999E-2</v>
      </c>
      <c r="L827" s="2">
        <v>2</v>
      </c>
      <c r="M827" s="2">
        <v>41</v>
      </c>
      <c r="N827" s="2">
        <v>43</v>
      </c>
      <c r="O827" t="s">
        <v>29</v>
      </c>
      <c r="P827" t="s">
        <v>59</v>
      </c>
      <c r="Q827" t="s">
        <v>31</v>
      </c>
      <c r="R827" t="s">
        <v>32</v>
      </c>
      <c r="S827" t="s">
        <v>33</v>
      </c>
      <c r="T827" t="s">
        <v>49</v>
      </c>
      <c r="U827" t="s">
        <v>35</v>
      </c>
      <c r="V827" t="s">
        <v>36</v>
      </c>
      <c r="W827" t="s">
        <v>37</v>
      </c>
      <c r="X827" s="24">
        <v>4.6511627906976747</v>
      </c>
      <c r="Y827" s="24">
        <v>95.348837209302332</v>
      </c>
      <c r="Z827" t="s">
        <v>38</v>
      </c>
      <c r="AA827" t="s">
        <v>39</v>
      </c>
      <c r="AB827" t="s">
        <v>38</v>
      </c>
      <c r="AC827" s="24">
        <v>2.7299999999999991E-2</v>
      </c>
    </row>
    <row r="828" spans="1:29" x14ac:dyDescent="0.3">
      <c r="A828" s="2">
        <v>955</v>
      </c>
      <c r="B828" s="1">
        <v>40586</v>
      </c>
      <c r="C828" s="2">
        <v>1</v>
      </c>
      <c r="D828" s="2">
        <v>9</v>
      </c>
      <c r="E828" t="b">
        <v>0</v>
      </c>
      <c r="F828" s="2">
        <v>6</v>
      </c>
      <c r="G828" s="2">
        <v>1</v>
      </c>
      <c r="H828" s="23">
        <v>0.16</v>
      </c>
      <c r="I828" s="25">
        <v>0.18179999999999999</v>
      </c>
      <c r="J828" s="23">
        <v>0.64</v>
      </c>
      <c r="K828" s="25">
        <v>0.1343</v>
      </c>
      <c r="L828" s="2">
        <v>5</v>
      </c>
      <c r="M828" s="2">
        <v>38</v>
      </c>
      <c r="N828" s="2">
        <v>43</v>
      </c>
      <c r="O828" t="s">
        <v>29</v>
      </c>
      <c r="P828" t="s">
        <v>30</v>
      </c>
      <c r="Q828" t="s">
        <v>31</v>
      </c>
      <c r="R828" t="s">
        <v>42</v>
      </c>
      <c r="S828" t="s">
        <v>33</v>
      </c>
      <c r="T828" t="s">
        <v>49</v>
      </c>
      <c r="U828" t="s">
        <v>35</v>
      </c>
      <c r="V828" t="s">
        <v>36</v>
      </c>
      <c r="W828" t="s">
        <v>37</v>
      </c>
      <c r="X828" s="24">
        <v>11.627906976744191</v>
      </c>
      <c r="Y828" s="24">
        <v>88.372093023255815</v>
      </c>
      <c r="Z828" t="s">
        <v>40</v>
      </c>
      <c r="AA828" t="s">
        <v>39</v>
      </c>
      <c r="AB828" t="s">
        <v>40</v>
      </c>
      <c r="AC828" s="24">
        <v>2.179999999999999E-2</v>
      </c>
    </row>
    <row r="829" spans="1:29" x14ac:dyDescent="0.3">
      <c r="A829" s="2">
        <v>970</v>
      </c>
      <c r="B829" s="1">
        <v>40587</v>
      </c>
      <c r="C829" s="2">
        <v>1</v>
      </c>
      <c r="D829" s="2">
        <v>0</v>
      </c>
      <c r="E829" t="b">
        <v>0</v>
      </c>
      <c r="F829" s="2">
        <v>0</v>
      </c>
      <c r="G829" s="2">
        <v>1</v>
      </c>
      <c r="H829" s="23">
        <v>0.2</v>
      </c>
      <c r="I829" s="25">
        <v>0.2273</v>
      </c>
      <c r="J829" s="23">
        <v>0.64</v>
      </c>
      <c r="K829" s="25">
        <v>0.1045</v>
      </c>
      <c r="L829" s="2">
        <v>5</v>
      </c>
      <c r="M829" s="2">
        <v>34</v>
      </c>
      <c r="N829" s="2">
        <v>39</v>
      </c>
      <c r="O829" t="s">
        <v>29</v>
      </c>
      <c r="P829" t="s">
        <v>52</v>
      </c>
      <c r="Q829" t="s">
        <v>31</v>
      </c>
      <c r="R829" t="s">
        <v>32</v>
      </c>
      <c r="S829" t="s">
        <v>33</v>
      </c>
      <c r="T829" t="s">
        <v>49</v>
      </c>
      <c r="U829" t="s">
        <v>35</v>
      </c>
      <c r="V829" t="s">
        <v>36</v>
      </c>
      <c r="W829" t="s">
        <v>37</v>
      </c>
      <c r="X829" s="24">
        <v>12.820512820512819</v>
      </c>
      <c r="Y829" s="24">
        <v>87.179487179487182</v>
      </c>
      <c r="Z829" t="s">
        <v>38</v>
      </c>
      <c r="AA829" t="s">
        <v>39</v>
      </c>
      <c r="AB829" t="s">
        <v>40</v>
      </c>
      <c r="AC829" s="24">
        <v>2.7299999999999991E-2</v>
      </c>
    </row>
    <row r="830" spans="1:29" x14ac:dyDescent="0.3">
      <c r="A830" s="2">
        <v>977</v>
      </c>
      <c r="B830" s="1">
        <v>40587</v>
      </c>
      <c r="C830" s="2">
        <v>1</v>
      </c>
      <c r="D830" s="2">
        <v>8</v>
      </c>
      <c r="E830" t="b">
        <v>0</v>
      </c>
      <c r="F830" s="2">
        <v>0</v>
      </c>
      <c r="G830" s="2">
        <v>2</v>
      </c>
      <c r="H830" s="23">
        <v>0.22</v>
      </c>
      <c r="I830" s="25">
        <v>0.2273</v>
      </c>
      <c r="J830" s="23">
        <v>0.64</v>
      </c>
      <c r="K830" s="25">
        <v>0.19400000000000001</v>
      </c>
      <c r="L830" s="2">
        <v>1</v>
      </c>
      <c r="M830" s="2">
        <v>11</v>
      </c>
      <c r="N830" s="2">
        <v>12</v>
      </c>
      <c r="O830" t="s">
        <v>29</v>
      </c>
      <c r="P830" t="s">
        <v>52</v>
      </c>
      <c r="Q830" t="s">
        <v>41</v>
      </c>
      <c r="R830" t="s">
        <v>42</v>
      </c>
      <c r="S830" t="s">
        <v>33</v>
      </c>
      <c r="T830" t="s">
        <v>49</v>
      </c>
      <c r="U830" t="s">
        <v>46</v>
      </c>
      <c r="V830" t="s">
        <v>36</v>
      </c>
      <c r="W830" t="s">
        <v>37</v>
      </c>
      <c r="X830" s="24">
        <v>8.3333333333333321</v>
      </c>
      <c r="Y830" s="24">
        <v>91.666666666666657</v>
      </c>
      <c r="Z830" t="s">
        <v>40</v>
      </c>
      <c r="AA830" t="s">
        <v>39</v>
      </c>
      <c r="AB830" t="s">
        <v>40</v>
      </c>
      <c r="AC830" s="24">
        <v>7.3000000000000009E-3</v>
      </c>
    </row>
    <row r="831" spans="1:29" x14ac:dyDescent="0.3">
      <c r="A831" s="2">
        <v>454</v>
      </c>
      <c r="B831" s="1">
        <v>40563</v>
      </c>
      <c r="C831" s="2">
        <v>1</v>
      </c>
      <c r="D831" s="2">
        <v>22</v>
      </c>
      <c r="E831" t="b">
        <v>0</v>
      </c>
      <c r="F831" s="2">
        <v>4</v>
      </c>
      <c r="G831" s="2">
        <v>2</v>
      </c>
      <c r="H831" s="23">
        <v>0.24</v>
      </c>
      <c r="I831" s="25">
        <v>0.21210000000000001</v>
      </c>
      <c r="J831" s="23">
        <v>0.65</v>
      </c>
      <c r="K831" s="25">
        <v>0.28360000000000002</v>
      </c>
      <c r="L831" s="2">
        <v>0</v>
      </c>
      <c r="M831" s="2">
        <v>56</v>
      </c>
      <c r="N831" s="2">
        <v>56</v>
      </c>
      <c r="O831" t="s">
        <v>29</v>
      </c>
      <c r="P831" t="s">
        <v>58</v>
      </c>
      <c r="Q831" t="s">
        <v>41</v>
      </c>
      <c r="R831" t="s">
        <v>32</v>
      </c>
      <c r="S831" t="s">
        <v>33</v>
      </c>
      <c r="T831" t="s">
        <v>49</v>
      </c>
      <c r="U831" t="s">
        <v>46</v>
      </c>
      <c r="V831" t="s">
        <v>36</v>
      </c>
      <c r="W831" t="s">
        <v>37</v>
      </c>
      <c r="X831" s="24">
        <v>0</v>
      </c>
      <c r="Y831" s="24">
        <v>100</v>
      </c>
      <c r="Z831" t="s">
        <v>38</v>
      </c>
      <c r="AA831" t="s">
        <v>39</v>
      </c>
      <c r="AB831" t="s">
        <v>38</v>
      </c>
      <c r="AC831" s="24">
        <v>-2.789999999999998E-2</v>
      </c>
    </row>
    <row r="832" spans="1:29" x14ac:dyDescent="0.3">
      <c r="A832" s="2">
        <v>831</v>
      </c>
      <c r="B832" s="1">
        <v>40581</v>
      </c>
      <c r="C832" s="2">
        <v>1</v>
      </c>
      <c r="D832" s="2">
        <v>1</v>
      </c>
      <c r="E832" t="b">
        <v>0</v>
      </c>
      <c r="F832" s="2">
        <v>1</v>
      </c>
      <c r="G832" s="2">
        <v>1</v>
      </c>
      <c r="H832" s="23">
        <v>0.22</v>
      </c>
      <c r="I832" s="25">
        <v>0.2727</v>
      </c>
      <c r="J832" s="23">
        <v>0.75</v>
      </c>
      <c r="K832" s="25">
        <v>0</v>
      </c>
      <c r="L832" s="2">
        <v>1</v>
      </c>
      <c r="M832" s="2">
        <v>4</v>
      </c>
      <c r="N832" s="2">
        <v>5</v>
      </c>
      <c r="O832" t="s">
        <v>29</v>
      </c>
      <c r="P832" t="s">
        <v>54</v>
      </c>
      <c r="Q832" t="s">
        <v>31</v>
      </c>
      <c r="R832" t="s">
        <v>32</v>
      </c>
      <c r="S832" t="s">
        <v>33</v>
      </c>
      <c r="T832" t="s">
        <v>34</v>
      </c>
      <c r="U832" t="s">
        <v>35</v>
      </c>
      <c r="V832" t="s">
        <v>36</v>
      </c>
      <c r="W832" t="s">
        <v>37</v>
      </c>
      <c r="X832" s="24">
        <v>20</v>
      </c>
      <c r="Y832" s="24">
        <v>80</v>
      </c>
      <c r="Z832" t="s">
        <v>38</v>
      </c>
      <c r="AA832" t="s">
        <v>39</v>
      </c>
      <c r="AB832" t="s">
        <v>38</v>
      </c>
      <c r="AC832" s="24">
        <v>5.2699999999999997E-2</v>
      </c>
    </row>
    <row r="833" spans="1:29" x14ac:dyDescent="0.3">
      <c r="A833" s="2">
        <v>832</v>
      </c>
      <c r="B833" s="1">
        <v>40581</v>
      </c>
      <c r="C833" s="2">
        <v>1</v>
      </c>
      <c r="D833" s="2">
        <v>2</v>
      </c>
      <c r="E833" t="b">
        <v>0</v>
      </c>
      <c r="F833" s="2">
        <v>1</v>
      </c>
      <c r="G833" s="2">
        <v>1</v>
      </c>
      <c r="H833" s="23">
        <v>0.2</v>
      </c>
      <c r="I833" s="25">
        <v>0.2576</v>
      </c>
      <c r="J833" s="23">
        <v>0.8</v>
      </c>
      <c r="K833" s="25">
        <v>0</v>
      </c>
      <c r="L833" s="2">
        <v>0</v>
      </c>
      <c r="M833" s="2">
        <v>3</v>
      </c>
      <c r="N833" s="2">
        <v>3</v>
      </c>
      <c r="O833" t="s">
        <v>29</v>
      </c>
      <c r="P833" t="s">
        <v>54</v>
      </c>
      <c r="Q833" t="s">
        <v>31</v>
      </c>
      <c r="R833" t="s">
        <v>32</v>
      </c>
      <c r="S833" t="s">
        <v>33</v>
      </c>
      <c r="T833" t="s">
        <v>34</v>
      </c>
      <c r="U833" t="s">
        <v>35</v>
      </c>
      <c r="V833" t="s">
        <v>36</v>
      </c>
      <c r="W833" t="s">
        <v>37</v>
      </c>
      <c r="X833" s="24">
        <v>0</v>
      </c>
      <c r="Y833" s="24">
        <v>100</v>
      </c>
      <c r="Z833" t="s">
        <v>38</v>
      </c>
      <c r="AA833" t="s">
        <v>39</v>
      </c>
      <c r="AB833" t="s">
        <v>38</v>
      </c>
      <c r="AC833" s="24">
        <v>5.7599999999999978E-2</v>
      </c>
    </row>
    <row r="834" spans="1:29" x14ac:dyDescent="0.3">
      <c r="A834" s="2">
        <v>833</v>
      </c>
      <c r="B834" s="1">
        <v>40581</v>
      </c>
      <c r="C834" s="2">
        <v>1</v>
      </c>
      <c r="D834" s="2">
        <v>3</v>
      </c>
      <c r="E834" t="b">
        <v>0</v>
      </c>
      <c r="F834" s="2">
        <v>1</v>
      </c>
      <c r="G834" s="2">
        <v>1</v>
      </c>
      <c r="H834" s="23">
        <v>0.2</v>
      </c>
      <c r="I834" s="25">
        <v>0.2576</v>
      </c>
      <c r="J834" s="23">
        <v>0.86</v>
      </c>
      <c r="K834" s="25">
        <v>0</v>
      </c>
      <c r="L834" s="2">
        <v>0</v>
      </c>
      <c r="M834" s="2">
        <v>1</v>
      </c>
      <c r="N834" s="2">
        <v>1</v>
      </c>
      <c r="O834" t="s">
        <v>29</v>
      </c>
      <c r="P834" t="s">
        <v>54</v>
      </c>
      <c r="Q834" t="s">
        <v>31</v>
      </c>
      <c r="R834" t="s">
        <v>32</v>
      </c>
      <c r="S834" t="s">
        <v>33</v>
      </c>
      <c r="T834" t="s">
        <v>34</v>
      </c>
      <c r="U834" t="s">
        <v>35</v>
      </c>
      <c r="V834" t="s">
        <v>36</v>
      </c>
      <c r="W834" t="s">
        <v>37</v>
      </c>
      <c r="X834" s="24">
        <v>0</v>
      </c>
      <c r="Y834" s="24">
        <v>100</v>
      </c>
      <c r="Z834" t="s">
        <v>38</v>
      </c>
      <c r="AA834" t="s">
        <v>39</v>
      </c>
      <c r="AB834" t="s">
        <v>38</v>
      </c>
      <c r="AC834" s="24">
        <v>5.7599999999999978E-2</v>
      </c>
    </row>
    <row r="835" spans="1:29" x14ac:dyDescent="0.3">
      <c r="A835" s="2">
        <v>834</v>
      </c>
      <c r="B835" s="1">
        <v>40581</v>
      </c>
      <c r="C835" s="2">
        <v>1</v>
      </c>
      <c r="D835" s="2">
        <v>4</v>
      </c>
      <c r="E835" t="b">
        <v>0</v>
      </c>
      <c r="F835" s="2">
        <v>1</v>
      </c>
      <c r="G835" s="2">
        <v>1</v>
      </c>
      <c r="H835" s="23">
        <v>0.2</v>
      </c>
      <c r="I835" s="25">
        <v>0.2576</v>
      </c>
      <c r="J835" s="23">
        <v>0.86</v>
      </c>
      <c r="K835" s="25">
        <v>0</v>
      </c>
      <c r="L835" s="2">
        <v>1</v>
      </c>
      <c r="M835" s="2">
        <v>1</v>
      </c>
      <c r="N835" s="2">
        <v>2</v>
      </c>
      <c r="O835" t="s">
        <v>29</v>
      </c>
      <c r="P835" t="s">
        <v>54</v>
      </c>
      <c r="Q835" t="s">
        <v>31</v>
      </c>
      <c r="R835" t="s">
        <v>32</v>
      </c>
      <c r="S835" t="s">
        <v>33</v>
      </c>
      <c r="T835" t="s">
        <v>34</v>
      </c>
      <c r="U835" t="s">
        <v>35</v>
      </c>
      <c r="V835" t="s">
        <v>36</v>
      </c>
      <c r="W835" t="s">
        <v>37</v>
      </c>
      <c r="X835" s="24">
        <v>50</v>
      </c>
      <c r="Y835" s="24">
        <v>50</v>
      </c>
      <c r="Z835" t="s">
        <v>38</v>
      </c>
      <c r="AA835" t="s">
        <v>39</v>
      </c>
      <c r="AB835" t="s">
        <v>38</v>
      </c>
      <c r="AC835" s="24">
        <v>5.7599999999999978E-2</v>
      </c>
    </row>
    <row r="836" spans="1:29" x14ac:dyDescent="0.3">
      <c r="A836" s="2">
        <v>835</v>
      </c>
      <c r="B836" s="1">
        <v>40581</v>
      </c>
      <c r="C836" s="2">
        <v>1</v>
      </c>
      <c r="D836" s="2">
        <v>5</v>
      </c>
      <c r="E836" t="b">
        <v>0</v>
      </c>
      <c r="F836" s="2">
        <v>1</v>
      </c>
      <c r="G836" s="2">
        <v>1</v>
      </c>
      <c r="H836" s="23">
        <v>0.2</v>
      </c>
      <c r="I836" s="25">
        <v>0.2576</v>
      </c>
      <c r="J836" s="23">
        <v>0.86</v>
      </c>
      <c r="K836" s="25">
        <v>0</v>
      </c>
      <c r="L836" s="2">
        <v>1</v>
      </c>
      <c r="M836" s="2">
        <v>9</v>
      </c>
      <c r="N836" s="2">
        <v>10</v>
      </c>
      <c r="O836" t="s">
        <v>29</v>
      </c>
      <c r="P836" t="s">
        <v>54</v>
      </c>
      <c r="Q836" t="s">
        <v>31</v>
      </c>
      <c r="R836" t="s">
        <v>32</v>
      </c>
      <c r="S836" t="s">
        <v>33</v>
      </c>
      <c r="T836" t="s">
        <v>34</v>
      </c>
      <c r="U836" t="s">
        <v>35</v>
      </c>
      <c r="V836" t="s">
        <v>36</v>
      </c>
      <c r="W836" t="s">
        <v>37</v>
      </c>
      <c r="X836" s="24">
        <v>10</v>
      </c>
      <c r="Y836" s="24">
        <v>90</v>
      </c>
      <c r="Z836" t="s">
        <v>38</v>
      </c>
      <c r="AA836" t="s">
        <v>39</v>
      </c>
      <c r="AB836" t="s">
        <v>38</v>
      </c>
      <c r="AC836" s="24">
        <v>5.7599999999999978E-2</v>
      </c>
    </row>
    <row r="837" spans="1:29" x14ac:dyDescent="0.3">
      <c r="A837" s="2">
        <v>836</v>
      </c>
      <c r="B837" s="1">
        <v>40581</v>
      </c>
      <c r="C837" s="2">
        <v>1</v>
      </c>
      <c r="D837" s="2">
        <v>6</v>
      </c>
      <c r="E837" t="b">
        <v>0</v>
      </c>
      <c r="F837" s="2">
        <v>1</v>
      </c>
      <c r="G837" s="2">
        <v>1</v>
      </c>
      <c r="H837" s="23">
        <v>0.18</v>
      </c>
      <c r="I837" s="25">
        <v>0.2424</v>
      </c>
      <c r="J837" s="23">
        <v>0.93</v>
      </c>
      <c r="K837" s="25">
        <v>0</v>
      </c>
      <c r="L837" s="2">
        <v>1</v>
      </c>
      <c r="M837" s="2">
        <v>29</v>
      </c>
      <c r="N837" s="2">
        <v>30</v>
      </c>
      <c r="O837" t="s">
        <v>29</v>
      </c>
      <c r="P837" t="s">
        <v>54</v>
      </c>
      <c r="Q837" t="s">
        <v>31</v>
      </c>
      <c r="R837" t="s">
        <v>42</v>
      </c>
      <c r="S837" t="s">
        <v>33</v>
      </c>
      <c r="T837" t="s">
        <v>34</v>
      </c>
      <c r="U837" t="s">
        <v>35</v>
      </c>
      <c r="V837" t="s">
        <v>36</v>
      </c>
      <c r="W837" t="s">
        <v>37</v>
      </c>
      <c r="X837" s="24">
        <v>3.333333333333333</v>
      </c>
      <c r="Y837" s="24">
        <v>96.666666666666671</v>
      </c>
      <c r="Z837" t="s">
        <v>38</v>
      </c>
      <c r="AA837" t="s">
        <v>39</v>
      </c>
      <c r="AB837" t="s">
        <v>38</v>
      </c>
      <c r="AC837" s="24">
        <v>6.2400000000000011E-2</v>
      </c>
    </row>
    <row r="838" spans="1:29" x14ac:dyDescent="0.3">
      <c r="A838" s="2">
        <v>837</v>
      </c>
      <c r="B838" s="1">
        <v>40581</v>
      </c>
      <c r="C838" s="2">
        <v>1</v>
      </c>
      <c r="D838" s="2">
        <v>7</v>
      </c>
      <c r="E838" t="b">
        <v>0</v>
      </c>
      <c r="F838" s="2">
        <v>1</v>
      </c>
      <c r="G838" s="2">
        <v>1</v>
      </c>
      <c r="H838" s="23">
        <v>0.18</v>
      </c>
      <c r="I838" s="25">
        <v>0.2424</v>
      </c>
      <c r="J838" s="23">
        <v>0.86</v>
      </c>
      <c r="K838" s="25">
        <v>0</v>
      </c>
      <c r="L838" s="2">
        <v>6</v>
      </c>
      <c r="M838" s="2">
        <v>89</v>
      </c>
      <c r="N838" s="2">
        <v>95</v>
      </c>
      <c r="O838" t="s">
        <v>29</v>
      </c>
      <c r="P838" t="s">
        <v>54</v>
      </c>
      <c r="Q838" t="s">
        <v>31</v>
      </c>
      <c r="R838" t="s">
        <v>42</v>
      </c>
      <c r="S838" t="s">
        <v>33</v>
      </c>
      <c r="T838" t="s">
        <v>34</v>
      </c>
      <c r="U838" t="s">
        <v>35</v>
      </c>
      <c r="V838" t="s">
        <v>36</v>
      </c>
      <c r="W838" t="s">
        <v>37</v>
      </c>
      <c r="X838" s="24">
        <v>6.3157894736842106</v>
      </c>
      <c r="Y838" s="24">
        <v>93.684210526315795</v>
      </c>
      <c r="Z838" t="s">
        <v>40</v>
      </c>
      <c r="AA838" t="s">
        <v>39</v>
      </c>
      <c r="AB838" t="s">
        <v>38</v>
      </c>
      <c r="AC838" s="24">
        <v>6.2400000000000011E-2</v>
      </c>
    </row>
    <row r="839" spans="1:29" x14ac:dyDescent="0.3">
      <c r="A839" s="2">
        <v>838</v>
      </c>
      <c r="B839" s="1">
        <v>40581</v>
      </c>
      <c r="C839" s="2">
        <v>1</v>
      </c>
      <c r="D839" s="2">
        <v>8</v>
      </c>
      <c r="E839" t="b">
        <v>0</v>
      </c>
      <c r="F839" s="2">
        <v>1</v>
      </c>
      <c r="G839" s="2">
        <v>2</v>
      </c>
      <c r="H839" s="23">
        <v>0.16</v>
      </c>
      <c r="I839" s="25">
        <v>0.2273</v>
      </c>
      <c r="J839" s="23">
        <v>1</v>
      </c>
      <c r="K839" s="25">
        <v>0</v>
      </c>
      <c r="L839" s="2">
        <v>7</v>
      </c>
      <c r="M839" s="2">
        <v>223</v>
      </c>
      <c r="N839" s="2">
        <v>230</v>
      </c>
      <c r="O839" t="s">
        <v>29</v>
      </c>
      <c r="P839" t="s">
        <v>54</v>
      </c>
      <c r="Q839" t="s">
        <v>41</v>
      </c>
      <c r="R839" t="s">
        <v>42</v>
      </c>
      <c r="S839" t="s">
        <v>33</v>
      </c>
      <c r="T839" t="s">
        <v>34</v>
      </c>
      <c r="U839" t="s">
        <v>35</v>
      </c>
      <c r="V839" t="s">
        <v>36</v>
      </c>
      <c r="W839" t="s">
        <v>37</v>
      </c>
      <c r="X839" s="24">
        <v>3.043478260869565</v>
      </c>
      <c r="Y839" s="24">
        <v>96.956521739130437</v>
      </c>
      <c r="Z839" t="s">
        <v>40</v>
      </c>
      <c r="AA839" t="s">
        <v>49</v>
      </c>
      <c r="AB839" t="s">
        <v>38</v>
      </c>
      <c r="AC839" s="24">
        <v>6.7299999999999999E-2</v>
      </c>
    </row>
    <row r="840" spans="1:29" x14ac:dyDescent="0.3">
      <c r="A840" s="2">
        <v>839</v>
      </c>
      <c r="B840" s="1">
        <v>40581</v>
      </c>
      <c r="C840" s="2">
        <v>1</v>
      </c>
      <c r="D840" s="2">
        <v>9</v>
      </c>
      <c r="E840" t="b">
        <v>0</v>
      </c>
      <c r="F840" s="2">
        <v>1</v>
      </c>
      <c r="G840" s="2">
        <v>1</v>
      </c>
      <c r="H840" s="23">
        <v>0.22</v>
      </c>
      <c r="I840" s="25">
        <v>0.2727</v>
      </c>
      <c r="J840" s="23">
        <v>0.8</v>
      </c>
      <c r="K840" s="25">
        <v>0</v>
      </c>
      <c r="L840" s="2">
        <v>3</v>
      </c>
      <c r="M840" s="2">
        <v>115</v>
      </c>
      <c r="N840" s="2">
        <v>118</v>
      </c>
      <c r="O840" t="s">
        <v>29</v>
      </c>
      <c r="P840" t="s">
        <v>54</v>
      </c>
      <c r="Q840" t="s">
        <v>31</v>
      </c>
      <c r="R840" t="s">
        <v>42</v>
      </c>
      <c r="S840" t="s">
        <v>33</v>
      </c>
      <c r="T840" t="s">
        <v>34</v>
      </c>
      <c r="U840" t="s">
        <v>35</v>
      </c>
      <c r="V840" t="s">
        <v>36</v>
      </c>
      <c r="W840" t="s">
        <v>37</v>
      </c>
      <c r="X840" s="24">
        <v>2.542372881355933</v>
      </c>
      <c r="Y840" s="24">
        <v>97.457627118644069</v>
      </c>
      <c r="Z840" t="s">
        <v>40</v>
      </c>
      <c r="AA840" t="s">
        <v>49</v>
      </c>
      <c r="AB840" t="s">
        <v>38</v>
      </c>
      <c r="AC840" s="24">
        <v>5.2699999999999997E-2</v>
      </c>
    </row>
    <row r="841" spans="1:29" x14ac:dyDescent="0.3">
      <c r="A841" s="2">
        <v>840</v>
      </c>
      <c r="B841" s="1">
        <v>40581</v>
      </c>
      <c r="C841" s="2">
        <v>1</v>
      </c>
      <c r="D841" s="2">
        <v>10</v>
      </c>
      <c r="E841" t="b">
        <v>0</v>
      </c>
      <c r="F841" s="2">
        <v>1</v>
      </c>
      <c r="G841" s="2">
        <v>1</v>
      </c>
      <c r="H841" s="23">
        <v>0.24</v>
      </c>
      <c r="I841" s="25">
        <v>0.2576</v>
      </c>
      <c r="J841" s="23">
        <v>0.75</v>
      </c>
      <c r="K841" s="25">
        <v>0.1045</v>
      </c>
      <c r="L841" s="2">
        <v>6</v>
      </c>
      <c r="M841" s="2">
        <v>49</v>
      </c>
      <c r="N841" s="2">
        <v>55</v>
      </c>
      <c r="O841" t="s">
        <v>29</v>
      </c>
      <c r="P841" t="s">
        <v>54</v>
      </c>
      <c r="Q841" t="s">
        <v>31</v>
      </c>
      <c r="R841" t="s">
        <v>42</v>
      </c>
      <c r="S841" t="s">
        <v>33</v>
      </c>
      <c r="T841" t="s">
        <v>34</v>
      </c>
      <c r="U841" t="s">
        <v>35</v>
      </c>
      <c r="V841" t="s">
        <v>36</v>
      </c>
      <c r="W841" t="s">
        <v>37</v>
      </c>
      <c r="X841" s="24">
        <v>10.90909090909091</v>
      </c>
      <c r="Y841" s="24">
        <v>89.090909090909093</v>
      </c>
      <c r="Z841" t="s">
        <v>38</v>
      </c>
      <c r="AA841" t="s">
        <v>39</v>
      </c>
      <c r="AB841" t="s">
        <v>38</v>
      </c>
      <c r="AC841" s="24">
        <v>1.7600000000000001E-2</v>
      </c>
    </row>
    <row r="842" spans="1:29" x14ac:dyDescent="0.3">
      <c r="A842" s="2">
        <v>455</v>
      </c>
      <c r="B842" s="1">
        <v>40563</v>
      </c>
      <c r="C842" s="2">
        <v>1</v>
      </c>
      <c r="D842" s="2">
        <v>23</v>
      </c>
      <c r="E842" t="b">
        <v>0</v>
      </c>
      <c r="F842" s="2">
        <v>4</v>
      </c>
      <c r="G842" s="2">
        <v>2</v>
      </c>
      <c r="H842" s="23">
        <v>0.24</v>
      </c>
      <c r="I842" s="25">
        <v>0.21210000000000001</v>
      </c>
      <c r="J842" s="23">
        <v>0.65</v>
      </c>
      <c r="K842" s="25">
        <v>0.32840000000000003</v>
      </c>
      <c r="L842" s="2">
        <v>3</v>
      </c>
      <c r="M842" s="2">
        <v>28</v>
      </c>
      <c r="N842" s="2">
        <v>31</v>
      </c>
      <c r="O842" t="s">
        <v>29</v>
      </c>
      <c r="P842" t="s">
        <v>58</v>
      </c>
      <c r="Q842" t="s">
        <v>41</v>
      </c>
      <c r="R842" t="s">
        <v>32</v>
      </c>
      <c r="S842" t="s">
        <v>33</v>
      </c>
      <c r="T842" t="s">
        <v>49</v>
      </c>
      <c r="U842" t="s">
        <v>53</v>
      </c>
      <c r="V842" t="s">
        <v>36</v>
      </c>
      <c r="W842" t="s">
        <v>37</v>
      </c>
      <c r="X842" s="24">
        <v>9.67741935483871</v>
      </c>
      <c r="Y842" s="24">
        <v>90.322580645161281</v>
      </c>
      <c r="Z842" t="s">
        <v>38</v>
      </c>
      <c r="AA842" t="s">
        <v>39</v>
      </c>
      <c r="AB842" t="s">
        <v>38</v>
      </c>
      <c r="AC842" s="24">
        <v>-2.789999999999998E-2</v>
      </c>
    </row>
    <row r="843" spans="1:29" x14ac:dyDescent="0.3">
      <c r="A843" s="2">
        <v>567</v>
      </c>
      <c r="B843" s="1">
        <v>40568</v>
      </c>
      <c r="C843" s="2">
        <v>1</v>
      </c>
      <c r="D843" s="2">
        <v>19</v>
      </c>
      <c r="E843" t="b">
        <v>0</v>
      </c>
      <c r="F843" s="2">
        <v>2</v>
      </c>
      <c r="G843" s="2">
        <v>2</v>
      </c>
      <c r="H843" s="23">
        <v>0.26</v>
      </c>
      <c r="I843" s="25">
        <v>0.2576</v>
      </c>
      <c r="J843" s="23">
        <v>0.65</v>
      </c>
      <c r="K843" s="25">
        <v>0.16420000000000001</v>
      </c>
      <c r="L843" s="2">
        <v>13</v>
      </c>
      <c r="M843" s="2">
        <v>133</v>
      </c>
      <c r="N843" s="2">
        <v>146</v>
      </c>
      <c r="O843" t="s">
        <v>29</v>
      </c>
      <c r="P843" t="s">
        <v>56</v>
      </c>
      <c r="Q843" t="s">
        <v>41</v>
      </c>
      <c r="R843" t="s">
        <v>50</v>
      </c>
      <c r="S843" t="s">
        <v>44</v>
      </c>
      <c r="T843" t="s">
        <v>49</v>
      </c>
      <c r="U843" t="s">
        <v>46</v>
      </c>
      <c r="V843" t="s">
        <v>36</v>
      </c>
      <c r="W843" t="s">
        <v>37</v>
      </c>
      <c r="X843" s="24">
        <v>8.9041095890410951</v>
      </c>
      <c r="Y843" s="24">
        <v>91.095890410958901</v>
      </c>
      <c r="Z843" t="s">
        <v>40</v>
      </c>
      <c r="AA843" t="s">
        <v>49</v>
      </c>
      <c r="AB843" t="s">
        <v>38</v>
      </c>
      <c r="AC843" s="24">
        <v>-2.4000000000000128E-3</v>
      </c>
    </row>
    <row r="844" spans="1:29" x14ac:dyDescent="0.3">
      <c r="A844" s="2">
        <v>568</v>
      </c>
      <c r="B844" s="1">
        <v>40568</v>
      </c>
      <c r="C844" s="2">
        <v>1</v>
      </c>
      <c r="D844" s="2">
        <v>20</v>
      </c>
      <c r="E844" t="b">
        <v>0</v>
      </c>
      <c r="F844" s="2">
        <v>2</v>
      </c>
      <c r="G844" s="2">
        <v>1</v>
      </c>
      <c r="H844" s="23">
        <v>0.24</v>
      </c>
      <c r="I844" s="25">
        <v>0.2273</v>
      </c>
      <c r="J844" s="23">
        <v>0.65</v>
      </c>
      <c r="K844" s="25">
        <v>0.19400000000000001</v>
      </c>
      <c r="L844" s="2">
        <v>16</v>
      </c>
      <c r="M844" s="2">
        <v>103</v>
      </c>
      <c r="N844" s="2">
        <v>119</v>
      </c>
      <c r="O844" t="s">
        <v>29</v>
      </c>
      <c r="P844" t="s">
        <v>56</v>
      </c>
      <c r="Q844" t="s">
        <v>31</v>
      </c>
      <c r="R844" t="s">
        <v>50</v>
      </c>
      <c r="S844" t="s">
        <v>33</v>
      </c>
      <c r="T844" t="s">
        <v>49</v>
      </c>
      <c r="U844" t="s">
        <v>46</v>
      </c>
      <c r="V844" t="s">
        <v>36</v>
      </c>
      <c r="W844" t="s">
        <v>37</v>
      </c>
      <c r="X844" s="24">
        <v>13.445378151260501</v>
      </c>
      <c r="Y844" s="24">
        <v>86.554621848739501</v>
      </c>
      <c r="Z844" t="s">
        <v>38</v>
      </c>
      <c r="AA844" t="s">
        <v>49</v>
      </c>
      <c r="AB844" t="s">
        <v>38</v>
      </c>
      <c r="AC844" s="24">
        <v>-1.2699999999999991E-2</v>
      </c>
    </row>
    <row r="845" spans="1:29" x14ac:dyDescent="0.3">
      <c r="A845" s="2">
        <v>569</v>
      </c>
      <c r="B845" s="1">
        <v>40568</v>
      </c>
      <c r="C845" s="2">
        <v>1</v>
      </c>
      <c r="D845" s="2">
        <v>21</v>
      </c>
      <c r="E845" t="b">
        <v>0</v>
      </c>
      <c r="F845" s="2">
        <v>2</v>
      </c>
      <c r="G845" s="2">
        <v>1</v>
      </c>
      <c r="H845" s="23">
        <v>0.24</v>
      </c>
      <c r="I845" s="25">
        <v>0.2273</v>
      </c>
      <c r="J845" s="23">
        <v>0.65</v>
      </c>
      <c r="K845" s="25">
        <v>0.19400000000000001</v>
      </c>
      <c r="L845" s="2">
        <v>5</v>
      </c>
      <c r="M845" s="2">
        <v>40</v>
      </c>
      <c r="N845" s="2">
        <v>45</v>
      </c>
      <c r="O845" t="s">
        <v>29</v>
      </c>
      <c r="P845" t="s">
        <v>56</v>
      </c>
      <c r="Q845" t="s">
        <v>31</v>
      </c>
      <c r="R845" t="s">
        <v>32</v>
      </c>
      <c r="S845" t="s">
        <v>33</v>
      </c>
      <c r="T845" t="s">
        <v>49</v>
      </c>
      <c r="U845" t="s">
        <v>46</v>
      </c>
      <c r="V845" t="s">
        <v>36</v>
      </c>
      <c r="W845" t="s">
        <v>37</v>
      </c>
      <c r="X845" s="24">
        <v>11.111111111111111</v>
      </c>
      <c r="Y845" s="24">
        <v>88.888888888888886</v>
      </c>
      <c r="Z845" t="s">
        <v>38</v>
      </c>
      <c r="AA845" t="s">
        <v>39</v>
      </c>
      <c r="AB845" t="s">
        <v>38</v>
      </c>
      <c r="AC845" s="24">
        <v>-1.2699999999999991E-2</v>
      </c>
    </row>
    <row r="846" spans="1:29" x14ac:dyDescent="0.3">
      <c r="A846" s="2">
        <v>573</v>
      </c>
      <c r="B846" s="1">
        <v>40569</v>
      </c>
      <c r="C846" s="2">
        <v>1</v>
      </c>
      <c r="D846" s="2">
        <v>1</v>
      </c>
      <c r="E846" t="b">
        <v>0</v>
      </c>
      <c r="F846" s="2">
        <v>3</v>
      </c>
      <c r="G846" s="2">
        <v>2</v>
      </c>
      <c r="H846" s="23">
        <v>0.24</v>
      </c>
      <c r="I846" s="25">
        <v>0.2424</v>
      </c>
      <c r="J846" s="23">
        <v>0.65</v>
      </c>
      <c r="K846" s="25">
        <v>0.1343</v>
      </c>
      <c r="L846" s="2">
        <v>0</v>
      </c>
      <c r="M846" s="2">
        <v>5</v>
      </c>
      <c r="N846" s="2">
        <v>5</v>
      </c>
      <c r="O846" t="s">
        <v>29</v>
      </c>
      <c r="P846" t="s">
        <v>57</v>
      </c>
      <c r="Q846" t="s">
        <v>41</v>
      </c>
      <c r="R846" t="s">
        <v>32</v>
      </c>
      <c r="S846" t="s">
        <v>33</v>
      </c>
      <c r="T846" t="s">
        <v>49</v>
      </c>
      <c r="U846" t="s">
        <v>35</v>
      </c>
      <c r="V846" t="s">
        <v>36</v>
      </c>
      <c r="W846" t="s">
        <v>37</v>
      </c>
      <c r="X846" s="24">
        <v>0</v>
      </c>
      <c r="Y846" s="24">
        <v>100</v>
      </c>
      <c r="Z846" t="s">
        <v>38</v>
      </c>
      <c r="AA846" t="s">
        <v>39</v>
      </c>
      <c r="AB846" t="s">
        <v>38</v>
      </c>
      <c r="AC846" s="24">
        <v>2.4000000000000128E-3</v>
      </c>
    </row>
    <row r="847" spans="1:29" x14ac:dyDescent="0.3">
      <c r="A847" s="2">
        <v>617</v>
      </c>
      <c r="B847" s="1">
        <v>40571</v>
      </c>
      <c r="C847" s="2">
        <v>1</v>
      </c>
      <c r="D847" s="2">
        <v>22</v>
      </c>
      <c r="E847" t="b">
        <v>0</v>
      </c>
      <c r="F847" s="2">
        <v>5</v>
      </c>
      <c r="G847" s="2">
        <v>1</v>
      </c>
      <c r="H847" s="23">
        <v>0.24</v>
      </c>
      <c r="I847" s="25">
        <v>0.21210000000000001</v>
      </c>
      <c r="J847" s="23">
        <v>0.65</v>
      </c>
      <c r="K847" s="25">
        <v>0.35820000000000002</v>
      </c>
      <c r="L847" s="2">
        <v>0</v>
      </c>
      <c r="M847" s="2">
        <v>26</v>
      </c>
      <c r="N847" s="2">
        <v>26</v>
      </c>
      <c r="O847" t="s">
        <v>29</v>
      </c>
      <c r="P847" t="s">
        <v>59</v>
      </c>
      <c r="Q847" t="s">
        <v>31</v>
      </c>
      <c r="R847" t="s">
        <v>32</v>
      </c>
      <c r="S847" t="s">
        <v>33</v>
      </c>
      <c r="T847" t="s">
        <v>49</v>
      </c>
      <c r="U847" t="s">
        <v>53</v>
      </c>
      <c r="V847" t="s">
        <v>36</v>
      </c>
      <c r="W847" t="s">
        <v>37</v>
      </c>
      <c r="X847" s="24">
        <v>0</v>
      </c>
      <c r="Y847" s="24">
        <v>100</v>
      </c>
      <c r="Z847" t="s">
        <v>38</v>
      </c>
      <c r="AA847" t="s">
        <v>39</v>
      </c>
      <c r="AB847" t="s">
        <v>38</v>
      </c>
      <c r="AC847" s="24">
        <v>-2.789999999999998E-2</v>
      </c>
    </row>
    <row r="848" spans="1:29" x14ac:dyDescent="0.3">
      <c r="A848" s="2">
        <v>847</v>
      </c>
      <c r="B848" s="1">
        <v>40581</v>
      </c>
      <c r="C848" s="2">
        <v>1</v>
      </c>
      <c r="D848" s="2">
        <v>17</v>
      </c>
      <c r="E848" t="b">
        <v>0</v>
      </c>
      <c r="F848" s="2">
        <v>1</v>
      </c>
      <c r="G848" s="2">
        <v>2</v>
      </c>
      <c r="H848" s="23">
        <v>0.32</v>
      </c>
      <c r="I848" s="25">
        <v>0.31819999999999998</v>
      </c>
      <c r="J848" s="23">
        <v>0.7</v>
      </c>
      <c r="K848" s="25">
        <v>0.16420000000000001</v>
      </c>
      <c r="L848" s="2">
        <v>9</v>
      </c>
      <c r="M848" s="2">
        <v>207</v>
      </c>
      <c r="N848" s="2">
        <v>216</v>
      </c>
      <c r="O848" t="s">
        <v>29</v>
      </c>
      <c r="P848" t="s">
        <v>54</v>
      </c>
      <c r="Q848" t="s">
        <v>41</v>
      </c>
      <c r="R848" t="s">
        <v>50</v>
      </c>
      <c r="S848" t="s">
        <v>44</v>
      </c>
      <c r="T848" t="s">
        <v>34</v>
      </c>
      <c r="U848" t="s">
        <v>46</v>
      </c>
      <c r="V848" t="s">
        <v>36</v>
      </c>
      <c r="W848" t="s">
        <v>37</v>
      </c>
      <c r="X848" s="24">
        <v>4.1666666666666661</v>
      </c>
      <c r="Y848" s="24">
        <v>95.833333333333343</v>
      </c>
      <c r="Z848" t="s">
        <v>40</v>
      </c>
      <c r="AA848" t="s">
        <v>49</v>
      </c>
      <c r="AB848" t="s">
        <v>38</v>
      </c>
      <c r="AC848" s="24">
        <v>-1.800000000000024E-3</v>
      </c>
    </row>
    <row r="849" spans="1:29" x14ac:dyDescent="0.3">
      <c r="A849" s="2">
        <v>659</v>
      </c>
      <c r="B849" s="1">
        <v>40573</v>
      </c>
      <c r="C849" s="2">
        <v>1</v>
      </c>
      <c r="D849" s="2">
        <v>18</v>
      </c>
      <c r="E849" t="b">
        <v>0</v>
      </c>
      <c r="F849" s="2">
        <v>0</v>
      </c>
      <c r="G849" s="2">
        <v>1</v>
      </c>
      <c r="H849" s="23">
        <v>0.26</v>
      </c>
      <c r="I849" s="25">
        <v>0.2576</v>
      </c>
      <c r="J849" s="23">
        <v>0.65</v>
      </c>
      <c r="K849" s="25">
        <v>0.16420000000000001</v>
      </c>
      <c r="L849" s="2">
        <v>8</v>
      </c>
      <c r="M849" s="2">
        <v>57</v>
      </c>
      <c r="N849" s="2">
        <v>65</v>
      </c>
      <c r="O849" t="s">
        <v>29</v>
      </c>
      <c r="P849" t="s">
        <v>52</v>
      </c>
      <c r="Q849" t="s">
        <v>31</v>
      </c>
      <c r="R849" t="s">
        <v>50</v>
      </c>
      <c r="S849" t="s">
        <v>44</v>
      </c>
      <c r="T849" t="s">
        <v>49</v>
      </c>
      <c r="U849" t="s">
        <v>46</v>
      </c>
      <c r="V849" t="s">
        <v>36</v>
      </c>
      <c r="W849" t="s">
        <v>37</v>
      </c>
      <c r="X849" s="24">
        <v>12.30769230769231</v>
      </c>
      <c r="Y849" s="24">
        <v>87.692307692307693</v>
      </c>
      <c r="Z849" t="s">
        <v>40</v>
      </c>
      <c r="AA849" t="s">
        <v>39</v>
      </c>
      <c r="AB849" t="s">
        <v>40</v>
      </c>
      <c r="AC849" s="24">
        <v>-2.4000000000000128E-3</v>
      </c>
    </row>
    <row r="850" spans="1:29" x14ac:dyDescent="0.3">
      <c r="A850" s="2">
        <v>849</v>
      </c>
      <c r="B850" s="1">
        <v>40581</v>
      </c>
      <c r="C850" s="2">
        <v>1</v>
      </c>
      <c r="D850" s="2">
        <v>19</v>
      </c>
      <c r="E850" t="b">
        <v>0</v>
      </c>
      <c r="F850" s="2">
        <v>1</v>
      </c>
      <c r="G850" s="2">
        <v>2</v>
      </c>
      <c r="H850" s="23">
        <v>0.32</v>
      </c>
      <c r="I850" s="25">
        <v>0.34849999999999998</v>
      </c>
      <c r="J850" s="23">
        <v>0.7</v>
      </c>
      <c r="K850" s="25">
        <v>0</v>
      </c>
      <c r="L850" s="2">
        <v>5</v>
      </c>
      <c r="M850" s="2">
        <v>123</v>
      </c>
      <c r="N850" s="2">
        <v>128</v>
      </c>
      <c r="O850" t="s">
        <v>29</v>
      </c>
      <c r="P850" t="s">
        <v>54</v>
      </c>
      <c r="Q850" t="s">
        <v>41</v>
      </c>
      <c r="R850" t="s">
        <v>50</v>
      </c>
      <c r="S850" t="s">
        <v>44</v>
      </c>
      <c r="T850" t="s">
        <v>34</v>
      </c>
      <c r="U850" t="s">
        <v>35</v>
      </c>
      <c r="V850" t="s">
        <v>36</v>
      </c>
      <c r="W850" t="s">
        <v>37</v>
      </c>
      <c r="X850" s="24">
        <v>3.90625</v>
      </c>
      <c r="Y850" s="24">
        <v>96.09375</v>
      </c>
      <c r="Z850" t="s">
        <v>40</v>
      </c>
      <c r="AA850" t="s">
        <v>49</v>
      </c>
      <c r="AB850" t="s">
        <v>38</v>
      </c>
      <c r="AC850" s="24">
        <v>2.849999999999997E-2</v>
      </c>
    </row>
    <row r="851" spans="1:29" x14ac:dyDescent="0.3">
      <c r="A851" s="2">
        <v>850</v>
      </c>
      <c r="B851" s="1">
        <v>40581</v>
      </c>
      <c r="C851" s="2">
        <v>1</v>
      </c>
      <c r="D851" s="2">
        <v>20</v>
      </c>
      <c r="E851" t="b">
        <v>0</v>
      </c>
      <c r="F851" s="2">
        <v>1</v>
      </c>
      <c r="G851" s="2">
        <v>2</v>
      </c>
      <c r="H851" s="23">
        <v>0.32</v>
      </c>
      <c r="I851" s="25">
        <v>0.33329999999999999</v>
      </c>
      <c r="J851" s="23">
        <v>0.7</v>
      </c>
      <c r="K851" s="25">
        <v>0.1045</v>
      </c>
      <c r="L851" s="2">
        <v>6</v>
      </c>
      <c r="M851" s="2">
        <v>82</v>
      </c>
      <c r="N851" s="2">
        <v>88</v>
      </c>
      <c r="O851" t="s">
        <v>29</v>
      </c>
      <c r="P851" t="s">
        <v>54</v>
      </c>
      <c r="Q851" t="s">
        <v>41</v>
      </c>
      <c r="R851" t="s">
        <v>50</v>
      </c>
      <c r="S851" t="s">
        <v>44</v>
      </c>
      <c r="T851" t="s">
        <v>34</v>
      </c>
      <c r="U851" t="s">
        <v>35</v>
      </c>
      <c r="V851" t="s">
        <v>36</v>
      </c>
      <c r="W851" t="s">
        <v>37</v>
      </c>
      <c r="X851" s="24">
        <v>6.8181818181818166</v>
      </c>
      <c r="Y851" s="24">
        <v>93.181818181818173</v>
      </c>
      <c r="Z851" t="s">
        <v>38</v>
      </c>
      <c r="AA851" t="s">
        <v>39</v>
      </c>
      <c r="AB851" t="s">
        <v>38</v>
      </c>
      <c r="AC851" s="24">
        <v>1.329999999999998E-2</v>
      </c>
    </row>
    <row r="852" spans="1:29" x14ac:dyDescent="0.3">
      <c r="A852" s="2">
        <v>851</v>
      </c>
      <c r="B852" s="1">
        <v>40581</v>
      </c>
      <c r="C852" s="2">
        <v>1</v>
      </c>
      <c r="D852" s="2">
        <v>21</v>
      </c>
      <c r="E852" t="b">
        <v>0</v>
      </c>
      <c r="F852" s="2">
        <v>1</v>
      </c>
      <c r="G852" s="2">
        <v>1</v>
      </c>
      <c r="H852" s="23">
        <v>0.32</v>
      </c>
      <c r="I852" s="25">
        <v>0.34849999999999998</v>
      </c>
      <c r="J852" s="23">
        <v>0.7</v>
      </c>
      <c r="K852" s="25">
        <v>0</v>
      </c>
      <c r="L852" s="2">
        <v>3</v>
      </c>
      <c r="M852" s="2">
        <v>75</v>
      </c>
      <c r="N852" s="2">
        <v>78</v>
      </c>
      <c r="O852" t="s">
        <v>29</v>
      </c>
      <c r="P852" t="s">
        <v>54</v>
      </c>
      <c r="Q852" t="s">
        <v>31</v>
      </c>
      <c r="R852" t="s">
        <v>32</v>
      </c>
      <c r="S852" t="s">
        <v>44</v>
      </c>
      <c r="T852" t="s">
        <v>34</v>
      </c>
      <c r="U852" t="s">
        <v>35</v>
      </c>
      <c r="V852" t="s">
        <v>36</v>
      </c>
      <c r="W852" t="s">
        <v>37</v>
      </c>
      <c r="X852" s="24">
        <v>3.8461538461538458</v>
      </c>
      <c r="Y852" s="24">
        <v>96.15384615384616</v>
      </c>
      <c r="Z852" t="s">
        <v>38</v>
      </c>
      <c r="AA852" t="s">
        <v>39</v>
      </c>
      <c r="AB852" t="s">
        <v>38</v>
      </c>
      <c r="AC852" s="24">
        <v>2.849999999999997E-2</v>
      </c>
    </row>
    <row r="853" spans="1:29" x14ac:dyDescent="0.3">
      <c r="A853" s="2">
        <v>852</v>
      </c>
      <c r="B853" s="1">
        <v>40581</v>
      </c>
      <c r="C853" s="2">
        <v>1</v>
      </c>
      <c r="D853" s="2">
        <v>22</v>
      </c>
      <c r="E853" t="b">
        <v>0</v>
      </c>
      <c r="F853" s="2">
        <v>1</v>
      </c>
      <c r="G853" s="2">
        <v>1</v>
      </c>
      <c r="H853" s="23">
        <v>0.28000000000000003</v>
      </c>
      <c r="I853" s="25">
        <v>0.30299999999999999</v>
      </c>
      <c r="J853" s="23">
        <v>0.81</v>
      </c>
      <c r="K853" s="25">
        <v>8.9599999999999999E-2</v>
      </c>
      <c r="L853" s="2">
        <v>3</v>
      </c>
      <c r="M853" s="2">
        <v>34</v>
      </c>
      <c r="N853" s="2">
        <v>37</v>
      </c>
      <c r="O853" t="s">
        <v>29</v>
      </c>
      <c r="P853" t="s">
        <v>54</v>
      </c>
      <c r="Q853" t="s">
        <v>31</v>
      </c>
      <c r="R853" t="s">
        <v>32</v>
      </c>
      <c r="S853" t="s">
        <v>44</v>
      </c>
      <c r="T853" t="s">
        <v>34</v>
      </c>
      <c r="U853" t="s">
        <v>35</v>
      </c>
      <c r="V853" t="s">
        <v>36</v>
      </c>
      <c r="W853" t="s">
        <v>37</v>
      </c>
      <c r="X853" s="24">
        <v>8.1081081081081088</v>
      </c>
      <c r="Y853" s="24">
        <v>91.891891891891902</v>
      </c>
      <c r="Z853" t="s">
        <v>38</v>
      </c>
      <c r="AA853" t="s">
        <v>39</v>
      </c>
      <c r="AB853" t="s">
        <v>38</v>
      </c>
      <c r="AC853" s="24">
        <v>2.2999999999999961E-2</v>
      </c>
    </row>
    <row r="854" spans="1:29" x14ac:dyDescent="0.3">
      <c r="A854" s="2">
        <v>853</v>
      </c>
      <c r="B854" s="1">
        <v>40581</v>
      </c>
      <c r="C854" s="2">
        <v>1</v>
      </c>
      <c r="D854" s="2">
        <v>23</v>
      </c>
      <c r="E854" t="b">
        <v>0</v>
      </c>
      <c r="F854" s="2">
        <v>1</v>
      </c>
      <c r="G854" s="2">
        <v>2</v>
      </c>
      <c r="H854" s="23">
        <v>0.3</v>
      </c>
      <c r="I854" s="25">
        <v>0.33329999999999999</v>
      </c>
      <c r="J854" s="23">
        <v>0.81</v>
      </c>
      <c r="K854" s="25">
        <v>0</v>
      </c>
      <c r="L854" s="2">
        <v>6</v>
      </c>
      <c r="M854" s="2">
        <v>19</v>
      </c>
      <c r="N854" s="2">
        <v>25</v>
      </c>
      <c r="O854" t="s">
        <v>29</v>
      </c>
      <c r="P854" t="s">
        <v>54</v>
      </c>
      <c r="Q854" t="s">
        <v>41</v>
      </c>
      <c r="R854" t="s">
        <v>32</v>
      </c>
      <c r="S854" t="s">
        <v>44</v>
      </c>
      <c r="T854" t="s">
        <v>34</v>
      </c>
      <c r="U854" t="s">
        <v>35</v>
      </c>
      <c r="V854" t="s">
        <v>36</v>
      </c>
      <c r="W854" t="s">
        <v>37</v>
      </c>
      <c r="X854" s="24">
        <v>24</v>
      </c>
      <c r="Y854" s="24">
        <v>76</v>
      </c>
      <c r="Z854" t="s">
        <v>38</v>
      </c>
      <c r="AA854" t="s">
        <v>39</v>
      </c>
      <c r="AB854" t="s">
        <v>38</v>
      </c>
      <c r="AC854" s="24">
        <v>3.3300000000000003E-2</v>
      </c>
    </row>
    <row r="855" spans="1:29" x14ac:dyDescent="0.3">
      <c r="A855" s="2">
        <v>854</v>
      </c>
      <c r="B855" s="1">
        <v>40582</v>
      </c>
      <c r="C855" s="2">
        <v>1</v>
      </c>
      <c r="D855" s="2">
        <v>0</v>
      </c>
      <c r="E855" t="b">
        <v>0</v>
      </c>
      <c r="F855" s="2">
        <v>2</v>
      </c>
      <c r="G855" s="2">
        <v>2</v>
      </c>
      <c r="H855" s="23">
        <v>0.28000000000000003</v>
      </c>
      <c r="I855" s="25">
        <v>0.31819999999999998</v>
      </c>
      <c r="J855" s="23">
        <v>0.87</v>
      </c>
      <c r="K855" s="25">
        <v>0</v>
      </c>
      <c r="L855" s="2">
        <v>4</v>
      </c>
      <c r="M855" s="2">
        <v>6</v>
      </c>
      <c r="N855" s="2">
        <v>10</v>
      </c>
      <c r="O855" t="s">
        <v>29</v>
      </c>
      <c r="P855" t="s">
        <v>56</v>
      </c>
      <c r="Q855" t="s">
        <v>41</v>
      </c>
      <c r="R855" t="s">
        <v>32</v>
      </c>
      <c r="S855" t="s">
        <v>44</v>
      </c>
      <c r="T855" t="s">
        <v>34</v>
      </c>
      <c r="U855" t="s">
        <v>35</v>
      </c>
      <c r="V855" t="s">
        <v>36</v>
      </c>
      <c r="W855" t="s">
        <v>37</v>
      </c>
      <c r="X855" s="24">
        <v>40</v>
      </c>
      <c r="Y855" s="24">
        <v>60</v>
      </c>
      <c r="Z855" t="s">
        <v>38</v>
      </c>
      <c r="AA855" t="s">
        <v>39</v>
      </c>
      <c r="AB855" t="s">
        <v>38</v>
      </c>
      <c r="AC855" s="24">
        <v>3.8199999999999963E-2</v>
      </c>
    </row>
    <row r="856" spans="1:29" x14ac:dyDescent="0.3">
      <c r="A856" s="2">
        <v>855</v>
      </c>
      <c r="B856" s="1">
        <v>40582</v>
      </c>
      <c r="C856" s="2">
        <v>1</v>
      </c>
      <c r="D856" s="2">
        <v>1</v>
      </c>
      <c r="E856" t="b">
        <v>0</v>
      </c>
      <c r="F856" s="2">
        <v>2</v>
      </c>
      <c r="G856" s="2">
        <v>2</v>
      </c>
      <c r="H856" s="23">
        <v>0.28000000000000003</v>
      </c>
      <c r="I856" s="25">
        <v>0.31819999999999998</v>
      </c>
      <c r="J856" s="23">
        <v>0.87</v>
      </c>
      <c r="K856" s="25">
        <v>0</v>
      </c>
      <c r="L856" s="2">
        <v>0</v>
      </c>
      <c r="M856" s="2">
        <v>4</v>
      </c>
      <c r="N856" s="2">
        <v>4</v>
      </c>
      <c r="O856" t="s">
        <v>29</v>
      </c>
      <c r="P856" t="s">
        <v>56</v>
      </c>
      <c r="Q856" t="s">
        <v>41</v>
      </c>
      <c r="R856" t="s">
        <v>32</v>
      </c>
      <c r="S856" t="s">
        <v>44</v>
      </c>
      <c r="T856" t="s">
        <v>34</v>
      </c>
      <c r="U856" t="s">
        <v>35</v>
      </c>
      <c r="V856" t="s">
        <v>36</v>
      </c>
      <c r="W856" t="s">
        <v>37</v>
      </c>
      <c r="X856" s="24">
        <v>0</v>
      </c>
      <c r="Y856" s="24">
        <v>100</v>
      </c>
      <c r="Z856" t="s">
        <v>38</v>
      </c>
      <c r="AA856" t="s">
        <v>39</v>
      </c>
      <c r="AB856" t="s">
        <v>38</v>
      </c>
      <c r="AC856" s="24">
        <v>3.8199999999999963E-2</v>
      </c>
    </row>
    <row r="857" spans="1:29" x14ac:dyDescent="0.3">
      <c r="A857" s="2">
        <v>856</v>
      </c>
      <c r="B857" s="1">
        <v>40582</v>
      </c>
      <c r="C857" s="2">
        <v>1</v>
      </c>
      <c r="D857" s="2">
        <v>2</v>
      </c>
      <c r="E857" t="b">
        <v>0</v>
      </c>
      <c r="F857" s="2">
        <v>2</v>
      </c>
      <c r="G857" s="2">
        <v>2</v>
      </c>
      <c r="H857" s="23">
        <v>0.26</v>
      </c>
      <c r="I857" s="25">
        <v>0.2727</v>
      </c>
      <c r="J857" s="23">
        <v>0.93</v>
      </c>
      <c r="K857" s="25">
        <v>0.1045</v>
      </c>
      <c r="L857" s="2">
        <v>1</v>
      </c>
      <c r="M857" s="2">
        <v>1</v>
      </c>
      <c r="N857" s="2">
        <v>2</v>
      </c>
      <c r="O857" t="s">
        <v>29</v>
      </c>
      <c r="P857" t="s">
        <v>56</v>
      </c>
      <c r="Q857" t="s">
        <v>41</v>
      </c>
      <c r="R857" t="s">
        <v>32</v>
      </c>
      <c r="S857" t="s">
        <v>44</v>
      </c>
      <c r="T857" t="s">
        <v>34</v>
      </c>
      <c r="U857" t="s">
        <v>35</v>
      </c>
      <c r="V857" t="s">
        <v>36</v>
      </c>
      <c r="W857" t="s">
        <v>37</v>
      </c>
      <c r="X857" s="24">
        <v>50</v>
      </c>
      <c r="Y857" s="24">
        <v>50</v>
      </c>
      <c r="Z857" t="s">
        <v>38</v>
      </c>
      <c r="AA857" t="s">
        <v>39</v>
      </c>
      <c r="AB857" t="s">
        <v>38</v>
      </c>
      <c r="AC857" s="24">
        <v>1.2699999999999991E-2</v>
      </c>
    </row>
    <row r="858" spans="1:29" x14ac:dyDescent="0.3">
      <c r="A858" s="2">
        <v>857</v>
      </c>
      <c r="B858" s="1">
        <v>40582</v>
      </c>
      <c r="C858" s="2">
        <v>1</v>
      </c>
      <c r="D858" s="2">
        <v>3</v>
      </c>
      <c r="E858" t="b">
        <v>0</v>
      </c>
      <c r="F858" s="2">
        <v>2</v>
      </c>
      <c r="G858" s="2">
        <v>3</v>
      </c>
      <c r="H858" s="23">
        <v>0.28000000000000003</v>
      </c>
      <c r="I858" s="25">
        <v>0.2727</v>
      </c>
      <c r="J858" s="23">
        <v>0.93</v>
      </c>
      <c r="K858" s="25">
        <v>0.16420000000000001</v>
      </c>
      <c r="L858" s="2">
        <v>0</v>
      </c>
      <c r="M858" s="2">
        <v>1</v>
      </c>
      <c r="N858" s="2">
        <v>1</v>
      </c>
      <c r="O858" t="s">
        <v>29</v>
      </c>
      <c r="P858" t="s">
        <v>56</v>
      </c>
      <c r="Q858" t="s">
        <v>51</v>
      </c>
      <c r="R858" t="s">
        <v>32</v>
      </c>
      <c r="S858" t="s">
        <v>44</v>
      </c>
      <c r="T858" t="s">
        <v>34</v>
      </c>
      <c r="U858" t="s">
        <v>46</v>
      </c>
      <c r="V858" t="s">
        <v>36</v>
      </c>
      <c r="W858" t="s">
        <v>37</v>
      </c>
      <c r="X858" s="24">
        <v>0</v>
      </c>
      <c r="Y858" s="24">
        <v>100</v>
      </c>
      <c r="Z858" t="s">
        <v>38</v>
      </c>
      <c r="AA858" t="s">
        <v>39</v>
      </c>
      <c r="AB858" t="s">
        <v>38</v>
      </c>
      <c r="AC858" s="24">
        <v>-7.3000000000000287E-3</v>
      </c>
    </row>
    <row r="859" spans="1:29" x14ac:dyDescent="0.3">
      <c r="A859" s="2">
        <v>858</v>
      </c>
      <c r="B859" s="1">
        <v>40582</v>
      </c>
      <c r="C859" s="2">
        <v>1</v>
      </c>
      <c r="D859" s="2">
        <v>4</v>
      </c>
      <c r="E859" t="b">
        <v>0</v>
      </c>
      <c r="F859" s="2">
        <v>2</v>
      </c>
      <c r="G859" s="2">
        <v>1</v>
      </c>
      <c r="H859" s="23">
        <v>0.26</v>
      </c>
      <c r="I859" s="25">
        <v>0.2576</v>
      </c>
      <c r="J859" s="23">
        <v>0.93</v>
      </c>
      <c r="K859" s="25">
        <v>0.16420000000000001</v>
      </c>
      <c r="L859" s="2">
        <v>0</v>
      </c>
      <c r="M859" s="2">
        <v>3</v>
      </c>
      <c r="N859" s="2">
        <v>3</v>
      </c>
      <c r="O859" t="s">
        <v>29</v>
      </c>
      <c r="P859" t="s">
        <v>56</v>
      </c>
      <c r="Q859" t="s">
        <v>31</v>
      </c>
      <c r="R859" t="s">
        <v>32</v>
      </c>
      <c r="S859" t="s">
        <v>44</v>
      </c>
      <c r="T859" t="s">
        <v>34</v>
      </c>
      <c r="U859" t="s">
        <v>46</v>
      </c>
      <c r="V859" t="s">
        <v>36</v>
      </c>
      <c r="W859" t="s">
        <v>37</v>
      </c>
      <c r="X859" s="24">
        <v>0</v>
      </c>
      <c r="Y859" s="24">
        <v>100</v>
      </c>
      <c r="Z859" t="s">
        <v>38</v>
      </c>
      <c r="AA859" t="s">
        <v>39</v>
      </c>
      <c r="AB859" t="s">
        <v>38</v>
      </c>
      <c r="AC859" s="24">
        <v>-2.4000000000000128E-3</v>
      </c>
    </row>
    <row r="860" spans="1:29" x14ac:dyDescent="0.3">
      <c r="A860" s="2">
        <v>859</v>
      </c>
      <c r="B860" s="1">
        <v>40582</v>
      </c>
      <c r="C860" s="2">
        <v>1</v>
      </c>
      <c r="D860" s="2">
        <v>5</v>
      </c>
      <c r="E860" t="b">
        <v>0</v>
      </c>
      <c r="F860" s="2">
        <v>2</v>
      </c>
      <c r="G860" s="2">
        <v>1</v>
      </c>
      <c r="H860" s="23">
        <v>0.26</v>
      </c>
      <c r="I860" s="25">
        <v>0.2273</v>
      </c>
      <c r="J860" s="23">
        <v>0.81</v>
      </c>
      <c r="K860" s="25">
        <v>0.32840000000000003</v>
      </c>
      <c r="L860" s="2">
        <v>0</v>
      </c>
      <c r="M860" s="2">
        <v>2</v>
      </c>
      <c r="N860" s="2">
        <v>2</v>
      </c>
      <c r="O860" t="s">
        <v>29</v>
      </c>
      <c r="P860" t="s">
        <v>56</v>
      </c>
      <c r="Q860" t="s">
        <v>31</v>
      </c>
      <c r="R860" t="s">
        <v>32</v>
      </c>
      <c r="S860" t="s">
        <v>44</v>
      </c>
      <c r="T860" t="s">
        <v>34</v>
      </c>
      <c r="U860" t="s">
        <v>53</v>
      </c>
      <c r="V860" t="s">
        <v>36</v>
      </c>
      <c r="W860" t="s">
        <v>37</v>
      </c>
      <c r="X860" s="24">
        <v>0</v>
      </c>
      <c r="Y860" s="24">
        <v>100</v>
      </c>
      <c r="Z860" t="s">
        <v>38</v>
      </c>
      <c r="AA860" t="s">
        <v>39</v>
      </c>
      <c r="AB860" t="s">
        <v>38</v>
      </c>
      <c r="AC860" s="24">
        <v>-3.2700000000000007E-2</v>
      </c>
    </row>
    <row r="861" spans="1:29" x14ac:dyDescent="0.3">
      <c r="A861" s="2">
        <v>860</v>
      </c>
      <c r="B861" s="1">
        <v>40582</v>
      </c>
      <c r="C861" s="2">
        <v>1</v>
      </c>
      <c r="D861" s="2">
        <v>6</v>
      </c>
      <c r="E861" t="b">
        <v>0</v>
      </c>
      <c r="F861" s="2">
        <v>2</v>
      </c>
      <c r="G861" s="2">
        <v>1</v>
      </c>
      <c r="H861" s="23">
        <v>0.26</v>
      </c>
      <c r="I861" s="25">
        <v>0.2273</v>
      </c>
      <c r="J861" s="23">
        <v>0.7</v>
      </c>
      <c r="K861" s="25">
        <v>0.32840000000000003</v>
      </c>
      <c r="L861" s="2">
        <v>0</v>
      </c>
      <c r="M861" s="2">
        <v>39</v>
      </c>
      <c r="N861" s="2">
        <v>39</v>
      </c>
      <c r="O861" t="s">
        <v>29</v>
      </c>
      <c r="P861" t="s">
        <v>56</v>
      </c>
      <c r="Q861" t="s">
        <v>31</v>
      </c>
      <c r="R861" t="s">
        <v>42</v>
      </c>
      <c r="S861" t="s">
        <v>44</v>
      </c>
      <c r="T861" t="s">
        <v>34</v>
      </c>
      <c r="U861" t="s">
        <v>53</v>
      </c>
      <c r="V861" t="s">
        <v>36</v>
      </c>
      <c r="W861" t="s">
        <v>37</v>
      </c>
      <c r="X861" s="24">
        <v>0</v>
      </c>
      <c r="Y861" s="24">
        <v>100</v>
      </c>
      <c r="Z861" t="s">
        <v>38</v>
      </c>
      <c r="AA861" t="s">
        <v>39</v>
      </c>
      <c r="AB861" t="s">
        <v>38</v>
      </c>
      <c r="AC861" s="24">
        <v>-3.2700000000000007E-2</v>
      </c>
    </row>
    <row r="862" spans="1:29" x14ac:dyDescent="0.3">
      <c r="A862" s="2">
        <v>660</v>
      </c>
      <c r="B862" s="1">
        <v>40573</v>
      </c>
      <c r="C862" s="2">
        <v>1</v>
      </c>
      <c r="D862" s="2">
        <v>19</v>
      </c>
      <c r="E862" t="b">
        <v>0</v>
      </c>
      <c r="F862" s="2">
        <v>0</v>
      </c>
      <c r="G862" s="2">
        <v>1</v>
      </c>
      <c r="H862" s="23">
        <v>0.26</v>
      </c>
      <c r="I862" s="25">
        <v>0.2576</v>
      </c>
      <c r="J862" s="23">
        <v>0.65</v>
      </c>
      <c r="K862" s="25">
        <v>0.19400000000000001</v>
      </c>
      <c r="L862" s="2">
        <v>9</v>
      </c>
      <c r="M862" s="2">
        <v>46</v>
      </c>
      <c r="N862" s="2">
        <v>55</v>
      </c>
      <c r="O862" t="s">
        <v>29</v>
      </c>
      <c r="P862" t="s">
        <v>52</v>
      </c>
      <c r="Q862" t="s">
        <v>31</v>
      </c>
      <c r="R862" t="s">
        <v>50</v>
      </c>
      <c r="S862" t="s">
        <v>44</v>
      </c>
      <c r="T862" t="s">
        <v>49</v>
      </c>
      <c r="U862" t="s">
        <v>46</v>
      </c>
      <c r="V862" t="s">
        <v>36</v>
      </c>
      <c r="W862" t="s">
        <v>37</v>
      </c>
      <c r="X862" s="24">
        <v>16.36363636363636</v>
      </c>
      <c r="Y862" s="24">
        <v>83.636363636363626</v>
      </c>
      <c r="Z862" t="s">
        <v>40</v>
      </c>
      <c r="AA862" t="s">
        <v>39</v>
      </c>
      <c r="AB862" t="s">
        <v>40</v>
      </c>
      <c r="AC862" s="24">
        <v>-2.4000000000000128E-3</v>
      </c>
    </row>
    <row r="863" spans="1:29" x14ac:dyDescent="0.3">
      <c r="A863" s="2">
        <v>661</v>
      </c>
      <c r="B863" s="1">
        <v>40573</v>
      </c>
      <c r="C863" s="2">
        <v>1</v>
      </c>
      <c r="D863" s="2">
        <v>20</v>
      </c>
      <c r="E863" t="b">
        <v>0</v>
      </c>
      <c r="F863" s="2">
        <v>0</v>
      </c>
      <c r="G863" s="2">
        <v>2</v>
      </c>
      <c r="H863" s="23">
        <v>0.26</v>
      </c>
      <c r="I863" s="25">
        <v>0.2727</v>
      </c>
      <c r="J863" s="23">
        <v>0.65</v>
      </c>
      <c r="K863" s="25">
        <v>0.1045</v>
      </c>
      <c r="L863" s="2">
        <v>3</v>
      </c>
      <c r="M863" s="2">
        <v>30</v>
      </c>
      <c r="N863" s="2">
        <v>33</v>
      </c>
      <c r="O863" t="s">
        <v>29</v>
      </c>
      <c r="P863" t="s">
        <v>52</v>
      </c>
      <c r="Q863" t="s">
        <v>41</v>
      </c>
      <c r="R863" t="s">
        <v>50</v>
      </c>
      <c r="S863" t="s">
        <v>44</v>
      </c>
      <c r="T863" t="s">
        <v>49</v>
      </c>
      <c r="U863" t="s">
        <v>35</v>
      </c>
      <c r="V863" t="s">
        <v>36</v>
      </c>
      <c r="W863" t="s">
        <v>37</v>
      </c>
      <c r="X863" s="24">
        <v>9.0909090909090917</v>
      </c>
      <c r="Y863" s="24">
        <v>90.909090909090907</v>
      </c>
      <c r="Z863" t="s">
        <v>38</v>
      </c>
      <c r="AA863" t="s">
        <v>39</v>
      </c>
      <c r="AB863" t="s">
        <v>40</v>
      </c>
      <c r="AC863" s="24">
        <v>1.2699999999999991E-2</v>
      </c>
    </row>
    <row r="864" spans="1:29" x14ac:dyDescent="0.3">
      <c r="A864" s="2">
        <v>664</v>
      </c>
      <c r="B864" s="1">
        <v>40573</v>
      </c>
      <c r="C864" s="2">
        <v>1</v>
      </c>
      <c r="D864" s="2">
        <v>23</v>
      </c>
      <c r="E864" t="b">
        <v>0</v>
      </c>
      <c r="F864" s="2">
        <v>0</v>
      </c>
      <c r="G864" s="2">
        <v>2</v>
      </c>
      <c r="H864" s="23">
        <v>0.24</v>
      </c>
      <c r="I864" s="25">
        <v>0.21210000000000001</v>
      </c>
      <c r="J864" s="23">
        <v>0.65</v>
      </c>
      <c r="K864" s="25">
        <v>0.28360000000000002</v>
      </c>
      <c r="L864" s="2">
        <v>5</v>
      </c>
      <c r="M864" s="2">
        <v>16</v>
      </c>
      <c r="N864" s="2">
        <v>21</v>
      </c>
      <c r="O864" t="s">
        <v>29</v>
      </c>
      <c r="P864" t="s">
        <v>52</v>
      </c>
      <c r="Q864" t="s">
        <v>41</v>
      </c>
      <c r="R864" t="s">
        <v>32</v>
      </c>
      <c r="S864" t="s">
        <v>33</v>
      </c>
      <c r="T864" t="s">
        <v>49</v>
      </c>
      <c r="U864" t="s">
        <v>46</v>
      </c>
      <c r="V864" t="s">
        <v>36</v>
      </c>
      <c r="W864" t="s">
        <v>37</v>
      </c>
      <c r="X864" s="24">
        <v>23.80952380952381</v>
      </c>
      <c r="Y864" s="24">
        <v>76.19047619047619</v>
      </c>
      <c r="Z864" t="s">
        <v>38</v>
      </c>
      <c r="AA864" t="s">
        <v>39</v>
      </c>
      <c r="AB864" t="s">
        <v>40</v>
      </c>
      <c r="AC864" s="24">
        <v>-2.789999999999998E-2</v>
      </c>
    </row>
    <row r="865" spans="1:29" x14ac:dyDescent="0.3">
      <c r="A865" s="2">
        <v>665</v>
      </c>
      <c r="B865" s="1">
        <v>40574</v>
      </c>
      <c r="C865" s="2">
        <v>1</v>
      </c>
      <c r="D865" s="2">
        <v>0</v>
      </c>
      <c r="E865" t="b">
        <v>0</v>
      </c>
      <c r="F865" s="2">
        <v>1</v>
      </c>
      <c r="G865" s="2">
        <v>2</v>
      </c>
      <c r="H865" s="23">
        <v>0.24</v>
      </c>
      <c r="I865" s="25">
        <v>0.2273</v>
      </c>
      <c r="J865" s="23">
        <v>0.65</v>
      </c>
      <c r="K865" s="25">
        <v>0.22389999999999999</v>
      </c>
      <c r="L865" s="2">
        <v>1</v>
      </c>
      <c r="M865" s="2">
        <v>6</v>
      </c>
      <c r="N865" s="2">
        <v>7</v>
      </c>
      <c r="O865" t="s">
        <v>29</v>
      </c>
      <c r="P865" t="s">
        <v>54</v>
      </c>
      <c r="Q865" t="s">
        <v>41</v>
      </c>
      <c r="R865" t="s">
        <v>32</v>
      </c>
      <c r="S865" t="s">
        <v>33</v>
      </c>
      <c r="T865" t="s">
        <v>49</v>
      </c>
      <c r="U865" t="s">
        <v>46</v>
      </c>
      <c r="V865" t="s">
        <v>36</v>
      </c>
      <c r="W865" t="s">
        <v>37</v>
      </c>
      <c r="X865" s="24">
        <v>14.285714285714279</v>
      </c>
      <c r="Y865" s="24">
        <v>85.714285714285708</v>
      </c>
      <c r="Z865" t="s">
        <v>38</v>
      </c>
      <c r="AA865" t="s">
        <v>39</v>
      </c>
      <c r="AB865" t="s">
        <v>38</v>
      </c>
      <c r="AC865" s="24">
        <v>-1.2699999999999991E-2</v>
      </c>
    </row>
    <row r="866" spans="1:29" x14ac:dyDescent="0.3">
      <c r="A866" s="2">
        <v>777</v>
      </c>
      <c r="B866" s="1">
        <v>40578</v>
      </c>
      <c r="C866" s="2">
        <v>1</v>
      </c>
      <c r="D866" s="2">
        <v>19</v>
      </c>
      <c r="E866" t="b">
        <v>0</v>
      </c>
      <c r="F866" s="2">
        <v>5</v>
      </c>
      <c r="G866" s="2">
        <v>2</v>
      </c>
      <c r="H866" s="23">
        <v>0.24</v>
      </c>
      <c r="I866" s="25">
        <v>0.2424</v>
      </c>
      <c r="J866" s="23">
        <v>0.65</v>
      </c>
      <c r="K866" s="25">
        <v>0.1343</v>
      </c>
      <c r="L866" s="2">
        <v>1</v>
      </c>
      <c r="M866" s="2">
        <v>102</v>
      </c>
      <c r="N866" s="2">
        <v>103</v>
      </c>
      <c r="O866" t="s">
        <v>29</v>
      </c>
      <c r="P866" t="s">
        <v>59</v>
      </c>
      <c r="Q866" t="s">
        <v>41</v>
      </c>
      <c r="R866" t="s">
        <v>50</v>
      </c>
      <c r="S866" t="s">
        <v>33</v>
      </c>
      <c r="T866" t="s">
        <v>49</v>
      </c>
      <c r="U866" t="s">
        <v>35</v>
      </c>
      <c r="V866" t="s">
        <v>36</v>
      </c>
      <c r="W866" t="s">
        <v>37</v>
      </c>
      <c r="X866" s="24">
        <v>0.97087378640776689</v>
      </c>
      <c r="Y866" s="24">
        <v>99.029126213592235</v>
      </c>
      <c r="Z866" t="s">
        <v>40</v>
      </c>
      <c r="AA866" t="s">
        <v>49</v>
      </c>
      <c r="AB866" t="s">
        <v>38</v>
      </c>
      <c r="AC866" s="24">
        <v>2.4000000000000128E-3</v>
      </c>
    </row>
    <row r="867" spans="1:29" x14ac:dyDescent="0.3">
      <c r="A867" s="2">
        <v>866</v>
      </c>
      <c r="B867" s="1">
        <v>40582</v>
      </c>
      <c r="C867" s="2">
        <v>1</v>
      </c>
      <c r="D867" s="2">
        <v>12</v>
      </c>
      <c r="E867" t="b">
        <v>0</v>
      </c>
      <c r="F867" s="2">
        <v>2</v>
      </c>
      <c r="G867" s="2">
        <v>1</v>
      </c>
      <c r="H867" s="23">
        <v>0.24</v>
      </c>
      <c r="I867" s="25">
        <v>0.19700000000000001</v>
      </c>
      <c r="J867" s="23">
        <v>0.38</v>
      </c>
      <c r="K867" s="25">
        <v>0.49249999999999999</v>
      </c>
      <c r="L867" s="2">
        <v>2</v>
      </c>
      <c r="M867" s="2">
        <v>63</v>
      </c>
      <c r="N867" s="2">
        <v>65</v>
      </c>
      <c r="O867" t="s">
        <v>29</v>
      </c>
      <c r="P867" t="s">
        <v>56</v>
      </c>
      <c r="Q867" t="s">
        <v>31</v>
      </c>
      <c r="R867" t="s">
        <v>47</v>
      </c>
      <c r="S867" t="s">
        <v>33</v>
      </c>
      <c r="T867" t="s">
        <v>39</v>
      </c>
      <c r="U867" t="s">
        <v>53</v>
      </c>
      <c r="V867" t="s">
        <v>36</v>
      </c>
      <c r="W867" t="s">
        <v>37</v>
      </c>
      <c r="X867" s="24">
        <v>3.0769230769230771</v>
      </c>
      <c r="Y867" s="24">
        <v>96.92307692307692</v>
      </c>
      <c r="Z867" t="s">
        <v>38</v>
      </c>
      <c r="AA867" t="s">
        <v>39</v>
      </c>
      <c r="AB867" t="s">
        <v>38</v>
      </c>
      <c r="AC867" s="24">
        <v>-4.2999999999999983E-2</v>
      </c>
    </row>
    <row r="868" spans="1:29" x14ac:dyDescent="0.3">
      <c r="A868" s="2">
        <v>867</v>
      </c>
      <c r="B868" s="1">
        <v>40582</v>
      </c>
      <c r="C868" s="2">
        <v>1</v>
      </c>
      <c r="D868" s="2">
        <v>13</v>
      </c>
      <c r="E868" t="b">
        <v>0</v>
      </c>
      <c r="F868" s="2">
        <v>2</v>
      </c>
      <c r="G868" s="2">
        <v>2</v>
      </c>
      <c r="H868" s="23">
        <v>0.24</v>
      </c>
      <c r="I868" s="25">
        <v>0.19700000000000001</v>
      </c>
      <c r="J868" s="23">
        <v>0.32</v>
      </c>
      <c r="K868" s="25">
        <v>0.44779999999999998</v>
      </c>
      <c r="L868" s="2">
        <v>2</v>
      </c>
      <c r="M868" s="2">
        <v>48</v>
      </c>
      <c r="N868" s="2">
        <v>50</v>
      </c>
      <c r="O868" t="s">
        <v>29</v>
      </c>
      <c r="P868" t="s">
        <v>56</v>
      </c>
      <c r="Q868" t="s">
        <v>41</v>
      </c>
      <c r="R868" t="s">
        <v>47</v>
      </c>
      <c r="S868" t="s">
        <v>33</v>
      </c>
      <c r="T868" t="s">
        <v>39</v>
      </c>
      <c r="U868" t="s">
        <v>53</v>
      </c>
      <c r="V868" t="s">
        <v>36</v>
      </c>
      <c r="W868" t="s">
        <v>37</v>
      </c>
      <c r="X868" s="24">
        <v>4</v>
      </c>
      <c r="Y868" s="24">
        <v>96</v>
      </c>
      <c r="Z868" t="s">
        <v>38</v>
      </c>
      <c r="AA868" t="s">
        <v>39</v>
      </c>
      <c r="AB868" t="s">
        <v>38</v>
      </c>
      <c r="AC868" s="24">
        <v>-4.2999999999999983E-2</v>
      </c>
    </row>
    <row r="869" spans="1:29" x14ac:dyDescent="0.3">
      <c r="A869" s="2">
        <v>868</v>
      </c>
      <c r="B869" s="1">
        <v>40582</v>
      </c>
      <c r="C869" s="2">
        <v>1</v>
      </c>
      <c r="D869" s="2">
        <v>14</v>
      </c>
      <c r="E869" t="b">
        <v>0</v>
      </c>
      <c r="F869" s="2">
        <v>2</v>
      </c>
      <c r="G869" s="2">
        <v>1</v>
      </c>
      <c r="H869" s="23">
        <v>0.22</v>
      </c>
      <c r="I869" s="25">
        <v>0.19700000000000001</v>
      </c>
      <c r="J869" s="23">
        <v>0.37</v>
      </c>
      <c r="K869" s="25">
        <v>0.41789999999999999</v>
      </c>
      <c r="L869" s="2">
        <v>3</v>
      </c>
      <c r="M869" s="2">
        <v>61</v>
      </c>
      <c r="N869" s="2">
        <v>64</v>
      </c>
      <c r="O869" t="s">
        <v>29</v>
      </c>
      <c r="P869" t="s">
        <v>56</v>
      </c>
      <c r="Q869" t="s">
        <v>31</v>
      </c>
      <c r="R869" t="s">
        <v>47</v>
      </c>
      <c r="S869" t="s">
        <v>33</v>
      </c>
      <c r="T869" t="s">
        <v>39</v>
      </c>
      <c r="U869" t="s">
        <v>53</v>
      </c>
      <c r="V869" t="s">
        <v>36</v>
      </c>
      <c r="W869" t="s">
        <v>37</v>
      </c>
      <c r="X869" s="24">
        <v>4.6875</v>
      </c>
      <c r="Y869" s="24">
        <v>95.3125</v>
      </c>
      <c r="Z869" t="s">
        <v>38</v>
      </c>
      <c r="AA869" t="s">
        <v>39</v>
      </c>
      <c r="AB869" t="s">
        <v>38</v>
      </c>
      <c r="AC869" s="24">
        <v>-2.2999999999999989E-2</v>
      </c>
    </row>
    <row r="870" spans="1:29" x14ac:dyDescent="0.3">
      <c r="A870" s="2">
        <v>869</v>
      </c>
      <c r="B870" s="1">
        <v>40582</v>
      </c>
      <c r="C870" s="2">
        <v>1</v>
      </c>
      <c r="D870" s="2">
        <v>15</v>
      </c>
      <c r="E870" t="b">
        <v>0</v>
      </c>
      <c r="F870" s="2">
        <v>2</v>
      </c>
      <c r="G870" s="2">
        <v>1</v>
      </c>
      <c r="H870" s="23">
        <v>0.22</v>
      </c>
      <c r="I870" s="25">
        <v>0.19700000000000001</v>
      </c>
      <c r="J870" s="23">
        <v>0.35</v>
      </c>
      <c r="K870" s="25">
        <v>0.3881</v>
      </c>
      <c r="L870" s="2">
        <v>6</v>
      </c>
      <c r="M870" s="2">
        <v>45</v>
      </c>
      <c r="N870" s="2">
        <v>51</v>
      </c>
      <c r="O870" t="s">
        <v>29</v>
      </c>
      <c r="P870" t="s">
        <v>56</v>
      </c>
      <c r="Q870" t="s">
        <v>31</v>
      </c>
      <c r="R870" t="s">
        <v>47</v>
      </c>
      <c r="S870" t="s">
        <v>33</v>
      </c>
      <c r="T870" t="s">
        <v>39</v>
      </c>
      <c r="U870" t="s">
        <v>53</v>
      </c>
      <c r="V870" t="s">
        <v>36</v>
      </c>
      <c r="W870" t="s">
        <v>37</v>
      </c>
      <c r="X870" s="24">
        <v>11.76470588235294</v>
      </c>
      <c r="Y870" s="24">
        <v>88.235294117647058</v>
      </c>
      <c r="Z870" t="s">
        <v>38</v>
      </c>
      <c r="AA870" t="s">
        <v>39</v>
      </c>
      <c r="AB870" t="s">
        <v>38</v>
      </c>
      <c r="AC870" s="24">
        <v>-2.2999999999999989E-2</v>
      </c>
    </row>
    <row r="871" spans="1:29" x14ac:dyDescent="0.3">
      <c r="A871" s="2">
        <v>870</v>
      </c>
      <c r="B871" s="1">
        <v>40582</v>
      </c>
      <c r="C871" s="2">
        <v>1</v>
      </c>
      <c r="D871" s="2">
        <v>16</v>
      </c>
      <c r="E871" t="b">
        <v>0</v>
      </c>
      <c r="F871" s="2">
        <v>2</v>
      </c>
      <c r="G871" s="2">
        <v>1</v>
      </c>
      <c r="H871" s="23">
        <v>0.22</v>
      </c>
      <c r="I871" s="25">
        <v>0.18179999999999999</v>
      </c>
      <c r="J871" s="23">
        <v>0.35</v>
      </c>
      <c r="K871" s="25">
        <v>0.52239999999999998</v>
      </c>
      <c r="L871" s="2">
        <v>4</v>
      </c>
      <c r="M871" s="2">
        <v>79</v>
      </c>
      <c r="N871" s="2">
        <v>83</v>
      </c>
      <c r="O871" t="s">
        <v>29</v>
      </c>
      <c r="P871" t="s">
        <v>56</v>
      </c>
      <c r="Q871" t="s">
        <v>31</v>
      </c>
      <c r="R871" t="s">
        <v>47</v>
      </c>
      <c r="S871" t="s">
        <v>33</v>
      </c>
      <c r="T871" t="s">
        <v>39</v>
      </c>
      <c r="U871" t="s">
        <v>53</v>
      </c>
      <c r="V871" t="s">
        <v>36</v>
      </c>
      <c r="W871" t="s">
        <v>37</v>
      </c>
      <c r="X871" s="24">
        <v>4.8192771084337354</v>
      </c>
      <c r="Y871" s="24">
        <v>95.180722891566262</v>
      </c>
      <c r="Z871" t="s">
        <v>38</v>
      </c>
      <c r="AA871" t="s">
        <v>39</v>
      </c>
      <c r="AB871" t="s">
        <v>38</v>
      </c>
      <c r="AC871" s="24">
        <v>-3.8200000000000012E-2</v>
      </c>
    </row>
    <row r="872" spans="1:29" x14ac:dyDescent="0.3">
      <c r="A872" s="2">
        <v>871</v>
      </c>
      <c r="B872" s="1">
        <v>40582</v>
      </c>
      <c r="C872" s="2">
        <v>1</v>
      </c>
      <c r="D872" s="2">
        <v>17</v>
      </c>
      <c r="E872" t="b">
        <v>0</v>
      </c>
      <c r="F872" s="2">
        <v>2</v>
      </c>
      <c r="G872" s="2">
        <v>1</v>
      </c>
      <c r="H872" s="23">
        <v>0.22</v>
      </c>
      <c r="I872" s="25">
        <v>0.18179999999999999</v>
      </c>
      <c r="J872" s="23">
        <v>0.32</v>
      </c>
      <c r="K872" s="25">
        <v>0.58209999999999995</v>
      </c>
      <c r="L872" s="2">
        <v>4</v>
      </c>
      <c r="M872" s="2">
        <v>172</v>
      </c>
      <c r="N872" s="2">
        <v>176</v>
      </c>
      <c r="O872" t="s">
        <v>29</v>
      </c>
      <c r="P872" t="s">
        <v>56</v>
      </c>
      <c r="Q872" t="s">
        <v>31</v>
      </c>
      <c r="R872" t="s">
        <v>50</v>
      </c>
      <c r="S872" t="s">
        <v>33</v>
      </c>
      <c r="T872" t="s">
        <v>39</v>
      </c>
      <c r="U872" t="s">
        <v>53</v>
      </c>
      <c r="V872" t="s">
        <v>36</v>
      </c>
      <c r="W872" t="s">
        <v>37</v>
      </c>
      <c r="X872" s="24">
        <v>2.2727272727272729</v>
      </c>
      <c r="Y872" s="24">
        <v>97.727272727272734</v>
      </c>
      <c r="Z872" t="s">
        <v>40</v>
      </c>
      <c r="AA872" t="s">
        <v>49</v>
      </c>
      <c r="AB872" t="s">
        <v>38</v>
      </c>
      <c r="AC872" s="24">
        <v>-3.8200000000000012E-2</v>
      </c>
    </row>
    <row r="873" spans="1:29" x14ac:dyDescent="0.3">
      <c r="A873" s="2">
        <v>872</v>
      </c>
      <c r="B873" s="1">
        <v>40582</v>
      </c>
      <c r="C873" s="2">
        <v>1</v>
      </c>
      <c r="D873" s="2">
        <v>18</v>
      </c>
      <c r="E873" t="b">
        <v>0</v>
      </c>
      <c r="F873" s="2">
        <v>2</v>
      </c>
      <c r="G873" s="2">
        <v>1</v>
      </c>
      <c r="H873" s="23">
        <v>0.2</v>
      </c>
      <c r="I873" s="25">
        <v>0.18179999999999999</v>
      </c>
      <c r="J873" s="23">
        <v>0.32</v>
      </c>
      <c r="K873" s="25">
        <v>0.3881</v>
      </c>
      <c r="L873" s="2">
        <v>1</v>
      </c>
      <c r="M873" s="2">
        <v>151</v>
      </c>
      <c r="N873" s="2">
        <v>152</v>
      </c>
      <c r="O873" t="s">
        <v>29</v>
      </c>
      <c r="P873" t="s">
        <v>56</v>
      </c>
      <c r="Q873" t="s">
        <v>31</v>
      </c>
      <c r="R873" t="s">
        <v>50</v>
      </c>
      <c r="S873" t="s">
        <v>33</v>
      </c>
      <c r="T873" t="s">
        <v>39</v>
      </c>
      <c r="U873" t="s">
        <v>53</v>
      </c>
      <c r="V873" t="s">
        <v>36</v>
      </c>
      <c r="W873" t="s">
        <v>37</v>
      </c>
      <c r="X873" s="24">
        <v>0.6578947368421052</v>
      </c>
      <c r="Y873" s="24">
        <v>99.342105263157904</v>
      </c>
      <c r="Z873" t="s">
        <v>40</v>
      </c>
      <c r="AA873" t="s">
        <v>49</v>
      </c>
      <c r="AB873" t="s">
        <v>38</v>
      </c>
      <c r="AC873" s="24">
        <v>-1.8200000000000022E-2</v>
      </c>
    </row>
    <row r="874" spans="1:29" x14ac:dyDescent="0.3">
      <c r="A874" s="2">
        <v>778</v>
      </c>
      <c r="B874" s="1">
        <v>40578</v>
      </c>
      <c r="C874" s="2">
        <v>1</v>
      </c>
      <c r="D874" s="2">
        <v>20</v>
      </c>
      <c r="E874" t="b">
        <v>0</v>
      </c>
      <c r="F874" s="2">
        <v>5</v>
      </c>
      <c r="G874" s="2">
        <v>2</v>
      </c>
      <c r="H874" s="23">
        <v>0.24</v>
      </c>
      <c r="I874" s="25">
        <v>0.2424</v>
      </c>
      <c r="J874" s="23">
        <v>0.65</v>
      </c>
      <c r="K874" s="25">
        <v>0.16420000000000001</v>
      </c>
      <c r="L874" s="2">
        <v>2</v>
      </c>
      <c r="M874" s="2">
        <v>69</v>
      </c>
      <c r="N874" s="2">
        <v>71</v>
      </c>
      <c r="O874" t="s">
        <v>29</v>
      </c>
      <c r="P874" t="s">
        <v>59</v>
      </c>
      <c r="Q874" t="s">
        <v>41</v>
      </c>
      <c r="R874" t="s">
        <v>50</v>
      </c>
      <c r="S874" t="s">
        <v>33</v>
      </c>
      <c r="T874" t="s">
        <v>49</v>
      </c>
      <c r="U874" t="s">
        <v>46</v>
      </c>
      <c r="V874" t="s">
        <v>36</v>
      </c>
      <c r="W874" t="s">
        <v>37</v>
      </c>
      <c r="X874" s="24">
        <v>2.816901408450704</v>
      </c>
      <c r="Y874" s="24">
        <v>97.183098591549296</v>
      </c>
      <c r="Z874" t="s">
        <v>38</v>
      </c>
      <c r="AA874" t="s">
        <v>39</v>
      </c>
      <c r="AB874" t="s">
        <v>38</v>
      </c>
      <c r="AC874" s="24">
        <v>2.4000000000000128E-3</v>
      </c>
    </row>
    <row r="875" spans="1:29" x14ac:dyDescent="0.3">
      <c r="A875" s="2">
        <v>780</v>
      </c>
      <c r="B875" s="1">
        <v>40578</v>
      </c>
      <c r="C875" s="2">
        <v>1</v>
      </c>
      <c r="D875" s="2">
        <v>22</v>
      </c>
      <c r="E875" t="b">
        <v>0</v>
      </c>
      <c r="F875" s="2">
        <v>5</v>
      </c>
      <c r="G875" s="2">
        <v>2</v>
      </c>
      <c r="H875" s="23">
        <v>0.24</v>
      </c>
      <c r="I875" s="25">
        <v>0.2424</v>
      </c>
      <c r="J875" s="23">
        <v>0.65</v>
      </c>
      <c r="K875" s="25">
        <v>0.16420000000000001</v>
      </c>
      <c r="L875" s="2">
        <v>1</v>
      </c>
      <c r="M875" s="2">
        <v>45</v>
      </c>
      <c r="N875" s="2">
        <v>46</v>
      </c>
      <c r="O875" t="s">
        <v>29</v>
      </c>
      <c r="P875" t="s">
        <v>59</v>
      </c>
      <c r="Q875" t="s">
        <v>41</v>
      </c>
      <c r="R875" t="s">
        <v>32</v>
      </c>
      <c r="S875" t="s">
        <v>33</v>
      </c>
      <c r="T875" t="s">
        <v>49</v>
      </c>
      <c r="U875" t="s">
        <v>46</v>
      </c>
      <c r="V875" t="s">
        <v>36</v>
      </c>
      <c r="W875" t="s">
        <v>37</v>
      </c>
      <c r="X875" s="24">
        <v>2.1739130434782612</v>
      </c>
      <c r="Y875" s="24">
        <v>97.826086956521735</v>
      </c>
      <c r="Z875" t="s">
        <v>38</v>
      </c>
      <c r="AA875" t="s">
        <v>39</v>
      </c>
      <c r="AB875" t="s">
        <v>38</v>
      </c>
      <c r="AC875" s="24">
        <v>2.4000000000000128E-3</v>
      </c>
    </row>
    <row r="876" spans="1:29" x14ac:dyDescent="0.3">
      <c r="A876" s="2">
        <v>875</v>
      </c>
      <c r="B876" s="1">
        <v>40582</v>
      </c>
      <c r="C876" s="2">
        <v>1</v>
      </c>
      <c r="D876" s="2">
        <v>21</v>
      </c>
      <c r="E876" t="b">
        <v>0</v>
      </c>
      <c r="F876" s="2">
        <v>2</v>
      </c>
      <c r="G876" s="2">
        <v>1</v>
      </c>
      <c r="H876" s="23">
        <v>0.14000000000000001</v>
      </c>
      <c r="I876" s="25">
        <v>0.1061</v>
      </c>
      <c r="J876" s="23">
        <v>0.33</v>
      </c>
      <c r="K876" s="25">
        <v>0.4627</v>
      </c>
      <c r="L876" s="2">
        <v>8</v>
      </c>
      <c r="M876" s="2">
        <v>46</v>
      </c>
      <c r="N876" s="2">
        <v>54</v>
      </c>
      <c r="O876" t="s">
        <v>29</v>
      </c>
      <c r="P876" t="s">
        <v>56</v>
      </c>
      <c r="Q876" t="s">
        <v>31</v>
      </c>
      <c r="R876" t="s">
        <v>32</v>
      </c>
      <c r="S876" t="s">
        <v>55</v>
      </c>
      <c r="T876" t="s">
        <v>39</v>
      </c>
      <c r="U876" t="s">
        <v>53</v>
      </c>
      <c r="V876" t="s">
        <v>36</v>
      </c>
      <c r="W876" t="s">
        <v>37</v>
      </c>
      <c r="X876" s="24">
        <v>14.81481481481481</v>
      </c>
      <c r="Y876" s="24">
        <v>85.18518518518519</v>
      </c>
      <c r="Z876" t="s">
        <v>38</v>
      </c>
      <c r="AA876" t="s">
        <v>39</v>
      </c>
      <c r="AB876" t="s">
        <v>38</v>
      </c>
      <c r="AC876" s="24">
        <v>-3.3900000000000013E-2</v>
      </c>
    </row>
    <row r="877" spans="1:29" x14ac:dyDescent="0.3">
      <c r="A877" s="2">
        <v>876</v>
      </c>
      <c r="B877" s="1">
        <v>40582</v>
      </c>
      <c r="C877" s="2">
        <v>1</v>
      </c>
      <c r="D877" s="2">
        <v>22</v>
      </c>
      <c r="E877" t="b">
        <v>0</v>
      </c>
      <c r="F877" s="2">
        <v>2</v>
      </c>
      <c r="G877" s="2">
        <v>1</v>
      </c>
      <c r="H877" s="23">
        <v>0.12</v>
      </c>
      <c r="I877" s="25">
        <v>0.1061</v>
      </c>
      <c r="J877" s="23">
        <v>0.33</v>
      </c>
      <c r="K877" s="25">
        <v>0.35820000000000002</v>
      </c>
      <c r="L877" s="2">
        <v>0</v>
      </c>
      <c r="M877" s="2">
        <v>29</v>
      </c>
      <c r="N877" s="2">
        <v>29</v>
      </c>
      <c r="O877" t="s">
        <v>29</v>
      </c>
      <c r="P877" t="s">
        <v>56</v>
      </c>
      <c r="Q877" t="s">
        <v>31</v>
      </c>
      <c r="R877" t="s">
        <v>32</v>
      </c>
      <c r="S877" t="s">
        <v>55</v>
      </c>
      <c r="T877" t="s">
        <v>39</v>
      </c>
      <c r="U877" t="s">
        <v>53</v>
      </c>
      <c r="V877" t="s">
        <v>36</v>
      </c>
      <c r="W877" t="s">
        <v>37</v>
      </c>
      <c r="X877" s="24">
        <v>0</v>
      </c>
      <c r="Y877" s="24">
        <v>100</v>
      </c>
      <c r="Z877" t="s">
        <v>38</v>
      </c>
      <c r="AA877" t="s">
        <v>39</v>
      </c>
      <c r="AB877" t="s">
        <v>38</v>
      </c>
      <c r="AC877" s="24">
        <v>-1.3899999999999999E-2</v>
      </c>
    </row>
    <row r="878" spans="1:29" x14ac:dyDescent="0.3">
      <c r="A878" s="2">
        <v>877</v>
      </c>
      <c r="B878" s="1">
        <v>40582</v>
      </c>
      <c r="C878" s="2">
        <v>1</v>
      </c>
      <c r="D878" s="2">
        <v>23</v>
      </c>
      <c r="E878" t="b">
        <v>0</v>
      </c>
      <c r="F878" s="2">
        <v>2</v>
      </c>
      <c r="G878" s="2">
        <v>1</v>
      </c>
      <c r="H878" s="23">
        <v>0.12</v>
      </c>
      <c r="I878" s="25">
        <v>0.1061</v>
      </c>
      <c r="J878" s="23">
        <v>0.33</v>
      </c>
      <c r="K878" s="25">
        <v>0.32840000000000003</v>
      </c>
      <c r="L878" s="2">
        <v>3</v>
      </c>
      <c r="M878" s="2">
        <v>9</v>
      </c>
      <c r="N878" s="2">
        <v>12</v>
      </c>
      <c r="O878" t="s">
        <v>29</v>
      </c>
      <c r="P878" t="s">
        <v>56</v>
      </c>
      <c r="Q878" t="s">
        <v>31</v>
      </c>
      <c r="R878" t="s">
        <v>32</v>
      </c>
      <c r="S878" t="s">
        <v>55</v>
      </c>
      <c r="T878" t="s">
        <v>39</v>
      </c>
      <c r="U878" t="s">
        <v>53</v>
      </c>
      <c r="V878" t="s">
        <v>36</v>
      </c>
      <c r="W878" t="s">
        <v>37</v>
      </c>
      <c r="X878" s="24">
        <v>25</v>
      </c>
      <c r="Y878" s="24">
        <v>75</v>
      </c>
      <c r="Z878" t="s">
        <v>38</v>
      </c>
      <c r="AA878" t="s">
        <v>39</v>
      </c>
      <c r="AB878" t="s">
        <v>38</v>
      </c>
      <c r="AC878" s="24">
        <v>-1.3899999999999999E-2</v>
      </c>
    </row>
    <row r="879" spans="1:29" x14ac:dyDescent="0.3">
      <c r="A879" s="2">
        <v>878</v>
      </c>
      <c r="B879" s="1">
        <v>40583</v>
      </c>
      <c r="C879" s="2">
        <v>1</v>
      </c>
      <c r="D879" s="2">
        <v>0</v>
      </c>
      <c r="E879" t="b">
        <v>0</v>
      </c>
      <c r="F879" s="2">
        <v>3</v>
      </c>
      <c r="G879" s="2">
        <v>1</v>
      </c>
      <c r="H879" s="23">
        <v>0.1</v>
      </c>
      <c r="I879" s="25">
        <v>7.5800000000000006E-2</v>
      </c>
      <c r="J879" s="23">
        <v>0.36</v>
      </c>
      <c r="K879" s="25">
        <v>0.35820000000000002</v>
      </c>
      <c r="L879" s="2">
        <v>0</v>
      </c>
      <c r="M879" s="2">
        <v>17</v>
      </c>
      <c r="N879" s="2">
        <v>17</v>
      </c>
      <c r="O879" t="s">
        <v>29</v>
      </c>
      <c r="P879" t="s">
        <v>57</v>
      </c>
      <c r="Q879" t="s">
        <v>31</v>
      </c>
      <c r="R879" t="s">
        <v>32</v>
      </c>
      <c r="S879" t="s">
        <v>55</v>
      </c>
      <c r="T879" t="s">
        <v>39</v>
      </c>
      <c r="U879" t="s">
        <v>53</v>
      </c>
      <c r="V879" t="s">
        <v>36</v>
      </c>
      <c r="W879" t="s">
        <v>37</v>
      </c>
      <c r="X879" s="24">
        <v>0</v>
      </c>
      <c r="Y879" s="24">
        <v>100</v>
      </c>
      <c r="Z879" t="s">
        <v>38</v>
      </c>
      <c r="AA879" t="s">
        <v>39</v>
      </c>
      <c r="AB879" t="s">
        <v>38</v>
      </c>
      <c r="AC879" s="24">
        <v>-2.4199999999999999E-2</v>
      </c>
    </row>
    <row r="880" spans="1:29" x14ac:dyDescent="0.3">
      <c r="A880" s="2">
        <v>879</v>
      </c>
      <c r="B880" s="1">
        <v>40583</v>
      </c>
      <c r="C880" s="2">
        <v>1</v>
      </c>
      <c r="D880" s="2">
        <v>1</v>
      </c>
      <c r="E880" t="b">
        <v>0</v>
      </c>
      <c r="F880" s="2">
        <v>3</v>
      </c>
      <c r="G880" s="2">
        <v>1</v>
      </c>
      <c r="H880" s="23">
        <v>0.1</v>
      </c>
      <c r="I880" s="25">
        <v>0.1061</v>
      </c>
      <c r="J880" s="23">
        <v>0.36</v>
      </c>
      <c r="K880" s="25">
        <v>0.22389999999999999</v>
      </c>
      <c r="L880" s="2">
        <v>0</v>
      </c>
      <c r="M880" s="2">
        <v>7</v>
      </c>
      <c r="N880" s="2">
        <v>7</v>
      </c>
      <c r="O880" t="s">
        <v>29</v>
      </c>
      <c r="P880" t="s">
        <v>57</v>
      </c>
      <c r="Q880" t="s">
        <v>31</v>
      </c>
      <c r="R880" t="s">
        <v>32</v>
      </c>
      <c r="S880" t="s">
        <v>55</v>
      </c>
      <c r="T880" t="s">
        <v>39</v>
      </c>
      <c r="U880" t="s">
        <v>46</v>
      </c>
      <c r="V880" t="s">
        <v>36</v>
      </c>
      <c r="W880" t="s">
        <v>37</v>
      </c>
      <c r="X880" s="24">
        <v>0</v>
      </c>
      <c r="Y880" s="24">
        <v>100</v>
      </c>
      <c r="Z880" t="s">
        <v>38</v>
      </c>
      <c r="AA880" t="s">
        <v>39</v>
      </c>
      <c r="AB880" t="s">
        <v>38</v>
      </c>
      <c r="AC880" s="24">
        <v>6.0999999999999943E-3</v>
      </c>
    </row>
    <row r="881" spans="1:29" x14ac:dyDescent="0.3">
      <c r="A881" s="2">
        <v>880</v>
      </c>
      <c r="B881" s="1">
        <v>40583</v>
      </c>
      <c r="C881" s="2">
        <v>1</v>
      </c>
      <c r="D881" s="2">
        <v>2</v>
      </c>
      <c r="E881" t="b">
        <v>0</v>
      </c>
      <c r="F881" s="2">
        <v>3</v>
      </c>
      <c r="G881" s="2">
        <v>1</v>
      </c>
      <c r="H881" s="23">
        <v>0.08</v>
      </c>
      <c r="I881" s="25">
        <v>7.5800000000000006E-2</v>
      </c>
      <c r="J881" s="23">
        <v>0.38</v>
      </c>
      <c r="K881" s="25">
        <v>0.28360000000000002</v>
      </c>
      <c r="L881" s="2">
        <v>1</v>
      </c>
      <c r="M881" s="2">
        <v>2</v>
      </c>
      <c r="N881" s="2">
        <v>3</v>
      </c>
      <c r="O881" t="s">
        <v>29</v>
      </c>
      <c r="P881" t="s">
        <v>57</v>
      </c>
      <c r="Q881" t="s">
        <v>31</v>
      </c>
      <c r="R881" t="s">
        <v>32</v>
      </c>
      <c r="S881" t="s">
        <v>55</v>
      </c>
      <c r="T881" t="s">
        <v>39</v>
      </c>
      <c r="U881" t="s">
        <v>46</v>
      </c>
      <c r="V881" t="s">
        <v>36</v>
      </c>
      <c r="W881" t="s">
        <v>37</v>
      </c>
      <c r="X881" s="24">
        <v>33.333333333333329</v>
      </c>
      <c r="Y881" s="24">
        <v>66.666666666666657</v>
      </c>
      <c r="Z881" t="s">
        <v>38</v>
      </c>
      <c r="AA881" t="s">
        <v>39</v>
      </c>
      <c r="AB881" t="s">
        <v>38</v>
      </c>
      <c r="AC881" s="24">
        <v>-4.1999999999999954E-3</v>
      </c>
    </row>
    <row r="882" spans="1:29" x14ac:dyDescent="0.3">
      <c r="A882" s="2">
        <v>783</v>
      </c>
      <c r="B882" s="1">
        <v>40579</v>
      </c>
      <c r="C882" s="2">
        <v>1</v>
      </c>
      <c r="D882" s="2">
        <v>1</v>
      </c>
      <c r="E882" t="b">
        <v>0</v>
      </c>
      <c r="F882" s="2">
        <v>6</v>
      </c>
      <c r="G882" s="2">
        <v>2</v>
      </c>
      <c r="H882" s="23">
        <v>0.24</v>
      </c>
      <c r="I882" s="25">
        <v>0.2424</v>
      </c>
      <c r="J882" s="23">
        <v>0.65</v>
      </c>
      <c r="K882" s="25">
        <v>0.16420000000000001</v>
      </c>
      <c r="L882" s="2">
        <v>1</v>
      </c>
      <c r="M882" s="2">
        <v>17</v>
      </c>
      <c r="N882" s="2">
        <v>18</v>
      </c>
      <c r="O882" t="s">
        <v>29</v>
      </c>
      <c r="P882" t="s">
        <v>30</v>
      </c>
      <c r="Q882" t="s">
        <v>41</v>
      </c>
      <c r="R882" t="s">
        <v>32</v>
      </c>
      <c r="S882" t="s">
        <v>33</v>
      </c>
      <c r="T882" t="s">
        <v>49</v>
      </c>
      <c r="U882" t="s">
        <v>46</v>
      </c>
      <c r="V882" t="s">
        <v>36</v>
      </c>
      <c r="W882" t="s">
        <v>37</v>
      </c>
      <c r="X882" s="24">
        <v>5.5555555555555554</v>
      </c>
      <c r="Y882" s="24">
        <v>94.444444444444443</v>
      </c>
      <c r="Z882" t="s">
        <v>38</v>
      </c>
      <c r="AA882" t="s">
        <v>39</v>
      </c>
      <c r="AB882" t="s">
        <v>40</v>
      </c>
      <c r="AC882" s="24">
        <v>2.4000000000000128E-3</v>
      </c>
    </row>
    <row r="883" spans="1:29" x14ac:dyDescent="0.3">
      <c r="A883" s="2">
        <v>807</v>
      </c>
      <c r="B883" s="1">
        <v>40580</v>
      </c>
      <c r="C883" s="2">
        <v>1</v>
      </c>
      <c r="D883" s="2">
        <v>1</v>
      </c>
      <c r="E883" t="b">
        <v>0</v>
      </c>
      <c r="F883" s="2">
        <v>0</v>
      </c>
      <c r="G883" s="2">
        <v>1</v>
      </c>
      <c r="H883" s="23">
        <v>0.26</v>
      </c>
      <c r="I883" s="25">
        <v>0.2273</v>
      </c>
      <c r="J883" s="23">
        <v>0.65</v>
      </c>
      <c r="K883" s="25">
        <v>0.41789999999999999</v>
      </c>
      <c r="L883" s="2">
        <v>4</v>
      </c>
      <c r="M883" s="2">
        <v>40</v>
      </c>
      <c r="N883" s="2">
        <v>44</v>
      </c>
      <c r="O883" t="s">
        <v>29</v>
      </c>
      <c r="P883" t="s">
        <v>52</v>
      </c>
      <c r="Q883" t="s">
        <v>31</v>
      </c>
      <c r="R883" t="s">
        <v>32</v>
      </c>
      <c r="S883" t="s">
        <v>44</v>
      </c>
      <c r="T883" t="s">
        <v>49</v>
      </c>
      <c r="U883" t="s">
        <v>53</v>
      </c>
      <c r="V883" t="s">
        <v>36</v>
      </c>
      <c r="W883" t="s">
        <v>37</v>
      </c>
      <c r="X883" s="24">
        <v>9.0909090909090917</v>
      </c>
      <c r="Y883" s="24">
        <v>90.909090909090907</v>
      </c>
      <c r="Z883" t="s">
        <v>38</v>
      </c>
      <c r="AA883" t="s">
        <v>39</v>
      </c>
      <c r="AB883" t="s">
        <v>40</v>
      </c>
      <c r="AC883" s="24">
        <v>-3.2700000000000007E-2</v>
      </c>
    </row>
    <row r="884" spans="1:29" x14ac:dyDescent="0.3">
      <c r="A884" s="2">
        <v>813</v>
      </c>
      <c r="B884" s="1">
        <v>40580</v>
      </c>
      <c r="C884" s="2">
        <v>1</v>
      </c>
      <c r="D884" s="2">
        <v>7</v>
      </c>
      <c r="E884" t="b">
        <v>0</v>
      </c>
      <c r="F884" s="2">
        <v>0</v>
      </c>
      <c r="G884" s="2">
        <v>1</v>
      </c>
      <c r="H884" s="23">
        <v>0.24</v>
      </c>
      <c r="I884" s="25">
        <v>0.2424</v>
      </c>
      <c r="J884" s="23">
        <v>0.65</v>
      </c>
      <c r="K884" s="25">
        <v>0.16420000000000001</v>
      </c>
      <c r="L884" s="2">
        <v>0</v>
      </c>
      <c r="M884" s="2">
        <v>8</v>
      </c>
      <c r="N884" s="2">
        <v>8</v>
      </c>
      <c r="O884" t="s">
        <v>29</v>
      </c>
      <c r="P884" t="s">
        <v>52</v>
      </c>
      <c r="Q884" t="s">
        <v>31</v>
      </c>
      <c r="R884" t="s">
        <v>42</v>
      </c>
      <c r="S884" t="s">
        <v>33</v>
      </c>
      <c r="T884" t="s">
        <v>49</v>
      </c>
      <c r="U884" t="s">
        <v>46</v>
      </c>
      <c r="V884" t="s">
        <v>36</v>
      </c>
      <c r="W884" t="s">
        <v>37</v>
      </c>
      <c r="X884" s="24">
        <v>0</v>
      </c>
      <c r="Y884" s="24">
        <v>100</v>
      </c>
      <c r="Z884" t="s">
        <v>40</v>
      </c>
      <c r="AA884" t="s">
        <v>39</v>
      </c>
      <c r="AB884" t="s">
        <v>40</v>
      </c>
      <c r="AC884" s="24">
        <v>2.4000000000000128E-3</v>
      </c>
    </row>
    <row r="885" spans="1:29" x14ac:dyDescent="0.3">
      <c r="A885" s="2">
        <v>814</v>
      </c>
      <c r="B885" s="1">
        <v>40580</v>
      </c>
      <c r="C885" s="2">
        <v>1</v>
      </c>
      <c r="D885" s="2">
        <v>8</v>
      </c>
      <c r="E885" t="b">
        <v>0</v>
      </c>
      <c r="F885" s="2">
        <v>0</v>
      </c>
      <c r="G885" s="2">
        <v>1</v>
      </c>
      <c r="H885" s="23">
        <v>0.24</v>
      </c>
      <c r="I885" s="25">
        <v>0.2576</v>
      </c>
      <c r="J885" s="23">
        <v>0.65</v>
      </c>
      <c r="K885" s="25">
        <v>0.1045</v>
      </c>
      <c r="L885" s="2">
        <v>2</v>
      </c>
      <c r="M885" s="2">
        <v>21</v>
      </c>
      <c r="N885" s="2">
        <v>23</v>
      </c>
      <c r="O885" t="s">
        <v>29</v>
      </c>
      <c r="P885" t="s">
        <v>52</v>
      </c>
      <c r="Q885" t="s">
        <v>31</v>
      </c>
      <c r="R885" t="s">
        <v>42</v>
      </c>
      <c r="S885" t="s">
        <v>33</v>
      </c>
      <c r="T885" t="s">
        <v>49</v>
      </c>
      <c r="U885" t="s">
        <v>35</v>
      </c>
      <c r="V885" t="s">
        <v>36</v>
      </c>
      <c r="W885" t="s">
        <v>37</v>
      </c>
      <c r="X885" s="24">
        <v>8.695652173913043</v>
      </c>
      <c r="Y885" s="24">
        <v>91.304347826086953</v>
      </c>
      <c r="Z885" t="s">
        <v>40</v>
      </c>
      <c r="AA885" t="s">
        <v>39</v>
      </c>
      <c r="AB885" t="s">
        <v>40</v>
      </c>
      <c r="AC885" s="24">
        <v>1.7600000000000001E-2</v>
      </c>
    </row>
    <row r="886" spans="1:29" x14ac:dyDescent="0.3">
      <c r="A886" s="2">
        <v>829</v>
      </c>
      <c r="B886" s="1">
        <v>40580</v>
      </c>
      <c r="C886" s="2">
        <v>1</v>
      </c>
      <c r="D886" s="2">
        <v>23</v>
      </c>
      <c r="E886" t="b">
        <v>0</v>
      </c>
      <c r="F886" s="2">
        <v>0</v>
      </c>
      <c r="G886" s="2">
        <v>1</v>
      </c>
      <c r="H886" s="23">
        <v>0.24</v>
      </c>
      <c r="I886" s="25">
        <v>0.28789999999999999</v>
      </c>
      <c r="J886" s="23">
        <v>0.65</v>
      </c>
      <c r="K886" s="25">
        <v>0</v>
      </c>
      <c r="L886" s="2">
        <v>4</v>
      </c>
      <c r="M886" s="2">
        <v>26</v>
      </c>
      <c r="N886" s="2">
        <v>30</v>
      </c>
      <c r="O886" t="s">
        <v>29</v>
      </c>
      <c r="P886" t="s">
        <v>52</v>
      </c>
      <c r="Q886" t="s">
        <v>31</v>
      </c>
      <c r="R886" t="s">
        <v>32</v>
      </c>
      <c r="S886" t="s">
        <v>33</v>
      </c>
      <c r="T886" t="s">
        <v>49</v>
      </c>
      <c r="U886" t="s">
        <v>35</v>
      </c>
      <c r="V886" t="s">
        <v>36</v>
      </c>
      <c r="W886" t="s">
        <v>37</v>
      </c>
      <c r="X886" s="24">
        <v>13.33333333333333</v>
      </c>
      <c r="Y886" s="24">
        <v>86.666666666666671</v>
      </c>
      <c r="Z886" t="s">
        <v>38</v>
      </c>
      <c r="AA886" t="s">
        <v>39</v>
      </c>
      <c r="AB886" t="s">
        <v>40</v>
      </c>
      <c r="AC886" s="24">
        <v>4.7899999999999998E-2</v>
      </c>
    </row>
    <row r="887" spans="1:29" x14ac:dyDescent="0.3">
      <c r="A887" s="2">
        <v>886</v>
      </c>
      <c r="B887" s="1">
        <v>40583</v>
      </c>
      <c r="C887" s="2">
        <v>1</v>
      </c>
      <c r="D887" s="2">
        <v>9</v>
      </c>
      <c r="E887" t="b">
        <v>0</v>
      </c>
      <c r="F887" s="2">
        <v>3</v>
      </c>
      <c r="G887" s="2">
        <v>1</v>
      </c>
      <c r="H887" s="23">
        <v>0.12</v>
      </c>
      <c r="I887" s="25">
        <v>0.13639999999999999</v>
      </c>
      <c r="J887" s="23">
        <v>0.39</v>
      </c>
      <c r="K887" s="25">
        <v>0.16420000000000001</v>
      </c>
      <c r="L887" s="2">
        <v>4</v>
      </c>
      <c r="M887" s="2">
        <v>119</v>
      </c>
      <c r="N887" s="2">
        <v>123</v>
      </c>
      <c r="O887" t="s">
        <v>29</v>
      </c>
      <c r="P887" t="s">
        <v>57</v>
      </c>
      <c r="Q887" t="s">
        <v>31</v>
      </c>
      <c r="R887" t="s">
        <v>42</v>
      </c>
      <c r="S887" t="s">
        <v>55</v>
      </c>
      <c r="T887" t="s">
        <v>39</v>
      </c>
      <c r="U887" t="s">
        <v>46</v>
      </c>
      <c r="V887" t="s">
        <v>36</v>
      </c>
      <c r="W887" t="s">
        <v>37</v>
      </c>
      <c r="X887" s="24">
        <v>3.2520325203252041</v>
      </c>
      <c r="Y887" s="24">
        <v>96.747967479674799</v>
      </c>
      <c r="Z887" t="s">
        <v>40</v>
      </c>
      <c r="AA887" t="s">
        <v>49</v>
      </c>
      <c r="AB887" t="s">
        <v>38</v>
      </c>
      <c r="AC887" s="24">
        <v>1.6400000000000001E-2</v>
      </c>
    </row>
    <row r="888" spans="1:29" x14ac:dyDescent="0.3">
      <c r="A888" s="2">
        <v>887</v>
      </c>
      <c r="B888" s="1">
        <v>40583</v>
      </c>
      <c r="C888" s="2">
        <v>1</v>
      </c>
      <c r="D888" s="2">
        <v>10</v>
      </c>
      <c r="E888" t="b">
        <v>0</v>
      </c>
      <c r="F888" s="2">
        <v>3</v>
      </c>
      <c r="G888" s="2">
        <v>1</v>
      </c>
      <c r="H888" s="23">
        <v>0.14000000000000001</v>
      </c>
      <c r="I888" s="25">
        <v>0.18179999999999999</v>
      </c>
      <c r="J888" s="23">
        <v>0.36</v>
      </c>
      <c r="K888" s="25">
        <v>0</v>
      </c>
      <c r="L888" s="2">
        <v>8</v>
      </c>
      <c r="M888" s="2">
        <v>51</v>
      </c>
      <c r="N888" s="2">
        <v>59</v>
      </c>
      <c r="O888" t="s">
        <v>29</v>
      </c>
      <c r="P888" t="s">
        <v>57</v>
      </c>
      <c r="Q888" t="s">
        <v>31</v>
      </c>
      <c r="R888" t="s">
        <v>42</v>
      </c>
      <c r="S888" t="s">
        <v>55</v>
      </c>
      <c r="T888" t="s">
        <v>39</v>
      </c>
      <c r="U888" t="s">
        <v>35</v>
      </c>
      <c r="V888" t="s">
        <v>36</v>
      </c>
      <c r="W888" t="s">
        <v>37</v>
      </c>
      <c r="X888" s="24">
        <v>13.559322033898299</v>
      </c>
      <c r="Y888" s="24">
        <v>86.440677966101703</v>
      </c>
      <c r="Z888" t="s">
        <v>38</v>
      </c>
      <c r="AA888" t="s">
        <v>39</v>
      </c>
      <c r="AB888" t="s">
        <v>38</v>
      </c>
      <c r="AC888" s="24">
        <v>4.1799999999999983E-2</v>
      </c>
    </row>
    <row r="889" spans="1:29" x14ac:dyDescent="0.3">
      <c r="A889" s="2">
        <v>830</v>
      </c>
      <c r="B889" s="1">
        <v>40581</v>
      </c>
      <c r="C889" s="2">
        <v>1</v>
      </c>
      <c r="D889" s="2">
        <v>0</v>
      </c>
      <c r="E889" t="b">
        <v>0</v>
      </c>
      <c r="F889" s="2">
        <v>1</v>
      </c>
      <c r="G889" s="2">
        <v>1</v>
      </c>
      <c r="H889" s="23">
        <v>0.24</v>
      </c>
      <c r="I889" s="25">
        <v>0.28789999999999999</v>
      </c>
      <c r="J889" s="23">
        <v>0.65</v>
      </c>
      <c r="K889" s="25">
        <v>0</v>
      </c>
      <c r="L889" s="2">
        <v>1</v>
      </c>
      <c r="M889" s="2">
        <v>14</v>
      </c>
      <c r="N889" s="2">
        <v>15</v>
      </c>
      <c r="O889" t="s">
        <v>29</v>
      </c>
      <c r="P889" t="s">
        <v>54</v>
      </c>
      <c r="Q889" t="s">
        <v>31</v>
      </c>
      <c r="R889" t="s">
        <v>32</v>
      </c>
      <c r="S889" t="s">
        <v>33</v>
      </c>
      <c r="T889" t="s">
        <v>49</v>
      </c>
      <c r="U889" t="s">
        <v>35</v>
      </c>
      <c r="V889" t="s">
        <v>36</v>
      </c>
      <c r="W889" t="s">
        <v>37</v>
      </c>
      <c r="X889" s="24">
        <v>6.666666666666667</v>
      </c>
      <c r="Y889" s="24">
        <v>93.333333333333329</v>
      </c>
      <c r="Z889" t="s">
        <v>38</v>
      </c>
      <c r="AA889" t="s">
        <v>39</v>
      </c>
      <c r="AB889" t="s">
        <v>38</v>
      </c>
      <c r="AC889" s="24">
        <v>4.7899999999999998E-2</v>
      </c>
    </row>
    <row r="890" spans="1:29" x14ac:dyDescent="0.3">
      <c r="A890" s="2">
        <v>841</v>
      </c>
      <c r="B890" s="1">
        <v>40581</v>
      </c>
      <c r="C890" s="2">
        <v>1</v>
      </c>
      <c r="D890" s="2">
        <v>11</v>
      </c>
      <c r="E890" t="b">
        <v>0</v>
      </c>
      <c r="F890" s="2">
        <v>1</v>
      </c>
      <c r="G890" s="2">
        <v>1</v>
      </c>
      <c r="H890" s="23">
        <v>0.3</v>
      </c>
      <c r="I890" s="25">
        <v>0.31819999999999998</v>
      </c>
      <c r="J890" s="23">
        <v>0.65</v>
      </c>
      <c r="K890" s="25">
        <v>8.9599999999999999E-2</v>
      </c>
      <c r="L890" s="2">
        <v>11</v>
      </c>
      <c r="M890" s="2">
        <v>36</v>
      </c>
      <c r="N890" s="2">
        <v>47</v>
      </c>
      <c r="O890" t="s">
        <v>29</v>
      </c>
      <c r="P890" t="s">
        <v>54</v>
      </c>
      <c r="Q890" t="s">
        <v>31</v>
      </c>
      <c r="R890" t="s">
        <v>42</v>
      </c>
      <c r="S890" t="s">
        <v>44</v>
      </c>
      <c r="T890" t="s">
        <v>49</v>
      </c>
      <c r="U890" t="s">
        <v>35</v>
      </c>
      <c r="V890" t="s">
        <v>36</v>
      </c>
      <c r="W890" t="s">
        <v>37</v>
      </c>
      <c r="X890" s="24">
        <v>23.404255319148941</v>
      </c>
      <c r="Y890" s="24">
        <v>76.59574468085107</v>
      </c>
      <c r="Z890" t="s">
        <v>38</v>
      </c>
      <c r="AA890" t="s">
        <v>39</v>
      </c>
      <c r="AB890" t="s">
        <v>38</v>
      </c>
      <c r="AC890" s="24">
        <v>1.819999999999999E-2</v>
      </c>
    </row>
    <row r="891" spans="1:29" x14ac:dyDescent="0.3">
      <c r="A891" s="2">
        <v>861</v>
      </c>
      <c r="B891" s="1">
        <v>40582</v>
      </c>
      <c r="C891" s="2">
        <v>1</v>
      </c>
      <c r="D891" s="2">
        <v>7</v>
      </c>
      <c r="E891" t="b">
        <v>0</v>
      </c>
      <c r="F891" s="2">
        <v>2</v>
      </c>
      <c r="G891" s="2">
        <v>1</v>
      </c>
      <c r="H891" s="23">
        <v>0.24</v>
      </c>
      <c r="I891" s="25">
        <v>0.19700000000000001</v>
      </c>
      <c r="J891" s="23">
        <v>0.65</v>
      </c>
      <c r="K891" s="25">
        <v>0.41789999999999999</v>
      </c>
      <c r="L891" s="2">
        <v>3</v>
      </c>
      <c r="M891" s="2">
        <v>97</v>
      </c>
      <c r="N891" s="2">
        <v>100</v>
      </c>
      <c r="O891" t="s">
        <v>29</v>
      </c>
      <c r="P891" t="s">
        <v>56</v>
      </c>
      <c r="Q891" t="s">
        <v>31</v>
      </c>
      <c r="R891" t="s">
        <v>42</v>
      </c>
      <c r="S891" t="s">
        <v>33</v>
      </c>
      <c r="T891" t="s">
        <v>49</v>
      </c>
      <c r="U891" t="s">
        <v>53</v>
      </c>
      <c r="V891" t="s">
        <v>36</v>
      </c>
      <c r="W891" t="s">
        <v>37</v>
      </c>
      <c r="X891" s="24">
        <v>3</v>
      </c>
      <c r="Y891" s="24">
        <v>97</v>
      </c>
      <c r="Z891" t="s">
        <v>40</v>
      </c>
      <c r="AA891" t="s">
        <v>49</v>
      </c>
      <c r="AB891" t="s">
        <v>38</v>
      </c>
      <c r="AC891" s="24">
        <v>-4.2999999999999983E-2</v>
      </c>
    </row>
    <row r="892" spans="1:29" x14ac:dyDescent="0.3">
      <c r="A892" s="2">
        <v>891</v>
      </c>
      <c r="B892" s="1">
        <v>40583</v>
      </c>
      <c r="C892" s="2">
        <v>1</v>
      </c>
      <c r="D892" s="2">
        <v>14</v>
      </c>
      <c r="E892" t="b">
        <v>0</v>
      </c>
      <c r="F892" s="2">
        <v>3</v>
      </c>
      <c r="G892" s="2">
        <v>1</v>
      </c>
      <c r="H892" s="23">
        <v>0.2</v>
      </c>
      <c r="I892" s="25">
        <v>0.18179999999999999</v>
      </c>
      <c r="J892" s="23">
        <v>0.34</v>
      </c>
      <c r="K892" s="25">
        <v>0.29849999999999999</v>
      </c>
      <c r="L892" s="2">
        <v>2</v>
      </c>
      <c r="M892" s="2">
        <v>56</v>
      </c>
      <c r="N892" s="2">
        <v>58</v>
      </c>
      <c r="O892" t="s">
        <v>29</v>
      </c>
      <c r="P892" t="s">
        <v>57</v>
      </c>
      <c r="Q892" t="s">
        <v>31</v>
      </c>
      <c r="R892" t="s">
        <v>47</v>
      </c>
      <c r="S892" t="s">
        <v>33</v>
      </c>
      <c r="T892" t="s">
        <v>39</v>
      </c>
      <c r="U892" t="s">
        <v>46</v>
      </c>
      <c r="V892" t="s">
        <v>36</v>
      </c>
      <c r="W892" t="s">
        <v>37</v>
      </c>
      <c r="X892" s="24">
        <v>3.4482758620689649</v>
      </c>
      <c r="Y892" s="24">
        <v>96.551724137931032</v>
      </c>
      <c r="Z892" t="s">
        <v>38</v>
      </c>
      <c r="AA892" t="s">
        <v>39</v>
      </c>
      <c r="AB892" t="s">
        <v>38</v>
      </c>
      <c r="AC892" s="24">
        <v>-1.8200000000000022E-2</v>
      </c>
    </row>
    <row r="893" spans="1:29" x14ac:dyDescent="0.3">
      <c r="A893" s="2">
        <v>892</v>
      </c>
      <c r="B893" s="1">
        <v>40583</v>
      </c>
      <c r="C893" s="2">
        <v>1</v>
      </c>
      <c r="D893" s="2">
        <v>15</v>
      </c>
      <c r="E893" t="b">
        <v>0</v>
      </c>
      <c r="F893" s="2">
        <v>3</v>
      </c>
      <c r="G893" s="2">
        <v>2</v>
      </c>
      <c r="H893" s="23">
        <v>0.2</v>
      </c>
      <c r="I893" s="25">
        <v>0.18179999999999999</v>
      </c>
      <c r="J893" s="23">
        <v>0.34</v>
      </c>
      <c r="K893" s="25">
        <v>0.28360000000000002</v>
      </c>
      <c r="L893" s="2">
        <v>3</v>
      </c>
      <c r="M893" s="2">
        <v>61</v>
      </c>
      <c r="N893" s="2">
        <v>64</v>
      </c>
      <c r="O893" t="s">
        <v>29</v>
      </c>
      <c r="P893" t="s">
        <v>57</v>
      </c>
      <c r="Q893" t="s">
        <v>41</v>
      </c>
      <c r="R893" t="s">
        <v>47</v>
      </c>
      <c r="S893" t="s">
        <v>33</v>
      </c>
      <c r="T893" t="s">
        <v>39</v>
      </c>
      <c r="U893" t="s">
        <v>46</v>
      </c>
      <c r="V893" t="s">
        <v>36</v>
      </c>
      <c r="W893" t="s">
        <v>37</v>
      </c>
      <c r="X893" s="24">
        <v>4.6875</v>
      </c>
      <c r="Y893" s="24">
        <v>95.3125</v>
      </c>
      <c r="Z893" t="s">
        <v>38</v>
      </c>
      <c r="AA893" t="s">
        <v>39</v>
      </c>
      <c r="AB893" t="s">
        <v>38</v>
      </c>
      <c r="AC893" s="24">
        <v>-1.8200000000000022E-2</v>
      </c>
    </row>
    <row r="894" spans="1:29" x14ac:dyDescent="0.3">
      <c r="A894" s="2">
        <v>893</v>
      </c>
      <c r="B894" s="1">
        <v>40583</v>
      </c>
      <c r="C894" s="2">
        <v>1</v>
      </c>
      <c r="D894" s="2">
        <v>16</v>
      </c>
      <c r="E894" t="b">
        <v>0</v>
      </c>
      <c r="F894" s="2">
        <v>3</v>
      </c>
      <c r="G894" s="2">
        <v>2</v>
      </c>
      <c r="H894" s="23">
        <v>0.2</v>
      </c>
      <c r="I894" s="25">
        <v>0.19700000000000001</v>
      </c>
      <c r="J894" s="23">
        <v>0.37</v>
      </c>
      <c r="K894" s="25">
        <v>0.25369999999999998</v>
      </c>
      <c r="L894" s="2">
        <v>7</v>
      </c>
      <c r="M894" s="2">
        <v>72</v>
      </c>
      <c r="N894" s="2">
        <v>79</v>
      </c>
      <c r="O894" t="s">
        <v>29</v>
      </c>
      <c r="P894" t="s">
        <v>57</v>
      </c>
      <c r="Q894" t="s">
        <v>41</v>
      </c>
      <c r="R894" t="s">
        <v>47</v>
      </c>
      <c r="S894" t="s">
        <v>33</v>
      </c>
      <c r="T894" t="s">
        <v>39</v>
      </c>
      <c r="U894" t="s">
        <v>46</v>
      </c>
      <c r="V894" t="s">
        <v>36</v>
      </c>
      <c r="W894" t="s">
        <v>37</v>
      </c>
      <c r="X894" s="24">
        <v>8.8607594936708853</v>
      </c>
      <c r="Y894" s="24">
        <v>91.139240506329116</v>
      </c>
      <c r="Z894" t="s">
        <v>38</v>
      </c>
      <c r="AA894" t="s">
        <v>39</v>
      </c>
      <c r="AB894" t="s">
        <v>38</v>
      </c>
      <c r="AC894" s="24">
        <v>-3.0000000000000031E-3</v>
      </c>
    </row>
    <row r="895" spans="1:29" x14ac:dyDescent="0.3">
      <c r="A895" s="2">
        <v>894</v>
      </c>
      <c r="B895" s="1">
        <v>40583</v>
      </c>
      <c r="C895" s="2">
        <v>1</v>
      </c>
      <c r="D895" s="2">
        <v>17</v>
      </c>
      <c r="E895" t="b">
        <v>0</v>
      </c>
      <c r="F895" s="2">
        <v>3</v>
      </c>
      <c r="G895" s="2">
        <v>2</v>
      </c>
      <c r="H895" s="23">
        <v>0.2</v>
      </c>
      <c r="I895" s="25">
        <v>0.19700000000000001</v>
      </c>
      <c r="J895" s="23">
        <v>0.34</v>
      </c>
      <c r="K895" s="25">
        <v>0.25369999999999998</v>
      </c>
      <c r="L895" s="2">
        <v>9</v>
      </c>
      <c r="M895" s="2">
        <v>157</v>
      </c>
      <c r="N895" s="2">
        <v>166</v>
      </c>
      <c r="O895" t="s">
        <v>29</v>
      </c>
      <c r="P895" t="s">
        <v>57</v>
      </c>
      <c r="Q895" t="s">
        <v>41</v>
      </c>
      <c r="R895" t="s">
        <v>50</v>
      </c>
      <c r="S895" t="s">
        <v>33</v>
      </c>
      <c r="T895" t="s">
        <v>39</v>
      </c>
      <c r="U895" t="s">
        <v>46</v>
      </c>
      <c r="V895" t="s">
        <v>36</v>
      </c>
      <c r="W895" t="s">
        <v>37</v>
      </c>
      <c r="X895" s="24">
        <v>5.4216867469879517</v>
      </c>
      <c r="Y895" s="24">
        <v>94.578313253012041</v>
      </c>
      <c r="Z895" t="s">
        <v>40</v>
      </c>
      <c r="AA895" t="s">
        <v>49</v>
      </c>
      <c r="AB895" t="s">
        <v>38</v>
      </c>
      <c r="AC895" s="24">
        <v>-3.0000000000000031E-3</v>
      </c>
    </row>
    <row r="896" spans="1:29" x14ac:dyDescent="0.3">
      <c r="A896" s="2">
        <v>36</v>
      </c>
      <c r="B896" s="1">
        <v>40545</v>
      </c>
      <c r="C896" s="2">
        <v>1</v>
      </c>
      <c r="D896" s="2">
        <v>12</v>
      </c>
      <c r="E896" t="b">
        <v>0</v>
      </c>
      <c r="F896" s="2">
        <v>0</v>
      </c>
      <c r="G896" s="2">
        <v>2</v>
      </c>
      <c r="H896" s="23">
        <v>0.36</v>
      </c>
      <c r="I896" s="25">
        <v>0.33329999999999999</v>
      </c>
      <c r="J896" s="23">
        <v>0.66</v>
      </c>
      <c r="K896" s="25">
        <v>0.29849999999999999</v>
      </c>
      <c r="L896" s="2">
        <v>20</v>
      </c>
      <c r="M896" s="2">
        <v>73</v>
      </c>
      <c r="N896" s="2">
        <v>93</v>
      </c>
      <c r="O896" t="s">
        <v>29</v>
      </c>
      <c r="P896" t="s">
        <v>52</v>
      </c>
      <c r="Q896" t="s">
        <v>41</v>
      </c>
      <c r="R896" t="s">
        <v>47</v>
      </c>
      <c r="S896" t="s">
        <v>45</v>
      </c>
      <c r="T896" t="s">
        <v>49</v>
      </c>
      <c r="U896" t="s">
        <v>46</v>
      </c>
      <c r="V896" t="s">
        <v>36</v>
      </c>
      <c r="W896" t="s">
        <v>37</v>
      </c>
      <c r="X896" s="24">
        <v>21.50537634408602</v>
      </c>
      <c r="Y896" s="24">
        <v>78.494623655913969</v>
      </c>
      <c r="Z896" t="s">
        <v>38</v>
      </c>
      <c r="AA896" t="s">
        <v>39</v>
      </c>
      <c r="AB896" t="s">
        <v>40</v>
      </c>
      <c r="AC896" s="24">
        <v>-2.6700000000000002E-2</v>
      </c>
    </row>
    <row r="897" spans="1:29" x14ac:dyDescent="0.3">
      <c r="A897" s="2">
        <v>896</v>
      </c>
      <c r="B897" s="1">
        <v>40583</v>
      </c>
      <c r="C897" s="2">
        <v>1</v>
      </c>
      <c r="D897" s="2">
        <v>19</v>
      </c>
      <c r="E897" t="b">
        <v>0</v>
      </c>
      <c r="F897" s="2">
        <v>3</v>
      </c>
      <c r="G897" s="2">
        <v>3</v>
      </c>
      <c r="H897" s="23">
        <v>0.14000000000000001</v>
      </c>
      <c r="I897" s="25">
        <v>0.1212</v>
      </c>
      <c r="J897" s="23">
        <v>0.86</v>
      </c>
      <c r="K897" s="25">
        <v>0.25369999999999998</v>
      </c>
      <c r="L897" s="2">
        <v>1</v>
      </c>
      <c r="M897" s="2">
        <v>87</v>
      </c>
      <c r="N897" s="2">
        <v>88</v>
      </c>
      <c r="O897" t="s">
        <v>29</v>
      </c>
      <c r="P897" t="s">
        <v>57</v>
      </c>
      <c r="Q897" t="s">
        <v>51</v>
      </c>
      <c r="R897" t="s">
        <v>50</v>
      </c>
      <c r="S897" t="s">
        <v>55</v>
      </c>
      <c r="T897" t="s">
        <v>34</v>
      </c>
      <c r="U897" t="s">
        <v>46</v>
      </c>
      <c r="V897" t="s">
        <v>36</v>
      </c>
      <c r="W897" t="s">
        <v>37</v>
      </c>
      <c r="X897" s="24">
        <v>1.136363636363636</v>
      </c>
      <c r="Y897" s="24">
        <v>98.86363636363636</v>
      </c>
      <c r="Z897" t="s">
        <v>40</v>
      </c>
      <c r="AA897" t="s">
        <v>39</v>
      </c>
      <c r="AB897" t="s">
        <v>38</v>
      </c>
      <c r="AC897" s="24">
        <v>-1.8800000000000011E-2</v>
      </c>
    </row>
    <row r="898" spans="1:29" x14ac:dyDescent="0.3">
      <c r="A898" s="2">
        <v>897</v>
      </c>
      <c r="B898" s="1">
        <v>40583</v>
      </c>
      <c r="C898" s="2">
        <v>1</v>
      </c>
      <c r="D898" s="2">
        <v>20</v>
      </c>
      <c r="E898" t="b">
        <v>0</v>
      </c>
      <c r="F898" s="2">
        <v>3</v>
      </c>
      <c r="G898" s="2">
        <v>3</v>
      </c>
      <c r="H898" s="23">
        <v>0.14000000000000001</v>
      </c>
      <c r="I898" s="25">
        <v>0.1515</v>
      </c>
      <c r="J898" s="23">
        <v>0.86</v>
      </c>
      <c r="K898" s="25">
        <v>0.16420000000000001</v>
      </c>
      <c r="L898" s="2">
        <v>0</v>
      </c>
      <c r="M898" s="2">
        <v>84</v>
      </c>
      <c r="N898" s="2">
        <v>84</v>
      </c>
      <c r="O898" t="s">
        <v>29</v>
      </c>
      <c r="P898" t="s">
        <v>57</v>
      </c>
      <c r="Q898" t="s">
        <v>51</v>
      </c>
      <c r="R898" t="s">
        <v>50</v>
      </c>
      <c r="S898" t="s">
        <v>55</v>
      </c>
      <c r="T898" t="s">
        <v>34</v>
      </c>
      <c r="U898" t="s">
        <v>46</v>
      </c>
      <c r="V898" t="s">
        <v>36</v>
      </c>
      <c r="W898" t="s">
        <v>37</v>
      </c>
      <c r="X898" s="24">
        <v>0</v>
      </c>
      <c r="Y898" s="24">
        <v>100</v>
      </c>
      <c r="Z898" t="s">
        <v>38</v>
      </c>
      <c r="AA898" t="s">
        <v>39</v>
      </c>
      <c r="AB898" t="s">
        <v>38</v>
      </c>
      <c r="AC898" s="24">
        <v>1.1499999999999981E-2</v>
      </c>
    </row>
    <row r="899" spans="1:29" x14ac:dyDescent="0.3">
      <c r="A899" s="2">
        <v>898</v>
      </c>
      <c r="B899" s="1">
        <v>40583</v>
      </c>
      <c r="C899" s="2">
        <v>1</v>
      </c>
      <c r="D899" s="2">
        <v>21</v>
      </c>
      <c r="E899" t="b">
        <v>0</v>
      </c>
      <c r="F899" s="2">
        <v>3</v>
      </c>
      <c r="G899" s="2">
        <v>2</v>
      </c>
      <c r="H899" s="23">
        <v>0.14000000000000001</v>
      </c>
      <c r="I899" s="25">
        <v>0.1515</v>
      </c>
      <c r="J899" s="23">
        <v>0.86</v>
      </c>
      <c r="K899" s="25">
        <v>0.16420000000000001</v>
      </c>
      <c r="L899" s="2">
        <v>0</v>
      </c>
      <c r="M899" s="2">
        <v>83</v>
      </c>
      <c r="N899" s="2">
        <v>83</v>
      </c>
      <c r="O899" t="s">
        <v>29</v>
      </c>
      <c r="P899" t="s">
        <v>57</v>
      </c>
      <c r="Q899" t="s">
        <v>41</v>
      </c>
      <c r="R899" t="s">
        <v>32</v>
      </c>
      <c r="S899" t="s">
        <v>55</v>
      </c>
      <c r="T899" t="s">
        <v>34</v>
      </c>
      <c r="U899" t="s">
        <v>46</v>
      </c>
      <c r="V899" t="s">
        <v>36</v>
      </c>
      <c r="W899" t="s">
        <v>37</v>
      </c>
      <c r="X899" s="24">
        <v>0</v>
      </c>
      <c r="Y899" s="24">
        <v>100</v>
      </c>
      <c r="Z899" t="s">
        <v>38</v>
      </c>
      <c r="AA899" t="s">
        <v>39</v>
      </c>
      <c r="AB899" t="s">
        <v>38</v>
      </c>
      <c r="AC899" s="24">
        <v>1.1499999999999981E-2</v>
      </c>
    </row>
    <row r="900" spans="1:29" x14ac:dyDescent="0.3">
      <c r="A900" s="2">
        <v>899</v>
      </c>
      <c r="B900" s="1">
        <v>40583</v>
      </c>
      <c r="C900" s="2">
        <v>1</v>
      </c>
      <c r="D900" s="2">
        <v>22</v>
      </c>
      <c r="E900" t="b">
        <v>0</v>
      </c>
      <c r="F900" s="2">
        <v>3</v>
      </c>
      <c r="G900" s="2">
        <v>3</v>
      </c>
      <c r="H900" s="23">
        <v>0.16</v>
      </c>
      <c r="I900" s="25">
        <v>0.16669999999999999</v>
      </c>
      <c r="J900" s="23">
        <v>0.8</v>
      </c>
      <c r="K900" s="25">
        <v>0.16420000000000001</v>
      </c>
      <c r="L900" s="2">
        <v>4</v>
      </c>
      <c r="M900" s="2">
        <v>42</v>
      </c>
      <c r="N900" s="2">
        <v>46</v>
      </c>
      <c r="O900" t="s">
        <v>29</v>
      </c>
      <c r="P900" t="s">
        <v>57</v>
      </c>
      <c r="Q900" t="s">
        <v>51</v>
      </c>
      <c r="R900" t="s">
        <v>32</v>
      </c>
      <c r="S900" t="s">
        <v>33</v>
      </c>
      <c r="T900" t="s">
        <v>34</v>
      </c>
      <c r="U900" t="s">
        <v>46</v>
      </c>
      <c r="V900" t="s">
        <v>36</v>
      </c>
      <c r="W900" t="s">
        <v>37</v>
      </c>
      <c r="X900" s="24">
        <v>8.695652173913043</v>
      </c>
      <c r="Y900" s="24">
        <v>91.304347826086953</v>
      </c>
      <c r="Z900" t="s">
        <v>38</v>
      </c>
      <c r="AA900" t="s">
        <v>39</v>
      </c>
      <c r="AB900" t="s">
        <v>38</v>
      </c>
      <c r="AC900" s="24">
        <v>6.6999999999999837E-3</v>
      </c>
    </row>
    <row r="901" spans="1:29" x14ac:dyDescent="0.3">
      <c r="A901" s="2">
        <v>900</v>
      </c>
      <c r="B901" s="1">
        <v>40583</v>
      </c>
      <c r="C901" s="2">
        <v>1</v>
      </c>
      <c r="D901" s="2">
        <v>23</v>
      </c>
      <c r="E901" t="b">
        <v>0</v>
      </c>
      <c r="F901" s="2">
        <v>3</v>
      </c>
      <c r="G901" s="2">
        <v>3</v>
      </c>
      <c r="H901" s="23">
        <v>0.16</v>
      </c>
      <c r="I901" s="25">
        <v>0.1515</v>
      </c>
      <c r="J901" s="23">
        <v>0.8</v>
      </c>
      <c r="K901" s="25">
        <v>0.19400000000000001</v>
      </c>
      <c r="L901" s="2">
        <v>0</v>
      </c>
      <c r="M901" s="2">
        <v>37</v>
      </c>
      <c r="N901" s="2">
        <v>37</v>
      </c>
      <c r="O901" t="s">
        <v>29</v>
      </c>
      <c r="P901" t="s">
        <v>57</v>
      </c>
      <c r="Q901" t="s">
        <v>51</v>
      </c>
      <c r="R901" t="s">
        <v>32</v>
      </c>
      <c r="S901" t="s">
        <v>33</v>
      </c>
      <c r="T901" t="s">
        <v>34</v>
      </c>
      <c r="U901" t="s">
        <v>46</v>
      </c>
      <c r="V901" t="s">
        <v>36</v>
      </c>
      <c r="W901" t="s">
        <v>37</v>
      </c>
      <c r="X901" s="24">
        <v>0</v>
      </c>
      <c r="Y901" s="24">
        <v>100</v>
      </c>
      <c r="Z901" t="s">
        <v>38</v>
      </c>
      <c r="AA901" t="s">
        <v>39</v>
      </c>
      <c r="AB901" t="s">
        <v>38</v>
      </c>
      <c r="AC901" s="24">
        <v>-8.5000000000000075E-3</v>
      </c>
    </row>
    <row r="902" spans="1:29" x14ac:dyDescent="0.3">
      <c r="A902" s="2">
        <v>901</v>
      </c>
      <c r="B902" s="1">
        <v>40584</v>
      </c>
      <c r="C902" s="2">
        <v>1</v>
      </c>
      <c r="D902" s="2">
        <v>0</v>
      </c>
      <c r="E902" t="b">
        <v>0</v>
      </c>
      <c r="F902" s="2">
        <v>4</v>
      </c>
      <c r="G902" s="2">
        <v>3</v>
      </c>
      <c r="H902" s="23">
        <v>0.14000000000000001</v>
      </c>
      <c r="I902" s="25">
        <v>0.13639999999999999</v>
      </c>
      <c r="J902" s="23">
        <v>0.86</v>
      </c>
      <c r="K902" s="25">
        <v>0.19400000000000001</v>
      </c>
      <c r="L902" s="2">
        <v>0</v>
      </c>
      <c r="M902" s="2">
        <v>16</v>
      </c>
      <c r="N902" s="2">
        <v>16</v>
      </c>
      <c r="O902" t="s">
        <v>29</v>
      </c>
      <c r="P902" t="s">
        <v>58</v>
      </c>
      <c r="Q902" t="s">
        <v>51</v>
      </c>
      <c r="R902" t="s">
        <v>32</v>
      </c>
      <c r="S902" t="s">
        <v>55</v>
      </c>
      <c r="T902" t="s">
        <v>34</v>
      </c>
      <c r="U902" t="s">
        <v>46</v>
      </c>
      <c r="V902" t="s">
        <v>36</v>
      </c>
      <c r="W902" t="s">
        <v>37</v>
      </c>
      <c r="X902" s="24">
        <v>0</v>
      </c>
      <c r="Y902" s="24">
        <v>100</v>
      </c>
      <c r="Z902" t="s">
        <v>38</v>
      </c>
      <c r="AA902" t="s">
        <v>39</v>
      </c>
      <c r="AB902" t="s">
        <v>38</v>
      </c>
      <c r="AC902" s="24">
        <v>-3.6000000000000199E-3</v>
      </c>
    </row>
    <row r="903" spans="1:29" x14ac:dyDescent="0.3">
      <c r="A903" s="2">
        <v>902</v>
      </c>
      <c r="B903" s="1">
        <v>40584</v>
      </c>
      <c r="C903" s="2">
        <v>1</v>
      </c>
      <c r="D903" s="2">
        <v>1</v>
      </c>
      <c r="E903" t="b">
        <v>0</v>
      </c>
      <c r="F903" s="2">
        <v>4</v>
      </c>
      <c r="G903" s="2">
        <v>3</v>
      </c>
      <c r="H903" s="23">
        <v>0.14000000000000001</v>
      </c>
      <c r="I903" s="25">
        <v>0.1515</v>
      </c>
      <c r="J903" s="23">
        <v>0.8</v>
      </c>
      <c r="K903" s="25">
        <v>0.1343</v>
      </c>
      <c r="L903" s="2">
        <v>0</v>
      </c>
      <c r="M903" s="2">
        <v>7</v>
      </c>
      <c r="N903" s="2">
        <v>7</v>
      </c>
      <c r="O903" t="s">
        <v>29</v>
      </c>
      <c r="P903" t="s">
        <v>58</v>
      </c>
      <c r="Q903" t="s">
        <v>51</v>
      </c>
      <c r="R903" t="s">
        <v>32</v>
      </c>
      <c r="S903" t="s">
        <v>55</v>
      </c>
      <c r="T903" t="s">
        <v>34</v>
      </c>
      <c r="U903" t="s">
        <v>35</v>
      </c>
      <c r="V903" t="s">
        <v>36</v>
      </c>
      <c r="W903" t="s">
        <v>37</v>
      </c>
      <c r="X903" s="24">
        <v>0</v>
      </c>
      <c r="Y903" s="24">
        <v>100</v>
      </c>
      <c r="Z903" t="s">
        <v>38</v>
      </c>
      <c r="AA903" t="s">
        <v>39</v>
      </c>
      <c r="AB903" t="s">
        <v>38</v>
      </c>
      <c r="AC903" s="24">
        <v>1.1499999999999981E-2</v>
      </c>
    </row>
    <row r="904" spans="1:29" x14ac:dyDescent="0.3">
      <c r="A904" s="2">
        <v>903</v>
      </c>
      <c r="B904" s="1">
        <v>40584</v>
      </c>
      <c r="C904" s="2">
        <v>1</v>
      </c>
      <c r="D904" s="2">
        <v>2</v>
      </c>
      <c r="E904" t="b">
        <v>0</v>
      </c>
      <c r="F904" s="2">
        <v>4</v>
      </c>
      <c r="G904" s="2">
        <v>3</v>
      </c>
      <c r="H904" s="23">
        <v>0.14000000000000001</v>
      </c>
      <c r="I904" s="25">
        <v>0.1515</v>
      </c>
      <c r="J904" s="23">
        <v>0.8</v>
      </c>
      <c r="K904" s="25">
        <v>0.1343</v>
      </c>
      <c r="L904" s="2">
        <v>0</v>
      </c>
      <c r="M904" s="2">
        <v>3</v>
      </c>
      <c r="N904" s="2">
        <v>3</v>
      </c>
      <c r="O904" t="s">
        <v>29</v>
      </c>
      <c r="P904" t="s">
        <v>58</v>
      </c>
      <c r="Q904" t="s">
        <v>51</v>
      </c>
      <c r="R904" t="s">
        <v>32</v>
      </c>
      <c r="S904" t="s">
        <v>55</v>
      </c>
      <c r="T904" t="s">
        <v>34</v>
      </c>
      <c r="U904" t="s">
        <v>35</v>
      </c>
      <c r="V904" t="s">
        <v>36</v>
      </c>
      <c r="W904" t="s">
        <v>37</v>
      </c>
      <c r="X904" s="24">
        <v>0</v>
      </c>
      <c r="Y904" s="24">
        <v>100</v>
      </c>
      <c r="Z904" t="s">
        <v>38</v>
      </c>
      <c r="AA904" t="s">
        <v>39</v>
      </c>
      <c r="AB904" t="s">
        <v>38</v>
      </c>
      <c r="AC904" s="24">
        <v>1.1499999999999981E-2</v>
      </c>
    </row>
    <row r="905" spans="1:29" x14ac:dyDescent="0.3">
      <c r="A905" s="2">
        <v>37</v>
      </c>
      <c r="B905" s="1">
        <v>40545</v>
      </c>
      <c r="C905" s="2">
        <v>1</v>
      </c>
      <c r="D905" s="2">
        <v>13</v>
      </c>
      <c r="E905" t="b">
        <v>0</v>
      </c>
      <c r="F905" s="2">
        <v>0</v>
      </c>
      <c r="G905" s="2">
        <v>2</v>
      </c>
      <c r="H905" s="23">
        <v>0.36</v>
      </c>
      <c r="I905" s="25">
        <v>0.34849999999999998</v>
      </c>
      <c r="J905" s="23">
        <v>0.66</v>
      </c>
      <c r="K905" s="25">
        <v>0.1343</v>
      </c>
      <c r="L905" s="2">
        <v>11</v>
      </c>
      <c r="M905" s="2">
        <v>64</v>
      </c>
      <c r="N905" s="2">
        <v>75</v>
      </c>
      <c r="O905" t="s">
        <v>29</v>
      </c>
      <c r="P905" t="s">
        <v>52</v>
      </c>
      <c r="Q905" t="s">
        <v>41</v>
      </c>
      <c r="R905" t="s">
        <v>47</v>
      </c>
      <c r="S905" t="s">
        <v>45</v>
      </c>
      <c r="T905" t="s">
        <v>49</v>
      </c>
      <c r="U905" t="s">
        <v>35</v>
      </c>
      <c r="V905" t="s">
        <v>36</v>
      </c>
      <c r="W905" t="s">
        <v>37</v>
      </c>
      <c r="X905" s="24">
        <v>14.66666666666667</v>
      </c>
      <c r="Y905" s="24">
        <v>85.333333333333343</v>
      </c>
      <c r="Z905" t="s">
        <v>38</v>
      </c>
      <c r="AA905" t="s">
        <v>39</v>
      </c>
      <c r="AB905" t="s">
        <v>40</v>
      </c>
      <c r="AC905" s="24">
        <v>-1.150000000000001E-2</v>
      </c>
    </row>
    <row r="906" spans="1:29" x14ac:dyDescent="0.3">
      <c r="A906" s="2">
        <v>848</v>
      </c>
      <c r="B906" s="1">
        <v>40581</v>
      </c>
      <c r="C906" s="2">
        <v>1</v>
      </c>
      <c r="D906" s="2">
        <v>18</v>
      </c>
      <c r="E906" t="b">
        <v>0</v>
      </c>
      <c r="F906" s="2">
        <v>1</v>
      </c>
      <c r="G906" s="2">
        <v>2</v>
      </c>
      <c r="H906" s="23">
        <v>0.34</v>
      </c>
      <c r="I906" s="25">
        <v>0.33329999999999999</v>
      </c>
      <c r="J906" s="23">
        <v>0.66</v>
      </c>
      <c r="K906" s="25">
        <v>0.1343</v>
      </c>
      <c r="L906" s="2">
        <v>5</v>
      </c>
      <c r="M906" s="2">
        <v>170</v>
      </c>
      <c r="N906" s="2">
        <v>175</v>
      </c>
      <c r="O906" t="s">
        <v>29</v>
      </c>
      <c r="P906" t="s">
        <v>54</v>
      </c>
      <c r="Q906" t="s">
        <v>41</v>
      </c>
      <c r="R906" t="s">
        <v>50</v>
      </c>
      <c r="S906" t="s">
        <v>44</v>
      </c>
      <c r="T906" t="s">
        <v>49</v>
      </c>
      <c r="U906" t="s">
        <v>35</v>
      </c>
      <c r="V906" t="s">
        <v>36</v>
      </c>
      <c r="W906" t="s">
        <v>37</v>
      </c>
      <c r="X906" s="24">
        <v>2.8571428571428572</v>
      </c>
      <c r="Y906" s="24">
        <v>97.142857142857139</v>
      </c>
      <c r="Z906" t="s">
        <v>40</v>
      </c>
      <c r="AA906" t="s">
        <v>49</v>
      </c>
      <c r="AB906" t="s">
        <v>38</v>
      </c>
      <c r="AC906" s="24">
        <v>-6.7000000000000393E-3</v>
      </c>
    </row>
    <row r="907" spans="1:29" x14ac:dyDescent="0.3">
      <c r="A907" s="2">
        <v>74</v>
      </c>
      <c r="B907" s="1">
        <v>40547</v>
      </c>
      <c r="C907" s="2">
        <v>1</v>
      </c>
      <c r="D907" s="2">
        <v>5</v>
      </c>
      <c r="E907" t="b">
        <v>0</v>
      </c>
      <c r="F907" s="2">
        <v>2</v>
      </c>
      <c r="G907" s="2">
        <v>1</v>
      </c>
      <c r="H907" s="23">
        <v>0.12</v>
      </c>
      <c r="I907" s="25">
        <v>0.1515</v>
      </c>
      <c r="J907" s="23">
        <v>0.68</v>
      </c>
      <c r="K907" s="25">
        <v>0.1045</v>
      </c>
      <c r="L907" s="2">
        <v>0</v>
      </c>
      <c r="M907" s="2">
        <v>4</v>
      </c>
      <c r="N907" s="2">
        <v>4</v>
      </c>
      <c r="O907" t="s">
        <v>29</v>
      </c>
      <c r="P907" t="s">
        <v>56</v>
      </c>
      <c r="Q907" t="s">
        <v>31</v>
      </c>
      <c r="R907" t="s">
        <v>32</v>
      </c>
      <c r="S907" t="s">
        <v>55</v>
      </c>
      <c r="T907" t="s">
        <v>49</v>
      </c>
      <c r="U907" t="s">
        <v>35</v>
      </c>
      <c r="V907" t="s">
        <v>36</v>
      </c>
      <c r="W907" t="s">
        <v>37</v>
      </c>
      <c r="X907" s="24">
        <v>0</v>
      </c>
      <c r="Y907" s="24">
        <v>100</v>
      </c>
      <c r="Z907" t="s">
        <v>38</v>
      </c>
      <c r="AA907" t="s">
        <v>39</v>
      </c>
      <c r="AB907" t="s">
        <v>38</v>
      </c>
      <c r="AC907" s="24">
        <v>3.15E-2</v>
      </c>
    </row>
    <row r="908" spans="1:29" x14ac:dyDescent="0.3">
      <c r="A908" s="2">
        <v>309</v>
      </c>
      <c r="B908" s="1">
        <v>40557</v>
      </c>
      <c r="C908" s="2">
        <v>1</v>
      </c>
      <c r="D908" s="2">
        <v>8</v>
      </c>
      <c r="E908" t="b">
        <v>0</v>
      </c>
      <c r="F908" s="2">
        <v>5</v>
      </c>
      <c r="G908" s="2">
        <v>1</v>
      </c>
      <c r="H908" s="23">
        <v>0.12</v>
      </c>
      <c r="I908" s="25">
        <v>0.16669999999999999</v>
      </c>
      <c r="J908" s="23">
        <v>0.68</v>
      </c>
      <c r="K908" s="25">
        <v>0</v>
      </c>
      <c r="L908" s="2">
        <v>2</v>
      </c>
      <c r="M908" s="2">
        <v>156</v>
      </c>
      <c r="N908" s="2">
        <v>158</v>
      </c>
      <c r="O908" t="s">
        <v>29</v>
      </c>
      <c r="P908" t="s">
        <v>59</v>
      </c>
      <c r="Q908" t="s">
        <v>31</v>
      </c>
      <c r="R908" t="s">
        <v>42</v>
      </c>
      <c r="S908" t="s">
        <v>55</v>
      </c>
      <c r="T908" t="s">
        <v>49</v>
      </c>
      <c r="U908" t="s">
        <v>35</v>
      </c>
      <c r="V908" t="s">
        <v>36</v>
      </c>
      <c r="W908" t="s">
        <v>37</v>
      </c>
      <c r="X908" s="24">
        <v>1.2658227848101271</v>
      </c>
      <c r="Y908" s="24">
        <v>98.734177215189874</v>
      </c>
      <c r="Z908" t="s">
        <v>40</v>
      </c>
      <c r="AA908" t="s">
        <v>49</v>
      </c>
      <c r="AB908" t="s">
        <v>38</v>
      </c>
      <c r="AC908" s="24">
        <v>4.6699999999999992E-2</v>
      </c>
    </row>
    <row r="909" spans="1:29" x14ac:dyDescent="0.3">
      <c r="A909" s="2">
        <v>928</v>
      </c>
      <c r="B909" s="1">
        <v>40585</v>
      </c>
      <c r="C909" s="2">
        <v>1</v>
      </c>
      <c r="D909" s="2">
        <v>6</v>
      </c>
      <c r="E909" t="b">
        <v>0</v>
      </c>
      <c r="F909" s="2">
        <v>5</v>
      </c>
      <c r="G909" s="2">
        <v>1</v>
      </c>
      <c r="H909" s="23">
        <v>0.1</v>
      </c>
      <c r="I909" s="25">
        <v>0.18179999999999999</v>
      </c>
      <c r="J909" s="23">
        <v>0.68</v>
      </c>
      <c r="K909" s="25">
        <v>0</v>
      </c>
      <c r="L909" s="2">
        <v>1</v>
      </c>
      <c r="M909" s="2">
        <v>23</v>
      </c>
      <c r="N909" s="2">
        <v>24</v>
      </c>
      <c r="O909" t="s">
        <v>29</v>
      </c>
      <c r="P909" t="s">
        <v>59</v>
      </c>
      <c r="Q909" t="s">
        <v>31</v>
      </c>
      <c r="R909" t="s">
        <v>42</v>
      </c>
      <c r="S909" t="s">
        <v>55</v>
      </c>
      <c r="T909" t="s">
        <v>49</v>
      </c>
      <c r="U909" t="s">
        <v>35</v>
      </c>
      <c r="V909" t="s">
        <v>36</v>
      </c>
      <c r="W909" t="s">
        <v>37</v>
      </c>
      <c r="X909" s="24">
        <v>4.1666666666666661</v>
      </c>
      <c r="Y909" s="24">
        <v>95.833333333333343</v>
      </c>
      <c r="Z909" t="s">
        <v>38</v>
      </c>
      <c r="AA909" t="s">
        <v>39</v>
      </c>
      <c r="AB909" t="s">
        <v>38</v>
      </c>
      <c r="AC909" s="24">
        <v>8.1799999999999984E-2</v>
      </c>
    </row>
    <row r="910" spans="1:29" x14ac:dyDescent="0.3">
      <c r="A910" s="2">
        <v>68</v>
      </c>
      <c r="B910" s="1">
        <v>40546</v>
      </c>
      <c r="C910" s="2">
        <v>1</v>
      </c>
      <c r="D910" s="2">
        <v>22</v>
      </c>
      <c r="E910" t="b">
        <v>0</v>
      </c>
      <c r="F910" s="2">
        <v>1</v>
      </c>
      <c r="G910" s="2">
        <v>1</v>
      </c>
      <c r="H910" s="23">
        <v>0.14000000000000001</v>
      </c>
      <c r="I910" s="25">
        <v>0.1515</v>
      </c>
      <c r="J910" s="23">
        <v>0.69</v>
      </c>
      <c r="K910" s="25">
        <v>0.1343</v>
      </c>
      <c r="L910" s="2">
        <v>0</v>
      </c>
      <c r="M910" s="2">
        <v>20</v>
      </c>
      <c r="N910" s="2">
        <v>20</v>
      </c>
      <c r="O910" t="s">
        <v>29</v>
      </c>
      <c r="P910" t="s">
        <v>54</v>
      </c>
      <c r="Q910" t="s">
        <v>31</v>
      </c>
      <c r="R910" t="s">
        <v>32</v>
      </c>
      <c r="S910" t="s">
        <v>55</v>
      </c>
      <c r="T910" t="s">
        <v>49</v>
      </c>
      <c r="U910" t="s">
        <v>35</v>
      </c>
      <c r="V910" t="s">
        <v>36</v>
      </c>
      <c r="W910" t="s">
        <v>37</v>
      </c>
      <c r="X910" s="24">
        <v>0</v>
      </c>
      <c r="Y910" s="24">
        <v>100</v>
      </c>
      <c r="Z910" t="s">
        <v>38</v>
      </c>
      <c r="AA910" t="s">
        <v>39</v>
      </c>
      <c r="AB910" t="s">
        <v>38</v>
      </c>
      <c r="AC910" s="24">
        <v>1.1499999999999981E-2</v>
      </c>
    </row>
    <row r="911" spans="1:29" x14ac:dyDescent="0.3">
      <c r="A911" s="2">
        <v>77</v>
      </c>
      <c r="B911" s="1">
        <v>40547</v>
      </c>
      <c r="C911" s="2">
        <v>1</v>
      </c>
      <c r="D911" s="2">
        <v>8</v>
      </c>
      <c r="E911" t="b">
        <v>0</v>
      </c>
      <c r="F911" s="2">
        <v>2</v>
      </c>
      <c r="G911" s="2">
        <v>1</v>
      </c>
      <c r="H911" s="23">
        <v>0.14000000000000001</v>
      </c>
      <c r="I911" s="25">
        <v>0.1515</v>
      </c>
      <c r="J911" s="23">
        <v>0.69</v>
      </c>
      <c r="K911" s="25">
        <v>0.16420000000000001</v>
      </c>
      <c r="L911" s="2">
        <v>2</v>
      </c>
      <c r="M911" s="2">
        <v>177</v>
      </c>
      <c r="N911" s="2">
        <v>179</v>
      </c>
      <c r="O911" t="s">
        <v>29</v>
      </c>
      <c r="P911" t="s">
        <v>56</v>
      </c>
      <c r="Q911" t="s">
        <v>31</v>
      </c>
      <c r="R911" t="s">
        <v>42</v>
      </c>
      <c r="S911" t="s">
        <v>55</v>
      </c>
      <c r="T911" t="s">
        <v>49</v>
      </c>
      <c r="U911" t="s">
        <v>46</v>
      </c>
      <c r="V911" t="s">
        <v>36</v>
      </c>
      <c r="W911" t="s">
        <v>37</v>
      </c>
      <c r="X911" s="24">
        <v>1.1173184357541901</v>
      </c>
      <c r="Y911" s="24">
        <v>98.882681564245814</v>
      </c>
      <c r="Z911" t="s">
        <v>40</v>
      </c>
      <c r="AA911" t="s">
        <v>49</v>
      </c>
      <c r="AB911" t="s">
        <v>38</v>
      </c>
      <c r="AC911" s="24">
        <v>1.1499999999999981E-2</v>
      </c>
    </row>
    <row r="912" spans="1:29" x14ac:dyDescent="0.3">
      <c r="A912" s="2">
        <v>911</v>
      </c>
      <c r="B912" s="1">
        <v>40584</v>
      </c>
      <c r="C912" s="2">
        <v>1</v>
      </c>
      <c r="D912" s="2">
        <v>11</v>
      </c>
      <c r="E912" t="b">
        <v>0</v>
      </c>
      <c r="F912" s="2">
        <v>4</v>
      </c>
      <c r="G912" s="2">
        <v>1</v>
      </c>
      <c r="H912" s="23">
        <v>0.14000000000000001</v>
      </c>
      <c r="I912" s="25">
        <v>0.1212</v>
      </c>
      <c r="J912" s="23">
        <v>0.39</v>
      </c>
      <c r="K912" s="25">
        <v>0.35820000000000002</v>
      </c>
      <c r="L912" s="2">
        <v>1</v>
      </c>
      <c r="M912" s="2">
        <v>44</v>
      </c>
      <c r="N912" s="2">
        <v>45</v>
      </c>
      <c r="O912" t="s">
        <v>29</v>
      </c>
      <c r="P912" t="s">
        <v>58</v>
      </c>
      <c r="Q912" t="s">
        <v>31</v>
      </c>
      <c r="R912" t="s">
        <v>42</v>
      </c>
      <c r="S912" t="s">
        <v>55</v>
      </c>
      <c r="T912" t="s">
        <v>39</v>
      </c>
      <c r="U912" t="s">
        <v>53</v>
      </c>
      <c r="V912" t="s">
        <v>36</v>
      </c>
      <c r="W912" t="s">
        <v>37</v>
      </c>
      <c r="X912" s="24">
        <v>2.2222222222222219</v>
      </c>
      <c r="Y912" s="24">
        <v>97.777777777777771</v>
      </c>
      <c r="Z912" t="s">
        <v>38</v>
      </c>
      <c r="AA912" t="s">
        <v>39</v>
      </c>
      <c r="AB912" t="s">
        <v>38</v>
      </c>
      <c r="AC912" s="24">
        <v>-1.8800000000000011E-2</v>
      </c>
    </row>
    <row r="913" spans="1:29" x14ac:dyDescent="0.3">
      <c r="A913" s="2">
        <v>912</v>
      </c>
      <c r="B913" s="1">
        <v>40584</v>
      </c>
      <c r="C913" s="2">
        <v>1</v>
      </c>
      <c r="D913" s="2">
        <v>12</v>
      </c>
      <c r="E913" t="b">
        <v>0</v>
      </c>
      <c r="F913" s="2">
        <v>4</v>
      </c>
      <c r="G913" s="2">
        <v>1</v>
      </c>
      <c r="H913" s="23">
        <v>0.16</v>
      </c>
      <c r="I913" s="25">
        <v>0.13639999999999999</v>
      </c>
      <c r="J913" s="23">
        <v>0.34</v>
      </c>
      <c r="K913" s="25">
        <v>0.3881</v>
      </c>
      <c r="L913" s="2">
        <v>4</v>
      </c>
      <c r="M913" s="2">
        <v>65</v>
      </c>
      <c r="N913" s="2">
        <v>69</v>
      </c>
      <c r="O913" t="s">
        <v>29</v>
      </c>
      <c r="P913" t="s">
        <v>58</v>
      </c>
      <c r="Q913" t="s">
        <v>31</v>
      </c>
      <c r="R913" t="s">
        <v>47</v>
      </c>
      <c r="S913" t="s">
        <v>33</v>
      </c>
      <c r="T913" t="s">
        <v>39</v>
      </c>
      <c r="U913" t="s">
        <v>53</v>
      </c>
      <c r="V913" t="s">
        <v>36</v>
      </c>
      <c r="W913" t="s">
        <v>37</v>
      </c>
      <c r="X913" s="24">
        <v>5.7971014492753623</v>
      </c>
      <c r="Y913" s="24">
        <v>94.20289855072464</v>
      </c>
      <c r="Z913" t="s">
        <v>38</v>
      </c>
      <c r="AA913" t="s">
        <v>39</v>
      </c>
      <c r="AB913" t="s">
        <v>38</v>
      </c>
      <c r="AC913" s="24">
        <v>-2.360000000000001E-2</v>
      </c>
    </row>
    <row r="914" spans="1:29" x14ac:dyDescent="0.3">
      <c r="A914" s="2">
        <v>913</v>
      </c>
      <c r="B914" s="1">
        <v>40584</v>
      </c>
      <c r="C914" s="2">
        <v>1</v>
      </c>
      <c r="D914" s="2">
        <v>13</v>
      </c>
      <c r="E914" t="b">
        <v>0</v>
      </c>
      <c r="F914" s="2">
        <v>4</v>
      </c>
      <c r="G914" s="2">
        <v>1</v>
      </c>
      <c r="H914" s="23">
        <v>0.18</v>
      </c>
      <c r="I914" s="25">
        <v>0.16669999999999999</v>
      </c>
      <c r="J914" s="23">
        <v>0.28999999999999998</v>
      </c>
      <c r="K914" s="25">
        <v>0.29849999999999999</v>
      </c>
      <c r="L914" s="2">
        <v>3</v>
      </c>
      <c r="M914" s="2">
        <v>59</v>
      </c>
      <c r="N914" s="2">
        <v>62</v>
      </c>
      <c r="O914" t="s">
        <v>29</v>
      </c>
      <c r="P914" t="s">
        <v>58</v>
      </c>
      <c r="Q914" t="s">
        <v>31</v>
      </c>
      <c r="R914" t="s">
        <v>47</v>
      </c>
      <c r="S914" t="s">
        <v>33</v>
      </c>
      <c r="T914" t="s">
        <v>39</v>
      </c>
      <c r="U914" t="s">
        <v>46</v>
      </c>
      <c r="V914" t="s">
        <v>36</v>
      </c>
      <c r="W914" t="s">
        <v>37</v>
      </c>
      <c r="X914" s="24">
        <v>4.838709677419355</v>
      </c>
      <c r="Y914" s="24">
        <v>95.161290322580655</v>
      </c>
      <c r="Z914" t="s">
        <v>38</v>
      </c>
      <c r="AA914" t="s">
        <v>39</v>
      </c>
      <c r="AB914" t="s">
        <v>38</v>
      </c>
      <c r="AC914" s="24">
        <v>-1.330000000000001E-2</v>
      </c>
    </row>
    <row r="915" spans="1:29" x14ac:dyDescent="0.3">
      <c r="A915" s="2">
        <v>914</v>
      </c>
      <c r="B915" s="1">
        <v>40584</v>
      </c>
      <c r="C915" s="2">
        <v>1</v>
      </c>
      <c r="D915" s="2">
        <v>14</v>
      </c>
      <c r="E915" t="b">
        <v>0</v>
      </c>
      <c r="F915" s="2">
        <v>4</v>
      </c>
      <c r="G915" s="2">
        <v>1</v>
      </c>
      <c r="H915" s="23">
        <v>0.2</v>
      </c>
      <c r="I915" s="25">
        <v>0.18179999999999999</v>
      </c>
      <c r="J915" s="23">
        <v>0.27</v>
      </c>
      <c r="K915" s="25">
        <v>0.28360000000000002</v>
      </c>
      <c r="L915" s="2">
        <v>6</v>
      </c>
      <c r="M915" s="2">
        <v>42</v>
      </c>
      <c r="N915" s="2">
        <v>48</v>
      </c>
      <c r="O915" t="s">
        <v>29</v>
      </c>
      <c r="P915" t="s">
        <v>58</v>
      </c>
      <c r="Q915" t="s">
        <v>31</v>
      </c>
      <c r="R915" t="s">
        <v>47</v>
      </c>
      <c r="S915" t="s">
        <v>33</v>
      </c>
      <c r="T915" t="s">
        <v>39</v>
      </c>
      <c r="U915" t="s">
        <v>46</v>
      </c>
      <c r="V915" t="s">
        <v>36</v>
      </c>
      <c r="W915" t="s">
        <v>37</v>
      </c>
      <c r="X915" s="24">
        <v>12.5</v>
      </c>
      <c r="Y915" s="24">
        <v>87.5</v>
      </c>
      <c r="Z915" t="s">
        <v>38</v>
      </c>
      <c r="AA915" t="s">
        <v>39</v>
      </c>
      <c r="AB915" t="s">
        <v>38</v>
      </c>
      <c r="AC915" s="24">
        <v>-1.8200000000000022E-2</v>
      </c>
    </row>
    <row r="916" spans="1:29" x14ac:dyDescent="0.3">
      <c r="A916" s="2">
        <v>915</v>
      </c>
      <c r="B916" s="1">
        <v>40584</v>
      </c>
      <c r="C916" s="2">
        <v>1</v>
      </c>
      <c r="D916" s="2">
        <v>15</v>
      </c>
      <c r="E916" t="b">
        <v>0</v>
      </c>
      <c r="F916" s="2">
        <v>4</v>
      </c>
      <c r="G916" s="2">
        <v>1</v>
      </c>
      <c r="H916" s="23">
        <v>0.2</v>
      </c>
      <c r="I916" s="25">
        <v>0.19700000000000001</v>
      </c>
      <c r="J916" s="23">
        <v>0.25</v>
      </c>
      <c r="K916" s="25">
        <v>0.25369999999999998</v>
      </c>
      <c r="L916" s="2">
        <v>0</v>
      </c>
      <c r="M916" s="2">
        <v>50</v>
      </c>
      <c r="N916" s="2">
        <v>50</v>
      </c>
      <c r="O916" t="s">
        <v>29</v>
      </c>
      <c r="P916" t="s">
        <v>58</v>
      </c>
      <c r="Q916" t="s">
        <v>31</v>
      </c>
      <c r="R916" t="s">
        <v>47</v>
      </c>
      <c r="S916" t="s">
        <v>33</v>
      </c>
      <c r="T916" t="s">
        <v>39</v>
      </c>
      <c r="U916" t="s">
        <v>46</v>
      </c>
      <c r="V916" t="s">
        <v>36</v>
      </c>
      <c r="W916" t="s">
        <v>37</v>
      </c>
      <c r="X916" s="24">
        <v>0</v>
      </c>
      <c r="Y916" s="24">
        <v>100</v>
      </c>
      <c r="Z916" t="s">
        <v>38</v>
      </c>
      <c r="AA916" t="s">
        <v>39</v>
      </c>
      <c r="AB916" t="s">
        <v>38</v>
      </c>
      <c r="AC916" s="24">
        <v>-3.0000000000000031E-3</v>
      </c>
    </row>
    <row r="917" spans="1:29" x14ac:dyDescent="0.3">
      <c r="A917" s="2">
        <v>916</v>
      </c>
      <c r="B917" s="1">
        <v>40584</v>
      </c>
      <c r="C917" s="2">
        <v>1</v>
      </c>
      <c r="D917" s="2">
        <v>16</v>
      </c>
      <c r="E917" t="b">
        <v>0</v>
      </c>
      <c r="F917" s="2">
        <v>4</v>
      </c>
      <c r="G917" s="2">
        <v>1</v>
      </c>
      <c r="H917" s="23">
        <v>0.2</v>
      </c>
      <c r="I917" s="25">
        <v>0.18179999999999999</v>
      </c>
      <c r="J917" s="23">
        <v>0.27</v>
      </c>
      <c r="K917" s="25">
        <v>0.29849999999999999</v>
      </c>
      <c r="L917" s="2">
        <v>4</v>
      </c>
      <c r="M917" s="2">
        <v>76</v>
      </c>
      <c r="N917" s="2">
        <v>80</v>
      </c>
      <c r="O917" t="s">
        <v>29</v>
      </c>
      <c r="P917" t="s">
        <v>58</v>
      </c>
      <c r="Q917" t="s">
        <v>31</v>
      </c>
      <c r="R917" t="s">
        <v>47</v>
      </c>
      <c r="S917" t="s">
        <v>33</v>
      </c>
      <c r="T917" t="s">
        <v>39</v>
      </c>
      <c r="U917" t="s">
        <v>46</v>
      </c>
      <c r="V917" t="s">
        <v>36</v>
      </c>
      <c r="W917" t="s">
        <v>37</v>
      </c>
      <c r="X917" s="24">
        <v>5</v>
      </c>
      <c r="Y917" s="24">
        <v>95</v>
      </c>
      <c r="Z917" t="s">
        <v>38</v>
      </c>
      <c r="AA917" t="s">
        <v>39</v>
      </c>
      <c r="AB917" t="s">
        <v>38</v>
      </c>
      <c r="AC917" s="24">
        <v>-1.8200000000000022E-2</v>
      </c>
    </row>
    <row r="918" spans="1:29" x14ac:dyDescent="0.3">
      <c r="A918" s="2">
        <v>917</v>
      </c>
      <c r="B918" s="1">
        <v>40584</v>
      </c>
      <c r="C918" s="2">
        <v>1</v>
      </c>
      <c r="D918" s="2">
        <v>17</v>
      </c>
      <c r="E918" t="b">
        <v>0</v>
      </c>
      <c r="F918" s="2">
        <v>4</v>
      </c>
      <c r="G918" s="2">
        <v>1</v>
      </c>
      <c r="H918" s="23">
        <v>0.18</v>
      </c>
      <c r="I918" s="25">
        <v>0.18179999999999999</v>
      </c>
      <c r="J918" s="23">
        <v>0.26</v>
      </c>
      <c r="K918" s="25">
        <v>0.19400000000000001</v>
      </c>
      <c r="L918" s="2">
        <v>6</v>
      </c>
      <c r="M918" s="2">
        <v>159</v>
      </c>
      <c r="N918" s="2">
        <v>165</v>
      </c>
      <c r="O918" t="s">
        <v>29</v>
      </c>
      <c r="P918" t="s">
        <v>58</v>
      </c>
      <c r="Q918" t="s">
        <v>31</v>
      </c>
      <c r="R918" t="s">
        <v>50</v>
      </c>
      <c r="S918" t="s">
        <v>33</v>
      </c>
      <c r="T918" t="s">
        <v>39</v>
      </c>
      <c r="U918" t="s">
        <v>46</v>
      </c>
      <c r="V918" t="s">
        <v>36</v>
      </c>
      <c r="W918" t="s">
        <v>37</v>
      </c>
      <c r="X918" s="24">
        <v>3.6363636363636358</v>
      </c>
      <c r="Y918" s="24">
        <v>96.36363636363636</v>
      </c>
      <c r="Z918" t="s">
        <v>40</v>
      </c>
      <c r="AA918" t="s">
        <v>49</v>
      </c>
      <c r="AB918" t="s">
        <v>38</v>
      </c>
      <c r="AC918" s="24">
        <v>1.799999999999996E-3</v>
      </c>
    </row>
    <row r="919" spans="1:29" x14ac:dyDescent="0.3">
      <c r="A919" s="2">
        <v>918</v>
      </c>
      <c r="B919" s="1">
        <v>40584</v>
      </c>
      <c r="C919" s="2">
        <v>1</v>
      </c>
      <c r="D919" s="2">
        <v>18</v>
      </c>
      <c r="E919" t="b">
        <v>0</v>
      </c>
      <c r="F919" s="2">
        <v>4</v>
      </c>
      <c r="G919" s="2">
        <v>1</v>
      </c>
      <c r="H919" s="23">
        <v>0.16</v>
      </c>
      <c r="I919" s="25">
        <v>0.18179999999999999</v>
      </c>
      <c r="J919" s="23">
        <v>0.28000000000000003</v>
      </c>
      <c r="K919" s="25">
        <v>0.1343</v>
      </c>
      <c r="L919" s="2">
        <v>3</v>
      </c>
      <c r="M919" s="2">
        <v>157</v>
      </c>
      <c r="N919" s="2">
        <v>160</v>
      </c>
      <c r="O919" t="s">
        <v>29</v>
      </c>
      <c r="P919" t="s">
        <v>58</v>
      </c>
      <c r="Q919" t="s">
        <v>31</v>
      </c>
      <c r="R919" t="s">
        <v>50</v>
      </c>
      <c r="S919" t="s">
        <v>33</v>
      </c>
      <c r="T919" t="s">
        <v>39</v>
      </c>
      <c r="U919" t="s">
        <v>35</v>
      </c>
      <c r="V919" t="s">
        <v>36</v>
      </c>
      <c r="W919" t="s">
        <v>37</v>
      </c>
      <c r="X919" s="24">
        <v>1.875</v>
      </c>
      <c r="Y919" s="24">
        <v>98.125</v>
      </c>
      <c r="Z919" t="s">
        <v>40</v>
      </c>
      <c r="AA919" t="s">
        <v>49</v>
      </c>
      <c r="AB919" t="s">
        <v>38</v>
      </c>
      <c r="AC919" s="24">
        <v>2.179999999999999E-2</v>
      </c>
    </row>
    <row r="920" spans="1:29" x14ac:dyDescent="0.3">
      <c r="A920" s="2">
        <v>919</v>
      </c>
      <c r="B920" s="1">
        <v>40584</v>
      </c>
      <c r="C920" s="2">
        <v>1</v>
      </c>
      <c r="D920" s="2">
        <v>19</v>
      </c>
      <c r="E920" t="b">
        <v>0</v>
      </c>
      <c r="F920" s="2">
        <v>4</v>
      </c>
      <c r="G920" s="2">
        <v>1</v>
      </c>
      <c r="H920" s="23">
        <v>0.14000000000000001</v>
      </c>
      <c r="I920" s="25">
        <v>0.16669999999999999</v>
      </c>
      <c r="J920" s="23">
        <v>0.28000000000000003</v>
      </c>
      <c r="K920" s="25">
        <v>0.1045</v>
      </c>
      <c r="L920" s="2">
        <v>2</v>
      </c>
      <c r="M920" s="2">
        <v>110</v>
      </c>
      <c r="N920" s="2">
        <v>112</v>
      </c>
      <c r="O920" t="s">
        <v>29</v>
      </c>
      <c r="P920" t="s">
        <v>58</v>
      </c>
      <c r="Q920" t="s">
        <v>31</v>
      </c>
      <c r="R920" t="s">
        <v>50</v>
      </c>
      <c r="S920" t="s">
        <v>55</v>
      </c>
      <c r="T920" t="s">
        <v>39</v>
      </c>
      <c r="U920" t="s">
        <v>35</v>
      </c>
      <c r="V920" t="s">
        <v>36</v>
      </c>
      <c r="W920" t="s">
        <v>37</v>
      </c>
      <c r="X920" s="24">
        <v>1.785714285714286</v>
      </c>
      <c r="Y920" s="24">
        <v>98.214285714285708</v>
      </c>
      <c r="Z920" t="s">
        <v>40</v>
      </c>
      <c r="AA920" t="s">
        <v>49</v>
      </c>
      <c r="AB920" t="s">
        <v>38</v>
      </c>
      <c r="AC920" s="24">
        <v>2.669999999999997E-2</v>
      </c>
    </row>
    <row r="921" spans="1:29" x14ac:dyDescent="0.3">
      <c r="A921" s="2">
        <v>920</v>
      </c>
      <c r="B921" s="1">
        <v>40584</v>
      </c>
      <c r="C921" s="2">
        <v>1</v>
      </c>
      <c r="D921" s="2">
        <v>20</v>
      </c>
      <c r="E921" t="b">
        <v>0</v>
      </c>
      <c r="F921" s="2">
        <v>4</v>
      </c>
      <c r="G921" s="2">
        <v>1</v>
      </c>
      <c r="H921" s="23">
        <v>0.14000000000000001</v>
      </c>
      <c r="I921" s="25">
        <v>0.18179999999999999</v>
      </c>
      <c r="J921" s="23">
        <v>0.31</v>
      </c>
      <c r="K921" s="25">
        <v>8.9599999999999999E-2</v>
      </c>
      <c r="L921" s="2">
        <v>4</v>
      </c>
      <c r="M921" s="2">
        <v>93</v>
      </c>
      <c r="N921" s="2">
        <v>97</v>
      </c>
      <c r="O921" t="s">
        <v>29</v>
      </c>
      <c r="P921" t="s">
        <v>58</v>
      </c>
      <c r="Q921" t="s">
        <v>31</v>
      </c>
      <c r="R921" t="s">
        <v>50</v>
      </c>
      <c r="S921" t="s">
        <v>55</v>
      </c>
      <c r="T921" t="s">
        <v>39</v>
      </c>
      <c r="U921" t="s">
        <v>35</v>
      </c>
      <c r="V921" t="s">
        <v>36</v>
      </c>
      <c r="W921" t="s">
        <v>37</v>
      </c>
      <c r="X921" s="24">
        <v>4.1237113402061851</v>
      </c>
      <c r="Y921" s="24">
        <v>95.876288659793815</v>
      </c>
      <c r="Z921" t="s">
        <v>38</v>
      </c>
      <c r="AA921" t="s">
        <v>39</v>
      </c>
      <c r="AB921" t="s">
        <v>38</v>
      </c>
      <c r="AC921" s="24">
        <v>4.1799999999999983E-2</v>
      </c>
    </row>
    <row r="922" spans="1:29" x14ac:dyDescent="0.3">
      <c r="A922" s="2">
        <v>921</v>
      </c>
      <c r="B922" s="1">
        <v>40584</v>
      </c>
      <c r="C922" s="2">
        <v>1</v>
      </c>
      <c r="D922" s="2">
        <v>21</v>
      </c>
      <c r="E922" t="b">
        <v>0</v>
      </c>
      <c r="F922" s="2">
        <v>4</v>
      </c>
      <c r="G922" s="2">
        <v>1</v>
      </c>
      <c r="H922" s="23">
        <v>0.14000000000000001</v>
      </c>
      <c r="I922" s="25">
        <v>0.21210000000000001</v>
      </c>
      <c r="J922" s="23">
        <v>0.39</v>
      </c>
      <c r="K922" s="25">
        <v>0</v>
      </c>
      <c r="L922" s="2">
        <v>2</v>
      </c>
      <c r="M922" s="2">
        <v>70</v>
      </c>
      <c r="N922" s="2">
        <v>72</v>
      </c>
      <c r="O922" t="s">
        <v>29</v>
      </c>
      <c r="P922" t="s">
        <v>58</v>
      </c>
      <c r="Q922" t="s">
        <v>31</v>
      </c>
      <c r="R922" t="s">
        <v>32</v>
      </c>
      <c r="S922" t="s">
        <v>55</v>
      </c>
      <c r="T922" t="s">
        <v>39</v>
      </c>
      <c r="U922" t="s">
        <v>35</v>
      </c>
      <c r="V922" t="s">
        <v>36</v>
      </c>
      <c r="W922" t="s">
        <v>37</v>
      </c>
      <c r="X922" s="24">
        <v>2.7777777777777781</v>
      </c>
      <c r="Y922" s="24">
        <v>97.222222222222214</v>
      </c>
      <c r="Z922" t="s">
        <v>38</v>
      </c>
      <c r="AA922" t="s">
        <v>39</v>
      </c>
      <c r="AB922" t="s">
        <v>38</v>
      </c>
      <c r="AC922" s="24">
        <v>7.2099999999999997E-2</v>
      </c>
    </row>
    <row r="923" spans="1:29" x14ac:dyDescent="0.3">
      <c r="A923" s="2">
        <v>922</v>
      </c>
      <c r="B923" s="1">
        <v>40584</v>
      </c>
      <c r="C923" s="2">
        <v>1</v>
      </c>
      <c r="D923" s="2">
        <v>22</v>
      </c>
      <c r="E923" t="b">
        <v>0</v>
      </c>
      <c r="F923" s="2">
        <v>4</v>
      </c>
      <c r="G923" s="2">
        <v>1</v>
      </c>
      <c r="H923" s="23">
        <v>0.12</v>
      </c>
      <c r="I923" s="25">
        <v>0.19700000000000001</v>
      </c>
      <c r="J923" s="23">
        <v>0.39</v>
      </c>
      <c r="K923" s="25">
        <v>0</v>
      </c>
      <c r="L923" s="2">
        <v>4</v>
      </c>
      <c r="M923" s="2">
        <v>47</v>
      </c>
      <c r="N923" s="2">
        <v>51</v>
      </c>
      <c r="O923" t="s">
        <v>29</v>
      </c>
      <c r="P923" t="s">
        <v>58</v>
      </c>
      <c r="Q923" t="s">
        <v>31</v>
      </c>
      <c r="R923" t="s">
        <v>32</v>
      </c>
      <c r="S923" t="s">
        <v>55</v>
      </c>
      <c r="T923" t="s">
        <v>39</v>
      </c>
      <c r="U923" t="s">
        <v>35</v>
      </c>
      <c r="V923" t="s">
        <v>36</v>
      </c>
      <c r="W923" t="s">
        <v>37</v>
      </c>
      <c r="X923" s="24">
        <v>7.8431372549019596</v>
      </c>
      <c r="Y923" s="24">
        <v>92.156862745098039</v>
      </c>
      <c r="Z923" t="s">
        <v>38</v>
      </c>
      <c r="AA923" t="s">
        <v>39</v>
      </c>
      <c r="AB923" t="s">
        <v>38</v>
      </c>
      <c r="AC923" s="24">
        <v>7.7000000000000013E-2</v>
      </c>
    </row>
    <row r="924" spans="1:29" x14ac:dyDescent="0.3">
      <c r="A924" s="2">
        <v>79</v>
      </c>
      <c r="B924" s="1">
        <v>40547</v>
      </c>
      <c r="C924" s="2">
        <v>1</v>
      </c>
      <c r="D924" s="2">
        <v>10</v>
      </c>
      <c r="E924" t="b">
        <v>0</v>
      </c>
      <c r="F924" s="2">
        <v>2</v>
      </c>
      <c r="G924" s="2">
        <v>2</v>
      </c>
      <c r="H924" s="23">
        <v>0.16</v>
      </c>
      <c r="I924" s="25">
        <v>0.13639999999999999</v>
      </c>
      <c r="J924" s="23">
        <v>0.69</v>
      </c>
      <c r="K924" s="25">
        <v>0.32840000000000003</v>
      </c>
      <c r="L924" s="2">
        <v>5</v>
      </c>
      <c r="M924" s="2">
        <v>37</v>
      </c>
      <c r="N924" s="2">
        <v>42</v>
      </c>
      <c r="O924" t="s">
        <v>29</v>
      </c>
      <c r="P924" t="s">
        <v>56</v>
      </c>
      <c r="Q924" t="s">
        <v>41</v>
      </c>
      <c r="R924" t="s">
        <v>42</v>
      </c>
      <c r="S924" t="s">
        <v>33</v>
      </c>
      <c r="T924" t="s">
        <v>49</v>
      </c>
      <c r="U924" t="s">
        <v>53</v>
      </c>
      <c r="V924" t="s">
        <v>36</v>
      </c>
      <c r="W924" t="s">
        <v>37</v>
      </c>
      <c r="X924" s="24">
        <v>11.9047619047619</v>
      </c>
      <c r="Y924" s="24">
        <v>88.095238095238088</v>
      </c>
      <c r="Z924" t="s">
        <v>38</v>
      </c>
      <c r="AA924" t="s">
        <v>39</v>
      </c>
      <c r="AB924" t="s">
        <v>38</v>
      </c>
      <c r="AC924" s="24">
        <v>-2.360000000000001E-2</v>
      </c>
    </row>
    <row r="925" spans="1:29" x14ac:dyDescent="0.3">
      <c r="A925" s="2">
        <v>92</v>
      </c>
      <c r="B925" s="1">
        <v>40547</v>
      </c>
      <c r="C925" s="2">
        <v>1</v>
      </c>
      <c r="D925" s="2">
        <v>23</v>
      </c>
      <c r="E925" t="b">
        <v>0</v>
      </c>
      <c r="F925" s="2">
        <v>2</v>
      </c>
      <c r="G925" s="2">
        <v>1</v>
      </c>
      <c r="H925" s="23">
        <v>0.2</v>
      </c>
      <c r="I925" s="25">
        <v>0.2273</v>
      </c>
      <c r="J925" s="23">
        <v>0.69</v>
      </c>
      <c r="K925" s="25">
        <v>8.9599999999999999E-2</v>
      </c>
      <c r="L925" s="2">
        <v>2</v>
      </c>
      <c r="M925" s="2">
        <v>9</v>
      </c>
      <c r="N925" s="2">
        <v>11</v>
      </c>
      <c r="O925" t="s">
        <v>29</v>
      </c>
      <c r="P925" t="s">
        <v>56</v>
      </c>
      <c r="Q925" t="s">
        <v>31</v>
      </c>
      <c r="R925" t="s">
        <v>32</v>
      </c>
      <c r="S925" t="s">
        <v>33</v>
      </c>
      <c r="T925" t="s">
        <v>49</v>
      </c>
      <c r="U925" t="s">
        <v>35</v>
      </c>
      <c r="V925" t="s">
        <v>36</v>
      </c>
      <c r="W925" t="s">
        <v>37</v>
      </c>
      <c r="X925" s="24">
        <v>18.18181818181818</v>
      </c>
      <c r="Y925" s="24">
        <v>81.818181818181827</v>
      </c>
      <c r="Z925" t="s">
        <v>38</v>
      </c>
      <c r="AA925" t="s">
        <v>39</v>
      </c>
      <c r="AB925" t="s">
        <v>38</v>
      </c>
      <c r="AC925" s="24">
        <v>2.7299999999999991E-2</v>
      </c>
    </row>
    <row r="926" spans="1:29" x14ac:dyDescent="0.3">
      <c r="A926" s="2">
        <v>120</v>
      </c>
      <c r="B926" s="1">
        <v>40549</v>
      </c>
      <c r="C926" s="2">
        <v>1</v>
      </c>
      <c r="D926" s="2">
        <v>5</v>
      </c>
      <c r="E926" t="b">
        <v>0</v>
      </c>
      <c r="F926" s="2">
        <v>4</v>
      </c>
      <c r="G926" s="2">
        <v>2</v>
      </c>
      <c r="H926" s="23">
        <v>0.14000000000000001</v>
      </c>
      <c r="I926" s="25">
        <v>0.18179999999999999</v>
      </c>
      <c r="J926" s="23">
        <v>0.69</v>
      </c>
      <c r="K926" s="25">
        <v>8.9599999999999999E-2</v>
      </c>
      <c r="L926" s="2">
        <v>0</v>
      </c>
      <c r="M926" s="2">
        <v>4</v>
      </c>
      <c r="N926" s="2">
        <v>4</v>
      </c>
      <c r="O926" t="s">
        <v>29</v>
      </c>
      <c r="P926" t="s">
        <v>58</v>
      </c>
      <c r="Q926" t="s">
        <v>41</v>
      </c>
      <c r="R926" t="s">
        <v>32</v>
      </c>
      <c r="S926" t="s">
        <v>55</v>
      </c>
      <c r="T926" t="s">
        <v>49</v>
      </c>
      <c r="U926" t="s">
        <v>35</v>
      </c>
      <c r="V926" t="s">
        <v>36</v>
      </c>
      <c r="W926" t="s">
        <v>37</v>
      </c>
      <c r="X926" s="24">
        <v>0</v>
      </c>
      <c r="Y926" s="24">
        <v>100</v>
      </c>
      <c r="Z926" t="s">
        <v>38</v>
      </c>
      <c r="AA926" t="s">
        <v>39</v>
      </c>
      <c r="AB926" t="s">
        <v>38</v>
      </c>
      <c r="AC926" s="24">
        <v>4.1799999999999983E-2</v>
      </c>
    </row>
    <row r="927" spans="1:29" x14ac:dyDescent="0.3">
      <c r="A927" s="2">
        <v>140</v>
      </c>
      <c r="B927" s="1">
        <v>40550</v>
      </c>
      <c r="C927" s="2">
        <v>1</v>
      </c>
      <c r="D927" s="2">
        <v>1</v>
      </c>
      <c r="E927" t="b">
        <v>0</v>
      </c>
      <c r="F927" s="2">
        <v>5</v>
      </c>
      <c r="G927" s="2">
        <v>2</v>
      </c>
      <c r="H927" s="23">
        <v>0.2</v>
      </c>
      <c r="I927" s="25">
        <v>0.19700000000000001</v>
      </c>
      <c r="J927" s="23">
        <v>0.69</v>
      </c>
      <c r="K927" s="25">
        <v>0.22389999999999999</v>
      </c>
      <c r="L927" s="2">
        <v>2</v>
      </c>
      <c r="M927" s="2">
        <v>5</v>
      </c>
      <c r="N927" s="2">
        <v>7</v>
      </c>
      <c r="O927" t="s">
        <v>29</v>
      </c>
      <c r="P927" t="s">
        <v>59</v>
      </c>
      <c r="Q927" t="s">
        <v>41</v>
      </c>
      <c r="R927" t="s">
        <v>32</v>
      </c>
      <c r="S927" t="s">
        <v>33</v>
      </c>
      <c r="T927" t="s">
        <v>49</v>
      </c>
      <c r="U927" t="s">
        <v>46</v>
      </c>
      <c r="V927" t="s">
        <v>36</v>
      </c>
      <c r="W927" t="s">
        <v>37</v>
      </c>
      <c r="X927" s="24">
        <v>28.571428571428569</v>
      </c>
      <c r="Y927" s="24">
        <v>71.428571428571431</v>
      </c>
      <c r="Z927" t="s">
        <v>38</v>
      </c>
      <c r="AA927" t="s">
        <v>39</v>
      </c>
      <c r="AB927" t="s">
        <v>38</v>
      </c>
      <c r="AC927" s="24">
        <v>-3.0000000000000031E-3</v>
      </c>
    </row>
    <row r="928" spans="1:29" x14ac:dyDescent="0.3">
      <c r="A928" s="2">
        <v>141</v>
      </c>
      <c r="B928" s="1">
        <v>40550</v>
      </c>
      <c r="C928" s="2">
        <v>1</v>
      </c>
      <c r="D928" s="2">
        <v>2</v>
      </c>
      <c r="E928" t="b">
        <v>0</v>
      </c>
      <c r="F928" s="2">
        <v>5</v>
      </c>
      <c r="G928" s="2">
        <v>2</v>
      </c>
      <c r="H928" s="23">
        <v>0.2</v>
      </c>
      <c r="I928" s="25">
        <v>0.19700000000000001</v>
      </c>
      <c r="J928" s="23">
        <v>0.69</v>
      </c>
      <c r="K928" s="25">
        <v>0.22389999999999999</v>
      </c>
      <c r="L928" s="2">
        <v>0</v>
      </c>
      <c r="M928" s="2">
        <v>1</v>
      </c>
      <c r="N928" s="2">
        <v>1</v>
      </c>
      <c r="O928" t="s">
        <v>29</v>
      </c>
      <c r="P928" t="s">
        <v>59</v>
      </c>
      <c r="Q928" t="s">
        <v>41</v>
      </c>
      <c r="R928" t="s">
        <v>32</v>
      </c>
      <c r="S928" t="s">
        <v>33</v>
      </c>
      <c r="T928" t="s">
        <v>49</v>
      </c>
      <c r="U928" t="s">
        <v>46</v>
      </c>
      <c r="V928" t="s">
        <v>36</v>
      </c>
      <c r="W928" t="s">
        <v>37</v>
      </c>
      <c r="X928" s="24">
        <v>0</v>
      </c>
      <c r="Y928" s="24">
        <v>100</v>
      </c>
      <c r="Z928" t="s">
        <v>38</v>
      </c>
      <c r="AA928" t="s">
        <v>39</v>
      </c>
      <c r="AB928" t="s">
        <v>38</v>
      </c>
      <c r="AC928" s="24">
        <v>-3.0000000000000031E-3</v>
      </c>
    </row>
    <row r="929" spans="1:29" x14ac:dyDescent="0.3">
      <c r="A929" s="2">
        <v>142</v>
      </c>
      <c r="B929" s="1">
        <v>40550</v>
      </c>
      <c r="C929" s="2">
        <v>1</v>
      </c>
      <c r="D929" s="2">
        <v>4</v>
      </c>
      <c r="E929" t="b">
        <v>0</v>
      </c>
      <c r="F929" s="2">
        <v>5</v>
      </c>
      <c r="G929" s="2">
        <v>2</v>
      </c>
      <c r="H929" s="23">
        <v>0.2</v>
      </c>
      <c r="I929" s="25">
        <v>0.21210000000000001</v>
      </c>
      <c r="J929" s="23">
        <v>0.69</v>
      </c>
      <c r="K929" s="25">
        <v>0.1343</v>
      </c>
      <c r="L929" s="2">
        <v>0</v>
      </c>
      <c r="M929" s="2">
        <v>1</v>
      </c>
      <c r="N929" s="2">
        <v>1</v>
      </c>
      <c r="O929" t="s">
        <v>29</v>
      </c>
      <c r="P929" t="s">
        <v>59</v>
      </c>
      <c r="Q929" t="s">
        <v>41</v>
      </c>
      <c r="R929" t="s">
        <v>32</v>
      </c>
      <c r="S929" t="s">
        <v>33</v>
      </c>
      <c r="T929" t="s">
        <v>49</v>
      </c>
      <c r="U929" t="s">
        <v>35</v>
      </c>
      <c r="V929" t="s">
        <v>36</v>
      </c>
      <c r="W929" t="s">
        <v>37</v>
      </c>
      <c r="X929" s="24">
        <v>0</v>
      </c>
      <c r="Y929" s="24">
        <v>100</v>
      </c>
      <c r="Z929" t="s">
        <v>38</v>
      </c>
      <c r="AA929" t="s">
        <v>39</v>
      </c>
      <c r="AB929" t="s">
        <v>38</v>
      </c>
      <c r="AC929" s="24">
        <v>1.21E-2</v>
      </c>
    </row>
    <row r="930" spans="1:29" x14ac:dyDescent="0.3">
      <c r="A930" s="2">
        <v>929</v>
      </c>
      <c r="B930" s="1">
        <v>40585</v>
      </c>
      <c r="C930" s="2">
        <v>1</v>
      </c>
      <c r="D930" s="2">
        <v>7</v>
      </c>
      <c r="E930" t="b">
        <v>0</v>
      </c>
      <c r="F930" s="2">
        <v>5</v>
      </c>
      <c r="G930" s="2">
        <v>1</v>
      </c>
      <c r="H930" s="23">
        <v>0.08</v>
      </c>
      <c r="I930" s="25">
        <v>0.16669999999999999</v>
      </c>
      <c r="J930" s="23">
        <v>0.73</v>
      </c>
      <c r="K930" s="25">
        <v>0</v>
      </c>
      <c r="L930" s="2">
        <v>1</v>
      </c>
      <c r="M930" s="2">
        <v>73</v>
      </c>
      <c r="N930" s="2">
        <v>74</v>
      </c>
      <c r="O930" t="s">
        <v>29</v>
      </c>
      <c r="P930" t="s">
        <v>59</v>
      </c>
      <c r="Q930" t="s">
        <v>31</v>
      </c>
      <c r="R930" t="s">
        <v>42</v>
      </c>
      <c r="S930" t="s">
        <v>55</v>
      </c>
      <c r="T930" t="s">
        <v>34</v>
      </c>
      <c r="U930" t="s">
        <v>35</v>
      </c>
      <c r="V930" t="s">
        <v>36</v>
      </c>
      <c r="W930" t="s">
        <v>37</v>
      </c>
      <c r="X930" s="24">
        <v>1.3513513513513511</v>
      </c>
      <c r="Y930" s="24">
        <v>98.648648648648646</v>
      </c>
      <c r="Z930" t="s">
        <v>40</v>
      </c>
      <c r="AA930" t="s">
        <v>39</v>
      </c>
      <c r="AB930" t="s">
        <v>38</v>
      </c>
      <c r="AC930" s="24">
        <v>8.6699999999999985E-2</v>
      </c>
    </row>
    <row r="931" spans="1:29" x14ac:dyDescent="0.3">
      <c r="A931" s="2">
        <v>930</v>
      </c>
      <c r="B931" s="1">
        <v>40585</v>
      </c>
      <c r="C931" s="2">
        <v>1</v>
      </c>
      <c r="D931" s="2">
        <v>8</v>
      </c>
      <c r="E931" t="b">
        <v>0</v>
      </c>
      <c r="F931" s="2">
        <v>5</v>
      </c>
      <c r="G931" s="2">
        <v>1</v>
      </c>
      <c r="H931" s="23">
        <v>0.1</v>
      </c>
      <c r="I931" s="25">
        <v>0.1212</v>
      </c>
      <c r="J931" s="23">
        <v>0.74</v>
      </c>
      <c r="K931" s="25">
        <v>0.16420000000000001</v>
      </c>
      <c r="L931" s="2">
        <v>4</v>
      </c>
      <c r="M931" s="2">
        <v>212</v>
      </c>
      <c r="N931" s="2">
        <v>216</v>
      </c>
      <c r="O931" t="s">
        <v>29</v>
      </c>
      <c r="P931" t="s">
        <v>59</v>
      </c>
      <c r="Q931" t="s">
        <v>31</v>
      </c>
      <c r="R931" t="s">
        <v>42</v>
      </c>
      <c r="S931" t="s">
        <v>55</v>
      </c>
      <c r="T931" t="s">
        <v>34</v>
      </c>
      <c r="U931" t="s">
        <v>46</v>
      </c>
      <c r="V931" t="s">
        <v>36</v>
      </c>
      <c r="W931" t="s">
        <v>37</v>
      </c>
      <c r="X931" s="24">
        <v>1.8518518518518521</v>
      </c>
      <c r="Y931" s="24">
        <v>98.148148148148152</v>
      </c>
      <c r="Z931" t="s">
        <v>40</v>
      </c>
      <c r="AA931" t="s">
        <v>49</v>
      </c>
      <c r="AB931" t="s">
        <v>38</v>
      </c>
      <c r="AC931" s="24">
        <v>2.12E-2</v>
      </c>
    </row>
    <row r="932" spans="1:29" x14ac:dyDescent="0.3">
      <c r="A932" s="2">
        <v>931</v>
      </c>
      <c r="B932" s="1">
        <v>40585</v>
      </c>
      <c r="C932" s="2">
        <v>1</v>
      </c>
      <c r="D932" s="2">
        <v>9</v>
      </c>
      <c r="E932" t="b">
        <v>0</v>
      </c>
      <c r="F932" s="2">
        <v>5</v>
      </c>
      <c r="G932" s="2">
        <v>1</v>
      </c>
      <c r="H932" s="23">
        <v>0.12</v>
      </c>
      <c r="I932" s="25">
        <v>0.1212</v>
      </c>
      <c r="J932" s="23">
        <v>0.74</v>
      </c>
      <c r="K932" s="25">
        <v>0.22389999999999999</v>
      </c>
      <c r="L932" s="2">
        <v>8</v>
      </c>
      <c r="M932" s="2">
        <v>132</v>
      </c>
      <c r="N932" s="2">
        <v>140</v>
      </c>
      <c r="O932" t="s">
        <v>29</v>
      </c>
      <c r="P932" t="s">
        <v>59</v>
      </c>
      <c r="Q932" t="s">
        <v>31</v>
      </c>
      <c r="R932" t="s">
        <v>42</v>
      </c>
      <c r="S932" t="s">
        <v>55</v>
      </c>
      <c r="T932" t="s">
        <v>34</v>
      </c>
      <c r="U932" t="s">
        <v>46</v>
      </c>
      <c r="V932" t="s">
        <v>36</v>
      </c>
      <c r="W932" t="s">
        <v>37</v>
      </c>
      <c r="X932" s="24">
        <v>5.7142857142857144</v>
      </c>
      <c r="Y932" s="24">
        <v>94.285714285714278</v>
      </c>
      <c r="Z932" t="s">
        <v>40</v>
      </c>
      <c r="AA932" t="s">
        <v>49</v>
      </c>
      <c r="AB932" t="s">
        <v>38</v>
      </c>
      <c r="AC932" s="24">
        <v>1.2000000000000071E-3</v>
      </c>
    </row>
    <row r="933" spans="1:29" x14ac:dyDescent="0.3">
      <c r="A933" s="2">
        <v>144</v>
      </c>
      <c r="B933" s="1">
        <v>40550</v>
      </c>
      <c r="C933" s="2">
        <v>1</v>
      </c>
      <c r="D933" s="2">
        <v>6</v>
      </c>
      <c r="E933" t="b">
        <v>0</v>
      </c>
      <c r="F933" s="2">
        <v>5</v>
      </c>
      <c r="G933" s="2">
        <v>2</v>
      </c>
      <c r="H933" s="23">
        <v>0.2</v>
      </c>
      <c r="I933" s="25">
        <v>0.2576</v>
      </c>
      <c r="J933" s="23">
        <v>0.69</v>
      </c>
      <c r="K933" s="25">
        <v>0</v>
      </c>
      <c r="L933" s="2">
        <v>8</v>
      </c>
      <c r="M933" s="2">
        <v>26</v>
      </c>
      <c r="N933" s="2">
        <v>34</v>
      </c>
      <c r="O933" t="s">
        <v>29</v>
      </c>
      <c r="P933" t="s">
        <v>59</v>
      </c>
      <c r="Q933" t="s">
        <v>41</v>
      </c>
      <c r="R933" t="s">
        <v>42</v>
      </c>
      <c r="S933" t="s">
        <v>33</v>
      </c>
      <c r="T933" t="s">
        <v>49</v>
      </c>
      <c r="U933" t="s">
        <v>35</v>
      </c>
      <c r="V933" t="s">
        <v>36</v>
      </c>
      <c r="W933" t="s">
        <v>37</v>
      </c>
      <c r="X933" s="24">
        <v>23.52941176470588</v>
      </c>
      <c r="Y933" s="24">
        <v>76.470588235294116</v>
      </c>
      <c r="Z933" t="s">
        <v>38</v>
      </c>
      <c r="AA933" t="s">
        <v>39</v>
      </c>
      <c r="AB933" t="s">
        <v>38</v>
      </c>
      <c r="AC933" s="24">
        <v>5.7599999999999978E-2</v>
      </c>
    </row>
    <row r="934" spans="1:29" x14ac:dyDescent="0.3">
      <c r="A934" s="2">
        <v>145</v>
      </c>
      <c r="B934" s="1">
        <v>40550</v>
      </c>
      <c r="C934" s="2">
        <v>1</v>
      </c>
      <c r="D934" s="2">
        <v>7</v>
      </c>
      <c r="E934" t="b">
        <v>0</v>
      </c>
      <c r="F934" s="2">
        <v>5</v>
      </c>
      <c r="G934" s="2">
        <v>1</v>
      </c>
      <c r="H934" s="23">
        <v>0.2</v>
      </c>
      <c r="I934" s="25">
        <v>0.21210000000000001</v>
      </c>
      <c r="J934" s="23">
        <v>0.69</v>
      </c>
      <c r="K934" s="25">
        <v>0.1343</v>
      </c>
      <c r="L934" s="2">
        <v>8</v>
      </c>
      <c r="M934" s="2">
        <v>76</v>
      </c>
      <c r="N934" s="2">
        <v>84</v>
      </c>
      <c r="O934" t="s">
        <v>29</v>
      </c>
      <c r="P934" t="s">
        <v>59</v>
      </c>
      <c r="Q934" t="s">
        <v>31</v>
      </c>
      <c r="R934" t="s">
        <v>42</v>
      </c>
      <c r="S934" t="s">
        <v>33</v>
      </c>
      <c r="T934" t="s">
        <v>49</v>
      </c>
      <c r="U934" t="s">
        <v>35</v>
      </c>
      <c r="V934" t="s">
        <v>36</v>
      </c>
      <c r="W934" t="s">
        <v>37</v>
      </c>
      <c r="X934" s="24">
        <v>9.5238095238095237</v>
      </c>
      <c r="Y934" s="24">
        <v>90.476190476190482</v>
      </c>
      <c r="Z934" t="s">
        <v>40</v>
      </c>
      <c r="AA934" t="s">
        <v>39</v>
      </c>
      <c r="AB934" t="s">
        <v>38</v>
      </c>
      <c r="AC934" s="24">
        <v>1.21E-2</v>
      </c>
    </row>
    <row r="935" spans="1:29" x14ac:dyDescent="0.3">
      <c r="A935" s="2">
        <v>173</v>
      </c>
      <c r="B935" s="1">
        <v>40551</v>
      </c>
      <c r="C935" s="2">
        <v>1</v>
      </c>
      <c r="D935" s="2">
        <v>11</v>
      </c>
      <c r="E935" t="b">
        <v>0</v>
      </c>
      <c r="F935" s="2">
        <v>6</v>
      </c>
      <c r="G935" s="2">
        <v>2</v>
      </c>
      <c r="H935" s="23">
        <v>0.2</v>
      </c>
      <c r="I935" s="25">
        <v>0.18179999999999999</v>
      </c>
      <c r="J935" s="23">
        <v>0.69</v>
      </c>
      <c r="K935" s="25">
        <v>0.3881</v>
      </c>
      <c r="L935" s="2">
        <v>2</v>
      </c>
      <c r="M935" s="2">
        <v>60</v>
      </c>
      <c r="N935" s="2">
        <v>62</v>
      </c>
      <c r="O935" t="s">
        <v>29</v>
      </c>
      <c r="P935" t="s">
        <v>30</v>
      </c>
      <c r="Q935" t="s">
        <v>41</v>
      </c>
      <c r="R935" t="s">
        <v>42</v>
      </c>
      <c r="S935" t="s">
        <v>33</v>
      </c>
      <c r="T935" t="s">
        <v>49</v>
      </c>
      <c r="U935" t="s">
        <v>53</v>
      </c>
      <c r="V935" t="s">
        <v>36</v>
      </c>
      <c r="W935" t="s">
        <v>37</v>
      </c>
      <c r="X935" s="24">
        <v>3.225806451612903</v>
      </c>
      <c r="Y935" s="24">
        <v>96.774193548387103</v>
      </c>
      <c r="Z935" t="s">
        <v>38</v>
      </c>
      <c r="AA935" t="s">
        <v>39</v>
      </c>
      <c r="AB935" t="s">
        <v>40</v>
      </c>
      <c r="AC935" s="24">
        <v>-1.8200000000000022E-2</v>
      </c>
    </row>
    <row r="936" spans="1:29" x14ac:dyDescent="0.3">
      <c r="A936" s="2">
        <v>935</v>
      </c>
      <c r="B936" s="1">
        <v>40585</v>
      </c>
      <c r="C936" s="2">
        <v>1</v>
      </c>
      <c r="D936" s="2">
        <v>13</v>
      </c>
      <c r="E936" t="b">
        <v>0</v>
      </c>
      <c r="F936" s="2">
        <v>5</v>
      </c>
      <c r="G936" s="2">
        <v>1</v>
      </c>
      <c r="H936" s="23">
        <v>0.24</v>
      </c>
      <c r="I936" s="25">
        <v>0.2273</v>
      </c>
      <c r="J936" s="23">
        <v>0.35</v>
      </c>
      <c r="K936" s="25">
        <v>0.19400000000000001</v>
      </c>
      <c r="L936" s="2">
        <v>21</v>
      </c>
      <c r="M936" s="2">
        <v>89</v>
      </c>
      <c r="N936" s="2">
        <v>110</v>
      </c>
      <c r="O936" t="s">
        <v>29</v>
      </c>
      <c r="P936" t="s">
        <v>59</v>
      </c>
      <c r="Q936" t="s">
        <v>31</v>
      </c>
      <c r="R936" t="s">
        <v>47</v>
      </c>
      <c r="S936" t="s">
        <v>33</v>
      </c>
      <c r="T936" t="s">
        <v>39</v>
      </c>
      <c r="U936" t="s">
        <v>46</v>
      </c>
      <c r="V936" t="s">
        <v>36</v>
      </c>
      <c r="W936" t="s">
        <v>37</v>
      </c>
      <c r="X936" s="24">
        <v>19.09090909090909</v>
      </c>
      <c r="Y936" s="24">
        <v>80.909090909090907</v>
      </c>
      <c r="Z936" t="s">
        <v>38</v>
      </c>
      <c r="AA936" t="s">
        <v>49</v>
      </c>
      <c r="AB936" t="s">
        <v>38</v>
      </c>
      <c r="AC936" s="24">
        <v>-1.2699999999999991E-2</v>
      </c>
    </row>
    <row r="937" spans="1:29" x14ac:dyDescent="0.3">
      <c r="A937" s="2">
        <v>936</v>
      </c>
      <c r="B937" s="1">
        <v>40585</v>
      </c>
      <c r="C937" s="2">
        <v>1</v>
      </c>
      <c r="D937" s="2">
        <v>14</v>
      </c>
      <c r="E937" t="b">
        <v>0</v>
      </c>
      <c r="F937" s="2">
        <v>5</v>
      </c>
      <c r="G937" s="2">
        <v>1</v>
      </c>
      <c r="H937" s="23">
        <v>0.3</v>
      </c>
      <c r="I937" s="25">
        <v>0.28789999999999999</v>
      </c>
      <c r="J937" s="23">
        <v>0.26</v>
      </c>
      <c r="K937" s="25">
        <v>0.25369999999999998</v>
      </c>
      <c r="L937" s="2">
        <v>17</v>
      </c>
      <c r="M937" s="2">
        <v>67</v>
      </c>
      <c r="N937" s="2">
        <v>84</v>
      </c>
      <c r="O937" t="s">
        <v>29</v>
      </c>
      <c r="P937" t="s">
        <v>59</v>
      </c>
      <c r="Q937" t="s">
        <v>31</v>
      </c>
      <c r="R937" t="s">
        <v>47</v>
      </c>
      <c r="S937" t="s">
        <v>44</v>
      </c>
      <c r="T937" t="s">
        <v>39</v>
      </c>
      <c r="U937" t="s">
        <v>46</v>
      </c>
      <c r="V937" t="s">
        <v>36</v>
      </c>
      <c r="W937" t="s">
        <v>37</v>
      </c>
      <c r="X937" s="24">
        <v>20.238095238095241</v>
      </c>
      <c r="Y937" s="24">
        <v>79.761904761904773</v>
      </c>
      <c r="Z937" t="s">
        <v>38</v>
      </c>
      <c r="AA937" t="s">
        <v>39</v>
      </c>
      <c r="AB937" t="s">
        <v>38</v>
      </c>
      <c r="AC937" s="24">
        <v>-1.21E-2</v>
      </c>
    </row>
    <row r="938" spans="1:29" x14ac:dyDescent="0.3">
      <c r="A938" s="2">
        <v>937</v>
      </c>
      <c r="B938" s="1">
        <v>40585</v>
      </c>
      <c r="C938" s="2">
        <v>1</v>
      </c>
      <c r="D938" s="2">
        <v>15</v>
      </c>
      <c r="E938" t="b">
        <v>0</v>
      </c>
      <c r="F938" s="2">
        <v>5</v>
      </c>
      <c r="G938" s="2">
        <v>1</v>
      </c>
      <c r="H938" s="23">
        <v>0.32</v>
      </c>
      <c r="I938" s="25">
        <v>0.31819999999999998</v>
      </c>
      <c r="J938" s="23">
        <v>0.21</v>
      </c>
      <c r="K938" s="25">
        <v>0.16420000000000001</v>
      </c>
      <c r="L938" s="2">
        <v>12</v>
      </c>
      <c r="M938" s="2">
        <v>62</v>
      </c>
      <c r="N938" s="2">
        <v>74</v>
      </c>
      <c r="O938" t="s">
        <v>29</v>
      </c>
      <c r="P938" t="s">
        <v>59</v>
      </c>
      <c r="Q938" t="s">
        <v>31</v>
      </c>
      <c r="R938" t="s">
        <v>47</v>
      </c>
      <c r="S938" t="s">
        <v>44</v>
      </c>
      <c r="T938" t="s">
        <v>39</v>
      </c>
      <c r="U938" t="s">
        <v>46</v>
      </c>
      <c r="V938" t="s">
        <v>36</v>
      </c>
      <c r="W938" t="s">
        <v>37</v>
      </c>
      <c r="X938" s="24">
        <v>16.216216216216221</v>
      </c>
      <c r="Y938" s="24">
        <v>83.78378378378379</v>
      </c>
      <c r="Z938" t="s">
        <v>38</v>
      </c>
      <c r="AA938" t="s">
        <v>39</v>
      </c>
      <c r="AB938" t="s">
        <v>38</v>
      </c>
      <c r="AC938" s="24">
        <v>-1.800000000000024E-3</v>
      </c>
    </row>
    <row r="939" spans="1:29" x14ac:dyDescent="0.3">
      <c r="A939" s="2">
        <v>938</v>
      </c>
      <c r="B939" s="1">
        <v>40585</v>
      </c>
      <c r="C939" s="2">
        <v>1</v>
      </c>
      <c r="D939" s="2">
        <v>16</v>
      </c>
      <c r="E939" t="b">
        <v>0</v>
      </c>
      <c r="F939" s="2">
        <v>5</v>
      </c>
      <c r="G939" s="2">
        <v>1</v>
      </c>
      <c r="H939" s="23">
        <v>0.3</v>
      </c>
      <c r="I939" s="25">
        <v>0.28789999999999999</v>
      </c>
      <c r="J939" s="23">
        <v>0.28000000000000003</v>
      </c>
      <c r="K939" s="25">
        <v>0.19400000000000001</v>
      </c>
      <c r="L939" s="2">
        <v>14</v>
      </c>
      <c r="M939" s="2">
        <v>111</v>
      </c>
      <c r="N939" s="2">
        <v>125</v>
      </c>
      <c r="O939" t="s">
        <v>29</v>
      </c>
      <c r="P939" t="s">
        <v>59</v>
      </c>
      <c r="Q939" t="s">
        <v>31</v>
      </c>
      <c r="R939" t="s">
        <v>47</v>
      </c>
      <c r="S939" t="s">
        <v>44</v>
      </c>
      <c r="T939" t="s">
        <v>39</v>
      </c>
      <c r="U939" t="s">
        <v>46</v>
      </c>
      <c r="V939" t="s">
        <v>36</v>
      </c>
      <c r="W939" t="s">
        <v>37</v>
      </c>
      <c r="X939" s="24">
        <v>11.2</v>
      </c>
      <c r="Y939" s="24">
        <v>88.8</v>
      </c>
      <c r="Z939" t="s">
        <v>38</v>
      </c>
      <c r="AA939" t="s">
        <v>49</v>
      </c>
      <c r="AB939" t="s">
        <v>38</v>
      </c>
      <c r="AC939" s="24">
        <v>-1.21E-2</v>
      </c>
    </row>
    <row r="940" spans="1:29" x14ac:dyDescent="0.3">
      <c r="A940" s="2">
        <v>939</v>
      </c>
      <c r="B940" s="1">
        <v>40585</v>
      </c>
      <c r="C940" s="2">
        <v>1</v>
      </c>
      <c r="D940" s="2">
        <v>17</v>
      </c>
      <c r="E940" t="b">
        <v>0</v>
      </c>
      <c r="F940" s="2">
        <v>5</v>
      </c>
      <c r="G940" s="2">
        <v>1</v>
      </c>
      <c r="H940" s="23">
        <v>0.3</v>
      </c>
      <c r="I940" s="25">
        <v>0.33329999999999999</v>
      </c>
      <c r="J940" s="23">
        <v>0.24</v>
      </c>
      <c r="K940" s="25">
        <v>0</v>
      </c>
      <c r="L940" s="2">
        <v>18</v>
      </c>
      <c r="M940" s="2">
        <v>193</v>
      </c>
      <c r="N940" s="2">
        <v>211</v>
      </c>
      <c r="O940" t="s">
        <v>29</v>
      </c>
      <c r="P940" t="s">
        <v>59</v>
      </c>
      <c r="Q940" t="s">
        <v>31</v>
      </c>
      <c r="R940" t="s">
        <v>50</v>
      </c>
      <c r="S940" t="s">
        <v>44</v>
      </c>
      <c r="T940" t="s">
        <v>39</v>
      </c>
      <c r="U940" t="s">
        <v>35</v>
      </c>
      <c r="V940" t="s">
        <v>36</v>
      </c>
      <c r="W940" t="s">
        <v>37</v>
      </c>
      <c r="X940" s="24">
        <v>8.5308056872037916</v>
      </c>
      <c r="Y940" s="24">
        <v>91.469194312796205</v>
      </c>
      <c r="Z940" t="s">
        <v>40</v>
      </c>
      <c r="AA940" t="s">
        <v>49</v>
      </c>
      <c r="AB940" t="s">
        <v>38</v>
      </c>
      <c r="AC940" s="24">
        <v>3.3300000000000003E-2</v>
      </c>
    </row>
    <row r="941" spans="1:29" x14ac:dyDescent="0.3">
      <c r="A941" s="2">
        <v>940</v>
      </c>
      <c r="B941" s="1">
        <v>40585</v>
      </c>
      <c r="C941" s="2">
        <v>1</v>
      </c>
      <c r="D941" s="2">
        <v>18</v>
      </c>
      <c r="E941" t="b">
        <v>0</v>
      </c>
      <c r="F941" s="2">
        <v>5</v>
      </c>
      <c r="G941" s="2">
        <v>1</v>
      </c>
      <c r="H941" s="23">
        <v>0.28000000000000003</v>
      </c>
      <c r="I941" s="25">
        <v>0.31819999999999998</v>
      </c>
      <c r="J941" s="23">
        <v>0.28000000000000003</v>
      </c>
      <c r="K941" s="25">
        <v>0</v>
      </c>
      <c r="L941" s="2">
        <v>9</v>
      </c>
      <c r="M941" s="2">
        <v>165</v>
      </c>
      <c r="N941" s="2">
        <v>174</v>
      </c>
      <c r="O941" t="s">
        <v>29</v>
      </c>
      <c r="P941" t="s">
        <v>59</v>
      </c>
      <c r="Q941" t="s">
        <v>31</v>
      </c>
      <c r="R941" t="s">
        <v>50</v>
      </c>
      <c r="S941" t="s">
        <v>44</v>
      </c>
      <c r="T941" t="s">
        <v>39</v>
      </c>
      <c r="U941" t="s">
        <v>35</v>
      </c>
      <c r="V941" t="s">
        <v>36</v>
      </c>
      <c r="W941" t="s">
        <v>37</v>
      </c>
      <c r="X941" s="24">
        <v>5.1724137931034484</v>
      </c>
      <c r="Y941" s="24">
        <v>94.827586206896555</v>
      </c>
      <c r="Z941" t="s">
        <v>40</v>
      </c>
      <c r="AA941" t="s">
        <v>49</v>
      </c>
      <c r="AB941" t="s">
        <v>38</v>
      </c>
      <c r="AC941" s="24">
        <v>3.8199999999999963E-2</v>
      </c>
    </row>
    <row r="942" spans="1:29" x14ac:dyDescent="0.3">
      <c r="A942" s="2">
        <v>941</v>
      </c>
      <c r="B942" s="1">
        <v>40585</v>
      </c>
      <c r="C942" s="2">
        <v>1</v>
      </c>
      <c r="D942" s="2">
        <v>19</v>
      </c>
      <c r="E942" t="b">
        <v>0</v>
      </c>
      <c r="F942" s="2">
        <v>5</v>
      </c>
      <c r="G942" s="2">
        <v>1</v>
      </c>
      <c r="H942" s="23">
        <v>0.26</v>
      </c>
      <c r="I942" s="25">
        <v>0.30299999999999999</v>
      </c>
      <c r="J942" s="23">
        <v>0.33</v>
      </c>
      <c r="K942" s="25">
        <v>0</v>
      </c>
      <c r="L942" s="2">
        <v>7</v>
      </c>
      <c r="M942" s="2">
        <v>94</v>
      </c>
      <c r="N942" s="2">
        <v>101</v>
      </c>
      <c r="O942" t="s">
        <v>29</v>
      </c>
      <c r="P942" t="s">
        <v>59</v>
      </c>
      <c r="Q942" t="s">
        <v>31</v>
      </c>
      <c r="R942" t="s">
        <v>50</v>
      </c>
      <c r="S942" t="s">
        <v>44</v>
      </c>
      <c r="T942" t="s">
        <v>39</v>
      </c>
      <c r="U942" t="s">
        <v>35</v>
      </c>
      <c r="V942" t="s">
        <v>36</v>
      </c>
      <c r="W942" t="s">
        <v>37</v>
      </c>
      <c r="X942" s="24">
        <v>6.9306930693069324</v>
      </c>
      <c r="Y942" s="24">
        <v>93.069306930693074</v>
      </c>
      <c r="Z942" t="s">
        <v>40</v>
      </c>
      <c r="AA942" t="s">
        <v>49</v>
      </c>
      <c r="AB942" t="s">
        <v>38</v>
      </c>
      <c r="AC942" s="24">
        <v>4.2999999999999983E-2</v>
      </c>
    </row>
    <row r="943" spans="1:29" x14ac:dyDescent="0.3">
      <c r="A943" s="2">
        <v>261</v>
      </c>
      <c r="B943" s="1">
        <v>40555</v>
      </c>
      <c r="C943" s="2">
        <v>1</v>
      </c>
      <c r="D943" s="2">
        <v>7</v>
      </c>
      <c r="E943" t="b">
        <v>0</v>
      </c>
      <c r="F943" s="2">
        <v>3</v>
      </c>
      <c r="G943" s="2">
        <v>1</v>
      </c>
      <c r="H943" s="23">
        <v>0.14000000000000001</v>
      </c>
      <c r="I943" s="25">
        <v>0.1515</v>
      </c>
      <c r="J943" s="23">
        <v>0.69</v>
      </c>
      <c r="K943" s="25">
        <v>0.1343</v>
      </c>
      <c r="L943" s="2">
        <v>0</v>
      </c>
      <c r="M943" s="2">
        <v>54</v>
      </c>
      <c r="N943" s="2">
        <v>54</v>
      </c>
      <c r="O943" t="s">
        <v>29</v>
      </c>
      <c r="P943" t="s">
        <v>57</v>
      </c>
      <c r="Q943" t="s">
        <v>31</v>
      </c>
      <c r="R943" t="s">
        <v>42</v>
      </c>
      <c r="S943" t="s">
        <v>55</v>
      </c>
      <c r="T943" t="s">
        <v>49</v>
      </c>
      <c r="U943" t="s">
        <v>35</v>
      </c>
      <c r="V943" t="s">
        <v>36</v>
      </c>
      <c r="W943" t="s">
        <v>37</v>
      </c>
      <c r="X943" s="24">
        <v>0</v>
      </c>
      <c r="Y943" s="24">
        <v>100</v>
      </c>
      <c r="Z943" t="s">
        <v>40</v>
      </c>
      <c r="AA943" t="s">
        <v>39</v>
      </c>
      <c r="AB943" t="s">
        <v>38</v>
      </c>
      <c r="AC943" s="24">
        <v>1.1499999999999981E-2</v>
      </c>
    </row>
    <row r="944" spans="1:29" x14ac:dyDescent="0.3">
      <c r="A944" s="2">
        <v>310</v>
      </c>
      <c r="B944" s="1">
        <v>40557</v>
      </c>
      <c r="C944" s="2">
        <v>1</v>
      </c>
      <c r="D944" s="2">
        <v>9</v>
      </c>
      <c r="E944" t="b">
        <v>0</v>
      </c>
      <c r="F944" s="2">
        <v>5</v>
      </c>
      <c r="G944" s="2">
        <v>1</v>
      </c>
      <c r="H944" s="23">
        <v>0.14000000000000001</v>
      </c>
      <c r="I944" s="25">
        <v>0.1515</v>
      </c>
      <c r="J944" s="23">
        <v>0.69</v>
      </c>
      <c r="K944" s="25">
        <v>0.1343</v>
      </c>
      <c r="L944" s="2">
        <v>0</v>
      </c>
      <c r="M944" s="2">
        <v>117</v>
      </c>
      <c r="N944" s="2">
        <v>117</v>
      </c>
      <c r="O944" t="s">
        <v>29</v>
      </c>
      <c r="P944" t="s">
        <v>59</v>
      </c>
      <c r="Q944" t="s">
        <v>31</v>
      </c>
      <c r="R944" t="s">
        <v>42</v>
      </c>
      <c r="S944" t="s">
        <v>55</v>
      </c>
      <c r="T944" t="s">
        <v>49</v>
      </c>
      <c r="U944" t="s">
        <v>35</v>
      </c>
      <c r="V944" t="s">
        <v>36</v>
      </c>
      <c r="W944" t="s">
        <v>37</v>
      </c>
      <c r="X944" s="24">
        <v>0</v>
      </c>
      <c r="Y944" s="24">
        <v>100</v>
      </c>
      <c r="Z944" t="s">
        <v>40</v>
      </c>
      <c r="AA944" t="s">
        <v>49</v>
      </c>
      <c r="AB944" t="s">
        <v>38</v>
      </c>
      <c r="AC944" s="24">
        <v>1.1499999999999981E-2</v>
      </c>
    </row>
    <row r="945" spans="1:29" x14ac:dyDescent="0.3">
      <c r="A945" s="2">
        <v>322</v>
      </c>
      <c r="B945" s="1">
        <v>40557</v>
      </c>
      <c r="C945" s="2">
        <v>1</v>
      </c>
      <c r="D945" s="2">
        <v>21</v>
      </c>
      <c r="E945" t="b">
        <v>0</v>
      </c>
      <c r="F945" s="2">
        <v>5</v>
      </c>
      <c r="G945" s="2">
        <v>1</v>
      </c>
      <c r="H945" s="23">
        <v>0.16</v>
      </c>
      <c r="I945" s="25">
        <v>0.2273</v>
      </c>
      <c r="J945" s="23">
        <v>0.69</v>
      </c>
      <c r="K945" s="25">
        <v>0</v>
      </c>
      <c r="L945" s="2">
        <v>4</v>
      </c>
      <c r="M945" s="2">
        <v>48</v>
      </c>
      <c r="N945" s="2">
        <v>52</v>
      </c>
      <c r="O945" t="s">
        <v>29</v>
      </c>
      <c r="P945" t="s">
        <v>59</v>
      </c>
      <c r="Q945" t="s">
        <v>31</v>
      </c>
      <c r="R945" t="s">
        <v>32</v>
      </c>
      <c r="S945" t="s">
        <v>33</v>
      </c>
      <c r="T945" t="s">
        <v>49</v>
      </c>
      <c r="U945" t="s">
        <v>35</v>
      </c>
      <c r="V945" t="s">
        <v>36</v>
      </c>
      <c r="W945" t="s">
        <v>37</v>
      </c>
      <c r="X945" s="24">
        <v>7.6923076923076934</v>
      </c>
      <c r="Y945" s="24">
        <v>92.307692307692307</v>
      </c>
      <c r="Z945" t="s">
        <v>38</v>
      </c>
      <c r="AA945" t="s">
        <v>39</v>
      </c>
      <c r="AB945" t="s">
        <v>38</v>
      </c>
      <c r="AC945" s="24">
        <v>6.7299999999999999E-2</v>
      </c>
    </row>
    <row r="946" spans="1:29" x14ac:dyDescent="0.3">
      <c r="A946" s="2">
        <v>323</v>
      </c>
      <c r="B946" s="1">
        <v>40557</v>
      </c>
      <c r="C946" s="2">
        <v>1</v>
      </c>
      <c r="D946" s="2">
        <v>22</v>
      </c>
      <c r="E946" t="b">
        <v>0</v>
      </c>
      <c r="F946" s="2">
        <v>5</v>
      </c>
      <c r="G946" s="2">
        <v>2</v>
      </c>
      <c r="H946" s="23">
        <v>0.16</v>
      </c>
      <c r="I946" s="25">
        <v>0.2273</v>
      </c>
      <c r="J946" s="23">
        <v>0.69</v>
      </c>
      <c r="K946" s="25">
        <v>0</v>
      </c>
      <c r="L946" s="2">
        <v>2</v>
      </c>
      <c r="M946" s="2">
        <v>34</v>
      </c>
      <c r="N946" s="2">
        <v>36</v>
      </c>
      <c r="O946" t="s">
        <v>29</v>
      </c>
      <c r="P946" t="s">
        <v>59</v>
      </c>
      <c r="Q946" t="s">
        <v>41</v>
      </c>
      <c r="R946" t="s">
        <v>32</v>
      </c>
      <c r="S946" t="s">
        <v>33</v>
      </c>
      <c r="T946" t="s">
        <v>49</v>
      </c>
      <c r="U946" t="s">
        <v>35</v>
      </c>
      <c r="V946" t="s">
        <v>36</v>
      </c>
      <c r="W946" t="s">
        <v>37</v>
      </c>
      <c r="X946" s="24">
        <v>5.5555555555555554</v>
      </c>
      <c r="Y946" s="24">
        <v>94.444444444444443</v>
      </c>
      <c r="Z946" t="s">
        <v>38</v>
      </c>
      <c r="AA946" t="s">
        <v>39</v>
      </c>
      <c r="AB946" t="s">
        <v>38</v>
      </c>
      <c r="AC946" s="24">
        <v>6.7299999999999999E-2</v>
      </c>
    </row>
    <row r="947" spans="1:29" x14ac:dyDescent="0.3">
      <c r="A947" s="2">
        <v>352</v>
      </c>
      <c r="B947" s="1">
        <v>40559</v>
      </c>
      <c r="C947" s="2">
        <v>1</v>
      </c>
      <c r="D947" s="2">
        <v>3</v>
      </c>
      <c r="E947" t="b">
        <v>0</v>
      </c>
      <c r="F947" s="2">
        <v>0</v>
      </c>
      <c r="G947" s="2">
        <v>1</v>
      </c>
      <c r="H947" s="23">
        <v>0.22</v>
      </c>
      <c r="I947" s="25">
        <v>0.2727</v>
      </c>
      <c r="J947" s="23">
        <v>0.69</v>
      </c>
      <c r="K947" s="25">
        <v>0</v>
      </c>
      <c r="L947" s="2">
        <v>9</v>
      </c>
      <c r="M947" s="2">
        <v>6</v>
      </c>
      <c r="N947" s="2">
        <v>15</v>
      </c>
      <c r="O947" t="s">
        <v>29</v>
      </c>
      <c r="P947" t="s">
        <v>52</v>
      </c>
      <c r="Q947" t="s">
        <v>31</v>
      </c>
      <c r="R947" t="s">
        <v>32</v>
      </c>
      <c r="S947" t="s">
        <v>33</v>
      </c>
      <c r="T947" t="s">
        <v>49</v>
      </c>
      <c r="U947" t="s">
        <v>35</v>
      </c>
      <c r="V947" t="s">
        <v>36</v>
      </c>
      <c r="W947" t="s">
        <v>43</v>
      </c>
      <c r="X947" s="24">
        <v>60</v>
      </c>
      <c r="Y947" s="24">
        <v>40</v>
      </c>
      <c r="Z947" t="s">
        <v>38</v>
      </c>
      <c r="AA947" t="s">
        <v>39</v>
      </c>
      <c r="AB947" t="s">
        <v>40</v>
      </c>
      <c r="AC947" s="24">
        <v>5.2699999999999997E-2</v>
      </c>
    </row>
    <row r="948" spans="1:29" x14ac:dyDescent="0.3">
      <c r="A948" s="2">
        <v>947</v>
      </c>
      <c r="B948" s="1">
        <v>40586</v>
      </c>
      <c r="C948" s="2">
        <v>1</v>
      </c>
      <c r="D948" s="2">
        <v>1</v>
      </c>
      <c r="E948" t="b">
        <v>0</v>
      </c>
      <c r="F948" s="2">
        <v>6</v>
      </c>
      <c r="G948" s="2">
        <v>1</v>
      </c>
      <c r="H948" s="23">
        <v>0.14000000000000001</v>
      </c>
      <c r="I948" s="25">
        <v>0.21210000000000001</v>
      </c>
      <c r="J948" s="23">
        <v>0.86</v>
      </c>
      <c r="K948" s="25">
        <v>0</v>
      </c>
      <c r="L948" s="2">
        <v>2</v>
      </c>
      <c r="M948" s="2">
        <v>22</v>
      </c>
      <c r="N948" s="2">
        <v>24</v>
      </c>
      <c r="O948" t="s">
        <v>29</v>
      </c>
      <c r="P948" t="s">
        <v>30</v>
      </c>
      <c r="Q948" t="s">
        <v>31</v>
      </c>
      <c r="R948" t="s">
        <v>32</v>
      </c>
      <c r="S948" t="s">
        <v>55</v>
      </c>
      <c r="T948" t="s">
        <v>34</v>
      </c>
      <c r="U948" t="s">
        <v>35</v>
      </c>
      <c r="V948" t="s">
        <v>36</v>
      </c>
      <c r="W948" t="s">
        <v>37</v>
      </c>
      <c r="X948" s="24">
        <v>8.3333333333333321</v>
      </c>
      <c r="Y948" s="24">
        <v>91.666666666666657</v>
      </c>
      <c r="Z948" t="s">
        <v>38</v>
      </c>
      <c r="AA948" t="s">
        <v>39</v>
      </c>
      <c r="AB948" t="s">
        <v>40</v>
      </c>
      <c r="AC948" s="24">
        <v>7.2099999999999997E-2</v>
      </c>
    </row>
    <row r="949" spans="1:29" x14ac:dyDescent="0.3">
      <c r="A949" s="2">
        <v>948</v>
      </c>
      <c r="B949" s="1">
        <v>40586</v>
      </c>
      <c r="C949" s="2">
        <v>1</v>
      </c>
      <c r="D949" s="2">
        <v>2</v>
      </c>
      <c r="E949" t="b">
        <v>0</v>
      </c>
      <c r="F949" s="2">
        <v>6</v>
      </c>
      <c r="G949" s="2">
        <v>1</v>
      </c>
      <c r="H949" s="23">
        <v>0.14000000000000001</v>
      </c>
      <c r="I949" s="25">
        <v>0.21210000000000001</v>
      </c>
      <c r="J949" s="23">
        <v>0.8</v>
      </c>
      <c r="K949" s="25">
        <v>0</v>
      </c>
      <c r="L949" s="2">
        <v>2</v>
      </c>
      <c r="M949" s="2">
        <v>13</v>
      </c>
      <c r="N949" s="2">
        <v>15</v>
      </c>
      <c r="O949" t="s">
        <v>29</v>
      </c>
      <c r="P949" t="s">
        <v>30</v>
      </c>
      <c r="Q949" t="s">
        <v>31</v>
      </c>
      <c r="R949" t="s">
        <v>32</v>
      </c>
      <c r="S949" t="s">
        <v>55</v>
      </c>
      <c r="T949" t="s">
        <v>34</v>
      </c>
      <c r="U949" t="s">
        <v>35</v>
      </c>
      <c r="V949" t="s">
        <v>36</v>
      </c>
      <c r="W949" t="s">
        <v>37</v>
      </c>
      <c r="X949" s="24">
        <v>13.33333333333333</v>
      </c>
      <c r="Y949" s="24">
        <v>86.666666666666671</v>
      </c>
      <c r="Z949" t="s">
        <v>38</v>
      </c>
      <c r="AA949" t="s">
        <v>39</v>
      </c>
      <c r="AB949" t="s">
        <v>40</v>
      </c>
      <c r="AC949" s="24">
        <v>7.2099999999999997E-2</v>
      </c>
    </row>
    <row r="950" spans="1:29" x14ac:dyDescent="0.3">
      <c r="A950" s="2">
        <v>949</v>
      </c>
      <c r="B950" s="1">
        <v>40586</v>
      </c>
      <c r="C950" s="2">
        <v>1</v>
      </c>
      <c r="D950" s="2">
        <v>3</v>
      </c>
      <c r="E950" t="b">
        <v>0</v>
      </c>
      <c r="F950" s="2">
        <v>6</v>
      </c>
      <c r="G950" s="2">
        <v>1</v>
      </c>
      <c r="H950" s="23">
        <v>0.12</v>
      </c>
      <c r="I950" s="25">
        <v>0.19700000000000001</v>
      </c>
      <c r="J950" s="23">
        <v>0.8</v>
      </c>
      <c r="K950" s="25">
        <v>0</v>
      </c>
      <c r="L950" s="2">
        <v>3</v>
      </c>
      <c r="M950" s="2">
        <v>7</v>
      </c>
      <c r="N950" s="2">
        <v>10</v>
      </c>
      <c r="O950" t="s">
        <v>29</v>
      </c>
      <c r="P950" t="s">
        <v>30</v>
      </c>
      <c r="Q950" t="s">
        <v>31</v>
      </c>
      <c r="R950" t="s">
        <v>32</v>
      </c>
      <c r="S950" t="s">
        <v>55</v>
      </c>
      <c r="T950" t="s">
        <v>34</v>
      </c>
      <c r="U950" t="s">
        <v>35</v>
      </c>
      <c r="V950" t="s">
        <v>36</v>
      </c>
      <c r="W950" t="s">
        <v>37</v>
      </c>
      <c r="X950" s="24">
        <v>30</v>
      </c>
      <c r="Y950" s="24">
        <v>70</v>
      </c>
      <c r="Z950" t="s">
        <v>38</v>
      </c>
      <c r="AA950" t="s">
        <v>39</v>
      </c>
      <c r="AB950" t="s">
        <v>40</v>
      </c>
      <c r="AC950" s="24">
        <v>7.7000000000000013E-2</v>
      </c>
    </row>
    <row r="951" spans="1:29" x14ac:dyDescent="0.3">
      <c r="A951" s="2">
        <v>950</v>
      </c>
      <c r="B951" s="1">
        <v>40586</v>
      </c>
      <c r="C951" s="2">
        <v>1</v>
      </c>
      <c r="D951" s="2">
        <v>4</v>
      </c>
      <c r="E951" t="b">
        <v>0</v>
      </c>
      <c r="F951" s="2">
        <v>6</v>
      </c>
      <c r="G951" s="2">
        <v>1</v>
      </c>
      <c r="H951" s="23">
        <v>0.12</v>
      </c>
      <c r="I951" s="25">
        <v>0.16669999999999999</v>
      </c>
      <c r="J951" s="23">
        <v>0.74</v>
      </c>
      <c r="K951" s="25">
        <v>8.9599999999999999E-2</v>
      </c>
      <c r="L951" s="2">
        <v>0</v>
      </c>
      <c r="M951" s="2">
        <v>4</v>
      </c>
      <c r="N951" s="2">
        <v>4</v>
      </c>
      <c r="O951" t="s">
        <v>29</v>
      </c>
      <c r="P951" t="s">
        <v>30</v>
      </c>
      <c r="Q951" t="s">
        <v>31</v>
      </c>
      <c r="R951" t="s">
        <v>32</v>
      </c>
      <c r="S951" t="s">
        <v>55</v>
      </c>
      <c r="T951" t="s">
        <v>34</v>
      </c>
      <c r="U951" t="s">
        <v>35</v>
      </c>
      <c r="V951" t="s">
        <v>36</v>
      </c>
      <c r="W951" t="s">
        <v>37</v>
      </c>
      <c r="X951" s="24">
        <v>0</v>
      </c>
      <c r="Y951" s="24">
        <v>100</v>
      </c>
      <c r="Z951" t="s">
        <v>38</v>
      </c>
      <c r="AA951" t="s">
        <v>39</v>
      </c>
      <c r="AB951" t="s">
        <v>40</v>
      </c>
      <c r="AC951" s="24">
        <v>4.6699999999999992E-2</v>
      </c>
    </row>
    <row r="952" spans="1:29" x14ac:dyDescent="0.3">
      <c r="A952" s="2">
        <v>951</v>
      </c>
      <c r="B952" s="1">
        <v>40586</v>
      </c>
      <c r="C952" s="2">
        <v>1</v>
      </c>
      <c r="D952" s="2">
        <v>5</v>
      </c>
      <c r="E952" t="b">
        <v>0</v>
      </c>
      <c r="F952" s="2">
        <v>6</v>
      </c>
      <c r="G952" s="2">
        <v>1</v>
      </c>
      <c r="H952" s="23">
        <v>0.12</v>
      </c>
      <c r="I952" s="25">
        <v>0.16669999999999999</v>
      </c>
      <c r="J952" s="23">
        <v>0.74</v>
      </c>
      <c r="K952" s="25">
        <v>8.9599999999999999E-2</v>
      </c>
      <c r="L952" s="2">
        <v>0</v>
      </c>
      <c r="M952" s="2">
        <v>1</v>
      </c>
      <c r="N952" s="2">
        <v>1</v>
      </c>
      <c r="O952" t="s">
        <v>29</v>
      </c>
      <c r="P952" t="s">
        <v>30</v>
      </c>
      <c r="Q952" t="s">
        <v>31</v>
      </c>
      <c r="R952" t="s">
        <v>32</v>
      </c>
      <c r="S952" t="s">
        <v>55</v>
      </c>
      <c r="T952" t="s">
        <v>34</v>
      </c>
      <c r="U952" t="s">
        <v>35</v>
      </c>
      <c r="V952" t="s">
        <v>36</v>
      </c>
      <c r="W952" t="s">
        <v>37</v>
      </c>
      <c r="X952" s="24">
        <v>0</v>
      </c>
      <c r="Y952" s="24">
        <v>100</v>
      </c>
      <c r="Z952" t="s">
        <v>38</v>
      </c>
      <c r="AA952" t="s">
        <v>39</v>
      </c>
      <c r="AB952" t="s">
        <v>40</v>
      </c>
      <c r="AC952" s="24">
        <v>4.6699999999999992E-2</v>
      </c>
    </row>
    <row r="953" spans="1:29" x14ac:dyDescent="0.3">
      <c r="A953" s="2">
        <v>952</v>
      </c>
      <c r="B953" s="1">
        <v>40586</v>
      </c>
      <c r="C953" s="2">
        <v>1</v>
      </c>
      <c r="D953" s="2">
        <v>6</v>
      </c>
      <c r="E953" t="b">
        <v>0</v>
      </c>
      <c r="F953" s="2">
        <v>6</v>
      </c>
      <c r="G953" s="2">
        <v>1</v>
      </c>
      <c r="H953" s="23">
        <v>0.12</v>
      </c>
      <c r="I953" s="25">
        <v>0.13639999999999999</v>
      </c>
      <c r="J953" s="23">
        <v>0.93</v>
      </c>
      <c r="K953" s="25">
        <v>0.19400000000000001</v>
      </c>
      <c r="L953" s="2">
        <v>1</v>
      </c>
      <c r="M953" s="2">
        <v>1</v>
      </c>
      <c r="N953" s="2">
        <v>2</v>
      </c>
      <c r="O953" t="s">
        <v>29</v>
      </c>
      <c r="P953" t="s">
        <v>30</v>
      </c>
      <c r="Q953" t="s">
        <v>31</v>
      </c>
      <c r="R953" t="s">
        <v>42</v>
      </c>
      <c r="S953" t="s">
        <v>55</v>
      </c>
      <c r="T953" t="s">
        <v>34</v>
      </c>
      <c r="U953" t="s">
        <v>46</v>
      </c>
      <c r="V953" t="s">
        <v>36</v>
      </c>
      <c r="W953" t="s">
        <v>37</v>
      </c>
      <c r="X953" s="24">
        <v>50</v>
      </c>
      <c r="Y953" s="24">
        <v>50</v>
      </c>
      <c r="Z953" t="s">
        <v>38</v>
      </c>
      <c r="AA953" t="s">
        <v>39</v>
      </c>
      <c r="AB953" t="s">
        <v>40</v>
      </c>
      <c r="AC953" s="24">
        <v>1.6400000000000001E-2</v>
      </c>
    </row>
    <row r="954" spans="1:29" x14ac:dyDescent="0.3">
      <c r="A954" s="2">
        <v>953</v>
      </c>
      <c r="B954" s="1">
        <v>40586</v>
      </c>
      <c r="C954" s="2">
        <v>1</v>
      </c>
      <c r="D954" s="2">
        <v>7</v>
      </c>
      <c r="E954" t="b">
        <v>0</v>
      </c>
      <c r="F954" s="2">
        <v>6</v>
      </c>
      <c r="G954" s="2">
        <v>1</v>
      </c>
      <c r="H954" s="23">
        <v>0.12</v>
      </c>
      <c r="I954" s="25">
        <v>0.1515</v>
      </c>
      <c r="J954" s="23">
        <v>0.8</v>
      </c>
      <c r="K954" s="25">
        <v>0.1045</v>
      </c>
      <c r="L954" s="2">
        <v>2</v>
      </c>
      <c r="M954" s="2">
        <v>9</v>
      </c>
      <c r="N954" s="2">
        <v>11</v>
      </c>
      <c r="O954" t="s">
        <v>29</v>
      </c>
      <c r="P954" t="s">
        <v>30</v>
      </c>
      <c r="Q954" t="s">
        <v>31</v>
      </c>
      <c r="R954" t="s">
        <v>42</v>
      </c>
      <c r="S954" t="s">
        <v>55</v>
      </c>
      <c r="T954" t="s">
        <v>34</v>
      </c>
      <c r="U954" t="s">
        <v>35</v>
      </c>
      <c r="V954" t="s">
        <v>36</v>
      </c>
      <c r="W954" t="s">
        <v>37</v>
      </c>
      <c r="X954" s="24">
        <v>18.18181818181818</v>
      </c>
      <c r="Y954" s="24">
        <v>81.818181818181827</v>
      </c>
      <c r="Z954" t="s">
        <v>40</v>
      </c>
      <c r="AA954" t="s">
        <v>39</v>
      </c>
      <c r="AB954" t="s">
        <v>40</v>
      </c>
      <c r="AC954" s="24">
        <v>3.15E-2</v>
      </c>
    </row>
    <row r="955" spans="1:29" x14ac:dyDescent="0.3">
      <c r="A955" s="2">
        <v>954</v>
      </c>
      <c r="B955" s="1">
        <v>40586</v>
      </c>
      <c r="C955" s="2">
        <v>1</v>
      </c>
      <c r="D955" s="2">
        <v>8</v>
      </c>
      <c r="E955" t="b">
        <v>0</v>
      </c>
      <c r="F955" s="2">
        <v>6</v>
      </c>
      <c r="G955" s="2">
        <v>1</v>
      </c>
      <c r="H955" s="23">
        <v>0.14000000000000001</v>
      </c>
      <c r="I955" s="25">
        <v>0.1515</v>
      </c>
      <c r="J955" s="23">
        <v>0.86</v>
      </c>
      <c r="K955" s="25">
        <v>0.1343</v>
      </c>
      <c r="L955" s="2">
        <v>2</v>
      </c>
      <c r="M955" s="2">
        <v>28</v>
      </c>
      <c r="N955" s="2">
        <v>30</v>
      </c>
      <c r="O955" t="s">
        <v>29</v>
      </c>
      <c r="P955" t="s">
        <v>30</v>
      </c>
      <c r="Q955" t="s">
        <v>31</v>
      </c>
      <c r="R955" t="s">
        <v>42</v>
      </c>
      <c r="S955" t="s">
        <v>55</v>
      </c>
      <c r="T955" t="s">
        <v>34</v>
      </c>
      <c r="U955" t="s">
        <v>35</v>
      </c>
      <c r="V955" t="s">
        <v>36</v>
      </c>
      <c r="W955" t="s">
        <v>37</v>
      </c>
      <c r="X955" s="24">
        <v>6.666666666666667</v>
      </c>
      <c r="Y955" s="24">
        <v>93.333333333333329</v>
      </c>
      <c r="Z955" t="s">
        <v>40</v>
      </c>
      <c r="AA955" t="s">
        <v>39</v>
      </c>
      <c r="AB955" t="s">
        <v>40</v>
      </c>
      <c r="AC955" s="24">
        <v>1.1499999999999981E-2</v>
      </c>
    </row>
    <row r="956" spans="1:29" x14ac:dyDescent="0.3">
      <c r="A956" s="2">
        <v>549</v>
      </c>
      <c r="B956" s="1">
        <v>40568</v>
      </c>
      <c r="C956" s="2">
        <v>1</v>
      </c>
      <c r="D956" s="2">
        <v>0</v>
      </c>
      <c r="E956" t="b">
        <v>0</v>
      </c>
      <c r="F956" s="2">
        <v>2</v>
      </c>
      <c r="G956" s="2">
        <v>2</v>
      </c>
      <c r="H956" s="23">
        <v>0.16</v>
      </c>
      <c r="I956" s="25">
        <v>0.13639999999999999</v>
      </c>
      <c r="J956" s="23">
        <v>0.69</v>
      </c>
      <c r="K956" s="25">
        <v>0.28360000000000002</v>
      </c>
      <c r="L956" s="2">
        <v>3</v>
      </c>
      <c r="M956" s="2">
        <v>6</v>
      </c>
      <c r="N956" s="2">
        <v>9</v>
      </c>
      <c r="O956" t="s">
        <v>29</v>
      </c>
      <c r="P956" t="s">
        <v>56</v>
      </c>
      <c r="Q956" t="s">
        <v>41</v>
      </c>
      <c r="R956" t="s">
        <v>32</v>
      </c>
      <c r="S956" t="s">
        <v>33</v>
      </c>
      <c r="T956" t="s">
        <v>49</v>
      </c>
      <c r="U956" t="s">
        <v>46</v>
      </c>
      <c r="V956" t="s">
        <v>36</v>
      </c>
      <c r="W956" t="s">
        <v>37</v>
      </c>
      <c r="X956" s="24">
        <v>33.333333333333329</v>
      </c>
      <c r="Y956" s="24">
        <v>66.666666666666657</v>
      </c>
      <c r="Z956" t="s">
        <v>38</v>
      </c>
      <c r="AA956" t="s">
        <v>39</v>
      </c>
      <c r="AB956" t="s">
        <v>38</v>
      </c>
      <c r="AC956" s="24">
        <v>-2.360000000000001E-2</v>
      </c>
    </row>
    <row r="957" spans="1:29" x14ac:dyDescent="0.3">
      <c r="A957" s="2">
        <v>550</v>
      </c>
      <c r="B957" s="1">
        <v>40568</v>
      </c>
      <c r="C957" s="2">
        <v>1</v>
      </c>
      <c r="D957" s="2">
        <v>1</v>
      </c>
      <c r="E957" t="b">
        <v>0</v>
      </c>
      <c r="F957" s="2">
        <v>2</v>
      </c>
      <c r="G957" s="2">
        <v>2</v>
      </c>
      <c r="H957" s="23">
        <v>0.16</v>
      </c>
      <c r="I957" s="25">
        <v>0.16669999999999999</v>
      </c>
      <c r="J957" s="23">
        <v>0.69</v>
      </c>
      <c r="K957" s="25">
        <v>0.16420000000000001</v>
      </c>
      <c r="L957" s="2">
        <v>0</v>
      </c>
      <c r="M957" s="2">
        <v>5</v>
      </c>
      <c r="N957" s="2">
        <v>5</v>
      </c>
      <c r="O957" t="s">
        <v>29</v>
      </c>
      <c r="P957" t="s">
        <v>56</v>
      </c>
      <c r="Q957" t="s">
        <v>41</v>
      </c>
      <c r="R957" t="s">
        <v>32</v>
      </c>
      <c r="S957" t="s">
        <v>33</v>
      </c>
      <c r="T957" t="s">
        <v>49</v>
      </c>
      <c r="U957" t="s">
        <v>46</v>
      </c>
      <c r="V957" t="s">
        <v>36</v>
      </c>
      <c r="W957" t="s">
        <v>37</v>
      </c>
      <c r="X957" s="24">
        <v>0</v>
      </c>
      <c r="Y957" s="24">
        <v>100</v>
      </c>
      <c r="Z957" t="s">
        <v>38</v>
      </c>
      <c r="AA957" t="s">
        <v>39</v>
      </c>
      <c r="AB957" t="s">
        <v>38</v>
      </c>
      <c r="AC957" s="24">
        <v>6.6999999999999837E-3</v>
      </c>
    </row>
    <row r="958" spans="1:29" x14ac:dyDescent="0.3">
      <c r="A958" s="2">
        <v>957</v>
      </c>
      <c r="B958" s="1">
        <v>40586</v>
      </c>
      <c r="C958" s="2">
        <v>1</v>
      </c>
      <c r="D958" s="2">
        <v>11</v>
      </c>
      <c r="E958" t="b">
        <v>0</v>
      </c>
      <c r="F958" s="2">
        <v>6</v>
      </c>
      <c r="G958" s="2">
        <v>1</v>
      </c>
      <c r="H958" s="23">
        <v>0.3</v>
      </c>
      <c r="I958" s="25">
        <v>0.2727</v>
      </c>
      <c r="J958" s="23">
        <v>0.28000000000000003</v>
      </c>
      <c r="K958" s="25">
        <v>0.32840000000000003</v>
      </c>
      <c r="L958" s="2">
        <v>30</v>
      </c>
      <c r="M958" s="2">
        <v>84</v>
      </c>
      <c r="N958" s="2">
        <v>114</v>
      </c>
      <c r="O958" t="s">
        <v>29</v>
      </c>
      <c r="P958" t="s">
        <v>30</v>
      </c>
      <c r="Q958" t="s">
        <v>31</v>
      </c>
      <c r="R958" t="s">
        <v>42</v>
      </c>
      <c r="S958" t="s">
        <v>44</v>
      </c>
      <c r="T958" t="s">
        <v>39</v>
      </c>
      <c r="U958" t="s">
        <v>53</v>
      </c>
      <c r="V958" t="s">
        <v>36</v>
      </c>
      <c r="W958" t="s">
        <v>37</v>
      </c>
      <c r="X958" s="24">
        <v>26.315789473684209</v>
      </c>
      <c r="Y958" s="24">
        <v>73.68421052631578</v>
      </c>
      <c r="Z958" t="s">
        <v>38</v>
      </c>
      <c r="AA958" t="s">
        <v>49</v>
      </c>
      <c r="AB958" t="s">
        <v>40</v>
      </c>
      <c r="AC958" s="24">
        <v>-2.7299999999999991E-2</v>
      </c>
    </row>
    <row r="959" spans="1:29" x14ac:dyDescent="0.3">
      <c r="A959" s="2">
        <v>958</v>
      </c>
      <c r="B959" s="1">
        <v>40586</v>
      </c>
      <c r="C959" s="2">
        <v>1</v>
      </c>
      <c r="D959" s="2">
        <v>12</v>
      </c>
      <c r="E959" t="b">
        <v>0</v>
      </c>
      <c r="F959" s="2">
        <v>6</v>
      </c>
      <c r="G959" s="2">
        <v>1</v>
      </c>
      <c r="H959" s="23">
        <v>0.3</v>
      </c>
      <c r="I959" s="25">
        <v>0.2727</v>
      </c>
      <c r="J959" s="23">
        <v>0.39</v>
      </c>
      <c r="K959" s="25">
        <v>0.4627</v>
      </c>
      <c r="L959" s="2">
        <v>27</v>
      </c>
      <c r="M959" s="2">
        <v>93</v>
      </c>
      <c r="N959" s="2">
        <v>120</v>
      </c>
      <c r="O959" t="s">
        <v>29</v>
      </c>
      <c r="P959" t="s">
        <v>30</v>
      </c>
      <c r="Q959" t="s">
        <v>31</v>
      </c>
      <c r="R959" t="s">
        <v>47</v>
      </c>
      <c r="S959" t="s">
        <v>44</v>
      </c>
      <c r="T959" t="s">
        <v>39</v>
      </c>
      <c r="U959" t="s">
        <v>53</v>
      </c>
      <c r="V959" t="s">
        <v>36</v>
      </c>
      <c r="W959" t="s">
        <v>37</v>
      </c>
      <c r="X959" s="24">
        <v>22.5</v>
      </c>
      <c r="Y959" s="24">
        <v>77.5</v>
      </c>
      <c r="Z959" t="s">
        <v>38</v>
      </c>
      <c r="AA959" t="s">
        <v>49</v>
      </c>
      <c r="AB959" t="s">
        <v>40</v>
      </c>
      <c r="AC959" s="24">
        <v>-2.7299999999999991E-2</v>
      </c>
    </row>
    <row r="960" spans="1:29" x14ac:dyDescent="0.3">
      <c r="A960" s="2">
        <v>959</v>
      </c>
      <c r="B960" s="1">
        <v>40586</v>
      </c>
      <c r="C960" s="2">
        <v>1</v>
      </c>
      <c r="D960" s="2">
        <v>13</v>
      </c>
      <c r="E960" t="b">
        <v>0</v>
      </c>
      <c r="F960" s="2">
        <v>6</v>
      </c>
      <c r="G960" s="2">
        <v>1</v>
      </c>
      <c r="H960" s="23">
        <v>0.3</v>
      </c>
      <c r="I960" s="25">
        <v>0.2727</v>
      </c>
      <c r="J960" s="23">
        <v>0.39</v>
      </c>
      <c r="K960" s="25">
        <v>0.41789999999999999</v>
      </c>
      <c r="L960" s="2">
        <v>32</v>
      </c>
      <c r="M960" s="2">
        <v>103</v>
      </c>
      <c r="N960" s="2">
        <v>135</v>
      </c>
      <c r="O960" t="s">
        <v>29</v>
      </c>
      <c r="P960" t="s">
        <v>30</v>
      </c>
      <c r="Q960" t="s">
        <v>31</v>
      </c>
      <c r="R960" t="s">
        <v>47</v>
      </c>
      <c r="S960" t="s">
        <v>44</v>
      </c>
      <c r="T960" t="s">
        <v>39</v>
      </c>
      <c r="U960" t="s">
        <v>53</v>
      </c>
      <c r="V960" t="s">
        <v>36</v>
      </c>
      <c r="W960" t="s">
        <v>37</v>
      </c>
      <c r="X960" s="24">
        <v>23.703703703703709</v>
      </c>
      <c r="Y960" s="24">
        <v>76.296296296296291</v>
      </c>
      <c r="Z960" t="s">
        <v>38</v>
      </c>
      <c r="AA960" t="s">
        <v>49</v>
      </c>
      <c r="AB960" t="s">
        <v>40</v>
      </c>
      <c r="AC960" s="24">
        <v>-2.7299999999999991E-2</v>
      </c>
    </row>
    <row r="961" spans="1:29" x14ac:dyDescent="0.3">
      <c r="A961" s="2">
        <v>960</v>
      </c>
      <c r="B961" s="1">
        <v>40586</v>
      </c>
      <c r="C961" s="2">
        <v>1</v>
      </c>
      <c r="D961" s="2">
        <v>14</v>
      </c>
      <c r="E961" t="b">
        <v>0</v>
      </c>
      <c r="F961" s="2">
        <v>6</v>
      </c>
      <c r="G961" s="2">
        <v>1</v>
      </c>
      <c r="H961" s="23">
        <v>0.34</v>
      </c>
      <c r="I961" s="25">
        <v>0.31819999999999998</v>
      </c>
      <c r="J961" s="23">
        <v>0.31</v>
      </c>
      <c r="K961" s="25">
        <v>0.28360000000000002</v>
      </c>
      <c r="L961" s="2">
        <v>30</v>
      </c>
      <c r="M961" s="2">
        <v>90</v>
      </c>
      <c r="N961" s="2">
        <v>120</v>
      </c>
      <c r="O961" t="s">
        <v>29</v>
      </c>
      <c r="P961" t="s">
        <v>30</v>
      </c>
      <c r="Q961" t="s">
        <v>31</v>
      </c>
      <c r="R961" t="s">
        <v>47</v>
      </c>
      <c r="S961" t="s">
        <v>44</v>
      </c>
      <c r="T961" t="s">
        <v>39</v>
      </c>
      <c r="U961" t="s">
        <v>46</v>
      </c>
      <c r="V961" t="s">
        <v>36</v>
      </c>
      <c r="W961" t="s">
        <v>37</v>
      </c>
      <c r="X961" s="24">
        <v>25</v>
      </c>
      <c r="Y961" s="24">
        <v>75</v>
      </c>
      <c r="Z961" t="s">
        <v>38</v>
      </c>
      <c r="AA961" t="s">
        <v>49</v>
      </c>
      <c r="AB961" t="s">
        <v>40</v>
      </c>
      <c r="AC961" s="24">
        <v>-2.1800000000000042E-2</v>
      </c>
    </row>
    <row r="962" spans="1:29" x14ac:dyDescent="0.3">
      <c r="A962" s="2">
        <v>961</v>
      </c>
      <c r="B962" s="1">
        <v>40586</v>
      </c>
      <c r="C962" s="2">
        <v>1</v>
      </c>
      <c r="D962" s="2">
        <v>15</v>
      </c>
      <c r="E962" t="b">
        <v>0</v>
      </c>
      <c r="F962" s="2">
        <v>6</v>
      </c>
      <c r="G962" s="2">
        <v>1</v>
      </c>
      <c r="H962" s="23">
        <v>0.34</v>
      </c>
      <c r="I962" s="25">
        <v>0.30299999999999999</v>
      </c>
      <c r="J962" s="23">
        <v>0.28999999999999998</v>
      </c>
      <c r="K962" s="25">
        <v>0.41789999999999999</v>
      </c>
      <c r="L962" s="2">
        <v>47</v>
      </c>
      <c r="M962" s="2">
        <v>127</v>
      </c>
      <c r="N962" s="2">
        <v>174</v>
      </c>
      <c r="O962" t="s">
        <v>29</v>
      </c>
      <c r="P962" t="s">
        <v>30</v>
      </c>
      <c r="Q962" t="s">
        <v>31</v>
      </c>
      <c r="R962" t="s">
        <v>47</v>
      </c>
      <c r="S962" t="s">
        <v>44</v>
      </c>
      <c r="T962" t="s">
        <v>39</v>
      </c>
      <c r="U962" t="s">
        <v>53</v>
      </c>
      <c r="V962" t="s">
        <v>36</v>
      </c>
      <c r="W962" t="s">
        <v>37</v>
      </c>
      <c r="X962" s="24">
        <v>27.011494252873561</v>
      </c>
      <c r="Y962" s="24">
        <v>72.988505747126439</v>
      </c>
      <c r="Z962" t="s">
        <v>38</v>
      </c>
      <c r="AA962" t="s">
        <v>49</v>
      </c>
      <c r="AB962" t="s">
        <v>40</v>
      </c>
      <c r="AC962" s="24">
        <v>-3.7000000000000033E-2</v>
      </c>
    </row>
    <row r="963" spans="1:29" x14ac:dyDescent="0.3">
      <c r="A963" s="2">
        <v>962</v>
      </c>
      <c r="B963" s="1">
        <v>40586</v>
      </c>
      <c r="C963" s="2">
        <v>1</v>
      </c>
      <c r="D963" s="2">
        <v>16</v>
      </c>
      <c r="E963" t="b">
        <v>0</v>
      </c>
      <c r="F963" s="2">
        <v>6</v>
      </c>
      <c r="G963" s="2">
        <v>1</v>
      </c>
      <c r="H963" s="23">
        <v>0.34</v>
      </c>
      <c r="I963" s="25">
        <v>0.30299999999999999</v>
      </c>
      <c r="J963" s="23">
        <v>0.28999999999999998</v>
      </c>
      <c r="K963" s="25">
        <v>0.41789999999999999</v>
      </c>
      <c r="L963" s="2">
        <v>42</v>
      </c>
      <c r="M963" s="2">
        <v>103</v>
      </c>
      <c r="N963" s="2">
        <v>145</v>
      </c>
      <c r="O963" t="s">
        <v>29</v>
      </c>
      <c r="P963" t="s">
        <v>30</v>
      </c>
      <c r="Q963" t="s">
        <v>31</v>
      </c>
      <c r="R963" t="s">
        <v>47</v>
      </c>
      <c r="S963" t="s">
        <v>44</v>
      </c>
      <c r="T963" t="s">
        <v>39</v>
      </c>
      <c r="U963" t="s">
        <v>53</v>
      </c>
      <c r="V963" t="s">
        <v>36</v>
      </c>
      <c r="W963" t="s">
        <v>37</v>
      </c>
      <c r="X963" s="24">
        <v>28.96551724137931</v>
      </c>
      <c r="Y963" s="24">
        <v>71.034482758620683</v>
      </c>
      <c r="Z963" t="s">
        <v>38</v>
      </c>
      <c r="AA963" t="s">
        <v>49</v>
      </c>
      <c r="AB963" t="s">
        <v>40</v>
      </c>
      <c r="AC963" s="24">
        <v>-3.7000000000000033E-2</v>
      </c>
    </row>
    <row r="964" spans="1:29" x14ac:dyDescent="0.3">
      <c r="A964" s="2">
        <v>963</v>
      </c>
      <c r="B964" s="1">
        <v>40586</v>
      </c>
      <c r="C964" s="2">
        <v>1</v>
      </c>
      <c r="D964" s="2">
        <v>17</v>
      </c>
      <c r="E964" t="b">
        <v>0</v>
      </c>
      <c r="F964" s="2">
        <v>6</v>
      </c>
      <c r="G964" s="2">
        <v>1</v>
      </c>
      <c r="H964" s="23">
        <v>0.32</v>
      </c>
      <c r="I964" s="25">
        <v>0.28789999999999999</v>
      </c>
      <c r="J964" s="23">
        <v>0.31</v>
      </c>
      <c r="K964" s="25">
        <v>0.52239999999999998</v>
      </c>
      <c r="L964" s="2">
        <v>24</v>
      </c>
      <c r="M964" s="2">
        <v>113</v>
      </c>
      <c r="N964" s="2">
        <v>137</v>
      </c>
      <c r="O964" t="s">
        <v>29</v>
      </c>
      <c r="P964" t="s">
        <v>30</v>
      </c>
      <c r="Q964" t="s">
        <v>31</v>
      </c>
      <c r="R964" t="s">
        <v>50</v>
      </c>
      <c r="S964" t="s">
        <v>44</v>
      </c>
      <c r="T964" t="s">
        <v>39</v>
      </c>
      <c r="U964" t="s">
        <v>53</v>
      </c>
      <c r="V964" t="s">
        <v>36</v>
      </c>
      <c r="W964" t="s">
        <v>37</v>
      </c>
      <c r="X964" s="24">
        <v>17.518248175182482</v>
      </c>
      <c r="Y964" s="24">
        <v>82.481751824817522</v>
      </c>
      <c r="Z964" t="s">
        <v>40</v>
      </c>
      <c r="AA964" t="s">
        <v>49</v>
      </c>
      <c r="AB964" t="s">
        <v>40</v>
      </c>
      <c r="AC964" s="24">
        <v>-3.2100000000000017E-2</v>
      </c>
    </row>
    <row r="965" spans="1:29" x14ac:dyDescent="0.3">
      <c r="A965" s="2">
        <v>964</v>
      </c>
      <c r="B965" s="1">
        <v>40586</v>
      </c>
      <c r="C965" s="2">
        <v>1</v>
      </c>
      <c r="D965" s="2">
        <v>18</v>
      </c>
      <c r="E965" t="b">
        <v>0</v>
      </c>
      <c r="F965" s="2">
        <v>6</v>
      </c>
      <c r="G965" s="2">
        <v>1</v>
      </c>
      <c r="H965" s="23">
        <v>0.28000000000000003</v>
      </c>
      <c r="I965" s="25">
        <v>0.2576</v>
      </c>
      <c r="J965" s="23">
        <v>0.38</v>
      </c>
      <c r="K965" s="25">
        <v>0.32840000000000003</v>
      </c>
      <c r="L965" s="2">
        <v>4</v>
      </c>
      <c r="M965" s="2">
        <v>60</v>
      </c>
      <c r="N965" s="2">
        <v>64</v>
      </c>
      <c r="O965" t="s">
        <v>29</v>
      </c>
      <c r="P965" t="s">
        <v>30</v>
      </c>
      <c r="Q965" t="s">
        <v>31</v>
      </c>
      <c r="R965" t="s">
        <v>50</v>
      </c>
      <c r="S965" t="s">
        <v>44</v>
      </c>
      <c r="T965" t="s">
        <v>39</v>
      </c>
      <c r="U965" t="s">
        <v>53</v>
      </c>
      <c r="V965" t="s">
        <v>36</v>
      </c>
      <c r="W965" t="s">
        <v>37</v>
      </c>
      <c r="X965" s="24">
        <v>6.25</v>
      </c>
      <c r="Y965" s="24">
        <v>93.75</v>
      </c>
      <c r="Z965" t="s">
        <v>40</v>
      </c>
      <c r="AA965" t="s">
        <v>39</v>
      </c>
      <c r="AB965" t="s">
        <v>40</v>
      </c>
      <c r="AC965" s="24">
        <v>-2.2400000000000031E-2</v>
      </c>
    </row>
    <row r="966" spans="1:29" x14ac:dyDescent="0.3">
      <c r="A966" s="2">
        <v>965</v>
      </c>
      <c r="B966" s="1">
        <v>40586</v>
      </c>
      <c r="C966" s="2">
        <v>1</v>
      </c>
      <c r="D966" s="2">
        <v>19</v>
      </c>
      <c r="E966" t="b">
        <v>0</v>
      </c>
      <c r="F966" s="2">
        <v>6</v>
      </c>
      <c r="G966" s="2">
        <v>1</v>
      </c>
      <c r="H966" s="23">
        <v>0.28000000000000003</v>
      </c>
      <c r="I966" s="25">
        <v>0.2727</v>
      </c>
      <c r="J966" s="23">
        <v>0.38</v>
      </c>
      <c r="K966" s="25">
        <v>0.16420000000000001</v>
      </c>
      <c r="L966" s="2">
        <v>2</v>
      </c>
      <c r="M966" s="2">
        <v>39</v>
      </c>
      <c r="N966" s="2">
        <v>41</v>
      </c>
      <c r="O966" t="s">
        <v>29</v>
      </c>
      <c r="P966" t="s">
        <v>30</v>
      </c>
      <c r="Q966" t="s">
        <v>31</v>
      </c>
      <c r="R966" t="s">
        <v>50</v>
      </c>
      <c r="S966" t="s">
        <v>44</v>
      </c>
      <c r="T966" t="s">
        <v>39</v>
      </c>
      <c r="U966" t="s">
        <v>46</v>
      </c>
      <c r="V966" t="s">
        <v>36</v>
      </c>
      <c r="W966" t="s">
        <v>37</v>
      </c>
      <c r="X966" s="24">
        <v>4.8780487804878048</v>
      </c>
      <c r="Y966" s="24">
        <v>95.121951219512198</v>
      </c>
      <c r="Z966" t="s">
        <v>40</v>
      </c>
      <c r="AA966" t="s">
        <v>39</v>
      </c>
      <c r="AB966" t="s">
        <v>40</v>
      </c>
      <c r="AC966" s="24">
        <v>-7.3000000000000287E-3</v>
      </c>
    </row>
    <row r="967" spans="1:29" x14ac:dyDescent="0.3">
      <c r="A967" s="2">
        <v>551</v>
      </c>
      <c r="B967" s="1">
        <v>40568</v>
      </c>
      <c r="C967" s="2">
        <v>1</v>
      </c>
      <c r="D967" s="2">
        <v>2</v>
      </c>
      <c r="E967" t="b">
        <v>0</v>
      </c>
      <c r="F967" s="2">
        <v>2</v>
      </c>
      <c r="G967" s="2">
        <v>1</v>
      </c>
      <c r="H967" s="23">
        <v>0.16</v>
      </c>
      <c r="I967" s="25">
        <v>0.1515</v>
      </c>
      <c r="J967" s="23">
        <v>0.69</v>
      </c>
      <c r="K967" s="25">
        <v>0.22389999999999999</v>
      </c>
      <c r="L967" s="2">
        <v>0</v>
      </c>
      <c r="M967" s="2">
        <v>2</v>
      </c>
      <c r="N967" s="2">
        <v>2</v>
      </c>
      <c r="O967" t="s">
        <v>29</v>
      </c>
      <c r="P967" t="s">
        <v>56</v>
      </c>
      <c r="Q967" t="s">
        <v>31</v>
      </c>
      <c r="R967" t="s">
        <v>32</v>
      </c>
      <c r="S967" t="s">
        <v>33</v>
      </c>
      <c r="T967" t="s">
        <v>49</v>
      </c>
      <c r="U967" t="s">
        <v>46</v>
      </c>
      <c r="V967" t="s">
        <v>36</v>
      </c>
      <c r="W967" t="s">
        <v>37</v>
      </c>
      <c r="X967" s="24">
        <v>0</v>
      </c>
      <c r="Y967" s="24">
        <v>100</v>
      </c>
      <c r="Z967" t="s">
        <v>38</v>
      </c>
      <c r="AA967" t="s">
        <v>39</v>
      </c>
      <c r="AB967" t="s">
        <v>38</v>
      </c>
      <c r="AC967" s="24">
        <v>-8.5000000000000075E-3</v>
      </c>
    </row>
    <row r="968" spans="1:29" x14ac:dyDescent="0.3">
      <c r="A968" s="2">
        <v>572</v>
      </c>
      <c r="B968" s="1">
        <v>40569</v>
      </c>
      <c r="C968" s="2">
        <v>1</v>
      </c>
      <c r="D968" s="2">
        <v>0</v>
      </c>
      <c r="E968" t="b">
        <v>0</v>
      </c>
      <c r="F968" s="2">
        <v>3</v>
      </c>
      <c r="G968" s="2">
        <v>2</v>
      </c>
      <c r="H968" s="23">
        <v>0.22</v>
      </c>
      <c r="I968" s="25">
        <v>0.2273</v>
      </c>
      <c r="J968" s="23">
        <v>0.69</v>
      </c>
      <c r="K968" s="25">
        <v>0.1343</v>
      </c>
      <c r="L968" s="2">
        <v>3</v>
      </c>
      <c r="M968" s="2">
        <v>14</v>
      </c>
      <c r="N968" s="2">
        <v>17</v>
      </c>
      <c r="O968" t="s">
        <v>29</v>
      </c>
      <c r="P968" t="s">
        <v>57</v>
      </c>
      <c r="Q968" t="s">
        <v>41</v>
      </c>
      <c r="R968" t="s">
        <v>32</v>
      </c>
      <c r="S968" t="s">
        <v>33</v>
      </c>
      <c r="T968" t="s">
        <v>49</v>
      </c>
      <c r="U968" t="s">
        <v>35</v>
      </c>
      <c r="V968" t="s">
        <v>36</v>
      </c>
      <c r="W968" t="s">
        <v>37</v>
      </c>
      <c r="X968" s="24">
        <v>17.647058823529409</v>
      </c>
      <c r="Y968" s="24">
        <v>82.35294117647058</v>
      </c>
      <c r="Z968" t="s">
        <v>38</v>
      </c>
      <c r="AA968" t="s">
        <v>39</v>
      </c>
      <c r="AB968" t="s">
        <v>38</v>
      </c>
      <c r="AC968" s="24">
        <v>7.3000000000000009E-3</v>
      </c>
    </row>
    <row r="969" spans="1:29" x14ac:dyDescent="0.3">
      <c r="A969" s="2">
        <v>574</v>
      </c>
      <c r="B969" s="1">
        <v>40569</v>
      </c>
      <c r="C969" s="2">
        <v>1</v>
      </c>
      <c r="D969" s="2">
        <v>2</v>
      </c>
      <c r="E969" t="b">
        <v>0</v>
      </c>
      <c r="F969" s="2">
        <v>3</v>
      </c>
      <c r="G969" s="2">
        <v>3</v>
      </c>
      <c r="H969" s="23">
        <v>0.22</v>
      </c>
      <c r="I969" s="25">
        <v>0.2273</v>
      </c>
      <c r="J969" s="23">
        <v>0.69</v>
      </c>
      <c r="K969" s="25">
        <v>0.19400000000000001</v>
      </c>
      <c r="L969" s="2">
        <v>3</v>
      </c>
      <c r="M969" s="2">
        <v>7</v>
      </c>
      <c r="N969" s="2">
        <v>10</v>
      </c>
      <c r="O969" t="s">
        <v>29</v>
      </c>
      <c r="P969" t="s">
        <v>57</v>
      </c>
      <c r="Q969" t="s">
        <v>51</v>
      </c>
      <c r="R969" t="s">
        <v>32</v>
      </c>
      <c r="S969" t="s">
        <v>33</v>
      </c>
      <c r="T969" t="s">
        <v>49</v>
      </c>
      <c r="U969" t="s">
        <v>46</v>
      </c>
      <c r="V969" t="s">
        <v>36</v>
      </c>
      <c r="W969" t="s">
        <v>37</v>
      </c>
      <c r="X969" s="24">
        <v>30</v>
      </c>
      <c r="Y969" s="24">
        <v>70</v>
      </c>
      <c r="Z969" t="s">
        <v>38</v>
      </c>
      <c r="AA969" t="s">
        <v>39</v>
      </c>
      <c r="AB969" t="s">
        <v>38</v>
      </c>
      <c r="AC969" s="24">
        <v>7.3000000000000009E-3</v>
      </c>
    </row>
    <row r="970" spans="1:29" x14ac:dyDescent="0.3">
      <c r="A970" s="2">
        <v>590</v>
      </c>
      <c r="B970" s="1">
        <v>40570</v>
      </c>
      <c r="C970" s="2">
        <v>1</v>
      </c>
      <c r="D970" s="2">
        <v>18</v>
      </c>
      <c r="E970" t="b">
        <v>0</v>
      </c>
      <c r="F970" s="2">
        <v>4</v>
      </c>
      <c r="G970" s="2">
        <v>1</v>
      </c>
      <c r="H970" s="23">
        <v>0.2</v>
      </c>
      <c r="I970" s="25">
        <v>0.2273</v>
      </c>
      <c r="J970" s="23">
        <v>0.69</v>
      </c>
      <c r="K970" s="25">
        <v>8.9599999999999999E-2</v>
      </c>
      <c r="L970" s="2">
        <v>3</v>
      </c>
      <c r="M970" s="2">
        <v>101</v>
      </c>
      <c r="N970" s="2">
        <v>104</v>
      </c>
      <c r="O970" t="s">
        <v>29</v>
      </c>
      <c r="P970" t="s">
        <v>58</v>
      </c>
      <c r="Q970" t="s">
        <v>31</v>
      </c>
      <c r="R970" t="s">
        <v>50</v>
      </c>
      <c r="S970" t="s">
        <v>33</v>
      </c>
      <c r="T970" t="s">
        <v>49</v>
      </c>
      <c r="U970" t="s">
        <v>35</v>
      </c>
      <c r="V970" t="s">
        <v>36</v>
      </c>
      <c r="W970" t="s">
        <v>37</v>
      </c>
      <c r="X970" s="24">
        <v>2.884615384615385</v>
      </c>
      <c r="Y970" s="24">
        <v>97.115384615384613</v>
      </c>
      <c r="Z970" t="s">
        <v>40</v>
      </c>
      <c r="AA970" t="s">
        <v>49</v>
      </c>
      <c r="AB970" t="s">
        <v>38</v>
      </c>
      <c r="AC970" s="24">
        <v>2.7299999999999991E-2</v>
      </c>
    </row>
    <row r="971" spans="1:29" x14ac:dyDescent="0.3">
      <c r="A971" s="2">
        <v>591</v>
      </c>
      <c r="B971" s="1">
        <v>40570</v>
      </c>
      <c r="C971" s="2">
        <v>1</v>
      </c>
      <c r="D971" s="2">
        <v>19</v>
      </c>
      <c r="E971" t="b">
        <v>0</v>
      </c>
      <c r="F971" s="2">
        <v>4</v>
      </c>
      <c r="G971" s="2">
        <v>1</v>
      </c>
      <c r="H971" s="23">
        <v>0.2</v>
      </c>
      <c r="I971" s="25">
        <v>0.2273</v>
      </c>
      <c r="J971" s="23">
        <v>0.69</v>
      </c>
      <c r="K971" s="25">
        <v>8.9599999999999999E-2</v>
      </c>
      <c r="L971" s="2">
        <v>3</v>
      </c>
      <c r="M971" s="2">
        <v>76</v>
      </c>
      <c r="N971" s="2">
        <v>79</v>
      </c>
      <c r="O971" t="s">
        <v>29</v>
      </c>
      <c r="P971" t="s">
        <v>58</v>
      </c>
      <c r="Q971" t="s">
        <v>31</v>
      </c>
      <c r="R971" t="s">
        <v>50</v>
      </c>
      <c r="S971" t="s">
        <v>33</v>
      </c>
      <c r="T971" t="s">
        <v>49</v>
      </c>
      <c r="U971" t="s">
        <v>35</v>
      </c>
      <c r="V971" t="s">
        <v>36</v>
      </c>
      <c r="W971" t="s">
        <v>37</v>
      </c>
      <c r="X971" s="24">
        <v>3.79746835443038</v>
      </c>
      <c r="Y971" s="24">
        <v>96.202531645569621</v>
      </c>
      <c r="Z971" t="s">
        <v>40</v>
      </c>
      <c r="AA971" t="s">
        <v>39</v>
      </c>
      <c r="AB971" t="s">
        <v>38</v>
      </c>
      <c r="AC971" s="24">
        <v>2.7299999999999991E-2</v>
      </c>
    </row>
    <row r="972" spans="1:29" x14ac:dyDescent="0.3">
      <c r="A972" s="2">
        <v>623</v>
      </c>
      <c r="B972" s="1">
        <v>40572</v>
      </c>
      <c r="C972" s="2">
        <v>1</v>
      </c>
      <c r="D972" s="2">
        <v>4</v>
      </c>
      <c r="E972" t="b">
        <v>0</v>
      </c>
      <c r="F972" s="2">
        <v>6</v>
      </c>
      <c r="G972" s="2">
        <v>1</v>
      </c>
      <c r="H972" s="23">
        <v>0.16</v>
      </c>
      <c r="I972" s="25">
        <v>0.18179999999999999</v>
      </c>
      <c r="J972" s="23">
        <v>0.69</v>
      </c>
      <c r="K972" s="25">
        <v>0.1045</v>
      </c>
      <c r="L972" s="2">
        <v>1</v>
      </c>
      <c r="M972" s="2">
        <v>2</v>
      </c>
      <c r="N972" s="2">
        <v>3</v>
      </c>
      <c r="O972" t="s">
        <v>29</v>
      </c>
      <c r="P972" t="s">
        <v>30</v>
      </c>
      <c r="Q972" t="s">
        <v>31</v>
      </c>
      <c r="R972" t="s">
        <v>32</v>
      </c>
      <c r="S972" t="s">
        <v>33</v>
      </c>
      <c r="T972" t="s">
        <v>49</v>
      </c>
      <c r="U972" t="s">
        <v>35</v>
      </c>
      <c r="V972" t="s">
        <v>36</v>
      </c>
      <c r="W972" t="s">
        <v>37</v>
      </c>
      <c r="X972" s="24">
        <v>33.333333333333329</v>
      </c>
      <c r="Y972" s="24">
        <v>66.666666666666657</v>
      </c>
      <c r="Z972" t="s">
        <v>38</v>
      </c>
      <c r="AA972" t="s">
        <v>39</v>
      </c>
      <c r="AB972" t="s">
        <v>40</v>
      </c>
      <c r="AC972" s="24">
        <v>2.179999999999999E-2</v>
      </c>
    </row>
    <row r="973" spans="1:29" x14ac:dyDescent="0.3">
      <c r="A973" s="2">
        <v>972</v>
      </c>
      <c r="B973" s="1">
        <v>40587</v>
      </c>
      <c r="C973" s="2">
        <v>1</v>
      </c>
      <c r="D973" s="2">
        <v>2</v>
      </c>
      <c r="E973" t="b">
        <v>0</v>
      </c>
      <c r="F973" s="2">
        <v>0</v>
      </c>
      <c r="G973" s="2">
        <v>2</v>
      </c>
      <c r="H973" s="23">
        <v>0.2</v>
      </c>
      <c r="I973" s="25">
        <v>0.2273</v>
      </c>
      <c r="J973" s="23">
        <v>0.75</v>
      </c>
      <c r="K973" s="25">
        <v>8.9599999999999999E-2</v>
      </c>
      <c r="L973" s="2">
        <v>1</v>
      </c>
      <c r="M973" s="2">
        <v>19</v>
      </c>
      <c r="N973" s="2">
        <v>20</v>
      </c>
      <c r="O973" t="s">
        <v>29</v>
      </c>
      <c r="P973" t="s">
        <v>52</v>
      </c>
      <c r="Q973" t="s">
        <v>41</v>
      </c>
      <c r="R973" t="s">
        <v>32</v>
      </c>
      <c r="S973" t="s">
        <v>33</v>
      </c>
      <c r="T973" t="s">
        <v>34</v>
      </c>
      <c r="U973" t="s">
        <v>35</v>
      </c>
      <c r="V973" t="s">
        <v>36</v>
      </c>
      <c r="W973" t="s">
        <v>37</v>
      </c>
      <c r="X973" s="24">
        <v>5</v>
      </c>
      <c r="Y973" s="24">
        <v>95</v>
      </c>
      <c r="Z973" t="s">
        <v>38</v>
      </c>
      <c r="AA973" t="s">
        <v>39</v>
      </c>
      <c r="AB973" t="s">
        <v>40</v>
      </c>
      <c r="AC973" s="24">
        <v>2.7299999999999991E-2</v>
      </c>
    </row>
    <row r="974" spans="1:29" x14ac:dyDescent="0.3">
      <c r="A974" s="2">
        <v>633</v>
      </c>
      <c r="B974" s="1">
        <v>40572</v>
      </c>
      <c r="C974" s="2">
        <v>1</v>
      </c>
      <c r="D974" s="2">
        <v>15</v>
      </c>
      <c r="E974" t="b">
        <v>0</v>
      </c>
      <c r="F974" s="2">
        <v>6</v>
      </c>
      <c r="G974" s="2">
        <v>1</v>
      </c>
      <c r="H974" s="23">
        <v>0.22</v>
      </c>
      <c r="I974" s="25">
        <v>0.21210000000000001</v>
      </c>
      <c r="J974" s="23">
        <v>0.69</v>
      </c>
      <c r="K974" s="25">
        <v>0.25369999999999998</v>
      </c>
      <c r="L974" s="2">
        <v>22</v>
      </c>
      <c r="M974" s="2">
        <v>98</v>
      </c>
      <c r="N974" s="2">
        <v>120</v>
      </c>
      <c r="O974" t="s">
        <v>29</v>
      </c>
      <c r="P974" t="s">
        <v>30</v>
      </c>
      <c r="Q974" t="s">
        <v>31</v>
      </c>
      <c r="R974" t="s">
        <v>47</v>
      </c>
      <c r="S974" t="s">
        <v>33</v>
      </c>
      <c r="T974" t="s">
        <v>49</v>
      </c>
      <c r="U974" t="s">
        <v>46</v>
      </c>
      <c r="V974" t="s">
        <v>36</v>
      </c>
      <c r="W974" t="s">
        <v>37</v>
      </c>
      <c r="X974" s="24">
        <v>18.333333333333329</v>
      </c>
      <c r="Y974" s="24">
        <v>81.666666666666671</v>
      </c>
      <c r="Z974" t="s">
        <v>38</v>
      </c>
      <c r="AA974" t="s">
        <v>49</v>
      </c>
      <c r="AB974" t="s">
        <v>40</v>
      </c>
      <c r="AC974" s="24">
        <v>-7.8999999999999904E-3</v>
      </c>
    </row>
    <row r="975" spans="1:29" x14ac:dyDescent="0.3">
      <c r="A975" s="2">
        <v>636</v>
      </c>
      <c r="B975" s="1">
        <v>40572</v>
      </c>
      <c r="C975" s="2">
        <v>1</v>
      </c>
      <c r="D975" s="2">
        <v>18</v>
      </c>
      <c r="E975" t="b">
        <v>0</v>
      </c>
      <c r="F975" s="2">
        <v>6</v>
      </c>
      <c r="G975" s="2">
        <v>1</v>
      </c>
      <c r="H975" s="23">
        <v>0.22</v>
      </c>
      <c r="I975" s="25">
        <v>0.2273</v>
      </c>
      <c r="J975" s="23">
        <v>0.69</v>
      </c>
      <c r="K975" s="25">
        <v>0.1343</v>
      </c>
      <c r="L975" s="2">
        <v>9</v>
      </c>
      <c r="M975" s="2">
        <v>59</v>
      </c>
      <c r="N975" s="2">
        <v>68</v>
      </c>
      <c r="O975" t="s">
        <v>29</v>
      </c>
      <c r="P975" t="s">
        <v>30</v>
      </c>
      <c r="Q975" t="s">
        <v>31</v>
      </c>
      <c r="R975" t="s">
        <v>50</v>
      </c>
      <c r="S975" t="s">
        <v>33</v>
      </c>
      <c r="T975" t="s">
        <v>49</v>
      </c>
      <c r="U975" t="s">
        <v>35</v>
      </c>
      <c r="V975" t="s">
        <v>36</v>
      </c>
      <c r="W975" t="s">
        <v>37</v>
      </c>
      <c r="X975" s="24">
        <v>13.23529411764706</v>
      </c>
      <c r="Y975" s="24">
        <v>86.764705882352942</v>
      </c>
      <c r="Z975" t="s">
        <v>40</v>
      </c>
      <c r="AA975" t="s">
        <v>39</v>
      </c>
      <c r="AB975" t="s">
        <v>40</v>
      </c>
      <c r="AC975" s="24">
        <v>7.3000000000000009E-3</v>
      </c>
    </row>
    <row r="976" spans="1:29" x14ac:dyDescent="0.3">
      <c r="A976" s="2">
        <v>637</v>
      </c>
      <c r="B976" s="1">
        <v>40572</v>
      </c>
      <c r="C976" s="2">
        <v>1</v>
      </c>
      <c r="D976" s="2">
        <v>19</v>
      </c>
      <c r="E976" t="b">
        <v>0</v>
      </c>
      <c r="F976" s="2">
        <v>6</v>
      </c>
      <c r="G976" s="2">
        <v>2</v>
      </c>
      <c r="H976" s="23">
        <v>0.22</v>
      </c>
      <c r="I976" s="25">
        <v>0.21210000000000001</v>
      </c>
      <c r="J976" s="23">
        <v>0.69</v>
      </c>
      <c r="K976" s="25">
        <v>0.25369999999999998</v>
      </c>
      <c r="L976" s="2">
        <v>6</v>
      </c>
      <c r="M976" s="2">
        <v>52</v>
      </c>
      <c r="N976" s="2">
        <v>58</v>
      </c>
      <c r="O976" t="s">
        <v>29</v>
      </c>
      <c r="P976" t="s">
        <v>30</v>
      </c>
      <c r="Q976" t="s">
        <v>41</v>
      </c>
      <c r="R976" t="s">
        <v>50</v>
      </c>
      <c r="S976" t="s">
        <v>33</v>
      </c>
      <c r="T976" t="s">
        <v>49</v>
      </c>
      <c r="U976" t="s">
        <v>46</v>
      </c>
      <c r="V976" t="s">
        <v>36</v>
      </c>
      <c r="W976" t="s">
        <v>37</v>
      </c>
      <c r="X976" s="24">
        <v>10.3448275862069</v>
      </c>
      <c r="Y976" s="24">
        <v>89.65517241379311</v>
      </c>
      <c r="Z976" t="s">
        <v>40</v>
      </c>
      <c r="AA976" t="s">
        <v>39</v>
      </c>
      <c r="AB976" t="s">
        <v>40</v>
      </c>
      <c r="AC976" s="24">
        <v>-7.8999999999999904E-3</v>
      </c>
    </row>
    <row r="977" spans="1:29" x14ac:dyDescent="0.3">
      <c r="A977" s="2">
        <v>671</v>
      </c>
      <c r="B977" s="1">
        <v>40574</v>
      </c>
      <c r="C977" s="2">
        <v>1</v>
      </c>
      <c r="D977" s="2">
        <v>6</v>
      </c>
      <c r="E977" t="b">
        <v>0</v>
      </c>
      <c r="F977" s="2">
        <v>1</v>
      </c>
      <c r="G977" s="2">
        <v>1</v>
      </c>
      <c r="H977" s="23">
        <v>0.16</v>
      </c>
      <c r="I977" s="25">
        <v>0.13639999999999999</v>
      </c>
      <c r="J977" s="23">
        <v>0.69</v>
      </c>
      <c r="K977" s="25">
        <v>0.32840000000000003</v>
      </c>
      <c r="L977" s="2">
        <v>0</v>
      </c>
      <c r="M977" s="2">
        <v>37</v>
      </c>
      <c r="N977" s="2">
        <v>37</v>
      </c>
      <c r="O977" t="s">
        <v>29</v>
      </c>
      <c r="P977" t="s">
        <v>54</v>
      </c>
      <c r="Q977" t="s">
        <v>31</v>
      </c>
      <c r="R977" t="s">
        <v>42</v>
      </c>
      <c r="S977" t="s">
        <v>33</v>
      </c>
      <c r="T977" t="s">
        <v>49</v>
      </c>
      <c r="U977" t="s">
        <v>53</v>
      </c>
      <c r="V977" t="s">
        <v>36</v>
      </c>
      <c r="W977" t="s">
        <v>37</v>
      </c>
      <c r="X977" s="24">
        <v>0</v>
      </c>
      <c r="Y977" s="24">
        <v>100</v>
      </c>
      <c r="Z977" t="s">
        <v>38</v>
      </c>
      <c r="AA977" t="s">
        <v>39</v>
      </c>
      <c r="AB977" t="s">
        <v>38</v>
      </c>
      <c r="AC977" s="24">
        <v>-2.360000000000001E-2</v>
      </c>
    </row>
    <row r="978" spans="1:29" x14ac:dyDescent="0.3">
      <c r="A978" s="2">
        <v>690</v>
      </c>
      <c r="B978" s="1">
        <v>40575</v>
      </c>
      <c r="C978" s="2">
        <v>1</v>
      </c>
      <c r="D978" s="2">
        <v>1</v>
      </c>
      <c r="E978" t="b">
        <v>0</v>
      </c>
      <c r="F978" s="2">
        <v>2</v>
      </c>
      <c r="G978" s="2">
        <v>2</v>
      </c>
      <c r="H978" s="23">
        <v>0.16</v>
      </c>
      <c r="I978" s="25">
        <v>0.18179999999999999</v>
      </c>
      <c r="J978" s="23">
        <v>0.69</v>
      </c>
      <c r="K978" s="25">
        <v>0.1045</v>
      </c>
      <c r="L978" s="2">
        <v>0</v>
      </c>
      <c r="M978" s="2">
        <v>3</v>
      </c>
      <c r="N978" s="2">
        <v>3</v>
      </c>
      <c r="O978" t="s">
        <v>29</v>
      </c>
      <c r="P978" t="s">
        <v>56</v>
      </c>
      <c r="Q978" t="s">
        <v>41</v>
      </c>
      <c r="R978" t="s">
        <v>32</v>
      </c>
      <c r="S978" t="s">
        <v>33</v>
      </c>
      <c r="T978" t="s">
        <v>49</v>
      </c>
      <c r="U978" t="s">
        <v>35</v>
      </c>
      <c r="V978" t="s">
        <v>36</v>
      </c>
      <c r="W978" t="s">
        <v>37</v>
      </c>
      <c r="X978" s="24">
        <v>0</v>
      </c>
      <c r="Y978" s="24">
        <v>100</v>
      </c>
      <c r="Z978" t="s">
        <v>38</v>
      </c>
      <c r="AA978" t="s">
        <v>39</v>
      </c>
      <c r="AB978" t="s">
        <v>38</v>
      </c>
      <c r="AC978" s="24">
        <v>2.179999999999999E-2</v>
      </c>
    </row>
    <row r="979" spans="1:29" x14ac:dyDescent="0.3">
      <c r="A979" s="2">
        <v>691</v>
      </c>
      <c r="B979" s="1">
        <v>40575</v>
      </c>
      <c r="C979" s="2">
        <v>1</v>
      </c>
      <c r="D979" s="2">
        <v>2</v>
      </c>
      <c r="E979" t="b">
        <v>0</v>
      </c>
      <c r="F979" s="2">
        <v>2</v>
      </c>
      <c r="G979" s="2">
        <v>2</v>
      </c>
      <c r="H979" s="23">
        <v>0.16</v>
      </c>
      <c r="I979" s="25">
        <v>0.2273</v>
      </c>
      <c r="J979" s="23">
        <v>0.69</v>
      </c>
      <c r="K979" s="25">
        <v>0</v>
      </c>
      <c r="L979" s="2">
        <v>0</v>
      </c>
      <c r="M979" s="2">
        <v>2</v>
      </c>
      <c r="N979" s="2">
        <v>2</v>
      </c>
      <c r="O979" t="s">
        <v>29</v>
      </c>
      <c r="P979" t="s">
        <v>56</v>
      </c>
      <c r="Q979" t="s">
        <v>41</v>
      </c>
      <c r="R979" t="s">
        <v>32</v>
      </c>
      <c r="S979" t="s">
        <v>33</v>
      </c>
      <c r="T979" t="s">
        <v>49</v>
      </c>
      <c r="U979" t="s">
        <v>35</v>
      </c>
      <c r="V979" t="s">
        <v>36</v>
      </c>
      <c r="W979" t="s">
        <v>37</v>
      </c>
      <c r="X979" s="24">
        <v>0</v>
      </c>
      <c r="Y979" s="24">
        <v>100</v>
      </c>
      <c r="Z979" t="s">
        <v>38</v>
      </c>
      <c r="AA979" t="s">
        <v>39</v>
      </c>
      <c r="AB979" t="s">
        <v>38</v>
      </c>
      <c r="AC979" s="24">
        <v>6.7299999999999999E-2</v>
      </c>
    </row>
    <row r="980" spans="1:29" x14ac:dyDescent="0.3">
      <c r="A980" s="2">
        <v>692</v>
      </c>
      <c r="B980" s="1">
        <v>40575</v>
      </c>
      <c r="C980" s="2">
        <v>1</v>
      </c>
      <c r="D980" s="2">
        <v>3</v>
      </c>
      <c r="E980" t="b">
        <v>0</v>
      </c>
      <c r="F980" s="2">
        <v>2</v>
      </c>
      <c r="G980" s="2">
        <v>2</v>
      </c>
      <c r="H980" s="23">
        <v>0.16</v>
      </c>
      <c r="I980" s="25">
        <v>0.2273</v>
      </c>
      <c r="J980" s="23">
        <v>0.69</v>
      </c>
      <c r="K980" s="25">
        <v>0</v>
      </c>
      <c r="L980" s="2">
        <v>0</v>
      </c>
      <c r="M980" s="2">
        <v>2</v>
      </c>
      <c r="N980" s="2">
        <v>2</v>
      </c>
      <c r="O980" t="s">
        <v>29</v>
      </c>
      <c r="P980" t="s">
        <v>56</v>
      </c>
      <c r="Q980" t="s">
        <v>41</v>
      </c>
      <c r="R980" t="s">
        <v>32</v>
      </c>
      <c r="S980" t="s">
        <v>33</v>
      </c>
      <c r="T980" t="s">
        <v>49</v>
      </c>
      <c r="U980" t="s">
        <v>35</v>
      </c>
      <c r="V980" t="s">
        <v>36</v>
      </c>
      <c r="W980" t="s">
        <v>37</v>
      </c>
      <c r="X980" s="24">
        <v>0</v>
      </c>
      <c r="Y980" s="24">
        <v>100</v>
      </c>
      <c r="Z980" t="s">
        <v>38</v>
      </c>
      <c r="AA980" t="s">
        <v>39</v>
      </c>
      <c r="AB980" t="s">
        <v>38</v>
      </c>
      <c r="AC980" s="24">
        <v>6.7299999999999999E-2</v>
      </c>
    </row>
    <row r="981" spans="1:29" x14ac:dyDescent="0.3">
      <c r="A981" s="2">
        <v>980</v>
      </c>
      <c r="B981" s="1">
        <v>40587</v>
      </c>
      <c r="C981" s="2">
        <v>1</v>
      </c>
      <c r="D981" s="2">
        <v>11</v>
      </c>
      <c r="E981" t="b">
        <v>0</v>
      </c>
      <c r="F981" s="2">
        <v>0</v>
      </c>
      <c r="G981" s="2">
        <v>1</v>
      </c>
      <c r="H981" s="23">
        <v>0.32</v>
      </c>
      <c r="I981" s="25">
        <v>0.28789999999999999</v>
      </c>
      <c r="J981" s="23">
        <v>0.39</v>
      </c>
      <c r="K981" s="25">
        <v>0.44779999999999998</v>
      </c>
      <c r="L981" s="2">
        <v>26</v>
      </c>
      <c r="M981" s="2">
        <v>86</v>
      </c>
      <c r="N981" s="2">
        <v>112</v>
      </c>
      <c r="O981" t="s">
        <v>29</v>
      </c>
      <c r="P981" t="s">
        <v>52</v>
      </c>
      <c r="Q981" t="s">
        <v>31</v>
      </c>
      <c r="R981" t="s">
        <v>42</v>
      </c>
      <c r="S981" t="s">
        <v>44</v>
      </c>
      <c r="T981" t="s">
        <v>39</v>
      </c>
      <c r="U981" t="s">
        <v>53</v>
      </c>
      <c r="V981" t="s">
        <v>36</v>
      </c>
      <c r="W981" t="s">
        <v>37</v>
      </c>
      <c r="X981" s="24">
        <v>23.214285714285719</v>
      </c>
      <c r="Y981" s="24">
        <v>76.785714285714292</v>
      </c>
      <c r="Z981" t="s">
        <v>38</v>
      </c>
      <c r="AA981" t="s">
        <v>49</v>
      </c>
      <c r="AB981" t="s">
        <v>40</v>
      </c>
      <c r="AC981" s="24">
        <v>-3.2100000000000017E-2</v>
      </c>
    </row>
    <row r="982" spans="1:29" x14ac:dyDescent="0.3">
      <c r="A982" s="2">
        <v>981</v>
      </c>
      <c r="B982" s="1">
        <v>40587</v>
      </c>
      <c r="C982" s="2">
        <v>1</v>
      </c>
      <c r="D982" s="2">
        <v>12</v>
      </c>
      <c r="E982" t="b">
        <v>0</v>
      </c>
      <c r="F982" s="2">
        <v>0</v>
      </c>
      <c r="G982" s="2">
        <v>1</v>
      </c>
      <c r="H982" s="23">
        <v>0.36</v>
      </c>
      <c r="I982" s="25">
        <v>0.31819999999999998</v>
      </c>
      <c r="J982" s="23">
        <v>0.32</v>
      </c>
      <c r="K982" s="25">
        <v>0.4627</v>
      </c>
      <c r="L982" s="2">
        <v>58</v>
      </c>
      <c r="M982" s="2">
        <v>94</v>
      </c>
      <c r="N982" s="2">
        <v>152</v>
      </c>
      <c r="O982" t="s">
        <v>29</v>
      </c>
      <c r="P982" t="s">
        <v>52</v>
      </c>
      <c r="Q982" t="s">
        <v>31</v>
      </c>
      <c r="R982" t="s">
        <v>47</v>
      </c>
      <c r="S982" t="s">
        <v>45</v>
      </c>
      <c r="T982" t="s">
        <v>39</v>
      </c>
      <c r="U982" t="s">
        <v>53</v>
      </c>
      <c r="V982" t="s">
        <v>36</v>
      </c>
      <c r="W982" t="s">
        <v>37</v>
      </c>
      <c r="X982" s="24">
        <v>38.15789473684211</v>
      </c>
      <c r="Y982" s="24">
        <v>61.842105263157897</v>
      </c>
      <c r="Z982" t="s">
        <v>38</v>
      </c>
      <c r="AA982" t="s">
        <v>49</v>
      </c>
      <c r="AB982" t="s">
        <v>40</v>
      </c>
      <c r="AC982" s="24">
        <v>-4.1799999999999997E-2</v>
      </c>
    </row>
    <row r="983" spans="1:29" x14ac:dyDescent="0.3">
      <c r="A983" s="2">
        <v>982</v>
      </c>
      <c r="B983" s="1">
        <v>40587</v>
      </c>
      <c r="C983" s="2">
        <v>1</v>
      </c>
      <c r="D983" s="2">
        <v>13</v>
      </c>
      <c r="E983" t="b">
        <v>0</v>
      </c>
      <c r="F983" s="2">
        <v>0</v>
      </c>
      <c r="G983" s="2">
        <v>1</v>
      </c>
      <c r="H983" s="23">
        <v>0.38</v>
      </c>
      <c r="I983" s="25">
        <v>0.39389999999999997</v>
      </c>
      <c r="J983" s="23">
        <v>0.28999999999999998</v>
      </c>
      <c r="K983" s="25">
        <v>0.35820000000000002</v>
      </c>
      <c r="L983" s="2">
        <v>62</v>
      </c>
      <c r="M983" s="2">
        <v>92</v>
      </c>
      <c r="N983" s="2">
        <v>154</v>
      </c>
      <c r="O983" t="s">
        <v>29</v>
      </c>
      <c r="P983" t="s">
        <v>52</v>
      </c>
      <c r="Q983" t="s">
        <v>31</v>
      </c>
      <c r="R983" t="s">
        <v>47</v>
      </c>
      <c r="S983" t="s">
        <v>45</v>
      </c>
      <c r="T983" t="s">
        <v>39</v>
      </c>
      <c r="U983" t="s">
        <v>53</v>
      </c>
      <c r="V983" t="s">
        <v>36</v>
      </c>
      <c r="W983" t="s">
        <v>37</v>
      </c>
      <c r="X983" s="24">
        <v>40.259740259740262</v>
      </c>
      <c r="Y983" s="24">
        <v>59.740259740259738</v>
      </c>
      <c r="Z983" t="s">
        <v>38</v>
      </c>
      <c r="AA983" t="s">
        <v>49</v>
      </c>
      <c r="AB983" t="s">
        <v>40</v>
      </c>
      <c r="AC983" s="24">
        <v>1.389999999999997E-2</v>
      </c>
    </row>
    <row r="984" spans="1:29" x14ac:dyDescent="0.3">
      <c r="A984" s="2">
        <v>983</v>
      </c>
      <c r="B984" s="1">
        <v>40587</v>
      </c>
      <c r="C984" s="2">
        <v>1</v>
      </c>
      <c r="D984" s="2">
        <v>14</v>
      </c>
      <c r="E984" t="b">
        <v>0</v>
      </c>
      <c r="F984" s="2">
        <v>0</v>
      </c>
      <c r="G984" s="2">
        <v>2</v>
      </c>
      <c r="H984" s="23">
        <v>0.4</v>
      </c>
      <c r="I984" s="25">
        <v>0.40910000000000002</v>
      </c>
      <c r="J984" s="23">
        <v>0.3</v>
      </c>
      <c r="K984" s="25">
        <v>0.41789999999999999</v>
      </c>
      <c r="L984" s="2">
        <v>51</v>
      </c>
      <c r="M984" s="2">
        <v>110</v>
      </c>
      <c r="N984" s="2">
        <v>161</v>
      </c>
      <c r="O984" t="s">
        <v>29</v>
      </c>
      <c r="P984" t="s">
        <v>52</v>
      </c>
      <c r="Q984" t="s">
        <v>41</v>
      </c>
      <c r="R984" t="s">
        <v>47</v>
      </c>
      <c r="S984" t="s">
        <v>45</v>
      </c>
      <c r="T984" t="s">
        <v>39</v>
      </c>
      <c r="U984" t="s">
        <v>53</v>
      </c>
      <c r="V984" t="s">
        <v>36</v>
      </c>
      <c r="W984" t="s">
        <v>37</v>
      </c>
      <c r="X984" s="24">
        <v>31.677018633540371</v>
      </c>
      <c r="Y984" s="24">
        <v>68.322981366459629</v>
      </c>
      <c r="Z984" t="s">
        <v>38</v>
      </c>
      <c r="AA984" t="s">
        <v>49</v>
      </c>
      <c r="AB984" t="s">
        <v>40</v>
      </c>
      <c r="AC984" s="24">
        <v>9.099999999999997E-3</v>
      </c>
    </row>
    <row r="985" spans="1:29" x14ac:dyDescent="0.3">
      <c r="A985" s="2">
        <v>984</v>
      </c>
      <c r="B985" s="1">
        <v>40587</v>
      </c>
      <c r="C985" s="2">
        <v>1</v>
      </c>
      <c r="D985" s="2">
        <v>15</v>
      </c>
      <c r="E985" t="b">
        <v>0</v>
      </c>
      <c r="F985" s="2">
        <v>0</v>
      </c>
      <c r="G985" s="2">
        <v>2</v>
      </c>
      <c r="H985" s="23">
        <v>0.4</v>
      </c>
      <c r="I985" s="25">
        <v>0.40910000000000002</v>
      </c>
      <c r="J985" s="23">
        <v>0.3</v>
      </c>
      <c r="K985" s="25">
        <v>0.29849999999999999</v>
      </c>
      <c r="L985" s="2">
        <v>40</v>
      </c>
      <c r="M985" s="2">
        <v>122</v>
      </c>
      <c r="N985" s="2">
        <v>162</v>
      </c>
      <c r="O985" t="s">
        <v>29</v>
      </c>
      <c r="P985" t="s">
        <v>52</v>
      </c>
      <c r="Q985" t="s">
        <v>41</v>
      </c>
      <c r="R985" t="s">
        <v>47</v>
      </c>
      <c r="S985" t="s">
        <v>45</v>
      </c>
      <c r="T985" t="s">
        <v>39</v>
      </c>
      <c r="U985" t="s">
        <v>46</v>
      </c>
      <c r="V985" t="s">
        <v>36</v>
      </c>
      <c r="W985" t="s">
        <v>37</v>
      </c>
      <c r="X985" s="24">
        <v>24.691358024691361</v>
      </c>
      <c r="Y985" s="24">
        <v>75.308641975308646</v>
      </c>
      <c r="Z985" t="s">
        <v>38</v>
      </c>
      <c r="AA985" t="s">
        <v>49</v>
      </c>
      <c r="AB985" t="s">
        <v>40</v>
      </c>
      <c r="AC985" s="24">
        <v>9.099999999999997E-3</v>
      </c>
    </row>
    <row r="986" spans="1:29" x14ac:dyDescent="0.3">
      <c r="A986" s="2">
        <v>985</v>
      </c>
      <c r="B986" s="1">
        <v>40587</v>
      </c>
      <c r="C986" s="2">
        <v>1</v>
      </c>
      <c r="D986" s="2">
        <v>16</v>
      </c>
      <c r="E986" t="b">
        <v>0</v>
      </c>
      <c r="F986" s="2">
        <v>0</v>
      </c>
      <c r="G986" s="2">
        <v>2</v>
      </c>
      <c r="H986" s="23">
        <v>0.42</v>
      </c>
      <c r="I986" s="25">
        <v>0.42420000000000002</v>
      </c>
      <c r="J986" s="23">
        <v>0.28000000000000003</v>
      </c>
      <c r="K986" s="25">
        <v>0.32840000000000003</v>
      </c>
      <c r="L986" s="2">
        <v>28</v>
      </c>
      <c r="M986" s="2">
        <v>106</v>
      </c>
      <c r="N986" s="2">
        <v>134</v>
      </c>
      <c r="O986" t="s">
        <v>29</v>
      </c>
      <c r="P986" t="s">
        <v>52</v>
      </c>
      <c r="Q986" t="s">
        <v>41</v>
      </c>
      <c r="R986" t="s">
        <v>47</v>
      </c>
      <c r="S986" t="s">
        <v>45</v>
      </c>
      <c r="T986" t="s">
        <v>39</v>
      </c>
      <c r="U986" t="s">
        <v>53</v>
      </c>
      <c r="V986" t="s">
        <v>36</v>
      </c>
      <c r="W986" t="s">
        <v>37</v>
      </c>
      <c r="X986" s="24">
        <v>20.8955223880597</v>
      </c>
      <c r="Y986" s="24">
        <v>79.104477611940297</v>
      </c>
      <c r="Z986" t="s">
        <v>38</v>
      </c>
      <c r="AA986" t="s">
        <v>49</v>
      </c>
      <c r="AB986" t="s">
        <v>40</v>
      </c>
      <c r="AC986" s="24">
        <v>4.200000000000037E-3</v>
      </c>
    </row>
    <row r="987" spans="1:29" x14ac:dyDescent="0.3">
      <c r="A987" s="2">
        <v>986</v>
      </c>
      <c r="B987" s="1">
        <v>40587</v>
      </c>
      <c r="C987" s="2">
        <v>1</v>
      </c>
      <c r="D987" s="2">
        <v>17</v>
      </c>
      <c r="E987" t="b">
        <v>0</v>
      </c>
      <c r="F987" s="2">
        <v>0</v>
      </c>
      <c r="G987" s="2">
        <v>1</v>
      </c>
      <c r="H987" s="23">
        <v>0.42</v>
      </c>
      <c r="I987" s="25">
        <v>0.42420000000000002</v>
      </c>
      <c r="J987" s="23">
        <v>0.28000000000000003</v>
      </c>
      <c r="K987" s="25">
        <v>0.32840000000000003</v>
      </c>
      <c r="L987" s="2">
        <v>30</v>
      </c>
      <c r="M987" s="2">
        <v>95</v>
      </c>
      <c r="N987" s="2">
        <v>125</v>
      </c>
      <c r="O987" t="s">
        <v>29</v>
      </c>
      <c r="P987" t="s">
        <v>52</v>
      </c>
      <c r="Q987" t="s">
        <v>31</v>
      </c>
      <c r="R987" t="s">
        <v>50</v>
      </c>
      <c r="S987" t="s">
        <v>45</v>
      </c>
      <c r="T987" t="s">
        <v>39</v>
      </c>
      <c r="U987" t="s">
        <v>53</v>
      </c>
      <c r="V987" t="s">
        <v>36</v>
      </c>
      <c r="W987" t="s">
        <v>37</v>
      </c>
      <c r="X987" s="24">
        <v>24</v>
      </c>
      <c r="Y987" s="24">
        <v>76</v>
      </c>
      <c r="Z987" t="s">
        <v>40</v>
      </c>
      <c r="AA987" t="s">
        <v>49</v>
      </c>
      <c r="AB987" t="s">
        <v>40</v>
      </c>
      <c r="AC987" s="24">
        <v>4.200000000000037E-3</v>
      </c>
    </row>
    <row r="988" spans="1:29" x14ac:dyDescent="0.3">
      <c r="A988" s="2">
        <v>987</v>
      </c>
      <c r="B988" s="1">
        <v>40587</v>
      </c>
      <c r="C988" s="2">
        <v>1</v>
      </c>
      <c r="D988" s="2">
        <v>18</v>
      </c>
      <c r="E988" t="b">
        <v>0</v>
      </c>
      <c r="F988" s="2">
        <v>0</v>
      </c>
      <c r="G988" s="2">
        <v>1</v>
      </c>
      <c r="H988" s="23">
        <v>0.4</v>
      </c>
      <c r="I988" s="25">
        <v>0.40910000000000002</v>
      </c>
      <c r="J988" s="23">
        <v>0.32</v>
      </c>
      <c r="K988" s="25">
        <v>0.29849999999999999</v>
      </c>
      <c r="L988" s="2">
        <v>17</v>
      </c>
      <c r="M988" s="2">
        <v>78</v>
      </c>
      <c r="N988" s="2">
        <v>95</v>
      </c>
      <c r="O988" t="s">
        <v>29</v>
      </c>
      <c r="P988" t="s">
        <v>52</v>
      </c>
      <c r="Q988" t="s">
        <v>31</v>
      </c>
      <c r="R988" t="s">
        <v>50</v>
      </c>
      <c r="S988" t="s">
        <v>45</v>
      </c>
      <c r="T988" t="s">
        <v>39</v>
      </c>
      <c r="U988" t="s">
        <v>46</v>
      </c>
      <c r="V988" t="s">
        <v>36</v>
      </c>
      <c r="W988" t="s">
        <v>37</v>
      </c>
      <c r="X988" s="24">
        <v>17.89473684210526</v>
      </c>
      <c r="Y988" s="24">
        <v>82.10526315789474</v>
      </c>
      <c r="Z988" t="s">
        <v>40</v>
      </c>
      <c r="AA988" t="s">
        <v>39</v>
      </c>
      <c r="AB988" t="s">
        <v>40</v>
      </c>
      <c r="AC988" s="24">
        <v>9.099999999999997E-3</v>
      </c>
    </row>
    <row r="989" spans="1:29" x14ac:dyDescent="0.3">
      <c r="A989" s="2">
        <v>988</v>
      </c>
      <c r="B989" s="1">
        <v>40587</v>
      </c>
      <c r="C989" s="2">
        <v>1</v>
      </c>
      <c r="D989" s="2">
        <v>19</v>
      </c>
      <c r="E989" t="b">
        <v>0</v>
      </c>
      <c r="F989" s="2">
        <v>0</v>
      </c>
      <c r="G989" s="2">
        <v>1</v>
      </c>
      <c r="H989" s="23">
        <v>0.4</v>
      </c>
      <c r="I989" s="25">
        <v>0.40910000000000002</v>
      </c>
      <c r="J989" s="23">
        <v>0.35</v>
      </c>
      <c r="K989" s="25">
        <v>0.28360000000000002</v>
      </c>
      <c r="L989" s="2">
        <v>11</v>
      </c>
      <c r="M989" s="2">
        <v>50</v>
      </c>
      <c r="N989" s="2">
        <v>61</v>
      </c>
      <c r="O989" t="s">
        <v>29</v>
      </c>
      <c r="P989" t="s">
        <v>52</v>
      </c>
      <c r="Q989" t="s">
        <v>31</v>
      </c>
      <c r="R989" t="s">
        <v>50</v>
      </c>
      <c r="S989" t="s">
        <v>45</v>
      </c>
      <c r="T989" t="s">
        <v>39</v>
      </c>
      <c r="U989" t="s">
        <v>46</v>
      </c>
      <c r="V989" t="s">
        <v>36</v>
      </c>
      <c r="W989" t="s">
        <v>37</v>
      </c>
      <c r="X989" s="24">
        <v>18.032786885245901</v>
      </c>
      <c r="Y989" s="24">
        <v>81.967213114754102</v>
      </c>
      <c r="Z989" t="s">
        <v>40</v>
      </c>
      <c r="AA989" t="s">
        <v>39</v>
      </c>
      <c r="AB989" t="s">
        <v>40</v>
      </c>
      <c r="AC989" s="24">
        <v>9.099999999999997E-3</v>
      </c>
    </row>
    <row r="990" spans="1:29" x14ac:dyDescent="0.3">
      <c r="A990" s="2">
        <v>989</v>
      </c>
      <c r="B990" s="1">
        <v>40587</v>
      </c>
      <c r="C990" s="2">
        <v>1</v>
      </c>
      <c r="D990" s="2">
        <v>20</v>
      </c>
      <c r="E990" t="b">
        <v>0</v>
      </c>
      <c r="F990" s="2">
        <v>0</v>
      </c>
      <c r="G990" s="2">
        <v>1</v>
      </c>
      <c r="H990" s="23">
        <v>0.4</v>
      </c>
      <c r="I990" s="25">
        <v>0.40910000000000002</v>
      </c>
      <c r="J990" s="23">
        <v>0.35</v>
      </c>
      <c r="K990" s="25">
        <v>0.32840000000000003</v>
      </c>
      <c r="L990" s="2">
        <v>15</v>
      </c>
      <c r="M990" s="2">
        <v>32</v>
      </c>
      <c r="N990" s="2">
        <v>47</v>
      </c>
      <c r="O990" t="s">
        <v>29</v>
      </c>
      <c r="P990" t="s">
        <v>52</v>
      </c>
      <c r="Q990" t="s">
        <v>31</v>
      </c>
      <c r="R990" t="s">
        <v>50</v>
      </c>
      <c r="S990" t="s">
        <v>45</v>
      </c>
      <c r="T990" t="s">
        <v>39</v>
      </c>
      <c r="U990" t="s">
        <v>53</v>
      </c>
      <c r="V990" t="s">
        <v>36</v>
      </c>
      <c r="W990" t="s">
        <v>37</v>
      </c>
      <c r="X990" s="24">
        <v>31.914893617021281</v>
      </c>
      <c r="Y990" s="24">
        <v>68.085106382978722</v>
      </c>
      <c r="Z990" t="s">
        <v>38</v>
      </c>
      <c r="AA990" t="s">
        <v>39</v>
      </c>
      <c r="AB990" t="s">
        <v>40</v>
      </c>
      <c r="AC990" s="24">
        <v>9.099999999999997E-3</v>
      </c>
    </row>
    <row r="991" spans="1:29" x14ac:dyDescent="0.3">
      <c r="A991" s="2">
        <v>990</v>
      </c>
      <c r="B991" s="1">
        <v>40587</v>
      </c>
      <c r="C991" s="2">
        <v>1</v>
      </c>
      <c r="D991" s="2">
        <v>21</v>
      </c>
      <c r="E991" t="b">
        <v>0</v>
      </c>
      <c r="F991" s="2">
        <v>0</v>
      </c>
      <c r="G991" s="2">
        <v>1</v>
      </c>
      <c r="H991" s="23">
        <v>0.4</v>
      </c>
      <c r="I991" s="25">
        <v>0.40910000000000002</v>
      </c>
      <c r="J991" s="23">
        <v>0.35</v>
      </c>
      <c r="K991" s="25">
        <v>0.35820000000000002</v>
      </c>
      <c r="L991" s="2">
        <v>6</v>
      </c>
      <c r="M991" s="2">
        <v>45</v>
      </c>
      <c r="N991" s="2">
        <v>51</v>
      </c>
      <c r="O991" t="s">
        <v>29</v>
      </c>
      <c r="P991" t="s">
        <v>52</v>
      </c>
      <c r="Q991" t="s">
        <v>31</v>
      </c>
      <c r="R991" t="s">
        <v>32</v>
      </c>
      <c r="S991" t="s">
        <v>45</v>
      </c>
      <c r="T991" t="s">
        <v>39</v>
      </c>
      <c r="U991" t="s">
        <v>53</v>
      </c>
      <c r="V991" t="s">
        <v>36</v>
      </c>
      <c r="W991" t="s">
        <v>37</v>
      </c>
      <c r="X991" s="24">
        <v>11.76470588235294</v>
      </c>
      <c r="Y991" s="24">
        <v>88.235294117647058</v>
      </c>
      <c r="Z991" t="s">
        <v>38</v>
      </c>
      <c r="AA991" t="s">
        <v>39</v>
      </c>
      <c r="AB991" t="s">
        <v>40</v>
      </c>
      <c r="AC991" s="24">
        <v>9.099999999999997E-3</v>
      </c>
    </row>
    <row r="992" spans="1:29" x14ac:dyDescent="0.3">
      <c r="A992" s="2">
        <v>991</v>
      </c>
      <c r="B992" s="1">
        <v>40587</v>
      </c>
      <c r="C992" s="2">
        <v>1</v>
      </c>
      <c r="D992" s="2">
        <v>22</v>
      </c>
      <c r="E992" t="b">
        <v>0</v>
      </c>
      <c r="F992" s="2">
        <v>0</v>
      </c>
      <c r="G992" s="2">
        <v>1</v>
      </c>
      <c r="H992" s="23">
        <v>0.4</v>
      </c>
      <c r="I992" s="25">
        <v>0.40910000000000002</v>
      </c>
      <c r="J992" s="23">
        <v>0.35</v>
      </c>
      <c r="K992" s="25">
        <v>0.29849999999999999</v>
      </c>
      <c r="L992" s="2">
        <v>5</v>
      </c>
      <c r="M992" s="2">
        <v>31</v>
      </c>
      <c r="N992" s="2">
        <v>36</v>
      </c>
      <c r="O992" t="s">
        <v>29</v>
      </c>
      <c r="P992" t="s">
        <v>52</v>
      </c>
      <c r="Q992" t="s">
        <v>31</v>
      </c>
      <c r="R992" t="s">
        <v>32</v>
      </c>
      <c r="S992" t="s">
        <v>45</v>
      </c>
      <c r="T992" t="s">
        <v>39</v>
      </c>
      <c r="U992" t="s">
        <v>46</v>
      </c>
      <c r="V992" t="s">
        <v>36</v>
      </c>
      <c r="W992" t="s">
        <v>37</v>
      </c>
      <c r="X992" s="24">
        <v>13.888888888888889</v>
      </c>
      <c r="Y992" s="24">
        <v>86.111111111111114</v>
      </c>
      <c r="Z992" t="s">
        <v>38</v>
      </c>
      <c r="AA992" t="s">
        <v>39</v>
      </c>
      <c r="AB992" t="s">
        <v>40</v>
      </c>
      <c r="AC992" s="24">
        <v>9.099999999999997E-3</v>
      </c>
    </row>
    <row r="993" spans="1:29" x14ac:dyDescent="0.3">
      <c r="A993" s="2">
        <v>992</v>
      </c>
      <c r="B993" s="1">
        <v>40587</v>
      </c>
      <c r="C993" s="2">
        <v>1</v>
      </c>
      <c r="D993" s="2">
        <v>23</v>
      </c>
      <c r="E993" t="b">
        <v>0</v>
      </c>
      <c r="F993" s="2">
        <v>0</v>
      </c>
      <c r="G993" s="2">
        <v>1</v>
      </c>
      <c r="H993" s="23">
        <v>0.4</v>
      </c>
      <c r="I993" s="25">
        <v>0.40910000000000002</v>
      </c>
      <c r="J993" s="23">
        <v>0.35</v>
      </c>
      <c r="K993" s="25">
        <v>0.35820000000000002</v>
      </c>
      <c r="L993" s="2">
        <v>3</v>
      </c>
      <c r="M993" s="2">
        <v>27</v>
      </c>
      <c r="N993" s="2">
        <v>30</v>
      </c>
      <c r="O993" t="s">
        <v>29</v>
      </c>
      <c r="P993" t="s">
        <v>52</v>
      </c>
      <c r="Q993" t="s">
        <v>31</v>
      </c>
      <c r="R993" t="s">
        <v>32</v>
      </c>
      <c r="S993" t="s">
        <v>45</v>
      </c>
      <c r="T993" t="s">
        <v>39</v>
      </c>
      <c r="U993" t="s">
        <v>53</v>
      </c>
      <c r="V993" t="s">
        <v>36</v>
      </c>
      <c r="W993" t="s">
        <v>37</v>
      </c>
      <c r="X993" s="24">
        <v>10</v>
      </c>
      <c r="Y993" s="24">
        <v>90</v>
      </c>
      <c r="Z993" t="s">
        <v>38</v>
      </c>
      <c r="AA993" t="s">
        <v>39</v>
      </c>
      <c r="AB993" t="s">
        <v>40</v>
      </c>
      <c r="AC993" s="24">
        <v>9.099999999999997E-3</v>
      </c>
    </row>
    <row r="994" spans="1:29" x14ac:dyDescent="0.3">
      <c r="A994" s="2">
        <v>993</v>
      </c>
      <c r="B994" s="1">
        <v>40588</v>
      </c>
      <c r="C994" s="2">
        <v>1</v>
      </c>
      <c r="D994" s="2">
        <v>0</v>
      </c>
      <c r="E994" t="b">
        <v>0</v>
      </c>
      <c r="F994" s="2">
        <v>1</v>
      </c>
      <c r="G994" s="2">
        <v>1</v>
      </c>
      <c r="H994" s="23">
        <v>0.38</v>
      </c>
      <c r="I994" s="25">
        <v>0.39389999999999997</v>
      </c>
      <c r="J994" s="23">
        <v>0.37</v>
      </c>
      <c r="K994" s="25">
        <v>0.35820000000000002</v>
      </c>
      <c r="L994" s="2">
        <v>3</v>
      </c>
      <c r="M994" s="2">
        <v>8</v>
      </c>
      <c r="N994" s="2">
        <v>11</v>
      </c>
      <c r="O994" t="s">
        <v>29</v>
      </c>
      <c r="P994" t="s">
        <v>54</v>
      </c>
      <c r="Q994" t="s">
        <v>31</v>
      </c>
      <c r="R994" t="s">
        <v>32</v>
      </c>
      <c r="S994" t="s">
        <v>45</v>
      </c>
      <c r="T994" t="s">
        <v>39</v>
      </c>
      <c r="U994" t="s">
        <v>53</v>
      </c>
      <c r="V994" t="s">
        <v>36</v>
      </c>
      <c r="W994" t="s">
        <v>37</v>
      </c>
      <c r="X994" s="24">
        <v>27.27272727272727</v>
      </c>
      <c r="Y994" s="24">
        <v>72.727272727272734</v>
      </c>
      <c r="Z994" t="s">
        <v>38</v>
      </c>
      <c r="AA994" t="s">
        <v>39</v>
      </c>
      <c r="AB994" t="s">
        <v>38</v>
      </c>
      <c r="AC994" s="24">
        <v>1.389999999999997E-2</v>
      </c>
    </row>
    <row r="995" spans="1:29" x14ac:dyDescent="0.3">
      <c r="A995" s="2">
        <v>994</v>
      </c>
      <c r="B995" s="1">
        <v>40588</v>
      </c>
      <c r="C995" s="2">
        <v>1</v>
      </c>
      <c r="D995" s="2">
        <v>1</v>
      </c>
      <c r="E995" t="b">
        <v>0</v>
      </c>
      <c r="F995" s="2">
        <v>1</v>
      </c>
      <c r="G995" s="2">
        <v>1</v>
      </c>
      <c r="H995" s="23">
        <v>0.38</v>
      </c>
      <c r="I995" s="25">
        <v>0.39389999999999997</v>
      </c>
      <c r="J995" s="23">
        <v>0.37</v>
      </c>
      <c r="K995" s="25">
        <v>0.35820000000000002</v>
      </c>
      <c r="L995" s="2">
        <v>1</v>
      </c>
      <c r="M995" s="2">
        <v>6</v>
      </c>
      <c r="N995" s="2">
        <v>7</v>
      </c>
      <c r="O995" t="s">
        <v>29</v>
      </c>
      <c r="P995" t="s">
        <v>54</v>
      </c>
      <c r="Q995" t="s">
        <v>31</v>
      </c>
      <c r="R995" t="s">
        <v>32</v>
      </c>
      <c r="S995" t="s">
        <v>45</v>
      </c>
      <c r="T995" t="s">
        <v>39</v>
      </c>
      <c r="U995" t="s">
        <v>53</v>
      </c>
      <c r="V995" t="s">
        <v>36</v>
      </c>
      <c r="W995" t="s">
        <v>37</v>
      </c>
      <c r="X995" s="24">
        <v>14.285714285714279</v>
      </c>
      <c r="Y995" s="24">
        <v>85.714285714285708</v>
      </c>
      <c r="Z995" t="s">
        <v>38</v>
      </c>
      <c r="AA995" t="s">
        <v>39</v>
      </c>
      <c r="AB995" t="s">
        <v>38</v>
      </c>
      <c r="AC995" s="24">
        <v>1.389999999999997E-2</v>
      </c>
    </row>
    <row r="996" spans="1:29" x14ac:dyDescent="0.3">
      <c r="A996" s="2">
        <v>932</v>
      </c>
      <c r="B996" s="1">
        <v>40585</v>
      </c>
      <c r="C996" s="2">
        <v>1</v>
      </c>
      <c r="D996" s="2">
        <v>10</v>
      </c>
      <c r="E996" t="b">
        <v>0</v>
      </c>
      <c r="F996" s="2">
        <v>5</v>
      </c>
      <c r="G996" s="2">
        <v>1</v>
      </c>
      <c r="H996" s="23">
        <v>0.14000000000000001</v>
      </c>
      <c r="I996" s="25">
        <v>0.13639999999999999</v>
      </c>
      <c r="J996" s="23">
        <v>0.69</v>
      </c>
      <c r="K996" s="25">
        <v>0.19400000000000001</v>
      </c>
      <c r="L996" s="2">
        <v>5</v>
      </c>
      <c r="M996" s="2">
        <v>39</v>
      </c>
      <c r="N996" s="2">
        <v>44</v>
      </c>
      <c r="O996" t="s">
        <v>29</v>
      </c>
      <c r="P996" t="s">
        <v>59</v>
      </c>
      <c r="Q996" t="s">
        <v>31</v>
      </c>
      <c r="R996" t="s">
        <v>42</v>
      </c>
      <c r="S996" t="s">
        <v>55</v>
      </c>
      <c r="T996" t="s">
        <v>49</v>
      </c>
      <c r="U996" t="s">
        <v>46</v>
      </c>
      <c r="V996" t="s">
        <v>36</v>
      </c>
      <c r="W996" t="s">
        <v>37</v>
      </c>
      <c r="X996" s="24">
        <v>11.36363636363636</v>
      </c>
      <c r="Y996" s="24">
        <v>88.63636363636364</v>
      </c>
      <c r="Z996" t="s">
        <v>38</v>
      </c>
      <c r="AA996" t="s">
        <v>39</v>
      </c>
      <c r="AB996" t="s">
        <v>38</v>
      </c>
      <c r="AC996" s="24">
        <v>-3.6000000000000199E-3</v>
      </c>
    </row>
    <row r="997" spans="1:29" x14ac:dyDescent="0.3">
      <c r="A997" s="2">
        <v>945</v>
      </c>
      <c r="B997" s="1">
        <v>40585</v>
      </c>
      <c r="C997" s="2">
        <v>1</v>
      </c>
      <c r="D997" s="2">
        <v>23</v>
      </c>
      <c r="E997" t="b">
        <v>0</v>
      </c>
      <c r="F997" s="2">
        <v>5</v>
      </c>
      <c r="G997" s="2">
        <v>1</v>
      </c>
      <c r="H997" s="23">
        <v>0.18</v>
      </c>
      <c r="I997" s="25">
        <v>0.2424</v>
      </c>
      <c r="J997" s="23">
        <v>0.69</v>
      </c>
      <c r="K997" s="25">
        <v>0</v>
      </c>
      <c r="L997" s="2">
        <v>5</v>
      </c>
      <c r="M997" s="2">
        <v>48</v>
      </c>
      <c r="N997" s="2">
        <v>53</v>
      </c>
      <c r="O997" t="s">
        <v>29</v>
      </c>
      <c r="P997" t="s">
        <v>59</v>
      </c>
      <c r="Q997" t="s">
        <v>31</v>
      </c>
      <c r="R997" t="s">
        <v>32</v>
      </c>
      <c r="S997" t="s">
        <v>33</v>
      </c>
      <c r="T997" t="s">
        <v>49</v>
      </c>
      <c r="U997" t="s">
        <v>35</v>
      </c>
      <c r="V997" t="s">
        <v>36</v>
      </c>
      <c r="W997" t="s">
        <v>37</v>
      </c>
      <c r="X997" s="24">
        <v>9.433962264150944</v>
      </c>
      <c r="Y997" s="24">
        <v>90.566037735849065</v>
      </c>
      <c r="Z997" t="s">
        <v>38</v>
      </c>
      <c r="AA997" t="s">
        <v>39</v>
      </c>
      <c r="AB997" t="s">
        <v>38</v>
      </c>
      <c r="AC997" s="24">
        <v>6.2400000000000011E-2</v>
      </c>
    </row>
    <row r="998" spans="1:29" x14ac:dyDescent="0.3">
      <c r="A998" s="2">
        <v>946</v>
      </c>
      <c r="B998" s="1">
        <v>40586</v>
      </c>
      <c r="C998" s="2">
        <v>1</v>
      </c>
      <c r="D998" s="2">
        <v>0</v>
      </c>
      <c r="E998" t="b">
        <v>0</v>
      </c>
      <c r="F998" s="2">
        <v>6</v>
      </c>
      <c r="G998" s="2">
        <v>1</v>
      </c>
      <c r="H998" s="23">
        <v>0.16</v>
      </c>
      <c r="I998" s="25">
        <v>0.19700000000000001</v>
      </c>
      <c r="J998" s="23">
        <v>0.69</v>
      </c>
      <c r="K998" s="25">
        <v>8.9599999999999999E-2</v>
      </c>
      <c r="L998" s="2">
        <v>3</v>
      </c>
      <c r="M998" s="2">
        <v>27</v>
      </c>
      <c r="N998" s="2">
        <v>30</v>
      </c>
      <c r="O998" t="s">
        <v>29</v>
      </c>
      <c r="P998" t="s">
        <v>30</v>
      </c>
      <c r="Q998" t="s">
        <v>31</v>
      </c>
      <c r="R998" t="s">
        <v>32</v>
      </c>
      <c r="S998" t="s">
        <v>33</v>
      </c>
      <c r="T998" t="s">
        <v>49</v>
      </c>
      <c r="U998" t="s">
        <v>35</v>
      </c>
      <c r="V998" t="s">
        <v>36</v>
      </c>
      <c r="W998" t="s">
        <v>37</v>
      </c>
      <c r="X998" s="24">
        <v>10</v>
      </c>
      <c r="Y998" s="24">
        <v>90</v>
      </c>
      <c r="Z998" t="s">
        <v>38</v>
      </c>
      <c r="AA998" t="s">
        <v>39</v>
      </c>
      <c r="AB998" t="s">
        <v>40</v>
      </c>
      <c r="AC998" s="24">
        <v>3.7000000000000012E-2</v>
      </c>
    </row>
    <row r="999" spans="1:29" x14ac:dyDescent="0.3">
      <c r="A999" s="2">
        <v>973</v>
      </c>
      <c r="B999" s="1">
        <v>40587</v>
      </c>
      <c r="C999" s="2">
        <v>1</v>
      </c>
      <c r="D999" s="2">
        <v>3</v>
      </c>
      <c r="E999" t="b">
        <v>0</v>
      </c>
      <c r="F999" s="2">
        <v>0</v>
      </c>
      <c r="G999" s="2">
        <v>2</v>
      </c>
      <c r="H999" s="23">
        <v>0.2</v>
      </c>
      <c r="I999" s="25">
        <v>0.2273</v>
      </c>
      <c r="J999" s="23">
        <v>0.69</v>
      </c>
      <c r="K999" s="25">
        <v>0.1045</v>
      </c>
      <c r="L999" s="2">
        <v>4</v>
      </c>
      <c r="M999" s="2">
        <v>8</v>
      </c>
      <c r="N999" s="2">
        <v>12</v>
      </c>
      <c r="O999" t="s">
        <v>29</v>
      </c>
      <c r="P999" t="s">
        <v>52</v>
      </c>
      <c r="Q999" t="s">
        <v>41</v>
      </c>
      <c r="R999" t="s">
        <v>32</v>
      </c>
      <c r="S999" t="s">
        <v>33</v>
      </c>
      <c r="T999" t="s">
        <v>49</v>
      </c>
      <c r="U999" t="s">
        <v>35</v>
      </c>
      <c r="V999" t="s">
        <v>36</v>
      </c>
      <c r="W999" t="s">
        <v>37</v>
      </c>
      <c r="X999" s="24">
        <v>33.333333333333329</v>
      </c>
      <c r="Y999" s="24">
        <v>66.666666666666657</v>
      </c>
      <c r="Z999" t="s">
        <v>38</v>
      </c>
      <c r="AA999" t="s">
        <v>39</v>
      </c>
      <c r="AB999" t="s">
        <v>40</v>
      </c>
      <c r="AC999" s="24">
        <v>2.7299999999999991E-2</v>
      </c>
    </row>
    <row r="1000" spans="1:29" x14ac:dyDescent="0.3">
      <c r="A1000" s="2">
        <v>974</v>
      </c>
      <c r="B1000" s="1">
        <v>40587</v>
      </c>
      <c r="C1000" s="2">
        <v>1</v>
      </c>
      <c r="D1000" s="2">
        <v>4</v>
      </c>
      <c r="E1000" t="b">
        <v>0</v>
      </c>
      <c r="F1000" s="2">
        <v>0</v>
      </c>
      <c r="G1000" s="2">
        <v>2</v>
      </c>
      <c r="H1000" s="23">
        <v>0.2</v>
      </c>
      <c r="I1000" s="25">
        <v>0.21210000000000001</v>
      </c>
      <c r="J1000" s="23">
        <v>0.69</v>
      </c>
      <c r="K1000" s="25">
        <v>0.16420000000000001</v>
      </c>
      <c r="L1000" s="2">
        <v>0</v>
      </c>
      <c r="M1000" s="2">
        <v>2</v>
      </c>
      <c r="N1000" s="2">
        <v>2</v>
      </c>
      <c r="O1000" t="s">
        <v>29</v>
      </c>
      <c r="P1000" t="s">
        <v>52</v>
      </c>
      <c r="Q1000" t="s">
        <v>41</v>
      </c>
      <c r="R1000" t="s">
        <v>32</v>
      </c>
      <c r="S1000" t="s">
        <v>33</v>
      </c>
      <c r="T1000" t="s">
        <v>49</v>
      </c>
      <c r="U1000" t="s">
        <v>46</v>
      </c>
      <c r="V1000" t="s">
        <v>36</v>
      </c>
      <c r="W1000" t="s">
        <v>37</v>
      </c>
      <c r="X1000" s="24">
        <v>0</v>
      </c>
      <c r="Y1000" s="24">
        <v>100</v>
      </c>
      <c r="Z1000" t="s">
        <v>38</v>
      </c>
      <c r="AA1000" t="s">
        <v>39</v>
      </c>
      <c r="AB1000" t="s">
        <v>40</v>
      </c>
      <c r="AC1000" s="24">
        <v>1.21E-2</v>
      </c>
    </row>
    <row r="1001" spans="1:29" x14ac:dyDescent="0.3">
      <c r="A1001" s="2">
        <v>975</v>
      </c>
      <c r="B1001" s="1">
        <v>40587</v>
      </c>
      <c r="C1001" s="2">
        <v>1</v>
      </c>
      <c r="D1001" s="2">
        <v>6</v>
      </c>
      <c r="E1001" t="b">
        <v>0</v>
      </c>
      <c r="F1001" s="2">
        <v>0</v>
      </c>
      <c r="G1001" s="2">
        <v>2</v>
      </c>
      <c r="H1001" s="23">
        <v>0.2</v>
      </c>
      <c r="I1001" s="25">
        <v>0.21210000000000001</v>
      </c>
      <c r="J1001" s="23">
        <v>0.69</v>
      </c>
      <c r="K1001" s="25">
        <v>0.1343</v>
      </c>
      <c r="L1001" s="2">
        <v>2</v>
      </c>
      <c r="M1001" s="2">
        <v>3</v>
      </c>
      <c r="N1001" s="2">
        <v>5</v>
      </c>
      <c r="O1001" t="s">
        <v>29</v>
      </c>
      <c r="P1001" t="s">
        <v>52</v>
      </c>
      <c r="Q1001" t="s">
        <v>41</v>
      </c>
      <c r="R1001" t="s">
        <v>42</v>
      </c>
      <c r="S1001" t="s">
        <v>33</v>
      </c>
      <c r="T1001" t="s">
        <v>49</v>
      </c>
      <c r="U1001" t="s">
        <v>35</v>
      </c>
      <c r="V1001" t="s">
        <v>36</v>
      </c>
      <c r="W1001" t="s">
        <v>37</v>
      </c>
      <c r="X1001" s="24">
        <v>40</v>
      </c>
      <c r="Y1001" s="24">
        <v>60</v>
      </c>
      <c r="Z1001" t="s">
        <v>38</v>
      </c>
      <c r="AA1001" t="s">
        <v>39</v>
      </c>
      <c r="AB1001" t="s">
        <v>40</v>
      </c>
      <c r="AC1001" s="24">
        <v>1.21E-2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B9CD-EE39-4493-B076-6EC016EB6D69}">
  <dimension ref="A48:N125"/>
  <sheetViews>
    <sheetView topLeftCell="A13" zoomScale="87" zoomScaleNormal="87" workbookViewId="0">
      <selection activeCell="O37" sqref="O37:R37"/>
    </sheetView>
  </sheetViews>
  <sheetFormatPr defaultRowHeight="14.4" x14ac:dyDescent="0.3"/>
  <cols>
    <col min="1" max="1" width="11.77734375" style="3" bestFit="1" customWidth="1"/>
    <col min="2" max="2" width="20.77734375" style="3" bestFit="1" customWidth="1"/>
    <col min="3" max="3" width="20.5546875" style="3" bestFit="1" customWidth="1"/>
    <col min="4" max="4" width="11" style="3" bestFit="1" customWidth="1"/>
    <col min="5" max="5" width="20.77734375" style="3" bestFit="1" customWidth="1"/>
    <col min="6" max="6" width="13.6640625" style="3" bestFit="1" customWidth="1"/>
    <col min="7" max="7" width="15" style="3" bestFit="1" customWidth="1"/>
    <col min="8" max="8" width="20.77734375" style="3" bestFit="1" customWidth="1"/>
    <col min="9" max="9" width="25.77734375" style="3" bestFit="1" customWidth="1"/>
    <col min="10" max="10" width="11.6640625" style="3" bestFit="1" customWidth="1"/>
    <col min="11" max="11" width="20.77734375" style="3" bestFit="1" customWidth="1"/>
    <col min="12" max="12" width="13" style="3" bestFit="1" customWidth="1"/>
    <col min="13" max="13" width="17.21875" style="3" bestFit="1" customWidth="1"/>
    <col min="14" max="14" width="13" style="3" bestFit="1" customWidth="1"/>
    <col min="15" max="16384" width="8.88671875" style="3"/>
  </cols>
  <sheetData>
    <row r="48" ht="15" thickBot="1" x14ac:dyDescent="0.35"/>
    <row r="49" spans="1:14" x14ac:dyDescent="0.3">
      <c r="A49" s="4" t="s">
        <v>7</v>
      </c>
      <c r="B49" s="5"/>
      <c r="C49" s="4" t="s">
        <v>8</v>
      </c>
      <c r="D49" s="5"/>
      <c r="E49" s="4" t="s">
        <v>9</v>
      </c>
      <c r="F49" s="5"/>
      <c r="G49" s="4" t="s">
        <v>10</v>
      </c>
      <c r="H49" s="5"/>
      <c r="I49" s="4" t="s">
        <v>11</v>
      </c>
      <c r="J49" s="5"/>
      <c r="K49" s="4" t="s">
        <v>12</v>
      </c>
      <c r="L49" s="5"/>
      <c r="M49" s="4" t="s">
        <v>13</v>
      </c>
      <c r="N49" s="5"/>
    </row>
    <row r="50" spans="1:14" x14ac:dyDescent="0.3">
      <c r="A50" s="8" t="s">
        <v>77</v>
      </c>
      <c r="B50" s="6">
        <v>0.20589999999999961</v>
      </c>
      <c r="C50" s="8" t="s">
        <v>77</v>
      </c>
      <c r="D50" s="6">
        <v>0.21309600000000048</v>
      </c>
      <c r="E50" s="8" t="s">
        <v>77</v>
      </c>
      <c r="F50" s="6">
        <v>0.58248000000000033</v>
      </c>
      <c r="G50" s="8" t="s">
        <v>77</v>
      </c>
      <c r="H50" s="6">
        <v>0.19493129999999903</v>
      </c>
      <c r="I50" s="8" t="s">
        <v>77</v>
      </c>
      <c r="J50" s="6">
        <v>4.9210000000000003</v>
      </c>
      <c r="K50" s="8" t="s">
        <v>77</v>
      </c>
      <c r="L50" s="6">
        <v>53.383000000000003</v>
      </c>
      <c r="M50" s="8" t="s">
        <v>77</v>
      </c>
      <c r="N50" s="6">
        <v>58.304000000000002</v>
      </c>
    </row>
    <row r="51" spans="1:14" x14ac:dyDescent="0.3">
      <c r="A51" s="8" t="s">
        <v>78</v>
      </c>
      <c r="B51" s="6">
        <v>2.4974842196553806E-3</v>
      </c>
      <c r="C51" s="8" t="s">
        <v>78</v>
      </c>
      <c r="D51" s="6">
        <v>2.4551723351314957E-3</v>
      </c>
      <c r="E51" s="8" t="s">
        <v>78</v>
      </c>
      <c r="F51" s="6">
        <v>5.9443574072378961E-3</v>
      </c>
      <c r="G51" s="8" t="s">
        <v>78</v>
      </c>
      <c r="H51" s="6">
        <v>4.0833247472252168E-3</v>
      </c>
      <c r="I51" s="8" t="s">
        <v>78</v>
      </c>
      <c r="J51" s="6">
        <v>0.24172130271903672</v>
      </c>
      <c r="K51" s="8" t="s">
        <v>78</v>
      </c>
      <c r="L51" s="6">
        <v>1.51454024150669</v>
      </c>
      <c r="M51" s="8" t="s">
        <v>78</v>
      </c>
      <c r="N51" s="6">
        <v>1.612304906371965</v>
      </c>
    </row>
    <row r="52" spans="1:14" x14ac:dyDescent="0.3">
      <c r="A52" s="8" t="s">
        <v>79</v>
      </c>
      <c r="B52" s="6">
        <v>0.2</v>
      </c>
      <c r="C52" s="8" t="s">
        <v>79</v>
      </c>
      <c r="D52" s="6">
        <v>0.21210000000000001</v>
      </c>
      <c r="E52" s="8" t="s">
        <v>79</v>
      </c>
      <c r="F52" s="6">
        <v>0.55000000000000004</v>
      </c>
      <c r="G52" s="8" t="s">
        <v>79</v>
      </c>
      <c r="H52" s="6">
        <v>0.16420000000000001</v>
      </c>
      <c r="I52" s="8" t="s">
        <v>79</v>
      </c>
      <c r="J52" s="6">
        <v>3</v>
      </c>
      <c r="K52" s="8" t="s">
        <v>79</v>
      </c>
      <c r="L52" s="6">
        <v>46</v>
      </c>
      <c r="M52" s="8" t="s">
        <v>79</v>
      </c>
      <c r="N52" s="6">
        <v>49</v>
      </c>
    </row>
    <row r="53" spans="1:14" x14ac:dyDescent="0.3">
      <c r="A53" s="8" t="s">
        <v>80</v>
      </c>
      <c r="B53" s="6">
        <v>0.22</v>
      </c>
      <c r="C53" s="8" t="s">
        <v>80</v>
      </c>
      <c r="D53" s="6">
        <v>0.2273</v>
      </c>
      <c r="E53" s="8" t="s">
        <v>80</v>
      </c>
      <c r="F53" s="6">
        <v>0.93</v>
      </c>
      <c r="G53" s="8" t="s">
        <v>80</v>
      </c>
      <c r="H53" s="6">
        <v>0</v>
      </c>
      <c r="I53" s="8" t="s">
        <v>80</v>
      </c>
      <c r="J53" s="6">
        <v>0</v>
      </c>
      <c r="K53" s="8" t="s">
        <v>80</v>
      </c>
      <c r="L53" s="6">
        <v>1</v>
      </c>
      <c r="M53" s="8" t="s">
        <v>80</v>
      </c>
      <c r="N53" s="6">
        <v>1</v>
      </c>
    </row>
    <row r="54" spans="1:14" x14ac:dyDescent="0.3">
      <c r="A54" s="8" t="s">
        <v>81</v>
      </c>
      <c r="B54" s="6">
        <v>7.8977385544392681E-2</v>
      </c>
      <c r="C54" s="8" t="s">
        <v>81</v>
      </c>
      <c r="D54" s="6">
        <v>7.7639366272497623E-2</v>
      </c>
      <c r="E54" s="8" t="s">
        <v>81</v>
      </c>
      <c r="F54" s="6">
        <v>0.18797708632964827</v>
      </c>
      <c r="G54" s="8" t="s">
        <v>81</v>
      </c>
      <c r="H54" s="6">
        <v>0.12912606627362996</v>
      </c>
      <c r="I54" s="8" t="s">
        <v>81</v>
      </c>
      <c r="J54" s="6">
        <v>7.6438987557520797</v>
      </c>
      <c r="K54" s="8" t="s">
        <v>81</v>
      </c>
      <c r="L54" s="6">
        <v>47.893967711426278</v>
      </c>
      <c r="M54" s="8" t="s">
        <v>81</v>
      </c>
      <c r="N54" s="6">
        <v>50.985557867999354</v>
      </c>
    </row>
    <row r="55" spans="1:14" x14ac:dyDescent="0.3">
      <c r="A55" s="8" t="s">
        <v>82</v>
      </c>
      <c r="B55" s="6">
        <v>6.2374274274276456E-3</v>
      </c>
      <c r="C55" s="8" t="s">
        <v>82</v>
      </c>
      <c r="D55" s="6">
        <v>6.0278711951950413E-3</v>
      </c>
      <c r="E55" s="8" t="s">
        <v>82</v>
      </c>
      <c r="F55" s="6">
        <v>3.5335384984984043E-2</v>
      </c>
      <c r="G55" s="8" t="s">
        <v>82</v>
      </c>
      <c r="H55" s="6">
        <v>1.6673540991301875E-2</v>
      </c>
      <c r="I55" s="8" t="s">
        <v>82</v>
      </c>
      <c r="J55" s="6">
        <v>58.429188188188185</v>
      </c>
      <c r="K55" s="8" t="s">
        <v>82</v>
      </c>
      <c r="L55" s="6">
        <v>2293.8321431431432</v>
      </c>
      <c r="M55" s="8" t="s">
        <v>82</v>
      </c>
      <c r="N55" s="6">
        <v>2599.527111111111</v>
      </c>
    </row>
    <row r="56" spans="1:14" x14ac:dyDescent="0.3">
      <c r="A56" s="8" t="s">
        <v>83</v>
      </c>
      <c r="B56" s="6">
        <v>0.77506113468998628</v>
      </c>
      <c r="C56" s="8" t="s">
        <v>83</v>
      </c>
      <c r="D56" s="6">
        <v>0.67631378266880704</v>
      </c>
      <c r="E56" s="8" t="s">
        <v>83</v>
      </c>
      <c r="F56" s="6">
        <v>-0.72312265429044098</v>
      </c>
      <c r="G56" s="8" t="s">
        <v>83</v>
      </c>
      <c r="H56" s="6">
        <v>-0.2098533612109148</v>
      </c>
      <c r="I56" s="8" t="s">
        <v>83</v>
      </c>
      <c r="J56" s="6">
        <v>15.097739783279556</v>
      </c>
      <c r="K56" s="8" t="s">
        <v>83</v>
      </c>
      <c r="L56" s="6">
        <v>1.6425062532387078</v>
      </c>
      <c r="M56" s="8" t="s">
        <v>83</v>
      </c>
      <c r="N56" s="6">
        <v>1.0266606324511431</v>
      </c>
    </row>
    <row r="57" spans="1:14" x14ac:dyDescent="0.3">
      <c r="A57" s="8" t="s">
        <v>84</v>
      </c>
      <c r="B57" s="6">
        <v>0.54799688242036793</v>
      </c>
      <c r="C57" s="8" t="s">
        <v>84</v>
      </c>
      <c r="D57" s="6">
        <v>0.45531886377203268</v>
      </c>
      <c r="E57" s="8" t="s">
        <v>84</v>
      </c>
      <c r="F57" s="6">
        <v>0.43689346451282174</v>
      </c>
      <c r="G57" s="8" t="s">
        <v>84</v>
      </c>
      <c r="H57" s="6">
        <v>0.43367506246880855</v>
      </c>
      <c r="I57" s="8" t="s">
        <v>84</v>
      </c>
      <c r="J57" s="6">
        <v>3.4141050413066441</v>
      </c>
      <c r="K57" s="8" t="s">
        <v>84</v>
      </c>
      <c r="L57" s="6">
        <v>1.296723304637722</v>
      </c>
      <c r="M57" s="8" t="s">
        <v>84</v>
      </c>
      <c r="N57" s="6">
        <v>1.1377091237001229</v>
      </c>
    </row>
    <row r="58" spans="1:14" x14ac:dyDescent="0.3">
      <c r="A58" s="8" t="s">
        <v>85</v>
      </c>
      <c r="B58" s="6">
        <v>0.44</v>
      </c>
      <c r="C58" s="8" t="s">
        <v>85</v>
      </c>
      <c r="D58" s="6">
        <v>0.45450000000000002</v>
      </c>
      <c r="E58" s="8" t="s">
        <v>85</v>
      </c>
      <c r="F58" s="6">
        <v>0.79</v>
      </c>
      <c r="G58" s="8" t="s">
        <v>85</v>
      </c>
      <c r="H58" s="6">
        <v>0.58209999999999995</v>
      </c>
      <c r="I58" s="8" t="s">
        <v>85</v>
      </c>
      <c r="J58" s="6">
        <v>62</v>
      </c>
      <c r="K58" s="8" t="s">
        <v>85</v>
      </c>
      <c r="L58" s="6">
        <v>247</v>
      </c>
      <c r="M58" s="8" t="s">
        <v>85</v>
      </c>
      <c r="N58" s="6">
        <v>248</v>
      </c>
    </row>
    <row r="59" spans="1:14" x14ac:dyDescent="0.3">
      <c r="A59" s="8" t="s">
        <v>86</v>
      </c>
      <c r="B59" s="6">
        <v>0.02</v>
      </c>
      <c r="C59" s="8" t="s">
        <v>86</v>
      </c>
      <c r="D59" s="6">
        <v>0</v>
      </c>
      <c r="E59" s="8" t="s">
        <v>86</v>
      </c>
      <c r="F59" s="6">
        <v>0.21</v>
      </c>
      <c r="G59" s="8" t="s">
        <v>86</v>
      </c>
      <c r="H59" s="6">
        <v>0</v>
      </c>
      <c r="I59" s="8" t="s">
        <v>86</v>
      </c>
      <c r="J59" s="6">
        <v>0</v>
      </c>
      <c r="K59" s="8" t="s">
        <v>86</v>
      </c>
      <c r="L59" s="6">
        <v>0</v>
      </c>
      <c r="M59" s="8" t="s">
        <v>86</v>
      </c>
      <c r="N59" s="6">
        <v>1</v>
      </c>
    </row>
    <row r="60" spans="1:14" x14ac:dyDescent="0.3">
      <c r="A60" s="8" t="s">
        <v>87</v>
      </c>
      <c r="B60" s="6">
        <v>0.46</v>
      </c>
      <c r="C60" s="8" t="s">
        <v>87</v>
      </c>
      <c r="D60" s="6">
        <v>0.45450000000000002</v>
      </c>
      <c r="E60" s="8" t="s">
        <v>87</v>
      </c>
      <c r="F60" s="6">
        <v>1</v>
      </c>
      <c r="G60" s="8" t="s">
        <v>87</v>
      </c>
      <c r="H60" s="6">
        <v>0.58209999999999995</v>
      </c>
      <c r="I60" s="8" t="s">
        <v>87</v>
      </c>
      <c r="J60" s="6">
        <v>62</v>
      </c>
      <c r="K60" s="8" t="s">
        <v>87</v>
      </c>
      <c r="L60" s="6">
        <v>247</v>
      </c>
      <c r="M60" s="8" t="s">
        <v>87</v>
      </c>
      <c r="N60" s="6">
        <v>249</v>
      </c>
    </row>
    <row r="61" spans="1:14" x14ac:dyDescent="0.3">
      <c r="A61" s="8" t="s">
        <v>88</v>
      </c>
      <c r="B61" s="6">
        <v>205.89999999999961</v>
      </c>
      <c r="C61" s="8" t="s">
        <v>88</v>
      </c>
      <c r="D61" s="6">
        <v>213.09600000000049</v>
      </c>
      <c r="E61" s="8" t="s">
        <v>88</v>
      </c>
      <c r="F61" s="6">
        <v>582.48000000000036</v>
      </c>
      <c r="G61" s="8" t="s">
        <v>88</v>
      </c>
      <c r="H61" s="6">
        <v>194.93129999999903</v>
      </c>
      <c r="I61" s="8" t="s">
        <v>88</v>
      </c>
      <c r="J61" s="6">
        <v>4921</v>
      </c>
      <c r="K61" s="8" t="s">
        <v>88</v>
      </c>
      <c r="L61" s="6">
        <v>53383</v>
      </c>
      <c r="M61" s="8" t="s">
        <v>88</v>
      </c>
      <c r="N61" s="6">
        <v>58304</v>
      </c>
    </row>
    <row r="62" spans="1:14" ht="15" thickBot="1" x14ac:dyDescent="0.35">
      <c r="A62" s="9" t="s">
        <v>89</v>
      </c>
      <c r="B62" s="7">
        <v>1000</v>
      </c>
      <c r="C62" s="9" t="s">
        <v>89</v>
      </c>
      <c r="D62" s="7">
        <v>1000</v>
      </c>
      <c r="E62" s="9" t="s">
        <v>89</v>
      </c>
      <c r="F62" s="7">
        <v>1000</v>
      </c>
      <c r="G62" s="9" t="s">
        <v>89</v>
      </c>
      <c r="H62" s="7">
        <v>1000</v>
      </c>
      <c r="I62" s="9" t="s">
        <v>89</v>
      </c>
      <c r="J62" s="7">
        <v>1000</v>
      </c>
      <c r="K62" s="9" t="s">
        <v>89</v>
      </c>
      <c r="L62" s="7">
        <v>1000</v>
      </c>
      <c r="M62" s="9" t="s">
        <v>89</v>
      </c>
      <c r="N62" s="7">
        <v>1000</v>
      </c>
    </row>
    <row r="70" spans="1:10" x14ac:dyDescent="0.3">
      <c r="A70" s="10" t="s">
        <v>73</v>
      </c>
      <c r="B70" s="16" t="s">
        <v>63</v>
      </c>
      <c r="C70" s="21" t="s">
        <v>64</v>
      </c>
      <c r="D70" s="21" t="s">
        <v>65</v>
      </c>
      <c r="E70" s="21" t="s">
        <v>66</v>
      </c>
      <c r="F70" s="10"/>
      <c r="G70" s="20" t="s">
        <v>73</v>
      </c>
      <c r="H70" s="14" t="s">
        <v>67</v>
      </c>
      <c r="I70" s="18" t="s">
        <v>68</v>
      </c>
      <c r="J70" s="18" t="s">
        <v>69</v>
      </c>
    </row>
    <row r="71" spans="1:10" x14ac:dyDescent="0.3">
      <c r="A71" s="15">
        <v>40544</v>
      </c>
      <c r="B71" s="17">
        <v>0.80583333333333351</v>
      </c>
      <c r="C71" s="22">
        <v>0.16044583333333329</v>
      </c>
      <c r="D71" s="22">
        <v>0.34416666666666673</v>
      </c>
      <c r="E71" s="22">
        <v>0.35983750000000003</v>
      </c>
      <c r="F71" s="10"/>
      <c r="G71" s="19">
        <v>40544</v>
      </c>
      <c r="H71" s="14">
        <v>331</v>
      </c>
      <c r="I71" s="18">
        <v>654</v>
      </c>
      <c r="J71" s="18">
        <v>985</v>
      </c>
    </row>
    <row r="72" spans="1:10" x14ac:dyDescent="0.3">
      <c r="A72" s="15">
        <v>40545</v>
      </c>
      <c r="B72" s="17">
        <v>0.69608695652173924</v>
      </c>
      <c r="C72" s="22">
        <v>0.24853913043478262</v>
      </c>
      <c r="D72" s="22">
        <v>0.36347826086956525</v>
      </c>
      <c r="E72" s="22">
        <v>0.35506086956521743</v>
      </c>
      <c r="F72" s="10"/>
      <c r="G72" s="19">
        <v>40545</v>
      </c>
      <c r="H72" s="14">
        <v>131</v>
      </c>
      <c r="I72" s="18">
        <v>670</v>
      </c>
      <c r="J72" s="18">
        <v>801</v>
      </c>
    </row>
    <row r="73" spans="1:10" x14ac:dyDescent="0.3">
      <c r="A73" s="15">
        <v>40546</v>
      </c>
      <c r="B73" s="17">
        <v>0.43727272727272726</v>
      </c>
      <c r="C73" s="22">
        <v>0.24830909090909081</v>
      </c>
      <c r="D73" s="22">
        <v>0.19636363636363632</v>
      </c>
      <c r="E73" s="22">
        <v>0.19215909090909095</v>
      </c>
      <c r="F73" s="10"/>
      <c r="G73" s="19">
        <v>40546</v>
      </c>
      <c r="H73" s="14">
        <v>120</v>
      </c>
      <c r="I73" s="18">
        <v>1229</v>
      </c>
      <c r="J73" s="18">
        <v>1349</v>
      </c>
    </row>
    <row r="74" spans="1:10" x14ac:dyDescent="0.3">
      <c r="A74" s="15">
        <v>40547</v>
      </c>
      <c r="B74" s="17">
        <v>0.59043478260869575</v>
      </c>
      <c r="C74" s="22">
        <v>0.16029565217391301</v>
      </c>
      <c r="D74" s="22">
        <v>0.19999999999999998</v>
      </c>
      <c r="E74" s="22">
        <v>0.2134391304347826</v>
      </c>
      <c r="F74" s="10"/>
      <c r="G74" s="19">
        <v>40547</v>
      </c>
      <c r="H74" s="14">
        <v>108</v>
      </c>
      <c r="I74" s="18">
        <v>1454</v>
      </c>
      <c r="J74" s="18">
        <v>1562</v>
      </c>
    </row>
    <row r="75" spans="1:10" x14ac:dyDescent="0.3">
      <c r="A75" s="15">
        <v>40548</v>
      </c>
      <c r="B75" s="17">
        <v>0.43695652173913052</v>
      </c>
      <c r="C75" s="22">
        <v>0.18690000000000001</v>
      </c>
      <c r="D75" s="22">
        <v>0.22695652173913042</v>
      </c>
      <c r="E75" s="22">
        <v>0.22926956521739131</v>
      </c>
      <c r="F75" s="10"/>
      <c r="G75" s="19">
        <v>40548</v>
      </c>
      <c r="H75" s="14">
        <v>82</v>
      </c>
      <c r="I75" s="18">
        <v>1518</v>
      </c>
      <c r="J75" s="18">
        <v>1600</v>
      </c>
    </row>
    <row r="76" spans="1:10" x14ac:dyDescent="0.3">
      <c r="A76" s="15">
        <v>40549</v>
      </c>
      <c r="B76" s="17">
        <v>0.51826086956521744</v>
      </c>
      <c r="C76" s="22">
        <v>8.9565217391304353E-2</v>
      </c>
      <c r="D76" s="22">
        <v>0.20434782608695654</v>
      </c>
      <c r="E76" s="22">
        <v>0.23320869565217398</v>
      </c>
      <c r="F76" s="10"/>
      <c r="G76" s="19">
        <v>40549</v>
      </c>
      <c r="H76" s="14">
        <v>88</v>
      </c>
      <c r="I76" s="18">
        <v>1518</v>
      </c>
      <c r="J76" s="18">
        <v>1606</v>
      </c>
    </row>
    <row r="77" spans="1:10" x14ac:dyDescent="0.3">
      <c r="A77" s="15">
        <v>40550</v>
      </c>
      <c r="B77" s="17">
        <v>0.4986956521739131</v>
      </c>
      <c r="C77" s="22">
        <v>0.16872608695652172</v>
      </c>
      <c r="D77" s="22">
        <v>0.19652173913043483</v>
      </c>
      <c r="E77" s="22">
        <v>0.20883913043478261</v>
      </c>
      <c r="F77" s="10"/>
      <c r="G77" s="19">
        <v>40550</v>
      </c>
      <c r="H77" s="14">
        <v>148</v>
      </c>
      <c r="I77" s="18">
        <v>1362</v>
      </c>
      <c r="J77" s="18">
        <v>1510</v>
      </c>
    </row>
    <row r="78" spans="1:10" x14ac:dyDescent="0.3">
      <c r="A78" s="15">
        <v>40551</v>
      </c>
      <c r="B78" s="17">
        <v>0.53583333333333327</v>
      </c>
      <c r="C78" s="22">
        <v>0.26680416666666668</v>
      </c>
      <c r="D78" s="22">
        <v>0.16500000000000006</v>
      </c>
      <c r="E78" s="22">
        <v>0.16225416666666667</v>
      </c>
      <c r="F78" s="10"/>
      <c r="G78" s="19">
        <v>40551</v>
      </c>
      <c r="H78" s="14">
        <v>68</v>
      </c>
      <c r="I78" s="18">
        <v>891</v>
      </c>
      <c r="J78" s="18">
        <v>959</v>
      </c>
    </row>
    <row r="79" spans="1:10" x14ac:dyDescent="0.3">
      <c r="A79" s="15">
        <v>40552</v>
      </c>
      <c r="B79" s="17">
        <v>0.43416666666666681</v>
      </c>
      <c r="C79" s="22">
        <v>0.36195000000000005</v>
      </c>
      <c r="D79" s="22">
        <v>0.13833333333333339</v>
      </c>
      <c r="E79" s="22">
        <v>0.11617500000000003</v>
      </c>
      <c r="F79" s="10"/>
      <c r="G79" s="19">
        <v>40552</v>
      </c>
      <c r="H79" s="14">
        <v>54</v>
      </c>
      <c r="I79" s="18">
        <v>768</v>
      </c>
      <c r="J79" s="18">
        <v>822</v>
      </c>
    </row>
    <row r="80" spans="1:10" x14ac:dyDescent="0.3">
      <c r="A80" s="15">
        <v>40553</v>
      </c>
      <c r="B80" s="17">
        <v>0.48291666666666672</v>
      </c>
      <c r="C80" s="22">
        <v>0.22326666666666661</v>
      </c>
      <c r="D80" s="22">
        <v>0.1508333333333334</v>
      </c>
      <c r="E80" s="22">
        <v>0.15088750000000001</v>
      </c>
      <c r="F80" s="10"/>
      <c r="G80" s="19">
        <v>40553</v>
      </c>
      <c r="H80" s="14">
        <v>41</v>
      </c>
      <c r="I80" s="18">
        <v>1280</v>
      </c>
      <c r="J80" s="18">
        <v>1321</v>
      </c>
    </row>
    <row r="81" spans="1:10" x14ac:dyDescent="0.3">
      <c r="A81" s="15">
        <v>40554</v>
      </c>
      <c r="B81" s="17">
        <v>0.68636363636363618</v>
      </c>
      <c r="C81" s="22">
        <v>0.12213181818181815</v>
      </c>
      <c r="D81" s="22">
        <v>0.16909090909090915</v>
      </c>
      <c r="E81" s="22">
        <v>0.19146363636363636</v>
      </c>
      <c r="F81" s="10"/>
      <c r="G81" s="19">
        <v>40554</v>
      </c>
      <c r="H81" s="14">
        <v>43</v>
      </c>
      <c r="I81" s="18">
        <v>1220</v>
      </c>
      <c r="J81" s="18">
        <v>1263</v>
      </c>
    </row>
    <row r="82" spans="1:10" x14ac:dyDescent="0.3">
      <c r="A82" s="15">
        <v>40555</v>
      </c>
      <c r="B82" s="17">
        <v>0.59954545454545471</v>
      </c>
      <c r="C82" s="22">
        <v>0.3046272727272728</v>
      </c>
      <c r="D82" s="22">
        <v>0.17272727272727278</v>
      </c>
      <c r="E82" s="22">
        <v>0.16047272727272729</v>
      </c>
      <c r="F82" s="10"/>
      <c r="G82" s="19">
        <v>40555</v>
      </c>
      <c r="H82" s="14">
        <v>25</v>
      </c>
      <c r="I82" s="18">
        <v>1137</v>
      </c>
      <c r="J82" s="18">
        <v>1162</v>
      </c>
    </row>
    <row r="83" spans="1:10" x14ac:dyDescent="0.3">
      <c r="A83" s="15">
        <v>40556</v>
      </c>
      <c r="B83" s="17">
        <v>0.47041666666666687</v>
      </c>
      <c r="C83" s="22">
        <v>0.30099999999999999</v>
      </c>
      <c r="D83" s="22">
        <v>0.16500000000000006</v>
      </c>
      <c r="E83" s="22">
        <v>0.15088333333333334</v>
      </c>
      <c r="F83" s="10"/>
      <c r="G83" s="19">
        <v>40556</v>
      </c>
      <c r="H83" s="14">
        <v>38</v>
      </c>
      <c r="I83" s="18">
        <v>1368</v>
      </c>
      <c r="J83" s="18">
        <v>1406</v>
      </c>
    </row>
    <row r="84" spans="1:10" x14ac:dyDescent="0.3">
      <c r="A84" s="15">
        <v>40557</v>
      </c>
      <c r="B84" s="17">
        <v>0.53782608695652179</v>
      </c>
      <c r="C84" s="22">
        <v>0.12654782608695653</v>
      </c>
      <c r="D84" s="22">
        <v>0.16086956521739135</v>
      </c>
      <c r="E84" s="22">
        <v>0.18841304347826088</v>
      </c>
      <c r="F84" s="10"/>
      <c r="G84" s="19">
        <v>40557</v>
      </c>
      <c r="H84" s="14">
        <v>54</v>
      </c>
      <c r="I84" s="18">
        <v>1367</v>
      </c>
      <c r="J84" s="18">
        <v>1421</v>
      </c>
    </row>
    <row r="85" spans="1:10" x14ac:dyDescent="0.3">
      <c r="A85" s="15">
        <v>40558</v>
      </c>
      <c r="B85" s="17">
        <v>0.49874999999999997</v>
      </c>
      <c r="C85" s="22">
        <v>0.15796249999999995</v>
      </c>
      <c r="D85" s="22">
        <v>0.23333333333333331</v>
      </c>
      <c r="E85" s="22">
        <v>0.24811249999999999</v>
      </c>
      <c r="F85" s="10"/>
      <c r="G85" s="19">
        <v>40558</v>
      </c>
      <c r="H85" s="14">
        <v>222</v>
      </c>
      <c r="I85" s="18">
        <v>1026</v>
      </c>
      <c r="J85" s="18">
        <v>1248</v>
      </c>
    </row>
    <row r="86" spans="1:10" x14ac:dyDescent="0.3">
      <c r="A86" s="15">
        <v>40559</v>
      </c>
      <c r="B86" s="17">
        <v>0.48375000000000012</v>
      </c>
      <c r="C86" s="22">
        <v>0.18843333333333331</v>
      </c>
      <c r="D86" s="22">
        <v>0.23166666666666669</v>
      </c>
      <c r="E86" s="22">
        <v>0.23421666666666671</v>
      </c>
      <c r="F86" s="10"/>
      <c r="G86" s="19">
        <v>40559</v>
      </c>
      <c r="H86" s="14">
        <v>251</v>
      </c>
      <c r="I86" s="18">
        <v>953</v>
      </c>
      <c r="J86" s="18">
        <v>1204</v>
      </c>
    </row>
    <row r="87" spans="1:10" x14ac:dyDescent="0.3">
      <c r="A87" s="15">
        <v>40560</v>
      </c>
      <c r="B87" s="17">
        <v>0.53749999999999998</v>
      </c>
      <c r="C87" s="22">
        <v>0.19401666666666664</v>
      </c>
      <c r="D87" s="22">
        <v>0.1758333333333334</v>
      </c>
      <c r="E87" s="22">
        <v>0.17677083333333335</v>
      </c>
      <c r="F87" s="10"/>
      <c r="G87" s="19">
        <v>40560</v>
      </c>
      <c r="H87" s="14">
        <v>117</v>
      </c>
      <c r="I87" s="18">
        <v>883</v>
      </c>
      <c r="J87" s="18">
        <v>1000</v>
      </c>
    </row>
    <row r="88" spans="1:10" x14ac:dyDescent="0.3">
      <c r="A88" s="15">
        <v>40561</v>
      </c>
      <c r="B88" s="17">
        <v>0.86166666666666669</v>
      </c>
      <c r="C88" s="22">
        <v>0.14677500000000002</v>
      </c>
      <c r="D88" s="22">
        <v>0.2166666666666667</v>
      </c>
      <c r="E88" s="22">
        <v>0.23233333333333336</v>
      </c>
      <c r="F88" s="10"/>
      <c r="G88" s="19">
        <v>40561</v>
      </c>
      <c r="H88" s="14">
        <v>9</v>
      </c>
      <c r="I88" s="18">
        <v>674</v>
      </c>
      <c r="J88" s="18">
        <v>683</v>
      </c>
    </row>
    <row r="89" spans="1:10" x14ac:dyDescent="0.3">
      <c r="A89" s="15">
        <v>40562</v>
      </c>
      <c r="B89" s="17">
        <v>0.74173913043478235</v>
      </c>
      <c r="C89" s="22">
        <v>0.20831739130434784</v>
      </c>
      <c r="D89" s="22">
        <v>0.29217391304347828</v>
      </c>
      <c r="E89" s="22">
        <v>0.29842173913043479</v>
      </c>
      <c r="F89" s="10"/>
      <c r="G89" s="19">
        <v>40562</v>
      </c>
      <c r="H89" s="14">
        <v>78</v>
      </c>
      <c r="I89" s="18">
        <v>1572</v>
      </c>
      <c r="J89" s="18">
        <v>1650</v>
      </c>
    </row>
    <row r="90" spans="1:10" x14ac:dyDescent="0.3">
      <c r="A90" s="15">
        <v>40563</v>
      </c>
      <c r="B90" s="17">
        <v>0.53833333333333344</v>
      </c>
      <c r="C90" s="22">
        <v>0.19590416666666666</v>
      </c>
      <c r="D90" s="22">
        <v>0.26166666666666666</v>
      </c>
      <c r="E90" s="22">
        <v>0.25505</v>
      </c>
      <c r="F90" s="10"/>
      <c r="G90" s="19">
        <v>40563</v>
      </c>
      <c r="H90" s="14">
        <v>83</v>
      </c>
      <c r="I90" s="18">
        <v>1844</v>
      </c>
      <c r="J90" s="18">
        <v>1927</v>
      </c>
    </row>
    <row r="91" spans="1:10" x14ac:dyDescent="0.3">
      <c r="A91" s="15">
        <v>40564</v>
      </c>
      <c r="B91" s="17">
        <v>0.45708333333333345</v>
      </c>
      <c r="C91" s="22">
        <v>0.35324166666666668</v>
      </c>
      <c r="D91" s="22">
        <v>0.17750000000000002</v>
      </c>
      <c r="E91" s="22">
        <v>0.15783333333333335</v>
      </c>
      <c r="F91" s="10"/>
      <c r="G91" s="19">
        <v>40564</v>
      </c>
      <c r="H91" s="14">
        <v>75</v>
      </c>
      <c r="I91" s="18">
        <v>1468</v>
      </c>
      <c r="J91" s="18">
        <v>1543</v>
      </c>
    </row>
    <row r="92" spans="1:10" x14ac:dyDescent="0.3">
      <c r="A92" s="15">
        <v>40565</v>
      </c>
      <c r="B92" s="17">
        <v>0.39999999999999997</v>
      </c>
      <c r="C92" s="22">
        <v>0.17196956521739129</v>
      </c>
      <c r="D92" s="22">
        <v>5.9130434782608703E-2</v>
      </c>
      <c r="E92" s="22">
        <v>7.9069565217391308E-2</v>
      </c>
      <c r="F92" s="10"/>
      <c r="G92" s="19">
        <v>40565</v>
      </c>
      <c r="H92" s="14">
        <v>93</v>
      </c>
      <c r="I92" s="18">
        <v>888</v>
      </c>
      <c r="J92" s="18">
        <v>981</v>
      </c>
    </row>
    <row r="93" spans="1:10" x14ac:dyDescent="0.3">
      <c r="A93" s="15">
        <v>40566</v>
      </c>
      <c r="B93" s="17">
        <v>0.43652173913043485</v>
      </c>
      <c r="C93" s="22">
        <v>0.24660000000000004</v>
      </c>
      <c r="D93" s="22">
        <v>9.6521739130434797E-2</v>
      </c>
      <c r="E93" s="22">
        <v>9.8839130434782624E-2</v>
      </c>
      <c r="F93" s="10"/>
      <c r="G93" s="19">
        <v>40566</v>
      </c>
      <c r="H93" s="14">
        <v>150</v>
      </c>
      <c r="I93" s="18">
        <v>836</v>
      </c>
      <c r="J93" s="18">
        <v>986</v>
      </c>
    </row>
    <row r="94" spans="1:10" x14ac:dyDescent="0.3">
      <c r="A94" s="15">
        <v>40567</v>
      </c>
      <c r="B94" s="17">
        <v>0.49173913043478273</v>
      </c>
      <c r="C94" s="22">
        <v>0.15833043478260866</v>
      </c>
      <c r="D94" s="22">
        <v>9.7391304347826113E-2</v>
      </c>
      <c r="E94" s="22">
        <v>0.11793043478260871</v>
      </c>
      <c r="F94" s="10"/>
      <c r="G94" s="19">
        <v>40567</v>
      </c>
      <c r="H94" s="14">
        <v>86</v>
      </c>
      <c r="I94" s="18">
        <v>1330</v>
      </c>
      <c r="J94" s="18">
        <v>1416</v>
      </c>
    </row>
    <row r="95" spans="1:10" x14ac:dyDescent="0.3">
      <c r="A95" s="15">
        <v>40568</v>
      </c>
      <c r="B95" s="17">
        <v>0.61695652173913051</v>
      </c>
      <c r="C95" s="22">
        <v>0.12979565217391303</v>
      </c>
      <c r="D95" s="22">
        <v>0.22347826086956515</v>
      </c>
      <c r="E95" s="22">
        <v>0.23452608695652166</v>
      </c>
      <c r="F95" s="10"/>
      <c r="G95" s="19">
        <v>40568</v>
      </c>
      <c r="H95" s="14">
        <v>186</v>
      </c>
      <c r="I95" s="18">
        <v>1799</v>
      </c>
      <c r="J95" s="18">
        <v>1985</v>
      </c>
    </row>
    <row r="96" spans="1:10" x14ac:dyDescent="0.3">
      <c r="A96" s="15">
        <v>40569</v>
      </c>
      <c r="B96" s="17">
        <v>0.86249999999999982</v>
      </c>
      <c r="C96" s="22">
        <v>0.29385000000000006</v>
      </c>
      <c r="D96" s="22">
        <v>0.21750000000000005</v>
      </c>
      <c r="E96" s="22">
        <v>0.2036</v>
      </c>
      <c r="F96" s="10"/>
      <c r="G96" s="19">
        <v>40569</v>
      </c>
      <c r="H96" s="14">
        <v>34</v>
      </c>
      <c r="I96" s="18">
        <v>472</v>
      </c>
      <c r="J96" s="18">
        <v>506</v>
      </c>
    </row>
    <row r="97" spans="1:10" x14ac:dyDescent="0.3">
      <c r="A97" s="15">
        <v>40570</v>
      </c>
      <c r="B97" s="17">
        <v>0.6875</v>
      </c>
      <c r="C97" s="22">
        <v>0.11383750000000001</v>
      </c>
      <c r="D97" s="22">
        <v>0.19499999999999998</v>
      </c>
      <c r="E97" s="22">
        <v>0.21970000000000001</v>
      </c>
      <c r="F97" s="10"/>
      <c r="G97" s="19">
        <v>40570</v>
      </c>
      <c r="H97" s="14">
        <v>15</v>
      </c>
      <c r="I97" s="18">
        <v>416</v>
      </c>
      <c r="J97" s="18">
        <v>431</v>
      </c>
    </row>
    <row r="98" spans="1:10" x14ac:dyDescent="0.3">
      <c r="A98" s="15">
        <v>40571</v>
      </c>
      <c r="B98" s="17">
        <v>0.79304347826086963</v>
      </c>
      <c r="C98" s="22">
        <v>0.12330000000000002</v>
      </c>
      <c r="D98" s="22">
        <v>0.20347826086956528</v>
      </c>
      <c r="E98" s="22">
        <v>0.2233173913043478</v>
      </c>
      <c r="F98" s="10"/>
      <c r="G98" s="19">
        <v>40571</v>
      </c>
      <c r="H98" s="14">
        <v>38</v>
      </c>
      <c r="I98" s="18">
        <v>1129</v>
      </c>
      <c r="J98" s="18">
        <v>1167</v>
      </c>
    </row>
    <row r="99" spans="1:10" x14ac:dyDescent="0.3">
      <c r="A99" s="15">
        <v>40572</v>
      </c>
      <c r="B99" s="17">
        <v>0.65173913043478249</v>
      </c>
      <c r="C99" s="22">
        <v>0.14536521739130431</v>
      </c>
      <c r="D99" s="22">
        <v>0.1965217391304348</v>
      </c>
      <c r="E99" s="22">
        <v>0.2121260869565218</v>
      </c>
      <c r="F99" s="10"/>
      <c r="G99" s="19">
        <v>40572</v>
      </c>
      <c r="H99" s="14">
        <v>123</v>
      </c>
      <c r="I99" s="18">
        <v>975</v>
      </c>
      <c r="J99" s="18">
        <v>1098</v>
      </c>
    </row>
    <row r="100" spans="1:10" x14ac:dyDescent="0.3">
      <c r="A100" s="15">
        <v>40573</v>
      </c>
      <c r="B100" s="17">
        <v>0.72217391304347822</v>
      </c>
      <c r="C100" s="22">
        <v>7.398260869565218E-2</v>
      </c>
      <c r="D100" s="22">
        <v>0.21652173913043476</v>
      </c>
      <c r="E100" s="22">
        <v>0.25032173913043476</v>
      </c>
      <c r="F100" s="10"/>
      <c r="G100" s="19">
        <v>40573</v>
      </c>
      <c r="H100" s="14">
        <v>140</v>
      </c>
      <c r="I100" s="18">
        <v>956</v>
      </c>
      <c r="J100" s="18">
        <v>1096</v>
      </c>
    </row>
    <row r="101" spans="1:10" x14ac:dyDescent="0.3">
      <c r="A101" s="15">
        <v>40574</v>
      </c>
      <c r="B101" s="17">
        <v>0.60375000000000001</v>
      </c>
      <c r="C101" s="22">
        <v>0.18719166666666665</v>
      </c>
      <c r="D101" s="22">
        <v>0.18083333333333337</v>
      </c>
      <c r="E101" s="22">
        <v>0.18625000000000003</v>
      </c>
      <c r="F101" s="10"/>
      <c r="G101" s="19">
        <v>40574</v>
      </c>
      <c r="H101" s="14">
        <v>42</v>
      </c>
      <c r="I101" s="18">
        <v>1459</v>
      </c>
      <c r="J101" s="18">
        <v>1501</v>
      </c>
    </row>
    <row r="102" spans="1:10" x14ac:dyDescent="0.3">
      <c r="A102" s="15">
        <v>40575</v>
      </c>
      <c r="B102" s="17">
        <v>0.8295652173913044</v>
      </c>
      <c r="C102" s="22">
        <v>5.3213043478260856E-2</v>
      </c>
      <c r="D102" s="22">
        <v>0.19217391304347831</v>
      </c>
      <c r="E102" s="22">
        <v>0.23453043478260868</v>
      </c>
      <c r="F102" s="10"/>
      <c r="G102" s="19">
        <v>40575</v>
      </c>
      <c r="H102" s="14">
        <v>47</v>
      </c>
      <c r="I102" s="18">
        <v>1313</v>
      </c>
      <c r="J102" s="18">
        <v>1360</v>
      </c>
    </row>
    <row r="103" spans="1:10" x14ac:dyDescent="0.3">
      <c r="A103" s="15">
        <v>40576</v>
      </c>
      <c r="B103" s="17">
        <v>0.77541666666666664</v>
      </c>
      <c r="C103" s="22">
        <v>0.26430833333333331</v>
      </c>
      <c r="D103" s="22">
        <v>0.26</v>
      </c>
      <c r="E103" s="22">
        <v>0.25441666666666668</v>
      </c>
      <c r="F103" s="10"/>
      <c r="G103" s="19">
        <v>40576</v>
      </c>
      <c r="H103" s="14">
        <v>72</v>
      </c>
      <c r="I103" s="18">
        <v>1454</v>
      </c>
      <c r="J103" s="18">
        <v>1526</v>
      </c>
    </row>
    <row r="104" spans="1:10" x14ac:dyDescent="0.3">
      <c r="A104" s="15">
        <v>40577</v>
      </c>
      <c r="B104" s="17">
        <v>0.43782608695652192</v>
      </c>
      <c r="C104" s="22">
        <v>0.27775217391304347</v>
      </c>
      <c r="D104" s="22">
        <v>0.18695652173913049</v>
      </c>
      <c r="E104" s="22">
        <v>0.17787826086956521</v>
      </c>
      <c r="F104" s="10"/>
      <c r="G104" s="19">
        <v>40577</v>
      </c>
      <c r="H104" s="14">
        <v>61</v>
      </c>
      <c r="I104" s="18">
        <v>1489</v>
      </c>
      <c r="J104" s="18">
        <v>1550</v>
      </c>
    </row>
    <row r="105" spans="1:10" x14ac:dyDescent="0.3">
      <c r="A105" s="15">
        <v>40578</v>
      </c>
      <c r="B105" s="17">
        <v>0.5852173913043478</v>
      </c>
      <c r="C105" s="22">
        <v>0.12783913043478262</v>
      </c>
      <c r="D105" s="22">
        <v>0.21130434782608701</v>
      </c>
      <c r="E105" s="22">
        <v>0.2285869565217391</v>
      </c>
      <c r="F105" s="10"/>
      <c r="G105" s="19">
        <v>40578</v>
      </c>
      <c r="H105" s="14">
        <v>88</v>
      </c>
      <c r="I105" s="18">
        <v>1620</v>
      </c>
      <c r="J105" s="18">
        <v>1708</v>
      </c>
    </row>
    <row r="106" spans="1:10" x14ac:dyDescent="0.3">
      <c r="A106" s="15">
        <v>40579</v>
      </c>
      <c r="B106" s="17">
        <v>0.9291666666666667</v>
      </c>
      <c r="C106" s="22">
        <v>0.16107916666666666</v>
      </c>
      <c r="D106" s="22">
        <v>0.23333333333333336</v>
      </c>
      <c r="E106" s="22">
        <v>0.24305833333333335</v>
      </c>
      <c r="F106" s="10"/>
      <c r="G106" s="19">
        <v>40579</v>
      </c>
      <c r="H106" s="14">
        <v>100</v>
      </c>
      <c r="I106" s="18">
        <v>905</v>
      </c>
      <c r="J106" s="18">
        <v>1005</v>
      </c>
    </row>
    <row r="107" spans="1:10" x14ac:dyDescent="0.3">
      <c r="A107" s="15">
        <v>40580</v>
      </c>
      <c r="B107" s="17">
        <v>0.56833333333333347</v>
      </c>
      <c r="C107" s="22">
        <v>0.14179999999999995</v>
      </c>
      <c r="D107" s="22">
        <v>0.28583333333333333</v>
      </c>
      <c r="E107" s="22">
        <v>0.29167083333333321</v>
      </c>
      <c r="F107" s="10"/>
      <c r="G107" s="19">
        <v>40580</v>
      </c>
      <c r="H107" s="14">
        <v>354</v>
      </c>
      <c r="I107" s="18">
        <v>1269</v>
      </c>
      <c r="J107" s="18">
        <v>1623</v>
      </c>
    </row>
    <row r="108" spans="1:10" x14ac:dyDescent="0.3">
      <c r="A108" s="15">
        <v>40581</v>
      </c>
      <c r="B108" s="17">
        <v>0.73833333333333317</v>
      </c>
      <c r="C108" s="22">
        <v>4.5408333333333328E-2</v>
      </c>
      <c r="D108" s="22">
        <v>0.27166666666666667</v>
      </c>
      <c r="E108" s="22">
        <v>0.30365833333333336</v>
      </c>
      <c r="F108" s="10"/>
      <c r="G108" s="19">
        <v>40581</v>
      </c>
      <c r="H108" s="14">
        <v>120</v>
      </c>
      <c r="I108" s="18">
        <v>1592</v>
      </c>
      <c r="J108" s="18">
        <v>1712</v>
      </c>
    </row>
    <row r="109" spans="1:10" x14ac:dyDescent="0.3">
      <c r="A109" s="15">
        <v>40582</v>
      </c>
      <c r="B109" s="17">
        <v>0.53791666666666671</v>
      </c>
      <c r="C109" s="22">
        <v>0.36194999999999999</v>
      </c>
      <c r="D109" s="22">
        <v>0.22083333333333341</v>
      </c>
      <c r="E109" s="22">
        <v>0.19824583333333332</v>
      </c>
      <c r="F109" s="10"/>
      <c r="G109" s="19">
        <v>40582</v>
      </c>
      <c r="H109" s="14">
        <v>64</v>
      </c>
      <c r="I109" s="18">
        <v>1466</v>
      </c>
      <c r="J109" s="18">
        <v>1530</v>
      </c>
    </row>
    <row r="110" spans="1:10" x14ac:dyDescent="0.3">
      <c r="A110" s="15">
        <v>40583</v>
      </c>
      <c r="B110" s="17">
        <v>0.49478260869565222</v>
      </c>
      <c r="C110" s="22">
        <v>0.18883913043478256</v>
      </c>
      <c r="D110" s="22">
        <v>0.1347826086956522</v>
      </c>
      <c r="E110" s="22">
        <v>0.14428260869565218</v>
      </c>
      <c r="F110" s="10"/>
      <c r="G110" s="19">
        <v>40583</v>
      </c>
      <c r="H110" s="14">
        <v>53</v>
      </c>
      <c r="I110" s="18">
        <v>1552</v>
      </c>
      <c r="J110" s="18">
        <v>1605</v>
      </c>
    </row>
    <row r="111" spans="1:10" x14ac:dyDescent="0.3">
      <c r="A111" s="15">
        <v>40584</v>
      </c>
      <c r="B111" s="17">
        <v>0.43739130434782603</v>
      </c>
      <c r="C111" s="22">
        <v>0.22193478260869562</v>
      </c>
      <c r="D111" s="22">
        <v>0.14434782608695657</v>
      </c>
      <c r="E111" s="22">
        <v>0.14954782608695652</v>
      </c>
      <c r="F111" s="10"/>
      <c r="G111" s="19">
        <v>40584</v>
      </c>
      <c r="H111" s="14">
        <v>47</v>
      </c>
      <c r="I111" s="18">
        <v>1491</v>
      </c>
      <c r="J111" s="18">
        <v>1538</v>
      </c>
    </row>
    <row r="112" spans="1:10" x14ac:dyDescent="0.3">
      <c r="A112" s="15">
        <v>40585</v>
      </c>
      <c r="B112" s="17">
        <v>0.50636363636363635</v>
      </c>
      <c r="C112" s="22">
        <v>0.10855000000000001</v>
      </c>
      <c r="D112" s="22">
        <v>0.18909090909090909</v>
      </c>
      <c r="E112" s="22">
        <v>0.2135090909090909</v>
      </c>
      <c r="F112" s="10"/>
      <c r="G112" s="19">
        <v>40585</v>
      </c>
      <c r="H112" s="14">
        <v>149</v>
      </c>
      <c r="I112" s="18">
        <v>1597</v>
      </c>
      <c r="J112" s="18">
        <v>1746</v>
      </c>
    </row>
    <row r="113" spans="1:11" x14ac:dyDescent="0.3">
      <c r="A113" s="15">
        <v>40586</v>
      </c>
      <c r="B113" s="17">
        <v>0.54416666666666669</v>
      </c>
      <c r="C113" s="22">
        <v>0.20336666666666667</v>
      </c>
      <c r="D113" s="22">
        <v>0.22249999999999995</v>
      </c>
      <c r="E113" s="22">
        <v>0.23295416666666666</v>
      </c>
      <c r="F113" s="10"/>
      <c r="G113" s="19">
        <v>40586</v>
      </c>
      <c r="H113" s="14">
        <v>288</v>
      </c>
      <c r="I113" s="18">
        <v>1184</v>
      </c>
      <c r="J113" s="18">
        <v>1472</v>
      </c>
    </row>
    <row r="114" spans="1:11" x14ac:dyDescent="0.3">
      <c r="A114" s="15">
        <v>40587</v>
      </c>
      <c r="B114" s="17">
        <v>0.45739130434782593</v>
      </c>
      <c r="C114" s="22">
        <v>0.26088260869565216</v>
      </c>
      <c r="D114" s="22">
        <v>0.31652173913043485</v>
      </c>
      <c r="E114" s="22">
        <v>0.32411304347826098</v>
      </c>
      <c r="F114" s="10"/>
      <c r="G114" s="19">
        <v>40587</v>
      </c>
      <c r="H114" s="14">
        <v>397</v>
      </c>
      <c r="I114" s="18">
        <v>1192</v>
      </c>
      <c r="J114" s="18">
        <v>1589</v>
      </c>
    </row>
    <row r="115" spans="1:11" x14ac:dyDescent="0.3">
      <c r="A115" s="15">
        <v>40588</v>
      </c>
      <c r="B115" s="17">
        <v>0.44750000000000001</v>
      </c>
      <c r="C115" s="22">
        <v>0.30037499999999995</v>
      </c>
      <c r="D115" s="22">
        <v>0.34749999999999998</v>
      </c>
      <c r="E115" s="22">
        <v>0.3314125</v>
      </c>
      <c r="F115" s="10"/>
      <c r="G115" s="19">
        <v>40588</v>
      </c>
      <c r="H115" s="14">
        <v>8</v>
      </c>
      <c r="I115" s="18">
        <v>143</v>
      </c>
      <c r="J115" s="18">
        <v>151</v>
      </c>
    </row>
    <row r="116" spans="1:11" x14ac:dyDescent="0.3">
      <c r="A116" s="11" t="s">
        <v>62</v>
      </c>
      <c r="B116" s="16">
        <v>0.58248000000000033</v>
      </c>
      <c r="C116" s="21">
        <v>0.19493129999999903</v>
      </c>
      <c r="D116" s="21">
        <v>0.20589999999999961</v>
      </c>
      <c r="E116" s="21">
        <v>0.21309600000000048</v>
      </c>
      <c r="F116" s="10"/>
      <c r="G116" s="13" t="s">
        <v>62</v>
      </c>
      <c r="H116" s="14">
        <v>4921</v>
      </c>
      <c r="I116" s="18">
        <v>53383</v>
      </c>
      <c r="J116" s="18">
        <v>58304</v>
      </c>
    </row>
    <row r="119" spans="1:11" x14ac:dyDescent="0.3">
      <c r="A119" s="10" t="s">
        <v>74</v>
      </c>
      <c r="B119" s="10" t="s">
        <v>69</v>
      </c>
      <c r="D119" s="10" t="s">
        <v>53</v>
      </c>
      <c r="E119" s="10" t="s">
        <v>69</v>
      </c>
      <c r="G119" s="10" t="s">
        <v>75</v>
      </c>
      <c r="H119" s="10" t="s">
        <v>69</v>
      </c>
      <c r="J119" s="10" t="s">
        <v>76</v>
      </c>
      <c r="K119" s="10" t="s">
        <v>69</v>
      </c>
    </row>
    <row r="120" spans="1:11" x14ac:dyDescent="0.3">
      <c r="A120" s="12" t="s">
        <v>60</v>
      </c>
      <c r="B120" s="10">
        <v>1000</v>
      </c>
      <c r="D120" s="12" t="s">
        <v>35</v>
      </c>
      <c r="E120" s="10">
        <v>21605</v>
      </c>
      <c r="G120" s="12" t="s">
        <v>33</v>
      </c>
      <c r="H120" s="10">
        <v>32151</v>
      </c>
      <c r="J120" s="12" t="s">
        <v>34</v>
      </c>
      <c r="K120" s="10">
        <v>11986</v>
      </c>
    </row>
    <row r="121" spans="1:11" x14ac:dyDescent="0.3">
      <c r="A121" s="12" t="s">
        <v>36</v>
      </c>
      <c r="B121" s="10">
        <v>57304</v>
      </c>
      <c r="D121" s="12" t="s">
        <v>46</v>
      </c>
      <c r="E121" s="10">
        <v>24285</v>
      </c>
      <c r="G121" s="12" t="s">
        <v>48</v>
      </c>
      <c r="H121" s="10">
        <v>265</v>
      </c>
      <c r="J121" s="12" t="s">
        <v>39</v>
      </c>
      <c r="K121" s="10">
        <v>13194</v>
      </c>
    </row>
    <row r="122" spans="1:11" x14ac:dyDescent="0.3">
      <c r="A122" s="12" t="s">
        <v>62</v>
      </c>
      <c r="B122" s="10">
        <v>58304</v>
      </c>
      <c r="D122" s="12" t="s">
        <v>53</v>
      </c>
      <c r="E122" s="10">
        <v>12414</v>
      </c>
      <c r="G122" s="12" t="s">
        <v>44</v>
      </c>
      <c r="H122" s="10">
        <v>13110</v>
      </c>
      <c r="J122" s="12" t="s">
        <v>49</v>
      </c>
      <c r="K122" s="10">
        <v>33124</v>
      </c>
    </row>
    <row r="123" spans="1:11" x14ac:dyDescent="0.3">
      <c r="D123" s="12" t="s">
        <v>62</v>
      </c>
      <c r="E123" s="10">
        <v>58304</v>
      </c>
      <c r="G123" s="12" t="s">
        <v>55</v>
      </c>
      <c r="H123" s="10">
        <v>9218</v>
      </c>
      <c r="J123" s="12" t="s">
        <v>62</v>
      </c>
      <c r="K123" s="10">
        <v>58304</v>
      </c>
    </row>
    <row r="124" spans="1:11" x14ac:dyDescent="0.3">
      <c r="G124" s="12" t="s">
        <v>45</v>
      </c>
      <c r="H124" s="10">
        <v>3560</v>
      </c>
    </row>
    <row r="125" spans="1:11" x14ac:dyDescent="0.3">
      <c r="G125" s="12" t="s">
        <v>62</v>
      </c>
      <c r="H125" s="10">
        <v>58304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7F6D-EFB6-4C88-9C6F-97081FBD974E}">
  <dimension ref="A22:E79"/>
  <sheetViews>
    <sheetView workbookViewId="0">
      <selection activeCell="G26" sqref="G26"/>
    </sheetView>
  </sheetViews>
  <sheetFormatPr defaultRowHeight="14.4" x14ac:dyDescent="0.3"/>
  <cols>
    <col min="1" max="1" width="10.33203125" bestFit="1" customWidth="1"/>
    <col min="2" max="2" width="15.6640625" customWidth="1"/>
    <col min="3" max="3" width="24" customWidth="1"/>
    <col min="4" max="4" width="38.109375" customWidth="1"/>
    <col min="5" max="5" width="38.21875" customWidth="1"/>
  </cols>
  <sheetData>
    <row r="22" spans="1:5" x14ac:dyDescent="0.3">
      <c r="A22" t="s">
        <v>1</v>
      </c>
      <c r="B22" t="s">
        <v>13</v>
      </c>
      <c r="C22" t="s">
        <v>70</v>
      </c>
      <c r="D22" t="s">
        <v>71</v>
      </c>
      <c r="E22" t="s">
        <v>72</v>
      </c>
    </row>
    <row r="23" spans="1:5" x14ac:dyDescent="0.3">
      <c r="A23" s="1">
        <v>40544</v>
      </c>
      <c r="B23" s="2">
        <v>41.041666666666664</v>
      </c>
      <c r="C23" s="2"/>
      <c r="D23" s="2"/>
      <c r="E23" s="2"/>
    </row>
    <row r="24" spans="1:5" x14ac:dyDescent="0.3">
      <c r="A24" s="1">
        <v>40545</v>
      </c>
      <c r="B24" s="2">
        <v>34.826086956521742</v>
      </c>
      <c r="C24" s="2"/>
      <c r="D24" s="2"/>
      <c r="E24" s="2"/>
    </row>
    <row r="25" spans="1:5" x14ac:dyDescent="0.3">
      <c r="A25" s="1">
        <v>40546</v>
      </c>
      <c r="B25" s="2">
        <v>61.31818181818182</v>
      </c>
      <c r="C25" s="2"/>
      <c r="D25" s="2"/>
      <c r="E25" s="2"/>
    </row>
    <row r="26" spans="1:5" x14ac:dyDescent="0.3">
      <c r="A26" s="1">
        <v>40547</v>
      </c>
      <c r="B26" s="2">
        <v>67.913043478260875</v>
      </c>
      <c r="C26" s="2"/>
      <c r="D26" s="2"/>
      <c r="E26" s="2"/>
    </row>
    <row r="27" spans="1:5" x14ac:dyDescent="0.3">
      <c r="A27" s="1">
        <v>40548</v>
      </c>
      <c r="B27" s="2">
        <v>69.565217391304344</v>
      </c>
      <c r="C27" s="2"/>
      <c r="D27" s="2"/>
      <c r="E27" s="2"/>
    </row>
    <row r="28" spans="1:5" x14ac:dyDescent="0.3">
      <c r="A28" s="1">
        <v>40549</v>
      </c>
      <c r="B28" s="2">
        <v>69.826086956521735</v>
      </c>
      <c r="C28" s="2"/>
      <c r="D28" s="2"/>
      <c r="E28" s="2"/>
    </row>
    <row r="29" spans="1:5" x14ac:dyDescent="0.3">
      <c r="A29" s="1">
        <v>40550</v>
      </c>
      <c r="B29" s="2">
        <v>65.652173913043484</v>
      </c>
      <c r="C29" s="2"/>
      <c r="D29" s="2"/>
      <c r="E29" s="2"/>
    </row>
    <row r="30" spans="1:5" x14ac:dyDescent="0.3">
      <c r="A30" s="1">
        <v>40551</v>
      </c>
      <c r="B30" s="2">
        <v>39.958333333333336</v>
      </c>
      <c r="C30" s="2"/>
      <c r="D30" s="2"/>
      <c r="E30" s="2"/>
    </row>
    <row r="31" spans="1:5" x14ac:dyDescent="0.3">
      <c r="A31" s="1">
        <v>40552</v>
      </c>
      <c r="B31" s="2">
        <v>34.25</v>
      </c>
      <c r="C31" s="2"/>
      <c r="D31" s="2"/>
      <c r="E31" s="2"/>
    </row>
    <row r="32" spans="1:5" x14ac:dyDescent="0.3">
      <c r="A32" s="1">
        <v>40553</v>
      </c>
      <c r="B32" s="2">
        <v>55.041666666666664</v>
      </c>
      <c r="C32" s="2"/>
      <c r="D32" s="2"/>
      <c r="E32" s="2"/>
    </row>
    <row r="33" spans="1:5" x14ac:dyDescent="0.3">
      <c r="A33" s="1">
        <v>40554</v>
      </c>
      <c r="B33" s="2">
        <v>57.409090909090907</v>
      </c>
      <c r="C33" s="2"/>
      <c r="D33" s="2"/>
      <c r="E33" s="2"/>
    </row>
    <row r="34" spans="1:5" x14ac:dyDescent="0.3">
      <c r="A34" s="1">
        <v>40555</v>
      </c>
      <c r="B34" s="2">
        <v>52.81818181818182</v>
      </c>
      <c r="C34" s="2"/>
      <c r="D34" s="2"/>
      <c r="E34" s="2"/>
    </row>
    <row r="35" spans="1:5" x14ac:dyDescent="0.3">
      <c r="A35" s="1">
        <v>40556</v>
      </c>
      <c r="B35" s="2">
        <v>58.583333333333336</v>
      </c>
      <c r="C35" s="2"/>
      <c r="D35" s="2"/>
      <c r="E35" s="2"/>
    </row>
    <row r="36" spans="1:5" x14ac:dyDescent="0.3">
      <c r="A36" s="1">
        <v>40557</v>
      </c>
      <c r="B36" s="2">
        <v>61.782608695652172</v>
      </c>
      <c r="C36" s="2"/>
      <c r="D36" s="2"/>
      <c r="E36" s="2"/>
    </row>
    <row r="37" spans="1:5" x14ac:dyDescent="0.3">
      <c r="A37" s="1">
        <v>40558</v>
      </c>
      <c r="B37" s="2">
        <v>52</v>
      </c>
      <c r="C37" s="2"/>
      <c r="D37" s="2"/>
      <c r="E37" s="2"/>
    </row>
    <row r="38" spans="1:5" x14ac:dyDescent="0.3">
      <c r="A38" s="1">
        <v>40559</v>
      </c>
      <c r="B38" s="2">
        <v>50.166666666666664</v>
      </c>
      <c r="C38" s="2"/>
      <c r="D38" s="2"/>
      <c r="E38" s="2"/>
    </row>
    <row r="39" spans="1:5" x14ac:dyDescent="0.3">
      <c r="A39" s="1">
        <v>40560</v>
      </c>
      <c r="B39" s="2">
        <v>41.666666666666664</v>
      </c>
      <c r="C39" s="2"/>
      <c r="D39" s="2"/>
      <c r="E39" s="2"/>
    </row>
    <row r="40" spans="1:5" x14ac:dyDescent="0.3">
      <c r="A40" s="1">
        <v>40561</v>
      </c>
      <c r="B40" s="2">
        <v>56.916666666666664</v>
      </c>
      <c r="C40" s="2"/>
      <c r="D40" s="2"/>
      <c r="E40" s="2"/>
    </row>
    <row r="41" spans="1:5" x14ac:dyDescent="0.3">
      <c r="A41" s="1">
        <v>40562</v>
      </c>
      <c r="B41" s="2">
        <v>71.739130434782609</v>
      </c>
      <c r="C41" s="2"/>
      <c r="D41" s="2"/>
      <c r="E41" s="2"/>
    </row>
    <row r="42" spans="1:5" x14ac:dyDescent="0.3">
      <c r="A42" s="1">
        <v>40563</v>
      </c>
      <c r="B42" s="2">
        <v>80.291666666666671</v>
      </c>
      <c r="C42" s="2"/>
      <c r="D42" s="2"/>
      <c r="E42" s="2"/>
    </row>
    <row r="43" spans="1:5" x14ac:dyDescent="0.3">
      <c r="A43" s="1">
        <v>40564</v>
      </c>
      <c r="B43" s="2">
        <v>64.291666666666671</v>
      </c>
      <c r="C43" s="2"/>
      <c r="D43" s="2"/>
      <c r="E43" s="2"/>
    </row>
    <row r="44" spans="1:5" x14ac:dyDescent="0.3">
      <c r="A44" s="1">
        <v>40565</v>
      </c>
      <c r="B44" s="2">
        <v>42.652173913043477</v>
      </c>
      <c r="C44" s="2"/>
      <c r="D44" s="2"/>
      <c r="E44" s="2"/>
    </row>
    <row r="45" spans="1:5" x14ac:dyDescent="0.3">
      <c r="A45" s="1">
        <v>40566</v>
      </c>
      <c r="B45" s="2">
        <v>42.869565217391305</v>
      </c>
      <c r="C45" s="2"/>
      <c r="D45" s="2"/>
      <c r="E45" s="2"/>
    </row>
    <row r="46" spans="1:5" x14ac:dyDescent="0.3">
      <c r="A46" s="1">
        <v>40567</v>
      </c>
      <c r="B46" s="2">
        <v>61.565217391304351</v>
      </c>
      <c r="C46" s="2"/>
      <c r="D46" s="2"/>
      <c r="E46" s="2"/>
    </row>
    <row r="47" spans="1:5" x14ac:dyDescent="0.3">
      <c r="A47" s="1">
        <v>40568</v>
      </c>
      <c r="B47" s="2">
        <v>86.304347826086953</v>
      </c>
      <c r="C47" s="2"/>
      <c r="D47" s="2"/>
      <c r="E47" s="2"/>
    </row>
    <row r="48" spans="1:5" x14ac:dyDescent="0.3">
      <c r="A48" s="1">
        <v>40569</v>
      </c>
      <c r="B48" s="2">
        <v>31.625</v>
      </c>
      <c r="C48" s="2"/>
      <c r="D48" s="2"/>
      <c r="E48" s="2"/>
    </row>
    <row r="49" spans="1:5" x14ac:dyDescent="0.3">
      <c r="A49" s="1">
        <v>40570</v>
      </c>
      <c r="B49" s="2">
        <v>53.875</v>
      </c>
      <c r="C49" s="2"/>
      <c r="D49" s="2"/>
      <c r="E49" s="2"/>
    </row>
    <row r="50" spans="1:5" x14ac:dyDescent="0.3">
      <c r="A50" s="1">
        <v>40571</v>
      </c>
      <c r="B50" s="2">
        <v>50.739130434782609</v>
      </c>
      <c r="C50" s="2"/>
      <c r="D50" s="2"/>
      <c r="E50" s="2"/>
    </row>
    <row r="51" spans="1:5" x14ac:dyDescent="0.3">
      <c r="A51" s="1">
        <v>40572</v>
      </c>
      <c r="B51" s="2">
        <v>47.739130434782609</v>
      </c>
      <c r="C51" s="2"/>
      <c r="D51" s="2"/>
      <c r="E51" s="2"/>
    </row>
    <row r="52" spans="1:5" x14ac:dyDescent="0.3">
      <c r="A52" s="1">
        <v>40573</v>
      </c>
      <c r="B52" s="2">
        <v>47.652173913043477</v>
      </c>
      <c r="C52" s="2"/>
      <c r="D52" s="2"/>
      <c r="E52" s="2"/>
    </row>
    <row r="53" spans="1:5" x14ac:dyDescent="0.3">
      <c r="A53" s="1">
        <v>40574</v>
      </c>
      <c r="B53" s="2">
        <v>62.541666666666664</v>
      </c>
      <c r="C53" s="2"/>
      <c r="D53" s="2"/>
      <c r="E53" s="2"/>
    </row>
    <row r="54" spans="1:5" x14ac:dyDescent="0.3">
      <c r="A54" s="1">
        <v>40575</v>
      </c>
      <c r="B54" s="2">
        <v>59.130434782608695</v>
      </c>
      <c r="C54" s="2"/>
      <c r="D54" s="2"/>
      <c r="E54" s="2"/>
    </row>
    <row r="55" spans="1:5" x14ac:dyDescent="0.3">
      <c r="A55" s="1">
        <v>40576</v>
      </c>
      <c r="B55" s="2">
        <v>63.583333333333336</v>
      </c>
      <c r="C55" s="2"/>
      <c r="D55" s="2"/>
      <c r="E55" s="2"/>
    </row>
    <row r="56" spans="1:5" x14ac:dyDescent="0.3">
      <c r="A56" s="1">
        <v>40577</v>
      </c>
      <c r="B56" s="2">
        <v>67.391304347826093</v>
      </c>
      <c r="C56" s="2"/>
      <c r="D56" s="2"/>
      <c r="E56" s="2"/>
    </row>
    <row r="57" spans="1:5" x14ac:dyDescent="0.3">
      <c r="A57" s="1">
        <v>40578</v>
      </c>
      <c r="B57" s="2">
        <v>74.260869565217391</v>
      </c>
      <c r="C57" s="2"/>
      <c r="D57" s="2"/>
      <c r="E57" s="2"/>
    </row>
    <row r="58" spans="1:5" x14ac:dyDescent="0.3">
      <c r="A58" s="1">
        <v>40579</v>
      </c>
      <c r="B58" s="2">
        <v>41.875</v>
      </c>
      <c r="C58" s="2"/>
      <c r="D58" s="2"/>
      <c r="E58" s="2"/>
    </row>
    <row r="59" spans="1:5" x14ac:dyDescent="0.3">
      <c r="A59" s="1">
        <v>40580</v>
      </c>
      <c r="B59" s="2">
        <v>67.625</v>
      </c>
      <c r="C59" s="2"/>
      <c r="D59" s="2"/>
      <c r="E59" s="2"/>
    </row>
    <row r="60" spans="1:5" x14ac:dyDescent="0.3">
      <c r="A60" s="1">
        <v>40581</v>
      </c>
      <c r="B60" s="2">
        <v>71.333333333333329</v>
      </c>
      <c r="C60" s="2"/>
      <c r="D60" s="2"/>
      <c r="E60" s="2"/>
    </row>
    <row r="61" spans="1:5" x14ac:dyDescent="0.3">
      <c r="A61" s="1">
        <v>40582</v>
      </c>
      <c r="B61" s="2">
        <v>63.75</v>
      </c>
      <c r="C61" s="2"/>
      <c r="D61" s="2"/>
      <c r="E61" s="2"/>
    </row>
    <row r="62" spans="1:5" x14ac:dyDescent="0.3">
      <c r="A62" s="1">
        <v>40583</v>
      </c>
      <c r="B62" s="2">
        <v>69.782608695652172</v>
      </c>
      <c r="C62" s="2"/>
      <c r="D62" s="2"/>
      <c r="E62" s="2"/>
    </row>
    <row r="63" spans="1:5" x14ac:dyDescent="0.3">
      <c r="A63" s="1">
        <v>40584</v>
      </c>
      <c r="B63" s="2">
        <v>66.869565217391298</v>
      </c>
      <c r="C63" s="2"/>
      <c r="D63" s="2"/>
      <c r="E63" s="2"/>
    </row>
    <row r="64" spans="1:5" x14ac:dyDescent="0.3">
      <c r="A64" s="1">
        <v>40585</v>
      </c>
      <c r="B64" s="2">
        <v>79.36363636363636</v>
      </c>
      <c r="C64" s="2"/>
      <c r="D64" s="2"/>
      <c r="E64" s="2"/>
    </row>
    <row r="65" spans="1:5" x14ac:dyDescent="0.3">
      <c r="A65" s="1">
        <v>40586</v>
      </c>
      <c r="B65" s="2">
        <v>61.333333333333336</v>
      </c>
      <c r="C65" s="2"/>
      <c r="D65" s="2"/>
      <c r="E65" s="2"/>
    </row>
    <row r="66" spans="1:5" x14ac:dyDescent="0.3">
      <c r="A66" s="1">
        <v>40587</v>
      </c>
      <c r="B66" s="2">
        <v>69.086956521739125</v>
      </c>
      <c r="C66" s="2"/>
      <c r="D66" s="2"/>
      <c r="E66" s="2"/>
    </row>
    <row r="67" spans="1:5" x14ac:dyDescent="0.3">
      <c r="A67" s="1">
        <v>40588</v>
      </c>
      <c r="B67" s="2">
        <v>18.875</v>
      </c>
      <c r="C67" s="2">
        <v>18.875</v>
      </c>
      <c r="D67" s="2">
        <v>18.875</v>
      </c>
      <c r="E67" s="2">
        <v>18.875</v>
      </c>
    </row>
    <row r="68" spans="1:5" x14ac:dyDescent="0.3">
      <c r="A68" s="1">
        <v>40589</v>
      </c>
      <c r="B68" s="2"/>
      <c r="C68" s="2">
        <f t="shared" ref="C68:C79" si="0">_xlfn.FORECAST.ETS(A68,$B$23:$B$67,$A$23:$A$67,1,1)</f>
        <v>61.270134143024279</v>
      </c>
      <c r="D68" s="2">
        <f t="shared" ref="D68:D79" si="1">C68-_xlfn.FORECAST.ETS.CONFINT(A68,$B$23:$B$67,$A$23:$A$67,0.95,1,1)</f>
        <v>31.858655883675784</v>
      </c>
      <c r="E68" s="2">
        <f t="shared" ref="E68:E79" si="2">C68+_xlfn.FORECAST.ETS.CONFINT(A68,$B$23:$B$67,$A$23:$A$67,0.95,1,1)</f>
        <v>90.681612402372778</v>
      </c>
    </row>
    <row r="69" spans="1:5" x14ac:dyDescent="0.3">
      <c r="A69" s="1">
        <v>40590</v>
      </c>
      <c r="B69" s="2"/>
      <c r="C69" s="2">
        <f t="shared" si="0"/>
        <v>61.525827765725516</v>
      </c>
      <c r="D69" s="2">
        <f t="shared" si="1"/>
        <v>31.878109408718345</v>
      </c>
      <c r="E69" s="2">
        <f t="shared" si="2"/>
        <v>91.173546122732688</v>
      </c>
    </row>
    <row r="70" spans="1:5" x14ac:dyDescent="0.3">
      <c r="A70" s="1">
        <v>40591</v>
      </c>
      <c r="B70" s="2"/>
      <c r="C70" s="2">
        <f t="shared" si="0"/>
        <v>61.781521388426746</v>
      </c>
      <c r="D70" s="2">
        <f t="shared" si="1"/>
        <v>31.895739851191895</v>
      </c>
      <c r="E70" s="2">
        <f t="shared" si="2"/>
        <v>91.667302925661602</v>
      </c>
    </row>
    <row r="71" spans="1:5" x14ac:dyDescent="0.3">
      <c r="A71" s="1">
        <v>40592</v>
      </c>
      <c r="B71" s="2"/>
      <c r="C71" s="2">
        <f t="shared" si="0"/>
        <v>62.037215011127984</v>
      </c>
      <c r="D71" s="2">
        <f t="shared" si="1"/>
        <v>31.911561716718598</v>
      </c>
      <c r="E71" s="2">
        <f t="shared" si="2"/>
        <v>92.162868305537373</v>
      </c>
    </row>
    <row r="72" spans="1:5" x14ac:dyDescent="0.3">
      <c r="A72" s="1">
        <v>40593</v>
      </c>
      <c r="B72" s="2"/>
      <c r="C72" s="2">
        <f t="shared" si="0"/>
        <v>62.292908633829221</v>
      </c>
      <c r="D72" s="2">
        <f t="shared" si="1"/>
        <v>31.925589377473688</v>
      </c>
      <c r="E72" s="2">
        <f t="shared" si="2"/>
        <v>92.660227890184757</v>
      </c>
    </row>
    <row r="73" spans="1:5" x14ac:dyDescent="0.3">
      <c r="A73" s="1">
        <v>40594</v>
      </c>
      <c r="B73" s="2"/>
      <c r="C73" s="2">
        <f t="shared" si="0"/>
        <v>62.548602256530458</v>
      </c>
      <c r="D73" s="2">
        <f t="shared" si="1"/>
        <v>31.937837068955986</v>
      </c>
      <c r="E73" s="2">
        <f t="shared" si="2"/>
        <v>93.15936744410493</v>
      </c>
    </row>
    <row r="74" spans="1:5" x14ac:dyDescent="0.3">
      <c r="A74" s="1">
        <v>40595</v>
      </c>
      <c r="B74" s="2"/>
      <c r="C74" s="2">
        <f t="shared" si="0"/>
        <v>62.804295879231688</v>
      </c>
      <c r="D74" s="2">
        <f t="shared" si="1"/>
        <v>31.948318887095059</v>
      </c>
      <c r="E74" s="2">
        <f t="shared" si="2"/>
        <v>93.660272871368321</v>
      </c>
    </row>
    <row r="75" spans="1:5" x14ac:dyDescent="0.3">
      <c r="A75" s="1">
        <v>40596</v>
      </c>
      <c r="B75" s="2"/>
      <c r="C75" s="2">
        <f t="shared" si="0"/>
        <v>63.059989501932925</v>
      </c>
      <c r="D75" s="2">
        <f t="shared" si="1"/>
        <v>31.95704878567814</v>
      </c>
      <c r="E75" s="2">
        <f t="shared" si="2"/>
        <v>94.162930218187711</v>
      </c>
    </row>
    <row r="76" spans="1:5" x14ac:dyDescent="0.3">
      <c r="A76" s="1">
        <v>40597</v>
      </c>
      <c r="B76" s="2"/>
      <c r="C76" s="2">
        <f t="shared" si="0"/>
        <v>63.315683124634162</v>
      </c>
      <c r="D76" s="2">
        <f t="shared" si="1"/>
        <v>31.964040574080091</v>
      </c>
      <c r="E76" s="2">
        <f t="shared" si="2"/>
        <v>94.667325675188238</v>
      </c>
    </row>
    <row r="77" spans="1:5" x14ac:dyDescent="0.3">
      <c r="A77" s="1">
        <v>40598</v>
      </c>
      <c r="B77" s="2"/>
      <c r="C77" s="2">
        <f t="shared" si="0"/>
        <v>63.5713767473354</v>
      </c>
      <c r="D77" s="2">
        <f t="shared" si="1"/>
        <v>31.969307915280588</v>
      </c>
      <c r="E77" s="2">
        <f t="shared" si="2"/>
        <v>95.173445579390204</v>
      </c>
    </row>
    <row r="78" spans="1:5" x14ac:dyDescent="0.3">
      <c r="A78" s="1">
        <v>40599</v>
      </c>
      <c r="B78" s="2"/>
      <c r="C78" s="2">
        <f t="shared" si="0"/>
        <v>63.827070370036637</v>
      </c>
      <c r="D78" s="2">
        <f t="shared" si="1"/>
        <v>31.972864324152855</v>
      </c>
      <c r="E78" s="2">
        <f t="shared" si="2"/>
        <v>95.681276415920422</v>
      </c>
    </row>
    <row r="79" spans="1:5" x14ac:dyDescent="0.3">
      <c r="A79" s="1">
        <v>40600</v>
      </c>
      <c r="B79" s="2"/>
      <c r="C79" s="2">
        <f t="shared" si="0"/>
        <v>64.082763992737867</v>
      </c>
      <c r="D79" s="2">
        <f t="shared" si="1"/>
        <v>31.974723166009028</v>
      </c>
      <c r="E79" s="2">
        <f t="shared" si="2"/>
        <v>96.190804819466706</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59F7C8-D079-4C1F-A366-3F6AC98A09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Dataset_5</vt:lpstr>
      <vt:lpstr>Modified_Dataset_5</vt:lpstr>
      <vt:lpstr>Stastistics</vt:lpstr>
      <vt:lpstr>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GAMERZONE</dc:creator>
  <cp:lastModifiedBy>Rajwin George</cp:lastModifiedBy>
  <dcterms:created xsi:type="dcterms:W3CDTF">2015-06-05T18:17:20Z</dcterms:created>
  <dcterms:modified xsi:type="dcterms:W3CDTF">2026-07-27T18:13:22Z</dcterms:modified>
</cp:coreProperties>
</file>